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soumy\OneDrive\Documents\BA\Excel\"/>
    </mc:Choice>
  </mc:AlternateContent>
  <xr:revisionPtr revIDLastSave="0" documentId="13_ncr:1_{A77893EE-E650-4BF3-A9C1-5F298BD5B2CF}" xr6:coauthVersionLast="47" xr6:coauthVersionMax="47" xr10:uidLastSave="{00000000-0000-0000-0000-000000000000}"/>
  <bookViews>
    <workbookView xWindow="1860" yWindow="1860" windowWidth="14400" windowHeight="7810" activeTab="1" xr2:uid="{00000000-000D-0000-FFFF-FFFF00000000}"/>
  </bookViews>
  <sheets>
    <sheet name="Raw_Data" sheetId="1" r:id="rId1"/>
    <sheet name="Project_Blueprint" sheetId="2" r:id="rId2"/>
    <sheet name="Pivot_Calculations" sheetId="3" r:id="rId3"/>
    <sheet name="Dashboard" sheetId="4" r:id="rId4"/>
    <sheet name="Insights_Notes" sheetId="5" r:id="rId5"/>
  </sheets>
  <definedNames>
    <definedName name="Slicer_Center_Type">#N/A</definedName>
    <definedName name="Slicer_Issue_Category">#N/A</definedName>
    <definedName name="Slicer_Issue_Severity">#N/A</definedName>
    <definedName name="Slicer_Region">#N/A</definedName>
    <definedName name="Slicer_Service_Typ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39" i="3" l="1"/>
  <c r="K28" i="3" l="1"/>
  <c r="K21" i="3"/>
  <c r="AA2" i="1" a="1"/>
  <c r="AA2" i="1" s="1"/>
  <c r="AA3" i="1" a="1"/>
  <c r="AA3" i="1" s="1"/>
  <c r="AA4" i="1" a="1"/>
  <c r="AA4" i="1"/>
  <c r="AA5" i="1" a="1"/>
  <c r="AA5" i="1" s="1"/>
  <c r="AA6" i="1" a="1"/>
  <c r="AA6" i="1"/>
  <c r="AA7" i="1" a="1"/>
  <c r="AA7" i="1"/>
  <c r="AA8" i="1" a="1"/>
  <c r="AA8" i="1"/>
  <c r="AA9" i="1" a="1"/>
  <c r="AA9" i="1"/>
  <c r="AA10" i="1" a="1"/>
  <c r="AA10" i="1"/>
  <c r="AA11" i="1" a="1"/>
  <c r="AA11" i="1"/>
  <c r="AA12" i="1" a="1"/>
  <c r="AA12" i="1"/>
  <c r="AA13" i="1" a="1"/>
  <c r="AA13" i="1"/>
  <c r="AA14" i="1" a="1"/>
  <c r="AA14" i="1"/>
  <c r="AA15" i="1" a="1"/>
  <c r="AA15" i="1"/>
  <c r="AA16" i="1" a="1"/>
  <c r="AA16" i="1"/>
  <c r="AA17" i="1" a="1"/>
  <c r="AA17" i="1"/>
  <c r="AA18" i="1" a="1"/>
  <c r="AA18" i="1"/>
  <c r="AA19" i="1" a="1"/>
  <c r="AA19" i="1"/>
  <c r="AA20" i="1" a="1"/>
  <c r="AA20" i="1"/>
  <c r="AA21" i="1" a="1"/>
  <c r="AA21" i="1"/>
  <c r="AA22" i="1" a="1"/>
  <c r="AA22" i="1"/>
  <c r="AA23" i="1" a="1"/>
  <c r="AA23" i="1"/>
  <c r="AA24" i="1" a="1"/>
  <c r="AA24" i="1"/>
  <c r="AA25" i="1" a="1"/>
  <c r="AA25" i="1"/>
  <c r="AA26" i="1" a="1"/>
  <c r="AA26" i="1"/>
  <c r="AA27" i="1" a="1"/>
  <c r="AA27" i="1"/>
  <c r="AA28" i="1" a="1"/>
  <c r="AA28" i="1"/>
  <c r="AA29" i="1" a="1"/>
  <c r="AA29" i="1"/>
  <c r="AA30" i="1" a="1"/>
  <c r="AA30" i="1"/>
  <c r="AA31" i="1" a="1"/>
  <c r="AA31" i="1"/>
  <c r="AA32" i="1" a="1"/>
  <c r="AA32" i="1"/>
  <c r="AA33" i="1" a="1"/>
  <c r="AA33" i="1"/>
  <c r="AA34" i="1" a="1"/>
  <c r="AA34" i="1"/>
  <c r="AA35" i="1" a="1"/>
  <c r="AA35" i="1"/>
  <c r="AA36" i="1" a="1"/>
  <c r="AA36" i="1"/>
  <c r="AA37" i="1" a="1"/>
  <c r="AA37" i="1"/>
  <c r="AA38" i="1" a="1"/>
  <c r="AA38" i="1"/>
  <c r="AA39" i="1" a="1"/>
  <c r="AA39" i="1"/>
  <c r="AA40" i="1" a="1"/>
  <c r="AA40" i="1"/>
  <c r="AA41" i="1" a="1"/>
  <c r="AA41" i="1"/>
  <c r="AA42" i="1" a="1"/>
  <c r="AA42" i="1"/>
  <c r="AA43" i="1" a="1"/>
  <c r="AA43" i="1"/>
  <c r="AA44" i="1" a="1"/>
  <c r="AA44" i="1"/>
  <c r="AA45" i="1" a="1"/>
  <c r="AA45" i="1"/>
  <c r="AA46" i="1" a="1"/>
  <c r="AA46" i="1"/>
  <c r="AA47" i="1" a="1"/>
  <c r="AA47" i="1"/>
  <c r="AA48" i="1" a="1"/>
  <c r="AA48" i="1"/>
  <c r="AA49" i="1" a="1"/>
  <c r="AA49" i="1"/>
  <c r="AA50" i="1" a="1"/>
  <c r="AA50" i="1"/>
  <c r="AA51" i="1" a="1"/>
  <c r="AA51" i="1"/>
  <c r="AA52" i="1" a="1"/>
  <c r="AA52" i="1"/>
  <c r="AA53" i="1" a="1"/>
  <c r="AA53" i="1"/>
  <c r="AA54" i="1" a="1"/>
  <c r="AA54" i="1"/>
  <c r="AA55" i="1" a="1"/>
  <c r="AA55" i="1"/>
  <c r="AA56" i="1" a="1"/>
  <c r="AA56" i="1"/>
  <c r="AA57" i="1" a="1"/>
  <c r="AA57" i="1"/>
  <c r="AA58" i="1" a="1"/>
  <c r="AA58" i="1"/>
  <c r="AA59" i="1" a="1"/>
  <c r="AA59" i="1"/>
  <c r="AA60" i="1" a="1"/>
  <c r="AA60" i="1"/>
  <c r="AA61" i="1" a="1"/>
  <c r="AA61" i="1"/>
  <c r="AA62" i="1" a="1"/>
  <c r="AA62" i="1"/>
  <c r="AA63" i="1" a="1"/>
  <c r="AA63" i="1"/>
  <c r="AA64" i="1" a="1"/>
  <c r="AA64" i="1"/>
  <c r="AA65" i="1" a="1"/>
  <c r="AA65" i="1"/>
  <c r="AA66" i="1" a="1"/>
  <c r="AA66" i="1"/>
  <c r="AA67" i="1" a="1"/>
  <c r="AA67" i="1"/>
  <c r="AA68" i="1" a="1"/>
  <c r="AA68" i="1"/>
  <c r="AA69" i="1" a="1"/>
  <c r="AA69" i="1"/>
  <c r="AA70" i="1" a="1"/>
  <c r="AA70" i="1"/>
  <c r="AA71" i="1" a="1"/>
  <c r="AA71" i="1"/>
  <c r="AA72" i="1" a="1"/>
  <c r="AA72" i="1"/>
  <c r="AA73" i="1" a="1"/>
  <c r="AA73" i="1"/>
  <c r="AA74" i="1" a="1"/>
  <c r="AA74" i="1"/>
  <c r="AA75" i="1" a="1"/>
  <c r="AA75" i="1"/>
  <c r="AA76" i="1" a="1"/>
  <c r="AA76" i="1"/>
  <c r="AA77" i="1" a="1"/>
  <c r="AA77" i="1"/>
  <c r="AA78" i="1" a="1"/>
  <c r="AA78" i="1"/>
  <c r="AA79" i="1" a="1"/>
  <c r="AA79" i="1"/>
  <c r="AA80" i="1" a="1"/>
  <c r="AA80" i="1"/>
  <c r="AA81" i="1" a="1"/>
  <c r="AA81" i="1"/>
  <c r="AA82" i="1" a="1"/>
  <c r="AA82" i="1"/>
  <c r="AA83" i="1" a="1"/>
  <c r="AA83" i="1"/>
  <c r="AA84" i="1" a="1"/>
  <c r="AA84" i="1"/>
  <c r="AA85" i="1" a="1"/>
  <c r="AA85" i="1"/>
  <c r="AA86" i="1" a="1"/>
  <c r="AA86" i="1"/>
  <c r="AA87" i="1" a="1"/>
  <c r="AA87" i="1"/>
  <c r="AA88" i="1" a="1"/>
  <c r="AA88" i="1"/>
  <c r="AA89" i="1" a="1"/>
  <c r="AA89" i="1"/>
  <c r="AA90" i="1" a="1"/>
  <c r="AA90" i="1"/>
  <c r="AA91" i="1" a="1"/>
  <c r="AA91" i="1"/>
  <c r="AA92" i="1" a="1"/>
  <c r="AA92" i="1"/>
  <c r="AA93" i="1" a="1"/>
  <c r="AA93" i="1"/>
  <c r="AA94" i="1" a="1"/>
  <c r="AA94" i="1"/>
  <c r="AA95" i="1" a="1"/>
  <c r="AA95" i="1"/>
  <c r="AA96" i="1" a="1"/>
  <c r="AA96" i="1"/>
  <c r="AA97" i="1" a="1"/>
  <c r="AA97" i="1"/>
  <c r="AA98" i="1" a="1"/>
  <c r="AA98" i="1"/>
  <c r="AA99" i="1" a="1"/>
  <c r="AA99" i="1"/>
  <c r="AA100" i="1" a="1"/>
  <c r="AA100" i="1"/>
  <c r="AA101" i="1" a="1"/>
  <c r="AA101" i="1"/>
  <c r="AA102" i="1" a="1"/>
  <c r="AA102" i="1"/>
  <c r="AA103" i="1" a="1"/>
  <c r="AA103" i="1"/>
  <c r="AA104" i="1" a="1"/>
  <c r="AA104" i="1"/>
  <c r="AA105" i="1" a="1"/>
  <c r="AA105" i="1"/>
  <c r="AA106" i="1" a="1"/>
  <c r="AA106" i="1"/>
  <c r="AA107" i="1" a="1"/>
  <c r="AA107" i="1"/>
  <c r="AA108" i="1" a="1"/>
  <c r="AA108" i="1"/>
  <c r="AA109" i="1" a="1"/>
  <c r="AA109" i="1"/>
  <c r="AA110" i="1" a="1"/>
  <c r="AA110" i="1"/>
  <c r="AA111" i="1" a="1"/>
  <c r="AA111" i="1"/>
  <c r="AA112" i="1" a="1"/>
  <c r="AA112" i="1"/>
  <c r="AA113" i="1" a="1"/>
  <c r="AA113" i="1"/>
  <c r="AA114" i="1" a="1"/>
  <c r="AA114" i="1"/>
  <c r="AA115" i="1" a="1"/>
  <c r="AA115" i="1"/>
  <c r="AA116" i="1" a="1"/>
  <c r="AA116" i="1"/>
  <c r="AA117" i="1" a="1"/>
  <c r="AA117" i="1"/>
  <c r="AA118" i="1" a="1"/>
  <c r="AA118" i="1"/>
  <c r="AA119" i="1" a="1"/>
  <c r="AA119" i="1"/>
  <c r="AA120" i="1" a="1"/>
  <c r="AA120" i="1"/>
  <c r="AA121" i="1" a="1"/>
  <c r="AA121" i="1"/>
  <c r="AA122" i="1" a="1"/>
  <c r="AA122" i="1"/>
  <c r="AA123" i="1" a="1"/>
  <c r="AA123" i="1"/>
  <c r="AA124" i="1" a="1"/>
  <c r="AA124" i="1"/>
  <c r="AA125" i="1" a="1"/>
  <c r="AA125" i="1"/>
  <c r="AA126" i="1" a="1"/>
  <c r="AA126" i="1"/>
  <c r="AA127" i="1" a="1"/>
  <c r="AA127" i="1"/>
  <c r="AA128" i="1" a="1"/>
  <c r="AA128" i="1"/>
  <c r="AA129" i="1" a="1"/>
  <c r="AA129" i="1"/>
  <c r="AA130" i="1" a="1"/>
  <c r="AA130" i="1"/>
  <c r="AA131" i="1" a="1"/>
  <c r="AA131" i="1"/>
  <c r="AA132" i="1" a="1"/>
  <c r="AA132" i="1"/>
  <c r="AA133" i="1" a="1"/>
  <c r="AA133" i="1"/>
  <c r="AA134" i="1" a="1"/>
  <c r="AA134" i="1"/>
  <c r="AA135" i="1" a="1"/>
  <c r="AA135" i="1"/>
  <c r="AA136" i="1" a="1"/>
  <c r="AA136" i="1"/>
  <c r="AA137" i="1" a="1"/>
  <c r="AA137" i="1"/>
  <c r="AA138" i="1" a="1"/>
  <c r="AA138" i="1"/>
  <c r="AA139" i="1" a="1"/>
  <c r="AA139" i="1"/>
  <c r="AA140" i="1" a="1"/>
  <c r="AA140" i="1"/>
  <c r="AA141" i="1" a="1"/>
  <c r="AA141" i="1"/>
  <c r="AA142" i="1" a="1"/>
  <c r="AA142" i="1"/>
  <c r="AA143" i="1" a="1"/>
  <c r="AA143" i="1"/>
  <c r="AA144" i="1" a="1"/>
  <c r="AA144" i="1"/>
  <c r="AA145" i="1" a="1"/>
  <c r="AA145" i="1"/>
  <c r="AA146" i="1" a="1"/>
  <c r="AA146" i="1"/>
  <c r="AA147" i="1" a="1"/>
  <c r="AA147" i="1"/>
  <c r="AA148" i="1" a="1"/>
  <c r="AA148" i="1"/>
  <c r="AA149" i="1" a="1"/>
  <c r="AA149" i="1"/>
  <c r="AA150" i="1" a="1"/>
  <c r="AA150" i="1"/>
  <c r="AA151" i="1" a="1"/>
  <c r="AA151" i="1"/>
  <c r="AA152" i="1" a="1"/>
  <c r="AA152" i="1"/>
  <c r="AA153" i="1" a="1"/>
  <c r="AA153" i="1"/>
  <c r="AA154" i="1" a="1"/>
  <c r="AA154" i="1"/>
  <c r="AA155" i="1" a="1"/>
  <c r="AA155" i="1"/>
  <c r="AA156" i="1" a="1"/>
  <c r="AA156" i="1"/>
  <c r="AA157" i="1" a="1"/>
  <c r="AA157" i="1"/>
  <c r="AA158" i="1" a="1"/>
  <c r="AA158" i="1"/>
  <c r="AA159" i="1" a="1"/>
  <c r="AA159" i="1"/>
  <c r="AA160" i="1" a="1"/>
  <c r="AA160" i="1"/>
  <c r="AA161" i="1" a="1"/>
  <c r="AA161" i="1"/>
  <c r="AA162" i="1" a="1"/>
  <c r="AA162" i="1"/>
  <c r="AA163" i="1" a="1"/>
  <c r="AA163" i="1"/>
  <c r="AA164" i="1" a="1"/>
  <c r="AA164" i="1"/>
  <c r="AA165" i="1" a="1"/>
  <c r="AA165" i="1"/>
  <c r="AA166" i="1" a="1"/>
  <c r="AA166" i="1"/>
  <c r="AA167" i="1" a="1"/>
  <c r="AA167" i="1"/>
  <c r="AA168" i="1" a="1"/>
  <c r="AA168" i="1"/>
  <c r="AA169" i="1" a="1"/>
  <c r="AA169" i="1"/>
  <c r="AA170" i="1" a="1"/>
  <c r="AA170" i="1"/>
  <c r="AA171" i="1" a="1"/>
  <c r="AA171" i="1"/>
  <c r="AA172" i="1" a="1"/>
  <c r="AA172" i="1"/>
  <c r="AA173" i="1" a="1"/>
  <c r="AA173" i="1"/>
  <c r="AA174" i="1" a="1"/>
  <c r="AA174" i="1"/>
  <c r="AA175" i="1" a="1"/>
  <c r="AA175" i="1"/>
  <c r="AA176" i="1" a="1"/>
  <c r="AA176" i="1"/>
  <c r="AA177" i="1" a="1"/>
  <c r="AA177" i="1"/>
  <c r="AA178" i="1" a="1"/>
  <c r="AA178" i="1"/>
  <c r="AA179" i="1" a="1"/>
  <c r="AA179" i="1"/>
  <c r="AA180" i="1" a="1"/>
  <c r="AA180" i="1"/>
  <c r="AA181" i="1" a="1"/>
  <c r="AA181" i="1"/>
  <c r="AA182" i="1" a="1"/>
  <c r="AA182" i="1"/>
  <c r="AA183" i="1" a="1"/>
  <c r="AA183" i="1"/>
  <c r="AA184" i="1" a="1"/>
  <c r="AA184" i="1"/>
  <c r="AA185" i="1" a="1"/>
  <c r="AA185" i="1"/>
  <c r="AA186" i="1" a="1"/>
  <c r="AA186" i="1"/>
  <c r="AA187" i="1" a="1"/>
  <c r="AA187" i="1"/>
  <c r="AA188" i="1" a="1"/>
  <c r="AA188" i="1"/>
  <c r="AA189" i="1" a="1"/>
  <c r="AA189" i="1"/>
  <c r="AA190" i="1" a="1"/>
  <c r="AA190" i="1"/>
  <c r="AA191" i="1" a="1"/>
  <c r="AA191" i="1"/>
  <c r="AA192" i="1" a="1"/>
  <c r="AA192" i="1"/>
  <c r="AA193" i="1" a="1"/>
  <c r="AA193" i="1"/>
  <c r="AA194" i="1" a="1"/>
  <c r="AA194" i="1"/>
  <c r="AA195" i="1" a="1"/>
  <c r="AA195" i="1"/>
  <c r="AA196" i="1" a="1"/>
  <c r="AA196" i="1"/>
  <c r="AA197" i="1" a="1"/>
  <c r="AA197" i="1"/>
  <c r="AA198" i="1" a="1"/>
  <c r="AA198" i="1"/>
  <c r="AA199" i="1" a="1"/>
  <c r="AA199" i="1"/>
  <c r="AA200" i="1" a="1"/>
  <c r="AA200" i="1"/>
  <c r="AA201" i="1" a="1"/>
  <c r="AA201" i="1"/>
  <c r="AA202" i="1" a="1"/>
  <c r="AA202" i="1"/>
  <c r="AA203" i="1" a="1"/>
  <c r="AA203" i="1"/>
  <c r="AA204" i="1" a="1"/>
  <c r="AA204" i="1"/>
  <c r="AA205" i="1" a="1"/>
  <c r="AA205" i="1"/>
  <c r="AA206" i="1" a="1"/>
  <c r="AA206" i="1"/>
  <c r="AA207" i="1" a="1"/>
  <c r="AA207" i="1"/>
  <c r="AA208" i="1" a="1"/>
  <c r="AA208" i="1"/>
  <c r="AA209" i="1" a="1"/>
  <c r="AA209" i="1"/>
  <c r="AA210" i="1" a="1"/>
  <c r="AA210" i="1"/>
  <c r="AA211" i="1" a="1"/>
  <c r="AA211" i="1"/>
  <c r="AA212" i="1" a="1"/>
  <c r="AA212" i="1"/>
  <c r="AA213" i="1" a="1"/>
  <c r="AA213" i="1"/>
  <c r="AA214" i="1" a="1"/>
  <c r="AA214" i="1"/>
  <c r="AA215" i="1" a="1"/>
  <c r="AA215" i="1"/>
  <c r="AA216" i="1" a="1"/>
  <c r="AA216" i="1"/>
  <c r="AA217" i="1" a="1"/>
  <c r="AA217" i="1"/>
  <c r="AA218" i="1" a="1"/>
  <c r="AA218" i="1"/>
  <c r="AA219" i="1" a="1"/>
  <c r="AA219" i="1"/>
  <c r="AA220" i="1" a="1"/>
  <c r="AA220" i="1"/>
  <c r="AA221" i="1" a="1"/>
  <c r="AA221" i="1"/>
  <c r="AA222" i="1" a="1"/>
  <c r="AA222" i="1"/>
  <c r="AA223" i="1" a="1"/>
  <c r="AA223" i="1"/>
  <c r="AA224" i="1" a="1"/>
  <c r="AA224" i="1"/>
  <c r="AA225" i="1" a="1"/>
  <c r="AA225" i="1"/>
  <c r="AA226" i="1" a="1"/>
  <c r="AA226" i="1"/>
  <c r="AA227" i="1" a="1"/>
  <c r="AA227" i="1"/>
  <c r="AA228" i="1" a="1"/>
  <c r="AA228" i="1"/>
  <c r="AA229" i="1" a="1"/>
  <c r="AA229" i="1"/>
  <c r="AA230" i="1" a="1"/>
  <c r="AA230" i="1"/>
  <c r="AA231" i="1" a="1"/>
  <c r="AA231" i="1"/>
  <c r="AA232" i="1" a="1"/>
  <c r="AA232" i="1"/>
  <c r="AA233" i="1" a="1"/>
  <c r="AA233" i="1"/>
  <c r="AA234" i="1" a="1"/>
  <c r="AA234" i="1"/>
  <c r="AA235" i="1" a="1"/>
  <c r="AA235" i="1"/>
  <c r="AA236" i="1" a="1"/>
  <c r="AA236" i="1"/>
  <c r="AA237" i="1" a="1"/>
  <c r="AA237" i="1"/>
  <c r="AA238" i="1" a="1"/>
  <c r="AA238" i="1"/>
  <c r="AA239" i="1" a="1"/>
  <c r="AA239" i="1"/>
  <c r="AA240" i="1" a="1"/>
  <c r="AA240" i="1"/>
  <c r="AA241" i="1" a="1"/>
  <c r="AA241" i="1"/>
  <c r="AA242" i="1" a="1"/>
  <c r="AA242" i="1"/>
  <c r="AA243" i="1" a="1"/>
  <c r="AA243" i="1"/>
  <c r="AA244" i="1" a="1"/>
  <c r="AA244" i="1" s="1"/>
  <c r="AA245" i="1" a="1"/>
  <c r="AA245" i="1"/>
  <c r="AA246" i="1" a="1"/>
  <c r="AA246" i="1"/>
  <c r="AA247" i="1" a="1"/>
  <c r="AA247" i="1"/>
  <c r="AA248" i="1" a="1"/>
  <c r="AA248" i="1"/>
  <c r="AA249" i="1" a="1"/>
  <c r="AA249" i="1"/>
  <c r="AA250" i="1" a="1"/>
  <c r="AA250" i="1"/>
  <c r="AA251" i="1" a="1"/>
  <c r="AA251" i="1"/>
  <c r="AA252" i="1" a="1"/>
  <c r="AA252" i="1"/>
  <c r="AA253" i="1" a="1"/>
  <c r="AA253" i="1"/>
  <c r="AA254" i="1" a="1"/>
  <c r="AA254" i="1"/>
  <c r="AA255" i="1" a="1"/>
  <c r="AA255" i="1"/>
  <c r="AA256" i="1" a="1"/>
  <c r="AA256" i="1"/>
  <c r="AA257" i="1" a="1"/>
  <c r="AA257" i="1"/>
  <c r="AA258" i="1" a="1"/>
  <c r="AA258" i="1"/>
  <c r="AA259" i="1" a="1"/>
  <c r="AA259" i="1"/>
  <c r="AA260" i="1" a="1"/>
  <c r="AA260" i="1"/>
  <c r="AA261" i="1" a="1"/>
  <c r="AA261" i="1"/>
  <c r="AA262" i="1" a="1"/>
  <c r="AA262" i="1"/>
  <c r="AA263" i="1" a="1"/>
  <c r="AA263" i="1"/>
  <c r="AA264" i="1" a="1"/>
  <c r="AA264" i="1"/>
  <c r="AA265" i="1" a="1"/>
  <c r="AA265" i="1"/>
  <c r="AA266" i="1" a="1"/>
  <c r="AA266" i="1"/>
  <c r="AA267" i="1" a="1"/>
  <c r="AA267" i="1"/>
  <c r="AA268" i="1" a="1"/>
  <c r="AA268" i="1"/>
  <c r="AA269" i="1" a="1"/>
  <c r="AA269" i="1"/>
  <c r="AA270" i="1" a="1"/>
  <c r="AA270" i="1"/>
  <c r="AA271" i="1" a="1"/>
  <c r="AA271" i="1"/>
  <c r="AA272" i="1" a="1"/>
  <c r="AA272" i="1"/>
  <c r="AA273" i="1" a="1"/>
  <c r="AA273" i="1"/>
  <c r="AA274" i="1" a="1"/>
  <c r="AA274" i="1"/>
  <c r="AA275" i="1" a="1"/>
  <c r="AA275" i="1"/>
  <c r="AA276" i="1" a="1"/>
  <c r="AA276" i="1"/>
  <c r="AA277" i="1" a="1"/>
  <c r="AA277" i="1"/>
  <c r="AA278" i="1" a="1"/>
  <c r="AA278" i="1"/>
  <c r="AA279" i="1" a="1"/>
  <c r="AA279" i="1"/>
  <c r="AA280" i="1" a="1"/>
  <c r="AA280" i="1"/>
  <c r="AA281" i="1" a="1"/>
  <c r="AA281" i="1"/>
  <c r="AA282" i="1" a="1"/>
  <c r="AA282" i="1"/>
  <c r="AA283" i="1" a="1"/>
  <c r="AA283" i="1"/>
  <c r="AA284" i="1" a="1"/>
  <c r="AA284" i="1"/>
  <c r="AA285" i="1" a="1"/>
  <c r="AA285" i="1"/>
  <c r="AA286" i="1" a="1"/>
  <c r="AA286" i="1"/>
  <c r="AA287" i="1" a="1"/>
  <c r="AA287" i="1"/>
  <c r="AA288" i="1" a="1"/>
  <c r="AA288" i="1"/>
  <c r="AA289" i="1" a="1"/>
  <c r="AA289" i="1"/>
  <c r="AA290" i="1" a="1"/>
  <c r="AA290" i="1"/>
  <c r="AA291" i="1" a="1"/>
  <c r="AA291" i="1"/>
  <c r="AA292" i="1" a="1"/>
  <c r="AA292" i="1"/>
  <c r="AA293" i="1" a="1"/>
  <c r="AA293" i="1"/>
  <c r="AA294" i="1" a="1"/>
  <c r="AA294" i="1"/>
  <c r="AA295" i="1" a="1"/>
  <c r="AA295" i="1"/>
  <c r="AA296" i="1" a="1"/>
  <c r="AA296" i="1"/>
  <c r="AA297" i="1" a="1"/>
  <c r="AA297" i="1"/>
  <c r="AA298" i="1" a="1"/>
  <c r="AA298" i="1"/>
  <c r="AA299" i="1" a="1"/>
  <c r="AA299" i="1"/>
  <c r="AA300" i="1" a="1"/>
  <c r="AA300" i="1"/>
  <c r="AA301" i="1" a="1"/>
  <c r="AA301" i="1"/>
  <c r="AA302" i="1" a="1"/>
  <c r="AA302" i="1"/>
  <c r="AA303" i="1" a="1"/>
  <c r="AA303" i="1"/>
  <c r="AA304" i="1" a="1"/>
  <c r="AA304" i="1"/>
  <c r="AA305" i="1" a="1"/>
  <c r="AA305" i="1"/>
  <c r="AA306" i="1" a="1"/>
  <c r="AA306" i="1"/>
  <c r="AA307" i="1" a="1"/>
  <c r="AA307" i="1"/>
  <c r="AA308" i="1" a="1"/>
  <c r="AA308" i="1"/>
  <c r="AA309" i="1" a="1"/>
  <c r="AA309" i="1"/>
  <c r="AA310" i="1" a="1"/>
  <c r="AA310" i="1"/>
  <c r="AA311" i="1" a="1"/>
  <c r="AA311" i="1"/>
  <c r="AA312" i="1" a="1"/>
  <c r="AA312" i="1"/>
  <c r="AA313" i="1" a="1"/>
  <c r="AA313" i="1"/>
  <c r="AA314" i="1" a="1"/>
  <c r="AA314" i="1"/>
  <c r="AA315" i="1" a="1"/>
  <c r="AA315" i="1"/>
  <c r="AA316" i="1" a="1"/>
  <c r="AA316" i="1"/>
  <c r="AA317" i="1" a="1"/>
  <c r="AA317" i="1"/>
  <c r="AA318" i="1" a="1"/>
  <c r="AA318" i="1"/>
  <c r="AA319" i="1" a="1"/>
  <c r="AA319" i="1"/>
  <c r="AA320" i="1" a="1"/>
  <c r="AA320" i="1"/>
  <c r="AA321" i="1" a="1"/>
  <c r="AA321" i="1"/>
  <c r="AA322" i="1" a="1"/>
  <c r="AA322" i="1"/>
  <c r="AA323" i="1" a="1"/>
  <c r="AA323" i="1"/>
  <c r="AA324" i="1" a="1"/>
  <c r="AA324" i="1"/>
  <c r="AA325" i="1" a="1"/>
  <c r="AA325" i="1"/>
  <c r="AA326" i="1" a="1"/>
  <c r="AA326" i="1"/>
  <c r="AA327" i="1" a="1"/>
  <c r="AA327" i="1"/>
  <c r="AA328" i="1" a="1"/>
  <c r="AA328" i="1"/>
  <c r="AA329" i="1" a="1"/>
  <c r="AA329" i="1"/>
  <c r="AA330" i="1" a="1"/>
  <c r="AA330" i="1"/>
  <c r="AA331" i="1" a="1"/>
  <c r="AA331" i="1"/>
  <c r="AA332" i="1" a="1"/>
  <c r="AA332" i="1"/>
  <c r="AA333" i="1" a="1"/>
  <c r="AA333" i="1"/>
  <c r="AA334" i="1" a="1"/>
  <c r="AA334" i="1"/>
  <c r="AA335" i="1" a="1"/>
  <c r="AA335" i="1"/>
  <c r="AA336" i="1" a="1"/>
  <c r="AA336" i="1"/>
  <c r="AA337" i="1" a="1"/>
  <c r="AA337" i="1"/>
  <c r="AA338" i="1" a="1"/>
  <c r="AA338" i="1"/>
  <c r="AA339" i="1" a="1"/>
  <c r="AA339" i="1"/>
  <c r="AA340" i="1" a="1"/>
  <c r="AA340" i="1"/>
  <c r="AA341" i="1" a="1"/>
  <c r="AA341" i="1"/>
  <c r="AA342" i="1" a="1"/>
  <c r="AA342" i="1"/>
  <c r="AA343" i="1" a="1"/>
  <c r="AA343" i="1"/>
  <c r="AA344" i="1" a="1"/>
  <c r="AA344" i="1"/>
  <c r="AA345" i="1" a="1"/>
  <c r="AA345" i="1"/>
  <c r="AA346" i="1" a="1"/>
  <c r="AA346" i="1"/>
  <c r="AA347" i="1" a="1"/>
  <c r="AA347" i="1"/>
  <c r="AA348" i="1" a="1"/>
  <c r="AA348" i="1"/>
  <c r="AA349" i="1" a="1"/>
  <c r="AA349" i="1"/>
  <c r="AA350" i="1" a="1"/>
  <c r="AA350" i="1"/>
  <c r="AA351" i="1" a="1"/>
  <c r="AA351" i="1"/>
  <c r="AA352" i="1" a="1"/>
  <c r="AA352" i="1"/>
  <c r="AA353" i="1" a="1"/>
  <c r="AA353" i="1"/>
  <c r="AA354" i="1" a="1"/>
  <c r="AA354" i="1"/>
  <c r="AA355" i="1" a="1"/>
  <c r="AA355" i="1"/>
  <c r="AA356" i="1" a="1"/>
  <c r="AA356" i="1"/>
  <c r="AA357" i="1" a="1"/>
  <c r="AA357" i="1"/>
  <c r="AA358" i="1" a="1"/>
  <c r="AA358" i="1"/>
  <c r="AA359" i="1" a="1"/>
  <c r="AA359" i="1"/>
  <c r="AA360" i="1" a="1"/>
  <c r="AA360" i="1"/>
  <c r="AA361" i="1" a="1"/>
  <c r="AA361" i="1"/>
  <c r="AA362" i="1" a="1"/>
  <c r="AA362" i="1"/>
  <c r="AA363" i="1" a="1"/>
  <c r="AA363" i="1"/>
  <c r="AA364" i="1" a="1"/>
  <c r="AA364" i="1"/>
  <c r="AA365" i="1" a="1"/>
  <c r="AA365" i="1"/>
  <c r="AA366" i="1" a="1"/>
  <c r="AA366" i="1"/>
  <c r="AA367" i="1" a="1"/>
  <c r="AA367" i="1"/>
  <c r="AA368" i="1" a="1"/>
  <c r="AA368" i="1"/>
  <c r="AA369" i="1" a="1"/>
  <c r="AA369" i="1"/>
  <c r="AA370" i="1" a="1"/>
  <c r="AA370" i="1"/>
  <c r="AA371" i="1" a="1"/>
  <c r="AA371" i="1"/>
  <c r="AA372" i="1" a="1"/>
  <c r="AA372" i="1"/>
  <c r="AA373" i="1" a="1"/>
  <c r="AA373" i="1"/>
  <c r="AA374" i="1" a="1"/>
  <c r="AA374" i="1"/>
  <c r="AA375" i="1" a="1"/>
  <c r="AA375" i="1"/>
  <c r="AA376" i="1" a="1"/>
  <c r="AA376" i="1"/>
  <c r="AA377" i="1" a="1"/>
  <c r="AA377" i="1"/>
  <c r="AA378" i="1" a="1"/>
  <c r="AA378" i="1"/>
  <c r="AA379" i="1" a="1"/>
  <c r="AA379" i="1"/>
  <c r="AA380" i="1" a="1"/>
  <c r="AA380" i="1"/>
  <c r="AA381" i="1" a="1"/>
  <c r="AA381" i="1"/>
  <c r="AA382" i="1" a="1"/>
  <c r="AA382" i="1"/>
  <c r="AA383" i="1" a="1"/>
  <c r="AA383" i="1"/>
  <c r="AA384" i="1" a="1"/>
  <c r="AA384" i="1"/>
  <c r="AA385" i="1" a="1"/>
  <c r="AA385" i="1"/>
  <c r="AA386" i="1" a="1"/>
  <c r="AA386" i="1"/>
  <c r="AA387" i="1" a="1"/>
  <c r="AA387" i="1"/>
  <c r="AA388" i="1" a="1"/>
  <c r="AA388" i="1"/>
  <c r="AA389" i="1" a="1"/>
  <c r="AA389" i="1"/>
  <c r="AA390" i="1" a="1"/>
  <c r="AA390" i="1"/>
  <c r="AA391" i="1" a="1"/>
  <c r="AA391" i="1"/>
  <c r="AA392" i="1" a="1"/>
  <c r="AA392" i="1"/>
  <c r="AA393" i="1" a="1"/>
  <c r="AA393" i="1"/>
  <c r="AA394" i="1" a="1"/>
  <c r="AA394" i="1"/>
  <c r="AA395" i="1" a="1"/>
  <c r="AA395" i="1"/>
  <c r="AA396" i="1" a="1"/>
  <c r="AA396" i="1"/>
  <c r="AA397" i="1" a="1"/>
  <c r="AA397" i="1"/>
  <c r="AA398" i="1" a="1"/>
  <c r="AA398" i="1"/>
  <c r="AA399" i="1" a="1"/>
  <c r="AA399" i="1"/>
  <c r="AA400" i="1" a="1"/>
  <c r="AA400" i="1"/>
  <c r="AA401" i="1" a="1"/>
  <c r="AA401" i="1"/>
  <c r="AA402" i="1" a="1"/>
  <c r="AA402" i="1"/>
  <c r="AA403" i="1" a="1"/>
  <c r="AA403" i="1"/>
  <c r="AA404" i="1" a="1"/>
  <c r="AA404" i="1"/>
  <c r="AA405" i="1" a="1"/>
  <c r="AA405" i="1"/>
  <c r="AA406" i="1" a="1"/>
  <c r="AA406" i="1"/>
  <c r="AA407" i="1" a="1"/>
  <c r="AA407" i="1"/>
  <c r="AA408" i="1" a="1"/>
  <c r="AA408" i="1"/>
  <c r="AA409" i="1" a="1"/>
  <c r="AA409" i="1"/>
  <c r="AA410" i="1" a="1"/>
  <c r="AA410" i="1"/>
  <c r="AA411" i="1" a="1"/>
  <c r="AA411" i="1"/>
  <c r="AA412" i="1" a="1"/>
  <c r="AA412" i="1"/>
  <c r="AA413" i="1" a="1"/>
  <c r="AA413" i="1"/>
  <c r="AA414" i="1" a="1"/>
  <c r="AA414" i="1"/>
  <c r="AA415" i="1" a="1"/>
  <c r="AA415" i="1"/>
  <c r="AA416" i="1" a="1"/>
  <c r="AA416" i="1"/>
  <c r="AA417" i="1" a="1"/>
  <c r="AA417" i="1"/>
  <c r="AA418" i="1" a="1"/>
  <c r="AA418" i="1"/>
  <c r="AA419" i="1" a="1"/>
  <c r="AA419" i="1"/>
  <c r="AA420" i="1" a="1"/>
  <c r="AA420" i="1"/>
  <c r="AA421" i="1" a="1"/>
  <c r="AA421" i="1"/>
  <c r="AA422" i="1" a="1"/>
  <c r="AA422" i="1"/>
  <c r="AA423" i="1" a="1"/>
  <c r="AA423" i="1"/>
  <c r="AA424" i="1" a="1"/>
  <c r="AA424" i="1"/>
  <c r="AA425" i="1" a="1"/>
  <c r="AA425" i="1"/>
  <c r="AA426" i="1" a="1"/>
  <c r="AA426" i="1"/>
  <c r="AA427" i="1" a="1"/>
  <c r="AA427" i="1"/>
  <c r="AA428" i="1" a="1"/>
  <c r="AA428" i="1"/>
  <c r="AA429" i="1" a="1"/>
  <c r="AA429" i="1"/>
  <c r="AA430" i="1" a="1"/>
  <c r="AA430" i="1"/>
  <c r="AA431" i="1" a="1"/>
  <c r="AA431" i="1"/>
  <c r="AA432" i="1" a="1"/>
  <c r="AA432" i="1"/>
  <c r="AA433" i="1" a="1"/>
  <c r="AA433" i="1"/>
  <c r="AA434" i="1" a="1"/>
  <c r="AA434" i="1"/>
  <c r="AA435" i="1" a="1"/>
  <c r="AA435" i="1"/>
  <c r="AA436" i="1" a="1"/>
  <c r="AA436" i="1"/>
  <c r="AA437" i="1" a="1"/>
  <c r="AA437" i="1"/>
  <c r="AA438" i="1" a="1"/>
  <c r="AA438" i="1"/>
  <c r="AA439" i="1" a="1"/>
  <c r="AA439" i="1"/>
  <c r="AA440" i="1" a="1"/>
  <c r="AA440" i="1"/>
  <c r="AA441" i="1" a="1"/>
  <c r="AA441" i="1"/>
  <c r="AA442" i="1" a="1"/>
  <c r="AA442" i="1"/>
  <c r="AA443" i="1" a="1"/>
  <c r="AA443" i="1"/>
  <c r="AA444" i="1" a="1"/>
  <c r="AA444" i="1"/>
  <c r="AA445" i="1" a="1"/>
  <c r="AA445" i="1"/>
  <c r="AA446" i="1" a="1"/>
  <c r="AA446" i="1"/>
  <c r="AA447" i="1" a="1"/>
  <c r="AA447" i="1"/>
  <c r="AA448" i="1" a="1"/>
  <c r="AA448" i="1"/>
  <c r="AA449" i="1" a="1"/>
  <c r="AA449" i="1"/>
  <c r="AA450" i="1" a="1"/>
  <c r="AA450" i="1"/>
  <c r="AA451" i="1" a="1"/>
  <c r="AA451" i="1"/>
  <c r="AA452" i="1" a="1"/>
  <c r="AA452" i="1"/>
  <c r="AA453" i="1" a="1"/>
  <c r="AA453" i="1"/>
  <c r="AA454" i="1" a="1"/>
  <c r="AA454" i="1"/>
  <c r="AA455" i="1" a="1"/>
  <c r="AA455" i="1"/>
  <c r="AA456" i="1" a="1"/>
  <c r="AA456" i="1"/>
  <c r="AA457" i="1" a="1"/>
  <c r="AA457" i="1"/>
  <c r="AA458" i="1" a="1"/>
  <c r="AA458" i="1"/>
  <c r="AA459" i="1" a="1"/>
  <c r="AA459" i="1"/>
  <c r="AA460" i="1" a="1"/>
  <c r="AA460" i="1"/>
  <c r="AA461" i="1" a="1"/>
  <c r="AA461" i="1"/>
  <c r="AA462" i="1" a="1"/>
  <c r="AA462" i="1"/>
  <c r="AA463" i="1" a="1"/>
  <c r="AA463" i="1"/>
  <c r="AA464" i="1" a="1"/>
  <c r="AA464" i="1"/>
  <c r="AA465" i="1" a="1"/>
  <c r="AA465" i="1"/>
  <c r="AA466" i="1" a="1"/>
  <c r="AA466" i="1"/>
  <c r="AA467" i="1" a="1"/>
  <c r="AA467" i="1"/>
  <c r="AA468" i="1" a="1"/>
  <c r="AA468" i="1"/>
  <c r="AA469" i="1" a="1"/>
  <c r="AA469" i="1"/>
  <c r="AA470" i="1" a="1"/>
  <c r="AA470" i="1"/>
  <c r="AA471" i="1" a="1"/>
  <c r="AA471" i="1"/>
  <c r="AA472" i="1" a="1"/>
  <c r="AA472" i="1"/>
  <c r="AA473" i="1" a="1"/>
  <c r="AA473" i="1"/>
  <c r="AA474" i="1" a="1"/>
  <c r="AA474" i="1"/>
  <c r="AA475" i="1" a="1"/>
  <c r="AA475" i="1"/>
  <c r="AA476" i="1" a="1"/>
  <c r="AA476" i="1"/>
  <c r="AA477" i="1" a="1"/>
  <c r="AA477" i="1"/>
  <c r="AA478" i="1" a="1"/>
  <c r="AA478" i="1"/>
  <c r="AA479" i="1" a="1"/>
  <c r="AA479" i="1"/>
  <c r="AA480" i="1" a="1"/>
  <c r="AA480" i="1"/>
  <c r="AA481" i="1" a="1"/>
  <c r="AA481" i="1"/>
  <c r="AA482" i="1" a="1"/>
  <c r="AA482" i="1"/>
  <c r="AA483" i="1" a="1"/>
  <c r="AA483" i="1"/>
  <c r="AA484" i="1" a="1"/>
  <c r="AA484" i="1"/>
  <c r="AA485" i="1" a="1"/>
  <c r="AA485" i="1"/>
  <c r="AA486" i="1" a="1"/>
  <c r="AA486" i="1"/>
  <c r="AA487" i="1" a="1"/>
  <c r="AA487" i="1"/>
  <c r="AA488" i="1" a="1"/>
  <c r="AA488" i="1"/>
  <c r="AA489" i="1" a="1"/>
  <c r="AA489" i="1"/>
  <c r="AA490" i="1" a="1"/>
  <c r="AA490" i="1"/>
  <c r="AA491" i="1" a="1"/>
  <c r="AA491" i="1"/>
  <c r="AA492" i="1" a="1"/>
  <c r="AA492" i="1"/>
  <c r="AA493" i="1" a="1"/>
  <c r="AA493" i="1"/>
  <c r="AA494" i="1" a="1"/>
  <c r="AA494" i="1"/>
  <c r="AA495" i="1" a="1"/>
  <c r="AA495" i="1"/>
  <c r="AA496" i="1" a="1"/>
  <c r="AA496" i="1"/>
  <c r="AA497" i="1" a="1"/>
  <c r="AA497" i="1"/>
  <c r="AA498" i="1" a="1"/>
  <c r="AA498" i="1"/>
  <c r="AA499" i="1" a="1"/>
  <c r="AA499" i="1"/>
  <c r="AA500" i="1" a="1"/>
  <c r="AA500" i="1"/>
  <c r="AA501" i="1" a="1"/>
  <c r="AA501" i="1"/>
  <c r="AA502" i="1" a="1"/>
  <c r="AA502" i="1"/>
  <c r="AA503" i="1" a="1"/>
  <c r="AA503" i="1"/>
  <c r="AA504" i="1" a="1"/>
  <c r="AA504" i="1"/>
  <c r="AA505" i="1" a="1"/>
  <c r="AA505" i="1"/>
  <c r="AA506" i="1" a="1"/>
  <c r="AA506" i="1"/>
  <c r="AA507" i="1" a="1"/>
  <c r="AA507" i="1"/>
  <c r="AA508" i="1" a="1"/>
  <c r="AA508" i="1"/>
  <c r="AA509" i="1" a="1"/>
  <c r="AA509" i="1"/>
  <c r="AA510" i="1" a="1"/>
  <c r="AA510" i="1"/>
  <c r="AA511" i="1" a="1"/>
  <c r="AA511" i="1"/>
  <c r="AA512" i="1" a="1"/>
  <c r="AA512" i="1"/>
  <c r="AA513" i="1" a="1"/>
  <c r="AA513" i="1"/>
  <c r="AA514" i="1" a="1"/>
  <c r="AA514" i="1"/>
  <c r="AA515" i="1" a="1"/>
  <c r="AA515" i="1"/>
  <c r="AA516" i="1" a="1"/>
  <c r="AA516" i="1"/>
  <c r="AA517" i="1" a="1"/>
  <c r="AA517" i="1"/>
  <c r="AA518" i="1" a="1"/>
  <c r="AA518" i="1"/>
  <c r="AA519" i="1" a="1"/>
  <c r="AA519" i="1"/>
  <c r="AA520" i="1" a="1"/>
  <c r="AA520" i="1"/>
  <c r="AA521" i="1" a="1"/>
  <c r="AA521" i="1"/>
  <c r="AA522" i="1" a="1"/>
  <c r="AA522" i="1"/>
  <c r="AA523" i="1" a="1"/>
  <c r="AA523" i="1"/>
  <c r="AA524" i="1" a="1"/>
  <c r="AA524" i="1"/>
  <c r="AA525" i="1" a="1"/>
  <c r="AA525" i="1"/>
  <c r="AA526" i="1" a="1"/>
  <c r="AA526" i="1"/>
  <c r="AA527" i="1" a="1"/>
  <c r="AA527" i="1"/>
  <c r="AA528" i="1" a="1"/>
  <c r="AA528" i="1"/>
  <c r="AA529" i="1" a="1"/>
  <c r="AA529" i="1"/>
  <c r="AA530" i="1" a="1"/>
  <c r="AA530" i="1"/>
  <c r="AA531" i="1" a="1"/>
  <c r="AA531" i="1"/>
  <c r="AA532" i="1" a="1"/>
  <c r="AA532" i="1"/>
  <c r="AA533" i="1" a="1"/>
  <c r="AA533" i="1"/>
  <c r="AA534" i="1" a="1"/>
  <c r="AA534" i="1"/>
  <c r="AA535" i="1" a="1"/>
  <c r="AA535" i="1"/>
  <c r="AA536" i="1" a="1"/>
  <c r="AA536" i="1"/>
  <c r="AA537" i="1" a="1"/>
  <c r="AA537" i="1"/>
  <c r="AA538" i="1" a="1"/>
  <c r="AA538" i="1"/>
  <c r="AA539" i="1" a="1"/>
  <c r="AA539" i="1"/>
  <c r="AA540" i="1" a="1"/>
  <c r="AA540" i="1"/>
  <c r="AA541" i="1" a="1"/>
  <c r="AA541" i="1"/>
  <c r="AA542" i="1" a="1"/>
  <c r="AA542" i="1"/>
  <c r="AA543" i="1" a="1"/>
  <c r="AA543" i="1"/>
  <c r="AA544" i="1" a="1"/>
  <c r="AA544" i="1"/>
  <c r="AA545" i="1" a="1"/>
  <c r="AA545" i="1"/>
  <c r="AA546" i="1" a="1"/>
  <c r="AA546" i="1"/>
  <c r="AA547" i="1" a="1"/>
  <c r="AA547" i="1"/>
  <c r="AA548" i="1" a="1"/>
  <c r="AA548" i="1"/>
  <c r="AA549" i="1" a="1"/>
  <c r="AA549" i="1"/>
  <c r="AA550" i="1" a="1"/>
  <c r="AA550" i="1"/>
  <c r="AA551" i="1" a="1"/>
  <c r="AA551" i="1"/>
  <c r="AA552" i="1" a="1"/>
  <c r="AA552" i="1"/>
  <c r="AA553" i="1" a="1"/>
  <c r="AA553" i="1"/>
  <c r="AA554" i="1" a="1"/>
  <c r="AA554" i="1"/>
  <c r="AA555" i="1" a="1"/>
  <c r="AA555" i="1"/>
  <c r="AA556" i="1" a="1"/>
  <c r="AA556" i="1"/>
  <c r="AA557" i="1" a="1"/>
  <c r="AA557" i="1"/>
  <c r="AA558" i="1" a="1"/>
  <c r="AA558" i="1"/>
  <c r="AA559" i="1" a="1"/>
  <c r="AA559" i="1"/>
  <c r="AA560" i="1" a="1"/>
  <c r="AA560" i="1"/>
  <c r="AA561" i="1" a="1"/>
  <c r="AA561" i="1"/>
  <c r="AA562" i="1" a="1"/>
  <c r="AA562" i="1"/>
  <c r="AA563" i="1" a="1"/>
  <c r="AA563" i="1"/>
  <c r="AA564" i="1" a="1"/>
  <c r="AA564" i="1"/>
  <c r="AA565" i="1" a="1"/>
  <c r="AA565" i="1"/>
  <c r="AA566" i="1" a="1"/>
  <c r="AA566" i="1"/>
  <c r="AA567" i="1" a="1"/>
  <c r="AA567" i="1"/>
  <c r="AA568" i="1" a="1"/>
  <c r="AA568" i="1"/>
  <c r="AA569" i="1" a="1"/>
  <c r="AA569" i="1"/>
  <c r="AA570" i="1" a="1"/>
  <c r="AA570" i="1"/>
  <c r="AA571" i="1" a="1"/>
  <c r="AA571" i="1"/>
  <c r="AA572" i="1" a="1"/>
  <c r="AA572" i="1"/>
  <c r="AA573" i="1" a="1"/>
  <c r="AA573" i="1"/>
  <c r="AA574" i="1" a="1"/>
  <c r="AA574" i="1"/>
  <c r="AA575" i="1" a="1"/>
  <c r="AA575" i="1"/>
  <c r="AA576" i="1" a="1"/>
  <c r="AA576" i="1"/>
  <c r="AA577" i="1" a="1"/>
  <c r="AA577" i="1"/>
  <c r="AA578" i="1" a="1"/>
  <c r="AA578" i="1"/>
  <c r="AA579" i="1" a="1"/>
  <c r="AA579" i="1"/>
  <c r="AA580" i="1" a="1"/>
  <c r="AA580" i="1"/>
  <c r="AA581" i="1" a="1"/>
  <c r="AA581" i="1"/>
  <c r="AA582" i="1" a="1"/>
  <c r="AA582" i="1"/>
  <c r="AA583" i="1" a="1"/>
  <c r="AA583" i="1"/>
  <c r="AA584" i="1" a="1"/>
  <c r="AA584" i="1"/>
  <c r="AA585" i="1" a="1"/>
  <c r="AA585" i="1"/>
  <c r="AA586" i="1" a="1"/>
  <c r="AA586" i="1"/>
  <c r="AA587" i="1" a="1"/>
  <c r="AA587" i="1"/>
  <c r="AA588" i="1" a="1"/>
  <c r="AA588" i="1"/>
  <c r="AA589" i="1" a="1"/>
  <c r="AA589" i="1"/>
  <c r="AA590" i="1" a="1"/>
  <c r="AA590" i="1"/>
  <c r="AA591" i="1" a="1"/>
  <c r="AA591" i="1"/>
  <c r="AA592" i="1" a="1"/>
  <c r="AA592" i="1"/>
  <c r="AA593" i="1" a="1"/>
  <c r="AA593" i="1"/>
  <c r="AA594" i="1" a="1"/>
  <c r="AA594" i="1"/>
  <c r="AA595" i="1" a="1"/>
  <c r="AA595" i="1"/>
  <c r="AA596" i="1" a="1"/>
  <c r="AA596" i="1"/>
  <c r="AA597" i="1" a="1"/>
  <c r="AA597" i="1"/>
  <c r="AA598" i="1" a="1"/>
  <c r="AA598" i="1"/>
  <c r="AA599" i="1" a="1"/>
  <c r="AA599" i="1"/>
  <c r="AA600" i="1" a="1"/>
  <c r="AA600" i="1"/>
  <c r="AA601" i="1" a="1"/>
  <c r="AA601" i="1"/>
  <c r="AA602" i="1" a="1"/>
  <c r="AA602" i="1"/>
  <c r="AA603" i="1" a="1"/>
  <c r="AA603" i="1"/>
  <c r="AA604" i="1" a="1"/>
  <c r="AA604" i="1"/>
  <c r="AA605" i="1" a="1"/>
  <c r="AA605" i="1"/>
  <c r="AA606" i="1" a="1"/>
  <c r="AA606" i="1"/>
  <c r="AA607" i="1" a="1"/>
  <c r="AA607" i="1"/>
  <c r="AA608" i="1" a="1"/>
  <c r="AA608" i="1"/>
  <c r="AA609" i="1" a="1"/>
  <c r="AA609" i="1"/>
  <c r="AA610" i="1" a="1"/>
  <c r="AA610" i="1"/>
  <c r="AA611" i="1" a="1"/>
  <c r="AA611" i="1"/>
  <c r="AA612" i="1" a="1"/>
  <c r="AA612" i="1"/>
  <c r="AA613" i="1" a="1"/>
  <c r="AA613" i="1"/>
  <c r="AA614" i="1" a="1"/>
  <c r="AA614" i="1"/>
  <c r="AA615" i="1" a="1"/>
  <c r="AA615" i="1"/>
  <c r="AA616" i="1" a="1"/>
  <c r="AA616" i="1"/>
  <c r="AA617" i="1" a="1"/>
  <c r="AA617" i="1"/>
  <c r="AA618" i="1" a="1"/>
  <c r="AA618" i="1"/>
  <c r="AA619" i="1" a="1"/>
  <c r="AA619" i="1"/>
  <c r="AA620" i="1" a="1"/>
  <c r="AA620" i="1"/>
  <c r="AA621" i="1" a="1"/>
  <c r="AA621" i="1"/>
  <c r="AA622" i="1" a="1"/>
  <c r="AA622" i="1"/>
  <c r="AA623" i="1" a="1"/>
  <c r="AA623" i="1"/>
  <c r="AA624" i="1" a="1"/>
  <c r="AA624" i="1"/>
  <c r="AA625" i="1" a="1"/>
  <c r="AA625" i="1"/>
  <c r="AA626" i="1" a="1"/>
  <c r="AA626" i="1"/>
  <c r="AA627" i="1" a="1"/>
  <c r="AA627" i="1"/>
  <c r="AA628" i="1" a="1"/>
  <c r="AA628" i="1"/>
  <c r="AA629" i="1" a="1"/>
  <c r="AA629" i="1"/>
  <c r="AA630" i="1" a="1"/>
  <c r="AA630" i="1"/>
  <c r="AA631" i="1" a="1"/>
  <c r="AA631" i="1"/>
  <c r="AA632" i="1" a="1"/>
  <c r="AA632" i="1"/>
  <c r="AA633" i="1" a="1"/>
  <c r="AA633" i="1"/>
  <c r="AA634" i="1" a="1"/>
  <c r="AA634" i="1"/>
  <c r="AA635" i="1" a="1"/>
  <c r="AA635" i="1"/>
  <c r="AA636" i="1" a="1"/>
  <c r="AA636" i="1"/>
  <c r="AA637" i="1" a="1"/>
  <c r="AA637" i="1"/>
  <c r="AA638" i="1" a="1"/>
  <c r="AA638" i="1"/>
  <c r="AA639" i="1" a="1"/>
  <c r="AA639" i="1"/>
  <c r="AA640" i="1" a="1"/>
  <c r="AA640" i="1"/>
  <c r="AA641" i="1" a="1"/>
  <c r="AA641" i="1"/>
  <c r="AA642" i="1" a="1"/>
  <c r="AA642" i="1"/>
  <c r="AA643" i="1" a="1"/>
  <c r="AA643" i="1"/>
  <c r="AA644" i="1" a="1"/>
  <c r="AA644" i="1"/>
  <c r="AA645" i="1" a="1"/>
  <c r="AA645" i="1"/>
  <c r="AA646" i="1" a="1"/>
  <c r="AA646" i="1"/>
  <c r="AA647" i="1" a="1"/>
  <c r="AA647" i="1"/>
  <c r="AA648" i="1" a="1"/>
  <c r="AA648" i="1"/>
  <c r="AA649" i="1" a="1"/>
  <c r="AA649" i="1"/>
  <c r="AA650" i="1" a="1"/>
  <c r="AA650" i="1"/>
  <c r="AA651" i="1" a="1"/>
  <c r="AA651" i="1"/>
  <c r="AA652" i="1" a="1"/>
  <c r="AA652" i="1"/>
  <c r="AA653" i="1" a="1"/>
  <c r="AA653" i="1"/>
  <c r="AA654" i="1" a="1"/>
  <c r="AA654" i="1"/>
  <c r="AA655" i="1" a="1"/>
  <c r="AA655" i="1"/>
  <c r="AA656" i="1" a="1"/>
  <c r="AA656" i="1"/>
  <c r="AA657" i="1" a="1"/>
  <c r="AA657" i="1"/>
  <c r="AA658" i="1" a="1"/>
  <c r="AA658" i="1"/>
  <c r="AA659" i="1" a="1"/>
  <c r="AA659" i="1"/>
  <c r="AA660" i="1" a="1"/>
  <c r="AA660" i="1"/>
  <c r="AA661" i="1" a="1"/>
  <c r="AA661" i="1"/>
  <c r="AA662" i="1" a="1"/>
  <c r="AA662" i="1"/>
  <c r="AA663" i="1" a="1"/>
  <c r="AA663" i="1"/>
  <c r="AA664" i="1" a="1"/>
  <c r="AA664" i="1"/>
  <c r="AA665" i="1" a="1"/>
  <c r="AA665" i="1"/>
  <c r="AA666" i="1" a="1"/>
  <c r="AA666" i="1"/>
  <c r="AA667" i="1" a="1"/>
  <c r="AA667" i="1"/>
  <c r="AA668" i="1" a="1"/>
  <c r="AA668" i="1"/>
  <c r="AA669" i="1" a="1"/>
  <c r="AA669" i="1"/>
  <c r="AA670" i="1" a="1"/>
  <c r="AA670" i="1"/>
  <c r="AA671" i="1" a="1"/>
  <c r="AA671" i="1"/>
  <c r="AA672" i="1" a="1"/>
  <c r="AA672" i="1"/>
  <c r="AA673" i="1" a="1"/>
  <c r="AA673" i="1"/>
  <c r="AA674" i="1" a="1"/>
  <c r="AA674" i="1"/>
  <c r="AA675" i="1" a="1"/>
  <c r="AA675" i="1"/>
  <c r="AA676" i="1" a="1"/>
  <c r="AA676" i="1"/>
  <c r="AA677" i="1" a="1"/>
  <c r="AA677" i="1"/>
  <c r="AA678" i="1" a="1"/>
  <c r="AA678" i="1"/>
  <c r="AA679" i="1" a="1"/>
  <c r="AA679" i="1"/>
  <c r="AA680" i="1" a="1"/>
  <c r="AA680" i="1"/>
  <c r="AA681" i="1" a="1"/>
  <c r="AA681" i="1"/>
  <c r="AA682" i="1" a="1"/>
  <c r="AA682" i="1"/>
  <c r="AA683" i="1" a="1"/>
  <c r="AA683" i="1"/>
  <c r="AA684" i="1" a="1"/>
  <c r="AA684" i="1"/>
  <c r="AA685" i="1" a="1"/>
  <c r="AA685" i="1"/>
  <c r="AA686" i="1" a="1"/>
  <c r="AA686" i="1"/>
  <c r="AA687" i="1" a="1"/>
  <c r="AA687" i="1"/>
  <c r="AA688" i="1" a="1"/>
  <c r="AA688" i="1"/>
  <c r="AA689" i="1" a="1"/>
  <c r="AA689" i="1"/>
  <c r="AA690" i="1" a="1"/>
  <c r="AA690" i="1"/>
  <c r="AA691" i="1" a="1"/>
  <c r="AA691" i="1"/>
  <c r="AA692" i="1" a="1"/>
  <c r="AA692" i="1"/>
  <c r="AA693" i="1" a="1"/>
  <c r="AA693" i="1"/>
  <c r="AA694" i="1" a="1"/>
  <c r="AA694" i="1"/>
  <c r="AA695" i="1" a="1"/>
  <c r="AA695" i="1"/>
  <c r="AA696" i="1" a="1"/>
  <c r="AA696" i="1"/>
  <c r="AA697" i="1" a="1"/>
  <c r="AA697" i="1"/>
  <c r="AA698" i="1" a="1"/>
  <c r="AA698" i="1"/>
  <c r="AA699" i="1" a="1"/>
  <c r="AA699" i="1"/>
  <c r="AA700" i="1" a="1"/>
  <c r="AA700" i="1"/>
  <c r="AA701" i="1" a="1"/>
  <c r="AA701" i="1"/>
  <c r="AA702" i="1" a="1"/>
  <c r="AA702" i="1"/>
  <c r="AA703" i="1" a="1"/>
  <c r="AA703" i="1"/>
  <c r="AA704" i="1" a="1"/>
  <c r="AA704" i="1"/>
  <c r="AA705" i="1" a="1"/>
  <c r="AA705" i="1"/>
  <c r="AA706" i="1" a="1"/>
  <c r="AA706" i="1"/>
  <c r="AA707" i="1" a="1"/>
  <c r="AA707" i="1"/>
  <c r="AA708" i="1" a="1"/>
  <c r="AA708" i="1"/>
  <c r="AA709" i="1" a="1"/>
  <c r="AA709" i="1"/>
  <c r="AA710" i="1" a="1"/>
  <c r="AA710" i="1"/>
  <c r="AA711" i="1" a="1"/>
  <c r="AA711" i="1"/>
  <c r="AA712" i="1" a="1"/>
  <c r="AA712" i="1"/>
  <c r="AA713" i="1" a="1"/>
  <c r="AA713" i="1"/>
  <c r="AA714" i="1" a="1"/>
  <c r="AA714" i="1"/>
  <c r="AA715" i="1" a="1"/>
  <c r="AA715" i="1"/>
  <c r="AA716" i="1" a="1"/>
  <c r="AA716" i="1"/>
  <c r="AA717" i="1" a="1"/>
  <c r="AA717" i="1"/>
  <c r="AA718" i="1" a="1"/>
  <c r="AA718" i="1"/>
  <c r="AA719" i="1" a="1"/>
  <c r="AA719" i="1"/>
  <c r="AA720" i="1" a="1"/>
  <c r="AA720" i="1"/>
  <c r="AA721" i="1" a="1"/>
  <c r="AA721" i="1"/>
  <c r="AA722" i="1" a="1"/>
  <c r="AA722" i="1"/>
  <c r="AA723" i="1" a="1"/>
  <c r="AA723" i="1"/>
  <c r="AA724" i="1" a="1"/>
  <c r="AA724" i="1"/>
  <c r="AA725" i="1" a="1"/>
  <c r="AA725" i="1"/>
  <c r="AA726" i="1" a="1"/>
  <c r="AA726" i="1"/>
  <c r="AA727" i="1" a="1"/>
  <c r="AA727" i="1"/>
  <c r="AA728" i="1" a="1"/>
  <c r="AA728" i="1"/>
  <c r="AA729" i="1" a="1"/>
  <c r="AA729" i="1"/>
  <c r="AA730" i="1" a="1"/>
  <c r="AA730" i="1"/>
  <c r="AA731" i="1" a="1"/>
  <c r="AA731" i="1"/>
  <c r="AA732" i="1" a="1"/>
  <c r="AA732" i="1"/>
  <c r="AA733" i="1" a="1"/>
  <c r="AA733" i="1"/>
  <c r="AA734" i="1" a="1"/>
  <c r="AA734" i="1"/>
  <c r="AA735" i="1" a="1"/>
  <c r="AA735" i="1"/>
  <c r="AA736" i="1" a="1"/>
  <c r="AA736" i="1"/>
  <c r="AA737" i="1" a="1"/>
  <c r="AA737" i="1"/>
  <c r="AA738" i="1" a="1"/>
  <c r="AA738" i="1"/>
  <c r="AA739" i="1" a="1"/>
  <c r="AA739" i="1"/>
  <c r="AA740" i="1" a="1"/>
  <c r="AA740" i="1"/>
  <c r="AA741" i="1" a="1"/>
  <c r="AA741" i="1"/>
  <c r="AA742" i="1" a="1"/>
  <c r="AA742" i="1"/>
  <c r="AA743" i="1" a="1"/>
  <c r="AA743" i="1"/>
  <c r="AA744" i="1" a="1"/>
  <c r="AA744" i="1"/>
  <c r="AA745" i="1" a="1"/>
  <c r="AA745" i="1"/>
  <c r="AA746" i="1" a="1"/>
  <c r="AA746" i="1"/>
  <c r="AA747" i="1" a="1"/>
  <c r="AA747" i="1"/>
  <c r="AA748" i="1" a="1"/>
  <c r="AA748" i="1"/>
  <c r="AA749" i="1" a="1"/>
  <c r="AA749" i="1"/>
  <c r="AA750" i="1" a="1"/>
  <c r="AA750" i="1"/>
  <c r="AA751" i="1" a="1"/>
  <c r="AA751" i="1"/>
  <c r="AA752" i="1" a="1"/>
  <c r="AA752" i="1"/>
  <c r="AA753" i="1" a="1"/>
  <c r="AA753" i="1"/>
  <c r="AA754" i="1" a="1"/>
  <c r="AA754" i="1"/>
  <c r="AA755" i="1" a="1"/>
  <c r="AA755" i="1"/>
  <c r="AA756" i="1" a="1"/>
  <c r="AA756" i="1"/>
  <c r="AA757" i="1" a="1"/>
  <c r="AA757" i="1"/>
  <c r="AA758" i="1" a="1"/>
  <c r="AA758" i="1"/>
  <c r="AA759" i="1" a="1"/>
  <c r="AA759" i="1"/>
  <c r="AA760" i="1" a="1"/>
  <c r="AA760" i="1"/>
  <c r="AA761" i="1" a="1"/>
  <c r="AA761" i="1"/>
  <c r="AA762" i="1" a="1"/>
  <c r="AA762" i="1"/>
  <c r="AA763" i="1" a="1"/>
  <c r="AA763" i="1"/>
  <c r="AA764" i="1" a="1"/>
  <c r="AA764" i="1"/>
  <c r="AA765" i="1" a="1"/>
  <c r="AA765" i="1"/>
  <c r="AA766" i="1" a="1"/>
  <c r="AA766" i="1"/>
  <c r="AA767" i="1" a="1"/>
  <c r="AA767" i="1"/>
  <c r="AA768" i="1" a="1"/>
  <c r="AA768" i="1"/>
  <c r="AA769" i="1" a="1"/>
  <c r="AA769" i="1"/>
  <c r="AA770" i="1" a="1"/>
  <c r="AA770" i="1"/>
  <c r="AA771" i="1" a="1"/>
  <c r="AA771" i="1"/>
  <c r="AA772" i="1" a="1"/>
  <c r="AA772" i="1"/>
  <c r="AA773" i="1" a="1"/>
  <c r="AA773" i="1"/>
  <c r="AA774" i="1" a="1"/>
  <c r="AA774" i="1"/>
  <c r="AA775" i="1" a="1"/>
  <c r="AA775" i="1"/>
  <c r="AA776" i="1" a="1"/>
  <c r="AA776" i="1"/>
  <c r="AA777" i="1" a="1"/>
  <c r="AA777" i="1"/>
  <c r="AA778" i="1" a="1"/>
  <c r="AA778" i="1"/>
  <c r="AA779" i="1" a="1"/>
  <c r="AA779" i="1"/>
  <c r="AA780" i="1" a="1"/>
  <c r="AA780" i="1"/>
  <c r="AA781" i="1" a="1"/>
  <c r="AA781" i="1"/>
  <c r="AA782" i="1" a="1"/>
  <c r="AA782" i="1"/>
  <c r="AA783" i="1" a="1"/>
  <c r="AA783" i="1"/>
  <c r="AA784" i="1" a="1"/>
  <c r="AA784" i="1"/>
  <c r="AA785" i="1" a="1"/>
  <c r="AA785" i="1"/>
  <c r="AA786" i="1" a="1"/>
  <c r="AA786" i="1"/>
  <c r="AA787" i="1" a="1"/>
  <c r="AA787" i="1"/>
  <c r="AA788" i="1" a="1"/>
  <c r="AA788" i="1"/>
  <c r="AA789" i="1" a="1"/>
  <c r="AA789" i="1"/>
  <c r="AA790" i="1" a="1"/>
  <c r="AA790" i="1"/>
  <c r="AA791" i="1" a="1"/>
  <c r="AA791" i="1"/>
  <c r="AA792" i="1" a="1"/>
  <c r="AA792" i="1"/>
  <c r="AA793" i="1" a="1"/>
  <c r="AA793" i="1"/>
  <c r="AA794" i="1" a="1"/>
  <c r="AA794" i="1"/>
  <c r="AA795" i="1" a="1"/>
  <c r="AA795" i="1"/>
  <c r="AA796" i="1" a="1"/>
  <c r="AA796" i="1"/>
  <c r="AA797" i="1" a="1"/>
  <c r="AA797" i="1"/>
  <c r="AA798" i="1" a="1"/>
  <c r="AA798" i="1"/>
  <c r="AA799" i="1" a="1"/>
  <c r="AA799" i="1"/>
  <c r="AA800" i="1" a="1"/>
  <c r="AA800" i="1"/>
  <c r="AA801" i="1" a="1"/>
  <c r="AA801" i="1"/>
  <c r="AA802" i="1" a="1"/>
  <c r="AA802" i="1"/>
  <c r="AA803" i="1" a="1"/>
  <c r="AA803" i="1"/>
  <c r="AA804" i="1" a="1"/>
  <c r="AA804" i="1"/>
  <c r="AA805" i="1" a="1"/>
  <c r="AA805" i="1"/>
  <c r="AA806" i="1" a="1"/>
  <c r="AA806" i="1"/>
  <c r="AA807" i="1" a="1"/>
  <c r="AA807" i="1"/>
  <c r="AA808" i="1" a="1"/>
  <c r="AA808" i="1"/>
  <c r="AA809" i="1" a="1"/>
  <c r="AA809" i="1"/>
  <c r="AA810" i="1" a="1"/>
  <c r="AA810" i="1"/>
  <c r="AA811" i="1" a="1"/>
  <c r="AA811" i="1"/>
  <c r="AA812" i="1" a="1"/>
  <c r="AA812" i="1"/>
  <c r="AA813" i="1" a="1"/>
  <c r="AA813" i="1"/>
  <c r="AA814" i="1" a="1"/>
  <c r="AA814" i="1"/>
  <c r="AA815" i="1" a="1"/>
  <c r="AA815" i="1"/>
  <c r="AA816" i="1" a="1"/>
  <c r="AA816" i="1"/>
  <c r="AA817" i="1" a="1"/>
  <c r="AA817" i="1"/>
  <c r="AA818" i="1" a="1"/>
  <c r="AA818" i="1"/>
  <c r="AA819" i="1" a="1"/>
  <c r="AA819" i="1"/>
  <c r="AA820" i="1" a="1"/>
  <c r="AA820" i="1"/>
  <c r="AA821" i="1" a="1"/>
  <c r="AA821" i="1"/>
  <c r="AA822" i="1" a="1"/>
  <c r="AA822" i="1"/>
  <c r="AA823" i="1" a="1"/>
  <c r="AA823" i="1"/>
  <c r="AA824" i="1" a="1"/>
  <c r="AA824" i="1"/>
  <c r="AA825" i="1" a="1"/>
  <c r="AA825" i="1"/>
  <c r="AA826" i="1" a="1"/>
  <c r="AA826" i="1"/>
  <c r="AA827" i="1" a="1"/>
  <c r="AA827" i="1"/>
  <c r="AA828" i="1" a="1"/>
  <c r="AA828" i="1"/>
  <c r="AA829" i="1" a="1"/>
  <c r="AA829" i="1"/>
  <c r="AA830" i="1" a="1"/>
  <c r="AA830" i="1"/>
  <c r="AA831" i="1" a="1"/>
  <c r="AA831" i="1"/>
  <c r="AA832" i="1" a="1"/>
  <c r="AA832" i="1"/>
  <c r="AA833" i="1" a="1"/>
  <c r="AA833" i="1"/>
  <c r="AA834" i="1" a="1"/>
  <c r="AA834" i="1"/>
  <c r="AA835" i="1" a="1"/>
  <c r="AA835" i="1"/>
  <c r="AA836" i="1" a="1"/>
  <c r="AA836" i="1"/>
  <c r="AA837" i="1" a="1"/>
  <c r="AA837" i="1"/>
  <c r="AA838" i="1" a="1"/>
  <c r="AA838" i="1"/>
  <c r="AA839" i="1" a="1"/>
  <c r="AA839" i="1"/>
  <c r="AA840" i="1" a="1"/>
  <c r="AA840" i="1"/>
  <c r="AA841" i="1" a="1"/>
  <c r="AA841" i="1"/>
  <c r="AA842" i="1" a="1"/>
  <c r="AA842" i="1"/>
  <c r="AA843" i="1" a="1"/>
  <c r="AA843" i="1"/>
  <c r="AA844" i="1" a="1"/>
  <c r="AA844" i="1"/>
  <c r="AA845" i="1" a="1"/>
  <c r="AA845" i="1"/>
  <c r="AA846" i="1" a="1"/>
  <c r="AA846" i="1"/>
  <c r="AA847" i="1" a="1"/>
  <c r="AA847" i="1"/>
  <c r="AA848" i="1" a="1"/>
  <c r="AA848" i="1"/>
  <c r="AA849" i="1" a="1"/>
  <c r="AA849" i="1"/>
  <c r="AA850" i="1" a="1"/>
  <c r="AA850" i="1"/>
  <c r="AA851" i="1" a="1"/>
  <c r="AA851" i="1"/>
  <c r="AA852" i="1" a="1"/>
  <c r="AA852" i="1"/>
  <c r="AA853" i="1" a="1"/>
  <c r="AA853" i="1"/>
  <c r="AA854" i="1" a="1"/>
  <c r="AA854" i="1"/>
  <c r="AA855" i="1" a="1"/>
  <c r="AA855" i="1"/>
  <c r="AA856" i="1" a="1"/>
  <c r="AA856" i="1"/>
  <c r="AA857" i="1" a="1"/>
  <c r="AA857" i="1"/>
  <c r="AA858" i="1" a="1"/>
  <c r="AA858" i="1"/>
  <c r="AA859" i="1" a="1"/>
  <c r="AA859" i="1"/>
  <c r="AA860" i="1" a="1"/>
  <c r="AA860" i="1"/>
  <c r="AA861" i="1" a="1"/>
  <c r="AA861" i="1"/>
  <c r="AA862" i="1" a="1"/>
  <c r="AA862" i="1"/>
  <c r="AA863" i="1" a="1"/>
  <c r="AA863" i="1"/>
  <c r="AA864" i="1" a="1"/>
  <c r="AA864" i="1"/>
  <c r="AA865" i="1" a="1"/>
  <c r="AA865" i="1"/>
  <c r="AA866" i="1" a="1"/>
  <c r="AA866" i="1"/>
  <c r="AA867" i="1" a="1"/>
  <c r="AA867" i="1"/>
  <c r="AA868" i="1" a="1"/>
  <c r="AA868" i="1"/>
  <c r="AA869" i="1" a="1"/>
  <c r="AA869" i="1"/>
  <c r="AA870" i="1" a="1"/>
  <c r="AA870" i="1"/>
  <c r="AA871" i="1" a="1"/>
  <c r="AA871" i="1"/>
  <c r="AA872" i="1" a="1"/>
  <c r="AA872" i="1"/>
  <c r="AA873" i="1" a="1"/>
  <c r="AA873" i="1"/>
  <c r="AA874" i="1" a="1"/>
  <c r="AA874" i="1"/>
  <c r="AA875" i="1" a="1"/>
  <c r="AA875" i="1"/>
  <c r="AA876" i="1" a="1"/>
  <c r="AA876" i="1"/>
  <c r="AA877" i="1" a="1"/>
  <c r="AA877" i="1"/>
  <c r="AA878" i="1" a="1"/>
  <c r="AA878" i="1"/>
  <c r="AA879" i="1" a="1"/>
  <c r="AA879" i="1"/>
  <c r="AA880" i="1" a="1"/>
  <c r="AA880" i="1"/>
  <c r="AA881" i="1" a="1"/>
  <c r="AA881" i="1"/>
  <c r="AA882" i="1" a="1"/>
  <c r="AA882" i="1"/>
  <c r="AA883" i="1" a="1"/>
  <c r="AA883" i="1"/>
  <c r="AA884" i="1" a="1"/>
  <c r="AA884" i="1"/>
  <c r="AA885" i="1" a="1"/>
  <c r="AA885" i="1"/>
  <c r="AA886" i="1" a="1"/>
  <c r="AA886" i="1"/>
  <c r="AA887" i="1" a="1"/>
  <c r="AA887" i="1"/>
  <c r="AA888" i="1" a="1"/>
  <c r="AA888" i="1"/>
  <c r="AA889" i="1" a="1"/>
  <c r="AA889" i="1"/>
  <c r="AA890" i="1" a="1"/>
  <c r="AA890" i="1"/>
  <c r="AA891" i="1" a="1"/>
  <c r="AA891" i="1"/>
  <c r="AA892" i="1" a="1"/>
  <c r="AA892" i="1"/>
  <c r="AA893" i="1" a="1"/>
  <c r="AA893" i="1"/>
  <c r="AA894" i="1" a="1"/>
  <c r="AA894" i="1"/>
  <c r="AA895" i="1" a="1"/>
  <c r="AA895" i="1"/>
  <c r="AA896" i="1" a="1"/>
  <c r="AA896" i="1"/>
  <c r="AA897" i="1" a="1"/>
  <c r="AA897" i="1"/>
  <c r="AA898" i="1" a="1"/>
  <c r="AA898" i="1"/>
  <c r="AA899" i="1" a="1"/>
  <c r="AA899" i="1"/>
  <c r="AA900" i="1" a="1"/>
  <c r="AA900" i="1"/>
  <c r="AA901" i="1" a="1"/>
  <c r="AA901" i="1"/>
  <c r="AA902" i="1" a="1"/>
  <c r="AA902" i="1"/>
  <c r="AA903" i="1" a="1"/>
  <c r="AA903" i="1"/>
  <c r="AA904" i="1" a="1"/>
  <c r="AA904" i="1"/>
  <c r="AA905" i="1" a="1"/>
  <c r="AA905" i="1"/>
  <c r="AA906" i="1" a="1"/>
  <c r="AA906" i="1"/>
  <c r="AA907" i="1" a="1"/>
  <c r="AA907" i="1"/>
  <c r="AA908" i="1" a="1"/>
  <c r="AA908" i="1"/>
  <c r="AA909" i="1" a="1"/>
  <c r="AA909" i="1"/>
  <c r="AA910" i="1" a="1"/>
  <c r="AA910" i="1"/>
  <c r="AA911" i="1" a="1"/>
  <c r="AA911" i="1"/>
  <c r="AA912" i="1" a="1"/>
  <c r="AA912" i="1"/>
  <c r="AA913" i="1" a="1"/>
  <c r="AA913" i="1"/>
  <c r="AA914" i="1" a="1"/>
  <c r="AA914" i="1"/>
  <c r="AA915" i="1" a="1"/>
  <c r="AA915" i="1"/>
  <c r="AA916" i="1" a="1"/>
  <c r="AA916" i="1"/>
  <c r="AA917" i="1" a="1"/>
  <c r="AA917" i="1"/>
  <c r="AA918" i="1" a="1"/>
  <c r="AA918" i="1"/>
  <c r="AA919" i="1" a="1"/>
  <c r="AA919" i="1"/>
  <c r="AA920" i="1" a="1"/>
  <c r="AA920" i="1"/>
  <c r="AA921" i="1" a="1"/>
  <c r="AA921" i="1"/>
  <c r="AA922" i="1" a="1"/>
  <c r="AA922" i="1"/>
  <c r="AA923" i="1" a="1"/>
  <c r="AA923" i="1"/>
  <c r="AA924" i="1" a="1"/>
  <c r="AA924" i="1"/>
  <c r="AA925" i="1" a="1"/>
  <c r="AA925" i="1"/>
  <c r="AA926" i="1" a="1"/>
  <c r="AA926" i="1"/>
  <c r="AA927" i="1" a="1"/>
  <c r="AA927" i="1"/>
  <c r="AA928" i="1" a="1"/>
  <c r="AA928" i="1"/>
  <c r="AA929" i="1" a="1"/>
  <c r="AA929" i="1"/>
  <c r="AA930" i="1" a="1"/>
  <c r="AA930" i="1"/>
  <c r="AA931" i="1" a="1"/>
  <c r="AA931" i="1"/>
  <c r="AA932" i="1" a="1"/>
  <c r="AA932" i="1"/>
  <c r="AA933" i="1" a="1"/>
  <c r="AA933" i="1"/>
  <c r="AA934" i="1" a="1"/>
  <c r="AA934" i="1"/>
  <c r="AA935" i="1" a="1"/>
  <c r="AA935" i="1"/>
  <c r="AA936" i="1" a="1"/>
  <c r="AA936" i="1"/>
  <c r="AA937" i="1" a="1"/>
  <c r="AA937" i="1"/>
  <c r="AA938" i="1" a="1"/>
  <c r="AA938" i="1"/>
  <c r="AA939" i="1" a="1"/>
  <c r="AA939" i="1"/>
  <c r="AA940" i="1" a="1"/>
  <c r="AA940" i="1"/>
  <c r="AA941" i="1" a="1"/>
  <c r="AA941" i="1"/>
  <c r="AA942" i="1" a="1"/>
  <c r="AA942" i="1"/>
  <c r="AA943" i="1" a="1"/>
  <c r="AA943" i="1"/>
  <c r="AA944" i="1" a="1"/>
  <c r="AA944" i="1"/>
  <c r="AA945" i="1" a="1"/>
  <c r="AA945" i="1"/>
  <c r="AA946" i="1" a="1"/>
  <c r="AA946" i="1"/>
  <c r="AA947" i="1" a="1"/>
  <c r="AA947" i="1"/>
  <c r="AA948" i="1" a="1"/>
  <c r="AA948" i="1"/>
  <c r="AA949" i="1" a="1"/>
  <c r="AA949" i="1"/>
  <c r="AA950" i="1" a="1"/>
  <c r="AA950" i="1"/>
  <c r="AA951" i="1" a="1"/>
  <c r="AA951" i="1"/>
  <c r="AA952" i="1" a="1"/>
  <c r="AA952" i="1"/>
  <c r="AA953" i="1" a="1"/>
  <c r="AA953" i="1"/>
  <c r="AA954" i="1" a="1"/>
  <c r="AA954" i="1"/>
  <c r="AA955" i="1" a="1"/>
  <c r="AA955" i="1"/>
  <c r="AA956" i="1" a="1"/>
  <c r="AA956" i="1"/>
  <c r="AA957" i="1" a="1"/>
  <c r="AA957" i="1"/>
  <c r="AA958" i="1" a="1"/>
  <c r="AA958" i="1"/>
  <c r="AA959" i="1" a="1"/>
  <c r="AA959" i="1"/>
  <c r="AA960" i="1" a="1"/>
  <c r="AA960" i="1"/>
  <c r="AA961" i="1" a="1"/>
  <c r="AA961" i="1"/>
  <c r="AA962" i="1" a="1"/>
  <c r="AA962" i="1"/>
  <c r="AA963" i="1" a="1"/>
  <c r="AA963" i="1"/>
  <c r="AA964" i="1" a="1"/>
  <c r="AA964" i="1"/>
  <c r="AA965" i="1" a="1"/>
  <c r="AA965" i="1"/>
  <c r="AA966" i="1" a="1"/>
  <c r="AA966" i="1"/>
  <c r="AA967" i="1" a="1"/>
  <c r="AA967" i="1"/>
  <c r="AA968" i="1" a="1"/>
  <c r="AA968" i="1"/>
  <c r="AA969" i="1" a="1"/>
  <c r="AA969" i="1"/>
  <c r="AA970" i="1" a="1"/>
  <c r="AA970" i="1"/>
  <c r="AA971" i="1" a="1"/>
  <c r="AA971" i="1"/>
  <c r="AA972" i="1" a="1"/>
  <c r="AA972" i="1"/>
  <c r="AA973" i="1" a="1"/>
  <c r="AA973" i="1"/>
  <c r="AA974" i="1" a="1"/>
  <c r="AA974" i="1"/>
  <c r="AA975" i="1" a="1"/>
  <c r="AA975" i="1"/>
  <c r="AA976" i="1" a="1"/>
  <c r="AA976" i="1"/>
  <c r="AA977" i="1" a="1"/>
  <c r="AA977" i="1"/>
  <c r="AA978" i="1" a="1"/>
  <c r="AA978" i="1"/>
  <c r="AA979" i="1" a="1"/>
  <c r="AA979" i="1"/>
  <c r="AA980" i="1" a="1"/>
  <c r="AA980" i="1"/>
  <c r="AA981" i="1" a="1"/>
  <c r="AA981" i="1"/>
  <c r="AA982" i="1" a="1"/>
  <c r="AA982" i="1"/>
  <c r="AA983" i="1" a="1"/>
  <c r="AA983" i="1"/>
  <c r="AA984" i="1" a="1"/>
  <c r="AA984" i="1"/>
  <c r="AA985" i="1" a="1"/>
  <c r="AA985" i="1"/>
  <c r="AA986" i="1" a="1"/>
  <c r="AA986" i="1"/>
  <c r="AA987" i="1" a="1"/>
  <c r="AA987" i="1"/>
  <c r="AA988" i="1" a="1"/>
  <c r="AA988" i="1"/>
  <c r="AA989" i="1" a="1"/>
  <c r="AA989" i="1"/>
  <c r="AA990" i="1" a="1"/>
  <c r="AA990" i="1"/>
  <c r="AA991" i="1" a="1"/>
  <c r="AA991" i="1"/>
  <c r="AA992" i="1" a="1"/>
  <c r="AA992" i="1"/>
  <c r="AA993" i="1" a="1"/>
  <c r="AA993" i="1"/>
  <c r="AA994" i="1" a="1"/>
  <c r="AA994" i="1"/>
  <c r="AA995" i="1" a="1"/>
  <c r="AA995" i="1"/>
  <c r="AA996" i="1" a="1"/>
  <c r="AA996" i="1"/>
  <c r="AA997" i="1" a="1"/>
  <c r="AA997" i="1"/>
  <c r="AA998" i="1" a="1"/>
  <c r="AA998" i="1"/>
  <c r="AA999" i="1" a="1"/>
  <c r="AA999" i="1"/>
  <c r="AA1000" i="1" a="1"/>
  <c r="AA1000" i="1"/>
  <c r="AA1001" i="1" a="1"/>
  <c r="AA1001" i="1"/>
  <c r="AA1002" i="1" a="1"/>
  <c r="AA1002" i="1"/>
  <c r="AA1003" i="1" a="1"/>
  <c r="AA1003" i="1"/>
  <c r="AA1004" i="1" a="1"/>
  <c r="AA1004" i="1"/>
  <c r="AA1005" i="1" a="1"/>
  <c r="AA1005" i="1"/>
  <c r="AA1006" i="1" a="1"/>
  <c r="AA1006" i="1"/>
  <c r="AA1007" i="1" a="1"/>
  <c r="AA1007" i="1"/>
  <c r="AA1008" i="1" a="1"/>
  <c r="AA1008" i="1"/>
  <c r="AA1009" i="1" a="1"/>
  <c r="AA1009" i="1"/>
  <c r="AA1010" i="1" a="1"/>
  <c r="AA1010" i="1"/>
  <c r="AA1011" i="1" a="1"/>
  <c r="AA1011" i="1"/>
  <c r="AA1012" i="1" a="1"/>
  <c r="AA1012" i="1"/>
  <c r="AA1013" i="1" a="1"/>
  <c r="AA1013" i="1"/>
  <c r="AA1014" i="1" a="1"/>
  <c r="AA1014" i="1"/>
  <c r="AA1015" i="1" a="1"/>
  <c r="AA1015" i="1"/>
  <c r="AA1016" i="1" a="1"/>
  <c r="AA1016" i="1"/>
  <c r="AA1017" i="1" a="1"/>
  <c r="AA1017" i="1"/>
  <c r="AA1018" i="1" a="1"/>
  <c r="AA1018" i="1"/>
  <c r="AA1019" i="1" a="1"/>
  <c r="AA1019" i="1"/>
  <c r="AA1020" i="1" a="1"/>
  <c r="AA1020" i="1"/>
  <c r="AA1021" i="1" a="1"/>
  <c r="AA1021" i="1"/>
  <c r="AA1022" i="1" a="1"/>
  <c r="AA1022" i="1"/>
  <c r="AA1023" i="1" a="1"/>
  <c r="AA1023" i="1"/>
  <c r="AA1024" i="1" a="1"/>
  <c r="AA1024" i="1"/>
  <c r="AA1025" i="1" a="1"/>
  <c r="AA1025" i="1"/>
  <c r="AA1026" i="1" a="1"/>
  <c r="AA1026" i="1"/>
  <c r="AA1027" i="1" a="1"/>
  <c r="AA1027" i="1"/>
  <c r="AA1028" i="1" a="1"/>
  <c r="AA1028" i="1"/>
  <c r="AA1029" i="1" a="1"/>
  <c r="AA1029" i="1"/>
  <c r="AA1030" i="1" a="1"/>
  <c r="AA1030" i="1"/>
  <c r="AA1031" i="1" a="1"/>
  <c r="AA1031" i="1"/>
  <c r="AA1032" i="1" a="1"/>
  <c r="AA1032" i="1"/>
  <c r="AA1033" i="1" a="1"/>
  <c r="AA1033" i="1"/>
  <c r="AA1034" i="1" a="1"/>
  <c r="AA1034" i="1"/>
  <c r="AA1035" i="1" a="1"/>
  <c r="AA1035" i="1"/>
  <c r="AA1036" i="1" a="1"/>
  <c r="AA1036" i="1"/>
  <c r="AA1037" i="1" a="1"/>
  <c r="AA1037" i="1"/>
  <c r="AA1038" i="1" a="1"/>
  <c r="AA1038" i="1"/>
  <c r="AA1039" i="1" a="1"/>
  <c r="AA1039" i="1"/>
  <c r="AA1040" i="1" a="1"/>
  <c r="AA1040" i="1"/>
  <c r="AA1041" i="1" a="1"/>
  <c r="AA1041" i="1"/>
  <c r="AA1042" i="1" a="1"/>
  <c r="AA1042" i="1"/>
  <c r="AA1043" i="1" a="1"/>
  <c r="AA1043" i="1"/>
  <c r="AA1044" i="1" a="1"/>
  <c r="AA1044" i="1"/>
  <c r="AA1045" i="1" a="1"/>
  <c r="AA1045" i="1"/>
  <c r="AA1046" i="1" a="1"/>
  <c r="AA1046" i="1"/>
  <c r="AA1047" i="1" a="1"/>
  <c r="AA1047" i="1"/>
  <c r="AA1048" i="1" a="1"/>
  <c r="AA1048" i="1"/>
  <c r="AA1049" i="1" a="1"/>
  <c r="AA1049" i="1"/>
  <c r="AA1050" i="1" a="1"/>
  <c r="AA1050" i="1"/>
  <c r="AA1051" i="1" a="1"/>
  <c r="AA1051" i="1"/>
  <c r="AA1052" i="1" a="1"/>
  <c r="AA1052" i="1"/>
  <c r="AA1053" i="1" a="1"/>
  <c r="AA1053" i="1"/>
  <c r="AA1054" i="1" a="1"/>
  <c r="AA1054" i="1"/>
  <c r="AA1055" i="1" a="1"/>
  <c r="AA1055" i="1"/>
  <c r="AA1056" i="1" a="1"/>
  <c r="AA1056" i="1"/>
  <c r="AA1057" i="1" a="1"/>
  <c r="AA1057" i="1"/>
  <c r="AA1058" i="1" a="1"/>
  <c r="AA1058" i="1"/>
  <c r="AA1059" i="1" a="1"/>
  <c r="AA1059" i="1"/>
  <c r="AA1060" i="1" a="1"/>
  <c r="AA1060" i="1"/>
  <c r="AA1061" i="1" a="1"/>
  <c r="AA1061" i="1"/>
  <c r="AA1062" i="1" a="1"/>
  <c r="AA1062" i="1"/>
  <c r="AA1063" i="1" a="1"/>
  <c r="AA1063" i="1"/>
  <c r="AA1064" i="1" a="1"/>
  <c r="AA1064" i="1"/>
  <c r="AA1065" i="1" a="1"/>
  <c r="AA1065" i="1"/>
  <c r="AA1066" i="1" a="1"/>
  <c r="AA1066" i="1"/>
  <c r="AA1067" i="1" a="1"/>
  <c r="AA1067" i="1"/>
  <c r="AA1068" i="1" a="1"/>
  <c r="AA1068" i="1"/>
  <c r="AA1069" i="1" a="1"/>
  <c r="AA1069" i="1"/>
  <c r="AA1070" i="1" a="1"/>
  <c r="AA1070" i="1"/>
  <c r="AA1071" i="1" a="1"/>
  <c r="AA1071" i="1"/>
  <c r="AA1072" i="1" a="1"/>
  <c r="AA1072" i="1"/>
  <c r="AA1073" i="1" a="1"/>
  <c r="AA1073" i="1"/>
  <c r="AA1074" i="1" a="1"/>
  <c r="AA1074" i="1"/>
  <c r="AA1075" i="1" a="1"/>
  <c r="AA1075" i="1"/>
  <c r="AA1076" i="1" a="1"/>
  <c r="AA1076" i="1"/>
  <c r="AA1077" i="1" a="1"/>
  <c r="AA1077" i="1"/>
  <c r="AA1078" i="1" a="1"/>
  <c r="AA1078" i="1"/>
  <c r="AA1079" i="1" a="1"/>
  <c r="AA1079" i="1"/>
  <c r="AA1080" i="1" a="1"/>
  <c r="AA1080" i="1"/>
  <c r="AA1081" i="1" a="1"/>
  <c r="AA1081" i="1"/>
  <c r="AA1082" i="1" a="1"/>
  <c r="AA1082" i="1"/>
  <c r="AA1083" i="1" a="1"/>
  <c r="AA1083" i="1"/>
  <c r="AA1084" i="1" a="1"/>
  <c r="AA1084" i="1"/>
  <c r="AA1085" i="1" a="1"/>
  <c r="AA1085" i="1"/>
  <c r="AA1086" i="1" a="1"/>
  <c r="AA1086" i="1"/>
  <c r="AA1087" i="1" a="1"/>
  <c r="AA1087" i="1"/>
  <c r="AA1088" i="1" a="1"/>
  <c r="AA1088" i="1"/>
  <c r="AA1089" i="1" a="1"/>
  <c r="AA1089" i="1"/>
  <c r="AA1090" i="1" a="1"/>
  <c r="AA1090" i="1"/>
  <c r="AA1091" i="1" a="1"/>
  <c r="AA1091" i="1"/>
  <c r="AA1092" i="1" a="1"/>
  <c r="AA1092" i="1"/>
  <c r="AA1093" i="1" a="1"/>
  <c r="AA1093" i="1"/>
  <c r="AA1094" i="1" a="1"/>
  <c r="AA1094" i="1"/>
  <c r="AA1095" i="1" a="1"/>
  <c r="AA1095" i="1"/>
  <c r="AA1096" i="1" a="1"/>
  <c r="AA1096" i="1"/>
  <c r="AA1097" i="1" a="1"/>
  <c r="AA1097" i="1"/>
  <c r="AA1098" i="1" a="1"/>
  <c r="AA1098" i="1"/>
  <c r="AA1099" i="1" a="1"/>
  <c r="AA1099" i="1"/>
  <c r="AA1100" i="1" a="1"/>
  <c r="AA1100" i="1"/>
  <c r="AA1101" i="1" a="1"/>
  <c r="AA1101" i="1"/>
  <c r="AA1102" i="1" a="1"/>
  <c r="AA1102" i="1"/>
  <c r="AA1103" i="1" a="1"/>
  <c r="AA1103" i="1"/>
  <c r="AA1104" i="1" a="1"/>
  <c r="AA1104" i="1"/>
  <c r="AA1105" i="1" a="1"/>
  <c r="AA1105" i="1"/>
  <c r="AA1106" i="1" a="1"/>
  <c r="AA1106" i="1"/>
  <c r="AA1107" i="1" a="1"/>
  <c r="AA1107" i="1"/>
  <c r="AA1108" i="1" a="1"/>
  <c r="AA1108" i="1"/>
  <c r="AA1109" i="1" a="1"/>
  <c r="AA1109" i="1"/>
  <c r="AA1110" i="1" a="1"/>
  <c r="AA1110" i="1"/>
  <c r="AA1111" i="1" a="1"/>
  <c r="AA1111" i="1"/>
  <c r="AA1112" i="1" a="1"/>
  <c r="AA1112" i="1"/>
  <c r="AA1113" i="1" a="1"/>
  <c r="AA1113" i="1"/>
  <c r="AA1114" i="1" a="1"/>
  <c r="AA1114" i="1"/>
  <c r="AA1115" i="1" a="1"/>
  <c r="AA1115" i="1"/>
  <c r="AA1116" i="1" a="1"/>
  <c r="AA1116" i="1"/>
  <c r="AA1117" i="1" a="1"/>
  <c r="AA1117" i="1"/>
  <c r="AA1118" i="1" a="1"/>
  <c r="AA1118" i="1"/>
  <c r="AA1119" i="1" a="1"/>
  <c r="AA1119" i="1"/>
  <c r="AA1120" i="1" a="1"/>
  <c r="AA1120" i="1"/>
  <c r="AA1121" i="1" a="1"/>
  <c r="AA1121" i="1"/>
  <c r="AA1122" i="1" a="1"/>
  <c r="AA1122" i="1"/>
  <c r="AA1123" i="1" a="1"/>
  <c r="AA1123" i="1"/>
  <c r="AA1124" i="1" a="1"/>
  <c r="AA1124" i="1"/>
  <c r="AA1125" i="1" a="1"/>
  <c r="AA1125" i="1"/>
  <c r="AA1126" i="1" a="1"/>
  <c r="AA1126" i="1"/>
  <c r="AA1127" i="1" a="1"/>
  <c r="AA1127" i="1"/>
  <c r="AA1128" i="1" a="1"/>
  <c r="AA1128" i="1"/>
  <c r="AA1129" i="1" a="1"/>
  <c r="AA1129" i="1"/>
  <c r="AA1130" i="1" a="1"/>
  <c r="AA1130" i="1"/>
  <c r="AA1131" i="1" a="1"/>
  <c r="AA1131" i="1"/>
  <c r="AA1132" i="1" a="1"/>
  <c r="AA1132" i="1"/>
  <c r="AA1133" i="1" a="1"/>
  <c r="AA1133" i="1"/>
  <c r="AA1134" i="1" a="1"/>
  <c r="AA1134" i="1"/>
  <c r="AA1135" i="1" a="1"/>
  <c r="AA1135" i="1"/>
  <c r="AA1136" i="1" a="1"/>
  <c r="AA1136" i="1"/>
  <c r="AA1137" i="1" a="1"/>
  <c r="AA1137" i="1"/>
  <c r="AA1138" i="1" a="1"/>
  <c r="AA1138" i="1"/>
  <c r="AA1139" i="1" a="1"/>
  <c r="AA1139" i="1"/>
  <c r="AA1140" i="1" a="1"/>
  <c r="AA1140" i="1"/>
  <c r="AA1141" i="1" a="1"/>
  <c r="AA1141" i="1"/>
  <c r="AA1142" i="1" a="1"/>
  <c r="AA1142" i="1"/>
  <c r="AA1143" i="1" a="1"/>
  <c r="AA1143" i="1"/>
  <c r="AA1144" i="1" a="1"/>
  <c r="AA1144" i="1"/>
  <c r="AA1145" i="1" a="1"/>
  <c r="AA1145" i="1"/>
  <c r="AA1146" i="1" a="1"/>
  <c r="AA1146" i="1"/>
  <c r="AA1147" i="1" a="1"/>
  <c r="AA1147" i="1"/>
  <c r="AA1148" i="1" a="1"/>
  <c r="AA1148" i="1"/>
  <c r="AA1149" i="1" a="1"/>
  <c r="AA1149" i="1"/>
  <c r="AA1150" i="1" a="1"/>
  <c r="AA1150" i="1"/>
  <c r="AA1151" i="1" a="1"/>
  <c r="AA1151" i="1"/>
  <c r="AA1152" i="1" a="1"/>
  <c r="AA1152" i="1"/>
  <c r="AA1153" i="1" a="1"/>
  <c r="AA1153" i="1"/>
  <c r="AA1154" i="1" a="1"/>
  <c r="AA1154" i="1"/>
  <c r="AA1155" i="1" a="1"/>
  <c r="AA1155" i="1"/>
  <c r="AA1156" i="1" a="1"/>
  <c r="AA1156" i="1"/>
  <c r="AA1157" i="1" a="1"/>
  <c r="AA1157" i="1"/>
  <c r="AA1158" i="1" a="1"/>
  <c r="AA1158" i="1"/>
  <c r="AA1159" i="1" a="1"/>
  <c r="AA1159" i="1"/>
  <c r="AA1160" i="1" a="1"/>
  <c r="AA1160" i="1"/>
  <c r="AA1161" i="1" a="1"/>
  <c r="AA1161" i="1"/>
  <c r="AA1162" i="1" a="1"/>
  <c r="AA1162" i="1"/>
  <c r="AA1163" i="1" a="1"/>
  <c r="AA1163" i="1"/>
  <c r="AA1164" i="1" a="1"/>
  <c r="AA1164" i="1"/>
  <c r="AA1165" i="1" a="1"/>
  <c r="AA1165" i="1"/>
  <c r="AA1166" i="1" a="1"/>
  <c r="AA1166" i="1"/>
  <c r="AA1167" i="1" a="1"/>
  <c r="AA1167" i="1"/>
  <c r="AA1168" i="1" a="1"/>
  <c r="AA1168" i="1"/>
  <c r="AA1169" i="1" a="1"/>
  <c r="AA1169" i="1"/>
  <c r="AA1170" i="1" a="1"/>
  <c r="AA1170" i="1"/>
  <c r="AA1171" i="1" a="1"/>
  <c r="AA1171" i="1"/>
  <c r="AA1172" i="1" a="1"/>
  <c r="AA1172" i="1"/>
  <c r="AA1173" i="1" a="1"/>
  <c r="AA1173" i="1"/>
  <c r="AA1174" i="1" a="1"/>
  <c r="AA1174" i="1"/>
  <c r="AA1175" i="1" a="1"/>
  <c r="AA1175" i="1"/>
  <c r="AA1176" i="1" a="1"/>
  <c r="AA1176" i="1"/>
  <c r="AA1177" i="1" a="1"/>
  <c r="AA1177" i="1"/>
  <c r="AA1178" i="1" a="1"/>
  <c r="AA1178" i="1"/>
  <c r="AA1179" i="1" a="1"/>
  <c r="AA1179" i="1"/>
  <c r="AA1180" i="1" a="1"/>
  <c r="AA1180" i="1"/>
  <c r="AA1181" i="1" a="1"/>
  <c r="AA1181" i="1"/>
  <c r="AA1182" i="1" a="1"/>
  <c r="AA1182" i="1"/>
  <c r="AA1183" i="1" a="1"/>
  <c r="AA1183" i="1"/>
  <c r="AA1184" i="1" a="1"/>
  <c r="AA1184" i="1"/>
  <c r="AA1185" i="1" a="1"/>
  <c r="AA1185" i="1"/>
  <c r="AA1186" i="1" a="1"/>
  <c r="AA1186" i="1"/>
  <c r="AA1187" i="1" a="1"/>
  <c r="AA1187" i="1"/>
  <c r="AA1188" i="1" a="1"/>
  <c r="AA1188" i="1"/>
  <c r="AA1189" i="1" a="1"/>
  <c r="AA1189" i="1"/>
  <c r="AA1190" i="1" a="1"/>
  <c r="AA1190" i="1"/>
  <c r="AA1191" i="1" a="1"/>
  <c r="AA1191" i="1"/>
  <c r="AA1192" i="1" a="1"/>
  <c r="AA1192" i="1"/>
  <c r="AA1193" i="1" a="1"/>
  <c r="AA1193" i="1"/>
  <c r="AA1194" i="1" a="1"/>
  <c r="AA1194" i="1"/>
  <c r="AA1195" i="1" a="1"/>
  <c r="AA1195" i="1"/>
  <c r="AA1196" i="1" a="1"/>
  <c r="AA1196" i="1"/>
  <c r="AA1197" i="1" a="1"/>
  <c r="AA1197" i="1"/>
  <c r="AA1198" i="1" a="1"/>
  <c r="AA1198" i="1"/>
  <c r="AA1199" i="1" a="1"/>
  <c r="AA1199" i="1"/>
  <c r="AA1200" i="1" a="1"/>
  <c r="AA1200" i="1"/>
  <c r="AA1201" i="1" a="1"/>
  <c r="AA1201" i="1"/>
  <c r="AA1202" i="1" a="1"/>
  <c r="AA1202" i="1"/>
  <c r="AA1203" i="1" a="1"/>
  <c r="AA1203" i="1"/>
  <c r="AA1204" i="1" a="1"/>
  <c r="AA1204" i="1"/>
  <c r="AA1205" i="1" a="1"/>
  <c r="AA1205" i="1"/>
  <c r="AA1206" i="1" a="1"/>
  <c r="AA1206" i="1"/>
  <c r="AA1207" i="1" a="1"/>
  <c r="AA1207" i="1"/>
  <c r="AA1208" i="1" a="1"/>
  <c r="AA1208" i="1"/>
  <c r="AA1209" i="1" a="1"/>
  <c r="AA1209" i="1"/>
  <c r="AA1210" i="1" a="1"/>
  <c r="AA1210" i="1"/>
  <c r="AA1211" i="1" a="1"/>
  <c r="AA1211" i="1"/>
  <c r="AA1212" i="1" a="1"/>
  <c r="AA1212" i="1"/>
  <c r="AA1213" i="1" a="1"/>
  <c r="AA1213" i="1"/>
  <c r="AA1214" i="1" a="1"/>
  <c r="AA1214" i="1"/>
  <c r="AA1215" i="1" a="1"/>
  <c r="AA1215" i="1"/>
  <c r="AA1216" i="1" a="1"/>
  <c r="AA1216" i="1"/>
  <c r="AA1217" i="1" a="1"/>
  <c r="AA1217" i="1"/>
  <c r="AA1218" i="1" a="1"/>
  <c r="AA1218" i="1"/>
  <c r="AA1219" i="1" a="1"/>
  <c r="AA1219" i="1"/>
  <c r="AA1220" i="1" a="1"/>
  <c r="AA1220" i="1"/>
  <c r="AA1221" i="1" a="1"/>
  <c r="AA1221" i="1"/>
  <c r="AA1222" i="1" a="1"/>
  <c r="AA1222" i="1"/>
  <c r="AA1223" i="1" a="1"/>
  <c r="AA1223" i="1"/>
  <c r="AA1224" i="1" a="1"/>
  <c r="AA1224" i="1"/>
  <c r="AA1225" i="1" a="1"/>
  <c r="AA1225" i="1"/>
  <c r="AA1226" i="1" a="1"/>
  <c r="AA1226" i="1"/>
  <c r="AA1227" i="1" a="1"/>
  <c r="AA1227" i="1"/>
  <c r="AA1228" i="1" a="1"/>
  <c r="AA1228" i="1"/>
  <c r="AA1229" i="1" a="1"/>
  <c r="AA1229" i="1"/>
  <c r="AA1230" i="1" a="1"/>
  <c r="AA1230" i="1"/>
  <c r="AA1231" i="1" a="1"/>
  <c r="AA1231" i="1"/>
  <c r="AA1232" i="1" a="1"/>
  <c r="AA1232" i="1"/>
  <c r="AA1233" i="1" a="1"/>
  <c r="AA1233" i="1"/>
  <c r="AA1234" i="1" a="1"/>
  <c r="AA1234" i="1"/>
  <c r="AA1235" i="1" a="1"/>
  <c r="AA1235" i="1"/>
  <c r="AA1236" i="1" a="1"/>
  <c r="AA1236" i="1"/>
  <c r="AA1237" i="1" a="1"/>
  <c r="AA1237" i="1"/>
  <c r="AA1238" i="1" a="1"/>
  <c r="AA1238" i="1"/>
  <c r="AA1239" i="1" a="1"/>
  <c r="AA1239" i="1"/>
  <c r="AA1240" i="1" a="1"/>
  <c r="AA1240" i="1"/>
  <c r="AA1241" i="1" a="1"/>
  <c r="AA1241" i="1"/>
  <c r="AA1242" i="1" a="1"/>
  <c r="AA1242" i="1"/>
  <c r="AA1243" i="1" a="1"/>
  <c r="AA1243" i="1"/>
  <c r="AA1244" i="1" a="1"/>
  <c r="AA1244" i="1"/>
  <c r="AA1245" i="1" a="1"/>
  <c r="AA1245" i="1"/>
  <c r="AA1246" i="1" a="1"/>
  <c r="AA1246" i="1"/>
  <c r="AA1247" i="1" a="1"/>
  <c r="AA1247" i="1"/>
  <c r="AA1248" i="1" a="1"/>
  <c r="AA1248" i="1"/>
  <c r="AA1249" i="1" a="1"/>
  <c r="AA1249" i="1"/>
  <c r="AA1250" i="1" a="1"/>
  <c r="AA1250" i="1"/>
  <c r="AA1251" i="1" a="1"/>
  <c r="AA1251" i="1"/>
  <c r="AA1252" i="1" a="1"/>
  <c r="AA1252" i="1"/>
  <c r="AA1253" i="1" a="1"/>
  <c r="AA1253" i="1"/>
  <c r="AA1254" i="1" a="1"/>
  <c r="AA1254" i="1"/>
  <c r="AA1255" i="1" a="1"/>
  <c r="AA1255" i="1"/>
  <c r="AA1256" i="1" a="1"/>
  <c r="AA1256" i="1"/>
  <c r="AA1257" i="1" a="1"/>
  <c r="AA1257" i="1"/>
  <c r="AA1258" i="1" a="1"/>
  <c r="AA1258" i="1"/>
  <c r="AA1259" i="1" a="1"/>
  <c r="AA1259" i="1"/>
  <c r="AA1260" i="1" a="1"/>
  <c r="AA1260" i="1"/>
  <c r="AA1261" i="1" a="1"/>
  <c r="AA1261" i="1"/>
  <c r="AA1262" i="1" a="1"/>
  <c r="AA1262" i="1"/>
  <c r="AA1263" i="1" a="1"/>
  <c r="AA1263" i="1"/>
  <c r="AA1264" i="1" a="1"/>
  <c r="AA1264" i="1"/>
  <c r="AA1265" i="1" a="1"/>
  <c r="AA1265" i="1"/>
  <c r="AA1266" i="1" a="1"/>
  <c r="AA1266" i="1"/>
  <c r="AA1267" i="1" a="1"/>
  <c r="AA1267" i="1"/>
  <c r="AA1268" i="1" a="1"/>
  <c r="AA1268" i="1"/>
  <c r="AA1269" i="1" a="1"/>
  <c r="AA1269" i="1"/>
  <c r="AA1270" i="1" a="1"/>
  <c r="AA1270" i="1"/>
  <c r="AA1271" i="1" a="1"/>
  <c r="AA1271" i="1"/>
  <c r="AA1272" i="1" a="1"/>
  <c r="AA1272" i="1"/>
  <c r="AA1273" i="1" a="1"/>
  <c r="AA1273" i="1"/>
  <c r="AA1274" i="1" a="1"/>
  <c r="AA1274" i="1"/>
  <c r="AA1275" i="1" a="1"/>
  <c r="AA1275" i="1"/>
  <c r="AA1276" i="1" a="1"/>
  <c r="AA1276" i="1"/>
  <c r="AA1277" i="1" a="1"/>
  <c r="AA1277" i="1"/>
  <c r="AA1278" i="1" a="1"/>
  <c r="AA1278" i="1"/>
  <c r="AA1279" i="1" a="1"/>
  <c r="AA1279" i="1"/>
  <c r="AA1280" i="1" a="1"/>
  <c r="AA1280" i="1"/>
  <c r="AA1281" i="1" a="1"/>
  <c r="AA1281" i="1"/>
  <c r="AA1282" i="1" a="1"/>
  <c r="AA1282" i="1"/>
  <c r="AA1283" i="1" a="1"/>
  <c r="AA1283" i="1"/>
  <c r="AA1284" i="1" a="1"/>
  <c r="AA1284" i="1"/>
  <c r="AA1285" i="1" a="1"/>
  <c r="AA1285" i="1"/>
  <c r="AA1286" i="1" a="1"/>
  <c r="AA1286" i="1"/>
  <c r="AA1287" i="1" a="1"/>
  <c r="AA1287" i="1"/>
  <c r="AA1288" i="1" a="1"/>
  <c r="AA1288" i="1"/>
  <c r="AA1289" i="1" a="1"/>
  <c r="AA1289" i="1"/>
  <c r="AA1290" i="1" a="1"/>
  <c r="AA1290" i="1"/>
  <c r="AA1291" i="1" a="1"/>
  <c r="AA1291" i="1"/>
  <c r="AA1292" i="1" a="1"/>
  <c r="AA1292" i="1"/>
  <c r="AA1293" i="1" a="1"/>
  <c r="AA1293" i="1"/>
  <c r="AA1294" i="1" a="1"/>
  <c r="AA1294" i="1"/>
  <c r="AA1295" i="1" a="1"/>
  <c r="AA1295" i="1"/>
  <c r="AA1296" i="1" a="1"/>
  <c r="AA1296" i="1"/>
  <c r="AA1297" i="1" a="1"/>
  <c r="AA1297" i="1"/>
  <c r="AA1298" i="1" a="1"/>
  <c r="AA1298" i="1"/>
  <c r="AA1299" i="1" a="1"/>
  <c r="AA1299" i="1"/>
  <c r="AA1300" i="1" a="1"/>
  <c r="AA1300" i="1"/>
  <c r="AA1301" i="1" a="1"/>
  <c r="AA1301" i="1"/>
  <c r="AA1302" i="1" a="1"/>
  <c r="AA1302" i="1"/>
  <c r="AA1303" i="1" a="1"/>
  <c r="AA1303" i="1"/>
  <c r="AA1304" i="1" a="1"/>
  <c r="AA1304" i="1"/>
  <c r="AA1305" i="1" a="1"/>
  <c r="AA1305" i="1"/>
  <c r="AA1306" i="1" a="1"/>
  <c r="AA1306" i="1"/>
  <c r="AA1307" i="1" a="1"/>
  <c r="AA1307" i="1"/>
  <c r="AA1308" i="1" a="1"/>
  <c r="AA1308" i="1"/>
  <c r="AA1309" i="1" a="1"/>
  <c r="AA1309" i="1"/>
  <c r="AA1310" i="1" a="1"/>
  <c r="AA1310" i="1"/>
  <c r="AA1311" i="1" a="1"/>
  <c r="AA1311" i="1"/>
  <c r="AA1312" i="1" a="1"/>
  <c r="AA1312" i="1"/>
  <c r="AA1313" i="1" a="1"/>
  <c r="AA1313" i="1"/>
  <c r="AA1314" i="1" a="1"/>
  <c r="AA1314" i="1"/>
  <c r="AA1315" i="1" a="1"/>
  <c r="AA1315" i="1"/>
  <c r="AA1316" i="1" a="1"/>
  <c r="AA1316" i="1"/>
  <c r="AA1317" i="1" a="1"/>
  <c r="AA1317" i="1"/>
  <c r="AA1318" i="1" a="1"/>
  <c r="AA1318" i="1"/>
  <c r="AA1319" i="1" a="1"/>
  <c r="AA1319" i="1"/>
  <c r="AA1320" i="1" a="1"/>
  <c r="AA1320" i="1"/>
  <c r="AA1321" i="1" a="1"/>
  <c r="AA1321" i="1"/>
  <c r="AA1322" i="1" a="1"/>
  <c r="AA1322" i="1"/>
  <c r="AA1323" i="1" a="1"/>
  <c r="AA1323" i="1"/>
  <c r="AA1324" i="1" a="1"/>
  <c r="AA1324" i="1"/>
  <c r="AA1325" i="1" a="1"/>
  <c r="AA1325" i="1"/>
  <c r="AA1326" i="1" a="1"/>
  <c r="AA1326" i="1"/>
  <c r="AA1327" i="1" a="1"/>
  <c r="AA1327" i="1"/>
  <c r="AA1328" i="1" a="1"/>
  <c r="AA1328" i="1"/>
  <c r="AA1329" i="1" a="1"/>
  <c r="AA1329" i="1"/>
  <c r="AA1330" i="1" a="1"/>
  <c r="AA1330" i="1"/>
  <c r="AA1331" i="1" a="1"/>
  <c r="AA1331" i="1"/>
  <c r="AA1332" i="1" a="1"/>
  <c r="AA1332" i="1"/>
  <c r="AA1333" i="1" a="1"/>
  <c r="AA1333" i="1"/>
  <c r="AA1334" i="1" a="1"/>
  <c r="AA1334" i="1"/>
  <c r="AA1335" i="1" a="1"/>
  <c r="AA1335" i="1"/>
  <c r="AA1336" i="1" a="1"/>
  <c r="AA1336" i="1"/>
  <c r="AA1337" i="1" a="1"/>
  <c r="AA1337" i="1"/>
  <c r="AA1338" i="1" a="1"/>
  <c r="AA1338" i="1"/>
  <c r="AA1339" i="1" a="1"/>
  <c r="AA1339" i="1"/>
  <c r="AA1340" i="1" a="1"/>
  <c r="AA1340" i="1"/>
  <c r="AA1341" i="1" a="1"/>
  <c r="AA1341" i="1"/>
  <c r="AA1342" i="1" a="1"/>
  <c r="AA1342" i="1"/>
  <c r="AA1343" i="1" a="1"/>
  <c r="AA1343" i="1"/>
  <c r="AA1344" i="1" a="1"/>
  <c r="AA1344" i="1"/>
  <c r="AA1345" i="1" a="1"/>
  <c r="AA1345" i="1"/>
  <c r="AA1346" i="1" a="1"/>
  <c r="AA1346" i="1"/>
  <c r="AA1347" i="1" a="1"/>
  <c r="AA1347" i="1"/>
  <c r="AA1348" i="1" a="1"/>
  <c r="AA1348" i="1"/>
  <c r="AA1349" i="1" a="1"/>
  <c r="AA1349" i="1"/>
  <c r="AA1350" i="1" a="1"/>
  <c r="AA1350" i="1"/>
  <c r="AA1351" i="1" a="1"/>
  <c r="AA1351" i="1"/>
  <c r="AA1352" i="1" a="1"/>
  <c r="AA1352" i="1"/>
  <c r="AA1353" i="1" a="1"/>
  <c r="AA1353" i="1"/>
  <c r="AA1354" i="1" a="1"/>
  <c r="AA1354" i="1"/>
  <c r="AA1355" i="1" a="1"/>
  <c r="AA1355" i="1"/>
  <c r="AA1356" i="1" a="1"/>
  <c r="AA1356" i="1"/>
  <c r="AA1357" i="1" a="1"/>
  <c r="AA1357" i="1"/>
  <c r="AA1358" i="1" a="1"/>
  <c r="AA1358" i="1"/>
  <c r="AA1359" i="1" a="1"/>
  <c r="AA1359" i="1"/>
  <c r="AA1360" i="1" a="1"/>
  <c r="AA1360" i="1"/>
  <c r="AA1361" i="1" a="1"/>
  <c r="AA1361" i="1"/>
  <c r="AA1362" i="1" a="1"/>
  <c r="AA1362" i="1"/>
  <c r="AA1363" i="1" a="1"/>
  <c r="AA1363" i="1"/>
  <c r="AA1364" i="1" a="1"/>
  <c r="AA1364" i="1"/>
  <c r="AA1365" i="1" a="1"/>
  <c r="AA1365" i="1"/>
  <c r="AA1366" i="1" a="1"/>
  <c r="AA1366" i="1"/>
  <c r="AA1367" i="1" a="1"/>
  <c r="AA1367" i="1"/>
  <c r="AA1368" i="1" a="1"/>
  <c r="AA1368" i="1"/>
  <c r="AA1369" i="1" a="1"/>
  <c r="AA1369" i="1"/>
  <c r="AA1370" i="1" a="1"/>
  <c r="AA1370" i="1"/>
  <c r="AA1371" i="1" a="1"/>
  <c r="AA1371" i="1"/>
  <c r="AA1372" i="1" a="1"/>
  <c r="AA1372" i="1"/>
  <c r="AA1373" i="1" a="1"/>
  <c r="AA1373" i="1"/>
  <c r="AA1374" i="1" a="1"/>
  <c r="AA1374" i="1"/>
  <c r="AA1375" i="1" a="1"/>
  <c r="AA1375" i="1"/>
  <c r="AA1376" i="1" a="1"/>
  <c r="AA1376" i="1"/>
  <c r="AA1377" i="1" a="1"/>
  <c r="AA1377" i="1"/>
  <c r="AA1378" i="1" a="1"/>
  <c r="AA1378" i="1"/>
  <c r="AA1379" i="1" a="1"/>
  <c r="AA1379" i="1"/>
  <c r="AA1380" i="1" a="1"/>
  <c r="AA1380" i="1"/>
  <c r="AA1381" i="1" a="1"/>
  <c r="AA1381" i="1"/>
  <c r="AA1382" i="1" a="1"/>
  <c r="AA1382" i="1"/>
  <c r="AA1383" i="1" a="1"/>
  <c r="AA1383" i="1"/>
  <c r="AA1384" i="1" a="1"/>
  <c r="AA1384" i="1"/>
  <c r="AA1385" i="1" a="1"/>
  <c r="AA1385" i="1"/>
  <c r="AA1386" i="1" a="1"/>
  <c r="AA1386" i="1"/>
  <c r="AA1387" i="1" a="1"/>
  <c r="AA1387" i="1"/>
  <c r="AA1388" i="1" a="1"/>
  <c r="AA1388" i="1"/>
  <c r="AA1389" i="1" a="1"/>
  <c r="AA1389" i="1"/>
  <c r="AA1390" i="1" a="1"/>
  <c r="AA1390" i="1"/>
  <c r="AA1391" i="1" a="1"/>
  <c r="AA1391" i="1"/>
  <c r="AA1392" i="1" a="1"/>
  <c r="AA1392" i="1"/>
  <c r="AA1393" i="1" a="1"/>
  <c r="AA1393" i="1"/>
  <c r="AA1394" i="1" a="1"/>
  <c r="AA1394" i="1"/>
  <c r="AA1395" i="1" a="1"/>
  <c r="AA1395" i="1"/>
  <c r="AA1396" i="1" a="1"/>
  <c r="AA1396" i="1"/>
  <c r="AA1397" i="1" a="1"/>
  <c r="AA1397" i="1"/>
  <c r="AA1398" i="1" a="1"/>
  <c r="AA1398" i="1"/>
  <c r="AA1399" i="1" a="1"/>
  <c r="AA1399" i="1"/>
  <c r="AA1400" i="1" a="1"/>
  <c r="AA1400" i="1"/>
  <c r="AA1401" i="1" a="1"/>
  <c r="AA1401" i="1"/>
  <c r="AA1402" i="1" a="1"/>
  <c r="AA1402" i="1"/>
  <c r="AA1403" i="1" a="1"/>
  <c r="AA1403" i="1"/>
  <c r="AA1404" i="1" a="1"/>
  <c r="AA1404" i="1"/>
  <c r="AA1405" i="1" a="1"/>
  <c r="AA1405" i="1"/>
  <c r="AA1406" i="1" a="1"/>
  <c r="AA1406" i="1"/>
  <c r="AA1407" i="1" a="1"/>
  <c r="AA1407" i="1"/>
  <c r="AA1408" i="1" a="1"/>
  <c r="AA1408" i="1"/>
  <c r="AA1409" i="1" a="1"/>
  <c r="AA1409" i="1"/>
  <c r="AA1410" i="1" a="1"/>
  <c r="AA1410" i="1"/>
  <c r="AA1411" i="1" a="1"/>
  <c r="AA1411" i="1"/>
  <c r="AA1412" i="1" a="1"/>
  <c r="AA1412" i="1"/>
  <c r="AA1413" i="1" a="1"/>
  <c r="AA1413" i="1"/>
  <c r="AA1414" i="1" a="1"/>
  <c r="AA1414" i="1"/>
  <c r="AA1415" i="1" a="1"/>
  <c r="AA1415" i="1"/>
  <c r="AA1416" i="1" a="1"/>
  <c r="AA1416" i="1"/>
  <c r="AA1417" i="1" a="1"/>
  <c r="AA1417" i="1"/>
  <c r="AA1418" i="1" a="1"/>
  <c r="AA1418" i="1"/>
  <c r="AA1419" i="1" a="1"/>
  <c r="AA1419" i="1"/>
  <c r="AA1420" i="1" a="1"/>
  <c r="AA1420" i="1"/>
  <c r="AA1421" i="1" a="1"/>
  <c r="AA1421" i="1"/>
  <c r="AA1422" i="1" a="1"/>
  <c r="AA1422" i="1"/>
  <c r="AA1423" i="1" a="1"/>
  <c r="AA1423" i="1"/>
  <c r="AA1424" i="1" a="1"/>
  <c r="AA1424" i="1"/>
  <c r="AA1425" i="1" a="1"/>
  <c r="AA1425" i="1"/>
  <c r="AA1426" i="1" a="1"/>
  <c r="AA1426" i="1"/>
  <c r="AA1427" i="1" a="1"/>
  <c r="AA1427" i="1"/>
  <c r="AA1428" i="1" a="1"/>
  <c r="AA1428" i="1"/>
  <c r="AA1429" i="1" a="1"/>
  <c r="AA1429" i="1"/>
  <c r="AA1430" i="1" a="1"/>
  <c r="AA1430" i="1"/>
  <c r="AA1431" i="1" a="1"/>
  <c r="AA1431" i="1"/>
  <c r="AA1432" i="1" a="1"/>
  <c r="AA1432" i="1"/>
  <c r="AA1433" i="1" a="1"/>
  <c r="AA1433" i="1"/>
  <c r="AA1434" i="1" a="1"/>
  <c r="AA1434" i="1"/>
  <c r="AA1435" i="1" a="1"/>
  <c r="AA1435" i="1"/>
  <c r="AA1436" i="1" a="1"/>
  <c r="AA1436" i="1"/>
  <c r="AA1437" i="1" a="1"/>
  <c r="AA1437" i="1"/>
  <c r="AA1438" i="1" a="1"/>
  <c r="AA1438" i="1"/>
  <c r="AA1439" i="1" a="1"/>
  <c r="AA1439" i="1"/>
  <c r="AA1440" i="1" a="1"/>
  <c r="AA1440" i="1"/>
  <c r="AA1441" i="1" a="1"/>
  <c r="AA1441" i="1"/>
  <c r="AA1442" i="1" a="1"/>
  <c r="AA1442" i="1"/>
  <c r="AA1443" i="1" a="1"/>
  <c r="AA1443" i="1"/>
  <c r="AA1444" i="1" a="1"/>
  <c r="AA1444" i="1"/>
  <c r="AA1445" i="1" a="1"/>
  <c r="AA1445" i="1"/>
  <c r="AA1446" i="1" a="1"/>
  <c r="AA1446" i="1"/>
  <c r="AA1447" i="1" a="1"/>
  <c r="AA1447" i="1"/>
  <c r="AA1448" i="1" a="1"/>
  <c r="AA1448" i="1"/>
  <c r="AA1449" i="1" a="1"/>
  <c r="AA1449" i="1"/>
  <c r="AA1450" i="1" a="1"/>
  <c r="AA1450" i="1"/>
  <c r="AA1451" i="1" a="1"/>
  <c r="AA1451" i="1"/>
  <c r="AA1452" i="1" a="1"/>
  <c r="AA1452" i="1"/>
  <c r="AA1453" i="1" a="1"/>
  <c r="AA1453" i="1"/>
  <c r="AA1454" i="1" a="1"/>
  <c r="AA1454" i="1"/>
  <c r="AA1455" i="1" a="1"/>
  <c r="AA1455" i="1"/>
  <c r="AA1456" i="1" a="1"/>
  <c r="AA1456" i="1"/>
  <c r="AA1457" i="1" a="1"/>
  <c r="AA1457" i="1"/>
  <c r="AA1458" i="1" a="1"/>
  <c r="AA1458" i="1"/>
  <c r="AA1459" i="1" a="1"/>
  <c r="AA1459" i="1"/>
  <c r="AA1460" i="1" a="1"/>
  <c r="AA1460" i="1"/>
  <c r="AA1461" i="1" a="1"/>
  <c r="AA1461" i="1"/>
  <c r="AA1462" i="1" a="1"/>
  <c r="AA1462" i="1"/>
  <c r="AA1463" i="1" a="1"/>
  <c r="AA1463" i="1"/>
  <c r="AA1464" i="1" a="1"/>
  <c r="AA1464" i="1"/>
  <c r="AA1465" i="1" a="1"/>
  <c r="AA1465" i="1"/>
  <c r="AA1466" i="1" a="1"/>
  <c r="AA1466" i="1"/>
  <c r="AA1467" i="1" a="1"/>
  <c r="AA1467" i="1"/>
  <c r="AA1468" i="1" a="1"/>
  <c r="AA1468" i="1"/>
  <c r="AA1469" i="1" a="1"/>
  <c r="AA1469" i="1"/>
  <c r="AA1470" i="1" a="1"/>
  <c r="AA1470" i="1"/>
  <c r="AA1471" i="1" a="1"/>
  <c r="AA1471" i="1"/>
  <c r="AA1472" i="1" a="1"/>
  <c r="AA1472" i="1"/>
  <c r="AA1473" i="1" a="1"/>
  <c r="AA1473" i="1"/>
  <c r="AA1474" i="1" a="1"/>
  <c r="AA1474" i="1"/>
  <c r="AA1475" i="1" a="1"/>
  <c r="AA1475" i="1"/>
  <c r="AA1476" i="1" a="1"/>
  <c r="AA1476" i="1"/>
  <c r="AA1477" i="1" a="1"/>
  <c r="AA1477" i="1"/>
  <c r="AA1478" i="1" a="1"/>
  <c r="AA1478" i="1"/>
  <c r="AA1479" i="1" a="1"/>
  <c r="AA1479" i="1"/>
  <c r="AA1480" i="1" a="1"/>
  <c r="AA1480" i="1"/>
  <c r="AA1481" i="1" a="1"/>
  <c r="AA1481" i="1"/>
  <c r="AA1482" i="1" a="1"/>
  <c r="AA1482" i="1"/>
  <c r="AA1483" i="1" a="1"/>
  <c r="AA1483" i="1"/>
  <c r="AA1484" i="1" a="1"/>
  <c r="AA1484" i="1"/>
  <c r="AA1485" i="1" a="1"/>
  <c r="AA1485" i="1"/>
  <c r="AA1486" i="1" a="1"/>
  <c r="AA1486" i="1"/>
  <c r="AA1487" i="1" a="1"/>
  <c r="AA1487" i="1"/>
  <c r="AA1488" i="1" a="1"/>
  <c r="AA1488" i="1"/>
  <c r="AA1489" i="1" a="1"/>
  <c r="AA1489" i="1"/>
  <c r="AA1490" i="1" a="1"/>
  <c r="AA1490" i="1"/>
  <c r="AA1491" i="1" a="1"/>
  <c r="AA1491" i="1"/>
  <c r="AA1492" i="1" a="1"/>
  <c r="AA1492" i="1"/>
  <c r="AA1493" i="1" a="1"/>
  <c r="AA1493" i="1"/>
  <c r="AA1494" i="1" a="1"/>
  <c r="AA1494" i="1"/>
  <c r="AA1495" i="1" a="1"/>
  <c r="AA1495" i="1"/>
  <c r="AA1496" i="1" a="1"/>
  <c r="AA1496" i="1"/>
  <c r="AA1497" i="1" a="1"/>
  <c r="AA1497" i="1"/>
  <c r="AA1498" i="1" a="1"/>
  <c r="AA1498" i="1"/>
  <c r="AA1499" i="1" a="1"/>
  <c r="AA1499" i="1"/>
  <c r="AA1500" i="1" a="1"/>
  <c r="AA1500" i="1"/>
  <c r="AA1501" i="1" a="1"/>
  <c r="AA1501" i="1"/>
  <c r="AA1502" i="1" a="1"/>
  <c r="AA1502" i="1"/>
  <c r="AA1503" i="1" a="1"/>
  <c r="AA1503" i="1"/>
  <c r="AA1504" i="1" a="1"/>
  <c r="AA1504" i="1"/>
  <c r="AA1505" i="1" a="1"/>
  <c r="AA1505" i="1"/>
  <c r="AA1506" i="1" a="1"/>
  <c r="AA1506" i="1"/>
  <c r="AA1507" i="1" a="1"/>
  <c r="AA1507" i="1"/>
  <c r="AA1508" i="1" a="1"/>
  <c r="AA1508" i="1"/>
  <c r="AA1509" i="1" a="1"/>
  <c r="AA1509" i="1"/>
  <c r="AA1510" i="1" a="1"/>
  <c r="AA1510" i="1"/>
  <c r="AA1511" i="1" a="1"/>
  <c r="AA1511" i="1"/>
  <c r="AA1512" i="1" a="1"/>
  <c r="AA1512" i="1"/>
  <c r="AA1513" i="1" a="1"/>
  <c r="AA1513" i="1"/>
  <c r="AA1514" i="1" a="1"/>
  <c r="AA1514" i="1"/>
  <c r="AA1515" i="1" a="1"/>
  <c r="AA1515" i="1"/>
  <c r="AA1516" i="1" a="1"/>
  <c r="AA1516" i="1"/>
  <c r="AA1517" i="1" a="1"/>
  <c r="AA1517" i="1"/>
  <c r="AA1518" i="1" a="1"/>
  <c r="AA1518" i="1"/>
  <c r="AA1519" i="1" a="1"/>
  <c r="AA1519" i="1"/>
  <c r="AA1520" i="1" a="1"/>
  <c r="AA1520" i="1"/>
  <c r="AA1521" i="1" a="1"/>
  <c r="AA1521" i="1"/>
  <c r="AA1522" i="1" a="1"/>
  <c r="AA1522" i="1"/>
  <c r="AA1523" i="1" a="1"/>
  <c r="AA1523" i="1"/>
  <c r="AA1524" i="1" a="1"/>
  <c r="AA1524" i="1"/>
  <c r="AA1525" i="1" a="1"/>
  <c r="AA1525" i="1"/>
  <c r="AA1526" i="1" a="1"/>
  <c r="AA1526" i="1"/>
  <c r="AA1527" i="1" a="1"/>
  <c r="AA1527" i="1"/>
  <c r="AA1528" i="1" a="1"/>
  <c r="AA1528" i="1"/>
  <c r="AA1529" i="1" a="1"/>
  <c r="AA1529" i="1"/>
  <c r="AA1530" i="1" a="1"/>
  <c r="AA1530" i="1"/>
  <c r="AA1531" i="1" a="1"/>
  <c r="AA1531" i="1"/>
  <c r="AA1532" i="1" a="1"/>
  <c r="AA1532" i="1"/>
  <c r="AA1533" i="1" a="1"/>
  <c r="AA1533" i="1"/>
  <c r="AA1534" i="1" a="1"/>
  <c r="AA1534" i="1"/>
  <c r="AA1535" i="1" a="1"/>
  <c r="AA1535" i="1"/>
  <c r="AA1536" i="1" a="1"/>
  <c r="AA1536" i="1"/>
  <c r="AA1537" i="1" a="1"/>
  <c r="AA1537" i="1"/>
  <c r="AA1538" i="1" a="1"/>
  <c r="AA1538" i="1"/>
  <c r="AA1539" i="1" a="1"/>
  <c r="AA1539" i="1"/>
  <c r="AA1540" i="1" a="1"/>
  <c r="AA1540" i="1"/>
  <c r="AA1541" i="1" a="1"/>
  <c r="AA1541" i="1"/>
  <c r="AA1542" i="1" a="1"/>
  <c r="AA1542" i="1"/>
  <c r="AA1543" i="1" a="1"/>
  <c r="AA1543" i="1"/>
  <c r="AA1544" i="1" a="1"/>
  <c r="AA1544" i="1"/>
  <c r="AA1545" i="1" a="1"/>
  <c r="AA1545" i="1"/>
  <c r="AA1546" i="1" a="1"/>
  <c r="AA1546" i="1"/>
  <c r="AA1547" i="1" a="1"/>
  <c r="AA1547" i="1"/>
  <c r="AA1548" i="1" a="1"/>
  <c r="AA1548" i="1"/>
  <c r="AA1549" i="1" a="1"/>
  <c r="AA1549" i="1"/>
  <c r="AA1550" i="1" a="1"/>
  <c r="AA1550" i="1"/>
  <c r="AA1551" i="1" a="1"/>
  <c r="AA1551" i="1"/>
  <c r="AA1552" i="1" a="1"/>
  <c r="AA1552" i="1"/>
  <c r="AA1553" i="1" a="1"/>
  <c r="AA1553" i="1"/>
  <c r="AA1554" i="1" a="1"/>
  <c r="AA1554" i="1"/>
  <c r="AA1555" i="1" a="1"/>
  <c r="AA1555" i="1"/>
  <c r="AA1556" i="1" a="1"/>
  <c r="AA1556" i="1"/>
  <c r="AA1557" i="1" a="1"/>
  <c r="AA1557" i="1"/>
  <c r="AA1558" i="1" a="1"/>
  <c r="AA1558" i="1"/>
  <c r="AA1559" i="1" a="1"/>
  <c r="AA1559" i="1"/>
  <c r="AA1560" i="1" a="1"/>
  <c r="AA1560" i="1"/>
  <c r="AA1561" i="1" a="1"/>
  <c r="AA1561" i="1"/>
  <c r="AA1562" i="1" a="1"/>
  <c r="AA1562" i="1"/>
  <c r="AA1563" i="1" a="1"/>
  <c r="AA1563" i="1"/>
  <c r="AA1564" i="1" a="1"/>
  <c r="AA1564" i="1"/>
  <c r="AA1565" i="1" a="1"/>
  <c r="AA1565" i="1"/>
  <c r="AA1566" i="1" a="1"/>
  <c r="AA1566" i="1"/>
  <c r="AA1567" i="1" a="1"/>
  <c r="AA1567" i="1"/>
  <c r="AA1568" i="1" a="1"/>
  <c r="AA1568" i="1"/>
  <c r="AA1569" i="1" a="1"/>
  <c r="AA1569" i="1"/>
  <c r="AA1570" i="1" a="1"/>
  <c r="AA1570" i="1"/>
  <c r="AA1571" i="1" a="1"/>
  <c r="AA1571" i="1"/>
  <c r="AA1572" i="1" a="1"/>
  <c r="AA1572" i="1"/>
  <c r="AA1573" i="1" a="1"/>
  <c r="AA1573" i="1"/>
  <c r="AA1574" i="1" a="1"/>
  <c r="AA1574" i="1"/>
  <c r="AA1575" i="1" a="1"/>
  <c r="AA1575" i="1"/>
  <c r="AA1576" i="1" a="1"/>
  <c r="AA1576" i="1"/>
  <c r="AA1577" i="1" a="1"/>
  <c r="AA1577" i="1"/>
  <c r="AA1578" i="1" a="1"/>
  <c r="AA1578" i="1"/>
  <c r="AA1579" i="1" a="1"/>
  <c r="AA1579" i="1"/>
  <c r="AA1580" i="1" a="1"/>
  <c r="AA1580" i="1"/>
  <c r="AA1581" i="1" a="1"/>
  <c r="AA1581" i="1"/>
  <c r="AA1582" i="1" a="1"/>
  <c r="AA1582" i="1"/>
  <c r="AA1583" i="1" a="1"/>
  <c r="AA1583" i="1"/>
  <c r="AA1584" i="1" a="1"/>
  <c r="AA1584" i="1"/>
  <c r="AA1585" i="1" a="1"/>
  <c r="AA1585" i="1"/>
  <c r="AA1586" i="1" a="1"/>
  <c r="AA1586" i="1"/>
  <c r="AA1587" i="1" a="1"/>
  <c r="AA1587" i="1"/>
  <c r="AA1588" i="1" a="1"/>
  <c r="AA1588" i="1"/>
  <c r="AA1589" i="1" a="1"/>
  <c r="AA1589" i="1"/>
  <c r="AA1590" i="1" a="1"/>
  <c r="AA1590" i="1"/>
  <c r="AA1591" i="1" a="1"/>
  <c r="AA1591" i="1"/>
  <c r="AA1592" i="1" a="1"/>
  <c r="AA1592" i="1"/>
  <c r="AA1593" i="1" a="1"/>
  <c r="AA1593" i="1"/>
  <c r="AA1594" i="1" a="1"/>
  <c r="AA1594" i="1"/>
  <c r="AA1595" i="1" a="1"/>
  <c r="AA1595" i="1"/>
  <c r="AA1596" i="1" a="1"/>
  <c r="AA1596" i="1"/>
  <c r="AA1597" i="1" a="1"/>
  <c r="AA1597" i="1"/>
  <c r="AA1598" i="1" a="1"/>
  <c r="AA1598" i="1"/>
  <c r="AA1599" i="1" a="1"/>
  <c r="AA1599" i="1"/>
  <c r="AA1600" i="1" a="1"/>
  <c r="AA1600" i="1"/>
  <c r="AA1601" i="1" a="1"/>
  <c r="AA1601" i="1"/>
  <c r="AA1602" i="1" a="1"/>
  <c r="AA1602" i="1"/>
  <c r="AA1603" i="1" a="1"/>
  <c r="AA1603" i="1"/>
  <c r="AA1604" i="1" a="1"/>
  <c r="AA1604" i="1"/>
  <c r="AA1605" i="1" a="1"/>
  <c r="AA1605" i="1"/>
  <c r="AA1606" i="1" a="1"/>
  <c r="AA1606" i="1"/>
  <c r="AA1607" i="1" a="1"/>
  <c r="AA1607" i="1"/>
  <c r="AA1608" i="1" a="1"/>
  <c r="AA1608" i="1"/>
  <c r="AA1609" i="1" a="1"/>
  <c r="AA1609" i="1"/>
  <c r="AA1610" i="1" a="1"/>
  <c r="AA1610" i="1"/>
  <c r="AA1611" i="1" a="1"/>
  <c r="AA1611" i="1"/>
  <c r="AA1612" i="1" a="1"/>
  <c r="AA1612" i="1"/>
  <c r="AA1613" i="1" a="1"/>
  <c r="AA1613" i="1"/>
  <c r="AA1614" i="1" a="1"/>
  <c r="AA1614" i="1"/>
  <c r="AA1615" i="1" a="1"/>
  <c r="AA1615" i="1"/>
  <c r="AA1616" i="1" a="1"/>
  <c r="AA1616" i="1"/>
  <c r="AA1617" i="1" a="1"/>
  <c r="AA1617" i="1"/>
  <c r="AA1618" i="1" a="1"/>
  <c r="AA1618" i="1"/>
  <c r="AA1619" i="1" a="1"/>
  <c r="AA1619" i="1"/>
  <c r="AA1620" i="1" a="1"/>
  <c r="AA1620" i="1"/>
  <c r="AA1621" i="1" a="1"/>
  <c r="AA1621" i="1"/>
  <c r="AA1622" i="1" a="1"/>
  <c r="AA1622" i="1"/>
  <c r="AA1623" i="1" a="1"/>
  <c r="AA1623" i="1"/>
  <c r="AA1624" i="1" a="1"/>
  <c r="AA1624" i="1"/>
  <c r="AA1625" i="1" a="1"/>
  <c r="AA1625" i="1"/>
  <c r="AA1626" i="1" a="1"/>
  <c r="AA1626" i="1"/>
  <c r="AA1627" i="1" a="1"/>
  <c r="AA1627" i="1"/>
  <c r="AA1628" i="1" a="1"/>
  <c r="AA1628" i="1"/>
  <c r="AA1629" i="1" a="1"/>
  <c r="AA1629" i="1"/>
  <c r="AA1630" i="1" a="1"/>
  <c r="AA1630" i="1"/>
  <c r="AA1631" i="1" a="1"/>
  <c r="AA1631" i="1"/>
  <c r="AA1632" i="1" a="1"/>
  <c r="AA1632" i="1"/>
  <c r="AA1633" i="1" a="1"/>
  <c r="AA1633" i="1"/>
  <c r="AA1634" i="1" a="1"/>
  <c r="AA1634" i="1"/>
  <c r="AA1635" i="1" a="1"/>
  <c r="AA1635" i="1"/>
  <c r="AA1636" i="1" a="1"/>
  <c r="AA1636" i="1"/>
  <c r="AA1637" i="1" a="1"/>
  <c r="AA1637" i="1"/>
  <c r="AA1638" i="1" a="1"/>
  <c r="AA1638" i="1"/>
  <c r="AA1639" i="1" a="1"/>
  <c r="AA1639" i="1"/>
  <c r="AA1640" i="1" a="1"/>
  <c r="AA1640" i="1"/>
  <c r="AA1641" i="1" a="1"/>
  <c r="AA1641" i="1"/>
  <c r="AA1642" i="1" a="1"/>
  <c r="AA1642" i="1"/>
  <c r="AA1643" i="1" a="1"/>
  <c r="AA1643" i="1"/>
  <c r="AA1644" i="1" a="1"/>
  <c r="AA1644" i="1"/>
  <c r="AA1645" i="1" a="1"/>
  <c r="AA1645" i="1"/>
  <c r="AA1646" i="1" a="1"/>
  <c r="AA1646" i="1"/>
  <c r="AA1647" i="1" a="1"/>
  <c r="AA1647" i="1"/>
  <c r="AA1648" i="1" a="1"/>
  <c r="AA1648" i="1"/>
  <c r="AA1649" i="1" a="1"/>
  <c r="AA1649" i="1"/>
  <c r="AA1650" i="1" a="1"/>
  <c r="AA1650" i="1"/>
  <c r="AA1651" i="1" a="1"/>
  <c r="AA1651" i="1"/>
  <c r="AA1652" i="1" a="1"/>
  <c r="AA1652" i="1"/>
  <c r="AA1653" i="1" a="1"/>
  <c r="AA1653" i="1"/>
  <c r="AA1654" i="1" a="1"/>
  <c r="AA1654" i="1"/>
  <c r="AA1655" i="1" a="1"/>
  <c r="AA1655" i="1"/>
  <c r="AA1656" i="1" a="1"/>
  <c r="AA1656" i="1"/>
  <c r="AA1657" i="1" a="1"/>
  <c r="AA1657" i="1"/>
  <c r="AA1658" i="1" a="1"/>
  <c r="AA1658" i="1"/>
  <c r="AA1659" i="1" a="1"/>
  <c r="AA1659" i="1"/>
  <c r="AA1660" i="1" a="1"/>
  <c r="AA1660" i="1"/>
  <c r="AA1661" i="1" a="1"/>
  <c r="AA1661" i="1"/>
  <c r="AA1662" i="1" a="1"/>
  <c r="AA1662" i="1"/>
  <c r="AA1663" i="1" a="1"/>
  <c r="AA1663" i="1"/>
  <c r="AA1664" i="1" a="1"/>
  <c r="AA1664" i="1"/>
  <c r="AA1665" i="1" a="1"/>
  <c r="AA1665" i="1"/>
  <c r="AA1666" i="1" a="1"/>
  <c r="AA1666" i="1"/>
  <c r="AA1667" i="1" a="1"/>
  <c r="AA1667" i="1"/>
  <c r="AA1668" i="1" a="1"/>
  <c r="AA1668" i="1"/>
  <c r="AA1669" i="1" a="1"/>
  <c r="AA1669" i="1"/>
  <c r="AA1670" i="1" a="1"/>
  <c r="AA1670" i="1"/>
  <c r="AA1671" i="1" a="1"/>
  <c r="AA1671" i="1"/>
  <c r="AA1672" i="1" a="1"/>
  <c r="AA1672" i="1"/>
  <c r="AA1673" i="1" a="1"/>
  <c r="AA1673" i="1"/>
  <c r="AA1674" i="1" a="1"/>
  <c r="AA1674" i="1"/>
  <c r="AA1675" i="1" a="1"/>
  <c r="AA1675" i="1"/>
  <c r="AA1676" i="1" a="1"/>
  <c r="AA1676" i="1"/>
  <c r="AA1677" i="1" a="1"/>
  <c r="AA1677" i="1"/>
  <c r="AA1678" i="1" a="1"/>
  <c r="AA1678" i="1"/>
  <c r="AA1679" i="1" a="1"/>
  <c r="AA1679" i="1"/>
  <c r="AA1680" i="1" a="1"/>
  <c r="AA1680" i="1"/>
  <c r="AA1681" i="1" a="1"/>
  <c r="AA1681" i="1"/>
  <c r="AA1682" i="1" a="1"/>
  <c r="AA1682" i="1"/>
  <c r="AA1683" i="1" a="1"/>
  <c r="AA1683" i="1"/>
  <c r="AA1684" i="1" a="1"/>
  <c r="AA1684" i="1"/>
  <c r="AA1685" i="1" a="1"/>
  <c r="AA1685" i="1"/>
  <c r="AA1686" i="1" a="1"/>
  <c r="AA1686" i="1"/>
  <c r="AA1687" i="1" a="1"/>
  <c r="AA1687" i="1"/>
  <c r="AA1688" i="1" a="1"/>
  <c r="AA1688" i="1"/>
  <c r="AA1689" i="1" a="1"/>
  <c r="AA1689" i="1"/>
  <c r="AA1690" i="1" a="1"/>
  <c r="AA1690" i="1"/>
  <c r="AA1691" i="1" a="1"/>
  <c r="AA1691" i="1"/>
  <c r="AA1692" i="1" a="1"/>
  <c r="AA1692" i="1"/>
  <c r="AA1693" i="1" a="1"/>
  <c r="AA1693" i="1"/>
  <c r="AA1694" i="1" a="1"/>
  <c r="AA1694" i="1"/>
  <c r="AA1695" i="1" a="1"/>
  <c r="AA1695" i="1"/>
  <c r="AA1696" i="1" a="1"/>
  <c r="AA1696" i="1"/>
  <c r="AA1697" i="1" a="1"/>
  <c r="AA1697" i="1"/>
  <c r="AA1698" i="1" a="1"/>
  <c r="AA1698" i="1"/>
  <c r="AA1699" i="1" a="1"/>
  <c r="AA1699" i="1"/>
  <c r="AA1700" i="1" a="1"/>
  <c r="AA1700" i="1"/>
  <c r="AA1701" i="1" a="1"/>
  <c r="AA1701" i="1"/>
  <c r="AA1702" i="1" a="1"/>
  <c r="AA1702" i="1"/>
  <c r="AA1703" i="1" a="1"/>
  <c r="AA1703" i="1"/>
  <c r="AA1704" i="1" a="1"/>
  <c r="AA1704" i="1"/>
  <c r="AA1705" i="1" a="1"/>
  <c r="AA1705" i="1"/>
  <c r="AA1706" i="1" a="1"/>
  <c r="AA1706" i="1"/>
  <c r="AA1707" i="1" a="1"/>
  <c r="AA1707" i="1"/>
  <c r="AA1708" i="1" a="1"/>
  <c r="AA1708" i="1"/>
  <c r="AA1709" i="1" a="1"/>
  <c r="AA1709" i="1"/>
  <c r="AA1710" i="1" a="1"/>
  <c r="AA1710" i="1"/>
  <c r="AA1711" i="1" a="1"/>
  <c r="AA1711" i="1"/>
  <c r="AA1712" i="1" a="1"/>
  <c r="AA1712" i="1"/>
  <c r="AA1713" i="1" a="1"/>
  <c r="AA1713" i="1"/>
  <c r="AA1714" i="1" a="1"/>
  <c r="AA1714" i="1"/>
  <c r="AA1715" i="1" a="1"/>
  <c r="AA1715" i="1"/>
  <c r="AA1716" i="1" a="1"/>
  <c r="AA1716" i="1"/>
  <c r="AA1717" i="1" a="1"/>
  <c r="AA1717" i="1"/>
  <c r="AA1718" i="1" a="1"/>
  <c r="AA1718" i="1"/>
  <c r="AA1719" i="1" a="1"/>
  <c r="AA1719" i="1"/>
  <c r="AA1720" i="1" a="1"/>
  <c r="AA1720" i="1"/>
  <c r="AA1721" i="1" a="1"/>
  <c r="AA1721" i="1"/>
  <c r="AA1722" i="1" a="1"/>
  <c r="AA1722" i="1"/>
  <c r="AA1723" i="1" a="1"/>
  <c r="AA1723" i="1"/>
  <c r="AA1724" i="1" a="1"/>
  <c r="AA1724" i="1"/>
  <c r="AA1725" i="1" a="1"/>
  <c r="AA1725" i="1"/>
  <c r="AA1726" i="1" a="1"/>
  <c r="AA1726" i="1"/>
  <c r="AA1727" i="1" a="1"/>
  <c r="AA1727" i="1"/>
  <c r="AA1728" i="1" a="1"/>
  <c r="AA1728" i="1"/>
  <c r="AA1729" i="1" a="1"/>
  <c r="AA1729" i="1"/>
  <c r="AA1730" i="1" a="1"/>
  <c r="AA1730" i="1"/>
  <c r="AA1731" i="1" a="1"/>
  <c r="AA1731" i="1"/>
  <c r="AA1732" i="1" a="1"/>
  <c r="AA1732" i="1"/>
  <c r="AA1733" i="1" a="1"/>
  <c r="AA1733" i="1"/>
  <c r="AA1734" i="1" a="1"/>
  <c r="AA1734" i="1"/>
  <c r="AA1735" i="1" a="1"/>
  <c r="AA1735" i="1"/>
  <c r="AA1736" i="1" a="1"/>
  <c r="AA1736" i="1"/>
  <c r="AA1737" i="1" a="1"/>
  <c r="AA1737" i="1"/>
  <c r="AA1738" i="1" a="1"/>
  <c r="AA1738" i="1"/>
  <c r="AA1739" i="1" a="1"/>
  <c r="AA1739" i="1"/>
  <c r="AA1740" i="1" a="1"/>
  <c r="AA1740" i="1"/>
  <c r="AA1741" i="1" a="1"/>
  <c r="AA1741" i="1"/>
  <c r="AA1742" i="1" a="1"/>
  <c r="AA1742" i="1"/>
  <c r="AA1743" i="1" a="1"/>
  <c r="AA1743" i="1"/>
  <c r="AA1744" i="1" a="1"/>
  <c r="AA1744" i="1"/>
  <c r="AA1745" i="1" a="1"/>
  <c r="AA1745" i="1"/>
  <c r="AA1746" i="1" a="1"/>
  <c r="AA1746" i="1"/>
  <c r="AA1747" i="1" a="1"/>
  <c r="AA1747" i="1"/>
  <c r="AA1748" i="1" a="1"/>
  <c r="AA1748" i="1"/>
  <c r="AA1749" i="1" a="1"/>
  <c r="AA1749" i="1"/>
  <c r="AA1750" i="1" a="1"/>
  <c r="AA1750" i="1"/>
  <c r="AA1751" i="1" a="1"/>
  <c r="AA1751" i="1"/>
  <c r="AA1752" i="1" a="1"/>
  <c r="AA1752" i="1"/>
  <c r="AA1753" i="1" a="1"/>
  <c r="AA1753" i="1"/>
  <c r="AA1754" i="1" a="1"/>
  <c r="AA1754" i="1"/>
  <c r="AA1755" i="1" a="1"/>
  <c r="AA1755" i="1"/>
  <c r="AA1756" i="1" a="1"/>
  <c r="AA1756" i="1"/>
  <c r="AA1757" i="1" a="1"/>
  <c r="AA1757" i="1"/>
  <c r="AA1758" i="1" a="1"/>
  <c r="AA1758" i="1"/>
  <c r="AA1759" i="1" a="1"/>
  <c r="AA1759" i="1"/>
  <c r="AA1760" i="1" a="1"/>
  <c r="AA1760" i="1"/>
  <c r="AA1761" i="1" a="1"/>
  <c r="AA1761" i="1"/>
  <c r="AA1762" i="1" a="1"/>
  <c r="AA1762" i="1"/>
  <c r="AA1763" i="1" a="1"/>
  <c r="AA1763" i="1"/>
  <c r="AA1764" i="1" a="1"/>
  <c r="AA1764" i="1"/>
  <c r="AA1765" i="1" a="1"/>
  <c r="AA1765" i="1"/>
  <c r="AA1766" i="1" a="1"/>
  <c r="AA1766" i="1"/>
  <c r="AA1767" i="1" a="1"/>
  <c r="AA1767" i="1"/>
  <c r="AA1768" i="1" a="1"/>
  <c r="AA1768" i="1"/>
  <c r="AA1769" i="1" a="1"/>
  <c r="AA1769" i="1"/>
  <c r="AA1770" i="1" a="1"/>
  <c r="AA1770" i="1"/>
  <c r="AA1771" i="1" a="1"/>
  <c r="AA1771" i="1"/>
  <c r="AA1772" i="1" a="1"/>
  <c r="AA1772" i="1"/>
  <c r="AA1773" i="1" a="1"/>
  <c r="AA1773" i="1"/>
  <c r="AA1774" i="1" a="1"/>
  <c r="AA1774" i="1"/>
  <c r="AA1775" i="1" a="1"/>
  <c r="AA1775" i="1"/>
  <c r="AA1776" i="1" a="1"/>
  <c r="AA1776" i="1"/>
  <c r="AA1777" i="1" a="1"/>
  <c r="AA1777" i="1"/>
  <c r="AA1778" i="1" a="1"/>
  <c r="AA1778" i="1"/>
  <c r="AA1779" i="1" a="1"/>
  <c r="AA1779" i="1"/>
  <c r="AA1780" i="1" a="1"/>
  <c r="AA1780" i="1"/>
  <c r="AA1781" i="1" a="1"/>
  <c r="AA1781" i="1"/>
  <c r="AA1782" i="1" a="1"/>
  <c r="AA1782" i="1"/>
  <c r="AA1783" i="1" a="1"/>
  <c r="AA1783" i="1"/>
  <c r="AA1784" i="1" a="1"/>
  <c r="AA1784" i="1"/>
  <c r="AA1785" i="1" a="1"/>
  <c r="AA1785" i="1"/>
  <c r="AA1786" i="1" a="1"/>
  <c r="AA1786" i="1"/>
  <c r="AA1787" i="1" a="1"/>
  <c r="AA1787" i="1"/>
  <c r="AA1788" i="1" a="1"/>
  <c r="AA1788" i="1"/>
  <c r="AA1789" i="1" a="1"/>
  <c r="AA1789" i="1"/>
  <c r="AA1790" i="1" a="1"/>
  <c r="AA1790" i="1"/>
  <c r="AA1791" i="1" a="1"/>
  <c r="AA1791" i="1"/>
  <c r="AA1792" i="1" a="1"/>
  <c r="AA1792" i="1"/>
  <c r="AA1793" i="1" a="1"/>
  <c r="AA1793" i="1"/>
  <c r="AA1794" i="1" a="1"/>
  <c r="AA1794" i="1"/>
  <c r="AA1795" i="1" a="1"/>
  <c r="AA1795" i="1"/>
  <c r="AA1796" i="1" a="1"/>
  <c r="AA1796" i="1"/>
  <c r="AA1797" i="1" a="1"/>
  <c r="AA1797" i="1"/>
  <c r="AA1798" i="1" a="1"/>
  <c r="AA1798" i="1"/>
  <c r="AA1799" i="1" a="1"/>
  <c r="AA1799" i="1"/>
  <c r="AA1800" i="1" a="1"/>
  <c r="AA1800" i="1"/>
  <c r="AA1801" i="1" a="1"/>
  <c r="AA1801" i="1"/>
  <c r="AA1802" i="1" a="1"/>
  <c r="AA1802" i="1"/>
  <c r="AA1803" i="1" a="1"/>
  <c r="AA1803" i="1"/>
  <c r="AA1804" i="1" a="1"/>
  <c r="AA1804" i="1"/>
  <c r="AA1805" i="1" a="1"/>
  <c r="AA1805" i="1"/>
  <c r="AA1806" i="1" a="1"/>
  <c r="AA1806" i="1"/>
  <c r="AA1807" i="1" a="1"/>
  <c r="AA1807" i="1"/>
  <c r="AA1808" i="1" a="1"/>
  <c r="AA1808" i="1"/>
  <c r="AA1809" i="1" a="1"/>
  <c r="AA1809" i="1"/>
  <c r="AA1810" i="1" a="1"/>
  <c r="AA1810" i="1"/>
  <c r="AA1811" i="1" a="1"/>
  <c r="AA1811" i="1"/>
  <c r="AA1812" i="1" a="1"/>
  <c r="AA1812" i="1"/>
  <c r="AA1813" i="1" a="1"/>
  <c r="AA1813" i="1"/>
  <c r="AA1814" i="1" a="1"/>
  <c r="AA1814" i="1"/>
  <c r="AA1815" i="1" a="1"/>
  <c r="AA1815" i="1"/>
  <c r="AA1816" i="1" a="1"/>
  <c r="AA1816" i="1"/>
  <c r="AA1817" i="1" a="1"/>
  <c r="AA1817" i="1"/>
  <c r="AA1818" i="1" a="1"/>
  <c r="AA1818" i="1"/>
  <c r="AA1819" i="1" a="1"/>
  <c r="AA1819" i="1"/>
  <c r="AA1820" i="1" a="1"/>
  <c r="AA1820" i="1"/>
  <c r="AA1821" i="1" a="1"/>
  <c r="AA1821" i="1"/>
  <c r="AA1822" i="1" a="1"/>
  <c r="AA1822" i="1"/>
  <c r="AA1823" i="1" a="1"/>
  <c r="AA1823" i="1"/>
  <c r="AA1824" i="1" a="1"/>
  <c r="AA1824" i="1"/>
  <c r="AA1825" i="1" a="1"/>
  <c r="AA1825" i="1"/>
  <c r="AA1826" i="1" a="1"/>
  <c r="AA1826" i="1"/>
  <c r="AA1827" i="1" a="1"/>
  <c r="AA1827" i="1"/>
  <c r="AA1828" i="1" a="1"/>
  <c r="AA1828" i="1"/>
  <c r="AA1829" i="1" a="1"/>
  <c r="AA1829" i="1"/>
  <c r="AA1830" i="1" a="1"/>
  <c r="AA1830" i="1"/>
  <c r="AA1831" i="1" a="1"/>
  <c r="AA1831" i="1"/>
  <c r="AA1832" i="1" a="1"/>
  <c r="AA1832" i="1"/>
  <c r="AA1833" i="1" a="1"/>
  <c r="AA1833" i="1"/>
  <c r="AA1834" i="1" a="1"/>
  <c r="AA1834" i="1"/>
  <c r="AA1835" i="1" a="1"/>
  <c r="AA1835" i="1"/>
  <c r="AA1836" i="1" a="1"/>
  <c r="AA1836" i="1"/>
  <c r="AA1837" i="1" a="1"/>
  <c r="AA1837" i="1"/>
  <c r="AA1838" i="1" a="1"/>
  <c r="AA1838" i="1"/>
  <c r="AA1839" i="1" a="1"/>
  <c r="AA1839" i="1"/>
  <c r="AA1840" i="1" a="1"/>
  <c r="AA1840" i="1"/>
  <c r="AA1841" i="1" a="1"/>
  <c r="AA1841" i="1"/>
  <c r="AA1842" i="1" a="1"/>
  <c r="AA1842" i="1"/>
  <c r="AA1843" i="1" a="1"/>
  <c r="AA1843" i="1"/>
  <c r="AA1844" i="1" a="1"/>
  <c r="AA1844" i="1"/>
  <c r="AA1845" i="1" a="1"/>
  <c r="AA1845" i="1"/>
  <c r="AA1846" i="1" a="1"/>
  <c r="AA1846" i="1"/>
  <c r="AA1847" i="1" a="1"/>
  <c r="AA1847" i="1"/>
  <c r="AA1848" i="1" a="1"/>
  <c r="AA1848" i="1"/>
  <c r="AA1849" i="1" a="1"/>
  <c r="AA1849" i="1"/>
  <c r="AA1850" i="1" a="1"/>
  <c r="AA1850" i="1"/>
  <c r="AA1851" i="1" a="1"/>
  <c r="AA1851" i="1"/>
  <c r="AA1852" i="1" a="1"/>
  <c r="AA1852" i="1"/>
  <c r="AA1853" i="1" a="1"/>
  <c r="AA1853" i="1"/>
  <c r="AA1854" i="1" a="1"/>
  <c r="AA1854" i="1"/>
  <c r="AA1855" i="1" a="1"/>
  <c r="AA1855" i="1"/>
  <c r="AA1856" i="1" a="1"/>
  <c r="AA1856" i="1"/>
  <c r="AA1857" i="1" a="1"/>
  <c r="AA1857" i="1"/>
  <c r="AA1858" i="1" a="1"/>
  <c r="AA1858" i="1"/>
  <c r="AA1859" i="1" a="1"/>
  <c r="AA1859" i="1"/>
  <c r="AA1860" i="1" a="1"/>
  <c r="AA1860" i="1"/>
  <c r="AA1861" i="1" a="1"/>
  <c r="AA1861" i="1"/>
  <c r="AA1862" i="1" a="1"/>
  <c r="AA1862" i="1"/>
  <c r="AA1863" i="1" a="1"/>
  <c r="AA1863" i="1"/>
  <c r="AA1864" i="1" a="1"/>
  <c r="AA1864" i="1"/>
  <c r="AA1865" i="1" a="1"/>
  <c r="AA1865" i="1"/>
  <c r="AA1866" i="1" a="1"/>
  <c r="AA1866" i="1"/>
  <c r="AA1867" i="1" a="1"/>
  <c r="AA1867" i="1"/>
  <c r="AA1868" i="1" a="1"/>
  <c r="AA1868" i="1"/>
  <c r="AA1869" i="1" a="1"/>
  <c r="AA1869" i="1"/>
  <c r="AA1870" i="1" a="1"/>
  <c r="AA1870" i="1"/>
  <c r="AA1871" i="1" a="1"/>
  <c r="AA1871" i="1"/>
  <c r="AA1872" i="1" a="1"/>
  <c r="AA1872" i="1"/>
  <c r="AA1873" i="1" a="1"/>
  <c r="AA1873" i="1"/>
  <c r="AA1874" i="1" a="1"/>
  <c r="AA1874" i="1"/>
  <c r="AA1875" i="1" a="1"/>
  <c r="AA1875" i="1"/>
  <c r="AA1876" i="1" a="1"/>
  <c r="AA1876" i="1"/>
  <c r="AA1877" i="1" a="1"/>
  <c r="AA1877" i="1"/>
  <c r="AA1878" i="1" a="1"/>
  <c r="AA1878" i="1"/>
  <c r="AA1879" i="1" a="1"/>
  <c r="AA1879" i="1"/>
  <c r="AA1880" i="1" a="1"/>
  <c r="AA1880" i="1"/>
  <c r="AA1881" i="1" a="1"/>
  <c r="AA1881" i="1"/>
  <c r="AA1882" i="1" a="1"/>
  <c r="AA1882" i="1"/>
  <c r="AA1883" i="1" a="1"/>
  <c r="AA1883" i="1"/>
  <c r="AA1884" i="1" a="1"/>
  <c r="AA1884" i="1"/>
  <c r="AA1885" i="1" a="1"/>
  <c r="AA1885" i="1"/>
  <c r="AA1886" i="1" a="1"/>
  <c r="AA1886" i="1"/>
  <c r="AA1887" i="1" a="1"/>
  <c r="AA1887" i="1"/>
  <c r="AA1888" i="1" a="1"/>
  <c r="AA1888" i="1"/>
  <c r="AA1889" i="1" a="1"/>
  <c r="AA1889" i="1"/>
  <c r="AA1890" i="1" a="1"/>
  <c r="AA1890" i="1"/>
  <c r="AA1891" i="1" a="1"/>
  <c r="AA1891" i="1"/>
  <c r="AA1892" i="1" a="1"/>
  <c r="AA1892" i="1"/>
  <c r="AA1893" i="1" a="1"/>
  <c r="AA1893" i="1"/>
  <c r="AA1894" i="1" a="1"/>
  <c r="AA1894" i="1"/>
  <c r="AA1895" i="1" a="1"/>
  <c r="AA1895" i="1"/>
  <c r="AA1896" i="1" a="1"/>
  <c r="AA1896" i="1"/>
  <c r="AA1897" i="1" a="1"/>
  <c r="AA1897" i="1"/>
  <c r="AA1898" i="1" a="1"/>
  <c r="AA1898" i="1"/>
  <c r="AA1899" i="1" a="1"/>
  <c r="AA1899" i="1"/>
  <c r="AA1900" i="1" a="1"/>
  <c r="AA1900" i="1"/>
  <c r="AA1901" i="1" a="1"/>
  <c r="AA1901" i="1"/>
  <c r="AA1902" i="1" a="1"/>
  <c r="AA1902" i="1"/>
  <c r="AA1903" i="1" a="1"/>
  <c r="AA1903" i="1"/>
  <c r="AA1904" i="1" a="1"/>
  <c r="AA1904" i="1"/>
  <c r="AA1905" i="1" a="1"/>
  <c r="AA1905" i="1"/>
  <c r="AA1906" i="1" a="1"/>
  <c r="AA1906" i="1"/>
  <c r="AA1907" i="1" a="1"/>
  <c r="AA1907" i="1"/>
  <c r="AA1908" i="1" a="1"/>
  <c r="AA1908" i="1"/>
  <c r="AA1909" i="1" a="1"/>
  <c r="AA1909" i="1"/>
  <c r="AA1910" i="1" a="1"/>
  <c r="AA1910" i="1"/>
  <c r="AA1911" i="1" a="1"/>
  <c r="AA1911" i="1"/>
  <c r="AA1912" i="1" a="1"/>
  <c r="AA1912" i="1"/>
  <c r="AA1913" i="1" a="1"/>
  <c r="AA1913" i="1"/>
  <c r="AA1914" i="1" a="1"/>
  <c r="AA1914" i="1"/>
  <c r="AA1915" i="1" a="1"/>
  <c r="AA1915" i="1"/>
  <c r="AA1916" i="1" a="1"/>
  <c r="AA1916" i="1"/>
  <c r="AA1917" i="1" a="1"/>
  <c r="AA1917" i="1"/>
  <c r="AA1918" i="1" a="1"/>
  <c r="AA1918" i="1"/>
  <c r="AA1919" i="1" a="1"/>
  <c r="AA1919" i="1"/>
  <c r="AA1920" i="1" a="1"/>
  <c r="AA1920" i="1"/>
  <c r="AA1921" i="1" a="1"/>
  <c r="AA1921" i="1"/>
  <c r="AA1922" i="1" a="1"/>
  <c r="AA1922" i="1"/>
  <c r="AA1923" i="1" a="1"/>
  <c r="AA1923" i="1"/>
  <c r="AA1924" i="1" a="1"/>
  <c r="AA1924" i="1"/>
  <c r="AA1925" i="1" a="1"/>
  <c r="AA1925" i="1"/>
  <c r="AA1926" i="1" a="1"/>
  <c r="AA1926" i="1"/>
  <c r="AA1927" i="1" a="1"/>
  <c r="AA1927" i="1"/>
  <c r="AA1928" i="1" a="1"/>
  <c r="AA1928" i="1"/>
  <c r="AA1929" i="1" a="1"/>
  <c r="AA1929" i="1"/>
  <c r="AA1930" i="1" a="1"/>
  <c r="AA1930" i="1"/>
  <c r="AA1931" i="1" a="1"/>
  <c r="AA1931" i="1"/>
  <c r="AA1932" i="1" a="1"/>
  <c r="AA1932" i="1"/>
  <c r="AA1933" i="1" a="1"/>
  <c r="AA1933" i="1"/>
  <c r="AA1934" i="1" a="1"/>
  <c r="AA1934" i="1"/>
  <c r="AA1935" i="1" a="1"/>
  <c r="AA1935" i="1"/>
  <c r="AA1936" i="1" a="1"/>
  <c r="AA1936" i="1"/>
  <c r="AA1937" i="1" a="1"/>
  <c r="AA1937" i="1"/>
  <c r="AA1938" i="1" a="1"/>
  <c r="AA1938" i="1"/>
  <c r="AA1939" i="1" a="1"/>
  <c r="AA1939" i="1"/>
  <c r="AA1940" i="1" a="1"/>
  <c r="AA1940" i="1"/>
  <c r="AA1941" i="1" a="1"/>
  <c r="AA1941" i="1"/>
  <c r="AA1942" i="1" a="1"/>
  <c r="AA1942" i="1"/>
  <c r="AA1943" i="1" a="1"/>
  <c r="AA1943" i="1"/>
  <c r="AA1944" i="1" a="1"/>
  <c r="AA1944" i="1"/>
  <c r="AA1945" i="1" a="1"/>
  <c r="AA1945" i="1"/>
  <c r="AA1946" i="1" a="1"/>
  <c r="AA1946" i="1"/>
  <c r="AA1947" i="1" a="1"/>
  <c r="AA1947" i="1"/>
  <c r="AA1948" i="1" a="1"/>
  <c r="AA1948" i="1"/>
  <c r="AA1949" i="1" a="1"/>
  <c r="AA1949" i="1"/>
  <c r="AA1950" i="1" a="1"/>
  <c r="AA1950" i="1"/>
  <c r="AA1951" i="1" a="1"/>
  <c r="AA1951" i="1"/>
  <c r="AA1952" i="1" a="1"/>
  <c r="AA1952" i="1"/>
  <c r="AA1953" i="1" a="1"/>
  <c r="AA1953" i="1"/>
  <c r="AA1954" i="1" a="1"/>
  <c r="AA1954" i="1"/>
  <c r="AA1955" i="1" a="1"/>
  <c r="AA1955" i="1"/>
  <c r="AA1956" i="1" a="1"/>
  <c r="AA1956" i="1"/>
  <c r="AA1957" i="1" a="1"/>
  <c r="AA1957" i="1"/>
  <c r="AA1958" i="1" a="1"/>
  <c r="AA1958" i="1"/>
  <c r="AA1959" i="1" a="1"/>
  <c r="AA1959" i="1"/>
  <c r="AA1960" i="1" a="1"/>
  <c r="AA1960" i="1"/>
  <c r="AA1961" i="1" a="1"/>
  <c r="AA1961" i="1"/>
  <c r="AA1962" i="1" a="1"/>
  <c r="AA1962" i="1"/>
  <c r="AA1963" i="1" a="1"/>
  <c r="AA1963" i="1"/>
  <c r="AA1964" i="1" a="1"/>
  <c r="AA1964" i="1"/>
  <c r="AA1965" i="1" a="1"/>
  <c r="AA1965" i="1"/>
  <c r="AA1966" i="1" a="1"/>
  <c r="AA1966" i="1"/>
  <c r="AA1967" i="1" a="1"/>
  <c r="AA1967" i="1"/>
  <c r="AA1968" i="1" a="1"/>
  <c r="AA1968" i="1"/>
  <c r="AA1969" i="1" a="1"/>
  <c r="AA1969" i="1"/>
  <c r="AA1970" i="1" a="1"/>
  <c r="AA1970" i="1"/>
  <c r="AA1971" i="1" a="1"/>
  <c r="AA1971" i="1"/>
  <c r="AA1972" i="1" a="1"/>
  <c r="AA1972" i="1"/>
  <c r="AA1973" i="1" a="1"/>
  <c r="AA1973" i="1"/>
  <c r="AA1974" i="1" a="1"/>
  <c r="AA1974" i="1"/>
  <c r="AA1975" i="1" a="1"/>
  <c r="AA1975" i="1"/>
  <c r="AA1976" i="1" a="1"/>
  <c r="AA1976" i="1"/>
  <c r="AA1977" i="1" a="1"/>
  <c r="AA1977" i="1"/>
  <c r="AA1978" i="1" a="1"/>
  <c r="AA1978" i="1"/>
  <c r="AA1979" i="1" a="1"/>
  <c r="AA1979" i="1"/>
  <c r="AA1980" i="1" a="1"/>
  <c r="AA1980" i="1"/>
  <c r="AA1981" i="1" a="1"/>
  <c r="AA1981" i="1"/>
  <c r="AA1982" i="1" a="1"/>
  <c r="AA1982" i="1"/>
  <c r="AA1983" i="1" a="1"/>
  <c r="AA1983" i="1"/>
  <c r="AA1984" i="1" a="1"/>
  <c r="AA1984" i="1"/>
  <c r="AA1985" i="1" a="1"/>
  <c r="AA1985" i="1"/>
  <c r="AA1986" i="1" a="1"/>
  <c r="AA1986" i="1"/>
  <c r="AA1987" i="1" a="1"/>
  <c r="AA1987" i="1"/>
  <c r="AA1988" i="1" a="1"/>
  <c r="AA1988" i="1"/>
  <c r="AA1989" i="1" a="1"/>
  <c r="AA1989" i="1"/>
  <c r="AA1990" i="1" a="1"/>
  <c r="AA1990" i="1"/>
  <c r="AA1991" i="1" a="1"/>
  <c r="AA1991" i="1"/>
  <c r="AA1992" i="1" a="1"/>
  <c r="AA1992" i="1"/>
  <c r="AA1993" i="1" a="1"/>
  <c r="AA1993" i="1"/>
  <c r="AA1994" i="1" a="1"/>
  <c r="AA1994" i="1"/>
  <c r="AA1995" i="1" a="1"/>
  <c r="AA1995" i="1"/>
  <c r="AA1996" i="1" a="1"/>
  <c r="AA1996" i="1"/>
  <c r="AA1997" i="1" a="1"/>
  <c r="AA1997" i="1"/>
  <c r="AA1998" i="1" a="1"/>
  <c r="AA1998" i="1"/>
  <c r="AA1999" i="1" a="1"/>
  <c r="AA1999" i="1"/>
  <c r="AA2000" i="1" a="1"/>
  <c r="AA2000" i="1"/>
  <c r="AA2001" i="1" a="1"/>
  <c r="AA2001" i="1"/>
  <c r="AA2002" i="1" a="1"/>
  <c r="AA2002" i="1"/>
  <c r="AA2003" i="1" a="1"/>
  <c r="AA2003" i="1"/>
  <c r="AA2004" i="1" a="1"/>
  <c r="AA2004" i="1"/>
  <c r="AA2005" i="1" a="1"/>
  <c r="AA2005" i="1"/>
  <c r="AA2006" i="1" a="1"/>
  <c r="AA2006" i="1"/>
  <c r="AA2007" i="1" a="1"/>
  <c r="AA2007" i="1"/>
  <c r="AA2008" i="1" a="1"/>
  <c r="AA2008" i="1"/>
  <c r="AA2009" i="1" a="1"/>
  <c r="AA2009" i="1"/>
  <c r="AA2010" i="1" a="1"/>
  <c r="AA2010" i="1"/>
  <c r="AA2011" i="1" a="1"/>
  <c r="AA2011" i="1"/>
  <c r="AA2012" i="1" a="1"/>
  <c r="AA2012" i="1"/>
  <c r="AA2013" i="1" a="1"/>
  <c r="AA2013" i="1"/>
  <c r="AA2014" i="1" a="1"/>
  <c r="AA2014" i="1"/>
  <c r="AA2015" i="1" a="1"/>
  <c r="AA2015" i="1"/>
  <c r="AA2016" i="1" a="1"/>
  <c r="AA2016" i="1"/>
  <c r="AA2017" i="1" a="1"/>
  <c r="AA2017" i="1"/>
  <c r="AA2018" i="1" a="1"/>
  <c r="AA2018" i="1"/>
  <c r="AA2019" i="1" a="1"/>
  <c r="AA2019" i="1"/>
  <c r="AA2020" i="1" a="1"/>
  <c r="AA2020" i="1"/>
  <c r="AA2021" i="1" a="1"/>
  <c r="AA2021" i="1"/>
  <c r="AA2022" i="1" a="1"/>
  <c r="AA2022" i="1"/>
  <c r="AA2023" i="1" a="1"/>
  <c r="AA2023" i="1"/>
  <c r="AA2024" i="1" a="1"/>
  <c r="AA2024" i="1"/>
  <c r="AA2025" i="1" a="1"/>
  <c r="AA2025" i="1"/>
  <c r="AA2026" i="1" a="1"/>
  <c r="AA2026" i="1"/>
  <c r="AA2027" i="1" a="1"/>
  <c r="AA2027" i="1"/>
  <c r="AA2028" i="1" a="1"/>
  <c r="AA2028" i="1"/>
  <c r="AA2029" i="1" a="1"/>
  <c r="AA2029" i="1"/>
  <c r="AA2030" i="1" a="1"/>
  <c r="AA2030" i="1"/>
  <c r="AA2031" i="1" a="1"/>
  <c r="AA2031" i="1"/>
  <c r="AA2032" i="1" a="1"/>
  <c r="AA2032" i="1"/>
  <c r="AA2033" i="1" a="1"/>
  <c r="AA2033" i="1"/>
  <c r="AA2034" i="1" a="1"/>
  <c r="AA2034" i="1"/>
  <c r="AA2035" i="1" a="1"/>
  <c r="AA2035" i="1"/>
  <c r="AA2036" i="1" a="1"/>
  <c r="AA2036" i="1"/>
  <c r="AA2037" i="1" a="1"/>
  <c r="AA2037" i="1"/>
  <c r="AA2038" i="1" a="1"/>
  <c r="AA2038" i="1"/>
  <c r="AA2039" i="1" a="1"/>
  <c r="AA2039" i="1"/>
  <c r="AA2040" i="1" a="1"/>
  <c r="AA2040" i="1"/>
  <c r="AA2041" i="1" a="1"/>
  <c r="AA2041" i="1"/>
  <c r="AA2042" i="1" a="1"/>
  <c r="AA2042" i="1"/>
  <c r="AA2043" i="1" a="1"/>
  <c r="AA2043" i="1"/>
  <c r="AA2044" i="1" a="1"/>
  <c r="AA2044" i="1"/>
  <c r="AA2045" i="1" a="1"/>
  <c r="AA2045" i="1"/>
  <c r="AA2046" i="1" a="1"/>
  <c r="AA2046" i="1"/>
  <c r="AA2047" i="1" a="1"/>
  <c r="AA2047" i="1"/>
  <c r="AA2048" i="1" a="1"/>
  <c r="AA2048" i="1"/>
  <c r="AA2049" i="1" a="1"/>
  <c r="AA2049" i="1"/>
  <c r="AA2050" i="1" a="1"/>
  <c r="AA2050" i="1"/>
  <c r="AA2051" i="1" a="1"/>
  <c r="AA2051" i="1"/>
  <c r="AA2052" i="1" a="1"/>
  <c r="AA2052" i="1"/>
  <c r="AA2053" i="1" a="1"/>
  <c r="AA2053" i="1"/>
  <c r="AA2054" i="1" a="1"/>
  <c r="AA2054" i="1"/>
  <c r="AA2055" i="1" a="1"/>
  <c r="AA2055" i="1"/>
  <c r="AA2056" i="1" a="1"/>
  <c r="AA2056" i="1"/>
  <c r="AA2057" i="1" a="1"/>
  <c r="AA2057" i="1"/>
  <c r="AA2058" i="1" a="1"/>
  <c r="AA2058" i="1"/>
  <c r="AA2059" i="1" a="1"/>
  <c r="AA2059" i="1"/>
  <c r="AA2060" i="1" a="1"/>
  <c r="AA2060" i="1"/>
  <c r="AA2061" i="1" a="1"/>
  <c r="AA2061" i="1"/>
  <c r="AA2062" i="1" a="1"/>
  <c r="AA2062" i="1"/>
  <c r="AA2063" i="1" a="1"/>
  <c r="AA2063" i="1"/>
  <c r="AA2064" i="1" a="1"/>
  <c r="AA2064" i="1"/>
  <c r="AA2065" i="1" a="1"/>
  <c r="AA2065" i="1"/>
  <c r="AA2066" i="1" a="1"/>
  <c r="AA2066" i="1"/>
  <c r="AA2067" i="1" a="1"/>
  <c r="AA2067" i="1"/>
  <c r="AA2068" i="1" a="1"/>
  <c r="AA2068" i="1"/>
  <c r="AA2069" i="1" a="1"/>
  <c r="AA2069" i="1"/>
  <c r="AA2070" i="1" a="1"/>
  <c r="AA2070" i="1"/>
  <c r="AA2071" i="1" a="1"/>
  <c r="AA2071" i="1"/>
  <c r="AA2072" i="1" a="1"/>
  <c r="AA2072" i="1"/>
  <c r="AA2073" i="1" a="1"/>
  <c r="AA2073" i="1"/>
  <c r="AA2074" i="1" a="1"/>
  <c r="AA2074" i="1"/>
  <c r="AA2075" i="1" a="1"/>
  <c r="AA2075" i="1"/>
  <c r="AA2076" i="1" a="1"/>
  <c r="AA2076" i="1"/>
  <c r="AA2077" i="1" a="1"/>
  <c r="AA2077" i="1"/>
  <c r="AA2078" i="1" a="1"/>
  <c r="AA2078" i="1"/>
  <c r="AA2079" i="1" a="1"/>
  <c r="AA2079" i="1"/>
  <c r="AA2080" i="1" a="1"/>
  <c r="AA2080" i="1"/>
  <c r="AA2081" i="1" a="1"/>
  <c r="AA2081" i="1"/>
  <c r="AA2082" i="1" a="1"/>
  <c r="AA2082" i="1"/>
  <c r="AA2083" i="1" a="1"/>
  <c r="AA2083" i="1"/>
  <c r="AA2084" i="1" a="1"/>
  <c r="AA2084" i="1"/>
  <c r="AA2085" i="1" a="1"/>
  <c r="AA2085" i="1"/>
  <c r="AA2086" i="1" a="1"/>
  <c r="AA2086" i="1"/>
  <c r="AA2087" i="1" a="1"/>
  <c r="AA2087" i="1"/>
  <c r="AA2088" i="1" a="1"/>
  <c r="AA2088" i="1"/>
  <c r="AA2089" i="1" a="1"/>
  <c r="AA2089" i="1"/>
  <c r="AA2090" i="1" a="1"/>
  <c r="AA2090" i="1"/>
  <c r="AA2091" i="1" a="1"/>
  <c r="AA2091" i="1"/>
  <c r="AA2092" i="1" a="1"/>
  <c r="AA2092" i="1"/>
  <c r="AA2093" i="1" a="1"/>
  <c r="AA2093" i="1"/>
  <c r="AA2094" i="1" a="1"/>
  <c r="AA2094" i="1"/>
  <c r="AA2095" i="1" a="1"/>
  <c r="AA2095" i="1"/>
  <c r="AA2096" i="1" a="1"/>
  <c r="AA2096" i="1"/>
  <c r="AA2097" i="1" a="1"/>
  <c r="AA2097" i="1"/>
  <c r="AA2098" i="1" a="1"/>
  <c r="AA2098" i="1"/>
  <c r="AA2099" i="1" a="1"/>
  <c r="AA2099" i="1"/>
  <c r="AA2100" i="1" a="1"/>
  <c r="AA2100" i="1"/>
  <c r="AA2101" i="1" a="1"/>
  <c r="AA2101" i="1"/>
  <c r="AA2102" i="1" a="1"/>
  <c r="AA2102" i="1"/>
  <c r="AA2103" i="1" a="1"/>
  <c r="AA2103" i="1"/>
  <c r="AA2104" i="1" a="1"/>
  <c r="AA2104" i="1"/>
  <c r="AA2105" i="1" a="1"/>
  <c r="AA2105" i="1"/>
  <c r="AA2106" i="1" a="1"/>
  <c r="AA2106" i="1"/>
  <c r="AA2107" i="1" a="1"/>
  <c r="AA2107" i="1"/>
  <c r="AA2108" i="1" a="1"/>
  <c r="AA2108" i="1"/>
  <c r="AA2109" i="1" a="1"/>
  <c r="AA2109" i="1"/>
  <c r="AA2110" i="1" a="1"/>
  <c r="AA2110" i="1"/>
  <c r="AA2111" i="1" a="1"/>
  <c r="AA2111" i="1"/>
  <c r="AA2112" i="1" a="1"/>
  <c r="AA2112" i="1"/>
  <c r="AA2113" i="1" a="1"/>
  <c r="AA2113" i="1"/>
  <c r="AA2114" i="1" a="1"/>
  <c r="AA2114" i="1"/>
  <c r="AA2115" i="1" a="1"/>
  <c r="AA2115" i="1"/>
  <c r="AA2116" i="1" a="1"/>
  <c r="AA2116" i="1"/>
  <c r="AA2117" i="1" a="1"/>
  <c r="AA2117" i="1"/>
  <c r="AA2118" i="1" a="1"/>
  <c r="AA2118" i="1"/>
  <c r="AA2119" i="1" a="1"/>
  <c r="AA2119" i="1"/>
  <c r="AA2120" i="1" a="1"/>
  <c r="AA2120" i="1"/>
  <c r="AA2121" i="1" a="1"/>
  <c r="AA2121" i="1"/>
  <c r="AA2122" i="1" a="1"/>
  <c r="AA2122" i="1"/>
  <c r="AA2123" i="1" a="1"/>
  <c r="AA2123" i="1"/>
  <c r="AA2124" i="1" a="1"/>
  <c r="AA2124" i="1"/>
  <c r="AA2125" i="1" a="1"/>
  <c r="AA2125" i="1"/>
  <c r="AA2126" i="1" a="1"/>
  <c r="AA2126" i="1"/>
  <c r="AA2127" i="1" a="1"/>
  <c r="AA2127" i="1"/>
  <c r="AA2128" i="1" a="1"/>
  <c r="AA2128" i="1"/>
  <c r="AA2129" i="1" a="1"/>
  <c r="AA2129" i="1"/>
  <c r="AA2130" i="1" a="1"/>
  <c r="AA2130" i="1"/>
  <c r="AA2131" i="1" a="1"/>
  <c r="AA2131" i="1"/>
  <c r="AA2132" i="1" a="1"/>
  <c r="AA2132" i="1"/>
  <c r="AA2133" i="1" a="1"/>
  <c r="AA2133" i="1"/>
  <c r="AA2134" i="1" a="1"/>
  <c r="AA2134" i="1"/>
  <c r="AA2135" i="1" a="1"/>
  <c r="AA2135" i="1"/>
  <c r="AA2136" i="1" a="1"/>
  <c r="AA2136" i="1"/>
  <c r="AA2137" i="1" a="1"/>
  <c r="AA2137" i="1"/>
  <c r="AA2138" i="1" a="1"/>
  <c r="AA2138" i="1"/>
  <c r="AA2139" i="1" a="1"/>
  <c r="AA2139" i="1"/>
  <c r="AA2140" i="1" a="1"/>
  <c r="AA2140" i="1"/>
  <c r="AA2141" i="1" a="1"/>
  <c r="AA2141" i="1"/>
  <c r="AA2142" i="1" a="1"/>
  <c r="AA2142" i="1"/>
  <c r="AA2143" i="1" a="1"/>
  <c r="AA2143" i="1"/>
  <c r="AA2144" i="1" a="1"/>
  <c r="AA2144" i="1"/>
  <c r="AA2145" i="1" a="1"/>
  <c r="AA2145" i="1"/>
  <c r="AA2146" i="1" a="1"/>
  <c r="AA2146" i="1"/>
  <c r="AA2147" i="1" a="1"/>
  <c r="AA2147" i="1"/>
  <c r="AA2148" i="1" a="1"/>
  <c r="AA2148" i="1"/>
  <c r="AA2149" i="1" a="1"/>
  <c r="AA2149" i="1"/>
  <c r="AA2150" i="1" a="1"/>
  <c r="AA2150" i="1"/>
  <c r="AA2151" i="1" a="1"/>
  <c r="AA2151" i="1"/>
  <c r="AA2152" i="1" a="1"/>
  <c r="AA2152" i="1"/>
  <c r="AA2153" i="1" a="1"/>
  <c r="AA2153" i="1"/>
  <c r="AA2154" i="1" a="1"/>
  <c r="AA2154" i="1"/>
  <c r="AA2155" i="1" a="1"/>
  <c r="AA2155" i="1"/>
  <c r="AA2156" i="1" a="1"/>
  <c r="AA2156" i="1"/>
  <c r="AA2157" i="1" a="1"/>
  <c r="AA2157" i="1"/>
  <c r="AA2158" i="1" a="1"/>
  <c r="AA2158" i="1"/>
  <c r="AA2159" i="1" a="1"/>
  <c r="AA2159" i="1"/>
  <c r="AA2160" i="1" a="1"/>
  <c r="AA2160" i="1"/>
  <c r="AA2161" i="1" a="1"/>
  <c r="AA2161" i="1"/>
  <c r="AA2162" i="1" a="1"/>
  <c r="AA2162" i="1"/>
  <c r="AA2163" i="1" a="1"/>
  <c r="AA2163" i="1"/>
  <c r="AA2164" i="1" a="1"/>
  <c r="AA2164" i="1"/>
  <c r="AA2165" i="1" a="1"/>
  <c r="AA2165" i="1"/>
  <c r="AA2166" i="1" a="1"/>
  <c r="AA2166" i="1"/>
  <c r="AA2167" i="1" a="1"/>
  <c r="AA2167" i="1"/>
  <c r="AA2168" i="1" a="1"/>
  <c r="AA2168" i="1"/>
  <c r="AA2169" i="1" a="1"/>
  <c r="AA2169" i="1"/>
  <c r="AA2170" i="1" a="1"/>
  <c r="AA2170" i="1"/>
  <c r="AA2171" i="1" a="1"/>
  <c r="AA2171" i="1"/>
  <c r="AA2172" i="1" a="1"/>
  <c r="AA2172" i="1"/>
  <c r="AA2173" i="1" a="1"/>
  <c r="AA2173" i="1"/>
  <c r="AA2174" i="1" a="1"/>
  <c r="AA2174" i="1"/>
  <c r="AA2175" i="1" a="1"/>
  <c r="AA2175" i="1"/>
  <c r="AA2176" i="1" a="1"/>
  <c r="AA2176" i="1"/>
  <c r="AA2177" i="1" a="1"/>
  <c r="AA2177" i="1"/>
  <c r="AA2178" i="1" a="1"/>
  <c r="AA2178" i="1"/>
  <c r="AA2179" i="1" a="1"/>
  <c r="AA2179" i="1"/>
  <c r="AA2180" i="1" a="1"/>
  <c r="AA2180" i="1"/>
  <c r="AA2181" i="1" a="1"/>
  <c r="AA2181" i="1"/>
  <c r="AA2182" i="1" a="1"/>
  <c r="AA2182" i="1"/>
  <c r="AA2183" i="1" a="1"/>
  <c r="AA2183" i="1"/>
  <c r="AA2184" i="1" a="1"/>
  <c r="AA2184" i="1"/>
  <c r="AA2185" i="1" a="1"/>
  <c r="AA2185" i="1"/>
  <c r="AA2186" i="1" a="1"/>
  <c r="AA2186" i="1"/>
  <c r="AA2187" i="1" a="1"/>
  <c r="AA2187" i="1"/>
  <c r="AA2188" i="1" a="1"/>
  <c r="AA2188" i="1"/>
  <c r="AA2189" i="1" a="1"/>
  <c r="AA2189" i="1"/>
  <c r="AA2190" i="1" a="1"/>
  <c r="AA2190" i="1"/>
  <c r="AA2191" i="1" a="1"/>
  <c r="AA2191" i="1"/>
  <c r="AA2192" i="1" a="1"/>
  <c r="AA2192" i="1"/>
  <c r="AA2193" i="1" a="1"/>
  <c r="AA2193" i="1"/>
  <c r="AA2194" i="1" a="1"/>
  <c r="AA2194" i="1"/>
  <c r="AA2195" i="1" a="1"/>
  <c r="AA2195" i="1"/>
  <c r="AA2196" i="1" a="1"/>
  <c r="AA2196" i="1"/>
  <c r="AA2197" i="1" a="1"/>
  <c r="AA2197" i="1"/>
  <c r="AA2198" i="1" a="1"/>
  <c r="AA2198" i="1"/>
  <c r="AA2199" i="1" a="1"/>
  <c r="AA2199" i="1"/>
  <c r="AA2200" i="1" a="1"/>
  <c r="AA2200" i="1"/>
  <c r="AA2201" i="1" a="1"/>
  <c r="AA2201" i="1"/>
  <c r="AA2202" i="1" a="1"/>
  <c r="AA2202" i="1"/>
  <c r="AA2203" i="1" a="1"/>
  <c r="AA2203" i="1"/>
  <c r="AA2204" i="1" a="1"/>
  <c r="AA2204" i="1"/>
  <c r="AA2205" i="1" a="1"/>
  <c r="AA2205" i="1"/>
  <c r="AA2206" i="1" a="1"/>
  <c r="AA2206" i="1"/>
  <c r="AA2207" i="1" a="1"/>
  <c r="AA2207" i="1"/>
  <c r="AA2208" i="1" a="1"/>
  <c r="AA2208" i="1"/>
  <c r="AA2209" i="1" a="1"/>
  <c r="AA2209" i="1"/>
  <c r="AA2210" i="1" a="1"/>
  <c r="AA2210" i="1"/>
  <c r="AA2211" i="1" a="1"/>
  <c r="AA2211" i="1"/>
  <c r="AA2212" i="1" a="1"/>
  <c r="AA2212" i="1"/>
  <c r="AA2213" i="1" a="1"/>
  <c r="AA2213" i="1"/>
  <c r="AA2214" i="1" a="1"/>
  <c r="AA2214" i="1"/>
  <c r="AA2215" i="1" a="1"/>
  <c r="AA2215" i="1"/>
  <c r="AA2216" i="1" a="1"/>
  <c r="AA2216" i="1"/>
  <c r="AA2217" i="1" a="1"/>
  <c r="AA2217" i="1"/>
  <c r="AA2218" i="1" a="1"/>
  <c r="AA2218" i="1"/>
  <c r="AA2219" i="1" a="1"/>
  <c r="AA2219" i="1"/>
  <c r="AA2220" i="1" a="1"/>
  <c r="AA2220" i="1"/>
  <c r="AA2221" i="1" a="1"/>
  <c r="AA2221" i="1"/>
  <c r="AA2222" i="1" a="1"/>
  <c r="AA2222" i="1"/>
  <c r="AA2223" i="1" a="1"/>
  <c r="AA2223" i="1"/>
  <c r="AA2224" i="1" a="1"/>
  <c r="AA2224" i="1"/>
  <c r="AA2225" i="1" a="1"/>
  <c r="AA2225" i="1"/>
  <c r="AA2226" i="1" a="1"/>
  <c r="AA2226" i="1"/>
  <c r="AA2227" i="1" a="1"/>
  <c r="AA2227" i="1"/>
  <c r="AA2228" i="1" a="1"/>
  <c r="AA2228" i="1"/>
  <c r="AA2229" i="1" a="1"/>
  <c r="AA2229" i="1"/>
  <c r="AA2230" i="1" a="1"/>
  <c r="AA2230" i="1"/>
  <c r="AA2231" i="1" a="1"/>
  <c r="AA2231" i="1"/>
  <c r="AA2232" i="1" a="1"/>
  <c r="AA2232" i="1"/>
  <c r="AA2233" i="1" a="1"/>
  <c r="AA2233" i="1"/>
  <c r="AA2234" i="1" a="1"/>
  <c r="AA2234" i="1"/>
  <c r="AA2235" i="1" a="1"/>
  <c r="AA2235" i="1"/>
  <c r="AA2236" i="1" a="1"/>
  <c r="AA2236" i="1"/>
  <c r="AA2237" i="1" a="1"/>
  <c r="AA2237" i="1"/>
  <c r="AA2238" i="1" a="1"/>
  <c r="AA2238" i="1"/>
  <c r="AA2239" i="1" a="1"/>
  <c r="AA2239" i="1"/>
  <c r="AA2240" i="1" a="1"/>
  <c r="AA2240" i="1"/>
  <c r="AA2241" i="1" a="1"/>
  <c r="AA2241" i="1"/>
  <c r="AA2242" i="1" a="1"/>
  <c r="AA2242" i="1"/>
  <c r="AA2243" i="1" a="1"/>
  <c r="AA2243" i="1"/>
  <c r="AA2244" i="1" a="1"/>
  <c r="AA2244" i="1"/>
  <c r="AA2245" i="1" a="1"/>
  <c r="AA2245" i="1"/>
  <c r="AA2246" i="1" a="1"/>
  <c r="AA2246" i="1"/>
  <c r="AA2247" i="1" a="1"/>
  <c r="AA2247" i="1"/>
  <c r="AA2248" i="1" a="1"/>
  <c r="AA2248" i="1"/>
  <c r="AA2249" i="1" a="1"/>
  <c r="AA2249" i="1"/>
  <c r="AA2250" i="1" a="1"/>
  <c r="AA2250" i="1"/>
  <c r="AA2251" i="1" a="1"/>
  <c r="AA2251" i="1"/>
  <c r="AA2252" i="1" a="1"/>
  <c r="AA2252" i="1"/>
  <c r="AA2253" i="1" a="1"/>
  <c r="AA2253" i="1"/>
  <c r="AA2254" i="1" a="1"/>
  <c r="AA2254" i="1"/>
  <c r="AA2255" i="1" a="1"/>
  <c r="AA2255" i="1"/>
  <c r="AA2256" i="1" a="1"/>
  <c r="AA2256" i="1"/>
  <c r="AA2257" i="1" a="1"/>
  <c r="AA2257" i="1"/>
  <c r="AA2258" i="1" a="1"/>
  <c r="AA2258" i="1"/>
  <c r="AA2259" i="1" a="1"/>
  <c r="AA2259" i="1"/>
  <c r="AA2260" i="1" a="1"/>
  <c r="AA2260" i="1"/>
  <c r="AA2261" i="1" a="1"/>
  <c r="AA2261" i="1"/>
  <c r="AA2262" i="1" a="1"/>
  <c r="AA2262" i="1"/>
  <c r="AA2263" i="1" a="1"/>
  <c r="AA2263" i="1"/>
  <c r="AA2264" i="1" a="1"/>
  <c r="AA2264" i="1"/>
  <c r="AA2265" i="1" a="1"/>
  <c r="AA2265" i="1"/>
  <c r="AA2266" i="1" a="1"/>
  <c r="AA2266" i="1"/>
  <c r="AA2267" i="1" a="1"/>
  <c r="AA2267" i="1"/>
  <c r="AA2268" i="1" a="1"/>
  <c r="AA2268" i="1"/>
  <c r="AA2269" i="1" a="1"/>
  <c r="AA2269" i="1"/>
  <c r="AA2270" i="1" a="1"/>
  <c r="AA2270" i="1"/>
  <c r="AA2271" i="1" a="1"/>
  <c r="AA2271" i="1"/>
  <c r="AA2272" i="1" a="1"/>
  <c r="AA2272" i="1"/>
  <c r="AA2273" i="1" a="1"/>
  <c r="AA2273" i="1"/>
  <c r="AA2274" i="1" a="1"/>
  <c r="AA2274" i="1"/>
  <c r="AA2275" i="1" a="1"/>
  <c r="AA2275" i="1"/>
  <c r="AA2276" i="1" a="1"/>
  <c r="AA2276" i="1"/>
  <c r="AA2277" i="1" a="1"/>
  <c r="AA2277" i="1"/>
  <c r="AA2278" i="1" a="1"/>
  <c r="AA2278" i="1"/>
  <c r="AA2279" i="1" a="1"/>
  <c r="AA2279" i="1"/>
  <c r="AA2280" i="1" a="1"/>
  <c r="AA2280" i="1"/>
  <c r="AA2281" i="1" a="1"/>
  <c r="AA2281" i="1"/>
  <c r="AA2282" i="1" a="1"/>
  <c r="AA2282" i="1"/>
  <c r="AA2283" i="1" a="1"/>
  <c r="AA2283" i="1"/>
  <c r="AA2284" i="1" a="1"/>
  <c r="AA2284" i="1"/>
  <c r="AA2285" i="1" a="1"/>
  <c r="AA2285" i="1"/>
  <c r="AA2286" i="1" a="1"/>
  <c r="AA2286" i="1"/>
  <c r="AA2287" i="1" a="1"/>
  <c r="AA2287" i="1"/>
  <c r="AA2288" i="1" a="1"/>
  <c r="AA2288" i="1"/>
  <c r="AA2289" i="1" a="1"/>
  <c r="AA2289" i="1"/>
  <c r="AA2290" i="1" a="1"/>
  <c r="AA2290" i="1"/>
  <c r="AA2291" i="1" a="1"/>
  <c r="AA2291" i="1"/>
  <c r="AA2292" i="1" a="1"/>
  <c r="AA2292" i="1"/>
  <c r="AA2293" i="1" a="1"/>
  <c r="AA2293" i="1"/>
  <c r="AA2294" i="1" a="1"/>
  <c r="AA2294" i="1"/>
  <c r="AA2295" i="1" a="1"/>
  <c r="AA2295" i="1"/>
  <c r="AA2296" i="1" a="1"/>
  <c r="AA2296" i="1"/>
  <c r="AA2297" i="1" a="1"/>
  <c r="AA2297" i="1"/>
  <c r="AA2298" i="1" a="1"/>
  <c r="AA2298" i="1"/>
  <c r="AA2299" i="1" a="1"/>
  <c r="AA2299" i="1"/>
  <c r="AA2300" i="1" a="1"/>
  <c r="AA2300" i="1"/>
  <c r="AA2301" i="1" a="1"/>
  <c r="AA2301" i="1"/>
  <c r="AA2302" i="1" a="1"/>
  <c r="AA2302" i="1"/>
  <c r="AA2303" i="1" a="1"/>
  <c r="AA2303" i="1"/>
  <c r="AA2304" i="1" a="1"/>
  <c r="AA2304" i="1"/>
  <c r="AA2305" i="1" a="1"/>
  <c r="AA2305" i="1"/>
  <c r="AA2306" i="1" a="1"/>
  <c r="AA2306" i="1"/>
  <c r="AA2307" i="1" a="1"/>
  <c r="AA2307" i="1"/>
  <c r="AA2308" i="1" a="1"/>
  <c r="AA2308" i="1"/>
  <c r="AA2309" i="1" a="1"/>
  <c r="AA2309" i="1"/>
  <c r="AA2310" i="1" a="1"/>
  <c r="AA2310" i="1"/>
  <c r="AA2311" i="1" a="1"/>
  <c r="AA2311" i="1"/>
  <c r="AA2312" i="1" a="1"/>
  <c r="AA2312" i="1"/>
  <c r="AA2313" i="1" a="1"/>
  <c r="AA2313" i="1"/>
  <c r="AA2314" i="1" a="1"/>
  <c r="AA2314" i="1"/>
  <c r="AA2315" i="1" a="1"/>
  <c r="AA2315" i="1"/>
  <c r="AA2316" i="1" a="1"/>
  <c r="AA2316" i="1"/>
  <c r="AA2317" i="1" a="1"/>
  <c r="AA2317" i="1"/>
  <c r="AA2318" i="1" a="1"/>
  <c r="AA2318" i="1"/>
  <c r="AA2319" i="1" a="1"/>
  <c r="AA2319" i="1"/>
  <c r="AA2320" i="1" a="1"/>
  <c r="AA2320" i="1"/>
  <c r="AA2321" i="1" a="1"/>
  <c r="AA2321" i="1"/>
  <c r="AA2322" i="1" a="1"/>
  <c r="AA2322" i="1"/>
  <c r="AA2323" i="1" a="1"/>
  <c r="AA2323" i="1"/>
  <c r="AA2324" i="1" a="1"/>
  <c r="AA2324" i="1"/>
  <c r="AA2325" i="1" a="1"/>
  <c r="AA2325" i="1"/>
  <c r="AA2326" i="1" a="1"/>
  <c r="AA2326" i="1"/>
  <c r="AA2327" i="1" a="1"/>
  <c r="AA2327" i="1"/>
  <c r="AA2328" i="1" a="1"/>
  <c r="AA2328" i="1"/>
  <c r="AA2329" i="1" a="1"/>
  <c r="AA2329" i="1"/>
  <c r="AA2330" i="1" a="1"/>
  <c r="AA2330" i="1"/>
  <c r="AA2331" i="1" a="1"/>
  <c r="AA2331" i="1"/>
  <c r="AA2332" i="1" a="1"/>
  <c r="AA2332" i="1"/>
  <c r="AA2333" i="1" a="1"/>
  <c r="AA2333" i="1"/>
  <c r="AA2334" i="1" a="1"/>
  <c r="AA2334" i="1"/>
  <c r="AA2335" i="1" a="1"/>
  <c r="AA2335" i="1"/>
  <c r="AA2336" i="1" a="1"/>
  <c r="AA2336" i="1"/>
  <c r="AA2337" i="1" a="1"/>
  <c r="AA2337" i="1"/>
  <c r="AA2338" i="1" a="1"/>
  <c r="AA2338" i="1"/>
  <c r="AA2339" i="1" a="1"/>
  <c r="AA2339" i="1"/>
  <c r="AA2340" i="1" a="1"/>
  <c r="AA2340" i="1"/>
  <c r="AA2341" i="1" a="1"/>
  <c r="AA2341" i="1"/>
  <c r="AA2342" i="1" a="1"/>
  <c r="AA2342" i="1"/>
  <c r="AA2343" i="1" a="1"/>
  <c r="AA2343" i="1"/>
  <c r="AA2344" i="1" a="1"/>
  <c r="AA2344" i="1"/>
  <c r="AA2345" i="1" a="1"/>
  <c r="AA2345" i="1"/>
  <c r="AA2346" i="1" a="1"/>
  <c r="AA2346" i="1"/>
  <c r="AA2347" i="1" a="1"/>
  <c r="AA2347" i="1"/>
  <c r="AA2348" i="1" a="1"/>
  <c r="AA2348" i="1"/>
  <c r="AA2349" i="1" a="1"/>
  <c r="AA2349" i="1"/>
  <c r="AA2350" i="1" a="1"/>
  <c r="AA2350" i="1"/>
  <c r="AA2351" i="1" a="1"/>
  <c r="AA2351" i="1"/>
  <c r="AA2352" i="1" a="1"/>
  <c r="AA2352" i="1"/>
  <c r="AA2353" i="1" a="1"/>
  <c r="AA2353" i="1"/>
  <c r="AA2354" i="1" a="1"/>
  <c r="AA2354" i="1"/>
  <c r="AA2355" i="1" a="1"/>
  <c r="AA2355" i="1"/>
  <c r="AA2356" i="1" a="1"/>
  <c r="AA2356" i="1"/>
  <c r="AA2357" i="1" a="1"/>
  <c r="AA2357" i="1"/>
  <c r="AA2358" i="1" a="1"/>
  <c r="AA2358" i="1"/>
  <c r="AA2359" i="1" a="1"/>
  <c r="AA2359" i="1"/>
  <c r="AA2360" i="1" a="1"/>
  <c r="AA2360" i="1"/>
  <c r="AA2361" i="1" a="1"/>
  <c r="AA2361" i="1"/>
  <c r="AA2362" i="1" a="1"/>
  <c r="AA2362" i="1"/>
  <c r="AA2363" i="1" a="1"/>
  <c r="AA2363" i="1"/>
  <c r="AA2364" i="1" a="1"/>
  <c r="AA2364" i="1"/>
  <c r="AA2365" i="1" a="1"/>
  <c r="AA2365" i="1"/>
  <c r="AA2366" i="1" a="1"/>
  <c r="AA2366" i="1"/>
  <c r="AA2367" i="1" a="1"/>
  <c r="AA2367" i="1"/>
  <c r="AA2368" i="1" a="1"/>
  <c r="AA2368" i="1"/>
  <c r="AA2369" i="1" a="1"/>
  <c r="AA2369" i="1"/>
  <c r="AA2370" i="1" a="1"/>
  <c r="AA2370" i="1"/>
  <c r="AA2371" i="1" a="1"/>
  <c r="AA2371" i="1"/>
  <c r="AA2372" i="1" a="1"/>
  <c r="AA2372" i="1"/>
  <c r="AA2373" i="1" a="1"/>
  <c r="AA2373" i="1"/>
  <c r="AA2374" i="1" a="1"/>
  <c r="AA2374" i="1"/>
  <c r="AA2375" i="1" a="1"/>
  <c r="AA2375" i="1"/>
  <c r="AA2376" i="1" a="1"/>
  <c r="AA2376" i="1"/>
  <c r="AA2377" i="1" a="1"/>
  <c r="AA2377" i="1"/>
  <c r="AA2378" i="1" a="1"/>
  <c r="AA2378" i="1"/>
  <c r="AA2379" i="1" a="1"/>
  <c r="AA2379" i="1"/>
  <c r="AA2380" i="1" a="1"/>
  <c r="AA2380" i="1"/>
  <c r="AA2381" i="1" a="1"/>
  <c r="AA2381" i="1"/>
  <c r="AA2382" i="1" a="1"/>
  <c r="AA2382" i="1"/>
  <c r="AA2383" i="1" a="1"/>
  <c r="AA2383" i="1"/>
  <c r="AA2384" i="1" a="1"/>
  <c r="AA2384" i="1"/>
  <c r="AA2385" i="1" a="1"/>
  <c r="AA2385" i="1"/>
  <c r="AA2386" i="1" a="1"/>
  <c r="AA2386" i="1"/>
  <c r="AA2387" i="1" a="1"/>
  <c r="AA2387" i="1"/>
  <c r="AA2388" i="1" a="1"/>
  <c r="AA2388" i="1"/>
  <c r="AA2389" i="1" a="1"/>
  <c r="AA2389" i="1"/>
  <c r="AA2390" i="1" a="1"/>
  <c r="AA2390" i="1"/>
  <c r="AA2391" i="1" a="1"/>
  <c r="AA2391" i="1"/>
  <c r="AA2392" i="1" a="1"/>
  <c r="AA2392" i="1"/>
  <c r="AA2393" i="1" a="1"/>
  <c r="AA2393" i="1"/>
  <c r="AA2394" i="1" a="1"/>
  <c r="AA2394" i="1"/>
  <c r="AA2395" i="1" a="1"/>
  <c r="AA2395" i="1"/>
  <c r="AA2396" i="1" a="1"/>
  <c r="AA2396" i="1"/>
  <c r="AA2397" i="1" a="1"/>
  <c r="AA2397" i="1"/>
  <c r="AA2398" i="1" a="1"/>
  <c r="AA2398" i="1"/>
  <c r="AA2399" i="1" a="1"/>
  <c r="AA2399" i="1"/>
  <c r="AA2400" i="1" a="1"/>
  <c r="AA2400" i="1"/>
  <c r="AA2401" i="1" a="1"/>
  <c r="AA2401" i="1"/>
  <c r="AA2402" i="1" a="1"/>
  <c r="AA2402" i="1"/>
  <c r="AA2403" i="1" a="1"/>
  <c r="AA2403" i="1"/>
  <c r="AA2404" i="1" a="1"/>
  <c r="AA2404" i="1"/>
  <c r="AA2405" i="1" a="1"/>
  <c r="AA2405" i="1"/>
  <c r="AA2406" i="1" a="1"/>
  <c r="AA2406" i="1"/>
  <c r="AA2407" i="1" a="1"/>
  <c r="AA2407" i="1"/>
  <c r="AA2408" i="1" a="1"/>
  <c r="AA2408" i="1"/>
  <c r="AA2409" i="1" a="1"/>
  <c r="AA2409" i="1"/>
  <c r="AA2410" i="1" a="1"/>
  <c r="AA2410" i="1"/>
  <c r="AA2411" i="1" a="1"/>
  <c r="AA2411" i="1"/>
  <c r="AA2412" i="1" a="1"/>
  <c r="AA2412" i="1"/>
  <c r="AA2413" i="1" a="1"/>
  <c r="AA2413" i="1"/>
  <c r="AA2414" i="1" a="1"/>
  <c r="AA2414" i="1"/>
  <c r="AA2415" i="1" a="1"/>
  <c r="AA2415" i="1"/>
  <c r="AA2416" i="1" a="1"/>
  <c r="AA2416" i="1"/>
  <c r="AA2417" i="1" a="1"/>
  <c r="AA2417" i="1"/>
  <c r="AA2418" i="1" a="1"/>
  <c r="AA2418" i="1"/>
  <c r="AA2419" i="1" a="1"/>
  <c r="AA2419" i="1"/>
  <c r="AA2420" i="1" a="1"/>
  <c r="AA2420" i="1"/>
  <c r="AA2421" i="1" a="1"/>
  <c r="AA2421" i="1"/>
  <c r="AA2422" i="1" a="1"/>
  <c r="AA2422" i="1"/>
  <c r="AA2423" i="1" a="1"/>
  <c r="AA2423" i="1"/>
  <c r="AA2424" i="1" a="1"/>
  <c r="AA2424" i="1"/>
  <c r="AA2425" i="1" a="1"/>
  <c r="AA2425" i="1"/>
  <c r="AA2426" i="1" a="1"/>
  <c r="AA2426" i="1"/>
  <c r="AA2427" i="1" a="1"/>
  <c r="AA2427" i="1"/>
  <c r="AA2428" i="1" a="1"/>
  <c r="AA2428" i="1"/>
  <c r="AA2429" i="1" a="1"/>
  <c r="AA2429" i="1"/>
  <c r="AA2430" i="1" a="1"/>
  <c r="AA2430" i="1"/>
  <c r="AA2431" i="1" a="1"/>
  <c r="AA2431" i="1"/>
  <c r="AA2432" i="1" a="1"/>
  <c r="AA2432" i="1"/>
  <c r="AA2433" i="1" a="1"/>
  <c r="AA2433" i="1"/>
  <c r="AA2434" i="1" a="1"/>
  <c r="AA2434" i="1"/>
  <c r="AA2435" i="1" a="1"/>
  <c r="AA2435" i="1"/>
  <c r="AA2436" i="1" a="1"/>
  <c r="AA2436" i="1"/>
  <c r="AA2437" i="1" a="1"/>
  <c r="AA2437" i="1"/>
  <c r="AA2438" i="1" a="1"/>
  <c r="AA2438" i="1"/>
  <c r="AA2439" i="1" a="1"/>
  <c r="AA2439" i="1"/>
  <c r="AA2440" i="1" a="1"/>
  <c r="AA2440" i="1"/>
  <c r="AA2441" i="1" a="1"/>
  <c r="AA2441" i="1"/>
  <c r="AA2442" i="1" a="1"/>
  <c r="AA2442" i="1"/>
  <c r="AA2443" i="1" a="1"/>
  <c r="AA2443" i="1"/>
  <c r="AA2444" i="1" a="1"/>
  <c r="AA2444" i="1"/>
  <c r="AA2445" i="1" a="1"/>
  <c r="AA2445" i="1"/>
  <c r="AA2446" i="1" a="1"/>
  <c r="AA2446" i="1"/>
  <c r="AA2447" i="1" a="1"/>
  <c r="AA2447" i="1"/>
  <c r="AA2448" i="1" a="1"/>
  <c r="AA2448" i="1"/>
  <c r="AA2449" i="1" a="1"/>
  <c r="AA2449" i="1"/>
  <c r="AA2450" i="1" a="1"/>
  <c r="AA2450" i="1"/>
  <c r="AA2451" i="1" a="1"/>
  <c r="AA2451" i="1"/>
  <c r="AA2452" i="1" a="1"/>
  <c r="AA2452" i="1"/>
  <c r="AA2453" i="1" a="1"/>
  <c r="AA2453" i="1"/>
  <c r="AA2454" i="1" a="1"/>
  <c r="AA2454" i="1"/>
  <c r="AA2455" i="1" a="1"/>
  <c r="AA2455" i="1"/>
  <c r="AA2456" i="1" a="1"/>
  <c r="AA2456" i="1"/>
  <c r="AA2457" i="1" a="1"/>
  <c r="AA2457" i="1"/>
  <c r="AA2458" i="1" a="1"/>
  <c r="AA2458" i="1"/>
  <c r="AA2459" i="1" a="1"/>
  <c r="AA2459" i="1"/>
  <c r="AA2460" i="1" a="1"/>
  <c r="AA2460" i="1"/>
  <c r="AA2461" i="1" a="1"/>
  <c r="AA2461" i="1"/>
  <c r="AA2462" i="1" a="1"/>
  <c r="AA2462" i="1"/>
  <c r="AA2463" i="1" a="1"/>
  <c r="AA2463" i="1"/>
  <c r="AA2464" i="1" a="1"/>
  <c r="AA2464" i="1"/>
  <c r="AA2465" i="1" a="1"/>
  <c r="AA2465" i="1"/>
  <c r="AA2466" i="1" a="1"/>
  <c r="AA2466" i="1"/>
  <c r="AA2467" i="1" a="1"/>
  <c r="AA2467" i="1"/>
  <c r="AA2468" i="1" a="1"/>
  <c r="AA2468" i="1"/>
  <c r="AA2469" i="1" a="1"/>
  <c r="AA2469" i="1"/>
  <c r="AA2470" i="1" a="1"/>
  <c r="AA2470" i="1"/>
  <c r="AA2471" i="1" a="1"/>
  <c r="AA2471" i="1"/>
  <c r="AA2472" i="1" a="1"/>
  <c r="AA2472" i="1"/>
  <c r="AA2473" i="1" a="1"/>
  <c r="AA2473" i="1"/>
  <c r="AA2474" i="1" a="1"/>
  <c r="AA2474" i="1"/>
  <c r="AA2475" i="1" a="1"/>
  <c r="AA2475" i="1"/>
  <c r="AA2476" i="1" a="1"/>
  <c r="AA2476" i="1"/>
  <c r="AA2477" i="1" a="1"/>
  <c r="AA2477" i="1"/>
  <c r="AA2478" i="1" a="1"/>
  <c r="AA2478" i="1"/>
  <c r="AA2479" i="1" a="1"/>
  <c r="AA2479" i="1"/>
  <c r="AA2480" i="1" a="1"/>
  <c r="AA2480" i="1"/>
  <c r="AA2481" i="1" a="1"/>
  <c r="AA2481" i="1"/>
  <c r="AA2482" i="1" a="1"/>
  <c r="AA2482" i="1"/>
  <c r="AA2483" i="1" a="1"/>
  <c r="AA2483" i="1"/>
  <c r="AA2484" i="1" a="1"/>
  <c r="AA2484" i="1"/>
  <c r="AA2485" i="1" a="1"/>
  <c r="AA2485" i="1"/>
  <c r="AA2486" i="1" a="1"/>
  <c r="AA2486" i="1"/>
  <c r="AA2487" i="1" a="1"/>
  <c r="AA2487" i="1"/>
  <c r="AA2488" i="1" a="1"/>
  <c r="AA2488" i="1"/>
  <c r="AA2489" i="1" a="1"/>
  <c r="AA2489" i="1"/>
  <c r="AA2490" i="1" a="1"/>
  <c r="AA2490" i="1"/>
  <c r="AA2491" i="1" a="1"/>
  <c r="AA2491" i="1"/>
  <c r="AA2492" i="1" a="1"/>
  <c r="AA2492" i="1"/>
  <c r="AA2493" i="1" a="1"/>
  <c r="AA2493" i="1"/>
  <c r="AA2494" i="1" a="1"/>
  <c r="AA2494" i="1"/>
  <c r="AA2495" i="1" a="1"/>
  <c r="AA2495" i="1"/>
  <c r="AA2496" i="1" a="1"/>
  <c r="AA2496" i="1"/>
  <c r="AA2497" i="1" a="1"/>
  <c r="AA2497" i="1"/>
  <c r="AA2498" i="1" a="1"/>
  <c r="AA2498" i="1"/>
  <c r="AA2499" i="1" a="1"/>
  <c r="AA2499" i="1"/>
  <c r="AA2500" i="1" a="1"/>
  <c r="AA2500" i="1"/>
  <c r="AA2501" i="1" a="1"/>
  <c r="AA2501" i="1"/>
  <c r="AA2502" i="1" a="1"/>
  <c r="AA2502" i="1"/>
  <c r="AA2503" i="1" a="1"/>
  <c r="AA2503" i="1"/>
  <c r="AA2504" i="1" a="1"/>
  <c r="AA2504" i="1"/>
  <c r="AA2505" i="1" a="1"/>
  <c r="AA2505" i="1"/>
  <c r="AA2506" i="1" a="1"/>
  <c r="AA2506" i="1"/>
  <c r="AA2507" i="1" a="1"/>
  <c r="AA2507" i="1"/>
  <c r="AA2508" i="1" a="1"/>
  <c r="AA2508" i="1"/>
  <c r="AA2509" i="1" a="1"/>
  <c r="AA2509" i="1"/>
  <c r="AA2510" i="1" a="1"/>
  <c r="AA2510" i="1"/>
  <c r="AA2511" i="1" a="1"/>
  <c r="AA2511" i="1"/>
  <c r="AA2512" i="1" a="1"/>
  <c r="AA2512" i="1"/>
  <c r="AA2513" i="1" a="1"/>
  <c r="AA2513" i="1"/>
  <c r="AA2514" i="1" a="1"/>
  <c r="AA2514" i="1"/>
  <c r="AA2515" i="1" a="1"/>
  <c r="AA2515" i="1"/>
  <c r="AA2516" i="1" a="1"/>
  <c r="AA2516" i="1"/>
  <c r="AA2517" i="1" a="1"/>
  <c r="AA2517" i="1"/>
  <c r="AA2518" i="1" a="1"/>
  <c r="AA2518" i="1"/>
  <c r="AA2519" i="1" a="1"/>
  <c r="AA2519" i="1"/>
  <c r="AA2520" i="1" a="1"/>
  <c r="AA2520" i="1"/>
  <c r="AA2521" i="1" a="1"/>
  <c r="AA2521" i="1"/>
  <c r="AA2522" i="1" a="1"/>
  <c r="AA2522" i="1"/>
  <c r="AA2523" i="1" a="1"/>
  <c r="AA2523" i="1"/>
  <c r="AA2524" i="1" a="1"/>
  <c r="AA2524" i="1"/>
  <c r="AA2525" i="1" a="1"/>
  <c r="AA2525" i="1"/>
  <c r="AA2526" i="1" a="1"/>
  <c r="AA2526" i="1"/>
  <c r="AA2527" i="1" a="1"/>
  <c r="AA2527" i="1"/>
  <c r="AA2528" i="1" a="1"/>
  <c r="AA2528" i="1"/>
  <c r="AA2529" i="1" a="1"/>
  <c r="AA2529" i="1"/>
  <c r="AA2530" i="1" a="1"/>
  <c r="AA2530" i="1"/>
  <c r="AA2531" i="1" a="1"/>
  <c r="AA2531" i="1"/>
  <c r="AA2532" i="1" a="1"/>
  <c r="AA2532" i="1"/>
  <c r="AA2533" i="1" a="1"/>
  <c r="AA2533" i="1"/>
  <c r="AA2534" i="1" a="1"/>
  <c r="AA2534" i="1"/>
  <c r="AA2535" i="1" a="1"/>
  <c r="AA2535" i="1"/>
  <c r="AA2536" i="1" a="1"/>
  <c r="AA2536" i="1"/>
  <c r="AA2537" i="1" a="1"/>
  <c r="AA2537" i="1"/>
  <c r="AA2538" i="1" a="1"/>
  <c r="AA2538" i="1"/>
  <c r="AA2539" i="1" a="1"/>
  <c r="AA2539" i="1"/>
  <c r="AA2540" i="1" a="1"/>
  <c r="AA2540" i="1"/>
  <c r="AA2541" i="1" a="1"/>
  <c r="AA2541" i="1"/>
  <c r="AA2542" i="1" a="1"/>
  <c r="AA2542" i="1"/>
  <c r="AA2543" i="1" a="1"/>
  <c r="AA2543" i="1"/>
  <c r="AA2544" i="1" a="1"/>
  <c r="AA2544" i="1"/>
  <c r="AA2545" i="1" a="1"/>
  <c r="AA2545" i="1"/>
  <c r="AA2546" i="1" a="1"/>
  <c r="AA2546" i="1"/>
  <c r="AA2547" i="1" a="1"/>
  <c r="AA2547" i="1"/>
  <c r="AA2548" i="1" a="1"/>
  <c r="AA2548" i="1"/>
  <c r="AA2549" i="1" a="1"/>
  <c r="AA2549" i="1"/>
  <c r="AA2550" i="1" a="1"/>
  <c r="AA2550" i="1"/>
  <c r="AA2551" i="1" a="1"/>
  <c r="AA2551" i="1"/>
  <c r="AA2552" i="1" a="1"/>
  <c r="AA2552" i="1"/>
  <c r="AA2553" i="1" a="1"/>
  <c r="AA2553" i="1"/>
  <c r="AA2554" i="1" a="1"/>
  <c r="AA2554" i="1"/>
  <c r="AA2555" i="1" a="1"/>
  <c r="AA2555" i="1"/>
  <c r="AA2556" i="1" a="1"/>
  <c r="AA2556" i="1"/>
  <c r="AA2557" i="1" a="1"/>
  <c r="AA2557" i="1"/>
  <c r="AA2558" i="1" a="1"/>
  <c r="AA2558" i="1"/>
  <c r="AA2559" i="1" a="1"/>
  <c r="AA2559" i="1"/>
  <c r="AA2560" i="1" a="1"/>
  <c r="AA2560" i="1"/>
  <c r="AA2561" i="1" a="1"/>
  <c r="AA2561" i="1"/>
  <c r="AA2562" i="1" a="1"/>
  <c r="AA2562" i="1"/>
  <c r="AA2563" i="1" a="1"/>
  <c r="AA2563" i="1"/>
  <c r="AA2564" i="1" a="1"/>
  <c r="AA2564" i="1"/>
  <c r="AA2565" i="1" a="1"/>
  <c r="AA2565" i="1"/>
  <c r="AA2566" i="1" a="1"/>
  <c r="AA2566" i="1"/>
  <c r="AA2567" i="1" a="1"/>
  <c r="AA2567" i="1"/>
  <c r="AA2568" i="1" a="1"/>
  <c r="AA2568" i="1"/>
  <c r="AA2569" i="1" a="1"/>
  <c r="AA2569" i="1"/>
  <c r="AA2570" i="1" a="1"/>
  <c r="AA2570" i="1"/>
  <c r="AA2571" i="1" a="1"/>
  <c r="AA2571" i="1"/>
  <c r="AA2572" i="1" a="1"/>
  <c r="AA2572" i="1"/>
  <c r="AA2573" i="1" a="1"/>
  <c r="AA2573" i="1"/>
  <c r="AA2574" i="1" a="1"/>
  <c r="AA2574" i="1"/>
  <c r="AA2575" i="1" a="1"/>
  <c r="AA2575" i="1"/>
  <c r="AA2576" i="1" a="1"/>
  <c r="AA2576" i="1"/>
  <c r="AA2577" i="1" a="1"/>
  <c r="AA2577" i="1"/>
  <c r="AA2578" i="1" a="1"/>
  <c r="AA2578" i="1"/>
  <c r="AA2579" i="1" a="1"/>
  <c r="AA2579" i="1"/>
  <c r="AA2580" i="1" a="1"/>
  <c r="AA2580" i="1"/>
  <c r="AA2581" i="1" a="1"/>
  <c r="AA2581" i="1"/>
  <c r="AA2582" i="1" a="1"/>
  <c r="AA2582" i="1"/>
  <c r="AA2583" i="1" a="1"/>
  <c r="AA2583" i="1"/>
  <c r="AA2584" i="1" a="1"/>
  <c r="AA2584" i="1"/>
  <c r="AA2585" i="1" a="1"/>
  <c r="AA2585" i="1"/>
  <c r="AA2586" i="1" a="1"/>
  <c r="AA2586" i="1"/>
  <c r="AA2587" i="1" a="1"/>
  <c r="AA2587" i="1"/>
  <c r="AA2588" i="1" a="1"/>
  <c r="AA2588" i="1"/>
  <c r="AA2589" i="1" a="1"/>
  <c r="AA2589" i="1"/>
  <c r="AA2590" i="1" a="1"/>
  <c r="AA2590" i="1"/>
  <c r="AA2591" i="1" a="1"/>
  <c r="AA2591" i="1"/>
  <c r="AA2592" i="1" a="1"/>
  <c r="AA2592" i="1"/>
  <c r="AA2593" i="1" a="1"/>
  <c r="AA2593" i="1"/>
  <c r="AA2594" i="1" a="1"/>
  <c r="AA2594" i="1"/>
  <c r="AA2595" i="1" a="1"/>
  <c r="AA2595" i="1"/>
  <c r="AA2596" i="1" a="1"/>
  <c r="AA2596" i="1"/>
  <c r="AA2597" i="1" a="1"/>
  <c r="AA2597" i="1"/>
  <c r="AA2598" i="1" a="1"/>
  <c r="AA2598" i="1"/>
  <c r="AA2599" i="1" a="1"/>
  <c r="AA2599" i="1"/>
  <c r="AA2600" i="1" a="1"/>
  <c r="AA2600" i="1"/>
  <c r="AA2601" i="1" a="1"/>
  <c r="AA2601" i="1"/>
  <c r="AA2602" i="1" a="1"/>
  <c r="AA2602" i="1"/>
  <c r="AA2603" i="1" a="1"/>
  <c r="AA2603" i="1"/>
  <c r="AA2604" i="1" a="1"/>
  <c r="AA2604" i="1"/>
  <c r="AA2605" i="1" a="1"/>
  <c r="AA2605" i="1"/>
  <c r="AA2606" i="1" a="1"/>
  <c r="AA2606" i="1"/>
  <c r="AA2607" i="1" a="1"/>
  <c r="AA2607" i="1"/>
  <c r="AA2608" i="1" a="1"/>
  <c r="AA2608" i="1"/>
  <c r="AA2609" i="1" a="1"/>
  <c r="AA2609" i="1"/>
  <c r="AA2610" i="1" a="1"/>
  <c r="AA2610" i="1"/>
  <c r="AA2611" i="1" a="1"/>
  <c r="AA2611" i="1"/>
  <c r="AA2612" i="1" a="1"/>
  <c r="AA2612" i="1"/>
  <c r="AA2613" i="1" a="1"/>
  <c r="AA2613" i="1"/>
  <c r="AA2614" i="1" a="1"/>
  <c r="AA2614" i="1"/>
  <c r="AA2615" i="1" a="1"/>
  <c r="AA2615" i="1"/>
  <c r="AA2616" i="1" a="1"/>
  <c r="AA2616" i="1"/>
  <c r="AA2617" i="1" a="1"/>
  <c r="AA2617" i="1"/>
  <c r="AA2618" i="1" a="1"/>
  <c r="AA2618" i="1"/>
  <c r="AA2619" i="1" a="1"/>
  <c r="AA2619" i="1"/>
  <c r="AA2620" i="1" a="1"/>
  <c r="AA2620" i="1"/>
  <c r="AA2621" i="1" a="1"/>
  <c r="AA2621" i="1"/>
  <c r="AA2622" i="1" a="1"/>
  <c r="AA2622" i="1"/>
  <c r="AA2623" i="1" a="1"/>
  <c r="AA2623" i="1"/>
  <c r="AA2624" i="1" a="1"/>
  <c r="AA2624" i="1"/>
  <c r="AA2625" i="1" a="1"/>
  <c r="AA2625" i="1"/>
  <c r="AA2626" i="1" a="1"/>
  <c r="AA2626" i="1"/>
  <c r="AA2627" i="1" a="1"/>
  <c r="AA2627" i="1"/>
  <c r="AA2628" i="1" a="1"/>
  <c r="AA2628" i="1"/>
  <c r="AA2629" i="1" a="1"/>
  <c r="AA2629" i="1"/>
  <c r="AA2630" i="1" a="1"/>
  <c r="AA2630" i="1"/>
  <c r="AA2631" i="1" a="1"/>
  <c r="AA2631" i="1"/>
  <c r="AA2632" i="1" a="1"/>
  <c r="AA2632" i="1"/>
  <c r="AA2633" i="1" a="1"/>
  <c r="AA2633" i="1"/>
  <c r="AA2634" i="1" a="1"/>
  <c r="AA2634" i="1"/>
  <c r="AA2635" i="1" a="1"/>
  <c r="AA2635" i="1"/>
  <c r="AA2636" i="1" a="1"/>
  <c r="AA2636" i="1"/>
  <c r="AA2637" i="1" a="1"/>
  <c r="AA2637" i="1"/>
  <c r="AA2638" i="1" a="1"/>
  <c r="AA2638" i="1"/>
  <c r="AA2639" i="1" a="1"/>
  <c r="AA2639" i="1"/>
  <c r="AA2640" i="1" a="1"/>
  <c r="AA2640" i="1"/>
  <c r="AA2641" i="1" a="1"/>
  <c r="AA2641" i="1"/>
  <c r="AA2642" i="1" a="1"/>
  <c r="AA2642" i="1"/>
  <c r="AA2643" i="1" a="1"/>
  <c r="AA2643" i="1"/>
  <c r="AA2644" i="1" a="1"/>
  <c r="AA2644" i="1"/>
  <c r="AA2645" i="1" a="1"/>
  <c r="AA2645" i="1"/>
  <c r="AA2646" i="1" a="1"/>
  <c r="AA2646" i="1"/>
  <c r="AA2647" i="1" a="1"/>
  <c r="AA2647" i="1"/>
  <c r="AA2648" i="1" a="1"/>
  <c r="AA2648" i="1"/>
  <c r="AA2649" i="1" a="1"/>
  <c r="AA2649" i="1"/>
  <c r="AA2650" i="1" a="1"/>
  <c r="AA2650" i="1"/>
  <c r="AA2651" i="1" a="1"/>
  <c r="AA2651" i="1"/>
  <c r="AA2652" i="1" a="1"/>
  <c r="AA2652" i="1"/>
  <c r="AA2653" i="1" a="1"/>
  <c r="AA2653" i="1"/>
  <c r="AA2654" i="1" a="1"/>
  <c r="AA2654" i="1"/>
  <c r="AA2655" i="1" a="1"/>
  <c r="AA2655" i="1"/>
  <c r="AA2656" i="1" a="1"/>
  <c r="AA2656" i="1"/>
  <c r="AA2657" i="1" a="1"/>
  <c r="AA2657" i="1"/>
  <c r="AA2658" i="1" a="1"/>
  <c r="AA2658" i="1"/>
  <c r="AA2659" i="1" a="1"/>
  <c r="AA2659" i="1"/>
  <c r="AA2660" i="1" a="1"/>
  <c r="AA2660" i="1"/>
  <c r="AA2661" i="1" a="1"/>
  <c r="AA2661" i="1"/>
  <c r="AA2662" i="1" a="1"/>
  <c r="AA2662" i="1"/>
  <c r="AA2663" i="1" a="1"/>
  <c r="AA2663" i="1"/>
  <c r="AA2664" i="1" a="1"/>
  <c r="AA2664" i="1"/>
  <c r="AA2665" i="1" a="1"/>
  <c r="AA2665" i="1"/>
  <c r="AA2666" i="1" a="1"/>
  <c r="AA2666" i="1"/>
  <c r="AA2667" i="1" a="1"/>
  <c r="AA2667" i="1"/>
  <c r="AA2668" i="1" a="1"/>
  <c r="AA2668" i="1"/>
  <c r="AA2669" i="1" a="1"/>
  <c r="AA2669" i="1"/>
  <c r="AA2670" i="1" a="1"/>
  <c r="AA2670" i="1"/>
  <c r="AA2671" i="1" a="1"/>
  <c r="AA2671" i="1"/>
  <c r="AA2672" i="1" a="1"/>
  <c r="AA2672" i="1"/>
  <c r="AA2673" i="1" a="1"/>
  <c r="AA2673" i="1"/>
  <c r="AA2674" i="1" a="1"/>
  <c r="AA2674" i="1"/>
  <c r="AA2675" i="1" a="1"/>
  <c r="AA2675" i="1"/>
  <c r="AA2676" i="1" a="1"/>
  <c r="AA2676" i="1"/>
  <c r="AA2677" i="1" a="1"/>
  <c r="AA2677" i="1"/>
  <c r="AA2678" i="1" a="1"/>
  <c r="AA2678" i="1"/>
  <c r="AA2679" i="1" a="1"/>
  <c r="AA2679" i="1"/>
  <c r="AA2680" i="1" a="1"/>
  <c r="AA2680" i="1"/>
  <c r="AA2681" i="1" a="1"/>
  <c r="AA2681" i="1"/>
  <c r="AA2682" i="1" a="1"/>
  <c r="AA2682" i="1"/>
  <c r="AA2683" i="1" a="1"/>
  <c r="AA2683" i="1"/>
  <c r="AA2684" i="1" a="1"/>
  <c r="AA2684" i="1"/>
  <c r="AA2685" i="1" a="1"/>
  <c r="AA2685" i="1"/>
  <c r="AA2686" i="1" a="1"/>
  <c r="AA2686" i="1"/>
  <c r="AA2687" i="1" a="1"/>
  <c r="AA2687" i="1"/>
  <c r="AA2688" i="1" a="1"/>
  <c r="AA2688" i="1"/>
  <c r="AA2689" i="1" a="1"/>
  <c r="AA2689" i="1"/>
  <c r="AA2690" i="1" a="1"/>
  <c r="AA2690" i="1"/>
  <c r="AA2691" i="1" a="1"/>
  <c r="AA2691" i="1"/>
  <c r="AA2692" i="1" a="1"/>
  <c r="AA2692" i="1"/>
  <c r="AA2693" i="1" a="1"/>
  <c r="AA2693" i="1"/>
  <c r="AA2694" i="1" a="1"/>
  <c r="AA2694" i="1"/>
  <c r="AA2695" i="1" a="1"/>
  <c r="AA2695" i="1"/>
  <c r="AA2696" i="1" a="1"/>
  <c r="AA2696" i="1"/>
  <c r="AA2697" i="1" a="1"/>
  <c r="AA2697" i="1"/>
  <c r="AA2698" i="1" a="1"/>
  <c r="AA2698" i="1"/>
  <c r="AA2699" i="1" a="1"/>
  <c r="AA2699" i="1"/>
  <c r="AA2700" i="1" a="1"/>
  <c r="AA2700" i="1"/>
  <c r="AA2701" i="1" a="1"/>
  <c r="AA2701" i="1"/>
  <c r="AA2702" i="1" a="1"/>
  <c r="AA2702" i="1"/>
  <c r="AA2703" i="1" a="1"/>
  <c r="AA2703" i="1"/>
  <c r="AA2704" i="1" a="1"/>
  <c r="AA2704" i="1"/>
  <c r="AA2705" i="1" a="1"/>
  <c r="AA2705" i="1"/>
  <c r="AA2706" i="1" a="1"/>
  <c r="AA2706" i="1"/>
  <c r="AA2707" i="1" a="1"/>
  <c r="AA2707" i="1"/>
  <c r="AA2708" i="1" a="1"/>
  <c r="AA2708" i="1"/>
  <c r="AA2709" i="1" a="1"/>
  <c r="AA2709" i="1"/>
  <c r="AA2710" i="1" a="1"/>
  <c r="AA2710" i="1"/>
  <c r="AA2711" i="1" a="1"/>
  <c r="AA2711" i="1"/>
  <c r="AA2712" i="1" a="1"/>
  <c r="AA2712" i="1"/>
  <c r="AA2713" i="1" a="1"/>
  <c r="AA2713" i="1"/>
  <c r="AA2714" i="1" a="1"/>
  <c r="AA2714" i="1"/>
  <c r="AA2715" i="1" a="1"/>
  <c r="AA2715" i="1"/>
  <c r="AA2716" i="1" a="1"/>
  <c r="AA2716" i="1"/>
  <c r="AA2717" i="1" a="1"/>
  <c r="AA2717" i="1"/>
  <c r="AA2718" i="1" a="1"/>
  <c r="AA2718" i="1"/>
  <c r="AA2719" i="1" a="1"/>
  <c r="AA2719" i="1"/>
  <c r="AA2720" i="1" a="1"/>
  <c r="AA2720" i="1"/>
  <c r="AA2721" i="1" a="1"/>
  <c r="AA2721" i="1"/>
  <c r="AA2722" i="1" a="1"/>
  <c r="AA2722" i="1"/>
  <c r="AA2723" i="1" a="1"/>
  <c r="AA2723" i="1"/>
  <c r="AA2724" i="1" a="1"/>
  <c r="AA2724" i="1"/>
  <c r="AA2725" i="1" a="1"/>
  <c r="AA2725" i="1"/>
  <c r="AA2726" i="1" a="1"/>
  <c r="AA2726" i="1"/>
  <c r="AA2727" i="1" a="1"/>
  <c r="AA2727" i="1"/>
  <c r="AA2728" i="1" a="1"/>
  <c r="AA2728" i="1"/>
  <c r="AA2729" i="1" a="1"/>
  <c r="AA2729" i="1"/>
  <c r="AA2730" i="1" a="1"/>
  <c r="AA2730" i="1"/>
  <c r="AA2731" i="1" a="1"/>
  <c r="AA2731" i="1"/>
  <c r="AA2732" i="1" a="1"/>
  <c r="AA2732" i="1"/>
  <c r="AA2733" i="1" a="1"/>
  <c r="AA2733" i="1"/>
  <c r="AA2734" i="1" a="1"/>
  <c r="AA2734" i="1"/>
  <c r="AA2735" i="1" a="1"/>
  <c r="AA2735" i="1"/>
  <c r="AA2736" i="1" a="1"/>
  <c r="AA2736" i="1"/>
  <c r="AA2737" i="1" a="1"/>
  <c r="AA2737" i="1"/>
  <c r="AA2738" i="1" a="1"/>
  <c r="AA2738" i="1"/>
  <c r="AA2739" i="1" a="1"/>
  <c r="AA2739" i="1"/>
  <c r="AA2740" i="1" a="1"/>
  <c r="AA2740" i="1"/>
  <c r="AA2741" i="1" a="1"/>
  <c r="AA2741" i="1"/>
  <c r="AA2742" i="1" a="1"/>
  <c r="AA2742" i="1"/>
  <c r="AA2743" i="1" a="1"/>
  <c r="AA2743" i="1"/>
  <c r="AA2744" i="1" a="1"/>
  <c r="AA2744" i="1"/>
  <c r="AA2745" i="1" a="1"/>
  <c r="AA2745" i="1"/>
  <c r="AA2746" i="1" a="1"/>
  <c r="AA2746" i="1"/>
  <c r="AA2747" i="1" a="1"/>
  <c r="AA2747" i="1"/>
  <c r="AA2748" i="1" a="1"/>
  <c r="AA2748" i="1"/>
  <c r="AA2749" i="1" a="1"/>
  <c r="AA2749" i="1"/>
  <c r="AA2750" i="1" a="1"/>
  <c r="AA2750" i="1"/>
  <c r="AA2751" i="1" a="1"/>
  <c r="AA2751" i="1"/>
  <c r="AA2752" i="1" a="1"/>
  <c r="AA2752" i="1"/>
  <c r="AA2753" i="1" a="1"/>
  <c r="AA2753" i="1"/>
  <c r="AA2754" i="1" a="1"/>
  <c r="AA2754" i="1"/>
  <c r="AA2755" i="1" a="1"/>
  <c r="AA2755" i="1"/>
  <c r="AA2756" i="1" a="1"/>
  <c r="AA2756" i="1"/>
  <c r="AA2757" i="1" a="1"/>
  <c r="AA2757" i="1"/>
  <c r="AA2758" i="1" a="1"/>
  <c r="AA2758" i="1"/>
  <c r="AA2759" i="1" a="1"/>
  <c r="AA2759" i="1"/>
  <c r="AA2760" i="1" a="1"/>
  <c r="AA2760" i="1"/>
  <c r="AA2761" i="1" a="1"/>
  <c r="AA2761" i="1"/>
  <c r="AA2762" i="1" a="1"/>
  <c r="AA2762" i="1"/>
  <c r="AA2763" i="1" a="1"/>
  <c r="AA2763" i="1"/>
  <c r="AA2764" i="1" a="1"/>
  <c r="AA2764" i="1"/>
  <c r="AA2765" i="1" a="1"/>
  <c r="AA2765" i="1"/>
  <c r="AA2766" i="1" a="1"/>
  <c r="AA2766" i="1"/>
  <c r="AA2767" i="1" a="1"/>
  <c r="AA2767" i="1"/>
  <c r="AA2768" i="1" a="1"/>
  <c r="AA2768" i="1"/>
  <c r="AA2769" i="1" a="1"/>
  <c r="AA2769" i="1"/>
  <c r="AA2770" i="1" a="1"/>
  <c r="AA2770" i="1"/>
  <c r="AA2771" i="1" a="1"/>
  <c r="AA2771" i="1"/>
  <c r="AA2772" i="1" a="1"/>
  <c r="AA2772" i="1"/>
  <c r="AA2773" i="1" a="1"/>
  <c r="AA2773" i="1"/>
  <c r="AA2774" i="1" a="1"/>
  <c r="AA2774" i="1"/>
  <c r="AA2775" i="1" a="1"/>
  <c r="AA2775" i="1"/>
  <c r="AA2776" i="1" a="1"/>
  <c r="AA2776" i="1"/>
  <c r="AA2777" i="1" a="1"/>
  <c r="AA2777" i="1"/>
  <c r="AA2778" i="1" a="1"/>
  <c r="AA2778" i="1"/>
  <c r="AA2779" i="1" a="1"/>
  <c r="AA2779" i="1"/>
  <c r="AA2780" i="1" a="1"/>
  <c r="AA2780" i="1"/>
  <c r="AA2781" i="1" a="1"/>
  <c r="AA2781" i="1"/>
  <c r="AA2782" i="1" a="1"/>
  <c r="AA2782" i="1"/>
  <c r="AA2783" i="1" a="1"/>
  <c r="AA2783" i="1"/>
  <c r="AA2784" i="1" a="1"/>
  <c r="AA2784" i="1"/>
  <c r="AA2785" i="1" a="1"/>
  <c r="AA2785" i="1"/>
  <c r="AA2786" i="1" a="1"/>
  <c r="AA2786" i="1"/>
  <c r="AA2787" i="1" a="1"/>
  <c r="AA2787" i="1"/>
  <c r="AA2788" i="1" a="1"/>
  <c r="AA2788" i="1"/>
  <c r="AA2789" i="1" a="1"/>
  <c r="AA2789" i="1"/>
  <c r="AA2790" i="1" a="1"/>
  <c r="AA2790" i="1"/>
  <c r="AA2791" i="1" a="1"/>
  <c r="AA2791" i="1"/>
  <c r="AA2792" i="1" a="1"/>
  <c r="AA2792" i="1"/>
  <c r="AA2793" i="1" a="1"/>
  <c r="AA2793" i="1"/>
  <c r="AA2794" i="1" a="1"/>
  <c r="AA2794" i="1"/>
  <c r="AA2795" i="1" a="1"/>
  <c r="AA2795" i="1"/>
  <c r="AA2796" i="1" a="1"/>
  <c r="AA2796" i="1"/>
  <c r="AA2797" i="1" a="1"/>
  <c r="AA2797" i="1"/>
  <c r="AA2798" i="1" a="1"/>
  <c r="AA2798" i="1"/>
  <c r="AA2799" i="1" a="1"/>
  <c r="AA2799" i="1"/>
  <c r="AA2800" i="1" a="1"/>
  <c r="AA2800" i="1"/>
  <c r="AA2801" i="1" a="1"/>
  <c r="AA2801" i="1"/>
  <c r="AA2802" i="1" a="1"/>
  <c r="AA2802" i="1"/>
  <c r="AA2803" i="1" a="1"/>
  <c r="AA2803" i="1"/>
  <c r="AA2804" i="1" a="1"/>
  <c r="AA2804" i="1"/>
  <c r="AA2805" i="1" a="1"/>
  <c r="AA2805" i="1"/>
  <c r="AA2806" i="1" a="1"/>
  <c r="AA2806" i="1"/>
  <c r="AA2807" i="1" a="1"/>
  <c r="AA2807" i="1"/>
  <c r="AA2808" i="1" a="1"/>
  <c r="AA2808" i="1"/>
  <c r="AA2809" i="1" a="1"/>
  <c r="AA2809" i="1"/>
  <c r="AA2810" i="1" a="1"/>
  <c r="AA2810" i="1"/>
  <c r="AA2811" i="1" a="1"/>
  <c r="AA2811" i="1"/>
  <c r="AA2812" i="1" a="1"/>
  <c r="AA2812" i="1"/>
  <c r="AA2813" i="1" a="1"/>
  <c r="AA2813" i="1"/>
  <c r="AA2814" i="1" a="1"/>
  <c r="AA2814" i="1"/>
  <c r="AA2815" i="1" a="1"/>
  <c r="AA2815" i="1"/>
  <c r="AA2816" i="1" a="1"/>
  <c r="AA2816" i="1"/>
  <c r="AA2817" i="1" a="1"/>
  <c r="AA2817" i="1"/>
  <c r="AA2818" i="1" a="1"/>
  <c r="AA2818" i="1"/>
  <c r="AA2819" i="1" a="1"/>
  <c r="AA2819" i="1"/>
  <c r="AA2820" i="1" a="1"/>
  <c r="AA2820" i="1"/>
  <c r="AA2821" i="1" a="1"/>
  <c r="AA2821" i="1"/>
  <c r="AA2822" i="1" a="1"/>
  <c r="AA2822" i="1"/>
  <c r="AA2823" i="1" a="1"/>
  <c r="AA2823" i="1"/>
  <c r="AA2824" i="1" a="1"/>
  <c r="AA2824" i="1"/>
  <c r="AA2825" i="1" a="1"/>
  <c r="AA2825" i="1"/>
  <c r="AA2826" i="1" a="1"/>
  <c r="AA2826" i="1"/>
  <c r="AA2827" i="1" a="1"/>
  <c r="AA2827" i="1"/>
  <c r="AA2828" i="1" a="1"/>
  <c r="AA2828" i="1"/>
  <c r="AA2829" i="1" a="1"/>
  <c r="AA2829" i="1"/>
  <c r="AA2830" i="1" a="1"/>
  <c r="AA2830" i="1"/>
  <c r="AA2831" i="1" a="1"/>
  <c r="AA2831" i="1"/>
  <c r="AA2832" i="1" a="1"/>
  <c r="AA2832" i="1"/>
  <c r="AA2833" i="1" a="1"/>
  <c r="AA2833" i="1"/>
  <c r="AA2834" i="1" a="1"/>
  <c r="AA2834" i="1"/>
  <c r="AA2835" i="1" a="1"/>
  <c r="AA2835" i="1"/>
  <c r="AA2836" i="1" a="1"/>
  <c r="AA2836" i="1"/>
  <c r="AA2837" i="1" a="1"/>
  <c r="AA2837" i="1"/>
  <c r="AA2838" i="1" a="1"/>
  <c r="AA2838" i="1"/>
  <c r="AA2839" i="1" a="1"/>
  <c r="AA2839" i="1"/>
  <c r="AA2840" i="1" a="1"/>
  <c r="AA2840" i="1"/>
  <c r="AA2841" i="1" a="1"/>
  <c r="AA2841" i="1"/>
  <c r="AA2842" i="1" a="1"/>
  <c r="AA2842" i="1"/>
  <c r="AA2843" i="1" a="1"/>
  <c r="AA2843" i="1"/>
  <c r="AA2844" i="1" a="1"/>
  <c r="AA2844" i="1"/>
  <c r="AA2845" i="1" a="1"/>
  <c r="AA2845" i="1"/>
  <c r="AA2846" i="1" a="1"/>
  <c r="AA2846" i="1"/>
  <c r="AA2847" i="1" a="1"/>
  <c r="AA2847" i="1"/>
  <c r="AA2848" i="1" a="1"/>
  <c r="AA2848" i="1"/>
  <c r="AA2849" i="1" a="1"/>
  <c r="AA2849" i="1"/>
  <c r="AA2850" i="1" a="1"/>
  <c r="AA2850" i="1"/>
  <c r="AA2851" i="1" a="1"/>
  <c r="AA2851" i="1"/>
  <c r="AA2852" i="1" a="1"/>
  <c r="AA2852" i="1"/>
  <c r="AA2853" i="1" a="1"/>
  <c r="AA2853" i="1"/>
  <c r="AA2854" i="1" a="1"/>
  <c r="AA2854" i="1"/>
  <c r="AA2855" i="1" a="1"/>
  <c r="AA2855" i="1"/>
  <c r="AA2856" i="1" a="1"/>
  <c r="AA2856" i="1"/>
  <c r="AA2857" i="1" a="1"/>
  <c r="AA2857" i="1"/>
  <c r="AA2858" i="1" a="1"/>
  <c r="AA2858" i="1"/>
  <c r="AA2859" i="1" a="1"/>
  <c r="AA2859" i="1"/>
  <c r="AA2860" i="1" a="1"/>
  <c r="AA2860" i="1"/>
  <c r="AA2861" i="1" a="1"/>
  <c r="AA2861" i="1"/>
  <c r="AA2862" i="1" a="1"/>
  <c r="AA2862" i="1"/>
  <c r="AA2863" i="1" a="1"/>
  <c r="AA2863" i="1"/>
  <c r="AA2864" i="1" a="1"/>
  <c r="AA2864" i="1"/>
  <c r="AA2865" i="1" a="1"/>
  <c r="AA2865" i="1"/>
  <c r="AA2866" i="1" a="1"/>
  <c r="AA2866" i="1"/>
  <c r="AA2867" i="1" a="1"/>
  <c r="AA2867" i="1"/>
  <c r="AA2868" i="1" a="1"/>
  <c r="AA2868" i="1"/>
  <c r="AA2869" i="1" a="1"/>
  <c r="AA2869" i="1"/>
  <c r="AA2870" i="1" a="1"/>
  <c r="AA2870" i="1"/>
  <c r="AA2871" i="1" a="1"/>
  <c r="AA2871" i="1"/>
  <c r="AA2872" i="1" a="1"/>
  <c r="AA2872" i="1"/>
  <c r="AA2873" i="1" a="1"/>
  <c r="AA2873" i="1"/>
  <c r="AA2874" i="1" a="1"/>
  <c r="AA2874" i="1"/>
  <c r="AA2875" i="1" a="1"/>
  <c r="AA2875" i="1"/>
  <c r="AA2876" i="1" a="1"/>
  <c r="AA2876" i="1"/>
  <c r="AA2877" i="1" a="1"/>
  <c r="AA2877" i="1"/>
  <c r="AA2878" i="1" a="1"/>
  <c r="AA2878" i="1"/>
  <c r="AA2879" i="1" a="1"/>
  <c r="AA2879" i="1"/>
  <c r="AA2880" i="1" a="1"/>
  <c r="AA2880" i="1"/>
  <c r="AA2881" i="1" a="1"/>
  <c r="AA2881" i="1"/>
  <c r="AA2882" i="1" a="1"/>
  <c r="AA2882" i="1"/>
  <c r="AA2883" i="1" a="1"/>
  <c r="AA2883" i="1"/>
  <c r="AA2884" i="1" a="1"/>
  <c r="AA2884" i="1"/>
  <c r="AA2885" i="1" a="1"/>
  <c r="AA2885" i="1"/>
  <c r="AA2886" i="1" a="1"/>
  <c r="AA2886" i="1"/>
  <c r="AA2887" i="1" a="1"/>
  <c r="AA2887" i="1"/>
  <c r="AA2888" i="1" a="1"/>
  <c r="AA2888" i="1"/>
  <c r="AA2889" i="1" a="1"/>
  <c r="AA2889" i="1"/>
  <c r="AA2890" i="1" a="1"/>
  <c r="AA2890" i="1"/>
  <c r="AA2891" i="1" a="1"/>
  <c r="AA2891" i="1"/>
  <c r="AA2892" i="1" a="1"/>
  <c r="AA2892" i="1"/>
  <c r="AA2893" i="1" a="1"/>
  <c r="AA2893" i="1"/>
  <c r="AA2894" i="1" a="1"/>
  <c r="AA2894" i="1"/>
  <c r="AA2895" i="1" a="1"/>
  <c r="AA2895" i="1"/>
  <c r="AA2896" i="1" a="1"/>
  <c r="AA2896" i="1"/>
  <c r="AA2897" i="1" a="1"/>
  <c r="AA2897" i="1"/>
  <c r="AA2898" i="1" a="1"/>
  <c r="AA2898" i="1"/>
  <c r="AA2899" i="1" a="1"/>
  <c r="AA2899" i="1"/>
  <c r="AA2900" i="1" a="1"/>
  <c r="AA2900" i="1"/>
  <c r="AA2901" i="1" a="1"/>
  <c r="AA2901" i="1"/>
  <c r="AA2902" i="1" a="1"/>
  <c r="AA2902" i="1"/>
  <c r="AA2903" i="1" a="1"/>
  <c r="AA2903" i="1"/>
  <c r="AA2904" i="1" a="1"/>
  <c r="AA2904" i="1"/>
  <c r="AA2905" i="1" a="1"/>
  <c r="AA2905" i="1"/>
  <c r="AA2906" i="1" a="1"/>
  <c r="AA2906" i="1"/>
  <c r="AA2907" i="1" a="1"/>
  <c r="AA2907" i="1"/>
  <c r="AA2908" i="1" a="1"/>
  <c r="AA2908" i="1"/>
  <c r="AA2909" i="1" a="1"/>
  <c r="AA2909" i="1"/>
  <c r="AA2910" i="1" a="1"/>
  <c r="AA2910" i="1"/>
  <c r="AA2911" i="1" a="1"/>
  <c r="AA2911" i="1"/>
  <c r="AA2912" i="1" a="1"/>
  <c r="AA2912" i="1"/>
  <c r="AA2913" i="1" a="1"/>
  <c r="AA2913" i="1"/>
  <c r="AA2914" i="1" a="1"/>
  <c r="AA2914" i="1"/>
  <c r="AA2915" i="1" a="1"/>
  <c r="AA2915" i="1"/>
  <c r="AA2916" i="1" a="1"/>
  <c r="AA2916" i="1"/>
  <c r="AA2917" i="1" a="1"/>
  <c r="AA2917" i="1"/>
  <c r="AA2918" i="1" a="1"/>
  <c r="AA2918" i="1"/>
  <c r="AA2919" i="1" a="1"/>
  <c r="AA2919" i="1"/>
  <c r="AA2920" i="1" a="1"/>
  <c r="AA2920" i="1"/>
  <c r="AA2921" i="1" a="1"/>
  <c r="AA2921" i="1"/>
  <c r="AA2922" i="1" a="1"/>
  <c r="AA2922" i="1"/>
  <c r="AA2923" i="1" a="1"/>
  <c r="AA2923" i="1"/>
  <c r="AA2924" i="1" a="1"/>
  <c r="AA2924" i="1"/>
  <c r="AA2925" i="1" a="1"/>
  <c r="AA2925" i="1"/>
  <c r="AA2926" i="1" a="1"/>
  <c r="AA2926" i="1"/>
  <c r="AA2927" i="1" a="1"/>
  <c r="AA2927" i="1"/>
  <c r="AA2928" i="1" a="1"/>
  <c r="AA2928" i="1"/>
  <c r="AA2929" i="1" a="1"/>
  <c r="AA2929" i="1"/>
  <c r="AA2930" i="1" a="1"/>
  <c r="AA2930" i="1"/>
  <c r="AA2931" i="1" a="1"/>
  <c r="AA2931" i="1"/>
  <c r="AA2932" i="1" a="1"/>
  <c r="AA2932" i="1"/>
  <c r="AA2933" i="1" a="1"/>
  <c r="AA2933" i="1"/>
  <c r="AA2934" i="1" a="1"/>
  <c r="AA2934" i="1"/>
  <c r="AA2935" i="1" a="1"/>
  <c r="AA2935" i="1"/>
  <c r="AA2936" i="1" a="1"/>
  <c r="AA2936" i="1"/>
  <c r="AA2937" i="1" a="1"/>
  <c r="AA2937" i="1"/>
  <c r="AA2938" i="1" a="1"/>
  <c r="AA2938" i="1"/>
  <c r="AA2939" i="1" a="1"/>
  <c r="AA2939" i="1"/>
  <c r="AA2940" i="1" a="1"/>
  <c r="AA2940" i="1"/>
  <c r="AA2941" i="1" a="1"/>
  <c r="AA2941" i="1"/>
  <c r="AA2942" i="1" a="1"/>
  <c r="AA2942" i="1"/>
  <c r="AA2943" i="1" a="1"/>
  <c r="AA2943" i="1"/>
  <c r="AA2944" i="1" a="1"/>
  <c r="AA2944" i="1"/>
  <c r="AA2945" i="1" a="1"/>
  <c r="AA2945" i="1"/>
  <c r="AA2946" i="1" a="1"/>
  <c r="AA2946" i="1"/>
  <c r="AA2947" i="1" a="1"/>
  <c r="AA2947" i="1"/>
  <c r="AA2948" i="1" a="1"/>
  <c r="AA2948" i="1"/>
  <c r="AA2949" i="1" a="1"/>
  <c r="AA2949" i="1"/>
  <c r="AA2950" i="1" a="1"/>
  <c r="AA2950" i="1"/>
  <c r="AA2951" i="1" a="1"/>
  <c r="AA2951" i="1"/>
  <c r="AA2952" i="1" a="1"/>
  <c r="AA2952" i="1"/>
  <c r="AA2953" i="1" a="1"/>
  <c r="AA2953" i="1"/>
  <c r="AA2954" i="1" a="1"/>
  <c r="AA2954" i="1"/>
  <c r="AA2955" i="1" a="1"/>
  <c r="AA2955" i="1"/>
  <c r="AA2956" i="1" a="1"/>
  <c r="AA2956" i="1"/>
  <c r="AA2957" i="1" a="1"/>
  <c r="AA2957" i="1"/>
  <c r="AA2958" i="1" a="1"/>
  <c r="AA2958" i="1"/>
  <c r="AA2959" i="1" a="1"/>
  <c r="AA2959" i="1"/>
  <c r="AA2960" i="1" a="1"/>
  <c r="AA2960" i="1"/>
  <c r="AA2961" i="1" a="1"/>
  <c r="AA2961" i="1"/>
  <c r="AA2962" i="1" a="1"/>
  <c r="AA2962" i="1"/>
  <c r="AA2963" i="1" a="1"/>
  <c r="AA2963" i="1"/>
  <c r="AA2964" i="1" a="1"/>
  <c r="AA2964" i="1"/>
  <c r="AA2965" i="1" a="1"/>
  <c r="AA2965" i="1"/>
  <c r="AA2966" i="1" a="1"/>
  <c r="AA2966" i="1"/>
  <c r="AA2967" i="1" a="1"/>
  <c r="AA2967" i="1"/>
  <c r="AA2968" i="1" a="1"/>
  <c r="AA2968" i="1"/>
  <c r="AA2969" i="1" a="1"/>
  <c r="AA2969" i="1"/>
  <c r="AA2970" i="1" a="1"/>
  <c r="AA2970" i="1"/>
  <c r="AA2971" i="1" a="1"/>
  <c r="AA2971" i="1"/>
  <c r="AA2972" i="1" a="1"/>
  <c r="AA2972" i="1"/>
  <c r="AA2973" i="1" a="1"/>
  <c r="AA2973" i="1"/>
  <c r="AA2974" i="1" a="1"/>
  <c r="AA2974" i="1"/>
  <c r="AA2975" i="1" a="1"/>
  <c r="AA2975" i="1"/>
  <c r="AA2976" i="1" a="1"/>
  <c r="AA2976" i="1"/>
  <c r="AA2977" i="1" a="1"/>
  <c r="AA2977" i="1"/>
  <c r="AA2978" i="1" a="1"/>
  <c r="AA2978" i="1"/>
  <c r="AA2979" i="1" a="1"/>
  <c r="AA2979" i="1"/>
  <c r="AA2980" i="1" a="1"/>
  <c r="AA2980" i="1"/>
  <c r="AA2981" i="1" a="1"/>
  <c r="AA2981" i="1"/>
  <c r="AA2982" i="1" a="1"/>
  <c r="AA2982" i="1"/>
  <c r="AA2983" i="1" a="1"/>
  <c r="AA2983" i="1"/>
  <c r="AA2984" i="1" a="1"/>
  <c r="AA2984" i="1"/>
  <c r="AA2985" i="1" a="1"/>
  <c r="AA2985" i="1"/>
  <c r="AA2986" i="1" a="1"/>
  <c r="AA2986" i="1"/>
  <c r="AA2987" i="1" a="1"/>
  <c r="AA2987" i="1"/>
  <c r="AA2988" i="1" a="1"/>
  <c r="AA2988" i="1"/>
  <c r="AA2989" i="1" a="1"/>
  <c r="AA2989" i="1"/>
  <c r="AA2990" i="1" a="1"/>
  <c r="AA2990" i="1"/>
  <c r="AA2991" i="1" a="1"/>
  <c r="AA2991" i="1"/>
  <c r="AA2992" i="1" a="1"/>
  <c r="AA2992" i="1"/>
  <c r="AA2993" i="1" a="1"/>
  <c r="AA2993" i="1"/>
  <c r="AA2994" i="1" a="1"/>
  <c r="AA2994" i="1"/>
  <c r="AA2995" i="1" a="1"/>
  <c r="AA2995" i="1"/>
  <c r="AA2996" i="1" a="1"/>
  <c r="AA2996" i="1"/>
  <c r="AA2997" i="1" a="1"/>
  <c r="AA2997" i="1"/>
  <c r="AA2998" i="1" a="1"/>
  <c r="AA2998" i="1"/>
  <c r="AA2999" i="1" a="1"/>
  <c r="AA2999" i="1"/>
  <c r="AA3000" i="1" a="1"/>
  <c r="AA3000" i="1"/>
  <c r="AA3001" i="1" a="1"/>
  <c r="AA3001" i="1"/>
  <c r="M11" i="4"/>
  <c r="G11" i="4"/>
  <c r="S11" i="4"/>
  <c r="Y11" i="4"/>
  <c r="A11" i="4"/>
  <c r="Y6" i="4"/>
  <c r="S6" i="4"/>
  <c r="M6" i="4"/>
  <c r="G6" i="4"/>
  <c r="A6" i="4"/>
  <c r="Z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Z1517" i="1"/>
  <c r="Z1518" i="1"/>
  <c r="Z1519" i="1"/>
  <c r="Z1520" i="1"/>
  <c r="Z1521" i="1"/>
  <c r="Z1522" i="1"/>
  <c r="Z1523" i="1"/>
  <c r="Z1524" i="1"/>
  <c r="Z1525" i="1"/>
  <c r="Z1526" i="1"/>
  <c r="Z1527" i="1"/>
  <c r="Z1528" i="1"/>
  <c r="Z1529" i="1"/>
  <c r="Z1530" i="1"/>
  <c r="Z1531" i="1"/>
  <c r="Z1532" i="1"/>
  <c r="Z1533" i="1"/>
  <c r="Z1534" i="1"/>
  <c r="Z1535" i="1"/>
  <c r="Z1536" i="1"/>
  <c r="Z1537" i="1"/>
  <c r="Z1538" i="1"/>
  <c r="Z1539" i="1"/>
  <c r="Z1540" i="1"/>
  <c r="Z1541" i="1"/>
  <c r="Z1542" i="1"/>
  <c r="Z1543" i="1"/>
  <c r="Z1544" i="1"/>
  <c r="Z1545" i="1"/>
  <c r="Z1546" i="1"/>
  <c r="Z1547" i="1"/>
  <c r="Z1548" i="1"/>
  <c r="Z1549" i="1"/>
  <c r="Z1550" i="1"/>
  <c r="Z1551" i="1"/>
  <c r="Z1552" i="1"/>
  <c r="Z1553" i="1"/>
  <c r="Z1554" i="1"/>
  <c r="Z1555" i="1"/>
  <c r="Z1556" i="1"/>
  <c r="Z1557" i="1"/>
  <c r="Z1558" i="1"/>
  <c r="Z1559" i="1"/>
  <c r="Z1560" i="1"/>
  <c r="Z1561" i="1"/>
  <c r="Z1562" i="1"/>
  <c r="Z1563" i="1"/>
  <c r="Z1564" i="1"/>
  <c r="Z1565" i="1"/>
  <c r="Z1566" i="1"/>
  <c r="Z1567" i="1"/>
  <c r="Z1568" i="1"/>
  <c r="Z1569" i="1"/>
  <c r="Z1570" i="1"/>
  <c r="Z1571" i="1"/>
  <c r="Z1572" i="1"/>
  <c r="Z1573" i="1"/>
  <c r="Z1574" i="1"/>
  <c r="Z1575" i="1"/>
  <c r="Z1576" i="1"/>
  <c r="Z1577" i="1"/>
  <c r="Z1578" i="1"/>
  <c r="Z1579" i="1"/>
  <c r="Z1580" i="1"/>
  <c r="Z1581" i="1"/>
  <c r="Z1582" i="1"/>
  <c r="Z1583" i="1"/>
  <c r="Z1584" i="1"/>
  <c r="Z1585" i="1"/>
  <c r="Z1586" i="1"/>
  <c r="Z1587" i="1"/>
  <c r="Z1588" i="1"/>
  <c r="Z1589" i="1"/>
  <c r="Z1590" i="1"/>
  <c r="Z1591" i="1"/>
  <c r="Z1592" i="1"/>
  <c r="Z1593" i="1"/>
  <c r="Z1594" i="1"/>
  <c r="Z1595" i="1"/>
  <c r="Z1596" i="1"/>
  <c r="Z1597" i="1"/>
  <c r="Z1598" i="1"/>
  <c r="Z1599" i="1"/>
  <c r="Z1600" i="1"/>
  <c r="Z1601" i="1"/>
  <c r="Z1602" i="1"/>
  <c r="Z1603" i="1"/>
  <c r="Z1604" i="1"/>
  <c r="Z1605" i="1"/>
  <c r="Z1606" i="1"/>
  <c r="Z1607" i="1"/>
  <c r="Z1608" i="1"/>
  <c r="Z1609" i="1"/>
  <c r="Z1610" i="1"/>
  <c r="Z1611" i="1"/>
  <c r="Z1612" i="1"/>
  <c r="Z1613" i="1"/>
  <c r="Z1614" i="1"/>
  <c r="Z1615" i="1"/>
  <c r="Z1616" i="1"/>
  <c r="Z1617" i="1"/>
  <c r="Z1618" i="1"/>
  <c r="Z1619" i="1"/>
  <c r="Z1620" i="1"/>
  <c r="Z1621" i="1"/>
  <c r="Z1622" i="1"/>
  <c r="Z1623" i="1"/>
  <c r="Z1624" i="1"/>
  <c r="Z1625" i="1"/>
  <c r="Z1626" i="1"/>
  <c r="Z1627" i="1"/>
  <c r="Z1628" i="1"/>
  <c r="Z1629" i="1"/>
  <c r="Z1630" i="1"/>
  <c r="Z1631" i="1"/>
  <c r="Z1632" i="1"/>
  <c r="Z1633" i="1"/>
  <c r="Z1634" i="1"/>
  <c r="Z1635" i="1"/>
  <c r="Z1636" i="1"/>
  <c r="Z1637" i="1"/>
  <c r="Z1638" i="1"/>
  <c r="Z1639" i="1"/>
  <c r="Z1640" i="1"/>
  <c r="Z1641" i="1"/>
  <c r="Z1642" i="1"/>
  <c r="Z1643" i="1"/>
  <c r="Z1644" i="1"/>
  <c r="Z1645" i="1"/>
  <c r="Z1646" i="1"/>
  <c r="Z1647" i="1"/>
  <c r="Z1648" i="1"/>
  <c r="Z1649" i="1"/>
  <c r="Z1650" i="1"/>
  <c r="Z1651" i="1"/>
  <c r="Z1652" i="1"/>
  <c r="Z1653" i="1"/>
  <c r="Z1654" i="1"/>
  <c r="Z1655" i="1"/>
  <c r="Z1656" i="1"/>
  <c r="Z1657" i="1"/>
  <c r="Z1658" i="1"/>
  <c r="Z1659" i="1"/>
  <c r="Z1660" i="1"/>
  <c r="Z1661" i="1"/>
  <c r="Z1662" i="1"/>
  <c r="Z1663" i="1"/>
  <c r="Z1664" i="1"/>
  <c r="Z1665" i="1"/>
  <c r="Z1666" i="1"/>
  <c r="Z1667" i="1"/>
  <c r="Z1668" i="1"/>
  <c r="Z1669" i="1"/>
  <c r="Z1670" i="1"/>
  <c r="Z1671" i="1"/>
  <c r="Z1672" i="1"/>
  <c r="Z1673" i="1"/>
  <c r="Z1674" i="1"/>
  <c r="Z1675" i="1"/>
  <c r="Z1676" i="1"/>
  <c r="Z1677" i="1"/>
  <c r="Z1678" i="1"/>
  <c r="Z1679" i="1"/>
  <c r="Z1680" i="1"/>
  <c r="Z1681" i="1"/>
  <c r="Z1682" i="1"/>
  <c r="Z1683" i="1"/>
  <c r="Z1684" i="1"/>
  <c r="Z1685" i="1"/>
  <c r="Z1686" i="1"/>
  <c r="Z1687" i="1"/>
  <c r="Z1688" i="1"/>
  <c r="Z1689" i="1"/>
  <c r="Z1690" i="1"/>
  <c r="Z1691" i="1"/>
  <c r="Z1692" i="1"/>
  <c r="Z1693" i="1"/>
  <c r="Z1694" i="1"/>
  <c r="Z1695" i="1"/>
  <c r="Z1696" i="1"/>
  <c r="Z1697" i="1"/>
  <c r="Z1698" i="1"/>
  <c r="Z1699" i="1"/>
  <c r="Z1700" i="1"/>
  <c r="Z1701" i="1"/>
  <c r="Z1702" i="1"/>
  <c r="Z1703" i="1"/>
  <c r="Z1704" i="1"/>
  <c r="Z1705" i="1"/>
  <c r="Z1706" i="1"/>
  <c r="Z1707" i="1"/>
  <c r="Z1708" i="1"/>
  <c r="Z1709" i="1"/>
  <c r="Z1710" i="1"/>
  <c r="Z1711" i="1"/>
  <c r="Z1712" i="1"/>
  <c r="Z1713" i="1"/>
  <c r="Z1714" i="1"/>
  <c r="Z1715" i="1"/>
  <c r="Z1716" i="1"/>
  <c r="Z1717" i="1"/>
  <c r="Z1718" i="1"/>
  <c r="Z1719" i="1"/>
  <c r="Z1720" i="1"/>
  <c r="Z1721" i="1"/>
  <c r="Z1722" i="1"/>
  <c r="Z1723" i="1"/>
  <c r="Z1724" i="1"/>
  <c r="Z1725" i="1"/>
  <c r="Z1726" i="1"/>
  <c r="Z1727" i="1"/>
  <c r="Z1728" i="1"/>
  <c r="Z1729" i="1"/>
  <c r="Z1730" i="1"/>
  <c r="Z1731" i="1"/>
  <c r="Z1732" i="1"/>
  <c r="Z1733" i="1"/>
  <c r="Z1734" i="1"/>
  <c r="Z1735" i="1"/>
  <c r="Z1736" i="1"/>
  <c r="Z1737" i="1"/>
  <c r="Z1738" i="1"/>
  <c r="Z1739" i="1"/>
  <c r="Z1740" i="1"/>
  <c r="Z1741" i="1"/>
  <c r="Z1742" i="1"/>
  <c r="Z1743" i="1"/>
  <c r="Z1744" i="1"/>
  <c r="Z1745" i="1"/>
  <c r="Z1746" i="1"/>
  <c r="Z1747" i="1"/>
  <c r="Z1748" i="1"/>
  <c r="Z1749" i="1"/>
  <c r="Z1750" i="1"/>
  <c r="Z1751" i="1"/>
  <c r="Z1752" i="1"/>
  <c r="Z1753" i="1"/>
  <c r="Z1754" i="1"/>
  <c r="Z1755" i="1"/>
  <c r="Z1756" i="1"/>
  <c r="Z1757" i="1"/>
  <c r="Z1758" i="1"/>
  <c r="Z1759" i="1"/>
  <c r="Z1760" i="1"/>
  <c r="Z1761" i="1"/>
  <c r="Z1762" i="1"/>
  <c r="Z1763" i="1"/>
  <c r="Z1764" i="1"/>
  <c r="Z1765" i="1"/>
  <c r="Z1766" i="1"/>
  <c r="Z1767" i="1"/>
  <c r="Z1768" i="1"/>
  <c r="Z1769" i="1"/>
  <c r="Z1770" i="1"/>
  <c r="Z1771" i="1"/>
  <c r="Z1772" i="1"/>
  <c r="Z1773" i="1"/>
  <c r="Z1774" i="1"/>
  <c r="Z1775" i="1"/>
  <c r="Z1776" i="1"/>
  <c r="Z1777" i="1"/>
  <c r="Z1778" i="1"/>
  <c r="Z1779" i="1"/>
  <c r="Z1780" i="1"/>
  <c r="Z1781" i="1"/>
  <c r="Z1782" i="1"/>
  <c r="Z1783" i="1"/>
  <c r="Z1784" i="1"/>
  <c r="Z1785" i="1"/>
  <c r="Z1786" i="1"/>
  <c r="Z1787" i="1"/>
  <c r="Z1788" i="1"/>
  <c r="Z1789" i="1"/>
  <c r="Z1790" i="1"/>
  <c r="Z1791" i="1"/>
  <c r="Z1792" i="1"/>
  <c r="Z1793" i="1"/>
  <c r="Z1794" i="1"/>
  <c r="Z1795" i="1"/>
  <c r="Z1796" i="1"/>
  <c r="Z1797" i="1"/>
  <c r="Z1798" i="1"/>
  <c r="Z1799" i="1"/>
  <c r="Z1800" i="1"/>
  <c r="Z1801" i="1"/>
  <c r="Z1802" i="1"/>
  <c r="Z1803" i="1"/>
  <c r="Z1804" i="1"/>
  <c r="Z1805" i="1"/>
  <c r="Z1806" i="1"/>
  <c r="Z1807" i="1"/>
  <c r="Z1808" i="1"/>
  <c r="Z1809" i="1"/>
  <c r="Z1810" i="1"/>
  <c r="Z1811" i="1"/>
  <c r="Z1812" i="1"/>
  <c r="Z1813" i="1"/>
  <c r="Z1814" i="1"/>
  <c r="Z1815" i="1"/>
  <c r="Z1816" i="1"/>
  <c r="Z1817" i="1"/>
  <c r="Z1818" i="1"/>
  <c r="Z1819" i="1"/>
  <c r="Z1820" i="1"/>
  <c r="Z1821" i="1"/>
  <c r="Z1822" i="1"/>
  <c r="Z1823" i="1"/>
  <c r="Z1824" i="1"/>
  <c r="Z1825" i="1"/>
  <c r="Z1826" i="1"/>
  <c r="Z1827" i="1"/>
  <c r="Z1828" i="1"/>
  <c r="Z1829" i="1"/>
  <c r="Z1830" i="1"/>
  <c r="Z1831" i="1"/>
  <c r="Z1832" i="1"/>
  <c r="Z1833" i="1"/>
  <c r="Z1834" i="1"/>
  <c r="Z1835" i="1"/>
  <c r="Z1836" i="1"/>
  <c r="Z1837" i="1"/>
  <c r="Z1838" i="1"/>
  <c r="Z1839" i="1"/>
  <c r="Z1840" i="1"/>
  <c r="Z1841" i="1"/>
  <c r="Z1842" i="1"/>
  <c r="Z1843" i="1"/>
  <c r="Z1844" i="1"/>
  <c r="Z1845" i="1"/>
  <c r="Z1846" i="1"/>
  <c r="Z1847" i="1"/>
  <c r="Z1848" i="1"/>
  <c r="Z1849" i="1"/>
  <c r="Z1850" i="1"/>
  <c r="Z1851" i="1"/>
  <c r="Z1852" i="1"/>
  <c r="Z1853" i="1"/>
  <c r="Z1854" i="1"/>
  <c r="Z1855" i="1"/>
  <c r="Z1856" i="1"/>
  <c r="Z1857" i="1"/>
  <c r="Z1858" i="1"/>
  <c r="Z1859" i="1"/>
  <c r="Z1860" i="1"/>
  <c r="Z1861" i="1"/>
  <c r="Z1862" i="1"/>
  <c r="Z1863" i="1"/>
  <c r="Z1864" i="1"/>
  <c r="Z1865" i="1"/>
  <c r="Z1866" i="1"/>
  <c r="Z1867" i="1"/>
  <c r="Z1868" i="1"/>
  <c r="Z1869" i="1"/>
  <c r="Z1870" i="1"/>
  <c r="Z1871" i="1"/>
  <c r="Z1872" i="1"/>
  <c r="Z1873" i="1"/>
  <c r="Z1874" i="1"/>
  <c r="Z1875" i="1"/>
  <c r="Z1876" i="1"/>
  <c r="Z1877" i="1"/>
  <c r="Z1878" i="1"/>
  <c r="Z1879" i="1"/>
  <c r="Z1880" i="1"/>
  <c r="Z1881" i="1"/>
  <c r="Z1882" i="1"/>
  <c r="Z1883" i="1"/>
  <c r="Z1884" i="1"/>
  <c r="Z1885" i="1"/>
  <c r="Z1886" i="1"/>
  <c r="Z1887" i="1"/>
  <c r="Z1888" i="1"/>
  <c r="Z1889" i="1"/>
  <c r="Z1890" i="1"/>
  <c r="Z1891" i="1"/>
  <c r="Z1892" i="1"/>
  <c r="Z1893" i="1"/>
  <c r="Z1894" i="1"/>
  <c r="Z1895" i="1"/>
  <c r="Z1896" i="1"/>
  <c r="Z1897" i="1"/>
  <c r="Z1898" i="1"/>
  <c r="Z1899" i="1"/>
  <c r="Z1900" i="1"/>
  <c r="Z1901" i="1"/>
  <c r="Z1902" i="1"/>
  <c r="Z1903" i="1"/>
  <c r="Z1904" i="1"/>
  <c r="Z1905" i="1"/>
  <c r="Z1906" i="1"/>
  <c r="Z1907" i="1"/>
  <c r="Z1908" i="1"/>
  <c r="Z1909" i="1"/>
  <c r="Z1910" i="1"/>
  <c r="Z1911" i="1"/>
  <c r="Z1912" i="1"/>
  <c r="Z1913" i="1"/>
  <c r="Z1914" i="1"/>
  <c r="Z1915" i="1"/>
  <c r="Z1916" i="1"/>
  <c r="Z1917" i="1"/>
  <c r="Z1918" i="1"/>
  <c r="Z1919" i="1"/>
  <c r="Z1920" i="1"/>
  <c r="Z1921" i="1"/>
  <c r="Z1922" i="1"/>
  <c r="Z1923" i="1"/>
  <c r="Z1924" i="1"/>
  <c r="Z1925" i="1"/>
  <c r="Z1926" i="1"/>
  <c r="Z1927" i="1"/>
  <c r="Z1928" i="1"/>
  <c r="Z1929" i="1"/>
  <c r="Z1930" i="1"/>
  <c r="Z1931" i="1"/>
  <c r="Z1932" i="1"/>
  <c r="Z1933" i="1"/>
  <c r="Z1934" i="1"/>
  <c r="Z1935" i="1"/>
  <c r="Z1936" i="1"/>
  <c r="Z1937" i="1"/>
  <c r="Z1938" i="1"/>
  <c r="Z1939" i="1"/>
  <c r="Z1940" i="1"/>
  <c r="Z1941" i="1"/>
  <c r="Z1942" i="1"/>
  <c r="Z1943" i="1"/>
  <c r="Z1944" i="1"/>
  <c r="Z1945" i="1"/>
  <c r="Z1946" i="1"/>
  <c r="Z1947" i="1"/>
  <c r="Z1948" i="1"/>
  <c r="Z1949" i="1"/>
  <c r="Z1950" i="1"/>
  <c r="Z1951" i="1"/>
  <c r="Z1952" i="1"/>
  <c r="Z1953" i="1"/>
  <c r="Z1954" i="1"/>
  <c r="Z1955" i="1"/>
  <c r="Z1956" i="1"/>
  <c r="Z1957" i="1"/>
  <c r="Z1958" i="1"/>
  <c r="Z1959" i="1"/>
  <c r="Z1960" i="1"/>
  <c r="Z1961" i="1"/>
  <c r="Z1962" i="1"/>
  <c r="Z1963" i="1"/>
  <c r="Z1964" i="1"/>
  <c r="Z1965" i="1"/>
  <c r="Z1966" i="1"/>
  <c r="Z1967" i="1"/>
  <c r="Z1968" i="1"/>
  <c r="Z1969" i="1"/>
  <c r="Z1970" i="1"/>
  <c r="Z1971" i="1"/>
  <c r="Z1972" i="1"/>
  <c r="Z1973" i="1"/>
  <c r="Z1974" i="1"/>
  <c r="Z1975" i="1"/>
  <c r="Z1976" i="1"/>
  <c r="Z1977" i="1"/>
  <c r="Z1978" i="1"/>
  <c r="Z1979" i="1"/>
  <c r="Z1980" i="1"/>
  <c r="Z1981" i="1"/>
  <c r="Z1982" i="1"/>
  <c r="Z1983" i="1"/>
  <c r="Z1984" i="1"/>
  <c r="Z1985" i="1"/>
  <c r="Z1986" i="1"/>
  <c r="Z1987" i="1"/>
  <c r="Z1988" i="1"/>
  <c r="Z1989" i="1"/>
  <c r="Z1990" i="1"/>
  <c r="Z1991" i="1"/>
  <c r="Z1992" i="1"/>
  <c r="Z1993" i="1"/>
  <c r="Z1994" i="1"/>
  <c r="Z1995" i="1"/>
  <c r="Z1996" i="1"/>
  <c r="Z1997" i="1"/>
  <c r="Z1998" i="1"/>
  <c r="Z1999" i="1"/>
  <c r="Z2000" i="1"/>
  <c r="Z2001" i="1"/>
  <c r="Z2002" i="1"/>
  <c r="Z2003" i="1"/>
  <c r="Z2004" i="1"/>
  <c r="Z2005" i="1"/>
  <c r="Z2006" i="1"/>
  <c r="Z2007" i="1"/>
  <c r="Z2008" i="1"/>
  <c r="Z2009" i="1"/>
  <c r="Z2010" i="1"/>
  <c r="Z2011" i="1"/>
  <c r="Z2012" i="1"/>
  <c r="Z2013" i="1"/>
  <c r="Z2014" i="1"/>
  <c r="Z2015" i="1"/>
  <c r="Z2016" i="1"/>
  <c r="Z2017" i="1"/>
  <c r="Z2018" i="1"/>
  <c r="Z2019" i="1"/>
  <c r="Z2020" i="1"/>
  <c r="Z2021" i="1"/>
  <c r="Z2022" i="1"/>
  <c r="Z2023" i="1"/>
  <c r="Z2024" i="1"/>
  <c r="Z2025" i="1"/>
  <c r="Z2026" i="1"/>
  <c r="Z2027" i="1"/>
  <c r="Z2028" i="1"/>
  <c r="Z2029" i="1"/>
  <c r="Z2030" i="1"/>
  <c r="Z2031" i="1"/>
  <c r="Z2032" i="1"/>
  <c r="Z2033" i="1"/>
  <c r="Z2034" i="1"/>
  <c r="Z2035" i="1"/>
  <c r="Z2036" i="1"/>
  <c r="Z2037" i="1"/>
  <c r="Z2038" i="1"/>
  <c r="Z2039" i="1"/>
  <c r="Z2040" i="1"/>
  <c r="Z2041" i="1"/>
  <c r="Z2042" i="1"/>
  <c r="Z2043" i="1"/>
  <c r="Z2044" i="1"/>
  <c r="Z2045" i="1"/>
  <c r="Z2046" i="1"/>
  <c r="Z2047" i="1"/>
  <c r="Z2048" i="1"/>
  <c r="Z2049" i="1"/>
  <c r="Z2050" i="1"/>
  <c r="Z2051" i="1"/>
  <c r="Z2052" i="1"/>
  <c r="Z2053" i="1"/>
  <c r="Z2054" i="1"/>
  <c r="Z2055" i="1"/>
  <c r="Z2056" i="1"/>
  <c r="Z2057" i="1"/>
  <c r="Z2058" i="1"/>
  <c r="Z2059" i="1"/>
  <c r="Z2060" i="1"/>
  <c r="Z2061" i="1"/>
  <c r="Z2062" i="1"/>
  <c r="Z2063" i="1"/>
  <c r="Z2064" i="1"/>
  <c r="Z2065" i="1"/>
  <c r="Z2066" i="1"/>
  <c r="Z2067" i="1"/>
  <c r="Z2068" i="1"/>
  <c r="Z2069" i="1"/>
  <c r="Z2070" i="1"/>
  <c r="Z2071" i="1"/>
  <c r="Z2072" i="1"/>
  <c r="Z2073" i="1"/>
  <c r="Z2074" i="1"/>
  <c r="Z2075" i="1"/>
  <c r="Z2076" i="1"/>
  <c r="Z2077" i="1"/>
  <c r="Z2078" i="1"/>
  <c r="Z2079" i="1"/>
  <c r="Z2080" i="1"/>
  <c r="Z2081" i="1"/>
  <c r="Z2082" i="1"/>
  <c r="Z2083" i="1"/>
  <c r="Z2084" i="1"/>
  <c r="Z2085" i="1"/>
  <c r="Z2086" i="1"/>
  <c r="Z2087" i="1"/>
  <c r="Z2088" i="1"/>
  <c r="Z2089" i="1"/>
  <c r="Z2090" i="1"/>
  <c r="Z2091" i="1"/>
  <c r="Z2092" i="1"/>
  <c r="Z2093" i="1"/>
  <c r="Z2094" i="1"/>
  <c r="Z2095" i="1"/>
  <c r="Z2096" i="1"/>
  <c r="Z2097" i="1"/>
  <c r="Z2098" i="1"/>
  <c r="Z2099" i="1"/>
  <c r="Z2100" i="1"/>
  <c r="Z2101" i="1"/>
  <c r="Z2102" i="1"/>
  <c r="Z2103" i="1"/>
  <c r="Z2104" i="1"/>
  <c r="Z2105" i="1"/>
  <c r="Z2106" i="1"/>
  <c r="Z2107" i="1"/>
  <c r="Z2108" i="1"/>
  <c r="Z2109" i="1"/>
  <c r="Z2110" i="1"/>
  <c r="Z2111" i="1"/>
  <c r="Z2112" i="1"/>
  <c r="Z2113" i="1"/>
  <c r="Z2114" i="1"/>
  <c r="Z2115" i="1"/>
  <c r="Z2116" i="1"/>
  <c r="Z2117" i="1"/>
  <c r="Z2118" i="1"/>
  <c r="Z2119" i="1"/>
  <c r="Z2120" i="1"/>
  <c r="Z2121" i="1"/>
  <c r="Z2122" i="1"/>
  <c r="Z2123" i="1"/>
  <c r="Z2124" i="1"/>
  <c r="Z2125" i="1"/>
  <c r="Z2126" i="1"/>
  <c r="Z2127" i="1"/>
  <c r="Z2128" i="1"/>
  <c r="Z2129" i="1"/>
  <c r="Z2130" i="1"/>
  <c r="Z2131" i="1"/>
  <c r="Z2132" i="1"/>
  <c r="Z2133" i="1"/>
  <c r="Z2134" i="1"/>
  <c r="Z2135" i="1"/>
  <c r="Z2136" i="1"/>
  <c r="Z2137" i="1"/>
  <c r="Z2138" i="1"/>
  <c r="Z2139" i="1"/>
  <c r="Z2140" i="1"/>
  <c r="Z2141" i="1"/>
  <c r="Z2142" i="1"/>
  <c r="Z2143" i="1"/>
  <c r="Z2144" i="1"/>
  <c r="Z2145" i="1"/>
  <c r="Z2146" i="1"/>
  <c r="Z2147" i="1"/>
  <c r="Z2148" i="1"/>
  <c r="Z2149" i="1"/>
  <c r="Z2150" i="1"/>
  <c r="Z2151" i="1"/>
  <c r="Z2152" i="1"/>
  <c r="Z2153" i="1"/>
  <c r="Z2154" i="1"/>
  <c r="Z2155" i="1"/>
  <c r="Z2156" i="1"/>
  <c r="Z2157" i="1"/>
  <c r="Z2158" i="1"/>
  <c r="Z2159" i="1"/>
  <c r="Z2160" i="1"/>
  <c r="Z2161" i="1"/>
  <c r="Z2162" i="1"/>
  <c r="Z2163" i="1"/>
  <c r="Z2164" i="1"/>
  <c r="Z2165" i="1"/>
  <c r="Z2166" i="1"/>
  <c r="Z2167" i="1"/>
  <c r="Z2168" i="1"/>
  <c r="Z2169" i="1"/>
  <c r="Z2170" i="1"/>
  <c r="Z2171" i="1"/>
  <c r="Z2172" i="1"/>
  <c r="Z2173" i="1"/>
  <c r="Z2174" i="1"/>
  <c r="Z2175" i="1"/>
  <c r="Z2176" i="1"/>
  <c r="Z2177" i="1"/>
  <c r="Z2178" i="1"/>
  <c r="Z2179" i="1"/>
  <c r="Z2180" i="1"/>
  <c r="Z2181" i="1"/>
  <c r="Z2182" i="1"/>
  <c r="Z2183" i="1"/>
  <c r="Z2184" i="1"/>
  <c r="Z2185" i="1"/>
  <c r="Z2186" i="1"/>
  <c r="Z2187" i="1"/>
  <c r="Z2188" i="1"/>
  <c r="Z2189" i="1"/>
  <c r="Z2190" i="1"/>
  <c r="Z2191" i="1"/>
  <c r="Z2192" i="1"/>
  <c r="Z2193" i="1"/>
  <c r="Z2194" i="1"/>
  <c r="Z2195" i="1"/>
  <c r="Z2196" i="1"/>
  <c r="Z2197" i="1"/>
  <c r="Z2198" i="1"/>
  <c r="Z2199" i="1"/>
  <c r="Z2200" i="1"/>
  <c r="Z2201" i="1"/>
  <c r="Z2202" i="1"/>
  <c r="Z2203" i="1"/>
  <c r="Z2204" i="1"/>
  <c r="Z2205" i="1"/>
  <c r="Z2206" i="1"/>
  <c r="Z2207" i="1"/>
  <c r="Z2208" i="1"/>
  <c r="Z2209" i="1"/>
  <c r="Z2210" i="1"/>
  <c r="Z2211" i="1"/>
  <c r="Z2212" i="1"/>
  <c r="Z2213" i="1"/>
  <c r="Z2214" i="1"/>
  <c r="Z2215" i="1"/>
  <c r="Z2216" i="1"/>
  <c r="Z2217" i="1"/>
  <c r="Z2218" i="1"/>
  <c r="Z2219" i="1"/>
  <c r="Z2220" i="1"/>
  <c r="Z2221" i="1"/>
  <c r="Z2222" i="1"/>
  <c r="Z2223" i="1"/>
  <c r="Z2224" i="1"/>
  <c r="Z2225" i="1"/>
  <c r="Z2226" i="1"/>
  <c r="Z2227" i="1"/>
  <c r="Z2228" i="1"/>
  <c r="Z2229" i="1"/>
  <c r="Z2230" i="1"/>
  <c r="Z2231" i="1"/>
  <c r="Z2232" i="1"/>
  <c r="Z2233" i="1"/>
  <c r="Z2234" i="1"/>
  <c r="Z2235" i="1"/>
  <c r="Z2236" i="1"/>
  <c r="Z2237" i="1"/>
  <c r="Z2238" i="1"/>
  <c r="Z2239" i="1"/>
  <c r="Z2240" i="1"/>
  <c r="Z2241" i="1"/>
  <c r="Z2242" i="1"/>
  <c r="Z2243" i="1"/>
  <c r="Z2244" i="1"/>
  <c r="Z2245" i="1"/>
  <c r="Z2246" i="1"/>
  <c r="Z2247" i="1"/>
  <c r="Z2248" i="1"/>
  <c r="Z2249" i="1"/>
  <c r="Z2250" i="1"/>
  <c r="Z2251" i="1"/>
  <c r="Z2252" i="1"/>
  <c r="Z2253" i="1"/>
  <c r="Z2254" i="1"/>
  <c r="Z2255" i="1"/>
  <c r="Z2256" i="1"/>
  <c r="Z2257" i="1"/>
  <c r="Z2258" i="1"/>
  <c r="Z2259" i="1"/>
  <c r="Z2260" i="1"/>
  <c r="Z2261" i="1"/>
  <c r="Z2262" i="1"/>
  <c r="Z2263" i="1"/>
  <c r="Z2264" i="1"/>
  <c r="Z2265" i="1"/>
  <c r="Z2266" i="1"/>
  <c r="Z2267" i="1"/>
  <c r="Z2268" i="1"/>
  <c r="Z2269" i="1"/>
  <c r="Z2270" i="1"/>
  <c r="Z2271" i="1"/>
  <c r="Z2272" i="1"/>
  <c r="Z2273" i="1"/>
  <c r="Z2274" i="1"/>
  <c r="Z2275" i="1"/>
  <c r="Z2276" i="1"/>
  <c r="Z2277" i="1"/>
  <c r="Z2278" i="1"/>
  <c r="Z2279" i="1"/>
  <c r="Z2280" i="1"/>
  <c r="Z2281" i="1"/>
  <c r="Z2282" i="1"/>
  <c r="Z2283" i="1"/>
  <c r="Z2284" i="1"/>
  <c r="Z2285" i="1"/>
  <c r="Z2286" i="1"/>
  <c r="Z2287" i="1"/>
  <c r="Z2288" i="1"/>
  <c r="Z2289" i="1"/>
  <c r="Z2290" i="1"/>
  <c r="Z2291" i="1"/>
  <c r="Z2292" i="1"/>
  <c r="Z2293" i="1"/>
  <c r="Z2294" i="1"/>
  <c r="Z2295" i="1"/>
  <c r="Z2296" i="1"/>
  <c r="Z2297" i="1"/>
  <c r="Z2298" i="1"/>
  <c r="Z2299" i="1"/>
  <c r="Z2300" i="1"/>
  <c r="Z2301" i="1"/>
  <c r="Z2302" i="1"/>
  <c r="Z2303" i="1"/>
  <c r="Z2304" i="1"/>
  <c r="Z2305" i="1"/>
  <c r="Z2306" i="1"/>
  <c r="Z2307" i="1"/>
  <c r="Z2308" i="1"/>
  <c r="Z2309" i="1"/>
  <c r="Z2310" i="1"/>
  <c r="Z2311" i="1"/>
  <c r="Z2312" i="1"/>
  <c r="Z2313" i="1"/>
  <c r="Z2314" i="1"/>
  <c r="Z2315" i="1"/>
  <c r="Z2316" i="1"/>
  <c r="Z2317" i="1"/>
  <c r="Z2318" i="1"/>
  <c r="Z2319" i="1"/>
  <c r="Z2320" i="1"/>
  <c r="Z2321" i="1"/>
  <c r="Z2322" i="1"/>
  <c r="Z2323" i="1"/>
  <c r="Z2324" i="1"/>
  <c r="Z2325" i="1"/>
  <c r="Z2326" i="1"/>
  <c r="Z2327" i="1"/>
  <c r="Z2328" i="1"/>
  <c r="Z2329" i="1"/>
  <c r="Z2330" i="1"/>
  <c r="Z2331" i="1"/>
  <c r="Z2332" i="1"/>
  <c r="Z2333" i="1"/>
  <c r="Z2334" i="1"/>
  <c r="Z2335" i="1"/>
  <c r="Z2336" i="1"/>
  <c r="Z2337" i="1"/>
  <c r="Z2338" i="1"/>
  <c r="Z2339" i="1"/>
  <c r="Z2340" i="1"/>
  <c r="Z2341" i="1"/>
  <c r="Z2342" i="1"/>
  <c r="Z2343" i="1"/>
  <c r="Z2344" i="1"/>
  <c r="Z2345" i="1"/>
  <c r="Z2346" i="1"/>
  <c r="Z2347" i="1"/>
  <c r="Z2348" i="1"/>
  <c r="Z2349" i="1"/>
  <c r="Z2350" i="1"/>
  <c r="Z2351" i="1"/>
  <c r="Z2352" i="1"/>
  <c r="Z2353" i="1"/>
  <c r="Z2354" i="1"/>
  <c r="Z2355" i="1"/>
  <c r="Z2356" i="1"/>
  <c r="Z2357" i="1"/>
  <c r="Z2358" i="1"/>
  <c r="Z2359" i="1"/>
  <c r="Z2360" i="1"/>
  <c r="Z2361" i="1"/>
  <c r="Z2362" i="1"/>
  <c r="Z2363" i="1"/>
  <c r="Z2364" i="1"/>
  <c r="Z2365" i="1"/>
  <c r="Z2366" i="1"/>
  <c r="Z2367" i="1"/>
  <c r="Z2368" i="1"/>
  <c r="Z2369" i="1"/>
  <c r="Z2370" i="1"/>
  <c r="Z2371" i="1"/>
  <c r="Z2372" i="1"/>
  <c r="Z2373" i="1"/>
  <c r="Z2374" i="1"/>
  <c r="Z2375" i="1"/>
  <c r="Z2376" i="1"/>
  <c r="Z2377" i="1"/>
  <c r="Z2378" i="1"/>
  <c r="Z2379" i="1"/>
  <c r="Z2380" i="1"/>
  <c r="Z2381" i="1"/>
  <c r="Z2382" i="1"/>
  <c r="Z2383" i="1"/>
  <c r="Z2384" i="1"/>
  <c r="Z2385" i="1"/>
  <c r="Z2386" i="1"/>
  <c r="Z2387" i="1"/>
  <c r="Z2388" i="1"/>
  <c r="Z2389" i="1"/>
  <c r="Z2390" i="1"/>
  <c r="Z2391" i="1"/>
  <c r="Z2392" i="1"/>
  <c r="Z2393" i="1"/>
  <c r="Z2394" i="1"/>
  <c r="Z2395" i="1"/>
  <c r="Z2396" i="1"/>
  <c r="Z2397" i="1"/>
  <c r="Z2398" i="1"/>
  <c r="Z2399" i="1"/>
  <c r="Z2400" i="1"/>
  <c r="Z2401" i="1"/>
  <c r="Z2402" i="1"/>
  <c r="Z2403" i="1"/>
  <c r="Z2404" i="1"/>
  <c r="Z2405" i="1"/>
  <c r="Z2406" i="1"/>
  <c r="Z2407" i="1"/>
  <c r="Z2408" i="1"/>
  <c r="Z2409" i="1"/>
  <c r="Z2410" i="1"/>
  <c r="Z2411" i="1"/>
  <c r="Z2412" i="1"/>
  <c r="Z2413" i="1"/>
  <c r="Z2414" i="1"/>
  <c r="Z2415" i="1"/>
  <c r="Z2416" i="1"/>
  <c r="Z2417" i="1"/>
  <c r="Z2418" i="1"/>
  <c r="Z2419" i="1"/>
  <c r="Z2420" i="1"/>
  <c r="Z2421" i="1"/>
  <c r="Z2422" i="1"/>
  <c r="Z2423" i="1"/>
  <c r="Z2424" i="1"/>
  <c r="Z2425" i="1"/>
  <c r="Z2426" i="1"/>
  <c r="Z2427" i="1"/>
  <c r="Z2428" i="1"/>
  <c r="Z2429" i="1"/>
  <c r="Z2430" i="1"/>
  <c r="Z2431" i="1"/>
  <c r="Z2432" i="1"/>
  <c r="Z2433" i="1"/>
  <c r="Z2434" i="1"/>
  <c r="Z2435" i="1"/>
  <c r="Z2436" i="1"/>
  <c r="Z2437" i="1"/>
  <c r="Z2438" i="1"/>
  <c r="Z2439" i="1"/>
  <c r="Z2440" i="1"/>
  <c r="Z2441" i="1"/>
  <c r="Z2442" i="1"/>
  <c r="Z2443" i="1"/>
  <c r="Z2444" i="1"/>
  <c r="Z2445" i="1"/>
  <c r="Z2446" i="1"/>
  <c r="Z2447" i="1"/>
  <c r="Z2448" i="1"/>
  <c r="Z2449" i="1"/>
  <c r="Z2450" i="1"/>
  <c r="Z2451" i="1"/>
  <c r="Z2452" i="1"/>
  <c r="Z2453" i="1"/>
  <c r="Z2454" i="1"/>
  <c r="Z2455" i="1"/>
  <c r="Z2456" i="1"/>
  <c r="Z2457" i="1"/>
  <c r="Z2458" i="1"/>
  <c r="Z2459" i="1"/>
  <c r="Z2460" i="1"/>
  <c r="Z2461" i="1"/>
  <c r="Z2462" i="1"/>
  <c r="Z2463" i="1"/>
  <c r="Z2464" i="1"/>
  <c r="Z2465" i="1"/>
  <c r="Z2466" i="1"/>
  <c r="Z2467" i="1"/>
  <c r="Z2468" i="1"/>
  <c r="Z2469" i="1"/>
  <c r="Z2470" i="1"/>
  <c r="Z2471" i="1"/>
  <c r="Z2472" i="1"/>
  <c r="Z2473" i="1"/>
  <c r="Z2474" i="1"/>
  <c r="Z2475" i="1"/>
  <c r="Z2476" i="1"/>
  <c r="Z2477" i="1"/>
  <c r="Z2478" i="1"/>
  <c r="Z2479" i="1"/>
  <c r="Z2480" i="1"/>
  <c r="Z2481" i="1"/>
  <c r="Z2482" i="1"/>
  <c r="Z2483" i="1"/>
  <c r="Z2484" i="1"/>
  <c r="Z2485" i="1"/>
  <c r="Z2486" i="1"/>
  <c r="Z2487" i="1"/>
  <c r="Z2488" i="1"/>
  <c r="Z2489" i="1"/>
  <c r="Z2490" i="1"/>
  <c r="Z2491" i="1"/>
  <c r="Z2492" i="1"/>
  <c r="Z2493" i="1"/>
  <c r="Z2494" i="1"/>
  <c r="Z2495" i="1"/>
  <c r="Z2496" i="1"/>
  <c r="Z2497" i="1"/>
  <c r="Z2498" i="1"/>
  <c r="Z2499" i="1"/>
  <c r="Z2500" i="1"/>
  <c r="Z2501" i="1"/>
  <c r="Z2502" i="1"/>
  <c r="Z2503" i="1"/>
  <c r="Z2504" i="1"/>
  <c r="Z2505" i="1"/>
  <c r="Z2506" i="1"/>
  <c r="Z2507" i="1"/>
  <c r="Z2508" i="1"/>
  <c r="Z2509" i="1"/>
  <c r="Z2510" i="1"/>
  <c r="Z2511" i="1"/>
  <c r="Z2512" i="1"/>
  <c r="Z2513" i="1"/>
  <c r="Z2514" i="1"/>
  <c r="Z2515" i="1"/>
  <c r="Z2516" i="1"/>
  <c r="Z2517" i="1"/>
  <c r="Z2518" i="1"/>
  <c r="Z2519" i="1"/>
  <c r="Z2520" i="1"/>
  <c r="Z2521" i="1"/>
  <c r="Z2522" i="1"/>
  <c r="Z2523" i="1"/>
  <c r="Z2524" i="1"/>
  <c r="Z2525" i="1"/>
  <c r="Z2526" i="1"/>
  <c r="Z2527" i="1"/>
  <c r="Z2528" i="1"/>
  <c r="Z2529" i="1"/>
  <c r="Z2530" i="1"/>
  <c r="Z2531" i="1"/>
  <c r="Z2532" i="1"/>
  <c r="Z2533" i="1"/>
  <c r="Z2534" i="1"/>
  <c r="Z2535" i="1"/>
  <c r="Z2536" i="1"/>
  <c r="Z2537" i="1"/>
  <c r="Z2538" i="1"/>
  <c r="Z2539" i="1"/>
  <c r="Z2540" i="1"/>
  <c r="Z2541" i="1"/>
  <c r="Z2542" i="1"/>
  <c r="Z2543" i="1"/>
  <c r="Z2544" i="1"/>
  <c r="Z2545" i="1"/>
  <c r="Z2546" i="1"/>
  <c r="Z2547" i="1"/>
  <c r="Z2548" i="1"/>
  <c r="Z2549" i="1"/>
  <c r="Z2550" i="1"/>
  <c r="Z2551" i="1"/>
  <c r="Z2552" i="1"/>
  <c r="Z2553" i="1"/>
  <c r="Z2554" i="1"/>
  <c r="Z2555" i="1"/>
  <c r="Z2556" i="1"/>
  <c r="Z2557" i="1"/>
  <c r="Z2558" i="1"/>
  <c r="Z2559" i="1"/>
  <c r="Z2560" i="1"/>
  <c r="Z2561" i="1"/>
  <c r="Z2562" i="1"/>
  <c r="Z2563" i="1"/>
  <c r="Z2564" i="1"/>
  <c r="Z2565" i="1"/>
  <c r="Z2566" i="1"/>
  <c r="Z2567" i="1"/>
  <c r="Z2568" i="1"/>
  <c r="Z2569" i="1"/>
  <c r="Z2570" i="1"/>
  <c r="Z2571" i="1"/>
  <c r="Z2572" i="1"/>
  <c r="Z2573" i="1"/>
  <c r="Z2574" i="1"/>
  <c r="Z2575" i="1"/>
  <c r="Z2576" i="1"/>
  <c r="Z2577" i="1"/>
  <c r="Z2578" i="1"/>
  <c r="Z2579" i="1"/>
  <c r="Z2580" i="1"/>
  <c r="Z2581" i="1"/>
  <c r="Z2582" i="1"/>
  <c r="Z2583" i="1"/>
  <c r="Z2584" i="1"/>
  <c r="Z2585" i="1"/>
  <c r="Z2586" i="1"/>
  <c r="Z2587" i="1"/>
  <c r="Z2588" i="1"/>
  <c r="Z2589" i="1"/>
  <c r="Z2590" i="1"/>
  <c r="Z2591" i="1"/>
  <c r="Z2592" i="1"/>
  <c r="Z2593" i="1"/>
  <c r="Z2594" i="1"/>
  <c r="Z2595" i="1"/>
  <c r="Z2596" i="1"/>
  <c r="Z2597" i="1"/>
  <c r="Z2598" i="1"/>
  <c r="Z2599" i="1"/>
  <c r="Z2600" i="1"/>
  <c r="Z2601" i="1"/>
  <c r="Z2602" i="1"/>
  <c r="Z2603" i="1"/>
  <c r="Z2604" i="1"/>
  <c r="Z2605" i="1"/>
  <c r="Z2606" i="1"/>
  <c r="Z2607" i="1"/>
  <c r="Z2608" i="1"/>
  <c r="Z2609" i="1"/>
  <c r="Z2610" i="1"/>
  <c r="Z2611" i="1"/>
  <c r="Z2612" i="1"/>
  <c r="Z2613" i="1"/>
  <c r="Z2614" i="1"/>
  <c r="Z2615" i="1"/>
  <c r="Z2616" i="1"/>
  <c r="Z2617" i="1"/>
  <c r="Z2618" i="1"/>
  <c r="Z2619" i="1"/>
  <c r="Z2620" i="1"/>
  <c r="Z2621" i="1"/>
  <c r="Z2622" i="1"/>
  <c r="Z2623" i="1"/>
  <c r="Z2624" i="1"/>
  <c r="Z2625" i="1"/>
  <c r="Z2626" i="1"/>
  <c r="Z2627" i="1"/>
  <c r="Z2628" i="1"/>
  <c r="Z2629" i="1"/>
  <c r="Z2630" i="1"/>
  <c r="Z2631" i="1"/>
  <c r="Z2632" i="1"/>
  <c r="Z2633" i="1"/>
  <c r="Z2634" i="1"/>
  <c r="Z2635" i="1"/>
  <c r="Z2636" i="1"/>
  <c r="Z2637" i="1"/>
  <c r="Z2638" i="1"/>
  <c r="Z2639" i="1"/>
  <c r="Z2640" i="1"/>
  <c r="Z2641" i="1"/>
  <c r="Z2642" i="1"/>
  <c r="Z2643" i="1"/>
  <c r="Z2644" i="1"/>
  <c r="Z2645" i="1"/>
  <c r="Z2646" i="1"/>
  <c r="Z2647" i="1"/>
  <c r="Z2648" i="1"/>
  <c r="Z2649" i="1"/>
  <c r="Z2650" i="1"/>
  <c r="Z2651" i="1"/>
  <c r="Z2652" i="1"/>
  <c r="Z2653" i="1"/>
  <c r="Z2654" i="1"/>
  <c r="Z2655" i="1"/>
  <c r="Z2656" i="1"/>
  <c r="Z2657" i="1"/>
  <c r="Z2658" i="1"/>
  <c r="Z2659" i="1"/>
  <c r="Z2660" i="1"/>
  <c r="Z2661" i="1"/>
  <c r="Z2662" i="1"/>
  <c r="Z2663" i="1"/>
  <c r="Z2664" i="1"/>
  <c r="Z2665" i="1"/>
  <c r="Z2666" i="1"/>
  <c r="Z2667" i="1"/>
  <c r="Z2668" i="1"/>
  <c r="Z2669" i="1"/>
  <c r="Z2670" i="1"/>
  <c r="Z2671" i="1"/>
  <c r="Z2672" i="1"/>
  <c r="Z2673" i="1"/>
  <c r="Z2674" i="1"/>
  <c r="Z2675" i="1"/>
  <c r="Z2676" i="1"/>
  <c r="Z2677" i="1"/>
  <c r="Z2678" i="1"/>
  <c r="Z2679" i="1"/>
  <c r="Z2680" i="1"/>
  <c r="Z2681" i="1"/>
  <c r="Z2682" i="1"/>
  <c r="Z2683" i="1"/>
  <c r="Z2684" i="1"/>
  <c r="Z2685" i="1"/>
  <c r="Z2686" i="1"/>
  <c r="Z2687" i="1"/>
  <c r="Z2688" i="1"/>
  <c r="Z2689" i="1"/>
  <c r="Z2690" i="1"/>
  <c r="Z2691" i="1"/>
  <c r="Z2692" i="1"/>
  <c r="Z2693" i="1"/>
  <c r="Z2694" i="1"/>
  <c r="Z2695" i="1"/>
  <c r="Z2696" i="1"/>
  <c r="Z2697" i="1"/>
  <c r="Z2698" i="1"/>
  <c r="Z2699" i="1"/>
  <c r="Z2700" i="1"/>
  <c r="Z2701" i="1"/>
  <c r="Z2702" i="1"/>
  <c r="Z2703" i="1"/>
  <c r="Z2704" i="1"/>
  <c r="Z2705" i="1"/>
  <c r="Z2706" i="1"/>
  <c r="Z2707" i="1"/>
  <c r="Z2708" i="1"/>
  <c r="Z2709" i="1"/>
  <c r="Z2710" i="1"/>
  <c r="Z2711" i="1"/>
  <c r="Z2712" i="1"/>
  <c r="Z2713" i="1"/>
  <c r="Z2714" i="1"/>
  <c r="Z2715" i="1"/>
  <c r="Z2716" i="1"/>
  <c r="Z2717" i="1"/>
  <c r="Z2718" i="1"/>
  <c r="Z2719" i="1"/>
  <c r="Z2720" i="1"/>
  <c r="Z2721" i="1"/>
  <c r="Z2722" i="1"/>
  <c r="Z2723" i="1"/>
  <c r="Z2724" i="1"/>
  <c r="Z2725" i="1"/>
  <c r="Z2726" i="1"/>
  <c r="Z2727" i="1"/>
  <c r="Z2728" i="1"/>
  <c r="Z2729" i="1"/>
  <c r="Z2730" i="1"/>
  <c r="Z2731" i="1"/>
  <c r="Z2732" i="1"/>
  <c r="Z2733" i="1"/>
  <c r="Z2734" i="1"/>
  <c r="Z2735" i="1"/>
  <c r="Z2736" i="1"/>
  <c r="Z2737" i="1"/>
  <c r="Z2738" i="1"/>
  <c r="Z2739" i="1"/>
  <c r="Z2740" i="1"/>
  <c r="Z2741" i="1"/>
  <c r="Z2742" i="1"/>
  <c r="Z2743" i="1"/>
  <c r="Z2744" i="1"/>
  <c r="Z2745" i="1"/>
  <c r="Z2746" i="1"/>
  <c r="Z2747" i="1"/>
  <c r="Z2748" i="1"/>
  <c r="Z2749" i="1"/>
  <c r="Z2750" i="1"/>
  <c r="Z2751" i="1"/>
  <c r="Z2752" i="1"/>
  <c r="Z2753" i="1"/>
  <c r="Z2754" i="1"/>
  <c r="Z2755" i="1"/>
  <c r="Z2756" i="1"/>
  <c r="Z2757" i="1"/>
  <c r="Z2758" i="1"/>
  <c r="Z2759" i="1"/>
  <c r="Z2760" i="1"/>
  <c r="Z2761" i="1"/>
  <c r="Z2762" i="1"/>
  <c r="Z2763" i="1"/>
  <c r="Z2764" i="1"/>
  <c r="Z2765" i="1"/>
  <c r="Z2766" i="1"/>
  <c r="Z2767" i="1"/>
  <c r="Z2768" i="1"/>
  <c r="Z2769" i="1"/>
  <c r="Z2770" i="1"/>
  <c r="Z2771" i="1"/>
  <c r="Z2772" i="1"/>
  <c r="Z2773" i="1"/>
  <c r="Z2774" i="1"/>
  <c r="Z2775" i="1"/>
  <c r="Z2776" i="1"/>
  <c r="Z2777" i="1"/>
  <c r="Z2778" i="1"/>
  <c r="Z2779" i="1"/>
  <c r="Z2780" i="1"/>
  <c r="Z2781" i="1"/>
  <c r="Z2782" i="1"/>
  <c r="Z2783" i="1"/>
  <c r="Z2784" i="1"/>
  <c r="Z2785" i="1"/>
  <c r="Z2786" i="1"/>
  <c r="Z2787" i="1"/>
  <c r="Z2788" i="1"/>
  <c r="Z2789" i="1"/>
  <c r="Z2790" i="1"/>
  <c r="Z2791" i="1"/>
  <c r="Z2792" i="1"/>
  <c r="Z2793" i="1"/>
  <c r="Z2794" i="1"/>
  <c r="Z2795" i="1"/>
  <c r="Z2796" i="1"/>
  <c r="Z2797" i="1"/>
  <c r="Z2798" i="1"/>
  <c r="Z2799" i="1"/>
  <c r="Z2800" i="1"/>
  <c r="Z2801" i="1"/>
  <c r="Z2802" i="1"/>
  <c r="Z2803" i="1"/>
  <c r="Z2804" i="1"/>
  <c r="Z2805" i="1"/>
  <c r="Z2806" i="1"/>
  <c r="Z2807" i="1"/>
  <c r="Z2808" i="1"/>
  <c r="Z2809" i="1"/>
  <c r="Z2810" i="1"/>
  <c r="Z2811" i="1"/>
  <c r="Z2812" i="1"/>
  <c r="Z2813" i="1"/>
  <c r="Z2814" i="1"/>
  <c r="Z2815" i="1"/>
  <c r="Z2816" i="1"/>
  <c r="Z2817" i="1"/>
  <c r="Z2818" i="1"/>
  <c r="Z2819" i="1"/>
  <c r="Z2820" i="1"/>
  <c r="Z2821" i="1"/>
  <c r="Z2822" i="1"/>
  <c r="Z2823" i="1"/>
  <c r="Z2824" i="1"/>
  <c r="Z2825" i="1"/>
  <c r="Z2826" i="1"/>
  <c r="Z2827" i="1"/>
  <c r="Z2828" i="1"/>
  <c r="Z2829" i="1"/>
  <c r="Z2830" i="1"/>
  <c r="Z2831" i="1"/>
  <c r="Z2832" i="1"/>
  <c r="Z2833" i="1"/>
  <c r="Z2834" i="1"/>
  <c r="Z2835" i="1"/>
  <c r="Z2836" i="1"/>
  <c r="Z2837" i="1"/>
  <c r="Z2838" i="1"/>
  <c r="Z2839" i="1"/>
  <c r="Z2840" i="1"/>
  <c r="Z2841" i="1"/>
  <c r="Z2842" i="1"/>
  <c r="Z2843" i="1"/>
  <c r="Z2844" i="1"/>
  <c r="Z2845" i="1"/>
  <c r="Z2846" i="1"/>
  <c r="Z2847" i="1"/>
  <c r="Z2848" i="1"/>
  <c r="Z2849" i="1"/>
  <c r="Z2850" i="1"/>
  <c r="Z2851" i="1"/>
  <c r="Z2852" i="1"/>
  <c r="Z2853" i="1"/>
  <c r="Z2854" i="1"/>
  <c r="Z2855" i="1"/>
  <c r="Z2856" i="1"/>
  <c r="Z2857" i="1"/>
  <c r="Z2858" i="1"/>
  <c r="Z2859" i="1"/>
  <c r="Z2860" i="1"/>
  <c r="Z2861" i="1"/>
  <c r="Z2862" i="1"/>
  <c r="Z2863" i="1"/>
  <c r="Z2864" i="1"/>
  <c r="Z2865" i="1"/>
  <c r="Z2866" i="1"/>
  <c r="Z2867" i="1"/>
  <c r="Z2868" i="1"/>
  <c r="Z2869" i="1"/>
  <c r="Z2870" i="1"/>
  <c r="Z2871" i="1"/>
  <c r="Z2872" i="1"/>
  <c r="Z2873" i="1"/>
  <c r="Z2874" i="1"/>
  <c r="Z2875" i="1"/>
  <c r="Z2876" i="1"/>
  <c r="Z2877" i="1"/>
  <c r="Z2878" i="1"/>
  <c r="Z2879" i="1"/>
  <c r="Z2880" i="1"/>
  <c r="Z2881" i="1"/>
  <c r="Z2882" i="1"/>
  <c r="Z2883" i="1"/>
  <c r="Z2884" i="1"/>
  <c r="Z2885" i="1"/>
  <c r="Z2886" i="1"/>
  <c r="Z2887" i="1"/>
  <c r="Z2888" i="1"/>
  <c r="Z2889" i="1"/>
  <c r="Z2890" i="1"/>
  <c r="Z2891" i="1"/>
  <c r="Z2892" i="1"/>
  <c r="Z2893" i="1"/>
  <c r="Z2894" i="1"/>
  <c r="Z2895" i="1"/>
  <c r="Z2896" i="1"/>
  <c r="Z2897" i="1"/>
  <c r="Z2898" i="1"/>
  <c r="Z2899" i="1"/>
  <c r="Z2900" i="1"/>
  <c r="Z2901" i="1"/>
  <c r="Z2902" i="1"/>
  <c r="Z2903" i="1"/>
  <c r="Z2904" i="1"/>
  <c r="Z2905" i="1"/>
  <c r="Z2906" i="1"/>
  <c r="Z2907" i="1"/>
  <c r="Z2908" i="1"/>
  <c r="Z2909" i="1"/>
  <c r="Z2910" i="1"/>
  <c r="Z2911" i="1"/>
  <c r="Z2912" i="1"/>
  <c r="Z2913" i="1"/>
  <c r="Z2914" i="1"/>
  <c r="Z2915" i="1"/>
  <c r="Z2916" i="1"/>
  <c r="Z2917" i="1"/>
  <c r="Z2918" i="1"/>
  <c r="Z2919" i="1"/>
  <c r="Z2920" i="1"/>
  <c r="Z2921" i="1"/>
  <c r="Z2922" i="1"/>
  <c r="Z2923" i="1"/>
  <c r="Z2924" i="1"/>
  <c r="Z2925" i="1"/>
  <c r="Z2926" i="1"/>
  <c r="Z2927" i="1"/>
  <c r="Z2928" i="1"/>
  <c r="Z2929" i="1"/>
  <c r="Z2930" i="1"/>
  <c r="Z2931" i="1"/>
  <c r="Z2932" i="1"/>
  <c r="Z2933" i="1"/>
  <c r="Z2934" i="1"/>
  <c r="Z2935" i="1"/>
  <c r="Z2936" i="1"/>
  <c r="Z2937" i="1"/>
  <c r="Z2938" i="1"/>
  <c r="Z2939" i="1"/>
  <c r="Z2940" i="1"/>
  <c r="Z2941" i="1"/>
  <c r="Z2942" i="1"/>
  <c r="Z2943" i="1"/>
  <c r="Z2944" i="1"/>
  <c r="Z2945" i="1"/>
  <c r="Z2946" i="1"/>
  <c r="Z2947" i="1"/>
  <c r="Z2948" i="1"/>
  <c r="Z2949" i="1"/>
  <c r="Z2950" i="1"/>
  <c r="Z2951" i="1"/>
  <c r="Z2952" i="1"/>
  <c r="Z2953" i="1"/>
  <c r="Z2954" i="1"/>
  <c r="Z2955" i="1"/>
  <c r="Z2956" i="1"/>
  <c r="Z2957" i="1"/>
  <c r="Z2958" i="1"/>
  <c r="Z2959" i="1"/>
  <c r="Z2960" i="1"/>
  <c r="Z2961" i="1"/>
  <c r="Z2962" i="1"/>
  <c r="Z2963" i="1"/>
  <c r="Z2964" i="1"/>
  <c r="Z2965" i="1"/>
  <c r="Z2966" i="1"/>
  <c r="Z2967" i="1"/>
  <c r="Z2968" i="1"/>
  <c r="Z2969" i="1"/>
  <c r="Z2970" i="1"/>
  <c r="Z2971" i="1"/>
  <c r="Z2972" i="1"/>
  <c r="Z2973" i="1"/>
  <c r="Z2974" i="1"/>
  <c r="Z2975" i="1"/>
  <c r="Z2976" i="1"/>
  <c r="Z2977" i="1"/>
  <c r="Z2978" i="1"/>
  <c r="Z2979" i="1"/>
  <c r="Z2980" i="1"/>
  <c r="Z2981" i="1"/>
  <c r="Z2982" i="1"/>
  <c r="Z2983" i="1"/>
  <c r="Z2984" i="1"/>
  <c r="Z2985" i="1"/>
  <c r="Z2986" i="1"/>
  <c r="Z2987" i="1"/>
  <c r="Z2988" i="1"/>
  <c r="Z2989" i="1"/>
  <c r="Z2990" i="1"/>
  <c r="Z2991" i="1"/>
  <c r="Z2992" i="1"/>
  <c r="Z2993" i="1"/>
  <c r="Z2994" i="1"/>
  <c r="Z2995" i="1"/>
  <c r="Z2996" i="1"/>
  <c r="Z2997" i="1"/>
  <c r="Z2998" i="1"/>
  <c r="Z2999" i="1"/>
  <c r="Z3000" i="1"/>
  <c r="Z3001"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J13" i="3"/>
  <c r="AE6" i="4" l="1"/>
  <c r="AE11"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<sst xmlns="http://schemas.openxmlformats.org/spreadsheetml/2006/main" count="36194" uniqueCount="224">
  <si>
    <t>Job_ID</t>
  </si>
  <si>
    <t>Job_Date</t>
  </si>
  <si>
    <t>Region</t>
  </si>
  <si>
    <t>City</t>
  </si>
  <si>
    <t>Service_Center</t>
  </si>
  <si>
    <t>Center_Type</t>
  </si>
  <si>
    <t>Vehicle_Model</t>
  </si>
  <si>
    <t>Vehicle_Segment</t>
  </si>
  <si>
    <t>Service_Type</t>
  </si>
  <si>
    <t>Issue_Category</t>
  </si>
  <si>
    <t>Issue_Severity</t>
  </si>
  <si>
    <t>Parts_Availability</t>
  </si>
  <si>
    <t>TAT_Days</t>
  </si>
  <si>
    <t>SLA_TAT</t>
  </si>
  <si>
    <t>Rework_Flag</t>
  </si>
  <si>
    <t>Warranty_Claim</t>
  </si>
  <si>
    <t>Service_Revenue</t>
  </si>
  <si>
    <t>Service_Cost</t>
  </si>
  <si>
    <t>Customer_Satisfaction</t>
  </si>
  <si>
    <t>South</t>
  </si>
  <si>
    <t>Chennai</t>
  </si>
  <si>
    <t>SC_CHE_5</t>
  </si>
  <si>
    <t>Authorized</t>
  </si>
  <si>
    <t>Macan</t>
  </si>
  <si>
    <t>SUV</t>
  </si>
  <si>
    <t>Paid</t>
  </si>
  <si>
    <t>Suspension</t>
  </si>
  <si>
    <t>High</t>
  </si>
  <si>
    <t>Available</t>
  </si>
  <si>
    <t>Yes</t>
  </si>
  <si>
    <t>East</t>
  </si>
  <si>
    <t>Patna</t>
  </si>
  <si>
    <t>SC_PAT_3</t>
  </si>
  <si>
    <t>Veyron</t>
  </si>
  <si>
    <t>Hypercar</t>
  </si>
  <si>
    <t>Engine</t>
  </si>
  <si>
    <t>No</t>
  </si>
  <si>
    <t>North</t>
  </si>
  <si>
    <t>Noida</t>
  </si>
  <si>
    <t>SC_NOI_3</t>
  </si>
  <si>
    <t>Flagship</t>
  </si>
  <si>
    <t>Taycan</t>
  </si>
  <si>
    <t>Sedan</t>
  </si>
  <si>
    <t>Transmission</t>
  </si>
  <si>
    <t>Low</t>
  </si>
  <si>
    <t>Bengaluru</t>
  </si>
  <si>
    <t>SC_BEN_1</t>
  </si>
  <si>
    <t>911</t>
  </si>
  <si>
    <t>Coupe</t>
  </si>
  <si>
    <t>Delayed</t>
  </si>
  <si>
    <t>West</t>
  </si>
  <si>
    <t>Mumbai</t>
  </si>
  <si>
    <t>SC_MUM_5</t>
  </si>
  <si>
    <t>Dealer</t>
  </si>
  <si>
    <t>Panamera</t>
  </si>
  <si>
    <t>Warranty</t>
  </si>
  <si>
    <t>Pune</t>
  </si>
  <si>
    <t>SC_PUN_1</t>
  </si>
  <si>
    <t>Body</t>
  </si>
  <si>
    <t>Bhubaneswar</t>
  </si>
  <si>
    <t>SC_BHU_1</t>
  </si>
  <si>
    <t>Medium</t>
  </si>
  <si>
    <t>SC_PAT_2</t>
  </si>
  <si>
    <t>Cayenne</t>
  </si>
  <si>
    <t>Delhi</t>
  </si>
  <si>
    <t>SC_DEL_4</t>
  </si>
  <si>
    <t>SC_BHU_5</t>
  </si>
  <si>
    <t>Electronics</t>
  </si>
  <si>
    <t>SC_PUN_2</t>
  </si>
  <si>
    <t>SC_BHU_2</t>
  </si>
  <si>
    <t>Gurugram</t>
  </si>
  <si>
    <t>SC_GUR_5</t>
  </si>
  <si>
    <t>SC_DEL_2</t>
  </si>
  <si>
    <t>SC_MUM_3</t>
  </si>
  <si>
    <t>Chiron</t>
  </si>
  <si>
    <t>SC_MUM_2</t>
  </si>
  <si>
    <t>SC_BEN_3</t>
  </si>
  <si>
    <t>SC_PUN_4</t>
  </si>
  <si>
    <t>SC_BHU_3</t>
  </si>
  <si>
    <t>SC_PAT_4</t>
  </si>
  <si>
    <t>Ahmedabad</t>
  </si>
  <si>
    <t>SC_AHM_2</t>
  </si>
  <si>
    <t>SC_GUR_3</t>
  </si>
  <si>
    <t>Kolkata</t>
  </si>
  <si>
    <t>SC_KOL_5</t>
  </si>
  <si>
    <t>SC_AHM_5</t>
  </si>
  <si>
    <t>SC_CHE_4</t>
  </si>
  <si>
    <t>SC_DEL_3</t>
  </si>
  <si>
    <t>SC_PUN_3</t>
  </si>
  <si>
    <t>SC_CHE_2</t>
  </si>
  <si>
    <t>SC_KOL_3</t>
  </si>
  <si>
    <t>SC_GUR_2</t>
  </si>
  <si>
    <t>SC_KOL_2</t>
  </si>
  <si>
    <t>SC_NOI_2</t>
  </si>
  <si>
    <t>SC_BHU_4</t>
  </si>
  <si>
    <t>SC_KOL_1</t>
  </si>
  <si>
    <t>Hyderabad</t>
  </si>
  <si>
    <t>SC_HYD_3</t>
  </si>
  <si>
    <t>SC_HYD_1</t>
  </si>
  <si>
    <t>SC_BEN_2</t>
  </si>
  <si>
    <t>SC_GUR_1</t>
  </si>
  <si>
    <t>SC_PUN_5</t>
  </si>
  <si>
    <t>SC_NOI_4</t>
  </si>
  <si>
    <t>SC_DEL_5</t>
  </si>
  <si>
    <t>SC_AHM_1</t>
  </si>
  <si>
    <t>SC_HYD_5</t>
  </si>
  <si>
    <t>SC_PAT_5</t>
  </si>
  <si>
    <t>SC_NOI_5</t>
  </si>
  <si>
    <t>SC_HYD_4</t>
  </si>
  <si>
    <t>SC_HYD_2</t>
  </si>
  <si>
    <t>SC_CHE_3</t>
  </si>
  <si>
    <t>SC_BEN_4</t>
  </si>
  <si>
    <t>SC_NOI_1</t>
  </si>
  <si>
    <t>SC_MUM_4</t>
  </si>
  <si>
    <t>SC_BEN_5</t>
  </si>
  <si>
    <t>SC_DEL_1</t>
  </si>
  <si>
    <t>SC_GUR_4</t>
  </si>
  <si>
    <t>SC_CHE_1</t>
  </si>
  <si>
    <t>SC_AHM_4</t>
  </si>
  <si>
    <t>SC_KOL_4</t>
  </si>
  <si>
    <t>SC_MUM_1</t>
  </si>
  <si>
    <t>SC_AHM_3</t>
  </si>
  <si>
    <t>SC_PAT_1</t>
  </si>
  <si>
    <t>Luxury automotive service operations</t>
  </si>
  <si>
    <t>Context</t>
  </si>
  <si>
    <t>Revenue leakage and Ops performance analysis</t>
  </si>
  <si>
    <t>Automotive after sales Ops</t>
  </si>
  <si>
    <t xml:space="preserve">KPI </t>
  </si>
  <si>
    <t>Total Revenue</t>
  </si>
  <si>
    <t>Total Cost</t>
  </si>
  <si>
    <t>Profit</t>
  </si>
  <si>
    <t>First Time Fix Rate</t>
  </si>
  <si>
    <t>Repeat Visit Rate</t>
  </si>
  <si>
    <t>Warranty Claim Rate</t>
  </si>
  <si>
    <t>Segment</t>
  </si>
  <si>
    <t>Vehicle_segment</t>
  </si>
  <si>
    <t>Issue_category</t>
  </si>
  <si>
    <t>Parts_availability</t>
  </si>
  <si>
    <t>Rework_flag</t>
  </si>
  <si>
    <t>Core Business Questions</t>
  </si>
  <si>
    <t>Does Rework flag reduce customer satisfaction</t>
  </si>
  <si>
    <t>Slicers</t>
  </si>
  <si>
    <t>service_type</t>
  </si>
  <si>
    <t>Parts_availabilty</t>
  </si>
  <si>
    <t>Warranty_claim</t>
  </si>
  <si>
    <t>Revenue at Risk - rework and no warranty claim</t>
  </si>
  <si>
    <t>Success after 30 days</t>
  </si>
  <si>
    <t>Revenue at risk Reduced</t>
  </si>
  <si>
    <t>Lower TAT days</t>
  </si>
  <si>
    <t>Lowered Rework Flag</t>
  </si>
  <si>
    <t>Revenue_at_Risk</t>
  </si>
  <si>
    <t>Sum of Service_Revenue</t>
  </si>
  <si>
    <t>Sum of Service_Cost</t>
  </si>
  <si>
    <t>Sum of Profit</t>
  </si>
  <si>
    <t>Sum of Revenue_at_Risk</t>
  </si>
  <si>
    <t>Sum of Profit Margin %</t>
  </si>
  <si>
    <t>Profit Margin %</t>
  </si>
  <si>
    <t>Warranty_claim_Num</t>
  </si>
  <si>
    <t>Sum of Warranty_claim_rate</t>
  </si>
  <si>
    <t>First_time_num</t>
  </si>
  <si>
    <t>Repeat_visit_num</t>
  </si>
  <si>
    <t>Sum of First_time_rate</t>
  </si>
  <si>
    <t>Sum of Repeat_visit_rate</t>
  </si>
  <si>
    <t>count_of_job</t>
  </si>
  <si>
    <t>Sum of count_of_job</t>
  </si>
  <si>
    <t>SLA_Breached</t>
  </si>
  <si>
    <t>Grand Total</t>
  </si>
  <si>
    <t>Average of Customer_Satisfaction</t>
  </si>
  <si>
    <t>Average of TAT_Days</t>
  </si>
  <si>
    <t>Count of Job_ID</t>
  </si>
  <si>
    <t>Customer_satisfaction</t>
  </si>
  <si>
    <t>rework causes high tat days, which causes high service cause and low customer satisfaction.Hence, profit reduced</t>
  </si>
  <si>
    <t>Count of Parts_Availability</t>
  </si>
  <si>
    <t>High TAT days negatively affect customer satisfaction</t>
  </si>
  <si>
    <t>Rework is not affected mainly due to parts availability</t>
  </si>
  <si>
    <t>Revenue leakage is mainly due to Rework service cost</t>
  </si>
  <si>
    <t>How customer satisfaction is affected by TAT days</t>
  </si>
  <si>
    <t>What causes high TAT days</t>
  </si>
  <si>
    <t>Automotive After Sales Service Analysis-Revenue and Ops Performance Dashbboard</t>
  </si>
  <si>
    <t>Revenue</t>
  </si>
  <si>
    <t>Cost</t>
  </si>
  <si>
    <t>Revenue at Risk</t>
  </si>
  <si>
    <t>No.of Jobs</t>
  </si>
  <si>
    <t>First Time Visit Rate</t>
  </si>
  <si>
    <t>Avg Customer Satisfaction(1-5)</t>
  </si>
  <si>
    <t>Issue_severity</t>
  </si>
  <si>
    <t>Customer_satisfaction_bucket</t>
  </si>
  <si>
    <t>Good</t>
  </si>
  <si>
    <t>Neutral</t>
  </si>
  <si>
    <t>Poor</t>
  </si>
  <si>
    <t>Cust_satis_bucket</t>
  </si>
  <si>
    <t>Why Revenue is at Risk</t>
  </si>
  <si>
    <t>Service cost(Rework)</t>
  </si>
  <si>
    <t>% Service Cost(Rework)</t>
  </si>
  <si>
    <t>Issue _severity</t>
  </si>
  <si>
    <t>Column Labels</t>
  </si>
  <si>
    <t>% of Rework jobs with severity high + medium</t>
  </si>
  <si>
    <t>Total service cost of High + Medium severity Rework job</t>
  </si>
  <si>
    <t>Where is company losing money</t>
  </si>
  <si>
    <t>How is Parts availabitity related to rework</t>
  </si>
  <si>
    <t>Insights</t>
  </si>
  <si>
    <t>Root Cause Hypotheses</t>
  </si>
  <si>
    <t>Ceo Recommendations</t>
  </si>
  <si>
    <t>Action | Why |  Impact | Piority | Owner</t>
  </si>
  <si>
    <t>Due to High TAT days, 73% Customers have Poor Expericnce.</t>
  </si>
  <si>
    <t>59% Jobs go to Rework causing High SLA breaches.</t>
  </si>
  <si>
    <t>Rework has negative effect on CSAT.</t>
  </si>
  <si>
    <t>CSAT-Customer Satisfaction</t>
  </si>
  <si>
    <t>FTF-First Time Fix</t>
  </si>
  <si>
    <t>SLA-Service Level Agreement</t>
  </si>
  <si>
    <t>Abbreviations</t>
  </si>
  <si>
    <t>1700+ customers rated satisfactory score 1-2. Hence, 73% customers had poor CSAT.</t>
  </si>
  <si>
    <t>TAT-Turnaround Time</t>
  </si>
  <si>
    <t>44.17% of Rework jobs with Issue Severity-High + Medium,Causes high TAT days.</t>
  </si>
  <si>
    <t>57.57% Rework jobs already had Parts available. Hence, its related to TAT days more than Rework.</t>
  </si>
  <si>
    <t>Avg TAT for Rework vs FTF is 14.23 and 12.31,While avg CSAT for Rework vs FTF is 1.88 and 2.98. Hence, TAT Rise causes CSAT to Plumet</t>
  </si>
  <si>
    <t>40% Revenue (41.02cr), is Leaking due to Service Cost(Rework).</t>
  </si>
  <si>
    <t>40% of Revenue with just 35% Warranty claim, was spent on Service cost due to Rework.</t>
  </si>
  <si>
    <t>Reduce SLA Breach | High service cost | Less Revenue at Risk | High | Ops Head</t>
  </si>
  <si>
    <t>Increase Warranty Claims | High Service Cost | Profit Increases | High | Finance Head</t>
  </si>
  <si>
    <t>Reduce Rework Jobs with Issue Severity High+ Medium(44.17% Jobs) | 44.47% Increase in Service cost | TAT days Reduction and CSAT Increases | High | Ops Head</t>
  </si>
  <si>
    <r>
      <rPr>
        <b/>
        <sz val="11"/>
        <color theme="1"/>
        <rFont val="Calibri"/>
        <family val="2"/>
        <scheme val="minor"/>
      </rPr>
      <t>Fixed Revenue leakage</t>
    </r>
    <r>
      <rPr>
        <sz val="11"/>
        <color theme="1"/>
        <rFont val="Calibri"/>
        <family val="2"/>
        <scheme val="minor"/>
      </rPr>
      <t>-Revenue at Risk Reduced as Warranty Claims Rise and Rework Service Cost Decreases, Increasing Profit by 2x.</t>
    </r>
  </si>
  <si>
    <r>
      <rPr>
        <b/>
        <sz val="11"/>
        <color theme="1"/>
        <rFont val="Calibri"/>
        <family val="2"/>
        <scheme val="minor"/>
      </rPr>
      <t>Operations Performance Improved</t>
    </r>
    <r>
      <rPr>
        <sz val="11"/>
        <color theme="1"/>
        <rFont val="Calibri"/>
        <family val="2"/>
        <scheme val="minor"/>
      </rPr>
      <t>-Lower TAT days Increases CSAT. Hence, 73% Customers can have better Experience and 59% of Total Customers can come in FTF Category.</t>
    </r>
  </si>
  <si>
    <t>Parts availability affects TAT days more than Rework.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</si>
</sst>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_ * #,##0_ ;_ * \-#,##0_ ;_ * &quot;-&quot;??_ ;_ @_ "/>
    <numFmt numFmtId="165" formatCode="_ * #,##0.000000_ ;_ * \-#,##0.000000_ ;_ * &quot;-&quot;??_ ;_ @_ "/>
    <numFmt numFmtId="166" formatCode="_ * #,##0.0_ ;_ * \-#,##0.0_ ;_ * &quot;-&quot;??_ ;_ @_ "/>
    <numFmt numFmtId="167" formatCode="0.0"/>
  </numFmts>
  <fonts count="8" x14ac:knownFonts="1">
    <font>
      <sz val="11"/>
      <color theme="1"/>
      <name val="Calibri"/>
      <family val="2"/>
      <scheme val="minor"/>
    </font>
    <font>
      <b/>
      <sz val="11"/>
      <color theme="1"/>
      <name val="Calibri"/>
      <family val="2"/>
      <scheme val="minor"/>
    </font>
    <font>
      <sz val="11"/>
      <color theme="1"/>
      <name val="Calibri"/>
      <family val="2"/>
      <scheme val="minor"/>
    </font>
    <font>
      <b/>
      <sz val="3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Calibri"/>
      <family val="2"/>
      <scheme val="minor"/>
    </font>
  </fonts>
  <fills count="8">
    <fill>
      <patternFill patternType="none"/>
    </fill>
    <fill>
      <patternFill patternType="gray125"/>
    </fill>
    <fill>
      <patternFill patternType="solid">
        <fgColor theme="8" tint="0.7999816888943144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7" tint="0.79998168889431442"/>
        <bgColor indexed="64"/>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9" fontId="2" fillId="0" borderId="0" applyFont="0" applyFill="0" applyBorder="0" applyAlignment="0" applyProtection="0"/>
    <xf numFmtId="43" fontId="2" fillId="0" borderId="0" applyFont="0" applyFill="0" applyBorder="0" applyAlignment="0" applyProtection="0"/>
  </cellStyleXfs>
  <cellXfs count="90">
    <xf numFmtId="0" fontId="0" fillId="0" borderId="0" xfId="0"/>
    <xf numFmtId="14" fontId="0" fillId="0" borderId="0" xfId="0" applyNumberFormat="1"/>
    <xf numFmtId="0" fontId="1" fillId="0" borderId="0" xfId="0" applyFont="1"/>
    <xf numFmtId="14" fontId="1" fillId="0" borderId="0" xfId="0" applyNumberFormat="1" applyFont="1"/>
    <xf numFmtId="1" fontId="0" fillId="0" borderId="0" xfId="0" applyNumberFormat="1"/>
    <xf numFmtId="1" fontId="1" fillId="0" borderId="0" xfId="0" applyNumberFormat="1" applyFont="1"/>
    <xf numFmtId="10" fontId="0" fillId="0" borderId="0" xfId="0" applyNumberFormat="1"/>
    <xf numFmtId="164" fontId="0" fillId="0" borderId="0" xfId="0" applyNumberFormat="1"/>
    <xf numFmtId="1" fontId="0" fillId="0" borderId="0" xfId="1" applyNumberFormat="1" applyFont="1"/>
    <xf numFmtId="0" fontId="0" fillId="0" borderId="0" xfId="0" pivotButton="1"/>
    <xf numFmtId="0" fontId="0" fillId="0" borderId="0" xfId="0" applyAlignment="1">
      <alignment horizontal="left"/>
    </xf>
    <xf numFmtId="2" fontId="0" fillId="0" borderId="0" xfId="0" applyNumberFormat="1"/>
    <xf numFmtId="1" fontId="0" fillId="0" borderId="0" xfId="0" applyNumberFormat="1" applyAlignment="1">
      <alignment horizontal="left"/>
    </xf>
    <xf numFmtId="10" fontId="0" fillId="0" borderId="0" xfId="1" applyNumberFormat="1" applyFont="1"/>
    <xf numFmtId="43" fontId="0" fillId="0" borderId="0" xfId="0" applyNumberFormat="1"/>
    <xf numFmtId="165" fontId="0" fillId="0" borderId="0" xfId="0" applyNumberFormat="1"/>
    <xf numFmtId="166" fontId="0" fillId="0" borderId="0" xfId="0" applyNumberFormat="1"/>
    <xf numFmtId="10" fontId="5" fillId="0" borderId="0" xfId="1" applyNumberFormat="1" applyFont="1" applyFill="1" applyBorder="1" applyAlignment="1">
      <alignment vertical="center"/>
    </xf>
    <xf numFmtId="0" fontId="4" fillId="0" borderId="0" xfId="0" applyFont="1"/>
    <xf numFmtId="164" fontId="0" fillId="7" borderId="0" xfId="0" applyNumberFormat="1" applyFill="1"/>
    <xf numFmtId="164" fontId="0" fillId="3" borderId="0" xfId="0" applyNumberFormat="1" applyFill="1"/>
    <xf numFmtId="10" fontId="0" fillId="3" borderId="0" xfId="1" applyNumberFormat="1" applyFont="1" applyFill="1"/>
    <xf numFmtId="9" fontId="0" fillId="0" borderId="0" xfId="1" applyFont="1"/>
    <xf numFmtId="10" fontId="5" fillId="6" borderId="4" xfId="1" applyNumberFormat="1" applyFont="1" applyFill="1" applyBorder="1" applyAlignment="1">
      <alignment horizontal="center" vertical="center"/>
    </xf>
    <xf numFmtId="10" fontId="5" fillId="6" borderId="0" xfId="1" applyNumberFormat="1" applyFont="1" applyFill="1" applyBorder="1" applyAlignment="1">
      <alignment horizontal="center" vertical="center"/>
    </xf>
    <xf numFmtId="10" fontId="5" fillId="6" borderId="5" xfId="1" applyNumberFormat="1" applyFont="1" applyFill="1" applyBorder="1" applyAlignment="1">
      <alignment horizontal="center" vertical="center"/>
    </xf>
    <xf numFmtId="10" fontId="5" fillId="6" borderId="6" xfId="1" applyNumberFormat="1" applyFont="1" applyFill="1" applyBorder="1" applyAlignment="1">
      <alignment horizontal="center" vertical="center"/>
    </xf>
    <xf numFmtId="10" fontId="5" fillId="6" borderId="7" xfId="1" applyNumberFormat="1" applyFont="1" applyFill="1" applyBorder="1" applyAlignment="1">
      <alignment horizontal="center" vertical="center"/>
    </xf>
    <xf numFmtId="10" fontId="5" fillId="6" borderId="8" xfId="1" applyNumberFormat="1" applyFont="1" applyFill="1" applyBorder="1" applyAlignment="1">
      <alignment horizontal="center" vertical="center"/>
    </xf>
    <xf numFmtId="0" fontId="7" fillId="5" borderId="9" xfId="0" applyFont="1" applyFill="1" applyBorder="1" applyAlignment="1">
      <alignment horizontal="center"/>
    </xf>
    <xf numFmtId="0" fontId="7" fillId="5" borderId="10" xfId="0" applyFont="1" applyFill="1" applyBorder="1" applyAlignment="1">
      <alignment horizontal="center"/>
    </xf>
    <xf numFmtId="0" fontId="7" fillId="5" borderId="11" xfId="0" applyFont="1" applyFill="1" applyBorder="1" applyAlignment="1">
      <alignment horizontal="center"/>
    </xf>
    <xf numFmtId="0" fontId="4" fillId="3" borderId="1" xfId="0" applyFont="1" applyFill="1" applyBorder="1" applyAlignment="1">
      <alignment horizontal="center"/>
    </xf>
    <xf numFmtId="0" fontId="4" fillId="3" borderId="2" xfId="0" applyFont="1" applyFill="1" applyBorder="1" applyAlignment="1">
      <alignment horizontal="center"/>
    </xf>
    <xf numFmtId="0" fontId="4" fillId="3" borderId="3" xfId="0" applyFont="1" applyFill="1" applyBorder="1" applyAlignment="1">
      <alignment horizontal="center"/>
    </xf>
    <xf numFmtId="164" fontId="4" fillId="6" borderId="4" xfId="2" applyNumberFormat="1" applyFont="1" applyFill="1" applyBorder="1" applyAlignment="1">
      <alignment horizontal="center" vertical="center"/>
    </xf>
    <xf numFmtId="164" fontId="4" fillId="6" borderId="0" xfId="2" applyNumberFormat="1" applyFont="1" applyFill="1" applyBorder="1" applyAlignment="1">
      <alignment horizontal="center" vertical="center"/>
    </xf>
    <xf numFmtId="164" fontId="4" fillId="6" borderId="5" xfId="2" applyNumberFormat="1" applyFont="1" applyFill="1" applyBorder="1" applyAlignment="1">
      <alignment horizontal="center" vertical="center"/>
    </xf>
    <xf numFmtId="164" fontId="4" fillId="6" borderId="6" xfId="2" applyNumberFormat="1" applyFont="1" applyFill="1" applyBorder="1" applyAlignment="1">
      <alignment horizontal="center" vertical="center"/>
    </xf>
    <xf numFmtId="164" fontId="4" fillId="6" borderId="7" xfId="2" applyNumberFormat="1" applyFont="1" applyFill="1" applyBorder="1" applyAlignment="1">
      <alignment horizontal="center" vertical="center"/>
    </xf>
    <xf numFmtId="164" fontId="4" fillId="6" borderId="8" xfId="2" applyNumberFormat="1" applyFont="1" applyFill="1" applyBorder="1" applyAlignment="1">
      <alignment horizontal="center" vertical="center"/>
    </xf>
    <xf numFmtId="10" fontId="5" fillId="0" borderId="4" xfId="1" applyNumberFormat="1" applyFont="1" applyFill="1" applyBorder="1" applyAlignment="1">
      <alignment horizontal="center" vertical="center"/>
    </xf>
    <xf numFmtId="10" fontId="5" fillId="0" borderId="0" xfId="1" applyNumberFormat="1" applyFont="1" applyFill="1" applyBorder="1" applyAlignment="1">
      <alignment horizontal="center" vertical="center"/>
    </xf>
    <xf numFmtId="10" fontId="5" fillId="0" borderId="5" xfId="1" applyNumberFormat="1" applyFont="1" applyFill="1" applyBorder="1" applyAlignment="1">
      <alignment horizontal="center" vertical="center"/>
    </xf>
    <xf numFmtId="10" fontId="5" fillId="0" borderId="6" xfId="1" applyNumberFormat="1" applyFont="1" applyFill="1" applyBorder="1" applyAlignment="1">
      <alignment horizontal="center" vertical="center"/>
    </xf>
    <xf numFmtId="10" fontId="5" fillId="0" borderId="7" xfId="1" applyNumberFormat="1" applyFont="1" applyFill="1" applyBorder="1" applyAlignment="1">
      <alignment horizontal="center" vertical="center"/>
    </xf>
    <xf numFmtId="10" fontId="5" fillId="0" borderId="8" xfId="1" applyNumberFormat="1" applyFont="1" applyFill="1" applyBorder="1" applyAlignment="1">
      <alignment horizontal="center" vertical="center"/>
    </xf>
    <xf numFmtId="10" fontId="5" fillId="0" borderId="4" xfId="0" applyNumberFormat="1" applyFont="1" applyBorder="1" applyAlignment="1">
      <alignment horizontal="center" vertical="center"/>
    </xf>
    <xf numFmtId="10" fontId="5" fillId="0" borderId="0" xfId="0" applyNumberFormat="1" applyFont="1" applyAlignment="1">
      <alignment horizontal="center" vertical="center"/>
    </xf>
    <xf numFmtId="10" fontId="5" fillId="0" borderId="5" xfId="0" applyNumberFormat="1" applyFont="1" applyBorder="1" applyAlignment="1">
      <alignment horizontal="center" vertical="center"/>
    </xf>
    <xf numFmtId="10" fontId="5" fillId="0" borderId="6" xfId="0" applyNumberFormat="1" applyFont="1" applyBorder="1" applyAlignment="1">
      <alignment horizontal="center" vertical="center"/>
    </xf>
    <xf numFmtId="10" fontId="5" fillId="0" borderId="7" xfId="0" applyNumberFormat="1" applyFont="1" applyBorder="1" applyAlignment="1">
      <alignment horizontal="center" vertical="center"/>
    </xf>
    <xf numFmtId="10" fontId="5" fillId="0" borderId="8" xfId="0" applyNumberFormat="1" applyFont="1" applyBorder="1" applyAlignment="1">
      <alignment horizontal="center" vertical="center"/>
    </xf>
    <xf numFmtId="167" fontId="6" fillId="0" borderId="4" xfId="0" applyNumberFormat="1" applyFont="1" applyBorder="1" applyAlignment="1">
      <alignment horizontal="center" vertical="center"/>
    </xf>
    <xf numFmtId="167" fontId="6" fillId="0" borderId="0" xfId="0" applyNumberFormat="1" applyFont="1" applyAlignment="1">
      <alignment horizontal="center" vertical="center"/>
    </xf>
    <xf numFmtId="167" fontId="6" fillId="0" borderId="5" xfId="0" applyNumberFormat="1" applyFont="1" applyBorder="1" applyAlignment="1">
      <alignment horizontal="center" vertical="center"/>
    </xf>
    <xf numFmtId="167" fontId="6" fillId="0" borderId="6" xfId="0" applyNumberFormat="1" applyFont="1" applyBorder="1" applyAlignment="1">
      <alignment horizontal="center" vertical="center"/>
    </xf>
    <xf numFmtId="167" fontId="6" fillId="0" borderId="7" xfId="0" applyNumberFormat="1" applyFont="1" applyBorder="1" applyAlignment="1">
      <alignment horizontal="center" vertical="center"/>
    </xf>
    <xf numFmtId="167" fontId="6" fillId="0" borderId="8" xfId="0" applyNumberFormat="1" applyFont="1" applyBorder="1" applyAlignment="1">
      <alignment horizontal="center" vertical="center"/>
    </xf>
    <xf numFmtId="10" fontId="5" fillId="2" borderId="4" xfId="1" applyNumberFormat="1" applyFont="1" applyFill="1" applyBorder="1" applyAlignment="1">
      <alignment horizontal="center" vertical="center"/>
    </xf>
    <xf numFmtId="10" fontId="5" fillId="2" borderId="0" xfId="1" applyNumberFormat="1" applyFont="1" applyFill="1" applyBorder="1" applyAlignment="1">
      <alignment horizontal="center" vertical="center"/>
    </xf>
    <xf numFmtId="10" fontId="5" fillId="2" borderId="5" xfId="1" applyNumberFormat="1" applyFont="1" applyFill="1" applyBorder="1" applyAlignment="1">
      <alignment horizontal="center" vertical="center"/>
    </xf>
    <xf numFmtId="10" fontId="5" fillId="2" borderId="6" xfId="1" applyNumberFormat="1" applyFont="1" applyFill="1" applyBorder="1" applyAlignment="1">
      <alignment horizontal="center" vertical="center"/>
    </xf>
    <xf numFmtId="10" fontId="5" fillId="2" borderId="7" xfId="1" applyNumberFormat="1" applyFont="1" applyFill="1" applyBorder="1" applyAlignment="1">
      <alignment horizontal="center" vertical="center"/>
    </xf>
    <xf numFmtId="10" fontId="5" fillId="2" borderId="8" xfId="1" applyNumberFormat="1" applyFont="1" applyFill="1" applyBorder="1" applyAlignment="1">
      <alignment horizontal="center" vertical="center"/>
    </xf>
    <xf numFmtId="164" fontId="5" fillId="2" borderId="4" xfId="2" applyNumberFormat="1" applyFont="1" applyFill="1" applyBorder="1" applyAlignment="1">
      <alignment horizontal="center" vertical="center"/>
    </xf>
    <xf numFmtId="164" fontId="5" fillId="2" borderId="0" xfId="2" applyNumberFormat="1" applyFont="1" applyFill="1" applyBorder="1" applyAlignment="1">
      <alignment horizontal="center" vertical="center"/>
    </xf>
    <xf numFmtId="164" fontId="5" fillId="2" borderId="5" xfId="2" applyNumberFormat="1" applyFont="1" applyFill="1" applyBorder="1" applyAlignment="1">
      <alignment horizontal="center" vertical="center"/>
    </xf>
    <xf numFmtId="164" fontId="5" fillId="2" borderId="6" xfId="2" applyNumberFormat="1" applyFont="1" applyFill="1" applyBorder="1" applyAlignment="1">
      <alignment horizontal="center" vertical="center"/>
    </xf>
    <xf numFmtId="164" fontId="5" fillId="2" borderId="7" xfId="2" applyNumberFormat="1" applyFont="1" applyFill="1" applyBorder="1" applyAlignment="1">
      <alignment horizontal="center" vertical="center"/>
    </xf>
    <xf numFmtId="164" fontId="5" fillId="2" borderId="8" xfId="2" applyNumberFormat="1" applyFont="1" applyFill="1" applyBorder="1" applyAlignment="1">
      <alignment horizontal="center" vertical="center"/>
    </xf>
    <xf numFmtId="0" fontId="3" fillId="2" borderId="0" xfId="0" applyFont="1" applyFill="1" applyAlignment="1">
      <alignment horizontal="center"/>
    </xf>
    <xf numFmtId="0" fontId="7" fillId="3" borderId="1" xfId="0" applyFont="1" applyFill="1" applyBorder="1" applyAlignment="1">
      <alignment horizontal="center"/>
    </xf>
    <xf numFmtId="0" fontId="7" fillId="3" borderId="2" xfId="0" applyFont="1" applyFill="1" applyBorder="1" applyAlignment="1">
      <alignment horizontal="center"/>
    </xf>
    <xf numFmtId="0" fontId="7" fillId="3" borderId="3" xfId="0" applyFont="1" applyFill="1" applyBorder="1" applyAlignment="1">
      <alignment horizontal="center"/>
    </xf>
    <xf numFmtId="164" fontId="5" fillId="4" borderId="4" xfId="2" applyNumberFormat="1" applyFont="1" applyFill="1" applyBorder="1" applyAlignment="1">
      <alignment horizontal="center" vertical="center"/>
    </xf>
    <xf numFmtId="164" fontId="5" fillId="4" borderId="0" xfId="2" applyNumberFormat="1" applyFont="1" applyFill="1" applyBorder="1" applyAlignment="1">
      <alignment horizontal="center" vertical="center"/>
    </xf>
    <xf numFmtId="164" fontId="5" fillId="4" borderId="5" xfId="2" applyNumberFormat="1" applyFont="1" applyFill="1" applyBorder="1" applyAlignment="1">
      <alignment horizontal="center" vertical="center"/>
    </xf>
    <xf numFmtId="164" fontId="5" fillId="4" borderId="6" xfId="2" applyNumberFormat="1" applyFont="1" applyFill="1" applyBorder="1" applyAlignment="1">
      <alignment horizontal="center" vertical="center"/>
    </xf>
    <xf numFmtId="164" fontId="5" fillId="4" borderId="7" xfId="2" applyNumberFormat="1" applyFont="1" applyFill="1" applyBorder="1" applyAlignment="1">
      <alignment horizontal="center" vertical="center"/>
    </xf>
    <xf numFmtId="164" fontId="5" fillId="4" borderId="8" xfId="2" applyNumberFormat="1" applyFont="1" applyFill="1" applyBorder="1" applyAlignment="1">
      <alignment horizontal="center" vertical="center"/>
    </xf>
    <xf numFmtId="10" fontId="6" fillId="2" borderId="4" xfId="1" applyNumberFormat="1" applyFont="1" applyFill="1" applyBorder="1" applyAlignment="1">
      <alignment horizontal="center" vertical="center"/>
    </xf>
    <xf numFmtId="10" fontId="6" fillId="2" borderId="0" xfId="1" applyNumberFormat="1" applyFont="1" applyFill="1" applyBorder="1" applyAlignment="1">
      <alignment horizontal="center" vertical="center"/>
    </xf>
    <xf numFmtId="10" fontId="6" fillId="2" borderId="5" xfId="1" applyNumberFormat="1" applyFont="1" applyFill="1" applyBorder="1" applyAlignment="1">
      <alignment horizontal="center" vertical="center"/>
    </xf>
    <xf numFmtId="10" fontId="6" fillId="2" borderId="6" xfId="1" applyNumberFormat="1" applyFont="1" applyFill="1" applyBorder="1" applyAlignment="1">
      <alignment horizontal="center" vertical="center"/>
    </xf>
    <xf numFmtId="10" fontId="6" fillId="2" borderId="7" xfId="1" applyNumberFormat="1" applyFont="1" applyFill="1" applyBorder="1" applyAlignment="1">
      <alignment horizontal="center" vertical="center"/>
    </xf>
    <xf numFmtId="10" fontId="6" fillId="2" borderId="8" xfId="1" applyNumberFormat="1" applyFont="1" applyFill="1" applyBorder="1" applyAlignment="1">
      <alignment horizontal="center" vertical="center"/>
    </xf>
    <xf numFmtId="0" fontId="1" fillId="5" borderId="0" xfId="0" applyFont="1" applyFill="1" applyAlignment="1">
      <alignment horizontal="center"/>
    </xf>
    <xf numFmtId="0" fontId="1" fillId="7" borderId="0" xfId="0" applyFont="1" applyFill="1" applyAlignment="1">
      <alignment horizontal="center"/>
    </xf>
    <xf numFmtId="0" fontId="7" fillId="0" borderId="0" xfId="0" applyFont="1"/>
  </cellXfs>
  <cellStyles count="3">
    <cellStyle name="Comma" xfId="2" builtinId="3"/>
    <cellStyle name="Normal" xfId="0" builtinId="0"/>
    <cellStyle name="Percent" xfId="1" builtinId="5"/>
  </cellStyles>
  <dxfs count="45">
    <dxf>
      <fill>
        <patternFill>
          <bgColor theme="9" tint="0.79998168889431442"/>
        </patternFill>
      </fill>
    </dxf>
    <dxf>
      <fill>
        <patternFill>
          <bgColor theme="9" tint="0.79998168889431442"/>
        </patternFill>
      </fill>
    </dxf>
    <dxf>
      <fill>
        <patternFill>
          <bgColor theme="6" tint="0.79998168889431442"/>
        </patternFill>
      </fill>
    </dxf>
    <dxf>
      <fill>
        <patternFill>
          <bgColor theme="9" tint="0.79998168889431442"/>
        </patternFill>
      </fill>
    </dxf>
    <dxf>
      <numFmt numFmtId="14" formatCode="0.00%"/>
    </dxf>
    <dxf>
      <numFmt numFmtId="14" formatCode="0.00%"/>
    </dxf>
    <dxf>
      <numFmt numFmtId="164" formatCode="_ * #,##0_ ;_ * \-#,##0_ ;_ * &quot;-&quot;??_ ;_ @_ "/>
    </dxf>
    <dxf>
      <numFmt numFmtId="164" formatCode="_ * #,##0_ ;_ * \-#,##0_ ;_ * &quot;-&quot;??_ ;_ @_ "/>
    </dxf>
    <dxf>
      <numFmt numFmtId="164" formatCode="_ * #,##0_ ;_ * \-#,##0_ ;_ * &quot;-&quot;??_ ;_ @_ "/>
    </dxf>
    <dxf>
      <numFmt numFmtId="14" formatCode="0.00%"/>
    </dxf>
    <dxf>
      <numFmt numFmtId="164" formatCode="_ * #,##0_ ;_ * \-#,##0_ ;_ * &quot;-&quot;??_ ;_ @_ "/>
    </dxf>
    <dxf>
      <numFmt numFmtId="164" formatCode="_ * #,##0_ ;_ * \-#,##0_ ;_ * &quot;-&quot;??_ ;_ @_ "/>
    </dxf>
    <dxf>
      <numFmt numFmtId="164" formatCode="_ * #,##0_ ;_ * \-#,##0_ ;_ * &quot;-&quot;??_ ;_ @_ "/>
    </dxf>
    <dxf>
      <numFmt numFmtId="1" formatCode="0"/>
    </dxf>
    <dxf>
      <numFmt numFmtId="2" formatCode="0.00"/>
    </dxf>
    <dxf>
      <numFmt numFmtId="13" formatCode="0%"/>
    </dxf>
    <dxf>
      <numFmt numFmtId="166" formatCode="_ * #,##0.0_ ;_ * \-#,##0.0_ ;_ * &quot;-&quot;??_ ;_ @_ "/>
    </dxf>
    <dxf>
      <numFmt numFmtId="165" formatCode="_ * #,##0.000000_ ;_ * \-#,##0.000000_ ;_ * &quot;-&quot;??_ ;_ @_ "/>
    </dxf>
    <dxf>
      <numFmt numFmtId="164" formatCode="_ * #,##0_ ;_ * \-#,##0_ ;_ * &quot;-&quot;??_ ;_ @_ "/>
    </dxf>
    <dxf>
      <numFmt numFmtId="2" formatCode="0.00"/>
    </dxf>
    <dxf>
      <numFmt numFmtId="13" formatCode="0%"/>
    </dxf>
    <dxf>
      <numFmt numFmtId="13" formatCode="0%"/>
    </dxf>
    <dxf>
      <numFmt numFmtId="13" formatCode="0%"/>
    </dxf>
    <dxf>
      <fill>
        <patternFill patternType="solid">
          <bgColor theme="7" tint="0.59999389629810485"/>
        </patternFill>
      </fill>
    </dxf>
    <dxf>
      <fill>
        <patternFill patternType="solid">
          <bgColor theme="7" tint="0.79998168889431442"/>
        </patternFill>
      </fill>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fill>
        <patternFill>
          <bgColor theme="9" tint="0.79998168889431442"/>
        </patternFill>
      </fill>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9" formatCode="dd/mm/yyyy"/>
    </dxf>
    <dxf>
      <font>
        <b/>
        <i val="0"/>
        <strike val="0"/>
        <condense val="0"/>
        <extend val="0"/>
        <outline val="0"/>
        <shadow val="0"/>
        <u val="none"/>
        <vertAlign val="baseline"/>
        <sz val="11"/>
        <color theme="1"/>
        <name val="Calibri"/>
        <family val="2"/>
        <scheme val="minor"/>
      </font>
      <numFmt numFmtId="1"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[Auto_Service_Ops_Project_3.xlsx]Pivot_Calculations!region_revenue/profit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Pivot_Calculations!$B$6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Pivot_Calculations!$A$7:$A$11</c:f>
              <c:strCache>
                <c:ptCount val="4"/>
                <c:pt idx="0">
                  <c:v>East</c:v>
                </c:pt>
                <c:pt idx="1">
                  <c:v>North</c:v>
                </c:pt>
                <c:pt idx="2">
                  <c:v>South</c:v>
                </c:pt>
                <c:pt idx="3">
                  <c:v>West</c:v>
                </c:pt>
              </c:strCache>
            </c:strRef>
          </c:cat>
          <c:val>
            <c:numRef>
              <c:f>Pivot_Calculations!$B$7:$B$11</c:f>
              <c:numCache>
                <c:formatCode>_ * #,##0_ ;_ * \-#,##0_ ;_ * "-"??_ ;_ @_ </c:formatCode>
                <c:ptCount val="4"/>
                <c:pt idx="0">
                  <c:v>274968321</c:v>
                </c:pt>
                <c:pt idx="1">
                  <c:v>240578013</c:v>
                </c:pt>
                <c:pt idx="2">
                  <c:v>248647492</c:v>
                </c:pt>
                <c:pt idx="3">
                  <c:v>256949449</c:v>
                </c:pt>
              </c:numCache>
            </c:numRef>
          </c:val>
          <c:extLst>
            <c:ext xmlns:c16="http://schemas.microsoft.com/office/drawing/2014/chart" uri="{C3380CC4-5D6E-409C-BE32-E72D297353CC}">
              <c16:uniqueId val="{00000000-C2DD-4268-8BF0-A32E78886036}"/>
            </c:ext>
          </c:extLst>
        </c:ser>
        <c:dLbls>
          <c:dLblPos val="outEnd"/>
          <c:showLegendKey val="0"/>
          <c:showVal val="1"/>
          <c:showCatName val="0"/>
          <c:showSerName val="0"/>
          <c:showPercent val="0"/>
          <c:showBubbleSize val="0"/>
        </c:dLbls>
        <c:gapWidth val="219"/>
        <c:overlap val="-27"/>
        <c:axId val="83558207"/>
        <c:axId val="83565407"/>
      </c:barChart>
      <c:catAx>
        <c:axId val="83558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65407"/>
        <c:crosses val="autoZero"/>
        <c:auto val="1"/>
        <c:lblAlgn val="ctr"/>
        <c:lblOffset val="100"/>
        <c:noMultiLvlLbl val="0"/>
      </c:catAx>
      <c:valAx>
        <c:axId val="83565407"/>
        <c:scaling>
          <c:orientation val="minMax"/>
        </c:scaling>
        <c:delete val="1"/>
        <c:axPos val="l"/>
        <c:numFmt formatCode="_ * #,##0_ ;_ * \-#,##0_ ;_ * &quot;-&quot;??_ ;_ @_ " sourceLinked="1"/>
        <c:majorTickMark val="none"/>
        <c:minorTickMark val="none"/>
        <c:tickLblPos val="nextTo"/>
        <c:crossAx val="835582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[Auto_Service_Ops_Project_3.xlsx]Pivot_Calculations!Region_RiskRevenue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at Risk due to Rework/SLA Breach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Pivot_Calculations!$B$13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Pivot_Calculations!$A$14:$A$18</c:f>
              <c:strCache>
                <c:ptCount val="4"/>
                <c:pt idx="0">
                  <c:v>East</c:v>
                </c:pt>
                <c:pt idx="1">
                  <c:v>North</c:v>
                </c:pt>
                <c:pt idx="2">
                  <c:v>South</c:v>
                </c:pt>
                <c:pt idx="3">
                  <c:v>West</c:v>
                </c:pt>
              </c:strCache>
            </c:strRef>
          </c:cat>
          <c:val>
            <c:numRef>
              <c:f>Pivot_Calculations!$B$14:$B$18</c:f>
              <c:numCache>
                <c:formatCode>_ * #,##0_ ;_ * \-#,##0_ ;_ * "-"??_ ;_ @_ </c:formatCode>
                <c:ptCount val="4"/>
                <c:pt idx="0">
                  <c:v>101851567</c:v>
                </c:pt>
                <c:pt idx="1">
                  <c:v>90931545</c:v>
                </c:pt>
                <c:pt idx="2">
                  <c:v>105216238</c:v>
                </c:pt>
                <c:pt idx="3">
                  <c:v>98046777</c:v>
                </c:pt>
              </c:numCache>
            </c:numRef>
          </c:val>
          <c:extLst>
            <c:ext xmlns:c16="http://schemas.microsoft.com/office/drawing/2014/chart" uri="{C3380CC4-5D6E-409C-BE32-E72D297353CC}">
              <c16:uniqueId val="{00000000-32BF-46D6-B063-BC41376B1ED7}"/>
            </c:ext>
          </c:extLst>
        </c:ser>
        <c:dLbls>
          <c:dLblPos val="outEnd"/>
          <c:showLegendKey val="0"/>
          <c:showVal val="1"/>
          <c:showCatName val="0"/>
          <c:showSerName val="0"/>
          <c:showPercent val="0"/>
          <c:showBubbleSize val="0"/>
        </c:dLbls>
        <c:gapWidth val="219"/>
        <c:overlap val="-27"/>
        <c:axId val="83567327"/>
        <c:axId val="83563007"/>
      </c:barChart>
      <c:catAx>
        <c:axId val="83567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63007"/>
        <c:crosses val="autoZero"/>
        <c:auto val="1"/>
        <c:lblAlgn val="ctr"/>
        <c:lblOffset val="100"/>
        <c:noMultiLvlLbl val="0"/>
      </c:catAx>
      <c:valAx>
        <c:axId val="83563007"/>
        <c:scaling>
          <c:orientation val="minMax"/>
        </c:scaling>
        <c:delete val="1"/>
        <c:axPos val="l"/>
        <c:numFmt formatCode="_ * #,##0_ ;_ * \-#,##0_ ;_ * &quot;-&quot;??_ ;_ @_ " sourceLinked="1"/>
        <c:majorTickMark val="none"/>
        <c:minorTickMark val="none"/>
        <c:tickLblPos val="nextTo"/>
        <c:crossAx val="835673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[Auto_Service_Ops_Project_3.xlsx]Pivot_Calculations!Csatisfaction_TATdays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TAT</a:t>
            </a:r>
            <a:r>
              <a:rPr lang="en-US" baseline="0"/>
              <a:t> Delays Harm Customer Satisfaction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Pivot_Calculations!$E$7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Pivot_Calculations!$D$8:$D$13</c:f>
              <c:strCache>
                <c:ptCount val="5"/>
                <c:pt idx="0">
                  <c:v>1</c:v>
                </c:pt>
                <c:pt idx="1">
                  <c:v>2</c:v>
                </c:pt>
                <c:pt idx="2">
                  <c:v>3</c:v>
                </c:pt>
                <c:pt idx="3">
                  <c:v>4</c:v>
                </c:pt>
                <c:pt idx="4">
                  <c:v>5</c:v>
                </c:pt>
              </c:strCache>
            </c:strRef>
          </c:cat>
          <c:val>
            <c:numRef>
              <c:f>Pivot_Calculations!$E$8:$E$13</c:f>
              <c:numCache>
                <c:formatCode>0</c:formatCode>
                <c:ptCount val="5"/>
                <c:pt idx="0">
                  <c:v>20.516579406631763</c:v>
                </c:pt>
                <c:pt idx="1">
                  <c:v>13.84887459807074</c:v>
                </c:pt>
                <c:pt idx="2">
                  <c:v>9.1551401869158884</c:v>
                </c:pt>
                <c:pt idx="3">
                  <c:v>5.4711729622266398</c:v>
                </c:pt>
                <c:pt idx="4">
                  <c:v>2.9793814432989691</c:v>
                </c:pt>
              </c:numCache>
            </c:numRef>
          </c:val>
          <c:extLst>
            <c:ext xmlns:c16="http://schemas.microsoft.com/office/drawing/2014/chart" uri="{C3380CC4-5D6E-409C-BE32-E72D297353CC}">
              <c16:uniqueId val="{00000000-B94B-4A47-863D-209823C57E4F}"/>
            </c:ext>
          </c:extLst>
        </c:ser>
        <c:dLbls>
          <c:dLblPos val="outEnd"/>
          <c:showLegendKey val="0"/>
          <c:showVal val="1"/>
          <c:showCatName val="0"/>
          <c:showSerName val="0"/>
          <c:showPercent val="0"/>
          <c:showBubbleSize val="0"/>
        </c:dLbls>
        <c:gapWidth val="219"/>
        <c:overlap val="-27"/>
        <c:axId val="83555327"/>
        <c:axId val="83572607"/>
      </c:barChart>
      <c:catAx>
        <c:axId val="83555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72607"/>
        <c:crosses val="autoZero"/>
        <c:auto val="1"/>
        <c:lblAlgn val="ctr"/>
        <c:lblOffset val="100"/>
        <c:noMultiLvlLbl val="0"/>
      </c:catAx>
      <c:valAx>
        <c:axId val="83572607"/>
        <c:scaling>
          <c:orientation val="minMax"/>
        </c:scaling>
        <c:delete val="1"/>
        <c:axPos val="l"/>
        <c:numFmt formatCode="0" sourceLinked="1"/>
        <c:majorTickMark val="none"/>
        <c:minorTickMark val="none"/>
        <c:tickLblPos val="nextTo"/>
        <c:crossAx val="835553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[Auto_Service_Ops_Project_3.xlsx]Pivot_Calculations!Root cause of Risk Revenue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Warranty</a:t>
            </a:r>
            <a:r>
              <a:rPr lang="en-US" baseline="0"/>
              <a:t> Claimed Jobs have Zero Contribution to Revenue at Risk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Pivot_Calculations!$E$23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Pivot_Calculations!$D$24:$D$26</c:f>
              <c:strCache>
                <c:ptCount val="2"/>
                <c:pt idx="0">
                  <c:v>No</c:v>
                </c:pt>
                <c:pt idx="1">
                  <c:v>Yes</c:v>
                </c:pt>
              </c:strCache>
            </c:strRef>
          </c:cat>
          <c:val>
            <c:numRef>
              <c:f>Pivot_Calculations!$E$24:$E$26</c:f>
              <c:numCache>
                <c:formatCode>_ * #,##0_ ;_ * \-#,##0_ ;_ * "-"??_ ;_ @_ </c:formatCode>
                <c:ptCount val="2"/>
                <c:pt idx="0">
                  <c:v>396046127</c:v>
                </c:pt>
                <c:pt idx="1">
                  <c:v>0</c:v>
                </c:pt>
              </c:numCache>
            </c:numRef>
          </c:val>
          <c:extLst>
            <c:ext xmlns:c16="http://schemas.microsoft.com/office/drawing/2014/chart" uri="{C3380CC4-5D6E-409C-BE32-E72D297353CC}">
              <c16:uniqueId val="{00000001-290C-4FCD-9CE1-2E31B68A7BD6}"/>
            </c:ext>
          </c:extLst>
        </c:ser>
        <c:dLbls>
          <c:dLblPos val="outEnd"/>
          <c:showLegendKey val="0"/>
          <c:showVal val="1"/>
          <c:showCatName val="0"/>
          <c:showSerName val="0"/>
          <c:showPercent val="0"/>
          <c:showBubbleSize val="0"/>
        </c:dLbls>
        <c:gapWidth val="219"/>
        <c:overlap val="-27"/>
        <c:axId val="646900656"/>
        <c:axId val="646899216"/>
      </c:barChart>
      <c:catAx>
        <c:axId val="646900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899216"/>
        <c:crosses val="autoZero"/>
        <c:auto val="1"/>
        <c:lblAlgn val="ctr"/>
        <c:lblOffset val="100"/>
        <c:noMultiLvlLbl val="0"/>
      </c:catAx>
      <c:valAx>
        <c:axId val="646899216"/>
        <c:scaling>
          <c:orientation val="minMax"/>
        </c:scaling>
        <c:delete val="1"/>
        <c:axPos val="l"/>
        <c:numFmt formatCode="_ * #,##0_ ;_ * \-#,##0_ ;_ * &quot;-&quot;??_ ;_ @_ " sourceLinked="1"/>
        <c:majorTickMark val="none"/>
        <c:minorTickMark val="none"/>
        <c:tickLblPos val="nextTo"/>
        <c:crossAx val="6469006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[Auto_Service_Ops_Project_3.xlsx]Pivot_Calculations!Region_risk_revenue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High+Medium</a:t>
            </a:r>
            <a:r>
              <a:rPr lang="en-IN" baseline="0"/>
              <a:t> severity causes more Revenue Risk</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Pivot_Calculations!$B$28:$B$29</c:f>
              <c:strCache>
                <c:ptCount val="1"/>
                <c:pt idx="0">
                  <c:v>High</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Pivot_Calculations!$A$30:$A$34</c:f>
              <c:strCache>
                <c:ptCount val="4"/>
                <c:pt idx="0">
                  <c:v>East</c:v>
                </c:pt>
                <c:pt idx="1">
                  <c:v>North</c:v>
                </c:pt>
                <c:pt idx="2">
                  <c:v>South</c:v>
                </c:pt>
                <c:pt idx="3">
                  <c:v>West</c:v>
                </c:pt>
              </c:strCache>
            </c:strRef>
          </c:cat>
          <c:val>
            <c:numRef>
              <c:f>Pivot_Calculations!$B$30:$B$34</c:f>
              <c:numCache>
                <c:formatCode>_ * #,##0_ ;_ * \-#,##0_ ;_ * "-"??_ ;_ @_ </c:formatCode>
                <c:ptCount val="4"/>
                <c:pt idx="0">
                  <c:v>40180901</c:v>
                </c:pt>
                <c:pt idx="1">
                  <c:v>41032859</c:v>
                </c:pt>
                <c:pt idx="2">
                  <c:v>40148092</c:v>
                </c:pt>
                <c:pt idx="3">
                  <c:v>38778375</c:v>
                </c:pt>
              </c:numCache>
            </c:numRef>
          </c:val>
          <c:extLst>
            <c:ext xmlns:c16="http://schemas.microsoft.com/office/drawing/2014/chart" uri="{C3380CC4-5D6E-409C-BE32-E72D297353CC}">
              <c16:uniqueId val="{00000000-4892-45A7-9CF9-E28DCC355FCB}"/>
            </c:ext>
          </c:extLst>
        </c:ser>
        <c:ser>
          <c:idx val="1"/>
          <c:order val="1"/>
          <c:tx>
            <c:strRef>
              <c:f>Pivot_Calculations!$C$28:$C$29</c:f>
              <c:strCache>
                <c:ptCount val="1"/>
                <c:pt idx="0">
                  <c:v>Low</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Pivot_Calculations!$A$30:$A$34</c:f>
              <c:strCache>
                <c:ptCount val="4"/>
                <c:pt idx="0">
                  <c:v>East</c:v>
                </c:pt>
                <c:pt idx="1">
                  <c:v>North</c:v>
                </c:pt>
                <c:pt idx="2">
                  <c:v>South</c:v>
                </c:pt>
                <c:pt idx="3">
                  <c:v>West</c:v>
                </c:pt>
              </c:strCache>
            </c:strRef>
          </c:cat>
          <c:val>
            <c:numRef>
              <c:f>Pivot_Calculations!$C$30:$C$34</c:f>
              <c:numCache>
                <c:formatCode>_ * #,##0_ ;_ * \-#,##0_ ;_ * "-"??_ ;_ @_ </c:formatCode>
                <c:ptCount val="4"/>
                <c:pt idx="0">
                  <c:v>29917885</c:v>
                </c:pt>
                <c:pt idx="1">
                  <c:v>23210723</c:v>
                </c:pt>
                <c:pt idx="2">
                  <c:v>26881916</c:v>
                </c:pt>
                <c:pt idx="3">
                  <c:v>28175536</c:v>
                </c:pt>
              </c:numCache>
            </c:numRef>
          </c:val>
          <c:extLst>
            <c:ext xmlns:c16="http://schemas.microsoft.com/office/drawing/2014/chart" uri="{C3380CC4-5D6E-409C-BE32-E72D297353CC}">
              <c16:uniqueId val="{00000001-4892-45A7-9CF9-E28DCC355FCB}"/>
            </c:ext>
          </c:extLst>
        </c:ser>
        <c:ser>
          <c:idx val="2"/>
          <c:order val="2"/>
          <c:tx>
            <c:strRef>
              <c:f>Pivot_Calculations!$D$28:$D$29</c:f>
              <c:strCache>
                <c:ptCount val="1"/>
                <c:pt idx="0">
                  <c:v>Medium</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Pivot_Calculations!$A$30:$A$34</c:f>
              <c:strCache>
                <c:ptCount val="4"/>
                <c:pt idx="0">
                  <c:v>East</c:v>
                </c:pt>
                <c:pt idx="1">
                  <c:v>North</c:v>
                </c:pt>
                <c:pt idx="2">
                  <c:v>South</c:v>
                </c:pt>
                <c:pt idx="3">
                  <c:v>West</c:v>
                </c:pt>
              </c:strCache>
            </c:strRef>
          </c:cat>
          <c:val>
            <c:numRef>
              <c:f>Pivot_Calculations!$D$30:$D$34</c:f>
              <c:numCache>
                <c:formatCode>_ * #,##0_ ;_ * \-#,##0_ ;_ * "-"??_ ;_ @_ </c:formatCode>
                <c:ptCount val="4"/>
                <c:pt idx="0">
                  <c:v>31752781</c:v>
                </c:pt>
                <c:pt idx="1">
                  <c:v>26687963</c:v>
                </c:pt>
                <c:pt idx="2">
                  <c:v>38186230</c:v>
                </c:pt>
                <c:pt idx="3">
                  <c:v>31092866</c:v>
                </c:pt>
              </c:numCache>
            </c:numRef>
          </c:val>
          <c:extLst>
            <c:ext xmlns:c16="http://schemas.microsoft.com/office/drawing/2014/chart" uri="{C3380CC4-5D6E-409C-BE32-E72D297353CC}">
              <c16:uniqueId val="{00000002-4892-45A7-9CF9-E28DCC355FCB}"/>
            </c:ext>
          </c:extLst>
        </c:ser>
        <c:dLbls>
          <c:dLblPos val="outEnd"/>
          <c:showLegendKey val="0"/>
          <c:showVal val="1"/>
          <c:showCatName val="0"/>
          <c:showSerName val="0"/>
          <c:showPercent val="0"/>
          <c:showBubbleSize val="0"/>
        </c:dLbls>
        <c:gapWidth val="219"/>
        <c:overlap val="-27"/>
        <c:axId val="1029837776"/>
        <c:axId val="1029838736"/>
      </c:barChart>
      <c:catAx>
        <c:axId val="10298377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838736"/>
        <c:crosses val="autoZero"/>
        <c:auto val="1"/>
        <c:lblAlgn val="ctr"/>
        <c:lblOffset val="100"/>
        <c:noMultiLvlLbl val="0"/>
      </c:catAx>
      <c:valAx>
        <c:axId val="1029838736"/>
        <c:scaling>
          <c:orientation val="minMax"/>
        </c:scaling>
        <c:delete val="1"/>
        <c:axPos val="l"/>
        <c:numFmt formatCode="_ * #,##0_ ;_ * \-#,##0_ ;_ * &quot;-&quot;??_ ;_ @_ " sourceLinked="1"/>
        <c:majorTickMark val="out"/>
        <c:minorTickMark val="none"/>
        <c:tickLblPos val="nextTo"/>
        <c:crossAx val="1029837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[Auto_Service_Ops_Project_3.xlsx]Pivot_Calculations!C_S_bucket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73%</a:t>
            </a:r>
            <a:r>
              <a:rPr lang="en-US" baseline="0"/>
              <a:t> customers have Poor Experience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Pivot_Calculations!$B$36</c:f>
              <c:strCache>
                <c:ptCount val="1"/>
                <c:pt idx="0">
                  <c:v>Sum of Repeat_visit_rate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82A-40F2-9DE3-E514741F938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82A-40F2-9DE3-E514741F938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82A-40F2-9DE3-E514741F938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Pivot_Calculations!$A$37:$A$40</c:f>
              <c:strCache>
                <c:ptCount val="3"/>
                <c:pt idx="0">
                  <c:v>Good</c:v>
                </c:pt>
                <c:pt idx="1">
                  <c:v>Neutral</c:v>
                </c:pt>
                <c:pt idx="2">
                  <c:v>Poor</c:v>
                </c:pt>
              </c:strCache>
            </c:strRef>
          </c:cat>
          <c:val>
            <c:numRef>
              <c:f>Pivot_Calculations!$B$37:$B$40</c:f>
              <c:numCache>
                <c:formatCode>_(* #,##0.00_);_(* \(#,##0.00\);_(* "-"??_);_(@_)</c:formatCode>
                <c:ptCount val="3"/>
                <c:pt idx="0">
                  <c:v>0.2769010043041607</c:v>
                </c:pt>
                <c:pt idx="1">
                  <c:v>0.55700934579439254</c:v>
                </c:pt>
                <c:pt idx="2">
                  <c:v>0.73020361990950222</c:v>
                </c:pt>
              </c:numCache>
            </c:numRef>
          </c:val>
          <c:extLst>
            <c:ext xmlns:c16="http://schemas.microsoft.com/office/drawing/2014/chart" uri="{C3380CC4-5D6E-409C-BE32-E72D297353CC}">
              <c16:uniqueId val="{00000006-882A-40F2-9DE3-E514741F9380}"/>
            </c:ext>
          </c:extLst>
        </c:ser>
        <c:ser>
          <c:idx val="1"/>
          <c:order val="1"/>
          <c:tx>
            <c:strRef>
              <c:f>Pivot_Calculations!$C$36</c:f>
              <c:strCache>
                <c:ptCount val="1"/>
                <c:pt idx="0">
                  <c:v>Sum of count_of_job</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EBF6-4215-9F62-E1EDF0640B8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EBF6-4215-9F62-E1EDF0640B8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EBF6-4215-9F62-E1EDF0640B8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Pivot_Calculations!$A$37:$A$40</c:f>
              <c:strCache>
                <c:ptCount val="3"/>
                <c:pt idx="0">
                  <c:v>Good</c:v>
                </c:pt>
                <c:pt idx="1">
                  <c:v>Neutral</c:v>
                </c:pt>
                <c:pt idx="2">
                  <c:v>Poor</c:v>
                </c:pt>
              </c:strCache>
            </c:strRef>
          </c:cat>
          <c:val>
            <c:numRef>
              <c:f>Pivot_Calculations!$C$37:$C$40</c:f>
              <c:numCache>
                <c:formatCode>_(* #,##0.00_);_(* \(#,##0.00\);_(* "-"??_);_(@_)</c:formatCode>
                <c:ptCount val="3"/>
                <c:pt idx="0">
                  <c:v>697</c:v>
                </c:pt>
                <c:pt idx="1">
                  <c:v>535</c:v>
                </c:pt>
                <c:pt idx="2">
                  <c:v>1768</c:v>
                </c:pt>
              </c:numCache>
            </c:numRef>
          </c:val>
          <c:extLst>
            <c:ext xmlns:c16="http://schemas.microsoft.com/office/drawing/2014/chart" uri="{C3380CC4-5D6E-409C-BE32-E72D297353CC}">
              <c16:uniqueId val="{00000008-EC7D-493D-B117-74D11D39ED2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14</xdr:row>
      <xdr:rowOff>13624</xdr:rowOff>
    </xdr:from>
    <xdr:to>
      <xdr:col>7</xdr:col>
      <xdr:colOff>589643</xdr:colOff>
      <xdr:row>31</xdr:row>
      <xdr:rowOff>65368</xdr:rowOff>
    </xdr:to>
    <xdr:graphicFrame macro="">
      <xdr:nvGraphicFramePr>
        <xdr:cNvPr id="2" name="Chart 1">
          <a:extLst>
            <a:ext uri="{FF2B5EF4-FFF2-40B4-BE49-F238E27FC236}">
              <a16:creationId xmlns:a16="http://schemas.microsoft.com/office/drawing/2014/main" id="{D618C161-7CDF-4B61-B3E4-26799F704A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31</xdr:row>
      <xdr:rowOff>102721</xdr:rowOff>
    </xdr:from>
    <xdr:to>
      <xdr:col>7</xdr:col>
      <xdr:colOff>589643</xdr:colOff>
      <xdr:row>49</xdr:row>
      <xdr:rowOff>80635</xdr:rowOff>
    </xdr:to>
    <xdr:graphicFrame macro="">
      <xdr:nvGraphicFramePr>
        <xdr:cNvPr id="3" name="Chart 2">
          <a:extLst>
            <a:ext uri="{FF2B5EF4-FFF2-40B4-BE49-F238E27FC236}">
              <a16:creationId xmlns:a16="http://schemas.microsoft.com/office/drawing/2014/main" id="{3D4690DF-ECCC-42B4-BBF5-98DC471AB1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41292</xdr:colOff>
      <xdr:row>14</xdr:row>
      <xdr:rowOff>2567</xdr:rowOff>
    </xdr:from>
    <xdr:to>
      <xdr:col>18</xdr:col>
      <xdr:colOff>7300</xdr:colOff>
      <xdr:row>31</xdr:row>
      <xdr:rowOff>74310</xdr:rowOff>
    </xdr:to>
    <xdr:graphicFrame macro="">
      <xdr:nvGraphicFramePr>
        <xdr:cNvPr id="4" name="Chart 3">
          <a:extLst>
            <a:ext uri="{FF2B5EF4-FFF2-40B4-BE49-F238E27FC236}">
              <a16:creationId xmlns:a16="http://schemas.microsoft.com/office/drawing/2014/main" id="{5DB15EC9-C4DB-47C9-BF41-6186F1EADF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71156</xdr:colOff>
      <xdr:row>14</xdr:row>
      <xdr:rowOff>4343</xdr:rowOff>
    </xdr:from>
    <xdr:to>
      <xdr:col>20</xdr:col>
      <xdr:colOff>507479</xdr:colOff>
      <xdr:row>21</xdr:row>
      <xdr:rowOff>156921</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72968C78-BD5F-464E-80EA-16A11B572A3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011299" y="2743914"/>
              <a:ext cx="1824251" cy="14860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83945</xdr:colOff>
      <xdr:row>38</xdr:row>
      <xdr:rowOff>176054</xdr:rowOff>
    </xdr:from>
    <xdr:to>
      <xdr:col>20</xdr:col>
      <xdr:colOff>524439</xdr:colOff>
      <xdr:row>45</xdr:row>
      <xdr:rowOff>141876</xdr:rowOff>
    </xdr:to>
    <mc:AlternateContent xmlns:mc="http://schemas.openxmlformats.org/markup-compatibility/2006" xmlns:a14="http://schemas.microsoft.com/office/drawing/2010/main">
      <mc:Choice Requires="a14">
        <xdr:graphicFrame macro="">
          <xdr:nvGraphicFramePr>
            <xdr:cNvPr id="7" name="Center_Type">
              <a:extLst>
                <a:ext uri="{FF2B5EF4-FFF2-40B4-BE49-F238E27FC236}">
                  <a16:creationId xmlns:a16="http://schemas.microsoft.com/office/drawing/2014/main" id="{D579D7FD-2A1B-4995-863A-EE2B1F97E464}"/>
                </a:ext>
              </a:extLst>
            </xdr:cNvPr>
            <xdr:cNvGraphicFramePr/>
          </xdr:nvGraphicFramePr>
          <xdr:xfrm>
            <a:off x="0" y="0"/>
            <a:ext cx="0" cy="0"/>
          </xdr:xfrm>
          <a:graphic>
            <a:graphicData uri="http://schemas.microsoft.com/office/drawing/2010/slicer">
              <sle:slicer xmlns:sle="http://schemas.microsoft.com/office/drawing/2010/slicer" name="Center_Type"/>
            </a:graphicData>
          </a:graphic>
        </xdr:graphicFrame>
      </mc:Choice>
      <mc:Fallback xmlns="">
        <xdr:sp macro="" textlink="">
          <xdr:nvSpPr>
            <xdr:cNvPr id="0" name=""/>
            <xdr:cNvSpPr>
              <a:spLocks noTextEdit="1"/>
            </xdr:cNvSpPr>
          </xdr:nvSpPr>
          <xdr:spPr>
            <a:xfrm>
              <a:off x="11037695" y="7425637"/>
              <a:ext cx="1829557" cy="12622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86402</xdr:colOff>
      <xdr:row>45</xdr:row>
      <xdr:rowOff>181606</xdr:rowOff>
    </xdr:from>
    <xdr:to>
      <xdr:col>20</xdr:col>
      <xdr:colOff>526895</xdr:colOff>
      <xdr:row>51</xdr:row>
      <xdr:rowOff>29034</xdr:rowOff>
    </xdr:to>
    <mc:AlternateContent xmlns:mc="http://schemas.openxmlformats.org/markup-compatibility/2006" xmlns:a14="http://schemas.microsoft.com/office/drawing/2010/main">
      <mc:Choice Requires="a14">
        <xdr:graphicFrame macro="">
          <xdr:nvGraphicFramePr>
            <xdr:cNvPr id="8" name="Service_Type">
              <a:extLst>
                <a:ext uri="{FF2B5EF4-FFF2-40B4-BE49-F238E27FC236}">
                  <a16:creationId xmlns:a16="http://schemas.microsoft.com/office/drawing/2014/main" id="{22DE50D2-7CA6-40C6-97E3-AC9BDCF21C99}"/>
                </a:ext>
              </a:extLst>
            </xdr:cNvPr>
            <xdr:cNvGraphicFramePr/>
          </xdr:nvGraphicFramePr>
          <xdr:xfrm>
            <a:off x="0" y="0"/>
            <a:ext cx="0" cy="0"/>
          </xdr:xfrm>
          <a:graphic>
            <a:graphicData uri="http://schemas.microsoft.com/office/drawing/2010/slicer">
              <sle:slicer xmlns:sle="http://schemas.microsoft.com/office/drawing/2010/slicer" name="Service_Type"/>
            </a:graphicData>
          </a:graphic>
        </xdr:graphicFrame>
      </mc:Choice>
      <mc:Fallback xmlns="">
        <xdr:sp macro="" textlink="">
          <xdr:nvSpPr>
            <xdr:cNvPr id="0" name=""/>
            <xdr:cNvSpPr>
              <a:spLocks noTextEdit="1"/>
            </xdr:cNvSpPr>
          </xdr:nvSpPr>
          <xdr:spPr>
            <a:xfrm>
              <a:off x="11040152" y="8727648"/>
              <a:ext cx="1829556" cy="9586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38279</xdr:colOff>
      <xdr:row>22</xdr:row>
      <xdr:rowOff>49528</xdr:rowOff>
    </xdr:from>
    <xdr:to>
      <xdr:col>20</xdr:col>
      <xdr:colOff>483296</xdr:colOff>
      <xdr:row>32</xdr:row>
      <xdr:rowOff>14363</xdr:rowOff>
    </xdr:to>
    <mc:AlternateContent xmlns:mc="http://schemas.openxmlformats.org/markup-compatibility/2006" xmlns:a14="http://schemas.microsoft.com/office/drawing/2010/main">
      <mc:Choice Requires="a14">
        <xdr:graphicFrame macro="">
          <xdr:nvGraphicFramePr>
            <xdr:cNvPr id="9" name="Issue_Category">
              <a:extLst>
                <a:ext uri="{FF2B5EF4-FFF2-40B4-BE49-F238E27FC236}">
                  <a16:creationId xmlns:a16="http://schemas.microsoft.com/office/drawing/2014/main" id="{80FC0FC3-57C0-44FD-AD1F-90576762CB69}"/>
                </a:ext>
              </a:extLst>
            </xdr:cNvPr>
            <xdr:cNvGraphicFramePr/>
          </xdr:nvGraphicFramePr>
          <xdr:xfrm>
            <a:off x="0" y="0"/>
            <a:ext cx="0" cy="0"/>
          </xdr:xfrm>
          <a:graphic>
            <a:graphicData uri="http://schemas.microsoft.com/office/drawing/2010/slicer">
              <sle:slicer xmlns:sle="http://schemas.microsoft.com/office/drawing/2010/slicer" name="Issue_Category"/>
            </a:graphicData>
          </a:graphic>
        </xdr:graphicFrame>
      </mc:Choice>
      <mc:Fallback xmlns="">
        <xdr:sp macro="" textlink="">
          <xdr:nvSpPr>
            <xdr:cNvPr id="0" name=""/>
            <xdr:cNvSpPr>
              <a:spLocks noTextEdit="1"/>
            </xdr:cNvSpPr>
          </xdr:nvSpPr>
          <xdr:spPr>
            <a:xfrm>
              <a:off x="10978422" y="4258671"/>
              <a:ext cx="1832945" cy="17791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52248</xdr:colOff>
      <xdr:row>32</xdr:row>
      <xdr:rowOff>25364</xdr:rowOff>
    </xdr:from>
    <xdr:to>
      <xdr:col>20</xdr:col>
      <xdr:colOff>542277</xdr:colOff>
      <xdr:row>38</xdr:row>
      <xdr:rowOff>143203</xdr:rowOff>
    </xdr:to>
    <mc:AlternateContent xmlns:mc="http://schemas.openxmlformats.org/markup-compatibility/2006" xmlns:a14="http://schemas.microsoft.com/office/drawing/2010/main">
      <mc:Choice Requires="a14">
        <xdr:graphicFrame macro="">
          <xdr:nvGraphicFramePr>
            <xdr:cNvPr id="10" name="Issue_Severity">
              <a:extLst>
                <a:ext uri="{FF2B5EF4-FFF2-40B4-BE49-F238E27FC236}">
                  <a16:creationId xmlns:a16="http://schemas.microsoft.com/office/drawing/2014/main" id="{ACD82C4C-0BCF-4790-9643-D01A988DE289}"/>
                </a:ext>
              </a:extLst>
            </xdr:cNvPr>
            <xdr:cNvGraphicFramePr/>
          </xdr:nvGraphicFramePr>
          <xdr:xfrm>
            <a:off x="0" y="0"/>
            <a:ext cx="0" cy="0"/>
          </xdr:xfrm>
          <a:graphic>
            <a:graphicData uri="http://schemas.microsoft.com/office/drawing/2010/slicer">
              <sle:slicer xmlns:sle="http://schemas.microsoft.com/office/drawing/2010/slicer" name="Issue_Severity"/>
            </a:graphicData>
          </a:graphic>
        </xdr:graphicFrame>
      </mc:Choice>
      <mc:Fallback xmlns="">
        <xdr:sp macro="" textlink="">
          <xdr:nvSpPr>
            <xdr:cNvPr id="0" name=""/>
            <xdr:cNvSpPr>
              <a:spLocks noTextEdit="1"/>
            </xdr:cNvSpPr>
          </xdr:nvSpPr>
          <xdr:spPr>
            <a:xfrm>
              <a:off x="10992391" y="6048793"/>
              <a:ext cx="1877957" cy="12064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31521</xdr:colOff>
      <xdr:row>31</xdr:row>
      <xdr:rowOff>78882</xdr:rowOff>
    </xdr:from>
    <xdr:to>
      <xdr:col>18</xdr:col>
      <xdr:colOff>18542</xdr:colOff>
      <xdr:row>49</xdr:row>
      <xdr:rowOff>94658</xdr:rowOff>
    </xdr:to>
    <xdr:graphicFrame macro="">
      <xdr:nvGraphicFramePr>
        <xdr:cNvPr id="11" name="Chart 10">
          <a:extLst>
            <a:ext uri="{FF2B5EF4-FFF2-40B4-BE49-F238E27FC236}">
              <a16:creationId xmlns:a16="http://schemas.microsoft.com/office/drawing/2014/main" id="{81F28CC0-4FCA-42EF-99F0-F9B3BDB323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519708</xdr:colOff>
      <xdr:row>15</xdr:row>
      <xdr:rowOff>116782</xdr:rowOff>
    </xdr:from>
    <xdr:to>
      <xdr:col>33</xdr:col>
      <xdr:colOff>8467</xdr:colOff>
      <xdr:row>31</xdr:row>
      <xdr:rowOff>65690</xdr:rowOff>
    </xdr:to>
    <xdr:graphicFrame macro="">
      <xdr:nvGraphicFramePr>
        <xdr:cNvPr id="12" name="Chart 11">
          <a:extLst>
            <a:ext uri="{FF2B5EF4-FFF2-40B4-BE49-F238E27FC236}">
              <a16:creationId xmlns:a16="http://schemas.microsoft.com/office/drawing/2014/main" id="{BBDA339B-5A9A-4DF2-9FD2-0281DE28E6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601577</xdr:colOff>
      <xdr:row>32</xdr:row>
      <xdr:rowOff>89123</xdr:rowOff>
    </xdr:from>
    <xdr:to>
      <xdr:col>33</xdr:col>
      <xdr:colOff>8466</xdr:colOff>
      <xdr:row>49</xdr:row>
      <xdr:rowOff>67734</xdr:rowOff>
    </xdr:to>
    <xdr:graphicFrame macro="">
      <xdr:nvGraphicFramePr>
        <xdr:cNvPr id="13" name="Chart 12">
          <a:extLst>
            <a:ext uri="{FF2B5EF4-FFF2-40B4-BE49-F238E27FC236}">
              <a16:creationId xmlns:a16="http://schemas.microsoft.com/office/drawing/2014/main" id="{E33257EA-4621-45AC-B623-0F6EF93DD6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umya das" refreshedDate="46047.789415162035" createdVersion="8" refreshedVersion="8" minRefreshableVersion="3" recordCount="3000" xr:uid="{FF68D179-5716-49E2-B659-5941DDA8EFDF}">
  <cacheSource type="worksheet">
    <worksheetSource name="Table1"/>
  </cacheSource>
  <cacheFields count="31">
    <cacheField name="Job_ID" numFmtId="0">
      <sharedItems containsSemiMixedTypes="0" containsString="0" containsNumber="1" containsInteger="1" minValue="20000" maxValue="22999"/>
    </cacheField>
    <cacheField name="Job_Date" numFmtId="14">
      <sharedItems containsSemiMixedTypes="0" containsNonDate="0" containsDate="1" containsString="0" minDate="2024-01-01T00:00:00" maxDate="2024-06-30T00:00:00"/>
    </cacheField>
    <cacheField name="Region" numFmtId="0">
      <sharedItems count="4">
        <s v="South"/>
        <s v="East"/>
        <s v="North"/>
        <s v="West"/>
      </sharedItems>
    </cacheField>
    <cacheField name="City" numFmtId="0">
      <sharedItems/>
    </cacheField>
    <cacheField name="Service_Center" numFmtId="0">
      <sharedItems/>
    </cacheField>
    <cacheField name="Center_Type" numFmtId="0">
      <sharedItems count="3">
        <s v="Authorized"/>
        <s v="Flagship"/>
        <s v="Dealer"/>
      </sharedItems>
    </cacheField>
    <cacheField name="Vehicle_Model" numFmtId="0">
      <sharedItems/>
    </cacheField>
    <cacheField name="Vehicle_Segment" numFmtId="0">
      <sharedItems/>
    </cacheField>
    <cacheField name="Service_Type" numFmtId="0">
      <sharedItems count="2">
        <s v="Paid"/>
        <s v="Warranty"/>
      </sharedItems>
    </cacheField>
    <cacheField name="Issue_Category" numFmtId="0">
      <sharedItems count="5">
        <s v="Suspension"/>
        <s v="Engine"/>
        <s v="Transmission"/>
        <s v="Body"/>
        <s v="Electronics"/>
      </sharedItems>
    </cacheField>
    <cacheField name="Issue_Severity" numFmtId="0">
      <sharedItems count="3">
        <s v="High"/>
        <s v="Low"/>
        <s v="Medium"/>
      </sharedItems>
    </cacheField>
    <cacheField name="Parts_Availability" numFmtId="0">
      <sharedItems count="2">
        <s v="Available"/>
        <s v="Delayed"/>
      </sharedItems>
    </cacheField>
    <cacheField name="TAT_Days" numFmtId="1">
      <sharedItems containsSemiMixedTypes="0" containsString="0" containsNumber="1" containsInteger="1" minValue="2" maxValue="25"/>
    </cacheField>
    <cacheField name="SLA_TAT" numFmtId="1">
      <sharedItems containsSemiMixedTypes="0" containsString="0" containsNumber="1" containsInteger="1" minValue="7" maxValue="7"/>
    </cacheField>
    <cacheField name="Rework_Flag" numFmtId="0">
      <sharedItems count="2">
        <s v="Yes"/>
        <s v="No"/>
      </sharedItems>
    </cacheField>
    <cacheField name="Warranty_Claim" numFmtId="0">
      <sharedItems count="2">
        <s v="Yes"/>
        <s v="No"/>
      </sharedItems>
    </cacheField>
    <cacheField name="Service_Revenue" numFmtId="1">
      <sharedItems containsSemiMixedTypes="0" containsString="0" containsNumber="1" containsInteger="1" minValue="90050" maxValue="599913"/>
    </cacheField>
    <cacheField name="Service_Cost" numFmtId="1">
      <sharedItems containsSemiMixedTypes="0" containsString="0" containsNumber="1" containsInteger="1" minValue="45709" maxValue="506371"/>
    </cacheField>
    <cacheField name="Profit" numFmtId="1">
      <sharedItems containsSemiMixedTypes="0" containsString="0" containsNumber="1" containsInteger="1" minValue="14686" maxValue="291836"/>
    </cacheField>
    <cacheField name="Customer_Satisfaction" numFmtId="1">
      <sharedItems containsSemiMixedTypes="0" containsString="0" containsNumber="1" containsInteger="1" minValue="1" maxValue="5" count="5">
        <n v="1"/>
        <n v="2"/>
        <n v="3"/>
        <n v="4"/>
        <n v="5"/>
      </sharedItems>
    </cacheField>
    <cacheField name="Revenue_at_Risk" numFmtId="1">
      <sharedItems containsSemiMixedTypes="0" containsString="0" containsNumber="1" containsInteger="1" minValue="0" maxValue="598986"/>
    </cacheField>
    <cacheField name="Warranty_claim_Num" numFmtId="1">
      <sharedItems containsSemiMixedTypes="0" containsString="0" containsNumber="1" containsInteger="1" minValue="0" maxValue="1"/>
    </cacheField>
    <cacheField name="First_time_num" numFmtId="1">
      <sharedItems containsSemiMixedTypes="0" containsString="0" containsNumber="1" containsInteger="1" minValue="0" maxValue="1"/>
    </cacheField>
    <cacheField name="Repeat_visit_num" numFmtId="1">
      <sharedItems containsSemiMixedTypes="0" containsString="0" containsNumber="1" containsInteger="1" minValue="0" maxValue="1"/>
    </cacheField>
    <cacheField name="count_of_job" numFmtId="1">
      <sharedItems containsSemiMixedTypes="0" containsString="0" containsNumber="1" containsInteger="1" minValue="1" maxValue="1"/>
    </cacheField>
    <cacheField name="SLA_Breached" numFmtId="1">
      <sharedItems/>
    </cacheField>
    <cacheField name="Customer_satisfaction_bucket" numFmtId="1">
      <sharedItems count="3">
        <s v="Poor"/>
        <s v="Neutral"/>
        <s v="Good"/>
      </sharedItems>
    </cacheField>
    <cacheField name="Profit Margin %" numFmtId="0" formula="Profit/Service_Revenue" databaseField="0"/>
    <cacheField name="Warranty_claim_rate" numFmtId="0" formula="Warranty_claim_Num/count_of_job" databaseField="0"/>
    <cacheField name="First_time_rate" numFmtId="0" formula="First_time_num/count_of_job" databaseField="0"/>
    <cacheField name="Repeat_visit_rate" numFmtId="0" formula="Repeat_visit_num/count_of_job" databaseField="0"/>
  </cacheFields>
  <extLst>
    <ext xmlns:x14="http://schemas.microsoft.com/office/spreadsheetml/2009/9/main" uri="{725AE2AE-9491-48be-B2B4-4EB974FC3084}">
      <x14:pivotCacheDefinition pivotCacheId="18812870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n v="20000"/>
    <d v="2024-03-27T00:00:00"/>
    <x v="0"/>
    <s v="Chennai"/>
    <s v="SC_CHE_5"/>
    <x v="0"/>
    <s v="Macan"/>
    <s v="SUV"/>
    <x v="0"/>
    <x v="0"/>
    <x v="0"/>
    <x v="0"/>
    <n v="25"/>
    <n v="7"/>
    <x v="0"/>
    <x v="0"/>
    <n v="243818"/>
    <n v="184097"/>
    <n v="59721"/>
    <x v="0"/>
    <n v="0"/>
    <n v="1"/>
    <n v="0"/>
    <n v="1"/>
    <n v="1"/>
    <s v="Yes"/>
    <x v="0"/>
  </r>
  <r>
    <n v="20001"/>
    <d v="2024-03-04T00:00:00"/>
    <x v="1"/>
    <s v="Patna"/>
    <s v="SC_PAT_3"/>
    <x v="0"/>
    <s v="Veyron"/>
    <s v="Hypercar"/>
    <x v="0"/>
    <x v="1"/>
    <x v="0"/>
    <x v="0"/>
    <n v="12"/>
    <n v="7"/>
    <x v="0"/>
    <x v="1"/>
    <n v="190119"/>
    <n v="124471"/>
    <n v="65648"/>
    <x v="1"/>
    <n v="190119"/>
    <n v="0"/>
    <n v="0"/>
    <n v="1"/>
    <n v="1"/>
    <s v="Yes"/>
    <x v="0"/>
  </r>
  <r>
    <n v="20002"/>
    <d v="2024-02-10T00:00:00"/>
    <x v="2"/>
    <s v="Noida"/>
    <s v="SC_NOI_3"/>
    <x v="1"/>
    <s v="Taycan"/>
    <s v="Sedan"/>
    <x v="0"/>
    <x v="2"/>
    <x v="1"/>
    <x v="0"/>
    <n v="17"/>
    <n v="7"/>
    <x v="0"/>
    <x v="1"/>
    <n v="314035"/>
    <n v="232840"/>
    <n v="81195"/>
    <x v="0"/>
    <n v="314035"/>
    <n v="0"/>
    <n v="0"/>
    <n v="1"/>
    <n v="1"/>
    <s v="Yes"/>
    <x v="0"/>
  </r>
  <r>
    <n v="20003"/>
    <d v="2024-05-30T00:00:00"/>
    <x v="0"/>
    <s v="Bengaluru"/>
    <s v="SC_BEN_1"/>
    <x v="1"/>
    <s v="911"/>
    <s v="Coupe"/>
    <x v="0"/>
    <x v="0"/>
    <x v="1"/>
    <x v="1"/>
    <n v="12"/>
    <n v="7"/>
    <x v="1"/>
    <x v="1"/>
    <n v="206050"/>
    <n v="155487"/>
    <n v="50563"/>
    <x v="2"/>
    <n v="0"/>
    <n v="0"/>
    <n v="1"/>
    <n v="0"/>
    <n v="1"/>
    <s v="Yes"/>
    <x v="1"/>
  </r>
  <r>
    <n v="20004"/>
    <d v="2024-05-29T00:00:00"/>
    <x v="3"/>
    <s v="Mumbai"/>
    <s v="SC_MUM_5"/>
    <x v="2"/>
    <s v="Panamera"/>
    <s v="Sedan"/>
    <x v="1"/>
    <x v="2"/>
    <x v="0"/>
    <x v="1"/>
    <n v="25"/>
    <n v="7"/>
    <x v="0"/>
    <x v="1"/>
    <n v="148961"/>
    <n v="122991"/>
    <n v="25970"/>
    <x v="0"/>
    <n v="148961"/>
    <n v="0"/>
    <n v="0"/>
    <n v="1"/>
    <n v="1"/>
    <s v="Yes"/>
    <x v="0"/>
  </r>
  <r>
    <n v="20005"/>
    <d v="2024-03-03T00:00:00"/>
    <x v="3"/>
    <s v="Pune"/>
    <s v="SC_PUN_1"/>
    <x v="0"/>
    <s v="Veyron"/>
    <s v="Hypercar"/>
    <x v="0"/>
    <x v="3"/>
    <x v="1"/>
    <x v="1"/>
    <n v="3"/>
    <n v="7"/>
    <x v="0"/>
    <x v="0"/>
    <n v="101553"/>
    <n v="75203"/>
    <n v="26350"/>
    <x v="3"/>
    <n v="0"/>
    <n v="1"/>
    <n v="0"/>
    <n v="1"/>
    <n v="1"/>
    <s v="No"/>
    <x v="2"/>
  </r>
  <r>
    <n v="20006"/>
    <d v="2024-06-15T00:00:00"/>
    <x v="1"/>
    <s v="Bhubaneswar"/>
    <s v="SC_BHU_1"/>
    <x v="1"/>
    <s v="Macan"/>
    <s v="SUV"/>
    <x v="1"/>
    <x v="0"/>
    <x v="2"/>
    <x v="0"/>
    <n v="10"/>
    <n v="7"/>
    <x v="0"/>
    <x v="0"/>
    <n v="314895"/>
    <n v="223154"/>
    <n v="91741"/>
    <x v="1"/>
    <n v="0"/>
    <n v="1"/>
    <n v="0"/>
    <n v="1"/>
    <n v="1"/>
    <s v="Yes"/>
    <x v="0"/>
  </r>
  <r>
    <n v="20007"/>
    <d v="2024-04-15T00:00:00"/>
    <x v="1"/>
    <s v="Patna"/>
    <s v="SC_PAT_2"/>
    <x v="2"/>
    <s v="Cayenne"/>
    <s v="SUV"/>
    <x v="0"/>
    <x v="1"/>
    <x v="2"/>
    <x v="1"/>
    <n v="10"/>
    <n v="7"/>
    <x v="0"/>
    <x v="1"/>
    <n v="521120"/>
    <n v="399852"/>
    <n v="121268"/>
    <x v="1"/>
    <n v="521120"/>
    <n v="0"/>
    <n v="0"/>
    <n v="1"/>
    <n v="1"/>
    <s v="Yes"/>
    <x v="0"/>
  </r>
  <r>
    <n v="20008"/>
    <d v="2024-03-14T00:00:00"/>
    <x v="2"/>
    <s v="Delhi"/>
    <s v="SC_DEL_4"/>
    <x v="0"/>
    <s v="Veyron"/>
    <s v="Hypercar"/>
    <x v="0"/>
    <x v="2"/>
    <x v="0"/>
    <x v="1"/>
    <n v="3"/>
    <n v="7"/>
    <x v="1"/>
    <x v="1"/>
    <n v="510335"/>
    <n v="407767"/>
    <n v="102568"/>
    <x v="4"/>
    <n v="0"/>
    <n v="0"/>
    <n v="1"/>
    <n v="0"/>
    <n v="1"/>
    <s v="No"/>
    <x v="2"/>
  </r>
  <r>
    <n v="20009"/>
    <d v="2024-06-03T00:00:00"/>
    <x v="1"/>
    <s v="Bhubaneswar"/>
    <s v="SC_BHU_5"/>
    <x v="1"/>
    <s v="Panamera"/>
    <s v="Sedan"/>
    <x v="1"/>
    <x v="4"/>
    <x v="0"/>
    <x v="1"/>
    <n v="3"/>
    <n v="7"/>
    <x v="1"/>
    <x v="0"/>
    <n v="433317"/>
    <n v="273962"/>
    <n v="159355"/>
    <x v="4"/>
    <n v="0"/>
    <n v="1"/>
    <n v="1"/>
    <n v="0"/>
    <n v="1"/>
    <s v="No"/>
    <x v="2"/>
  </r>
  <r>
    <n v="20010"/>
    <d v="2024-01-02T00:00:00"/>
    <x v="3"/>
    <s v="Pune"/>
    <s v="SC_PUN_2"/>
    <x v="1"/>
    <s v="Macan"/>
    <s v="SUV"/>
    <x v="0"/>
    <x v="3"/>
    <x v="0"/>
    <x v="1"/>
    <n v="11"/>
    <n v="7"/>
    <x v="0"/>
    <x v="1"/>
    <n v="470727"/>
    <n v="349785"/>
    <n v="120942"/>
    <x v="1"/>
    <n v="470727"/>
    <n v="0"/>
    <n v="0"/>
    <n v="1"/>
    <n v="1"/>
    <s v="Yes"/>
    <x v="0"/>
  </r>
  <r>
    <n v="20011"/>
    <d v="2024-05-15T00:00:00"/>
    <x v="1"/>
    <s v="Bhubaneswar"/>
    <s v="SC_BHU_2"/>
    <x v="0"/>
    <s v="Macan"/>
    <s v="SUV"/>
    <x v="1"/>
    <x v="1"/>
    <x v="0"/>
    <x v="1"/>
    <n v="22"/>
    <n v="7"/>
    <x v="0"/>
    <x v="0"/>
    <n v="168313"/>
    <n v="142958"/>
    <n v="25355"/>
    <x v="0"/>
    <n v="0"/>
    <n v="1"/>
    <n v="0"/>
    <n v="1"/>
    <n v="1"/>
    <s v="Yes"/>
    <x v="0"/>
  </r>
  <r>
    <n v="20012"/>
    <d v="2024-05-20T00:00:00"/>
    <x v="2"/>
    <s v="Gurugram"/>
    <s v="SC_GUR_5"/>
    <x v="0"/>
    <s v="Cayenne"/>
    <s v="SUV"/>
    <x v="0"/>
    <x v="4"/>
    <x v="0"/>
    <x v="0"/>
    <n v="23"/>
    <n v="7"/>
    <x v="0"/>
    <x v="1"/>
    <n v="427750"/>
    <n v="227383"/>
    <n v="200367"/>
    <x v="0"/>
    <n v="427750"/>
    <n v="0"/>
    <n v="0"/>
    <n v="1"/>
    <n v="1"/>
    <s v="Yes"/>
    <x v="0"/>
  </r>
  <r>
    <n v="20013"/>
    <d v="2024-01-19T00:00:00"/>
    <x v="2"/>
    <s v="Delhi"/>
    <s v="SC_DEL_2"/>
    <x v="1"/>
    <s v="Taycan"/>
    <s v="Sedan"/>
    <x v="0"/>
    <x v="4"/>
    <x v="0"/>
    <x v="0"/>
    <n v="4"/>
    <n v="7"/>
    <x v="0"/>
    <x v="1"/>
    <n v="396733"/>
    <n v="212910"/>
    <n v="183823"/>
    <x v="3"/>
    <n v="396733"/>
    <n v="0"/>
    <n v="0"/>
    <n v="1"/>
    <n v="1"/>
    <s v="No"/>
    <x v="2"/>
  </r>
  <r>
    <n v="20014"/>
    <d v="2024-03-12T00:00:00"/>
    <x v="3"/>
    <s v="Mumbai"/>
    <s v="SC_MUM_3"/>
    <x v="1"/>
    <s v="Taycan"/>
    <s v="Sedan"/>
    <x v="1"/>
    <x v="2"/>
    <x v="2"/>
    <x v="0"/>
    <n v="10"/>
    <n v="7"/>
    <x v="0"/>
    <x v="1"/>
    <n v="321897"/>
    <n v="219012"/>
    <n v="102885"/>
    <x v="1"/>
    <n v="321897"/>
    <n v="0"/>
    <n v="0"/>
    <n v="1"/>
    <n v="1"/>
    <s v="Yes"/>
    <x v="0"/>
  </r>
  <r>
    <n v="20015"/>
    <d v="2024-04-15T00:00:00"/>
    <x v="1"/>
    <s v="Bhubaneswar"/>
    <s v="SC_BHU_1"/>
    <x v="2"/>
    <s v="Chiron"/>
    <s v="Hypercar"/>
    <x v="0"/>
    <x v="1"/>
    <x v="2"/>
    <x v="1"/>
    <n v="14"/>
    <n v="7"/>
    <x v="0"/>
    <x v="0"/>
    <n v="114456"/>
    <n v="80073"/>
    <n v="34383"/>
    <x v="1"/>
    <n v="0"/>
    <n v="1"/>
    <n v="0"/>
    <n v="1"/>
    <n v="1"/>
    <s v="Yes"/>
    <x v="0"/>
  </r>
  <r>
    <n v="20016"/>
    <d v="2024-06-07T00:00:00"/>
    <x v="1"/>
    <s v="Patna"/>
    <s v="SC_PAT_3"/>
    <x v="2"/>
    <s v="Panamera"/>
    <s v="Sedan"/>
    <x v="1"/>
    <x v="3"/>
    <x v="2"/>
    <x v="1"/>
    <n v="21"/>
    <n v="7"/>
    <x v="0"/>
    <x v="1"/>
    <n v="492934"/>
    <n v="379097"/>
    <n v="113837"/>
    <x v="0"/>
    <n v="492934"/>
    <n v="0"/>
    <n v="0"/>
    <n v="1"/>
    <n v="1"/>
    <s v="Yes"/>
    <x v="0"/>
  </r>
  <r>
    <n v="20017"/>
    <d v="2024-01-31T00:00:00"/>
    <x v="3"/>
    <s v="Mumbai"/>
    <s v="SC_MUM_2"/>
    <x v="0"/>
    <s v="Taycan"/>
    <s v="Sedan"/>
    <x v="1"/>
    <x v="0"/>
    <x v="2"/>
    <x v="0"/>
    <n v="22"/>
    <n v="7"/>
    <x v="1"/>
    <x v="1"/>
    <n v="496495"/>
    <n v="341203"/>
    <n v="155292"/>
    <x v="0"/>
    <n v="0"/>
    <n v="0"/>
    <n v="1"/>
    <n v="0"/>
    <n v="1"/>
    <s v="Yes"/>
    <x v="0"/>
  </r>
  <r>
    <n v="20018"/>
    <d v="2024-04-25T00:00:00"/>
    <x v="0"/>
    <s v="Bengaluru"/>
    <s v="SC_BEN_3"/>
    <x v="0"/>
    <s v="Chiron"/>
    <s v="Hypercar"/>
    <x v="0"/>
    <x v="4"/>
    <x v="1"/>
    <x v="1"/>
    <n v="20"/>
    <n v="7"/>
    <x v="1"/>
    <x v="0"/>
    <n v="463664"/>
    <n v="340039"/>
    <n v="123625"/>
    <x v="0"/>
    <n v="0"/>
    <n v="1"/>
    <n v="1"/>
    <n v="0"/>
    <n v="1"/>
    <s v="Yes"/>
    <x v="0"/>
  </r>
  <r>
    <n v="20019"/>
    <d v="2024-04-23T00:00:00"/>
    <x v="3"/>
    <s v="Pune"/>
    <s v="SC_PUN_4"/>
    <x v="2"/>
    <s v="Chiron"/>
    <s v="Hypercar"/>
    <x v="1"/>
    <x v="4"/>
    <x v="0"/>
    <x v="0"/>
    <n v="24"/>
    <n v="7"/>
    <x v="0"/>
    <x v="1"/>
    <n v="423000"/>
    <n v="213156"/>
    <n v="209844"/>
    <x v="0"/>
    <n v="423000"/>
    <n v="0"/>
    <n v="0"/>
    <n v="1"/>
    <n v="1"/>
    <s v="Yes"/>
    <x v="0"/>
  </r>
  <r>
    <n v="20020"/>
    <d v="2024-05-29T00:00:00"/>
    <x v="1"/>
    <s v="Bhubaneswar"/>
    <s v="SC_BHU_3"/>
    <x v="1"/>
    <s v="Veyron"/>
    <s v="Hypercar"/>
    <x v="1"/>
    <x v="2"/>
    <x v="2"/>
    <x v="0"/>
    <n v="25"/>
    <n v="7"/>
    <x v="0"/>
    <x v="1"/>
    <n v="343109"/>
    <n v="246203"/>
    <n v="96906"/>
    <x v="0"/>
    <n v="343109"/>
    <n v="0"/>
    <n v="0"/>
    <n v="1"/>
    <n v="1"/>
    <s v="Yes"/>
    <x v="0"/>
  </r>
  <r>
    <n v="20021"/>
    <d v="2024-01-23T00:00:00"/>
    <x v="1"/>
    <s v="Patna"/>
    <s v="SC_PAT_4"/>
    <x v="1"/>
    <s v="Taycan"/>
    <s v="Sedan"/>
    <x v="0"/>
    <x v="3"/>
    <x v="2"/>
    <x v="0"/>
    <n v="14"/>
    <n v="7"/>
    <x v="1"/>
    <x v="1"/>
    <n v="119236"/>
    <n v="81884"/>
    <n v="37352"/>
    <x v="2"/>
    <n v="0"/>
    <n v="0"/>
    <n v="1"/>
    <n v="0"/>
    <n v="1"/>
    <s v="Yes"/>
    <x v="1"/>
  </r>
  <r>
    <n v="20022"/>
    <d v="2024-01-26T00:00:00"/>
    <x v="3"/>
    <s v="Ahmedabad"/>
    <s v="SC_AHM_2"/>
    <x v="1"/>
    <s v="Cayenne"/>
    <s v="SUV"/>
    <x v="1"/>
    <x v="2"/>
    <x v="1"/>
    <x v="0"/>
    <n v="9"/>
    <n v="7"/>
    <x v="0"/>
    <x v="1"/>
    <n v="208999"/>
    <n v="115970"/>
    <n v="93029"/>
    <x v="2"/>
    <n v="208999"/>
    <n v="0"/>
    <n v="0"/>
    <n v="1"/>
    <n v="1"/>
    <s v="Yes"/>
    <x v="1"/>
  </r>
  <r>
    <n v="20023"/>
    <d v="2024-03-16T00:00:00"/>
    <x v="2"/>
    <s v="Gurugram"/>
    <s v="SC_GUR_3"/>
    <x v="0"/>
    <s v="Chiron"/>
    <s v="Hypercar"/>
    <x v="0"/>
    <x v="0"/>
    <x v="1"/>
    <x v="1"/>
    <n v="11"/>
    <n v="7"/>
    <x v="0"/>
    <x v="1"/>
    <n v="374998"/>
    <n v="268203"/>
    <n v="106795"/>
    <x v="1"/>
    <n v="374998"/>
    <n v="0"/>
    <n v="0"/>
    <n v="1"/>
    <n v="1"/>
    <s v="Yes"/>
    <x v="0"/>
  </r>
  <r>
    <n v="20024"/>
    <d v="2024-01-24T00:00:00"/>
    <x v="0"/>
    <s v="Chennai"/>
    <s v="SC_CHE_5"/>
    <x v="0"/>
    <s v="Taycan"/>
    <s v="Sedan"/>
    <x v="1"/>
    <x v="1"/>
    <x v="2"/>
    <x v="0"/>
    <n v="2"/>
    <n v="7"/>
    <x v="1"/>
    <x v="0"/>
    <n v="566142"/>
    <n v="345235"/>
    <n v="220907"/>
    <x v="4"/>
    <n v="0"/>
    <n v="1"/>
    <n v="1"/>
    <n v="0"/>
    <n v="1"/>
    <s v="No"/>
    <x v="2"/>
  </r>
  <r>
    <n v="20025"/>
    <d v="2024-01-09T00:00:00"/>
    <x v="1"/>
    <s v="Kolkata"/>
    <s v="SC_KOL_5"/>
    <x v="1"/>
    <s v="Veyron"/>
    <s v="Hypercar"/>
    <x v="1"/>
    <x v="0"/>
    <x v="2"/>
    <x v="1"/>
    <n v="12"/>
    <n v="7"/>
    <x v="1"/>
    <x v="0"/>
    <n v="333882"/>
    <n v="247331"/>
    <n v="86551"/>
    <x v="2"/>
    <n v="0"/>
    <n v="1"/>
    <n v="1"/>
    <n v="0"/>
    <n v="1"/>
    <s v="Yes"/>
    <x v="1"/>
  </r>
  <r>
    <n v="20026"/>
    <d v="2024-03-06T00:00:00"/>
    <x v="3"/>
    <s v="Ahmedabad"/>
    <s v="SC_AHM_5"/>
    <x v="0"/>
    <s v="Chiron"/>
    <s v="Hypercar"/>
    <x v="1"/>
    <x v="0"/>
    <x v="0"/>
    <x v="0"/>
    <n v="22"/>
    <n v="7"/>
    <x v="0"/>
    <x v="1"/>
    <n v="575400"/>
    <n v="338598"/>
    <n v="236802"/>
    <x v="0"/>
    <n v="575400"/>
    <n v="0"/>
    <n v="0"/>
    <n v="1"/>
    <n v="1"/>
    <s v="Yes"/>
    <x v="0"/>
  </r>
  <r>
    <n v="20027"/>
    <d v="2024-01-08T00:00:00"/>
    <x v="1"/>
    <s v="Kolkata"/>
    <s v="SC_KOL_5"/>
    <x v="2"/>
    <s v="911"/>
    <s v="Coupe"/>
    <x v="1"/>
    <x v="1"/>
    <x v="2"/>
    <x v="1"/>
    <n v="2"/>
    <n v="7"/>
    <x v="1"/>
    <x v="1"/>
    <n v="298907"/>
    <n v="164452"/>
    <n v="134455"/>
    <x v="4"/>
    <n v="0"/>
    <n v="0"/>
    <n v="1"/>
    <n v="0"/>
    <n v="1"/>
    <s v="No"/>
    <x v="2"/>
  </r>
  <r>
    <n v="20028"/>
    <d v="2024-05-28T00:00:00"/>
    <x v="0"/>
    <s v="Bengaluru"/>
    <s v="SC_BEN_3"/>
    <x v="1"/>
    <s v="Veyron"/>
    <s v="Hypercar"/>
    <x v="0"/>
    <x v="3"/>
    <x v="0"/>
    <x v="1"/>
    <n v="9"/>
    <n v="7"/>
    <x v="1"/>
    <x v="1"/>
    <n v="590232"/>
    <n v="329735"/>
    <n v="260497"/>
    <x v="3"/>
    <n v="0"/>
    <n v="0"/>
    <n v="1"/>
    <n v="0"/>
    <n v="1"/>
    <s v="Yes"/>
    <x v="2"/>
  </r>
  <r>
    <n v="20029"/>
    <d v="2024-01-23T00:00:00"/>
    <x v="0"/>
    <s v="Chennai"/>
    <s v="SC_CHE_4"/>
    <x v="0"/>
    <s v="Macan"/>
    <s v="SUV"/>
    <x v="0"/>
    <x v="4"/>
    <x v="1"/>
    <x v="0"/>
    <n v="10"/>
    <n v="7"/>
    <x v="1"/>
    <x v="1"/>
    <n v="568096"/>
    <n v="347000"/>
    <n v="221096"/>
    <x v="2"/>
    <n v="0"/>
    <n v="0"/>
    <n v="1"/>
    <n v="0"/>
    <n v="1"/>
    <s v="Yes"/>
    <x v="1"/>
  </r>
  <r>
    <n v="20030"/>
    <d v="2024-05-07T00:00:00"/>
    <x v="0"/>
    <s v="Chennai"/>
    <s v="SC_CHE_5"/>
    <x v="0"/>
    <s v="Veyron"/>
    <s v="Hypercar"/>
    <x v="1"/>
    <x v="3"/>
    <x v="1"/>
    <x v="0"/>
    <n v="13"/>
    <n v="7"/>
    <x v="1"/>
    <x v="0"/>
    <n v="568971"/>
    <n v="472443"/>
    <n v="96528"/>
    <x v="2"/>
    <n v="0"/>
    <n v="1"/>
    <n v="1"/>
    <n v="0"/>
    <n v="1"/>
    <s v="Yes"/>
    <x v="1"/>
  </r>
  <r>
    <n v="20031"/>
    <d v="2024-05-18T00:00:00"/>
    <x v="3"/>
    <s v="Pune"/>
    <s v="SC_PUN_2"/>
    <x v="0"/>
    <s v="Chiron"/>
    <s v="Hypercar"/>
    <x v="1"/>
    <x v="4"/>
    <x v="2"/>
    <x v="0"/>
    <n v="22"/>
    <n v="7"/>
    <x v="1"/>
    <x v="0"/>
    <n v="101351"/>
    <n v="53138"/>
    <n v="48213"/>
    <x v="0"/>
    <n v="0"/>
    <n v="1"/>
    <n v="1"/>
    <n v="0"/>
    <n v="1"/>
    <s v="Yes"/>
    <x v="0"/>
  </r>
  <r>
    <n v="20032"/>
    <d v="2024-02-15T00:00:00"/>
    <x v="2"/>
    <s v="Delhi"/>
    <s v="SC_DEL_3"/>
    <x v="2"/>
    <s v="Taycan"/>
    <s v="Sedan"/>
    <x v="0"/>
    <x v="1"/>
    <x v="1"/>
    <x v="0"/>
    <n v="16"/>
    <n v="7"/>
    <x v="1"/>
    <x v="0"/>
    <n v="312195"/>
    <n v="250026"/>
    <n v="62169"/>
    <x v="1"/>
    <n v="0"/>
    <n v="1"/>
    <n v="1"/>
    <n v="0"/>
    <n v="1"/>
    <s v="Yes"/>
    <x v="0"/>
  </r>
  <r>
    <n v="20033"/>
    <d v="2024-05-12T00:00:00"/>
    <x v="1"/>
    <s v="Bhubaneswar"/>
    <s v="SC_BHU_2"/>
    <x v="2"/>
    <s v="Panamera"/>
    <s v="Sedan"/>
    <x v="0"/>
    <x v="4"/>
    <x v="1"/>
    <x v="0"/>
    <n v="25"/>
    <n v="7"/>
    <x v="0"/>
    <x v="1"/>
    <n v="259040"/>
    <n v="134294"/>
    <n v="124746"/>
    <x v="0"/>
    <n v="259040"/>
    <n v="0"/>
    <n v="0"/>
    <n v="1"/>
    <n v="1"/>
    <s v="Yes"/>
    <x v="0"/>
  </r>
  <r>
    <n v="20034"/>
    <d v="2024-03-05T00:00:00"/>
    <x v="3"/>
    <s v="Pune"/>
    <s v="SC_PUN_3"/>
    <x v="0"/>
    <s v="Taycan"/>
    <s v="Sedan"/>
    <x v="1"/>
    <x v="2"/>
    <x v="2"/>
    <x v="1"/>
    <n v="24"/>
    <n v="7"/>
    <x v="0"/>
    <x v="0"/>
    <n v="572835"/>
    <n v="474900"/>
    <n v="97935"/>
    <x v="0"/>
    <n v="0"/>
    <n v="1"/>
    <n v="0"/>
    <n v="1"/>
    <n v="1"/>
    <s v="Yes"/>
    <x v="0"/>
  </r>
  <r>
    <n v="20035"/>
    <d v="2024-05-08T00:00:00"/>
    <x v="1"/>
    <s v="Patna"/>
    <s v="SC_PAT_3"/>
    <x v="1"/>
    <s v="Panamera"/>
    <s v="Sedan"/>
    <x v="0"/>
    <x v="1"/>
    <x v="0"/>
    <x v="1"/>
    <n v="18"/>
    <n v="7"/>
    <x v="0"/>
    <x v="0"/>
    <n v="287229"/>
    <n v="180929"/>
    <n v="106300"/>
    <x v="0"/>
    <n v="0"/>
    <n v="1"/>
    <n v="0"/>
    <n v="1"/>
    <n v="1"/>
    <s v="Yes"/>
    <x v="0"/>
  </r>
  <r>
    <n v="20036"/>
    <d v="2024-01-30T00:00:00"/>
    <x v="0"/>
    <s v="Chennai"/>
    <s v="SC_CHE_2"/>
    <x v="1"/>
    <s v="Chiron"/>
    <s v="Hypercar"/>
    <x v="1"/>
    <x v="4"/>
    <x v="2"/>
    <x v="0"/>
    <n v="18"/>
    <n v="7"/>
    <x v="0"/>
    <x v="1"/>
    <n v="327851"/>
    <n v="277284"/>
    <n v="50567"/>
    <x v="0"/>
    <n v="327851"/>
    <n v="0"/>
    <n v="0"/>
    <n v="1"/>
    <n v="1"/>
    <s v="Yes"/>
    <x v="0"/>
  </r>
  <r>
    <n v="20037"/>
    <d v="2024-02-01T00:00:00"/>
    <x v="1"/>
    <s v="Kolkata"/>
    <s v="SC_KOL_3"/>
    <x v="1"/>
    <s v="911"/>
    <s v="Coupe"/>
    <x v="0"/>
    <x v="0"/>
    <x v="0"/>
    <x v="0"/>
    <n v="5"/>
    <n v="7"/>
    <x v="0"/>
    <x v="1"/>
    <n v="562183"/>
    <n v="461957"/>
    <n v="100226"/>
    <x v="2"/>
    <n v="562183"/>
    <n v="0"/>
    <n v="0"/>
    <n v="1"/>
    <n v="1"/>
    <s v="No"/>
    <x v="1"/>
  </r>
  <r>
    <n v="20038"/>
    <d v="2024-05-21T00:00:00"/>
    <x v="2"/>
    <s v="Gurugram"/>
    <s v="SC_GUR_2"/>
    <x v="2"/>
    <s v="Taycan"/>
    <s v="Sedan"/>
    <x v="0"/>
    <x v="2"/>
    <x v="1"/>
    <x v="1"/>
    <n v="19"/>
    <n v="7"/>
    <x v="0"/>
    <x v="1"/>
    <n v="133711"/>
    <n v="76716"/>
    <n v="56995"/>
    <x v="0"/>
    <n v="133711"/>
    <n v="0"/>
    <n v="0"/>
    <n v="1"/>
    <n v="1"/>
    <s v="Yes"/>
    <x v="0"/>
  </r>
  <r>
    <n v="20039"/>
    <d v="2024-03-26T00:00:00"/>
    <x v="1"/>
    <s v="Kolkata"/>
    <s v="SC_KOL_2"/>
    <x v="2"/>
    <s v="Panamera"/>
    <s v="Sedan"/>
    <x v="0"/>
    <x v="2"/>
    <x v="2"/>
    <x v="1"/>
    <n v="24"/>
    <n v="7"/>
    <x v="0"/>
    <x v="1"/>
    <n v="224855"/>
    <n v="140955"/>
    <n v="83900"/>
    <x v="0"/>
    <n v="224855"/>
    <n v="0"/>
    <n v="0"/>
    <n v="1"/>
    <n v="1"/>
    <s v="Yes"/>
    <x v="0"/>
  </r>
  <r>
    <n v="20040"/>
    <d v="2024-02-20T00:00:00"/>
    <x v="1"/>
    <s v="Bhubaneswar"/>
    <s v="SC_BHU_2"/>
    <x v="2"/>
    <s v="Taycan"/>
    <s v="Sedan"/>
    <x v="1"/>
    <x v="1"/>
    <x v="1"/>
    <x v="0"/>
    <n v="17"/>
    <n v="7"/>
    <x v="0"/>
    <x v="0"/>
    <n v="179590"/>
    <n v="137398"/>
    <n v="42192"/>
    <x v="0"/>
    <n v="0"/>
    <n v="1"/>
    <n v="0"/>
    <n v="1"/>
    <n v="1"/>
    <s v="Yes"/>
    <x v="0"/>
  </r>
  <r>
    <n v="20041"/>
    <d v="2024-03-10T00:00:00"/>
    <x v="0"/>
    <s v="Chennai"/>
    <s v="SC_CHE_5"/>
    <x v="2"/>
    <s v="Taycan"/>
    <s v="Sedan"/>
    <x v="0"/>
    <x v="2"/>
    <x v="0"/>
    <x v="1"/>
    <n v="23"/>
    <n v="7"/>
    <x v="0"/>
    <x v="0"/>
    <n v="528219"/>
    <n v="323937"/>
    <n v="204282"/>
    <x v="0"/>
    <n v="0"/>
    <n v="1"/>
    <n v="0"/>
    <n v="1"/>
    <n v="1"/>
    <s v="Yes"/>
    <x v="0"/>
  </r>
  <r>
    <n v="20042"/>
    <d v="2024-01-30T00:00:00"/>
    <x v="2"/>
    <s v="Noida"/>
    <s v="SC_NOI_2"/>
    <x v="0"/>
    <s v="Chiron"/>
    <s v="Hypercar"/>
    <x v="1"/>
    <x v="1"/>
    <x v="2"/>
    <x v="0"/>
    <n v="7"/>
    <n v="7"/>
    <x v="1"/>
    <x v="1"/>
    <n v="227614"/>
    <n v="193383"/>
    <n v="34231"/>
    <x v="3"/>
    <n v="0"/>
    <n v="0"/>
    <n v="1"/>
    <n v="0"/>
    <n v="1"/>
    <s v="No"/>
    <x v="2"/>
  </r>
  <r>
    <n v="20043"/>
    <d v="2024-05-03T00:00:00"/>
    <x v="1"/>
    <s v="Bhubaneswar"/>
    <s v="SC_BHU_4"/>
    <x v="0"/>
    <s v="Taycan"/>
    <s v="Sedan"/>
    <x v="1"/>
    <x v="1"/>
    <x v="1"/>
    <x v="0"/>
    <n v="25"/>
    <n v="7"/>
    <x v="0"/>
    <x v="1"/>
    <n v="370499"/>
    <n v="229679"/>
    <n v="140820"/>
    <x v="0"/>
    <n v="370499"/>
    <n v="0"/>
    <n v="0"/>
    <n v="1"/>
    <n v="1"/>
    <s v="Yes"/>
    <x v="0"/>
  </r>
  <r>
    <n v="20044"/>
    <d v="2024-05-08T00:00:00"/>
    <x v="2"/>
    <s v="Noida"/>
    <s v="SC_NOI_2"/>
    <x v="2"/>
    <s v="Cayenne"/>
    <s v="SUV"/>
    <x v="1"/>
    <x v="4"/>
    <x v="2"/>
    <x v="1"/>
    <n v="24"/>
    <n v="7"/>
    <x v="0"/>
    <x v="1"/>
    <n v="310518"/>
    <n v="212331"/>
    <n v="98187"/>
    <x v="0"/>
    <n v="310518"/>
    <n v="0"/>
    <n v="0"/>
    <n v="1"/>
    <n v="1"/>
    <s v="Yes"/>
    <x v="0"/>
  </r>
  <r>
    <n v="20045"/>
    <d v="2024-03-22T00:00:00"/>
    <x v="1"/>
    <s v="Kolkata"/>
    <s v="SC_KOL_1"/>
    <x v="1"/>
    <s v="911"/>
    <s v="Coupe"/>
    <x v="0"/>
    <x v="1"/>
    <x v="0"/>
    <x v="1"/>
    <n v="16"/>
    <n v="7"/>
    <x v="0"/>
    <x v="0"/>
    <n v="214036"/>
    <n v="123539"/>
    <n v="90497"/>
    <x v="0"/>
    <n v="0"/>
    <n v="1"/>
    <n v="0"/>
    <n v="1"/>
    <n v="1"/>
    <s v="Yes"/>
    <x v="0"/>
  </r>
  <r>
    <n v="20046"/>
    <d v="2024-01-13T00:00:00"/>
    <x v="0"/>
    <s v="Hyderabad"/>
    <s v="SC_HYD_3"/>
    <x v="1"/>
    <s v="911"/>
    <s v="Coupe"/>
    <x v="1"/>
    <x v="1"/>
    <x v="2"/>
    <x v="1"/>
    <n v="2"/>
    <n v="7"/>
    <x v="1"/>
    <x v="1"/>
    <n v="191674"/>
    <n v="115553"/>
    <n v="76121"/>
    <x v="4"/>
    <n v="0"/>
    <n v="0"/>
    <n v="1"/>
    <n v="0"/>
    <n v="1"/>
    <s v="No"/>
    <x v="2"/>
  </r>
  <r>
    <n v="20047"/>
    <d v="2024-01-22T00:00:00"/>
    <x v="0"/>
    <s v="Chennai"/>
    <s v="SC_CHE_2"/>
    <x v="2"/>
    <s v="Veyron"/>
    <s v="Hypercar"/>
    <x v="1"/>
    <x v="4"/>
    <x v="2"/>
    <x v="1"/>
    <n v="21"/>
    <n v="7"/>
    <x v="1"/>
    <x v="0"/>
    <n v="264051"/>
    <n v="165155"/>
    <n v="98896"/>
    <x v="0"/>
    <n v="0"/>
    <n v="1"/>
    <n v="1"/>
    <n v="0"/>
    <n v="1"/>
    <s v="Yes"/>
    <x v="0"/>
  </r>
  <r>
    <n v="20048"/>
    <d v="2024-01-06T00:00:00"/>
    <x v="2"/>
    <s v="Gurugram"/>
    <s v="SC_GUR_2"/>
    <x v="1"/>
    <s v="Veyron"/>
    <s v="Hypercar"/>
    <x v="0"/>
    <x v="1"/>
    <x v="0"/>
    <x v="0"/>
    <n v="23"/>
    <n v="7"/>
    <x v="0"/>
    <x v="1"/>
    <n v="349891"/>
    <n v="270340"/>
    <n v="79551"/>
    <x v="0"/>
    <n v="349891"/>
    <n v="0"/>
    <n v="0"/>
    <n v="1"/>
    <n v="1"/>
    <s v="Yes"/>
    <x v="0"/>
  </r>
  <r>
    <n v="20049"/>
    <d v="2024-03-07T00:00:00"/>
    <x v="1"/>
    <s v="Kolkata"/>
    <s v="SC_KOL_2"/>
    <x v="0"/>
    <s v="Cayenne"/>
    <s v="SUV"/>
    <x v="0"/>
    <x v="3"/>
    <x v="0"/>
    <x v="1"/>
    <n v="18"/>
    <n v="7"/>
    <x v="0"/>
    <x v="1"/>
    <n v="114723"/>
    <n v="68521"/>
    <n v="46202"/>
    <x v="0"/>
    <n v="114723"/>
    <n v="0"/>
    <n v="0"/>
    <n v="1"/>
    <n v="1"/>
    <s v="Yes"/>
    <x v="0"/>
  </r>
  <r>
    <n v="20050"/>
    <d v="2024-05-25T00:00:00"/>
    <x v="0"/>
    <s v="Hyderabad"/>
    <s v="SC_HYD_1"/>
    <x v="1"/>
    <s v="Cayenne"/>
    <s v="SUV"/>
    <x v="0"/>
    <x v="4"/>
    <x v="0"/>
    <x v="0"/>
    <n v="6"/>
    <n v="7"/>
    <x v="0"/>
    <x v="1"/>
    <n v="320596"/>
    <n v="188627"/>
    <n v="131969"/>
    <x v="2"/>
    <n v="320596"/>
    <n v="0"/>
    <n v="0"/>
    <n v="1"/>
    <n v="1"/>
    <s v="No"/>
    <x v="1"/>
  </r>
  <r>
    <n v="20051"/>
    <d v="2024-02-07T00:00:00"/>
    <x v="0"/>
    <s v="Bengaluru"/>
    <s v="SC_BEN_2"/>
    <x v="2"/>
    <s v="Cayenne"/>
    <s v="SUV"/>
    <x v="0"/>
    <x v="4"/>
    <x v="1"/>
    <x v="0"/>
    <n v="12"/>
    <n v="7"/>
    <x v="0"/>
    <x v="0"/>
    <n v="585523"/>
    <n v="350614"/>
    <n v="234909"/>
    <x v="1"/>
    <n v="0"/>
    <n v="1"/>
    <n v="0"/>
    <n v="1"/>
    <n v="1"/>
    <s v="Yes"/>
    <x v="0"/>
  </r>
  <r>
    <n v="20052"/>
    <d v="2024-05-29T00:00:00"/>
    <x v="2"/>
    <s v="Gurugram"/>
    <s v="SC_GUR_1"/>
    <x v="2"/>
    <s v="Chiron"/>
    <s v="Hypercar"/>
    <x v="0"/>
    <x v="0"/>
    <x v="2"/>
    <x v="1"/>
    <n v="20"/>
    <n v="7"/>
    <x v="1"/>
    <x v="1"/>
    <n v="278537"/>
    <n v="225491"/>
    <n v="53046"/>
    <x v="0"/>
    <n v="0"/>
    <n v="0"/>
    <n v="1"/>
    <n v="0"/>
    <n v="1"/>
    <s v="Yes"/>
    <x v="0"/>
  </r>
  <r>
    <n v="20053"/>
    <d v="2024-03-14T00:00:00"/>
    <x v="3"/>
    <s v="Pune"/>
    <s v="SC_PUN_5"/>
    <x v="0"/>
    <s v="Cayenne"/>
    <s v="SUV"/>
    <x v="0"/>
    <x v="1"/>
    <x v="2"/>
    <x v="0"/>
    <n v="16"/>
    <n v="7"/>
    <x v="1"/>
    <x v="0"/>
    <n v="591177"/>
    <n v="361855"/>
    <n v="229322"/>
    <x v="1"/>
    <n v="0"/>
    <n v="1"/>
    <n v="1"/>
    <n v="0"/>
    <n v="1"/>
    <s v="Yes"/>
    <x v="0"/>
  </r>
  <r>
    <n v="20054"/>
    <d v="2024-06-25T00:00:00"/>
    <x v="2"/>
    <s v="Noida"/>
    <s v="SC_NOI_3"/>
    <x v="0"/>
    <s v="Cayenne"/>
    <s v="SUV"/>
    <x v="1"/>
    <x v="1"/>
    <x v="2"/>
    <x v="0"/>
    <n v="7"/>
    <n v="7"/>
    <x v="0"/>
    <x v="0"/>
    <n v="297493"/>
    <n v="171986"/>
    <n v="125507"/>
    <x v="2"/>
    <n v="0"/>
    <n v="1"/>
    <n v="0"/>
    <n v="1"/>
    <n v="1"/>
    <s v="No"/>
    <x v="1"/>
  </r>
  <r>
    <n v="20055"/>
    <d v="2024-05-03T00:00:00"/>
    <x v="1"/>
    <s v="Patna"/>
    <s v="SC_PAT_4"/>
    <x v="2"/>
    <s v="911"/>
    <s v="Coupe"/>
    <x v="1"/>
    <x v="3"/>
    <x v="1"/>
    <x v="1"/>
    <n v="10"/>
    <n v="7"/>
    <x v="1"/>
    <x v="1"/>
    <n v="404066"/>
    <n v="231472"/>
    <n v="172594"/>
    <x v="2"/>
    <n v="0"/>
    <n v="0"/>
    <n v="1"/>
    <n v="0"/>
    <n v="1"/>
    <s v="Yes"/>
    <x v="1"/>
  </r>
  <r>
    <n v="20056"/>
    <d v="2024-02-06T00:00:00"/>
    <x v="2"/>
    <s v="Noida"/>
    <s v="SC_NOI_4"/>
    <x v="0"/>
    <s v="Chiron"/>
    <s v="Hypercar"/>
    <x v="1"/>
    <x v="2"/>
    <x v="1"/>
    <x v="1"/>
    <n v="16"/>
    <n v="7"/>
    <x v="0"/>
    <x v="1"/>
    <n v="295600"/>
    <n v="225636"/>
    <n v="69964"/>
    <x v="0"/>
    <n v="295600"/>
    <n v="0"/>
    <n v="0"/>
    <n v="1"/>
    <n v="1"/>
    <s v="Yes"/>
    <x v="0"/>
  </r>
  <r>
    <n v="20057"/>
    <d v="2024-03-31T00:00:00"/>
    <x v="2"/>
    <s v="Delhi"/>
    <s v="SC_DEL_5"/>
    <x v="1"/>
    <s v="Chiron"/>
    <s v="Hypercar"/>
    <x v="1"/>
    <x v="3"/>
    <x v="1"/>
    <x v="0"/>
    <n v="12"/>
    <n v="7"/>
    <x v="0"/>
    <x v="1"/>
    <n v="103964"/>
    <n v="64912"/>
    <n v="39052"/>
    <x v="1"/>
    <n v="103964"/>
    <n v="0"/>
    <n v="0"/>
    <n v="1"/>
    <n v="1"/>
    <s v="Yes"/>
    <x v="0"/>
  </r>
  <r>
    <n v="20058"/>
    <d v="2024-04-14T00:00:00"/>
    <x v="3"/>
    <s v="Ahmedabad"/>
    <s v="SC_AHM_1"/>
    <x v="2"/>
    <s v="Panamera"/>
    <s v="Sedan"/>
    <x v="1"/>
    <x v="1"/>
    <x v="0"/>
    <x v="0"/>
    <n v="23"/>
    <n v="7"/>
    <x v="0"/>
    <x v="0"/>
    <n v="310108"/>
    <n v="247918"/>
    <n v="62190"/>
    <x v="0"/>
    <n v="0"/>
    <n v="1"/>
    <n v="0"/>
    <n v="1"/>
    <n v="1"/>
    <s v="Yes"/>
    <x v="0"/>
  </r>
  <r>
    <n v="20059"/>
    <d v="2024-04-27T00:00:00"/>
    <x v="0"/>
    <s v="Chennai"/>
    <s v="SC_CHE_4"/>
    <x v="1"/>
    <s v="Macan"/>
    <s v="SUV"/>
    <x v="0"/>
    <x v="3"/>
    <x v="0"/>
    <x v="1"/>
    <n v="19"/>
    <n v="7"/>
    <x v="0"/>
    <x v="1"/>
    <n v="179225"/>
    <n v="107557"/>
    <n v="71668"/>
    <x v="0"/>
    <n v="179225"/>
    <n v="0"/>
    <n v="0"/>
    <n v="1"/>
    <n v="1"/>
    <s v="Yes"/>
    <x v="0"/>
  </r>
  <r>
    <n v="20060"/>
    <d v="2024-02-11T00:00:00"/>
    <x v="2"/>
    <s v="Delhi"/>
    <s v="SC_DEL_5"/>
    <x v="1"/>
    <s v="Macan"/>
    <s v="SUV"/>
    <x v="1"/>
    <x v="4"/>
    <x v="0"/>
    <x v="1"/>
    <n v="4"/>
    <n v="7"/>
    <x v="0"/>
    <x v="1"/>
    <n v="560150"/>
    <n v="383029"/>
    <n v="177121"/>
    <x v="3"/>
    <n v="560150"/>
    <n v="0"/>
    <n v="0"/>
    <n v="1"/>
    <n v="1"/>
    <s v="No"/>
    <x v="2"/>
  </r>
  <r>
    <n v="20061"/>
    <d v="2024-04-29T00:00:00"/>
    <x v="0"/>
    <s v="Hyderabad"/>
    <s v="SC_HYD_5"/>
    <x v="0"/>
    <s v="Panamera"/>
    <s v="Sedan"/>
    <x v="0"/>
    <x v="1"/>
    <x v="0"/>
    <x v="0"/>
    <n v="15"/>
    <n v="7"/>
    <x v="0"/>
    <x v="1"/>
    <n v="250809"/>
    <n v="173928"/>
    <n v="76881"/>
    <x v="0"/>
    <n v="250809"/>
    <n v="0"/>
    <n v="0"/>
    <n v="1"/>
    <n v="1"/>
    <s v="Yes"/>
    <x v="0"/>
  </r>
  <r>
    <n v="20062"/>
    <d v="2024-02-23T00:00:00"/>
    <x v="1"/>
    <s v="Patna"/>
    <s v="SC_PAT_5"/>
    <x v="2"/>
    <s v="Panamera"/>
    <s v="Sedan"/>
    <x v="1"/>
    <x v="2"/>
    <x v="1"/>
    <x v="1"/>
    <n v="18"/>
    <n v="7"/>
    <x v="0"/>
    <x v="1"/>
    <n v="252633"/>
    <n v="179980"/>
    <n v="72653"/>
    <x v="0"/>
    <n v="252633"/>
    <n v="0"/>
    <n v="0"/>
    <n v="1"/>
    <n v="1"/>
    <s v="Yes"/>
    <x v="0"/>
  </r>
  <r>
    <n v="20063"/>
    <d v="2024-02-24T00:00:00"/>
    <x v="2"/>
    <s v="Delhi"/>
    <s v="SC_DEL_5"/>
    <x v="0"/>
    <s v="Veyron"/>
    <s v="Hypercar"/>
    <x v="1"/>
    <x v="0"/>
    <x v="1"/>
    <x v="0"/>
    <n v="8"/>
    <n v="7"/>
    <x v="1"/>
    <x v="0"/>
    <n v="573693"/>
    <n v="464762"/>
    <n v="108931"/>
    <x v="3"/>
    <n v="0"/>
    <n v="1"/>
    <n v="1"/>
    <n v="0"/>
    <n v="1"/>
    <s v="Yes"/>
    <x v="2"/>
  </r>
  <r>
    <n v="20064"/>
    <d v="2024-03-31T00:00:00"/>
    <x v="2"/>
    <s v="Gurugram"/>
    <s v="SC_GUR_1"/>
    <x v="1"/>
    <s v="Veyron"/>
    <s v="Hypercar"/>
    <x v="1"/>
    <x v="2"/>
    <x v="0"/>
    <x v="1"/>
    <n v="11"/>
    <n v="7"/>
    <x v="0"/>
    <x v="1"/>
    <n v="217731"/>
    <n v="112277"/>
    <n v="105454"/>
    <x v="1"/>
    <n v="217731"/>
    <n v="0"/>
    <n v="0"/>
    <n v="1"/>
    <n v="1"/>
    <s v="Yes"/>
    <x v="0"/>
  </r>
  <r>
    <n v="20065"/>
    <d v="2024-05-16T00:00:00"/>
    <x v="3"/>
    <s v="Pune"/>
    <s v="SC_PUN_5"/>
    <x v="1"/>
    <s v="Macan"/>
    <s v="SUV"/>
    <x v="1"/>
    <x v="3"/>
    <x v="2"/>
    <x v="1"/>
    <n v="20"/>
    <n v="7"/>
    <x v="1"/>
    <x v="0"/>
    <n v="251654"/>
    <n v="199284"/>
    <n v="52370"/>
    <x v="0"/>
    <n v="0"/>
    <n v="1"/>
    <n v="1"/>
    <n v="0"/>
    <n v="1"/>
    <s v="Yes"/>
    <x v="0"/>
  </r>
  <r>
    <n v="20066"/>
    <d v="2024-05-04T00:00:00"/>
    <x v="3"/>
    <s v="Mumbai"/>
    <s v="SC_MUM_5"/>
    <x v="0"/>
    <s v="Veyron"/>
    <s v="Hypercar"/>
    <x v="0"/>
    <x v="2"/>
    <x v="0"/>
    <x v="0"/>
    <n v="5"/>
    <n v="7"/>
    <x v="0"/>
    <x v="1"/>
    <n v="359939"/>
    <n v="184025"/>
    <n v="175914"/>
    <x v="2"/>
    <n v="359939"/>
    <n v="0"/>
    <n v="0"/>
    <n v="1"/>
    <n v="1"/>
    <s v="No"/>
    <x v="1"/>
  </r>
  <r>
    <n v="20067"/>
    <d v="2024-01-19T00:00:00"/>
    <x v="1"/>
    <s v="Bhubaneswar"/>
    <s v="SC_BHU_5"/>
    <x v="2"/>
    <s v="Veyron"/>
    <s v="Hypercar"/>
    <x v="1"/>
    <x v="2"/>
    <x v="1"/>
    <x v="1"/>
    <n v="4"/>
    <n v="7"/>
    <x v="0"/>
    <x v="1"/>
    <n v="531222"/>
    <n v="348521"/>
    <n v="182701"/>
    <x v="3"/>
    <n v="531222"/>
    <n v="0"/>
    <n v="0"/>
    <n v="1"/>
    <n v="1"/>
    <s v="No"/>
    <x v="2"/>
  </r>
  <r>
    <n v="20068"/>
    <d v="2024-05-25T00:00:00"/>
    <x v="3"/>
    <s v="Pune"/>
    <s v="SC_PUN_1"/>
    <x v="0"/>
    <s v="Cayenne"/>
    <s v="SUV"/>
    <x v="1"/>
    <x v="1"/>
    <x v="0"/>
    <x v="0"/>
    <n v="6"/>
    <n v="7"/>
    <x v="0"/>
    <x v="0"/>
    <n v="436196"/>
    <n v="315455"/>
    <n v="120741"/>
    <x v="2"/>
    <n v="0"/>
    <n v="1"/>
    <n v="0"/>
    <n v="1"/>
    <n v="1"/>
    <s v="No"/>
    <x v="1"/>
  </r>
  <r>
    <n v="20069"/>
    <d v="2024-02-09T00:00:00"/>
    <x v="1"/>
    <s v="Bhubaneswar"/>
    <s v="SC_BHU_3"/>
    <x v="2"/>
    <s v="Chiron"/>
    <s v="Hypercar"/>
    <x v="1"/>
    <x v="3"/>
    <x v="2"/>
    <x v="0"/>
    <n v="12"/>
    <n v="7"/>
    <x v="1"/>
    <x v="1"/>
    <n v="192043"/>
    <n v="143380"/>
    <n v="48663"/>
    <x v="2"/>
    <n v="0"/>
    <n v="0"/>
    <n v="1"/>
    <n v="0"/>
    <n v="1"/>
    <s v="Yes"/>
    <x v="1"/>
  </r>
  <r>
    <n v="20070"/>
    <d v="2024-05-11T00:00:00"/>
    <x v="0"/>
    <s v="Chennai"/>
    <s v="SC_CHE_4"/>
    <x v="1"/>
    <s v="Veyron"/>
    <s v="Hypercar"/>
    <x v="1"/>
    <x v="4"/>
    <x v="1"/>
    <x v="1"/>
    <n v="16"/>
    <n v="7"/>
    <x v="1"/>
    <x v="1"/>
    <n v="509775"/>
    <n v="317899"/>
    <n v="191876"/>
    <x v="1"/>
    <n v="0"/>
    <n v="0"/>
    <n v="1"/>
    <n v="0"/>
    <n v="1"/>
    <s v="Yes"/>
    <x v="0"/>
  </r>
  <r>
    <n v="20071"/>
    <d v="2024-03-01T00:00:00"/>
    <x v="1"/>
    <s v="Kolkata"/>
    <s v="SC_KOL_2"/>
    <x v="0"/>
    <s v="Chiron"/>
    <s v="Hypercar"/>
    <x v="0"/>
    <x v="3"/>
    <x v="2"/>
    <x v="0"/>
    <n v="3"/>
    <n v="7"/>
    <x v="1"/>
    <x v="1"/>
    <n v="370090"/>
    <n v="190954"/>
    <n v="179136"/>
    <x v="4"/>
    <n v="0"/>
    <n v="0"/>
    <n v="1"/>
    <n v="0"/>
    <n v="1"/>
    <s v="No"/>
    <x v="2"/>
  </r>
  <r>
    <n v="20072"/>
    <d v="2024-03-16T00:00:00"/>
    <x v="0"/>
    <s v="Bengaluru"/>
    <s v="SC_BEN_2"/>
    <x v="2"/>
    <s v="Panamera"/>
    <s v="Sedan"/>
    <x v="0"/>
    <x v="3"/>
    <x v="2"/>
    <x v="0"/>
    <n v="16"/>
    <n v="7"/>
    <x v="1"/>
    <x v="1"/>
    <n v="598472"/>
    <n v="493846"/>
    <n v="104626"/>
    <x v="1"/>
    <n v="0"/>
    <n v="0"/>
    <n v="1"/>
    <n v="0"/>
    <n v="1"/>
    <s v="Yes"/>
    <x v="0"/>
  </r>
  <r>
    <n v="20073"/>
    <d v="2024-05-21T00:00:00"/>
    <x v="2"/>
    <s v="Noida"/>
    <s v="SC_NOI_2"/>
    <x v="2"/>
    <s v="Cayenne"/>
    <s v="SUV"/>
    <x v="1"/>
    <x v="3"/>
    <x v="2"/>
    <x v="0"/>
    <n v="24"/>
    <n v="7"/>
    <x v="0"/>
    <x v="1"/>
    <n v="578565"/>
    <n v="481100"/>
    <n v="97465"/>
    <x v="0"/>
    <n v="578565"/>
    <n v="0"/>
    <n v="0"/>
    <n v="1"/>
    <n v="1"/>
    <s v="Yes"/>
    <x v="0"/>
  </r>
  <r>
    <n v="20074"/>
    <d v="2024-04-27T00:00:00"/>
    <x v="3"/>
    <s v="Ahmedabad"/>
    <s v="SC_AHM_2"/>
    <x v="0"/>
    <s v="Veyron"/>
    <s v="Hypercar"/>
    <x v="1"/>
    <x v="1"/>
    <x v="1"/>
    <x v="0"/>
    <n v="17"/>
    <n v="7"/>
    <x v="0"/>
    <x v="1"/>
    <n v="522491"/>
    <n v="332088"/>
    <n v="190403"/>
    <x v="0"/>
    <n v="522491"/>
    <n v="0"/>
    <n v="0"/>
    <n v="1"/>
    <n v="1"/>
    <s v="Yes"/>
    <x v="0"/>
  </r>
  <r>
    <n v="20075"/>
    <d v="2024-03-07T00:00:00"/>
    <x v="2"/>
    <s v="Gurugram"/>
    <s v="SC_GUR_3"/>
    <x v="2"/>
    <s v="911"/>
    <s v="Coupe"/>
    <x v="1"/>
    <x v="2"/>
    <x v="2"/>
    <x v="0"/>
    <n v="5"/>
    <n v="7"/>
    <x v="0"/>
    <x v="1"/>
    <n v="475749"/>
    <n v="338775"/>
    <n v="136974"/>
    <x v="2"/>
    <n v="475749"/>
    <n v="0"/>
    <n v="0"/>
    <n v="1"/>
    <n v="1"/>
    <s v="No"/>
    <x v="1"/>
  </r>
  <r>
    <n v="20076"/>
    <d v="2024-04-26T00:00:00"/>
    <x v="1"/>
    <s v="Bhubaneswar"/>
    <s v="SC_BHU_1"/>
    <x v="2"/>
    <s v="Veyron"/>
    <s v="Hypercar"/>
    <x v="1"/>
    <x v="2"/>
    <x v="2"/>
    <x v="1"/>
    <n v="9"/>
    <n v="7"/>
    <x v="0"/>
    <x v="1"/>
    <n v="392112"/>
    <n v="258441"/>
    <n v="133671"/>
    <x v="2"/>
    <n v="392112"/>
    <n v="0"/>
    <n v="0"/>
    <n v="1"/>
    <n v="1"/>
    <s v="Yes"/>
    <x v="1"/>
  </r>
  <r>
    <n v="20077"/>
    <d v="2024-04-01T00:00:00"/>
    <x v="2"/>
    <s v="Delhi"/>
    <s v="SC_DEL_5"/>
    <x v="0"/>
    <s v="Chiron"/>
    <s v="Hypercar"/>
    <x v="1"/>
    <x v="1"/>
    <x v="1"/>
    <x v="1"/>
    <n v="18"/>
    <n v="7"/>
    <x v="1"/>
    <x v="1"/>
    <n v="352427"/>
    <n v="194787"/>
    <n v="157640"/>
    <x v="1"/>
    <n v="0"/>
    <n v="0"/>
    <n v="1"/>
    <n v="0"/>
    <n v="1"/>
    <s v="Yes"/>
    <x v="0"/>
  </r>
  <r>
    <n v="20078"/>
    <d v="2024-01-18T00:00:00"/>
    <x v="1"/>
    <s v="Kolkata"/>
    <s v="SC_KOL_1"/>
    <x v="0"/>
    <s v="Taycan"/>
    <s v="Sedan"/>
    <x v="0"/>
    <x v="2"/>
    <x v="1"/>
    <x v="0"/>
    <n v="11"/>
    <n v="7"/>
    <x v="1"/>
    <x v="0"/>
    <n v="125778"/>
    <n v="94973"/>
    <n v="30805"/>
    <x v="2"/>
    <n v="0"/>
    <n v="1"/>
    <n v="1"/>
    <n v="0"/>
    <n v="1"/>
    <s v="Yes"/>
    <x v="1"/>
  </r>
  <r>
    <n v="20079"/>
    <d v="2024-02-22T00:00:00"/>
    <x v="2"/>
    <s v="Delhi"/>
    <s v="SC_DEL_2"/>
    <x v="2"/>
    <s v="Veyron"/>
    <s v="Hypercar"/>
    <x v="1"/>
    <x v="1"/>
    <x v="1"/>
    <x v="0"/>
    <n v="11"/>
    <n v="7"/>
    <x v="1"/>
    <x v="1"/>
    <n v="418746"/>
    <n v="220855"/>
    <n v="197891"/>
    <x v="2"/>
    <n v="0"/>
    <n v="0"/>
    <n v="1"/>
    <n v="0"/>
    <n v="1"/>
    <s v="Yes"/>
    <x v="1"/>
  </r>
  <r>
    <n v="20080"/>
    <d v="2024-05-27T00:00:00"/>
    <x v="2"/>
    <s v="Noida"/>
    <s v="SC_NOI_5"/>
    <x v="1"/>
    <s v="Macan"/>
    <s v="SUV"/>
    <x v="1"/>
    <x v="1"/>
    <x v="0"/>
    <x v="0"/>
    <n v="13"/>
    <n v="7"/>
    <x v="0"/>
    <x v="0"/>
    <n v="415932"/>
    <n v="326655"/>
    <n v="89277"/>
    <x v="1"/>
    <n v="0"/>
    <n v="1"/>
    <n v="0"/>
    <n v="1"/>
    <n v="1"/>
    <s v="Yes"/>
    <x v="0"/>
  </r>
  <r>
    <n v="20081"/>
    <d v="2024-02-07T00:00:00"/>
    <x v="1"/>
    <s v="Bhubaneswar"/>
    <s v="SC_BHU_1"/>
    <x v="0"/>
    <s v="Macan"/>
    <s v="SUV"/>
    <x v="0"/>
    <x v="3"/>
    <x v="1"/>
    <x v="0"/>
    <n v="6"/>
    <n v="7"/>
    <x v="1"/>
    <x v="1"/>
    <n v="539049"/>
    <n v="322288"/>
    <n v="216761"/>
    <x v="3"/>
    <n v="0"/>
    <n v="0"/>
    <n v="1"/>
    <n v="0"/>
    <n v="1"/>
    <s v="No"/>
    <x v="2"/>
  </r>
  <r>
    <n v="20082"/>
    <d v="2024-02-06T00:00:00"/>
    <x v="2"/>
    <s v="Delhi"/>
    <s v="SC_DEL_2"/>
    <x v="1"/>
    <s v="Taycan"/>
    <s v="Sedan"/>
    <x v="1"/>
    <x v="3"/>
    <x v="0"/>
    <x v="1"/>
    <n v="19"/>
    <n v="7"/>
    <x v="0"/>
    <x v="1"/>
    <n v="485965"/>
    <n v="378097"/>
    <n v="107868"/>
    <x v="0"/>
    <n v="485965"/>
    <n v="0"/>
    <n v="0"/>
    <n v="1"/>
    <n v="1"/>
    <s v="Yes"/>
    <x v="0"/>
  </r>
  <r>
    <n v="20083"/>
    <d v="2024-03-02T00:00:00"/>
    <x v="1"/>
    <s v="Kolkata"/>
    <s v="SC_KOL_1"/>
    <x v="2"/>
    <s v="Veyron"/>
    <s v="Hypercar"/>
    <x v="1"/>
    <x v="4"/>
    <x v="0"/>
    <x v="0"/>
    <n v="21"/>
    <n v="7"/>
    <x v="0"/>
    <x v="1"/>
    <n v="485915"/>
    <n v="392971"/>
    <n v="92944"/>
    <x v="0"/>
    <n v="485915"/>
    <n v="0"/>
    <n v="0"/>
    <n v="1"/>
    <n v="1"/>
    <s v="Yes"/>
    <x v="0"/>
  </r>
  <r>
    <n v="20084"/>
    <d v="2024-01-13T00:00:00"/>
    <x v="0"/>
    <s v="Hyderabad"/>
    <s v="SC_HYD_4"/>
    <x v="2"/>
    <s v="Panamera"/>
    <s v="Sedan"/>
    <x v="1"/>
    <x v="0"/>
    <x v="0"/>
    <x v="0"/>
    <n v="21"/>
    <n v="7"/>
    <x v="0"/>
    <x v="1"/>
    <n v="508064"/>
    <n v="353554"/>
    <n v="154510"/>
    <x v="0"/>
    <n v="508064"/>
    <n v="0"/>
    <n v="0"/>
    <n v="1"/>
    <n v="1"/>
    <s v="Yes"/>
    <x v="0"/>
  </r>
  <r>
    <n v="20085"/>
    <d v="2024-01-13T00:00:00"/>
    <x v="3"/>
    <s v="Pune"/>
    <s v="SC_PUN_3"/>
    <x v="0"/>
    <s v="Cayenne"/>
    <s v="SUV"/>
    <x v="0"/>
    <x v="4"/>
    <x v="2"/>
    <x v="0"/>
    <n v="23"/>
    <n v="7"/>
    <x v="1"/>
    <x v="1"/>
    <n v="129587"/>
    <n v="78356"/>
    <n v="51231"/>
    <x v="0"/>
    <n v="0"/>
    <n v="0"/>
    <n v="1"/>
    <n v="0"/>
    <n v="1"/>
    <s v="Yes"/>
    <x v="0"/>
  </r>
  <r>
    <n v="20086"/>
    <d v="2024-03-29T00:00:00"/>
    <x v="3"/>
    <s v="Mumbai"/>
    <s v="SC_MUM_5"/>
    <x v="2"/>
    <s v="Chiron"/>
    <s v="Hypercar"/>
    <x v="0"/>
    <x v="0"/>
    <x v="0"/>
    <x v="1"/>
    <n v="17"/>
    <n v="7"/>
    <x v="0"/>
    <x v="1"/>
    <n v="476988"/>
    <n v="251328"/>
    <n v="225660"/>
    <x v="0"/>
    <n v="476988"/>
    <n v="0"/>
    <n v="0"/>
    <n v="1"/>
    <n v="1"/>
    <s v="Yes"/>
    <x v="0"/>
  </r>
  <r>
    <n v="20087"/>
    <d v="2024-02-05T00:00:00"/>
    <x v="1"/>
    <s v="Patna"/>
    <s v="SC_PAT_3"/>
    <x v="0"/>
    <s v="Macan"/>
    <s v="SUV"/>
    <x v="1"/>
    <x v="4"/>
    <x v="0"/>
    <x v="0"/>
    <n v="5"/>
    <n v="7"/>
    <x v="1"/>
    <x v="1"/>
    <n v="385029"/>
    <n v="259853"/>
    <n v="125176"/>
    <x v="3"/>
    <n v="0"/>
    <n v="0"/>
    <n v="1"/>
    <n v="0"/>
    <n v="1"/>
    <s v="No"/>
    <x v="2"/>
  </r>
  <r>
    <n v="20088"/>
    <d v="2024-04-06T00:00:00"/>
    <x v="1"/>
    <s v="Patna"/>
    <s v="SC_PAT_5"/>
    <x v="2"/>
    <s v="Panamera"/>
    <s v="Sedan"/>
    <x v="0"/>
    <x v="1"/>
    <x v="1"/>
    <x v="1"/>
    <n v="5"/>
    <n v="7"/>
    <x v="0"/>
    <x v="1"/>
    <n v="563610"/>
    <n v="451449"/>
    <n v="112161"/>
    <x v="2"/>
    <n v="563610"/>
    <n v="0"/>
    <n v="0"/>
    <n v="1"/>
    <n v="1"/>
    <s v="No"/>
    <x v="1"/>
  </r>
  <r>
    <n v="20089"/>
    <d v="2024-06-09T00:00:00"/>
    <x v="0"/>
    <s v="Hyderabad"/>
    <s v="SC_HYD_2"/>
    <x v="1"/>
    <s v="Veyron"/>
    <s v="Hypercar"/>
    <x v="1"/>
    <x v="3"/>
    <x v="1"/>
    <x v="1"/>
    <n v="17"/>
    <n v="7"/>
    <x v="0"/>
    <x v="0"/>
    <n v="278414"/>
    <n v="193492"/>
    <n v="84922"/>
    <x v="0"/>
    <n v="0"/>
    <n v="1"/>
    <n v="0"/>
    <n v="1"/>
    <n v="1"/>
    <s v="Yes"/>
    <x v="0"/>
  </r>
  <r>
    <n v="20090"/>
    <d v="2024-05-12T00:00:00"/>
    <x v="0"/>
    <s v="Chennai"/>
    <s v="SC_CHE_5"/>
    <x v="0"/>
    <s v="Taycan"/>
    <s v="Sedan"/>
    <x v="1"/>
    <x v="4"/>
    <x v="2"/>
    <x v="0"/>
    <n v="5"/>
    <n v="7"/>
    <x v="0"/>
    <x v="1"/>
    <n v="582392"/>
    <n v="382840"/>
    <n v="199552"/>
    <x v="2"/>
    <n v="582392"/>
    <n v="0"/>
    <n v="0"/>
    <n v="1"/>
    <n v="1"/>
    <s v="No"/>
    <x v="1"/>
  </r>
  <r>
    <n v="20091"/>
    <d v="2024-03-26T00:00:00"/>
    <x v="1"/>
    <s v="Patna"/>
    <s v="SC_PAT_2"/>
    <x v="1"/>
    <s v="Macan"/>
    <s v="SUV"/>
    <x v="0"/>
    <x v="3"/>
    <x v="1"/>
    <x v="1"/>
    <n v="6"/>
    <n v="7"/>
    <x v="0"/>
    <x v="0"/>
    <n v="271077"/>
    <n v="162292"/>
    <n v="108785"/>
    <x v="2"/>
    <n v="0"/>
    <n v="1"/>
    <n v="0"/>
    <n v="1"/>
    <n v="1"/>
    <s v="No"/>
    <x v="1"/>
  </r>
  <r>
    <n v="20092"/>
    <d v="2024-05-31T00:00:00"/>
    <x v="3"/>
    <s v="Ahmedabad"/>
    <s v="SC_AHM_1"/>
    <x v="2"/>
    <s v="Veyron"/>
    <s v="Hypercar"/>
    <x v="0"/>
    <x v="1"/>
    <x v="2"/>
    <x v="1"/>
    <n v="8"/>
    <n v="7"/>
    <x v="1"/>
    <x v="1"/>
    <n v="486654"/>
    <n v="383210"/>
    <n v="103444"/>
    <x v="3"/>
    <n v="0"/>
    <n v="0"/>
    <n v="1"/>
    <n v="0"/>
    <n v="1"/>
    <s v="Yes"/>
    <x v="2"/>
  </r>
  <r>
    <n v="20093"/>
    <d v="2024-04-06T00:00:00"/>
    <x v="0"/>
    <s v="Chennai"/>
    <s v="SC_CHE_3"/>
    <x v="2"/>
    <s v="Macan"/>
    <s v="SUV"/>
    <x v="0"/>
    <x v="0"/>
    <x v="2"/>
    <x v="0"/>
    <n v="24"/>
    <n v="7"/>
    <x v="1"/>
    <x v="1"/>
    <n v="581385"/>
    <n v="353930"/>
    <n v="227455"/>
    <x v="0"/>
    <n v="0"/>
    <n v="0"/>
    <n v="1"/>
    <n v="0"/>
    <n v="1"/>
    <s v="Yes"/>
    <x v="0"/>
  </r>
  <r>
    <n v="20094"/>
    <d v="2024-01-06T00:00:00"/>
    <x v="0"/>
    <s v="Hyderabad"/>
    <s v="SC_HYD_1"/>
    <x v="1"/>
    <s v="Taycan"/>
    <s v="Sedan"/>
    <x v="0"/>
    <x v="3"/>
    <x v="1"/>
    <x v="0"/>
    <n v="9"/>
    <n v="7"/>
    <x v="0"/>
    <x v="1"/>
    <n v="250844"/>
    <n v="163022"/>
    <n v="87822"/>
    <x v="2"/>
    <n v="250844"/>
    <n v="0"/>
    <n v="0"/>
    <n v="1"/>
    <n v="1"/>
    <s v="Yes"/>
    <x v="1"/>
  </r>
  <r>
    <n v="20095"/>
    <d v="2024-03-30T00:00:00"/>
    <x v="1"/>
    <s v="Patna"/>
    <s v="SC_PAT_4"/>
    <x v="2"/>
    <s v="Cayenne"/>
    <s v="SUV"/>
    <x v="0"/>
    <x v="0"/>
    <x v="1"/>
    <x v="0"/>
    <n v="13"/>
    <n v="7"/>
    <x v="0"/>
    <x v="1"/>
    <n v="530472"/>
    <n v="428862"/>
    <n v="101610"/>
    <x v="1"/>
    <n v="530472"/>
    <n v="0"/>
    <n v="0"/>
    <n v="1"/>
    <n v="1"/>
    <s v="Yes"/>
    <x v="0"/>
  </r>
  <r>
    <n v="20096"/>
    <d v="2024-06-12T00:00:00"/>
    <x v="0"/>
    <s v="Bengaluru"/>
    <s v="SC_BEN_4"/>
    <x v="0"/>
    <s v="Macan"/>
    <s v="SUV"/>
    <x v="1"/>
    <x v="0"/>
    <x v="2"/>
    <x v="1"/>
    <n v="15"/>
    <n v="7"/>
    <x v="0"/>
    <x v="1"/>
    <n v="296234"/>
    <n v="224123"/>
    <n v="72111"/>
    <x v="0"/>
    <n v="296234"/>
    <n v="0"/>
    <n v="0"/>
    <n v="1"/>
    <n v="1"/>
    <s v="Yes"/>
    <x v="0"/>
  </r>
  <r>
    <n v="20097"/>
    <d v="2024-03-09T00:00:00"/>
    <x v="1"/>
    <s v="Patna"/>
    <s v="SC_PAT_5"/>
    <x v="1"/>
    <s v="Taycan"/>
    <s v="Sedan"/>
    <x v="0"/>
    <x v="0"/>
    <x v="0"/>
    <x v="1"/>
    <n v="9"/>
    <n v="7"/>
    <x v="0"/>
    <x v="1"/>
    <n v="99493"/>
    <n v="79376"/>
    <n v="20117"/>
    <x v="2"/>
    <n v="99493"/>
    <n v="0"/>
    <n v="0"/>
    <n v="1"/>
    <n v="1"/>
    <s v="Yes"/>
    <x v="1"/>
  </r>
  <r>
    <n v="20098"/>
    <d v="2024-06-24T00:00:00"/>
    <x v="2"/>
    <s v="Noida"/>
    <s v="SC_NOI_4"/>
    <x v="2"/>
    <s v="Taycan"/>
    <s v="Sedan"/>
    <x v="0"/>
    <x v="1"/>
    <x v="0"/>
    <x v="1"/>
    <n v="16"/>
    <n v="7"/>
    <x v="0"/>
    <x v="0"/>
    <n v="120652"/>
    <n v="72002"/>
    <n v="48650"/>
    <x v="0"/>
    <n v="0"/>
    <n v="1"/>
    <n v="0"/>
    <n v="1"/>
    <n v="1"/>
    <s v="Yes"/>
    <x v="0"/>
  </r>
  <r>
    <n v="20099"/>
    <d v="2024-05-16T00:00:00"/>
    <x v="0"/>
    <s v="Chennai"/>
    <s v="SC_CHE_5"/>
    <x v="1"/>
    <s v="Taycan"/>
    <s v="Sedan"/>
    <x v="0"/>
    <x v="2"/>
    <x v="0"/>
    <x v="0"/>
    <n v="23"/>
    <n v="7"/>
    <x v="0"/>
    <x v="0"/>
    <n v="198403"/>
    <n v="134244"/>
    <n v="64159"/>
    <x v="0"/>
    <n v="0"/>
    <n v="1"/>
    <n v="0"/>
    <n v="1"/>
    <n v="1"/>
    <s v="Yes"/>
    <x v="0"/>
  </r>
  <r>
    <n v="20100"/>
    <d v="2024-06-05T00:00:00"/>
    <x v="1"/>
    <s v="Kolkata"/>
    <s v="SC_KOL_1"/>
    <x v="1"/>
    <s v="Taycan"/>
    <s v="Sedan"/>
    <x v="1"/>
    <x v="1"/>
    <x v="2"/>
    <x v="0"/>
    <n v="21"/>
    <n v="7"/>
    <x v="0"/>
    <x v="0"/>
    <n v="510257"/>
    <n v="432482"/>
    <n v="77775"/>
    <x v="0"/>
    <n v="0"/>
    <n v="1"/>
    <n v="0"/>
    <n v="1"/>
    <n v="1"/>
    <s v="Yes"/>
    <x v="0"/>
  </r>
  <r>
    <n v="20101"/>
    <d v="2024-06-02T00:00:00"/>
    <x v="2"/>
    <s v="Gurugram"/>
    <s v="SC_GUR_1"/>
    <x v="0"/>
    <s v="Panamera"/>
    <s v="Sedan"/>
    <x v="1"/>
    <x v="0"/>
    <x v="2"/>
    <x v="0"/>
    <n v="12"/>
    <n v="7"/>
    <x v="0"/>
    <x v="0"/>
    <n v="355447"/>
    <n v="238710"/>
    <n v="116737"/>
    <x v="1"/>
    <n v="0"/>
    <n v="1"/>
    <n v="0"/>
    <n v="1"/>
    <n v="1"/>
    <s v="Yes"/>
    <x v="0"/>
  </r>
  <r>
    <n v="20102"/>
    <d v="2024-06-06T00:00:00"/>
    <x v="2"/>
    <s v="Noida"/>
    <s v="SC_NOI_1"/>
    <x v="1"/>
    <s v="Panamera"/>
    <s v="Sedan"/>
    <x v="1"/>
    <x v="1"/>
    <x v="0"/>
    <x v="1"/>
    <n v="16"/>
    <n v="7"/>
    <x v="0"/>
    <x v="1"/>
    <n v="587621"/>
    <n v="417798"/>
    <n v="169823"/>
    <x v="0"/>
    <n v="587621"/>
    <n v="0"/>
    <n v="0"/>
    <n v="1"/>
    <n v="1"/>
    <s v="Yes"/>
    <x v="0"/>
  </r>
  <r>
    <n v="20103"/>
    <d v="2024-01-27T00:00:00"/>
    <x v="2"/>
    <s v="Noida"/>
    <s v="SC_NOI_2"/>
    <x v="1"/>
    <s v="Chiron"/>
    <s v="Hypercar"/>
    <x v="1"/>
    <x v="4"/>
    <x v="1"/>
    <x v="1"/>
    <n v="5"/>
    <n v="7"/>
    <x v="1"/>
    <x v="1"/>
    <n v="458338"/>
    <n v="332808"/>
    <n v="125530"/>
    <x v="3"/>
    <n v="0"/>
    <n v="0"/>
    <n v="1"/>
    <n v="0"/>
    <n v="1"/>
    <s v="No"/>
    <x v="2"/>
  </r>
  <r>
    <n v="20104"/>
    <d v="2024-04-05T00:00:00"/>
    <x v="2"/>
    <s v="Gurugram"/>
    <s v="SC_GUR_3"/>
    <x v="0"/>
    <s v="Chiron"/>
    <s v="Hypercar"/>
    <x v="0"/>
    <x v="0"/>
    <x v="0"/>
    <x v="1"/>
    <n v="16"/>
    <n v="7"/>
    <x v="0"/>
    <x v="1"/>
    <n v="122363"/>
    <n v="63842"/>
    <n v="58521"/>
    <x v="0"/>
    <n v="122363"/>
    <n v="0"/>
    <n v="0"/>
    <n v="1"/>
    <n v="1"/>
    <s v="Yes"/>
    <x v="0"/>
  </r>
  <r>
    <n v="20105"/>
    <d v="2024-03-16T00:00:00"/>
    <x v="2"/>
    <s v="Noida"/>
    <s v="SC_NOI_1"/>
    <x v="0"/>
    <s v="911"/>
    <s v="Coupe"/>
    <x v="0"/>
    <x v="2"/>
    <x v="1"/>
    <x v="1"/>
    <n v="8"/>
    <n v="7"/>
    <x v="0"/>
    <x v="0"/>
    <n v="231532"/>
    <n v="171208"/>
    <n v="60324"/>
    <x v="2"/>
    <n v="0"/>
    <n v="1"/>
    <n v="0"/>
    <n v="1"/>
    <n v="1"/>
    <s v="Yes"/>
    <x v="1"/>
  </r>
  <r>
    <n v="20106"/>
    <d v="2024-01-28T00:00:00"/>
    <x v="0"/>
    <s v="Chennai"/>
    <s v="SC_CHE_3"/>
    <x v="2"/>
    <s v="911"/>
    <s v="Coupe"/>
    <x v="1"/>
    <x v="4"/>
    <x v="2"/>
    <x v="1"/>
    <n v="11"/>
    <n v="7"/>
    <x v="0"/>
    <x v="1"/>
    <n v="505432"/>
    <n v="307264"/>
    <n v="198168"/>
    <x v="1"/>
    <n v="505432"/>
    <n v="0"/>
    <n v="0"/>
    <n v="1"/>
    <n v="1"/>
    <s v="Yes"/>
    <x v="0"/>
  </r>
  <r>
    <n v="20107"/>
    <d v="2024-04-24T00:00:00"/>
    <x v="3"/>
    <s v="Pune"/>
    <s v="SC_PUN_1"/>
    <x v="1"/>
    <s v="Taycan"/>
    <s v="Sedan"/>
    <x v="1"/>
    <x v="2"/>
    <x v="1"/>
    <x v="0"/>
    <n v="22"/>
    <n v="7"/>
    <x v="1"/>
    <x v="0"/>
    <n v="516801"/>
    <n v="390794"/>
    <n v="126007"/>
    <x v="0"/>
    <n v="0"/>
    <n v="1"/>
    <n v="1"/>
    <n v="0"/>
    <n v="1"/>
    <s v="Yes"/>
    <x v="0"/>
  </r>
  <r>
    <n v="20108"/>
    <d v="2024-05-07T00:00:00"/>
    <x v="1"/>
    <s v="Kolkata"/>
    <s v="SC_KOL_2"/>
    <x v="2"/>
    <s v="Macan"/>
    <s v="SUV"/>
    <x v="0"/>
    <x v="0"/>
    <x v="0"/>
    <x v="0"/>
    <n v="9"/>
    <n v="7"/>
    <x v="0"/>
    <x v="1"/>
    <n v="546513"/>
    <n v="314164"/>
    <n v="232349"/>
    <x v="2"/>
    <n v="546513"/>
    <n v="0"/>
    <n v="0"/>
    <n v="1"/>
    <n v="1"/>
    <s v="Yes"/>
    <x v="1"/>
  </r>
  <r>
    <n v="20109"/>
    <d v="2024-03-08T00:00:00"/>
    <x v="0"/>
    <s v="Hyderabad"/>
    <s v="SC_HYD_5"/>
    <x v="0"/>
    <s v="Cayenne"/>
    <s v="SUV"/>
    <x v="0"/>
    <x v="0"/>
    <x v="0"/>
    <x v="0"/>
    <n v="5"/>
    <n v="7"/>
    <x v="1"/>
    <x v="1"/>
    <n v="108454"/>
    <n v="67951"/>
    <n v="40503"/>
    <x v="3"/>
    <n v="0"/>
    <n v="0"/>
    <n v="1"/>
    <n v="0"/>
    <n v="1"/>
    <s v="No"/>
    <x v="2"/>
  </r>
  <r>
    <n v="20110"/>
    <d v="2024-03-31T00:00:00"/>
    <x v="1"/>
    <s v="Patna"/>
    <s v="SC_PAT_5"/>
    <x v="1"/>
    <s v="Macan"/>
    <s v="SUV"/>
    <x v="1"/>
    <x v="4"/>
    <x v="1"/>
    <x v="0"/>
    <n v="2"/>
    <n v="7"/>
    <x v="1"/>
    <x v="0"/>
    <n v="534028"/>
    <n v="294343"/>
    <n v="239685"/>
    <x v="4"/>
    <n v="0"/>
    <n v="1"/>
    <n v="1"/>
    <n v="0"/>
    <n v="1"/>
    <s v="No"/>
    <x v="2"/>
  </r>
  <r>
    <n v="20111"/>
    <d v="2024-05-06T00:00:00"/>
    <x v="3"/>
    <s v="Pune"/>
    <s v="SC_PUN_3"/>
    <x v="2"/>
    <s v="Taycan"/>
    <s v="Sedan"/>
    <x v="0"/>
    <x v="3"/>
    <x v="1"/>
    <x v="1"/>
    <n v="7"/>
    <n v="7"/>
    <x v="0"/>
    <x v="1"/>
    <n v="516128"/>
    <n v="425738"/>
    <n v="90390"/>
    <x v="2"/>
    <n v="516128"/>
    <n v="0"/>
    <n v="0"/>
    <n v="1"/>
    <n v="1"/>
    <s v="No"/>
    <x v="1"/>
  </r>
  <r>
    <n v="20112"/>
    <d v="2024-01-22T00:00:00"/>
    <x v="0"/>
    <s v="Chennai"/>
    <s v="SC_CHE_3"/>
    <x v="1"/>
    <s v="Panamera"/>
    <s v="Sedan"/>
    <x v="1"/>
    <x v="1"/>
    <x v="0"/>
    <x v="0"/>
    <n v="22"/>
    <n v="7"/>
    <x v="0"/>
    <x v="0"/>
    <n v="512931"/>
    <n v="316794"/>
    <n v="196137"/>
    <x v="0"/>
    <n v="0"/>
    <n v="1"/>
    <n v="0"/>
    <n v="1"/>
    <n v="1"/>
    <s v="Yes"/>
    <x v="0"/>
  </r>
  <r>
    <n v="20113"/>
    <d v="2024-04-17T00:00:00"/>
    <x v="3"/>
    <s v="Ahmedabad"/>
    <s v="SC_AHM_1"/>
    <x v="2"/>
    <s v="Chiron"/>
    <s v="Hypercar"/>
    <x v="0"/>
    <x v="1"/>
    <x v="2"/>
    <x v="1"/>
    <n v="15"/>
    <n v="7"/>
    <x v="1"/>
    <x v="1"/>
    <n v="426607"/>
    <n v="360543"/>
    <n v="66064"/>
    <x v="1"/>
    <n v="0"/>
    <n v="0"/>
    <n v="1"/>
    <n v="0"/>
    <n v="1"/>
    <s v="Yes"/>
    <x v="0"/>
  </r>
  <r>
    <n v="20114"/>
    <d v="2024-06-13T00:00:00"/>
    <x v="1"/>
    <s v="Bhubaneswar"/>
    <s v="SC_BHU_1"/>
    <x v="0"/>
    <s v="911"/>
    <s v="Coupe"/>
    <x v="1"/>
    <x v="1"/>
    <x v="1"/>
    <x v="1"/>
    <n v="5"/>
    <n v="7"/>
    <x v="0"/>
    <x v="1"/>
    <n v="507969"/>
    <n v="402640"/>
    <n v="105329"/>
    <x v="2"/>
    <n v="507969"/>
    <n v="0"/>
    <n v="0"/>
    <n v="1"/>
    <n v="1"/>
    <s v="No"/>
    <x v="1"/>
  </r>
  <r>
    <n v="20115"/>
    <d v="2024-01-13T00:00:00"/>
    <x v="2"/>
    <s v="Gurugram"/>
    <s v="SC_GUR_1"/>
    <x v="2"/>
    <s v="Taycan"/>
    <s v="Sedan"/>
    <x v="1"/>
    <x v="0"/>
    <x v="1"/>
    <x v="0"/>
    <n v="21"/>
    <n v="7"/>
    <x v="0"/>
    <x v="1"/>
    <n v="318359"/>
    <n v="252576"/>
    <n v="65783"/>
    <x v="0"/>
    <n v="318359"/>
    <n v="0"/>
    <n v="0"/>
    <n v="1"/>
    <n v="1"/>
    <s v="Yes"/>
    <x v="0"/>
  </r>
  <r>
    <n v="20116"/>
    <d v="2024-06-10T00:00:00"/>
    <x v="3"/>
    <s v="Mumbai"/>
    <s v="SC_MUM_4"/>
    <x v="1"/>
    <s v="Cayenne"/>
    <s v="SUV"/>
    <x v="0"/>
    <x v="1"/>
    <x v="1"/>
    <x v="1"/>
    <n v="15"/>
    <n v="7"/>
    <x v="1"/>
    <x v="1"/>
    <n v="233905"/>
    <n v="163891"/>
    <n v="70014"/>
    <x v="1"/>
    <n v="0"/>
    <n v="0"/>
    <n v="1"/>
    <n v="0"/>
    <n v="1"/>
    <s v="Yes"/>
    <x v="0"/>
  </r>
  <r>
    <n v="20117"/>
    <d v="2024-06-21T00:00:00"/>
    <x v="3"/>
    <s v="Pune"/>
    <s v="SC_PUN_4"/>
    <x v="2"/>
    <s v="Macan"/>
    <s v="SUV"/>
    <x v="0"/>
    <x v="3"/>
    <x v="2"/>
    <x v="0"/>
    <n v="18"/>
    <n v="7"/>
    <x v="0"/>
    <x v="0"/>
    <n v="225728"/>
    <n v="120108"/>
    <n v="105620"/>
    <x v="0"/>
    <n v="0"/>
    <n v="1"/>
    <n v="0"/>
    <n v="1"/>
    <n v="1"/>
    <s v="Yes"/>
    <x v="0"/>
  </r>
  <r>
    <n v="20118"/>
    <d v="2024-01-06T00:00:00"/>
    <x v="1"/>
    <s v="Bhubaneswar"/>
    <s v="SC_BHU_5"/>
    <x v="0"/>
    <s v="Veyron"/>
    <s v="Hypercar"/>
    <x v="0"/>
    <x v="4"/>
    <x v="0"/>
    <x v="0"/>
    <n v="11"/>
    <n v="7"/>
    <x v="0"/>
    <x v="1"/>
    <n v="229086"/>
    <n v="134235"/>
    <n v="94851"/>
    <x v="1"/>
    <n v="229086"/>
    <n v="0"/>
    <n v="0"/>
    <n v="1"/>
    <n v="1"/>
    <s v="Yes"/>
    <x v="0"/>
  </r>
  <r>
    <n v="20119"/>
    <d v="2024-04-28T00:00:00"/>
    <x v="2"/>
    <s v="Delhi"/>
    <s v="SC_DEL_4"/>
    <x v="2"/>
    <s v="Macan"/>
    <s v="SUV"/>
    <x v="1"/>
    <x v="0"/>
    <x v="0"/>
    <x v="1"/>
    <n v="9"/>
    <n v="7"/>
    <x v="0"/>
    <x v="1"/>
    <n v="504972"/>
    <n v="310326"/>
    <n v="194646"/>
    <x v="2"/>
    <n v="504972"/>
    <n v="0"/>
    <n v="0"/>
    <n v="1"/>
    <n v="1"/>
    <s v="Yes"/>
    <x v="1"/>
  </r>
  <r>
    <n v="20120"/>
    <d v="2024-03-23T00:00:00"/>
    <x v="1"/>
    <s v="Bhubaneswar"/>
    <s v="SC_BHU_4"/>
    <x v="2"/>
    <s v="911"/>
    <s v="Coupe"/>
    <x v="1"/>
    <x v="3"/>
    <x v="0"/>
    <x v="0"/>
    <n v="15"/>
    <n v="7"/>
    <x v="0"/>
    <x v="1"/>
    <n v="165516"/>
    <n v="102550"/>
    <n v="62966"/>
    <x v="0"/>
    <n v="165516"/>
    <n v="0"/>
    <n v="0"/>
    <n v="1"/>
    <n v="1"/>
    <s v="Yes"/>
    <x v="0"/>
  </r>
  <r>
    <n v="20121"/>
    <d v="2024-02-26T00:00:00"/>
    <x v="3"/>
    <s v="Ahmedabad"/>
    <s v="SC_AHM_5"/>
    <x v="2"/>
    <s v="Taycan"/>
    <s v="Sedan"/>
    <x v="0"/>
    <x v="2"/>
    <x v="1"/>
    <x v="1"/>
    <n v="7"/>
    <n v="7"/>
    <x v="0"/>
    <x v="1"/>
    <n v="293423"/>
    <n v="154451"/>
    <n v="138972"/>
    <x v="2"/>
    <n v="293423"/>
    <n v="0"/>
    <n v="0"/>
    <n v="1"/>
    <n v="1"/>
    <s v="No"/>
    <x v="1"/>
  </r>
  <r>
    <n v="20122"/>
    <d v="2024-03-22T00:00:00"/>
    <x v="1"/>
    <s v="Kolkata"/>
    <s v="SC_KOL_5"/>
    <x v="1"/>
    <s v="Veyron"/>
    <s v="Hypercar"/>
    <x v="1"/>
    <x v="1"/>
    <x v="1"/>
    <x v="0"/>
    <n v="20"/>
    <n v="7"/>
    <x v="1"/>
    <x v="1"/>
    <n v="138268"/>
    <n v="110294"/>
    <n v="27974"/>
    <x v="0"/>
    <n v="0"/>
    <n v="0"/>
    <n v="1"/>
    <n v="0"/>
    <n v="1"/>
    <s v="Yes"/>
    <x v="0"/>
  </r>
  <r>
    <n v="20123"/>
    <d v="2024-03-28T00:00:00"/>
    <x v="1"/>
    <s v="Patna"/>
    <s v="SC_PAT_2"/>
    <x v="2"/>
    <s v="Macan"/>
    <s v="SUV"/>
    <x v="0"/>
    <x v="0"/>
    <x v="1"/>
    <x v="1"/>
    <n v="24"/>
    <n v="7"/>
    <x v="0"/>
    <x v="1"/>
    <n v="344663"/>
    <n v="209137"/>
    <n v="135526"/>
    <x v="0"/>
    <n v="344663"/>
    <n v="0"/>
    <n v="0"/>
    <n v="1"/>
    <n v="1"/>
    <s v="Yes"/>
    <x v="0"/>
  </r>
  <r>
    <n v="20124"/>
    <d v="2024-04-05T00:00:00"/>
    <x v="3"/>
    <s v="Pune"/>
    <s v="SC_PUN_3"/>
    <x v="0"/>
    <s v="Chiron"/>
    <s v="Hypercar"/>
    <x v="1"/>
    <x v="1"/>
    <x v="2"/>
    <x v="0"/>
    <n v="19"/>
    <n v="7"/>
    <x v="1"/>
    <x v="0"/>
    <n v="168168"/>
    <n v="106285"/>
    <n v="61883"/>
    <x v="1"/>
    <n v="0"/>
    <n v="1"/>
    <n v="1"/>
    <n v="0"/>
    <n v="1"/>
    <s v="Yes"/>
    <x v="0"/>
  </r>
  <r>
    <n v="20125"/>
    <d v="2024-02-15T00:00:00"/>
    <x v="2"/>
    <s v="Noida"/>
    <s v="SC_NOI_5"/>
    <x v="1"/>
    <s v="Taycan"/>
    <s v="Sedan"/>
    <x v="0"/>
    <x v="4"/>
    <x v="1"/>
    <x v="0"/>
    <n v="3"/>
    <n v="7"/>
    <x v="0"/>
    <x v="1"/>
    <n v="212937"/>
    <n v="180099"/>
    <n v="32838"/>
    <x v="3"/>
    <n v="212937"/>
    <n v="0"/>
    <n v="0"/>
    <n v="1"/>
    <n v="1"/>
    <s v="No"/>
    <x v="2"/>
  </r>
  <r>
    <n v="20126"/>
    <d v="2024-03-06T00:00:00"/>
    <x v="2"/>
    <s v="Delhi"/>
    <s v="SC_DEL_3"/>
    <x v="1"/>
    <s v="911"/>
    <s v="Coupe"/>
    <x v="1"/>
    <x v="1"/>
    <x v="2"/>
    <x v="0"/>
    <n v="21"/>
    <n v="7"/>
    <x v="1"/>
    <x v="1"/>
    <n v="497439"/>
    <n v="413712"/>
    <n v="83727"/>
    <x v="0"/>
    <n v="0"/>
    <n v="0"/>
    <n v="1"/>
    <n v="0"/>
    <n v="1"/>
    <s v="Yes"/>
    <x v="0"/>
  </r>
  <r>
    <n v="20127"/>
    <d v="2024-02-23T00:00:00"/>
    <x v="3"/>
    <s v="Pune"/>
    <s v="SC_PUN_2"/>
    <x v="0"/>
    <s v="Panamera"/>
    <s v="Sedan"/>
    <x v="0"/>
    <x v="4"/>
    <x v="2"/>
    <x v="0"/>
    <n v="18"/>
    <n v="7"/>
    <x v="1"/>
    <x v="1"/>
    <n v="429018"/>
    <n v="267268"/>
    <n v="161750"/>
    <x v="1"/>
    <n v="0"/>
    <n v="0"/>
    <n v="1"/>
    <n v="0"/>
    <n v="1"/>
    <s v="Yes"/>
    <x v="0"/>
  </r>
  <r>
    <n v="20128"/>
    <d v="2024-01-23T00:00:00"/>
    <x v="2"/>
    <s v="Noida"/>
    <s v="SC_NOI_5"/>
    <x v="2"/>
    <s v="Macan"/>
    <s v="SUV"/>
    <x v="0"/>
    <x v="3"/>
    <x v="2"/>
    <x v="1"/>
    <n v="2"/>
    <n v="7"/>
    <x v="1"/>
    <x v="1"/>
    <n v="378734"/>
    <n v="215905"/>
    <n v="162829"/>
    <x v="4"/>
    <n v="0"/>
    <n v="0"/>
    <n v="1"/>
    <n v="0"/>
    <n v="1"/>
    <s v="No"/>
    <x v="2"/>
  </r>
  <r>
    <n v="20129"/>
    <d v="2024-06-09T00:00:00"/>
    <x v="1"/>
    <s v="Patna"/>
    <s v="SC_PAT_5"/>
    <x v="0"/>
    <s v="Chiron"/>
    <s v="Hypercar"/>
    <x v="0"/>
    <x v="4"/>
    <x v="1"/>
    <x v="1"/>
    <n v="2"/>
    <n v="7"/>
    <x v="0"/>
    <x v="1"/>
    <n v="338626"/>
    <n v="171575"/>
    <n v="167051"/>
    <x v="3"/>
    <n v="338626"/>
    <n v="0"/>
    <n v="0"/>
    <n v="1"/>
    <n v="1"/>
    <s v="No"/>
    <x v="2"/>
  </r>
  <r>
    <n v="20130"/>
    <d v="2024-05-06T00:00:00"/>
    <x v="3"/>
    <s v="Pune"/>
    <s v="SC_PUN_1"/>
    <x v="0"/>
    <s v="Veyron"/>
    <s v="Hypercar"/>
    <x v="0"/>
    <x v="3"/>
    <x v="0"/>
    <x v="1"/>
    <n v="18"/>
    <n v="7"/>
    <x v="0"/>
    <x v="0"/>
    <n v="281367"/>
    <n v="167085"/>
    <n v="114282"/>
    <x v="0"/>
    <n v="0"/>
    <n v="1"/>
    <n v="0"/>
    <n v="1"/>
    <n v="1"/>
    <s v="Yes"/>
    <x v="0"/>
  </r>
  <r>
    <n v="20131"/>
    <d v="2024-03-01T00:00:00"/>
    <x v="0"/>
    <s v="Chennai"/>
    <s v="SC_CHE_2"/>
    <x v="1"/>
    <s v="Cayenne"/>
    <s v="SUV"/>
    <x v="1"/>
    <x v="4"/>
    <x v="2"/>
    <x v="1"/>
    <n v="20"/>
    <n v="7"/>
    <x v="1"/>
    <x v="0"/>
    <n v="138627"/>
    <n v="95392"/>
    <n v="43235"/>
    <x v="0"/>
    <n v="0"/>
    <n v="1"/>
    <n v="1"/>
    <n v="0"/>
    <n v="1"/>
    <s v="Yes"/>
    <x v="0"/>
  </r>
  <r>
    <n v="20132"/>
    <d v="2024-06-14T00:00:00"/>
    <x v="3"/>
    <s v="Pune"/>
    <s v="SC_PUN_3"/>
    <x v="2"/>
    <s v="Cayenne"/>
    <s v="SUV"/>
    <x v="1"/>
    <x v="4"/>
    <x v="0"/>
    <x v="0"/>
    <n v="14"/>
    <n v="7"/>
    <x v="0"/>
    <x v="1"/>
    <n v="364837"/>
    <n v="277813"/>
    <n v="87024"/>
    <x v="1"/>
    <n v="364837"/>
    <n v="0"/>
    <n v="0"/>
    <n v="1"/>
    <n v="1"/>
    <s v="Yes"/>
    <x v="0"/>
  </r>
  <r>
    <n v="20133"/>
    <d v="2024-01-19T00:00:00"/>
    <x v="0"/>
    <s v="Bengaluru"/>
    <s v="SC_BEN_5"/>
    <x v="2"/>
    <s v="Panamera"/>
    <s v="Sedan"/>
    <x v="1"/>
    <x v="1"/>
    <x v="2"/>
    <x v="0"/>
    <n v="14"/>
    <n v="7"/>
    <x v="0"/>
    <x v="1"/>
    <n v="541609"/>
    <n v="455442"/>
    <n v="86167"/>
    <x v="1"/>
    <n v="541609"/>
    <n v="0"/>
    <n v="0"/>
    <n v="1"/>
    <n v="1"/>
    <s v="Yes"/>
    <x v="0"/>
  </r>
  <r>
    <n v="20134"/>
    <d v="2024-05-27T00:00:00"/>
    <x v="1"/>
    <s v="Kolkata"/>
    <s v="SC_KOL_1"/>
    <x v="0"/>
    <s v="911"/>
    <s v="Coupe"/>
    <x v="1"/>
    <x v="2"/>
    <x v="2"/>
    <x v="0"/>
    <n v="9"/>
    <n v="7"/>
    <x v="1"/>
    <x v="0"/>
    <n v="540019"/>
    <n v="446404"/>
    <n v="93615"/>
    <x v="3"/>
    <n v="0"/>
    <n v="1"/>
    <n v="1"/>
    <n v="0"/>
    <n v="1"/>
    <s v="Yes"/>
    <x v="2"/>
  </r>
  <r>
    <n v="20135"/>
    <d v="2024-05-04T00:00:00"/>
    <x v="0"/>
    <s v="Chennai"/>
    <s v="SC_CHE_5"/>
    <x v="0"/>
    <s v="Panamera"/>
    <s v="Sedan"/>
    <x v="0"/>
    <x v="1"/>
    <x v="0"/>
    <x v="1"/>
    <n v="13"/>
    <n v="7"/>
    <x v="0"/>
    <x v="1"/>
    <n v="239116"/>
    <n v="132217"/>
    <n v="106899"/>
    <x v="1"/>
    <n v="239116"/>
    <n v="0"/>
    <n v="0"/>
    <n v="1"/>
    <n v="1"/>
    <s v="Yes"/>
    <x v="0"/>
  </r>
  <r>
    <n v="20136"/>
    <d v="2024-05-07T00:00:00"/>
    <x v="2"/>
    <s v="Delhi"/>
    <s v="SC_DEL_2"/>
    <x v="0"/>
    <s v="Chiron"/>
    <s v="Hypercar"/>
    <x v="1"/>
    <x v="1"/>
    <x v="1"/>
    <x v="1"/>
    <n v="14"/>
    <n v="7"/>
    <x v="0"/>
    <x v="1"/>
    <n v="497771"/>
    <n v="300465"/>
    <n v="197306"/>
    <x v="1"/>
    <n v="497771"/>
    <n v="0"/>
    <n v="0"/>
    <n v="1"/>
    <n v="1"/>
    <s v="Yes"/>
    <x v="0"/>
  </r>
  <r>
    <n v="20137"/>
    <d v="2024-01-16T00:00:00"/>
    <x v="2"/>
    <s v="Noida"/>
    <s v="SC_NOI_3"/>
    <x v="2"/>
    <s v="Veyron"/>
    <s v="Hypercar"/>
    <x v="0"/>
    <x v="0"/>
    <x v="0"/>
    <x v="1"/>
    <n v="8"/>
    <n v="7"/>
    <x v="1"/>
    <x v="1"/>
    <n v="302356"/>
    <n v="255039"/>
    <n v="47317"/>
    <x v="3"/>
    <n v="0"/>
    <n v="0"/>
    <n v="1"/>
    <n v="0"/>
    <n v="1"/>
    <s v="Yes"/>
    <x v="2"/>
  </r>
  <r>
    <n v="20138"/>
    <d v="2024-03-27T00:00:00"/>
    <x v="2"/>
    <s v="Noida"/>
    <s v="SC_NOI_5"/>
    <x v="2"/>
    <s v="Panamera"/>
    <s v="Sedan"/>
    <x v="1"/>
    <x v="2"/>
    <x v="1"/>
    <x v="1"/>
    <n v="3"/>
    <n v="7"/>
    <x v="0"/>
    <x v="0"/>
    <n v="501973"/>
    <n v="252112"/>
    <n v="249861"/>
    <x v="3"/>
    <n v="0"/>
    <n v="1"/>
    <n v="0"/>
    <n v="1"/>
    <n v="1"/>
    <s v="No"/>
    <x v="2"/>
  </r>
  <r>
    <n v="20139"/>
    <d v="2024-04-24T00:00:00"/>
    <x v="0"/>
    <s v="Hyderabad"/>
    <s v="SC_HYD_4"/>
    <x v="1"/>
    <s v="Veyron"/>
    <s v="Hypercar"/>
    <x v="1"/>
    <x v="3"/>
    <x v="1"/>
    <x v="0"/>
    <n v="21"/>
    <n v="7"/>
    <x v="1"/>
    <x v="0"/>
    <n v="421654"/>
    <n v="232086"/>
    <n v="189568"/>
    <x v="0"/>
    <n v="0"/>
    <n v="1"/>
    <n v="1"/>
    <n v="0"/>
    <n v="1"/>
    <s v="Yes"/>
    <x v="0"/>
  </r>
  <r>
    <n v="20140"/>
    <d v="2024-03-25T00:00:00"/>
    <x v="2"/>
    <s v="Noida"/>
    <s v="SC_NOI_1"/>
    <x v="2"/>
    <s v="Macan"/>
    <s v="SUV"/>
    <x v="0"/>
    <x v="0"/>
    <x v="1"/>
    <x v="1"/>
    <n v="18"/>
    <n v="7"/>
    <x v="0"/>
    <x v="1"/>
    <n v="228102"/>
    <n v="138024"/>
    <n v="90078"/>
    <x v="0"/>
    <n v="228102"/>
    <n v="0"/>
    <n v="0"/>
    <n v="1"/>
    <n v="1"/>
    <s v="Yes"/>
    <x v="0"/>
  </r>
  <r>
    <n v="20141"/>
    <d v="2024-03-18T00:00:00"/>
    <x v="2"/>
    <s v="Gurugram"/>
    <s v="SC_GUR_3"/>
    <x v="0"/>
    <s v="Veyron"/>
    <s v="Hypercar"/>
    <x v="1"/>
    <x v="4"/>
    <x v="1"/>
    <x v="1"/>
    <n v="20"/>
    <n v="7"/>
    <x v="1"/>
    <x v="0"/>
    <n v="432366"/>
    <n v="311640"/>
    <n v="120726"/>
    <x v="0"/>
    <n v="0"/>
    <n v="1"/>
    <n v="1"/>
    <n v="0"/>
    <n v="1"/>
    <s v="Yes"/>
    <x v="0"/>
  </r>
  <r>
    <n v="20142"/>
    <d v="2024-01-16T00:00:00"/>
    <x v="2"/>
    <s v="Delhi"/>
    <s v="SC_DEL_2"/>
    <x v="0"/>
    <s v="911"/>
    <s v="Coupe"/>
    <x v="0"/>
    <x v="4"/>
    <x v="2"/>
    <x v="1"/>
    <n v="14"/>
    <n v="7"/>
    <x v="1"/>
    <x v="0"/>
    <n v="270932"/>
    <n v="204953"/>
    <n v="65979"/>
    <x v="2"/>
    <n v="0"/>
    <n v="1"/>
    <n v="1"/>
    <n v="0"/>
    <n v="1"/>
    <s v="Yes"/>
    <x v="1"/>
  </r>
  <r>
    <n v="20143"/>
    <d v="2024-03-02T00:00:00"/>
    <x v="3"/>
    <s v="Pune"/>
    <s v="SC_PUN_2"/>
    <x v="1"/>
    <s v="Cayenne"/>
    <s v="SUV"/>
    <x v="0"/>
    <x v="0"/>
    <x v="1"/>
    <x v="0"/>
    <n v="16"/>
    <n v="7"/>
    <x v="1"/>
    <x v="0"/>
    <n v="593780"/>
    <n v="449624"/>
    <n v="144156"/>
    <x v="1"/>
    <n v="0"/>
    <n v="1"/>
    <n v="1"/>
    <n v="0"/>
    <n v="1"/>
    <s v="Yes"/>
    <x v="0"/>
  </r>
  <r>
    <n v="20144"/>
    <d v="2024-06-15T00:00:00"/>
    <x v="2"/>
    <s v="Noida"/>
    <s v="SC_NOI_5"/>
    <x v="0"/>
    <s v="Taycan"/>
    <s v="Sedan"/>
    <x v="1"/>
    <x v="3"/>
    <x v="1"/>
    <x v="1"/>
    <n v="13"/>
    <n v="7"/>
    <x v="1"/>
    <x v="0"/>
    <n v="476538"/>
    <n v="365495"/>
    <n v="111043"/>
    <x v="2"/>
    <n v="0"/>
    <n v="1"/>
    <n v="1"/>
    <n v="0"/>
    <n v="1"/>
    <s v="Yes"/>
    <x v="1"/>
  </r>
  <r>
    <n v="20145"/>
    <d v="2024-01-31T00:00:00"/>
    <x v="2"/>
    <s v="Delhi"/>
    <s v="SC_DEL_1"/>
    <x v="2"/>
    <s v="Veyron"/>
    <s v="Hypercar"/>
    <x v="1"/>
    <x v="2"/>
    <x v="2"/>
    <x v="0"/>
    <n v="6"/>
    <n v="7"/>
    <x v="0"/>
    <x v="0"/>
    <n v="97143"/>
    <n v="81461"/>
    <n v="15682"/>
    <x v="2"/>
    <n v="0"/>
    <n v="1"/>
    <n v="0"/>
    <n v="1"/>
    <n v="1"/>
    <s v="No"/>
    <x v="1"/>
  </r>
  <r>
    <n v="20146"/>
    <d v="2024-04-14T00:00:00"/>
    <x v="3"/>
    <s v="Mumbai"/>
    <s v="SC_MUM_5"/>
    <x v="2"/>
    <s v="Macan"/>
    <s v="SUV"/>
    <x v="0"/>
    <x v="0"/>
    <x v="0"/>
    <x v="0"/>
    <n v="19"/>
    <n v="7"/>
    <x v="0"/>
    <x v="1"/>
    <n v="452481"/>
    <n v="296343"/>
    <n v="156138"/>
    <x v="0"/>
    <n v="452481"/>
    <n v="0"/>
    <n v="0"/>
    <n v="1"/>
    <n v="1"/>
    <s v="Yes"/>
    <x v="0"/>
  </r>
  <r>
    <n v="20147"/>
    <d v="2024-06-11T00:00:00"/>
    <x v="2"/>
    <s v="Delhi"/>
    <s v="SC_DEL_5"/>
    <x v="1"/>
    <s v="Cayenne"/>
    <s v="SUV"/>
    <x v="0"/>
    <x v="0"/>
    <x v="2"/>
    <x v="0"/>
    <n v="23"/>
    <n v="7"/>
    <x v="1"/>
    <x v="1"/>
    <n v="118894"/>
    <n v="95109"/>
    <n v="23785"/>
    <x v="0"/>
    <n v="0"/>
    <n v="0"/>
    <n v="1"/>
    <n v="0"/>
    <n v="1"/>
    <s v="Yes"/>
    <x v="0"/>
  </r>
  <r>
    <n v="20148"/>
    <d v="2024-06-24T00:00:00"/>
    <x v="2"/>
    <s v="Noida"/>
    <s v="SC_NOI_5"/>
    <x v="1"/>
    <s v="Panamera"/>
    <s v="Sedan"/>
    <x v="0"/>
    <x v="3"/>
    <x v="0"/>
    <x v="1"/>
    <n v="15"/>
    <n v="7"/>
    <x v="0"/>
    <x v="1"/>
    <n v="305979"/>
    <n v="166342"/>
    <n v="139637"/>
    <x v="0"/>
    <n v="305979"/>
    <n v="0"/>
    <n v="0"/>
    <n v="1"/>
    <n v="1"/>
    <s v="Yes"/>
    <x v="0"/>
  </r>
  <r>
    <n v="20149"/>
    <d v="2024-06-08T00:00:00"/>
    <x v="1"/>
    <s v="Bhubaneswar"/>
    <s v="SC_BHU_1"/>
    <x v="2"/>
    <s v="Veyron"/>
    <s v="Hypercar"/>
    <x v="1"/>
    <x v="0"/>
    <x v="2"/>
    <x v="0"/>
    <n v="10"/>
    <n v="7"/>
    <x v="1"/>
    <x v="0"/>
    <n v="410402"/>
    <n v="216844"/>
    <n v="193558"/>
    <x v="2"/>
    <n v="0"/>
    <n v="1"/>
    <n v="1"/>
    <n v="0"/>
    <n v="1"/>
    <s v="Yes"/>
    <x v="1"/>
  </r>
  <r>
    <n v="20150"/>
    <d v="2024-04-17T00:00:00"/>
    <x v="3"/>
    <s v="Pune"/>
    <s v="SC_PUN_1"/>
    <x v="0"/>
    <s v="Veyron"/>
    <s v="Hypercar"/>
    <x v="0"/>
    <x v="3"/>
    <x v="1"/>
    <x v="1"/>
    <n v="12"/>
    <n v="7"/>
    <x v="1"/>
    <x v="0"/>
    <n v="164629"/>
    <n v="101210"/>
    <n v="63419"/>
    <x v="2"/>
    <n v="0"/>
    <n v="1"/>
    <n v="1"/>
    <n v="0"/>
    <n v="1"/>
    <s v="Yes"/>
    <x v="1"/>
  </r>
  <r>
    <n v="20151"/>
    <d v="2024-05-22T00:00:00"/>
    <x v="1"/>
    <s v="Kolkata"/>
    <s v="SC_KOL_3"/>
    <x v="2"/>
    <s v="Veyron"/>
    <s v="Hypercar"/>
    <x v="1"/>
    <x v="2"/>
    <x v="2"/>
    <x v="0"/>
    <n v="3"/>
    <n v="7"/>
    <x v="0"/>
    <x v="0"/>
    <n v="421414"/>
    <n v="229735"/>
    <n v="191679"/>
    <x v="3"/>
    <n v="0"/>
    <n v="1"/>
    <n v="0"/>
    <n v="1"/>
    <n v="1"/>
    <s v="No"/>
    <x v="2"/>
  </r>
  <r>
    <n v="20152"/>
    <d v="2024-02-09T00:00:00"/>
    <x v="0"/>
    <s v="Hyderabad"/>
    <s v="SC_HYD_3"/>
    <x v="1"/>
    <s v="Veyron"/>
    <s v="Hypercar"/>
    <x v="0"/>
    <x v="0"/>
    <x v="0"/>
    <x v="1"/>
    <n v="21"/>
    <n v="7"/>
    <x v="0"/>
    <x v="0"/>
    <n v="236062"/>
    <n v="195736"/>
    <n v="40326"/>
    <x v="0"/>
    <n v="0"/>
    <n v="1"/>
    <n v="0"/>
    <n v="1"/>
    <n v="1"/>
    <s v="Yes"/>
    <x v="0"/>
  </r>
  <r>
    <n v="20153"/>
    <d v="2024-03-25T00:00:00"/>
    <x v="0"/>
    <s v="Hyderabad"/>
    <s v="SC_HYD_1"/>
    <x v="0"/>
    <s v="Veyron"/>
    <s v="Hypercar"/>
    <x v="0"/>
    <x v="4"/>
    <x v="0"/>
    <x v="1"/>
    <n v="13"/>
    <n v="7"/>
    <x v="0"/>
    <x v="0"/>
    <n v="295712"/>
    <n v="176624"/>
    <n v="119088"/>
    <x v="1"/>
    <n v="0"/>
    <n v="1"/>
    <n v="0"/>
    <n v="1"/>
    <n v="1"/>
    <s v="Yes"/>
    <x v="0"/>
  </r>
  <r>
    <n v="20154"/>
    <d v="2024-01-11T00:00:00"/>
    <x v="0"/>
    <s v="Hyderabad"/>
    <s v="SC_HYD_2"/>
    <x v="0"/>
    <s v="Chiron"/>
    <s v="Hypercar"/>
    <x v="0"/>
    <x v="3"/>
    <x v="1"/>
    <x v="1"/>
    <n v="14"/>
    <n v="7"/>
    <x v="1"/>
    <x v="1"/>
    <n v="199349"/>
    <n v="134103"/>
    <n v="65246"/>
    <x v="2"/>
    <n v="0"/>
    <n v="0"/>
    <n v="1"/>
    <n v="0"/>
    <n v="1"/>
    <s v="Yes"/>
    <x v="1"/>
  </r>
  <r>
    <n v="20155"/>
    <d v="2024-05-28T00:00:00"/>
    <x v="1"/>
    <s v="Kolkata"/>
    <s v="SC_KOL_1"/>
    <x v="0"/>
    <s v="Taycan"/>
    <s v="Sedan"/>
    <x v="0"/>
    <x v="2"/>
    <x v="2"/>
    <x v="0"/>
    <n v="14"/>
    <n v="7"/>
    <x v="0"/>
    <x v="0"/>
    <n v="536038"/>
    <n v="321113"/>
    <n v="214925"/>
    <x v="1"/>
    <n v="0"/>
    <n v="1"/>
    <n v="0"/>
    <n v="1"/>
    <n v="1"/>
    <s v="Yes"/>
    <x v="0"/>
  </r>
  <r>
    <n v="20156"/>
    <d v="2024-05-19T00:00:00"/>
    <x v="2"/>
    <s v="Gurugram"/>
    <s v="SC_GUR_5"/>
    <x v="1"/>
    <s v="Cayenne"/>
    <s v="SUV"/>
    <x v="1"/>
    <x v="1"/>
    <x v="2"/>
    <x v="0"/>
    <n v="15"/>
    <n v="7"/>
    <x v="0"/>
    <x v="0"/>
    <n v="212431"/>
    <n v="140418"/>
    <n v="72013"/>
    <x v="0"/>
    <n v="0"/>
    <n v="1"/>
    <n v="0"/>
    <n v="1"/>
    <n v="1"/>
    <s v="Yes"/>
    <x v="0"/>
  </r>
  <r>
    <n v="20157"/>
    <d v="2024-01-07T00:00:00"/>
    <x v="3"/>
    <s v="Pune"/>
    <s v="SC_PUN_1"/>
    <x v="0"/>
    <s v="Veyron"/>
    <s v="Hypercar"/>
    <x v="1"/>
    <x v="3"/>
    <x v="1"/>
    <x v="0"/>
    <n v="15"/>
    <n v="7"/>
    <x v="0"/>
    <x v="1"/>
    <n v="558518"/>
    <n v="408380"/>
    <n v="150138"/>
    <x v="0"/>
    <n v="558518"/>
    <n v="0"/>
    <n v="0"/>
    <n v="1"/>
    <n v="1"/>
    <s v="Yes"/>
    <x v="0"/>
  </r>
  <r>
    <n v="20158"/>
    <d v="2024-03-03T00:00:00"/>
    <x v="1"/>
    <s v="Kolkata"/>
    <s v="SC_KOL_2"/>
    <x v="0"/>
    <s v="Taycan"/>
    <s v="Sedan"/>
    <x v="0"/>
    <x v="2"/>
    <x v="0"/>
    <x v="0"/>
    <n v="11"/>
    <n v="7"/>
    <x v="0"/>
    <x v="0"/>
    <n v="336262"/>
    <n v="169109"/>
    <n v="167153"/>
    <x v="1"/>
    <n v="0"/>
    <n v="1"/>
    <n v="0"/>
    <n v="1"/>
    <n v="1"/>
    <s v="Yes"/>
    <x v="0"/>
  </r>
  <r>
    <n v="20159"/>
    <d v="2024-02-15T00:00:00"/>
    <x v="1"/>
    <s v="Kolkata"/>
    <s v="SC_KOL_3"/>
    <x v="0"/>
    <s v="Taycan"/>
    <s v="Sedan"/>
    <x v="0"/>
    <x v="1"/>
    <x v="1"/>
    <x v="1"/>
    <n v="3"/>
    <n v="7"/>
    <x v="0"/>
    <x v="0"/>
    <n v="269934"/>
    <n v="180435"/>
    <n v="89499"/>
    <x v="3"/>
    <n v="0"/>
    <n v="1"/>
    <n v="0"/>
    <n v="1"/>
    <n v="1"/>
    <s v="No"/>
    <x v="2"/>
  </r>
  <r>
    <n v="20160"/>
    <d v="2024-05-11T00:00:00"/>
    <x v="0"/>
    <s v="Bengaluru"/>
    <s v="SC_BEN_3"/>
    <x v="0"/>
    <s v="Cayenne"/>
    <s v="SUV"/>
    <x v="1"/>
    <x v="2"/>
    <x v="2"/>
    <x v="0"/>
    <n v="14"/>
    <n v="7"/>
    <x v="0"/>
    <x v="1"/>
    <n v="440308"/>
    <n v="338514"/>
    <n v="101794"/>
    <x v="1"/>
    <n v="440308"/>
    <n v="0"/>
    <n v="0"/>
    <n v="1"/>
    <n v="1"/>
    <s v="Yes"/>
    <x v="0"/>
  </r>
  <r>
    <n v="20161"/>
    <d v="2024-02-19T00:00:00"/>
    <x v="2"/>
    <s v="Delhi"/>
    <s v="SC_DEL_5"/>
    <x v="2"/>
    <s v="Taycan"/>
    <s v="Sedan"/>
    <x v="0"/>
    <x v="1"/>
    <x v="0"/>
    <x v="1"/>
    <n v="23"/>
    <n v="7"/>
    <x v="0"/>
    <x v="1"/>
    <n v="334314"/>
    <n v="203989"/>
    <n v="130325"/>
    <x v="0"/>
    <n v="334314"/>
    <n v="0"/>
    <n v="0"/>
    <n v="1"/>
    <n v="1"/>
    <s v="Yes"/>
    <x v="0"/>
  </r>
  <r>
    <n v="20162"/>
    <d v="2024-05-17T00:00:00"/>
    <x v="3"/>
    <s v="Ahmedabad"/>
    <s v="SC_AHM_2"/>
    <x v="1"/>
    <s v="Panamera"/>
    <s v="Sedan"/>
    <x v="0"/>
    <x v="4"/>
    <x v="2"/>
    <x v="0"/>
    <n v="15"/>
    <n v="7"/>
    <x v="1"/>
    <x v="1"/>
    <n v="466465"/>
    <n v="234452"/>
    <n v="232013"/>
    <x v="1"/>
    <n v="0"/>
    <n v="0"/>
    <n v="1"/>
    <n v="0"/>
    <n v="1"/>
    <s v="Yes"/>
    <x v="0"/>
  </r>
  <r>
    <n v="20163"/>
    <d v="2024-06-28T00:00:00"/>
    <x v="3"/>
    <s v="Mumbai"/>
    <s v="SC_MUM_5"/>
    <x v="0"/>
    <s v="Chiron"/>
    <s v="Hypercar"/>
    <x v="0"/>
    <x v="4"/>
    <x v="2"/>
    <x v="0"/>
    <n v="21"/>
    <n v="7"/>
    <x v="1"/>
    <x v="1"/>
    <n v="584420"/>
    <n v="370520"/>
    <n v="213900"/>
    <x v="0"/>
    <n v="0"/>
    <n v="0"/>
    <n v="1"/>
    <n v="0"/>
    <n v="1"/>
    <s v="Yes"/>
    <x v="0"/>
  </r>
  <r>
    <n v="20164"/>
    <d v="2024-06-19T00:00:00"/>
    <x v="0"/>
    <s v="Chennai"/>
    <s v="SC_CHE_4"/>
    <x v="2"/>
    <s v="Taycan"/>
    <s v="Sedan"/>
    <x v="0"/>
    <x v="1"/>
    <x v="2"/>
    <x v="1"/>
    <n v="17"/>
    <n v="7"/>
    <x v="0"/>
    <x v="0"/>
    <n v="110554"/>
    <n v="55684"/>
    <n v="54870"/>
    <x v="0"/>
    <n v="0"/>
    <n v="1"/>
    <n v="0"/>
    <n v="1"/>
    <n v="1"/>
    <s v="Yes"/>
    <x v="0"/>
  </r>
  <r>
    <n v="20165"/>
    <d v="2024-01-18T00:00:00"/>
    <x v="2"/>
    <s v="Gurugram"/>
    <s v="SC_GUR_4"/>
    <x v="0"/>
    <s v="Taycan"/>
    <s v="Sedan"/>
    <x v="0"/>
    <x v="2"/>
    <x v="1"/>
    <x v="0"/>
    <n v="10"/>
    <n v="7"/>
    <x v="0"/>
    <x v="1"/>
    <n v="195476"/>
    <n v="149943"/>
    <n v="45533"/>
    <x v="1"/>
    <n v="195476"/>
    <n v="0"/>
    <n v="0"/>
    <n v="1"/>
    <n v="1"/>
    <s v="Yes"/>
    <x v="0"/>
  </r>
  <r>
    <n v="20166"/>
    <d v="2024-02-06T00:00:00"/>
    <x v="3"/>
    <s v="Pune"/>
    <s v="SC_PUN_5"/>
    <x v="0"/>
    <s v="Cayenne"/>
    <s v="SUV"/>
    <x v="1"/>
    <x v="1"/>
    <x v="1"/>
    <x v="1"/>
    <n v="21"/>
    <n v="7"/>
    <x v="0"/>
    <x v="1"/>
    <n v="447817"/>
    <n v="367158"/>
    <n v="80659"/>
    <x v="0"/>
    <n v="447817"/>
    <n v="0"/>
    <n v="0"/>
    <n v="1"/>
    <n v="1"/>
    <s v="Yes"/>
    <x v="0"/>
  </r>
  <r>
    <n v="20167"/>
    <d v="2024-03-30T00:00:00"/>
    <x v="3"/>
    <s v="Mumbai"/>
    <s v="SC_MUM_4"/>
    <x v="1"/>
    <s v="911"/>
    <s v="Coupe"/>
    <x v="0"/>
    <x v="2"/>
    <x v="2"/>
    <x v="1"/>
    <n v="23"/>
    <n v="7"/>
    <x v="1"/>
    <x v="1"/>
    <n v="174511"/>
    <n v="102266"/>
    <n v="72245"/>
    <x v="0"/>
    <n v="0"/>
    <n v="0"/>
    <n v="1"/>
    <n v="0"/>
    <n v="1"/>
    <s v="Yes"/>
    <x v="0"/>
  </r>
  <r>
    <n v="20168"/>
    <d v="2024-06-07T00:00:00"/>
    <x v="2"/>
    <s v="Noida"/>
    <s v="SC_NOI_3"/>
    <x v="2"/>
    <s v="Veyron"/>
    <s v="Hypercar"/>
    <x v="0"/>
    <x v="2"/>
    <x v="2"/>
    <x v="0"/>
    <n v="24"/>
    <n v="7"/>
    <x v="0"/>
    <x v="1"/>
    <n v="174815"/>
    <n v="146609"/>
    <n v="28206"/>
    <x v="0"/>
    <n v="174815"/>
    <n v="0"/>
    <n v="0"/>
    <n v="1"/>
    <n v="1"/>
    <s v="Yes"/>
    <x v="0"/>
  </r>
  <r>
    <n v="20169"/>
    <d v="2024-05-27T00:00:00"/>
    <x v="2"/>
    <s v="Gurugram"/>
    <s v="SC_GUR_3"/>
    <x v="1"/>
    <s v="Veyron"/>
    <s v="Hypercar"/>
    <x v="0"/>
    <x v="1"/>
    <x v="2"/>
    <x v="1"/>
    <n v="21"/>
    <n v="7"/>
    <x v="0"/>
    <x v="0"/>
    <n v="487592"/>
    <n v="394853"/>
    <n v="92739"/>
    <x v="0"/>
    <n v="0"/>
    <n v="1"/>
    <n v="0"/>
    <n v="1"/>
    <n v="1"/>
    <s v="Yes"/>
    <x v="0"/>
  </r>
  <r>
    <n v="20170"/>
    <d v="2024-05-07T00:00:00"/>
    <x v="0"/>
    <s v="Chennai"/>
    <s v="SC_CHE_1"/>
    <x v="0"/>
    <s v="Panamera"/>
    <s v="Sedan"/>
    <x v="1"/>
    <x v="2"/>
    <x v="1"/>
    <x v="0"/>
    <n v="19"/>
    <n v="7"/>
    <x v="1"/>
    <x v="1"/>
    <n v="598626"/>
    <n v="309354"/>
    <n v="289272"/>
    <x v="1"/>
    <n v="0"/>
    <n v="0"/>
    <n v="1"/>
    <n v="0"/>
    <n v="1"/>
    <s v="Yes"/>
    <x v="0"/>
  </r>
  <r>
    <n v="20171"/>
    <d v="2024-03-17T00:00:00"/>
    <x v="1"/>
    <s v="Bhubaneswar"/>
    <s v="SC_BHU_2"/>
    <x v="1"/>
    <s v="911"/>
    <s v="Coupe"/>
    <x v="0"/>
    <x v="3"/>
    <x v="0"/>
    <x v="0"/>
    <n v="4"/>
    <n v="7"/>
    <x v="1"/>
    <x v="0"/>
    <n v="533147"/>
    <n v="440729"/>
    <n v="92418"/>
    <x v="4"/>
    <n v="0"/>
    <n v="1"/>
    <n v="1"/>
    <n v="0"/>
    <n v="1"/>
    <s v="No"/>
    <x v="2"/>
  </r>
  <r>
    <n v="20172"/>
    <d v="2024-04-06T00:00:00"/>
    <x v="0"/>
    <s v="Chennai"/>
    <s v="SC_CHE_3"/>
    <x v="1"/>
    <s v="Cayenne"/>
    <s v="SUV"/>
    <x v="1"/>
    <x v="1"/>
    <x v="2"/>
    <x v="1"/>
    <n v="4"/>
    <n v="7"/>
    <x v="0"/>
    <x v="0"/>
    <n v="302373"/>
    <n v="227469"/>
    <n v="74904"/>
    <x v="3"/>
    <n v="0"/>
    <n v="1"/>
    <n v="0"/>
    <n v="1"/>
    <n v="1"/>
    <s v="No"/>
    <x v="2"/>
  </r>
  <r>
    <n v="20173"/>
    <d v="2024-03-04T00:00:00"/>
    <x v="1"/>
    <s v="Patna"/>
    <s v="SC_PAT_4"/>
    <x v="2"/>
    <s v="Macan"/>
    <s v="SUV"/>
    <x v="1"/>
    <x v="4"/>
    <x v="0"/>
    <x v="1"/>
    <n v="8"/>
    <n v="7"/>
    <x v="1"/>
    <x v="0"/>
    <n v="275720"/>
    <n v="198545"/>
    <n v="77175"/>
    <x v="3"/>
    <n v="0"/>
    <n v="1"/>
    <n v="1"/>
    <n v="0"/>
    <n v="1"/>
    <s v="Yes"/>
    <x v="2"/>
  </r>
  <r>
    <n v="20174"/>
    <d v="2024-03-26T00:00:00"/>
    <x v="1"/>
    <s v="Kolkata"/>
    <s v="SC_KOL_5"/>
    <x v="0"/>
    <s v="Macan"/>
    <s v="SUV"/>
    <x v="0"/>
    <x v="4"/>
    <x v="2"/>
    <x v="0"/>
    <n v="23"/>
    <n v="7"/>
    <x v="1"/>
    <x v="1"/>
    <n v="393311"/>
    <n v="327695"/>
    <n v="65616"/>
    <x v="0"/>
    <n v="0"/>
    <n v="0"/>
    <n v="1"/>
    <n v="0"/>
    <n v="1"/>
    <s v="Yes"/>
    <x v="0"/>
  </r>
  <r>
    <n v="20175"/>
    <d v="2024-02-23T00:00:00"/>
    <x v="0"/>
    <s v="Hyderabad"/>
    <s v="SC_HYD_4"/>
    <x v="0"/>
    <s v="Taycan"/>
    <s v="Sedan"/>
    <x v="1"/>
    <x v="4"/>
    <x v="2"/>
    <x v="0"/>
    <n v="17"/>
    <n v="7"/>
    <x v="0"/>
    <x v="0"/>
    <n v="129224"/>
    <n v="102105"/>
    <n v="27119"/>
    <x v="0"/>
    <n v="0"/>
    <n v="1"/>
    <n v="0"/>
    <n v="1"/>
    <n v="1"/>
    <s v="Yes"/>
    <x v="0"/>
  </r>
  <r>
    <n v="20176"/>
    <d v="2024-04-15T00:00:00"/>
    <x v="1"/>
    <s v="Kolkata"/>
    <s v="SC_KOL_2"/>
    <x v="1"/>
    <s v="Cayenne"/>
    <s v="SUV"/>
    <x v="0"/>
    <x v="3"/>
    <x v="2"/>
    <x v="0"/>
    <n v="9"/>
    <n v="7"/>
    <x v="0"/>
    <x v="0"/>
    <n v="564255"/>
    <n v="411319"/>
    <n v="152936"/>
    <x v="2"/>
    <n v="0"/>
    <n v="1"/>
    <n v="0"/>
    <n v="1"/>
    <n v="1"/>
    <s v="Yes"/>
    <x v="1"/>
  </r>
  <r>
    <n v="20177"/>
    <d v="2024-02-26T00:00:00"/>
    <x v="0"/>
    <s v="Bengaluru"/>
    <s v="SC_BEN_1"/>
    <x v="0"/>
    <s v="Cayenne"/>
    <s v="SUV"/>
    <x v="0"/>
    <x v="4"/>
    <x v="1"/>
    <x v="0"/>
    <n v="25"/>
    <n v="7"/>
    <x v="0"/>
    <x v="1"/>
    <n v="305509"/>
    <n v="169491"/>
    <n v="136018"/>
    <x v="0"/>
    <n v="305509"/>
    <n v="0"/>
    <n v="0"/>
    <n v="1"/>
    <n v="1"/>
    <s v="Yes"/>
    <x v="0"/>
  </r>
  <r>
    <n v="20178"/>
    <d v="2024-06-13T00:00:00"/>
    <x v="0"/>
    <s v="Hyderabad"/>
    <s v="SC_HYD_5"/>
    <x v="2"/>
    <s v="Veyron"/>
    <s v="Hypercar"/>
    <x v="1"/>
    <x v="4"/>
    <x v="0"/>
    <x v="0"/>
    <n v="5"/>
    <n v="7"/>
    <x v="0"/>
    <x v="0"/>
    <n v="537484"/>
    <n v="454610"/>
    <n v="82874"/>
    <x v="2"/>
    <n v="0"/>
    <n v="1"/>
    <n v="0"/>
    <n v="1"/>
    <n v="1"/>
    <s v="No"/>
    <x v="1"/>
  </r>
  <r>
    <n v="20179"/>
    <d v="2024-03-11T00:00:00"/>
    <x v="2"/>
    <s v="Noida"/>
    <s v="SC_NOI_2"/>
    <x v="0"/>
    <s v="Taycan"/>
    <s v="Sedan"/>
    <x v="1"/>
    <x v="3"/>
    <x v="0"/>
    <x v="1"/>
    <n v="13"/>
    <n v="7"/>
    <x v="0"/>
    <x v="1"/>
    <n v="274313"/>
    <n v="197103"/>
    <n v="77210"/>
    <x v="1"/>
    <n v="274313"/>
    <n v="0"/>
    <n v="0"/>
    <n v="1"/>
    <n v="1"/>
    <s v="Yes"/>
    <x v="0"/>
  </r>
  <r>
    <n v="20180"/>
    <d v="2024-06-20T00:00:00"/>
    <x v="0"/>
    <s v="Hyderabad"/>
    <s v="SC_HYD_4"/>
    <x v="2"/>
    <s v="Chiron"/>
    <s v="Hypercar"/>
    <x v="0"/>
    <x v="2"/>
    <x v="2"/>
    <x v="1"/>
    <n v="12"/>
    <n v="7"/>
    <x v="1"/>
    <x v="0"/>
    <n v="134730"/>
    <n v="73570"/>
    <n v="61160"/>
    <x v="2"/>
    <n v="0"/>
    <n v="1"/>
    <n v="1"/>
    <n v="0"/>
    <n v="1"/>
    <s v="Yes"/>
    <x v="1"/>
  </r>
  <r>
    <n v="20181"/>
    <d v="2024-06-27T00:00:00"/>
    <x v="2"/>
    <s v="Noida"/>
    <s v="SC_NOI_4"/>
    <x v="1"/>
    <s v="Macan"/>
    <s v="SUV"/>
    <x v="1"/>
    <x v="1"/>
    <x v="1"/>
    <x v="0"/>
    <n v="9"/>
    <n v="7"/>
    <x v="0"/>
    <x v="1"/>
    <n v="118625"/>
    <n v="83916"/>
    <n v="34709"/>
    <x v="2"/>
    <n v="118625"/>
    <n v="0"/>
    <n v="0"/>
    <n v="1"/>
    <n v="1"/>
    <s v="Yes"/>
    <x v="1"/>
  </r>
  <r>
    <n v="20182"/>
    <d v="2024-02-29T00:00:00"/>
    <x v="1"/>
    <s v="Patna"/>
    <s v="SC_PAT_3"/>
    <x v="2"/>
    <s v="Chiron"/>
    <s v="Hypercar"/>
    <x v="1"/>
    <x v="3"/>
    <x v="0"/>
    <x v="0"/>
    <n v="9"/>
    <n v="7"/>
    <x v="1"/>
    <x v="1"/>
    <n v="187493"/>
    <n v="95485"/>
    <n v="92008"/>
    <x v="3"/>
    <n v="0"/>
    <n v="0"/>
    <n v="1"/>
    <n v="0"/>
    <n v="1"/>
    <s v="Yes"/>
    <x v="2"/>
  </r>
  <r>
    <n v="20183"/>
    <d v="2024-05-04T00:00:00"/>
    <x v="1"/>
    <s v="Bhubaneswar"/>
    <s v="SC_BHU_4"/>
    <x v="0"/>
    <s v="911"/>
    <s v="Coupe"/>
    <x v="1"/>
    <x v="0"/>
    <x v="0"/>
    <x v="1"/>
    <n v="10"/>
    <n v="7"/>
    <x v="1"/>
    <x v="0"/>
    <n v="412533"/>
    <n v="257519"/>
    <n v="155014"/>
    <x v="2"/>
    <n v="0"/>
    <n v="1"/>
    <n v="1"/>
    <n v="0"/>
    <n v="1"/>
    <s v="Yes"/>
    <x v="1"/>
  </r>
  <r>
    <n v="20184"/>
    <d v="2024-03-21T00:00:00"/>
    <x v="0"/>
    <s v="Chennai"/>
    <s v="SC_CHE_4"/>
    <x v="1"/>
    <s v="Cayenne"/>
    <s v="SUV"/>
    <x v="1"/>
    <x v="4"/>
    <x v="2"/>
    <x v="1"/>
    <n v="4"/>
    <n v="7"/>
    <x v="0"/>
    <x v="0"/>
    <n v="342195"/>
    <n v="253002"/>
    <n v="89193"/>
    <x v="3"/>
    <n v="0"/>
    <n v="1"/>
    <n v="0"/>
    <n v="1"/>
    <n v="1"/>
    <s v="No"/>
    <x v="2"/>
  </r>
  <r>
    <n v="20185"/>
    <d v="2024-06-10T00:00:00"/>
    <x v="3"/>
    <s v="Pune"/>
    <s v="SC_PUN_3"/>
    <x v="2"/>
    <s v="911"/>
    <s v="Coupe"/>
    <x v="0"/>
    <x v="0"/>
    <x v="2"/>
    <x v="0"/>
    <n v="25"/>
    <n v="7"/>
    <x v="1"/>
    <x v="1"/>
    <n v="115790"/>
    <n v="89804"/>
    <n v="25986"/>
    <x v="0"/>
    <n v="0"/>
    <n v="0"/>
    <n v="1"/>
    <n v="0"/>
    <n v="1"/>
    <s v="Yes"/>
    <x v="0"/>
  </r>
  <r>
    <n v="20186"/>
    <d v="2024-02-18T00:00:00"/>
    <x v="3"/>
    <s v="Ahmedabad"/>
    <s v="SC_AHM_1"/>
    <x v="0"/>
    <s v="Taycan"/>
    <s v="Sedan"/>
    <x v="0"/>
    <x v="2"/>
    <x v="2"/>
    <x v="1"/>
    <n v="6"/>
    <n v="7"/>
    <x v="1"/>
    <x v="1"/>
    <n v="136573"/>
    <n v="111456"/>
    <n v="25117"/>
    <x v="3"/>
    <n v="0"/>
    <n v="0"/>
    <n v="1"/>
    <n v="0"/>
    <n v="1"/>
    <s v="No"/>
    <x v="2"/>
  </r>
  <r>
    <n v="20187"/>
    <d v="2024-01-17T00:00:00"/>
    <x v="0"/>
    <s v="Chennai"/>
    <s v="SC_CHE_4"/>
    <x v="1"/>
    <s v="Macan"/>
    <s v="SUV"/>
    <x v="0"/>
    <x v="1"/>
    <x v="2"/>
    <x v="1"/>
    <n v="8"/>
    <n v="7"/>
    <x v="0"/>
    <x v="1"/>
    <n v="179779"/>
    <n v="107206"/>
    <n v="72573"/>
    <x v="2"/>
    <n v="179779"/>
    <n v="0"/>
    <n v="0"/>
    <n v="1"/>
    <n v="1"/>
    <s v="Yes"/>
    <x v="1"/>
  </r>
  <r>
    <n v="20188"/>
    <d v="2024-04-08T00:00:00"/>
    <x v="2"/>
    <s v="Noida"/>
    <s v="SC_NOI_3"/>
    <x v="0"/>
    <s v="Veyron"/>
    <s v="Hypercar"/>
    <x v="0"/>
    <x v="2"/>
    <x v="1"/>
    <x v="0"/>
    <n v="4"/>
    <n v="7"/>
    <x v="0"/>
    <x v="0"/>
    <n v="250410"/>
    <n v="160615"/>
    <n v="89795"/>
    <x v="3"/>
    <n v="0"/>
    <n v="1"/>
    <n v="0"/>
    <n v="1"/>
    <n v="1"/>
    <s v="No"/>
    <x v="2"/>
  </r>
  <r>
    <n v="20189"/>
    <d v="2024-03-29T00:00:00"/>
    <x v="3"/>
    <s v="Ahmedabad"/>
    <s v="SC_AHM_4"/>
    <x v="0"/>
    <s v="911"/>
    <s v="Coupe"/>
    <x v="0"/>
    <x v="2"/>
    <x v="2"/>
    <x v="1"/>
    <n v="24"/>
    <n v="7"/>
    <x v="0"/>
    <x v="1"/>
    <n v="176635"/>
    <n v="137641"/>
    <n v="38994"/>
    <x v="0"/>
    <n v="176635"/>
    <n v="0"/>
    <n v="0"/>
    <n v="1"/>
    <n v="1"/>
    <s v="Yes"/>
    <x v="0"/>
  </r>
  <r>
    <n v="20190"/>
    <d v="2024-06-23T00:00:00"/>
    <x v="0"/>
    <s v="Bengaluru"/>
    <s v="SC_BEN_1"/>
    <x v="0"/>
    <s v="Cayenne"/>
    <s v="SUV"/>
    <x v="1"/>
    <x v="1"/>
    <x v="1"/>
    <x v="1"/>
    <n v="21"/>
    <n v="7"/>
    <x v="0"/>
    <x v="1"/>
    <n v="252633"/>
    <n v="193260"/>
    <n v="59373"/>
    <x v="0"/>
    <n v="252633"/>
    <n v="0"/>
    <n v="0"/>
    <n v="1"/>
    <n v="1"/>
    <s v="Yes"/>
    <x v="0"/>
  </r>
  <r>
    <n v="20191"/>
    <d v="2024-03-11T00:00:00"/>
    <x v="2"/>
    <s v="Noida"/>
    <s v="SC_NOI_2"/>
    <x v="1"/>
    <s v="911"/>
    <s v="Coupe"/>
    <x v="0"/>
    <x v="1"/>
    <x v="1"/>
    <x v="1"/>
    <n v="7"/>
    <n v="7"/>
    <x v="0"/>
    <x v="1"/>
    <n v="547813"/>
    <n v="450216"/>
    <n v="97597"/>
    <x v="2"/>
    <n v="547813"/>
    <n v="0"/>
    <n v="0"/>
    <n v="1"/>
    <n v="1"/>
    <s v="No"/>
    <x v="1"/>
  </r>
  <r>
    <n v="20192"/>
    <d v="2024-02-23T00:00:00"/>
    <x v="3"/>
    <s v="Pune"/>
    <s v="SC_PUN_5"/>
    <x v="2"/>
    <s v="Macan"/>
    <s v="SUV"/>
    <x v="1"/>
    <x v="4"/>
    <x v="2"/>
    <x v="0"/>
    <n v="11"/>
    <n v="7"/>
    <x v="1"/>
    <x v="1"/>
    <n v="163832"/>
    <n v="131599"/>
    <n v="32233"/>
    <x v="2"/>
    <n v="0"/>
    <n v="0"/>
    <n v="1"/>
    <n v="0"/>
    <n v="1"/>
    <s v="Yes"/>
    <x v="1"/>
  </r>
  <r>
    <n v="20193"/>
    <d v="2024-04-05T00:00:00"/>
    <x v="3"/>
    <s v="Mumbai"/>
    <s v="SC_MUM_4"/>
    <x v="1"/>
    <s v="Chiron"/>
    <s v="Hypercar"/>
    <x v="0"/>
    <x v="0"/>
    <x v="1"/>
    <x v="0"/>
    <n v="14"/>
    <n v="7"/>
    <x v="1"/>
    <x v="1"/>
    <n v="214958"/>
    <n v="164306"/>
    <n v="50652"/>
    <x v="2"/>
    <n v="0"/>
    <n v="0"/>
    <n v="1"/>
    <n v="0"/>
    <n v="1"/>
    <s v="Yes"/>
    <x v="1"/>
  </r>
  <r>
    <n v="20194"/>
    <d v="2024-04-24T00:00:00"/>
    <x v="2"/>
    <s v="Noida"/>
    <s v="SC_NOI_4"/>
    <x v="2"/>
    <s v="Taycan"/>
    <s v="Sedan"/>
    <x v="1"/>
    <x v="4"/>
    <x v="1"/>
    <x v="0"/>
    <n v="19"/>
    <n v="7"/>
    <x v="0"/>
    <x v="0"/>
    <n v="390994"/>
    <n v="262073"/>
    <n v="128921"/>
    <x v="0"/>
    <n v="0"/>
    <n v="1"/>
    <n v="0"/>
    <n v="1"/>
    <n v="1"/>
    <s v="Yes"/>
    <x v="0"/>
  </r>
  <r>
    <n v="20195"/>
    <d v="2024-05-29T00:00:00"/>
    <x v="0"/>
    <s v="Chennai"/>
    <s v="SC_CHE_1"/>
    <x v="1"/>
    <s v="Veyron"/>
    <s v="Hypercar"/>
    <x v="0"/>
    <x v="1"/>
    <x v="1"/>
    <x v="0"/>
    <n v="23"/>
    <n v="7"/>
    <x v="1"/>
    <x v="1"/>
    <n v="541869"/>
    <n v="359237"/>
    <n v="182632"/>
    <x v="0"/>
    <n v="0"/>
    <n v="0"/>
    <n v="1"/>
    <n v="0"/>
    <n v="1"/>
    <s v="Yes"/>
    <x v="0"/>
  </r>
  <r>
    <n v="20196"/>
    <d v="2024-03-27T00:00:00"/>
    <x v="3"/>
    <s v="Mumbai"/>
    <s v="SC_MUM_5"/>
    <x v="0"/>
    <s v="Veyron"/>
    <s v="Hypercar"/>
    <x v="0"/>
    <x v="3"/>
    <x v="1"/>
    <x v="1"/>
    <n v="15"/>
    <n v="7"/>
    <x v="0"/>
    <x v="1"/>
    <n v="176426"/>
    <n v="116649"/>
    <n v="59777"/>
    <x v="0"/>
    <n v="176426"/>
    <n v="0"/>
    <n v="0"/>
    <n v="1"/>
    <n v="1"/>
    <s v="Yes"/>
    <x v="0"/>
  </r>
  <r>
    <n v="20197"/>
    <d v="2024-03-26T00:00:00"/>
    <x v="2"/>
    <s v="Noida"/>
    <s v="SC_NOI_3"/>
    <x v="0"/>
    <s v="Veyron"/>
    <s v="Hypercar"/>
    <x v="0"/>
    <x v="1"/>
    <x v="0"/>
    <x v="1"/>
    <n v="19"/>
    <n v="7"/>
    <x v="0"/>
    <x v="1"/>
    <n v="201058"/>
    <n v="129365"/>
    <n v="71693"/>
    <x v="0"/>
    <n v="201058"/>
    <n v="0"/>
    <n v="0"/>
    <n v="1"/>
    <n v="1"/>
    <s v="Yes"/>
    <x v="0"/>
  </r>
  <r>
    <n v="20198"/>
    <d v="2024-04-14T00:00:00"/>
    <x v="3"/>
    <s v="Mumbai"/>
    <s v="SC_MUM_3"/>
    <x v="0"/>
    <s v="911"/>
    <s v="Coupe"/>
    <x v="1"/>
    <x v="1"/>
    <x v="2"/>
    <x v="0"/>
    <n v="3"/>
    <n v="7"/>
    <x v="0"/>
    <x v="0"/>
    <n v="252709"/>
    <n v="167509"/>
    <n v="85200"/>
    <x v="3"/>
    <n v="0"/>
    <n v="1"/>
    <n v="0"/>
    <n v="1"/>
    <n v="1"/>
    <s v="No"/>
    <x v="2"/>
  </r>
  <r>
    <n v="20199"/>
    <d v="2024-01-02T00:00:00"/>
    <x v="3"/>
    <s v="Mumbai"/>
    <s v="SC_MUM_5"/>
    <x v="2"/>
    <s v="Veyron"/>
    <s v="Hypercar"/>
    <x v="0"/>
    <x v="1"/>
    <x v="2"/>
    <x v="1"/>
    <n v="11"/>
    <n v="7"/>
    <x v="0"/>
    <x v="0"/>
    <n v="194187"/>
    <n v="137080"/>
    <n v="57107"/>
    <x v="1"/>
    <n v="0"/>
    <n v="1"/>
    <n v="0"/>
    <n v="1"/>
    <n v="1"/>
    <s v="Yes"/>
    <x v="0"/>
  </r>
  <r>
    <n v="20200"/>
    <d v="2024-02-27T00:00:00"/>
    <x v="1"/>
    <s v="Kolkata"/>
    <s v="SC_KOL_5"/>
    <x v="2"/>
    <s v="Panamera"/>
    <s v="Sedan"/>
    <x v="1"/>
    <x v="1"/>
    <x v="1"/>
    <x v="0"/>
    <n v="21"/>
    <n v="7"/>
    <x v="0"/>
    <x v="0"/>
    <n v="408225"/>
    <n v="213623"/>
    <n v="194602"/>
    <x v="0"/>
    <n v="0"/>
    <n v="1"/>
    <n v="0"/>
    <n v="1"/>
    <n v="1"/>
    <s v="Yes"/>
    <x v="0"/>
  </r>
  <r>
    <n v="20201"/>
    <d v="2024-03-03T00:00:00"/>
    <x v="0"/>
    <s v="Bengaluru"/>
    <s v="SC_BEN_5"/>
    <x v="0"/>
    <s v="Chiron"/>
    <s v="Hypercar"/>
    <x v="1"/>
    <x v="4"/>
    <x v="2"/>
    <x v="1"/>
    <n v="24"/>
    <n v="7"/>
    <x v="1"/>
    <x v="1"/>
    <n v="541404"/>
    <n v="376309"/>
    <n v="165095"/>
    <x v="0"/>
    <n v="0"/>
    <n v="0"/>
    <n v="1"/>
    <n v="0"/>
    <n v="1"/>
    <s v="Yes"/>
    <x v="0"/>
  </r>
  <r>
    <n v="20202"/>
    <d v="2024-01-19T00:00:00"/>
    <x v="1"/>
    <s v="Bhubaneswar"/>
    <s v="SC_BHU_5"/>
    <x v="2"/>
    <s v="911"/>
    <s v="Coupe"/>
    <x v="1"/>
    <x v="1"/>
    <x v="0"/>
    <x v="1"/>
    <n v="7"/>
    <n v="7"/>
    <x v="1"/>
    <x v="1"/>
    <n v="184885"/>
    <n v="112546"/>
    <n v="72339"/>
    <x v="3"/>
    <n v="0"/>
    <n v="0"/>
    <n v="1"/>
    <n v="0"/>
    <n v="1"/>
    <s v="No"/>
    <x v="2"/>
  </r>
  <r>
    <n v="20203"/>
    <d v="2024-05-12T00:00:00"/>
    <x v="2"/>
    <s v="Noida"/>
    <s v="SC_NOI_1"/>
    <x v="1"/>
    <s v="Veyron"/>
    <s v="Hypercar"/>
    <x v="0"/>
    <x v="1"/>
    <x v="0"/>
    <x v="0"/>
    <n v="20"/>
    <n v="7"/>
    <x v="0"/>
    <x v="1"/>
    <n v="378609"/>
    <n v="225697"/>
    <n v="152912"/>
    <x v="0"/>
    <n v="378609"/>
    <n v="0"/>
    <n v="0"/>
    <n v="1"/>
    <n v="1"/>
    <s v="Yes"/>
    <x v="0"/>
  </r>
  <r>
    <n v="20204"/>
    <d v="2024-06-05T00:00:00"/>
    <x v="3"/>
    <s v="Ahmedabad"/>
    <s v="SC_AHM_4"/>
    <x v="0"/>
    <s v="Taycan"/>
    <s v="Sedan"/>
    <x v="1"/>
    <x v="2"/>
    <x v="0"/>
    <x v="0"/>
    <n v="3"/>
    <n v="7"/>
    <x v="0"/>
    <x v="0"/>
    <n v="125336"/>
    <n v="78240"/>
    <n v="47096"/>
    <x v="3"/>
    <n v="0"/>
    <n v="1"/>
    <n v="0"/>
    <n v="1"/>
    <n v="1"/>
    <s v="No"/>
    <x v="2"/>
  </r>
  <r>
    <n v="20205"/>
    <d v="2024-06-14T00:00:00"/>
    <x v="3"/>
    <s v="Pune"/>
    <s v="SC_PUN_5"/>
    <x v="0"/>
    <s v="Macan"/>
    <s v="SUV"/>
    <x v="0"/>
    <x v="0"/>
    <x v="2"/>
    <x v="0"/>
    <n v="20"/>
    <n v="7"/>
    <x v="0"/>
    <x v="1"/>
    <n v="105569"/>
    <n v="67024"/>
    <n v="38545"/>
    <x v="0"/>
    <n v="105569"/>
    <n v="0"/>
    <n v="0"/>
    <n v="1"/>
    <n v="1"/>
    <s v="Yes"/>
    <x v="0"/>
  </r>
  <r>
    <n v="20206"/>
    <d v="2024-02-13T00:00:00"/>
    <x v="0"/>
    <s v="Bengaluru"/>
    <s v="SC_BEN_4"/>
    <x v="2"/>
    <s v="Taycan"/>
    <s v="Sedan"/>
    <x v="1"/>
    <x v="4"/>
    <x v="2"/>
    <x v="0"/>
    <n v="14"/>
    <n v="7"/>
    <x v="0"/>
    <x v="1"/>
    <n v="115440"/>
    <n v="90197"/>
    <n v="25243"/>
    <x v="1"/>
    <n v="115440"/>
    <n v="0"/>
    <n v="0"/>
    <n v="1"/>
    <n v="1"/>
    <s v="Yes"/>
    <x v="0"/>
  </r>
  <r>
    <n v="20207"/>
    <d v="2024-03-16T00:00:00"/>
    <x v="1"/>
    <s v="Kolkata"/>
    <s v="SC_KOL_4"/>
    <x v="0"/>
    <s v="Chiron"/>
    <s v="Hypercar"/>
    <x v="0"/>
    <x v="0"/>
    <x v="0"/>
    <x v="0"/>
    <n v="22"/>
    <n v="7"/>
    <x v="0"/>
    <x v="0"/>
    <n v="108990"/>
    <n v="85417"/>
    <n v="23573"/>
    <x v="0"/>
    <n v="0"/>
    <n v="1"/>
    <n v="0"/>
    <n v="1"/>
    <n v="1"/>
    <s v="Yes"/>
    <x v="0"/>
  </r>
  <r>
    <n v="20208"/>
    <d v="2024-01-27T00:00:00"/>
    <x v="2"/>
    <s v="Noida"/>
    <s v="SC_NOI_5"/>
    <x v="0"/>
    <s v="Veyron"/>
    <s v="Hypercar"/>
    <x v="1"/>
    <x v="4"/>
    <x v="0"/>
    <x v="0"/>
    <n v="10"/>
    <n v="7"/>
    <x v="0"/>
    <x v="1"/>
    <n v="360494"/>
    <n v="181256"/>
    <n v="179238"/>
    <x v="1"/>
    <n v="360494"/>
    <n v="0"/>
    <n v="0"/>
    <n v="1"/>
    <n v="1"/>
    <s v="Yes"/>
    <x v="0"/>
  </r>
  <r>
    <n v="20209"/>
    <d v="2024-04-21T00:00:00"/>
    <x v="3"/>
    <s v="Pune"/>
    <s v="SC_PUN_2"/>
    <x v="1"/>
    <s v="Veyron"/>
    <s v="Hypercar"/>
    <x v="1"/>
    <x v="3"/>
    <x v="2"/>
    <x v="0"/>
    <n v="10"/>
    <n v="7"/>
    <x v="1"/>
    <x v="1"/>
    <n v="302817"/>
    <n v="235628"/>
    <n v="67189"/>
    <x v="2"/>
    <n v="0"/>
    <n v="0"/>
    <n v="1"/>
    <n v="0"/>
    <n v="1"/>
    <s v="Yes"/>
    <x v="1"/>
  </r>
  <r>
    <n v="20210"/>
    <d v="2024-03-09T00:00:00"/>
    <x v="2"/>
    <s v="Gurugram"/>
    <s v="SC_GUR_2"/>
    <x v="2"/>
    <s v="Veyron"/>
    <s v="Hypercar"/>
    <x v="0"/>
    <x v="1"/>
    <x v="2"/>
    <x v="0"/>
    <n v="13"/>
    <n v="7"/>
    <x v="1"/>
    <x v="1"/>
    <n v="502247"/>
    <n v="336826"/>
    <n v="165421"/>
    <x v="2"/>
    <n v="0"/>
    <n v="0"/>
    <n v="1"/>
    <n v="0"/>
    <n v="1"/>
    <s v="Yes"/>
    <x v="1"/>
  </r>
  <r>
    <n v="20211"/>
    <d v="2024-05-01T00:00:00"/>
    <x v="3"/>
    <s v="Mumbai"/>
    <s v="SC_MUM_1"/>
    <x v="2"/>
    <s v="Taycan"/>
    <s v="Sedan"/>
    <x v="1"/>
    <x v="1"/>
    <x v="0"/>
    <x v="0"/>
    <n v="17"/>
    <n v="7"/>
    <x v="0"/>
    <x v="1"/>
    <n v="205664"/>
    <n v="121919"/>
    <n v="83745"/>
    <x v="0"/>
    <n v="205664"/>
    <n v="0"/>
    <n v="0"/>
    <n v="1"/>
    <n v="1"/>
    <s v="Yes"/>
    <x v="0"/>
  </r>
  <r>
    <n v="20212"/>
    <d v="2024-05-08T00:00:00"/>
    <x v="1"/>
    <s v="Kolkata"/>
    <s v="SC_KOL_5"/>
    <x v="0"/>
    <s v="Panamera"/>
    <s v="Sedan"/>
    <x v="1"/>
    <x v="0"/>
    <x v="2"/>
    <x v="0"/>
    <n v="6"/>
    <n v="7"/>
    <x v="0"/>
    <x v="0"/>
    <n v="168542"/>
    <n v="127768"/>
    <n v="40774"/>
    <x v="2"/>
    <n v="0"/>
    <n v="1"/>
    <n v="0"/>
    <n v="1"/>
    <n v="1"/>
    <s v="No"/>
    <x v="1"/>
  </r>
  <r>
    <n v="20213"/>
    <d v="2024-03-10T00:00:00"/>
    <x v="1"/>
    <s v="Bhubaneswar"/>
    <s v="SC_BHU_2"/>
    <x v="1"/>
    <s v="911"/>
    <s v="Coupe"/>
    <x v="0"/>
    <x v="4"/>
    <x v="1"/>
    <x v="1"/>
    <n v="14"/>
    <n v="7"/>
    <x v="1"/>
    <x v="1"/>
    <n v="547201"/>
    <n v="461655"/>
    <n v="85546"/>
    <x v="2"/>
    <n v="0"/>
    <n v="0"/>
    <n v="1"/>
    <n v="0"/>
    <n v="1"/>
    <s v="Yes"/>
    <x v="1"/>
  </r>
  <r>
    <n v="20214"/>
    <d v="2024-01-10T00:00:00"/>
    <x v="3"/>
    <s v="Pune"/>
    <s v="SC_PUN_4"/>
    <x v="1"/>
    <s v="Chiron"/>
    <s v="Hypercar"/>
    <x v="0"/>
    <x v="4"/>
    <x v="1"/>
    <x v="0"/>
    <n v="14"/>
    <n v="7"/>
    <x v="1"/>
    <x v="1"/>
    <n v="399090"/>
    <n v="323323"/>
    <n v="75767"/>
    <x v="2"/>
    <n v="0"/>
    <n v="0"/>
    <n v="1"/>
    <n v="0"/>
    <n v="1"/>
    <s v="Yes"/>
    <x v="1"/>
  </r>
  <r>
    <n v="20215"/>
    <d v="2024-04-06T00:00:00"/>
    <x v="1"/>
    <s v="Kolkata"/>
    <s v="SC_KOL_5"/>
    <x v="1"/>
    <s v="Chiron"/>
    <s v="Hypercar"/>
    <x v="0"/>
    <x v="4"/>
    <x v="1"/>
    <x v="0"/>
    <n v="6"/>
    <n v="7"/>
    <x v="1"/>
    <x v="0"/>
    <n v="272339"/>
    <n v="213321"/>
    <n v="59018"/>
    <x v="3"/>
    <n v="0"/>
    <n v="1"/>
    <n v="1"/>
    <n v="0"/>
    <n v="1"/>
    <s v="No"/>
    <x v="2"/>
  </r>
  <r>
    <n v="20216"/>
    <d v="2024-06-26T00:00:00"/>
    <x v="0"/>
    <s v="Bengaluru"/>
    <s v="SC_BEN_2"/>
    <x v="1"/>
    <s v="911"/>
    <s v="Coupe"/>
    <x v="0"/>
    <x v="1"/>
    <x v="0"/>
    <x v="0"/>
    <n v="3"/>
    <n v="7"/>
    <x v="1"/>
    <x v="0"/>
    <n v="427445"/>
    <n v="269821"/>
    <n v="157624"/>
    <x v="4"/>
    <n v="0"/>
    <n v="1"/>
    <n v="1"/>
    <n v="0"/>
    <n v="1"/>
    <s v="No"/>
    <x v="2"/>
  </r>
  <r>
    <n v="20217"/>
    <d v="2024-01-23T00:00:00"/>
    <x v="2"/>
    <s v="Gurugram"/>
    <s v="SC_GUR_1"/>
    <x v="2"/>
    <s v="Taycan"/>
    <s v="Sedan"/>
    <x v="1"/>
    <x v="4"/>
    <x v="0"/>
    <x v="0"/>
    <n v="15"/>
    <n v="7"/>
    <x v="0"/>
    <x v="1"/>
    <n v="213662"/>
    <n v="109752"/>
    <n v="103910"/>
    <x v="0"/>
    <n v="213662"/>
    <n v="0"/>
    <n v="0"/>
    <n v="1"/>
    <n v="1"/>
    <s v="Yes"/>
    <x v="0"/>
  </r>
  <r>
    <n v="20218"/>
    <d v="2024-05-15T00:00:00"/>
    <x v="1"/>
    <s v="Kolkata"/>
    <s v="SC_KOL_3"/>
    <x v="2"/>
    <s v="911"/>
    <s v="Coupe"/>
    <x v="1"/>
    <x v="4"/>
    <x v="0"/>
    <x v="0"/>
    <n v="6"/>
    <n v="7"/>
    <x v="1"/>
    <x v="0"/>
    <n v="594126"/>
    <n v="442607"/>
    <n v="151519"/>
    <x v="3"/>
    <n v="0"/>
    <n v="1"/>
    <n v="1"/>
    <n v="0"/>
    <n v="1"/>
    <s v="No"/>
    <x v="2"/>
  </r>
  <r>
    <n v="20219"/>
    <d v="2024-05-23T00:00:00"/>
    <x v="3"/>
    <s v="Ahmedabad"/>
    <s v="SC_AHM_3"/>
    <x v="1"/>
    <s v="Panamera"/>
    <s v="Sedan"/>
    <x v="1"/>
    <x v="4"/>
    <x v="0"/>
    <x v="0"/>
    <n v="15"/>
    <n v="7"/>
    <x v="0"/>
    <x v="1"/>
    <n v="498304"/>
    <n v="381731"/>
    <n v="116573"/>
    <x v="0"/>
    <n v="498304"/>
    <n v="0"/>
    <n v="0"/>
    <n v="1"/>
    <n v="1"/>
    <s v="Yes"/>
    <x v="0"/>
  </r>
  <r>
    <n v="20220"/>
    <d v="2024-01-28T00:00:00"/>
    <x v="0"/>
    <s v="Chennai"/>
    <s v="SC_CHE_4"/>
    <x v="0"/>
    <s v="911"/>
    <s v="Coupe"/>
    <x v="1"/>
    <x v="1"/>
    <x v="0"/>
    <x v="1"/>
    <n v="24"/>
    <n v="7"/>
    <x v="0"/>
    <x v="0"/>
    <n v="396280"/>
    <n v="223230"/>
    <n v="173050"/>
    <x v="0"/>
    <n v="0"/>
    <n v="1"/>
    <n v="0"/>
    <n v="1"/>
    <n v="1"/>
    <s v="Yes"/>
    <x v="0"/>
  </r>
  <r>
    <n v="20221"/>
    <d v="2024-04-03T00:00:00"/>
    <x v="1"/>
    <s v="Patna"/>
    <s v="SC_PAT_4"/>
    <x v="0"/>
    <s v="Veyron"/>
    <s v="Hypercar"/>
    <x v="1"/>
    <x v="3"/>
    <x v="2"/>
    <x v="0"/>
    <n v="24"/>
    <n v="7"/>
    <x v="0"/>
    <x v="0"/>
    <n v="118016"/>
    <n v="89322"/>
    <n v="28694"/>
    <x v="0"/>
    <n v="0"/>
    <n v="1"/>
    <n v="0"/>
    <n v="1"/>
    <n v="1"/>
    <s v="Yes"/>
    <x v="0"/>
  </r>
  <r>
    <n v="20222"/>
    <d v="2024-03-02T00:00:00"/>
    <x v="3"/>
    <s v="Mumbai"/>
    <s v="SC_MUM_2"/>
    <x v="1"/>
    <s v="Cayenne"/>
    <s v="SUV"/>
    <x v="0"/>
    <x v="1"/>
    <x v="2"/>
    <x v="0"/>
    <n v="5"/>
    <n v="7"/>
    <x v="0"/>
    <x v="1"/>
    <n v="598742"/>
    <n v="456555"/>
    <n v="142187"/>
    <x v="2"/>
    <n v="598742"/>
    <n v="0"/>
    <n v="0"/>
    <n v="1"/>
    <n v="1"/>
    <s v="No"/>
    <x v="1"/>
  </r>
  <r>
    <n v="20223"/>
    <d v="2024-02-05T00:00:00"/>
    <x v="2"/>
    <s v="Noida"/>
    <s v="SC_NOI_2"/>
    <x v="1"/>
    <s v="911"/>
    <s v="Coupe"/>
    <x v="1"/>
    <x v="2"/>
    <x v="0"/>
    <x v="1"/>
    <n v="2"/>
    <n v="7"/>
    <x v="0"/>
    <x v="0"/>
    <n v="235981"/>
    <n v="122488"/>
    <n v="113493"/>
    <x v="3"/>
    <n v="0"/>
    <n v="1"/>
    <n v="0"/>
    <n v="1"/>
    <n v="1"/>
    <s v="No"/>
    <x v="2"/>
  </r>
  <r>
    <n v="20224"/>
    <d v="2024-03-14T00:00:00"/>
    <x v="2"/>
    <s v="Delhi"/>
    <s v="SC_DEL_5"/>
    <x v="2"/>
    <s v="Panamera"/>
    <s v="Sedan"/>
    <x v="0"/>
    <x v="2"/>
    <x v="1"/>
    <x v="0"/>
    <n v="18"/>
    <n v="7"/>
    <x v="0"/>
    <x v="0"/>
    <n v="494009"/>
    <n v="271988"/>
    <n v="222021"/>
    <x v="0"/>
    <n v="0"/>
    <n v="1"/>
    <n v="0"/>
    <n v="1"/>
    <n v="1"/>
    <s v="Yes"/>
    <x v="0"/>
  </r>
  <r>
    <n v="20225"/>
    <d v="2024-03-29T00:00:00"/>
    <x v="1"/>
    <s v="Patna"/>
    <s v="SC_PAT_2"/>
    <x v="0"/>
    <s v="Chiron"/>
    <s v="Hypercar"/>
    <x v="0"/>
    <x v="4"/>
    <x v="0"/>
    <x v="0"/>
    <n v="18"/>
    <n v="7"/>
    <x v="0"/>
    <x v="1"/>
    <n v="93234"/>
    <n v="56975"/>
    <n v="36259"/>
    <x v="0"/>
    <n v="93234"/>
    <n v="0"/>
    <n v="0"/>
    <n v="1"/>
    <n v="1"/>
    <s v="Yes"/>
    <x v="0"/>
  </r>
  <r>
    <n v="20226"/>
    <d v="2024-06-22T00:00:00"/>
    <x v="2"/>
    <s v="Noida"/>
    <s v="SC_NOI_5"/>
    <x v="2"/>
    <s v="Chiron"/>
    <s v="Hypercar"/>
    <x v="0"/>
    <x v="3"/>
    <x v="1"/>
    <x v="0"/>
    <n v="16"/>
    <n v="7"/>
    <x v="1"/>
    <x v="0"/>
    <n v="228462"/>
    <n v="153973"/>
    <n v="74489"/>
    <x v="1"/>
    <n v="0"/>
    <n v="1"/>
    <n v="1"/>
    <n v="0"/>
    <n v="1"/>
    <s v="Yes"/>
    <x v="0"/>
  </r>
  <r>
    <n v="20227"/>
    <d v="2024-01-20T00:00:00"/>
    <x v="1"/>
    <s v="Bhubaneswar"/>
    <s v="SC_BHU_4"/>
    <x v="0"/>
    <s v="Macan"/>
    <s v="SUV"/>
    <x v="0"/>
    <x v="3"/>
    <x v="2"/>
    <x v="0"/>
    <n v="2"/>
    <n v="7"/>
    <x v="1"/>
    <x v="0"/>
    <n v="225371"/>
    <n v="186417"/>
    <n v="38954"/>
    <x v="4"/>
    <n v="0"/>
    <n v="1"/>
    <n v="1"/>
    <n v="0"/>
    <n v="1"/>
    <s v="No"/>
    <x v="2"/>
  </r>
  <r>
    <n v="20228"/>
    <d v="2024-06-18T00:00:00"/>
    <x v="0"/>
    <s v="Bengaluru"/>
    <s v="SC_BEN_4"/>
    <x v="1"/>
    <s v="Chiron"/>
    <s v="Hypercar"/>
    <x v="1"/>
    <x v="1"/>
    <x v="1"/>
    <x v="1"/>
    <n v="3"/>
    <n v="7"/>
    <x v="0"/>
    <x v="1"/>
    <n v="120012"/>
    <n v="62270"/>
    <n v="57742"/>
    <x v="3"/>
    <n v="120012"/>
    <n v="0"/>
    <n v="0"/>
    <n v="1"/>
    <n v="1"/>
    <s v="No"/>
    <x v="2"/>
  </r>
  <r>
    <n v="20229"/>
    <d v="2024-06-07T00:00:00"/>
    <x v="1"/>
    <s v="Kolkata"/>
    <s v="SC_KOL_1"/>
    <x v="2"/>
    <s v="911"/>
    <s v="Coupe"/>
    <x v="0"/>
    <x v="0"/>
    <x v="0"/>
    <x v="0"/>
    <n v="2"/>
    <n v="7"/>
    <x v="1"/>
    <x v="0"/>
    <n v="170006"/>
    <n v="128924"/>
    <n v="41082"/>
    <x v="4"/>
    <n v="0"/>
    <n v="1"/>
    <n v="1"/>
    <n v="0"/>
    <n v="1"/>
    <s v="No"/>
    <x v="2"/>
  </r>
  <r>
    <n v="20230"/>
    <d v="2024-06-24T00:00:00"/>
    <x v="0"/>
    <s v="Hyderabad"/>
    <s v="SC_HYD_2"/>
    <x v="2"/>
    <s v="Cayenne"/>
    <s v="SUV"/>
    <x v="0"/>
    <x v="0"/>
    <x v="1"/>
    <x v="1"/>
    <n v="17"/>
    <n v="7"/>
    <x v="1"/>
    <x v="1"/>
    <n v="297161"/>
    <n v="160988"/>
    <n v="136173"/>
    <x v="1"/>
    <n v="0"/>
    <n v="0"/>
    <n v="1"/>
    <n v="0"/>
    <n v="1"/>
    <s v="Yes"/>
    <x v="0"/>
  </r>
  <r>
    <n v="20231"/>
    <d v="2024-04-07T00:00:00"/>
    <x v="1"/>
    <s v="Kolkata"/>
    <s v="SC_KOL_3"/>
    <x v="1"/>
    <s v="Cayenne"/>
    <s v="SUV"/>
    <x v="1"/>
    <x v="4"/>
    <x v="1"/>
    <x v="0"/>
    <n v="8"/>
    <n v="7"/>
    <x v="0"/>
    <x v="0"/>
    <n v="145685"/>
    <n v="94364"/>
    <n v="51321"/>
    <x v="2"/>
    <n v="0"/>
    <n v="1"/>
    <n v="0"/>
    <n v="1"/>
    <n v="1"/>
    <s v="Yes"/>
    <x v="1"/>
  </r>
  <r>
    <n v="20232"/>
    <d v="2024-01-24T00:00:00"/>
    <x v="3"/>
    <s v="Mumbai"/>
    <s v="SC_MUM_2"/>
    <x v="0"/>
    <s v="Macan"/>
    <s v="SUV"/>
    <x v="1"/>
    <x v="4"/>
    <x v="0"/>
    <x v="0"/>
    <n v="19"/>
    <n v="7"/>
    <x v="0"/>
    <x v="1"/>
    <n v="578548"/>
    <n v="393543"/>
    <n v="185005"/>
    <x v="0"/>
    <n v="578548"/>
    <n v="0"/>
    <n v="0"/>
    <n v="1"/>
    <n v="1"/>
    <s v="Yes"/>
    <x v="0"/>
  </r>
  <r>
    <n v="20233"/>
    <d v="2024-02-19T00:00:00"/>
    <x v="2"/>
    <s v="Gurugram"/>
    <s v="SC_GUR_3"/>
    <x v="0"/>
    <s v="Panamera"/>
    <s v="Sedan"/>
    <x v="0"/>
    <x v="0"/>
    <x v="0"/>
    <x v="0"/>
    <n v="24"/>
    <n v="7"/>
    <x v="0"/>
    <x v="1"/>
    <n v="277456"/>
    <n v="212586"/>
    <n v="64870"/>
    <x v="0"/>
    <n v="277456"/>
    <n v="0"/>
    <n v="0"/>
    <n v="1"/>
    <n v="1"/>
    <s v="Yes"/>
    <x v="0"/>
  </r>
  <r>
    <n v="20234"/>
    <d v="2024-04-01T00:00:00"/>
    <x v="2"/>
    <s v="Gurugram"/>
    <s v="SC_GUR_3"/>
    <x v="0"/>
    <s v="Taycan"/>
    <s v="Sedan"/>
    <x v="1"/>
    <x v="3"/>
    <x v="1"/>
    <x v="0"/>
    <n v="19"/>
    <n v="7"/>
    <x v="1"/>
    <x v="0"/>
    <n v="335460"/>
    <n v="251727"/>
    <n v="83733"/>
    <x v="1"/>
    <n v="0"/>
    <n v="1"/>
    <n v="1"/>
    <n v="0"/>
    <n v="1"/>
    <s v="Yes"/>
    <x v="0"/>
  </r>
  <r>
    <n v="20235"/>
    <d v="2024-01-24T00:00:00"/>
    <x v="2"/>
    <s v="Gurugram"/>
    <s v="SC_GUR_1"/>
    <x v="0"/>
    <s v="Macan"/>
    <s v="SUV"/>
    <x v="0"/>
    <x v="0"/>
    <x v="2"/>
    <x v="1"/>
    <n v="3"/>
    <n v="7"/>
    <x v="1"/>
    <x v="0"/>
    <n v="154539"/>
    <n v="81039"/>
    <n v="73500"/>
    <x v="4"/>
    <n v="0"/>
    <n v="1"/>
    <n v="1"/>
    <n v="0"/>
    <n v="1"/>
    <s v="No"/>
    <x v="2"/>
  </r>
  <r>
    <n v="20236"/>
    <d v="2024-03-19T00:00:00"/>
    <x v="3"/>
    <s v="Pune"/>
    <s v="SC_PUN_5"/>
    <x v="0"/>
    <s v="Taycan"/>
    <s v="Sedan"/>
    <x v="1"/>
    <x v="0"/>
    <x v="1"/>
    <x v="0"/>
    <n v="7"/>
    <n v="7"/>
    <x v="1"/>
    <x v="0"/>
    <n v="216184"/>
    <n v="166968"/>
    <n v="49216"/>
    <x v="3"/>
    <n v="0"/>
    <n v="1"/>
    <n v="1"/>
    <n v="0"/>
    <n v="1"/>
    <s v="No"/>
    <x v="2"/>
  </r>
  <r>
    <n v="20237"/>
    <d v="2024-01-28T00:00:00"/>
    <x v="3"/>
    <s v="Ahmedabad"/>
    <s v="SC_AHM_1"/>
    <x v="1"/>
    <s v="Cayenne"/>
    <s v="SUV"/>
    <x v="1"/>
    <x v="0"/>
    <x v="2"/>
    <x v="0"/>
    <n v="4"/>
    <n v="7"/>
    <x v="1"/>
    <x v="0"/>
    <n v="266020"/>
    <n v="167992"/>
    <n v="98028"/>
    <x v="4"/>
    <n v="0"/>
    <n v="1"/>
    <n v="1"/>
    <n v="0"/>
    <n v="1"/>
    <s v="No"/>
    <x v="2"/>
  </r>
  <r>
    <n v="20238"/>
    <d v="2024-06-15T00:00:00"/>
    <x v="0"/>
    <s v="Bengaluru"/>
    <s v="SC_BEN_2"/>
    <x v="1"/>
    <s v="Taycan"/>
    <s v="Sedan"/>
    <x v="0"/>
    <x v="0"/>
    <x v="1"/>
    <x v="1"/>
    <n v="5"/>
    <n v="7"/>
    <x v="1"/>
    <x v="0"/>
    <n v="549863"/>
    <n v="407557"/>
    <n v="142306"/>
    <x v="3"/>
    <n v="0"/>
    <n v="1"/>
    <n v="1"/>
    <n v="0"/>
    <n v="1"/>
    <s v="No"/>
    <x v="2"/>
  </r>
  <r>
    <n v="20239"/>
    <d v="2024-02-07T00:00:00"/>
    <x v="0"/>
    <s v="Bengaluru"/>
    <s v="SC_BEN_5"/>
    <x v="0"/>
    <s v="Veyron"/>
    <s v="Hypercar"/>
    <x v="1"/>
    <x v="4"/>
    <x v="2"/>
    <x v="0"/>
    <n v="25"/>
    <n v="7"/>
    <x v="0"/>
    <x v="1"/>
    <n v="139639"/>
    <n v="117615"/>
    <n v="22024"/>
    <x v="0"/>
    <n v="139639"/>
    <n v="0"/>
    <n v="0"/>
    <n v="1"/>
    <n v="1"/>
    <s v="Yes"/>
    <x v="0"/>
  </r>
  <r>
    <n v="20240"/>
    <d v="2024-01-15T00:00:00"/>
    <x v="2"/>
    <s v="Delhi"/>
    <s v="SC_DEL_4"/>
    <x v="1"/>
    <s v="Cayenne"/>
    <s v="SUV"/>
    <x v="1"/>
    <x v="2"/>
    <x v="0"/>
    <x v="1"/>
    <n v="11"/>
    <n v="7"/>
    <x v="0"/>
    <x v="1"/>
    <n v="405829"/>
    <n v="331776"/>
    <n v="74053"/>
    <x v="1"/>
    <n v="405829"/>
    <n v="0"/>
    <n v="0"/>
    <n v="1"/>
    <n v="1"/>
    <s v="Yes"/>
    <x v="0"/>
  </r>
  <r>
    <n v="20241"/>
    <d v="2024-06-11T00:00:00"/>
    <x v="2"/>
    <s v="Delhi"/>
    <s v="SC_DEL_5"/>
    <x v="0"/>
    <s v="Chiron"/>
    <s v="Hypercar"/>
    <x v="1"/>
    <x v="3"/>
    <x v="1"/>
    <x v="1"/>
    <n v="15"/>
    <n v="7"/>
    <x v="0"/>
    <x v="1"/>
    <n v="314049"/>
    <n v="202266"/>
    <n v="111783"/>
    <x v="0"/>
    <n v="314049"/>
    <n v="0"/>
    <n v="0"/>
    <n v="1"/>
    <n v="1"/>
    <s v="Yes"/>
    <x v="0"/>
  </r>
  <r>
    <n v="20242"/>
    <d v="2024-03-23T00:00:00"/>
    <x v="3"/>
    <s v="Pune"/>
    <s v="SC_PUN_5"/>
    <x v="2"/>
    <s v="Veyron"/>
    <s v="Hypercar"/>
    <x v="1"/>
    <x v="1"/>
    <x v="2"/>
    <x v="1"/>
    <n v="19"/>
    <n v="7"/>
    <x v="1"/>
    <x v="0"/>
    <n v="576527"/>
    <n v="485215"/>
    <n v="91312"/>
    <x v="1"/>
    <n v="0"/>
    <n v="1"/>
    <n v="1"/>
    <n v="0"/>
    <n v="1"/>
    <s v="Yes"/>
    <x v="0"/>
  </r>
  <r>
    <n v="20243"/>
    <d v="2024-02-24T00:00:00"/>
    <x v="2"/>
    <s v="Delhi"/>
    <s v="SC_DEL_3"/>
    <x v="1"/>
    <s v="Veyron"/>
    <s v="Hypercar"/>
    <x v="1"/>
    <x v="1"/>
    <x v="1"/>
    <x v="0"/>
    <n v="7"/>
    <n v="7"/>
    <x v="1"/>
    <x v="1"/>
    <n v="423540"/>
    <n v="333776"/>
    <n v="89764"/>
    <x v="3"/>
    <n v="0"/>
    <n v="0"/>
    <n v="1"/>
    <n v="0"/>
    <n v="1"/>
    <s v="No"/>
    <x v="2"/>
  </r>
  <r>
    <n v="20244"/>
    <d v="2024-05-27T00:00:00"/>
    <x v="1"/>
    <s v="Patna"/>
    <s v="SC_PAT_4"/>
    <x v="0"/>
    <s v="Chiron"/>
    <s v="Hypercar"/>
    <x v="0"/>
    <x v="2"/>
    <x v="2"/>
    <x v="0"/>
    <n v="11"/>
    <n v="7"/>
    <x v="1"/>
    <x v="1"/>
    <n v="263726"/>
    <n v="170746"/>
    <n v="92980"/>
    <x v="2"/>
    <n v="0"/>
    <n v="0"/>
    <n v="1"/>
    <n v="0"/>
    <n v="1"/>
    <s v="Yes"/>
    <x v="1"/>
  </r>
  <r>
    <n v="20245"/>
    <d v="2024-05-15T00:00:00"/>
    <x v="0"/>
    <s v="Bengaluru"/>
    <s v="SC_BEN_1"/>
    <x v="0"/>
    <s v="Chiron"/>
    <s v="Hypercar"/>
    <x v="0"/>
    <x v="1"/>
    <x v="1"/>
    <x v="1"/>
    <n v="10"/>
    <n v="7"/>
    <x v="0"/>
    <x v="1"/>
    <n v="122103"/>
    <n v="84129"/>
    <n v="37974"/>
    <x v="1"/>
    <n v="122103"/>
    <n v="0"/>
    <n v="0"/>
    <n v="1"/>
    <n v="1"/>
    <s v="Yes"/>
    <x v="0"/>
  </r>
  <r>
    <n v="20246"/>
    <d v="2024-06-14T00:00:00"/>
    <x v="1"/>
    <s v="Bhubaneswar"/>
    <s v="SC_BHU_5"/>
    <x v="2"/>
    <s v="Macan"/>
    <s v="SUV"/>
    <x v="1"/>
    <x v="3"/>
    <x v="1"/>
    <x v="1"/>
    <n v="21"/>
    <n v="7"/>
    <x v="0"/>
    <x v="1"/>
    <n v="393707"/>
    <n v="239465"/>
    <n v="154242"/>
    <x v="0"/>
    <n v="393707"/>
    <n v="0"/>
    <n v="0"/>
    <n v="1"/>
    <n v="1"/>
    <s v="Yes"/>
    <x v="0"/>
  </r>
  <r>
    <n v="20247"/>
    <d v="2024-06-25T00:00:00"/>
    <x v="3"/>
    <s v="Pune"/>
    <s v="SC_PUN_5"/>
    <x v="0"/>
    <s v="Panamera"/>
    <s v="Sedan"/>
    <x v="1"/>
    <x v="4"/>
    <x v="1"/>
    <x v="1"/>
    <n v="5"/>
    <n v="7"/>
    <x v="1"/>
    <x v="1"/>
    <n v="446341"/>
    <n v="226392"/>
    <n v="219949"/>
    <x v="3"/>
    <n v="0"/>
    <n v="0"/>
    <n v="1"/>
    <n v="0"/>
    <n v="1"/>
    <s v="No"/>
    <x v="2"/>
  </r>
  <r>
    <n v="20248"/>
    <d v="2024-03-04T00:00:00"/>
    <x v="0"/>
    <s v="Hyderabad"/>
    <s v="SC_HYD_1"/>
    <x v="1"/>
    <s v="Macan"/>
    <s v="SUV"/>
    <x v="0"/>
    <x v="1"/>
    <x v="0"/>
    <x v="0"/>
    <n v="2"/>
    <n v="7"/>
    <x v="1"/>
    <x v="1"/>
    <n v="184614"/>
    <n v="132360"/>
    <n v="52254"/>
    <x v="4"/>
    <n v="0"/>
    <n v="0"/>
    <n v="1"/>
    <n v="0"/>
    <n v="1"/>
    <s v="No"/>
    <x v="2"/>
  </r>
  <r>
    <n v="20249"/>
    <d v="2024-03-09T00:00:00"/>
    <x v="0"/>
    <s v="Bengaluru"/>
    <s v="SC_BEN_2"/>
    <x v="0"/>
    <s v="Veyron"/>
    <s v="Hypercar"/>
    <x v="1"/>
    <x v="3"/>
    <x v="2"/>
    <x v="0"/>
    <n v="12"/>
    <n v="7"/>
    <x v="0"/>
    <x v="0"/>
    <n v="103973"/>
    <n v="67917"/>
    <n v="36056"/>
    <x v="1"/>
    <n v="0"/>
    <n v="1"/>
    <n v="0"/>
    <n v="1"/>
    <n v="1"/>
    <s v="Yes"/>
    <x v="0"/>
  </r>
  <r>
    <n v="20250"/>
    <d v="2024-06-02T00:00:00"/>
    <x v="3"/>
    <s v="Mumbai"/>
    <s v="SC_MUM_5"/>
    <x v="2"/>
    <s v="Cayenne"/>
    <s v="SUV"/>
    <x v="0"/>
    <x v="3"/>
    <x v="0"/>
    <x v="1"/>
    <n v="3"/>
    <n v="7"/>
    <x v="0"/>
    <x v="1"/>
    <n v="166660"/>
    <n v="99865"/>
    <n v="66795"/>
    <x v="3"/>
    <n v="166660"/>
    <n v="0"/>
    <n v="0"/>
    <n v="1"/>
    <n v="1"/>
    <s v="No"/>
    <x v="2"/>
  </r>
  <r>
    <n v="20251"/>
    <d v="2024-02-22T00:00:00"/>
    <x v="3"/>
    <s v="Pune"/>
    <s v="SC_PUN_1"/>
    <x v="1"/>
    <s v="911"/>
    <s v="Coupe"/>
    <x v="1"/>
    <x v="1"/>
    <x v="2"/>
    <x v="1"/>
    <n v="2"/>
    <n v="7"/>
    <x v="1"/>
    <x v="1"/>
    <n v="415707"/>
    <n v="220541"/>
    <n v="195166"/>
    <x v="4"/>
    <n v="0"/>
    <n v="0"/>
    <n v="1"/>
    <n v="0"/>
    <n v="1"/>
    <s v="No"/>
    <x v="2"/>
  </r>
  <r>
    <n v="20252"/>
    <d v="2024-02-11T00:00:00"/>
    <x v="0"/>
    <s v="Chennai"/>
    <s v="SC_CHE_3"/>
    <x v="2"/>
    <s v="Panamera"/>
    <s v="Sedan"/>
    <x v="0"/>
    <x v="1"/>
    <x v="2"/>
    <x v="0"/>
    <n v="22"/>
    <n v="7"/>
    <x v="1"/>
    <x v="1"/>
    <n v="368314"/>
    <n v="212739"/>
    <n v="155575"/>
    <x v="0"/>
    <n v="0"/>
    <n v="0"/>
    <n v="1"/>
    <n v="0"/>
    <n v="1"/>
    <s v="Yes"/>
    <x v="0"/>
  </r>
  <r>
    <n v="20253"/>
    <d v="2024-04-18T00:00:00"/>
    <x v="1"/>
    <s v="Patna"/>
    <s v="SC_PAT_2"/>
    <x v="2"/>
    <s v="Cayenne"/>
    <s v="SUV"/>
    <x v="0"/>
    <x v="0"/>
    <x v="2"/>
    <x v="1"/>
    <n v="12"/>
    <n v="7"/>
    <x v="0"/>
    <x v="1"/>
    <n v="241936"/>
    <n v="204661"/>
    <n v="37275"/>
    <x v="1"/>
    <n v="241936"/>
    <n v="0"/>
    <n v="0"/>
    <n v="1"/>
    <n v="1"/>
    <s v="Yes"/>
    <x v="0"/>
  </r>
  <r>
    <n v="20254"/>
    <d v="2024-02-01T00:00:00"/>
    <x v="3"/>
    <s v="Mumbai"/>
    <s v="SC_MUM_2"/>
    <x v="1"/>
    <s v="Taycan"/>
    <s v="Sedan"/>
    <x v="0"/>
    <x v="4"/>
    <x v="1"/>
    <x v="0"/>
    <n v="2"/>
    <n v="7"/>
    <x v="0"/>
    <x v="1"/>
    <n v="184062"/>
    <n v="149100"/>
    <n v="34962"/>
    <x v="3"/>
    <n v="184062"/>
    <n v="0"/>
    <n v="0"/>
    <n v="1"/>
    <n v="1"/>
    <s v="No"/>
    <x v="2"/>
  </r>
  <r>
    <n v="20255"/>
    <d v="2024-02-09T00:00:00"/>
    <x v="0"/>
    <s v="Hyderabad"/>
    <s v="SC_HYD_5"/>
    <x v="0"/>
    <s v="Chiron"/>
    <s v="Hypercar"/>
    <x v="1"/>
    <x v="3"/>
    <x v="1"/>
    <x v="1"/>
    <n v="4"/>
    <n v="7"/>
    <x v="0"/>
    <x v="1"/>
    <n v="280191"/>
    <n v="147637"/>
    <n v="132554"/>
    <x v="3"/>
    <n v="280191"/>
    <n v="0"/>
    <n v="0"/>
    <n v="1"/>
    <n v="1"/>
    <s v="No"/>
    <x v="2"/>
  </r>
  <r>
    <n v="20256"/>
    <d v="2024-01-29T00:00:00"/>
    <x v="2"/>
    <s v="Delhi"/>
    <s v="SC_DEL_5"/>
    <x v="0"/>
    <s v="Cayenne"/>
    <s v="SUV"/>
    <x v="1"/>
    <x v="4"/>
    <x v="2"/>
    <x v="1"/>
    <n v="8"/>
    <n v="7"/>
    <x v="1"/>
    <x v="1"/>
    <n v="110256"/>
    <n v="73837"/>
    <n v="36419"/>
    <x v="3"/>
    <n v="0"/>
    <n v="0"/>
    <n v="1"/>
    <n v="0"/>
    <n v="1"/>
    <s v="Yes"/>
    <x v="2"/>
  </r>
  <r>
    <n v="20257"/>
    <d v="2024-05-07T00:00:00"/>
    <x v="0"/>
    <s v="Bengaluru"/>
    <s v="SC_BEN_2"/>
    <x v="2"/>
    <s v="Macan"/>
    <s v="SUV"/>
    <x v="0"/>
    <x v="0"/>
    <x v="2"/>
    <x v="0"/>
    <n v="19"/>
    <n v="7"/>
    <x v="0"/>
    <x v="1"/>
    <n v="585554"/>
    <n v="351076"/>
    <n v="234478"/>
    <x v="0"/>
    <n v="585554"/>
    <n v="0"/>
    <n v="0"/>
    <n v="1"/>
    <n v="1"/>
    <s v="Yes"/>
    <x v="0"/>
  </r>
  <r>
    <n v="20258"/>
    <d v="2024-03-11T00:00:00"/>
    <x v="0"/>
    <s v="Bengaluru"/>
    <s v="SC_BEN_4"/>
    <x v="1"/>
    <s v="Panamera"/>
    <s v="Sedan"/>
    <x v="1"/>
    <x v="3"/>
    <x v="1"/>
    <x v="0"/>
    <n v="14"/>
    <n v="7"/>
    <x v="1"/>
    <x v="0"/>
    <n v="323566"/>
    <n v="242601"/>
    <n v="80965"/>
    <x v="2"/>
    <n v="0"/>
    <n v="1"/>
    <n v="1"/>
    <n v="0"/>
    <n v="1"/>
    <s v="Yes"/>
    <x v="1"/>
  </r>
  <r>
    <n v="20259"/>
    <d v="2024-05-19T00:00:00"/>
    <x v="3"/>
    <s v="Pune"/>
    <s v="SC_PUN_3"/>
    <x v="0"/>
    <s v="Taycan"/>
    <s v="Sedan"/>
    <x v="1"/>
    <x v="1"/>
    <x v="1"/>
    <x v="0"/>
    <n v="12"/>
    <n v="7"/>
    <x v="0"/>
    <x v="1"/>
    <n v="139630"/>
    <n v="80936"/>
    <n v="58694"/>
    <x v="1"/>
    <n v="139630"/>
    <n v="0"/>
    <n v="0"/>
    <n v="1"/>
    <n v="1"/>
    <s v="Yes"/>
    <x v="0"/>
  </r>
  <r>
    <n v="20260"/>
    <d v="2024-03-13T00:00:00"/>
    <x v="2"/>
    <s v="Noida"/>
    <s v="SC_NOI_5"/>
    <x v="0"/>
    <s v="Chiron"/>
    <s v="Hypercar"/>
    <x v="0"/>
    <x v="1"/>
    <x v="1"/>
    <x v="0"/>
    <n v="19"/>
    <n v="7"/>
    <x v="1"/>
    <x v="1"/>
    <n v="361842"/>
    <n v="230131"/>
    <n v="131711"/>
    <x v="1"/>
    <n v="0"/>
    <n v="0"/>
    <n v="1"/>
    <n v="0"/>
    <n v="1"/>
    <s v="Yes"/>
    <x v="0"/>
  </r>
  <r>
    <n v="20261"/>
    <d v="2024-04-26T00:00:00"/>
    <x v="2"/>
    <s v="Noida"/>
    <s v="SC_NOI_2"/>
    <x v="1"/>
    <s v="Panamera"/>
    <s v="Sedan"/>
    <x v="0"/>
    <x v="2"/>
    <x v="0"/>
    <x v="0"/>
    <n v="9"/>
    <n v="7"/>
    <x v="0"/>
    <x v="0"/>
    <n v="429020"/>
    <n v="288028"/>
    <n v="140992"/>
    <x v="2"/>
    <n v="0"/>
    <n v="1"/>
    <n v="0"/>
    <n v="1"/>
    <n v="1"/>
    <s v="Yes"/>
    <x v="1"/>
  </r>
  <r>
    <n v="20262"/>
    <d v="2024-03-24T00:00:00"/>
    <x v="2"/>
    <s v="Delhi"/>
    <s v="SC_DEL_5"/>
    <x v="0"/>
    <s v="Panamera"/>
    <s v="Sedan"/>
    <x v="1"/>
    <x v="4"/>
    <x v="2"/>
    <x v="0"/>
    <n v="18"/>
    <n v="7"/>
    <x v="0"/>
    <x v="1"/>
    <n v="130787"/>
    <n v="70431"/>
    <n v="60356"/>
    <x v="0"/>
    <n v="130787"/>
    <n v="0"/>
    <n v="0"/>
    <n v="1"/>
    <n v="1"/>
    <s v="Yes"/>
    <x v="0"/>
  </r>
  <r>
    <n v="20263"/>
    <d v="2024-02-27T00:00:00"/>
    <x v="3"/>
    <s v="Ahmedabad"/>
    <s v="SC_AHM_3"/>
    <x v="0"/>
    <s v="911"/>
    <s v="Coupe"/>
    <x v="0"/>
    <x v="4"/>
    <x v="2"/>
    <x v="1"/>
    <n v="21"/>
    <n v="7"/>
    <x v="0"/>
    <x v="1"/>
    <n v="435164"/>
    <n v="297887"/>
    <n v="137277"/>
    <x v="0"/>
    <n v="435164"/>
    <n v="0"/>
    <n v="0"/>
    <n v="1"/>
    <n v="1"/>
    <s v="Yes"/>
    <x v="0"/>
  </r>
  <r>
    <n v="20264"/>
    <d v="2024-03-20T00:00:00"/>
    <x v="1"/>
    <s v="Kolkata"/>
    <s v="SC_KOL_5"/>
    <x v="1"/>
    <s v="Panamera"/>
    <s v="Sedan"/>
    <x v="0"/>
    <x v="0"/>
    <x v="2"/>
    <x v="0"/>
    <n v="5"/>
    <n v="7"/>
    <x v="1"/>
    <x v="0"/>
    <n v="434633"/>
    <n v="231883"/>
    <n v="202750"/>
    <x v="3"/>
    <n v="0"/>
    <n v="1"/>
    <n v="1"/>
    <n v="0"/>
    <n v="1"/>
    <s v="No"/>
    <x v="2"/>
  </r>
  <r>
    <n v="20265"/>
    <d v="2024-04-16T00:00:00"/>
    <x v="3"/>
    <s v="Ahmedabad"/>
    <s v="SC_AHM_3"/>
    <x v="1"/>
    <s v="Cayenne"/>
    <s v="SUV"/>
    <x v="1"/>
    <x v="0"/>
    <x v="2"/>
    <x v="1"/>
    <n v="13"/>
    <n v="7"/>
    <x v="0"/>
    <x v="1"/>
    <n v="339963"/>
    <n v="281436"/>
    <n v="58527"/>
    <x v="1"/>
    <n v="339963"/>
    <n v="0"/>
    <n v="0"/>
    <n v="1"/>
    <n v="1"/>
    <s v="Yes"/>
    <x v="0"/>
  </r>
  <r>
    <n v="20266"/>
    <d v="2024-03-03T00:00:00"/>
    <x v="0"/>
    <s v="Hyderabad"/>
    <s v="SC_HYD_5"/>
    <x v="0"/>
    <s v="Chiron"/>
    <s v="Hypercar"/>
    <x v="1"/>
    <x v="3"/>
    <x v="2"/>
    <x v="0"/>
    <n v="11"/>
    <n v="7"/>
    <x v="0"/>
    <x v="1"/>
    <n v="251380"/>
    <n v="178484"/>
    <n v="72896"/>
    <x v="1"/>
    <n v="251380"/>
    <n v="0"/>
    <n v="0"/>
    <n v="1"/>
    <n v="1"/>
    <s v="Yes"/>
    <x v="0"/>
  </r>
  <r>
    <n v="20267"/>
    <d v="2024-04-29T00:00:00"/>
    <x v="1"/>
    <s v="Kolkata"/>
    <s v="SC_KOL_3"/>
    <x v="0"/>
    <s v="Veyron"/>
    <s v="Hypercar"/>
    <x v="0"/>
    <x v="2"/>
    <x v="0"/>
    <x v="0"/>
    <n v="23"/>
    <n v="7"/>
    <x v="0"/>
    <x v="1"/>
    <n v="371885"/>
    <n v="287329"/>
    <n v="84556"/>
    <x v="0"/>
    <n v="371885"/>
    <n v="0"/>
    <n v="0"/>
    <n v="1"/>
    <n v="1"/>
    <s v="Yes"/>
    <x v="0"/>
  </r>
  <r>
    <n v="20268"/>
    <d v="2024-01-13T00:00:00"/>
    <x v="0"/>
    <s v="Hyderabad"/>
    <s v="SC_HYD_1"/>
    <x v="0"/>
    <s v="Macan"/>
    <s v="SUV"/>
    <x v="0"/>
    <x v="1"/>
    <x v="0"/>
    <x v="0"/>
    <n v="23"/>
    <n v="7"/>
    <x v="0"/>
    <x v="1"/>
    <n v="490392"/>
    <n v="411430"/>
    <n v="78962"/>
    <x v="0"/>
    <n v="490392"/>
    <n v="0"/>
    <n v="0"/>
    <n v="1"/>
    <n v="1"/>
    <s v="Yes"/>
    <x v="0"/>
  </r>
  <r>
    <n v="20269"/>
    <d v="2024-04-30T00:00:00"/>
    <x v="1"/>
    <s v="Patna"/>
    <s v="SC_PAT_4"/>
    <x v="0"/>
    <s v="911"/>
    <s v="Coupe"/>
    <x v="1"/>
    <x v="2"/>
    <x v="2"/>
    <x v="1"/>
    <n v="13"/>
    <n v="7"/>
    <x v="1"/>
    <x v="1"/>
    <n v="154442"/>
    <n v="96427"/>
    <n v="58015"/>
    <x v="2"/>
    <n v="0"/>
    <n v="0"/>
    <n v="1"/>
    <n v="0"/>
    <n v="1"/>
    <s v="Yes"/>
    <x v="1"/>
  </r>
  <r>
    <n v="20270"/>
    <d v="2024-06-25T00:00:00"/>
    <x v="3"/>
    <s v="Ahmedabad"/>
    <s v="SC_AHM_5"/>
    <x v="2"/>
    <s v="Cayenne"/>
    <s v="SUV"/>
    <x v="1"/>
    <x v="2"/>
    <x v="1"/>
    <x v="0"/>
    <n v="3"/>
    <n v="7"/>
    <x v="1"/>
    <x v="1"/>
    <n v="439512"/>
    <n v="264624"/>
    <n v="174888"/>
    <x v="4"/>
    <n v="0"/>
    <n v="0"/>
    <n v="1"/>
    <n v="0"/>
    <n v="1"/>
    <s v="No"/>
    <x v="2"/>
  </r>
  <r>
    <n v="20271"/>
    <d v="2024-02-04T00:00:00"/>
    <x v="2"/>
    <s v="Gurugram"/>
    <s v="SC_GUR_3"/>
    <x v="1"/>
    <s v="Cayenne"/>
    <s v="SUV"/>
    <x v="0"/>
    <x v="4"/>
    <x v="0"/>
    <x v="0"/>
    <n v="2"/>
    <n v="7"/>
    <x v="0"/>
    <x v="1"/>
    <n v="143524"/>
    <n v="114883"/>
    <n v="28641"/>
    <x v="3"/>
    <n v="143524"/>
    <n v="0"/>
    <n v="0"/>
    <n v="1"/>
    <n v="1"/>
    <s v="No"/>
    <x v="2"/>
  </r>
  <r>
    <n v="20272"/>
    <d v="2024-04-18T00:00:00"/>
    <x v="2"/>
    <s v="Noida"/>
    <s v="SC_NOI_1"/>
    <x v="0"/>
    <s v="Chiron"/>
    <s v="Hypercar"/>
    <x v="0"/>
    <x v="2"/>
    <x v="0"/>
    <x v="0"/>
    <n v="24"/>
    <n v="7"/>
    <x v="0"/>
    <x v="1"/>
    <n v="177198"/>
    <n v="92390"/>
    <n v="84808"/>
    <x v="0"/>
    <n v="177198"/>
    <n v="0"/>
    <n v="0"/>
    <n v="1"/>
    <n v="1"/>
    <s v="Yes"/>
    <x v="0"/>
  </r>
  <r>
    <n v="20273"/>
    <d v="2024-05-11T00:00:00"/>
    <x v="0"/>
    <s v="Bengaluru"/>
    <s v="SC_BEN_3"/>
    <x v="0"/>
    <s v="Panamera"/>
    <s v="Sedan"/>
    <x v="0"/>
    <x v="0"/>
    <x v="1"/>
    <x v="1"/>
    <n v="11"/>
    <n v="7"/>
    <x v="0"/>
    <x v="0"/>
    <n v="122215"/>
    <n v="91420"/>
    <n v="30795"/>
    <x v="1"/>
    <n v="0"/>
    <n v="1"/>
    <n v="0"/>
    <n v="1"/>
    <n v="1"/>
    <s v="Yes"/>
    <x v="0"/>
  </r>
  <r>
    <n v="20274"/>
    <d v="2024-04-07T00:00:00"/>
    <x v="0"/>
    <s v="Chennai"/>
    <s v="SC_CHE_1"/>
    <x v="0"/>
    <s v="Taycan"/>
    <s v="Sedan"/>
    <x v="0"/>
    <x v="4"/>
    <x v="2"/>
    <x v="1"/>
    <n v="24"/>
    <n v="7"/>
    <x v="1"/>
    <x v="0"/>
    <n v="353897"/>
    <n v="264922"/>
    <n v="88975"/>
    <x v="0"/>
    <n v="0"/>
    <n v="1"/>
    <n v="1"/>
    <n v="0"/>
    <n v="1"/>
    <s v="Yes"/>
    <x v="0"/>
  </r>
  <r>
    <n v="20275"/>
    <d v="2024-03-20T00:00:00"/>
    <x v="0"/>
    <s v="Hyderabad"/>
    <s v="SC_HYD_2"/>
    <x v="1"/>
    <s v="Macan"/>
    <s v="SUV"/>
    <x v="1"/>
    <x v="3"/>
    <x v="2"/>
    <x v="1"/>
    <n v="13"/>
    <n v="7"/>
    <x v="0"/>
    <x v="0"/>
    <n v="525868"/>
    <n v="303959"/>
    <n v="221909"/>
    <x v="1"/>
    <n v="0"/>
    <n v="1"/>
    <n v="0"/>
    <n v="1"/>
    <n v="1"/>
    <s v="Yes"/>
    <x v="0"/>
  </r>
  <r>
    <n v="20276"/>
    <d v="2024-04-05T00:00:00"/>
    <x v="0"/>
    <s v="Chennai"/>
    <s v="SC_CHE_2"/>
    <x v="0"/>
    <s v="Panamera"/>
    <s v="Sedan"/>
    <x v="0"/>
    <x v="2"/>
    <x v="1"/>
    <x v="0"/>
    <n v="13"/>
    <n v="7"/>
    <x v="1"/>
    <x v="1"/>
    <n v="357143"/>
    <n v="180297"/>
    <n v="176846"/>
    <x v="2"/>
    <n v="0"/>
    <n v="0"/>
    <n v="1"/>
    <n v="0"/>
    <n v="1"/>
    <s v="Yes"/>
    <x v="1"/>
  </r>
  <r>
    <n v="20277"/>
    <d v="2024-06-08T00:00:00"/>
    <x v="1"/>
    <s v="Patna"/>
    <s v="SC_PAT_3"/>
    <x v="2"/>
    <s v="Taycan"/>
    <s v="Sedan"/>
    <x v="0"/>
    <x v="0"/>
    <x v="1"/>
    <x v="0"/>
    <n v="14"/>
    <n v="7"/>
    <x v="1"/>
    <x v="1"/>
    <n v="90891"/>
    <n v="49671"/>
    <n v="41220"/>
    <x v="2"/>
    <n v="0"/>
    <n v="0"/>
    <n v="1"/>
    <n v="0"/>
    <n v="1"/>
    <s v="Yes"/>
    <x v="1"/>
  </r>
  <r>
    <n v="20278"/>
    <d v="2024-02-12T00:00:00"/>
    <x v="2"/>
    <s v="Gurugram"/>
    <s v="SC_GUR_5"/>
    <x v="0"/>
    <s v="Chiron"/>
    <s v="Hypercar"/>
    <x v="1"/>
    <x v="3"/>
    <x v="2"/>
    <x v="1"/>
    <n v="7"/>
    <n v="7"/>
    <x v="1"/>
    <x v="1"/>
    <n v="581860"/>
    <n v="483206"/>
    <n v="98654"/>
    <x v="3"/>
    <n v="0"/>
    <n v="0"/>
    <n v="1"/>
    <n v="0"/>
    <n v="1"/>
    <s v="No"/>
    <x v="2"/>
  </r>
  <r>
    <n v="20279"/>
    <d v="2024-01-11T00:00:00"/>
    <x v="3"/>
    <s v="Mumbai"/>
    <s v="SC_MUM_5"/>
    <x v="0"/>
    <s v="Macan"/>
    <s v="SUV"/>
    <x v="1"/>
    <x v="4"/>
    <x v="1"/>
    <x v="1"/>
    <n v="3"/>
    <n v="7"/>
    <x v="0"/>
    <x v="1"/>
    <n v="375781"/>
    <n v="226099"/>
    <n v="149682"/>
    <x v="3"/>
    <n v="375781"/>
    <n v="0"/>
    <n v="0"/>
    <n v="1"/>
    <n v="1"/>
    <s v="No"/>
    <x v="2"/>
  </r>
  <r>
    <n v="20280"/>
    <d v="2024-02-15T00:00:00"/>
    <x v="1"/>
    <s v="Bhubaneswar"/>
    <s v="SC_BHU_1"/>
    <x v="0"/>
    <s v="Taycan"/>
    <s v="Sedan"/>
    <x v="1"/>
    <x v="0"/>
    <x v="2"/>
    <x v="1"/>
    <n v="19"/>
    <n v="7"/>
    <x v="1"/>
    <x v="0"/>
    <n v="201237"/>
    <n v="112618"/>
    <n v="88619"/>
    <x v="1"/>
    <n v="0"/>
    <n v="1"/>
    <n v="1"/>
    <n v="0"/>
    <n v="1"/>
    <s v="Yes"/>
    <x v="0"/>
  </r>
  <r>
    <n v="20281"/>
    <d v="2024-06-12T00:00:00"/>
    <x v="0"/>
    <s v="Hyderabad"/>
    <s v="SC_HYD_1"/>
    <x v="2"/>
    <s v="911"/>
    <s v="Coupe"/>
    <x v="1"/>
    <x v="4"/>
    <x v="1"/>
    <x v="0"/>
    <n v="6"/>
    <n v="7"/>
    <x v="1"/>
    <x v="0"/>
    <n v="541506"/>
    <n v="303843"/>
    <n v="237663"/>
    <x v="3"/>
    <n v="0"/>
    <n v="1"/>
    <n v="1"/>
    <n v="0"/>
    <n v="1"/>
    <s v="No"/>
    <x v="2"/>
  </r>
  <r>
    <n v="20282"/>
    <d v="2024-06-01T00:00:00"/>
    <x v="2"/>
    <s v="Delhi"/>
    <s v="SC_DEL_4"/>
    <x v="0"/>
    <s v="Veyron"/>
    <s v="Hypercar"/>
    <x v="0"/>
    <x v="1"/>
    <x v="0"/>
    <x v="1"/>
    <n v="8"/>
    <n v="7"/>
    <x v="1"/>
    <x v="1"/>
    <n v="248246"/>
    <n v="175372"/>
    <n v="72874"/>
    <x v="3"/>
    <n v="0"/>
    <n v="0"/>
    <n v="1"/>
    <n v="0"/>
    <n v="1"/>
    <s v="Yes"/>
    <x v="2"/>
  </r>
  <r>
    <n v="20283"/>
    <d v="2024-03-13T00:00:00"/>
    <x v="2"/>
    <s v="Delhi"/>
    <s v="SC_DEL_3"/>
    <x v="1"/>
    <s v="Panamera"/>
    <s v="Sedan"/>
    <x v="1"/>
    <x v="3"/>
    <x v="0"/>
    <x v="0"/>
    <n v="16"/>
    <n v="7"/>
    <x v="0"/>
    <x v="1"/>
    <n v="279250"/>
    <n v="227672"/>
    <n v="51578"/>
    <x v="0"/>
    <n v="279250"/>
    <n v="0"/>
    <n v="0"/>
    <n v="1"/>
    <n v="1"/>
    <s v="Yes"/>
    <x v="0"/>
  </r>
  <r>
    <n v="20284"/>
    <d v="2024-01-03T00:00:00"/>
    <x v="2"/>
    <s v="Noida"/>
    <s v="SC_NOI_2"/>
    <x v="0"/>
    <s v="Panamera"/>
    <s v="Sedan"/>
    <x v="0"/>
    <x v="0"/>
    <x v="1"/>
    <x v="0"/>
    <n v="4"/>
    <n v="7"/>
    <x v="0"/>
    <x v="1"/>
    <n v="568096"/>
    <n v="393663"/>
    <n v="174433"/>
    <x v="3"/>
    <n v="568096"/>
    <n v="0"/>
    <n v="0"/>
    <n v="1"/>
    <n v="1"/>
    <s v="No"/>
    <x v="2"/>
  </r>
  <r>
    <n v="20285"/>
    <d v="2024-04-23T00:00:00"/>
    <x v="1"/>
    <s v="Kolkata"/>
    <s v="SC_KOL_1"/>
    <x v="1"/>
    <s v="Chiron"/>
    <s v="Hypercar"/>
    <x v="1"/>
    <x v="4"/>
    <x v="2"/>
    <x v="0"/>
    <n v="8"/>
    <n v="7"/>
    <x v="1"/>
    <x v="1"/>
    <n v="490638"/>
    <n v="413705"/>
    <n v="76933"/>
    <x v="3"/>
    <n v="0"/>
    <n v="0"/>
    <n v="1"/>
    <n v="0"/>
    <n v="1"/>
    <s v="Yes"/>
    <x v="2"/>
  </r>
  <r>
    <n v="20286"/>
    <d v="2024-05-18T00:00:00"/>
    <x v="3"/>
    <s v="Mumbai"/>
    <s v="SC_MUM_1"/>
    <x v="0"/>
    <s v="Veyron"/>
    <s v="Hypercar"/>
    <x v="0"/>
    <x v="3"/>
    <x v="2"/>
    <x v="1"/>
    <n v="15"/>
    <n v="7"/>
    <x v="0"/>
    <x v="1"/>
    <n v="371773"/>
    <n v="277534"/>
    <n v="94239"/>
    <x v="0"/>
    <n v="371773"/>
    <n v="0"/>
    <n v="0"/>
    <n v="1"/>
    <n v="1"/>
    <s v="Yes"/>
    <x v="0"/>
  </r>
  <r>
    <n v="20287"/>
    <d v="2024-01-13T00:00:00"/>
    <x v="0"/>
    <s v="Hyderabad"/>
    <s v="SC_HYD_2"/>
    <x v="2"/>
    <s v="Taycan"/>
    <s v="Sedan"/>
    <x v="0"/>
    <x v="2"/>
    <x v="2"/>
    <x v="1"/>
    <n v="25"/>
    <n v="7"/>
    <x v="1"/>
    <x v="1"/>
    <n v="186035"/>
    <n v="148870"/>
    <n v="37165"/>
    <x v="0"/>
    <n v="0"/>
    <n v="0"/>
    <n v="1"/>
    <n v="0"/>
    <n v="1"/>
    <s v="Yes"/>
    <x v="0"/>
  </r>
  <r>
    <n v="20288"/>
    <d v="2024-05-25T00:00:00"/>
    <x v="0"/>
    <s v="Chennai"/>
    <s v="SC_CHE_1"/>
    <x v="0"/>
    <s v="Macan"/>
    <s v="SUV"/>
    <x v="1"/>
    <x v="1"/>
    <x v="2"/>
    <x v="1"/>
    <n v="14"/>
    <n v="7"/>
    <x v="1"/>
    <x v="0"/>
    <n v="467832"/>
    <n v="396673"/>
    <n v="71159"/>
    <x v="2"/>
    <n v="0"/>
    <n v="1"/>
    <n v="1"/>
    <n v="0"/>
    <n v="1"/>
    <s v="Yes"/>
    <x v="1"/>
  </r>
  <r>
    <n v="20289"/>
    <d v="2024-04-17T00:00:00"/>
    <x v="2"/>
    <s v="Delhi"/>
    <s v="SC_DEL_1"/>
    <x v="2"/>
    <s v="911"/>
    <s v="Coupe"/>
    <x v="0"/>
    <x v="0"/>
    <x v="2"/>
    <x v="0"/>
    <n v="20"/>
    <n v="7"/>
    <x v="0"/>
    <x v="1"/>
    <n v="489201"/>
    <n v="314503"/>
    <n v="174698"/>
    <x v="0"/>
    <n v="489201"/>
    <n v="0"/>
    <n v="0"/>
    <n v="1"/>
    <n v="1"/>
    <s v="Yes"/>
    <x v="0"/>
  </r>
  <r>
    <n v="20290"/>
    <d v="2024-03-10T00:00:00"/>
    <x v="3"/>
    <s v="Pune"/>
    <s v="SC_PUN_4"/>
    <x v="0"/>
    <s v="Taycan"/>
    <s v="Sedan"/>
    <x v="1"/>
    <x v="1"/>
    <x v="0"/>
    <x v="0"/>
    <n v="9"/>
    <n v="7"/>
    <x v="0"/>
    <x v="0"/>
    <n v="305009"/>
    <n v="172940"/>
    <n v="132069"/>
    <x v="2"/>
    <n v="0"/>
    <n v="1"/>
    <n v="0"/>
    <n v="1"/>
    <n v="1"/>
    <s v="Yes"/>
    <x v="1"/>
  </r>
  <r>
    <n v="20291"/>
    <d v="2024-06-13T00:00:00"/>
    <x v="3"/>
    <s v="Mumbai"/>
    <s v="SC_MUM_3"/>
    <x v="2"/>
    <s v="Taycan"/>
    <s v="Sedan"/>
    <x v="0"/>
    <x v="0"/>
    <x v="0"/>
    <x v="1"/>
    <n v="9"/>
    <n v="7"/>
    <x v="1"/>
    <x v="1"/>
    <n v="94373"/>
    <n v="60084"/>
    <n v="34289"/>
    <x v="3"/>
    <n v="0"/>
    <n v="0"/>
    <n v="1"/>
    <n v="0"/>
    <n v="1"/>
    <s v="Yes"/>
    <x v="2"/>
  </r>
  <r>
    <n v="20292"/>
    <d v="2024-02-18T00:00:00"/>
    <x v="2"/>
    <s v="Delhi"/>
    <s v="SC_DEL_3"/>
    <x v="2"/>
    <s v="Panamera"/>
    <s v="Sedan"/>
    <x v="1"/>
    <x v="3"/>
    <x v="2"/>
    <x v="1"/>
    <n v="21"/>
    <n v="7"/>
    <x v="1"/>
    <x v="1"/>
    <n v="381939"/>
    <n v="314374"/>
    <n v="67565"/>
    <x v="0"/>
    <n v="0"/>
    <n v="0"/>
    <n v="1"/>
    <n v="0"/>
    <n v="1"/>
    <s v="Yes"/>
    <x v="0"/>
  </r>
  <r>
    <n v="20293"/>
    <d v="2024-02-09T00:00:00"/>
    <x v="2"/>
    <s v="Noida"/>
    <s v="SC_NOI_5"/>
    <x v="1"/>
    <s v="Taycan"/>
    <s v="Sedan"/>
    <x v="1"/>
    <x v="0"/>
    <x v="2"/>
    <x v="1"/>
    <n v="20"/>
    <n v="7"/>
    <x v="0"/>
    <x v="0"/>
    <n v="390524"/>
    <n v="217227"/>
    <n v="173297"/>
    <x v="0"/>
    <n v="0"/>
    <n v="1"/>
    <n v="0"/>
    <n v="1"/>
    <n v="1"/>
    <s v="Yes"/>
    <x v="0"/>
  </r>
  <r>
    <n v="20294"/>
    <d v="2024-06-01T00:00:00"/>
    <x v="3"/>
    <s v="Ahmedabad"/>
    <s v="SC_AHM_4"/>
    <x v="0"/>
    <s v="Veyron"/>
    <s v="Hypercar"/>
    <x v="1"/>
    <x v="3"/>
    <x v="2"/>
    <x v="0"/>
    <n v="15"/>
    <n v="7"/>
    <x v="1"/>
    <x v="0"/>
    <n v="581931"/>
    <n v="460226"/>
    <n v="121705"/>
    <x v="1"/>
    <n v="0"/>
    <n v="1"/>
    <n v="1"/>
    <n v="0"/>
    <n v="1"/>
    <s v="Yes"/>
    <x v="0"/>
  </r>
  <r>
    <n v="20295"/>
    <d v="2024-04-10T00:00:00"/>
    <x v="0"/>
    <s v="Bengaluru"/>
    <s v="SC_BEN_3"/>
    <x v="0"/>
    <s v="Chiron"/>
    <s v="Hypercar"/>
    <x v="0"/>
    <x v="0"/>
    <x v="2"/>
    <x v="1"/>
    <n v="2"/>
    <n v="7"/>
    <x v="0"/>
    <x v="0"/>
    <n v="521587"/>
    <n v="283185"/>
    <n v="238402"/>
    <x v="3"/>
    <n v="0"/>
    <n v="1"/>
    <n v="0"/>
    <n v="1"/>
    <n v="1"/>
    <s v="No"/>
    <x v="2"/>
  </r>
  <r>
    <n v="20296"/>
    <d v="2024-06-20T00:00:00"/>
    <x v="1"/>
    <s v="Patna"/>
    <s v="SC_PAT_2"/>
    <x v="1"/>
    <s v="Macan"/>
    <s v="SUV"/>
    <x v="1"/>
    <x v="3"/>
    <x v="1"/>
    <x v="1"/>
    <n v="9"/>
    <n v="7"/>
    <x v="0"/>
    <x v="0"/>
    <n v="247953"/>
    <n v="148690"/>
    <n v="99263"/>
    <x v="2"/>
    <n v="0"/>
    <n v="1"/>
    <n v="0"/>
    <n v="1"/>
    <n v="1"/>
    <s v="Yes"/>
    <x v="1"/>
  </r>
  <r>
    <n v="20297"/>
    <d v="2024-02-17T00:00:00"/>
    <x v="3"/>
    <s v="Pune"/>
    <s v="SC_PUN_3"/>
    <x v="2"/>
    <s v="Chiron"/>
    <s v="Hypercar"/>
    <x v="0"/>
    <x v="3"/>
    <x v="1"/>
    <x v="1"/>
    <n v="11"/>
    <n v="7"/>
    <x v="1"/>
    <x v="1"/>
    <n v="540048"/>
    <n v="302958"/>
    <n v="237090"/>
    <x v="2"/>
    <n v="0"/>
    <n v="0"/>
    <n v="1"/>
    <n v="0"/>
    <n v="1"/>
    <s v="Yes"/>
    <x v="1"/>
  </r>
  <r>
    <n v="20298"/>
    <d v="2024-01-20T00:00:00"/>
    <x v="1"/>
    <s v="Bhubaneswar"/>
    <s v="SC_BHU_1"/>
    <x v="1"/>
    <s v="Chiron"/>
    <s v="Hypercar"/>
    <x v="1"/>
    <x v="0"/>
    <x v="2"/>
    <x v="0"/>
    <n v="5"/>
    <n v="7"/>
    <x v="1"/>
    <x v="0"/>
    <n v="224589"/>
    <n v="186557"/>
    <n v="38032"/>
    <x v="3"/>
    <n v="0"/>
    <n v="1"/>
    <n v="1"/>
    <n v="0"/>
    <n v="1"/>
    <s v="No"/>
    <x v="2"/>
  </r>
  <r>
    <n v="20299"/>
    <d v="2024-01-01T00:00:00"/>
    <x v="2"/>
    <s v="Delhi"/>
    <s v="SC_DEL_1"/>
    <x v="1"/>
    <s v="Macan"/>
    <s v="SUV"/>
    <x v="1"/>
    <x v="4"/>
    <x v="2"/>
    <x v="0"/>
    <n v="4"/>
    <n v="7"/>
    <x v="0"/>
    <x v="0"/>
    <n v="399902"/>
    <n v="282894"/>
    <n v="117008"/>
    <x v="3"/>
    <n v="0"/>
    <n v="1"/>
    <n v="0"/>
    <n v="1"/>
    <n v="1"/>
    <s v="No"/>
    <x v="2"/>
  </r>
  <r>
    <n v="20300"/>
    <d v="2024-02-05T00:00:00"/>
    <x v="0"/>
    <s v="Hyderabad"/>
    <s v="SC_HYD_1"/>
    <x v="2"/>
    <s v="911"/>
    <s v="Coupe"/>
    <x v="0"/>
    <x v="0"/>
    <x v="2"/>
    <x v="1"/>
    <n v="13"/>
    <n v="7"/>
    <x v="1"/>
    <x v="0"/>
    <n v="348438"/>
    <n v="261557"/>
    <n v="86881"/>
    <x v="2"/>
    <n v="0"/>
    <n v="1"/>
    <n v="1"/>
    <n v="0"/>
    <n v="1"/>
    <s v="Yes"/>
    <x v="1"/>
  </r>
  <r>
    <n v="20301"/>
    <d v="2024-02-11T00:00:00"/>
    <x v="2"/>
    <s v="Noida"/>
    <s v="SC_NOI_4"/>
    <x v="0"/>
    <s v="Cayenne"/>
    <s v="SUV"/>
    <x v="0"/>
    <x v="1"/>
    <x v="2"/>
    <x v="0"/>
    <n v="8"/>
    <n v="7"/>
    <x v="0"/>
    <x v="1"/>
    <n v="166622"/>
    <n v="101729"/>
    <n v="64893"/>
    <x v="2"/>
    <n v="166622"/>
    <n v="0"/>
    <n v="0"/>
    <n v="1"/>
    <n v="1"/>
    <s v="Yes"/>
    <x v="1"/>
  </r>
  <r>
    <n v="20302"/>
    <d v="2024-06-03T00:00:00"/>
    <x v="3"/>
    <s v="Pune"/>
    <s v="SC_PUN_3"/>
    <x v="1"/>
    <s v="Chiron"/>
    <s v="Hypercar"/>
    <x v="0"/>
    <x v="0"/>
    <x v="0"/>
    <x v="1"/>
    <n v="25"/>
    <n v="7"/>
    <x v="0"/>
    <x v="0"/>
    <n v="151652"/>
    <n v="127272"/>
    <n v="24380"/>
    <x v="0"/>
    <n v="0"/>
    <n v="1"/>
    <n v="0"/>
    <n v="1"/>
    <n v="1"/>
    <s v="Yes"/>
    <x v="0"/>
  </r>
  <r>
    <n v="20303"/>
    <d v="2024-03-08T00:00:00"/>
    <x v="1"/>
    <s v="Bhubaneswar"/>
    <s v="SC_BHU_3"/>
    <x v="1"/>
    <s v="Macan"/>
    <s v="SUV"/>
    <x v="1"/>
    <x v="1"/>
    <x v="0"/>
    <x v="1"/>
    <n v="7"/>
    <n v="7"/>
    <x v="0"/>
    <x v="1"/>
    <n v="221434"/>
    <n v="151293"/>
    <n v="70141"/>
    <x v="2"/>
    <n v="221434"/>
    <n v="0"/>
    <n v="0"/>
    <n v="1"/>
    <n v="1"/>
    <s v="No"/>
    <x v="1"/>
  </r>
  <r>
    <n v="20304"/>
    <d v="2024-01-03T00:00:00"/>
    <x v="1"/>
    <s v="Bhubaneswar"/>
    <s v="SC_BHU_1"/>
    <x v="0"/>
    <s v="Macan"/>
    <s v="SUV"/>
    <x v="0"/>
    <x v="4"/>
    <x v="1"/>
    <x v="1"/>
    <n v="12"/>
    <n v="7"/>
    <x v="0"/>
    <x v="0"/>
    <n v="288807"/>
    <n v="215073"/>
    <n v="73734"/>
    <x v="1"/>
    <n v="0"/>
    <n v="1"/>
    <n v="0"/>
    <n v="1"/>
    <n v="1"/>
    <s v="Yes"/>
    <x v="0"/>
  </r>
  <r>
    <n v="20305"/>
    <d v="2024-03-11T00:00:00"/>
    <x v="3"/>
    <s v="Mumbai"/>
    <s v="SC_MUM_1"/>
    <x v="0"/>
    <s v="Taycan"/>
    <s v="Sedan"/>
    <x v="0"/>
    <x v="2"/>
    <x v="2"/>
    <x v="0"/>
    <n v="18"/>
    <n v="7"/>
    <x v="0"/>
    <x v="0"/>
    <n v="110714"/>
    <n v="56879"/>
    <n v="53835"/>
    <x v="0"/>
    <n v="0"/>
    <n v="1"/>
    <n v="0"/>
    <n v="1"/>
    <n v="1"/>
    <s v="Yes"/>
    <x v="0"/>
  </r>
  <r>
    <n v="20306"/>
    <d v="2024-05-29T00:00:00"/>
    <x v="1"/>
    <s v="Patna"/>
    <s v="SC_PAT_1"/>
    <x v="0"/>
    <s v="Chiron"/>
    <s v="Hypercar"/>
    <x v="0"/>
    <x v="1"/>
    <x v="2"/>
    <x v="1"/>
    <n v="23"/>
    <n v="7"/>
    <x v="1"/>
    <x v="1"/>
    <n v="132415"/>
    <n v="87542"/>
    <n v="44873"/>
    <x v="0"/>
    <n v="0"/>
    <n v="0"/>
    <n v="1"/>
    <n v="0"/>
    <n v="1"/>
    <s v="Yes"/>
    <x v="0"/>
  </r>
  <r>
    <n v="20307"/>
    <d v="2024-05-02T00:00:00"/>
    <x v="3"/>
    <s v="Pune"/>
    <s v="SC_PUN_5"/>
    <x v="1"/>
    <s v="911"/>
    <s v="Coupe"/>
    <x v="0"/>
    <x v="0"/>
    <x v="1"/>
    <x v="1"/>
    <n v="4"/>
    <n v="7"/>
    <x v="1"/>
    <x v="0"/>
    <n v="129991"/>
    <n v="101387"/>
    <n v="28604"/>
    <x v="4"/>
    <n v="0"/>
    <n v="1"/>
    <n v="1"/>
    <n v="0"/>
    <n v="1"/>
    <s v="No"/>
    <x v="2"/>
  </r>
  <r>
    <n v="20308"/>
    <d v="2024-01-23T00:00:00"/>
    <x v="2"/>
    <s v="Delhi"/>
    <s v="SC_DEL_2"/>
    <x v="1"/>
    <s v="Taycan"/>
    <s v="Sedan"/>
    <x v="1"/>
    <x v="3"/>
    <x v="1"/>
    <x v="0"/>
    <n v="6"/>
    <n v="7"/>
    <x v="0"/>
    <x v="1"/>
    <n v="195275"/>
    <n v="145978"/>
    <n v="49297"/>
    <x v="2"/>
    <n v="195275"/>
    <n v="0"/>
    <n v="0"/>
    <n v="1"/>
    <n v="1"/>
    <s v="No"/>
    <x v="1"/>
  </r>
  <r>
    <n v="20309"/>
    <d v="2024-01-11T00:00:00"/>
    <x v="3"/>
    <s v="Ahmedabad"/>
    <s v="SC_AHM_4"/>
    <x v="2"/>
    <s v="Veyron"/>
    <s v="Hypercar"/>
    <x v="0"/>
    <x v="3"/>
    <x v="2"/>
    <x v="0"/>
    <n v="2"/>
    <n v="7"/>
    <x v="1"/>
    <x v="0"/>
    <n v="553865"/>
    <n v="452700"/>
    <n v="101165"/>
    <x v="4"/>
    <n v="0"/>
    <n v="1"/>
    <n v="1"/>
    <n v="0"/>
    <n v="1"/>
    <s v="No"/>
    <x v="2"/>
  </r>
  <r>
    <n v="20310"/>
    <d v="2024-06-01T00:00:00"/>
    <x v="1"/>
    <s v="Bhubaneswar"/>
    <s v="SC_BHU_3"/>
    <x v="1"/>
    <s v="Taycan"/>
    <s v="Sedan"/>
    <x v="0"/>
    <x v="1"/>
    <x v="2"/>
    <x v="1"/>
    <n v="9"/>
    <n v="7"/>
    <x v="0"/>
    <x v="0"/>
    <n v="355631"/>
    <n v="251970"/>
    <n v="103661"/>
    <x v="2"/>
    <n v="0"/>
    <n v="1"/>
    <n v="0"/>
    <n v="1"/>
    <n v="1"/>
    <s v="Yes"/>
    <x v="1"/>
  </r>
  <r>
    <n v="20311"/>
    <d v="2024-01-20T00:00:00"/>
    <x v="1"/>
    <s v="Patna"/>
    <s v="SC_PAT_5"/>
    <x v="1"/>
    <s v="Chiron"/>
    <s v="Hypercar"/>
    <x v="0"/>
    <x v="4"/>
    <x v="0"/>
    <x v="0"/>
    <n v="22"/>
    <n v="7"/>
    <x v="0"/>
    <x v="1"/>
    <n v="428066"/>
    <n v="261035"/>
    <n v="167031"/>
    <x v="0"/>
    <n v="428066"/>
    <n v="0"/>
    <n v="0"/>
    <n v="1"/>
    <n v="1"/>
    <s v="Yes"/>
    <x v="0"/>
  </r>
  <r>
    <n v="20312"/>
    <d v="2024-02-08T00:00:00"/>
    <x v="3"/>
    <s v="Ahmedabad"/>
    <s v="SC_AHM_3"/>
    <x v="0"/>
    <s v="Chiron"/>
    <s v="Hypercar"/>
    <x v="1"/>
    <x v="4"/>
    <x v="1"/>
    <x v="0"/>
    <n v="5"/>
    <n v="7"/>
    <x v="1"/>
    <x v="1"/>
    <n v="114030"/>
    <n v="69673"/>
    <n v="44357"/>
    <x v="3"/>
    <n v="0"/>
    <n v="0"/>
    <n v="1"/>
    <n v="0"/>
    <n v="1"/>
    <s v="No"/>
    <x v="2"/>
  </r>
  <r>
    <n v="20313"/>
    <d v="2024-04-13T00:00:00"/>
    <x v="1"/>
    <s v="Patna"/>
    <s v="SC_PAT_5"/>
    <x v="1"/>
    <s v="Taycan"/>
    <s v="Sedan"/>
    <x v="0"/>
    <x v="3"/>
    <x v="1"/>
    <x v="0"/>
    <n v="12"/>
    <n v="7"/>
    <x v="1"/>
    <x v="1"/>
    <n v="278384"/>
    <n v="167466"/>
    <n v="110918"/>
    <x v="2"/>
    <n v="0"/>
    <n v="0"/>
    <n v="1"/>
    <n v="0"/>
    <n v="1"/>
    <s v="Yes"/>
    <x v="1"/>
  </r>
  <r>
    <n v="20314"/>
    <d v="2024-06-04T00:00:00"/>
    <x v="2"/>
    <s v="Gurugram"/>
    <s v="SC_GUR_2"/>
    <x v="1"/>
    <s v="Taycan"/>
    <s v="Sedan"/>
    <x v="0"/>
    <x v="2"/>
    <x v="2"/>
    <x v="1"/>
    <n v="6"/>
    <n v="7"/>
    <x v="1"/>
    <x v="1"/>
    <n v="182212"/>
    <n v="148955"/>
    <n v="33257"/>
    <x v="3"/>
    <n v="0"/>
    <n v="0"/>
    <n v="1"/>
    <n v="0"/>
    <n v="1"/>
    <s v="No"/>
    <x v="2"/>
  </r>
  <r>
    <n v="20315"/>
    <d v="2024-06-10T00:00:00"/>
    <x v="2"/>
    <s v="Noida"/>
    <s v="SC_NOI_1"/>
    <x v="1"/>
    <s v="Macan"/>
    <s v="SUV"/>
    <x v="1"/>
    <x v="3"/>
    <x v="0"/>
    <x v="1"/>
    <n v="8"/>
    <n v="7"/>
    <x v="1"/>
    <x v="1"/>
    <n v="174924"/>
    <n v="96201"/>
    <n v="78723"/>
    <x v="3"/>
    <n v="0"/>
    <n v="0"/>
    <n v="1"/>
    <n v="0"/>
    <n v="1"/>
    <s v="Yes"/>
    <x v="2"/>
  </r>
  <r>
    <n v="20316"/>
    <d v="2024-01-16T00:00:00"/>
    <x v="3"/>
    <s v="Pune"/>
    <s v="SC_PUN_1"/>
    <x v="0"/>
    <s v="911"/>
    <s v="Coupe"/>
    <x v="0"/>
    <x v="3"/>
    <x v="1"/>
    <x v="0"/>
    <n v="13"/>
    <n v="7"/>
    <x v="0"/>
    <x v="1"/>
    <n v="441613"/>
    <n v="326429"/>
    <n v="115184"/>
    <x v="1"/>
    <n v="441613"/>
    <n v="0"/>
    <n v="0"/>
    <n v="1"/>
    <n v="1"/>
    <s v="Yes"/>
    <x v="0"/>
  </r>
  <r>
    <n v="20317"/>
    <d v="2024-03-30T00:00:00"/>
    <x v="1"/>
    <s v="Patna"/>
    <s v="SC_PAT_1"/>
    <x v="0"/>
    <s v="911"/>
    <s v="Coupe"/>
    <x v="0"/>
    <x v="3"/>
    <x v="2"/>
    <x v="1"/>
    <n v="11"/>
    <n v="7"/>
    <x v="0"/>
    <x v="1"/>
    <n v="530786"/>
    <n v="337112"/>
    <n v="193674"/>
    <x v="1"/>
    <n v="530786"/>
    <n v="0"/>
    <n v="0"/>
    <n v="1"/>
    <n v="1"/>
    <s v="Yes"/>
    <x v="0"/>
  </r>
  <r>
    <n v="20318"/>
    <d v="2024-05-12T00:00:00"/>
    <x v="3"/>
    <s v="Mumbai"/>
    <s v="SC_MUM_5"/>
    <x v="1"/>
    <s v="Cayenne"/>
    <s v="SUV"/>
    <x v="1"/>
    <x v="3"/>
    <x v="2"/>
    <x v="1"/>
    <n v="21"/>
    <n v="7"/>
    <x v="1"/>
    <x v="1"/>
    <n v="449937"/>
    <n v="257753"/>
    <n v="192184"/>
    <x v="0"/>
    <n v="0"/>
    <n v="0"/>
    <n v="1"/>
    <n v="0"/>
    <n v="1"/>
    <s v="Yes"/>
    <x v="0"/>
  </r>
  <r>
    <n v="20319"/>
    <d v="2024-05-01T00:00:00"/>
    <x v="0"/>
    <s v="Hyderabad"/>
    <s v="SC_HYD_1"/>
    <x v="0"/>
    <s v="Cayenne"/>
    <s v="SUV"/>
    <x v="1"/>
    <x v="0"/>
    <x v="0"/>
    <x v="1"/>
    <n v="4"/>
    <n v="7"/>
    <x v="1"/>
    <x v="1"/>
    <n v="306610"/>
    <n v="176830"/>
    <n v="129780"/>
    <x v="4"/>
    <n v="0"/>
    <n v="0"/>
    <n v="1"/>
    <n v="0"/>
    <n v="1"/>
    <s v="No"/>
    <x v="2"/>
  </r>
  <r>
    <n v="20320"/>
    <d v="2024-06-05T00:00:00"/>
    <x v="3"/>
    <s v="Pune"/>
    <s v="SC_PUN_1"/>
    <x v="1"/>
    <s v="Cayenne"/>
    <s v="SUV"/>
    <x v="0"/>
    <x v="0"/>
    <x v="0"/>
    <x v="1"/>
    <n v="24"/>
    <n v="7"/>
    <x v="0"/>
    <x v="1"/>
    <n v="246644"/>
    <n v="142191"/>
    <n v="104453"/>
    <x v="0"/>
    <n v="246644"/>
    <n v="0"/>
    <n v="0"/>
    <n v="1"/>
    <n v="1"/>
    <s v="Yes"/>
    <x v="0"/>
  </r>
  <r>
    <n v="20321"/>
    <d v="2024-05-30T00:00:00"/>
    <x v="2"/>
    <s v="Noida"/>
    <s v="SC_NOI_3"/>
    <x v="1"/>
    <s v="Veyron"/>
    <s v="Hypercar"/>
    <x v="0"/>
    <x v="4"/>
    <x v="2"/>
    <x v="1"/>
    <n v="15"/>
    <n v="7"/>
    <x v="1"/>
    <x v="1"/>
    <n v="413744"/>
    <n v="267806"/>
    <n v="145938"/>
    <x v="1"/>
    <n v="0"/>
    <n v="0"/>
    <n v="1"/>
    <n v="0"/>
    <n v="1"/>
    <s v="Yes"/>
    <x v="0"/>
  </r>
  <r>
    <n v="20322"/>
    <d v="2024-03-16T00:00:00"/>
    <x v="3"/>
    <s v="Ahmedabad"/>
    <s v="SC_AHM_2"/>
    <x v="2"/>
    <s v="Cayenne"/>
    <s v="SUV"/>
    <x v="1"/>
    <x v="2"/>
    <x v="0"/>
    <x v="1"/>
    <n v="17"/>
    <n v="7"/>
    <x v="0"/>
    <x v="1"/>
    <n v="534969"/>
    <n v="317161"/>
    <n v="217808"/>
    <x v="0"/>
    <n v="534969"/>
    <n v="0"/>
    <n v="0"/>
    <n v="1"/>
    <n v="1"/>
    <s v="Yes"/>
    <x v="0"/>
  </r>
  <r>
    <n v="20323"/>
    <d v="2024-01-31T00:00:00"/>
    <x v="0"/>
    <s v="Bengaluru"/>
    <s v="SC_BEN_3"/>
    <x v="0"/>
    <s v="911"/>
    <s v="Coupe"/>
    <x v="0"/>
    <x v="1"/>
    <x v="0"/>
    <x v="0"/>
    <n v="3"/>
    <n v="7"/>
    <x v="0"/>
    <x v="1"/>
    <n v="431397"/>
    <n v="243811"/>
    <n v="187586"/>
    <x v="3"/>
    <n v="431397"/>
    <n v="0"/>
    <n v="0"/>
    <n v="1"/>
    <n v="1"/>
    <s v="No"/>
    <x v="2"/>
  </r>
  <r>
    <n v="20324"/>
    <d v="2024-06-27T00:00:00"/>
    <x v="3"/>
    <s v="Mumbai"/>
    <s v="SC_MUM_5"/>
    <x v="0"/>
    <s v="Panamera"/>
    <s v="Sedan"/>
    <x v="1"/>
    <x v="2"/>
    <x v="0"/>
    <x v="0"/>
    <n v="8"/>
    <n v="7"/>
    <x v="0"/>
    <x v="1"/>
    <n v="578753"/>
    <n v="308597"/>
    <n v="270156"/>
    <x v="2"/>
    <n v="578753"/>
    <n v="0"/>
    <n v="0"/>
    <n v="1"/>
    <n v="1"/>
    <s v="Yes"/>
    <x v="1"/>
  </r>
  <r>
    <n v="20325"/>
    <d v="2024-06-27T00:00:00"/>
    <x v="0"/>
    <s v="Chennai"/>
    <s v="SC_CHE_1"/>
    <x v="2"/>
    <s v="Panamera"/>
    <s v="Sedan"/>
    <x v="1"/>
    <x v="1"/>
    <x v="2"/>
    <x v="0"/>
    <n v="3"/>
    <n v="7"/>
    <x v="0"/>
    <x v="1"/>
    <n v="375996"/>
    <n v="309788"/>
    <n v="66208"/>
    <x v="3"/>
    <n v="375996"/>
    <n v="0"/>
    <n v="0"/>
    <n v="1"/>
    <n v="1"/>
    <s v="No"/>
    <x v="2"/>
  </r>
  <r>
    <n v="20326"/>
    <d v="2024-05-24T00:00:00"/>
    <x v="0"/>
    <s v="Chennai"/>
    <s v="SC_CHE_2"/>
    <x v="1"/>
    <s v="911"/>
    <s v="Coupe"/>
    <x v="1"/>
    <x v="2"/>
    <x v="1"/>
    <x v="1"/>
    <n v="2"/>
    <n v="7"/>
    <x v="1"/>
    <x v="0"/>
    <n v="523746"/>
    <n v="442548"/>
    <n v="81198"/>
    <x v="4"/>
    <n v="0"/>
    <n v="1"/>
    <n v="1"/>
    <n v="0"/>
    <n v="1"/>
    <s v="No"/>
    <x v="2"/>
  </r>
  <r>
    <n v="20327"/>
    <d v="2024-06-08T00:00:00"/>
    <x v="3"/>
    <s v="Ahmedabad"/>
    <s v="SC_AHM_3"/>
    <x v="2"/>
    <s v="Veyron"/>
    <s v="Hypercar"/>
    <x v="0"/>
    <x v="1"/>
    <x v="0"/>
    <x v="1"/>
    <n v="6"/>
    <n v="7"/>
    <x v="0"/>
    <x v="0"/>
    <n v="292568"/>
    <n v="165162"/>
    <n v="127406"/>
    <x v="2"/>
    <n v="0"/>
    <n v="1"/>
    <n v="0"/>
    <n v="1"/>
    <n v="1"/>
    <s v="No"/>
    <x v="1"/>
  </r>
  <r>
    <n v="20328"/>
    <d v="2024-03-08T00:00:00"/>
    <x v="1"/>
    <s v="Kolkata"/>
    <s v="SC_KOL_3"/>
    <x v="0"/>
    <s v="Macan"/>
    <s v="SUV"/>
    <x v="0"/>
    <x v="2"/>
    <x v="2"/>
    <x v="0"/>
    <n v="4"/>
    <n v="7"/>
    <x v="1"/>
    <x v="1"/>
    <n v="212938"/>
    <n v="139328"/>
    <n v="73610"/>
    <x v="4"/>
    <n v="0"/>
    <n v="0"/>
    <n v="1"/>
    <n v="0"/>
    <n v="1"/>
    <s v="No"/>
    <x v="2"/>
  </r>
  <r>
    <n v="20329"/>
    <d v="2024-01-31T00:00:00"/>
    <x v="1"/>
    <s v="Kolkata"/>
    <s v="SC_KOL_2"/>
    <x v="0"/>
    <s v="Chiron"/>
    <s v="Hypercar"/>
    <x v="1"/>
    <x v="1"/>
    <x v="0"/>
    <x v="0"/>
    <n v="18"/>
    <n v="7"/>
    <x v="0"/>
    <x v="1"/>
    <n v="584134"/>
    <n v="411824"/>
    <n v="172310"/>
    <x v="0"/>
    <n v="584134"/>
    <n v="0"/>
    <n v="0"/>
    <n v="1"/>
    <n v="1"/>
    <s v="Yes"/>
    <x v="0"/>
  </r>
  <r>
    <n v="20330"/>
    <d v="2024-02-29T00:00:00"/>
    <x v="3"/>
    <s v="Pune"/>
    <s v="SC_PUN_2"/>
    <x v="0"/>
    <s v="Cayenne"/>
    <s v="SUV"/>
    <x v="1"/>
    <x v="2"/>
    <x v="2"/>
    <x v="0"/>
    <n v="12"/>
    <n v="7"/>
    <x v="1"/>
    <x v="0"/>
    <n v="198633"/>
    <n v="144380"/>
    <n v="54253"/>
    <x v="2"/>
    <n v="0"/>
    <n v="1"/>
    <n v="1"/>
    <n v="0"/>
    <n v="1"/>
    <s v="Yes"/>
    <x v="1"/>
  </r>
  <r>
    <n v="20331"/>
    <d v="2024-03-10T00:00:00"/>
    <x v="3"/>
    <s v="Pune"/>
    <s v="SC_PUN_2"/>
    <x v="2"/>
    <s v="Macan"/>
    <s v="SUV"/>
    <x v="1"/>
    <x v="1"/>
    <x v="2"/>
    <x v="0"/>
    <n v="15"/>
    <n v="7"/>
    <x v="1"/>
    <x v="1"/>
    <n v="376225"/>
    <n v="287428"/>
    <n v="88797"/>
    <x v="1"/>
    <n v="0"/>
    <n v="0"/>
    <n v="1"/>
    <n v="0"/>
    <n v="1"/>
    <s v="Yes"/>
    <x v="0"/>
  </r>
  <r>
    <n v="20332"/>
    <d v="2024-06-23T00:00:00"/>
    <x v="1"/>
    <s v="Bhubaneswar"/>
    <s v="SC_BHU_1"/>
    <x v="1"/>
    <s v="Chiron"/>
    <s v="Hypercar"/>
    <x v="1"/>
    <x v="0"/>
    <x v="2"/>
    <x v="1"/>
    <n v="2"/>
    <n v="7"/>
    <x v="0"/>
    <x v="1"/>
    <n v="423681"/>
    <n v="280911"/>
    <n v="142770"/>
    <x v="3"/>
    <n v="423681"/>
    <n v="0"/>
    <n v="0"/>
    <n v="1"/>
    <n v="1"/>
    <s v="No"/>
    <x v="2"/>
  </r>
  <r>
    <n v="20333"/>
    <d v="2024-03-17T00:00:00"/>
    <x v="0"/>
    <s v="Bengaluru"/>
    <s v="SC_BEN_5"/>
    <x v="2"/>
    <s v="Taycan"/>
    <s v="Sedan"/>
    <x v="0"/>
    <x v="4"/>
    <x v="1"/>
    <x v="0"/>
    <n v="23"/>
    <n v="7"/>
    <x v="1"/>
    <x v="1"/>
    <n v="534913"/>
    <n v="391849"/>
    <n v="143064"/>
    <x v="0"/>
    <n v="0"/>
    <n v="0"/>
    <n v="1"/>
    <n v="0"/>
    <n v="1"/>
    <s v="Yes"/>
    <x v="0"/>
  </r>
  <r>
    <n v="20334"/>
    <d v="2024-05-04T00:00:00"/>
    <x v="0"/>
    <s v="Hyderabad"/>
    <s v="SC_HYD_3"/>
    <x v="1"/>
    <s v="911"/>
    <s v="Coupe"/>
    <x v="1"/>
    <x v="3"/>
    <x v="0"/>
    <x v="1"/>
    <n v="8"/>
    <n v="7"/>
    <x v="1"/>
    <x v="1"/>
    <n v="420083"/>
    <n v="304104"/>
    <n v="115979"/>
    <x v="3"/>
    <n v="0"/>
    <n v="0"/>
    <n v="1"/>
    <n v="0"/>
    <n v="1"/>
    <s v="Yes"/>
    <x v="2"/>
  </r>
  <r>
    <n v="20335"/>
    <d v="2024-03-03T00:00:00"/>
    <x v="3"/>
    <s v="Mumbai"/>
    <s v="SC_MUM_5"/>
    <x v="0"/>
    <s v="Taycan"/>
    <s v="Sedan"/>
    <x v="1"/>
    <x v="0"/>
    <x v="2"/>
    <x v="0"/>
    <n v="4"/>
    <n v="7"/>
    <x v="0"/>
    <x v="1"/>
    <n v="503882"/>
    <n v="406558"/>
    <n v="97324"/>
    <x v="3"/>
    <n v="503882"/>
    <n v="0"/>
    <n v="0"/>
    <n v="1"/>
    <n v="1"/>
    <s v="No"/>
    <x v="2"/>
  </r>
  <r>
    <n v="20336"/>
    <d v="2024-06-21T00:00:00"/>
    <x v="3"/>
    <s v="Pune"/>
    <s v="SC_PUN_1"/>
    <x v="0"/>
    <s v="Panamera"/>
    <s v="Sedan"/>
    <x v="1"/>
    <x v="1"/>
    <x v="1"/>
    <x v="1"/>
    <n v="14"/>
    <n v="7"/>
    <x v="0"/>
    <x v="1"/>
    <n v="443739"/>
    <n v="237970"/>
    <n v="205769"/>
    <x v="1"/>
    <n v="443739"/>
    <n v="0"/>
    <n v="0"/>
    <n v="1"/>
    <n v="1"/>
    <s v="Yes"/>
    <x v="0"/>
  </r>
  <r>
    <n v="20337"/>
    <d v="2024-05-08T00:00:00"/>
    <x v="0"/>
    <s v="Chennai"/>
    <s v="SC_CHE_3"/>
    <x v="0"/>
    <s v="Macan"/>
    <s v="SUV"/>
    <x v="0"/>
    <x v="3"/>
    <x v="2"/>
    <x v="1"/>
    <n v="14"/>
    <n v="7"/>
    <x v="0"/>
    <x v="1"/>
    <n v="366116"/>
    <n v="208457"/>
    <n v="157659"/>
    <x v="1"/>
    <n v="366116"/>
    <n v="0"/>
    <n v="0"/>
    <n v="1"/>
    <n v="1"/>
    <s v="Yes"/>
    <x v="0"/>
  </r>
  <r>
    <n v="20338"/>
    <d v="2024-02-03T00:00:00"/>
    <x v="3"/>
    <s v="Mumbai"/>
    <s v="SC_MUM_2"/>
    <x v="0"/>
    <s v="Macan"/>
    <s v="SUV"/>
    <x v="0"/>
    <x v="3"/>
    <x v="2"/>
    <x v="0"/>
    <n v="11"/>
    <n v="7"/>
    <x v="1"/>
    <x v="0"/>
    <n v="556124"/>
    <n v="350563"/>
    <n v="205561"/>
    <x v="2"/>
    <n v="0"/>
    <n v="1"/>
    <n v="1"/>
    <n v="0"/>
    <n v="1"/>
    <s v="Yes"/>
    <x v="1"/>
  </r>
  <r>
    <n v="20339"/>
    <d v="2024-01-28T00:00:00"/>
    <x v="3"/>
    <s v="Pune"/>
    <s v="SC_PUN_3"/>
    <x v="2"/>
    <s v="Taycan"/>
    <s v="Sedan"/>
    <x v="1"/>
    <x v="1"/>
    <x v="0"/>
    <x v="0"/>
    <n v="18"/>
    <n v="7"/>
    <x v="0"/>
    <x v="1"/>
    <n v="158816"/>
    <n v="130770"/>
    <n v="28046"/>
    <x v="0"/>
    <n v="158816"/>
    <n v="0"/>
    <n v="0"/>
    <n v="1"/>
    <n v="1"/>
    <s v="Yes"/>
    <x v="0"/>
  </r>
  <r>
    <n v="20340"/>
    <d v="2024-04-08T00:00:00"/>
    <x v="3"/>
    <s v="Pune"/>
    <s v="SC_PUN_4"/>
    <x v="2"/>
    <s v="Veyron"/>
    <s v="Hypercar"/>
    <x v="0"/>
    <x v="3"/>
    <x v="0"/>
    <x v="0"/>
    <n v="9"/>
    <n v="7"/>
    <x v="0"/>
    <x v="1"/>
    <n v="276988"/>
    <n v="175585"/>
    <n v="101403"/>
    <x v="2"/>
    <n v="276988"/>
    <n v="0"/>
    <n v="0"/>
    <n v="1"/>
    <n v="1"/>
    <s v="Yes"/>
    <x v="1"/>
  </r>
  <r>
    <n v="20341"/>
    <d v="2024-03-19T00:00:00"/>
    <x v="1"/>
    <s v="Patna"/>
    <s v="SC_PAT_1"/>
    <x v="1"/>
    <s v="Taycan"/>
    <s v="Sedan"/>
    <x v="0"/>
    <x v="3"/>
    <x v="0"/>
    <x v="1"/>
    <n v="10"/>
    <n v="7"/>
    <x v="0"/>
    <x v="1"/>
    <n v="319405"/>
    <n v="214424"/>
    <n v="104981"/>
    <x v="1"/>
    <n v="319405"/>
    <n v="0"/>
    <n v="0"/>
    <n v="1"/>
    <n v="1"/>
    <s v="Yes"/>
    <x v="0"/>
  </r>
  <r>
    <n v="20342"/>
    <d v="2024-03-26T00:00:00"/>
    <x v="1"/>
    <s v="Patna"/>
    <s v="SC_PAT_4"/>
    <x v="1"/>
    <s v="Chiron"/>
    <s v="Hypercar"/>
    <x v="0"/>
    <x v="0"/>
    <x v="1"/>
    <x v="0"/>
    <n v="16"/>
    <n v="7"/>
    <x v="1"/>
    <x v="1"/>
    <n v="165975"/>
    <n v="130010"/>
    <n v="35965"/>
    <x v="1"/>
    <n v="0"/>
    <n v="0"/>
    <n v="1"/>
    <n v="0"/>
    <n v="1"/>
    <s v="Yes"/>
    <x v="0"/>
  </r>
  <r>
    <n v="20343"/>
    <d v="2024-01-15T00:00:00"/>
    <x v="2"/>
    <s v="Delhi"/>
    <s v="SC_DEL_3"/>
    <x v="0"/>
    <s v="911"/>
    <s v="Coupe"/>
    <x v="0"/>
    <x v="0"/>
    <x v="2"/>
    <x v="0"/>
    <n v="3"/>
    <n v="7"/>
    <x v="0"/>
    <x v="0"/>
    <n v="229140"/>
    <n v="174044"/>
    <n v="55096"/>
    <x v="3"/>
    <n v="0"/>
    <n v="1"/>
    <n v="0"/>
    <n v="1"/>
    <n v="1"/>
    <s v="No"/>
    <x v="2"/>
  </r>
  <r>
    <n v="20344"/>
    <d v="2024-03-05T00:00:00"/>
    <x v="0"/>
    <s v="Bengaluru"/>
    <s v="SC_BEN_4"/>
    <x v="1"/>
    <s v="Macan"/>
    <s v="SUV"/>
    <x v="0"/>
    <x v="0"/>
    <x v="1"/>
    <x v="1"/>
    <n v="13"/>
    <n v="7"/>
    <x v="1"/>
    <x v="0"/>
    <n v="139957"/>
    <n v="108863"/>
    <n v="31094"/>
    <x v="2"/>
    <n v="0"/>
    <n v="1"/>
    <n v="1"/>
    <n v="0"/>
    <n v="1"/>
    <s v="Yes"/>
    <x v="1"/>
  </r>
  <r>
    <n v="20345"/>
    <d v="2024-06-28T00:00:00"/>
    <x v="0"/>
    <s v="Bengaluru"/>
    <s v="SC_BEN_3"/>
    <x v="1"/>
    <s v="Cayenne"/>
    <s v="SUV"/>
    <x v="0"/>
    <x v="0"/>
    <x v="1"/>
    <x v="0"/>
    <n v="10"/>
    <n v="7"/>
    <x v="0"/>
    <x v="1"/>
    <n v="507914"/>
    <n v="422440"/>
    <n v="85474"/>
    <x v="1"/>
    <n v="507914"/>
    <n v="0"/>
    <n v="0"/>
    <n v="1"/>
    <n v="1"/>
    <s v="Yes"/>
    <x v="0"/>
  </r>
  <r>
    <n v="20346"/>
    <d v="2024-04-13T00:00:00"/>
    <x v="3"/>
    <s v="Mumbai"/>
    <s v="SC_MUM_3"/>
    <x v="1"/>
    <s v="Taycan"/>
    <s v="Sedan"/>
    <x v="0"/>
    <x v="4"/>
    <x v="0"/>
    <x v="0"/>
    <n v="13"/>
    <n v="7"/>
    <x v="0"/>
    <x v="0"/>
    <n v="265669"/>
    <n v="144269"/>
    <n v="121400"/>
    <x v="1"/>
    <n v="0"/>
    <n v="1"/>
    <n v="0"/>
    <n v="1"/>
    <n v="1"/>
    <s v="Yes"/>
    <x v="0"/>
  </r>
  <r>
    <n v="20347"/>
    <d v="2024-06-04T00:00:00"/>
    <x v="1"/>
    <s v="Bhubaneswar"/>
    <s v="SC_BHU_1"/>
    <x v="2"/>
    <s v="Taycan"/>
    <s v="Sedan"/>
    <x v="0"/>
    <x v="4"/>
    <x v="2"/>
    <x v="0"/>
    <n v="11"/>
    <n v="7"/>
    <x v="1"/>
    <x v="1"/>
    <n v="515723"/>
    <n v="425348"/>
    <n v="90375"/>
    <x v="2"/>
    <n v="0"/>
    <n v="0"/>
    <n v="1"/>
    <n v="0"/>
    <n v="1"/>
    <s v="Yes"/>
    <x v="1"/>
  </r>
  <r>
    <n v="20348"/>
    <d v="2024-05-07T00:00:00"/>
    <x v="2"/>
    <s v="Delhi"/>
    <s v="SC_DEL_1"/>
    <x v="1"/>
    <s v="Chiron"/>
    <s v="Hypercar"/>
    <x v="1"/>
    <x v="4"/>
    <x v="0"/>
    <x v="0"/>
    <n v="21"/>
    <n v="7"/>
    <x v="0"/>
    <x v="1"/>
    <n v="270668"/>
    <n v="155742"/>
    <n v="114926"/>
    <x v="0"/>
    <n v="270668"/>
    <n v="0"/>
    <n v="0"/>
    <n v="1"/>
    <n v="1"/>
    <s v="Yes"/>
    <x v="0"/>
  </r>
  <r>
    <n v="20349"/>
    <d v="2024-01-20T00:00:00"/>
    <x v="0"/>
    <s v="Chennai"/>
    <s v="SC_CHE_1"/>
    <x v="2"/>
    <s v="Panamera"/>
    <s v="Sedan"/>
    <x v="1"/>
    <x v="3"/>
    <x v="1"/>
    <x v="0"/>
    <n v="10"/>
    <n v="7"/>
    <x v="0"/>
    <x v="1"/>
    <n v="217578"/>
    <n v="139395"/>
    <n v="78183"/>
    <x v="1"/>
    <n v="217578"/>
    <n v="0"/>
    <n v="0"/>
    <n v="1"/>
    <n v="1"/>
    <s v="Yes"/>
    <x v="0"/>
  </r>
  <r>
    <n v="20350"/>
    <d v="2024-03-15T00:00:00"/>
    <x v="0"/>
    <s v="Chennai"/>
    <s v="SC_CHE_5"/>
    <x v="2"/>
    <s v="Veyron"/>
    <s v="Hypercar"/>
    <x v="0"/>
    <x v="0"/>
    <x v="2"/>
    <x v="1"/>
    <n v="25"/>
    <n v="7"/>
    <x v="1"/>
    <x v="0"/>
    <n v="166032"/>
    <n v="133141"/>
    <n v="32891"/>
    <x v="0"/>
    <n v="0"/>
    <n v="1"/>
    <n v="1"/>
    <n v="0"/>
    <n v="1"/>
    <s v="Yes"/>
    <x v="0"/>
  </r>
  <r>
    <n v="20351"/>
    <d v="2024-04-09T00:00:00"/>
    <x v="2"/>
    <s v="Gurugram"/>
    <s v="SC_GUR_1"/>
    <x v="2"/>
    <s v="911"/>
    <s v="Coupe"/>
    <x v="1"/>
    <x v="1"/>
    <x v="2"/>
    <x v="1"/>
    <n v="21"/>
    <n v="7"/>
    <x v="0"/>
    <x v="1"/>
    <n v="209849"/>
    <n v="111690"/>
    <n v="98159"/>
    <x v="0"/>
    <n v="209849"/>
    <n v="0"/>
    <n v="0"/>
    <n v="1"/>
    <n v="1"/>
    <s v="Yes"/>
    <x v="0"/>
  </r>
  <r>
    <n v="20352"/>
    <d v="2024-01-29T00:00:00"/>
    <x v="2"/>
    <s v="Noida"/>
    <s v="SC_NOI_5"/>
    <x v="1"/>
    <s v="Chiron"/>
    <s v="Hypercar"/>
    <x v="1"/>
    <x v="3"/>
    <x v="2"/>
    <x v="1"/>
    <n v="5"/>
    <n v="7"/>
    <x v="1"/>
    <x v="0"/>
    <n v="556125"/>
    <n v="434817"/>
    <n v="121308"/>
    <x v="3"/>
    <n v="0"/>
    <n v="1"/>
    <n v="1"/>
    <n v="0"/>
    <n v="1"/>
    <s v="No"/>
    <x v="2"/>
  </r>
  <r>
    <n v="20353"/>
    <d v="2024-02-24T00:00:00"/>
    <x v="1"/>
    <s v="Patna"/>
    <s v="SC_PAT_4"/>
    <x v="1"/>
    <s v="Cayenne"/>
    <s v="SUV"/>
    <x v="0"/>
    <x v="0"/>
    <x v="2"/>
    <x v="0"/>
    <n v="17"/>
    <n v="7"/>
    <x v="1"/>
    <x v="0"/>
    <n v="327272"/>
    <n v="165818"/>
    <n v="161454"/>
    <x v="1"/>
    <n v="0"/>
    <n v="1"/>
    <n v="1"/>
    <n v="0"/>
    <n v="1"/>
    <s v="Yes"/>
    <x v="0"/>
  </r>
  <r>
    <n v="20354"/>
    <d v="2024-05-17T00:00:00"/>
    <x v="3"/>
    <s v="Mumbai"/>
    <s v="SC_MUM_5"/>
    <x v="1"/>
    <s v="Panamera"/>
    <s v="Sedan"/>
    <x v="1"/>
    <x v="0"/>
    <x v="0"/>
    <x v="0"/>
    <n v="25"/>
    <n v="7"/>
    <x v="0"/>
    <x v="0"/>
    <n v="212221"/>
    <n v="112179"/>
    <n v="100042"/>
    <x v="0"/>
    <n v="0"/>
    <n v="1"/>
    <n v="0"/>
    <n v="1"/>
    <n v="1"/>
    <s v="Yes"/>
    <x v="0"/>
  </r>
  <r>
    <n v="20355"/>
    <d v="2024-06-16T00:00:00"/>
    <x v="2"/>
    <s v="Noida"/>
    <s v="SC_NOI_2"/>
    <x v="1"/>
    <s v="911"/>
    <s v="Coupe"/>
    <x v="1"/>
    <x v="2"/>
    <x v="0"/>
    <x v="0"/>
    <n v="2"/>
    <n v="7"/>
    <x v="0"/>
    <x v="1"/>
    <n v="104673"/>
    <n v="70466"/>
    <n v="34207"/>
    <x v="3"/>
    <n v="104673"/>
    <n v="0"/>
    <n v="0"/>
    <n v="1"/>
    <n v="1"/>
    <s v="No"/>
    <x v="2"/>
  </r>
  <r>
    <n v="20356"/>
    <d v="2024-06-21T00:00:00"/>
    <x v="0"/>
    <s v="Chennai"/>
    <s v="SC_CHE_3"/>
    <x v="0"/>
    <s v="911"/>
    <s v="Coupe"/>
    <x v="1"/>
    <x v="3"/>
    <x v="0"/>
    <x v="1"/>
    <n v="21"/>
    <n v="7"/>
    <x v="0"/>
    <x v="1"/>
    <n v="472878"/>
    <n v="317235"/>
    <n v="155643"/>
    <x v="0"/>
    <n v="472878"/>
    <n v="0"/>
    <n v="0"/>
    <n v="1"/>
    <n v="1"/>
    <s v="Yes"/>
    <x v="0"/>
  </r>
  <r>
    <n v="20357"/>
    <d v="2024-02-25T00:00:00"/>
    <x v="0"/>
    <s v="Hyderabad"/>
    <s v="SC_HYD_2"/>
    <x v="0"/>
    <s v="Chiron"/>
    <s v="Hypercar"/>
    <x v="1"/>
    <x v="4"/>
    <x v="1"/>
    <x v="1"/>
    <n v="18"/>
    <n v="7"/>
    <x v="0"/>
    <x v="1"/>
    <n v="119756"/>
    <n v="100606"/>
    <n v="19150"/>
    <x v="0"/>
    <n v="119756"/>
    <n v="0"/>
    <n v="0"/>
    <n v="1"/>
    <n v="1"/>
    <s v="Yes"/>
    <x v="0"/>
  </r>
  <r>
    <n v="20358"/>
    <d v="2024-01-01T00:00:00"/>
    <x v="3"/>
    <s v="Mumbai"/>
    <s v="SC_MUM_3"/>
    <x v="0"/>
    <s v="Veyron"/>
    <s v="Hypercar"/>
    <x v="1"/>
    <x v="4"/>
    <x v="0"/>
    <x v="1"/>
    <n v="24"/>
    <n v="7"/>
    <x v="0"/>
    <x v="0"/>
    <n v="137647"/>
    <n v="89784"/>
    <n v="47863"/>
    <x v="0"/>
    <n v="0"/>
    <n v="1"/>
    <n v="0"/>
    <n v="1"/>
    <n v="1"/>
    <s v="Yes"/>
    <x v="0"/>
  </r>
  <r>
    <n v="20359"/>
    <d v="2024-05-05T00:00:00"/>
    <x v="3"/>
    <s v="Ahmedabad"/>
    <s v="SC_AHM_3"/>
    <x v="2"/>
    <s v="Veyron"/>
    <s v="Hypercar"/>
    <x v="0"/>
    <x v="4"/>
    <x v="0"/>
    <x v="1"/>
    <n v="11"/>
    <n v="7"/>
    <x v="0"/>
    <x v="1"/>
    <n v="273442"/>
    <n v="209005"/>
    <n v="64437"/>
    <x v="1"/>
    <n v="273442"/>
    <n v="0"/>
    <n v="0"/>
    <n v="1"/>
    <n v="1"/>
    <s v="Yes"/>
    <x v="0"/>
  </r>
  <r>
    <n v="20360"/>
    <d v="2024-02-29T00:00:00"/>
    <x v="2"/>
    <s v="Gurugram"/>
    <s v="SC_GUR_3"/>
    <x v="0"/>
    <s v="Chiron"/>
    <s v="Hypercar"/>
    <x v="1"/>
    <x v="4"/>
    <x v="0"/>
    <x v="1"/>
    <n v="15"/>
    <n v="7"/>
    <x v="0"/>
    <x v="1"/>
    <n v="138769"/>
    <n v="79114"/>
    <n v="59655"/>
    <x v="0"/>
    <n v="138769"/>
    <n v="0"/>
    <n v="0"/>
    <n v="1"/>
    <n v="1"/>
    <s v="Yes"/>
    <x v="0"/>
  </r>
  <r>
    <n v="20361"/>
    <d v="2024-05-05T00:00:00"/>
    <x v="2"/>
    <s v="Noida"/>
    <s v="SC_NOI_2"/>
    <x v="2"/>
    <s v="Veyron"/>
    <s v="Hypercar"/>
    <x v="0"/>
    <x v="3"/>
    <x v="0"/>
    <x v="0"/>
    <n v="15"/>
    <n v="7"/>
    <x v="0"/>
    <x v="0"/>
    <n v="322650"/>
    <n v="172432"/>
    <n v="150218"/>
    <x v="0"/>
    <n v="0"/>
    <n v="1"/>
    <n v="0"/>
    <n v="1"/>
    <n v="1"/>
    <s v="Yes"/>
    <x v="0"/>
  </r>
  <r>
    <n v="20362"/>
    <d v="2024-01-04T00:00:00"/>
    <x v="3"/>
    <s v="Mumbai"/>
    <s v="SC_MUM_1"/>
    <x v="1"/>
    <s v="Taycan"/>
    <s v="Sedan"/>
    <x v="0"/>
    <x v="3"/>
    <x v="2"/>
    <x v="1"/>
    <n v="9"/>
    <n v="7"/>
    <x v="1"/>
    <x v="1"/>
    <n v="328557"/>
    <n v="189934"/>
    <n v="138623"/>
    <x v="3"/>
    <n v="0"/>
    <n v="0"/>
    <n v="1"/>
    <n v="0"/>
    <n v="1"/>
    <s v="Yes"/>
    <x v="2"/>
  </r>
  <r>
    <n v="20363"/>
    <d v="2024-02-29T00:00:00"/>
    <x v="3"/>
    <s v="Ahmedabad"/>
    <s v="SC_AHM_2"/>
    <x v="1"/>
    <s v="Veyron"/>
    <s v="Hypercar"/>
    <x v="0"/>
    <x v="4"/>
    <x v="2"/>
    <x v="1"/>
    <n v="3"/>
    <n v="7"/>
    <x v="1"/>
    <x v="0"/>
    <n v="341624"/>
    <n v="242937"/>
    <n v="98687"/>
    <x v="4"/>
    <n v="0"/>
    <n v="1"/>
    <n v="1"/>
    <n v="0"/>
    <n v="1"/>
    <s v="No"/>
    <x v="2"/>
  </r>
  <r>
    <n v="20364"/>
    <d v="2024-06-08T00:00:00"/>
    <x v="1"/>
    <s v="Patna"/>
    <s v="SC_PAT_5"/>
    <x v="1"/>
    <s v="Cayenne"/>
    <s v="SUV"/>
    <x v="1"/>
    <x v="3"/>
    <x v="2"/>
    <x v="1"/>
    <n v="11"/>
    <n v="7"/>
    <x v="1"/>
    <x v="1"/>
    <n v="229878"/>
    <n v="115952"/>
    <n v="113926"/>
    <x v="2"/>
    <n v="0"/>
    <n v="0"/>
    <n v="1"/>
    <n v="0"/>
    <n v="1"/>
    <s v="Yes"/>
    <x v="1"/>
  </r>
  <r>
    <n v="20365"/>
    <d v="2024-01-23T00:00:00"/>
    <x v="2"/>
    <s v="Gurugram"/>
    <s v="SC_GUR_2"/>
    <x v="0"/>
    <s v="Veyron"/>
    <s v="Hypercar"/>
    <x v="1"/>
    <x v="4"/>
    <x v="2"/>
    <x v="1"/>
    <n v="13"/>
    <n v="7"/>
    <x v="0"/>
    <x v="1"/>
    <n v="518640"/>
    <n v="340897"/>
    <n v="177743"/>
    <x v="1"/>
    <n v="518640"/>
    <n v="0"/>
    <n v="0"/>
    <n v="1"/>
    <n v="1"/>
    <s v="Yes"/>
    <x v="0"/>
  </r>
  <r>
    <n v="20366"/>
    <d v="2024-01-25T00:00:00"/>
    <x v="3"/>
    <s v="Ahmedabad"/>
    <s v="SC_AHM_5"/>
    <x v="2"/>
    <s v="Veyron"/>
    <s v="Hypercar"/>
    <x v="1"/>
    <x v="0"/>
    <x v="1"/>
    <x v="0"/>
    <n v="5"/>
    <n v="7"/>
    <x v="0"/>
    <x v="1"/>
    <n v="547279"/>
    <n v="443913"/>
    <n v="103366"/>
    <x v="2"/>
    <n v="547279"/>
    <n v="0"/>
    <n v="0"/>
    <n v="1"/>
    <n v="1"/>
    <s v="No"/>
    <x v="1"/>
  </r>
  <r>
    <n v="20367"/>
    <d v="2024-02-08T00:00:00"/>
    <x v="1"/>
    <s v="Bhubaneswar"/>
    <s v="SC_BHU_1"/>
    <x v="1"/>
    <s v="Chiron"/>
    <s v="Hypercar"/>
    <x v="1"/>
    <x v="2"/>
    <x v="0"/>
    <x v="1"/>
    <n v="7"/>
    <n v="7"/>
    <x v="0"/>
    <x v="1"/>
    <n v="216438"/>
    <n v="121949"/>
    <n v="94489"/>
    <x v="2"/>
    <n v="216438"/>
    <n v="0"/>
    <n v="0"/>
    <n v="1"/>
    <n v="1"/>
    <s v="No"/>
    <x v="1"/>
  </r>
  <r>
    <n v="20368"/>
    <d v="2024-06-24T00:00:00"/>
    <x v="2"/>
    <s v="Gurugram"/>
    <s v="SC_GUR_5"/>
    <x v="2"/>
    <s v="Macan"/>
    <s v="SUV"/>
    <x v="0"/>
    <x v="0"/>
    <x v="1"/>
    <x v="1"/>
    <n v="11"/>
    <n v="7"/>
    <x v="0"/>
    <x v="1"/>
    <n v="571212"/>
    <n v="393648"/>
    <n v="177564"/>
    <x v="1"/>
    <n v="571212"/>
    <n v="0"/>
    <n v="0"/>
    <n v="1"/>
    <n v="1"/>
    <s v="Yes"/>
    <x v="0"/>
  </r>
  <r>
    <n v="20369"/>
    <d v="2024-02-22T00:00:00"/>
    <x v="2"/>
    <s v="Delhi"/>
    <s v="SC_DEL_1"/>
    <x v="2"/>
    <s v="Panamera"/>
    <s v="Sedan"/>
    <x v="1"/>
    <x v="4"/>
    <x v="2"/>
    <x v="0"/>
    <n v="15"/>
    <n v="7"/>
    <x v="1"/>
    <x v="0"/>
    <n v="132805"/>
    <n v="85351"/>
    <n v="47454"/>
    <x v="1"/>
    <n v="0"/>
    <n v="1"/>
    <n v="1"/>
    <n v="0"/>
    <n v="1"/>
    <s v="Yes"/>
    <x v="0"/>
  </r>
  <r>
    <n v="20370"/>
    <d v="2024-01-02T00:00:00"/>
    <x v="1"/>
    <s v="Patna"/>
    <s v="SC_PAT_2"/>
    <x v="1"/>
    <s v="Veyron"/>
    <s v="Hypercar"/>
    <x v="1"/>
    <x v="0"/>
    <x v="2"/>
    <x v="1"/>
    <n v="7"/>
    <n v="7"/>
    <x v="0"/>
    <x v="0"/>
    <n v="448066"/>
    <n v="269937"/>
    <n v="178129"/>
    <x v="2"/>
    <n v="0"/>
    <n v="1"/>
    <n v="0"/>
    <n v="1"/>
    <n v="1"/>
    <s v="No"/>
    <x v="1"/>
  </r>
  <r>
    <n v="20371"/>
    <d v="2024-04-20T00:00:00"/>
    <x v="0"/>
    <s v="Bengaluru"/>
    <s v="SC_BEN_3"/>
    <x v="0"/>
    <s v="Panamera"/>
    <s v="Sedan"/>
    <x v="1"/>
    <x v="4"/>
    <x v="2"/>
    <x v="1"/>
    <n v="3"/>
    <n v="7"/>
    <x v="0"/>
    <x v="0"/>
    <n v="580772"/>
    <n v="393258"/>
    <n v="187514"/>
    <x v="3"/>
    <n v="0"/>
    <n v="1"/>
    <n v="0"/>
    <n v="1"/>
    <n v="1"/>
    <s v="No"/>
    <x v="2"/>
  </r>
  <r>
    <n v="20372"/>
    <d v="2024-02-09T00:00:00"/>
    <x v="3"/>
    <s v="Pune"/>
    <s v="SC_PUN_4"/>
    <x v="1"/>
    <s v="Cayenne"/>
    <s v="SUV"/>
    <x v="1"/>
    <x v="0"/>
    <x v="0"/>
    <x v="0"/>
    <n v="20"/>
    <n v="7"/>
    <x v="0"/>
    <x v="0"/>
    <n v="150697"/>
    <n v="100564"/>
    <n v="50133"/>
    <x v="0"/>
    <n v="0"/>
    <n v="1"/>
    <n v="0"/>
    <n v="1"/>
    <n v="1"/>
    <s v="Yes"/>
    <x v="0"/>
  </r>
  <r>
    <n v="20373"/>
    <d v="2024-01-07T00:00:00"/>
    <x v="2"/>
    <s v="Noida"/>
    <s v="SC_NOI_3"/>
    <x v="0"/>
    <s v="Chiron"/>
    <s v="Hypercar"/>
    <x v="1"/>
    <x v="2"/>
    <x v="0"/>
    <x v="1"/>
    <n v="12"/>
    <n v="7"/>
    <x v="0"/>
    <x v="0"/>
    <n v="596009"/>
    <n v="440135"/>
    <n v="155874"/>
    <x v="1"/>
    <n v="0"/>
    <n v="1"/>
    <n v="0"/>
    <n v="1"/>
    <n v="1"/>
    <s v="Yes"/>
    <x v="0"/>
  </r>
  <r>
    <n v="20374"/>
    <d v="2024-02-01T00:00:00"/>
    <x v="1"/>
    <s v="Bhubaneswar"/>
    <s v="SC_BHU_2"/>
    <x v="0"/>
    <s v="Macan"/>
    <s v="SUV"/>
    <x v="0"/>
    <x v="2"/>
    <x v="2"/>
    <x v="0"/>
    <n v="7"/>
    <n v="7"/>
    <x v="0"/>
    <x v="1"/>
    <n v="521256"/>
    <n v="425218"/>
    <n v="96038"/>
    <x v="2"/>
    <n v="521256"/>
    <n v="0"/>
    <n v="0"/>
    <n v="1"/>
    <n v="1"/>
    <s v="No"/>
    <x v="1"/>
  </r>
  <r>
    <n v="20375"/>
    <d v="2024-06-26T00:00:00"/>
    <x v="1"/>
    <s v="Kolkata"/>
    <s v="SC_KOL_2"/>
    <x v="1"/>
    <s v="Cayenne"/>
    <s v="SUV"/>
    <x v="0"/>
    <x v="1"/>
    <x v="0"/>
    <x v="1"/>
    <n v="24"/>
    <n v="7"/>
    <x v="0"/>
    <x v="1"/>
    <n v="356863"/>
    <n v="218956"/>
    <n v="137907"/>
    <x v="0"/>
    <n v="356863"/>
    <n v="0"/>
    <n v="0"/>
    <n v="1"/>
    <n v="1"/>
    <s v="Yes"/>
    <x v="0"/>
  </r>
  <r>
    <n v="20376"/>
    <d v="2024-03-08T00:00:00"/>
    <x v="3"/>
    <s v="Mumbai"/>
    <s v="SC_MUM_2"/>
    <x v="2"/>
    <s v="Panamera"/>
    <s v="Sedan"/>
    <x v="0"/>
    <x v="4"/>
    <x v="2"/>
    <x v="0"/>
    <n v="21"/>
    <n v="7"/>
    <x v="1"/>
    <x v="0"/>
    <n v="390021"/>
    <n v="257094"/>
    <n v="132927"/>
    <x v="0"/>
    <n v="0"/>
    <n v="1"/>
    <n v="1"/>
    <n v="0"/>
    <n v="1"/>
    <s v="Yes"/>
    <x v="0"/>
  </r>
  <r>
    <n v="20377"/>
    <d v="2024-03-04T00:00:00"/>
    <x v="3"/>
    <s v="Pune"/>
    <s v="SC_PUN_3"/>
    <x v="1"/>
    <s v="Chiron"/>
    <s v="Hypercar"/>
    <x v="0"/>
    <x v="4"/>
    <x v="1"/>
    <x v="0"/>
    <n v="5"/>
    <n v="7"/>
    <x v="1"/>
    <x v="0"/>
    <n v="421038"/>
    <n v="312264"/>
    <n v="108774"/>
    <x v="3"/>
    <n v="0"/>
    <n v="1"/>
    <n v="1"/>
    <n v="0"/>
    <n v="1"/>
    <s v="No"/>
    <x v="2"/>
  </r>
  <r>
    <n v="20378"/>
    <d v="2024-01-11T00:00:00"/>
    <x v="2"/>
    <s v="Noida"/>
    <s v="SC_NOI_5"/>
    <x v="0"/>
    <s v="Panamera"/>
    <s v="Sedan"/>
    <x v="0"/>
    <x v="3"/>
    <x v="1"/>
    <x v="0"/>
    <n v="10"/>
    <n v="7"/>
    <x v="1"/>
    <x v="1"/>
    <n v="510804"/>
    <n v="345903"/>
    <n v="164901"/>
    <x v="2"/>
    <n v="0"/>
    <n v="0"/>
    <n v="1"/>
    <n v="0"/>
    <n v="1"/>
    <s v="Yes"/>
    <x v="1"/>
  </r>
  <r>
    <n v="20379"/>
    <d v="2024-04-05T00:00:00"/>
    <x v="2"/>
    <s v="Delhi"/>
    <s v="SC_DEL_4"/>
    <x v="1"/>
    <s v="Veyron"/>
    <s v="Hypercar"/>
    <x v="1"/>
    <x v="0"/>
    <x v="2"/>
    <x v="0"/>
    <n v="21"/>
    <n v="7"/>
    <x v="1"/>
    <x v="1"/>
    <n v="210436"/>
    <n v="150640"/>
    <n v="59796"/>
    <x v="0"/>
    <n v="0"/>
    <n v="0"/>
    <n v="1"/>
    <n v="0"/>
    <n v="1"/>
    <s v="Yes"/>
    <x v="0"/>
  </r>
  <r>
    <n v="20380"/>
    <d v="2024-04-16T00:00:00"/>
    <x v="1"/>
    <s v="Bhubaneswar"/>
    <s v="SC_BHU_1"/>
    <x v="2"/>
    <s v="Taycan"/>
    <s v="Sedan"/>
    <x v="1"/>
    <x v="2"/>
    <x v="2"/>
    <x v="0"/>
    <n v="13"/>
    <n v="7"/>
    <x v="0"/>
    <x v="1"/>
    <n v="561414"/>
    <n v="429890"/>
    <n v="131524"/>
    <x v="1"/>
    <n v="561414"/>
    <n v="0"/>
    <n v="0"/>
    <n v="1"/>
    <n v="1"/>
    <s v="Yes"/>
    <x v="0"/>
  </r>
  <r>
    <n v="20381"/>
    <d v="2024-01-19T00:00:00"/>
    <x v="2"/>
    <s v="Delhi"/>
    <s v="SC_DEL_2"/>
    <x v="1"/>
    <s v="Taycan"/>
    <s v="Sedan"/>
    <x v="1"/>
    <x v="1"/>
    <x v="2"/>
    <x v="1"/>
    <n v="13"/>
    <n v="7"/>
    <x v="1"/>
    <x v="0"/>
    <n v="583165"/>
    <n v="301367"/>
    <n v="281798"/>
    <x v="2"/>
    <n v="0"/>
    <n v="1"/>
    <n v="1"/>
    <n v="0"/>
    <n v="1"/>
    <s v="Yes"/>
    <x v="1"/>
  </r>
  <r>
    <n v="20382"/>
    <d v="2024-05-02T00:00:00"/>
    <x v="0"/>
    <s v="Hyderabad"/>
    <s v="SC_HYD_1"/>
    <x v="1"/>
    <s v="Taycan"/>
    <s v="Sedan"/>
    <x v="0"/>
    <x v="3"/>
    <x v="0"/>
    <x v="0"/>
    <n v="16"/>
    <n v="7"/>
    <x v="0"/>
    <x v="0"/>
    <n v="417693"/>
    <n v="259746"/>
    <n v="157947"/>
    <x v="0"/>
    <n v="0"/>
    <n v="1"/>
    <n v="0"/>
    <n v="1"/>
    <n v="1"/>
    <s v="Yes"/>
    <x v="0"/>
  </r>
  <r>
    <n v="20383"/>
    <d v="2024-05-26T00:00:00"/>
    <x v="3"/>
    <s v="Mumbai"/>
    <s v="SC_MUM_4"/>
    <x v="1"/>
    <s v="911"/>
    <s v="Coupe"/>
    <x v="0"/>
    <x v="2"/>
    <x v="0"/>
    <x v="0"/>
    <n v="9"/>
    <n v="7"/>
    <x v="0"/>
    <x v="0"/>
    <n v="563471"/>
    <n v="467810"/>
    <n v="95661"/>
    <x v="2"/>
    <n v="0"/>
    <n v="1"/>
    <n v="0"/>
    <n v="1"/>
    <n v="1"/>
    <s v="Yes"/>
    <x v="1"/>
  </r>
  <r>
    <n v="20384"/>
    <d v="2024-02-19T00:00:00"/>
    <x v="0"/>
    <s v="Chennai"/>
    <s v="SC_CHE_2"/>
    <x v="0"/>
    <s v="911"/>
    <s v="Coupe"/>
    <x v="0"/>
    <x v="2"/>
    <x v="1"/>
    <x v="0"/>
    <n v="23"/>
    <n v="7"/>
    <x v="0"/>
    <x v="1"/>
    <n v="590982"/>
    <n v="316481"/>
    <n v="274501"/>
    <x v="0"/>
    <n v="590982"/>
    <n v="0"/>
    <n v="0"/>
    <n v="1"/>
    <n v="1"/>
    <s v="Yes"/>
    <x v="0"/>
  </r>
  <r>
    <n v="20385"/>
    <d v="2024-05-12T00:00:00"/>
    <x v="1"/>
    <s v="Patna"/>
    <s v="SC_PAT_1"/>
    <x v="1"/>
    <s v="Macan"/>
    <s v="SUV"/>
    <x v="0"/>
    <x v="3"/>
    <x v="1"/>
    <x v="1"/>
    <n v="9"/>
    <n v="7"/>
    <x v="1"/>
    <x v="1"/>
    <n v="142818"/>
    <n v="102857"/>
    <n v="39961"/>
    <x v="3"/>
    <n v="0"/>
    <n v="0"/>
    <n v="1"/>
    <n v="0"/>
    <n v="1"/>
    <s v="Yes"/>
    <x v="2"/>
  </r>
  <r>
    <n v="20386"/>
    <d v="2024-02-17T00:00:00"/>
    <x v="2"/>
    <s v="Delhi"/>
    <s v="SC_DEL_2"/>
    <x v="1"/>
    <s v="Taycan"/>
    <s v="Sedan"/>
    <x v="0"/>
    <x v="4"/>
    <x v="0"/>
    <x v="1"/>
    <n v="13"/>
    <n v="7"/>
    <x v="0"/>
    <x v="1"/>
    <n v="430764"/>
    <n v="262612"/>
    <n v="168152"/>
    <x v="1"/>
    <n v="430764"/>
    <n v="0"/>
    <n v="0"/>
    <n v="1"/>
    <n v="1"/>
    <s v="Yes"/>
    <x v="0"/>
  </r>
  <r>
    <n v="20387"/>
    <d v="2024-05-07T00:00:00"/>
    <x v="2"/>
    <s v="Noida"/>
    <s v="SC_NOI_3"/>
    <x v="0"/>
    <s v="Veyron"/>
    <s v="Hypercar"/>
    <x v="1"/>
    <x v="4"/>
    <x v="1"/>
    <x v="1"/>
    <n v="20"/>
    <n v="7"/>
    <x v="0"/>
    <x v="1"/>
    <n v="463908"/>
    <n v="356028"/>
    <n v="107880"/>
    <x v="0"/>
    <n v="463908"/>
    <n v="0"/>
    <n v="0"/>
    <n v="1"/>
    <n v="1"/>
    <s v="Yes"/>
    <x v="0"/>
  </r>
  <r>
    <n v="20388"/>
    <d v="2024-01-04T00:00:00"/>
    <x v="3"/>
    <s v="Ahmedabad"/>
    <s v="SC_AHM_4"/>
    <x v="1"/>
    <s v="Cayenne"/>
    <s v="SUV"/>
    <x v="1"/>
    <x v="2"/>
    <x v="1"/>
    <x v="0"/>
    <n v="8"/>
    <n v="7"/>
    <x v="0"/>
    <x v="1"/>
    <n v="541101"/>
    <n v="402323"/>
    <n v="138778"/>
    <x v="2"/>
    <n v="541101"/>
    <n v="0"/>
    <n v="0"/>
    <n v="1"/>
    <n v="1"/>
    <s v="Yes"/>
    <x v="1"/>
  </r>
  <r>
    <n v="20389"/>
    <d v="2024-02-10T00:00:00"/>
    <x v="1"/>
    <s v="Bhubaneswar"/>
    <s v="SC_BHU_1"/>
    <x v="0"/>
    <s v="Macan"/>
    <s v="SUV"/>
    <x v="1"/>
    <x v="2"/>
    <x v="0"/>
    <x v="0"/>
    <n v="8"/>
    <n v="7"/>
    <x v="1"/>
    <x v="1"/>
    <n v="164724"/>
    <n v="98444"/>
    <n v="66280"/>
    <x v="3"/>
    <n v="0"/>
    <n v="0"/>
    <n v="1"/>
    <n v="0"/>
    <n v="1"/>
    <s v="Yes"/>
    <x v="2"/>
  </r>
  <r>
    <n v="20390"/>
    <d v="2024-03-05T00:00:00"/>
    <x v="0"/>
    <s v="Bengaluru"/>
    <s v="SC_BEN_1"/>
    <x v="0"/>
    <s v="Veyron"/>
    <s v="Hypercar"/>
    <x v="0"/>
    <x v="1"/>
    <x v="2"/>
    <x v="1"/>
    <n v="20"/>
    <n v="7"/>
    <x v="0"/>
    <x v="1"/>
    <n v="508250"/>
    <n v="380130"/>
    <n v="128120"/>
    <x v="0"/>
    <n v="508250"/>
    <n v="0"/>
    <n v="0"/>
    <n v="1"/>
    <n v="1"/>
    <s v="Yes"/>
    <x v="0"/>
  </r>
  <r>
    <n v="20391"/>
    <d v="2024-01-31T00:00:00"/>
    <x v="3"/>
    <s v="Ahmedabad"/>
    <s v="SC_AHM_4"/>
    <x v="0"/>
    <s v="Chiron"/>
    <s v="Hypercar"/>
    <x v="1"/>
    <x v="0"/>
    <x v="2"/>
    <x v="1"/>
    <n v="22"/>
    <n v="7"/>
    <x v="1"/>
    <x v="1"/>
    <n v="407331"/>
    <n v="328894"/>
    <n v="78437"/>
    <x v="0"/>
    <n v="0"/>
    <n v="0"/>
    <n v="1"/>
    <n v="0"/>
    <n v="1"/>
    <s v="Yes"/>
    <x v="0"/>
  </r>
  <r>
    <n v="20392"/>
    <d v="2024-02-17T00:00:00"/>
    <x v="1"/>
    <s v="Patna"/>
    <s v="SC_PAT_4"/>
    <x v="1"/>
    <s v="Macan"/>
    <s v="SUV"/>
    <x v="1"/>
    <x v="0"/>
    <x v="0"/>
    <x v="0"/>
    <n v="2"/>
    <n v="7"/>
    <x v="1"/>
    <x v="1"/>
    <n v="426520"/>
    <n v="293468"/>
    <n v="133052"/>
    <x v="4"/>
    <n v="0"/>
    <n v="0"/>
    <n v="1"/>
    <n v="0"/>
    <n v="1"/>
    <s v="No"/>
    <x v="2"/>
  </r>
  <r>
    <n v="20393"/>
    <d v="2024-06-11T00:00:00"/>
    <x v="1"/>
    <s v="Bhubaneswar"/>
    <s v="SC_BHU_3"/>
    <x v="2"/>
    <s v="911"/>
    <s v="Coupe"/>
    <x v="0"/>
    <x v="2"/>
    <x v="0"/>
    <x v="1"/>
    <n v="22"/>
    <n v="7"/>
    <x v="0"/>
    <x v="1"/>
    <n v="411053"/>
    <n v="264531"/>
    <n v="146522"/>
    <x v="0"/>
    <n v="411053"/>
    <n v="0"/>
    <n v="0"/>
    <n v="1"/>
    <n v="1"/>
    <s v="Yes"/>
    <x v="0"/>
  </r>
  <r>
    <n v="20394"/>
    <d v="2024-06-10T00:00:00"/>
    <x v="0"/>
    <s v="Bengaluru"/>
    <s v="SC_BEN_4"/>
    <x v="2"/>
    <s v="Chiron"/>
    <s v="Hypercar"/>
    <x v="0"/>
    <x v="4"/>
    <x v="2"/>
    <x v="1"/>
    <n v="13"/>
    <n v="7"/>
    <x v="1"/>
    <x v="1"/>
    <n v="229751"/>
    <n v="156792"/>
    <n v="72959"/>
    <x v="2"/>
    <n v="0"/>
    <n v="0"/>
    <n v="1"/>
    <n v="0"/>
    <n v="1"/>
    <s v="Yes"/>
    <x v="1"/>
  </r>
  <r>
    <n v="20395"/>
    <d v="2024-01-22T00:00:00"/>
    <x v="2"/>
    <s v="Delhi"/>
    <s v="SC_DEL_5"/>
    <x v="1"/>
    <s v="911"/>
    <s v="Coupe"/>
    <x v="0"/>
    <x v="1"/>
    <x v="2"/>
    <x v="0"/>
    <n v="18"/>
    <n v="7"/>
    <x v="0"/>
    <x v="1"/>
    <n v="359154"/>
    <n v="296274"/>
    <n v="62880"/>
    <x v="0"/>
    <n v="359154"/>
    <n v="0"/>
    <n v="0"/>
    <n v="1"/>
    <n v="1"/>
    <s v="Yes"/>
    <x v="0"/>
  </r>
  <r>
    <n v="20396"/>
    <d v="2024-02-27T00:00:00"/>
    <x v="0"/>
    <s v="Chennai"/>
    <s v="SC_CHE_1"/>
    <x v="2"/>
    <s v="Cayenne"/>
    <s v="SUV"/>
    <x v="1"/>
    <x v="2"/>
    <x v="0"/>
    <x v="0"/>
    <n v="4"/>
    <n v="7"/>
    <x v="0"/>
    <x v="1"/>
    <n v="108409"/>
    <n v="89094"/>
    <n v="19315"/>
    <x v="3"/>
    <n v="108409"/>
    <n v="0"/>
    <n v="0"/>
    <n v="1"/>
    <n v="1"/>
    <s v="No"/>
    <x v="2"/>
  </r>
  <r>
    <n v="20397"/>
    <d v="2024-02-08T00:00:00"/>
    <x v="3"/>
    <s v="Mumbai"/>
    <s v="SC_MUM_5"/>
    <x v="0"/>
    <s v="Panamera"/>
    <s v="Sedan"/>
    <x v="0"/>
    <x v="1"/>
    <x v="0"/>
    <x v="0"/>
    <n v="15"/>
    <n v="7"/>
    <x v="0"/>
    <x v="0"/>
    <n v="215161"/>
    <n v="168877"/>
    <n v="46284"/>
    <x v="0"/>
    <n v="0"/>
    <n v="1"/>
    <n v="0"/>
    <n v="1"/>
    <n v="1"/>
    <s v="Yes"/>
    <x v="0"/>
  </r>
  <r>
    <n v="20398"/>
    <d v="2024-02-25T00:00:00"/>
    <x v="3"/>
    <s v="Pune"/>
    <s v="SC_PUN_1"/>
    <x v="2"/>
    <s v="Panamera"/>
    <s v="Sedan"/>
    <x v="1"/>
    <x v="3"/>
    <x v="2"/>
    <x v="0"/>
    <n v="18"/>
    <n v="7"/>
    <x v="0"/>
    <x v="1"/>
    <n v="150479"/>
    <n v="98549"/>
    <n v="51930"/>
    <x v="0"/>
    <n v="150479"/>
    <n v="0"/>
    <n v="0"/>
    <n v="1"/>
    <n v="1"/>
    <s v="Yes"/>
    <x v="0"/>
  </r>
  <r>
    <n v="20399"/>
    <d v="2024-03-20T00:00:00"/>
    <x v="0"/>
    <s v="Chennai"/>
    <s v="SC_CHE_1"/>
    <x v="1"/>
    <s v="Macan"/>
    <s v="SUV"/>
    <x v="1"/>
    <x v="2"/>
    <x v="2"/>
    <x v="1"/>
    <n v="17"/>
    <n v="7"/>
    <x v="0"/>
    <x v="1"/>
    <n v="530942"/>
    <n v="325974"/>
    <n v="204968"/>
    <x v="0"/>
    <n v="530942"/>
    <n v="0"/>
    <n v="0"/>
    <n v="1"/>
    <n v="1"/>
    <s v="Yes"/>
    <x v="0"/>
  </r>
  <r>
    <n v="20400"/>
    <d v="2024-05-24T00:00:00"/>
    <x v="3"/>
    <s v="Mumbai"/>
    <s v="SC_MUM_4"/>
    <x v="2"/>
    <s v="Taycan"/>
    <s v="Sedan"/>
    <x v="1"/>
    <x v="4"/>
    <x v="1"/>
    <x v="1"/>
    <n v="19"/>
    <n v="7"/>
    <x v="0"/>
    <x v="1"/>
    <n v="258391"/>
    <n v="165798"/>
    <n v="92593"/>
    <x v="0"/>
    <n v="258391"/>
    <n v="0"/>
    <n v="0"/>
    <n v="1"/>
    <n v="1"/>
    <s v="Yes"/>
    <x v="0"/>
  </r>
  <r>
    <n v="20401"/>
    <d v="2024-03-28T00:00:00"/>
    <x v="0"/>
    <s v="Bengaluru"/>
    <s v="SC_BEN_5"/>
    <x v="2"/>
    <s v="Taycan"/>
    <s v="Sedan"/>
    <x v="0"/>
    <x v="4"/>
    <x v="0"/>
    <x v="1"/>
    <n v="20"/>
    <n v="7"/>
    <x v="0"/>
    <x v="1"/>
    <n v="187966"/>
    <n v="114306"/>
    <n v="73660"/>
    <x v="0"/>
    <n v="187966"/>
    <n v="0"/>
    <n v="0"/>
    <n v="1"/>
    <n v="1"/>
    <s v="Yes"/>
    <x v="0"/>
  </r>
  <r>
    <n v="20402"/>
    <d v="2024-04-06T00:00:00"/>
    <x v="2"/>
    <s v="Gurugram"/>
    <s v="SC_GUR_3"/>
    <x v="1"/>
    <s v="Cayenne"/>
    <s v="SUV"/>
    <x v="1"/>
    <x v="1"/>
    <x v="0"/>
    <x v="1"/>
    <n v="15"/>
    <n v="7"/>
    <x v="0"/>
    <x v="1"/>
    <n v="284391"/>
    <n v="237838"/>
    <n v="46553"/>
    <x v="0"/>
    <n v="284391"/>
    <n v="0"/>
    <n v="0"/>
    <n v="1"/>
    <n v="1"/>
    <s v="Yes"/>
    <x v="0"/>
  </r>
  <r>
    <n v="20403"/>
    <d v="2024-02-03T00:00:00"/>
    <x v="2"/>
    <s v="Noida"/>
    <s v="SC_NOI_5"/>
    <x v="1"/>
    <s v="Panamera"/>
    <s v="Sedan"/>
    <x v="0"/>
    <x v="2"/>
    <x v="0"/>
    <x v="1"/>
    <n v="13"/>
    <n v="7"/>
    <x v="0"/>
    <x v="1"/>
    <n v="547970"/>
    <n v="324832"/>
    <n v="223138"/>
    <x v="1"/>
    <n v="547970"/>
    <n v="0"/>
    <n v="0"/>
    <n v="1"/>
    <n v="1"/>
    <s v="Yes"/>
    <x v="0"/>
  </r>
  <r>
    <n v="20404"/>
    <d v="2024-05-04T00:00:00"/>
    <x v="1"/>
    <s v="Bhubaneswar"/>
    <s v="SC_BHU_2"/>
    <x v="1"/>
    <s v="Veyron"/>
    <s v="Hypercar"/>
    <x v="0"/>
    <x v="3"/>
    <x v="0"/>
    <x v="1"/>
    <n v="21"/>
    <n v="7"/>
    <x v="0"/>
    <x v="0"/>
    <n v="282486"/>
    <n v="183478"/>
    <n v="99008"/>
    <x v="0"/>
    <n v="0"/>
    <n v="1"/>
    <n v="0"/>
    <n v="1"/>
    <n v="1"/>
    <s v="Yes"/>
    <x v="0"/>
  </r>
  <r>
    <n v="20405"/>
    <d v="2024-03-23T00:00:00"/>
    <x v="1"/>
    <s v="Kolkata"/>
    <s v="SC_KOL_3"/>
    <x v="1"/>
    <s v="Panamera"/>
    <s v="Sedan"/>
    <x v="0"/>
    <x v="0"/>
    <x v="2"/>
    <x v="0"/>
    <n v="11"/>
    <n v="7"/>
    <x v="0"/>
    <x v="1"/>
    <n v="372188"/>
    <n v="273679"/>
    <n v="98509"/>
    <x v="1"/>
    <n v="372188"/>
    <n v="0"/>
    <n v="0"/>
    <n v="1"/>
    <n v="1"/>
    <s v="Yes"/>
    <x v="0"/>
  </r>
  <r>
    <n v="20406"/>
    <d v="2024-01-18T00:00:00"/>
    <x v="1"/>
    <s v="Patna"/>
    <s v="SC_PAT_4"/>
    <x v="2"/>
    <s v="Macan"/>
    <s v="SUV"/>
    <x v="0"/>
    <x v="0"/>
    <x v="0"/>
    <x v="0"/>
    <n v="8"/>
    <n v="7"/>
    <x v="0"/>
    <x v="1"/>
    <n v="235140"/>
    <n v="155536"/>
    <n v="79604"/>
    <x v="2"/>
    <n v="235140"/>
    <n v="0"/>
    <n v="0"/>
    <n v="1"/>
    <n v="1"/>
    <s v="Yes"/>
    <x v="1"/>
  </r>
  <r>
    <n v="20407"/>
    <d v="2024-03-05T00:00:00"/>
    <x v="2"/>
    <s v="Delhi"/>
    <s v="SC_DEL_5"/>
    <x v="2"/>
    <s v="911"/>
    <s v="Coupe"/>
    <x v="0"/>
    <x v="0"/>
    <x v="1"/>
    <x v="1"/>
    <n v="18"/>
    <n v="7"/>
    <x v="1"/>
    <x v="0"/>
    <n v="196991"/>
    <n v="103832"/>
    <n v="93159"/>
    <x v="1"/>
    <n v="0"/>
    <n v="1"/>
    <n v="1"/>
    <n v="0"/>
    <n v="1"/>
    <s v="Yes"/>
    <x v="0"/>
  </r>
  <r>
    <n v="20408"/>
    <d v="2024-01-06T00:00:00"/>
    <x v="3"/>
    <s v="Ahmedabad"/>
    <s v="SC_AHM_5"/>
    <x v="2"/>
    <s v="Taycan"/>
    <s v="Sedan"/>
    <x v="1"/>
    <x v="0"/>
    <x v="1"/>
    <x v="0"/>
    <n v="5"/>
    <n v="7"/>
    <x v="0"/>
    <x v="1"/>
    <n v="90736"/>
    <n v="72470"/>
    <n v="18266"/>
    <x v="2"/>
    <n v="90736"/>
    <n v="0"/>
    <n v="0"/>
    <n v="1"/>
    <n v="1"/>
    <s v="No"/>
    <x v="1"/>
  </r>
  <r>
    <n v="20409"/>
    <d v="2024-04-12T00:00:00"/>
    <x v="0"/>
    <s v="Bengaluru"/>
    <s v="SC_BEN_4"/>
    <x v="0"/>
    <s v="Cayenne"/>
    <s v="SUV"/>
    <x v="0"/>
    <x v="1"/>
    <x v="0"/>
    <x v="0"/>
    <n v="9"/>
    <n v="7"/>
    <x v="1"/>
    <x v="1"/>
    <n v="400334"/>
    <n v="240508"/>
    <n v="159826"/>
    <x v="3"/>
    <n v="0"/>
    <n v="0"/>
    <n v="1"/>
    <n v="0"/>
    <n v="1"/>
    <s v="Yes"/>
    <x v="2"/>
  </r>
  <r>
    <n v="20410"/>
    <d v="2024-04-25T00:00:00"/>
    <x v="1"/>
    <s v="Patna"/>
    <s v="SC_PAT_2"/>
    <x v="1"/>
    <s v="911"/>
    <s v="Coupe"/>
    <x v="0"/>
    <x v="2"/>
    <x v="1"/>
    <x v="0"/>
    <n v="19"/>
    <n v="7"/>
    <x v="1"/>
    <x v="1"/>
    <n v="558497"/>
    <n v="463178"/>
    <n v="95319"/>
    <x v="1"/>
    <n v="0"/>
    <n v="0"/>
    <n v="1"/>
    <n v="0"/>
    <n v="1"/>
    <s v="Yes"/>
    <x v="0"/>
  </r>
  <r>
    <n v="20411"/>
    <d v="2024-06-03T00:00:00"/>
    <x v="1"/>
    <s v="Patna"/>
    <s v="SC_PAT_4"/>
    <x v="1"/>
    <s v="Taycan"/>
    <s v="Sedan"/>
    <x v="1"/>
    <x v="0"/>
    <x v="2"/>
    <x v="1"/>
    <n v="8"/>
    <n v="7"/>
    <x v="0"/>
    <x v="0"/>
    <n v="470325"/>
    <n v="357812"/>
    <n v="112513"/>
    <x v="2"/>
    <n v="0"/>
    <n v="1"/>
    <n v="0"/>
    <n v="1"/>
    <n v="1"/>
    <s v="Yes"/>
    <x v="1"/>
  </r>
  <r>
    <n v="20412"/>
    <d v="2024-05-20T00:00:00"/>
    <x v="2"/>
    <s v="Noida"/>
    <s v="SC_NOI_1"/>
    <x v="1"/>
    <s v="911"/>
    <s v="Coupe"/>
    <x v="1"/>
    <x v="0"/>
    <x v="2"/>
    <x v="1"/>
    <n v="15"/>
    <n v="7"/>
    <x v="0"/>
    <x v="1"/>
    <n v="144637"/>
    <n v="93460"/>
    <n v="51177"/>
    <x v="0"/>
    <n v="144637"/>
    <n v="0"/>
    <n v="0"/>
    <n v="1"/>
    <n v="1"/>
    <s v="Yes"/>
    <x v="0"/>
  </r>
  <r>
    <n v="20413"/>
    <d v="2024-04-18T00:00:00"/>
    <x v="1"/>
    <s v="Patna"/>
    <s v="SC_PAT_2"/>
    <x v="1"/>
    <s v="Panamera"/>
    <s v="Sedan"/>
    <x v="0"/>
    <x v="3"/>
    <x v="1"/>
    <x v="1"/>
    <n v="18"/>
    <n v="7"/>
    <x v="1"/>
    <x v="0"/>
    <n v="184904"/>
    <n v="142291"/>
    <n v="42613"/>
    <x v="1"/>
    <n v="0"/>
    <n v="1"/>
    <n v="1"/>
    <n v="0"/>
    <n v="1"/>
    <s v="Yes"/>
    <x v="0"/>
  </r>
  <r>
    <n v="20414"/>
    <d v="2024-02-03T00:00:00"/>
    <x v="3"/>
    <s v="Mumbai"/>
    <s v="SC_MUM_1"/>
    <x v="1"/>
    <s v="Veyron"/>
    <s v="Hypercar"/>
    <x v="1"/>
    <x v="4"/>
    <x v="0"/>
    <x v="0"/>
    <n v="23"/>
    <n v="7"/>
    <x v="0"/>
    <x v="0"/>
    <n v="469712"/>
    <n v="323913"/>
    <n v="145799"/>
    <x v="0"/>
    <n v="0"/>
    <n v="1"/>
    <n v="0"/>
    <n v="1"/>
    <n v="1"/>
    <s v="Yes"/>
    <x v="0"/>
  </r>
  <r>
    <n v="20415"/>
    <d v="2024-03-14T00:00:00"/>
    <x v="2"/>
    <s v="Noida"/>
    <s v="SC_NOI_4"/>
    <x v="0"/>
    <s v="Cayenne"/>
    <s v="SUV"/>
    <x v="0"/>
    <x v="4"/>
    <x v="0"/>
    <x v="0"/>
    <n v="25"/>
    <n v="7"/>
    <x v="0"/>
    <x v="0"/>
    <n v="355465"/>
    <n v="181970"/>
    <n v="173495"/>
    <x v="0"/>
    <n v="0"/>
    <n v="1"/>
    <n v="0"/>
    <n v="1"/>
    <n v="1"/>
    <s v="Yes"/>
    <x v="0"/>
  </r>
  <r>
    <n v="20416"/>
    <d v="2024-01-12T00:00:00"/>
    <x v="3"/>
    <s v="Ahmedabad"/>
    <s v="SC_AHM_3"/>
    <x v="2"/>
    <s v="911"/>
    <s v="Coupe"/>
    <x v="0"/>
    <x v="4"/>
    <x v="0"/>
    <x v="1"/>
    <n v="20"/>
    <n v="7"/>
    <x v="0"/>
    <x v="1"/>
    <n v="292559"/>
    <n v="178165"/>
    <n v="114394"/>
    <x v="0"/>
    <n v="292559"/>
    <n v="0"/>
    <n v="0"/>
    <n v="1"/>
    <n v="1"/>
    <s v="Yes"/>
    <x v="0"/>
  </r>
  <r>
    <n v="20417"/>
    <d v="2024-04-11T00:00:00"/>
    <x v="1"/>
    <s v="Patna"/>
    <s v="SC_PAT_1"/>
    <x v="1"/>
    <s v="Cayenne"/>
    <s v="SUV"/>
    <x v="0"/>
    <x v="4"/>
    <x v="2"/>
    <x v="1"/>
    <n v="3"/>
    <n v="7"/>
    <x v="0"/>
    <x v="1"/>
    <n v="186524"/>
    <n v="156376"/>
    <n v="30148"/>
    <x v="3"/>
    <n v="186524"/>
    <n v="0"/>
    <n v="0"/>
    <n v="1"/>
    <n v="1"/>
    <s v="No"/>
    <x v="2"/>
  </r>
  <r>
    <n v="20418"/>
    <d v="2024-01-28T00:00:00"/>
    <x v="0"/>
    <s v="Chennai"/>
    <s v="SC_CHE_5"/>
    <x v="0"/>
    <s v="Panamera"/>
    <s v="Sedan"/>
    <x v="0"/>
    <x v="1"/>
    <x v="2"/>
    <x v="0"/>
    <n v="8"/>
    <n v="7"/>
    <x v="1"/>
    <x v="1"/>
    <n v="147098"/>
    <n v="113019"/>
    <n v="34079"/>
    <x v="3"/>
    <n v="0"/>
    <n v="0"/>
    <n v="1"/>
    <n v="0"/>
    <n v="1"/>
    <s v="Yes"/>
    <x v="2"/>
  </r>
  <r>
    <n v="20419"/>
    <d v="2024-04-04T00:00:00"/>
    <x v="2"/>
    <s v="Noida"/>
    <s v="SC_NOI_1"/>
    <x v="1"/>
    <s v="Veyron"/>
    <s v="Hypercar"/>
    <x v="1"/>
    <x v="2"/>
    <x v="0"/>
    <x v="1"/>
    <n v="13"/>
    <n v="7"/>
    <x v="0"/>
    <x v="1"/>
    <n v="283800"/>
    <n v="190462"/>
    <n v="93338"/>
    <x v="1"/>
    <n v="283800"/>
    <n v="0"/>
    <n v="0"/>
    <n v="1"/>
    <n v="1"/>
    <s v="Yes"/>
    <x v="0"/>
  </r>
  <r>
    <n v="20420"/>
    <d v="2024-03-31T00:00:00"/>
    <x v="3"/>
    <s v="Pune"/>
    <s v="SC_PUN_4"/>
    <x v="0"/>
    <s v="Panamera"/>
    <s v="Sedan"/>
    <x v="1"/>
    <x v="1"/>
    <x v="0"/>
    <x v="0"/>
    <n v="23"/>
    <n v="7"/>
    <x v="0"/>
    <x v="1"/>
    <n v="333697"/>
    <n v="250898"/>
    <n v="82799"/>
    <x v="0"/>
    <n v="333697"/>
    <n v="0"/>
    <n v="0"/>
    <n v="1"/>
    <n v="1"/>
    <s v="Yes"/>
    <x v="0"/>
  </r>
  <r>
    <n v="20421"/>
    <d v="2024-04-05T00:00:00"/>
    <x v="3"/>
    <s v="Pune"/>
    <s v="SC_PUN_4"/>
    <x v="1"/>
    <s v="Cayenne"/>
    <s v="SUV"/>
    <x v="0"/>
    <x v="4"/>
    <x v="2"/>
    <x v="0"/>
    <n v="6"/>
    <n v="7"/>
    <x v="1"/>
    <x v="1"/>
    <n v="371861"/>
    <n v="263945"/>
    <n v="107916"/>
    <x v="3"/>
    <n v="0"/>
    <n v="0"/>
    <n v="1"/>
    <n v="0"/>
    <n v="1"/>
    <s v="No"/>
    <x v="2"/>
  </r>
  <r>
    <n v="20422"/>
    <d v="2024-02-26T00:00:00"/>
    <x v="2"/>
    <s v="Delhi"/>
    <s v="SC_DEL_2"/>
    <x v="1"/>
    <s v="Panamera"/>
    <s v="Sedan"/>
    <x v="1"/>
    <x v="1"/>
    <x v="1"/>
    <x v="1"/>
    <n v="4"/>
    <n v="7"/>
    <x v="1"/>
    <x v="1"/>
    <n v="339563"/>
    <n v="209550"/>
    <n v="130013"/>
    <x v="4"/>
    <n v="0"/>
    <n v="0"/>
    <n v="1"/>
    <n v="0"/>
    <n v="1"/>
    <s v="No"/>
    <x v="2"/>
  </r>
  <r>
    <n v="20423"/>
    <d v="2024-05-01T00:00:00"/>
    <x v="0"/>
    <s v="Bengaluru"/>
    <s v="SC_BEN_5"/>
    <x v="0"/>
    <s v="911"/>
    <s v="Coupe"/>
    <x v="1"/>
    <x v="4"/>
    <x v="1"/>
    <x v="1"/>
    <n v="4"/>
    <n v="7"/>
    <x v="0"/>
    <x v="1"/>
    <n v="290115"/>
    <n v="219810"/>
    <n v="70305"/>
    <x v="3"/>
    <n v="290115"/>
    <n v="0"/>
    <n v="0"/>
    <n v="1"/>
    <n v="1"/>
    <s v="No"/>
    <x v="2"/>
  </r>
  <r>
    <n v="20424"/>
    <d v="2024-05-13T00:00:00"/>
    <x v="3"/>
    <s v="Pune"/>
    <s v="SC_PUN_3"/>
    <x v="2"/>
    <s v="Veyron"/>
    <s v="Hypercar"/>
    <x v="0"/>
    <x v="4"/>
    <x v="0"/>
    <x v="0"/>
    <n v="8"/>
    <n v="7"/>
    <x v="1"/>
    <x v="1"/>
    <n v="597289"/>
    <n v="428039"/>
    <n v="169250"/>
    <x v="3"/>
    <n v="0"/>
    <n v="0"/>
    <n v="1"/>
    <n v="0"/>
    <n v="1"/>
    <s v="Yes"/>
    <x v="2"/>
  </r>
  <r>
    <n v="20425"/>
    <d v="2024-01-07T00:00:00"/>
    <x v="0"/>
    <s v="Hyderabad"/>
    <s v="SC_HYD_4"/>
    <x v="2"/>
    <s v="Cayenne"/>
    <s v="SUV"/>
    <x v="1"/>
    <x v="0"/>
    <x v="2"/>
    <x v="0"/>
    <n v="10"/>
    <n v="7"/>
    <x v="0"/>
    <x v="1"/>
    <n v="224682"/>
    <n v="160673"/>
    <n v="64009"/>
    <x v="1"/>
    <n v="224682"/>
    <n v="0"/>
    <n v="0"/>
    <n v="1"/>
    <n v="1"/>
    <s v="Yes"/>
    <x v="0"/>
  </r>
  <r>
    <n v="20426"/>
    <d v="2024-05-30T00:00:00"/>
    <x v="3"/>
    <s v="Mumbai"/>
    <s v="SC_MUM_3"/>
    <x v="0"/>
    <s v="Macan"/>
    <s v="SUV"/>
    <x v="1"/>
    <x v="3"/>
    <x v="0"/>
    <x v="1"/>
    <n v="12"/>
    <n v="7"/>
    <x v="0"/>
    <x v="1"/>
    <n v="253066"/>
    <n v="139878"/>
    <n v="113188"/>
    <x v="1"/>
    <n v="253066"/>
    <n v="0"/>
    <n v="0"/>
    <n v="1"/>
    <n v="1"/>
    <s v="Yes"/>
    <x v="0"/>
  </r>
  <r>
    <n v="20427"/>
    <d v="2024-04-09T00:00:00"/>
    <x v="1"/>
    <s v="Bhubaneswar"/>
    <s v="SC_BHU_1"/>
    <x v="2"/>
    <s v="Cayenne"/>
    <s v="SUV"/>
    <x v="1"/>
    <x v="3"/>
    <x v="2"/>
    <x v="0"/>
    <n v="22"/>
    <n v="7"/>
    <x v="1"/>
    <x v="1"/>
    <n v="200950"/>
    <n v="143684"/>
    <n v="57266"/>
    <x v="0"/>
    <n v="0"/>
    <n v="0"/>
    <n v="1"/>
    <n v="0"/>
    <n v="1"/>
    <s v="Yes"/>
    <x v="0"/>
  </r>
  <r>
    <n v="20428"/>
    <d v="2024-03-27T00:00:00"/>
    <x v="1"/>
    <s v="Bhubaneswar"/>
    <s v="SC_BHU_1"/>
    <x v="1"/>
    <s v="Panamera"/>
    <s v="Sedan"/>
    <x v="1"/>
    <x v="4"/>
    <x v="1"/>
    <x v="0"/>
    <n v="20"/>
    <n v="7"/>
    <x v="1"/>
    <x v="0"/>
    <n v="136606"/>
    <n v="84623"/>
    <n v="51983"/>
    <x v="0"/>
    <n v="0"/>
    <n v="1"/>
    <n v="1"/>
    <n v="0"/>
    <n v="1"/>
    <s v="Yes"/>
    <x v="0"/>
  </r>
  <r>
    <n v="20429"/>
    <d v="2024-04-04T00:00:00"/>
    <x v="2"/>
    <s v="Delhi"/>
    <s v="SC_DEL_4"/>
    <x v="2"/>
    <s v="Panamera"/>
    <s v="Sedan"/>
    <x v="1"/>
    <x v="3"/>
    <x v="2"/>
    <x v="1"/>
    <n v="15"/>
    <n v="7"/>
    <x v="0"/>
    <x v="1"/>
    <n v="280336"/>
    <n v="142827"/>
    <n v="137509"/>
    <x v="0"/>
    <n v="280336"/>
    <n v="0"/>
    <n v="0"/>
    <n v="1"/>
    <n v="1"/>
    <s v="Yes"/>
    <x v="0"/>
  </r>
  <r>
    <n v="20430"/>
    <d v="2024-04-05T00:00:00"/>
    <x v="2"/>
    <s v="Gurugram"/>
    <s v="SC_GUR_5"/>
    <x v="0"/>
    <s v="Panamera"/>
    <s v="Sedan"/>
    <x v="1"/>
    <x v="0"/>
    <x v="1"/>
    <x v="1"/>
    <n v="15"/>
    <n v="7"/>
    <x v="1"/>
    <x v="1"/>
    <n v="303130"/>
    <n v="248573"/>
    <n v="54557"/>
    <x v="1"/>
    <n v="0"/>
    <n v="0"/>
    <n v="1"/>
    <n v="0"/>
    <n v="1"/>
    <s v="Yes"/>
    <x v="0"/>
  </r>
  <r>
    <n v="20431"/>
    <d v="2024-06-20T00:00:00"/>
    <x v="0"/>
    <s v="Hyderabad"/>
    <s v="SC_HYD_2"/>
    <x v="0"/>
    <s v="Panamera"/>
    <s v="Sedan"/>
    <x v="0"/>
    <x v="1"/>
    <x v="2"/>
    <x v="0"/>
    <n v="12"/>
    <n v="7"/>
    <x v="1"/>
    <x v="1"/>
    <n v="320615"/>
    <n v="205619"/>
    <n v="114996"/>
    <x v="2"/>
    <n v="0"/>
    <n v="0"/>
    <n v="1"/>
    <n v="0"/>
    <n v="1"/>
    <s v="Yes"/>
    <x v="1"/>
  </r>
  <r>
    <n v="20432"/>
    <d v="2024-02-10T00:00:00"/>
    <x v="3"/>
    <s v="Pune"/>
    <s v="SC_PUN_5"/>
    <x v="2"/>
    <s v="Chiron"/>
    <s v="Hypercar"/>
    <x v="0"/>
    <x v="3"/>
    <x v="0"/>
    <x v="1"/>
    <n v="3"/>
    <n v="7"/>
    <x v="1"/>
    <x v="1"/>
    <n v="278860"/>
    <n v="217437"/>
    <n v="61423"/>
    <x v="4"/>
    <n v="0"/>
    <n v="0"/>
    <n v="1"/>
    <n v="0"/>
    <n v="1"/>
    <s v="No"/>
    <x v="2"/>
  </r>
  <r>
    <n v="20433"/>
    <d v="2024-03-02T00:00:00"/>
    <x v="2"/>
    <s v="Delhi"/>
    <s v="SC_DEL_2"/>
    <x v="2"/>
    <s v="Cayenne"/>
    <s v="SUV"/>
    <x v="0"/>
    <x v="4"/>
    <x v="1"/>
    <x v="1"/>
    <n v="13"/>
    <n v="7"/>
    <x v="0"/>
    <x v="1"/>
    <n v="343479"/>
    <n v="238869"/>
    <n v="104610"/>
    <x v="1"/>
    <n v="343479"/>
    <n v="0"/>
    <n v="0"/>
    <n v="1"/>
    <n v="1"/>
    <s v="Yes"/>
    <x v="0"/>
  </r>
  <r>
    <n v="20434"/>
    <d v="2024-06-08T00:00:00"/>
    <x v="2"/>
    <s v="Delhi"/>
    <s v="SC_DEL_3"/>
    <x v="1"/>
    <s v="Veyron"/>
    <s v="Hypercar"/>
    <x v="1"/>
    <x v="0"/>
    <x v="2"/>
    <x v="0"/>
    <n v="11"/>
    <n v="7"/>
    <x v="0"/>
    <x v="0"/>
    <n v="465504"/>
    <n v="327939"/>
    <n v="137565"/>
    <x v="1"/>
    <n v="0"/>
    <n v="1"/>
    <n v="0"/>
    <n v="1"/>
    <n v="1"/>
    <s v="Yes"/>
    <x v="0"/>
  </r>
  <r>
    <n v="20435"/>
    <d v="2024-04-16T00:00:00"/>
    <x v="1"/>
    <s v="Bhubaneswar"/>
    <s v="SC_BHU_4"/>
    <x v="1"/>
    <s v="Veyron"/>
    <s v="Hypercar"/>
    <x v="1"/>
    <x v="2"/>
    <x v="1"/>
    <x v="1"/>
    <n v="24"/>
    <n v="7"/>
    <x v="0"/>
    <x v="0"/>
    <n v="260391"/>
    <n v="179508"/>
    <n v="80883"/>
    <x v="0"/>
    <n v="0"/>
    <n v="1"/>
    <n v="0"/>
    <n v="1"/>
    <n v="1"/>
    <s v="Yes"/>
    <x v="0"/>
  </r>
  <r>
    <n v="20436"/>
    <d v="2024-06-16T00:00:00"/>
    <x v="3"/>
    <s v="Ahmedabad"/>
    <s v="SC_AHM_3"/>
    <x v="2"/>
    <s v="Cayenne"/>
    <s v="SUV"/>
    <x v="1"/>
    <x v="1"/>
    <x v="0"/>
    <x v="0"/>
    <n v="19"/>
    <n v="7"/>
    <x v="0"/>
    <x v="1"/>
    <n v="464533"/>
    <n v="370444"/>
    <n v="94089"/>
    <x v="0"/>
    <n v="464533"/>
    <n v="0"/>
    <n v="0"/>
    <n v="1"/>
    <n v="1"/>
    <s v="Yes"/>
    <x v="0"/>
  </r>
  <r>
    <n v="20437"/>
    <d v="2024-03-24T00:00:00"/>
    <x v="0"/>
    <s v="Hyderabad"/>
    <s v="SC_HYD_3"/>
    <x v="1"/>
    <s v="Macan"/>
    <s v="SUV"/>
    <x v="0"/>
    <x v="0"/>
    <x v="1"/>
    <x v="0"/>
    <n v="14"/>
    <n v="7"/>
    <x v="1"/>
    <x v="0"/>
    <n v="458538"/>
    <n v="285629"/>
    <n v="172909"/>
    <x v="2"/>
    <n v="0"/>
    <n v="1"/>
    <n v="1"/>
    <n v="0"/>
    <n v="1"/>
    <s v="Yes"/>
    <x v="1"/>
  </r>
  <r>
    <n v="20438"/>
    <d v="2024-02-02T00:00:00"/>
    <x v="0"/>
    <s v="Hyderabad"/>
    <s v="SC_HYD_3"/>
    <x v="2"/>
    <s v="Veyron"/>
    <s v="Hypercar"/>
    <x v="0"/>
    <x v="2"/>
    <x v="1"/>
    <x v="1"/>
    <n v="4"/>
    <n v="7"/>
    <x v="0"/>
    <x v="1"/>
    <n v="428781"/>
    <n v="294758"/>
    <n v="134023"/>
    <x v="3"/>
    <n v="428781"/>
    <n v="0"/>
    <n v="0"/>
    <n v="1"/>
    <n v="1"/>
    <s v="No"/>
    <x v="2"/>
  </r>
  <r>
    <n v="20439"/>
    <d v="2024-03-08T00:00:00"/>
    <x v="1"/>
    <s v="Bhubaneswar"/>
    <s v="SC_BHU_4"/>
    <x v="2"/>
    <s v="Cayenne"/>
    <s v="SUV"/>
    <x v="0"/>
    <x v="4"/>
    <x v="0"/>
    <x v="1"/>
    <n v="12"/>
    <n v="7"/>
    <x v="0"/>
    <x v="1"/>
    <n v="213260"/>
    <n v="137153"/>
    <n v="76107"/>
    <x v="1"/>
    <n v="213260"/>
    <n v="0"/>
    <n v="0"/>
    <n v="1"/>
    <n v="1"/>
    <s v="Yes"/>
    <x v="0"/>
  </r>
  <r>
    <n v="20440"/>
    <d v="2024-06-20T00:00:00"/>
    <x v="1"/>
    <s v="Bhubaneswar"/>
    <s v="SC_BHU_3"/>
    <x v="1"/>
    <s v="Chiron"/>
    <s v="Hypercar"/>
    <x v="0"/>
    <x v="2"/>
    <x v="2"/>
    <x v="0"/>
    <n v="12"/>
    <n v="7"/>
    <x v="0"/>
    <x v="1"/>
    <n v="486668"/>
    <n v="388100"/>
    <n v="98568"/>
    <x v="1"/>
    <n v="486668"/>
    <n v="0"/>
    <n v="0"/>
    <n v="1"/>
    <n v="1"/>
    <s v="Yes"/>
    <x v="0"/>
  </r>
  <r>
    <n v="20441"/>
    <d v="2024-02-13T00:00:00"/>
    <x v="2"/>
    <s v="Noida"/>
    <s v="SC_NOI_1"/>
    <x v="1"/>
    <s v="Chiron"/>
    <s v="Hypercar"/>
    <x v="1"/>
    <x v="3"/>
    <x v="0"/>
    <x v="1"/>
    <n v="13"/>
    <n v="7"/>
    <x v="0"/>
    <x v="1"/>
    <n v="559252"/>
    <n v="302814"/>
    <n v="256438"/>
    <x v="1"/>
    <n v="559252"/>
    <n v="0"/>
    <n v="0"/>
    <n v="1"/>
    <n v="1"/>
    <s v="Yes"/>
    <x v="0"/>
  </r>
  <r>
    <n v="20442"/>
    <d v="2024-04-18T00:00:00"/>
    <x v="0"/>
    <s v="Hyderabad"/>
    <s v="SC_HYD_5"/>
    <x v="0"/>
    <s v="Taycan"/>
    <s v="Sedan"/>
    <x v="0"/>
    <x v="4"/>
    <x v="1"/>
    <x v="0"/>
    <n v="10"/>
    <n v="7"/>
    <x v="1"/>
    <x v="1"/>
    <n v="207191"/>
    <n v="130880"/>
    <n v="76311"/>
    <x v="2"/>
    <n v="0"/>
    <n v="0"/>
    <n v="1"/>
    <n v="0"/>
    <n v="1"/>
    <s v="Yes"/>
    <x v="1"/>
  </r>
  <r>
    <n v="20443"/>
    <d v="2024-01-10T00:00:00"/>
    <x v="0"/>
    <s v="Hyderabad"/>
    <s v="SC_HYD_5"/>
    <x v="2"/>
    <s v="Taycan"/>
    <s v="Sedan"/>
    <x v="1"/>
    <x v="3"/>
    <x v="0"/>
    <x v="0"/>
    <n v="19"/>
    <n v="7"/>
    <x v="0"/>
    <x v="1"/>
    <n v="494369"/>
    <n v="408783"/>
    <n v="85586"/>
    <x v="0"/>
    <n v="494369"/>
    <n v="0"/>
    <n v="0"/>
    <n v="1"/>
    <n v="1"/>
    <s v="Yes"/>
    <x v="0"/>
  </r>
  <r>
    <n v="20444"/>
    <d v="2024-05-16T00:00:00"/>
    <x v="1"/>
    <s v="Kolkata"/>
    <s v="SC_KOL_5"/>
    <x v="0"/>
    <s v="911"/>
    <s v="Coupe"/>
    <x v="0"/>
    <x v="3"/>
    <x v="2"/>
    <x v="0"/>
    <n v="24"/>
    <n v="7"/>
    <x v="1"/>
    <x v="1"/>
    <n v="379244"/>
    <n v="283246"/>
    <n v="95998"/>
    <x v="0"/>
    <n v="0"/>
    <n v="0"/>
    <n v="1"/>
    <n v="0"/>
    <n v="1"/>
    <s v="Yes"/>
    <x v="0"/>
  </r>
  <r>
    <n v="20445"/>
    <d v="2024-03-30T00:00:00"/>
    <x v="2"/>
    <s v="Delhi"/>
    <s v="SC_DEL_5"/>
    <x v="1"/>
    <s v="Chiron"/>
    <s v="Hypercar"/>
    <x v="0"/>
    <x v="3"/>
    <x v="2"/>
    <x v="1"/>
    <n v="22"/>
    <n v="7"/>
    <x v="0"/>
    <x v="0"/>
    <n v="542578"/>
    <n v="420110"/>
    <n v="122468"/>
    <x v="0"/>
    <n v="0"/>
    <n v="1"/>
    <n v="0"/>
    <n v="1"/>
    <n v="1"/>
    <s v="Yes"/>
    <x v="0"/>
  </r>
  <r>
    <n v="20446"/>
    <d v="2024-01-21T00:00:00"/>
    <x v="1"/>
    <s v="Patna"/>
    <s v="SC_PAT_3"/>
    <x v="2"/>
    <s v="Veyron"/>
    <s v="Hypercar"/>
    <x v="1"/>
    <x v="4"/>
    <x v="1"/>
    <x v="1"/>
    <n v="21"/>
    <n v="7"/>
    <x v="1"/>
    <x v="1"/>
    <n v="322932"/>
    <n v="258841"/>
    <n v="64091"/>
    <x v="0"/>
    <n v="0"/>
    <n v="0"/>
    <n v="1"/>
    <n v="0"/>
    <n v="1"/>
    <s v="Yes"/>
    <x v="0"/>
  </r>
  <r>
    <n v="20447"/>
    <d v="2024-03-19T00:00:00"/>
    <x v="3"/>
    <s v="Pune"/>
    <s v="SC_PUN_5"/>
    <x v="2"/>
    <s v="Taycan"/>
    <s v="Sedan"/>
    <x v="1"/>
    <x v="1"/>
    <x v="2"/>
    <x v="0"/>
    <n v="20"/>
    <n v="7"/>
    <x v="0"/>
    <x v="0"/>
    <n v="170146"/>
    <n v="113436"/>
    <n v="56710"/>
    <x v="0"/>
    <n v="0"/>
    <n v="1"/>
    <n v="0"/>
    <n v="1"/>
    <n v="1"/>
    <s v="Yes"/>
    <x v="0"/>
  </r>
  <r>
    <n v="20448"/>
    <d v="2024-06-05T00:00:00"/>
    <x v="3"/>
    <s v="Mumbai"/>
    <s v="SC_MUM_1"/>
    <x v="0"/>
    <s v="Chiron"/>
    <s v="Hypercar"/>
    <x v="0"/>
    <x v="4"/>
    <x v="0"/>
    <x v="0"/>
    <n v="25"/>
    <n v="7"/>
    <x v="0"/>
    <x v="1"/>
    <n v="469826"/>
    <n v="375444"/>
    <n v="94382"/>
    <x v="0"/>
    <n v="469826"/>
    <n v="0"/>
    <n v="0"/>
    <n v="1"/>
    <n v="1"/>
    <s v="Yes"/>
    <x v="0"/>
  </r>
  <r>
    <n v="20449"/>
    <d v="2024-02-03T00:00:00"/>
    <x v="2"/>
    <s v="Delhi"/>
    <s v="SC_DEL_4"/>
    <x v="0"/>
    <s v="Panamera"/>
    <s v="Sedan"/>
    <x v="0"/>
    <x v="1"/>
    <x v="1"/>
    <x v="1"/>
    <n v="2"/>
    <n v="7"/>
    <x v="0"/>
    <x v="0"/>
    <n v="343710"/>
    <n v="242271"/>
    <n v="101439"/>
    <x v="3"/>
    <n v="0"/>
    <n v="1"/>
    <n v="0"/>
    <n v="1"/>
    <n v="1"/>
    <s v="No"/>
    <x v="2"/>
  </r>
  <r>
    <n v="20450"/>
    <d v="2024-02-22T00:00:00"/>
    <x v="2"/>
    <s v="Delhi"/>
    <s v="SC_DEL_1"/>
    <x v="2"/>
    <s v="Taycan"/>
    <s v="Sedan"/>
    <x v="0"/>
    <x v="2"/>
    <x v="2"/>
    <x v="1"/>
    <n v="5"/>
    <n v="7"/>
    <x v="1"/>
    <x v="1"/>
    <n v="266359"/>
    <n v="213392"/>
    <n v="52967"/>
    <x v="3"/>
    <n v="0"/>
    <n v="0"/>
    <n v="1"/>
    <n v="0"/>
    <n v="1"/>
    <s v="No"/>
    <x v="2"/>
  </r>
  <r>
    <n v="20451"/>
    <d v="2024-02-02T00:00:00"/>
    <x v="0"/>
    <s v="Bengaluru"/>
    <s v="SC_BEN_5"/>
    <x v="1"/>
    <s v="Panamera"/>
    <s v="Sedan"/>
    <x v="1"/>
    <x v="0"/>
    <x v="2"/>
    <x v="0"/>
    <n v="2"/>
    <n v="7"/>
    <x v="0"/>
    <x v="1"/>
    <n v="409901"/>
    <n v="295947"/>
    <n v="113954"/>
    <x v="3"/>
    <n v="409901"/>
    <n v="0"/>
    <n v="0"/>
    <n v="1"/>
    <n v="1"/>
    <s v="No"/>
    <x v="2"/>
  </r>
  <r>
    <n v="20452"/>
    <d v="2024-01-03T00:00:00"/>
    <x v="1"/>
    <s v="Bhubaneswar"/>
    <s v="SC_BHU_4"/>
    <x v="0"/>
    <s v="Macan"/>
    <s v="SUV"/>
    <x v="1"/>
    <x v="2"/>
    <x v="2"/>
    <x v="0"/>
    <n v="13"/>
    <n v="7"/>
    <x v="1"/>
    <x v="0"/>
    <n v="456626"/>
    <n v="297932"/>
    <n v="158694"/>
    <x v="2"/>
    <n v="0"/>
    <n v="1"/>
    <n v="1"/>
    <n v="0"/>
    <n v="1"/>
    <s v="Yes"/>
    <x v="1"/>
  </r>
  <r>
    <n v="20453"/>
    <d v="2024-05-04T00:00:00"/>
    <x v="3"/>
    <s v="Mumbai"/>
    <s v="SC_MUM_5"/>
    <x v="1"/>
    <s v="Chiron"/>
    <s v="Hypercar"/>
    <x v="0"/>
    <x v="0"/>
    <x v="2"/>
    <x v="1"/>
    <n v="10"/>
    <n v="7"/>
    <x v="0"/>
    <x v="0"/>
    <n v="331848"/>
    <n v="201447"/>
    <n v="130401"/>
    <x v="1"/>
    <n v="0"/>
    <n v="1"/>
    <n v="0"/>
    <n v="1"/>
    <n v="1"/>
    <s v="Yes"/>
    <x v="0"/>
  </r>
  <r>
    <n v="20454"/>
    <d v="2024-01-24T00:00:00"/>
    <x v="2"/>
    <s v="Noida"/>
    <s v="SC_NOI_1"/>
    <x v="0"/>
    <s v="911"/>
    <s v="Coupe"/>
    <x v="1"/>
    <x v="3"/>
    <x v="2"/>
    <x v="0"/>
    <n v="8"/>
    <n v="7"/>
    <x v="0"/>
    <x v="1"/>
    <n v="370760"/>
    <n v="188981"/>
    <n v="181779"/>
    <x v="2"/>
    <n v="370760"/>
    <n v="0"/>
    <n v="0"/>
    <n v="1"/>
    <n v="1"/>
    <s v="Yes"/>
    <x v="1"/>
  </r>
  <r>
    <n v="20455"/>
    <d v="2024-06-09T00:00:00"/>
    <x v="3"/>
    <s v="Mumbai"/>
    <s v="SC_MUM_2"/>
    <x v="1"/>
    <s v="Taycan"/>
    <s v="Sedan"/>
    <x v="1"/>
    <x v="1"/>
    <x v="0"/>
    <x v="1"/>
    <n v="11"/>
    <n v="7"/>
    <x v="0"/>
    <x v="0"/>
    <n v="134722"/>
    <n v="85534"/>
    <n v="49188"/>
    <x v="1"/>
    <n v="0"/>
    <n v="1"/>
    <n v="0"/>
    <n v="1"/>
    <n v="1"/>
    <s v="Yes"/>
    <x v="0"/>
  </r>
  <r>
    <n v="20456"/>
    <d v="2024-06-11T00:00:00"/>
    <x v="2"/>
    <s v="Noida"/>
    <s v="SC_NOI_1"/>
    <x v="0"/>
    <s v="Veyron"/>
    <s v="Hypercar"/>
    <x v="1"/>
    <x v="4"/>
    <x v="0"/>
    <x v="1"/>
    <n v="11"/>
    <n v="7"/>
    <x v="0"/>
    <x v="1"/>
    <n v="344164"/>
    <n v="195643"/>
    <n v="148521"/>
    <x v="1"/>
    <n v="344164"/>
    <n v="0"/>
    <n v="0"/>
    <n v="1"/>
    <n v="1"/>
    <s v="Yes"/>
    <x v="0"/>
  </r>
  <r>
    <n v="20457"/>
    <d v="2024-02-03T00:00:00"/>
    <x v="2"/>
    <s v="Delhi"/>
    <s v="SC_DEL_3"/>
    <x v="1"/>
    <s v="Taycan"/>
    <s v="Sedan"/>
    <x v="1"/>
    <x v="3"/>
    <x v="2"/>
    <x v="0"/>
    <n v="2"/>
    <n v="7"/>
    <x v="1"/>
    <x v="1"/>
    <n v="318759"/>
    <n v="252041"/>
    <n v="66718"/>
    <x v="4"/>
    <n v="0"/>
    <n v="0"/>
    <n v="1"/>
    <n v="0"/>
    <n v="1"/>
    <s v="No"/>
    <x v="2"/>
  </r>
  <r>
    <n v="20458"/>
    <d v="2024-06-03T00:00:00"/>
    <x v="3"/>
    <s v="Pune"/>
    <s v="SC_PUN_4"/>
    <x v="2"/>
    <s v="911"/>
    <s v="Coupe"/>
    <x v="0"/>
    <x v="3"/>
    <x v="2"/>
    <x v="0"/>
    <n v="9"/>
    <n v="7"/>
    <x v="1"/>
    <x v="1"/>
    <n v="363227"/>
    <n v="223087"/>
    <n v="140140"/>
    <x v="3"/>
    <n v="0"/>
    <n v="0"/>
    <n v="1"/>
    <n v="0"/>
    <n v="1"/>
    <s v="Yes"/>
    <x v="2"/>
  </r>
  <r>
    <n v="20459"/>
    <d v="2024-03-15T00:00:00"/>
    <x v="0"/>
    <s v="Hyderabad"/>
    <s v="SC_HYD_4"/>
    <x v="1"/>
    <s v="Cayenne"/>
    <s v="SUV"/>
    <x v="0"/>
    <x v="2"/>
    <x v="2"/>
    <x v="0"/>
    <n v="18"/>
    <n v="7"/>
    <x v="1"/>
    <x v="0"/>
    <n v="278342"/>
    <n v="179525"/>
    <n v="98817"/>
    <x v="1"/>
    <n v="0"/>
    <n v="1"/>
    <n v="1"/>
    <n v="0"/>
    <n v="1"/>
    <s v="Yes"/>
    <x v="0"/>
  </r>
  <r>
    <n v="20460"/>
    <d v="2024-01-25T00:00:00"/>
    <x v="3"/>
    <s v="Pune"/>
    <s v="SC_PUN_1"/>
    <x v="0"/>
    <s v="Taycan"/>
    <s v="Sedan"/>
    <x v="1"/>
    <x v="3"/>
    <x v="1"/>
    <x v="1"/>
    <n v="21"/>
    <n v="7"/>
    <x v="1"/>
    <x v="1"/>
    <n v="542562"/>
    <n v="315946"/>
    <n v="226616"/>
    <x v="0"/>
    <n v="0"/>
    <n v="0"/>
    <n v="1"/>
    <n v="0"/>
    <n v="1"/>
    <s v="Yes"/>
    <x v="0"/>
  </r>
  <r>
    <n v="20461"/>
    <d v="2024-04-05T00:00:00"/>
    <x v="3"/>
    <s v="Mumbai"/>
    <s v="SC_MUM_3"/>
    <x v="2"/>
    <s v="Cayenne"/>
    <s v="SUV"/>
    <x v="1"/>
    <x v="2"/>
    <x v="2"/>
    <x v="0"/>
    <n v="6"/>
    <n v="7"/>
    <x v="1"/>
    <x v="1"/>
    <n v="267328"/>
    <n v="199814"/>
    <n v="67514"/>
    <x v="3"/>
    <n v="0"/>
    <n v="0"/>
    <n v="1"/>
    <n v="0"/>
    <n v="1"/>
    <s v="No"/>
    <x v="2"/>
  </r>
  <r>
    <n v="20462"/>
    <d v="2024-02-01T00:00:00"/>
    <x v="1"/>
    <s v="Kolkata"/>
    <s v="SC_KOL_4"/>
    <x v="1"/>
    <s v="911"/>
    <s v="Coupe"/>
    <x v="0"/>
    <x v="2"/>
    <x v="1"/>
    <x v="1"/>
    <n v="8"/>
    <n v="7"/>
    <x v="0"/>
    <x v="1"/>
    <n v="455034"/>
    <n v="247010"/>
    <n v="208024"/>
    <x v="2"/>
    <n v="455034"/>
    <n v="0"/>
    <n v="0"/>
    <n v="1"/>
    <n v="1"/>
    <s v="Yes"/>
    <x v="1"/>
  </r>
  <r>
    <n v="20463"/>
    <d v="2024-04-02T00:00:00"/>
    <x v="1"/>
    <s v="Kolkata"/>
    <s v="SC_KOL_5"/>
    <x v="0"/>
    <s v="Panamera"/>
    <s v="Sedan"/>
    <x v="0"/>
    <x v="3"/>
    <x v="0"/>
    <x v="0"/>
    <n v="14"/>
    <n v="7"/>
    <x v="0"/>
    <x v="1"/>
    <n v="496140"/>
    <n v="304013"/>
    <n v="192127"/>
    <x v="1"/>
    <n v="496140"/>
    <n v="0"/>
    <n v="0"/>
    <n v="1"/>
    <n v="1"/>
    <s v="Yes"/>
    <x v="0"/>
  </r>
  <r>
    <n v="20464"/>
    <d v="2024-06-26T00:00:00"/>
    <x v="3"/>
    <s v="Mumbai"/>
    <s v="SC_MUM_2"/>
    <x v="0"/>
    <s v="Macan"/>
    <s v="SUV"/>
    <x v="1"/>
    <x v="3"/>
    <x v="1"/>
    <x v="0"/>
    <n v="8"/>
    <n v="7"/>
    <x v="0"/>
    <x v="1"/>
    <n v="535533"/>
    <n v="418760"/>
    <n v="116773"/>
    <x v="2"/>
    <n v="535533"/>
    <n v="0"/>
    <n v="0"/>
    <n v="1"/>
    <n v="1"/>
    <s v="Yes"/>
    <x v="1"/>
  </r>
  <r>
    <n v="20465"/>
    <d v="2024-05-21T00:00:00"/>
    <x v="3"/>
    <s v="Ahmedabad"/>
    <s v="SC_AHM_2"/>
    <x v="2"/>
    <s v="Panamera"/>
    <s v="Sedan"/>
    <x v="0"/>
    <x v="0"/>
    <x v="0"/>
    <x v="0"/>
    <n v="23"/>
    <n v="7"/>
    <x v="0"/>
    <x v="1"/>
    <n v="118050"/>
    <n v="78847"/>
    <n v="39203"/>
    <x v="0"/>
    <n v="118050"/>
    <n v="0"/>
    <n v="0"/>
    <n v="1"/>
    <n v="1"/>
    <s v="Yes"/>
    <x v="0"/>
  </r>
  <r>
    <n v="20466"/>
    <d v="2024-01-16T00:00:00"/>
    <x v="1"/>
    <s v="Kolkata"/>
    <s v="SC_KOL_3"/>
    <x v="1"/>
    <s v="911"/>
    <s v="Coupe"/>
    <x v="1"/>
    <x v="0"/>
    <x v="2"/>
    <x v="0"/>
    <n v="22"/>
    <n v="7"/>
    <x v="1"/>
    <x v="0"/>
    <n v="297424"/>
    <n v="177245"/>
    <n v="120179"/>
    <x v="0"/>
    <n v="0"/>
    <n v="1"/>
    <n v="1"/>
    <n v="0"/>
    <n v="1"/>
    <s v="Yes"/>
    <x v="0"/>
  </r>
  <r>
    <n v="20467"/>
    <d v="2024-01-09T00:00:00"/>
    <x v="2"/>
    <s v="Noida"/>
    <s v="SC_NOI_5"/>
    <x v="1"/>
    <s v="Veyron"/>
    <s v="Hypercar"/>
    <x v="0"/>
    <x v="2"/>
    <x v="2"/>
    <x v="0"/>
    <n v="15"/>
    <n v="7"/>
    <x v="1"/>
    <x v="0"/>
    <n v="467282"/>
    <n v="379372"/>
    <n v="87910"/>
    <x v="1"/>
    <n v="0"/>
    <n v="1"/>
    <n v="1"/>
    <n v="0"/>
    <n v="1"/>
    <s v="Yes"/>
    <x v="0"/>
  </r>
  <r>
    <n v="20468"/>
    <d v="2024-03-15T00:00:00"/>
    <x v="0"/>
    <s v="Bengaluru"/>
    <s v="SC_BEN_1"/>
    <x v="0"/>
    <s v="Cayenne"/>
    <s v="SUV"/>
    <x v="0"/>
    <x v="3"/>
    <x v="1"/>
    <x v="1"/>
    <n v="25"/>
    <n v="7"/>
    <x v="1"/>
    <x v="1"/>
    <n v="334939"/>
    <n v="253729"/>
    <n v="81210"/>
    <x v="0"/>
    <n v="0"/>
    <n v="0"/>
    <n v="1"/>
    <n v="0"/>
    <n v="1"/>
    <s v="Yes"/>
    <x v="0"/>
  </r>
  <r>
    <n v="20469"/>
    <d v="2024-03-07T00:00:00"/>
    <x v="1"/>
    <s v="Bhubaneswar"/>
    <s v="SC_BHU_4"/>
    <x v="0"/>
    <s v="Taycan"/>
    <s v="Sedan"/>
    <x v="0"/>
    <x v="3"/>
    <x v="0"/>
    <x v="0"/>
    <n v="5"/>
    <n v="7"/>
    <x v="1"/>
    <x v="1"/>
    <n v="130728"/>
    <n v="97456"/>
    <n v="33272"/>
    <x v="3"/>
    <n v="0"/>
    <n v="0"/>
    <n v="1"/>
    <n v="0"/>
    <n v="1"/>
    <s v="No"/>
    <x v="2"/>
  </r>
  <r>
    <n v="20470"/>
    <d v="2024-01-05T00:00:00"/>
    <x v="0"/>
    <s v="Chennai"/>
    <s v="SC_CHE_2"/>
    <x v="2"/>
    <s v="Macan"/>
    <s v="SUV"/>
    <x v="0"/>
    <x v="4"/>
    <x v="1"/>
    <x v="0"/>
    <n v="6"/>
    <n v="7"/>
    <x v="0"/>
    <x v="0"/>
    <n v="165274"/>
    <n v="107500"/>
    <n v="57774"/>
    <x v="2"/>
    <n v="0"/>
    <n v="1"/>
    <n v="0"/>
    <n v="1"/>
    <n v="1"/>
    <s v="No"/>
    <x v="1"/>
  </r>
  <r>
    <n v="20471"/>
    <d v="2024-06-15T00:00:00"/>
    <x v="0"/>
    <s v="Bengaluru"/>
    <s v="SC_BEN_2"/>
    <x v="1"/>
    <s v="911"/>
    <s v="Coupe"/>
    <x v="1"/>
    <x v="2"/>
    <x v="2"/>
    <x v="1"/>
    <n v="13"/>
    <n v="7"/>
    <x v="1"/>
    <x v="1"/>
    <n v="161738"/>
    <n v="134088"/>
    <n v="27650"/>
    <x v="2"/>
    <n v="0"/>
    <n v="0"/>
    <n v="1"/>
    <n v="0"/>
    <n v="1"/>
    <s v="Yes"/>
    <x v="1"/>
  </r>
  <r>
    <n v="20472"/>
    <d v="2024-01-09T00:00:00"/>
    <x v="1"/>
    <s v="Patna"/>
    <s v="SC_PAT_1"/>
    <x v="2"/>
    <s v="Taycan"/>
    <s v="Sedan"/>
    <x v="1"/>
    <x v="1"/>
    <x v="1"/>
    <x v="0"/>
    <n v="15"/>
    <n v="7"/>
    <x v="1"/>
    <x v="0"/>
    <n v="514611"/>
    <n v="366035"/>
    <n v="148576"/>
    <x v="1"/>
    <n v="0"/>
    <n v="1"/>
    <n v="1"/>
    <n v="0"/>
    <n v="1"/>
    <s v="Yes"/>
    <x v="0"/>
  </r>
  <r>
    <n v="20473"/>
    <d v="2024-06-29T00:00:00"/>
    <x v="1"/>
    <s v="Kolkata"/>
    <s v="SC_KOL_5"/>
    <x v="2"/>
    <s v="Macan"/>
    <s v="SUV"/>
    <x v="0"/>
    <x v="1"/>
    <x v="2"/>
    <x v="0"/>
    <n v="9"/>
    <n v="7"/>
    <x v="0"/>
    <x v="1"/>
    <n v="558526"/>
    <n v="340787"/>
    <n v="217739"/>
    <x v="2"/>
    <n v="558526"/>
    <n v="0"/>
    <n v="0"/>
    <n v="1"/>
    <n v="1"/>
    <s v="Yes"/>
    <x v="1"/>
  </r>
  <r>
    <n v="20474"/>
    <d v="2024-03-29T00:00:00"/>
    <x v="2"/>
    <s v="Delhi"/>
    <s v="SC_DEL_2"/>
    <x v="0"/>
    <s v="Veyron"/>
    <s v="Hypercar"/>
    <x v="1"/>
    <x v="1"/>
    <x v="1"/>
    <x v="1"/>
    <n v="18"/>
    <n v="7"/>
    <x v="0"/>
    <x v="0"/>
    <n v="317289"/>
    <n v="217065"/>
    <n v="100224"/>
    <x v="0"/>
    <n v="0"/>
    <n v="1"/>
    <n v="0"/>
    <n v="1"/>
    <n v="1"/>
    <s v="Yes"/>
    <x v="0"/>
  </r>
  <r>
    <n v="20475"/>
    <d v="2024-02-19T00:00:00"/>
    <x v="1"/>
    <s v="Kolkata"/>
    <s v="SC_KOL_2"/>
    <x v="0"/>
    <s v="Taycan"/>
    <s v="Sedan"/>
    <x v="1"/>
    <x v="1"/>
    <x v="2"/>
    <x v="0"/>
    <n v="23"/>
    <n v="7"/>
    <x v="0"/>
    <x v="0"/>
    <n v="189959"/>
    <n v="150157"/>
    <n v="39802"/>
    <x v="0"/>
    <n v="0"/>
    <n v="1"/>
    <n v="0"/>
    <n v="1"/>
    <n v="1"/>
    <s v="Yes"/>
    <x v="0"/>
  </r>
  <r>
    <n v="20476"/>
    <d v="2024-04-12T00:00:00"/>
    <x v="0"/>
    <s v="Hyderabad"/>
    <s v="SC_HYD_3"/>
    <x v="1"/>
    <s v="Panamera"/>
    <s v="Sedan"/>
    <x v="1"/>
    <x v="1"/>
    <x v="1"/>
    <x v="0"/>
    <n v="21"/>
    <n v="7"/>
    <x v="1"/>
    <x v="0"/>
    <n v="228946"/>
    <n v="117499"/>
    <n v="111447"/>
    <x v="0"/>
    <n v="0"/>
    <n v="1"/>
    <n v="1"/>
    <n v="0"/>
    <n v="1"/>
    <s v="Yes"/>
    <x v="0"/>
  </r>
  <r>
    <n v="20477"/>
    <d v="2024-05-01T00:00:00"/>
    <x v="2"/>
    <s v="Noida"/>
    <s v="SC_NOI_2"/>
    <x v="2"/>
    <s v="Taycan"/>
    <s v="Sedan"/>
    <x v="0"/>
    <x v="4"/>
    <x v="0"/>
    <x v="0"/>
    <n v="18"/>
    <n v="7"/>
    <x v="0"/>
    <x v="1"/>
    <n v="288834"/>
    <n v="179379"/>
    <n v="109455"/>
    <x v="0"/>
    <n v="288834"/>
    <n v="0"/>
    <n v="0"/>
    <n v="1"/>
    <n v="1"/>
    <s v="Yes"/>
    <x v="0"/>
  </r>
  <r>
    <n v="20478"/>
    <d v="2024-01-13T00:00:00"/>
    <x v="1"/>
    <s v="Patna"/>
    <s v="SC_PAT_5"/>
    <x v="2"/>
    <s v="Veyron"/>
    <s v="Hypercar"/>
    <x v="0"/>
    <x v="4"/>
    <x v="1"/>
    <x v="1"/>
    <n v="21"/>
    <n v="7"/>
    <x v="1"/>
    <x v="0"/>
    <n v="398382"/>
    <n v="207248"/>
    <n v="191134"/>
    <x v="0"/>
    <n v="0"/>
    <n v="1"/>
    <n v="1"/>
    <n v="0"/>
    <n v="1"/>
    <s v="Yes"/>
    <x v="0"/>
  </r>
  <r>
    <n v="20479"/>
    <d v="2024-02-29T00:00:00"/>
    <x v="1"/>
    <s v="Bhubaneswar"/>
    <s v="SC_BHU_5"/>
    <x v="2"/>
    <s v="Panamera"/>
    <s v="Sedan"/>
    <x v="1"/>
    <x v="2"/>
    <x v="2"/>
    <x v="1"/>
    <n v="24"/>
    <n v="7"/>
    <x v="1"/>
    <x v="1"/>
    <n v="473858"/>
    <n v="335536"/>
    <n v="138322"/>
    <x v="0"/>
    <n v="0"/>
    <n v="0"/>
    <n v="1"/>
    <n v="0"/>
    <n v="1"/>
    <s v="Yes"/>
    <x v="0"/>
  </r>
  <r>
    <n v="20480"/>
    <d v="2024-03-25T00:00:00"/>
    <x v="1"/>
    <s v="Bhubaneswar"/>
    <s v="SC_BHU_3"/>
    <x v="1"/>
    <s v="Veyron"/>
    <s v="Hypercar"/>
    <x v="1"/>
    <x v="1"/>
    <x v="0"/>
    <x v="1"/>
    <n v="11"/>
    <n v="7"/>
    <x v="0"/>
    <x v="0"/>
    <n v="491898"/>
    <n v="303245"/>
    <n v="188653"/>
    <x v="1"/>
    <n v="0"/>
    <n v="1"/>
    <n v="0"/>
    <n v="1"/>
    <n v="1"/>
    <s v="Yes"/>
    <x v="0"/>
  </r>
  <r>
    <n v="20481"/>
    <d v="2024-03-06T00:00:00"/>
    <x v="1"/>
    <s v="Patna"/>
    <s v="SC_PAT_5"/>
    <x v="1"/>
    <s v="Taycan"/>
    <s v="Sedan"/>
    <x v="1"/>
    <x v="3"/>
    <x v="0"/>
    <x v="1"/>
    <n v="22"/>
    <n v="7"/>
    <x v="0"/>
    <x v="0"/>
    <n v="193479"/>
    <n v="138395"/>
    <n v="55084"/>
    <x v="0"/>
    <n v="0"/>
    <n v="1"/>
    <n v="0"/>
    <n v="1"/>
    <n v="1"/>
    <s v="Yes"/>
    <x v="0"/>
  </r>
  <r>
    <n v="20482"/>
    <d v="2024-04-16T00:00:00"/>
    <x v="1"/>
    <s v="Bhubaneswar"/>
    <s v="SC_BHU_3"/>
    <x v="0"/>
    <s v="Veyron"/>
    <s v="Hypercar"/>
    <x v="0"/>
    <x v="1"/>
    <x v="0"/>
    <x v="0"/>
    <n v="24"/>
    <n v="7"/>
    <x v="0"/>
    <x v="1"/>
    <n v="201780"/>
    <n v="159677"/>
    <n v="42103"/>
    <x v="0"/>
    <n v="201780"/>
    <n v="0"/>
    <n v="0"/>
    <n v="1"/>
    <n v="1"/>
    <s v="Yes"/>
    <x v="0"/>
  </r>
  <r>
    <n v="20483"/>
    <d v="2024-01-08T00:00:00"/>
    <x v="1"/>
    <s v="Kolkata"/>
    <s v="SC_KOL_1"/>
    <x v="0"/>
    <s v="Chiron"/>
    <s v="Hypercar"/>
    <x v="1"/>
    <x v="0"/>
    <x v="1"/>
    <x v="1"/>
    <n v="7"/>
    <n v="7"/>
    <x v="0"/>
    <x v="1"/>
    <n v="188213"/>
    <n v="126949"/>
    <n v="61264"/>
    <x v="2"/>
    <n v="188213"/>
    <n v="0"/>
    <n v="0"/>
    <n v="1"/>
    <n v="1"/>
    <s v="No"/>
    <x v="1"/>
  </r>
  <r>
    <n v="20484"/>
    <d v="2024-04-20T00:00:00"/>
    <x v="3"/>
    <s v="Mumbai"/>
    <s v="SC_MUM_1"/>
    <x v="0"/>
    <s v="Veyron"/>
    <s v="Hypercar"/>
    <x v="0"/>
    <x v="1"/>
    <x v="1"/>
    <x v="1"/>
    <n v="2"/>
    <n v="7"/>
    <x v="0"/>
    <x v="0"/>
    <n v="215766"/>
    <n v="178080"/>
    <n v="37686"/>
    <x v="3"/>
    <n v="0"/>
    <n v="1"/>
    <n v="0"/>
    <n v="1"/>
    <n v="1"/>
    <s v="No"/>
    <x v="2"/>
  </r>
  <r>
    <n v="20485"/>
    <d v="2024-06-02T00:00:00"/>
    <x v="2"/>
    <s v="Gurugram"/>
    <s v="SC_GUR_3"/>
    <x v="0"/>
    <s v="Cayenne"/>
    <s v="SUV"/>
    <x v="1"/>
    <x v="4"/>
    <x v="0"/>
    <x v="1"/>
    <n v="21"/>
    <n v="7"/>
    <x v="0"/>
    <x v="1"/>
    <n v="314064"/>
    <n v="176302"/>
    <n v="137762"/>
    <x v="0"/>
    <n v="314064"/>
    <n v="0"/>
    <n v="0"/>
    <n v="1"/>
    <n v="1"/>
    <s v="Yes"/>
    <x v="0"/>
  </r>
  <r>
    <n v="20486"/>
    <d v="2024-02-29T00:00:00"/>
    <x v="3"/>
    <s v="Ahmedabad"/>
    <s v="SC_AHM_5"/>
    <x v="0"/>
    <s v="911"/>
    <s v="Coupe"/>
    <x v="1"/>
    <x v="1"/>
    <x v="0"/>
    <x v="1"/>
    <n v="10"/>
    <n v="7"/>
    <x v="1"/>
    <x v="1"/>
    <n v="239241"/>
    <n v="197968"/>
    <n v="41273"/>
    <x v="2"/>
    <n v="0"/>
    <n v="0"/>
    <n v="1"/>
    <n v="0"/>
    <n v="1"/>
    <s v="Yes"/>
    <x v="1"/>
  </r>
  <r>
    <n v="20487"/>
    <d v="2024-02-14T00:00:00"/>
    <x v="2"/>
    <s v="Delhi"/>
    <s v="SC_DEL_3"/>
    <x v="1"/>
    <s v="Macan"/>
    <s v="SUV"/>
    <x v="0"/>
    <x v="3"/>
    <x v="2"/>
    <x v="0"/>
    <n v="9"/>
    <n v="7"/>
    <x v="0"/>
    <x v="0"/>
    <n v="387082"/>
    <n v="300416"/>
    <n v="86666"/>
    <x v="2"/>
    <n v="0"/>
    <n v="1"/>
    <n v="0"/>
    <n v="1"/>
    <n v="1"/>
    <s v="Yes"/>
    <x v="1"/>
  </r>
  <r>
    <n v="20488"/>
    <d v="2024-01-31T00:00:00"/>
    <x v="0"/>
    <s v="Bengaluru"/>
    <s v="SC_BEN_2"/>
    <x v="0"/>
    <s v="911"/>
    <s v="Coupe"/>
    <x v="0"/>
    <x v="0"/>
    <x v="2"/>
    <x v="0"/>
    <n v="10"/>
    <n v="7"/>
    <x v="1"/>
    <x v="1"/>
    <n v="291718"/>
    <n v="192482"/>
    <n v="99236"/>
    <x v="2"/>
    <n v="0"/>
    <n v="0"/>
    <n v="1"/>
    <n v="0"/>
    <n v="1"/>
    <s v="Yes"/>
    <x v="1"/>
  </r>
  <r>
    <n v="20489"/>
    <d v="2024-04-20T00:00:00"/>
    <x v="3"/>
    <s v="Pune"/>
    <s v="SC_PUN_2"/>
    <x v="1"/>
    <s v="Cayenne"/>
    <s v="SUV"/>
    <x v="0"/>
    <x v="3"/>
    <x v="0"/>
    <x v="0"/>
    <n v="8"/>
    <n v="7"/>
    <x v="0"/>
    <x v="1"/>
    <n v="508678"/>
    <n v="351732"/>
    <n v="156946"/>
    <x v="2"/>
    <n v="508678"/>
    <n v="0"/>
    <n v="0"/>
    <n v="1"/>
    <n v="1"/>
    <s v="Yes"/>
    <x v="1"/>
  </r>
  <r>
    <n v="20490"/>
    <d v="2024-05-07T00:00:00"/>
    <x v="0"/>
    <s v="Hyderabad"/>
    <s v="SC_HYD_5"/>
    <x v="1"/>
    <s v="Panamera"/>
    <s v="Sedan"/>
    <x v="1"/>
    <x v="1"/>
    <x v="2"/>
    <x v="1"/>
    <n v="13"/>
    <n v="7"/>
    <x v="0"/>
    <x v="1"/>
    <n v="206139"/>
    <n v="136442"/>
    <n v="69697"/>
    <x v="1"/>
    <n v="206139"/>
    <n v="0"/>
    <n v="0"/>
    <n v="1"/>
    <n v="1"/>
    <s v="Yes"/>
    <x v="0"/>
  </r>
  <r>
    <n v="20491"/>
    <d v="2024-04-08T00:00:00"/>
    <x v="1"/>
    <s v="Patna"/>
    <s v="SC_PAT_4"/>
    <x v="2"/>
    <s v="Panamera"/>
    <s v="Sedan"/>
    <x v="0"/>
    <x v="4"/>
    <x v="0"/>
    <x v="0"/>
    <n v="14"/>
    <n v="7"/>
    <x v="0"/>
    <x v="1"/>
    <n v="232070"/>
    <n v="171991"/>
    <n v="60079"/>
    <x v="1"/>
    <n v="232070"/>
    <n v="0"/>
    <n v="0"/>
    <n v="1"/>
    <n v="1"/>
    <s v="Yes"/>
    <x v="0"/>
  </r>
  <r>
    <n v="20492"/>
    <d v="2024-05-15T00:00:00"/>
    <x v="2"/>
    <s v="Delhi"/>
    <s v="SC_DEL_1"/>
    <x v="2"/>
    <s v="Chiron"/>
    <s v="Hypercar"/>
    <x v="0"/>
    <x v="2"/>
    <x v="0"/>
    <x v="0"/>
    <n v="25"/>
    <n v="7"/>
    <x v="0"/>
    <x v="1"/>
    <n v="419561"/>
    <n v="264658"/>
    <n v="154903"/>
    <x v="0"/>
    <n v="419561"/>
    <n v="0"/>
    <n v="0"/>
    <n v="1"/>
    <n v="1"/>
    <s v="Yes"/>
    <x v="0"/>
  </r>
  <r>
    <n v="20493"/>
    <d v="2024-05-21T00:00:00"/>
    <x v="0"/>
    <s v="Hyderabad"/>
    <s v="SC_HYD_1"/>
    <x v="0"/>
    <s v="Macan"/>
    <s v="SUV"/>
    <x v="1"/>
    <x v="2"/>
    <x v="1"/>
    <x v="0"/>
    <n v="22"/>
    <n v="7"/>
    <x v="1"/>
    <x v="0"/>
    <n v="274201"/>
    <n v="220051"/>
    <n v="54150"/>
    <x v="0"/>
    <n v="0"/>
    <n v="1"/>
    <n v="1"/>
    <n v="0"/>
    <n v="1"/>
    <s v="Yes"/>
    <x v="0"/>
  </r>
  <r>
    <n v="20494"/>
    <d v="2024-06-26T00:00:00"/>
    <x v="0"/>
    <s v="Chennai"/>
    <s v="SC_CHE_1"/>
    <x v="0"/>
    <s v="911"/>
    <s v="Coupe"/>
    <x v="1"/>
    <x v="2"/>
    <x v="1"/>
    <x v="0"/>
    <n v="12"/>
    <n v="7"/>
    <x v="0"/>
    <x v="0"/>
    <n v="184072"/>
    <n v="126291"/>
    <n v="57781"/>
    <x v="1"/>
    <n v="0"/>
    <n v="1"/>
    <n v="0"/>
    <n v="1"/>
    <n v="1"/>
    <s v="Yes"/>
    <x v="0"/>
  </r>
  <r>
    <n v="20495"/>
    <d v="2024-06-02T00:00:00"/>
    <x v="3"/>
    <s v="Ahmedabad"/>
    <s v="SC_AHM_4"/>
    <x v="0"/>
    <s v="911"/>
    <s v="Coupe"/>
    <x v="0"/>
    <x v="4"/>
    <x v="2"/>
    <x v="0"/>
    <n v="18"/>
    <n v="7"/>
    <x v="0"/>
    <x v="1"/>
    <n v="370943"/>
    <n v="192857"/>
    <n v="178086"/>
    <x v="0"/>
    <n v="370943"/>
    <n v="0"/>
    <n v="0"/>
    <n v="1"/>
    <n v="1"/>
    <s v="Yes"/>
    <x v="0"/>
  </r>
  <r>
    <n v="20496"/>
    <d v="2024-06-16T00:00:00"/>
    <x v="3"/>
    <s v="Ahmedabad"/>
    <s v="SC_AHM_3"/>
    <x v="0"/>
    <s v="Veyron"/>
    <s v="Hypercar"/>
    <x v="1"/>
    <x v="4"/>
    <x v="1"/>
    <x v="1"/>
    <n v="10"/>
    <n v="7"/>
    <x v="0"/>
    <x v="1"/>
    <n v="485970"/>
    <n v="329114"/>
    <n v="156856"/>
    <x v="1"/>
    <n v="485970"/>
    <n v="0"/>
    <n v="0"/>
    <n v="1"/>
    <n v="1"/>
    <s v="Yes"/>
    <x v="0"/>
  </r>
  <r>
    <n v="20497"/>
    <d v="2024-01-01T00:00:00"/>
    <x v="3"/>
    <s v="Mumbai"/>
    <s v="SC_MUM_3"/>
    <x v="0"/>
    <s v="Veyron"/>
    <s v="Hypercar"/>
    <x v="0"/>
    <x v="3"/>
    <x v="2"/>
    <x v="1"/>
    <n v="11"/>
    <n v="7"/>
    <x v="1"/>
    <x v="1"/>
    <n v="376445"/>
    <n v="229238"/>
    <n v="147207"/>
    <x v="2"/>
    <n v="0"/>
    <n v="0"/>
    <n v="1"/>
    <n v="0"/>
    <n v="1"/>
    <s v="Yes"/>
    <x v="1"/>
  </r>
  <r>
    <n v="20498"/>
    <d v="2024-02-01T00:00:00"/>
    <x v="1"/>
    <s v="Kolkata"/>
    <s v="SC_KOL_3"/>
    <x v="1"/>
    <s v="Macan"/>
    <s v="SUV"/>
    <x v="0"/>
    <x v="4"/>
    <x v="2"/>
    <x v="0"/>
    <n v="8"/>
    <n v="7"/>
    <x v="1"/>
    <x v="0"/>
    <n v="559284"/>
    <n v="394280"/>
    <n v="165004"/>
    <x v="3"/>
    <n v="0"/>
    <n v="1"/>
    <n v="1"/>
    <n v="0"/>
    <n v="1"/>
    <s v="Yes"/>
    <x v="2"/>
  </r>
  <r>
    <n v="20499"/>
    <d v="2024-06-13T00:00:00"/>
    <x v="1"/>
    <s v="Kolkata"/>
    <s v="SC_KOL_1"/>
    <x v="1"/>
    <s v="Macan"/>
    <s v="SUV"/>
    <x v="0"/>
    <x v="0"/>
    <x v="1"/>
    <x v="1"/>
    <n v="25"/>
    <n v="7"/>
    <x v="1"/>
    <x v="1"/>
    <n v="318042"/>
    <n v="170450"/>
    <n v="147592"/>
    <x v="0"/>
    <n v="0"/>
    <n v="0"/>
    <n v="1"/>
    <n v="0"/>
    <n v="1"/>
    <s v="Yes"/>
    <x v="0"/>
  </r>
  <r>
    <n v="20500"/>
    <d v="2024-05-14T00:00:00"/>
    <x v="0"/>
    <s v="Chennai"/>
    <s v="SC_CHE_3"/>
    <x v="1"/>
    <s v="Veyron"/>
    <s v="Hypercar"/>
    <x v="0"/>
    <x v="0"/>
    <x v="1"/>
    <x v="0"/>
    <n v="15"/>
    <n v="7"/>
    <x v="1"/>
    <x v="0"/>
    <n v="463107"/>
    <n v="344811"/>
    <n v="118296"/>
    <x v="1"/>
    <n v="0"/>
    <n v="1"/>
    <n v="1"/>
    <n v="0"/>
    <n v="1"/>
    <s v="Yes"/>
    <x v="0"/>
  </r>
  <r>
    <n v="20501"/>
    <d v="2024-04-09T00:00:00"/>
    <x v="3"/>
    <s v="Pune"/>
    <s v="SC_PUN_3"/>
    <x v="1"/>
    <s v="Cayenne"/>
    <s v="SUV"/>
    <x v="0"/>
    <x v="1"/>
    <x v="2"/>
    <x v="0"/>
    <n v="7"/>
    <n v="7"/>
    <x v="1"/>
    <x v="1"/>
    <n v="562227"/>
    <n v="401607"/>
    <n v="160620"/>
    <x v="3"/>
    <n v="0"/>
    <n v="0"/>
    <n v="1"/>
    <n v="0"/>
    <n v="1"/>
    <s v="No"/>
    <x v="2"/>
  </r>
  <r>
    <n v="20502"/>
    <d v="2024-01-16T00:00:00"/>
    <x v="0"/>
    <s v="Hyderabad"/>
    <s v="SC_HYD_2"/>
    <x v="2"/>
    <s v="Cayenne"/>
    <s v="SUV"/>
    <x v="0"/>
    <x v="0"/>
    <x v="0"/>
    <x v="1"/>
    <n v="17"/>
    <n v="7"/>
    <x v="0"/>
    <x v="1"/>
    <n v="459133"/>
    <n v="252534"/>
    <n v="206599"/>
    <x v="0"/>
    <n v="459133"/>
    <n v="0"/>
    <n v="0"/>
    <n v="1"/>
    <n v="1"/>
    <s v="Yes"/>
    <x v="0"/>
  </r>
  <r>
    <n v="20503"/>
    <d v="2024-05-06T00:00:00"/>
    <x v="0"/>
    <s v="Bengaluru"/>
    <s v="SC_BEN_2"/>
    <x v="2"/>
    <s v="Cayenne"/>
    <s v="SUV"/>
    <x v="1"/>
    <x v="1"/>
    <x v="1"/>
    <x v="1"/>
    <n v="13"/>
    <n v="7"/>
    <x v="0"/>
    <x v="1"/>
    <n v="324162"/>
    <n v="253356"/>
    <n v="70806"/>
    <x v="1"/>
    <n v="324162"/>
    <n v="0"/>
    <n v="0"/>
    <n v="1"/>
    <n v="1"/>
    <s v="Yes"/>
    <x v="0"/>
  </r>
  <r>
    <n v="20504"/>
    <d v="2024-01-21T00:00:00"/>
    <x v="1"/>
    <s v="Patna"/>
    <s v="SC_PAT_5"/>
    <x v="0"/>
    <s v="Macan"/>
    <s v="SUV"/>
    <x v="0"/>
    <x v="1"/>
    <x v="1"/>
    <x v="1"/>
    <n v="4"/>
    <n v="7"/>
    <x v="1"/>
    <x v="1"/>
    <n v="244932"/>
    <n v="174172"/>
    <n v="70760"/>
    <x v="4"/>
    <n v="0"/>
    <n v="0"/>
    <n v="1"/>
    <n v="0"/>
    <n v="1"/>
    <s v="No"/>
    <x v="2"/>
  </r>
  <r>
    <n v="20505"/>
    <d v="2024-01-14T00:00:00"/>
    <x v="1"/>
    <s v="Bhubaneswar"/>
    <s v="SC_BHU_2"/>
    <x v="2"/>
    <s v="911"/>
    <s v="Coupe"/>
    <x v="0"/>
    <x v="1"/>
    <x v="0"/>
    <x v="0"/>
    <n v="9"/>
    <n v="7"/>
    <x v="1"/>
    <x v="0"/>
    <n v="492544"/>
    <n v="273933"/>
    <n v="218611"/>
    <x v="3"/>
    <n v="0"/>
    <n v="1"/>
    <n v="1"/>
    <n v="0"/>
    <n v="1"/>
    <s v="Yes"/>
    <x v="2"/>
  </r>
  <r>
    <n v="20506"/>
    <d v="2024-03-13T00:00:00"/>
    <x v="1"/>
    <s v="Kolkata"/>
    <s v="SC_KOL_5"/>
    <x v="0"/>
    <s v="Veyron"/>
    <s v="Hypercar"/>
    <x v="0"/>
    <x v="4"/>
    <x v="2"/>
    <x v="0"/>
    <n v="3"/>
    <n v="7"/>
    <x v="0"/>
    <x v="1"/>
    <n v="158624"/>
    <n v="79967"/>
    <n v="78657"/>
    <x v="3"/>
    <n v="158624"/>
    <n v="0"/>
    <n v="0"/>
    <n v="1"/>
    <n v="1"/>
    <s v="No"/>
    <x v="2"/>
  </r>
  <r>
    <n v="20507"/>
    <d v="2024-02-19T00:00:00"/>
    <x v="2"/>
    <s v="Delhi"/>
    <s v="SC_DEL_3"/>
    <x v="1"/>
    <s v="911"/>
    <s v="Coupe"/>
    <x v="0"/>
    <x v="1"/>
    <x v="2"/>
    <x v="0"/>
    <n v="22"/>
    <n v="7"/>
    <x v="0"/>
    <x v="1"/>
    <n v="570226"/>
    <n v="327818"/>
    <n v="242408"/>
    <x v="0"/>
    <n v="570226"/>
    <n v="0"/>
    <n v="0"/>
    <n v="1"/>
    <n v="1"/>
    <s v="Yes"/>
    <x v="0"/>
  </r>
  <r>
    <n v="20508"/>
    <d v="2024-02-21T00:00:00"/>
    <x v="1"/>
    <s v="Patna"/>
    <s v="SC_PAT_1"/>
    <x v="0"/>
    <s v="Macan"/>
    <s v="SUV"/>
    <x v="1"/>
    <x v="2"/>
    <x v="1"/>
    <x v="0"/>
    <n v="14"/>
    <n v="7"/>
    <x v="0"/>
    <x v="1"/>
    <n v="462225"/>
    <n v="309434"/>
    <n v="152791"/>
    <x v="1"/>
    <n v="462225"/>
    <n v="0"/>
    <n v="0"/>
    <n v="1"/>
    <n v="1"/>
    <s v="Yes"/>
    <x v="0"/>
  </r>
  <r>
    <n v="20509"/>
    <d v="2024-01-22T00:00:00"/>
    <x v="1"/>
    <s v="Patna"/>
    <s v="SC_PAT_3"/>
    <x v="0"/>
    <s v="Macan"/>
    <s v="SUV"/>
    <x v="0"/>
    <x v="4"/>
    <x v="1"/>
    <x v="0"/>
    <n v="7"/>
    <n v="7"/>
    <x v="0"/>
    <x v="1"/>
    <n v="466221"/>
    <n v="325499"/>
    <n v="140722"/>
    <x v="2"/>
    <n v="466221"/>
    <n v="0"/>
    <n v="0"/>
    <n v="1"/>
    <n v="1"/>
    <s v="No"/>
    <x v="1"/>
  </r>
  <r>
    <n v="20510"/>
    <d v="2024-01-17T00:00:00"/>
    <x v="2"/>
    <s v="Gurugram"/>
    <s v="SC_GUR_4"/>
    <x v="1"/>
    <s v="Macan"/>
    <s v="SUV"/>
    <x v="0"/>
    <x v="4"/>
    <x v="0"/>
    <x v="0"/>
    <n v="21"/>
    <n v="7"/>
    <x v="0"/>
    <x v="0"/>
    <n v="165460"/>
    <n v="94426"/>
    <n v="71034"/>
    <x v="0"/>
    <n v="0"/>
    <n v="1"/>
    <n v="0"/>
    <n v="1"/>
    <n v="1"/>
    <s v="Yes"/>
    <x v="0"/>
  </r>
  <r>
    <n v="20511"/>
    <d v="2024-05-26T00:00:00"/>
    <x v="3"/>
    <s v="Pune"/>
    <s v="SC_PUN_4"/>
    <x v="2"/>
    <s v="Macan"/>
    <s v="SUV"/>
    <x v="0"/>
    <x v="0"/>
    <x v="2"/>
    <x v="0"/>
    <n v="8"/>
    <n v="7"/>
    <x v="1"/>
    <x v="0"/>
    <n v="172037"/>
    <n v="144813"/>
    <n v="27224"/>
    <x v="3"/>
    <n v="0"/>
    <n v="1"/>
    <n v="1"/>
    <n v="0"/>
    <n v="1"/>
    <s v="Yes"/>
    <x v="2"/>
  </r>
  <r>
    <n v="20512"/>
    <d v="2024-02-05T00:00:00"/>
    <x v="3"/>
    <s v="Ahmedabad"/>
    <s v="SC_AHM_5"/>
    <x v="0"/>
    <s v="Veyron"/>
    <s v="Hypercar"/>
    <x v="0"/>
    <x v="0"/>
    <x v="1"/>
    <x v="0"/>
    <n v="3"/>
    <n v="7"/>
    <x v="0"/>
    <x v="0"/>
    <n v="498347"/>
    <n v="406808"/>
    <n v="91539"/>
    <x v="3"/>
    <n v="0"/>
    <n v="1"/>
    <n v="0"/>
    <n v="1"/>
    <n v="1"/>
    <s v="No"/>
    <x v="2"/>
  </r>
  <r>
    <n v="20513"/>
    <d v="2024-01-30T00:00:00"/>
    <x v="2"/>
    <s v="Delhi"/>
    <s v="SC_DEL_5"/>
    <x v="0"/>
    <s v="Cayenne"/>
    <s v="SUV"/>
    <x v="0"/>
    <x v="3"/>
    <x v="1"/>
    <x v="0"/>
    <n v="16"/>
    <n v="7"/>
    <x v="1"/>
    <x v="1"/>
    <n v="238595"/>
    <n v="194099"/>
    <n v="44496"/>
    <x v="1"/>
    <n v="0"/>
    <n v="0"/>
    <n v="1"/>
    <n v="0"/>
    <n v="1"/>
    <s v="Yes"/>
    <x v="0"/>
  </r>
  <r>
    <n v="20514"/>
    <d v="2024-02-19T00:00:00"/>
    <x v="3"/>
    <s v="Pune"/>
    <s v="SC_PUN_1"/>
    <x v="2"/>
    <s v="Chiron"/>
    <s v="Hypercar"/>
    <x v="1"/>
    <x v="2"/>
    <x v="0"/>
    <x v="0"/>
    <n v="18"/>
    <n v="7"/>
    <x v="0"/>
    <x v="0"/>
    <n v="544060"/>
    <n v="457502"/>
    <n v="86558"/>
    <x v="0"/>
    <n v="0"/>
    <n v="1"/>
    <n v="0"/>
    <n v="1"/>
    <n v="1"/>
    <s v="Yes"/>
    <x v="0"/>
  </r>
  <r>
    <n v="20515"/>
    <d v="2024-01-06T00:00:00"/>
    <x v="3"/>
    <s v="Ahmedabad"/>
    <s v="SC_AHM_1"/>
    <x v="1"/>
    <s v="Panamera"/>
    <s v="Sedan"/>
    <x v="1"/>
    <x v="3"/>
    <x v="0"/>
    <x v="1"/>
    <n v="8"/>
    <n v="7"/>
    <x v="0"/>
    <x v="0"/>
    <n v="430736"/>
    <n v="335094"/>
    <n v="95642"/>
    <x v="2"/>
    <n v="0"/>
    <n v="1"/>
    <n v="0"/>
    <n v="1"/>
    <n v="1"/>
    <s v="Yes"/>
    <x v="1"/>
  </r>
  <r>
    <n v="20516"/>
    <d v="2024-06-01T00:00:00"/>
    <x v="1"/>
    <s v="Patna"/>
    <s v="SC_PAT_2"/>
    <x v="0"/>
    <s v="Veyron"/>
    <s v="Hypercar"/>
    <x v="0"/>
    <x v="4"/>
    <x v="0"/>
    <x v="0"/>
    <n v="21"/>
    <n v="7"/>
    <x v="0"/>
    <x v="1"/>
    <n v="223794"/>
    <n v="132968"/>
    <n v="90826"/>
    <x v="0"/>
    <n v="223794"/>
    <n v="0"/>
    <n v="0"/>
    <n v="1"/>
    <n v="1"/>
    <s v="Yes"/>
    <x v="0"/>
  </r>
  <r>
    <n v="20517"/>
    <d v="2024-04-19T00:00:00"/>
    <x v="1"/>
    <s v="Kolkata"/>
    <s v="SC_KOL_3"/>
    <x v="2"/>
    <s v="Veyron"/>
    <s v="Hypercar"/>
    <x v="0"/>
    <x v="1"/>
    <x v="0"/>
    <x v="0"/>
    <n v="17"/>
    <n v="7"/>
    <x v="0"/>
    <x v="1"/>
    <n v="377854"/>
    <n v="232413"/>
    <n v="145441"/>
    <x v="0"/>
    <n v="377854"/>
    <n v="0"/>
    <n v="0"/>
    <n v="1"/>
    <n v="1"/>
    <s v="Yes"/>
    <x v="0"/>
  </r>
  <r>
    <n v="20518"/>
    <d v="2024-06-02T00:00:00"/>
    <x v="1"/>
    <s v="Kolkata"/>
    <s v="SC_KOL_5"/>
    <x v="2"/>
    <s v="911"/>
    <s v="Coupe"/>
    <x v="0"/>
    <x v="2"/>
    <x v="2"/>
    <x v="1"/>
    <n v="12"/>
    <n v="7"/>
    <x v="1"/>
    <x v="1"/>
    <n v="423646"/>
    <n v="239644"/>
    <n v="184002"/>
    <x v="2"/>
    <n v="0"/>
    <n v="0"/>
    <n v="1"/>
    <n v="0"/>
    <n v="1"/>
    <s v="Yes"/>
    <x v="1"/>
  </r>
  <r>
    <n v="20519"/>
    <d v="2024-02-04T00:00:00"/>
    <x v="2"/>
    <s v="Noida"/>
    <s v="SC_NOI_4"/>
    <x v="0"/>
    <s v="Veyron"/>
    <s v="Hypercar"/>
    <x v="0"/>
    <x v="0"/>
    <x v="0"/>
    <x v="0"/>
    <n v="17"/>
    <n v="7"/>
    <x v="0"/>
    <x v="0"/>
    <n v="531278"/>
    <n v="439249"/>
    <n v="92029"/>
    <x v="0"/>
    <n v="0"/>
    <n v="1"/>
    <n v="0"/>
    <n v="1"/>
    <n v="1"/>
    <s v="Yes"/>
    <x v="0"/>
  </r>
  <r>
    <n v="20520"/>
    <d v="2024-06-17T00:00:00"/>
    <x v="3"/>
    <s v="Pune"/>
    <s v="SC_PUN_5"/>
    <x v="0"/>
    <s v="Macan"/>
    <s v="SUV"/>
    <x v="0"/>
    <x v="3"/>
    <x v="0"/>
    <x v="0"/>
    <n v="22"/>
    <n v="7"/>
    <x v="0"/>
    <x v="0"/>
    <n v="444503"/>
    <n v="287158"/>
    <n v="157345"/>
    <x v="0"/>
    <n v="0"/>
    <n v="1"/>
    <n v="0"/>
    <n v="1"/>
    <n v="1"/>
    <s v="Yes"/>
    <x v="0"/>
  </r>
  <r>
    <n v="20521"/>
    <d v="2024-04-20T00:00:00"/>
    <x v="1"/>
    <s v="Kolkata"/>
    <s v="SC_KOL_3"/>
    <x v="0"/>
    <s v="Taycan"/>
    <s v="Sedan"/>
    <x v="0"/>
    <x v="3"/>
    <x v="2"/>
    <x v="0"/>
    <n v="19"/>
    <n v="7"/>
    <x v="1"/>
    <x v="1"/>
    <n v="210523"/>
    <n v="130296"/>
    <n v="80227"/>
    <x v="1"/>
    <n v="0"/>
    <n v="0"/>
    <n v="1"/>
    <n v="0"/>
    <n v="1"/>
    <s v="Yes"/>
    <x v="0"/>
  </r>
  <r>
    <n v="20522"/>
    <d v="2024-01-10T00:00:00"/>
    <x v="1"/>
    <s v="Patna"/>
    <s v="SC_PAT_2"/>
    <x v="2"/>
    <s v="Macan"/>
    <s v="SUV"/>
    <x v="0"/>
    <x v="2"/>
    <x v="0"/>
    <x v="0"/>
    <n v="22"/>
    <n v="7"/>
    <x v="0"/>
    <x v="0"/>
    <n v="269052"/>
    <n v="159489"/>
    <n v="109563"/>
    <x v="0"/>
    <n v="0"/>
    <n v="1"/>
    <n v="0"/>
    <n v="1"/>
    <n v="1"/>
    <s v="Yes"/>
    <x v="0"/>
  </r>
  <r>
    <n v="20523"/>
    <d v="2024-03-22T00:00:00"/>
    <x v="1"/>
    <s v="Bhubaneswar"/>
    <s v="SC_BHU_3"/>
    <x v="1"/>
    <s v="Taycan"/>
    <s v="Sedan"/>
    <x v="1"/>
    <x v="2"/>
    <x v="2"/>
    <x v="1"/>
    <n v="24"/>
    <n v="7"/>
    <x v="1"/>
    <x v="1"/>
    <n v="469040"/>
    <n v="261242"/>
    <n v="207798"/>
    <x v="0"/>
    <n v="0"/>
    <n v="0"/>
    <n v="1"/>
    <n v="0"/>
    <n v="1"/>
    <s v="Yes"/>
    <x v="0"/>
  </r>
  <r>
    <n v="20524"/>
    <d v="2024-01-08T00:00:00"/>
    <x v="1"/>
    <s v="Bhubaneswar"/>
    <s v="SC_BHU_2"/>
    <x v="2"/>
    <s v="Veyron"/>
    <s v="Hypercar"/>
    <x v="0"/>
    <x v="3"/>
    <x v="1"/>
    <x v="1"/>
    <n v="17"/>
    <n v="7"/>
    <x v="1"/>
    <x v="1"/>
    <n v="164085"/>
    <n v="85925"/>
    <n v="78160"/>
    <x v="1"/>
    <n v="0"/>
    <n v="0"/>
    <n v="1"/>
    <n v="0"/>
    <n v="1"/>
    <s v="Yes"/>
    <x v="0"/>
  </r>
  <r>
    <n v="20525"/>
    <d v="2024-06-27T00:00:00"/>
    <x v="0"/>
    <s v="Bengaluru"/>
    <s v="SC_BEN_1"/>
    <x v="0"/>
    <s v="Macan"/>
    <s v="SUV"/>
    <x v="0"/>
    <x v="4"/>
    <x v="1"/>
    <x v="0"/>
    <n v="13"/>
    <n v="7"/>
    <x v="0"/>
    <x v="0"/>
    <n v="544516"/>
    <n v="313406"/>
    <n v="231110"/>
    <x v="1"/>
    <n v="0"/>
    <n v="1"/>
    <n v="0"/>
    <n v="1"/>
    <n v="1"/>
    <s v="Yes"/>
    <x v="0"/>
  </r>
  <r>
    <n v="20526"/>
    <d v="2024-05-02T00:00:00"/>
    <x v="1"/>
    <s v="Kolkata"/>
    <s v="SC_KOL_3"/>
    <x v="1"/>
    <s v="Veyron"/>
    <s v="Hypercar"/>
    <x v="1"/>
    <x v="2"/>
    <x v="2"/>
    <x v="0"/>
    <n v="17"/>
    <n v="7"/>
    <x v="1"/>
    <x v="0"/>
    <n v="491356"/>
    <n v="373628"/>
    <n v="117728"/>
    <x v="1"/>
    <n v="0"/>
    <n v="1"/>
    <n v="1"/>
    <n v="0"/>
    <n v="1"/>
    <s v="Yes"/>
    <x v="0"/>
  </r>
  <r>
    <n v="20527"/>
    <d v="2024-03-31T00:00:00"/>
    <x v="0"/>
    <s v="Bengaluru"/>
    <s v="SC_BEN_3"/>
    <x v="0"/>
    <s v="Taycan"/>
    <s v="Sedan"/>
    <x v="1"/>
    <x v="4"/>
    <x v="2"/>
    <x v="0"/>
    <n v="24"/>
    <n v="7"/>
    <x v="0"/>
    <x v="1"/>
    <n v="381840"/>
    <n v="286394"/>
    <n v="95446"/>
    <x v="0"/>
    <n v="381840"/>
    <n v="0"/>
    <n v="0"/>
    <n v="1"/>
    <n v="1"/>
    <s v="Yes"/>
    <x v="0"/>
  </r>
  <r>
    <n v="20528"/>
    <d v="2024-01-20T00:00:00"/>
    <x v="3"/>
    <s v="Ahmedabad"/>
    <s v="SC_AHM_1"/>
    <x v="1"/>
    <s v="Panamera"/>
    <s v="Sedan"/>
    <x v="0"/>
    <x v="3"/>
    <x v="0"/>
    <x v="0"/>
    <n v="8"/>
    <n v="7"/>
    <x v="1"/>
    <x v="0"/>
    <n v="592634"/>
    <n v="371233"/>
    <n v="221401"/>
    <x v="3"/>
    <n v="0"/>
    <n v="1"/>
    <n v="1"/>
    <n v="0"/>
    <n v="1"/>
    <s v="Yes"/>
    <x v="2"/>
  </r>
  <r>
    <n v="20529"/>
    <d v="2024-01-27T00:00:00"/>
    <x v="0"/>
    <s v="Chennai"/>
    <s v="SC_CHE_4"/>
    <x v="1"/>
    <s v="Macan"/>
    <s v="SUV"/>
    <x v="0"/>
    <x v="2"/>
    <x v="1"/>
    <x v="1"/>
    <n v="5"/>
    <n v="7"/>
    <x v="1"/>
    <x v="1"/>
    <n v="391933"/>
    <n v="224608"/>
    <n v="167325"/>
    <x v="3"/>
    <n v="0"/>
    <n v="0"/>
    <n v="1"/>
    <n v="0"/>
    <n v="1"/>
    <s v="No"/>
    <x v="2"/>
  </r>
  <r>
    <n v="20530"/>
    <d v="2024-03-28T00:00:00"/>
    <x v="0"/>
    <s v="Bengaluru"/>
    <s v="SC_BEN_5"/>
    <x v="0"/>
    <s v="Panamera"/>
    <s v="Sedan"/>
    <x v="1"/>
    <x v="3"/>
    <x v="2"/>
    <x v="1"/>
    <n v="6"/>
    <n v="7"/>
    <x v="1"/>
    <x v="0"/>
    <n v="364699"/>
    <n v="214799"/>
    <n v="149900"/>
    <x v="3"/>
    <n v="0"/>
    <n v="1"/>
    <n v="1"/>
    <n v="0"/>
    <n v="1"/>
    <s v="No"/>
    <x v="2"/>
  </r>
  <r>
    <n v="20531"/>
    <d v="2024-02-23T00:00:00"/>
    <x v="2"/>
    <s v="Delhi"/>
    <s v="SC_DEL_3"/>
    <x v="0"/>
    <s v="Veyron"/>
    <s v="Hypercar"/>
    <x v="0"/>
    <x v="1"/>
    <x v="1"/>
    <x v="1"/>
    <n v="3"/>
    <n v="7"/>
    <x v="0"/>
    <x v="0"/>
    <n v="277049"/>
    <n v="200664"/>
    <n v="76385"/>
    <x v="3"/>
    <n v="0"/>
    <n v="1"/>
    <n v="0"/>
    <n v="1"/>
    <n v="1"/>
    <s v="No"/>
    <x v="2"/>
  </r>
  <r>
    <n v="20532"/>
    <d v="2024-01-13T00:00:00"/>
    <x v="1"/>
    <s v="Kolkata"/>
    <s v="SC_KOL_4"/>
    <x v="2"/>
    <s v="Cayenne"/>
    <s v="SUV"/>
    <x v="0"/>
    <x v="2"/>
    <x v="2"/>
    <x v="0"/>
    <n v="11"/>
    <n v="7"/>
    <x v="0"/>
    <x v="1"/>
    <n v="381336"/>
    <n v="278827"/>
    <n v="102509"/>
    <x v="1"/>
    <n v="381336"/>
    <n v="0"/>
    <n v="0"/>
    <n v="1"/>
    <n v="1"/>
    <s v="Yes"/>
    <x v="0"/>
  </r>
  <r>
    <n v="20533"/>
    <d v="2024-01-22T00:00:00"/>
    <x v="3"/>
    <s v="Mumbai"/>
    <s v="SC_MUM_5"/>
    <x v="1"/>
    <s v="Macan"/>
    <s v="SUV"/>
    <x v="1"/>
    <x v="3"/>
    <x v="2"/>
    <x v="0"/>
    <n v="2"/>
    <n v="7"/>
    <x v="0"/>
    <x v="1"/>
    <n v="593006"/>
    <n v="340738"/>
    <n v="252268"/>
    <x v="3"/>
    <n v="593006"/>
    <n v="0"/>
    <n v="0"/>
    <n v="1"/>
    <n v="1"/>
    <s v="No"/>
    <x v="2"/>
  </r>
  <r>
    <n v="20534"/>
    <d v="2024-01-25T00:00:00"/>
    <x v="2"/>
    <s v="Gurugram"/>
    <s v="SC_GUR_3"/>
    <x v="1"/>
    <s v="Veyron"/>
    <s v="Hypercar"/>
    <x v="0"/>
    <x v="3"/>
    <x v="1"/>
    <x v="1"/>
    <n v="2"/>
    <n v="7"/>
    <x v="0"/>
    <x v="0"/>
    <n v="100561"/>
    <n v="85250"/>
    <n v="15311"/>
    <x v="3"/>
    <n v="0"/>
    <n v="1"/>
    <n v="0"/>
    <n v="1"/>
    <n v="1"/>
    <s v="No"/>
    <x v="2"/>
  </r>
  <r>
    <n v="20535"/>
    <d v="2024-01-20T00:00:00"/>
    <x v="2"/>
    <s v="Delhi"/>
    <s v="SC_DEL_2"/>
    <x v="0"/>
    <s v="911"/>
    <s v="Coupe"/>
    <x v="1"/>
    <x v="0"/>
    <x v="2"/>
    <x v="1"/>
    <n v="7"/>
    <n v="7"/>
    <x v="0"/>
    <x v="1"/>
    <n v="148822"/>
    <n v="92476"/>
    <n v="56346"/>
    <x v="2"/>
    <n v="148822"/>
    <n v="0"/>
    <n v="0"/>
    <n v="1"/>
    <n v="1"/>
    <s v="No"/>
    <x v="1"/>
  </r>
  <r>
    <n v="20536"/>
    <d v="2024-03-27T00:00:00"/>
    <x v="0"/>
    <s v="Bengaluru"/>
    <s v="SC_BEN_2"/>
    <x v="2"/>
    <s v="911"/>
    <s v="Coupe"/>
    <x v="0"/>
    <x v="0"/>
    <x v="1"/>
    <x v="0"/>
    <n v="23"/>
    <n v="7"/>
    <x v="1"/>
    <x v="1"/>
    <n v="572853"/>
    <n v="312976"/>
    <n v="259877"/>
    <x v="0"/>
    <n v="0"/>
    <n v="0"/>
    <n v="1"/>
    <n v="0"/>
    <n v="1"/>
    <s v="Yes"/>
    <x v="0"/>
  </r>
  <r>
    <n v="20537"/>
    <d v="2024-01-22T00:00:00"/>
    <x v="0"/>
    <s v="Hyderabad"/>
    <s v="SC_HYD_5"/>
    <x v="0"/>
    <s v="Panamera"/>
    <s v="Sedan"/>
    <x v="1"/>
    <x v="0"/>
    <x v="0"/>
    <x v="0"/>
    <n v="4"/>
    <n v="7"/>
    <x v="0"/>
    <x v="0"/>
    <n v="379181"/>
    <n v="218126"/>
    <n v="161055"/>
    <x v="3"/>
    <n v="0"/>
    <n v="1"/>
    <n v="0"/>
    <n v="1"/>
    <n v="1"/>
    <s v="No"/>
    <x v="2"/>
  </r>
  <r>
    <n v="20538"/>
    <d v="2024-03-05T00:00:00"/>
    <x v="2"/>
    <s v="Delhi"/>
    <s v="SC_DEL_4"/>
    <x v="2"/>
    <s v="Cayenne"/>
    <s v="SUV"/>
    <x v="0"/>
    <x v="2"/>
    <x v="1"/>
    <x v="1"/>
    <n v="17"/>
    <n v="7"/>
    <x v="0"/>
    <x v="1"/>
    <n v="428660"/>
    <n v="335401"/>
    <n v="93259"/>
    <x v="0"/>
    <n v="428660"/>
    <n v="0"/>
    <n v="0"/>
    <n v="1"/>
    <n v="1"/>
    <s v="Yes"/>
    <x v="0"/>
  </r>
  <r>
    <n v="20539"/>
    <d v="2024-04-15T00:00:00"/>
    <x v="0"/>
    <s v="Chennai"/>
    <s v="SC_CHE_1"/>
    <x v="1"/>
    <s v="Macan"/>
    <s v="SUV"/>
    <x v="0"/>
    <x v="0"/>
    <x v="2"/>
    <x v="1"/>
    <n v="13"/>
    <n v="7"/>
    <x v="0"/>
    <x v="1"/>
    <n v="583600"/>
    <n v="423868"/>
    <n v="159732"/>
    <x v="1"/>
    <n v="583600"/>
    <n v="0"/>
    <n v="0"/>
    <n v="1"/>
    <n v="1"/>
    <s v="Yes"/>
    <x v="0"/>
  </r>
  <r>
    <n v="20540"/>
    <d v="2024-06-20T00:00:00"/>
    <x v="1"/>
    <s v="Bhubaneswar"/>
    <s v="SC_BHU_4"/>
    <x v="0"/>
    <s v="Cayenne"/>
    <s v="SUV"/>
    <x v="0"/>
    <x v="2"/>
    <x v="2"/>
    <x v="0"/>
    <n v="19"/>
    <n v="7"/>
    <x v="0"/>
    <x v="1"/>
    <n v="392300"/>
    <n v="302286"/>
    <n v="90014"/>
    <x v="0"/>
    <n v="392300"/>
    <n v="0"/>
    <n v="0"/>
    <n v="1"/>
    <n v="1"/>
    <s v="Yes"/>
    <x v="0"/>
  </r>
  <r>
    <n v="20541"/>
    <d v="2024-01-28T00:00:00"/>
    <x v="0"/>
    <s v="Bengaluru"/>
    <s v="SC_BEN_2"/>
    <x v="0"/>
    <s v="Chiron"/>
    <s v="Hypercar"/>
    <x v="0"/>
    <x v="1"/>
    <x v="1"/>
    <x v="1"/>
    <n v="15"/>
    <n v="7"/>
    <x v="0"/>
    <x v="0"/>
    <n v="144135"/>
    <n v="92670"/>
    <n v="51465"/>
    <x v="0"/>
    <n v="0"/>
    <n v="1"/>
    <n v="0"/>
    <n v="1"/>
    <n v="1"/>
    <s v="Yes"/>
    <x v="0"/>
  </r>
  <r>
    <n v="20542"/>
    <d v="2024-01-15T00:00:00"/>
    <x v="0"/>
    <s v="Hyderabad"/>
    <s v="SC_HYD_5"/>
    <x v="1"/>
    <s v="Taycan"/>
    <s v="Sedan"/>
    <x v="0"/>
    <x v="3"/>
    <x v="2"/>
    <x v="0"/>
    <n v="9"/>
    <n v="7"/>
    <x v="0"/>
    <x v="1"/>
    <n v="109757"/>
    <n v="84246"/>
    <n v="25511"/>
    <x v="2"/>
    <n v="109757"/>
    <n v="0"/>
    <n v="0"/>
    <n v="1"/>
    <n v="1"/>
    <s v="Yes"/>
    <x v="1"/>
  </r>
  <r>
    <n v="20543"/>
    <d v="2024-04-29T00:00:00"/>
    <x v="1"/>
    <s v="Bhubaneswar"/>
    <s v="SC_BHU_5"/>
    <x v="2"/>
    <s v="Chiron"/>
    <s v="Hypercar"/>
    <x v="1"/>
    <x v="4"/>
    <x v="0"/>
    <x v="1"/>
    <n v="14"/>
    <n v="7"/>
    <x v="0"/>
    <x v="1"/>
    <n v="371181"/>
    <n v="288166"/>
    <n v="83015"/>
    <x v="1"/>
    <n v="371181"/>
    <n v="0"/>
    <n v="0"/>
    <n v="1"/>
    <n v="1"/>
    <s v="Yes"/>
    <x v="0"/>
  </r>
  <r>
    <n v="20544"/>
    <d v="2024-05-19T00:00:00"/>
    <x v="3"/>
    <s v="Mumbai"/>
    <s v="SC_MUM_1"/>
    <x v="1"/>
    <s v="Taycan"/>
    <s v="Sedan"/>
    <x v="1"/>
    <x v="2"/>
    <x v="0"/>
    <x v="0"/>
    <n v="18"/>
    <n v="7"/>
    <x v="0"/>
    <x v="0"/>
    <n v="141194"/>
    <n v="107934"/>
    <n v="33260"/>
    <x v="0"/>
    <n v="0"/>
    <n v="1"/>
    <n v="0"/>
    <n v="1"/>
    <n v="1"/>
    <s v="Yes"/>
    <x v="0"/>
  </r>
  <r>
    <n v="20545"/>
    <d v="2024-01-19T00:00:00"/>
    <x v="0"/>
    <s v="Hyderabad"/>
    <s v="SC_HYD_3"/>
    <x v="0"/>
    <s v="Cayenne"/>
    <s v="SUV"/>
    <x v="1"/>
    <x v="3"/>
    <x v="2"/>
    <x v="1"/>
    <n v="19"/>
    <n v="7"/>
    <x v="1"/>
    <x v="1"/>
    <n v="308938"/>
    <n v="239752"/>
    <n v="69186"/>
    <x v="1"/>
    <n v="0"/>
    <n v="0"/>
    <n v="1"/>
    <n v="0"/>
    <n v="1"/>
    <s v="Yes"/>
    <x v="0"/>
  </r>
  <r>
    <n v="20546"/>
    <d v="2024-04-25T00:00:00"/>
    <x v="1"/>
    <s v="Bhubaneswar"/>
    <s v="SC_BHU_4"/>
    <x v="1"/>
    <s v="Macan"/>
    <s v="SUV"/>
    <x v="0"/>
    <x v="2"/>
    <x v="1"/>
    <x v="0"/>
    <n v="18"/>
    <n v="7"/>
    <x v="0"/>
    <x v="1"/>
    <n v="347745"/>
    <n v="229979"/>
    <n v="117766"/>
    <x v="0"/>
    <n v="347745"/>
    <n v="0"/>
    <n v="0"/>
    <n v="1"/>
    <n v="1"/>
    <s v="Yes"/>
    <x v="0"/>
  </r>
  <r>
    <n v="20547"/>
    <d v="2024-03-24T00:00:00"/>
    <x v="0"/>
    <s v="Chennai"/>
    <s v="SC_CHE_2"/>
    <x v="1"/>
    <s v="Veyron"/>
    <s v="Hypercar"/>
    <x v="0"/>
    <x v="2"/>
    <x v="1"/>
    <x v="0"/>
    <n v="21"/>
    <n v="7"/>
    <x v="0"/>
    <x v="1"/>
    <n v="489100"/>
    <n v="256398"/>
    <n v="232702"/>
    <x v="0"/>
    <n v="489100"/>
    <n v="0"/>
    <n v="0"/>
    <n v="1"/>
    <n v="1"/>
    <s v="Yes"/>
    <x v="0"/>
  </r>
  <r>
    <n v="20548"/>
    <d v="2024-03-18T00:00:00"/>
    <x v="0"/>
    <s v="Hyderabad"/>
    <s v="SC_HYD_2"/>
    <x v="0"/>
    <s v="Taycan"/>
    <s v="Sedan"/>
    <x v="1"/>
    <x v="3"/>
    <x v="0"/>
    <x v="0"/>
    <n v="4"/>
    <n v="7"/>
    <x v="0"/>
    <x v="1"/>
    <n v="529011"/>
    <n v="341351"/>
    <n v="187660"/>
    <x v="3"/>
    <n v="529011"/>
    <n v="0"/>
    <n v="0"/>
    <n v="1"/>
    <n v="1"/>
    <s v="No"/>
    <x v="2"/>
  </r>
  <r>
    <n v="20549"/>
    <d v="2024-04-28T00:00:00"/>
    <x v="2"/>
    <s v="Noida"/>
    <s v="SC_NOI_4"/>
    <x v="2"/>
    <s v="Panamera"/>
    <s v="Sedan"/>
    <x v="0"/>
    <x v="0"/>
    <x v="0"/>
    <x v="0"/>
    <n v="7"/>
    <n v="7"/>
    <x v="1"/>
    <x v="0"/>
    <n v="520397"/>
    <n v="412563"/>
    <n v="107834"/>
    <x v="3"/>
    <n v="0"/>
    <n v="1"/>
    <n v="1"/>
    <n v="0"/>
    <n v="1"/>
    <s v="No"/>
    <x v="2"/>
  </r>
  <r>
    <n v="20550"/>
    <d v="2024-03-13T00:00:00"/>
    <x v="2"/>
    <s v="Delhi"/>
    <s v="SC_DEL_5"/>
    <x v="0"/>
    <s v="Chiron"/>
    <s v="Hypercar"/>
    <x v="1"/>
    <x v="3"/>
    <x v="0"/>
    <x v="1"/>
    <n v="19"/>
    <n v="7"/>
    <x v="0"/>
    <x v="0"/>
    <n v="165934"/>
    <n v="86293"/>
    <n v="79641"/>
    <x v="0"/>
    <n v="0"/>
    <n v="1"/>
    <n v="0"/>
    <n v="1"/>
    <n v="1"/>
    <s v="Yes"/>
    <x v="0"/>
  </r>
  <r>
    <n v="20551"/>
    <d v="2024-05-11T00:00:00"/>
    <x v="2"/>
    <s v="Delhi"/>
    <s v="SC_DEL_2"/>
    <x v="1"/>
    <s v="Veyron"/>
    <s v="Hypercar"/>
    <x v="0"/>
    <x v="3"/>
    <x v="2"/>
    <x v="0"/>
    <n v="14"/>
    <n v="7"/>
    <x v="1"/>
    <x v="1"/>
    <n v="325877"/>
    <n v="187191"/>
    <n v="138686"/>
    <x v="2"/>
    <n v="0"/>
    <n v="0"/>
    <n v="1"/>
    <n v="0"/>
    <n v="1"/>
    <s v="Yes"/>
    <x v="1"/>
  </r>
  <r>
    <n v="20552"/>
    <d v="2024-04-17T00:00:00"/>
    <x v="3"/>
    <s v="Ahmedabad"/>
    <s v="SC_AHM_4"/>
    <x v="2"/>
    <s v="911"/>
    <s v="Coupe"/>
    <x v="0"/>
    <x v="0"/>
    <x v="2"/>
    <x v="0"/>
    <n v="7"/>
    <n v="7"/>
    <x v="1"/>
    <x v="1"/>
    <n v="270138"/>
    <n v="157022"/>
    <n v="113116"/>
    <x v="3"/>
    <n v="0"/>
    <n v="0"/>
    <n v="1"/>
    <n v="0"/>
    <n v="1"/>
    <s v="No"/>
    <x v="2"/>
  </r>
  <r>
    <n v="20553"/>
    <d v="2024-06-04T00:00:00"/>
    <x v="3"/>
    <s v="Ahmedabad"/>
    <s v="SC_AHM_3"/>
    <x v="2"/>
    <s v="Macan"/>
    <s v="SUV"/>
    <x v="1"/>
    <x v="3"/>
    <x v="2"/>
    <x v="1"/>
    <n v="3"/>
    <n v="7"/>
    <x v="0"/>
    <x v="1"/>
    <n v="313669"/>
    <n v="157472"/>
    <n v="156197"/>
    <x v="3"/>
    <n v="313669"/>
    <n v="0"/>
    <n v="0"/>
    <n v="1"/>
    <n v="1"/>
    <s v="No"/>
    <x v="2"/>
  </r>
  <r>
    <n v="20554"/>
    <d v="2024-03-31T00:00:00"/>
    <x v="3"/>
    <s v="Ahmedabad"/>
    <s v="SC_AHM_3"/>
    <x v="2"/>
    <s v="Veyron"/>
    <s v="Hypercar"/>
    <x v="1"/>
    <x v="2"/>
    <x v="2"/>
    <x v="1"/>
    <n v="2"/>
    <n v="7"/>
    <x v="0"/>
    <x v="1"/>
    <n v="477427"/>
    <n v="252098"/>
    <n v="225329"/>
    <x v="3"/>
    <n v="477427"/>
    <n v="0"/>
    <n v="0"/>
    <n v="1"/>
    <n v="1"/>
    <s v="No"/>
    <x v="2"/>
  </r>
  <r>
    <n v="20555"/>
    <d v="2024-03-17T00:00:00"/>
    <x v="0"/>
    <s v="Chennai"/>
    <s v="SC_CHE_5"/>
    <x v="2"/>
    <s v="Macan"/>
    <s v="SUV"/>
    <x v="1"/>
    <x v="1"/>
    <x v="1"/>
    <x v="1"/>
    <n v="23"/>
    <n v="7"/>
    <x v="0"/>
    <x v="0"/>
    <n v="166255"/>
    <n v="127190"/>
    <n v="39065"/>
    <x v="0"/>
    <n v="0"/>
    <n v="1"/>
    <n v="0"/>
    <n v="1"/>
    <n v="1"/>
    <s v="Yes"/>
    <x v="0"/>
  </r>
  <r>
    <n v="20556"/>
    <d v="2024-06-16T00:00:00"/>
    <x v="1"/>
    <s v="Bhubaneswar"/>
    <s v="SC_BHU_5"/>
    <x v="1"/>
    <s v="Chiron"/>
    <s v="Hypercar"/>
    <x v="1"/>
    <x v="2"/>
    <x v="2"/>
    <x v="0"/>
    <n v="8"/>
    <n v="7"/>
    <x v="0"/>
    <x v="0"/>
    <n v="554852"/>
    <n v="383889"/>
    <n v="170963"/>
    <x v="2"/>
    <n v="0"/>
    <n v="1"/>
    <n v="0"/>
    <n v="1"/>
    <n v="1"/>
    <s v="Yes"/>
    <x v="1"/>
  </r>
  <r>
    <n v="20557"/>
    <d v="2024-05-16T00:00:00"/>
    <x v="1"/>
    <s v="Patna"/>
    <s v="SC_PAT_5"/>
    <x v="1"/>
    <s v="Veyron"/>
    <s v="Hypercar"/>
    <x v="0"/>
    <x v="0"/>
    <x v="2"/>
    <x v="0"/>
    <n v="21"/>
    <n v="7"/>
    <x v="1"/>
    <x v="1"/>
    <n v="223121"/>
    <n v="182348"/>
    <n v="40773"/>
    <x v="0"/>
    <n v="0"/>
    <n v="0"/>
    <n v="1"/>
    <n v="0"/>
    <n v="1"/>
    <s v="Yes"/>
    <x v="0"/>
  </r>
  <r>
    <n v="20558"/>
    <d v="2024-04-09T00:00:00"/>
    <x v="3"/>
    <s v="Ahmedabad"/>
    <s v="SC_AHM_3"/>
    <x v="2"/>
    <s v="Taycan"/>
    <s v="Sedan"/>
    <x v="0"/>
    <x v="2"/>
    <x v="2"/>
    <x v="1"/>
    <n v="19"/>
    <n v="7"/>
    <x v="1"/>
    <x v="0"/>
    <n v="379433"/>
    <n v="259411"/>
    <n v="120022"/>
    <x v="1"/>
    <n v="0"/>
    <n v="1"/>
    <n v="1"/>
    <n v="0"/>
    <n v="1"/>
    <s v="Yes"/>
    <x v="0"/>
  </r>
  <r>
    <n v="20559"/>
    <d v="2024-04-09T00:00:00"/>
    <x v="0"/>
    <s v="Hyderabad"/>
    <s v="SC_HYD_1"/>
    <x v="0"/>
    <s v="Taycan"/>
    <s v="Sedan"/>
    <x v="1"/>
    <x v="4"/>
    <x v="2"/>
    <x v="1"/>
    <n v="11"/>
    <n v="7"/>
    <x v="1"/>
    <x v="1"/>
    <n v="198158"/>
    <n v="126137"/>
    <n v="72021"/>
    <x v="2"/>
    <n v="0"/>
    <n v="0"/>
    <n v="1"/>
    <n v="0"/>
    <n v="1"/>
    <s v="Yes"/>
    <x v="1"/>
  </r>
  <r>
    <n v="20560"/>
    <d v="2024-01-28T00:00:00"/>
    <x v="1"/>
    <s v="Bhubaneswar"/>
    <s v="SC_BHU_3"/>
    <x v="2"/>
    <s v="911"/>
    <s v="Coupe"/>
    <x v="0"/>
    <x v="0"/>
    <x v="2"/>
    <x v="0"/>
    <n v="21"/>
    <n v="7"/>
    <x v="0"/>
    <x v="1"/>
    <n v="596542"/>
    <n v="312440"/>
    <n v="284102"/>
    <x v="0"/>
    <n v="596542"/>
    <n v="0"/>
    <n v="0"/>
    <n v="1"/>
    <n v="1"/>
    <s v="Yes"/>
    <x v="0"/>
  </r>
  <r>
    <n v="20561"/>
    <d v="2024-06-17T00:00:00"/>
    <x v="3"/>
    <s v="Pune"/>
    <s v="SC_PUN_2"/>
    <x v="1"/>
    <s v="Cayenne"/>
    <s v="SUV"/>
    <x v="0"/>
    <x v="2"/>
    <x v="1"/>
    <x v="1"/>
    <n v="7"/>
    <n v="7"/>
    <x v="0"/>
    <x v="0"/>
    <n v="370769"/>
    <n v="207410"/>
    <n v="163359"/>
    <x v="2"/>
    <n v="0"/>
    <n v="1"/>
    <n v="0"/>
    <n v="1"/>
    <n v="1"/>
    <s v="No"/>
    <x v="1"/>
  </r>
  <r>
    <n v="20562"/>
    <d v="2024-01-05T00:00:00"/>
    <x v="3"/>
    <s v="Ahmedabad"/>
    <s v="SC_AHM_3"/>
    <x v="1"/>
    <s v="Taycan"/>
    <s v="Sedan"/>
    <x v="1"/>
    <x v="2"/>
    <x v="1"/>
    <x v="1"/>
    <n v="25"/>
    <n v="7"/>
    <x v="1"/>
    <x v="1"/>
    <n v="372740"/>
    <n v="311265"/>
    <n v="61475"/>
    <x v="0"/>
    <n v="0"/>
    <n v="0"/>
    <n v="1"/>
    <n v="0"/>
    <n v="1"/>
    <s v="Yes"/>
    <x v="0"/>
  </r>
  <r>
    <n v="20563"/>
    <d v="2024-02-11T00:00:00"/>
    <x v="2"/>
    <s v="Delhi"/>
    <s v="SC_DEL_4"/>
    <x v="1"/>
    <s v="Chiron"/>
    <s v="Hypercar"/>
    <x v="1"/>
    <x v="4"/>
    <x v="0"/>
    <x v="1"/>
    <n v="22"/>
    <n v="7"/>
    <x v="0"/>
    <x v="1"/>
    <n v="91497"/>
    <n v="62635"/>
    <n v="28862"/>
    <x v="0"/>
    <n v="91497"/>
    <n v="0"/>
    <n v="0"/>
    <n v="1"/>
    <n v="1"/>
    <s v="Yes"/>
    <x v="0"/>
  </r>
  <r>
    <n v="20564"/>
    <d v="2024-03-21T00:00:00"/>
    <x v="3"/>
    <s v="Ahmedabad"/>
    <s v="SC_AHM_2"/>
    <x v="1"/>
    <s v="Chiron"/>
    <s v="Hypercar"/>
    <x v="1"/>
    <x v="0"/>
    <x v="0"/>
    <x v="0"/>
    <n v="10"/>
    <n v="7"/>
    <x v="0"/>
    <x v="0"/>
    <n v="423691"/>
    <n v="335174"/>
    <n v="88517"/>
    <x v="1"/>
    <n v="0"/>
    <n v="1"/>
    <n v="0"/>
    <n v="1"/>
    <n v="1"/>
    <s v="Yes"/>
    <x v="0"/>
  </r>
  <r>
    <n v="20565"/>
    <d v="2024-06-06T00:00:00"/>
    <x v="1"/>
    <s v="Kolkata"/>
    <s v="SC_KOL_2"/>
    <x v="0"/>
    <s v="Veyron"/>
    <s v="Hypercar"/>
    <x v="1"/>
    <x v="3"/>
    <x v="0"/>
    <x v="1"/>
    <n v="23"/>
    <n v="7"/>
    <x v="0"/>
    <x v="1"/>
    <n v="558314"/>
    <n v="358814"/>
    <n v="199500"/>
    <x v="0"/>
    <n v="558314"/>
    <n v="0"/>
    <n v="0"/>
    <n v="1"/>
    <n v="1"/>
    <s v="Yes"/>
    <x v="0"/>
  </r>
  <r>
    <n v="20566"/>
    <d v="2024-02-03T00:00:00"/>
    <x v="0"/>
    <s v="Chennai"/>
    <s v="SC_CHE_3"/>
    <x v="1"/>
    <s v="911"/>
    <s v="Coupe"/>
    <x v="1"/>
    <x v="0"/>
    <x v="0"/>
    <x v="0"/>
    <n v="6"/>
    <n v="7"/>
    <x v="1"/>
    <x v="0"/>
    <n v="142715"/>
    <n v="111065"/>
    <n v="31650"/>
    <x v="3"/>
    <n v="0"/>
    <n v="1"/>
    <n v="1"/>
    <n v="0"/>
    <n v="1"/>
    <s v="No"/>
    <x v="2"/>
  </r>
  <r>
    <n v="20567"/>
    <d v="2024-02-13T00:00:00"/>
    <x v="1"/>
    <s v="Kolkata"/>
    <s v="SC_KOL_4"/>
    <x v="2"/>
    <s v="Chiron"/>
    <s v="Hypercar"/>
    <x v="1"/>
    <x v="0"/>
    <x v="2"/>
    <x v="1"/>
    <n v="11"/>
    <n v="7"/>
    <x v="0"/>
    <x v="0"/>
    <n v="439016"/>
    <n v="289542"/>
    <n v="149474"/>
    <x v="1"/>
    <n v="0"/>
    <n v="1"/>
    <n v="0"/>
    <n v="1"/>
    <n v="1"/>
    <s v="Yes"/>
    <x v="0"/>
  </r>
  <r>
    <n v="20568"/>
    <d v="2024-05-30T00:00:00"/>
    <x v="1"/>
    <s v="Kolkata"/>
    <s v="SC_KOL_5"/>
    <x v="0"/>
    <s v="Taycan"/>
    <s v="Sedan"/>
    <x v="1"/>
    <x v="4"/>
    <x v="0"/>
    <x v="0"/>
    <n v="21"/>
    <n v="7"/>
    <x v="0"/>
    <x v="1"/>
    <n v="196319"/>
    <n v="127193"/>
    <n v="69126"/>
    <x v="0"/>
    <n v="196319"/>
    <n v="0"/>
    <n v="0"/>
    <n v="1"/>
    <n v="1"/>
    <s v="Yes"/>
    <x v="0"/>
  </r>
  <r>
    <n v="20569"/>
    <d v="2024-03-26T00:00:00"/>
    <x v="1"/>
    <s v="Patna"/>
    <s v="SC_PAT_1"/>
    <x v="2"/>
    <s v="Veyron"/>
    <s v="Hypercar"/>
    <x v="1"/>
    <x v="2"/>
    <x v="1"/>
    <x v="0"/>
    <n v="17"/>
    <n v="7"/>
    <x v="1"/>
    <x v="1"/>
    <n v="595041"/>
    <n v="375301"/>
    <n v="219740"/>
    <x v="1"/>
    <n v="0"/>
    <n v="0"/>
    <n v="1"/>
    <n v="0"/>
    <n v="1"/>
    <s v="Yes"/>
    <x v="0"/>
  </r>
  <r>
    <n v="20570"/>
    <d v="2024-04-27T00:00:00"/>
    <x v="2"/>
    <s v="Gurugram"/>
    <s v="SC_GUR_2"/>
    <x v="1"/>
    <s v="Taycan"/>
    <s v="Sedan"/>
    <x v="1"/>
    <x v="3"/>
    <x v="0"/>
    <x v="1"/>
    <n v="16"/>
    <n v="7"/>
    <x v="0"/>
    <x v="0"/>
    <n v="501703"/>
    <n v="261768"/>
    <n v="239935"/>
    <x v="0"/>
    <n v="0"/>
    <n v="1"/>
    <n v="0"/>
    <n v="1"/>
    <n v="1"/>
    <s v="Yes"/>
    <x v="0"/>
  </r>
  <r>
    <n v="20571"/>
    <d v="2024-01-11T00:00:00"/>
    <x v="0"/>
    <s v="Bengaluru"/>
    <s v="SC_BEN_3"/>
    <x v="0"/>
    <s v="Veyron"/>
    <s v="Hypercar"/>
    <x v="1"/>
    <x v="0"/>
    <x v="1"/>
    <x v="0"/>
    <n v="13"/>
    <n v="7"/>
    <x v="1"/>
    <x v="1"/>
    <n v="222177"/>
    <n v="164907"/>
    <n v="57270"/>
    <x v="2"/>
    <n v="0"/>
    <n v="0"/>
    <n v="1"/>
    <n v="0"/>
    <n v="1"/>
    <s v="Yes"/>
    <x v="1"/>
  </r>
  <r>
    <n v="20572"/>
    <d v="2024-03-19T00:00:00"/>
    <x v="3"/>
    <s v="Ahmedabad"/>
    <s v="SC_AHM_5"/>
    <x v="1"/>
    <s v="Cayenne"/>
    <s v="SUV"/>
    <x v="0"/>
    <x v="0"/>
    <x v="1"/>
    <x v="0"/>
    <n v="23"/>
    <n v="7"/>
    <x v="0"/>
    <x v="0"/>
    <n v="328396"/>
    <n v="249065"/>
    <n v="79331"/>
    <x v="0"/>
    <n v="0"/>
    <n v="1"/>
    <n v="0"/>
    <n v="1"/>
    <n v="1"/>
    <s v="Yes"/>
    <x v="0"/>
  </r>
  <r>
    <n v="20573"/>
    <d v="2024-01-24T00:00:00"/>
    <x v="1"/>
    <s v="Kolkata"/>
    <s v="SC_KOL_4"/>
    <x v="1"/>
    <s v="Chiron"/>
    <s v="Hypercar"/>
    <x v="0"/>
    <x v="1"/>
    <x v="2"/>
    <x v="0"/>
    <n v="13"/>
    <n v="7"/>
    <x v="1"/>
    <x v="1"/>
    <n v="237653"/>
    <n v="128581"/>
    <n v="109072"/>
    <x v="2"/>
    <n v="0"/>
    <n v="0"/>
    <n v="1"/>
    <n v="0"/>
    <n v="1"/>
    <s v="Yes"/>
    <x v="1"/>
  </r>
  <r>
    <n v="20574"/>
    <d v="2024-06-24T00:00:00"/>
    <x v="3"/>
    <s v="Ahmedabad"/>
    <s v="SC_AHM_4"/>
    <x v="1"/>
    <s v="Chiron"/>
    <s v="Hypercar"/>
    <x v="1"/>
    <x v="1"/>
    <x v="2"/>
    <x v="0"/>
    <n v="4"/>
    <n v="7"/>
    <x v="1"/>
    <x v="1"/>
    <n v="201336"/>
    <n v="131498"/>
    <n v="69838"/>
    <x v="4"/>
    <n v="0"/>
    <n v="0"/>
    <n v="1"/>
    <n v="0"/>
    <n v="1"/>
    <s v="No"/>
    <x v="2"/>
  </r>
  <r>
    <n v="20575"/>
    <d v="2024-04-26T00:00:00"/>
    <x v="3"/>
    <s v="Mumbai"/>
    <s v="SC_MUM_4"/>
    <x v="2"/>
    <s v="Veyron"/>
    <s v="Hypercar"/>
    <x v="0"/>
    <x v="0"/>
    <x v="0"/>
    <x v="0"/>
    <n v="20"/>
    <n v="7"/>
    <x v="0"/>
    <x v="0"/>
    <n v="298206"/>
    <n v="243552"/>
    <n v="54654"/>
    <x v="0"/>
    <n v="0"/>
    <n v="1"/>
    <n v="0"/>
    <n v="1"/>
    <n v="1"/>
    <s v="Yes"/>
    <x v="0"/>
  </r>
  <r>
    <n v="20576"/>
    <d v="2024-02-28T00:00:00"/>
    <x v="1"/>
    <s v="Bhubaneswar"/>
    <s v="SC_BHU_2"/>
    <x v="1"/>
    <s v="Panamera"/>
    <s v="Sedan"/>
    <x v="0"/>
    <x v="2"/>
    <x v="2"/>
    <x v="0"/>
    <n v="22"/>
    <n v="7"/>
    <x v="1"/>
    <x v="1"/>
    <n v="577016"/>
    <n v="336939"/>
    <n v="240077"/>
    <x v="0"/>
    <n v="0"/>
    <n v="0"/>
    <n v="1"/>
    <n v="0"/>
    <n v="1"/>
    <s v="Yes"/>
    <x v="0"/>
  </r>
  <r>
    <n v="20577"/>
    <d v="2024-06-20T00:00:00"/>
    <x v="0"/>
    <s v="Bengaluru"/>
    <s v="SC_BEN_2"/>
    <x v="1"/>
    <s v="Chiron"/>
    <s v="Hypercar"/>
    <x v="1"/>
    <x v="0"/>
    <x v="2"/>
    <x v="0"/>
    <n v="3"/>
    <n v="7"/>
    <x v="1"/>
    <x v="0"/>
    <n v="118142"/>
    <n v="74468"/>
    <n v="43674"/>
    <x v="4"/>
    <n v="0"/>
    <n v="1"/>
    <n v="1"/>
    <n v="0"/>
    <n v="1"/>
    <s v="No"/>
    <x v="2"/>
  </r>
  <r>
    <n v="20578"/>
    <d v="2024-06-19T00:00:00"/>
    <x v="1"/>
    <s v="Patna"/>
    <s v="SC_PAT_4"/>
    <x v="0"/>
    <s v="911"/>
    <s v="Coupe"/>
    <x v="1"/>
    <x v="1"/>
    <x v="2"/>
    <x v="0"/>
    <n v="7"/>
    <n v="7"/>
    <x v="0"/>
    <x v="1"/>
    <n v="158996"/>
    <n v="91058"/>
    <n v="67938"/>
    <x v="2"/>
    <n v="158996"/>
    <n v="0"/>
    <n v="0"/>
    <n v="1"/>
    <n v="1"/>
    <s v="No"/>
    <x v="1"/>
  </r>
  <r>
    <n v="20579"/>
    <d v="2024-05-21T00:00:00"/>
    <x v="2"/>
    <s v="Noida"/>
    <s v="SC_NOI_4"/>
    <x v="2"/>
    <s v="Veyron"/>
    <s v="Hypercar"/>
    <x v="1"/>
    <x v="0"/>
    <x v="2"/>
    <x v="1"/>
    <n v="11"/>
    <n v="7"/>
    <x v="1"/>
    <x v="0"/>
    <n v="449129"/>
    <n v="225009"/>
    <n v="224120"/>
    <x v="2"/>
    <n v="0"/>
    <n v="1"/>
    <n v="1"/>
    <n v="0"/>
    <n v="1"/>
    <s v="Yes"/>
    <x v="1"/>
  </r>
  <r>
    <n v="20580"/>
    <d v="2024-03-24T00:00:00"/>
    <x v="0"/>
    <s v="Chennai"/>
    <s v="SC_CHE_5"/>
    <x v="0"/>
    <s v="Macan"/>
    <s v="SUV"/>
    <x v="1"/>
    <x v="3"/>
    <x v="2"/>
    <x v="0"/>
    <n v="11"/>
    <n v="7"/>
    <x v="0"/>
    <x v="1"/>
    <n v="337085"/>
    <n v="188109"/>
    <n v="148976"/>
    <x v="1"/>
    <n v="337085"/>
    <n v="0"/>
    <n v="0"/>
    <n v="1"/>
    <n v="1"/>
    <s v="Yes"/>
    <x v="0"/>
  </r>
  <r>
    <n v="20581"/>
    <d v="2024-04-22T00:00:00"/>
    <x v="1"/>
    <s v="Bhubaneswar"/>
    <s v="SC_BHU_1"/>
    <x v="0"/>
    <s v="Veyron"/>
    <s v="Hypercar"/>
    <x v="0"/>
    <x v="1"/>
    <x v="2"/>
    <x v="0"/>
    <n v="7"/>
    <n v="7"/>
    <x v="0"/>
    <x v="0"/>
    <n v="269343"/>
    <n v="215964"/>
    <n v="53379"/>
    <x v="2"/>
    <n v="0"/>
    <n v="1"/>
    <n v="0"/>
    <n v="1"/>
    <n v="1"/>
    <s v="No"/>
    <x v="1"/>
  </r>
  <r>
    <n v="20582"/>
    <d v="2024-02-02T00:00:00"/>
    <x v="0"/>
    <s v="Hyderabad"/>
    <s v="SC_HYD_5"/>
    <x v="2"/>
    <s v="Veyron"/>
    <s v="Hypercar"/>
    <x v="1"/>
    <x v="0"/>
    <x v="1"/>
    <x v="1"/>
    <n v="17"/>
    <n v="7"/>
    <x v="0"/>
    <x v="1"/>
    <n v="478245"/>
    <n v="301024"/>
    <n v="177221"/>
    <x v="0"/>
    <n v="478245"/>
    <n v="0"/>
    <n v="0"/>
    <n v="1"/>
    <n v="1"/>
    <s v="Yes"/>
    <x v="0"/>
  </r>
  <r>
    <n v="20583"/>
    <d v="2024-05-16T00:00:00"/>
    <x v="0"/>
    <s v="Hyderabad"/>
    <s v="SC_HYD_2"/>
    <x v="2"/>
    <s v="911"/>
    <s v="Coupe"/>
    <x v="0"/>
    <x v="2"/>
    <x v="2"/>
    <x v="1"/>
    <n v="3"/>
    <n v="7"/>
    <x v="1"/>
    <x v="1"/>
    <n v="513823"/>
    <n v="267026"/>
    <n v="246797"/>
    <x v="4"/>
    <n v="0"/>
    <n v="0"/>
    <n v="1"/>
    <n v="0"/>
    <n v="1"/>
    <s v="No"/>
    <x v="2"/>
  </r>
  <r>
    <n v="20584"/>
    <d v="2024-06-24T00:00:00"/>
    <x v="1"/>
    <s v="Bhubaneswar"/>
    <s v="SC_BHU_1"/>
    <x v="1"/>
    <s v="Panamera"/>
    <s v="Sedan"/>
    <x v="1"/>
    <x v="0"/>
    <x v="0"/>
    <x v="0"/>
    <n v="7"/>
    <n v="7"/>
    <x v="0"/>
    <x v="1"/>
    <n v="526288"/>
    <n v="416248"/>
    <n v="110040"/>
    <x v="2"/>
    <n v="526288"/>
    <n v="0"/>
    <n v="0"/>
    <n v="1"/>
    <n v="1"/>
    <s v="No"/>
    <x v="1"/>
  </r>
  <r>
    <n v="20585"/>
    <d v="2024-04-05T00:00:00"/>
    <x v="0"/>
    <s v="Bengaluru"/>
    <s v="SC_BEN_2"/>
    <x v="1"/>
    <s v="Cayenne"/>
    <s v="SUV"/>
    <x v="0"/>
    <x v="0"/>
    <x v="2"/>
    <x v="0"/>
    <n v="5"/>
    <n v="7"/>
    <x v="1"/>
    <x v="0"/>
    <n v="474719"/>
    <n v="377048"/>
    <n v="97671"/>
    <x v="3"/>
    <n v="0"/>
    <n v="1"/>
    <n v="1"/>
    <n v="0"/>
    <n v="1"/>
    <s v="No"/>
    <x v="2"/>
  </r>
  <r>
    <n v="20586"/>
    <d v="2024-04-08T00:00:00"/>
    <x v="0"/>
    <s v="Bengaluru"/>
    <s v="SC_BEN_1"/>
    <x v="1"/>
    <s v="Chiron"/>
    <s v="Hypercar"/>
    <x v="0"/>
    <x v="3"/>
    <x v="2"/>
    <x v="0"/>
    <n v="7"/>
    <n v="7"/>
    <x v="0"/>
    <x v="1"/>
    <n v="471561"/>
    <n v="387974"/>
    <n v="83587"/>
    <x v="2"/>
    <n v="471561"/>
    <n v="0"/>
    <n v="0"/>
    <n v="1"/>
    <n v="1"/>
    <s v="No"/>
    <x v="1"/>
  </r>
  <r>
    <n v="20587"/>
    <d v="2024-02-12T00:00:00"/>
    <x v="2"/>
    <s v="Noida"/>
    <s v="SC_NOI_5"/>
    <x v="2"/>
    <s v="Chiron"/>
    <s v="Hypercar"/>
    <x v="0"/>
    <x v="3"/>
    <x v="2"/>
    <x v="0"/>
    <n v="20"/>
    <n v="7"/>
    <x v="0"/>
    <x v="1"/>
    <n v="349513"/>
    <n v="245957"/>
    <n v="103556"/>
    <x v="0"/>
    <n v="349513"/>
    <n v="0"/>
    <n v="0"/>
    <n v="1"/>
    <n v="1"/>
    <s v="Yes"/>
    <x v="0"/>
  </r>
  <r>
    <n v="20588"/>
    <d v="2024-03-04T00:00:00"/>
    <x v="3"/>
    <s v="Pune"/>
    <s v="SC_PUN_3"/>
    <x v="1"/>
    <s v="Veyron"/>
    <s v="Hypercar"/>
    <x v="0"/>
    <x v="4"/>
    <x v="2"/>
    <x v="1"/>
    <n v="20"/>
    <n v="7"/>
    <x v="0"/>
    <x v="1"/>
    <n v="524664"/>
    <n v="419795"/>
    <n v="104869"/>
    <x v="0"/>
    <n v="524664"/>
    <n v="0"/>
    <n v="0"/>
    <n v="1"/>
    <n v="1"/>
    <s v="Yes"/>
    <x v="0"/>
  </r>
  <r>
    <n v="20589"/>
    <d v="2024-01-20T00:00:00"/>
    <x v="3"/>
    <s v="Mumbai"/>
    <s v="SC_MUM_3"/>
    <x v="2"/>
    <s v="911"/>
    <s v="Coupe"/>
    <x v="1"/>
    <x v="0"/>
    <x v="0"/>
    <x v="0"/>
    <n v="9"/>
    <n v="7"/>
    <x v="0"/>
    <x v="1"/>
    <n v="346803"/>
    <n v="259313"/>
    <n v="87490"/>
    <x v="2"/>
    <n v="346803"/>
    <n v="0"/>
    <n v="0"/>
    <n v="1"/>
    <n v="1"/>
    <s v="Yes"/>
    <x v="1"/>
  </r>
  <r>
    <n v="20590"/>
    <d v="2024-05-05T00:00:00"/>
    <x v="0"/>
    <s v="Hyderabad"/>
    <s v="SC_HYD_5"/>
    <x v="1"/>
    <s v="911"/>
    <s v="Coupe"/>
    <x v="1"/>
    <x v="1"/>
    <x v="2"/>
    <x v="0"/>
    <n v="22"/>
    <n v="7"/>
    <x v="1"/>
    <x v="1"/>
    <n v="233815"/>
    <n v="184233"/>
    <n v="49582"/>
    <x v="0"/>
    <n v="0"/>
    <n v="0"/>
    <n v="1"/>
    <n v="0"/>
    <n v="1"/>
    <s v="Yes"/>
    <x v="0"/>
  </r>
  <r>
    <n v="20591"/>
    <d v="2024-06-12T00:00:00"/>
    <x v="0"/>
    <s v="Bengaluru"/>
    <s v="SC_BEN_5"/>
    <x v="2"/>
    <s v="Cayenne"/>
    <s v="SUV"/>
    <x v="1"/>
    <x v="4"/>
    <x v="2"/>
    <x v="0"/>
    <n v="9"/>
    <n v="7"/>
    <x v="0"/>
    <x v="1"/>
    <n v="191270"/>
    <n v="159039"/>
    <n v="32231"/>
    <x v="2"/>
    <n v="191270"/>
    <n v="0"/>
    <n v="0"/>
    <n v="1"/>
    <n v="1"/>
    <s v="Yes"/>
    <x v="1"/>
  </r>
  <r>
    <n v="20592"/>
    <d v="2024-02-15T00:00:00"/>
    <x v="2"/>
    <s v="Gurugram"/>
    <s v="SC_GUR_1"/>
    <x v="1"/>
    <s v="Taycan"/>
    <s v="Sedan"/>
    <x v="0"/>
    <x v="3"/>
    <x v="2"/>
    <x v="0"/>
    <n v="20"/>
    <n v="7"/>
    <x v="0"/>
    <x v="1"/>
    <n v="455482"/>
    <n v="287144"/>
    <n v="168338"/>
    <x v="0"/>
    <n v="455482"/>
    <n v="0"/>
    <n v="0"/>
    <n v="1"/>
    <n v="1"/>
    <s v="Yes"/>
    <x v="0"/>
  </r>
  <r>
    <n v="20593"/>
    <d v="2024-01-21T00:00:00"/>
    <x v="1"/>
    <s v="Bhubaneswar"/>
    <s v="SC_BHU_3"/>
    <x v="0"/>
    <s v="911"/>
    <s v="Coupe"/>
    <x v="0"/>
    <x v="1"/>
    <x v="1"/>
    <x v="0"/>
    <n v="23"/>
    <n v="7"/>
    <x v="1"/>
    <x v="0"/>
    <n v="377185"/>
    <n v="271968"/>
    <n v="105217"/>
    <x v="0"/>
    <n v="0"/>
    <n v="1"/>
    <n v="1"/>
    <n v="0"/>
    <n v="1"/>
    <s v="Yes"/>
    <x v="0"/>
  </r>
  <r>
    <n v="20594"/>
    <d v="2024-01-14T00:00:00"/>
    <x v="1"/>
    <s v="Patna"/>
    <s v="SC_PAT_3"/>
    <x v="0"/>
    <s v="Macan"/>
    <s v="SUV"/>
    <x v="1"/>
    <x v="2"/>
    <x v="0"/>
    <x v="0"/>
    <n v="18"/>
    <n v="7"/>
    <x v="0"/>
    <x v="0"/>
    <n v="420676"/>
    <n v="222046"/>
    <n v="198630"/>
    <x v="0"/>
    <n v="0"/>
    <n v="1"/>
    <n v="0"/>
    <n v="1"/>
    <n v="1"/>
    <s v="Yes"/>
    <x v="0"/>
  </r>
  <r>
    <n v="20595"/>
    <d v="2024-01-06T00:00:00"/>
    <x v="0"/>
    <s v="Hyderabad"/>
    <s v="SC_HYD_2"/>
    <x v="1"/>
    <s v="Cayenne"/>
    <s v="SUV"/>
    <x v="0"/>
    <x v="1"/>
    <x v="0"/>
    <x v="1"/>
    <n v="12"/>
    <n v="7"/>
    <x v="0"/>
    <x v="1"/>
    <n v="101811"/>
    <n v="57949"/>
    <n v="43862"/>
    <x v="1"/>
    <n v="101811"/>
    <n v="0"/>
    <n v="0"/>
    <n v="1"/>
    <n v="1"/>
    <s v="Yes"/>
    <x v="0"/>
  </r>
  <r>
    <n v="20596"/>
    <d v="2024-04-17T00:00:00"/>
    <x v="3"/>
    <s v="Mumbai"/>
    <s v="SC_MUM_4"/>
    <x v="0"/>
    <s v="Cayenne"/>
    <s v="SUV"/>
    <x v="1"/>
    <x v="3"/>
    <x v="2"/>
    <x v="1"/>
    <n v="17"/>
    <n v="7"/>
    <x v="0"/>
    <x v="0"/>
    <n v="393886"/>
    <n v="326945"/>
    <n v="66941"/>
    <x v="0"/>
    <n v="0"/>
    <n v="1"/>
    <n v="0"/>
    <n v="1"/>
    <n v="1"/>
    <s v="Yes"/>
    <x v="0"/>
  </r>
  <r>
    <n v="20597"/>
    <d v="2024-01-22T00:00:00"/>
    <x v="1"/>
    <s v="Bhubaneswar"/>
    <s v="SC_BHU_5"/>
    <x v="2"/>
    <s v="Macan"/>
    <s v="SUV"/>
    <x v="0"/>
    <x v="3"/>
    <x v="1"/>
    <x v="1"/>
    <n v="9"/>
    <n v="7"/>
    <x v="0"/>
    <x v="1"/>
    <n v="183086"/>
    <n v="107701"/>
    <n v="75385"/>
    <x v="2"/>
    <n v="183086"/>
    <n v="0"/>
    <n v="0"/>
    <n v="1"/>
    <n v="1"/>
    <s v="Yes"/>
    <x v="1"/>
  </r>
  <r>
    <n v="20598"/>
    <d v="2024-04-14T00:00:00"/>
    <x v="0"/>
    <s v="Bengaluru"/>
    <s v="SC_BEN_1"/>
    <x v="0"/>
    <s v="Veyron"/>
    <s v="Hypercar"/>
    <x v="0"/>
    <x v="3"/>
    <x v="2"/>
    <x v="0"/>
    <n v="25"/>
    <n v="7"/>
    <x v="0"/>
    <x v="1"/>
    <n v="472671"/>
    <n v="370664"/>
    <n v="102007"/>
    <x v="0"/>
    <n v="472671"/>
    <n v="0"/>
    <n v="0"/>
    <n v="1"/>
    <n v="1"/>
    <s v="Yes"/>
    <x v="0"/>
  </r>
  <r>
    <n v="20599"/>
    <d v="2024-03-14T00:00:00"/>
    <x v="0"/>
    <s v="Bengaluru"/>
    <s v="SC_BEN_2"/>
    <x v="2"/>
    <s v="Veyron"/>
    <s v="Hypercar"/>
    <x v="0"/>
    <x v="2"/>
    <x v="2"/>
    <x v="0"/>
    <n v="14"/>
    <n v="7"/>
    <x v="0"/>
    <x v="0"/>
    <n v="375181"/>
    <n v="212213"/>
    <n v="162968"/>
    <x v="1"/>
    <n v="0"/>
    <n v="1"/>
    <n v="0"/>
    <n v="1"/>
    <n v="1"/>
    <s v="Yes"/>
    <x v="0"/>
  </r>
  <r>
    <n v="20600"/>
    <d v="2024-04-22T00:00:00"/>
    <x v="0"/>
    <s v="Bengaluru"/>
    <s v="SC_BEN_5"/>
    <x v="1"/>
    <s v="Veyron"/>
    <s v="Hypercar"/>
    <x v="1"/>
    <x v="2"/>
    <x v="1"/>
    <x v="0"/>
    <n v="8"/>
    <n v="7"/>
    <x v="1"/>
    <x v="1"/>
    <n v="317209"/>
    <n v="183327"/>
    <n v="133882"/>
    <x v="3"/>
    <n v="0"/>
    <n v="0"/>
    <n v="1"/>
    <n v="0"/>
    <n v="1"/>
    <s v="Yes"/>
    <x v="2"/>
  </r>
  <r>
    <n v="20601"/>
    <d v="2024-06-14T00:00:00"/>
    <x v="1"/>
    <s v="Kolkata"/>
    <s v="SC_KOL_1"/>
    <x v="2"/>
    <s v="Chiron"/>
    <s v="Hypercar"/>
    <x v="1"/>
    <x v="2"/>
    <x v="0"/>
    <x v="0"/>
    <n v="23"/>
    <n v="7"/>
    <x v="0"/>
    <x v="0"/>
    <n v="428281"/>
    <n v="241046"/>
    <n v="187235"/>
    <x v="0"/>
    <n v="0"/>
    <n v="1"/>
    <n v="0"/>
    <n v="1"/>
    <n v="1"/>
    <s v="Yes"/>
    <x v="0"/>
  </r>
  <r>
    <n v="20602"/>
    <d v="2024-01-12T00:00:00"/>
    <x v="0"/>
    <s v="Bengaluru"/>
    <s v="SC_BEN_5"/>
    <x v="2"/>
    <s v="Veyron"/>
    <s v="Hypercar"/>
    <x v="0"/>
    <x v="1"/>
    <x v="2"/>
    <x v="1"/>
    <n v="8"/>
    <n v="7"/>
    <x v="0"/>
    <x v="0"/>
    <n v="174701"/>
    <n v="134937"/>
    <n v="39764"/>
    <x v="2"/>
    <n v="0"/>
    <n v="1"/>
    <n v="0"/>
    <n v="1"/>
    <n v="1"/>
    <s v="Yes"/>
    <x v="1"/>
  </r>
  <r>
    <n v="20603"/>
    <d v="2024-05-30T00:00:00"/>
    <x v="3"/>
    <s v="Mumbai"/>
    <s v="SC_MUM_3"/>
    <x v="0"/>
    <s v="Chiron"/>
    <s v="Hypercar"/>
    <x v="1"/>
    <x v="4"/>
    <x v="0"/>
    <x v="0"/>
    <n v="17"/>
    <n v="7"/>
    <x v="0"/>
    <x v="0"/>
    <n v="252170"/>
    <n v="214283"/>
    <n v="37887"/>
    <x v="0"/>
    <n v="0"/>
    <n v="1"/>
    <n v="0"/>
    <n v="1"/>
    <n v="1"/>
    <s v="Yes"/>
    <x v="0"/>
  </r>
  <r>
    <n v="20604"/>
    <d v="2024-05-15T00:00:00"/>
    <x v="3"/>
    <s v="Mumbai"/>
    <s v="SC_MUM_3"/>
    <x v="2"/>
    <s v="Chiron"/>
    <s v="Hypercar"/>
    <x v="0"/>
    <x v="1"/>
    <x v="1"/>
    <x v="0"/>
    <n v="11"/>
    <n v="7"/>
    <x v="0"/>
    <x v="1"/>
    <n v="468663"/>
    <n v="249249"/>
    <n v="219414"/>
    <x v="1"/>
    <n v="468663"/>
    <n v="0"/>
    <n v="0"/>
    <n v="1"/>
    <n v="1"/>
    <s v="Yes"/>
    <x v="0"/>
  </r>
  <r>
    <n v="20605"/>
    <d v="2024-02-05T00:00:00"/>
    <x v="2"/>
    <s v="Delhi"/>
    <s v="SC_DEL_3"/>
    <x v="2"/>
    <s v="Taycan"/>
    <s v="Sedan"/>
    <x v="1"/>
    <x v="3"/>
    <x v="0"/>
    <x v="1"/>
    <n v="23"/>
    <n v="7"/>
    <x v="0"/>
    <x v="0"/>
    <n v="391698"/>
    <n v="255913"/>
    <n v="135785"/>
    <x v="0"/>
    <n v="0"/>
    <n v="1"/>
    <n v="0"/>
    <n v="1"/>
    <n v="1"/>
    <s v="Yes"/>
    <x v="0"/>
  </r>
  <r>
    <n v="20606"/>
    <d v="2024-05-11T00:00:00"/>
    <x v="3"/>
    <s v="Mumbai"/>
    <s v="SC_MUM_5"/>
    <x v="2"/>
    <s v="Taycan"/>
    <s v="Sedan"/>
    <x v="1"/>
    <x v="1"/>
    <x v="0"/>
    <x v="0"/>
    <n v="10"/>
    <n v="7"/>
    <x v="0"/>
    <x v="1"/>
    <n v="262948"/>
    <n v="197827"/>
    <n v="65121"/>
    <x v="1"/>
    <n v="262948"/>
    <n v="0"/>
    <n v="0"/>
    <n v="1"/>
    <n v="1"/>
    <s v="Yes"/>
    <x v="0"/>
  </r>
  <r>
    <n v="20607"/>
    <d v="2024-01-31T00:00:00"/>
    <x v="3"/>
    <s v="Mumbai"/>
    <s v="SC_MUM_4"/>
    <x v="2"/>
    <s v="Taycan"/>
    <s v="Sedan"/>
    <x v="1"/>
    <x v="0"/>
    <x v="2"/>
    <x v="0"/>
    <n v="6"/>
    <n v="7"/>
    <x v="0"/>
    <x v="1"/>
    <n v="165827"/>
    <n v="129650"/>
    <n v="36177"/>
    <x v="2"/>
    <n v="165827"/>
    <n v="0"/>
    <n v="0"/>
    <n v="1"/>
    <n v="1"/>
    <s v="No"/>
    <x v="1"/>
  </r>
  <r>
    <n v="20608"/>
    <d v="2024-06-04T00:00:00"/>
    <x v="0"/>
    <s v="Hyderabad"/>
    <s v="SC_HYD_3"/>
    <x v="2"/>
    <s v="Macan"/>
    <s v="SUV"/>
    <x v="1"/>
    <x v="1"/>
    <x v="0"/>
    <x v="0"/>
    <n v="7"/>
    <n v="7"/>
    <x v="1"/>
    <x v="1"/>
    <n v="372602"/>
    <n v="273985"/>
    <n v="98617"/>
    <x v="3"/>
    <n v="0"/>
    <n v="0"/>
    <n v="1"/>
    <n v="0"/>
    <n v="1"/>
    <s v="No"/>
    <x v="2"/>
  </r>
  <r>
    <n v="20609"/>
    <d v="2024-02-25T00:00:00"/>
    <x v="0"/>
    <s v="Chennai"/>
    <s v="SC_CHE_1"/>
    <x v="1"/>
    <s v="Veyron"/>
    <s v="Hypercar"/>
    <x v="0"/>
    <x v="0"/>
    <x v="1"/>
    <x v="0"/>
    <n v="8"/>
    <n v="7"/>
    <x v="1"/>
    <x v="1"/>
    <n v="158692"/>
    <n v="110036"/>
    <n v="48656"/>
    <x v="3"/>
    <n v="0"/>
    <n v="0"/>
    <n v="1"/>
    <n v="0"/>
    <n v="1"/>
    <s v="Yes"/>
    <x v="2"/>
  </r>
  <r>
    <n v="20610"/>
    <d v="2024-04-03T00:00:00"/>
    <x v="2"/>
    <s v="Gurugram"/>
    <s v="SC_GUR_5"/>
    <x v="2"/>
    <s v="Macan"/>
    <s v="SUV"/>
    <x v="1"/>
    <x v="1"/>
    <x v="2"/>
    <x v="0"/>
    <n v="2"/>
    <n v="7"/>
    <x v="0"/>
    <x v="1"/>
    <n v="201106"/>
    <n v="120371"/>
    <n v="80735"/>
    <x v="3"/>
    <n v="201106"/>
    <n v="0"/>
    <n v="0"/>
    <n v="1"/>
    <n v="1"/>
    <s v="No"/>
    <x v="2"/>
  </r>
  <r>
    <n v="20611"/>
    <d v="2024-03-09T00:00:00"/>
    <x v="0"/>
    <s v="Hyderabad"/>
    <s v="SC_HYD_3"/>
    <x v="1"/>
    <s v="911"/>
    <s v="Coupe"/>
    <x v="1"/>
    <x v="2"/>
    <x v="0"/>
    <x v="0"/>
    <n v="3"/>
    <n v="7"/>
    <x v="0"/>
    <x v="1"/>
    <n v="194551"/>
    <n v="125201"/>
    <n v="69350"/>
    <x v="3"/>
    <n v="194551"/>
    <n v="0"/>
    <n v="0"/>
    <n v="1"/>
    <n v="1"/>
    <s v="No"/>
    <x v="2"/>
  </r>
  <r>
    <n v="20612"/>
    <d v="2024-03-08T00:00:00"/>
    <x v="3"/>
    <s v="Mumbai"/>
    <s v="SC_MUM_4"/>
    <x v="2"/>
    <s v="Chiron"/>
    <s v="Hypercar"/>
    <x v="1"/>
    <x v="0"/>
    <x v="2"/>
    <x v="1"/>
    <n v="11"/>
    <n v="7"/>
    <x v="1"/>
    <x v="1"/>
    <n v="312404"/>
    <n v="194403"/>
    <n v="118001"/>
    <x v="2"/>
    <n v="0"/>
    <n v="0"/>
    <n v="1"/>
    <n v="0"/>
    <n v="1"/>
    <s v="Yes"/>
    <x v="1"/>
  </r>
  <r>
    <n v="20613"/>
    <d v="2024-03-06T00:00:00"/>
    <x v="3"/>
    <s v="Pune"/>
    <s v="SC_PUN_3"/>
    <x v="2"/>
    <s v="Cayenne"/>
    <s v="SUV"/>
    <x v="1"/>
    <x v="0"/>
    <x v="2"/>
    <x v="0"/>
    <n v="22"/>
    <n v="7"/>
    <x v="0"/>
    <x v="1"/>
    <n v="598167"/>
    <n v="312524"/>
    <n v="285643"/>
    <x v="0"/>
    <n v="598167"/>
    <n v="0"/>
    <n v="0"/>
    <n v="1"/>
    <n v="1"/>
    <s v="Yes"/>
    <x v="0"/>
  </r>
  <r>
    <n v="20614"/>
    <d v="2024-03-14T00:00:00"/>
    <x v="3"/>
    <s v="Pune"/>
    <s v="SC_PUN_5"/>
    <x v="1"/>
    <s v="911"/>
    <s v="Coupe"/>
    <x v="0"/>
    <x v="0"/>
    <x v="0"/>
    <x v="0"/>
    <n v="10"/>
    <n v="7"/>
    <x v="0"/>
    <x v="0"/>
    <n v="592496"/>
    <n v="462930"/>
    <n v="129566"/>
    <x v="1"/>
    <n v="0"/>
    <n v="1"/>
    <n v="0"/>
    <n v="1"/>
    <n v="1"/>
    <s v="Yes"/>
    <x v="0"/>
  </r>
  <r>
    <n v="20615"/>
    <d v="2024-01-15T00:00:00"/>
    <x v="3"/>
    <s v="Mumbai"/>
    <s v="SC_MUM_4"/>
    <x v="2"/>
    <s v="Chiron"/>
    <s v="Hypercar"/>
    <x v="0"/>
    <x v="3"/>
    <x v="2"/>
    <x v="0"/>
    <n v="6"/>
    <n v="7"/>
    <x v="1"/>
    <x v="1"/>
    <n v="591862"/>
    <n v="392381"/>
    <n v="199481"/>
    <x v="3"/>
    <n v="0"/>
    <n v="0"/>
    <n v="1"/>
    <n v="0"/>
    <n v="1"/>
    <s v="No"/>
    <x v="2"/>
  </r>
  <r>
    <n v="20616"/>
    <d v="2024-05-30T00:00:00"/>
    <x v="3"/>
    <s v="Pune"/>
    <s v="SC_PUN_5"/>
    <x v="1"/>
    <s v="Macan"/>
    <s v="SUV"/>
    <x v="0"/>
    <x v="4"/>
    <x v="2"/>
    <x v="1"/>
    <n v="20"/>
    <n v="7"/>
    <x v="1"/>
    <x v="0"/>
    <n v="289464"/>
    <n v="230549"/>
    <n v="58915"/>
    <x v="0"/>
    <n v="0"/>
    <n v="1"/>
    <n v="1"/>
    <n v="0"/>
    <n v="1"/>
    <s v="Yes"/>
    <x v="0"/>
  </r>
  <r>
    <n v="20617"/>
    <d v="2024-06-29T00:00:00"/>
    <x v="0"/>
    <s v="Hyderabad"/>
    <s v="SC_HYD_5"/>
    <x v="0"/>
    <s v="Panamera"/>
    <s v="Sedan"/>
    <x v="0"/>
    <x v="0"/>
    <x v="2"/>
    <x v="0"/>
    <n v="24"/>
    <n v="7"/>
    <x v="0"/>
    <x v="1"/>
    <n v="542749"/>
    <n v="351164"/>
    <n v="191585"/>
    <x v="0"/>
    <n v="542749"/>
    <n v="0"/>
    <n v="0"/>
    <n v="1"/>
    <n v="1"/>
    <s v="Yes"/>
    <x v="0"/>
  </r>
  <r>
    <n v="20618"/>
    <d v="2024-06-04T00:00:00"/>
    <x v="3"/>
    <s v="Ahmedabad"/>
    <s v="SC_AHM_3"/>
    <x v="1"/>
    <s v="Cayenne"/>
    <s v="SUV"/>
    <x v="1"/>
    <x v="4"/>
    <x v="0"/>
    <x v="0"/>
    <n v="4"/>
    <n v="7"/>
    <x v="1"/>
    <x v="1"/>
    <n v="179699"/>
    <n v="92648"/>
    <n v="87051"/>
    <x v="4"/>
    <n v="0"/>
    <n v="0"/>
    <n v="1"/>
    <n v="0"/>
    <n v="1"/>
    <s v="No"/>
    <x v="2"/>
  </r>
  <r>
    <n v="20619"/>
    <d v="2024-06-29T00:00:00"/>
    <x v="0"/>
    <s v="Chennai"/>
    <s v="SC_CHE_2"/>
    <x v="2"/>
    <s v="Cayenne"/>
    <s v="SUV"/>
    <x v="1"/>
    <x v="1"/>
    <x v="0"/>
    <x v="0"/>
    <n v="23"/>
    <n v="7"/>
    <x v="0"/>
    <x v="0"/>
    <n v="317926"/>
    <n v="237380"/>
    <n v="80546"/>
    <x v="0"/>
    <n v="0"/>
    <n v="1"/>
    <n v="0"/>
    <n v="1"/>
    <n v="1"/>
    <s v="Yes"/>
    <x v="0"/>
  </r>
  <r>
    <n v="20620"/>
    <d v="2024-05-25T00:00:00"/>
    <x v="2"/>
    <s v="Delhi"/>
    <s v="SC_DEL_3"/>
    <x v="1"/>
    <s v="Veyron"/>
    <s v="Hypercar"/>
    <x v="1"/>
    <x v="1"/>
    <x v="2"/>
    <x v="0"/>
    <n v="14"/>
    <n v="7"/>
    <x v="1"/>
    <x v="1"/>
    <n v="452163"/>
    <n v="255588"/>
    <n v="196575"/>
    <x v="2"/>
    <n v="0"/>
    <n v="0"/>
    <n v="1"/>
    <n v="0"/>
    <n v="1"/>
    <s v="Yes"/>
    <x v="1"/>
  </r>
  <r>
    <n v="20621"/>
    <d v="2024-05-14T00:00:00"/>
    <x v="1"/>
    <s v="Bhubaneswar"/>
    <s v="SC_BHU_5"/>
    <x v="2"/>
    <s v="Chiron"/>
    <s v="Hypercar"/>
    <x v="0"/>
    <x v="1"/>
    <x v="1"/>
    <x v="0"/>
    <n v="24"/>
    <n v="7"/>
    <x v="1"/>
    <x v="1"/>
    <n v="212994"/>
    <n v="149093"/>
    <n v="63901"/>
    <x v="0"/>
    <n v="0"/>
    <n v="0"/>
    <n v="1"/>
    <n v="0"/>
    <n v="1"/>
    <s v="Yes"/>
    <x v="0"/>
  </r>
  <r>
    <n v="20622"/>
    <d v="2024-05-14T00:00:00"/>
    <x v="3"/>
    <s v="Mumbai"/>
    <s v="SC_MUM_5"/>
    <x v="2"/>
    <s v="Chiron"/>
    <s v="Hypercar"/>
    <x v="0"/>
    <x v="3"/>
    <x v="2"/>
    <x v="0"/>
    <n v="20"/>
    <n v="7"/>
    <x v="0"/>
    <x v="1"/>
    <n v="495085"/>
    <n v="307794"/>
    <n v="187291"/>
    <x v="0"/>
    <n v="495085"/>
    <n v="0"/>
    <n v="0"/>
    <n v="1"/>
    <n v="1"/>
    <s v="Yes"/>
    <x v="0"/>
  </r>
  <r>
    <n v="20623"/>
    <d v="2024-02-06T00:00:00"/>
    <x v="1"/>
    <s v="Patna"/>
    <s v="SC_PAT_2"/>
    <x v="1"/>
    <s v="Cayenne"/>
    <s v="SUV"/>
    <x v="1"/>
    <x v="4"/>
    <x v="1"/>
    <x v="0"/>
    <n v="25"/>
    <n v="7"/>
    <x v="0"/>
    <x v="0"/>
    <n v="448873"/>
    <n v="234051"/>
    <n v="214822"/>
    <x v="0"/>
    <n v="0"/>
    <n v="1"/>
    <n v="0"/>
    <n v="1"/>
    <n v="1"/>
    <s v="Yes"/>
    <x v="0"/>
  </r>
  <r>
    <n v="20624"/>
    <d v="2024-01-30T00:00:00"/>
    <x v="2"/>
    <s v="Gurugram"/>
    <s v="SC_GUR_4"/>
    <x v="0"/>
    <s v="Macan"/>
    <s v="SUV"/>
    <x v="1"/>
    <x v="4"/>
    <x v="2"/>
    <x v="1"/>
    <n v="7"/>
    <n v="7"/>
    <x v="1"/>
    <x v="0"/>
    <n v="432308"/>
    <n v="364000"/>
    <n v="68308"/>
    <x v="3"/>
    <n v="0"/>
    <n v="1"/>
    <n v="1"/>
    <n v="0"/>
    <n v="1"/>
    <s v="No"/>
    <x v="2"/>
  </r>
  <r>
    <n v="20625"/>
    <d v="2024-03-08T00:00:00"/>
    <x v="0"/>
    <s v="Bengaluru"/>
    <s v="SC_BEN_4"/>
    <x v="2"/>
    <s v="Taycan"/>
    <s v="Sedan"/>
    <x v="1"/>
    <x v="0"/>
    <x v="2"/>
    <x v="1"/>
    <n v="5"/>
    <n v="7"/>
    <x v="0"/>
    <x v="0"/>
    <n v="581586"/>
    <n v="458193"/>
    <n v="123393"/>
    <x v="2"/>
    <n v="0"/>
    <n v="1"/>
    <n v="0"/>
    <n v="1"/>
    <n v="1"/>
    <s v="No"/>
    <x v="1"/>
  </r>
  <r>
    <n v="20626"/>
    <d v="2024-04-30T00:00:00"/>
    <x v="2"/>
    <s v="Delhi"/>
    <s v="SC_DEL_4"/>
    <x v="1"/>
    <s v="Veyron"/>
    <s v="Hypercar"/>
    <x v="0"/>
    <x v="0"/>
    <x v="2"/>
    <x v="1"/>
    <n v="6"/>
    <n v="7"/>
    <x v="0"/>
    <x v="1"/>
    <n v="427228"/>
    <n v="216687"/>
    <n v="210541"/>
    <x v="2"/>
    <n v="427228"/>
    <n v="0"/>
    <n v="0"/>
    <n v="1"/>
    <n v="1"/>
    <s v="No"/>
    <x v="1"/>
  </r>
  <r>
    <n v="20627"/>
    <d v="2024-04-26T00:00:00"/>
    <x v="3"/>
    <s v="Pune"/>
    <s v="SC_PUN_2"/>
    <x v="2"/>
    <s v="Taycan"/>
    <s v="Sedan"/>
    <x v="0"/>
    <x v="2"/>
    <x v="2"/>
    <x v="1"/>
    <n v="13"/>
    <n v="7"/>
    <x v="1"/>
    <x v="0"/>
    <n v="490544"/>
    <n v="402734"/>
    <n v="87810"/>
    <x v="2"/>
    <n v="0"/>
    <n v="1"/>
    <n v="1"/>
    <n v="0"/>
    <n v="1"/>
    <s v="Yes"/>
    <x v="1"/>
  </r>
  <r>
    <n v="20628"/>
    <d v="2024-02-19T00:00:00"/>
    <x v="2"/>
    <s v="Noida"/>
    <s v="SC_NOI_1"/>
    <x v="0"/>
    <s v="Veyron"/>
    <s v="Hypercar"/>
    <x v="0"/>
    <x v="2"/>
    <x v="1"/>
    <x v="0"/>
    <n v="20"/>
    <n v="7"/>
    <x v="0"/>
    <x v="1"/>
    <n v="489139"/>
    <n v="349476"/>
    <n v="139663"/>
    <x v="0"/>
    <n v="489139"/>
    <n v="0"/>
    <n v="0"/>
    <n v="1"/>
    <n v="1"/>
    <s v="Yes"/>
    <x v="0"/>
  </r>
  <r>
    <n v="20629"/>
    <d v="2024-02-04T00:00:00"/>
    <x v="3"/>
    <s v="Mumbai"/>
    <s v="SC_MUM_2"/>
    <x v="2"/>
    <s v="Cayenne"/>
    <s v="SUV"/>
    <x v="1"/>
    <x v="2"/>
    <x v="1"/>
    <x v="1"/>
    <n v="15"/>
    <n v="7"/>
    <x v="0"/>
    <x v="0"/>
    <n v="429325"/>
    <n v="317348"/>
    <n v="111977"/>
    <x v="0"/>
    <n v="0"/>
    <n v="1"/>
    <n v="0"/>
    <n v="1"/>
    <n v="1"/>
    <s v="Yes"/>
    <x v="0"/>
  </r>
  <r>
    <n v="20630"/>
    <d v="2024-03-07T00:00:00"/>
    <x v="3"/>
    <s v="Mumbai"/>
    <s v="SC_MUM_5"/>
    <x v="2"/>
    <s v="Macan"/>
    <s v="SUV"/>
    <x v="0"/>
    <x v="2"/>
    <x v="2"/>
    <x v="1"/>
    <n v="15"/>
    <n v="7"/>
    <x v="0"/>
    <x v="1"/>
    <n v="116283"/>
    <n v="85968"/>
    <n v="30315"/>
    <x v="0"/>
    <n v="116283"/>
    <n v="0"/>
    <n v="0"/>
    <n v="1"/>
    <n v="1"/>
    <s v="Yes"/>
    <x v="0"/>
  </r>
  <r>
    <n v="20631"/>
    <d v="2024-03-23T00:00:00"/>
    <x v="3"/>
    <s v="Pune"/>
    <s v="SC_PUN_3"/>
    <x v="2"/>
    <s v="Panamera"/>
    <s v="Sedan"/>
    <x v="1"/>
    <x v="3"/>
    <x v="0"/>
    <x v="0"/>
    <n v="6"/>
    <n v="7"/>
    <x v="0"/>
    <x v="1"/>
    <n v="263318"/>
    <n v="161942"/>
    <n v="101376"/>
    <x v="2"/>
    <n v="263318"/>
    <n v="0"/>
    <n v="0"/>
    <n v="1"/>
    <n v="1"/>
    <s v="No"/>
    <x v="1"/>
  </r>
  <r>
    <n v="20632"/>
    <d v="2024-01-24T00:00:00"/>
    <x v="2"/>
    <s v="Noida"/>
    <s v="SC_NOI_4"/>
    <x v="0"/>
    <s v="Taycan"/>
    <s v="Sedan"/>
    <x v="0"/>
    <x v="1"/>
    <x v="2"/>
    <x v="0"/>
    <n v="3"/>
    <n v="7"/>
    <x v="0"/>
    <x v="0"/>
    <n v="428045"/>
    <n v="239585"/>
    <n v="188460"/>
    <x v="3"/>
    <n v="0"/>
    <n v="1"/>
    <n v="0"/>
    <n v="1"/>
    <n v="1"/>
    <s v="No"/>
    <x v="2"/>
  </r>
  <r>
    <n v="20633"/>
    <d v="2024-05-20T00:00:00"/>
    <x v="0"/>
    <s v="Bengaluru"/>
    <s v="SC_BEN_5"/>
    <x v="1"/>
    <s v="Cayenne"/>
    <s v="SUV"/>
    <x v="0"/>
    <x v="0"/>
    <x v="2"/>
    <x v="0"/>
    <n v="23"/>
    <n v="7"/>
    <x v="1"/>
    <x v="0"/>
    <n v="241124"/>
    <n v="171533"/>
    <n v="69591"/>
    <x v="0"/>
    <n v="0"/>
    <n v="1"/>
    <n v="1"/>
    <n v="0"/>
    <n v="1"/>
    <s v="Yes"/>
    <x v="0"/>
  </r>
  <r>
    <n v="20634"/>
    <d v="2024-04-20T00:00:00"/>
    <x v="3"/>
    <s v="Mumbai"/>
    <s v="SC_MUM_1"/>
    <x v="2"/>
    <s v="Taycan"/>
    <s v="Sedan"/>
    <x v="1"/>
    <x v="2"/>
    <x v="0"/>
    <x v="1"/>
    <n v="9"/>
    <n v="7"/>
    <x v="0"/>
    <x v="0"/>
    <n v="565114"/>
    <n v="334837"/>
    <n v="230277"/>
    <x v="2"/>
    <n v="0"/>
    <n v="1"/>
    <n v="0"/>
    <n v="1"/>
    <n v="1"/>
    <s v="Yes"/>
    <x v="1"/>
  </r>
  <r>
    <n v="20635"/>
    <d v="2024-05-21T00:00:00"/>
    <x v="0"/>
    <s v="Bengaluru"/>
    <s v="SC_BEN_4"/>
    <x v="1"/>
    <s v="Macan"/>
    <s v="SUV"/>
    <x v="0"/>
    <x v="1"/>
    <x v="1"/>
    <x v="0"/>
    <n v="19"/>
    <n v="7"/>
    <x v="1"/>
    <x v="1"/>
    <n v="137786"/>
    <n v="78654"/>
    <n v="59132"/>
    <x v="1"/>
    <n v="0"/>
    <n v="0"/>
    <n v="1"/>
    <n v="0"/>
    <n v="1"/>
    <s v="Yes"/>
    <x v="0"/>
  </r>
  <r>
    <n v="20636"/>
    <d v="2024-06-15T00:00:00"/>
    <x v="1"/>
    <s v="Patna"/>
    <s v="SC_PAT_2"/>
    <x v="0"/>
    <s v="911"/>
    <s v="Coupe"/>
    <x v="1"/>
    <x v="1"/>
    <x v="0"/>
    <x v="1"/>
    <n v="22"/>
    <n v="7"/>
    <x v="0"/>
    <x v="1"/>
    <n v="303718"/>
    <n v="200262"/>
    <n v="103456"/>
    <x v="0"/>
    <n v="303718"/>
    <n v="0"/>
    <n v="0"/>
    <n v="1"/>
    <n v="1"/>
    <s v="Yes"/>
    <x v="0"/>
  </r>
  <r>
    <n v="20637"/>
    <d v="2024-02-08T00:00:00"/>
    <x v="2"/>
    <s v="Noida"/>
    <s v="SC_NOI_4"/>
    <x v="2"/>
    <s v="Chiron"/>
    <s v="Hypercar"/>
    <x v="1"/>
    <x v="3"/>
    <x v="2"/>
    <x v="1"/>
    <n v="4"/>
    <n v="7"/>
    <x v="0"/>
    <x v="1"/>
    <n v="558728"/>
    <n v="406607"/>
    <n v="152121"/>
    <x v="3"/>
    <n v="558728"/>
    <n v="0"/>
    <n v="0"/>
    <n v="1"/>
    <n v="1"/>
    <s v="No"/>
    <x v="2"/>
  </r>
  <r>
    <n v="20638"/>
    <d v="2024-01-04T00:00:00"/>
    <x v="2"/>
    <s v="Noida"/>
    <s v="SC_NOI_4"/>
    <x v="1"/>
    <s v="911"/>
    <s v="Coupe"/>
    <x v="0"/>
    <x v="0"/>
    <x v="0"/>
    <x v="0"/>
    <n v="12"/>
    <n v="7"/>
    <x v="0"/>
    <x v="0"/>
    <n v="527789"/>
    <n v="372574"/>
    <n v="155215"/>
    <x v="1"/>
    <n v="0"/>
    <n v="1"/>
    <n v="0"/>
    <n v="1"/>
    <n v="1"/>
    <s v="Yes"/>
    <x v="0"/>
  </r>
  <r>
    <n v="20639"/>
    <d v="2024-03-20T00:00:00"/>
    <x v="1"/>
    <s v="Kolkata"/>
    <s v="SC_KOL_5"/>
    <x v="2"/>
    <s v="Macan"/>
    <s v="SUV"/>
    <x v="0"/>
    <x v="3"/>
    <x v="1"/>
    <x v="0"/>
    <n v="7"/>
    <n v="7"/>
    <x v="0"/>
    <x v="1"/>
    <n v="405002"/>
    <n v="231353"/>
    <n v="173649"/>
    <x v="2"/>
    <n v="405002"/>
    <n v="0"/>
    <n v="0"/>
    <n v="1"/>
    <n v="1"/>
    <s v="No"/>
    <x v="1"/>
  </r>
  <r>
    <n v="20640"/>
    <d v="2024-02-25T00:00:00"/>
    <x v="3"/>
    <s v="Ahmedabad"/>
    <s v="SC_AHM_3"/>
    <x v="2"/>
    <s v="Cayenne"/>
    <s v="SUV"/>
    <x v="0"/>
    <x v="4"/>
    <x v="0"/>
    <x v="0"/>
    <n v="14"/>
    <n v="7"/>
    <x v="0"/>
    <x v="1"/>
    <n v="268926"/>
    <n v="203334"/>
    <n v="65592"/>
    <x v="1"/>
    <n v="268926"/>
    <n v="0"/>
    <n v="0"/>
    <n v="1"/>
    <n v="1"/>
    <s v="Yes"/>
    <x v="0"/>
  </r>
  <r>
    <n v="20641"/>
    <d v="2024-04-12T00:00:00"/>
    <x v="0"/>
    <s v="Chennai"/>
    <s v="SC_CHE_2"/>
    <x v="2"/>
    <s v="Taycan"/>
    <s v="Sedan"/>
    <x v="1"/>
    <x v="4"/>
    <x v="1"/>
    <x v="0"/>
    <n v="16"/>
    <n v="7"/>
    <x v="1"/>
    <x v="1"/>
    <n v="95836"/>
    <n v="63552"/>
    <n v="32284"/>
    <x v="1"/>
    <n v="0"/>
    <n v="0"/>
    <n v="1"/>
    <n v="0"/>
    <n v="1"/>
    <s v="Yes"/>
    <x v="0"/>
  </r>
  <r>
    <n v="20642"/>
    <d v="2024-03-16T00:00:00"/>
    <x v="3"/>
    <s v="Pune"/>
    <s v="SC_PUN_1"/>
    <x v="2"/>
    <s v="Panamera"/>
    <s v="Sedan"/>
    <x v="0"/>
    <x v="1"/>
    <x v="0"/>
    <x v="0"/>
    <n v="14"/>
    <n v="7"/>
    <x v="0"/>
    <x v="1"/>
    <n v="569326"/>
    <n v="337369"/>
    <n v="231957"/>
    <x v="1"/>
    <n v="569326"/>
    <n v="0"/>
    <n v="0"/>
    <n v="1"/>
    <n v="1"/>
    <s v="Yes"/>
    <x v="0"/>
  </r>
  <r>
    <n v="20643"/>
    <d v="2024-04-12T00:00:00"/>
    <x v="0"/>
    <s v="Chennai"/>
    <s v="SC_CHE_2"/>
    <x v="2"/>
    <s v="Taycan"/>
    <s v="Sedan"/>
    <x v="1"/>
    <x v="1"/>
    <x v="2"/>
    <x v="0"/>
    <n v="20"/>
    <n v="7"/>
    <x v="0"/>
    <x v="1"/>
    <n v="300011"/>
    <n v="170054"/>
    <n v="129957"/>
    <x v="0"/>
    <n v="300011"/>
    <n v="0"/>
    <n v="0"/>
    <n v="1"/>
    <n v="1"/>
    <s v="Yes"/>
    <x v="0"/>
  </r>
  <r>
    <n v="20644"/>
    <d v="2024-02-05T00:00:00"/>
    <x v="2"/>
    <s v="Delhi"/>
    <s v="SC_DEL_5"/>
    <x v="2"/>
    <s v="Taycan"/>
    <s v="Sedan"/>
    <x v="1"/>
    <x v="0"/>
    <x v="0"/>
    <x v="1"/>
    <n v="3"/>
    <n v="7"/>
    <x v="1"/>
    <x v="1"/>
    <n v="557662"/>
    <n v="303092"/>
    <n v="254570"/>
    <x v="4"/>
    <n v="0"/>
    <n v="0"/>
    <n v="1"/>
    <n v="0"/>
    <n v="1"/>
    <s v="No"/>
    <x v="2"/>
  </r>
  <r>
    <n v="20645"/>
    <d v="2024-04-16T00:00:00"/>
    <x v="2"/>
    <s v="Gurugram"/>
    <s v="SC_GUR_3"/>
    <x v="2"/>
    <s v="Cayenne"/>
    <s v="SUV"/>
    <x v="1"/>
    <x v="0"/>
    <x v="1"/>
    <x v="1"/>
    <n v="3"/>
    <n v="7"/>
    <x v="1"/>
    <x v="1"/>
    <n v="528397"/>
    <n v="381010"/>
    <n v="147387"/>
    <x v="4"/>
    <n v="0"/>
    <n v="0"/>
    <n v="1"/>
    <n v="0"/>
    <n v="1"/>
    <s v="No"/>
    <x v="2"/>
  </r>
  <r>
    <n v="20646"/>
    <d v="2024-06-19T00:00:00"/>
    <x v="3"/>
    <s v="Mumbai"/>
    <s v="SC_MUM_5"/>
    <x v="2"/>
    <s v="Macan"/>
    <s v="SUV"/>
    <x v="0"/>
    <x v="1"/>
    <x v="2"/>
    <x v="1"/>
    <n v="19"/>
    <n v="7"/>
    <x v="0"/>
    <x v="1"/>
    <n v="381754"/>
    <n v="261458"/>
    <n v="120296"/>
    <x v="0"/>
    <n v="381754"/>
    <n v="0"/>
    <n v="0"/>
    <n v="1"/>
    <n v="1"/>
    <s v="Yes"/>
    <x v="0"/>
  </r>
  <r>
    <n v="20647"/>
    <d v="2024-03-23T00:00:00"/>
    <x v="2"/>
    <s v="Gurugram"/>
    <s v="SC_GUR_4"/>
    <x v="0"/>
    <s v="Panamera"/>
    <s v="Sedan"/>
    <x v="1"/>
    <x v="1"/>
    <x v="0"/>
    <x v="1"/>
    <n v="6"/>
    <n v="7"/>
    <x v="1"/>
    <x v="1"/>
    <n v="393653"/>
    <n v="297361"/>
    <n v="96292"/>
    <x v="3"/>
    <n v="0"/>
    <n v="0"/>
    <n v="1"/>
    <n v="0"/>
    <n v="1"/>
    <s v="No"/>
    <x v="2"/>
  </r>
  <r>
    <n v="20648"/>
    <d v="2024-06-03T00:00:00"/>
    <x v="3"/>
    <s v="Mumbai"/>
    <s v="SC_MUM_3"/>
    <x v="1"/>
    <s v="Taycan"/>
    <s v="Sedan"/>
    <x v="0"/>
    <x v="0"/>
    <x v="1"/>
    <x v="1"/>
    <n v="6"/>
    <n v="7"/>
    <x v="1"/>
    <x v="1"/>
    <n v="290565"/>
    <n v="208511"/>
    <n v="82054"/>
    <x v="3"/>
    <n v="0"/>
    <n v="0"/>
    <n v="1"/>
    <n v="0"/>
    <n v="1"/>
    <s v="No"/>
    <x v="2"/>
  </r>
  <r>
    <n v="20649"/>
    <d v="2024-02-29T00:00:00"/>
    <x v="1"/>
    <s v="Patna"/>
    <s v="SC_PAT_2"/>
    <x v="0"/>
    <s v="Panamera"/>
    <s v="Sedan"/>
    <x v="0"/>
    <x v="1"/>
    <x v="1"/>
    <x v="1"/>
    <n v="2"/>
    <n v="7"/>
    <x v="0"/>
    <x v="1"/>
    <n v="270729"/>
    <n v="159068"/>
    <n v="111661"/>
    <x v="3"/>
    <n v="270729"/>
    <n v="0"/>
    <n v="0"/>
    <n v="1"/>
    <n v="1"/>
    <s v="No"/>
    <x v="2"/>
  </r>
  <r>
    <n v="20650"/>
    <d v="2024-06-19T00:00:00"/>
    <x v="0"/>
    <s v="Bengaluru"/>
    <s v="SC_BEN_4"/>
    <x v="2"/>
    <s v="Chiron"/>
    <s v="Hypercar"/>
    <x v="1"/>
    <x v="0"/>
    <x v="1"/>
    <x v="0"/>
    <n v="8"/>
    <n v="7"/>
    <x v="0"/>
    <x v="1"/>
    <n v="112922"/>
    <n v="84448"/>
    <n v="28474"/>
    <x v="2"/>
    <n v="112922"/>
    <n v="0"/>
    <n v="0"/>
    <n v="1"/>
    <n v="1"/>
    <s v="Yes"/>
    <x v="1"/>
  </r>
  <r>
    <n v="20651"/>
    <d v="2024-04-12T00:00:00"/>
    <x v="1"/>
    <s v="Kolkata"/>
    <s v="SC_KOL_2"/>
    <x v="2"/>
    <s v="Cayenne"/>
    <s v="SUV"/>
    <x v="1"/>
    <x v="1"/>
    <x v="2"/>
    <x v="1"/>
    <n v="10"/>
    <n v="7"/>
    <x v="1"/>
    <x v="1"/>
    <n v="394878"/>
    <n v="217338"/>
    <n v="177540"/>
    <x v="2"/>
    <n v="0"/>
    <n v="0"/>
    <n v="1"/>
    <n v="0"/>
    <n v="1"/>
    <s v="Yes"/>
    <x v="1"/>
  </r>
  <r>
    <n v="20652"/>
    <d v="2024-02-07T00:00:00"/>
    <x v="1"/>
    <s v="Bhubaneswar"/>
    <s v="SC_BHU_5"/>
    <x v="2"/>
    <s v="Macan"/>
    <s v="SUV"/>
    <x v="1"/>
    <x v="1"/>
    <x v="1"/>
    <x v="0"/>
    <n v="17"/>
    <n v="7"/>
    <x v="1"/>
    <x v="0"/>
    <n v="171716"/>
    <n v="137286"/>
    <n v="34430"/>
    <x v="1"/>
    <n v="0"/>
    <n v="1"/>
    <n v="1"/>
    <n v="0"/>
    <n v="1"/>
    <s v="Yes"/>
    <x v="0"/>
  </r>
  <r>
    <n v="20653"/>
    <d v="2024-05-04T00:00:00"/>
    <x v="2"/>
    <s v="Delhi"/>
    <s v="SC_DEL_2"/>
    <x v="1"/>
    <s v="911"/>
    <s v="Coupe"/>
    <x v="1"/>
    <x v="0"/>
    <x v="2"/>
    <x v="0"/>
    <n v="24"/>
    <n v="7"/>
    <x v="0"/>
    <x v="1"/>
    <n v="465871"/>
    <n v="354733"/>
    <n v="111138"/>
    <x v="0"/>
    <n v="465871"/>
    <n v="0"/>
    <n v="0"/>
    <n v="1"/>
    <n v="1"/>
    <s v="Yes"/>
    <x v="0"/>
  </r>
  <r>
    <n v="20654"/>
    <d v="2024-04-10T00:00:00"/>
    <x v="2"/>
    <s v="Noida"/>
    <s v="SC_NOI_2"/>
    <x v="0"/>
    <s v="Chiron"/>
    <s v="Hypercar"/>
    <x v="0"/>
    <x v="2"/>
    <x v="1"/>
    <x v="1"/>
    <n v="25"/>
    <n v="7"/>
    <x v="0"/>
    <x v="0"/>
    <n v="117489"/>
    <n v="86530"/>
    <n v="30959"/>
    <x v="0"/>
    <n v="0"/>
    <n v="1"/>
    <n v="0"/>
    <n v="1"/>
    <n v="1"/>
    <s v="Yes"/>
    <x v="0"/>
  </r>
  <r>
    <n v="20655"/>
    <d v="2024-02-21T00:00:00"/>
    <x v="3"/>
    <s v="Mumbai"/>
    <s v="SC_MUM_3"/>
    <x v="2"/>
    <s v="Panamera"/>
    <s v="Sedan"/>
    <x v="1"/>
    <x v="1"/>
    <x v="0"/>
    <x v="0"/>
    <n v="18"/>
    <n v="7"/>
    <x v="0"/>
    <x v="1"/>
    <n v="444379"/>
    <n v="313639"/>
    <n v="130740"/>
    <x v="0"/>
    <n v="444379"/>
    <n v="0"/>
    <n v="0"/>
    <n v="1"/>
    <n v="1"/>
    <s v="Yes"/>
    <x v="0"/>
  </r>
  <r>
    <n v="20656"/>
    <d v="2024-02-14T00:00:00"/>
    <x v="0"/>
    <s v="Chennai"/>
    <s v="SC_CHE_2"/>
    <x v="0"/>
    <s v="Taycan"/>
    <s v="Sedan"/>
    <x v="0"/>
    <x v="0"/>
    <x v="0"/>
    <x v="1"/>
    <n v="19"/>
    <n v="7"/>
    <x v="0"/>
    <x v="0"/>
    <n v="583237"/>
    <n v="339667"/>
    <n v="243570"/>
    <x v="0"/>
    <n v="0"/>
    <n v="1"/>
    <n v="0"/>
    <n v="1"/>
    <n v="1"/>
    <s v="Yes"/>
    <x v="0"/>
  </r>
  <r>
    <n v="20657"/>
    <d v="2024-04-14T00:00:00"/>
    <x v="1"/>
    <s v="Kolkata"/>
    <s v="SC_KOL_4"/>
    <x v="2"/>
    <s v="911"/>
    <s v="Coupe"/>
    <x v="0"/>
    <x v="4"/>
    <x v="1"/>
    <x v="0"/>
    <n v="17"/>
    <n v="7"/>
    <x v="0"/>
    <x v="1"/>
    <n v="109199"/>
    <n v="65711"/>
    <n v="43488"/>
    <x v="0"/>
    <n v="109199"/>
    <n v="0"/>
    <n v="0"/>
    <n v="1"/>
    <n v="1"/>
    <s v="Yes"/>
    <x v="0"/>
  </r>
  <r>
    <n v="20658"/>
    <d v="2024-06-23T00:00:00"/>
    <x v="0"/>
    <s v="Bengaluru"/>
    <s v="SC_BEN_4"/>
    <x v="1"/>
    <s v="Taycan"/>
    <s v="Sedan"/>
    <x v="0"/>
    <x v="0"/>
    <x v="2"/>
    <x v="0"/>
    <n v="24"/>
    <n v="7"/>
    <x v="1"/>
    <x v="1"/>
    <n v="174953"/>
    <n v="114457"/>
    <n v="60496"/>
    <x v="0"/>
    <n v="0"/>
    <n v="0"/>
    <n v="1"/>
    <n v="0"/>
    <n v="1"/>
    <s v="Yes"/>
    <x v="0"/>
  </r>
  <r>
    <n v="20659"/>
    <d v="2024-01-19T00:00:00"/>
    <x v="1"/>
    <s v="Bhubaneswar"/>
    <s v="SC_BHU_3"/>
    <x v="1"/>
    <s v="Chiron"/>
    <s v="Hypercar"/>
    <x v="1"/>
    <x v="1"/>
    <x v="1"/>
    <x v="1"/>
    <n v="10"/>
    <n v="7"/>
    <x v="0"/>
    <x v="1"/>
    <n v="526876"/>
    <n v="273933"/>
    <n v="252943"/>
    <x v="1"/>
    <n v="526876"/>
    <n v="0"/>
    <n v="0"/>
    <n v="1"/>
    <n v="1"/>
    <s v="Yes"/>
    <x v="0"/>
  </r>
  <r>
    <n v="20660"/>
    <d v="2024-01-21T00:00:00"/>
    <x v="3"/>
    <s v="Mumbai"/>
    <s v="SC_MUM_5"/>
    <x v="1"/>
    <s v="Veyron"/>
    <s v="Hypercar"/>
    <x v="0"/>
    <x v="2"/>
    <x v="0"/>
    <x v="0"/>
    <n v="2"/>
    <n v="7"/>
    <x v="0"/>
    <x v="1"/>
    <n v="328723"/>
    <n v="216297"/>
    <n v="112426"/>
    <x v="3"/>
    <n v="328723"/>
    <n v="0"/>
    <n v="0"/>
    <n v="1"/>
    <n v="1"/>
    <s v="No"/>
    <x v="2"/>
  </r>
  <r>
    <n v="20661"/>
    <d v="2024-01-04T00:00:00"/>
    <x v="3"/>
    <s v="Ahmedabad"/>
    <s v="SC_AHM_5"/>
    <x v="0"/>
    <s v="Chiron"/>
    <s v="Hypercar"/>
    <x v="0"/>
    <x v="1"/>
    <x v="0"/>
    <x v="0"/>
    <n v="11"/>
    <n v="7"/>
    <x v="0"/>
    <x v="0"/>
    <n v="382874"/>
    <n v="197595"/>
    <n v="185279"/>
    <x v="1"/>
    <n v="0"/>
    <n v="1"/>
    <n v="0"/>
    <n v="1"/>
    <n v="1"/>
    <s v="Yes"/>
    <x v="0"/>
  </r>
  <r>
    <n v="20662"/>
    <d v="2024-03-01T00:00:00"/>
    <x v="2"/>
    <s v="Delhi"/>
    <s v="SC_DEL_4"/>
    <x v="2"/>
    <s v="Taycan"/>
    <s v="Sedan"/>
    <x v="1"/>
    <x v="3"/>
    <x v="0"/>
    <x v="1"/>
    <n v="17"/>
    <n v="7"/>
    <x v="0"/>
    <x v="0"/>
    <n v="574979"/>
    <n v="414095"/>
    <n v="160884"/>
    <x v="0"/>
    <n v="0"/>
    <n v="1"/>
    <n v="0"/>
    <n v="1"/>
    <n v="1"/>
    <s v="Yes"/>
    <x v="0"/>
  </r>
  <r>
    <n v="20663"/>
    <d v="2024-04-19T00:00:00"/>
    <x v="1"/>
    <s v="Bhubaneswar"/>
    <s v="SC_BHU_4"/>
    <x v="1"/>
    <s v="Panamera"/>
    <s v="Sedan"/>
    <x v="1"/>
    <x v="1"/>
    <x v="2"/>
    <x v="1"/>
    <n v="23"/>
    <n v="7"/>
    <x v="0"/>
    <x v="1"/>
    <n v="207399"/>
    <n v="145606"/>
    <n v="61793"/>
    <x v="0"/>
    <n v="207399"/>
    <n v="0"/>
    <n v="0"/>
    <n v="1"/>
    <n v="1"/>
    <s v="Yes"/>
    <x v="0"/>
  </r>
  <r>
    <n v="20664"/>
    <d v="2024-05-14T00:00:00"/>
    <x v="1"/>
    <s v="Bhubaneswar"/>
    <s v="SC_BHU_2"/>
    <x v="1"/>
    <s v="911"/>
    <s v="Coupe"/>
    <x v="0"/>
    <x v="0"/>
    <x v="1"/>
    <x v="0"/>
    <n v="16"/>
    <n v="7"/>
    <x v="1"/>
    <x v="0"/>
    <n v="170487"/>
    <n v="108264"/>
    <n v="62223"/>
    <x v="1"/>
    <n v="0"/>
    <n v="1"/>
    <n v="1"/>
    <n v="0"/>
    <n v="1"/>
    <s v="Yes"/>
    <x v="0"/>
  </r>
  <r>
    <n v="20665"/>
    <d v="2024-06-08T00:00:00"/>
    <x v="2"/>
    <s v="Gurugram"/>
    <s v="SC_GUR_3"/>
    <x v="2"/>
    <s v="Veyron"/>
    <s v="Hypercar"/>
    <x v="1"/>
    <x v="2"/>
    <x v="0"/>
    <x v="0"/>
    <n v="18"/>
    <n v="7"/>
    <x v="0"/>
    <x v="1"/>
    <n v="248127"/>
    <n v="143858"/>
    <n v="104269"/>
    <x v="0"/>
    <n v="248127"/>
    <n v="0"/>
    <n v="0"/>
    <n v="1"/>
    <n v="1"/>
    <s v="Yes"/>
    <x v="0"/>
  </r>
  <r>
    <n v="20666"/>
    <d v="2024-04-26T00:00:00"/>
    <x v="1"/>
    <s v="Bhubaneswar"/>
    <s v="SC_BHU_2"/>
    <x v="0"/>
    <s v="Veyron"/>
    <s v="Hypercar"/>
    <x v="0"/>
    <x v="3"/>
    <x v="0"/>
    <x v="0"/>
    <n v="18"/>
    <n v="7"/>
    <x v="0"/>
    <x v="1"/>
    <n v="318624"/>
    <n v="217725"/>
    <n v="100899"/>
    <x v="0"/>
    <n v="318624"/>
    <n v="0"/>
    <n v="0"/>
    <n v="1"/>
    <n v="1"/>
    <s v="Yes"/>
    <x v="0"/>
  </r>
  <r>
    <n v="20667"/>
    <d v="2024-01-10T00:00:00"/>
    <x v="2"/>
    <s v="Delhi"/>
    <s v="SC_DEL_2"/>
    <x v="1"/>
    <s v="Chiron"/>
    <s v="Hypercar"/>
    <x v="1"/>
    <x v="3"/>
    <x v="2"/>
    <x v="1"/>
    <n v="19"/>
    <n v="7"/>
    <x v="1"/>
    <x v="1"/>
    <n v="453529"/>
    <n v="371792"/>
    <n v="81737"/>
    <x v="1"/>
    <n v="0"/>
    <n v="0"/>
    <n v="1"/>
    <n v="0"/>
    <n v="1"/>
    <s v="Yes"/>
    <x v="0"/>
  </r>
  <r>
    <n v="20668"/>
    <d v="2024-04-05T00:00:00"/>
    <x v="1"/>
    <s v="Patna"/>
    <s v="SC_PAT_2"/>
    <x v="0"/>
    <s v="Chiron"/>
    <s v="Hypercar"/>
    <x v="0"/>
    <x v="4"/>
    <x v="2"/>
    <x v="0"/>
    <n v="5"/>
    <n v="7"/>
    <x v="1"/>
    <x v="1"/>
    <n v="190879"/>
    <n v="148929"/>
    <n v="41950"/>
    <x v="3"/>
    <n v="0"/>
    <n v="0"/>
    <n v="1"/>
    <n v="0"/>
    <n v="1"/>
    <s v="No"/>
    <x v="2"/>
  </r>
  <r>
    <n v="20669"/>
    <d v="2024-04-13T00:00:00"/>
    <x v="1"/>
    <s v="Bhubaneswar"/>
    <s v="SC_BHU_5"/>
    <x v="2"/>
    <s v="911"/>
    <s v="Coupe"/>
    <x v="1"/>
    <x v="2"/>
    <x v="1"/>
    <x v="0"/>
    <n v="6"/>
    <n v="7"/>
    <x v="0"/>
    <x v="1"/>
    <n v="386588"/>
    <n v="271106"/>
    <n v="115482"/>
    <x v="2"/>
    <n v="386588"/>
    <n v="0"/>
    <n v="0"/>
    <n v="1"/>
    <n v="1"/>
    <s v="No"/>
    <x v="1"/>
  </r>
  <r>
    <n v="20670"/>
    <d v="2024-05-27T00:00:00"/>
    <x v="2"/>
    <s v="Gurugram"/>
    <s v="SC_GUR_2"/>
    <x v="1"/>
    <s v="Panamera"/>
    <s v="Sedan"/>
    <x v="1"/>
    <x v="4"/>
    <x v="0"/>
    <x v="1"/>
    <n v="24"/>
    <n v="7"/>
    <x v="0"/>
    <x v="1"/>
    <n v="568557"/>
    <n v="301735"/>
    <n v="266822"/>
    <x v="0"/>
    <n v="568557"/>
    <n v="0"/>
    <n v="0"/>
    <n v="1"/>
    <n v="1"/>
    <s v="Yes"/>
    <x v="0"/>
  </r>
  <r>
    <n v="20671"/>
    <d v="2024-04-25T00:00:00"/>
    <x v="0"/>
    <s v="Bengaluru"/>
    <s v="SC_BEN_1"/>
    <x v="1"/>
    <s v="911"/>
    <s v="Coupe"/>
    <x v="1"/>
    <x v="3"/>
    <x v="2"/>
    <x v="0"/>
    <n v="23"/>
    <n v="7"/>
    <x v="0"/>
    <x v="1"/>
    <n v="399905"/>
    <n v="335771"/>
    <n v="64134"/>
    <x v="0"/>
    <n v="399905"/>
    <n v="0"/>
    <n v="0"/>
    <n v="1"/>
    <n v="1"/>
    <s v="Yes"/>
    <x v="0"/>
  </r>
  <r>
    <n v="20672"/>
    <d v="2024-05-10T00:00:00"/>
    <x v="0"/>
    <s v="Bengaluru"/>
    <s v="SC_BEN_4"/>
    <x v="0"/>
    <s v="Chiron"/>
    <s v="Hypercar"/>
    <x v="0"/>
    <x v="4"/>
    <x v="0"/>
    <x v="1"/>
    <n v="3"/>
    <n v="7"/>
    <x v="0"/>
    <x v="1"/>
    <n v="557192"/>
    <n v="413595"/>
    <n v="143597"/>
    <x v="3"/>
    <n v="557192"/>
    <n v="0"/>
    <n v="0"/>
    <n v="1"/>
    <n v="1"/>
    <s v="No"/>
    <x v="2"/>
  </r>
  <r>
    <n v="20673"/>
    <d v="2024-03-22T00:00:00"/>
    <x v="1"/>
    <s v="Patna"/>
    <s v="SC_PAT_4"/>
    <x v="2"/>
    <s v="Taycan"/>
    <s v="Sedan"/>
    <x v="0"/>
    <x v="0"/>
    <x v="2"/>
    <x v="0"/>
    <n v="8"/>
    <n v="7"/>
    <x v="1"/>
    <x v="1"/>
    <n v="260483"/>
    <n v="181860"/>
    <n v="78623"/>
    <x v="3"/>
    <n v="0"/>
    <n v="0"/>
    <n v="1"/>
    <n v="0"/>
    <n v="1"/>
    <s v="Yes"/>
    <x v="2"/>
  </r>
  <r>
    <n v="20674"/>
    <d v="2024-02-07T00:00:00"/>
    <x v="2"/>
    <s v="Delhi"/>
    <s v="SC_DEL_3"/>
    <x v="0"/>
    <s v="Panamera"/>
    <s v="Sedan"/>
    <x v="1"/>
    <x v="4"/>
    <x v="2"/>
    <x v="0"/>
    <n v="7"/>
    <n v="7"/>
    <x v="1"/>
    <x v="1"/>
    <n v="194061"/>
    <n v="131852"/>
    <n v="62209"/>
    <x v="3"/>
    <n v="0"/>
    <n v="0"/>
    <n v="1"/>
    <n v="0"/>
    <n v="1"/>
    <s v="No"/>
    <x v="2"/>
  </r>
  <r>
    <n v="20675"/>
    <d v="2024-04-10T00:00:00"/>
    <x v="0"/>
    <s v="Hyderabad"/>
    <s v="SC_HYD_2"/>
    <x v="2"/>
    <s v="Veyron"/>
    <s v="Hypercar"/>
    <x v="0"/>
    <x v="3"/>
    <x v="2"/>
    <x v="1"/>
    <n v="10"/>
    <n v="7"/>
    <x v="0"/>
    <x v="1"/>
    <n v="349978"/>
    <n v="238326"/>
    <n v="111652"/>
    <x v="1"/>
    <n v="349978"/>
    <n v="0"/>
    <n v="0"/>
    <n v="1"/>
    <n v="1"/>
    <s v="Yes"/>
    <x v="0"/>
  </r>
  <r>
    <n v="20676"/>
    <d v="2024-06-27T00:00:00"/>
    <x v="2"/>
    <s v="Gurugram"/>
    <s v="SC_GUR_5"/>
    <x v="1"/>
    <s v="Panamera"/>
    <s v="Sedan"/>
    <x v="1"/>
    <x v="4"/>
    <x v="1"/>
    <x v="0"/>
    <n v="13"/>
    <n v="7"/>
    <x v="1"/>
    <x v="0"/>
    <n v="170496"/>
    <n v="120416"/>
    <n v="50080"/>
    <x v="2"/>
    <n v="0"/>
    <n v="1"/>
    <n v="1"/>
    <n v="0"/>
    <n v="1"/>
    <s v="Yes"/>
    <x v="1"/>
  </r>
  <r>
    <n v="20677"/>
    <d v="2024-05-08T00:00:00"/>
    <x v="2"/>
    <s v="Noida"/>
    <s v="SC_NOI_3"/>
    <x v="1"/>
    <s v="Veyron"/>
    <s v="Hypercar"/>
    <x v="1"/>
    <x v="2"/>
    <x v="2"/>
    <x v="0"/>
    <n v="23"/>
    <n v="7"/>
    <x v="1"/>
    <x v="0"/>
    <n v="307223"/>
    <n v="260087"/>
    <n v="47136"/>
    <x v="0"/>
    <n v="0"/>
    <n v="1"/>
    <n v="1"/>
    <n v="0"/>
    <n v="1"/>
    <s v="Yes"/>
    <x v="0"/>
  </r>
  <r>
    <n v="20678"/>
    <d v="2024-04-04T00:00:00"/>
    <x v="3"/>
    <s v="Mumbai"/>
    <s v="SC_MUM_4"/>
    <x v="2"/>
    <s v="Chiron"/>
    <s v="Hypercar"/>
    <x v="0"/>
    <x v="4"/>
    <x v="2"/>
    <x v="1"/>
    <n v="3"/>
    <n v="7"/>
    <x v="1"/>
    <x v="0"/>
    <n v="506981"/>
    <n v="389570"/>
    <n v="117411"/>
    <x v="4"/>
    <n v="0"/>
    <n v="1"/>
    <n v="1"/>
    <n v="0"/>
    <n v="1"/>
    <s v="No"/>
    <x v="2"/>
  </r>
  <r>
    <n v="20679"/>
    <d v="2024-05-07T00:00:00"/>
    <x v="1"/>
    <s v="Kolkata"/>
    <s v="SC_KOL_3"/>
    <x v="1"/>
    <s v="Taycan"/>
    <s v="Sedan"/>
    <x v="0"/>
    <x v="0"/>
    <x v="2"/>
    <x v="1"/>
    <n v="14"/>
    <n v="7"/>
    <x v="1"/>
    <x v="1"/>
    <n v="162835"/>
    <n v="94184"/>
    <n v="68651"/>
    <x v="2"/>
    <n v="0"/>
    <n v="0"/>
    <n v="1"/>
    <n v="0"/>
    <n v="1"/>
    <s v="Yes"/>
    <x v="1"/>
  </r>
  <r>
    <n v="20680"/>
    <d v="2024-01-15T00:00:00"/>
    <x v="2"/>
    <s v="Delhi"/>
    <s v="SC_DEL_1"/>
    <x v="1"/>
    <s v="911"/>
    <s v="Coupe"/>
    <x v="0"/>
    <x v="2"/>
    <x v="1"/>
    <x v="0"/>
    <n v="10"/>
    <n v="7"/>
    <x v="1"/>
    <x v="0"/>
    <n v="454643"/>
    <n v="313854"/>
    <n v="140789"/>
    <x v="2"/>
    <n v="0"/>
    <n v="1"/>
    <n v="1"/>
    <n v="0"/>
    <n v="1"/>
    <s v="Yes"/>
    <x v="1"/>
  </r>
  <r>
    <n v="20681"/>
    <d v="2024-01-12T00:00:00"/>
    <x v="1"/>
    <s v="Kolkata"/>
    <s v="SC_KOL_3"/>
    <x v="0"/>
    <s v="Panamera"/>
    <s v="Sedan"/>
    <x v="1"/>
    <x v="4"/>
    <x v="1"/>
    <x v="1"/>
    <n v="16"/>
    <n v="7"/>
    <x v="0"/>
    <x v="1"/>
    <n v="298850"/>
    <n v="158592"/>
    <n v="140258"/>
    <x v="0"/>
    <n v="298850"/>
    <n v="0"/>
    <n v="0"/>
    <n v="1"/>
    <n v="1"/>
    <s v="Yes"/>
    <x v="0"/>
  </r>
  <r>
    <n v="20682"/>
    <d v="2024-01-12T00:00:00"/>
    <x v="0"/>
    <s v="Bengaluru"/>
    <s v="SC_BEN_3"/>
    <x v="0"/>
    <s v="Panamera"/>
    <s v="Sedan"/>
    <x v="1"/>
    <x v="4"/>
    <x v="1"/>
    <x v="1"/>
    <n v="8"/>
    <n v="7"/>
    <x v="1"/>
    <x v="0"/>
    <n v="318288"/>
    <n v="262266"/>
    <n v="56022"/>
    <x v="3"/>
    <n v="0"/>
    <n v="1"/>
    <n v="1"/>
    <n v="0"/>
    <n v="1"/>
    <s v="Yes"/>
    <x v="2"/>
  </r>
  <r>
    <n v="20683"/>
    <d v="2024-06-27T00:00:00"/>
    <x v="1"/>
    <s v="Patna"/>
    <s v="SC_PAT_3"/>
    <x v="0"/>
    <s v="Panamera"/>
    <s v="Sedan"/>
    <x v="0"/>
    <x v="4"/>
    <x v="2"/>
    <x v="1"/>
    <n v="20"/>
    <n v="7"/>
    <x v="0"/>
    <x v="1"/>
    <n v="101866"/>
    <n v="54810"/>
    <n v="47056"/>
    <x v="0"/>
    <n v="101866"/>
    <n v="0"/>
    <n v="0"/>
    <n v="1"/>
    <n v="1"/>
    <s v="Yes"/>
    <x v="0"/>
  </r>
  <r>
    <n v="20684"/>
    <d v="2024-05-26T00:00:00"/>
    <x v="0"/>
    <s v="Bengaluru"/>
    <s v="SC_BEN_3"/>
    <x v="1"/>
    <s v="Taycan"/>
    <s v="Sedan"/>
    <x v="0"/>
    <x v="1"/>
    <x v="2"/>
    <x v="0"/>
    <n v="12"/>
    <n v="7"/>
    <x v="0"/>
    <x v="0"/>
    <n v="304966"/>
    <n v="173615"/>
    <n v="131351"/>
    <x v="1"/>
    <n v="0"/>
    <n v="1"/>
    <n v="0"/>
    <n v="1"/>
    <n v="1"/>
    <s v="Yes"/>
    <x v="0"/>
  </r>
  <r>
    <n v="20685"/>
    <d v="2024-01-07T00:00:00"/>
    <x v="0"/>
    <s v="Bengaluru"/>
    <s v="SC_BEN_1"/>
    <x v="0"/>
    <s v="Chiron"/>
    <s v="Hypercar"/>
    <x v="1"/>
    <x v="1"/>
    <x v="2"/>
    <x v="1"/>
    <n v="4"/>
    <n v="7"/>
    <x v="1"/>
    <x v="1"/>
    <n v="133392"/>
    <n v="93367"/>
    <n v="40025"/>
    <x v="4"/>
    <n v="0"/>
    <n v="0"/>
    <n v="1"/>
    <n v="0"/>
    <n v="1"/>
    <s v="No"/>
    <x v="2"/>
  </r>
  <r>
    <n v="20686"/>
    <d v="2024-05-03T00:00:00"/>
    <x v="0"/>
    <s v="Chennai"/>
    <s v="SC_CHE_4"/>
    <x v="0"/>
    <s v="Taycan"/>
    <s v="Sedan"/>
    <x v="0"/>
    <x v="1"/>
    <x v="2"/>
    <x v="1"/>
    <n v="4"/>
    <n v="7"/>
    <x v="1"/>
    <x v="1"/>
    <n v="174482"/>
    <n v="138439"/>
    <n v="36043"/>
    <x v="4"/>
    <n v="0"/>
    <n v="0"/>
    <n v="1"/>
    <n v="0"/>
    <n v="1"/>
    <s v="No"/>
    <x v="2"/>
  </r>
  <r>
    <n v="20687"/>
    <d v="2024-06-04T00:00:00"/>
    <x v="0"/>
    <s v="Chennai"/>
    <s v="SC_CHE_4"/>
    <x v="0"/>
    <s v="Chiron"/>
    <s v="Hypercar"/>
    <x v="1"/>
    <x v="3"/>
    <x v="2"/>
    <x v="1"/>
    <n v="21"/>
    <n v="7"/>
    <x v="1"/>
    <x v="0"/>
    <n v="528618"/>
    <n v="366906"/>
    <n v="161712"/>
    <x v="0"/>
    <n v="0"/>
    <n v="1"/>
    <n v="1"/>
    <n v="0"/>
    <n v="1"/>
    <s v="Yes"/>
    <x v="0"/>
  </r>
  <r>
    <n v="20688"/>
    <d v="2024-05-22T00:00:00"/>
    <x v="3"/>
    <s v="Pune"/>
    <s v="SC_PUN_1"/>
    <x v="0"/>
    <s v="Cayenne"/>
    <s v="SUV"/>
    <x v="1"/>
    <x v="4"/>
    <x v="2"/>
    <x v="0"/>
    <n v="20"/>
    <n v="7"/>
    <x v="1"/>
    <x v="1"/>
    <n v="457814"/>
    <n v="240618"/>
    <n v="217196"/>
    <x v="0"/>
    <n v="0"/>
    <n v="0"/>
    <n v="1"/>
    <n v="0"/>
    <n v="1"/>
    <s v="Yes"/>
    <x v="0"/>
  </r>
  <r>
    <n v="20689"/>
    <d v="2024-05-23T00:00:00"/>
    <x v="0"/>
    <s v="Hyderabad"/>
    <s v="SC_HYD_5"/>
    <x v="2"/>
    <s v="Cayenne"/>
    <s v="SUV"/>
    <x v="0"/>
    <x v="3"/>
    <x v="2"/>
    <x v="1"/>
    <n v="7"/>
    <n v="7"/>
    <x v="0"/>
    <x v="1"/>
    <n v="542180"/>
    <n v="293665"/>
    <n v="248515"/>
    <x v="2"/>
    <n v="542180"/>
    <n v="0"/>
    <n v="0"/>
    <n v="1"/>
    <n v="1"/>
    <s v="No"/>
    <x v="1"/>
  </r>
  <r>
    <n v="20690"/>
    <d v="2024-01-04T00:00:00"/>
    <x v="3"/>
    <s v="Pune"/>
    <s v="SC_PUN_4"/>
    <x v="0"/>
    <s v="911"/>
    <s v="Coupe"/>
    <x v="1"/>
    <x v="4"/>
    <x v="1"/>
    <x v="1"/>
    <n v="3"/>
    <n v="7"/>
    <x v="0"/>
    <x v="1"/>
    <n v="558650"/>
    <n v="455818"/>
    <n v="102832"/>
    <x v="3"/>
    <n v="558650"/>
    <n v="0"/>
    <n v="0"/>
    <n v="1"/>
    <n v="1"/>
    <s v="No"/>
    <x v="2"/>
  </r>
  <r>
    <n v="20691"/>
    <d v="2024-03-03T00:00:00"/>
    <x v="3"/>
    <s v="Mumbai"/>
    <s v="SC_MUM_4"/>
    <x v="2"/>
    <s v="Veyron"/>
    <s v="Hypercar"/>
    <x v="0"/>
    <x v="0"/>
    <x v="1"/>
    <x v="0"/>
    <n v="3"/>
    <n v="7"/>
    <x v="0"/>
    <x v="1"/>
    <n v="444858"/>
    <n v="320166"/>
    <n v="124692"/>
    <x v="3"/>
    <n v="444858"/>
    <n v="0"/>
    <n v="0"/>
    <n v="1"/>
    <n v="1"/>
    <s v="No"/>
    <x v="2"/>
  </r>
  <r>
    <n v="20692"/>
    <d v="2024-05-21T00:00:00"/>
    <x v="3"/>
    <s v="Ahmedabad"/>
    <s v="SC_AHM_4"/>
    <x v="2"/>
    <s v="Chiron"/>
    <s v="Hypercar"/>
    <x v="0"/>
    <x v="1"/>
    <x v="0"/>
    <x v="1"/>
    <n v="16"/>
    <n v="7"/>
    <x v="0"/>
    <x v="1"/>
    <n v="565283"/>
    <n v="424918"/>
    <n v="140365"/>
    <x v="0"/>
    <n v="565283"/>
    <n v="0"/>
    <n v="0"/>
    <n v="1"/>
    <n v="1"/>
    <s v="Yes"/>
    <x v="0"/>
  </r>
  <r>
    <n v="20693"/>
    <d v="2024-05-12T00:00:00"/>
    <x v="0"/>
    <s v="Chennai"/>
    <s v="SC_CHE_3"/>
    <x v="2"/>
    <s v="911"/>
    <s v="Coupe"/>
    <x v="0"/>
    <x v="3"/>
    <x v="0"/>
    <x v="1"/>
    <n v="11"/>
    <n v="7"/>
    <x v="0"/>
    <x v="0"/>
    <n v="182121"/>
    <n v="147137"/>
    <n v="34984"/>
    <x v="1"/>
    <n v="0"/>
    <n v="1"/>
    <n v="0"/>
    <n v="1"/>
    <n v="1"/>
    <s v="Yes"/>
    <x v="0"/>
  </r>
  <r>
    <n v="20694"/>
    <d v="2024-04-20T00:00:00"/>
    <x v="0"/>
    <s v="Chennai"/>
    <s v="SC_CHE_3"/>
    <x v="0"/>
    <s v="Chiron"/>
    <s v="Hypercar"/>
    <x v="0"/>
    <x v="2"/>
    <x v="2"/>
    <x v="1"/>
    <n v="12"/>
    <n v="7"/>
    <x v="0"/>
    <x v="1"/>
    <n v="344648"/>
    <n v="269830"/>
    <n v="74818"/>
    <x v="1"/>
    <n v="344648"/>
    <n v="0"/>
    <n v="0"/>
    <n v="1"/>
    <n v="1"/>
    <s v="Yes"/>
    <x v="0"/>
  </r>
  <r>
    <n v="20695"/>
    <d v="2024-02-05T00:00:00"/>
    <x v="1"/>
    <s v="Bhubaneswar"/>
    <s v="SC_BHU_1"/>
    <x v="1"/>
    <s v="Taycan"/>
    <s v="Sedan"/>
    <x v="0"/>
    <x v="4"/>
    <x v="1"/>
    <x v="1"/>
    <n v="21"/>
    <n v="7"/>
    <x v="0"/>
    <x v="1"/>
    <n v="142364"/>
    <n v="87476"/>
    <n v="54888"/>
    <x v="0"/>
    <n v="142364"/>
    <n v="0"/>
    <n v="0"/>
    <n v="1"/>
    <n v="1"/>
    <s v="Yes"/>
    <x v="0"/>
  </r>
  <r>
    <n v="20696"/>
    <d v="2024-02-08T00:00:00"/>
    <x v="3"/>
    <s v="Pune"/>
    <s v="SC_PUN_3"/>
    <x v="0"/>
    <s v="Macan"/>
    <s v="SUV"/>
    <x v="0"/>
    <x v="3"/>
    <x v="1"/>
    <x v="1"/>
    <n v="7"/>
    <n v="7"/>
    <x v="0"/>
    <x v="1"/>
    <n v="544324"/>
    <n v="313312"/>
    <n v="231012"/>
    <x v="2"/>
    <n v="544324"/>
    <n v="0"/>
    <n v="0"/>
    <n v="1"/>
    <n v="1"/>
    <s v="No"/>
    <x v="1"/>
  </r>
  <r>
    <n v="20697"/>
    <d v="2024-06-23T00:00:00"/>
    <x v="3"/>
    <s v="Ahmedabad"/>
    <s v="SC_AHM_2"/>
    <x v="2"/>
    <s v="Macan"/>
    <s v="SUV"/>
    <x v="1"/>
    <x v="1"/>
    <x v="1"/>
    <x v="0"/>
    <n v="24"/>
    <n v="7"/>
    <x v="0"/>
    <x v="1"/>
    <n v="363715"/>
    <n v="260025"/>
    <n v="103690"/>
    <x v="0"/>
    <n v="363715"/>
    <n v="0"/>
    <n v="0"/>
    <n v="1"/>
    <n v="1"/>
    <s v="Yes"/>
    <x v="0"/>
  </r>
  <r>
    <n v="20698"/>
    <d v="2024-06-28T00:00:00"/>
    <x v="0"/>
    <s v="Bengaluru"/>
    <s v="SC_BEN_2"/>
    <x v="0"/>
    <s v="Taycan"/>
    <s v="Sedan"/>
    <x v="1"/>
    <x v="0"/>
    <x v="0"/>
    <x v="1"/>
    <n v="21"/>
    <n v="7"/>
    <x v="0"/>
    <x v="0"/>
    <n v="565972"/>
    <n v="333591"/>
    <n v="232381"/>
    <x v="0"/>
    <n v="0"/>
    <n v="1"/>
    <n v="0"/>
    <n v="1"/>
    <n v="1"/>
    <s v="Yes"/>
    <x v="0"/>
  </r>
  <r>
    <n v="20699"/>
    <d v="2024-01-28T00:00:00"/>
    <x v="2"/>
    <s v="Delhi"/>
    <s v="SC_DEL_1"/>
    <x v="1"/>
    <s v="Panamera"/>
    <s v="Sedan"/>
    <x v="1"/>
    <x v="2"/>
    <x v="2"/>
    <x v="1"/>
    <n v="13"/>
    <n v="7"/>
    <x v="1"/>
    <x v="0"/>
    <n v="491734"/>
    <n v="277836"/>
    <n v="213898"/>
    <x v="2"/>
    <n v="0"/>
    <n v="1"/>
    <n v="1"/>
    <n v="0"/>
    <n v="1"/>
    <s v="Yes"/>
    <x v="1"/>
  </r>
  <r>
    <n v="20700"/>
    <d v="2024-01-03T00:00:00"/>
    <x v="2"/>
    <s v="Noida"/>
    <s v="SC_NOI_3"/>
    <x v="0"/>
    <s v="Veyron"/>
    <s v="Hypercar"/>
    <x v="1"/>
    <x v="2"/>
    <x v="1"/>
    <x v="1"/>
    <n v="5"/>
    <n v="7"/>
    <x v="1"/>
    <x v="1"/>
    <n v="438339"/>
    <n v="244966"/>
    <n v="193373"/>
    <x v="3"/>
    <n v="0"/>
    <n v="0"/>
    <n v="1"/>
    <n v="0"/>
    <n v="1"/>
    <s v="No"/>
    <x v="2"/>
  </r>
  <r>
    <n v="20701"/>
    <d v="2024-01-01T00:00:00"/>
    <x v="3"/>
    <s v="Pune"/>
    <s v="SC_PUN_1"/>
    <x v="0"/>
    <s v="Panamera"/>
    <s v="Sedan"/>
    <x v="0"/>
    <x v="1"/>
    <x v="2"/>
    <x v="0"/>
    <n v="19"/>
    <n v="7"/>
    <x v="1"/>
    <x v="0"/>
    <n v="432126"/>
    <n v="250016"/>
    <n v="182110"/>
    <x v="1"/>
    <n v="0"/>
    <n v="1"/>
    <n v="1"/>
    <n v="0"/>
    <n v="1"/>
    <s v="Yes"/>
    <x v="0"/>
  </r>
  <r>
    <n v="20702"/>
    <d v="2024-02-21T00:00:00"/>
    <x v="2"/>
    <s v="Noida"/>
    <s v="SC_NOI_3"/>
    <x v="0"/>
    <s v="Cayenne"/>
    <s v="SUV"/>
    <x v="1"/>
    <x v="1"/>
    <x v="2"/>
    <x v="0"/>
    <n v="11"/>
    <n v="7"/>
    <x v="0"/>
    <x v="1"/>
    <n v="576526"/>
    <n v="446081"/>
    <n v="130445"/>
    <x v="1"/>
    <n v="576526"/>
    <n v="0"/>
    <n v="0"/>
    <n v="1"/>
    <n v="1"/>
    <s v="Yes"/>
    <x v="0"/>
  </r>
  <r>
    <n v="20703"/>
    <d v="2024-02-14T00:00:00"/>
    <x v="0"/>
    <s v="Bengaluru"/>
    <s v="SC_BEN_4"/>
    <x v="1"/>
    <s v="Taycan"/>
    <s v="Sedan"/>
    <x v="1"/>
    <x v="0"/>
    <x v="1"/>
    <x v="1"/>
    <n v="3"/>
    <n v="7"/>
    <x v="1"/>
    <x v="1"/>
    <n v="226934"/>
    <n v="131521"/>
    <n v="95413"/>
    <x v="4"/>
    <n v="0"/>
    <n v="0"/>
    <n v="1"/>
    <n v="0"/>
    <n v="1"/>
    <s v="No"/>
    <x v="2"/>
  </r>
  <r>
    <n v="20704"/>
    <d v="2024-05-03T00:00:00"/>
    <x v="2"/>
    <s v="Gurugram"/>
    <s v="SC_GUR_3"/>
    <x v="0"/>
    <s v="Veyron"/>
    <s v="Hypercar"/>
    <x v="0"/>
    <x v="3"/>
    <x v="2"/>
    <x v="0"/>
    <n v="6"/>
    <n v="7"/>
    <x v="0"/>
    <x v="1"/>
    <n v="589354"/>
    <n v="355317"/>
    <n v="234037"/>
    <x v="2"/>
    <n v="589354"/>
    <n v="0"/>
    <n v="0"/>
    <n v="1"/>
    <n v="1"/>
    <s v="No"/>
    <x v="1"/>
  </r>
  <r>
    <n v="20705"/>
    <d v="2024-06-08T00:00:00"/>
    <x v="1"/>
    <s v="Patna"/>
    <s v="SC_PAT_5"/>
    <x v="1"/>
    <s v="Taycan"/>
    <s v="Sedan"/>
    <x v="1"/>
    <x v="3"/>
    <x v="2"/>
    <x v="1"/>
    <n v="4"/>
    <n v="7"/>
    <x v="0"/>
    <x v="0"/>
    <n v="330847"/>
    <n v="176942"/>
    <n v="153905"/>
    <x v="3"/>
    <n v="0"/>
    <n v="1"/>
    <n v="0"/>
    <n v="1"/>
    <n v="1"/>
    <s v="No"/>
    <x v="2"/>
  </r>
  <r>
    <n v="20706"/>
    <d v="2024-06-07T00:00:00"/>
    <x v="0"/>
    <s v="Hyderabad"/>
    <s v="SC_HYD_4"/>
    <x v="1"/>
    <s v="911"/>
    <s v="Coupe"/>
    <x v="1"/>
    <x v="0"/>
    <x v="2"/>
    <x v="0"/>
    <n v="21"/>
    <n v="7"/>
    <x v="0"/>
    <x v="1"/>
    <n v="582814"/>
    <n v="434884"/>
    <n v="147930"/>
    <x v="0"/>
    <n v="582814"/>
    <n v="0"/>
    <n v="0"/>
    <n v="1"/>
    <n v="1"/>
    <s v="Yes"/>
    <x v="0"/>
  </r>
  <r>
    <n v="20707"/>
    <d v="2024-02-17T00:00:00"/>
    <x v="1"/>
    <s v="Patna"/>
    <s v="SC_PAT_1"/>
    <x v="1"/>
    <s v="Chiron"/>
    <s v="Hypercar"/>
    <x v="0"/>
    <x v="3"/>
    <x v="0"/>
    <x v="0"/>
    <n v="20"/>
    <n v="7"/>
    <x v="0"/>
    <x v="1"/>
    <n v="542277"/>
    <n v="360568"/>
    <n v="181709"/>
    <x v="0"/>
    <n v="542277"/>
    <n v="0"/>
    <n v="0"/>
    <n v="1"/>
    <n v="1"/>
    <s v="Yes"/>
    <x v="0"/>
  </r>
  <r>
    <n v="20708"/>
    <d v="2024-02-02T00:00:00"/>
    <x v="0"/>
    <s v="Hyderabad"/>
    <s v="SC_HYD_3"/>
    <x v="1"/>
    <s v="Macan"/>
    <s v="SUV"/>
    <x v="0"/>
    <x v="1"/>
    <x v="2"/>
    <x v="0"/>
    <n v="20"/>
    <n v="7"/>
    <x v="0"/>
    <x v="1"/>
    <n v="275714"/>
    <n v="217243"/>
    <n v="58471"/>
    <x v="0"/>
    <n v="275714"/>
    <n v="0"/>
    <n v="0"/>
    <n v="1"/>
    <n v="1"/>
    <s v="Yes"/>
    <x v="0"/>
  </r>
  <r>
    <n v="20709"/>
    <d v="2024-05-02T00:00:00"/>
    <x v="1"/>
    <s v="Patna"/>
    <s v="SC_PAT_3"/>
    <x v="2"/>
    <s v="911"/>
    <s v="Coupe"/>
    <x v="1"/>
    <x v="1"/>
    <x v="1"/>
    <x v="1"/>
    <n v="9"/>
    <n v="7"/>
    <x v="0"/>
    <x v="1"/>
    <n v="147671"/>
    <n v="86940"/>
    <n v="60731"/>
    <x v="2"/>
    <n v="147671"/>
    <n v="0"/>
    <n v="0"/>
    <n v="1"/>
    <n v="1"/>
    <s v="Yes"/>
    <x v="1"/>
  </r>
  <r>
    <n v="20710"/>
    <d v="2024-06-28T00:00:00"/>
    <x v="1"/>
    <s v="Patna"/>
    <s v="SC_PAT_2"/>
    <x v="2"/>
    <s v="Cayenne"/>
    <s v="SUV"/>
    <x v="1"/>
    <x v="4"/>
    <x v="0"/>
    <x v="1"/>
    <n v="5"/>
    <n v="7"/>
    <x v="1"/>
    <x v="1"/>
    <n v="422185"/>
    <n v="342506"/>
    <n v="79679"/>
    <x v="3"/>
    <n v="0"/>
    <n v="0"/>
    <n v="1"/>
    <n v="0"/>
    <n v="1"/>
    <s v="No"/>
    <x v="2"/>
  </r>
  <r>
    <n v="20711"/>
    <d v="2024-04-11T00:00:00"/>
    <x v="1"/>
    <s v="Patna"/>
    <s v="SC_PAT_1"/>
    <x v="1"/>
    <s v="Panamera"/>
    <s v="Sedan"/>
    <x v="1"/>
    <x v="1"/>
    <x v="2"/>
    <x v="0"/>
    <n v="22"/>
    <n v="7"/>
    <x v="1"/>
    <x v="1"/>
    <n v="147816"/>
    <n v="98326"/>
    <n v="49490"/>
    <x v="0"/>
    <n v="0"/>
    <n v="0"/>
    <n v="1"/>
    <n v="0"/>
    <n v="1"/>
    <s v="Yes"/>
    <x v="0"/>
  </r>
  <r>
    <n v="20712"/>
    <d v="2024-03-09T00:00:00"/>
    <x v="2"/>
    <s v="Delhi"/>
    <s v="SC_DEL_5"/>
    <x v="2"/>
    <s v="Chiron"/>
    <s v="Hypercar"/>
    <x v="0"/>
    <x v="2"/>
    <x v="0"/>
    <x v="1"/>
    <n v="24"/>
    <n v="7"/>
    <x v="0"/>
    <x v="0"/>
    <n v="554958"/>
    <n v="468817"/>
    <n v="86141"/>
    <x v="0"/>
    <n v="0"/>
    <n v="1"/>
    <n v="0"/>
    <n v="1"/>
    <n v="1"/>
    <s v="Yes"/>
    <x v="0"/>
  </r>
  <r>
    <n v="20713"/>
    <d v="2024-06-28T00:00:00"/>
    <x v="1"/>
    <s v="Patna"/>
    <s v="SC_PAT_5"/>
    <x v="0"/>
    <s v="Chiron"/>
    <s v="Hypercar"/>
    <x v="1"/>
    <x v="4"/>
    <x v="2"/>
    <x v="0"/>
    <n v="24"/>
    <n v="7"/>
    <x v="0"/>
    <x v="1"/>
    <n v="302554"/>
    <n v="177396"/>
    <n v="125158"/>
    <x v="0"/>
    <n v="302554"/>
    <n v="0"/>
    <n v="0"/>
    <n v="1"/>
    <n v="1"/>
    <s v="Yes"/>
    <x v="0"/>
  </r>
  <r>
    <n v="20714"/>
    <d v="2024-04-25T00:00:00"/>
    <x v="3"/>
    <s v="Ahmedabad"/>
    <s v="SC_AHM_5"/>
    <x v="2"/>
    <s v="Macan"/>
    <s v="SUV"/>
    <x v="0"/>
    <x v="1"/>
    <x v="2"/>
    <x v="0"/>
    <n v="14"/>
    <n v="7"/>
    <x v="1"/>
    <x v="1"/>
    <n v="218118"/>
    <n v="159504"/>
    <n v="58614"/>
    <x v="2"/>
    <n v="0"/>
    <n v="0"/>
    <n v="1"/>
    <n v="0"/>
    <n v="1"/>
    <s v="Yes"/>
    <x v="1"/>
  </r>
  <r>
    <n v="20715"/>
    <d v="2024-03-20T00:00:00"/>
    <x v="1"/>
    <s v="Patna"/>
    <s v="SC_PAT_2"/>
    <x v="2"/>
    <s v="Cayenne"/>
    <s v="SUV"/>
    <x v="0"/>
    <x v="1"/>
    <x v="0"/>
    <x v="1"/>
    <n v="6"/>
    <n v="7"/>
    <x v="0"/>
    <x v="1"/>
    <n v="469676"/>
    <n v="306482"/>
    <n v="163194"/>
    <x v="2"/>
    <n v="469676"/>
    <n v="0"/>
    <n v="0"/>
    <n v="1"/>
    <n v="1"/>
    <s v="No"/>
    <x v="1"/>
  </r>
  <r>
    <n v="20716"/>
    <d v="2024-05-01T00:00:00"/>
    <x v="3"/>
    <s v="Ahmedabad"/>
    <s v="SC_AHM_4"/>
    <x v="2"/>
    <s v="Panamera"/>
    <s v="Sedan"/>
    <x v="0"/>
    <x v="4"/>
    <x v="2"/>
    <x v="0"/>
    <n v="23"/>
    <n v="7"/>
    <x v="0"/>
    <x v="1"/>
    <n v="218597"/>
    <n v="142386"/>
    <n v="76211"/>
    <x v="0"/>
    <n v="218597"/>
    <n v="0"/>
    <n v="0"/>
    <n v="1"/>
    <n v="1"/>
    <s v="Yes"/>
    <x v="0"/>
  </r>
  <r>
    <n v="20717"/>
    <d v="2024-03-11T00:00:00"/>
    <x v="1"/>
    <s v="Kolkata"/>
    <s v="SC_KOL_2"/>
    <x v="0"/>
    <s v="Cayenne"/>
    <s v="SUV"/>
    <x v="1"/>
    <x v="0"/>
    <x v="0"/>
    <x v="1"/>
    <n v="11"/>
    <n v="7"/>
    <x v="0"/>
    <x v="1"/>
    <n v="590108"/>
    <n v="499082"/>
    <n v="91026"/>
    <x v="1"/>
    <n v="590108"/>
    <n v="0"/>
    <n v="0"/>
    <n v="1"/>
    <n v="1"/>
    <s v="Yes"/>
    <x v="0"/>
  </r>
  <r>
    <n v="20718"/>
    <d v="2024-05-02T00:00:00"/>
    <x v="1"/>
    <s v="Patna"/>
    <s v="SC_PAT_3"/>
    <x v="1"/>
    <s v="Veyron"/>
    <s v="Hypercar"/>
    <x v="0"/>
    <x v="4"/>
    <x v="2"/>
    <x v="0"/>
    <n v="15"/>
    <n v="7"/>
    <x v="0"/>
    <x v="1"/>
    <n v="483073"/>
    <n v="271939"/>
    <n v="211134"/>
    <x v="0"/>
    <n v="483073"/>
    <n v="0"/>
    <n v="0"/>
    <n v="1"/>
    <n v="1"/>
    <s v="Yes"/>
    <x v="0"/>
  </r>
  <r>
    <n v="20719"/>
    <d v="2024-03-20T00:00:00"/>
    <x v="1"/>
    <s v="Bhubaneswar"/>
    <s v="SC_BHU_1"/>
    <x v="1"/>
    <s v="Veyron"/>
    <s v="Hypercar"/>
    <x v="0"/>
    <x v="1"/>
    <x v="2"/>
    <x v="1"/>
    <n v="3"/>
    <n v="7"/>
    <x v="0"/>
    <x v="1"/>
    <n v="456144"/>
    <n v="254338"/>
    <n v="201806"/>
    <x v="3"/>
    <n v="456144"/>
    <n v="0"/>
    <n v="0"/>
    <n v="1"/>
    <n v="1"/>
    <s v="No"/>
    <x v="2"/>
  </r>
  <r>
    <n v="20720"/>
    <d v="2024-04-02T00:00:00"/>
    <x v="1"/>
    <s v="Bhubaneswar"/>
    <s v="SC_BHU_1"/>
    <x v="2"/>
    <s v="911"/>
    <s v="Coupe"/>
    <x v="1"/>
    <x v="2"/>
    <x v="1"/>
    <x v="0"/>
    <n v="17"/>
    <n v="7"/>
    <x v="1"/>
    <x v="1"/>
    <n v="159345"/>
    <n v="122627"/>
    <n v="36718"/>
    <x v="1"/>
    <n v="0"/>
    <n v="0"/>
    <n v="1"/>
    <n v="0"/>
    <n v="1"/>
    <s v="Yes"/>
    <x v="0"/>
  </r>
  <r>
    <n v="20721"/>
    <d v="2024-03-15T00:00:00"/>
    <x v="3"/>
    <s v="Mumbai"/>
    <s v="SC_MUM_5"/>
    <x v="1"/>
    <s v="Macan"/>
    <s v="SUV"/>
    <x v="1"/>
    <x v="2"/>
    <x v="2"/>
    <x v="1"/>
    <n v="24"/>
    <n v="7"/>
    <x v="0"/>
    <x v="1"/>
    <n v="404188"/>
    <n v="230730"/>
    <n v="173458"/>
    <x v="0"/>
    <n v="404188"/>
    <n v="0"/>
    <n v="0"/>
    <n v="1"/>
    <n v="1"/>
    <s v="Yes"/>
    <x v="0"/>
  </r>
  <r>
    <n v="20722"/>
    <d v="2024-01-16T00:00:00"/>
    <x v="0"/>
    <s v="Bengaluru"/>
    <s v="SC_BEN_2"/>
    <x v="2"/>
    <s v="Veyron"/>
    <s v="Hypercar"/>
    <x v="0"/>
    <x v="2"/>
    <x v="2"/>
    <x v="0"/>
    <n v="14"/>
    <n v="7"/>
    <x v="1"/>
    <x v="0"/>
    <n v="343786"/>
    <n v="206145"/>
    <n v="137641"/>
    <x v="2"/>
    <n v="0"/>
    <n v="1"/>
    <n v="1"/>
    <n v="0"/>
    <n v="1"/>
    <s v="Yes"/>
    <x v="1"/>
  </r>
  <r>
    <n v="20723"/>
    <d v="2024-04-08T00:00:00"/>
    <x v="2"/>
    <s v="Gurugram"/>
    <s v="SC_GUR_2"/>
    <x v="0"/>
    <s v="Veyron"/>
    <s v="Hypercar"/>
    <x v="1"/>
    <x v="3"/>
    <x v="1"/>
    <x v="0"/>
    <n v="10"/>
    <n v="7"/>
    <x v="1"/>
    <x v="1"/>
    <n v="491494"/>
    <n v="301020"/>
    <n v="190474"/>
    <x v="2"/>
    <n v="0"/>
    <n v="0"/>
    <n v="1"/>
    <n v="0"/>
    <n v="1"/>
    <s v="Yes"/>
    <x v="1"/>
  </r>
  <r>
    <n v="20724"/>
    <d v="2024-04-27T00:00:00"/>
    <x v="2"/>
    <s v="Gurugram"/>
    <s v="SC_GUR_5"/>
    <x v="1"/>
    <s v="Cayenne"/>
    <s v="SUV"/>
    <x v="1"/>
    <x v="3"/>
    <x v="0"/>
    <x v="1"/>
    <n v="25"/>
    <n v="7"/>
    <x v="0"/>
    <x v="1"/>
    <n v="273274"/>
    <n v="213721"/>
    <n v="59553"/>
    <x v="0"/>
    <n v="273274"/>
    <n v="0"/>
    <n v="0"/>
    <n v="1"/>
    <n v="1"/>
    <s v="Yes"/>
    <x v="0"/>
  </r>
  <r>
    <n v="20725"/>
    <d v="2024-03-18T00:00:00"/>
    <x v="0"/>
    <s v="Bengaluru"/>
    <s v="SC_BEN_5"/>
    <x v="0"/>
    <s v="Cayenne"/>
    <s v="SUV"/>
    <x v="0"/>
    <x v="0"/>
    <x v="0"/>
    <x v="0"/>
    <n v="22"/>
    <n v="7"/>
    <x v="0"/>
    <x v="1"/>
    <n v="97018"/>
    <n v="65504"/>
    <n v="31514"/>
    <x v="0"/>
    <n v="97018"/>
    <n v="0"/>
    <n v="0"/>
    <n v="1"/>
    <n v="1"/>
    <s v="Yes"/>
    <x v="0"/>
  </r>
  <r>
    <n v="20726"/>
    <d v="2024-01-06T00:00:00"/>
    <x v="1"/>
    <s v="Patna"/>
    <s v="SC_PAT_4"/>
    <x v="0"/>
    <s v="Taycan"/>
    <s v="Sedan"/>
    <x v="0"/>
    <x v="3"/>
    <x v="0"/>
    <x v="1"/>
    <n v="25"/>
    <n v="7"/>
    <x v="0"/>
    <x v="1"/>
    <n v="527360"/>
    <n v="337628"/>
    <n v="189732"/>
    <x v="0"/>
    <n v="527360"/>
    <n v="0"/>
    <n v="0"/>
    <n v="1"/>
    <n v="1"/>
    <s v="Yes"/>
    <x v="0"/>
  </r>
  <r>
    <n v="20727"/>
    <d v="2024-05-02T00:00:00"/>
    <x v="2"/>
    <s v="Gurugram"/>
    <s v="SC_GUR_1"/>
    <x v="2"/>
    <s v="911"/>
    <s v="Coupe"/>
    <x v="1"/>
    <x v="2"/>
    <x v="1"/>
    <x v="0"/>
    <n v="7"/>
    <n v="7"/>
    <x v="1"/>
    <x v="1"/>
    <n v="576992"/>
    <n v="443978"/>
    <n v="133014"/>
    <x v="3"/>
    <n v="0"/>
    <n v="0"/>
    <n v="1"/>
    <n v="0"/>
    <n v="1"/>
    <s v="No"/>
    <x v="2"/>
  </r>
  <r>
    <n v="20728"/>
    <d v="2024-03-21T00:00:00"/>
    <x v="3"/>
    <s v="Ahmedabad"/>
    <s v="SC_AHM_4"/>
    <x v="2"/>
    <s v="Taycan"/>
    <s v="Sedan"/>
    <x v="0"/>
    <x v="0"/>
    <x v="0"/>
    <x v="1"/>
    <n v="4"/>
    <n v="7"/>
    <x v="0"/>
    <x v="1"/>
    <n v="378848"/>
    <n v="250235"/>
    <n v="128613"/>
    <x v="3"/>
    <n v="378848"/>
    <n v="0"/>
    <n v="0"/>
    <n v="1"/>
    <n v="1"/>
    <s v="No"/>
    <x v="2"/>
  </r>
  <r>
    <n v="20729"/>
    <d v="2024-03-01T00:00:00"/>
    <x v="1"/>
    <s v="Kolkata"/>
    <s v="SC_KOL_1"/>
    <x v="1"/>
    <s v="Panamera"/>
    <s v="Sedan"/>
    <x v="1"/>
    <x v="3"/>
    <x v="1"/>
    <x v="0"/>
    <n v="12"/>
    <n v="7"/>
    <x v="1"/>
    <x v="1"/>
    <n v="524888"/>
    <n v="348834"/>
    <n v="176054"/>
    <x v="2"/>
    <n v="0"/>
    <n v="0"/>
    <n v="1"/>
    <n v="0"/>
    <n v="1"/>
    <s v="Yes"/>
    <x v="1"/>
  </r>
  <r>
    <n v="20730"/>
    <d v="2024-04-09T00:00:00"/>
    <x v="2"/>
    <s v="Noida"/>
    <s v="SC_NOI_5"/>
    <x v="2"/>
    <s v="911"/>
    <s v="Coupe"/>
    <x v="0"/>
    <x v="0"/>
    <x v="1"/>
    <x v="1"/>
    <n v="2"/>
    <n v="7"/>
    <x v="0"/>
    <x v="1"/>
    <n v="474917"/>
    <n v="293290"/>
    <n v="181627"/>
    <x v="3"/>
    <n v="474917"/>
    <n v="0"/>
    <n v="0"/>
    <n v="1"/>
    <n v="1"/>
    <s v="No"/>
    <x v="2"/>
  </r>
  <r>
    <n v="20731"/>
    <d v="2024-04-13T00:00:00"/>
    <x v="1"/>
    <s v="Kolkata"/>
    <s v="SC_KOL_3"/>
    <x v="0"/>
    <s v="Taycan"/>
    <s v="Sedan"/>
    <x v="0"/>
    <x v="0"/>
    <x v="2"/>
    <x v="0"/>
    <n v="6"/>
    <n v="7"/>
    <x v="1"/>
    <x v="0"/>
    <n v="301329"/>
    <n v="202676"/>
    <n v="98653"/>
    <x v="3"/>
    <n v="0"/>
    <n v="1"/>
    <n v="1"/>
    <n v="0"/>
    <n v="1"/>
    <s v="No"/>
    <x v="2"/>
  </r>
  <r>
    <n v="20732"/>
    <d v="2024-01-01T00:00:00"/>
    <x v="0"/>
    <s v="Bengaluru"/>
    <s v="SC_BEN_5"/>
    <x v="2"/>
    <s v="Chiron"/>
    <s v="Hypercar"/>
    <x v="1"/>
    <x v="1"/>
    <x v="1"/>
    <x v="1"/>
    <n v="3"/>
    <n v="7"/>
    <x v="1"/>
    <x v="1"/>
    <n v="576183"/>
    <n v="447446"/>
    <n v="128737"/>
    <x v="4"/>
    <n v="0"/>
    <n v="0"/>
    <n v="1"/>
    <n v="0"/>
    <n v="1"/>
    <s v="No"/>
    <x v="2"/>
  </r>
  <r>
    <n v="20733"/>
    <d v="2024-03-09T00:00:00"/>
    <x v="3"/>
    <s v="Ahmedabad"/>
    <s v="SC_AHM_5"/>
    <x v="2"/>
    <s v="Taycan"/>
    <s v="Sedan"/>
    <x v="1"/>
    <x v="0"/>
    <x v="2"/>
    <x v="0"/>
    <n v="4"/>
    <n v="7"/>
    <x v="1"/>
    <x v="1"/>
    <n v="434190"/>
    <n v="232615"/>
    <n v="201575"/>
    <x v="4"/>
    <n v="0"/>
    <n v="0"/>
    <n v="1"/>
    <n v="0"/>
    <n v="1"/>
    <s v="No"/>
    <x v="2"/>
  </r>
  <r>
    <n v="20734"/>
    <d v="2024-05-26T00:00:00"/>
    <x v="1"/>
    <s v="Kolkata"/>
    <s v="SC_KOL_1"/>
    <x v="0"/>
    <s v="Chiron"/>
    <s v="Hypercar"/>
    <x v="1"/>
    <x v="3"/>
    <x v="1"/>
    <x v="0"/>
    <n v="23"/>
    <n v="7"/>
    <x v="1"/>
    <x v="1"/>
    <n v="418123"/>
    <n v="309631"/>
    <n v="108492"/>
    <x v="0"/>
    <n v="0"/>
    <n v="0"/>
    <n v="1"/>
    <n v="0"/>
    <n v="1"/>
    <s v="Yes"/>
    <x v="0"/>
  </r>
  <r>
    <n v="20735"/>
    <d v="2024-05-29T00:00:00"/>
    <x v="0"/>
    <s v="Hyderabad"/>
    <s v="SC_HYD_4"/>
    <x v="2"/>
    <s v="Chiron"/>
    <s v="Hypercar"/>
    <x v="1"/>
    <x v="0"/>
    <x v="1"/>
    <x v="1"/>
    <n v="10"/>
    <n v="7"/>
    <x v="0"/>
    <x v="1"/>
    <n v="298828"/>
    <n v="168027"/>
    <n v="130801"/>
    <x v="1"/>
    <n v="298828"/>
    <n v="0"/>
    <n v="0"/>
    <n v="1"/>
    <n v="1"/>
    <s v="Yes"/>
    <x v="0"/>
  </r>
  <r>
    <n v="20736"/>
    <d v="2024-02-24T00:00:00"/>
    <x v="1"/>
    <s v="Patna"/>
    <s v="SC_PAT_2"/>
    <x v="2"/>
    <s v="Taycan"/>
    <s v="Sedan"/>
    <x v="1"/>
    <x v="4"/>
    <x v="2"/>
    <x v="0"/>
    <n v="9"/>
    <n v="7"/>
    <x v="1"/>
    <x v="1"/>
    <n v="227039"/>
    <n v="158049"/>
    <n v="68990"/>
    <x v="3"/>
    <n v="0"/>
    <n v="0"/>
    <n v="1"/>
    <n v="0"/>
    <n v="1"/>
    <s v="Yes"/>
    <x v="2"/>
  </r>
  <r>
    <n v="20737"/>
    <d v="2024-02-18T00:00:00"/>
    <x v="0"/>
    <s v="Hyderabad"/>
    <s v="SC_HYD_4"/>
    <x v="0"/>
    <s v="Cayenne"/>
    <s v="SUV"/>
    <x v="0"/>
    <x v="2"/>
    <x v="1"/>
    <x v="1"/>
    <n v="2"/>
    <n v="7"/>
    <x v="0"/>
    <x v="0"/>
    <n v="302811"/>
    <n v="203916"/>
    <n v="98895"/>
    <x v="3"/>
    <n v="0"/>
    <n v="1"/>
    <n v="0"/>
    <n v="1"/>
    <n v="1"/>
    <s v="No"/>
    <x v="2"/>
  </r>
  <r>
    <n v="20738"/>
    <d v="2024-06-16T00:00:00"/>
    <x v="3"/>
    <s v="Ahmedabad"/>
    <s v="SC_AHM_5"/>
    <x v="0"/>
    <s v="Taycan"/>
    <s v="Sedan"/>
    <x v="0"/>
    <x v="1"/>
    <x v="1"/>
    <x v="0"/>
    <n v="22"/>
    <n v="7"/>
    <x v="1"/>
    <x v="1"/>
    <n v="454264"/>
    <n v="352099"/>
    <n v="102165"/>
    <x v="0"/>
    <n v="0"/>
    <n v="0"/>
    <n v="1"/>
    <n v="0"/>
    <n v="1"/>
    <s v="Yes"/>
    <x v="0"/>
  </r>
  <r>
    <n v="20739"/>
    <d v="2024-05-25T00:00:00"/>
    <x v="2"/>
    <s v="Gurugram"/>
    <s v="SC_GUR_2"/>
    <x v="0"/>
    <s v="Macan"/>
    <s v="SUV"/>
    <x v="0"/>
    <x v="3"/>
    <x v="1"/>
    <x v="1"/>
    <n v="16"/>
    <n v="7"/>
    <x v="1"/>
    <x v="0"/>
    <n v="132118"/>
    <n v="70270"/>
    <n v="61848"/>
    <x v="1"/>
    <n v="0"/>
    <n v="1"/>
    <n v="1"/>
    <n v="0"/>
    <n v="1"/>
    <s v="Yes"/>
    <x v="0"/>
  </r>
  <r>
    <n v="20740"/>
    <d v="2024-06-23T00:00:00"/>
    <x v="3"/>
    <s v="Mumbai"/>
    <s v="SC_MUM_1"/>
    <x v="0"/>
    <s v="Chiron"/>
    <s v="Hypercar"/>
    <x v="1"/>
    <x v="4"/>
    <x v="2"/>
    <x v="1"/>
    <n v="12"/>
    <n v="7"/>
    <x v="1"/>
    <x v="0"/>
    <n v="471650"/>
    <n v="388108"/>
    <n v="83542"/>
    <x v="2"/>
    <n v="0"/>
    <n v="1"/>
    <n v="1"/>
    <n v="0"/>
    <n v="1"/>
    <s v="Yes"/>
    <x v="1"/>
  </r>
  <r>
    <n v="20741"/>
    <d v="2024-03-16T00:00:00"/>
    <x v="1"/>
    <s v="Patna"/>
    <s v="SC_PAT_2"/>
    <x v="1"/>
    <s v="Macan"/>
    <s v="SUV"/>
    <x v="1"/>
    <x v="4"/>
    <x v="0"/>
    <x v="1"/>
    <n v="13"/>
    <n v="7"/>
    <x v="0"/>
    <x v="1"/>
    <n v="548159"/>
    <n v="290185"/>
    <n v="257974"/>
    <x v="1"/>
    <n v="548159"/>
    <n v="0"/>
    <n v="0"/>
    <n v="1"/>
    <n v="1"/>
    <s v="Yes"/>
    <x v="0"/>
  </r>
  <r>
    <n v="20742"/>
    <d v="2024-06-28T00:00:00"/>
    <x v="3"/>
    <s v="Ahmedabad"/>
    <s v="SC_AHM_3"/>
    <x v="0"/>
    <s v="Chiron"/>
    <s v="Hypercar"/>
    <x v="1"/>
    <x v="0"/>
    <x v="0"/>
    <x v="1"/>
    <n v="13"/>
    <n v="7"/>
    <x v="0"/>
    <x v="1"/>
    <n v="517088"/>
    <n v="398039"/>
    <n v="119049"/>
    <x v="1"/>
    <n v="517088"/>
    <n v="0"/>
    <n v="0"/>
    <n v="1"/>
    <n v="1"/>
    <s v="Yes"/>
    <x v="0"/>
  </r>
  <r>
    <n v="20743"/>
    <d v="2024-06-09T00:00:00"/>
    <x v="3"/>
    <s v="Pune"/>
    <s v="SC_PUN_4"/>
    <x v="0"/>
    <s v="Taycan"/>
    <s v="Sedan"/>
    <x v="1"/>
    <x v="0"/>
    <x v="0"/>
    <x v="1"/>
    <n v="4"/>
    <n v="7"/>
    <x v="0"/>
    <x v="0"/>
    <n v="225465"/>
    <n v="142087"/>
    <n v="83378"/>
    <x v="3"/>
    <n v="0"/>
    <n v="1"/>
    <n v="0"/>
    <n v="1"/>
    <n v="1"/>
    <s v="No"/>
    <x v="2"/>
  </r>
  <r>
    <n v="20744"/>
    <d v="2024-06-11T00:00:00"/>
    <x v="1"/>
    <s v="Patna"/>
    <s v="SC_PAT_5"/>
    <x v="0"/>
    <s v="911"/>
    <s v="Coupe"/>
    <x v="1"/>
    <x v="3"/>
    <x v="2"/>
    <x v="0"/>
    <n v="4"/>
    <n v="7"/>
    <x v="0"/>
    <x v="1"/>
    <n v="334261"/>
    <n v="197663"/>
    <n v="136598"/>
    <x v="3"/>
    <n v="334261"/>
    <n v="0"/>
    <n v="0"/>
    <n v="1"/>
    <n v="1"/>
    <s v="No"/>
    <x v="2"/>
  </r>
  <r>
    <n v="20745"/>
    <d v="2024-04-19T00:00:00"/>
    <x v="0"/>
    <s v="Chennai"/>
    <s v="SC_CHE_4"/>
    <x v="2"/>
    <s v="Macan"/>
    <s v="SUV"/>
    <x v="0"/>
    <x v="1"/>
    <x v="2"/>
    <x v="1"/>
    <n v="9"/>
    <n v="7"/>
    <x v="0"/>
    <x v="1"/>
    <n v="306123"/>
    <n v="186371"/>
    <n v="119752"/>
    <x v="2"/>
    <n v="306123"/>
    <n v="0"/>
    <n v="0"/>
    <n v="1"/>
    <n v="1"/>
    <s v="Yes"/>
    <x v="1"/>
  </r>
  <r>
    <n v="20746"/>
    <d v="2024-02-13T00:00:00"/>
    <x v="1"/>
    <s v="Patna"/>
    <s v="SC_PAT_2"/>
    <x v="0"/>
    <s v="Cayenne"/>
    <s v="SUV"/>
    <x v="0"/>
    <x v="1"/>
    <x v="1"/>
    <x v="0"/>
    <n v="6"/>
    <n v="7"/>
    <x v="0"/>
    <x v="0"/>
    <n v="481180"/>
    <n v="311514"/>
    <n v="169666"/>
    <x v="2"/>
    <n v="0"/>
    <n v="1"/>
    <n v="0"/>
    <n v="1"/>
    <n v="1"/>
    <s v="No"/>
    <x v="1"/>
  </r>
  <r>
    <n v="20747"/>
    <d v="2024-06-10T00:00:00"/>
    <x v="3"/>
    <s v="Mumbai"/>
    <s v="SC_MUM_1"/>
    <x v="0"/>
    <s v="Taycan"/>
    <s v="Sedan"/>
    <x v="0"/>
    <x v="0"/>
    <x v="2"/>
    <x v="0"/>
    <n v="12"/>
    <n v="7"/>
    <x v="0"/>
    <x v="0"/>
    <n v="578280"/>
    <n v="357846"/>
    <n v="220434"/>
    <x v="1"/>
    <n v="0"/>
    <n v="1"/>
    <n v="0"/>
    <n v="1"/>
    <n v="1"/>
    <s v="Yes"/>
    <x v="0"/>
  </r>
  <r>
    <n v="20748"/>
    <d v="2024-03-09T00:00:00"/>
    <x v="1"/>
    <s v="Bhubaneswar"/>
    <s v="SC_BHU_3"/>
    <x v="2"/>
    <s v="Panamera"/>
    <s v="Sedan"/>
    <x v="1"/>
    <x v="4"/>
    <x v="2"/>
    <x v="0"/>
    <n v="11"/>
    <n v="7"/>
    <x v="0"/>
    <x v="0"/>
    <n v="477443"/>
    <n v="360899"/>
    <n v="116544"/>
    <x v="1"/>
    <n v="0"/>
    <n v="1"/>
    <n v="0"/>
    <n v="1"/>
    <n v="1"/>
    <s v="Yes"/>
    <x v="0"/>
  </r>
  <r>
    <n v="20749"/>
    <d v="2024-03-26T00:00:00"/>
    <x v="3"/>
    <s v="Ahmedabad"/>
    <s v="SC_AHM_2"/>
    <x v="0"/>
    <s v="Panamera"/>
    <s v="Sedan"/>
    <x v="0"/>
    <x v="3"/>
    <x v="2"/>
    <x v="0"/>
    <n v="8"/>
    <n v="7"/>
    <x v="1"/>
    <x v="1"/>
    <n v="315036"/>
    <n v="186715"/>
    <n v="128321"/>
    <x v="3"/>
    <n v="0"/>
    <n v="0"/>
    <n v="1"/>
    <n v="0"/>
    <n v="1"/>
    <s v="Yes"/>
    <x v="2"/>
  </r>
  <r>
    <n v="20750"/>
    <d v="2024-03-02T00:00:00"/>
    <x v="3"/>
    <s v="Mumbai"/>
    <s v="SC_MUM_5"/>
    <x v="2"/>
    <s v="Veyron"/>
    <s v="Hypercar"/>
    <x v="1"/>
    <x v="1"/>
    <x v="1"/>
    <x v="1"/>
    <n v="3"/>
    <n v="7"/>
    <x v="1"/>
    <x v="0"/>
    <n v="259421"/>
    <n v="145283"/>
    <n v="114138"/>
    <x v="4"/>
    <n v="0"/>
    <n v="1"/>
    <n v="1"/>
    <n v="0"/>
    <n v="1"/>
    <s v="No"/>
    <x v="2"/>
  </r>
  <r>
    <n v="20751"/>
    <d v="2024-01-18T00:00:00"/>
    <x v="3"/>
    <s v="Pune"/>
    <s v="SC_PUN_4"/>
    <x v="0"/>
    <s v="Veyron"/>
    <s v="Hypercar"/>
    <x v="1"/>
    <x v="1"/>
    <x v="0"/>
    <x v="0"/>
    <n v="4"/>
    <n v="7"/>
    <x v="1"/>
    <x v="1"/>
    <n v="427103"/>
    <n v="348618"/>
    <n v="78485"/>
    <x v="4"/>
    <n v="0"/>
    <n v="0"/>
    <n v="1"/>
    <n v="0"/>
    <n v="1"/>
    <s v="No"/>
    <x v="2"/>
  </r>
  <r>
    <n v="20752"/>
    <d v="2024-05-26T00:00:00"/>
    <x v="3"/>
    <s v="Pune"/>
    <s v="SC_PUN_5"/>
    <x v="0"/>
    <s v="Cayenne"/>
    <s v="SUV"/>
    <x v="0"/>
    <x v="0"/>
    <x v="0"/>
    <x v="0"/>
    <n v="15"/>
    <n v="7"/>
    <x v="0"/>
    <x v="0"/>
    <n v="310688"/>
    <n v="231923"/>
    <n v="78765"/>
    <x v="0"/>
    <n v="0"/>
    <n v="1"/>
    <n v="0"/>
    <n v="1"/>
    <n v="1"/>
    <s v="Yes"/>
    <x v="0"/>
  </r>
  <r>
    <n v="20753"/>
    <d v="2024-01-07T00:00:00"/>
    <x v="1"/>
    <s v="Kolkata"/>
    <s v="SC_KOL_5"/>
    <x v="1"/>
    <s v="911"/>
    <s v="Coupe"/>
    <x v="1"/>
    <x v="0"/>
    <x v="2"/>
    <x v="0"/>
    <n v="2"/>
    <n v="7"/>
    <x v="1"/>
    <x v="1"/>
    <n v="520584"/>
    <n v="385791"/>
    <n v="134793"/>
    <x v="4"/>
    <n v="0"/>
    <n v="0"/>
    <n v="1"/>
    <n v="0"/>
    <n v="1"/>
    <s v="No"/>
    <x v="2"/>
  </r>
  <r>
    <n v="20754"/>
    <d v="2024-03-03T00:00:00"/>
    <x v="0"/>
    <s v="Hyderabad"/>
    <s v="SC_HYD_4"/>
    <x v="1"/>
    <s v="Chiron"/>
    <s v="Hypercar"/>
    <x v="1"/>
    <x v="3"/>
    <x v="2"/>
    <x v="0"/>
    <n v="23"/>
    <n v="7"/>
    <x v="1"/>
    <x v="1"/>
    <n v="389621"/>
    <n v="217468"/>
    <n v="172153"/>
    <x v="0"/>
    <n v="0"/>
    <n v="0"/>
    <n v="1"/>
    <n v="0"/>
    <n v="1"/>
    <s v="Yes"/>
    <x v="0"/>
  </r>
  <r>
    <n v="20755"/>
    <d v="2024-04-17T00:00:00"/>
    <x v="0"/>
    <s v="Chennai"/>
    <s v="SC_CHE_2"/>
    <x v="2"/>
    <s v="Macan"/>
    <s v="SUV"/>
    <x v="1"/>
    <x v="1"/>
    <x v="2"/>
    <x v="0"/>
    <n v="16"/>
    <n v="7"/>
    <x v="1"/>
    <x v="1"/>
    <n v="452318"/>
    <n v="341052"/>
    <n v="111266"/>
    <x v="1"/>
    <n v="0"/>
    <n v="0"/>
    <n v="1"/>
    <n v="0"/>
    <n v="1"/>
    <s v="Yes"/>
    <x v="0"/>
  </r>
  <r>
    <n v="20756"/>
    <d v="2024-05-19T00:00:00"/>
    <x v="2"/>
    <s v="Gurugram"/>
    <s v="SC_GUR_5"/>
    <x v="2"/>
    <s v="Taycan"/>
    <s v="Sedan"/>
    <x v="1"/>
    <x v="3"/>
    <x v="0"/>
    <x v="1"/>
    <n v="19"/>
    <n v="7"/>
    <x v="0"/>
    <x v="0"/>
    <n v="348144"/>
    <n v="265707"/>
    <n v="82437"/>
    <x v="0"/>
    <n v="0"/>
    <n v="1"/>
    <n v="0"/>
    <n v="1"/>
    <n v="1"/>
    <s v="Yes"/>
    <x v="0"/>
  </r>
  <r>
    <n v="20757"/>
    <d v="2024-06-13T00:00:00"/>
    <x v="2"/>
    <s v="Noida"/>
    <s v="SC_NOI_2"/>
    <x v="0"/>
    <s v="Panamera"/>
    <s v="Sedan"/>
    <x v="1"/>
    <x v="1"/>
    <x v="0"/>
    <x v="0"/>
    <n v="24"/>
    <n v="7"/>
    <x v="0"/>
    <x v="0"/>
    <n v="201544"/>
    <n v="121720"/>
    <n v="79824"/>
    <x v="0"/>
    <n v="0"/>
    <n v="1"/>
    <n v="0"/>
    <n v="1"/>
    <n v="1"/>
    <s v="Yes"/>
    <x v="0"/>
  </r>
  <r>
    <n v="20758"/>
    <d v="2024-03-17T00:00:00"/>
    <x v="1"/>
    <s v="Kolkata"/>
    <s v="SC_KOL_5"/>
    <x v="0"/>
    <s v="Panamera"/>
    <s v="Sedan"/>
    <x v="0"/>
    <x v="1"/>
    <x v="2"/>
    <x v="1"/>
    <n v="13"/>
    <n v="7"/>
    <x v="0"/>
    <x v="0"/>
    <n v="169254"/>
    <n v="99269"/>
    <n v="69985"/>
    <x v="1"/>
    <n v="0"/>
    <n v="1"/>
    <n v="0"/>
    <n v="1"/>
    <n v="1"/>
    <s v="Yes"/>
    <x v="0"/>
  </r>
  <r>
    <n v="20759"/>
    <d v="2024-02-14T00:00:00"/>
    <x v="1"/>
    <s v="Patna"/>
    <s v="SC_PAT_4"/>
    <x v="2"/>
    <s v="Cayenne"/>
    <s v="SUV"/>
    <x v="0"/>
    <x v="0"/>
    <x v="1"/>
    <x v="0"/>
    <n v="7"/>
    <n v="7"/>
    <x v="1"/>
    <x v="1"/>
    <n v="593326"/>
    <n v="482790"/>
    <n v="110536"/>
    <x v="3"/>
    <n v="0"/>
    <n v="0"/>
    <n v="1"/>
    <n v="0"/>
    <n v="1"/>
    <s v="No"/>
    <x v="2"/>
  </r>
  <r>
    <n v="20760"/>
    <d v="2024-01-12T00:00:00"/>
    <x v="3"/>
    <s v="Pune"/>
    <s v="SC_PUN_4"/>
    <x v="0"/>
    <s v="Chiron"/>
    <s v="Hypercar"/>
    <x v="0"/>
    <x v="3"/>
    <x v="1"/>
    <x v="0"/>
    <n v="15"/>
    <n v="7"/>
    <x v="0"/>
    <x v="0"/>
    <n v="132092"/>
    <n v="72353"/>
    <n v="59739"/>
    <x v="0"/>
    <n v="0"/>
    <n v="1"/>
    <n v="0"/>
    <n v="1"/>
    <n v="1"/>
    <s v="Yes"/>
    <x v="0"/>
  </r>
  <r>
    <n v="20761"/>
    <d v="2024-03-21T00:00:00"/>
    <x v="1"/>
    <s v="Patna"/>
    <s v="SC_PAT_5"/>
    <x v="1"/>
    <s v="Panamera"/>
    <s v="Sedan"/>
    <x v="1"/>
    <x v="2"/>
    <x v="0"/>
    <x v="0"/>
    <n v="18"/>
    <n v="7"/>
    <x v="0"/>
    <x v="0"/>
    <n v="401161"/>
    <n v="266163"/>
    <n v="134998"/>
    <x v="0"/>
    <n v="0"/>
    <n v="1"/>
    <n v="0"/>
    <n v="1"/>
    <n v="1"/>
    <s v="Yes"/>
    <x v="0"/>
  </r>
  <r>
    <n v="20762"/>
    <d v="2024-05-26T00:00:00"/>
    <x v="0"/>
    <s v="Chennai"/>
    <s v="SC_CHE_5"/>
    <x v="1"/>
    <s v="Taycan"/>
    <s v="Sedan"/>
    <x v="1"/>
    <x v="2"/>
    <x v="2"/>
    <x v="1"/>
    <n v="7"/>
    <n v="7"/>
    <x v="0"/>
    <x v="0"/>
    <n v="144339"/>
    <n v="116266"/>
    <n v="28073"/>
    <x v="2"/>
    <n v="0"/>
    <n v="1"/>
    <n v="0"/>
    <n v="1"/>
    <n v="1"/>
    <s v="No"/>
    <x v="1"/>
  </r>
  <r>
    <n v="20763"/>
    <d v="2024-05-29T00:00:00"/>
    <x v="1"/>
    <s v="Kolkata"/>
    <s v="SC_KOL_2"/>
    <x v="1"/>
    <s v="Macan"/>
    <s v="SUV"/>
    <x v="1"/>
    <x v="0"/>
    <x v="2"/>
    <x v="0"/>
    <n v="16"/>
    <n v="7"/>
    <x v="1"/>
    <x v="1"/>
    <n v="384629"/>
    <n v="206751"/>
    <n v="177878"/>
    <x v="1"/>
    <n v="0"/>
    <n v="0"/>
    <n v="1"/>
    <n v="0"/>
    <n v="1"/>
    <s v="Yes"/>
    <x v="0"/>
  </r>
  <r>
    <n v="20764"/>
    <d v="2024-03-05T00:00:00"/>
    <x v="3"/>
    <s v="Ahmedabad"/>
    <s v="SC_AHM_1"/>
    <x v="1"/>
    <s v="Taycan"/>
    <s v="Sedan"/>
    <x v="1"/>
    <x v="2"/>
    <x v="2"/>
    <x v="0"/>
    <n v="15"/>
    <n v="7"/>
    <x v="1"/>
    <x v="0"/>
    <n v="106609"/>
    <n v="69132"/>
    <n v="37477"/>
    <x v="1"/>
    <n v="0"/>
    <n v="1"/>
    <n v="1"/>
    <n v="0"/>
    <n v="1"/>
    <s v="Yes"/>
    <x v="0"/>
  </r>
  <r>
    <n v="20765"/>
    <d v="2024-02-13T00:00:00"/>
    <x v="3"/>
    <s v="Pune"/>
    <s v="SC_PUN_4"/>
    <x v="0"/>
    <s v="Macan"/>
    <s v="SUV"/>
    <x v="0"/>
    <x v="2"/>
    <x v="0"/>
    <x v="0"/>
    <n v="7"/>
    <n v="7"/>
    <x v="1"/>
    <x v="1"/>
    <n v="98958"/>
    <n v="70599"/>
    <n v="28359"/>
    <x v="3"/>
    <n v="0"/>
    <n v="0"/>
    <n v="1"/>
    <n v="0"/>
    <n v="1"/>
    <s v="No"/>
    <x v="2"/>
  </r>
  <r>
    <n v="20766"/>
    <d v="2024-04-23T00:00:00"/>
    <x v="1"/>
    <s v="Patna"/>
    <s v="SC_PAT_1"/>
    <x v="0"/>
    <s v="Cayenne"/>
    <s v="SUV"/>
    <x v="0"/>
    <x v="0"/>
    <x v="2"/>
    <x v="0"/>
    <n v="19"/>
    <n v="7"/>
    <x v="1"/>
    <x v="1"/>
    <n v="194044"/>
    <n v="152972"/>
    <n v="41072"/>
    <x v="1"/>
    <n v="0"/>
    <n v="0"/>
    <n v="1"/>
    <n v="0"/>
    <n v="1"/>
    <s v="Yes"/>
    <x v="0"/>
  </r>
  <r>
    <n v="20767"/>
    <d v="2024-06-10T00:00:00"/>
    <x v="2"/>
    <s v="Gurugram"/>
    <s v="SC_GUR_4"/>
    <x v="2"/>
    <s v="Chiron"/>
    <s v="Hypercar"/>
    <x v="1"/>
    <x v="1"/>
    <x v="2"/>
    <x v="0"/>
    <n v="22"/>
    <n v="7"/>
    <x v="1"/>
    <x v="1"/>
    <n v="194694"/>
    <n v="146145"/>
    <n v="48549"/>
    <x v="0"/>
    <n v="0"/>
    <n v="0"/>
    <n v="1"/>
    <n v="0"/>
    <n v="1"/>
    <s v="Yes"/>
    <x v="0"/>
  </r>
  <r>
    <n v="20768"/>
    <d v="2024-04-08T00:00:00"/>
    <x v="0"/>
    <s v="Chennai"/>
    <s v="SC_CHE_1"/>
    <x v="1"/>
    <s v="Panamera"/>
    <s v="Sedan"/>
    <x v="1"/>
    <x v="0"/>
    <x v="0"/>
    <x v="0"/>
    <n v="8"/>
    <n v="7"/>
    <x v="1"/>
    <x v="1"/>
    <n v="152746"/>
    <n v="79737"/>
    <n v="73009"/>
    <x v="3"/>
    <n v="0"/>
    <n v="0"/>
    <n v="1"/>
    <n v="0"/>
    <n v="1"/>
    <s v="Yes"/>
    <x v="2"/>
  </r>
  <r>
    <n v="20769"/>
    <d v="2024-04-30T00:00:00"/>
    <x v="0"/>
    <s v="Chennai"/>
    <s v="SC_CHE_2"/>
    <x v="0"/>
    <s v="Taycan"/>
    <s v="Sedan"/>
    <x v="0"/>
    <x v="0"/>
    <x v="2"/>
    <x v="1"/>
    <n v="17"/>
    <n v="7"/>
    <x v="0"/>
    <x v="1"/>
    <n v="441556"/>
    <n v="308908"/>
    <n v="132648"/>
    <x v="0"/>
    <n v="441556"/>
    <n v="0"/>
    <n v="0"/>
    <n v="1"/>
    <n v="1"/>
    <s v="Yes"/>
    <x v="0"/>
  </r>
  <r>
    <n v="20770"/>
    <d v="2024-01-28T00:00:00"/>
    <x v="1"/>
    <s v="Patna"/>
    <s v="SC_PAT_1"/>
    <x v="0"/>
    <s v="Panamera"/>
    <s v="Sedan"/>
    <x v="0"/>
    <x v="3"/>
    <x v="2"/>
    <x v="1"/>
    <n v="18"/>
    <n v="7"/>
    <x v="1"/>
    <x v="1"/>
    <n v="232817"/>
    <n v="152325"/>
    <n v="80492"/>
    <x v="1"/>
    <n v="0"/>
    <n v="0"/>
    <n v="1"/>
    <n v="0"/>
    <n v="1"/>
    <s v="Yes"/>
    <x v="0"/>
  </r>
  <r>
    <n v="20771"/>
    <d v="2024-03-09T00:00:00"/>
    <x v="3"/>
    <s v="Mumbai"/>
    <s v="SC_MUM_2"/>
    <x v="0"/>
    <s v="Veyron"/>
    <s v="Hypercar"/>
    <x v="1"/>
    <x v="0"/>
    <x v="1"/>
    <x v="1"/>
    <n v="18"/>
    <n v="7"/>
    <x v="0"/>
    <x v="1"/>
    <n v="267444"/>
    <n v="225592"/>
    <n v="41852"/>
    <x v="0"/>
    <n v="267444"/>
    <n v="0"/>
    <n v="0"/>
    <n v="1"/>
    <n v="1"/>
    <s v="Yes"/>
    <x v="0"/>
  </r>
  <r>
    <n v="20772"/>
    <d v="2024-05-23T00:00:00"/>
    <x v="3"/>
    <s v="Pune"/>
    <s v="SC_PUN_2"/>
    <x v="1"/>
    <s v="911"/>
    <s v="Coupe"/>
    <x v="1"/>
    <x v="2"/>
    <x v="2"/>
    <x v="1"/>
    <n v="24"/>
    <n v="7"/>
    <x v="1"/>
    <x v="1"/>
    <n v="284489"/>
    <n v="174066"/>
    <n v="110423"/>
    <x v="0"/>
    <n v="0"/>
    <n v="0"/>
    <n v="1"/>
    <n v="0"/>
    <n v="1"/>
    <s v="Yes"/>
    <x v="0"/>
  </r>
  <r>
    <n v="20773"/>
    <d v="2024-03-15T00:00:00"/>
    <x v="3"/>
    <s v="Ahmedabad"/>
    <s v="SC_AHM_3"/>
    <x v="1"/>
    <s v="Veyron"/>
    <s v="Hypercar"/>
    <x v="1"/>
    <x v="1"/>
    <x v="2"/>
    <x v="1"/>
    <n v="8"/>
    <n v="7"/>
    <x v="1"/>
    <x v="0"/>
    <n v="166617"/>
    <n v="116780"/>
    <n v="49837"/>
    <x v="3"/>
    <n v="0"/>
    <n v="1"/>
    <n v="1"/>
    <n v="0"/>
    <n v="1"/>
    <s v="Yes"/>
    <x v="2"/>
  </r>
  <r>
    <n v="20774"/>
    <d v="2024-03-22T00:00:00"/>
    <x v="0"/>
    <s v="Hyderabad"/>
    <s v="SC_HYD_3"/>
    <x v="0"/>
    <s v="Veyron"/>
    <s v="Hypercar"/>
    <x v="0"/>
    <x v="3"/>
    <x v="0"/>
    <x v="1"/>
    <n v="9"/>
    <n v="7"/>
    <x v="1"/>
    <x v="1"/>
    <n v="228972"/>
    <n v="139590"/>
    <n v="89382"/>
    <x v="3"/>
    <n v="0"/>
    <n v="0"/>
    <n v="1"/>
    <n v="0"/>
    <n v="1"/>
    <s v="Yes"/>
    <x v="2"/>
  </r>
  <r>
    <n v="20775"/>
    <d v="2024-06-03T00:00:00"/>
    <x v="1"/>
    <s v="Kolkata"/>
    <s v="SC_KOL_1"/>
    <x v="2"/>
    <s v="Cayenne"/>
    <s v="SUV"/>
    <x v="0"/>
    <x v="1"/>
    <x v="1"/>
    <x v="0"/>
    <n v="15"/>
    <n v="7"/>
    <x v="1"/>
    <x v="1"/>
    <n v="556823"/>
    <n v="339005"/>
    <n v="217818"/>
    <x v="1"/>
    <n v="0"/>
    <n v="0"/>
    <n v="1"/>
    <n v="0"/>
    <n v="1"/>
    <s v="Yes"/>
    <x v="0"/>
  </r>
  <r>
    <n v="20776"/>
    <d v="2024-05-19T00:00:00"/>
    <x v="2"/>
    <s v="Noida"/>
    <s v="SC_NOI_4"/>
    <x v="0"/>
    <s v="Taycan"/>
    <s v="Sedan"/>
    <x v="1"/>
    <x v="3"/>
    <x v="0"/>
    <x v="0"/>
    <n v="6"/>
    <n v="7"/>
    <x v="0"/>
    <x v="1"/>
    <n v="249663"/>
    <n v="144972"/>
    <n v="104691"/>
    <x v="2"/>
    <n v="249663"/>
    <n v="0"/>
    <n v="0"/>
    <n v="1"/>
    <n v="1"/>
    <s v="No"/>
    <x v="1"/>
  </r>
  <r>
    <n v="20777"/>
    <d v="2024-02-25T00:00:00"/>
    <x v="1"/>
    <s v="Patna"/>
    <s v="SC_PAT_2"/>
    <x v="0"/>
    <s v="Cayenne"/>
    <s v="SUV"/>
    <x v="1"/>
    <x v="1"/>
    <x v="2"/>
    <x v="0"/>
    <n v="11"/>
    <n v="7"/>
    <x v="1"/>
    <x v="1"/>
    <n v="456315"/>
    <n v="236740"/>
    <n v="219575"/>
    <x v="2"/>
    <n v="0"/>
    <n v="0"/>
    <n v="1"/>
    <n v="0"/>
    <n v="1"/>
    <s v="Yes"/>
    <x v="1"/>
  </r>
  <r>
    <n v="20778"/>
    <d v="2024-06-24T00:00:00"/>
    <x v="1"/>
    <s v="Bhubaneswar"/>
    <s v="SC_BHU_3"/>
    <x v="1"/>
    <s v="Panamera"/>
    <s v="Sedan"/>
    <x v="0"/>
    <x v="2"/>
    <x v="1"/>
    <x v="1"/>
    <n v="21"/>
    <n v="7"/>
    <x v="0"/>
    <x v="0"/>
    <n v="254190"/>
    <n v="150296"/>
    <n v="103894"/>
    <x v="0"/>
    <n v="0"/>
    <n v="1"/>
    <n v="0"/>
    <n v="1"/>
    <n v="1"/>
    <s v="Yes"/>
    <x v="0"/>
  </r>
  <r>
    <n v="20779"/>
    <d v="2024-06-29T00:00:00"/>
    <x v="1"/>
    <s v="Kolkata"/>
    <s v="SC_KOL_3"/>
    <x v="2"/>
    <s v="911"/>
    <s v="Coupe"/>
    <x v="0"/>
    <x v="2"/>
    <x v="0"/>
    <x v="1"/>
    <n v="7"/>
    <n v="7"/>
    <x v="1"/>
    <x v="1"/>
    <n v="320467"/>
    <n v="270061"/>
    <n v="50406"/>
    <x v="3"/>
    <n v="0"/>
    <n v="0"/>
    <n v="1"/>
    <n v="0"/>
    <n v="1"/>
    <s v="No"/>
    <x v="2"/>
  </r>
  <r>
    <n v="20780"/>
    <d v="2024-04-10T00:00:00"/>
    <x v="0"/>
    <s v="Bengaluru"/>
    <s v="SC_BEN_2"/>
    <x v="2"/>
    <s v="Panamera"/>
    <s v="Sedan"/>
    <x v="1"/>
    <x v="4"/>
    <x v="0"/>
    <x v="0"/>
    <n v="2"/>
    <n v="7"/>
    <x v="1"/>
    <x v="0"/>
    <n v="126103"/>
    <n v="101591"/>
    <n v="24512"/>
    <x v="4"/>
    <n v="0"/>
    <n v="1"/>
    <n v="1"/>
    <n v="0"/>
    <n v="1"/>
    <s v="No"/>
    <x v="2"/>
  </r>
  <r>
    <n v="20781"/>
    <d v="2024-02-20T00:00:00"/>
    <x v="3"/>
    <s v="Mumbai"/>
    <s v="SC_MUM_3"/>
    <x v="0"/>
    <s v="Chiron"/>
    <s v="Hypercar"/>
    <x v="0"/>
    <x v="0"/>
    <x v="0"/>
    <x v="0"/>
    <n v="3"/>
    <n v="7"/>
    <x v="1"/>
    <x v="1"/>
    <n v="281097"/>
    <n v="236181"/>
    <n v="44916"/>
    <x v="4"/>
    <n v="0"/>
    <n v="0"/>
    <n v="1"/>
    <n v="0"/>
    <n v="1"/>
    <s v="No"/>
    <x v="2"/>
  </r>
  <r>
    <n v="20782"/>
    <d v="2024-03-22T00:00:00"/>
    <x v="2"/>
    <s v="Delhi"/>
    <s v="SC_DEL_3"/>
    <x v="1"/>
    <s v="Taycan"/>
    <s v="Sedan"/>
    <x v="1"/>
    <x v="4"/>
    <x v="1"/>
    <x v="0"/>
    <n v="21"/>
    <n v="7"/>
    <x v="0"/>
    <x v="1"/>
    <n v="137921"/>
    <n v="98497"/>
    <n v="39424"/>
    <x v="0"/>
    <n v="137921"/>
    <n v="0"/>
    <n v="0"/>
    <n v="1"/>
    <n v="1"/>
    <s v="Yes"/>
    <x v="0"/>
  </r>
  <r>
    <n v="20783"/>
    <d v="2024-01-07T00:00:00"/>
    <x v="0"/>
    <s v="Hyderabad"/>
    <s v="SC_HYD_4"/>
    <x v="2"/>
    <s v="Veyron"/>
    <s v="Hypercar"/>
    <x v="1"/>
    <x v="1"/>
    <x v="0"/>
    <x v="1"/>
    <n v="8"/>
    <n v="7"/>
    <x v="0"/>
    <x v="1"/>
    <n v="439220"/>
    <n v="299947"/>
    <n v="139273"/>
    <x v="2"/>
    <n v="439220"/>
    <n v="0"/>
    <n v="0"/>
    <n v="1"/>
    <n v="1"/>
    <s v="Yes"/>
    <x v="1"/>
  </r>
  <r>
    <n v="20784"/>
    <d v="2024-03-26T00:00:00"/>
    <x v="1"/>
    <s v="Kolkata"/>
    <s v="SC_KOL_2"/>
    <x v="2"/>
    <s v="Veyron"/>
    <s v="Hypercar"/>
    <x v="0"/>
    <x v="4"/>
    <x v="0"/>
    <x v="0"/>
    <n v="15"/>
    <n v="7"/>
    <x v="0"/>
    <x v="1"/>
    <n v="184944"/>
    <n v="136618"/>
    <n v="48326"/>
    <x v="0"/>
    <n v="184944"/>
    <n v="0"/>
    <n v="0"/>
    <n v="1"/>
    <n v="1"/>
    <s v="Yes"/>
    <x v="0"/>
  </r>
  <r>
    <n v="20785"/>
    <d v="2024-04-06T00:00:00"/>
    <x v="3"/>
    <s v="Pune"/>
    <s v="SC_PUN_5"/>
    <x v="0"/>
    <s v="911"/>
    <s v="Coupe"/>
    <x v="1"/>
    <x v="1"/>
    <x v="2"/>
    <x v="0"/>
    <n v="15"/>
    <n v="7"/>
    <x v="0"/>
    <x v="1"/>
    <n v="212427"/>
    <n v="179775"/>
    <n v="32652"/>
    <x v="0"/>
    <n v="212427"/>
    <n v="0"/>
    <n v="0"/>
    <n v="1"/>
    <n v="1"/>
    <s v="Yes"/>
    <x v="0"/>
  </r>
  <r>
    <n v="20786"/>
    <d v="2024-05-03T00:00:00"/>
    <x v="0"/>
    <s v="Hyderabad"/>
    <s v="SC_HYD_1"/>
    <x v="0"/>
    <s v="911"/>
    <s v="Coupe"/>
    <x v="1"/>
    <x v="0"/>
    <x v="0"/>
    <x v="1"/>
    <n v="20"/>
    <n v="7"/>
    <x v="0"/>
    <x v="1"/>
    <n v="294180"/>
    <n v="157576"/>
    <n v="136604"/>
    <x v="0"/>
    <n v="294180"/>
    <n v="0"/>
    <n v="0"/>
    <n v="1"/>
    <n v="1"/>
    <s v="Yes"/>
    <x v="0"/>
  </r>
  <r>
    <n v="20787"/>
    <d v="2024-03-04T00:00:00"/>
    <x v="0"/>
    <s v="Bengaluru"/>
    <s v="SC_BEN_1"/>
    <x v="2"/>
    <s v="Veyron"/>
    <s v="Hypercar"/>
    <x v="0"/>
    <x v="3"/>
    <x v="2"/>
    <x v="0"/>
    <n v="21"/>
    <n v="7"/>
    <x v="1"/>
    <x v="0"/>
    <n v="418797"/>
    <n v="316478"/>
    <n v="102319"/>
    <x v="0"/>
    <n v="0"/>
    <n v="1"/>
    <n v="1"/>
    <n v="0"/>
    <n v="1"/>
    <s v="Yes"/>
    <x v="0"/>
  </r>
  <r>
    <n v="20788"/>
    <d v="2024-06-04T00:00:00"/>
    <x v="3"/>
    <s v="Mumbai"/>
    <s v="SC_MUM_5"/>
    <x v="1"/>
    <s v="Cayenne"/>
    <s v="SUV"/>
    <x v="1"/>
    <x v="4"/>
    <x v="1"/>
    <x v="1"/>
    <n v="16"/>
    <n v="7"/>
    <x v="1"/>
    <x v="0"/>
    <n v="157134"/>
    <n v="92866"/>
    <n v="64268"/>
    <x v="1"/>
    <n v="0"/>
    <n v="1"/>
    <n v="1"/>
    <n v="0"/>
    <n v="1"/>
    <s v="Yes"/>
    <x v="0"/>
  </r>
  <r>
    <n v="20789"/>
    <d v="2024-03-19T00:00:00"/>
    <x v="1"/>
    <s v="Bhubaneswar"/>
    <s v="SC_BHU_4"/>
    <x v="1"/>
    <s v="Chiron"/>
    <s v="Hypercar"/>
    <x v="0"/>
    <x v="3"/>
    <x v="1"/>
    <x v="0"/>
    <n v="14"/>
    <n v="7"/>
    <x v="0"/>
    <x v="0"/>
    <n v="516159"/>
    <n v="381397"/>
    <n v="134762"/>
    <x v="1"/>
    <n v="0"/>
    <n v="1"/>
    <n v="0"/>
    <n v="1"/>
    <n v="1"/>
    <s v="Yes"/>
    <x v="0"/>
  </r>
  <r>
    <n v="20790"/>
    <d v="2024-06-10T00:00:00"/>
    <x v="0"/>
    <s v="Bengaluru"/>
    <s v="SC_BEN_1"/>
    <x v="0"/>
    <s v="Chiron"/>
    <s v="Hypercar"/>
    <x v="0"/>
    <x v="0"/>
    <x v="2"/>
    <x v="0"/>
    <n v="17"/>
    <n v="7"/>
    <x v="0"/>
    <x v="1"/>
    <n v="183586"/>
    <n v="120229"/>
    <n v="63357"/>
    <x v="0"/>
    <n v="183586"/>
    <n v="0"/>
    <n v="0"/>
    <n v="1"/>
    <n v="1"/>
    <s v="Yes"/>
    <x v="0"/>
  </r>
  <r>
    <n v="20791"/>
    <d v="2024-02-15T00:00:00"/>
    <x v="3"/>
    <s v="Ahmedabad"/>
    <s v="SC_AHM_1"/>
    <x v="0"/>
    <s v="Taycan"/>
    <s v="Sedan"/>
    <x v="0"/>
    <x v="1"/>
    <x v="1"/>
    <x v="0"/>
    <n v="11"/>
    <n v="7"/>
    <x v="1"/>
    <x v="1"/>
    <n v="560195"/>
    <n v="391249"/>
    <n v="168946"/>
    <x v="2"/>
    <n v="0"/>
    <n v="0"/>
    <n v="1"/>
    <n v="0"/>
    <n v="1"/>
    <s v="Yes"/>
    <x v="1"/>
  </r>
  <r>
    <n v="20792"/>
    <d v="2024-03-20T00:00:00"/>
    <x v="3"/>
    <s v="Mumbai"/>
    <s v="SC_MUM_4"/>
    <x v="1"/>
    <s v="Chiron"/>
    <s v="Hypercar"/>
    <x v="0"/>
    <x v="3"/>
    <x v="0"/>
    <x v="0"/>
    <n v="5"/>
    <n v="7"/>
    <x v="0"/>
    <x v="0"/>
    <n v="314588"/>
    <n v="211103"/>
    <n v="103485"/>
    <x v="2"/>
    <n v="0"/>
    <n v="1"/>
    <n v="0"/>
    <n v="1"/>
    <n v="1"/>
    <s v="No"/>
    <x v="1"/>
  </r>
  <r>
    <n v="20793"/>
    <d v="2024-06-15T00:00:00"/>
    <x v="0"/>
    <s v="Hyderabad"/>
    <s v="SC_HYD_3"/>
    <x v="2"/>
    <s v="Taycan"/>
    <s v="Sedan"/>
    <x v="1"/>
    <x v="1"/>
    <x v="2"/>
    <x v="0"/>
    <n v="16"/>
    <n v="7"/>
    <x v="1"/>
    <x v="1"/>
    <n v="358839"/>
    <n v="225361"/>
    <n v="133478"/>
    <x v="1"/>
    <n v="0"/>
    <n v="0"/>
    <n v="1"/>
    <n v="0"/>
    <n v="1"/>
    <s v="Yes"/>
    <x v="0"/>
  </r>
  <r>
    <n v="20794"/>
    <d v="2024-02-06T00:00:00"/>
    <x v="3"/>
    <s v="Pune"/>
    <s v="SC_PUN_3"/>
    <x v="0"/>
    <s v="Cayenne"/>
    <s v="SUV"/>
    <x v="1"/>
    <x v="4"/>
    <x v="2"/>
    <x v="1"/>
    <n v="8"/>
    <n v="7"/>
    <x v="0"/>
    <x v="1"/>
    <n v="385425"/>
    <n v="312626"/>
    <n v="72799"/>
    <x v="2"/>
    <n v="385425"/>
    <n v="0"/>
    <n v="0"/>
    <n v="1"/>
    <n v="1"/>
    <s v="Yes"/>
    <x v="1"/>
  </r>
  <r>
    <n v="20795"/>
    <d v="2024-04-28T00:00:00"/>
    <x v="3"/>
    <s v="Mumbai"/>
    <s v="SC_MUM_3"/>
    <x v="0"/>
    <s v="Macan"/>
    <s v="SUV"/>
    <x v="0"/>
    <x v="2"/>
    <x v="2"/>
    <x v="0"/>
    <n v="8"/>
    <n v="7"/>
    <x v="1"/>
    <x v="0"/>
    <n v="288170"/>
    <n v="156377"/>
    <n v="131793"/>
    <x v="3"/>
    <n v="0"/>
    <n v="1"/>
    <n v="1"/>
    <n v="0"/>
    <n v="1"/>
    <s v="Yes"/>
    <x v="2"/>
  </r>
  <r>
    <n v="20796"/>
    <d v="2024-03-22T00:00:00"/>
    <x v="2"/>
    <s v="Noida"/>
    <s v="SC_NOI_5"/>
    <x v="0"/>
    <s v="Taycan"/>
    <s v="Sedan"/>
    <x v="1"/>
    <x v="0"/>
    <x v="2"/>
    <x v="0"/>
    <n v="7"/>
    <n v="7"/>
    <x v="1"/>
    <x v="0"/>
    <n v="277530"/>
    <n v="174155"/>
    <n v="103375"/>
    <x v="3"/>
    <n v="0"/>
    <n v="1"/>
    <n v="1"/>
    <n v="0"/>
    <n v="1"/>
    <s v="No"/>
    <x v="2"/>
  </r>
  <r>
    <n v="20797"/>
    <d v="2024-01-30T00:00:00"/>
    <x v="2"/>
    <s v="Noida"/>
    <s v="SC_NOI_5"/>
    <x v="1"/>
    <s v="Taycan"/>
    <s v="Sedan"/>
    <x v="0"/>
    <x v="1"/>
    <x v="2"/>
    <x v="0"/>
    <n v="4"/>
    <n v="7"/>
    <x v="1"/>
    <x v="1"/>
    <n v="403603"/>
    <n v="231500"/>
    <n v="172103"/>
    <x v="4"/>
    <n v="0"/>
    <n v="0"/>
    <n v="1"/>
    <n v="0"/>
    <n v="1"/>
    <s v="No"/>
    <x v="2"/>
  </r>
  <r>
    <n v="20798"/>
    <d v="2024-04-06T00:00:00"/>
    <x v="1"/>
    <s v="Patna"/>
    <s v="SC_PAT_4"/>
    <x v="0"/>
    <s v="Cayenne"/>
    <s v="SUV"/>
    <x v="0"/>
    <x v="4"/>
    <x v="1"/>
    <x v="1"/>
    <n v="17"/>
    <n v="7"/>
    <x v="0"/>
    <x v="1"/>
    <n v="344064"/>
    <n v="184744"/>
    <n v="159320"/>
    <x v="0"/>
    <n v="344064"/>
    <n v="0"/>
    <n v="0"/>
    <n v="1"/>
    <n v="1"/>
    <s v="Yes"/>
    <x v="0"/>
  </r>
  <r>
    <n v="20799"/>
    <d v="2024-02-09T00:00:00"/>
    <x v="3"/>
    <s v="Pune"/>
    <s v="SC_PUN_5"/>
    <x v="1"/>
    <s v="Macan"/>
    <s v="SUV"/>
    <x v="1"/>
    <x v="1"/>
    <x v="0"/>
    <x v="1"/>
    <n v="6"/>
    <n v="7"/>
    <x v="1"/>
    <x v="1"/>
    <n v="350092"/>
    <n v="212822"/>
    <n v="137270"/>
    <x v="3"/>
    <n v="0"/>
    <n v="0"/>
    <n v="1"/>
    <n v="0"/>
    <n v="1"/>
    <s v="No"/>
    <x v="2"/>
  </r>
  <r>
    <n v="20800"/>
    <d v="2024-01-26T00:00:00"/>
    <x v="1"/>
    <s v="Kolkata"/>
    <s v="SC_KOL_4"/>
    <x v="1"/>
    <s v="Panamera"/>
    <s v="Sedan"/>
    <x v="1"/>
    <x v="2"/>
    <x v="2"/>
    <x v="1"/>
    <n v="10"/>
    <n v="7"/>
    <x v="0"/>
    <x v="0"/>
    <n v="100526"/>
    <n v="80616"/>
    <n v="19910"/>
    <x v="1"/>
    <n v="0"/>
    <n v="1"/>
    <n v="0"/>
    <n v="1"/>
    <n v="1"/>
    <s v="Yes"/>
    <x v="0"/>
  </r>
  <r>
    <n v="20801"/>
    <d v="2024-06-19T00:00:00"/>
    <x v="3"/>
    <s v="Mumbai"/>
    <s v="SC_MUM_5"/>
    <x v="0"/>
    <s v="Veyron"/>
    <s v="Hypercar"/>
    <x v="0"/>
    <x v="0"/>
    <x v="1"/>
    <x v="0"/>
    <n v="4"/>
    <n v="7"/>
    <x v="0"/>
    <x v="0"/>
    <n v="456653"/>
    <n v="297514"/>
    <n v="159139"/>
    <x v="3"/>
    <n v="0"/>
    <n v="1"/>
    <n v="0"/>
    <n v="1"/>
    <n v="1"/>
    <s v="No"/>
    <x v="2"/>
  </r>
  <r>
    <n v="20802"/>
    <d v="2024-04-16T00:00:00"/>
    <x v="2"/>
    <s v="Delhi"/>
    <s v="SC_DEL_1"/>
    <x v="2"/>
    <s v="Macan"/>
    <s v="SUV"/>
    <x v="1"/>
    <x v="4"/>
    <x v="1"/>
    <x v="0"/>
    <n v="10"/>
    <n v="7"/>
    <x v="1"/>
    <x v="1"/>
    <n v="451387"/>
    <n v="308351"/>
    <n v="143036"/>
    <x v="2"/>
    <n v="0"/>
    <n v="0"/>
    <n v="1"/>
    <n v="0"/>
    <n v="1"/>
    <s v="Yes"/>
    <x v="1"/>
  </r>
  <r>
    <n v="20803"/>
    <d v="2024-05-16T00:00:00"/>
    <x v="3"/>
    <s v="Ahmedabad"/>
    <s v="SC_AHM_5"/>
    <x v="1"/>
    <s v="Panamera"/>
    <s v="Sedan"/>
    <x v="0"/>
    <x v="4"/>
    <x v="0"/>
    <x v="1"/>
    <n v="6"/>
    <n v="7"/>
    <x v="1"/>
    <x v="1"/>
    <n v="382163"/>
    <n v="208944"/>
    <n v="173219"/>
    <x v="3"/>
    <n v="0"/>
    <n v="0"/>
    <n v="1"/>
    <n v="0"/>
    <n v="1"/>
    <s v="No"/>
    <x v="2"/>
  </r>
  <r>
    <n v="20804"/>
    <d v="2024-02-16T00:00:00"/>
    <x v="1"/>
    <s v="Kolkata"/>
    <s v="SC_KOL_5"/>
    <x v="1"/>
    <s v="Veyron"/>
    <s v="Hypercar"/>
    <x v="0"/>
    <x v="0"/>
    <x v="2"/>
    <x v="1"/>
    <n v="11"/>
    <n v="7"/>
    <x v="0"/>
    <x v="1"/>
    <n v="222892"/>
    <n v="168373"/>
    <n v="54519"/>
    <x v="1"/>
    <n v="222892"/>
    <n v="0"/>
    <n v="0"/>
    <n v="1"/>
    <n v="1"/>
    <s v="Yes"/>
    <x v="0"/>
  </r>
  <r>
    <n v="20805"/>
    <d v="2024-03-21T00:00:00"/>
    <x v="3"/>
    <s v="Pune"/>
    <s v="SC_PUN_4"/>
    <x v="0"/>
    <s v="Cayenne"/>
    <s v="SUV"/>
    <x v="0"/>
    <x v="4"/>
    <x v="1"/>
    <x v="1"/>
    <n v="6"/>
    <n v="7"/>
    <x v="1"/>
    <x v="0"/>
    <n v="426890"/>
    <n v="324654"/>
    <n v="102236"/>
    <x v="3"/>
    <n v="0"/>
    <n v="1"/>
    <n v="1"/>
    <n v="0"/>
    <n v="1"/>
    <s v="No"/>
    <x v="2"/>
  </r>
  <r>
    <n v="20806"/>
    <d v="2024-01-31T00:00:00"/>
    <x v="0"/>
    <s v="Bengaluru"/>
    <s v="SC_BEN_1"/>
    <x v="2"/>
    <s v="Chiron"/>
    <s v="Hypercar"/>
    <x v="1"/>
    <x v="0"/>
    <x v="2"/>
    <x v="1"/>
    <n v="10"/>
    <n v="7"/>
    <x v="1"/>
    <x v="1"/>
    <n v="199245"/>
    <n v="150442"/>
    <n v="48803"/>
    <x v="2"/>
    <n v="0"/>
    <n v="0"/>
    <n v="1"/>
    <n v="0"/>
    <n v="1"/>
    <s v="Yes"/>
    <x v="1"/>
  </r>
  <r>
    <n v="20807"/>
    <d v="2024-02-10T00:00:00"/>
    <x v="0"/>
    <s v="Bengaluru"/>
    <s v="SC_BEN_4"/>
    <x v="2"/>
    <s v="Taycan"/>
    <s v="Sedan"/>
    <x v="0"/>
    <x v="2"/>
    <x v="0"/>
    <x v="1"/>
    <n v="5"/>
    <n v="7"/>
    <x v="0"/>
    <x v="1"/>
    <n v="598671"/>
    <n v="315361"/>
    <n v="283310"/>
    <x v="2"/>
    <n v="598671"/>
    <n v="0"/>
    <n v="0"/>
    <n v="1"/>
    <n v="1"/>
    <s v="No"/>
    <x v="1"/>
  </r>
  <r>
    <n v="20808"/>
    <d v="2024-06-11T00:00:00"/>
    <x v="3"/>
    <s v="Ahmedabad"/>
    <s v="SC_AHM_4"/>
    <x v="0"/>
    <s v="911"/>
    <s v="Coupe"/>
    <x v="0"/>
    <x v="2"/>
    <x v="2"/>
    <x v="0"/>
    <n v="22"/>
    <n v="7"/>
    <x v="0"/>
    <x v="1"/>
    <n v="503788"/>
    <n v="364680"/>
    <n v="139108"/>
    <x v="0"/>
    <n v="503788"/>
    <n v="0"/>
    <n v="0"/>
    <n v="1"/>
    <n v="1"/>
    <s v="Yes"/>
    <x v="0"/>
  </r>
  <r>
    <n v="20809"/>
    <d v="2024-04-05T00:00:00"/>
    <x v="0"/>
    <s v="Chennai"/>
    <s v="SC_CHE_4"/>
    <x v="0"/>
    <s v="911"/>
    <s v="Coupe"/>
    <x v="1"/>
    <x v="0"/>
    <x v="2"/>
    <x v="0"/>
    <n v="20"/>
    <n v="7"/>
    <x v="0"/>
    <x v="1"/>
    <n v="215651"/>
    <n v="157917"/>
    <n v="57734"/>
    <x v="0"/>
    <n v="215651"/>
    <n v="0"/>
    <n v="0"/>
    <n v="1"/>
    <n v="1"/>
    <s v="Yes"/>
    <x v="0"/>
  </r>
  <r>
    <n v="20810"/>
    <d v="2024-02-29T00:00:00"/>
    <x v="3"/>
    <s v="Pune"/>
    <s v="SC_PUN_3"/>
    <x v="1"/>
    <s v="Taycan"/>
    <s v="Sedan"/>
    <x v="1"/>
    <x v="3"/>
    <x v="2"/>
    <x v="0"/>
    <n v="7"/>
    <n v="7"/>
    <x v="1"/>
    <x v="1"/>
    <n v="259682"/>
    <n v="210879"/>
    <n v="48803"/>
    <x v="3"/>
    <n v="0"/>
    <n v="0"/>
    <n v="1"/>
    <n v="0"/>
    <n v="1"/>
    <s v="No"/>
    <x v="2"/>
  </r>
  <r>
    <n v="20811"/>
    <d v="2024-03-30T00:00:00"/>
    <x v="1"/>
    <s v="Patna"/>
    <s v="SC_PAT_2"/>
    <x v="1"/>
    <s v="Macan"/>
    <s v="SUV"/>
    <x v="0"/>
    <x v="3"/>
    <x v="0"/>
    <x v="0"/>
    <n v="8"/>
    <n v="7"/>
    <x v="1"/>
    <x v="1"/>
    <n v="402018"/>
    <n v="239044"/>
    <n v="162974"/>
    <x v="3"/>
    <n v="0"/>
    <n v="0"/>
    <n v="1"/>
    <n v="0"/>
    <n v="1"/>
    <s v="Yes"/>
    <x v="2"/>
  </r>
  <r>
    <n v="20812"/>
    <d v="2024-03-22T00:00:00"/>
    <x v="1"/>
    <s v="Patna"/>
    <s v="SC_PAT_3"/>
    <x v="2"/>
    <s v="911"/>
    <s v="Coupe"/>
    <x v="1"/>
    <x v="0"/>
    <x v="2"/>
    <x v="1"/>
    <n v="2"/>
    <n v="7"/>
    <x v="1"/>
    <x v="1"/>
    <n v="325760"/>
    <n v="261697"/>
    <n v="64063"/>
    <x v="4"/>
    <n v="0"/>
    <n v="0"/>
    <n v="1"/>
    <n v="0"/>
    <n v="1"/>
    <s v="No"/>
    <x v="2"/>
  </r>
  <r>
    <n v="20813"/>
    <d v="2024-05-28T00:00:00"/>
    <x v="1"/>
    <s v="Patna"/>
    <s v="SC_PAT_3"/>
    <x v="1"/>
    <s v="Veyron"/>
    <s v="Hypercar"/>
    <x v="1"/>
    <x v="2"/>
    <x v="1"/>
    <x v="1"/>
    <n v="12"/>
    <n v="7"/>
    <x v="0"/>
    <x v="0"/>
    <n v="244700"/>
    <n v="203733"/>
    <n v="40967"/>
    <x v="1"/>
    <n v="0"/>
    <n v="1"/>
    <n v="0"/>
    <n v="1"/>
    <n v="1"/>
    <s v="Yes"/>
    <x v="0"/>
  </r>
  <r>
    <n v="20814"/>
    <d v="2024-02-01T00:00:00"/>
    <x v="0"/>
    <s v="Hyderabad"/>
    <s v="SC_HYD_3"/>
    <x v="2"/>
    <s v="Veyron"/>
    <s v="Hypercar"/>
    <x v="1"/>
    <x v="2"/>
    <x v="0"/>
    <x v="1"/>
    <n v="19"/>
    <n v="7"/>
    <x v="0"/>
    <x v="1"/>
    <n v="492367"/>
    <n v="370372"/>
    <n v="121995"/>
    <x v="0"/>
    <n v="492367"/>
    <n v="0"/>
    <n v="0"/>
    <n v="1"/>
    <n v="1"/>
    <s v="Yes"/>
    <x v="0"/>
  </r>
  <r>
    <n v="20815"/>
    <d v="2024-02-14T00:00:00"/>
    <x v="1"/>
    <s v="Kolkata"/>
    <s v="SC_KOL_5"/>
    <x v="0"/>
    <s v="Macan"/>
    <s v="SUV"/>
    <x v="0"/>
    <x v="2"/>
    <x v="2"/>
    <x v="0"/>
    <n v="20"/>
    <n v="7"/>
    <x v="1"/>
    <x v="0"/>
    <n v="406223"/>
    <n v="293624"/>
    <n v="112599"/>
    <x v="0"/>
    <n v="0"/>
    <n v="1"/>
    <n v="1"/>
    <n v="0"/>
    <n v="1"/>
    <s v="Yes"/>
    <x v="0"/>
  </r>
  <r>
    <n v="20816"/>
    <d v="2024-05-16T00:00:00"/>
    <x v="0"/>
    <s v="Bengaluru"/>
    <s v="SC_BEN_5"/>
    <x v="0"/>
    <s v="Taycan"/>
    <s v="Sedan"/>
    <x v="1"/>
    <x v="4"/>
    <x v="1"/>
    <x v="1"/>
    <n v="19"/>
    <n v="7"/>
    <x v="0"/>
    <x v="1"/>
    <n v="156687"/>
    <n v="119730"/>
    <n v="36957"/>
    <x v="0"/>
    <n v="156687"/>
    <n v="0"/>
    <n v="0"/>
    <n v="1"/>
    <n v="1"/>
    <s v="Yes"/>
    <x v="0"/>
  </r>
  <r>
    <n v="20817"/>
    <d v="2024-04-14T00:00:00"/>
    <x v="1"/>
    <s v="Kolkata"/>
    <s v="SC_KOL_1"/>
    <x v="1"/>
    <s v="Veyron"/>
    <s v="Hypercar"/>
    <x v="0"/>
    <x v="2"/>
    <x v="2"/>
    <x v="1"/>
    <n v="15"/>
    <n v="7"/>
    <x v="0"/>
    <x v="1"/>
    <n v="213953"/>
    <n v="123637"/>
    <n v="90316"/>
    <x v="0"/>
    <n v="213953"/>
    <n v="0"/>
    <n v="0"/>
    <n v="1"/>
    <n v="1"/>
    <s v="Yes"/>
    <x v="0"/>
  </r>
  <r>
    <n v="20818"/>
    <d v="2024-05-24T00:00:00"/>
    <x v="2"/>
    <s v="Noida"/>
    <s v="SC_NOI_1"/>
    <x v="1"/>
    <s v="Panamera"/>
    <s v="Sedan"/>
    <x v="0"/>
    <x v="0"/>
    <x v="1"/>
    <x v="0"/>
    <n v="18"/>
    <n v="7"/>
    <x v="1"/>
    <x v="1"/>
    <n v="416814"/>
    <n v="320360"/>
    <n v="96454"/>
    <x v="1"/>
    <n v="0"/>
    <n v="0"/>
    <n v="1"/>
    <n v="0"/>
    <n v="1"/>
    <s v="Yes"/>
    <x v="0"/>
  </r>
  <r>
    <n v="20819"/>
    <d v="2024-01-07T00:00:00"/>
    <x v="3"/>
    <s v="Mumbai"/>
    <s v="SC_MUM_5"/>
    <x v="1"/>
    <s v="Chiron"/>
    <s v="Hypercar"/>
    <x v="1"/>
    <x v="2"/>
    <x v="0"/>
    <x v="0"/>
    <n v="15"/>
    <n v="7"/>
    <x v="0"/>
    <x v="1"/>
    <n v="175752"/>
    <n v="89488"/>
    <n v="86264"/>
    <x v="0"/>
    <n v="175752"/>
    <n v="0"/>
    <n v="0"/>
    <n v="1"/>
    <n v="1"/>
    <s v="Yes"/>
    <x v="0"/>
  </r>
  <r>
    <n v="20820"/>
    <d v="2024-01-04T00:00:00"/>
    <x v="0"/>
    <s v="Chennai"/>
    <s v="SC_CHE_2"/>
    <x v="0"/>
    <s v="Macan"/>
    <s v="SUV"/>
    <x v="1"/>
    <x v="4"/>
    <x v="2"/>
    <x v="0"/>
    <n v="17"/>
    <n v="7"/>
    <x v="0"/>
    <x v="1"/>
    <n v="545467"/>
    <n v="402783"/>
    <n v="142684"/>
    <x v="0"/>
    <n v="545467"/>
    <n v="0"/>
    <n v="0"/>
    <n v="1"/>
    <n v="1"/>
    <s v="Yes"/>
    <x v="0"/>
  </r>
  <r>
    <n v="20821"/>
    <d v="2024-04-07T00:00:00"/>
    <x v="2"/>
    <s v="Noida"/>
    <s v="SC_NOI_5"/>
    <x v="1"/>
    <s v="Chiron"/>
    <s v="Hypercar"/>
    <x v="1"/>
    <x v="3"/>
    <x v="1"/>
    <x v="1"/>
    <n v="21"/>
    <n v="7"/>
    <x v="0"/>
    <x v="0"/>
    <n v="251639"/>
    <n v="134142"/>
    <n v="117497"/>
    <x v="0"/>
    <n v="0"/>
    <n v="1"/>
    <n v="0"/>
    <n v="1"/>
    <n v="1"/>
    <s v="Yes"/>
    <x v="0"/>
  </r>
  <r>
    <n v="20822"/>
    <d v="2024-06-04T00:00:00"/>
    <x v="0"/>
    <s v="Hyderabad"/>
    <s v="SC_HYD_5"/>
    <x v="1"/>
    <s v="Veyron"/>
    <s v="Hypercar"/>
    <x v="0"/>
    <x v="4"/>
    <x v="2"/>
    <x v="0"/>
    <n v="24"/>
    <n v="7"/>
    <x v="0"/>
    <x v="1"/>
    <n v="426865"/>
    <n v="247748"/>
    <n v="179117"/>
    <x v="0"/>
    <n v="426865"/>
    <n v="0"/>
    <n v="0"/>
    <n v="1"/>
    <n v="1"/>
    <s v="Yes"/>
    <x v="0"/>
  </r>
  <r>
    <n v="20823"/>
    <d v="2024-01-23T00:00:00"/>
    <x v="3"/>
    <s v="Ahmedabad"/>
    <s v="SC_AHM_2"/>
    <x v="0"/>
    <s v="Cayenne"/>
    <s v="SUV"/>
    <x v="1"/>
    <x v="1"/>
    <x v="2"/>
    <x v="0"/>
    <n v="14"/>
    <n v="7"/>
    <x v="0"/>
    <x v="0"/>
    <n v="596823"/>
    <n v="421647"/>
    <n v="175176"/>
    <x v="1"/>
    <n v="0"/>
    <n v="1"/>
    <n v="0"/>
    <n v="1"/>
    <n v="1"/>
    <s v="Yes"/>
    <x v="0"/>
  </r>
  <r>
    <n v="20824"/>
    <d v="2024-06-27T00:00:00"/>
    <x v="0"/>
    <s v="Bengaluru"/>
    <s v="SC_BEN_2"/>
    <x v="1"/>
    <s v="911"/>
    <s v="Coupe"/>
    <x v="1"/>
    <x v="3"/>
    <x v="1"/>
    <x v="0"/>
    <n v="3"/>
    <n v="7"/>
    <x v="1"/>
    <x v="0"/>
    <n v="409023"/>
    <n v="207864"/>
    <n v="201159"/>
    <x v="4"/>
    <n v="0"/>
    <n v="1"/>
    <n v="1"/>
    <n v="0"/>
    <n v="1"/>
    <s v="No"/>
    <x v="2"/>
  </r>
  <r>
    <n v="20825"/>
    <d v="2024-04-29T00:00:00"/>
    <x v="3"/>
    <s v="Pune"/>
    <s v="SC_PUN_4"/>
    <x v="0"/>
    <s v="Cayenne"/>
    <s v="SUV"/>
    <x v="1"/>
    <x v="0"/>
    <x v="0"/>
    <x v="1"/>
    <n v="19"/>
    <n v="7"/>
    <x v="0"/>
    <x v="0"/>
    <n v="564589"/>
    <n v="349398"/>
    <n v="215191"/>
    <x v="0"/>
    <n v="0"/>
    <n v="1"/>
    <n v="0"/>
    <n v="1"/>
    <n v="1"/>
    <s v="Yes"/>
    <x v="0"/>
  </r>
  <r>
    <n v="20826"/>
    <d v="2024-04-21T00:00:00"/>
    <x v="1"/>
    <s v="Patna"/>
    <s v="SC_PAT_2"/>
    <x v="1"/>
    <s v="Taycan"/>
    <s v="Sedan"/>
    <x v="1"/>
    <x v="0"/>
    <x v="1"/>
    <x v="0"/>
    <n v="25"/>
    <n v="7"/>
    <x v="0"/>
    <x v="1"/>
    <n v="125901"/>
    <n v="75815"/>
    <n v="50086"/>
    <x v="0"/>
    <n v="125901"/>
    <n v="0"/>
    <n v="0"/>
    <n v="1"/>
    <n v="1"/>
    <s v="Yes"/>
    <x v="0"/>
  </r>
  <r>
    <n v="20827"/>
    <d v="2024-04-27T00:00:00"/>
    <x v="0"/>
    <s v="Hyderabad"/>
    <s v="SC_HYD_2"/>
    <x v="2"/>
    <s v="Chiron"/>
    <s v="Hypercar"/>
    <x v="0"/>
    <x v="4"/>
    <x v="1"/>
    <x v="0"/>
    <n v="23"/>
    <n v="7"/>
    <x v="1"/>
    <x v="1"/>
    <n v="361625"/>
    <n v="196793"/>
    <n v="164832"/>
    <x v="0"/>
    <n v="0"/>
    <n v="0"/>
    <n v="1"/>
    <n v="0"/>
    <n v="1"/>
    <s v="Yes"/>
    <x v="0"/>
  </r>
  <r>
    <n v="20828"/>
    <d v="2024-02-04T00:00:00"/>
    <x v="1"/>
    <s v="Bhubaneswar"/>
    <s v="SC_BHU_4"/>
    <x v="0"/>
    <s v="Chiron"/>
    <s v="Hypercar"/>
    <x v="0"/>
    <x v="0"/>
    <x v="0"/>
    <x v="0"/>
    <n v="7"/>
    <n v="7"/>
    <x v="0"/>
    <x v="1"/>
    <n v="366411"/>
    <n v="233066"/>
    <n v="133345"/>
    <x v="2"/>
    <n v="366411"/>
    <n v="0"/>
    <n v="0"/>
    <n v="1"/>
    <n v="1"/>
    <s v="No"/>
    <x v="1"/>
  </r>
  <r>
    <n v="20829"/>
    <d v="2024-04-10T00:00:00"/>
    <x v="2"/>
    <s v="Delhi"/>
    <s v="SC_DEL_3"/>
    <x v="0"/>
    <s v="Cayenne"/>
    <s v="SUV"/>
    <x v="0"/>
    <x v="2"/>
    <x v="1"/>
    <x v="1"/>
    <n v="9"/>
    <n v="7"/>
    <x v="0"/>
    <x v="0"/>
    <n v="311705"/>
    <n v="185538"/>
    <n v="126167"/>
    <x v="2"/>
    <n v="0"/>
    <n v="1"/>
    <n v="0"/>
    <n v="1"/>
    <n v="1"/>
    <s v="Yes"/>
    <x v="1"/>
  </r>
  <r>
    <n v="20830"/>
    <d v="2024-04-03T00:00:00"/>
    <x v="2"/>
    <s v="Delhi"/>
    <s v="SC_DEL_4"/>
    <x v="1"/>
    <s v="Chiron"/>
    <s v="Hypercar"/>
    <x v="0"/>
    <x v="4"/>
    <x v="2"/>
    <x v="0"/>
    <n v="25"/>
    <n v="7"/>
    <x v="0"/>
    <x v="1"/>
    <n v="192119"/>
    <n v="143300"/>
    <n v="48819"/>
    <x v="0"/>
    <n v="192119"/>
    <n v="0"/>
    <n v="0"/>
    <n v="1"/>
    <n v="1"/>
    <s v="Yes"/>
    <x v="0"/>
  </r>
  <r>
    <n v="20831"/>
    <d v="2024-01-08T00:00:00"/>
    <x v="3"/>
    <s v="Mumbai"/>
    <s v="SC_MUM_4"/>
    <x v="1"/>
    <s v="Chiron"/>
    <s v="Hypercar"/>
    <x v="1"/>
    <x v="3"/>
    <x v="2"/>
    <x v="0"/>
    <n v="25"/>
    <n v="7"/>
    <x v="1"/>
    <x v="0"/>
    <n v="124978"/>
    <n v="79520"/>
    <n v="45458"/>
    <x v="0"/>
    <n v="0"/>
    <n v="1"/>
    <n v="1"/>
    <n v="0"/>
    <n v="1"/>
    <s v="Yes"/>
    <x v="0"/>
  </r>
  <r>
    <n v="20832"/>
    <d v="2024-04-15T00:00:00"/>
    <x v="1"/>
    <s v="Kolkata"/>
    <s v="SC_KOL_2"/>
    <x v="1"/>
    <s v="911"/>
    <s v="Coupe"/>
    <x v="1"/>
    <x v="0"/>
    <x v="2"/>
    <x v="0"/>
    <n v="24"/>
    <n v="7"/>
    <x v="0"/>
    <x v="1"/>
    <n v="199723"/>
    <n v="157288"/>
    <n v="42435"/>
    <x v="0"/>
    <n v="199723"/>
    <n v="0"/>
    <n v="0"/>
    <n v="1"/>
    <n v="1"/>
    <s v="Yes"/>
    <x v="0"/>
  </r>
  <r>
    <n v="20833"/>
    <d v="2024-02-11T00:00:00"/>
    <x v="3"/>
    <s v="Pune"/>
    <s v="SC_PUN_4"/>
    <x v="2"/>
    <s v="Macan"/>
    <s v="SUV"/>
    <x v="1"/>
    <x v="0"/>
    <x v="2"/>
    <x v="0"/>
    <n v="3"/>
    <n v="7"/>
    <x v="0"/>
    <x v="1"/>
    <n v="221156"/>
    <n v="136702"/>
    <n v="84454"/>
    <x v="3"/>
    <n v="221156"/>
    <n v="0"/>
    <n v="0"/>
    <n v="1"/>
    <n v="1"/>
    <s v="No"/>
    <x v="2"/>
  </r>
  <r>
    <n v="20834"/>
    <d v="2024-04-21T00:00:00"/>
    <x v="1"/>
    <s v="Patna"/>
    <s v="SC_PAT_3"/>
    <x v="2"/>
    <s v="911"/>
    <s v="Coupe"/>
    <x v="1"/>
    <x v="0"/>
    <x v="2"/>
    <x v="1"/>
    <n v="8"/>
    <n v="7"/>
    <x v="1"/>
    <x v="1"/>
    <n v="252405"/>
    <n v="132724"/>
    <n v="119681"/>
    <x v="3"/>
    <n v="0"/>
    <n v="0"/>
    <n v="1"/>
    <n v="0"/>
    <n v="1"/>
    <s v="Yes"/>
    <x v="2"/>
  </r>
  <r>
    <n v="20835"/>
    <d v="2024-04-12T00:00:00"/>
    <x v="1"/>
    <s v="Kolkata"/>
    <s v="SC_KOL_5"/>
    <x v="2"/>
    <s v="Cayenne"/>
    <s v="SUV"/>
    <x v="0"/>
    <x v="2"/>
    <x v="1"/>
    <x v="0"/>
    <n v="22"/>
    <n v="7"/>
    <x v="1"/>
    <x v="1"/>
    <n v="493898"/>
    <n v="265329"/>
    <n v="228569"/>
    <x v="0"/>
    <n v="0"/>
    <n v="0"/>
    <n v="1"/>
    <n v="0"/>
    <n v="1"/>
    <s v="Yes"/>
    <x v="0"/>
  </r>
  <r>
    <n v="20836"/>
    <d v="2024-03-01T00:00:00"/>
    <x v="1"/>
    <s v="Kolkata"/>
    <s v="SC_KOL_5"/>
    <x v="0"/>
    <s v="Panamera"/>
    <s v="Sedan"/>
    <x v="1"/>
    <x v="3"/>
    <x v="2"/>
    <x v="0"/>
    <n v="23"/>
    <n v="7"/>
    <x v="1"/>
    <x v="0"/>
    <n v="494760"/>
    <n v="295730"/>
    <n v="199030"/>
    <x v="0"/>
    <n v="0"/>
    <n v="1"/>
    <n v="1"/>
    <n v="0"/>
    <n v="1"/>
    <s v="Yes"/>
    <x v="0"/>
  </r>
  <r>
    <n v="20837"/>
    <d v="2024-02-15T00:00:00"/>
    <x v="3"/>
    <s v="Ahmedabad"/>
    <s v="SC_AHM_3"/>
    <x v="0"/>
    <s v="911"/>
    <s v="Coupe"/>
    <x v="0"/>
    <x v="2"/>
    <x v="2"/>
    <x v="1"/>
    <n v="5"/>
    <n v="7"/>
    <x v="1"/>
    <x v="1"/>
    <n v="599692"/>
    <n v="408513"/>
    <n v="191179"/>
    <x v="3"/>
    <n v="0"/>
    <n v="0"/>
    <n v="1"/>
    <n v="0"/>
    <n v="1"/>
    <s v="No"/>
    <x v="2"/>
  </r>
  <r>
    <n v="20838"/>
    <d v="2024-01-20T00:00:00"/>
    <x v="0"/>
    <s v="Hyderabad"/>
    <s v="SC_HYD_3"/>
    <x v="1"/>
    <s v="Taycan"/>
    <s v="Sedan"/>
    <x v="0"/>
    <x v="2"/>
    <x v="0"/>
    <x v="0"/>
    <n v="15"/>
    <n v="7"/>
    <x v="0"/>
    <x v="1"/>
    <n v="488646"/>
    <n v="320716"/>
    <n v="167930"/>
    <x v="0"/>
    <n v="488646"/>
    <n v="0"/>
    <n v="0"/>
    <n v="1"/>
    <n v="1"/>
    <s v="Yes"/>
    <x v="0"/>
  </r>
  <r>
    <n v="20839"/>
    <d v="2024-01-27T00:00:00"/>
    <x v="1"/>
    <s v="Bhubaneswar"/>
    <s v="SC_BHU_1"/>
    <x v="1"/>
    <s v="Chiron"/>
    <s v="Hypercar"/>
    <x v="0"/>
    <x v="3"/>
    <x v="1"/>
    <x v="0"/>
    <n v="18"/>
    <n v="7"/>
    <x v="1"/>
    <x v="1"/>
    <n v="116787"/>
    <n v="74707"/>
    <n v="42080"/>
    <x v="1"/>
    <n v="0"/>
    <n v="0"/>
    <n v="1"/>
    <n v="0"/>
    <n v="1"/>
    <s v="Yes"/>
    <x v="0"/>
  </r>
  <r>
    <n v="20840"/>
    <d v="2024-04-15T00:00:00"/>
    <x v="3"/>
    <s v="Pune"/>
    <s v="SC_PUN_4"/>
    <x v="2"/>
    <s v="Taycan"/>
    <s v="Sedan"/>
    <x v="1"/>
    <x v="0"/>
    <x v="0"/>
    <x v="0"/>
    <n v="2"/>
    <n v="7"/>
    <x v="0"/>
    <x v="1"/>
    <n v="390824"/>
    <n v="293719"/>
    <n v="97105"/>
    <x v="3"/>
    <n v="390824"/>
    <n v="0"/>
    <n v="0"/>
    <n v="1"/>
    <n v="1"/>
    <s v="No"/>
    <x v="2"/>
  </r>
  <r>
    <n v="20841"/>
    <d v="2024-06-24T00:00:00"/>
    <x v="3"/>
    <s v="Ahmedabad"/>
    <s v="SC_AHM_3"/>
    <x v="1"/>
    <s v="Panamera"/>
    <s v="Sedan"/>
    <x v="1"/>
    <x v="2"/>
    <x v="1"/>
    <x v="0"/>
    <n v="17"/>
    <n v="7"/>
    <x v="1"/>
    <x v="1"/>
    <n v="179034"/>
    <n v="138588"/>
    <n v="40446"/>
    <x v="1"/>
    <n v="0"/>
    <n v="0"/>
    <n v="1"/>
    <n v="0"/>
    <n v="1"/>
    <s v="Yes"/>
    <x v="0"/>
  </r>
  <r>
    <n v="20842"/>
    <d v="2024-06-15T00:00:00"/>
    <x v="0"/>
    <s v="Hyderabad"/>
    <s v="SC_HYD_5"/>
    <x v="0"/>
    <s v="Panamera"/>
    <s v="Sedan"/>
    <x v="0"/>
    <x v="2"/>
    <x v="2"/>
    <x v="0"/>
    <n v="9"/>
    <n v="7"/>
    <x v="1"/>
    <x v="1"/>
    <n v="158383"/>
    <n v="133965"/>
    <n v="24418"/>
    <x v="3"/>
    <n v="0"/>
    <n v="0"/>
    <n v="1"/>
    <n v="0"/>
    <n v="1"/>
    <s v="Yes"/>
    <x v="2"/>
  </r>
  <r>
    <n v="20843"/>
    <d v="2024-05-01T00:00:00"/>
    <x v="3"/>
    <s v="Ahmedabad"/>
    <s v="SC_AHM_5"/>
    <x v="2"/>
    <s v="Cayenne"/>
    <s v="SUV"/>
    <x v="0"/>
    <x v="1"/>
    <x v="1"/>
    <x v="0"/>
    <n v="24"/>
    <n v="7"/>
    <x v="0"/>
    <x v="1"/>
    <n v="218627"/>
    <n v="133411"/>
    <n v="85216"/>
    <x v="0"/>
    <n v="218627"/>
    <n v="0"/>
    <n v="0"/>
    <n v="1"/>
    <n v="1"/>
    <s v="Yes"/>
    <x v="0"/>
  </r>
  <r>
    <n v="20844"/>
    <d v="2024-02-11T00:00:00"/>
    <x v="3"/>
    <s v="Mumbai"/>
    <s v="SC_MUM_2"/>
    <x v="0"/>
    <s v="Chiron"/>
    <s v="Hypercar"/>
    <x v="0"/>
    <x v="1"/>
    <x v="1"/>
    <x v="1"/>
    <n v="14"/>
    <n v="7"/>
    <x v="1"/>
    <x v="1"/>
    <n v="225052"/>
    <n v="153217"/>
    <n v="71835"/>
    <x v="2"/>
    <n v="0"/>
    <n v="0"/>
    <n v="1"/>
    <n v="0"/>
    <n v="1"/>
    <s v="Yes"/>
    <x v="1"/>
  </r>
  <r>
    <n v="20845"/>
    <d v="2024-01-01T00:00:00"/>
    <x v="1"/>
    <s v="Bhubaneswar"/>
    <s v="SC_BHU_2"/>
    <x v="1"/>
    <s v="Chiron"/>
    <s v="Hypercar"/>
    <x v="0"/>
    <x v="2"/>
    <x v="2"/>
    <x v="0"/>
    <n v="24"/>
    <n v="7"/>
    <x v="0"/>
    <x v="0"/>
    <n v="98657"/>
    <n v="64247"/>
    <n v="34410"/>
    <x v="0"/>
    <n v="0"/>
    <n v="1"/>
    <n v="0"/>
    <n v="1"/>
    <n v="1"/>
    <s v="Yes"/>
    <x v="0"/>
  </r>
  <r>
    <n v="20846"/>
    <d v="2024-03-26T00:00:00"/>
    <x v="3"/>
    <s v="Ahmedabad"/>
    <s v="SC_AHM_1"/>
    <x v="0"/>
    <s v="911"/>
    <s v="Coupe"/>
    <x v="0"/>
    <x v="0"/>
    <x v="0"/>
    <x v="0"/>
    <n v="18"/>
    <n v="7"/>
    <x v="0"/>
    <x v="1"/>
    <n v="381805"/>
    <n v="279888"/>
    <n v="101917"/>
    <x v="0"/>
    <n v="381805"/>
    <n v="0"/>
    <n v="0"/>
    <n v="1"/>
    <n v="1"/>
    <s v="Yes"/>
    <x v="0"/>
  </r>
  <r>
    <n v="20847"/>
    <d v="2024-01-10T00:00:00"/>
    <x v="3"/>
    <s v="Ahmedabad"/>
    <s v="SC_AHM_2"/>
    <x v="0"/>
    <s v="Panamera"/>
    <s v="Sedan"/>
    <x v="1"/>
    <x v="3"/>
    <x v="1"/>
    <x v="0"/>
    <n v="21"/>
    <n v="7"/>
    <x v="0"/>
    <x v="0"/>
    <n v="271167"/>
    <n v="143636"/>
    <n v="127531"/>
    <x v="0"/>
    <n v="0"/>
    <n v="1"/>
    <n v="0"/>
    <n v="1"/>
    <n v="1"/>
    <s v="Yes"/>
    <x v="0"/>
  </r>
  <r>
    <n v="20848"/>
    <d v="2024-01-31T00:00:00"/>
    <x v="0"/>
    <s v="Hyderabad"/>
    <s v="SC_HYD_5"/>
    <x v="2"/>
    <s v="911"/>
    <s v="Coupe"/>
    <x v="1"/>
    <x v="4"/>
    <x v="2"/>
    <x v="1"/>
    <n v="19"/>
    <n v="7"/>
    <x v="1"/>
    <x v="1"/>
    <n v="393431"/>
    <n v="200922"/>
    <n v="192509"/>
    <x v="1"/>
    <n v="0"/>
    <n v="0"/>
    <n v="1"/>
    <n v="0"/>
    <n v="1"/>
    <s v="Yes"/>
    <x v="0"/>
  </r>
  <r>
    <n v="20849"/>
    <d v="2024-02-12T00:00:00"/>
    <x v="2"/>
    <s v="Noida"/>
    <s v="SC_NOI_1"/>
    <x v="1"/>
    <s v="Taycan"/>
    <s v="Sedan"/>
    <x v="0"/>
    <x v="4"/>
    <x v="0"/>
    <x v="0"/>
    <n v="14"/>
    <n v="7"/>
    <x v="0"/>
    <x v="0"/>
    <n v="550229"/>
    <n v="426703"/>
    <n v="123526"/>
    <x v="1"/>
    <n v="0"/>
    <n v="1"/>
    <n v="0"/>
    <n v="1"/>
    <n v="1"/>
    <s v="Yes"/>
    <x v="0"/>
  </r>
  <r>
    <n v="20850"/>
    <d v="2024-06-10T00:00:00"/>
    <x v="1"/>
    <s v="Bhubaneswar"/>
    <s v="SC_BHU_5"/>
    <x v="2"/>
    <s v="Panamera"/>
    <s v="Sedan"/>
    <x v="1"/>
    <x v="4"/>
    <x v="0"/>
    <x v="0"/>
    <n v="12"/>
    <n v="7"/>
    <x v="0"/>
    <x v="1"/>
    <n v="526957"/>
    <n v="379798"/>
    <n v="147159"/>
    <x v="1"/>
    <n v="526957"/>
    <n v="0"/>
    <n v="0"/>
    <n v="1"/>
    <n v="1"/>
    <s v="Yes"/>
    <x v="0"/>
  </r>
  <r>
    <n v="20851"/>
    <d v="2024-06-18T00:00:00"/>
    <x v="0"/>
    <s v="Hyderabad"/>
    <s v="SC_HYD_3"/>
    <x v="0"/>
    <s v="Taycan"/>
    <s v="Sedan"/>
    <x v="0"/>
    <x v="1"/>
    <x v="0"/>
    <x v="0"/>
    <n v="3"/>
    <n v="7"/>
    <x v="1"/>
    <x v="0"/>
    <n v="470193"/>
    <n v="359965"/>
    <n v="110228"/>
    <x v="4"/>
    <n v="0"/>
    <n v="1"/>
    <n v="1"/>
    <n v="0"/>
    <n v="1"/>
    <s v="No"/>
    <x v="2"/>
  </r>
  <r>
    <n v="20852"/>
    <d v="2024-02-10T00:00:00"/>
    <x v="0"/>
    <s v="Chennai"/>
    <s v="SC_CHE_1"/>
    <x v="1"/>
    <s v="Cayenne"/>
    <s v="SUV"/>
    <x v="0"/>
    <x v="1"/>
    <x v="0"/>
    <x v="1"/>
    <n v="12"/>
    <n v="7"/>
    <x v="0"/>
    <x v="1"/>
    <n v="590830"/>
    <n v="432686"/>
    <n v="158144"/>
    <x v="1"/>
    <n v="590830"/>
    <n v="0"/>
    <n v="0"/>
    <n v="1"/>
    <n v="1"/>
    <s v="Yes"/>
    <x v="0"/>
  </r>
  <r>
    <n v="20853"/>
    <d v="2024-06-21T00:00:00"/>
    <x v="1"/>
    <s v="Kolkata"/>
    <s v="SC_KOL_4"/>
    <x v="0"/>
    <s v="Macan"/>
    <s v="SUV"/>
    <x v="1"/>
    <x v="2"/>
    <x v="0"/>
    <x v="0"/>
    <n v="11"/>
    <n v="7"/>
    <x v="0"/>
    <x v="1"/>
    <n v="343267"/>
    <n v="277803"/>
    <n v="65464"/>
    <x v="1"/>
    <n v="343267"/>
    <n v="0"/>
    <n v="0"/>
    <n v="1"/>
    <n v="1"/>
    <s v="Yes"/>
    <x v="0"/>
  </r>
  <r>
    <n v="20854"/>
    <d v="2024-03-13T00:00:00"/>
    <x v="3"/>
    <s v="Pune"/>
    <s v="SC_PUN_1"/>
    <x v="0"/>
    <s v="Macan"/>
    <s v="SUV"/>
    <x v="0"/>
    <x v="0"/>
    <x v="2"/>
    <x v="0"/>
    <n v="10"/>
    <n v="7"/>
    <x v="0"/>
    <x v="1"/>
    <n v="268355"/>
    <n v="204744"/>
    <n v="63611"/>
    <x v="1"/>
    <n v="268355"/>
    <n v="0"/>
    <n v="0"/>
    <n v="1"/>
    <n v="1"/>
    <s v="Yes"/>
    <x v="0"/>
  </r>
  <r>
    <n v="20855"/>
    <d v="2024-03-13T00:00:00"/>
    <x v="3"/>
    <s v="Ahmedabad"/>
    <s v="SC_AHM_3"/>
    <x v="0"/>
    <s v="Veyron"/>
    <s v="Hypercar"/>
    <x v="1"/>
    <x v="4"/>
    <x v="2"/>
    <x v="0"/>
    <n v="14"/>
    <n v="7"/>
    <x v="1"/>
    <x v="0"/>
    <n v="442791"/>
    <n v="299610"/>
    <n v="143181"/>
    <x v="2"/>
    <n v="0"/>
    <n v="1"/>
    <n v="1"/>
    <n v="0"/>
    <n v="1"/>
    <s v="Yes"/>
    <x v="1"/>
  </r>
  <r>
    <n v="20856"/>
    <d v="2024-02-15T00:00:00"/>
    <x v="0"/>
    <s v="Hyderabad"/>
    <s v="SC_HYD_2"/>
    <x v="0"/>
    <s v="Panamera"/>
    <s v="Sedan"/>
    <x v="1"/>
    <x v="0"/>
    <x v="1"/>
    <x v="0"/>
    <n v="2"/>
    <n v="7"/>
    <x v="1"/>
    <x v="1"/>
    <n v="359456"/>
    <n v="244229"/>
    <n v="115227"/>
    <x v="4"/>
    <n v="0"/>
    <n v="0"/>
    <n v="1"/>
    <n v="0"/>
    <n v="1"/>
    <s v="No"/>
    <x v="2"/>
  </r>
  <r>
    <n v="20857"/>
    <d v="2024-01-22T00:00:00"/>
    <x v="2"/>
    <s v="Delhi"/>
    <s v="SC_DEL_4"/>
    <x v="1"/>
    <s v="Veyron"/>
    <s v="Hypercar"/>
    <x v="1"/>
    <x v="0"/>
    <x v="0"/>
    <x v="0"/>
    <n v="18"/>
    <n v="7"/>
    <x v="0"/>
    <x v="1"/>
    <n v="552299"/>
    <n v="466862"/>
    <n v="85437"/>
    <x v="0"/>
    <n v="552299"/>
    <n v="0"/>
    <n v="0"/>
    <n v="1"/>
    <n v="1"/>
    <s v="Yes"/>
    <x v="0"/>
  </r>
  <r>
    <n v="20858"/>
    <d v="2024-02-13T00:00:00"/>
    <x v="2"/>
    <s v="Delhi"/>
    <s v="SC_DEL_1"/>
    <x v="1"/>
    <s v="Cayenne"/>
    <s v="SUV"/>
    <x v="0"/>
    <x v="4"/>
    <x v="2"/>
    <x v="0"/>
    <n v="6"/>
    <n v="7"/>
    <x v="0"/>
    <x v="0"/>
    <n v="173716"/>
    <n v="134604"/>
    <n v="39112"/>
    <x v="2"/>
    <n v="0"/>
    <n v="1"/>
    <n v="0"/>
    <n v="1"/>
    <n v="1"/>
    <s v="No"/>
    <x v="1"/>
  </r>
  <r>
    <n v="20859"/>
    <d v="2024-02-27T00:00:00"/>
    <x v="0"/>
    <s v="Bengaluru"/>
    <s v="SC_BEN_5"/>
    <x v="0"/>
    <s v="Panamera"/>
    <s v="Sedan"/>
    <x v="0"/>
    <x v="3"/>
    <x v="0"/>
    <x v="0"/>
    <n v="15"/>
    <n v="7"/>
    <x v="0"/>
    <x v="1"/>
    <n v="476705"/>
    <n v="310930"/>
    <n v="165775"/>
    <x v="0"/>
    <n v="476705"/>
    <n v="0"/>
    <n v="0"/>
    <n v="1"/>
    <n v="1"/>
    <s v="Yes"/>
    <x v="0"/>
  </r>
  <r>
    <n v="20860"/>
    <d v="2024-01-30T00:00:00"/>
    <x v="2"/>
    <s v="Delhi"/>
    <s v="SC_DEL_4"/>
    <x v="0"/>
    <s v="Cayenne"/>
    <s v="SUV"/>
    <x v="0"/>
    <x v="0"/>
    <x v="2"/>
    <x v="0"/>
    <n v="10"/>
    <n v="7"/>
    <x v="1"/>
    <x v="1"/>
    <n v="437411"/>
    <n v="330178"/>
    <n v="107233"/>
    <x v="2"/>
    <n v="0"/>
    <n v="0"/>
    <n v="1"/>
    <n v="0"/>
    <n v="1"/>
    <s v="Yes"/>
    <x v="1"/>
  </r>
  <r>
    <n v="20861"/>
    <d v="2024-01-13T00:00:00"/>
    <x v="2"/>
    <s v="Noida"/>
    <s v="SC_NOI_2"/>
    <x v="0"/>
    <s v="Cayenne"/>
    <s v="SUV"/>
    <x v="1"/>
    <x v="3"/>
    <x v="1"/>
    <x v="1"/>
    <n v="2"/>
    <n v="7"/>
    <x v="1"/>
    <x v="1"/>
    <n v="90656"/>
    <n v="61860"/>
    <n v="28796"/>
    <x v="4"/>
    <n v="0"/>
    <n v="0"/>
    <n v="1"/>
    <n v="0"/>
    <n v="1"/>
    <s v="No"/>
    <x v="2"/>
  </r>
  <r>
    <n v="20862"/>
    <d v="2024-02-21T00:00:00"/>
    <x v="1"/>
    <s v="Bhubaneswar"/>
    <s v="SC_BHU_4"/>
    <x v="2"/>
    <s v="Taycan"/>
    <s v="Sedan"/>
    <x v="1"/>
    <x v="0"/>
    <x v="0"/>
    <x v="1"/>
    <n v="10"/>
    <n v="7"/>
    <x v="1"/>
    <x v="0"/>
    <n v="194669"/>
    <n v="144635"/>
    <n v="50034"/>
    <x v="2"/>
    <n v="0"/>
    <n v="1"/>
    <n v="1"/>
    <n v="0"/>
    <n v="1"/>
    <s v="Yes"/>
    <x v="1"/>
  </r>
  <r>
    <n v="20863"/>
    <d v="2024-03-01T00:00:00"/>
    <x v="0"/>
    <s v="Chennai"/>
    <s v="SC_CHE_5"/>
    <x v="1"/>
    <s v="Chiron"/>
    <s v="Hypercar"/>
    <x v="0"/>
    <x v="1"/>
    <x v="1"/>
    <x v="1"/>
    <n v="21"/>
    <n v="7"/>
    <x v="1"/>
    <x v="0"/>
    <n v="398452"/>
    <n v="213364"/>
    <n v="185088"/>
    <x v="0"/>
    <n v="0"/>
    <n v="1"/>
    <n v="1"/>
    <n v="0"/>
    <n v="1"/>
    <s v="Yes"/>
    <x v="0"/>
  </r>
  <r>
    <n v="20864"/>
    <d v="2024-02-16T00:00:00"/>
    <x v="0"/>
    <s v="Bengaluru"/>
    <s v="SC_BEN_5"/>
    <x v="2"/>
    <s v="Macan"/>
    <s v="SUV"/>
    <x v="1"/>
    <x v="0"/>
    <x v="2"/>
    <x v="1"/>
    <n v="8"/>
    <n v="7"/>
    <x v="0"/>
    <x v="1"/>
    <n v="396635"/>
    <n v="225808"/>
    <n v="170827"/>
    <x v="2"/>
    <n v="396635"/>
    <n v="0"/>
    <n v="0"/>
    <n v="1"/>
    <n v="1"/>
    <s v="Yes"/>
    <x v="1"/>
  </r>
  <r>
    <n v="20865"/>
    <d v="2024-05-12T00:00:00"/>
    <x v="3"/>
    <s v="Pune"/>
    <s v="SC_PUN_3"/>
    <x v="2"/>
    <s v="Taycan"/>
    <s v="Sedan"/>
    <x v="0"/>
    <x v="0"/>
    <x v="1"/>
    <x v="1"/>
    <n v="5"/>
    <n v="7"/>
    <x v="1"/>
    <x v="1"/>
    <n v="416627"/>
    <n v="326134"/>
    <n v="90493"/>
    <x v="3"/>
    <n v="0"/>
    <n v="0"/>
    <n v="1"/>
    <n v="0"/>
    <n v="1"/>
    <s v="No"/>
    <x v="2"/>
  </r>
  <r>
    <n v="20866"/>
    <d v="2024-04-25T00:00:00"/>
    <x v="0"/>
    <s v="Bengaluru"/>
    <s v="SC_BEN_3"/>
    <x v="0"/>
    <s v="Panamera"/>
    <s v="Sedan"/>
    <x v="0"/>
    <x v="1"/>
    <x v="0"/>
    <x v="0"/>
    <n v="18"/>
    <n v="7"/>
    <x v="0"/>
    <x v="0"/>
    <n v="348128"/>
    <n v="262819"/>
    <n v="85309"/>
    <x v="0"/>
    <n v="0"/>
    <n v="1"/>
    <n v="0"/>
    <n v="1"/>
    <n v="1"/>
    <s v="Yes"/>
    <x v="0"/>
  </r>
  <r>
    <n v="20867"/>
    <d v="2024-02-18T00:00:00"/>
    <x v="0"/>
    <s v="Hyderabad"/>
    <s v="SC_HYD_2"/>
    <x v="2"/>
    <s v="Taycan"/>
    <s v="Sedan"/>
    <x v="0"/>
    <x v="4"/>
    <x v="2"/>
    <x v="0"/>
    <n v="14"/>
    <n v="7"/>
    <x v="0"/>
    <x v="1"/>
    <n v="104110"/>
    <n v="66458"/>
    <n v="37652"/>
    <x v="1"/>
    <n v="104110"/>
    <n v="0"/>
    <n v="0"/>
    <n v="1"/>
    <n v="1"/>
    <s v="Yes"/>
    <x v="0"/>
  </r>
  <r>
    <n v="20868"/>
    <d v="2024-03-15T00:00:00"/>
    <x v="3"/>
    <s v="Mumbai"/>
    <s v="SC_MUM_2"/>
    <x v="2"/>
    <s v="Cayenne"/>
    <s v="SUV"/>
    <x v="1"/>
    <x v="1"/>
    <x v="2"/>
    <x v="1"/>
    <n v="21"/>
    <n v="7"/>
    <x v="0"/>
    <x v="1"/>
    <n v="116417"/>
    <n v="78989"/>
    <n v="37428"/>
    <x v="0"/>
    <n v="116417"/>
    <n v="0"/>
    <n v="0"/>
    <n v="1"/>
    <n v="1"/>
    <s v="Yes"/>
    <x v="0"/>
  </r>
  <r>
    <n v="20869"/>
    <d v="2024-06-09T00:00:00"/>
    <x v="0"/>
    <s v="Bengaluru"/>
    <s v="SC_BEN_3"/>
    <x v="1"/>
    <s v="Taycan"/>
    <s v="Sedan"/>
    <x v="1"/>
    <x v="3"/>
    <x v="2"/>
    <x v="0"/>
    <n v="22"/>
    <n v="7"/>
    <x v="1"/>
    <x v="0"/>
    <n v="586739"/>
    <n v="419025"/>
    <n v="167714"/>
    <x v="0"/>
    <n v="0"/>
    <n v="1"/>
    <n v="1"/>
    <n v="0"/>
    <n v="1"/>
    <s v="Yes"/>
    <x v="0"/>
  </r>
  <r>
    <n v="20870"/>
    <d v="2024-02-21T00:00:00"/>
    <x v="2"/>
    <s v="Delhi"/>
    <s v="SC_DEL_3"/>
    <x v="0"/>
    <s v="Chiron"/>
    <s v="Hypercar"/>
    <x v="1"/>
    <x v="3"/>
    <x v="2"/>
    <x v="0"/>
    <n v="15"/>
    <n v="7"/>
    <x v="1"/>
    <x v="0"/>
    <n v="458653"/>
    <n v="343676"/>
    <n v="114977"/>
    <x v="1"/>
    <n v="0"/>
    <n v="1"/>
    <n v="1"/>
    <n v="0"/>
    <n v="1"/>
    <s v="Yes"/>
    <x v="0"/>
  </r>
  <r>
    <n v="20871"/>
    <d v="2024-06-12T00:00:00"/>
    <x v="1"/>
    <s v="Kolkata"/>
    <s v="SC_KOL_1"/>
    <x v="1"/>
    <s v="Panamera"/>
    <s v="Sedan"/>
    <x v="1"/>
    <x v="0"/>
    <x v="2"/>
    <x v="0"/>
    <n v="19"/>
    <n v="7"/>
    <x v="1"/>
    <x v="1"/>
    <n v="511898"/>
    <n v="402166"/>
    <n v="109732"/>
    <x v="1"/>
    <n v="0"/>
    <n v="0"/>
    <n v="1"/>
    <n v="0"/>
    <n v="1"/>
    <s v="Yes"/>
    <x v="0"/>
  </r>
  <r>
    <n v="20872"/>
    <d v="2024-04-20T00:00:00"/>
    <x v="3"/>
    <s v="Pune"/>
    <s v="SC_PUN_4"/>
    <x v="2"/>
    <s v="Macan"/>
    <s v="SUV"/>
    <x v="0"/>
    <x v="4"/>
    <x v="2"/>
    <x v="1"/>
    <n v="15"/>
    <n v="7"/>
    <x v="1"/>
    <x v="0"/>
    <n v="549102"/>
    <n v="411932"/>
    <n v="137170"/>
    <x v="1"/>
    <n v="0"/>
    <n v="1"/>
    <n v="1"/>
    <n v="0"/>
    <n v="1"/>
    <s v="Yes"/>
    <x v="0"/>
  </r>
  <r>
    <n v="20873"/>
    <d v="2024-03-30T00:00:00"/>
    <x v="3"/>
    <s v="Mumbai"/>
    <s v="SC_MUM_4"/>
    <x v="1"/>
    <s v="Panamera"/>
    <s v="Sedan"/>
    <x v="0"/>
    <x v="2"/>
    <x v="2"/>
    <x v="1"/>
    <n v="4"/>
    <n v="7"/>
    <x v="1"/>
    <x v="1"/>
    <n v="203890"/>
    <n v="146412"/>
    <n v="57478"/>
    <x v="4"/>
    <n v="0"/>
    <n v="0"/>
    <n v="1"/>
    <n v="0"/>
    <n v="1"/>
    <s v="No"/>
    <x v="2"/>
  </r>
  <r>
    <n v="20874"/>
    <d v="2024-01-02T00:00:00"/>
    <x v="1"/>
    <s v="Patna"/>
    <s v="SC_PAT_5"/>
    <x v="2"/>
    <s v="Panamera"/>
    <s v="Sedan"/>
    <x v="0"/>
    <x v="2"/>
    <x v="0"/>
    <x v="0"/>
    <n v="23"/>
    <n v="7"/>
    <x v="0"/>
    <x v="1"/>
    <n v="490206"/>
    <n v="319477"/>
    <n v="170729"/>
    <x v="0"/>
    <n v="490206"/>
    <n v="0"/>
    <n v="0"/>
    <n v="1"/>
    <n v="1"/>
    <s v="Yes"/>
    <x v="0"/>
  </r>
  <r>
    <n v="20875"/>
    <d v="2024-02-24T00:00:00"/>
    <x v="3"/>
    <s v="Mumbai"/>
    <s v="SC_MUM_1"/>
    <x v="2"/>
    <s v="Panamera"/>
    <s v="Sedan"/>
    <x v="1"/>
    <x v="1"/>
    <x v="0"/>
    <x v="0"/>
    <n v="13"/>
    <n v="7"/>
    <x v="0"/>
    <x v="0"/>
    <n v="472226"/>
    <n v="305776"/>
    <n v="166450"/>
    <x v="1"/>
    <n v="0"/>
    <n v="1"/>
    <n v="0"/>
    <n v="1"/>
    <n v="1"/>
    <s v="Yes"/>
    <x v="0"/>
  </r>
  <r>
    <n v="20876"/>
    <d v="2024-02-08T00:00:00"/>
    <x v="0"/>
    <s v="Chennai"/>
    <s v="SC_CHE_4"/>
    <x v="1"/>
    <s v="Macan"/>
    <s v="SUV"/>
    <x v="1"/>
    <x v="1"/>
    <x v="1"/>
    <x v="0"/>
    <n v="8"/>
    <n v="7"/>
    <x v="0"/>
    <x v="1"/>
    <n v="451936"/>
    <n v="231505"/>
    <n v="220431"/>
    <x v="2"/>
    <n v="451936"/>
    <n v="0"/>
    <n v="0"/>
    <n v="1"/>
    <n v="1"/>
    <s v="Yes"/>
    <x v="1"/>
  </r>
  <r>
    <n v="20877"/>
    <d v="2024-03-03T00:00:00"/>
    <x v="3"/>
    <s v="Mumbai"/>
    <s v="SC_MUM_3"/>
    <x v="2"/>
    <s v="Chiron"/>
    <s v="Hypercar"/>
    <x v="1"/>
    <x v="2"/>
    <x v="0"/>
    <x v="0"/>
    <n v="6"/>
    <n v="7"/>
    <x v="0"/>
    <x v="0"/>
    <n v="321349"/>
    <n v="263381"/>
    <n v="57968"/>
    <x v="2"/>
    <n v="0"/>
    <n v="1"/>
    <n v="0"/>
    <n v="1"/>
    <n v="1"/>
    <s v="No"/>
    <x v="1"/>
  </r>
  <r>
    <n v="20878"/>
    <d v="2024-02-14T00:00:00"/>
    <x v="0"/>
    <s v="Hyderabad"/>
    <s v="SC_HYD_4"/>
    <x v="0"/>
    <s v="Taycan"/>
    <s v="Sedan"/>
    <x v="0"/>
    <x v="4"/>
    <x v="0"/>
    <x v="0"/>
    <n v="20"/>
    <n v="7"/>
    <x v="0"/>
    <x v="0"/>
    <n v="267435"/>
    <n v="173000"/>
    <n v="94435"/>
    <x v="0"/>
    <n v="0"/>
    <n v="1"/>
    <n v="0"/>
    <n v="1"/>
    <n v="1"/>
    <s v="Yes"/>
    <x v="0"/>
  </r>
  <r>
    <n v="20879"/>
    <d v="2024-03-05T00:00:00"/>
    <x v="2"/>
    <s v="Noida"/>
    <s v="SC_NOI_5"/>
    <x v="1"/>
    <s v="Chiron"/>
    <s v="Hypercar"/>
    <x v="1"/>
    <x v="3"/>
    <x v="2"/>
    <x v="1"/>
    <n v="25"/>
    <n v="7"/>
    <x v="0"/>
    <x v="0"/>
    <n v="503883"/>
    <n v="369841"/>
    <n v="134042"/>
    <x v="0"/>
    <n v="0"/>
    <n v="1"/>
    <n v="0"/>
    <n v="1"/>
    <n v="1"/>
    <s v="Yes"/>
    <x v="0"/>
  </r>
  <r>
    <n v="20880"/>
    <d v="2024-06-13T00:00:00"/>
    <x v="2"/>
    <s v="Gurugram"/>
    <s v="SC_GUR_3"/>
    <x v="2"/>
    <s v="Macan"/>
    <s v="SUV"/>
    <x v="1"/>
    <x v="2"/>
    <x v="2"/>
    <x v="0"/>
    <n v="3"/>
    <n v="7"/>
    <x v="0"/>
    <x v="1"/>
    <n v="560597"/>
    <n v="376656"/>
    <n v="183941"/>
    <x v="3"/>
    <n v="560597"/>
    <n v="0"/>
    <n v="0"/>
    <n v="1"/>
    <n v="1"/>
    <s v="No"/>
    <x v="2"/>
  </r>
  <r>
    <n v="20881"/>
    <d v="2024-02-29T00:00:00"/>
    <x v="3"/>
    <s v="Ahmedabad"/>
    <s v="SC_AHM_4"/>
    <x v="2"/>
    <s v="Panamera"/>
    <s v="Sedan"/>
    <x v="0"/>
    <x v="3"/>
    <x v="0"/>
    <x v="1"/>
    <n v="12"/>
    <n v="7"/>
    <x v="0"/>
    <x v="1"/>
    <n v="403722"/>
    <n v="224803"/>
    <n v="178919"/>
    <x v="1"/>
    <n v="403722"/>
    <n v="0"/>
    <n v="0"/>
    <n v="1"/>
    <n v="1"/>
    <s v="Yes"/>
    <x v="0"/>
  </r>
  <r>
    <n v="20882"/>
    <d v="2024-05-14T00:00:00"/>
    <x v="0"/>
    <s v="Chennai"/>
    <s v="SC_CHE_2"/>
    <x v="0"/>
    <s v="Macan"/>
    <s v="SUV"/>
    <x v="1"/>
    <x v="2"/>
    <x v="0"/>
    <x v="1"/>
    <n v="9"/>
    <n v="7"/>
    <x v="1"/>
    <x v="1"/>
    <n v="254783"/>
    <n v="204228"/>
    <n v="50555"/>
    <x v="3"/>
    <n v="0"/>
    <n v="0"/>
    <n v="1"/>
    <n v="0"/>
    <n v="1"/>
    <s v="Yes"/>
    <x v="2"/>
  </r>
  <r>
    <n v="20883"/>
    <d v="2024-05-31T00:00:00"/>
    <x v="3"/>
    <s v="Mumbai"/>
    <s v="SC_MUM_5"/>
    <x v="0"/>
    <s v="911"/>
    <s v="Coupe"/>
    <x v="1"/>
    <x v="3"/>
    <x v="2"/>
    <x v="1"/>
    <n v="12"/>
    <n v="7"/>
    <x v="0"/>
    <x v="1"/>
    <n v="259807"/>
    <n v="179460"/>
    <n v="80347"/>
    <x v="1"/>
    <n v="259807"/>
    <n v="0"/>
    <n v="0"/>
    <n v="1"/>
    <n v="1"/>
    <s v="Yes"/>
    <x v="0"/>
  </r>
  <r>
    <n v="20884"/>
    <d v="2024-04-03T00:00:00"/>
    <x v="1"/>
    <s v="Kolkata"/>
    <s v="SC_KOL_5"/>
    <x v="0"/>
    <s v="Macan"/>
    <s v="SUV"/>
    <x v="0"/>
    <x v="0"/>
    <x v="2"/>
    <x v="0"/>
    <n v="23"/>
    <n v="7"/>
    <x v="0"/>
    <x v="0"/>
    <n v="234679"/>
    <n v="189426"/>
    <n v="45253"/>
    <x v="0"/>
    <n v="0"/>
    <n v="1"/>
    <n v="0"/>
    <n v="1"/>
    <n v="1"/>
    <s v="Yes"/>
    <x v="0"/>
  </r>
  <r>
    <n v="20885"/>
    <d v="2024-05-19T00:00:00"/>
    <x v="1"/>
    <s v="Kolkata"/>
    <s v="SC_KOL_5"/>
    <x v="1"/>
    <s v="Chiron"/>
    <s v="Hypercar"/>
    <x v="0"/>
    <x v="4"/>
    <x v="2"/>
    <x v="0"/>
    <n v="5"/>
    <n v="7"/>
    <x v="1"/>
    <x v="1"/>
    <n v="504815"/>
    <n v="314176"/>
    <n v="190639"/>
    <x v="3"/>
    <n v="0"/>
    <n v="0"/>
    <n v="1"/>
    <n v="0"/>
    <n v="1"/>
    <s v="No"/>
    <x v="2"/>
  </r>
  <r>
    <n v="20886"/>
    <d v="2024-05-24T00:00:00"/>
    <x v="1"/>
    <s v="Kolkata"/>
    <s v="SC_KOL_3"/>
    <x v="1"/>
    <s v="Panamera"/>
    <s v="Sedan"/>
    <x v="1"/>
    <x v="3"/>
    <x v="2"/>
    <x v="0"/>
    <n v="4"/>
    <n v="7"/>
    <x v="0"/>
    <x v="0"/>
    <n v="469217"/>
    <n v="349666"/>
    <n v="119551"/>
    <x v="3"/>
    <n v="0"/>
    <n v="1"/>
    <n v="0"/>
    <n v="1"/>
    <n v="1"/>
    <s v="No"/>
    <x v="2"/>
  </r>
  <r>
    <n v="20887"/>
    <d v="2024-01-21T00:00:00"/>
    <x v="2"/>
    <s v="Delhi"/>
    <s v="SC_DEL_2"/>
    <x v="2"/>
    <s v="Macan"/>
    <s v="SUV"/>
    <x v="1"/>
    <x v="3"/>
    <x v="1"/>
    <x v="0"/>
    <n v="22"/>
    <n v="7"/>
    <x v="1"/>
    <x v="0"/>
    <n v="527876"/>
    <n v="406748"/>
    <n v="121128"/>
    <x v="0"/>
    <n v="0"/>
    <n v="1"/>
    <n v="1"/>
    <n v="0"/>
    <n v="1"/>
    <s v="Yes"/>
    <x v="0"/>
  </r>
  <r>
    <n v="20888"/>
    <d v="2024-03-26T00:00:00"/>
    <x v="1"/>
    <s v="Patna"/>
    <s v="SC_PAT_4"/>
    <x v="0"/>
    <s v="Panamera"/>
    <s v="Sedan"/>
    <x v="0"/>
    <x v="1"/>
    <x v="1"/>
    <x v="0"/>
    <n v="11"/>
    <n v="7"/>
    <x v="1"/>
    <x v="0"/>
    <n v="372204"/>
    <n v="266329"/>
    <n v="105875"/>
    <x v="2"/>
    <n v="0"/>
    <n v="1"/>
    <n v="1"/>
    <n v="0"/>
    <n v="1"/>
    <s v="Yes"/>
    <x v="1"/>
  </r>
  <r>
    <n v="20889"/>
    <d v="2024-05-18T00:00:00"/>
    <x v="1"/>
    <s v="Bhubaneswar"/>
    <s v="SC_BHU_5"/>
    <x v="1"/>
    <s v="Cayenne"/>
    <s v="SUV"/>
    <x v="0"/>
    <x v="0"/>
    <x v="0"/>
    <x v="0"/>
    <n v="20"/>
    <n v="7"/>
    <x v="0"/>
    <x v="0"/>
    <n v="302210"/>
    <n v="188550"/>
    <n v="113660"/>
    <x v="0"/>
    <n v="0"/>
    <n v="1"/>
    <n v="0"/>
    <n v="1"/>
    <n v="1"/>
    <s v="Yes"/>
    <x v="0"/>
  </r>
  <r>
    <n v="20890"/>
    <d v="2024-06-28T00:00:00"/>
    <x v="2"/>
    <s v="Gurugram"/>
    <s v="SC_GUR_2"/>
    <x v="1"/>
    <s v="Macan"/>
    <s v="SUV"/>
    <x v="1"/>
    <x v="3"/>
    <x v="2"/>
    <x v="0"/>
    <n v="11"/>
    <n v="7"/>
    <x v="0"/>
    <x v="0"/>
    <n v="386104"/>
    <n v="235002"/>
    <n v="151102"/>
    <x v="1"/>
    <n v="0"/>
    <n v="1"/>
    <n v="0"/>
    <n v="1"/>
    <n v="1"/>
    <s v="Yes"/>
    <x v="0"/>
  </r>
  <r>
    <n v="20891"/>
    <d v="2024-05-26T00:00:00"/>
    <x v="3"/>
    <s v="Pune"/>
    <s v="SC_PUN_1"/>
    <x v="2"/>
    <s v="Panamera"/>
    <s v="Sedan"/>
    <x v="1"/>
    <x v="1"/>
    <x v="0"/>
    <x v="0"/>
    <n v="25"/>
    <n v="7"/>
    <x v="0"/>
    <x v="0"/>
    <n v="439754"/>
    <n v="318763"/>
    <n v="120991"/>
    <x v="0"/>
    <n v="0"/>
    <n v="1"/>
    <n v="0"/>
    <n v="1"/>
    <n v="1"/>
    <s v="Yes"/>
    <x v="0"/>
  </r>
  <r>
    <n v="20892"/>
    <d v="2024-03-11T00:00:00"/>
    <x v="2"/>
    <s v="Delhi"/>
    <s v="SC_DEL_4"/>
    <x v="2"/>
    <s v="Cayenne"/>
    <s v="SUV"/>
    <x v="1"/>
    <x v="0"/>
    <x v="2"/>
    <x v="1"/>
    <n v="22"/>
    <n v="7"/>
    <x v="1"/>
    <x v="1"/>
    <n v="364729"/>
    <n v="302127"/>
    <n v="62602"/>
    <x v="0"/>
    <n v="0"/>
    <n v="0"/>
    <n v="1"/>
    <n v="0"/>
    <n v="1"/>
    <s v="Yes"/>
    <x v="0"/>
  </r>
  <r>
    <n v="20893"/>
    <d v="2024-05-01T00:00:00"/>
    <x v="3"/>
    <s v="Pune"/>
    <s v="SC_PUN_3"/>
    <x v="2"/>
    <s v="Panamera"/>
    <s v="Sedan"/>
    <x v="0"/>
    <x v="3"/>
    <x v="2"/>
    <x v="0"/>
    <n v="17"/>
    <n v="7"/>
    <x v="1"/>
    <x v="1"/>
    <n v="358978"/>
    <n v="194341"/>
    <n v="164637"/>
    <x v="1"/>
    <n v="0"/>
    <n v="0"/>
    <n v="1"/>
    <n v="0"/>
    <n v="1"/>
    <s v="Yes"/>
    <x v="0"/>
  </r>
  <r>
    <n v="20894"/>
    <d v="2024-04-25T00:00:00"/>
    <x v="2"/>
    <s v="Delhi"/>
    <s v="SC_DEL_2"/>
    <x v="1"/>
    <s v="Chiron"/>
    <s v="Hypercar"/>
    <x v="0"/>
    <x v="4"/>
    <x v="2"/>
    <x v="0"/>
    <n v="13"/>
    <n v="7"/>
    <x v="0"/>
    <x v="1"/>
    <n v="181884"/>
    <n v="108449"/>
    <n v="73435"/>
    <x v="1"/>
    <n v="181884"/>
    <n v="0"/>
    <n v="0"/>
    <n v="1"/>
    <n v="1"/>
    <s v="Yes"/>
    <x v="0"/>
  </r>
  <r>
    <n v="20895"/>
    <d v="2024-04-24T00:00:00"/>
    <x v="0"/>
    <s v="Bengaluru"/>
    <s v="SC_BEN_3"/>
    <x v="2"/>
    <s v="Macan"/>
    <s v="SUV"/>
    <x v="1"/>
    <x v="2"/>
    <x v="1"/>
    <x v="1"/>
    <n v="12"/>
    <n v="7"/>
    <x v="0"/>
    <x v="0"/>
    <n v="321762"/>
    <n v="218087"/>
    <n v="103675"/>
    <x v="1"/>
    <n v="0"/>
    <n v="1"/>
    <n v="0"/>
    <n v="1"/>
    <n v="1"/>
    <s v="Yes"/>
    <x v="0"/>
  </r>
  <r>
    <n v="20896"/>
    <d v="2024-01-23T00:00:00"/>
    <x v="0"/>
    <s v="Bengaluru"/>
    <s v="SC_BEN_3"/>
    <x v="0"/>
    <s v="Chiron"/>
    <s v="Hypercar"/>
    <x v="1"/>
    <x v="0"/>
    <x v="2"/>
    <x v="0"/>
    <n v="23"/>
    <n v="7"/>
    <x v="0"/>
    <x v="1"/>
    <n v="422474"/>
    <n v="257852"/>
    <n v="164622"/>
    <x v="0"/>
    <n v="422474"/>
    <n v="0"/>
    <n v="0"/>
    <n v="1"/>
    <n v="1"/>
    <s v="Yes"/>
    <x v="0"/>
  </r>
  <r>
    <n v="20897"/>
    <d v="2024-06-16T00:00:00"/>
    <x v="1"/>
    <s v="Bhubaneswar"/>
    <s v="SC_BHU_5"/>
    <x v="2"/>
    <s v="Macan"/>
    <s v="SUV"/>
    <x v="0"/>
    <x v="3"/>
    <x v="0"/>
    <x v="1"/>
    <n v="19"/>
    <n v="7"/>
    <x v="0"/>
    <x v="1"/>
    <n v="597443"/>
    <n v="506371"/>
    <n v="91072"/>
    <x v="0"/>
    <n v="597443"/>
    <n v="0"/>
    <n v="0"/>
    <n v="1"/>
    <n v="1"/>
    <s v="Yes"/>
    <x v="0"/>
  </r>
  <r>
    <n v="20898"/>
    <d v="2024-03-02T00:00:00"/>
    <x v="0"/>
    <s v="Chennai"/>
    <s v="SC_CHE_3"/>
    <x v="2"/>
    <s v="Macan"/>
    <s v="SUV"/>
    <x v="0"/>
    <x v="4"/>
    <x v="1"/>
    <x v="0"/>
    <n v="14"/>
    <n v="7"/>
    <x v="0"/>
    <x v="1"/>
    <n v="252002"/>
    <n v="136319"/>
    <n v="115683"/>
    <x v="1"/>
    <n v="252002"/>
    <n v="0"/>
    <n v="0"/>
    <n v="1"/>
    <n v="1"/>
    <s v="Yes"/>
    <x v="0"/>
  </r>
  <r>
    <n v="20899"/>
    <d v="2024-05-14T00:00:00"/>
    <x v="3"/>
    <s v="Pune"/>
    <s v="SC_PUN_4"/>
    <x v="2"/>
    <s v="Macan"/>
    <s v="SUV"/>
    <x v="1"/>
    <x v="0"/>
    <x v="2"/>
    <x v="0"/>
    <n v="12"/>
    <n v="7"/>
    <x v="0"/>
    <x v="0"/>
    <n v="521998"/>
    <n v="306456"/>
    <n v="215542"/>
    <x v="1"/>
    <n v="0"/>
    <n v="1"/>
    <n v="0"/>
    <n v="1"/>
    <n v="1"/>
    <s v="Yes"/>
    <x v="0"/>
  </r>
  <r>
    <n v="20900"/>
    <d v="2024-03-29T00:00:00"/>
    <x v="1"/>
    <s v="Bhubaneswar"/>
    <s v="SC_BHU_5"/>
    <x v="0"/>
    <s v="Cayenne"/>
    <s v="SUV"/>
    <x v="1"/>
    <x v="0"/>
    <x v="2"/>
    <x v="1"/>
    <n v="10"/>
    <n v="7"/>
    <x v="1"/>
    <x v="1"/>
    <n v="526567"/>
    <n v="377027"/>
    <n v="149540"/>
    <x v="2"/>
    <n v="0"/>
    <n v="0"/>
    <n v="1"/>
    <n v="0"/>
    <n v="1"/>
    <s v="Yes"/>
    <x v="1"/>
  </r>
  <r>
    <n v="20901"/>
    <d v="2024-03-27T00:00:00"/>
    <x v="1"/>
    <s v="Patna"/>
    <s v="SC_PAT_5"/>
    <x v="2"/>
    <s v="Cayenne"/>
    <s v="SUV"/>
    <x v="0"/>
    <x v="1"/>
    <x v="2"/>
    <x v="1"/>
    <n v="12"/>
    <n v="7"/>
    <x v="1"/>
    <x v="0"/>
    <n v="321184"/>
    <n v="260098"/>
    <n v="61086"/>
    <x v="2"/>
    <n v="0"/>
    <n v="1"/>
    <n v="1"/>
    <n v="0"/>
    <n v="1"/>
    <s v="Yes"/>
    <x v="1"/>
  </r>
  <r>
    <n v="20902"/>
    <d v="2024-05-16T00:00:00"/>
    <x v="1"/>
    <s v="Kolkata"/>
    <s v="SC_KOL_4"/>
    <x v="2"/>
    <s v="Chiron"/>
    <s v="Hypercar"/>
    <x v="1"/>
    <x v="1"/>
    <x v="2"/>
    <x v="0"/>
    <n v="16"/>
    <n v="7"/>
    <x v="0"/>
    <x v="1"/>
    <n v="300996"/>
    <n v="174597"/>
    <n v="126399"/>
    <x v="0"/>
    <n v="300996"/>
    <n v="0"/>
    <n v="0"/>
    <n v="1"/>
    <n v="1"/>
    <s v="Yes"/>
    <x v="0"/>
  </r>
  <r>
    <n v="20903"/>
    <d v="2024-04-03T00:00:00"/>
    <x v="3"/>
    <s v="Mumbai"/>
    <s v="SC_MUM_4"/>
    <x v="2"/>
    <s v="Macan"/>
    <s v="SUV"/>
    <x v="1"/>
    <x v="1"/>
    <x v="2"/>
    <x v="1"/>
    <n v="20"/>
    <n v="7"/>
    <x v="1"/>
    <x v="0"/>
    <n v="378152"/>
    <n v="285547"/>
    <n v="92605"/>
    <x v="0"/>
    <n v="0"/>
    <n v="1"/>
    <n v="1"/>
    <n v="0"/>
    <n v="1"/>
    <s v="Yes"/>
    <x v="0"/>
  </r>
  <r>
    <n v="20904"/>
    <d v="2024-05-09T00:00:00"/>
    <x v="2"/>
    <s v="Gurugram"/>
    <s v="SC_GUR_3"/>
    <x v="2"/>
    <s v="Cayenne"/>
    <s v="SUV"/>
    <x v="1"/>
    <x v="2"/>
    <x v="1"/>
    <x v="0"/>
    <n v="14"/>
    <n v="7"/>
    <x v="0"/>
    <x v="1"/>
    <n v="108901"/>
    <n v="71036"/>
    <n v="37865"/>
    <x v="1"/>
    <n v="108901"/>
    <n v="0"/>
    <n v="0"/>
    <n v="1"/>
    <n v="1"/>
    <s v="Yes"/>
    <x v="0"/>
  </r>
  <r>
    <n v="20905"/>
    <d v="2024-01-18T00:00:00"/>
    <x v="2"/>
    <s v="Gurugram"/>
    <s v="SC_GUR_4"/>
    <x v="1"/>
    <s v="Panamera"/>
    <s v="Sedan"/>
    <x v="1"/>
    <x v="4"/>
    <x v="2"/>
    <x v="0"/>
    <n v="3"/>
    <n v="7"/>
    <x v="0"/>
    <x v="1"/>
    <n v="519216"/>
    <n v="266538"/>
    <n v="252678"/>
    <x v="3"/>
    <n v="519216"/>
    <n v="0"/>
    <n v="0"/>
    <n v="1"/>
    <n v="1"/>
    <s v="No"/>
    <x v="2"/>
  </r>
  <r>
    <n v="20906"/>
    <d v="2024-02-09T00:00:00"/>
    <x v="1"/>
    <s v="Bhubaneswar"/>
    <s v="SC_BHU_4"/>
    <x v="1"/>
    <s v="Veyron"/>
    <s v="Hypercar"/>
    <x v="1"/>
    <x v="4"/>
    <x v="0"/>
    <x v="0"/>
    <n v="4"/>
    <n v="7"/>
    <x v="0"/>
    <x v="0"/>
    <n v="384683"/>
    <n v="311719"/>
    <n v="72964"/>
    <x v="3"/>
    <n v="0"/>
    <n v="1"/>
    <n v="0"/>
    <n v="1"/>
    <n v="1"/>
    <s v="No"/>
    <x v="2"/>
  </r>
  <r>
    <n v="20907"/>
    <d v="2024-02-15T00:00:00"/>
    <x v="2"/>
    <s v="Gurugram"/>
    <s v="SC_GUR_4"/>
    <x v="0"/>
    <s v="Panamera"/>
    <s v="Sedan"/>
    <x v="1"/>
    <x v="4"/>
    <x v="1"/>
    <x v="0"/>
    <n v="9"/>
    <n v="7"/>
    <x v="1"/>
    <x v="0"/>
    <n v="305401"/>
    <n v="218761"/>
    <n v="86640"/>
    <x v="3"/>
    <n v="0"/>
    <n v="1"/>
    <n v="1"/>
    <n v="0"/>
    <n v="1"/>
    <s v="Yes"/>
    <x v="2"/>
  </r>
  <r>
    <n v="20908"/>
    <d v="2024-04-06T00:00:00"/>
    <x v="3"/>
    <s v="Pune"/>
    <s v="SC_PUN_1"/>
    <x v="2"/>
    <s v="Panamera"/>
    <s v="Sedan"/>
    <x v="1"/>
    <x v="4"/>
    <x v="0"/>
    <x v="0"/>
    <n v="7"/>
    <n v="7"/>
    <x v="1"/>
    <x v="0"/>
    <n v="268321"/>
    <n v="202020"/>
    <n v="66301"/>
    <x v="3"/>
    <n v="0"/>
    <n v="1"/>
    <n v="1"/>
    <n v="0"/>
    <n v="1"/>
    <s v="No"/>
    <x v="2"/>
  </r>
  <r>
    <n v="20909"/>
    <d v="2024-04-14T00:00:00"/>
    <x v="1"/>
    <s v="Bhubaneswar"/>
    <s v="SC_BHU_4"/>
    <x v="1"/>
    <s v="Panamera"/>
    <s v="Sedan"/>
    <x v="0"/>
    <x v="0"/>
    <x v="0"/>
    <x v="0"/>
    <n v="17"/>
    <n v="7"/>
    <x v="0"/>
    <x v="1"/>
    <n v="546520"/>
    <n v="359222"/>
    <n v="187298"/>
    <x v="0"/>
    <n v="546520"/>
    <n v="0"/>
    <n v="0"/>
    <n v="1"/>
    <n v="1"/>
    <s v="Yes"/>
    <x v="0"/>
  </r>
  <r>
    <n v="20910"/>
    <d v="2024-03-01T00:00:00"/>
    <x v="0"/>
    <s v="Hyderabad"/>
    <s v="SC_HYD_2"/>
    <x v="0"/>
    <s v="Macan"/>
    <s v="SUV"/>
    <x v="0"/>
    <x v="4"/>
    <x v="2"/>
    <x v="0"/>
    <n v="20"/>
    <n v="7"/>
    <x v="0"/>
    <x v="0"/>
    <n v="353708"/>
    <n v="214045"/>
    <n v="139663"/>
    <x v="0"/>
    <n v="0"/>
    <n v="1"/>
    <n v="0"/>
    <n v="1"/>
    <n v="1"/>
    <s v="Yes"/>
    <x v="0"/>
  </r>
  <r>
    <n v="20911"/>
    <d v="2024-02-23T00:00:00"/>
    <x v="3"/>
    <s v="Pune"/>
    <s v="SC_PUN_1"/>
    <x v="0"/>
    <s v="911"/>
    <s v="Coupe"/>
    <x v="1"/>
    <x v="3"/>
    <x v="0"/>
    <x v="0"/>
    <n v="4"/>
    <n v="7"/>
    <x v="0"/>
    <x v="1"/>
    <n v="430429"/>
    <n v="219502"/>
    <n v="210927"/>
    <x v="3"/>
    <n v="430429"/>
    <n v="0"/>
    <n v="0"/>
    <n v="1"/>
    <n v="1"/>
    <s v="No"/>
    <x v="2"/>
  </r>
  <r>
    <n v="20912"/>
    <d v="2024-02-02T00:00:00"/>
    <x v="0"/>
    <s v="Chennai"/>
    <s v="SC_CHE_5"/>
    <x v="0"/>
    <s v="911"/>
    <s v="Coupe"/>
    <x v="1"/>
    <x v="4"/>
    <x v="2"/>
    <x v="1"/>
    <n v="4"/>
    <n v="7"/>
    <x v="0"/>
    <x v="1"/>
    <n v="568779"/>
    <n v="361178"/>
    <n v="207601"/>
    <x v="3"/>
    <n v="568779"/>
    <n v="0"/>
    <n v="0"/>
    <n v="1"/>
    <n v="1"/>
    <s v="No"/>
    <x v="2"/>
  </r>
  <r>
    <n v="20913"/>
    <d v="2024-01-20T00:00:00"/>
    <x v="2"/>
    <s v="Gurugram"/>
    <s v="SC_GUR_3"/>
    <x v="1"/>
    <s v="911"/>
    <s v="Coupe"/>
    <x v="0"/>
    <x v="1"/>
    <x v="0"/>
    <x v="0"/>
    <n v="16"/>
    <n v="7"/>
    <x v="0"/>
    <x v="1"/>
    <n v="338906"/>
    <n v="222211"/>
    <n v="116695"/>
    <x v="0"/>
    <n v="338906"/>
    <n v="0"/>
    <n v="0"/>
    <n v="1"/>
    <n v="1"/>
    <s v="Yes"/>
    <x v="0"/>
  </r>
  <r>
    <n v="20914"/>
    <d v="2024-04-26T00:00:00"/>
    <x v="2"/>
    <s v="Gurugram"/>
    <s v="SC_GUR_5"/>
    <x v="0"/>
    <s v="Panamera"/>
    <s v="Sedan"/>
    <x v="1"/>
    <x v="3"/>
    <x v="0"/>
    <x v="1"/>
    <n v="24"/>
    <n v="7"/>
    <x v="0"/>
    <x v="0"/>
    <n v="459856"/>
    <n v="262646"/>
    <n v="197210"/>
    <x v="0"/>
    <n v="0"/>
    <n v="1"/>
    <n v="0"/>
    <n v="1"/>
    <n v="1"/>
    <s v="Yes"/>
    <x v="0"/>
  </r>
  <r>
    <n v="20915"/>
    <d v="2024-06-10T00:00:00"/>
    <x v="3"/>
    <s v="Ahmedabad"/>
    <s v="SC_AHM_1"/>
    <x v="1"/>
    <s v="Cayenne"/>
    <s v="SUV"/>
    <x v="0"/>
    <x v="0"/>
    <x v="2"/>
    <x v="1"/>
    <n v="5"/>
    <n v="7"/>
    <x v="1"/>
    <x v="0"/>
    <n v="364997"/>
    <n v="264341"/>
    <n v="100656"/>
    <x v="3"/>
    <n v="0"/>
    <n v="1"/>
    <n v="1"/>
    <n v="0"/>
    <n v="1"/>
    <s v="No"/>
    <x v="2"/>
  </r>
  <r>
    <n v="20916"/>
    <d v="2024-01-28T00:00:00"/>
    <x v="1"/>
    <s v="Kolkata"/>
    <s v="SC_KOL_4"/>
    <x v="2"/>
    <s v="Chiron"/>
    <s v="Hypercar"/>
    <x v="1"/>
    <x v="1"/>
    <x v="0"/>
    <x v="1"/>
    <n v="15"/>
    <n v="7"/>
    <x v="0"/>
    <x v="1"/>
    <n v="398800"/>
    <n v="318560"/>
    <n v="80240"/>
    <x v="0"/>
    <n v="398800"/>
    <n v="0"/>
    <n v="0"/>
    <n v="1"/>
    <n v="1"/>
    <s v="Yes"/>
    <x v="0"/>
  </r>
  <r>
    <n v="20917"/>
    <d v="2024-02-27T00:00:00"/>
    <x v="0"/>
    <s v="Hyderabad"/>
    <s v="SC_HYD_1"/>
    <x v="1"/>
    <s v="Chiron"/>
    <s v="Hypercar"/>
    <x v="1"/>
    <x v="2"/>
    <x v="1"/>
    <x v="1"/>
    <n v="10"/>
    <n v="7"/>
    <x v="1"/>
    <x v="1"/>
    <n v="309728"/>
    <n v="263230"/>
    <n v="46498"/>
    <x v="2"/>
    <n v="0"/>
    <n v="0"/>
    <n v="1"/>
    <n v="0"/>
    <n v="1"/>
    <s v="Yes"/>
    <x v="1"/>
  </r>
  <r>
    <n v="20918"/>
    <d v="2024-01-15T00:00:00"/>
    <x v="0"/>
    <s v="Hyderabad"/>
    <s v="SC_HYD_3"/>
    <x v="0"/>
    <s v="911"/>
    <s v="Coupe"/>
    <x v="1"/>
    <x v="2"/>
    <x v="2"/>
    <x v="1"/>
    <n v="18"/>
    <n v="7"/>
    <x v="1"/>
    <x v="1"/>
    <n v="438324"/>
    <n v="308450"/>
    <n v="129874"/>
    <x v="1"/>
    <n v="0"/>
    <n v="0"/>
    <n v="1"/>
    <n v="0"/>
    <n v="1"/>
    <s v="Yes"/>
    <x v="0"/>
  </r>
  <r>
    <n v="20919"/>
    <d v="2024-03-03T00:00:00"/>
    <x v="2"/>
    <s v="Delhi"/>
    <s v="SC_DEL_4"/>
    <x v="0"/>
    <s v="Macan"/>
    <s v="SUV"/>
    <x v="1"/>
    <x v="3"/>
    <x v="2"/>
    <x v="1"/>
    <n v="7"/>
    <n v="7"/>
    <x v="0"/>
    <x v="1"/>
    <n v="456810"/>
    <n v="276452"/>
    <n v="180358"/>
    <x v="2"/>
    <n v="456810"/>
    <n v="0"/>
    <n v="0"/>
    <n v="1"/>
    <n v="1"/>
    <s v="No"/>
    <x v="1"/>
  </r>
  <r>
    <n v="20920"/>
    <d v="2024-06-12T00:00:00"/>
    <x v="3"/>
    <s v="Pune"/>
    <s v="SC_PUN_5"/>
    <x v="0"/>
    <s v="Veyron"/>
    <s v="Hypercar"/>
    <x v="1"/>
    <x v="2"/>
    <x v="1"/>
    <x v="0"/>
    <n v="2"/>
    <n v="7"/>
    <x v="0"/>
    <x v="1"/>
    <n v="562297"/>
    <n v="377852"/>
    <n v="184445"/>
    <x v="3"/>
    <n v="562297"/>
    <n v="0"/>
    <n v="0"/>
    <n v="1"/>
    <n v="1"/>
    <s v="No"/>
    <x v="2"/>
  </r>
  <r>
    <n v="20921"/>
    <d v="2024-02-03T00:00:00"/>
    <x v="2"/>
    <s v="Noida"/>
    <s v="SC_NOI_3"/>
    <x v="1"/>
    <s v="Taycan"/>
    <s v="Sedan"/>
    <x v="1"/>
    <x v="1"/>
    <x v="1"/>
    <x v="0"/>
    <n v="11"/>
    <n v="7"/>
    <x v="0"/>
    <x v="1"/>
    <n v="524270"/>
    <n v="423636"/>
    <n v="100634"/>
    <x v="1"/>
    <n v="524270"/>
    <n v="0"/>
    <n v="0"/>
    <n v="1"/>
    <n v="1"/>
    <s v="Yes"/>
    <x v="0"/>
  </r>
  <r>
    <n v="20922"/>
    <d v="2024-01-12T00:00:00"/>
    <x v="1"/>
    <s v="Bhubaneswar"/>
    <s v="SC_BHU_2"/>
    <x v="1"/>
    <s v="Cayenne"/>
    <s v="SUV"/>
    <x v="1"/>
    <x v="0"/>
    <x v="2"/>
    <x v="0"/>
    <n v="3"/>
    <n v="7"/>
    <x v="1"/>
    <x v="1"/>
    <n v="107373"/>
    <n v="71721"/>
    <n v="35652"/>
    <x v="4"/>
    <n v="0"/>
    <n v="0"/>
    <n v="1"/>
    <n v="0"/>
    <n v="1"/>
    <s v="No"/>
    <x v="2"/>
  </r>
  <r>
    <n v="20923"/>
    <d v="2024-05-17T00:00:00"/>
    <x v="1"/>
    <s v="Bhubaneswar"/>
    <s v="SC_BHU_5"/>
    <x v="1"/>
    <s v="911"/>
    <s v="Coupe"/>
    <x v="0"/>
    <x v="0"/>
    <x v="2"/>
    <x v="1"/>
    <n v="10"/>
    <n v="7"/>
    <x v="1"/>
    <x v="1"/>
    <n v="381646"/>
    <n v="260927"/>
    <n v="120719"/>
    <x v="2"/>
    <n v="0"/>
    <n v="0"/>
    <n v="1"/>
    <n v="0"/>
    <n v="1"/>
    <s v="Yes"/>
    <x v="1"/>
  </r>
  <r>
    <n v="20924"/>
    <d v="2024-04-21T00:00:00"/>
    <x v="1"/>
    <s v="Bhubaneswar"/>
    <s v="SC_BHU_5"/>
    <x v="2"/>
    <s v="Cayenne"/>
    <s v="SUV"/>
    <x v="0"/>
    <x v="2"/>
    <x v="0"/>
    <x v="1"/>
    <n v="7"/>
    <n v="7"/>
    <x v="1"/>
    <x v="1"/>
    <n v="167448"/>
    <n v="94535"/>
    <n v="72913"/>
    <x v="3"/>
    <n v="0"/>
    <n v="0"/>
    <n v="1"/>
    <n v="0"/>
    <n v="1"/>
    <s v="No"/>
    <x v="2"/>
  </r>
  <r>
    <n v="20925"/>
    <d v="2024-03-02T00:00:00"/>
    <x v="3"/>
    <s v="Pune"/>
    <s v="SC_PUN_5"/>
    <x v="0"/>
    <s v="Taycan"/>
    <s v="Sedan"/>
    <x v="1"/>
    <x v="3"/>
    <x v="2"/>
    <x v="1"/>
    <n v="21"/>
    <n v="7"/>
    <x v="0"/>
    <x v="1"/>
    <n v="116739"/>
    <n v="59363"/>
    <n v="57376"/>
    <x v="0"/>
    <n v="116739"/>
    <n v="0"/>
    <n v="0"/>
    <n v="1"/>
    <n v="1"/>
    <s v="Yes"/>
    <x v="0"/>
  </r>
  <r>
    <n v="20926"/>
    <d v="2024-05-22T00:00:00"/>
    <x v="1"/>
    <s v="Kolkata"/>
    <s v="SC_KOL_3"/>
    <x v="2"/>
    <s v="Chiron"/>
    <s v="Hypercar"/>
    <x v="0"/>
    <x v="1"/>
    <x v="2"/>
    <x v="0"/>
    <n v="13"/>
    <n v="7"/>
    <x v="0"/>
    <x v="1"/>
    <n v="536212"/>
    <n v="290408"/>
    <n v="245804"/>
    <x v="1"/>
    <n v="536212"/>
    <n v="0"/>
    <n v="0"/>
    <n v="1"/>
    <n v="1"/>
    <s v="Yes"/>
    <x v="0"/>
  </r>
  <r>
    <n v="20927"/>
    <d v="2024-02-13T00:00:00"/>
    <x v="1"/>
    <s v="Patna"/>
    <s v="SC_PAT_5"/>
    <x v="1"/>
    <s v="911"/>
    <s v="Coupe"/>
    <x v="0"/>
    <x v="4"/>
    <x v="2"/>
    <x v="1"/>
    <n v="25"/>
    <n v="7"/>
    <x v="1"/>
    <x v="1"/>
    <n v="324974"/>
    <n v="164034"/>
    <n v="160940"/>
    <x v="0"/>
    <n v="0"/>
    <n v="0"/>
    <n v="1"/>
    <n v="0"/>
    <n v="1"/>
    <s v="Yes"/>
    <x v="0"/>
  </r>
  <r>
    <n v="20928"/>
    <d v="2024-04-03T00:00:00"/>
    <x v="2"/>
    <s v="Gurugram"/>
    <s v="SC_GUR_2"/>
    <x v="0"/>
    <s v="Panamera"/>
    <s v="Sedan"/>
    <x v="1"/>
    <x v="0"/>
    <x v="2"/>
    <x v="0"/>
    <n v="16"/>
    <n v="7"/>
    <x v="0"/>
    <x v="1"/>
    <n v="215896"/>
    <n v="167128"/>
    <n v="48768"/>
    <x v="0"/>
    <n v="215896"/>
    <n v="0"/>
    <n v="0"/>
    <n v="1"/>
    <n v="1"/>
    <s v="Yes"/>
    <x v="0"/>
  </r>
  <r>
    <n v="20929"/>
    <d v="2024-06-23T00:00:00"/>
    <x v="3"/>
    <s v="Pune"/>
    <s v="SC_PUN_1"/>
    <x v="0"/>
    <s v="Macan"/>
    <s v="SUV"/>
    <x v="1"/>
    <x v="0"/>
    <x v="0"/>
    <x v="0"/>
    <n v="2"/>
    <n v="7"/>
    <x v="1"/>
    <x v="1"/>
    <n v="471699"/>
    <n v="261597"/>
    <n v="210102"/>
    <x v="4"/>
    <n v="0"/>
    <n v="0"/>
    <n v="1"/>
    <n v="0"/>
    <n v="1"/>
    <s v="No"/>
    <x v="2"/>
  </r>
  <r>
    <n v="20930"/>
    <d v="2024-03-03T00:00:00"/>
    <x v="0"/>
    <s v="Bengaluru"/>
    <s v="SC_BEN_5"/>
    <x v="2"/>
    <s v="Panamera"/>
    <s v="Sedan"/>
    <x v="0"/>
    <x v="1"/>
    <x v="1"/>
    <x v="0"/>
    <n v="4"/>
    <n v="7"/>
    <x v="0"/>
    <x v="1"/>
    <n v="105424"/>
    <n v="89097"/>
    <n v="16327"/>
    <x v="3"/>
    <n v="105424"/>
    <n v="0"/>
    <n v="0"/>
    <n v="1"/>
    <n v="1"/>
    <s v="No"/>
    <x v="2"/>
  </r>
  <r>
    <n v="20931"/>
    <d v="2024-05-27T00:00:00"/>
    <x v="0"/>
    <s v="Bengaluru"/>
    <s v="SC_BEN_4"/>
    <x v="2"/>
    <s v="Chiron"/>
    <s v="Hypercar"/>
    <x v="1"/>
    <x v="2"/>
    <x v="2"/>
    <x v="0"/>
    <n v="6"/>
    <n v="7"/>
    <x v="1"/>
    <x v="1"/>
    <n v="120259"/>
    <n v="63497"/>
    <n v="56762"/>
    <x v="3"/>
    <n v="0"/>
    <n v="0"/>
    <n v="1"/>
    <n v="0"/>
    <n v="1"/>
    <s v="No"/>
    <x v="2"/>
  </r>
  <r>
    <n v="20932"/>
    <d v="2024-03-20T00:00:00"/>
    <x v="3"/>
    <s v="Ahmedabad"/>
    <s v="SC_AHM_5"/>
    <x v="0"/>
    <s v="Panamera"/>
    <s v="Sedan"/>
    <x v="0"/>
    <x v="2"/>
    <x v="0"/>
    <x v="0"/>
    <n v="9"/>
    <n v="7"/>
    <x v="1"/>
    <x v="0"/>
    <n v="309024"/>
    <n v="221322"/>
    <n v="87702"/>
    <x v="3"/>
    <n v="0"/>
    <n v="1"/>
    <n v="1"/>
    <n v="0"/>
    <n v="1"/>
    <s v="Yes"/>
    <x v="2"/>
  </r>
  <r>
    <n v="20933"/>
    <d v="2024-04-07T00:00:00"/>
    <x v="2"/>
    <s v="Noida"/>
    <s v="SC_NOI_4"/>
    <x v="0"/>
    <s v="Taycan"/>
    <s v="Sedan"/>
    <x v="1"/>
    <x v="1"/>
    <x v="0"/>
    <x v="1"/>
    <n v="10"/>
    <n v="7"/>
    <x v="1"/>
    <x v="0"/>
    <n v="396453"/>
    <n v="223491"/>
    <n v="172962"/>
    <x v="2"/>
    <n v="0"/>
    <n v="1"/>
    <n v="1"/>
    <n v="0"/>
    <n v="1"/>
    <s v="Yes"/>
    <x v="1"/>
  </r>
  <r>
    <n v="20934"/>
    <d v="2024-06-08T00:00:00"/>
    <x v="3"/>
    <s v="Ahmedabad"/>
    <s v="SC_AHM_1"/>
    <x v="1"/>
    <s v="Veyron"/>
    <s v="Hypercar"/>
    <x v="1"/>
    <x v="1"/>
    <x v="0"/>
    <x v="1"/>
    <n v="24"/>
    <n v="7"/>
    <x v="0"/>
    <x v="0"/>
    <n v="322893"/>
    <n v="201145"/>
    <n v="121748"/>
    <x v="0"/>
    <n v="0"/>
    <n v="1"/>
    <n v="0"/>
    <n v="1"/>
    <n v="1"/>
    <s v="Yes"/>
    <x v="0"/>
  </r>
  <r>
    <n v="20935"/>
    <d v="2024-06-23T00:00:00"/>
    <x v="0"/>
    <s v="Bengaluru"/>
    <s v="SC_BEN_2"/>
    <x v="1"/>
    <s v="Taycan"/>
    <s v="Sedan"/>
    <x v="1"/>
    <x v="4"/>
    <x v="2"/>
    <x v="0"/>
    <n v="24"/>
    <n v="7"/>
    <x v="0"/>
    <x v="0"/>
    <n v="225262"/>
    <n v="131960"/>
    <n v="93302"/>
    <x v="0"/>
    <n v="0"/>
    <n v="1"/>
    <n v="0"/>
    <n v="1"/>
    <n v="1"/>
    <s v="Yes"/>
    <x v="0"/>
  </r>
  <r>
    <n v="20936"/>
    <d v="2024-05-22T00:00:00"/>
    <x v="2"/>
    <s v="Delhi"/>
    <s v="SC_DEL_3"/>
    <x v="0"/>
    <s v="911"/>
    <s v="Coupe"/>
    <x v="1"/>
    <x v="4"/>
    <x v="1"/>
    <x v="1"/>
    <n v="10"/>
    <n v="7"/>
    <x v="1"/>
    <x v="1"/>
    <n v="336634"/>
    <n v="235421"/>
    <n v="101213"/>
    <x v="2"/>
    <n v="0"/>
    <n v="0"/>
    <n v="1"/>
    <n v="0"/>
    <n v="1"/>
    <s v="Yes"/>
    <x v="1"/>
  </r>
  <r>
    <n v="20937"/>
    <d v="2024-03-29T00:00:00"/>
    <x v="1"/>
    <s v="Kolkata"/>
    <s v="SC_KOL_4"/>
    <x v="0"/>
    <s v="Chiron"/>
    <s v="Hypercar"/>
    <x v="0"/>
    <x v="0"/>
    <x v="0"/>
    <x v="0"/>
    <n v="18"/>
    <n v="7"/>
    <x v="0"/>
    <x v="1"/>
    <n v="375520"/>
    <n v="238670"/>
    <n v="136850"/>
    <x v="0"/>
    <n v="375520"/>
    <n v="0"/>
    <n v="0"/>
    <n v="1"/>
    <n v="1"/>
    <s v="Yes"/>
    <x v="0"/>
  </r>
  <r>
    <n v="20938"/>
    <d v="2024-03-11T00:00:00"/>
    <x v="0"/>
    <s v="Bengaluru"/>
    <s v="SC_BEN_5"/>
    <x v="1"/>
    <s v="Veyron"/>
    <s v="Hypercar"/>
    <x v="0"/>
    <x v="0"/>
    <x v="0"/>
    <x v="0"/>
    <n v="12"/>
    <n v="7"/>
    <x v="0"/>
    <x v="1"/>
    <n v="301981"/>
    <n v="236428"/>
    <n v="65553"/>
    <x v="1"/>
    <n v="301981"/>
    <n v="0"/>
    <n v="0"/>
    <n v="1"/>
    <n v="1"/>
    <s v="Yes"/>
    <x v="0"/>
  </r>
  <r>
    <n v="20939"/>
    <d v="2024-02-03T00:00:00"/>
    <x v="0"/>
    <s v="Bengaluru"/>
    <s v="SC_BEN_2"/>
    <x v="1"/>
    <s v="Taycan"/>
    <s v="Sedan"/>
    <x v="0"/>
    <x v="4"/>
    <x v="1"/>
    <x v="1"/>
    <n v="9"/>
    <n v="7"/>
    <x v="1"/>
    <x v="1"/>
    <n v="387234"/>
    <n v="231674"/>
    <n v="155560"/>
    <x v="3"/>
    <n v="0"/>
    <n v="0"/>
    <n v="1"/>
    <n v="0"/>
    <n v="1"/>
    <s v="Yes"/>
    <x v="2"/>
  </r>
  <r>
    <n v="20940"/>
    <d v="2024-06-24T00:00:00"/>
    <x v="3"/>
    <s v="Pune"/>
    <s v="SC_PUN_2"/>
    <x v="0"/>
    <s v="Taycan"/>
    <s v="Sedan"/>
    <x v="1"/>
    <x v="2"/>
    <x v="2"/>
    <x v="0"/>
    <n v="15"/>
    <n v="7"/>
    <x v="1"/>
    <x v="1"/>
    <n v="204682"/>
    <n v="157485"/>
    <n v="47197"/>
    <x v="1"/>
    <n v="0"/>
    <n v="0"/>
    <n v="1"/>
    <n v="0"/>
    <n v="1"/>
    <s v="Yes"/>
    <x v="0"/>
  </r>
  <r>
    <n v="20941"/>
    <d v="2024-03-10T00:00:00"/>
    <x v="1"/>
    <s v="Bhubaneswar"/>
    <s v="SC_BHU_3"/>
    <x v="0"/>
    <s v="Veyron"/>
    <s v="Hypercar"/>
    <x v="1"/>
    <x v="0"/>
    <x v="2"/>
    <x v="1"/>
    <n v="11"/>
    <n v="7"/>
    <x v="1"/>
    <x v="1"/>
    <n v="327359"/>
    <n v="200126"/>
    <n v="127233"/>
    <x v="2"/>
    <n v="0"/>
    <n v="0"/>
    <n v="1"/>
    <n v="0"/>
    <n v="1"/>
    <s v="Yes"/>
    <x v="1"/>
  </r>
  <r>
    <n v="20942"/>
    <d v="2024-04-02T00:00:00"/>
    <x v="1"/>
    <s v="Patna"/>
    <s v="SC_PAT_5"/>
    <x v="1"/>
    <s v="Macan"/>
    <s v="SUV"/>
    <x v="1"/>
    <x v="0"/>
    <x v="0"/>
    <x v="0"/>
    <n v="20"/>
    <n v="7"/>
    <x v="0"/>
    <x v="1"/>
    <n v="416960"/>
    <n v="237380"/>
    <n v="179580"/>
    <x v="0"/>
    <n v="416960"/>
    <n v="0"/>
    <n v="0"/>
    <n v="1"/>
    <n v="1"/>
    <s v="Yes"/>
    <x v="0"/>
  </r>
  <r>
    <n v="20943"/>
    <d v="2024-01-21T00:00:00"/>
    <x v="3"/>
    <s v="Pune"/>
    <s v="SC_PUN_5"/>
    <x v="1"/>
    <s v="911"/>
    <s v="Coupe"/>
    <x v="0"/>
    <x v="1"/>
    <x v="2"/>
    <x v="1"/>
    <n v="21"/>
    <n v="7"/>
    <x v="1"/>
    <x v="1"/>
    <n v="518792"/>
    <n v="284131"/>
    <n v="234661"/>
    <x v="0"/>
    <n v="0"/>
    <n v="0"/>
    <n v="1"/>
    <n v="0"/>
    <n v="1"/>
    <s v="Yes"/>
    <x v="0"/>
  </r>
  <r>
    <n v="20944"/>
    <d v="2024-02-17T00:00:00"/>
    <x v="3"/>
    <s v="Ahmedabad"/>
    <s v="SC_AHM_3"/>
    <x v="0"/>
    <s v="Cayenne"/>
    <s v="SUV"/>
    <x v="1"/>
    <x v="4"/>
    <x v="1"/>
    <x v="0"/>
    <n v="23"/>
    <n v="7"/>
    <x v="1"/>
    <x v="0"/>
    <n v="566683"/>
    <n v="431702"/>
    <n v="134981"/>
    <x v="0"/>
    <n v="0"/>
    <n v="1"/>
    <n v="1"/>
    <n v="0"/>
    <n v="1"/>
    <s v="Yes"/>
    <x v="0"/>
  </r>
  <r>
    <n v="20945"/>
    <d v="2024-05-27T00:00:00"/>
    <x v="0"/>
    <s v="Bengaluru"/>
    <s v="SC_BEN_5"/>
    <x v="1"/>
    <s v="Veyron"/>
    <s v="Hypercar"/>
    <x v="1"/>
    <x v="2"/>
    <x v="1"/>
    <x v="0"/>
    <n v="3"/>
    <n v="7"/>
    <x v="0"/>
    <x v="0"/>
    <n v="96025"/>
    <n v="76879"/>
    <n v="19146"/>
    <x v="3"/>
    <n v="0"/>
    <n v="1"/>
    <n v="0"/>
    <n v="1"/>
    <n v="1"/>
    <s v="No"/>
    <x v="2"/>
  </r>
  <r>
    <n v="20946"/>
    <d v="2024-02-04T00:00:00"/>
    <x v="2"/>
    <s v="Delhi"/>
    <s v="SC_DEL_3"/>
    <x v="0"/>
    <s v="911"/>
    <s v="Coupe"/>
    <x v="1"/>
    <x v="0"/>
    <x v="1"/>
    <x v="0"/>
    <n v="4"/>
    <n v="7"/>
    <x v="1"/>
    <x v="1"/>
    <n v="513812"/>
    <n v="433769"/>
    <n v="80043"/>
    <x v="4"/>
    <n v="0"/>
    <n v="0"/>
    <n v="1"/>
    <n v="0"/>
    <n v="1"/>
    <s v="No"/>
    <x v="2"/>
  </r>
  <r>
    <n v="20947"/>
    <d v="2024-06-08T00:00:00"/>
    <x v="3"/>
    <s v="Ahmedabad"/>
    <s v="SC_AHM_2"/>
    <x v="1"/>
    <s v="Taycan"/>
    <s v="Sedan"/>
    <x v="0"/>
    <x v="0"/>
    <x v="1"/>
    <x v="0"/>
    <n v="24"/>
    <n v="7"/>
    <x v="1"/>
    <x v="1"/>
    <n v="474069"/>
    <n v="301191"/>
    <n v="172878"/>
    <x v="0"/>
    <n v="0"/>
    <n v="0"/>
    <n v="1"/>
    <n v="0"/>
    <n v="1"/>
    <s v="Yes"/>
    <x v="0"/>
  </r>
  <r>
    <n v="20948"/>
    <d v="2024-04-16T00:00:00"/>
    <x v="0"/>
    <s v="Chennai"/>
    <s v="SC_CHE_5"/>
    <x v="1"/>
    <s v="Chiron"/>
    <s v="Hypercar"/>
    <x v="1"/>
    <x v="3"/>
    <x v="2"/>
    <x v="1"/>
    <n v="3"/>
    <n v="7"/>
    <x v="1"/>
    <x v="0"/>
    <n v="330673"/>
    <n v="221737"/>
    <n v="108936"/>
    <x v="4"/>
    <n v="0"/>
    <n v="1"/>
    <n v="1"/>
    <n v="0"/>
    <n v="1"/>
    <s v="No"/>
    <x v="2"/>
  </r>
  <r>
    <n v="20949"/>
    <d v="2024-06-09T00:00:00"/>
    <x v="1"/>
    <s v="Patna"/>
    <s v="SC_PAT_1"/>
    <x v="1"/>
    <s v="Veyron"/>
    <s v="Hypercar"/>
    <x v="0"/>
    <x v="2"/>
    <x v="2"/>
    <x v="0"/>
    <n v="14"/>
    <n v="7"/>
    <x v="0"/>
    <x v="1"/>
    <n v="303189"/>
    <n v="235132"/>
    <n v="68057"/>
    <x v="1"/>
    <n v="303189"/>
    <n v="0"/>
    <n v="0"/>
    <n v="1"/>
    <n v="1"/>
    <s v="Yes"/>
    <x v="0"/>
  </r>
  <r>
    <n v="20950"/>
    <d v="2024-04-08T00:00:00"/>
    <x v="1"/>
    <s v="Patna"/>
    <s v="SC_PAT_5"/>
    <x v="0"/>
    <s v="Chiron"/>
    <s v="Hypercar"/>
    <x v="1"/>
    <x v="2"/>
    <x v="2"/>
    <x v="0"/>
    <n v="7"/>
    <n v="7"/>
    <x v="0"/>
    <x v="0"/>
    <n v="133528"/>
    <n v="104987"/>
    <n v="28541"/>
    <x v="2"/>
    <n v="0"/>
    <n v="1"/>
    <n v="0"/>
    <n v="1"/>
    <n v="1"/>
    <s v="No"/>
    <x v="1"/>
  </r>
  <r>
    <n v="20951"/>
    <d v="2024-05-26T00:00:00"/>
    <x v="3"/>
    <s v="Pune"/>
    <s v="SC_PUN_2"/>
    <x v="1"/>
    <s v="Veyron"/>
    <s v="Hypercar"/>
    <x v="0"/>
    <x v="3"/>
    <x v="2"/>
    <x v="1"/>
    <n v="5"/>
    <n v="7"/>
    <x v="1"/>
    <x v="1"/>
    <n v="135233"/>
    <n v="98024"/>
    <n v="37209"/>
    <x v="3"/>
    <n v="0"/>
    <n v="0"/>
    <n v="1"/>
    <n v="0"/>
    <n v="1"/>
    <s v="No"/>
    <x v="2"/>
  </r>
  <r>
    <n v="20952"/>
    <d v="2024-03-06T00:00:00"/>
    <x v="1"/>
    <s v="Patna"/>
    <s v="SC_PAT_5"/>
    <x v="1"/>
    <s v="Veyron"/>
    <s v="Hypercar"/>
    <x v="0"/>
    <x v="3"/>
    <x v="1"/>
    <x v="1"/>
    <n v="12"/>
    <n v="7"/>
    <x v="0"/>
    <x v="1"/>
    <n v="253331"/>
    <n v="147467"/>
    <n v="105864"/>
    <x v="1"/>
    <n v="253331"/>
    <n v="0"/>
    <n v="0"/>
    <n v="1"/>
    <n v="1"/>
    <s v="Yes"/>
    <x v="0"/>
  </r>
  <r>
    <n v="20953"/>
    <d v="2024-06-11T00:00:00"/>
    <x v="1"/>
    <s v="Patna"/>
    <s v="SC_PAT_1"/>
    <x v="2"/>
    <s v="Panamera"/>
    <s v="Sedan"/>
    <x v="0"/>
    <x v="4"/>
    <x v="0"/>
    <x v="0"/>
    <n v="3"/>
    <n v="7"/>
    <x v="0"/>
    <x v="1"/>
    <n v="293276"/>
    <n v="215368"/>
    <n v="77908"/>
    <x v="3"/>
    <n v="293276"/>
    <n v="0"/>
    <n v="0"/>
    <n v="1"/>
    <n v="1"/>
    <s v="No"/>
    <x v="2"/>
  </r>
  <r>
    <n v="20954"/>
    <d v="2024-05-09T00:00:00"/>
    <x v="2"/>
    <s v="Noida"/>
    <s v="SC_NOI_4"/>
    <x v="1"/>
    <s v="Panamera"/>
    <s v="Sedan"/>
    <x v="0"/>
    <x v="0"/>
    <x v="1"/>
    <x v="1"/>
    <n v="3"/>
    <n v="7"/>
    <x v="0"/>
    <x v="1"/>
    <n v="325810"/>
    <n v="197450"/>
    <n v="128360"/>
    <x v="3"/>
    <n v="325810"/>
    <n v="0"/>
    <n v="0"/>
    <n v="1"/>
    <n v="1"/>
    <s v="No"/>
    <x v="2"/>
  </r>
  <r>
    <n v="20955"/>
    <d v="2024-04-04T00:00:00"/>
    <x v="2"/>
    <s v="Delhi"/>
    <s v="SC_DEL_5"/>
    <x v="0"/>
    <s v="Chiron"/>
    <s v="Hypercar"/>
    <x v="0"/>
    <x v="2"/>
    <x v="1"/>
    <x v="0"/>
    <n v="4"/>
    <n v="7"/>
    <x v="1"/>
    <x v="1"/>
    <n v="151845"/>
    <n v="118614"/>
    <n v="33231"/>
    <x v="4"/>
    <n v="0"/>
    <n v="0"/>
    <n v="1"/>
    <n v="0"/>
    <n v="1"/>
    <s v="No"/>
    <x v="2"/>
  </r>
  <r>
    <n v="20956"/>
    <d v="2024-06-21T00:00:00"/>
    <x v="2"/>
    <s v="Noida"/>
    <s v="SC_NOI_3"/>
    <x v="1"/>
    <s v="911"/>
    <s v="Coupe"/>
    <x v="0"/>
    <x v="2"/>
    <x v="2"/>
    <x v="1"/>
    <n v="7"/>
    <n v="7"/>
    <x v="1"/>
    <x v="1"/>
    <n v="146932"/>
    <n v="89427"/>
    <n v="57505"/>
    <x v="3"/>
    <n v="0"/>
    <n v="0"/>
    <n v="1"/>
    <n v="0"/>
    <n v="1"/>
    <s v="No"/>
    <x v="2"/>
  </r>
  <r>
    <n v="20957"/>
    <d v="2024-05-12T00:00:00"/>
    <x v="3"/>
    <s v="Ahmedabad"/>
    <s v="SC_AHM_4"/>
    <x v="1"/>
    <s v="Taycan"/>
    <s v="Sedan"/>
    <x v="1"/>
    <x v="3"/>
    <x v="2"/>
    <x v="1"/>
    <n v="15"/>
    <n v="7"/>
    <x v="1"/>
    <x v="1"/>
    <n v="438079"/>
    <n v="258738"/>
    <n v="179341"/>
    <x v="1"/>
    <n v="0"/>
    <n v="0"/>
    <n v="1"/>
    <n v="0"/>
    <n v="1"/>
    <s v="Yes"/>
    <x v="0"/>
  </r>
  <r>
    <n v="20958"/>
    <d v="2024-04-26T00:00:00"/>
    <x v="1"/>
    <s v="Patna"/>
    <s v="SC_PAT_4"/>
    <x v="2"/>
    <s v="911"/>
    <s v="Coupe"/>
    <x v="0"/>
    <x v="2"/>
    <x v="1"/>
    <x v="0"/>
    <n v="21"/>
    <n v="7"/>
    <x v="1"/>
    <x v="1"/>
    <n v="140575"/>
    <n v="91320"/>
    <n v="49255"/>
    <x v="0"/>
    <n v="0"/>
    <n v="0"/>
    <n v="1"/>
    <n v="0"/>
    <n v="1"/>
    <s v="Yes"/>
    <x v="0"/>
  </r>
  <r>
    <n v="20959"/>
    <d v="2024-03-20T00:00:00"/>
    <x v="2"/>
    <s v="Noida"/>
    <s v="SC_NOI_1"/>
    <x v="2"/>
    <s v="Chiron"/>
    <s v="Hypercar"/>
    <x v="0"/>
    <x v="4"/>
    <x v="1"/>
    <x v="1"/>
    <n v="16"/>
    <n v="7"/>
    <x v="0"/>
    <x v="0"/>
    <n v="110019"/>
    <n v="89280"/>
    <n v="20739"/>
    <x v="0"/>
    <n v="0"/>
    <n v="1"/>
    <n v="0"/>
    <n v="1"/>
    <n v="1"/>
    <s v="Yes"/>
    <x v="0"/>
  </r>
  <r>
    <n v="20960"/>
    <d v="2024-01-31T00:00:00"/>
    <x v="2"/>
    <s v="Delhi"/>
    <s v="SC_DEL_2"/>
    <x v="2"/>
    <s v="Cayenne"/>
    <s v="SUV"/>
    <x v="0"/>
    <x v="4"/>
    <x v="0"/>
    <x v="0"/>
    <n v="19"/>
    <n v="7"/>
    <x v="0"/>
    <x v="1"/>
    <n v="396268"/>
    <n v="321155"/>
    <n v="75113"/>
    <x v="0"/>
    <n v="396268"/>
    <n v="0"/>
    <n v="0"/>
    <n v="1"/>
    <n v="1"/>
    <s v="Yes"/>
    <x v="0"/>
  </r>
  <r>
    <n v="20961"/>
    <d v="2024-06-06T00:00:00"/>
    <x v="0"/>
    <s v="Hyderabad"/>
    <s v="SC_HYD_5"/>
    <x v="0"/>
    <s v="Veyron"/>
    <s v="Hypercar"/>
    <x v="1"/>
    <x v="2"/>
    <x v="0"/>
    <x v="1"/>
    <n v="5"/>
    <n v="7"/>
    <x v="0"/>
    <x v="1"/>
    <n v="529263"/>
    <n v="405866"/>
    <n v="123397"/>
    <x v="2"/>
    <n v="529263"/>
    <n v="0"/>
    <n v="0"/>
    <n v="1"/>
    <n v="1"/>
    <s v="No"/>
    <x v="1"/>
  </r>
  <r>
    <n v="20962"/>
    <d v="2024-01-18T00:00:00"/>
    <x v="3"/>
    <s v="Ahmedabad"/>
    <s v="SC_AHM_2"/>
    <x v="1"/>
    <s v="911"/>
    <s v="Coupe"/>
    <x v="1"/>
    <x v="0"/>
    <x v="0"/>
    <x v="0"/>
    <n v="23"/>
    <n v="7"/>
    <x v="0"/>
    <x v="1"/>
    <n v="153272"/>
    <n v="81402"/>
    <n v="71870"/>
    <x v="0"/>
    <n v="153272"/>
    <n v="0"/>
    <n v="0"/>
    <n v="1"/>
    <n v="1"/>
    <s v="Yes"/>
    <x v="0"/>
  </r>
  <r>
    <n v="20963"/>
    <d v="2024-06-01T00:00:00"/>
    <x v="2"/>
    <s v="Delhi"/>
    <s v="SC_DEL_2"/>
    <x v="1"/>
    <s v="Taycan"/>
    <s v="Sedan"/>
    <x v="0"/>
    <x v="4"/>
    <x v="0"/>
    <x v="0"/>
    <n v="11"/>
    <n v="7"/>
    <x v="0"/>
    <x v="1"/>
    <n v="514886"/>
    <n v="356098"/>
    <n v="158788"/>
    <x v="1"/>
    <n v="514886"/>
    <n v="0"/>
    <n v="0"/>
    <n v="1"/>
    <n v="1"/>
    <s v="Yes"/>
    <x v="0"/>
  </r>
  <r>
    <n v="20964"/>
    <d v="2024-06-10T00:00:00"/>
    <x v="0"/>
    <s v="Hyderabad"/>
    <s v="SC_HYD_4"/>
    <x v="2"/>
    <s v="Chiron"/>
    <s v="Hypercar"/>
    <x v="0"/>
    <x v="0"/>
    <x v="0"/>
    <x v="1"/>
    <n v="24"/>
    <n v="7"/>
    <x v="0"/>
    <x v="0"/>
    <n v="176067"/>
    <n v="135566"/>
    <n v="40501"/>
    <x v="0"/>
    <n v="0"/>
    <n v="1"/>
    <n v="0"/>
    <n v="1"/>
    <n v="1"/>
    <s v="Yes"/>
    <x v="0"/>
  </r>
  <r>
    <n v="20965"/>
    <d v="2024-01-03T00:00:00"/>
    <x v="3"/>
    <s v="Mumbai"/>
    <s v="SC_MUM_2"/>
    <x v="1"/>
    <s v="Cayenne"/>
    <s v="SUV"/>
    <x v="1"/>
    <x v="4"/>
    <x v="2"/>
    <x v="1"/>
    <n v="13"/>
    <n v="7"/>
    <x v="1"/>
    <x v="1"/>
    <n v="94246"/>
    <n v="70254"/>
    <n v="23992"/>
    <x v="2"/>
    <n v="0"/>
    <n v="0"/>
    <n v="1"/>
    <n v="0"/>
    <n v="1"/>
    <s v="Yes"/>
    <x v="1"/>
  </r>
  <r>
    <n v="20966"/>
    <d v="2024-03-04T00:00:00"/>
    <x v="2"/>
    <s v="Noida"/>
    <s v="SC_NOI_3"/>
    <x v="0"/>
    <s v="Veyron"/>
    <s v="Hypercar"/>
    <x v="1"/>
    <x v="0"/>
    <x v="1"/>
    <x v="0"/>
    <n v="5"/>
    <n v="7"/>
    <x v="1"/>
    <x v="1"/>
    <n v="311387"/>
    <n v="185880"/>
    <n v="125507"/>
    <x v="3"/>
    <n v="0"/>
    <n v="0"/>
    <n v="1"/>
    <n v="0"/>
    <n v="1"/>
    <s v="No"/>
    <x v="2"/>
  </r>
  <r>
    <n v="20967"/>
    <d v="2024-06-07T00:00:00"/>
    <x v="0"/>
    <s v="Bengaluru"/>
    <s v="SC_BEN_3"/>
    <x v="1"/>
    <s v="Macan"/>
    <s v="SUV"/>
    <x v="0"/>
    <x v="4"/>
    <x v="1"/>
    <x v="0"/>
    <n v="14"/>
    <n v="7"/>
    <x v="0"/>
    <x v="0"/>
    <n v="546489"/>
    <n v="421945"/>
    <n v="124544"/>
    <x v="1"/>
    <n v="0"/>
    <n v="1"/>
    <n v="0"/>
    <n v="1"/>
    <n v="1"/>
    <s v="Yes"/>
    <x v="0"/>
  </r>
  <r>
    <n v="20968"/>
    <d v="2024-03-08T00:00:00"/>
    <x v="2"/>
    <s v="Delhi"/>
    <s v="SC_DEL_2"/>
    <x v="1"/>
    <s v="Taycan"/>
    <s v="Sedan"/>
    <x v="1"/>
    <x v="1"/>
    <x v="2"/>
    <x v="1"/>
    <n v="10"/>
    <n v="7"/>
    <x v="1"/>
    <x v="1"/>
    <n v="509305"/>
    <n v="275514"/>
    <n v="233791"/>
    <x v="2"/>
    <n v="0"/>
    <n v="0"/>
    <n v="1"/>
    <n v="0"/>
    <n v="1"/>
    <s v="Yes"/>
    <x v="1"/>
  </r>
  <r>
    <n v="20969"/>
    <d v="2024-03-22T00:00:00"/>
    <x v="0"/>
    <s v="Chennai"/>
    <s v="SC_CHE_3"/>
    <x v="1"/>
    <s v="911"/>
    <s v="Coupe"/>
    <x v="1"/>
    <x v="1"/>
    <x v="0"/>
    <x v="0"/>
    <n v="24"/>
    <n v="7"/>
    <x v="0"/>
    <x v="0"/>
    <n v="146698"/>
    <n v="115496"/>
    <n v="31202"/>
    <x v="0"/>
    <n v="0"/>
    <n v="1"/>
    <n v="0"/>
    <n v="1"/>
    <n v="1"/>
    <s v="Yes"/>
    <x v="0"/>
  </r>
  <r>
    <n v="20970"/>
    <d v="2024-05-17T00:00:00"/>
    <x v="3"/>
    <s v="Ahmedabad"/>
    <s v="SC_AHM_4"/>
    <x v="1"/>
    <s v="Taycan"/>
    <s v="Sedan"/>
    <x v="0"/>
    <x v="0"/>
    <x v="0"/>
    <x v="0"/>
    <n v="11"/>
    <n v="7"/>
    <x v="0"/>
    <x v="1"/>
    <n v="327624"/>
    <n v="222876"/>
    <n v="104748"/>
    <x v="1"/>
    <n v="327624"/>
    <n v="0"/>
    <n v="0"/>
    <n v="1"/>
    <n v="1"/>
    <s v="Yes"/>
    <x v="0"/>
  </r>
  <r>
    <n v="20971"/>
    <d v="2024-04-19T00:00:00"/>
    <x v="1"/>
    <s v="Bhubaneswar"/>
    <s v="SC_BHU_2"/>
    <x v="1"/>
    <s v="Veyron"/>
    <s v="Hypercar"/>
    <x v="0"/>
    <x v="3"/>
    <x v="2"/>
    <x v="0"/>
    <n v="5"/>
    <n v="7"/>
    <x v="0"/>
    <x v="0"/>
    <n v="156832"/>
    <n v="131701"/>
    <n v="25131"/>
    <x v="2"/>
    <n v="0"/>
    <n v="1"/>
    <n v="0"/>
    <n v="1"/>
    <n v="1"/>
    <s v="No"/>
    <x v="1"/>
  </r>
  <r>
    <n v="20972"/>
    <d v="2024-06-07T00:00:00"/>
    <x v="2"/>
    <s v="Gurugram"/>
    <s v="SC_GUR_2"/>
    <x v="2"/>
    <s v="Veyron"/>
    <s v="Hypercar"/>
    <x v="1"/>
    <x v="4"/>
    <x v="1"/>
    <x v="0"/>
    <n v="13"/>
    <n v="7"/>
    <x v="1"/>
    <x v="0"/>
    <n v="295551"/>
    <n v="173641"/>
    <n v="121910"/>
    <x v="2"/>
    <n v="0"/>
    <n v="1"/>
    <n v="1"/>
    <n v="0"/>
    <n v="1"/>
    <s v="Yes"/>
    <x v="1"/>
  </r>
  <r>
    <n v="20973"/>
    <d v="2024-01-27T00:00:00"/>
    <x v="2"/>
    <s v="Noida"/>
    <s v="SC_NOI_4"/>
    <x v="0"/>
    <s v="911"/>
    <s v="Coupe"/>
    <x v="0"/>
    <x v="0"/>
    <x v="0"/>
    <x v="0"/>
    <n v="17"/>
    <n v="7"/>
    <x v="0"/>
    <x v="1"/>
    <n v="500745"/>
    <n v="311090"/>
    <n v="189655"/>
    <x v="0"/>
    <n v="500745"/>
    <n v="0"/>
    <n v="0"/>
    <n v="1"/>
    <n v="1"/>
    <s v="Yes"/>
    <x v="0"/>
  </r>
  <r>
    <n v="20974"/>
    <d v="2024-02-26T00:00:00"/>
    <x v="3"/>
    <s v="Ahmedabad"/>
    <s v="SC_AHM_3"/>
    <x v="2"/>
    <s v="Panamera"/>
    <s v="Sedan"/>
    <x v="1"/>
    <x v="2"/>
    <x v="1"/>
    <x v="1"/>
    <n v="17"/>
    <n v="7"/>
    <x v="1"/>
    <x v="0"/>
    <n v="119957"/>
    <n v="68254"/>
    <n v="51703"/>
    <x v="1"/>
    <n v="0"/>
    <n v="1"/>
    <n v="1"/>
    <n v="0"/>
    <n v="1"/>
    <s v="Yes"/>
    <x v="0"/>
  </r>
  <r>
    <n v="20975"/>
    <d v="2024-01-09T00:00:00"/>
    <x v="1"/>
    <s v="Patna"/>
    <s v="SC_PAT_2"/>
    <x v="2"/>
    <s v="Panamera"/>
    <s v="Sedan"/>
    <x v="0"/>
    <x v="4"/>
    <x v="1"/>
    <x v="0"/>
    <n v="24"/>
    <n v="7"/>
    <x v="1"/>
    <x v="1"/>
    <n v="253732"/>
    <n v="200238"/>
    <n v="53494"/>
    <x v="0"/>
    <n v="0"/>
    <n v="0"/>
    <n v="1"/>
    <n v="0"/>
    <n v="1"/>
    <s v="Yes"/>
    <x v="0"/>
  </r>
  <r>
    <n v="20976"/>
    <d v="2024-03-20T00:00:00"/>
    <x v="3"/>
    <s v="Mumbai"/>
    <s v="SC_MUM_3"/>
    <x v="1"/>
    <s v="Taycan"/>
    <s v="Sedan"/>
    <x v="1"/>
    <x v="2"/>
    <x v="1"/>
    <x v="1"/>
    <n v="12"/>
    <n v="7"/>
    <x v="0"/>
    <x v="1"/>
    <n v="501491"/>
    <n v="349942"/>
    <n v="151549"/>
    <x v="1"/>
    <n v="501491"/>
    <n v="0"/>
    <n v="0"/>
    <n v="1"/>
    <n v="1"/>
    <s v="Yes"/>
    <x v="0"/>
  </r>
  <r>
    <n v="20977"/>
    <d v="2024-04-29T00:00:00"/>
    <x v="2"/>
    <s v="Gurugram"/>
    <s v="SC_GUR_3"/>
    <x v="0"/>
    <s v="Macan"/>
    <s v="SUV"/>
    <x v="1"/>
    <x v="2"/>
    <x v="1"/>
    <x v="0"/>
    <n v="8"/>
    <n v="7"/>
    <x v="1"/>
    <x v="1"/>
    <n v="378358"/>
    <n v="238942"/>
    <n v="139416"/>
    <x v="3"/>
    <n v="0"/>
    <n v="0"/>
    <n v="1"/>
    <n v="0"/>
    <n v="1"/>
    <s v="Yes"/>
    <x v="2"/>
  </r>
  <r>
    <n v="20978"/>
    <d v="2024-01-21T00:00:00"/>
    <x v="1"/>
    <s v="Bhubaneswar"/>
    <s v="SC_BHU_1"/>
    <x v="1"/>
    <s v="Chiron"/>
    <s v="Hypercar"/>
    <x v="0"/>
    <x v="0"/>
    <x v="1"/>
    <x v="0"/>
    <n v="6"/>
    <n v="7"/>
    <x v="0"/>
    <x v="1"/>
    <n v="336695"/>
    <n v="220930"/>
    <n v="115765"/>
    <x v="2"/>
    <n v="336695"/>
    <n v="0"/>
    <n v="0"/>
    <n v="1"/>
    <n v="1"/>
    <s v="No"/>
    <x v="1"/>
  </r>
  <r>
    <n v="20979"/>
    <d v="2024-06-20T00:00:00"/>
    <x v="3"/>
    <s v="Pune"/>
    <s v="SC_PUN_1"/>
    <x v="2"/>
    <s v="Veyron"/>
    <s v="Hypercar"/>
    <x v="1"/>
    <x v="2"/>
    <x v="1"/>
    <x v="0"/>
    <n v="21"/>
    <n v="7"/>
    <x v="0"/>
    <x v="0"/>
    <n v="557930"/>
    <n v="394503"/>
    <n v="163427"/>
    <x v="0"/>
    <n v="0"/>
    <n v="1"/>
    <n v="0"/>
    <n v="1"/>
    <n v="1"/>
    <s v="Yes"/>
    <x v="0"/>
  </r>
  <r>
    <n v="20980"/>
    <d v="2024-05-02T00:00:00"/>
    <x v="2"/>
    <s v="Gurugram"/>
    <s v="SC_GUR_3"/>
    <x v="0"/>
    <s v="911"/>
    <s v="Coupe"/>
    <x v="0"/>
    <x v="0"/>
    <x v="2"/>
    <x v="0"/>
    <n v="13"/>
    <n v="7"/>
    <x v="1"/>
    <x v="1"/>
    <n v="114725"/>
    <n v="66320"/>
    <n v="48405"/>
    <x v="2"/>
    <n v="0"/>
    <n v="0"/>
    <n v="1"/>
    <n v="0"/>
    <n v="1"/>
    <s v="Yes"/>
    <x v="1"/>
  </r>
  <r>
    <n v="20981"/>
    <d v="2024-02-27T00:00:00"/>
    <x v="1"/>
    <s v="Bhubaneswar"/>
    <s v="SC_BHU_1"/>
    <x v="2"/>
    <s v="Macan"/>
    <s v="SUV"/>
    <x v="1"/>
    <x v="2"/>
    <x v="1"/>
    <x v="1"/>
    <n v="14"/>
    <n v="7"/>
    <x v="0"/>
    <x v="1"/>
    <n v="429345"/>
    <n v="350745"/>
    <n v="78600"/>
    <x v="1"/>
    <n v="429345"/>
    <n v="0"/>
    <n v="0"/>
    <n v="1"/>
    <n v="1"/>
    <s v="Yes"/>
    <x v="0"/>
  </r>
  <r>
    <n v="20982"/>
    <d v="2024-01-17T00:00:00"/>
    <x v="2"/>
    <s v="Gurugram"/>
    <s v="SC_GUR_4"/>
    <x v="0"/>
    <s v="Veyron"/>
    <s v="Hypercar"/>
    <x v="1"/>
    <x v="0"/>
    <x v="0"/>
    <x v="0"/>
    <n v="12"/>
    <n v="7"/>
    <x v="0"/>
    <x v="1"/>
    <n v="323251"/>
    <n v="233877"/>
    <n v="89374"/>
    <x v="1"/>
    <n v="323251"/>
    <n v="0"/>
    <n v="0"/>
    <n v="1"/>
    <n v="1"/>
    <s v="Yes"/>
    <x v="0"/>
  </r>
  <r>
    <n v="20983"/>
    <d v="2024-01-13T00:00:00"/>
    <x v="1"/>
    <s v="Bhubaneswar"/>
    <s v="SC_BHU_5"/>
    <x v="1"/>
    <s v="Panamera"/>
    <s v="Sedan"/>
    <x v="1"/>
    <x v="1"/>
    <x v="1"/>
    <x v="1"/>
    <n v="2"/>
    <n v="7"/>
    <x v="1"/>
    <x v="1"/>
    <n v="91907"/>
    <n v="64795"/>
    <n v="27112"/>
    <x v="4"/>
    <n v="0"/>
    <n v="0"/>
    <n v="1"/>
    <n v="0"/>
    <n v="1"/>
    <s v="No"/>
    <x v="2"/>
  </r>
  <r>
    <n v="20984"/>
    <d v="2024-01-15T00:00:00"/>
    <x v="3"/>
    <s v="Mumbai"/>
    <s v="SC_MUM_3"/>
    <x v="0"/>
    <s v="Panamera"/>
    <s v="Sedan"/>
    <x v="0"/>
    <x v="3"/>
    <x v="1"/>
    <x v="0"/>
    <n v="15"/>
    <n v="7"/>
    <x v="0"/>
    <x v="0"/>
    <n v="418672"/>
    <n v="225239"/>
    <n v="193433"/>
    <x v="0"/>
    <n v="0"/>
    <n v="1"/>
    <n v="0"/>
    <n v="1"/>
    <n v="1"/>
    <s v="Yes"/>
    <x v="0"/>
  </r>
  <r>
    <n v="20985"/>
    <d v="2024-03-09T00:00:00"/>
    <x v="1"/>
    <s v="Bhubaneswar"/>
    <s v="SC_BHU_5"/>
    <x v="0"/>
    <s v="Cayenne"/>
    <s v="SUV"/>
    <x v="0"/>
    <x v="4"/>
    <x v="2"/>
    <x v="0"/>
    <n v="14"/>
    <n v="7"/>
    <x v="0"/>
    <x v="1"/>
    <n v="268460"/>
    <n v="150986"/>
    <n v="117474"/>
    <x v="1"/>
    <n v="268460"/>
    <n v="0"/>
    <n v="0"/>
    <n v="1"/>
    <n v="1"/>
    <s v="Yes"/>
    <x v="0"/>
  </r>
  <r>
    <n v="20986"/>
    <d v="2024-04-26T00:00:00"/>
    <x v="3"/>
    <s v="Ahmedabad"/>
    <s v="SC_AHM_4"/>
    <x v="2"/>
    <s v="Taycan"/>
    <s v="Sedan"/>
    <x v="1"/>
    <x v="4"/>
    <x v="2"/>
    <x v="1"/>
    <n v="7"/>
    <n v="7"/>
    <x v="0"/>
    <x v="1"/>
    <n v="233232"/>
    <n v="136607"/>
    <n v="96625"/>
    <x v="2"/>
    <n v="233232"/>
    <n v="0"/>
    <n v="0"/>
    <n v="1"/>
    <n v="1"/>
    <s v="No"/>
    <x v="1"/>
  </r>
  <r>
    <n v="20987"/>
    <d v="2024-02-16T00:00:00"/>
    <x v="1"/>
    <s v="Patna"/>
    <s v="SC_PAT_4"/>
    <x v="0"/>
    <s v="Panamera"/>
    <s v="Sedan"/>
    <x v="1"/>
    <x v="2"/>
    <x v="2"/>
    <x v="0"/>
    <n v="21"/>
    <n v="7"/>
    <x v="1"/>
    <x v="1"/>
    <n v="125196"/>
    <n v="64567"/>
    <n v="60629"/>
    <x v="0"/>
    <n v="0"/>
    <n v="0"/>
    <n v="1"/>
    <n v="0"/>
    <n v="1"/>
    <s v="Yes"/>
    <x v="0"/>
  </r>
  <r>
    <n v="20988"/>
    <d v="2024-05-05T00:00:00"/>
    <x v="2"/>
    <s v="Gurugram"/>
    <s v="SC_GUR_5"/>
    <x v="1"/>
    <s v="Chiron"/>
    <s v="Hypercar"/>
    <x v="0"/>
    <x v="1"/>
    <x v="2"/>
    <x v="1"/>
    <n v="15"/>
    <n v="7"/>
    <x v="1"/>
    <x v="1"/>
    <n v="447415"/>
    <n v="275664"/>
    <n v="171751"/>
    <x v="1"/>
    <n v="0"/>
    <n v="0"/>
    <n v="1"/>
    <n v="0"/>
    <n v="1"/>
    <s v="Yes"/>
    <x v="0"/>
  </r>
  <r>
    <n v="20989"/>
    <d v="2024-05-21T00:00:00"/>
    <x v="1"/>
    <s v="Patna"/>
    <s v="SC_PAT_1"/>
    <x v="1"/>
    <s v="911"/>
    <s v="Coupe"/>
    <x v="0"/>
    <x v="4"/>
    <x v="0"/>
    <x v="0"/>
    <n v="17"/>
    <n v="7"/>
    <x v="0"/>
    <x v="0"/>
    <n v="193804"/>
    <n v="161675"/>
    <n v="32129"/>
    <x v="0"/>
    <n v="0"/>
    <n v="1"/>
    <n v="0"/>
    <n v="1"/>
    <n v="1"/>
    <s v="Yes"/>
    <x v="0"/>
  </r>
  <r>
    <n v="20990"/>
    <d v="2024-04-04T00:00:00"/>
    <x v="2"/>
    <s v="Noida"/>
    <s v="SC_NOI_5"/>
    <x v="0"/>
    <s v="Macan"/>
    <s v="SUV"/>
    <x v="0"/>
    <x v="4"/>
    <x v="1"/>
    <x v="0"/>
    <n v="9"/>
    <n v="7"/>
    <x v="1"/>
    <x v="1"/>
    <n v="210634"/>
    <n v="162615"/>
    <n v="48019"/>
    <x v="3"/>
    <n v="0"/>
    <n v="0"/>
    <n v="1"/>
    <n v="0"/>
    <n v="1"/>
    <s v="Yes"/>
    <x v="2"/>
  </r>
  <r>
    <n v="20991"/>
    <d v="2024-01-03T00:00:00"/>
    <x v="3"/>
    <s v="Mumbai"/>
    <s v="SC_MUM_5"/>
    <x v="2"/>
    <s v="Macan"/>
    <s v="SUV"/>
    <x v="0"/>
    <x v="0"/>
    <x v="1"/>
    <x v="0"/>
    <n v="15"/>
    <n v="7"/>
    <x v="0"/>
    <x v="1"/>
    <n v="444316"/>
    <n v="324464"/>
    <n v="119852"/>
    <x v="0"/>
    <n v="444316"/>
    <n v="0"/>
    <n v="0"/>
    <n v="1"/>
    <n v="1"/>
    <s v="Yes"/>
    <x v="0"/>
  </r>
  <r>
    <n v="20992"/>
    <d v="2024-05-18T00:00:00"/>
    <x v="1"/>
    <s v="Bhubaneswar"/>
    <s v="SC_BHU_5"/>
    <x v="0"/>
    <s v="Panamera"/>
    <s v="Sedan"/>
    <x v="0"/>
    <x v="3"/>
    <x v="2"/>
    <x v="1"/>
    <n v="8"/>
    <n v="7"/>
    <x v="0"/>
    <x v="1"/>
    <n v="293220"/>
    <n v="241542"/>
    <n v="51678"/>
    <x v="2"/>
    <n v="293220"/>
    <n v="0"/>
    <n v="0"/>
    <n v="1"/>
    <n v="1"/>
    <s v="Yes"/>
    <x v="1"/>
  </r>
  <r>
    <n v="20993"/>
    <d v="2024-02-09T00:00:00"/>
    <x v="0"/>
    <s v="Hyderabad"/>
    <s v="SC_HYD_3"/>
    <x v="2"/>
    <s v="911"/>
    <s v="Coupe"/>
    <x v="0"/>
    <x v="2"/>
    <x v="1"/>
    <x v="1"/>
    <n v="24"/>
    <n v="7"/>
    <x v="0"/>
    <x v="0"/>
    <n v="100104"/>
    <n v="75050"/>
    <n v="25054"/>
    <x v="0"/>
    <n v="0"/>
    <n v="1"/>
    <n v="0"/>
    <n v="1"/>
    <n v="1"/>
    <s v="Yes"/>
    <x v="0"/>
  </r>
  <r>
    <n v="20994"/>
    <d v="2024-03-29T00:00:00"/>
    <x v="0"/>
    <s v="Bengaluru"/>
    <s v="SC_BEN_4"/>
    <x v="1"/>
    <s v="911"/>
    <s v="Coupe"/>
    <x v="1"/>
    <x v="1"/>
    <x v="0"/>
    <x v="0"/>
    <n v="3"/>
    <n v="7"/>
    <x v="1"/>
    <x v="1"/>
    <n v="104763"/>
    <n v="70565"/>
    <n v="34198"/>
    <x v="4"/>
    <n v="0"/>
    <n v="0"/>
    <n v="1"/>
    <n v="0"/>
    <n v="1"/>
    <s v="No"/>
    <x v="2"/>
  </r>
  <r>
    <n v="20995"/>
    <d v="2024-03-07T00:00:00"/>
    <x v="0"/>
    <s v="Bengaluru"/>
    <s v="SC_BEN_4"/>
    <x v="1"/>
    <s v="Taycan"/>
    <s v="Sedan"/>
    <x v="0"/>
    <x v="1"/>
    <x v="2"/>
    <x v="1"/>
    <n v="8"/>
    <n v="7"/>
    <x v="0"/>
    <x v="1"/>
    <n v="249822"/>
    <n v="184551"/>
    <n v="65271"/>
    <x v="2"/>
    <n v="249822"/>
    <n v="0"/>
    <n v="0"/>
    <n v="1"/>
    <n v="1"/>
    <s v="Yes"/>
    <x v="1"/>
  </r>
  <r>
    <n v="20996"/>
    <d v="2024-01-21T00:00:00"/>
    <x v="0"/>
    <s v="Chennai"/>
    <s v="SC_CHE_3"/>
    <x v="1"/>
    <s v="Veyron"/>
    <s v="Hypercar"/>
    <x v="1"/>
    <x v="1"/>
    <x v="2"/>
    <x v="0"/>
    <n v="16"/>
    <n v="7"/>
    <x v="0"/>
    <x v="1"/>
    <n v="222418"/>
    <n v="167823"/>
    <n v="54595"/>
    <x v="0"/>
    <n v="222418"/>
    <n v="0"/>
    <n v="0"/>
    <n v="1"/>
    <n v="1"/>
    <s v="Yes"/>
    <x v="0"/>
  </r>
  <r>
    <n v="20997"/>
    <d v="2024-03-30T00:00:00"/>
    <x v="2"/>
    <s v="Noida"/>
    <s v="SC_NOI_1"/>
    <x v="1"/>
    <s v="Cayenne"/>
    <s v="SUV"/>
    <x v="0"/>
    <x v="3"/>
    <x v="0"/>
    <x v="1"/>
    <n v="20"/>
    <n v="7"/>
    <x v="0"/>
    <x v="1"/>
    <n v="590870"/>
    <n v="500315"/>
    <n v="90555"/>
    <x v="0"/>
    <n v="590870"/>
    <n v="0"/>
    <n v="0"/>
    <n v="1"/>
    <n v="1"/>
    <s v="Yes"/>
    <x v="0"/>
  </r>
  <r>
    <n v="20998"/>
    <d v="2024-04-18T00:00:00"/>
    <x v="3"/>
    <s v="Pune"/>
    <s v="SC_PUN_1"/>
    <x v="0"/>
    <s v="Panamera"/>
    <s v="Sedan"/>
    <x v="1"/>
    <x v="0"/>
    <x v="0"/>
    <x v="1"/>
    <n v="13"/>
    <n v="7"/>
    <x v="0"/>
    <x v="0"/>
    <n v="496856"/>
    <n v="343479"/>
    <n v="153377"/>
    <x v="1"/>
    <n v="0"/>
    <n v="1"/>
    <n v="0"/>
    <n v="1"/>
    <n v="1"/>
    <s v="Yes"/>
    <x v="0"/>
  </r>
  <r>
    <n v="20999"/>
    <d v="2024-03-24T00:00:00"/>
    <x v="0"/>
    <s v="Chennai"/>
    <s v="SC_CHE_3"/>
    <x v="1"/>
    <s v="Panamera"/>
    <s v="Sedan"/>
    <x v="1"/>
    <x v="2"/>
    <x v="0"/>
    <x v="1"/>
    <n v="9"/>
    <n v="7"/>
    <x v="1"/>
    <x v="1"/>
    <n v="138209"/>
    <n v="99921"/>
    <n v="38288"/>
    <x v="3"/>
    <n v="0"/>
    <n v="0"/>
    <n v="1"/>
    <n v="0"/>
    <n v="1"/>
    <s v="Yes"/>
    <x v="2"/>
  </r>
  <r>
    <n v="21000"/>
    <d v="2024-02-27T00:00:00"/>
    <x v="1"/>
    <s v="Bhubaneswar"/>
    <s v="SC_BHU_4"/>
    <x v="2"/>
    <s v="Taycan"/>
    <s v="Sedan"/>
    <x v="0"/>
    <x v="4"/>
    <x v="1"/>
    <x v="0"/>
    <n v="16"/>
    <n v="7"/>
    <x v="0"/>
    <x v="1"/>
    <n v="120904"/>
    <n v="67135"/>
    <n v="53769"/>
    <x v="0"/>
    <n v="120904"/>
    <n v="0"/>
    <n v="0"/>
    <n v="1"/>
    <n v="1"/>
    <s v="Yes"/>
    <x v="0"/>
  </r>
  <r>
    <n v="21001"/>
    <d v="2024-01-01T00:00:00"/>
    <x v="1"/>
    <s v="Bhubaneswar"/>
    <s v="SC_BHU_3"/>
    <x v="2"/>
    <s v="Macan"/>
    <s v="SUV"/>
    <x v="1"/>
    <x v="1"/>
    <x v="2"/>
    <x v="1"/>
    <n v="12"/>
    <n v="7"/>
    <x v="1"/>
    <x v="0"/>
    <n v="377614"/>
    <n v="317096"/>
    <n v="60518"/>
    <x v="2"/>
    <n v="0"/>
    <n v="1"/>
    <n v="1"/>
    <n v="0"/>
    <n v="1"/>
    <s v="Yes"/>
    <x v="1"/>
  </r>
  <r>
    <n v="21002"/>
    <d v="2024-04-27T00:00:00"/>
    <x v="2"/>
    <s v="Noida"/>
    <s v="SC_NOI_3"/>
    <x v="2"/>
    <s v="Taycan"/>
    <s v="Sedan"/>
    <x v="1"/>
    <x v="2"/>
    <x v="2"/>
    <x v="0"/>
    <n v="13"/>
    <n v="7"/>
    <x v="1"/>
    <x v="1"/>
    <n v="527345"/>
    <n v="410495"/>
    <n v="116850"/>
    <x v="2"/>
    <n v="0"/>
    <n v="0"/>
    <n v="1"/>
    <n v="0"/>
    <n v="1"/>
    <s v="Yes"/>
    <x v="1"/>
  </r>
  <r>
    <n v="21003"/>
    <d v="2024-03-05T00:00:00"/>
    <x v="0"/>
    <s v="Bengaluru"/>
    <s v="SC_BEN_5"/>
    <x v="0"/>
    <s v="Taycan"/>
    <s v="Sedan"/>
    <x v="1"/>
    <x v="3"/>
    <x v="0"/>
    <x v="1"/>
    <n v="24"/>
    <n v="7"/>
    <x v="0"/>
    <x v="1"/>
    <n v="144291"/>
    <n v="86534"/>
    <n v="57757"/>
    <x v="0"/>
    <n v="144291"/>
    <n v="0"/>
    <n v="0"/>
    <n v="1"/>
    <n v="1"/>
    <s v="Yes"/>
    <x v="0"/>
  </r>
  <r>
    <n v="21004"/>
    <d v="2024-05-21T00:00:00"/>
    <x v="0"/>
    <s v="Chennai"/>
    <s v="SC_CHE_3"/>
    <x v="0"/>
    <s v="Macan"/>
    <s v="SUV"/>
    <x v="0"/>
    <x v="3"/>
    <x v="2"/>
    <x v="0"/>
    <n v="7"/>
    <n v="7"/>
    <x v="0"/>
    <x v="0"/>
    <n v="134109"/>
    <n v="69302"/>
    <n v="64807"/>
    <x v="2"/>
    <n v="0"/>
    <n v="1"/>
    <n v="0"/>
    <n v="1"/>
    <n v="1"/>
    <s v="No"/>
    <x v="1"/>
  </r>
  <r>
    <n v="21005"/>
    <d v="2024-06-19T00:00:00"/>
    <x v="0"/>
    <s v="Hyderabad"/>
    <s v="SC_HYD_1"/>
    <x v="0"/>
    <s v="Taycan"/>
    <s v="Sedan"/>
    <x v="1"/>
    <x v="1"/>
    <x v="2"/>
    <x v="0"/>
    <n v="12"/>
    <n v="7"/>
    <x v="0"/>
    <x v="1"/>
    <n v="385862"/>
    <n v="193728"/>
    <n v="192134"/>
    <x v="1"/>
    <n v="385862"/>
    <n v="0"/>
    <n v="0"/>
    <n v="1"/>
    <n v="1"/>
    <s v="Yes"/>
    <x v="0"/>
  </r>
  <r>
    <n v="21006"/>
    <d v="2024-05-30T00:00:00"/>
    <x v="1"/>
    <s v="Kolkata"/>
    <s v="SC_KOL_4"/>
    <x v="2"/>
    <s v="Taycan"/>
    <s v="Sedan"/>
    <x v="1"/>
    <x v="1"/>
    <x v="0"/>
    <x v="1"/>
    <n v="22"/>
    <n v="7"/>
    <x v="0"/>
    <x v="1"/>
    <n v="111480"/>
    <n v="69430"/>
    <n v="42050"/>
    <x v="0"/>
    <n v="111480"/>
    <n v="0"/>
    <n v="0"/>
    <n v="1"/>
    <n v="1"/>
    <s v="Yes"/>
    <x v="0"/>
  </r>
  <r>
    <n v="21007"/>
    <d v="2024-04-21T00:00:00"/>
    <x v="3"/>
    <s v="Pune"/>
    <s v="SC_PUN_5"/>
    <x v="2"/>
    <s v="Panamera"/>
    <s v="Sedan"/>
    <x v="0"/>
    <x v="4"/>
    <x v="2"/>
    <x v="0"/>
    <n v="24"/>
    <n v="7"/>
    <x v="0"/>
    <x v="0"/>
    <n v="191133"/>
    <n v="148486"/>
    <n v="42647"/>
    <x v="0"/>
    <n v="0"/>
    <n v="1"/>
    <n v="0"/>
    <n v="1"/>
    <n v="1"/>
    <s v="Yes"/>
    <x v="0"/>
  </r>
  <r>
    <n v="21008"/>
    <d v="2024-03-31T00:00:00"/>
    <x v="2"/>
    <s v="Delhi"/>
    <s v="SC_DEL_1"/>
    <x v="0"/>
    <s v="Taycan"/>
    <s v="Sedan"/>
    <x v="1"/>
    <x v="2"/>
    <x v="0"/>
    <x v="1"/>
    <n v="25"/>
    <n v="7"/>
    <x v="0"/>
    <x v="1"/>
    <n v="451992"/>
    <n v="236801"/>
    <n v="215191"/>
    <x v="0"/>
    <n v="451992"/>
    <n v="0"/>
    <n v="0"/>
    <n v="1"/>
    <n v="1"/>
    <s v="Yes"/>
    <x v="0"/>
  </r>
  <r>
    <n v="21009"/>
    <d v="2024-01-15T00:00:00"/>
    <x v="0"/>
    <s v="Hyderabad"/>
    <s v="SC_HYD_5"/>
    <x v="0"/>
    <s v="Cayenne"/>
    <s v="SUV"/>
    <x v="0"/>
    <x v="4"/>
    <x v="0"/>
    <x v="1"/>
    <n v="14"/>
    <n v="7"/>
    <x v="0"/>
    <x v="0"/>
    <n v="495643"/>
    <n v="265803"/>
    <n v="229840"/>
    <x v="1"/>
    <n v="0"/>
    <n v="1"/>
    <n v="0"/>
    <n v="1"/>
    <n v="1"/>
    <s v="Yes"/>
    <x v="0"/>
  </r>
  <r>
    <n v="21010"/>
    <d v="2024-05-03T00:00:00"/>
    <x v="1"/>
    <s v="Kolkata"/>
    <s v="SC_KOL_1"/>
    <x v="0"/>
    <s v="Chiron"/>
    <s v="Hypercar"/>
    <x v="0"/>
    <x v="4"/>
    <x v="0"/>
    <x v="1"/>
    <n v="20"/>
    <n v="7"/>
    <x v="0"/>
    <x v="1"/>
    <n v="151484"/>
    <n v="104921"/>
    <n v="46563"/>
    <x v="0"/>
    <n v="151484"/>
    <n v="0"/>
    <n v="0"/>
    <n v="1"/>
    <n v="1"/>
    <s v="Yes"/>
    <x v="0"/>
  </r>
  <r>
    <n v="21011"/>
    <d v="2024-02-11T00:00:00"/>
    <x v="1"/>
    <s v="Kolkata"/>
    <s v="SC_KOL_3"/>
    <x v="0"/>
    <s v="Veyron"/>
    <s v="Hypercar"/>
    <x v="0"/>
    <x v="2"/>
    <x v="1"/>
    <x v="0"/>
    <n v="20"/>
    <n v="7"/>
    <x v="1"/>
    <x v="0"/>
    <n v="415282"/>
    <n v="344329"/>
    <n v="70953"/>
    <x v="0"/>
    <n v="0"/>
    <n v="1"/>
    <n v="1"/>
    <n v="0"/>
    <n v="1"/>
    <s v="Yes"/>
    <x v="0"/>
  </r>
  <r>
    <n v="21012"/>
    <d v="2024-06-15T00:00:00"/>
    <x v="2"/>
    <s v="Delhi"/>
    <s v="SC_DEL_1"/>
    <x v="0"/>
    <s v="911"/>
    <s v="Coupe"/>
    <x v="1"/>
    <x v="4"/>
    <x v="0"/>
    <x v="0"/>
    <n v="21"/>
    <n v="7"/>
    <x v="0"/>
    <x v="0"/>
    <n v="189443"/>
    <n v="146742"/>
    <n v="42701"/>
    <x v="0"/>
    <n v="0"/>
    <n v="1"/>
    <n v="0"/>
    <n v="1"/>
    <n v="1"/>
    <s v="Yes"/>
    <x v="0"/>
  </r>
  <r>
    <n v="21013"/>
    <d v="2024-06-07T00:00:00"/>
    <x v="0"/>
    <s v="Chennai"/>
    <s v="SC_CHE_1"/>
    <x v="0"/>
    <s v="911"/>
    <s v="Coupe"/>
    <x v="0"/>
    <x v="0"/>
    <x v="0"/>
    <x v="1"/>
    <n v="4"/>
    <n v="7"/>
    <x v="0"/>
    <x v="0"/>
    <n v="136792"/>
    <n v="84558"/>
    <n v="52234"/>
    <x v="3"/>
    <n v="0"/>
    <n v="1"/>
    <n v="0"/>
    <n v="1"/>
    <n v="1"/>
    <s v="No"/>
    <x v="2"/>
  </r>
  <r>
    <n v="21014"/>
    <d v="2024-06-17T00:00:00"/>
    <x v="1"/>
    <s v="Kolkata"/>
    <s v="SC_KOL_3"/>
    <x v="2"/>
    <s v="911"/>
    <s v="Coupe"/>
    <x v="0"/>
    <x v="1"/>
    <x v="1"/>
    <x v="0"/>
    <n v="13"/>
    <n v="7"/>
    <x v="1"/>
    <x v="1"/>
    <n v="113874"/>
    <n v="89909"/>
    <n v="23965"/>
    <x v="2"/>
    <n v="0"/>
    <n v="0"/>
    <n v="1"/>
    <n v="0"/>
    <n v="1"/>
    <s v="Yes"/>
    <x v="1"/>
  </r>
  <r>
    <n v="21015"/>
    <d v="2024-05-05T00:00:00"/>
    <x v="0"/>
    <s v="Hyderabad"/>
    <s v="SC_HYD_1"/>
    <x v="1"/>
    <s v="Panamera"/>
    <s v="Sedan"/>
    <x v="1"/>
    <x v="2"/>
    <x v="1"/>
    <x v="0"/>
    <n v="24"/>
    <n v="7"/>
    <x v="0"/>
    <x v="0"/>
    <n v="333892"/>
    <n v="223042"/>
    <n v="110850"/>
    <x v="0"/>
    <n v="0"/>
    <n v="1"/>
    <n v="0"/>
    <n v="1"/>
    <n v="1"/>
    <s v="Yes"/>
    <x v="0"/>
  </r>
  <r>
    <n v="21016"/>
    <d v="2024-04-16T00:00:00"/>
    <x v="1"/>
    <s v="Patna"/>
    <s v="SC_PAT_1"/>
    <x v="0"/>
    <s v="Veyron"/>
    <s v="Hypercar"/>
    <x v="1"/>
    <x v="2"/>
    <x v="2"/>
    <x v="0"/>
    <n v="4"/>
    <n v="7"/>
    <x v="0"/>
    <x v="1"/>
    <n v="226320"/>
    <n v="188509"/>
    <n v="37811"/>
    <x v="3"/>
    <n v="226320"/>
    <n v="0"/>
    <n v="0"/>
    <n v="1"/>
    <n v="1"/>
    <s v="No"/>
    <x v="2"/>
  </r>
  <r>
    <n v="21017"/>
    <d v="2024-04-20T00:00:00"/>
    <x v="2"/>
    <s v="Noida"/>
    <s v="SC_NOI_4"/>
    <x v="1"/>
    <s v="911"/>
    <s v="Coupe"/>
    <x v="1"/>
    <x v="4"/>
    <x v="1"/>
    <x v="0"/>
    <n v="22"/>
    <n v="7"/>
    <x v="0"/>
    <x v="1"/>
    <n v="341168"/>
    <n v="179603"/>
    <n v="161565"/>
    <x v="0"/>
    <n v="341168"/>
    <n v="0"/>
    <n v="0"/>
    <n v="1"/>
    <n v="1"/>
    <s v="Yes"/>
    <x v="0"/>
  </r>
  <r>
    <n v="21018"/>
    <d v="2024-06-25T00:00:00"/>
    <x v="2"/>
    <s v="Delhi"/>
    <s v="SC_DEL_2"/>
    <x v="0"/>
    <s v="Taycan"/>
    <s v="Sedan"/>
    <x v="1"/>
    <x v="2"/>
    <x v="1"/>
    <x v="1"/>
    <n v="21"/>
    <n v="7"/>
    <x v="1"/>
    <x v="0"/>
    <n v="366543"/>
    <n v="214868"/>
    <n v="151675"/>
    <x v="0"/>
    <n v="0"/>
    <n v="1"/>
    <n v="1"/>
    <n v="0"/>
    <n v="1"/>
    <s v="Yes"/>
    <x v="0"/>
  </r>
  <r>
    <n v="21019"/>
    <d v="2024-06-22T00:00:00"/>
    <x v="2"/>
    <s v="Gurugram"/>
    <s v="SC_GUR_4"/>
    <x v="2"/>
    <s v="Veyron"/>
    <s v="Hypercar"/>
    <x v="1"/>
    <x v="0"/>
    <x v="0"/>
    <x v="0"/>
    <n v="20"/>
    <n v="7"/>
    <x v="0"/>
    <x v="1"/>
    <n v="482036"/>
    <n v="284769"/>
    <n v="197267"/>
    <x v="0"/>
    <n v="482036"/>
    <n v="0"/>
    <n v="0"/>
    <n v="1"/>
    <n v="1"/>
    <s v="Yes"/>
    <x v="0"/>
  </r>
  <r>
    <n v="21020"/>
    <d v="2024-03-31T00:00:00"/>
    <x v="3"/>
    <s v="Pune"/>
    <s v="SC_PUN_2"/>
    <x v="1"/>
    <s v="Veyron"/>
    <s v="Hypercar"/>
    <x v="0"/>
    <x v="0"/>
    <x v="2"/>
    <x v="0"/>
    <n v="21"/>
    <n v="7"/>
    <x v="1"/>
    <x v="1"/>
    <n v="121085"/>
    <n v="61292"/>
    <n v="59793"/>
    <x v="0"/>
    <n v="0"/>
    <n v="0"/>
    <n v="1"/>
    <n v="0"/>
    <n v="1"/>
    <s v="Yes"/>
    <x v="0"/>
  </r>
  <r>
    <n v="21021"/>
    <d v="2024-01-20T00:00:00"/>
    <x v="1"/>
    <s v="Patna"/>
    <s v="SC_PAT_2"/>
    <x v="1"/>
    <s v="Macan"/>
    <s v="SUV"/>
    <x v="1"/>
    <x v="3"/>
    <x v="2"/>
    <x v="0"/>
    <n v="22"/>
    <n v="7"/>
    <x v="0"/>
    <x v="1"/>
    <n v="388257"/>
    <n v="259552"/>
    <n v="128705"/>
    <x v="0"/>
    <n v="388257"/>
    <n v="0"/>
    <n v="0"/>
    <n v="1"/>
    <n v="1"/>
    <s v="Yes"/>
    <x v="0"/>
  </r>
  <r>
    <n v="21022"/>
    <d v="2024-06-26T00:00:00"/>
    <x v="3"/>
    <s v="Pune"/>
    <s v="SC_PUN_5"/>
    <x v="1"/>
    <s v="Veyron"/>
    <s v="Hypercar"/>
    <x v="0"/>
    <x v="2"/>
    <x v="0"/>
    <x v="0"/>
    <n v="22"/>
    <n v="7"/>
    <x v="0"/>
    <x v="1"/>
    <n v="251078"/>
    <n v="155261"/>
    <n v="95817"/>
    <x v="0"/>
    <n v="251078"/>
    <n v="0"/>
    <n v="0"/>
    <n v="1"/>
    <n v="1"/>
    <s v="Yes"/>
    <x v="0"/>
  </r>
  <r>
    <n v="21023"/>
    <d v="2024-06-07T00:00:00"/>
    <x v="1"/>
    <s v="Kolkata"/>
    <s v="SC_KOL_4"/>
    <x v="2"/>
    <s v="Veyron"/>
    <s v="Hypercar"/>
    <x v="0"/>
    <x v="1"/>
    <x v="0"/>
    <x v="1"/>
    <n v="4"/>
    <n v="7"/>
    <x v="0"/>
    <x v="1"/>
    <n v="583440"/>
    <n v="361859"/>
    <n v="221581"/>
    <x v="3"/>
    <n v="583440"/>
    <n v="0"/>
    <n v="0"/>
    <n v="1"/>
    <n v="1"/>
    <s v="No"/>
    <x v="2"/>
  </r>
  <r>
    <n v="21024"/>
    <d v="2024-05-26T00:00:00"/>
    <x v="0"/>
    <s v="Bengaluru"/>
    <s v="SC_BEN_5"/>
    <x v="1"/>
    <s v="Taycan"/>
    <s v="Sedan"/>
    <x v="1"/>
    <x v="1"/>
    <x v="0"/>
    <x v="0"/>
    <n v="25"/>
    <n v="7"/>
    <x v="0"/>
    <x v="1"/>
    <n v="259246"/>
    <n v="192125"/>
    <n v="67121"/>
    <x v="0"/>
    <n v="259246"/>
    <n v="0"/>
    <n v="0"/>
    <n v="1"/>
    <n v="1"/>
    <s v="Yes"/>
    <x v="0"/>
  </r>
  <r>
    <n v="21025"/>
    <d v="2024-04-20T00:00:00"/>
    <x v="0"/>
    <s v="Hyderabad"/>
    <s v="SC_HYD_3"/>
    <x v="0"/>
    <s v="911"/>
    <s v="Coupe"/>
    <x v="1"/>
    <x v="1"/>
    <x v="2"/>
    <x v="0"/>
    <n v="4"/>
    <n v="7"/>
    <x v="1"/>
    <x v="1"/>
    <n v="594247"/>
    <n v="307896"/>
    <n v="286351"/>
    <x v="4"/>
    <n v="0"/>
    <n v="0"/>
    <n v="1"/>
    <n v="0"/>
    <n v="1"/>
    <s v="No"/>
    <x v="2"/>
  </r>
  <r>
    <n v="21026"/>
    <d v="2024-06-15T00:00:00"/>
    <x v="2"/>
    <s v="Noida"/>
    <s v="SC_NOI_1"/>
    <x v="0"/>
    <s v="911"/>
    <s v="Coupe"/>
    <x v="1"/>
    <x v="0"/>
    <x v="0"/>
    <x v="0"/>
    <n v="8"/>
    <n v="7"/>
    <x v="0"/>
    <x v="0"/>
    <n v="422890"/>
    <n v="284497"/>
    <n v="138393"/>
    <x v="2"/>
    <n v="0"/>
    <n v="1"/>
    <n v="0"/>
    <n v="1"/>
    <n v="1"/>
    <s v="Yes"/>
    <x v="1"/>
  </r>
  <r>
    <n v="21027"/>
    <d v="2024-01-30T00:00:00"/>
    <x v="0"/>
    <s v="Hyderabad"/>
    <s v="SC_HYD_4"/>
    <x v="1"/>
    <s v="Chiron"/>
    <s v="Hypercar"/>
    <x v="1"/>
    <x v="1"/>
    <x v="1"/>
    <x v="0"/>
    <n v="18"/>
    <n v="7"/>
    <x v="0"/>
    <x v="0"/>
    <n v="415008"/>
    <n v="348249"/>
    <n v="66759"/>
    <x v="0"/>
    <n v="0"/>
    <n v="1"/>
    <n v="0"/>
    <n v="1"/>
    <n v="1"/>
    <s v="Yes"/>
    <x v="0"/>
  </r>
  <r>
    <n v="21028"/>
    <d v="2024-04-04T00:00:00"/>
    <x v="3"/>
    <s v="Ahmedabad"/>
    <s v="SC_AHM_4"/>
    <x v="1"/>
    <s v="Cayenne"/>
    <s v="SUV"/>
    <x v="0"/>
    <x v="1"/>
    <x v="0"/>
    <x v="0"/>
    <n v="19"/>
    <n v="7"/>
    <x v="0"/>
    <x v="1"/>
    <n v="270400"/>
    <n v="168882"/>
    <n v="101518"/>
    <x v="0"/>
    <n v="270400"/>
    <n v="0"/>
    <n v="0"/>
    <n v="1"/>
    <n v="1"/>
    <s v="Yes"/>
    <x v="0"/>
  </r>
  <r>
    <n v="21029"/>
    <d v="2024-05-11T00:00:00"/>
    <x v="3"/>
    <s v="Ahmedabad"/>
    <s v="SC_AHM_3"/>
    <x v="0"/>
    <s v="Macan"/>
    <s v="SUV"/>
    <x v="0"/>
    <x v="4"/>
    <x v="0"/>
    <x v="0"/>
    <n v="20"/>
    <n v="7"/>
    <x v="0"/>
    <x v="0"/>
    <n v="270153"/>
    <n v="226395"/>
    <n v="43758"/>
    <x v="0"/>
    <n v="0"/>
    <n v="1"/>
    <n v="0"/>
    <n v="1"/>
    <n v="1"/>
    <s v="Yes"/>
    <x v="0"/>
  </r>
  <r>
    <n v="21030"/>
    <d v="2024-05-17T00:00:00"/>
    <x v="2"/>
    <s v="Gurugram"/>
    <s v="SC_GUR_4"/>
    <x v="2"/>
    <s v="Cayenne"/>
    <s v="SUV"/>
    <x v="0"/>
    <x v="1"/>
    <x v="2"/>
    <x v="0"/>
    <n v="8"/>
    <n v="7"/>
    <x v="1"/>
    <x v="1"/>
    <n v="521134"/>
    <n v="307882"/>
    <n v="213252"/>
    <x v="3"/>
    <n v="0"/>
    <n v="0"/>
    <n v="1"/>
    <n v="0"/>
    <n v="1"/>
    <s v="Yes"/>
    <x v="2"/>
  </r>
  <r>
    <n v="21031"/>
    <d v="2024-06-26T00:00:00"/>
    <x v="2"/>
    <s v="Gurugram"/>
    <s v="SC_GUR_1"/>
    <x v="2"/>
    <s v="Cayenne"/>
    <s v="SUV"/>
    <x v="1"/>
    <x v="4"/>
    <x v="0"/>
    <x v="1"/>
    <n v="3"/>
    <n v="7"/>
    <x v="1"/>
    <x v="0"/>
    <n v="239401"/>
    <n v="164526"/>
    <n v="74875"/>
    <x v="4"/>
    <n v="0"/>
    <n v="1"/>
    <n v="1"/>
    <n v="0"/>
    <n v="1"/>
    <s v="No"/>
    <x v="2"/>
  </r>
  <r>
    <n v="21032"/>
    <d v="2024-05-04T00:00:00"/>
    <x v="1"/>
    <s v="Patna"/>
    <s v="SC_PAT_2"/>
    <x v="0"/>
    <s v="Chiron"/>
    <s v="Hypercar"/>
    <x v="1"/>
    <x v="2"/>
    <x v="0"/>
    <x v="0"/>
    <n v="13"/>
    <n v="7"/>
    <x v="0"/>
    <x v="1"/>
    <n v="308157"/>
    <n v="235412"/>
    <n v="72745"/>
    <x v="1"/>
    <n v="308157"/>
    <n v="0"/>
    <n v="0"/>
    <n v="1"/>
    <n v="1"/>
    <s v="Yes"/>
    <x v="0"/>
  </r>
  <r>
    <n v="21033"/>
    <d v="2024-01-23T00:00:00"/>
    <x v="0"/>
    <s v="Hyderabad"/>
    <s v="SC_HYD_1"/>
    <x v="0"/>
    <s v="Cayenne"/>
    <s v="SUV"/>
    <x v="1"/>
    <x v="2"/>
    <x v="1"/>
    <x v="0"/>
    <n v="8"/>
    <n v="7"/>
    <x v="1"/>
    <x v="1"/>
    <n v="539104"/>
    <n v="370053"/>
    <n v="169051"/>
    <x v="3"/>
    <n v="0"/>
    <n v="0"/>
    <n v="1"/>
    <n v="0"/>
    <n v="1"/>
    <s v="Yes"/>
    <x v="2"/>
  </r>
  <r>
    <n v="21034"/>
    <d v="2024-02-19T00:00:00"/>
    <x v="1"/>
    <s v="Bhubaneswar"/>
    <s v="SC_BHU_5"/>
    <x v="0"/>
    <s v="Chiron"/>
    <s v="Hypercar"/>
    <x v="0"/>
    <x v="2"/>
    <x v="2"/>
    <x v="1"/>
    <n v="19"/>
    <n v="7"/>
    <x v="1"/>
    <x v="0"/>
    <n v="418575"/>
    <n v="348353"/>
    <n v="70222"/>
    <x v="1"/>
    <n v="0"/>
    <n v="1"/>
    <n v="1"/>
    <n v="0"/>
    <n v="1"/>
    <s v="Yes"/>
    <x v="0"/>
  </r>
  <r>
    <n v="21035"/>
    <d v="2024-02-14T00:00:00"/>
    <x v="3"/>
    <s v="Pune"/>
    <s v="SC_PUN_3"/>
    <x v="1"/>
    <s v="Taycan"/>
    <s v="Sedan"/>
    <x v="1"/>
    <x v="4"/>
    <x v="2"/>
    <x v="0"/>
    <n v="2"/>
    <n v="7"/>
    <x v="0"/>
    <x v="1"/>
    <n v="134644"/>
    <n v="86404"/>
    <n v="48240"/>
    <x v="3"/>
    <n v="134644"/>
    <n v="0"/>
    <n v="0"/>
    <n v="1"/>
    <n v="1"/>
    <s v="No"/>
    <x v="2"/>
  </r>
  <r>
    <n v="21036"/>
    <d v="2024-03-02T00:00:00"/>
    <x v="0"/>
    <s v="Hyderabad"/>
    <s v="SC_HYD_3"/>
    <x v="2"/>
    <s v="Taycan"/>
    <s v="Sedan"/>
    <x v="1"/>
    <x v="3"/>
    <x v="1"/>
    <x v="1"/>
    <n v="11"/>
    <n v="7"/>
    <x v="1"/>
    <x v="1"/>
    <n v="419257"/>
    <n v="274999"/>
    <n v="144258"/>
    <x v="2"/>
    <n v="0"/>
    <n v="0"/>
    <n v="1"/>
    <n v="0"/>
    <n v="1"/>
    <s v="Yes"/>
    <x v="1"/>
  </r>
  <r>
    <n v="21037"/>
    <d v="2024-01-18T00:00:00"/>
    <x v="3"/>
    <s v="Ahmedabad"/>
    <s v="SC_AHM_3"/>
    <x v="2"/>
    <s v="Cayenne"/>
    <s v="SUV"/>
    <x v="0"/>
    <x v="1"/>
    <x v="2"/>
    <x v="1"/>
    <n v="14"/>
    <n v="7"/>
    <x v="1"/>
    <x v="0"/>
    <n v="211604"/>
    <n v="152652"/>
    <n v="58952"/>
    <x v="2"/>
    <n v="0"/>
    <n v="1"/>
    <n v="1"/>
    <n v="0"/>
    <n v="1"/>
    <s v="Yes"/>
    <x v="1"/>
  </r>
  <r>
    <n v="21038"/>
    <d v="2024-04-24T00:00:00"/>
    <x v="2"/>
    <s v="Gurugram"/>
    <s v="SC_GUR_3"/>
    <x v="0"/>
    <s v="Cayenne"/>
    <s v="SUV"/>
    <x v="0"/>
    <x v="1"/>
    <x v="1"/>
    <x v="0"/>
    <n v="23"/>
    <n v="7"/>
    <x v="1"/>
    <x v="1"/>
    <n v="250670"/>
    <n v="167919"/>
    <n v="82751"/>
    <x v="0"/>
    <n v="0"/>
    <n v="0"/>
    <n v="1"/>
    <n v="0"/>
    <n v="1"/>
    <s v="Yes"/>
    <x v="0"/>
  </r>
  <r>
    <n v="21039"/>
    <d v="2024-06-17T00:00:00"/>
    <x v="3"/>
    <s v="Mumbai"/>
    <s v="SC_MUM_2"/>
    <x v="1"/>
    <s v="911"/>
    <s v="Coupe"/>
    <x v="1"/>
    <x v="3"/>
    <x v="2"/>
    <x v="1"/>
    <n v="13"/>
    <n v="7"/>
    <x v="1"/>
    <x v="0"/>
    <n v="557531"/>
    <n v="428201"/>
    <n v="129330"/>
    <x v="2"/>
    <n v="0"/>
    <n v="1"/>
    <n v="1"/>
    <n v="0"/>
    <n v="1"/>
    <s v="Yes"/>
    <x v="1"/>
  </r>
  <r>
    <n v="21040"/>
    <d v="2024-02-01T00:00:00"/>
    <x v="1"/>
    <s v="Kolkata"/>
    <s v="SC_KOL_4"/>
    <x v="0"/>
    <s v="Chiron"/>
    <s v="Hypercar"/>
    <x v="1"/>
    <x v="1"/>
    <x v="2"/>
    <x v="0"/>
    <n v="19"/>
    <n v="7"/>
    <x v="0"/>
    <x v="1"/>
    <n v="273964"/>
    <n v="155543"/>
    <n v="118421"/>
    <x v="0"/>
    <n v="273964"/>
    <n v="0"/>
    <n v="0"/>
    <n v="1"/>
    <n v="1"/>
    <s v="Yes"/>
    <x v="0"/>
  </r>
  <r>
    <n v="21041"/>
    <d v="2024-03-20T00:00:00"/>
    <x v="0"/>
    <s v="Chennai"/>
    <s v="SC_CHE_2"/>
    <x v="2"/>
    <s v="Veyron"/>
    <s v="Hypercar"/>
    <x v="1"/>
    <x v="4"/>
    <x v="2"/>
    <x v="0"/>
    <n v="16"/>
    <n v="7"/>
    <x v="1"/>
    <x v="0"/>
    <n v="554617"/>
    <n v="341226"/>
    <n v="213391"/>
    <x v="1"/>
    <n v="0"/>
    <n v="1"/>
    <n v="1"/>
    <n v="0"/>
    <n v="1"/>
    <s v="Yes"/>
    <x v="0"/>
  </r>
  <r>
    <n v="21042"/>
    <d v="2024-05-14T00:00:00"/>
    <x v="1"/>
    <s v="Patna"/>
    <s v="SC_PAT_1"/>
    <x v="0"/>
    <s v="Chiron"/>
    <s v="Hypercar"/>
    <x v="1"/>
    <x v="3"/>
    <x v="1"/>
    <x v="1"/>
    <n v="9"/>
    <n v="7"/>
    <x v="1"/>
    <x v="0"/>
    <n v="516048"/>
    <n v="437234"/>
    <n v="78814"/>
    <x v="3"/>
    <n v="0"/>
    <n v="1"/>
    <n v="1"/>
    <n v="0"/>
    <n v="1"/>
    <s v="Yes"/>
    <x v="2"/>
  </r>
  <r>
    <n v="21043"/>
    <d v="2024-02-20T00:00:00"/>
    <x v="0"/>
    <s v="Bengaluru"/>
    <s v="SC_BEN_4"/>
    <x v="0"/>
    <s v="Taycan"/>
    <s v="Sedan"/>
    <x v="1"/>
    <x v="1"/>
    <x v="2"/>
    <x v="0"/>
    <n v="9"/>
    <n v="7"/>
    <x v="1"/>
    <x v="1"/>
    <n v="353851"/>
    <n v="210659"/>
    <n v="143192"/>
    <x v="3"/>
    <n v="0"/>
    <n v="0"/>
    <n v="1"/>
    <n v="0"/>
    <n v="1"/>
    <s v="Yes"/>
    <x v="2"/>
  </r>
  <r>
    <n v="21044"/>
    <d v="2024-06-15T00:00:00"/>
    <x v="3"/>
    <s v="Ahmedabad"/>
    <s v="SC_AHM_1"/>
    <x v="0"/>
    <s v="Veyron"/>
    <s v="Hypercar"/>
    <x v="1"/>
    <x v="1"/>
    <x v="2"/>
    <x v="1"/>
    <n v="21"/>
    <n v="7"/>
    <x v="1"/>
    <x v="1"/>
    <n v="265330"/>
    <n v="198015"/>
    <n v="67315"/>
    <x v="0"/>
    <n v="0"/>
    <n v="0"/>
    <n v="1"/>
    <n v="0"/>
    <n v="1"/>
    <s v="Yes"/>
    <x v="0"/>
  </r>
  <r>
    <n v="21045"/>
    <d v="2024-03-30T00:00:00"/>
    <x v="1"/>
    <s v="Patna"/>
    <s v="SC_PAT_5"/>
    <x v="0"/>
    <s v="Macan"/>
    <s v="SUV"/>
    <x v="1"/>
    <x v="2"/>
    <x v="2"/>
    <x v="0"/>
    <n v="10"/>
    <n v="7"/>
    <x v="1"/>
    <x v="0"/>
    <n v="350835"/>
    <n v="255718"/>
    <n v="95117"/>
    <x v="2"/>
    <n v="0"/>
    <n v="1"/>
    <n v="1"/>
    <n v="0"/>
    <n v="1"/>
    <s v="Yes"/>
    <x v="1"/>
  </r>
  <r>
    <n v="21046"/>
    <d v="2024-05-23T00:00:00"/>
    <x v="3"/>
    <s v="Ahmedabad"/>
    <s v="SC_AHM_1"/>
    <x v="2"/>
    <s v="Taycan"/>
    <s v="Sedan"/>
    <x v="1"/>
    <x v="2"/>
    <x v="2"/>
    <x v="1"/>
    <n v="5"/>
    <n v="7"/>
    <x v="1"/>
    <x v="0"/>
    <n v="374556"/>
    <n v="225935"/>
    <n v="148621"/>
    <x v="3"/>
    <n v="0"/>
    <n v="1"/>
    <n v="1"/>
    <n v="0"/>
    <n v="1"/>
    <s v="No"/>
    <x v="2"/>
  </r>
  <r>
    <n v="21047"/>
    <d v="2024-04-16T00:00:00"/>
    <x v="2"/>
    <s v="Noida"/>
    <s v="SC_NOI_3"/>
    <x v="1"/>
    <s v="Panamera"/>
    <s v="Sedan"/>
    <x v="0"/>
    <x v="4"/>
    <x v="0"/>
    <x v="1"/>
    <n v="20"/>
    <n v="7"/>
    <x v="0"/>
    <x v="1"/>
    <n v="482924"/>
    <n v="284323"/>
    <n v="198601"/>
    <x v="0"/>
    <n v="482924"/>
    <n v="0"/>
    <n v="0"/>
    <n v="1"/>
    <n v="1"/>
    <s v="Yes"/>
    <x v="0"/>
  </r>
  <r>
    <n v="21048"/>
    <d v="2024-06-23T00:00:00"/>
    <x v="3"/>
    <s v="Ahmedabad"/>
    <s v="SC_AHM_3"/>
    <x v="0"/>
    <s v="Cayenne"/>
    <s v="SUV"/>
    <x v="1"/>
    <x v="1"/>
    <x v="1"/>
    <x v="0"/>
    <n v="10"/>
    <n v="7"/>
    <x v="1"/>
    <x v="0"/>
    <n v="273489"/>
    <n v="186824"/>
    <n v="86665"/>
    <x v="2"/>
    <n v="0"/>
    <n v="1"/>
    <n v="1"/>
    <n v="0"/>
    <n v="1"/>
    <s v="Yes"/>
    <x v="1"/>
  </r>
  <r>
    <n v="21049"/>
    <d v="2024-04-22T00:00:00"/>
    <x v="1"/>
    <s v="Patna"/>
    <s v="SC_PAT_5"/>
    <x v="1"/>
    <s v="Chiron"/>
    <s v="Hypercar"/>
    <x v="1"/>
    <x v="4"/>
    <x v="0"/>
    <x v="0"/>
    <n v="22"/>
    <n v="7"/>
    <x v="0"/>
    <x v="1"/>
    <n v="101791"/>
    <n v="58391"/>
    <n v="43400"/>
    <x v="0"/>
    <n v="101791"/>
    <n v="0"/>
    <n v="0"/>
    <n v="1"/>
    <n v="1"/>
    <s v="Yes"/>
    <x v="0"/>
  </r>
  <r>
    <n v="21050"/>
    <d v="2024-06-13T00:00:00"/>
    <x v="3"/>
    <s v="Pune"/>
    <s v="SC_PUN_1"/>
    <x v="2"/>
    <s v="Macan"/>
    <s v="SUV"/>
    <x v="1"/>
    <x v="1"/>
    <x v="0"/>
    <x v="0"/>
    <n v="12"/>
    <n v="7"/>
    <x v="0"/>
    <x v="0"/>
    <n v="483251"/>
    <n v="403424"/>
    <n v="79827"/>
    <x v="1"/>
    <n v="0"/>
    <n v="1"/>
    <n v="0"/>
    <n v="1"/>
    <n v="1"/>
    <s v="Yes"/>
    <x v="0"/>
  </r>
  <r>
    <n v="21051"/>
    <d v="2024-06-14T00:00:00"/>
    <x v="1"/>
    <s v="Bhubaneswar"/>
    <s v="SC_BHU_1"/>
    <x v="0"/>
    <s v="Veyron"/>
    <s v="Hypercar"/>
    <x v="1"/>
    <x v="0"/>
    <x v="1"/>
    <x v="0"/>
    <n v="20"/>
    <n v="7"/>
    <x v="0"/>
    <x v="1"/>
    <n v="162374"/>
    <n v="135511"/>
    <n v="26863"/>
    <x v="0"/>
    <n v="162374"/>
    <n v="0"/>
    <n v="0"/>
    <n v="1"/>
    <n v="1"/>
    <s v="Yes"/>
    <x v="0"/>
  </r>
  <r>
    <n v="21052"/>
    <d v="2024-01-13T00:00:00"/>
    <x v="0"/>
    <s v="Hyderabad"/>
    <s v="SC_HYD_4"/>
    <x v="2"/>
    <s v="Chiron"/>
    <s v="Hypercar"/>
    <x v="1"/>
    <x v="4"/>
    <x v="2"/>
    <x v="1"/>
    <n v="18"/>
    <n v="7"/>
    <x v="0"/>
    <x v="1"/>
    <n v="223335"/>
    <n v="160900"/>
    <n v="62435"/>
    <x v="0"/>
    <n v="223335"/>
    <n v="0"/>
    <n v="0"/>
    <n v="1"/>
    <n v="1"/>
    <s v="Yes"/>
    <x v="0"/>
  </r>
  <r>
    <n v="21053"/>
    <d v="2024-02-05T00:00:00"/>
    <x v="0"/>
    <s v="Hyderabad"/>
    <s v="SC_HYD_1"/>
    <x v="1"/>
    <s v="Panamera"/>
    <s v="Sedan"/>
    <x v="1"/>
    <x v="4"/>
    <x v="2"/>
    <x v="0"/>
    <n v="2"/>
    <n v="7"/>
    <x v="0"/>
    <x v="0"/>
    <n v="295665"/>
    <n v="185379"/>
    <n v="110286"/>
    <x v="3"/>
    <n v="0"/>
    <n v="1"/>
    <n v="0"/>
    <n v="1"/>
    <n v="1"/>
    <s v="No"/>
    <x v="2"/>
  </r>
  <r>
    <n v="21054"/>
    <d v="2024-02-18T00:00:00"/>
    <x v="0"/>
    <s v="Chennai"/>
    <s v="SC_CHE_2"/>
    <x v="1"/>
    <s v="Cayenne"/>
    <s v="SUV"/>
    <x v="1"/>
    <x v="2"/>
    <x v="0"/>
    <x v="1"/>
    <n v="9"/>
    <n v="7"/>
    <x v="1"/>
    <x v="1"/>
    <n v="276694"/>
    <n v="217246"/>
    <n v="59448"/>
    <x v="3"/>
    <n v="0"/>
    <n v="0"/>
    <n v="1"/>
    <n v="0"/>
    <n v="1"/>
    <s v="Yes"/>
    <x v="2"/>
  </r>
  <r>
    <n v="21055"/>
    <d v="2024-02-11T00:00:00"/>
    <x v="2"/>
    <s v="Gurugram"/>
    <s v="SC_GUR_1"/>
    <x v="1"/>
    <s v="Veyron"/>
    <s v="Hypercar"/>
    <x v="1"/>
    <x v="3"/>
    <x v="1"/>
    <x v="1"/>
    <n v="2"/>
    <n v="7"/>
    <x v="0"/>
    <x v="0"/>
    <n v="359218"/>
    <n v="298089"/>
    <n v="61129"/>
    <x v="3"/>
    <n v="0"/>
    <n v="1"/>
    <n v="0"/>
    <n v="1"/>
    <n v="1"/>
    <s v="No"/>
    <x v="2"/>
  </r>
  <r>
    <n v="21056"/>
    <d v="2024-02-28T00:00:00"/>
    <x v="2"/>
    <s v="Delhi"/>
    <s v="SC_DEL_2"/>
    <x v="1"/>
    <s v="911"/>
    <s v="Coupe"/>
    <x v="1"/>
    <x v="3"/>
    <x v="0"/>
    <x v="0"/>
    <n v="6"/>
    <n v="7"/>
    <x v="1"/>
    <x v="1"/>
    <n v="353790"/>
    <n v="192247"/>
    <n v="161543"/>
    <x v="3"/>
    <n v="0"/>
    <n v="0"/>
    <n v="1"/>
    <n v="0"/>
    <n v="1"/>
    <s v="No"/>
    <x v="2"/>
  </r>
  <r>
    <n v="21057"/>
    <d v="2024-01-04T00:00:00"/>
    <x v="3"/>
    <s v="Mumbai"/>
    <s v="SC_MUM_3"/>
    <x v="0"/>
    <s v="Panamera"/>
    <s v="Sedan"/>
    <x v="1"/>
    <x v="1"/>
    <x v="2"/>
    <x v="0"/>
    <n v="24"/>
    <n v="7"/>
    <x v="1"/>
    <x v="1"/>
    <n v="302098"/>
    <n v="187111"/>
    <n v="114987"/>
    <x v="0"/>
    <n v="0"/>
    <n v="0"/>
    <n v="1"/>
    <n v="0"/>
    <n v="1"/>
    <s v="Yes"/>
    <x v="0"/>
  </r>
  <r>
    <n v="21058"/>
    <d v="2024-03-21T00:00:00"/>
    <x v="1"/>
    <s v="Kolkata"/>
    <s v="SC_KOL_1"/>
    <x v="2"/>
    <s v="Taycan"/>
    <s v="Sedan"/>
    <x v="1"/>
    <x v="0"/>
    <x v="1"/>
    <x v="0"/>
    <n v="10"/>
    <n v="7"/>
    <x v="1"/>
    <x v="1"/>
    <n v="270996"/>
    <n v="159128"/>
    <n v="111868"/>
    <x v="2"/>
    <n v="0"/>
    <n v="0"/>
    <n v="1"/>
    <n v="0"/>
    <n v="1"/>
    <s v="Yes"/>
    <x v="1"/>
  </r>
  <r>
    <n v="21059"/>
    <d v="2024-02-25T00:00:00"/>
    <x v="1"/>
    <s v="Patna"/>
    <s v="SC_PAT_1"/>
    <x v="1"/>
    <s v="Macan"/>
    <s v="SUV"/>
    <x v="0"/>
    <x v="4"/>
    <x v="1"/>
    <x v="0"/>
    <n v="6"/>
    <n v="7"/>
    <x v="0"/>
    <x v="0"/>
    <n v="353918"/>
    <n v="229329"/>
    <n v="124589"/>
    <x v="2"/>
    <n v="0"/>
    <n v="1"/>
    <n v="0"/>
    <n v="1"/>
    <n v="1"/>
    <s v="No"/>
    <x v="1"/>
  </r>
  <r>
    <n v="21060"/>
    <d v="2024-06-10T00:00:00"/>
    <x v="2"/>
    <s v="Gurugram"/>
    <s v="SC_GUR_1"/>
    <x v="1"/>
    <s v="911"/>
    <s v="Coupe"/>
    <x v="1"/>
    <x v="2"/>
    <x v="2"/>
    <x v="0"/>
    <n v="8"/>
    <n v="7"/>
    <x v="0"/>
    <x v="0"/>
    <n v="244704"/>
    <n v="174822"/>
    <n v="69882"/>
    <x v="2"/>
    <n v="0"/>
    <n v="1"/>
    <n v="0"/>
    <n v="1"/>
    <n v="1"/>
    <s v="Yes"/>
    <x v="1"/>
  </r>
  <r>
    <n v="21061"/>
    <d v="2024-03-13T00:00:00"/>
    <x v="2"/>
    <s v="Gurugram"/>
    <s v="SC_GUR_4"/>
    <x v="0"/>
    <s v="Macan"/>
    <s v="SUV"/>
    <x v="0"/>
    <x v="1"/>
    <x v="2"/>
    <x v="1"/>
    <n v="9"/>
    <n v="7"/>
    <x v="0"/>
    <x v="1"/>
    <n v="495766"/>
    <n v="329148"/>
    <n v="166618"/>
    <x v="2"/>
    <n v="495766"/>
    <n v="0"/>
    <n v="0"/>
    <n v="1"/>
    <n v="1"/>
    <s v="Yes"/>
    <x v="1"/>
  </r>
  <r>
    <n v="21062"/>
    <d v="2024-06-07T00:00:00"/>
    <x v="1"/>
    <s v="Kolkata"/>
    <s v="SC_KOL_1"/>
    <x v="1"/>
    <s v="Cayenne"/>
    <s v="SUV"/>
    <x v="1"/>
    <x v="1"/>
    <x v="2"/>
    <x v="0"/>
    <n v="6"/>
    <n v="7"/>
    <x v="0"/>
    <x v="1"/>
    <n v="167986"/>
    <n v="95407"/>
    <n v="72579"/>
    <x v="2"/>
    <n v="167986"/>
    <n v="0"/>
    <n v="0"/>
    <n v="1"/>
    <n v="1"/>
    <s v="No"/>
    <x v="1"/>
  </r>
  <r>
    <n v="21063"/>
    <d v="2024-06-05T00:00:00"/>
    <x v="1"/>
    <s v="Bhubaneswar"/>
    <s v="SC_BHU_2"/>
    <x v="1"/>
    <s v="Taycan"/>
    <s v="Sedan"/>
    <x v="0"/>
    <x v="0"/>
    <x v="2"/>
    <x v="1"/>
    <n v="7"/>
    <n v="7"/>
    <x v="1"/>
    <x v="0"/>
    <n v="471004"/>
    <n v="236953"/>
    <n v="234051"/>
    <x v="3"/>
    <n v="0"/>
    <n v="1"/>
    <n v="1"/>
    <n v="0"/>
    <n v="1"/>
    <s v="No"/>
    <x v="2"/>
  </r>
  <r>
    <n v="21064"/>
    <d v="2024-03-13T00:00:00"/>
    <x v="0"/>
    <s v="Chennai"/>
    <s v="SC_CHE_1"/>
    <x v="0"/>
    <s v="911"/>
    <s v="Coupe"/>
    <x v="1"/>
    <x v="1"/>
    <x v="2"/>
    <x v="0"/>
    <n v="15"/>
    <n v="7"/>
    <x v="1"/>
    <x v="1"/>
    <n v="515877"/>
    <n v="360656"/>
    <n v="155221"/>
    <x v="1"/>
    <n v="0"/>
    <n v="0"/>
    <n v="1"/>
    <n v="0"/>
    <n v="1"/>
    <s v="Yes"/>
    <x v="0"/>
  </r>
  <r>
    <n v="21065"/>
    <d v="2024-05-09T00:00:00"/>
    <x v="0"/>
    <s v="Hyderabad"/>
    <s v="SC_HYD_1"/>
    <x v="2"/>
    <s v="Chiron"/>
    <s v="Hypercar"/>
    <x v="0"/>
    <x v="0"/>
    <x v="1"/>
    <x v="0"/>
    <n v="19"/>
    <n v="7"/>
    <x v="1"/>
    <x v="0"/>
    <n v="354083"/>
    <n v="205711"/>
    <n v="148372"/>
    <x v="1"/>
    <n v="0"/>
    <n v="1"/>
    <n v="1"/>
    <n v="0"/>
    <n v="1"/>
    <s v="Yes"/>
    <x v="0"/>
  </r>
  <r>
    <n v="21066"/>
    <d v="2024-05-13T00:00:00"/>
    <x v="3"/>
    <s v="Mumbai"/>
    <s v="SC_MUM_2"/>
    <x v="2"/>
    <s v="911"/>
    <s v="Coupe"/>
    <x v="0"/>
    <x v="3"/>
    <x v="1"/>
    <x v="1"/>
    <n v="21"/>
    <n v="7"/>
    <x v="0"/>
    <x v="0"/>
    <n v="222801"/>
    <n v="143427"/>
    <n v="79374"/>
    <x v="0"/>
    <n v="0"/>
    <n v="1"/>
    <n v="0"/>
    <n v="1"/>
    <n v="1"/>
    <s v="Yes"/>
    <x v="0"/>
  </r>
  <r>
    <n v="21067"/>
    <d v="2024-04-08T00:00:00"/>
    <x v="2"/>
    <s v="Noida"/>
    <s v="SC_NOI_2"/>
    <x v="0"/>
    <s v="Chiron"/>
    <s v="Hypercar"/>
    <x v="1"/>
    <x v="0"/>
    <x v="0"/>
    <x v="1"/>
    <n v="3"/>
    <n v="7"/>
    <x v="1"/>
    <x v="0"/>
    <n v="131499"/>
    <n v="90553"/>
    <n v="40946"/>
    <x v="4"/>
    <n v="0"/>
    <n v="1"/>
    <n v="1"/>
    <n v="0"/>
    <n v="1"/>
    <s v="No"/>
    <x v="2"/>
  </r>
  <r>
    <n v="21068"/>
    <d v="2024-04-23T00:00:00"/>
    <x v="3"/>
    <s v="Ahmedabad"/>
    <s v="SC_AHM_4"/>
    <x v="0"/>
    <s v="Macan"/>
    <s v="SUV"/>
    <x v="0"/>
    <x v="1"/>
    <x v="2"/>
    <x v="0"/>
    <n v="11"/>
    <n v="7"/>
    <x v="0"/>
    <x v="0"/>
    <n v="236688"/>
    <n v="189194"/>
    <n v="47494"/>
    <x v="1"/>
    <n v="0"/>
    <n v="1"/>
    <n v="0"/>
    <n v="1"/>
    <n v="1"/>
    <s v="Yes"/>
    <x v="0"/>
  </r>
  <r>
    <n v="21069"/>
    <d v="2024-06-24T00:00:00"/>
    <x v="3"/>
    <s v="Ahmedabad"/>
    <s v="SC_AHM_2"/>
    <x v="0"/>
    <s v="Panamera"/>
    <s v="Sedan"/>
    <x v="0"/>
    <x v="3"/>
    <x v="1"/>
    <x v="0"/>
    <n v="18"/>
    <n v="7"/>
    <x v="1"/>
    <x v="1"/>
    <n v="216527"/>
    <n v="166590"/>
    <n v="49937"/>
    <x v="1"/>
    <n v="0"/>
    <n v="0"/>
    <n v="1"/>
    <n v="0"/>
    <n v="1"/>
    <s v="Yes"/>
    <x v="0"/>
  </r>
  <r>
    <n v="21070"/>
    <d v="2024-01-05T00:00:00"/>
    <x v="1"/>
    <s v="Patna"/>
    <s v="SC_PAT_5"/>
    <x v="1"/>
    <s v="Veyron"/>
    <s v="Hypercar"/>
    <x v="1"/>
    <x v="2"/>
    <x v="0"/>
    <x v="1"/>
    <n v="11"/>
    <n v="7"/>
    <x v="0"/>
    <x v="0"/>
    <n v="380655"/>
    <n v="195191"/>
    <n v="185464"/>
    <x v="1"/>
    <n v="0"/>
    <n v="1"/>
    <n v="0"/>
    <n v="1"/>
    <n v="1"/>
    <s v="Yes"/>
    <x v="0"/>
  </r>
  <r>
    <n v="21071"/>
    <d v="2024-04-13T00:00:00"/>
    <x v="0"/>
    <s v="Chennai"/>
    <s v="SC_CHE_5"/>
    <x v="0"/>
    <s v="Macan"/>
    <s v="SUV"/>
    <x v="0"/>
    <x v="2"/>
    <x v="0"/>
    <x v="0"/>
    <n v="18"/>
    <n v="7"/>
    <x v="0"/>
    <x v="0"/>
    <n v="494981"/>
    <n v="348830"/>
    <n v="146151"/>
    <x v="0"/>
    <n v="0"/>
    <n v="1"/>
    <n v="0"/>
    <n v="1"/>
    <n v="1"/>
    <s v="Yes"/>
    <x v="0"/>
  </r>
  <r>
    <n v="21072"/>
    <d v="2024-04-20T00:00:00"/>
    <x v="0"/>
    <s v="Chennai"/>
    <s v="SC_CHE_5"/>
    <x v="1"/>
    <s v="Cayenne"/>
    <s v="SUV"/>
    <x v="1"/>
    <x v="1"/>
    <x v="0"/>
    <x v="1"/>
    <n v="7"/>
    <n v="7"/>
    <x v="0"/>
    <x v="0"/>
    <n v="532113"/>
    <n v="314370"/>
    <n v="217743"/>
    <x v="2"/>
    <n v="0"/>
    <n v="1"/>
    <n v="0"/>
    <n v="1"/>
    <n v="1"/>
    <s v="No"/>
    <x v="1"/>
  </r>
  <r>
    <n v="21073"/>
    <d v="2024-06-04T00:00:00"/>
    <x v="1"/>
    <s v="Patna"/>
    <s v="SC_PAT_1"/>
    <x v="1"/>
    <s v="Panamera"/>
    <s v="Sedan"/>
    <x v="0"/>
    <x v="1"/>
    <x v="2"/>
    <x v="0"/>
    <n v="14"/>
    <n v="7"/>
    <x v="1"/>
    <x v="1"/>
    <n v="156829"/>
    <n v="101350"/>
    <n v="55479"/>
    <x v="2"/>
    <n v="0"/>
    <n v="0"/>
    <n v="1"/>
    <n v="0"/>
    <n v="1"/>
    <s v="Yes"/>
    <x v="1"/>
  </r>
  <r>
    <n v="21074"/>
    <d v="2024-03-26T00:00:00"/>
    <x v="1"/>
    <s v="Patna"/>
    <s v="SC_PAT_1"/>
    <x v="1"/>
    <s v="Chiron"/>
    <s v="Hypercar"/>
    <x v="1"/>
    <x v="4"/>
    <x v="1"/>
    <x v="0"/>
    <n v="18"/>
    <n v="7"/>
    <x v="0"/>
    <x v="1"/>
    <n v="480268"/>
    <n v="334234"/>
    <n v="146034"/>
    <x v="0"/>
    <n v="480268"/>
    <n v="0"/>
    <n v="0"/>
    <n v="1"/>
    <n v="1"/>
    <s v="Yes"/>
    <x v="0"/>
  </r>
  <r>
    <n v="21075"/>
    <d v="2024-03-15T00:00:00"/>
    <x v="0"/>
    <s v="Chennai"/>
    <s v="SC_CHE_3"/>
    <x v="1"/>
    <s v="Chiron"/>
    <s v="Hypercar"/>
    <x v="0"/>
    <x v="2"/>
    <x v="2"/>
    <x v="0"/>
    <n v="8"/>
    <n v="7"/>
    <x v="0"/>
    <x v="1"/>
    <n v="516544"/>
    <n v="359453"/>
    <n v="157091"/>
    <x v="2"/>
    <n v="516544"/>
    <n v="0"/>
    <n v="0"/>
    <n v="1"/>
    <n v="1"/>
    <s v="Yes"/>
    <x v="1"/>
  </r>
  <r>
    <n v="21076"/>
    <d v="2024-06-08T00:00:00"/>
    <x v="3"/>
    <s v="Mumbai"/>
    <s v="SC_MUM_2"/>
    <x v="0"/>
    <s v="Chiron"/>
    <s v="Hypercar"/>
    <x v="1"/>
    <x v="4"/>
    <x v="2"/>
    <x v="0"/>
    <n v="11"/>
    <n v="7"/>
    <x v="0"/>
    <x v="1"/>
    <n v="313640"/>
    <n v="266109"/>
    <n v="47531"/>
    <x v="1"/>
    <n v="313640"/>
    <n v="0"/>
    <n v="0"/>
    <n v="1"/>
    <n v="1"/>
    <s v="Yes"/>
    <x v="0"/>
  </r>
  <r>
    <n v="21077"/>
    <d v="2024-06-22T00:00:00"/>
    <x v="1"/>
    <s v="Patna"/>
    <s v="SC_PAT_5"/>
    <x v="1"/>
    <s v="Veyron"/>
    <s v="Hypercar"/>
    <x v="0"/>
    <x v="1"/>
    <x v="0"/>
    <x v="0"/>
    <n v="4"/>
    <n v="7"/>
    <x v="1"/>
    <x v="0"/>
    <n v="163558"/>
    <n v="92085"/>
    <n v="71473"/>
    <x v="4"/>
    <n v="0"/>
    <n v="1"/>
    <n v="1"/>
    <n v="0"/>
    <n v="1"/>
    <s v="No"/>
    <x v="2"/>
  </r>
  <r>
    <n v="21078"/>
    <d v="2024-02-11T00:00:00"/>
    <x v="3"/>
    <s v="Pune"/>
    <s v="SC_PUN_3"/>
    <x v="0"/>
    <s v="Taycan"/>
    <s v="Sedan"/>
    <x v="0"/>
    <x v="1"/>
    <x v="0"/>
    <x v="1"/>
    <n v="18"/>
    <n v="7"/>
    <x v="0"/>
    <x v="1"/>
    <n v="277129"/>
    <n v="154740"/>
    <n v="122389"/>
    <x v="0"/>
    <n v="277129"/>
    <n v="0"/>
    <n v="0"/>
    <n v="1"/>
    <n v="1"/>
    <s v="Yes"/>
    <x v="0"/>
  </r>
  <r>
    <n v="21079"/>
    <d v="2024-04-08T00:00:00"/>
    <x v="3"/>
    <s v="Pune"/>
    <s v="SC_PUN_1"/>
    <x v="0"/>
    <s v="Cayenne"/>
    <s v="SUV"/>
    <x v="1"/>
    <x v="3"/>
    <x v="1"/>
    <x v="0"/>
    <n v="12"/>
    <n v="7"/>
    <x v="1"/>
    <x v="0"/>
    <n v="347872"/>
    <n v="236820"/>
    <n v="111052"/>
    <x v="2"/>
    <n v="0"/>
    <n v="1"/>
    <n v="1"/>
    <n v="0"/>
    <n v="1"/>
    <s v="Yes"/>
    <x v="1"/>
  </r>
  <r>
    <n v="21080"/>
    <d v="2024-02-18T00:00:00"/>
    <x v="1"/>
    <s v="Kolkata"/>
    <s v="SC_KOL_3"/>
    <x v="1"/>
    <s v="Macan"/>
    <s v="SUV"/>
    <x v="1"/>
    <x v="3"/>
    <x v="2"/>
    <x v="0"/>
    <n v="18"/>
    <n v="7"/>
    <x v="0"/>
    <x v="0"/>
    <n v="546864"/>
    <n v="374823"/>
    <n v="172041"/>
    <x v="0"/>
    <n v="0"/>
    <n v="1"/>
    <n v="0"/>
    <n v="1"/>
    <n v="1"/>
    <s v="Yes"/>
    <x v="0"/>
  </r>
  <r>
    <n v="21081"/>
    <d v="2024-05-09T00:00:00"/>
    <x v="3"/>
    <s v="Mumbai"/>
    <s v="SC_MUM_3"/>
    <x v="1"/>
    <s v="Taycan"/>
    <s v="Sedan"/>
    <x v="0"/>
    <x v="3"/>
    <x v="2"/>
    <x v="0"/>
    <n v="4"/>
    <n v="7"/>
    <x v="0"/>
    <x v="1"/>
    <n v="547913"/>
    <n v="366872"/>
    <n v="181041"/>
    <x v="3"/>
    <n v="547913"/>
    <n v="0"/>
    <n v="0"/>
    <n v="1"/>
    <n v="1"/>
    <s v="No"/>
    <x v="2"/>
  </r>
  <r>
    <n v="21082"/>
    <d v="2024-03-15T00:00:00"/>
    <x v="0"/>
    <s v="Chennai"/>
    <s v="SC_CHE_4"/>
    <x v="1"/>
    <s v="Chiron"/>
    <s v="Hypercar"/>
    <x v="1"/>
    <x v="4"/>
    <x v="2"/>
    <x v="1"/>
    <n v="2"/>
    <n v="7"/>
    <x v="1"/>
    <x v="1"/>
    <n v="407093"/>
    <n v="289591"/>
    <n v="117502"/>
    <x v="4"/>
    <n v="0"/>
    <n v="0"/>
    <n v="1"/>
    <n v="0"/>
    <n v="1"/>
    <s v="No"/>
    <x v="2"/>
  </r>
  <r>
    <n v="21083"/>
    <d v="2024-01-13T00:00:00"/>
    <x v="0"/>
    <s v="Hyderabad"/>
    <s v="SC_HYD_5"/>
    <x v="2"/>
    <s v="Veyron"/>
    <s v="Hypercar"/>
    <x v="1"/>
    <x v="4"/>
    <x v="1"/>
    <x v="1"/>
    <n v="16"/>
    <n v="7"/>
    <x v="1"/>
    <x v="1"/>
    <n v="416887"/>
    <n v="330795"/>
    <n v="86092"/>
    <x v="1"/>
    <n v="0"/>
    <n v="0"/>
    <n v="1"/>
    <n v="0"/>
    <n v="1"/>
    <s v="Yes"/>
    <x v="0"/>
  </r>
  <r>
    <n v="21084"/>
    <d v="2024-03-20T00:00:00"/>
    <x v="3"/>
    <s v="Mumbai"/>
    <s v="SC_MUM_4"/>
    <x v="2"/>
    <s v="Taycan"/>
    <s v="Sedan"/>
    <x v="1"/>
    <x v="2"/>
    <x v="0"/>
    <x v="0"/>
    <n v="25"/>
    <n v="7"/>
    <x v="0"/>
    <x v="0"/>
    <n v="486773"/>
    <n v="319477"/>
    <n v="167296"/>
    <x v="0"/>
    <n v="0"/>
    <n v="1"/>
    <n v="0"/>
    <n v="1"/>
    <n v="1"/>
    <s v="Yes"/>
    <x v="0"/>
  </r>
  <r>
    <n v="21085"/>
    <d v="2024-01-25T00:00:00"/>
    <x v="2"/>
    <s v="Delhi"/>
    <s v="SC_DEL_5"/>
    <x v="0"/>
    <s v="911"/>
    <s v="Coupe"/>
    <x v="0"/>
    <x v="4"/>
    <x v="2"/>
    <x v="1"/>
    <n v="18"/>
    <n v="7"/>
    <x v="1"/>
    <x v="1"/>
    <n v="260251"/>
    <n v="208350"/>
    <n v="51901"/>
    <x v="1"/>
    <n v="0"/>
    <n v="0"/>
    <n v="1"/>
    <n v="0"/>
    <n v="1"/>
    <s v="Yes"/>
    <x v="0"/>
  </r>
  <r>
    <n v="21086"/>
    <d v="2024-06-06T00:00:00"/>
    <x v="0"/>
    <s v="Bengaluru"/>
    <s v="SC_BEN_4"/>
    <x v="2"/>
    <s v="Taycan"/>
    <s v="Sedan"/>
    <x v="0"/>
    <x v="0"/>
    <x v="1"/>
    <x v="1"/>
    <n v="2"/>
    <n v="7"/>
    <x v="1"/>
    <x v="0"/>
    <n v="580937"/>
    <n v="349494"/>
    <n v="231443"/>
    <x v="4"/>
    <n v="0"/>
    <n v="1"/>
    <n v="1"/>
    <n v="0"/>
    <n v="1"/>
    <s v="No"/>
    <x v="2"/>
  </r>
  <r>
    <n v="21087"/>
    <d v="2024-05-14T00:00:00"/>
    <x v="2"/>
    <s v="Gurugram"/>
    <s v="SC_GUR_1"/>
    <x v="0"/>
    <s v="Chiron"/>
    <s v="Hypercar"/>
    <x v="1"/>
    <x v="0"/>
    <x v="2"/>
    <x v="0"/>
    <n v="5"/>
    <n v="7"/>
    <x v="1"/>
    <x v="0"/>
    <n v="501908"/>
    <n v="341788"/>
    <n v="160120"/>
    <x v="3"/>
    <n v="0"/>
    <n v="1"/>
    <n v="1"/>
    <n v="0"/>
    <n v="1"/>
    <s v="No"/>
    <x v="2"/>
  </r>
  <r>
    <n v="21088"/>
    <d v="2024-04-25T00:00:00"/>
    <x v="1"/>
    <s v="Bhubaneswar"/>
    <s v="SC_BHU_3"/>
    <x v="1"/>
    <s v="Panamera"/>
    <s v="Sedan"/>
    <x v="1"/>
    <x v="2"/>
    <x v="1"/>
    <x v="0"/>
    <n v="7"/>
    <n v="7"/>
    <x v="1"/>
    <x v="1"/>
    <n v="347128"/>
    <n v="274886"/>
    <n v="72242"/>
    <x v="3"/>
    <n v="0"/>
    <n v="0"/>
    <n v="1"/>
    <n v="0"/>
    <n v="1"/>
    <s v="No"/>
    <x v="2"/>
  </r>
  <r>
    <n v="21089"/>
    <d v="2024-06-20T00:00:00"/>
    <x v="0"/>
    <s v="Hyderabad"/>
    <s v="SC_HYD_5"/>
    <x v="0"/>
    <s v="Panamera"/>
    <s v="Sedan"/>
    <x v="0"/>
    <x v="1"/>
    <x v="1"/>
    <x v="0"/>
    <n v="12"/>
    <n v="7"/>
    <x v="1"/>
    <x v="0"/>
    <n v="311609"/>
    <n v="191219"/>
    <n v="120390"/>
    <x v="2"/>
    <n v="0"/>
    <n v="1"/>
    <n v="1"/>
    <n v="0"/>
    <n v="1"/>
    <s v="Yes"/>
    <x v="1"/>
  </r>
  <r>
    <n v="21090"/>
    <d v="2024-02-27T00:00:00"/>
    <x v="0"/>
    <s v="Chennai"/>
    <s v="SC_CHE_4"/>
    <x v="1"/>
    <s v="Veyron"/>
    <s v="Hypercar"/>
    <x v="0"/>
    <x v="2"/>
    <x v="2"/>
    <x v="0"/>
    <n v="22"/>
    <n v="7"/>
    <x v="0"/>
    <x v="1"/>
    <n v="533028"/>
    <n v="323752"/>
    <n v="209276"/>
    <x v="0"/>
    <n v="533028"/>
    <n v="0"/>
    <n v="0"/>
    <n v="1"/>
    <n v="1"/>
    <s v="Yes"/>
    <x v="0"/>
  </r>
  <r>
    <n v="21091"/>
    <d v="2024-05-06T00:00:00"/>
    <x v="0"/>
    <s v="Bengaluru"/>
    <s v="SC_BEN_5"/>
    <x v="1"/>
    <s v="Macan"/>
    <s v="SUV"/>
    <x v="1"/>
    <x v="0"/>
    <x v="0"/>
    <x v="0"/>
    <n v="25"/>
    <n v="7"/>
    <x v="0"/>
    <x v="0"/>
    <n v="176597"/>
    <n v="106699"/>
    <n v="69898"/>
    <x v="0"/>
    <n v="0"/>
    <n v="1"/>
    <n v="0"/>
    <n v="1"/>
    <n v="1"/>
    <s v="Yes"/>
    <x v="0"/>
  </r>
  <r>
    <n v="21092"/>
    <d v="2024-06-16T00:00:00"/>
    <x v="3"/>
    <s v="Pune"/>
    <s v="SC_PUN_2"/>
    <x v="0"/>
    <s v="Chiron"/>
    <s v="Hypercar"/>
    <x v="0"/>
    <x v="4"/>
    <x v="2"/>
    <x v="0"/>
    <n v="10"/>
    <n v="7"/>
    <x v="0"/>
    <x v="0"/>
    <n v="338904"/>
    <n v="232928"/>
    <n v="105976"/>
    <x v="1"/>
    <n v="0"/>
    <n v="1"/>
    <n v="0"/>
    <n v="1"/>
    <n v="1"/>
    <s v="Yes"/>
    <x v="0"/>
  </r>
  <r>
    <n v="21093"/>
    <d v="2024-06-06T00:00:00"/>
    <x v="0"/>
    <s v="Hyderabad"/>
    <s v="SC_HYD_1"/>
    <x v="0"/>
    <s v="Cayenne"/>
    <s v="SUV"/>
    <x v="1"/>
    <x v="2"/>
    <x v="0"/>
    <x v="0"/>
    <n v="21"/>
    <n v="7"/>
    <x v="0"/>
    <x v="1"/>
    <n v="163206"/>
    <n v="107043"/>
    <n v="56163"/>
    <x v="0"/>
    <n v="163206"/>
    <n v="0"/>
    <n v="0"/>
    <n v="1"/>
    <n v="1"/>
    <s v="Yes"/>
    <x v="0"/>
  </r>
  <r>
    <n v="21094"/>
    <d v="2024-05-25T00:00:00"/>
    <x v="3"/>
    <s v="Ahmedabad"/>
    <s v="SC_AHM_3"/>
    <x v="0"/>
    <s v="Taycan"/>
    <s v="Sedan"/>
    <x v="1"/>
    <x v="4"/>
    <x v="1"/>
    <x v="1"/>
    <n v="17"/>
    <n v="7"/>
    <x v="0"/>
    <x v="1"/>
    <n v="284255"/>
    <n v="146059"/>
    <n v="138196"/>
    <x v="0"/>
    <n v="284255"/>
    <n v="0"/>
    <n v="0"/>
    <n v="1"/>
    <n v="1"/>
    <s v="Yes"/>
    <x v="0"/>
  </r>
  <r>
    <n v="21095"/>
    <d v="2024-02-16T00:00:00"/>
    <x v="2"/>
    <s v="Noida"/>
    <s v="SC_NOI_5"/>
    <x v="2"/>
    <s v="Taycan"/>
    <s v="Sedan"/>
    <x v="1"/>
    <x v="1"/>
    <x v="1"/>
    <x v="1"/>
    <n v="7"/>
    <n v="7"/>
    <x v="1"/>
    <x v="0"/>
    <n v="338155"/>
    <n v="251026"/>
    <n v="87129"/>
    <x v="3"/>
    <n v="0"/>
    <n v="1"/>
    <n v="1"/>
    <n v="0"/>
    <n v="1"/>
    <s v="No"/>
    <x v="2"/>
  </r>
  <r>
    <n v="21096"/>
    <d v="2024-06-01T00:00:00"/>
    <x v="1"/>
    <s v="Patna"/>
    <s v="SC_PAT_4"/>
    <x v="1"/>
    <s v="911"/>
    <s v="Coupe"/>
    <x v="0"/>
    <x v="0"/>
    <x v="2"/>
    <x v="0"/>
    <n v="21"/>
    <n v="7"/>
    <x v="0"/>
    <x v="1"/>
    <n v="242246"/>
    <n v="170675"/>
    <n v="71571"/>
    <x v="0"/>
    <n v="242246"/>
    <n v="0"/>
    <n v="0"/>
    <n v="1"/>
    <n v="1"/>
    <s v="Yes"/>
    <x v="0"/>
  </r>
  <r>
    <n v="21097"/>
    <d v="2024-05-17T00:00:00"/>
    <x v="1"/>
    <s v="Kolkata"/>
    <s v="SC_KOL_2"/>
    <x v="2"/>
    <s v="Taycan"/>
    <s v="Sedan"/>
    <x v="0"/>
    <x v="3"/>
    <x v="0"/>
    <x v="0"/>
    <n v="16"/>
    <n v="7"/>
    <x v="0"/>
    <x v="0"/>
    <n v="406144"/>
    <n v="293972"/>
    <n v="112172"/>
    <x v="0"/>
    <n v="0"/>
    <n v="1"/>
    <n v="0"/>
    <n v="1"/>
    <n v="1"/>
    <s v="Yes"/>
    <x v="0"/>
  </r>
  <r>
    <n v="21098"/>
    <d v="2024-05-04T00:00:00"/>
    <x v="3"/>
    <s v="Ahmedabad"/>
    <s v="SC_AHM_3"/>
    <x v="0"/>
    <s v="Panamera"/>
    <s v="Sedan"/>
    <x v="1"/>
    <x v="3"/>
    <x v="2"/>
    <x v="1"/>
    <n v="3"/>
    <n v="7"/>
    <x v="0"/>
    <x v="1"/>
    <n v="487563"/>
    <n v="380858"/>
    <n v="106705"/>
    <x v="3"/>
    <n v="487563"/>
    <n v="0"/>
    <n v="0"/>
    <n v="1"/>
    <n v="1"/>
    <s v="No"/>
    <x v="2"/>
  </r>
  <r>
    <n v="21099"/>
    <d v="2024-02-07T00:00:00"/>
    <x v="2"/>
    <s v="Gurugram"/>
    <s v="SC_GUR_3"/>
    <x v="1"/>
    <s v="Veyron"/>
    <s v="Hypercar"/>
    <x v="1"/>
    <x v="4"/>
    <x v="0"/>
    <x v="1"/>
    <n v="24"/>
    <n v="7"/>
    <x v="0"/>
    <x v="1"/>
    <n v="303275"/>
    <n v="204181"/>
    <n v="99094"/>
    <x v="0"/>
    <n v="303275"/>
    <n v="0"/>
    <n v="0"/>
    <n v="1"/>
    <n v="1"/>
    <s v="Yes"/>
    <x v="0"/>
  </r>
  <r>
    <n v="21100"/>
    <d v="2024-05-20T00:00:00"/>
    <x v="0"/>
    <s v="Hyderabad"/>
    <s v="SC_HYD_1"/>
    <x v="2"/>
    <s v="Cayenne"/>
    <s v="SUV"/>
    <x v="0"/>
    <x v="0"/>
    <x v="2"/>
    <x v="1"/>
    <n v="4"/>
    <n v="7"/>
    <x v="0"/>
    <x v="1"/>
    <n v="90118"/>
    <n v="65368"/>
    <n v="24750"/>
    <x v="3"/>
    <n v="90118"/>
    <n v="0"/>
    <n v="0"/>
    <n v="1"/>
    <n v="1"/>
    <s v="No"/>
    <x v="2"/>
  </r>
  <r>
    <n v="21101"/>
    <d v="2024-02-21T00:00:00"/>
    <x v="1"/>
    <s v="Patna"/>
    <s v="SC_PAT_4"/>
    <x v="2"/>
    <s v="Panamera"/>
    <s v="Sedan"/>
    <x v="0"/>
    <x v="3"/>
    <x v="0"/>
    <x v="0"/>
    <n v="7"/>
    <n v="7"/>
    <x v="0"/>
    <x v="1"/>
    <n v="438940"/>
    <n v="332410"/>
    <n v="106530"/>
    <x v="2"/>
    <n v="438940"/>
    <n v="0"/>
    <n v="0"/>
    <n v="1"/>
    <n v="1"/>
    <s v="No"/>
    <x v="1"/>
  </r>
  <r>
    <n v="21102"/>
    <d v="2024-05-06T00:00:00"/>
    <x v="0"/>
    <s v="Chennai"/>
    <s v="SC_CHE_3"/>
    <x v="2"/>
    <s v="Veyron"/>
    <s v="Hypercar"/>
    <x v="1"/>
    <x v="0"/>
    <x v="2"/>
    <x v="0"/>
    <n v="7"/>
    <n v="7"/>
    <x v="0"/>
    <x v="1"/>
    <n v="427572"/>
    <n v="333540"/>
    <n v="94032"/>
    <x v="2"/>
    <n v="427572"/>
    <n v="0"/>
    <n v="0"/>
    <n v="1"/>
    <n v="1"/>
    <s v="No"/>
    <x v="1"/>
  </r>
  <r>
    <n v="21103"/>
    <d v="2024-02-19T00:00:00"/>
    <x v="2"/>
    <s v="Gurugram"/>
    <s v="SC_GUR_5"/>
    <x v="2"/>
    <s v="Macan"/>
    <s v="SUV"/>
    <x v="0"/>
    <x v="2"/>
    <x v="0"/>
    <x v="1"/>
    <n v="25"/>
    <n v="7"/>
    <x v="0"/>
    <x v="1"/>
    <n v="208775"/>
    <n v="109157"/>
    <n v="99618"/>
    <x v="0"/>
    <n v="208775"/>
    <n v="0"/>
    <n v="0"/>
    <n v="1"/>
    <n v="1"/>
    <s v="Yes"/>
    <x v="0"/>
  </r>
  <r>
    <n v="21104"/>
    <d v="2024-06-20T00:00:00"/>
    <x v="2"/>
    <s v="Delhi"/>
    <s v="SC_DEL_4"/>
    <x v="2"/>
    <s v="Panamera"/>
    <s v="Sedan"/>
    <x v="1"/>
    <x v="4"/>
    <x v="0"/>
    <x v="0"/>
    <n v="10"/>
    <n v="7"/>
    <x v="0"/>
    <x v="1"/>
    <n v="177147"/>
    <n v="118060"/>
    <n v="59087"/>
    <x v="1"/>
    <n v="177147"/>
    <n v="0"/>
    <n v="0"/>
    <n v="1"/>
    <n v="1"/>
    <s v="Yes"/>
    <x v="0"/>
  </r>
  <r>
    <n v="21105"/>
    <d v="2024-05-29T00:00:00"/>
    <x v="2"/>
    <s v="Noida"/>
    <s v="SC_NOI_3"/>
    <x v="1"/>
    <s v="Chiron"/>
    <s v="Hypercar"/>
    <x v="0"/>
    <x v="3"/>
    <x v="0"/>
    <x v="0"/>
    <n v="2"/>
    <n v="7"/>
    <x v="0"/>
    <x v="1"/>
    <n v="427542"/>
    <n v="346836"/>
    <n v="80706"/>
    <x v="3"/>
    <n v="427542"/>
    <n v="0"/>
    <n v="0"/>
    <n v="1"/>
    <n v="1"/>
    <s v="No"/>
    <x v="2"/>
  </r>
  <r>
    <n v="21106"/>
    <d v="2024-02-17T00:00:00"/>
    <x v="0"/>
    <s v="Chennai"/>
    <s v="SC_CHE_2"/>
    <x v="0"/>
    <s v="911"/>
    <s v="Coupe"/>
    <x v="1"/>
    <x v="4"/>
    <x v="1"/>
    <x v="0"/>
    <n v="13"/>
    <n v="7"/>
    <x v="1"/>
    <x v="1"/>
    <n v="104856"/>
    <n v="78226"/>
    <n v="26630"/>
    <x v="2"/>
    <n v="0"/>
    <n v="0"/>
    <n v="1"/>
    <n v="0"/>
    <n v="1"/>
    <s v="Yes"/>
    <x v="1"/>
  </r>
  <r>
    <n v="21107"/>
    <d v="2024-02-21T00:00:00"/>
    <x v="3"/>
    <s v="Mumbai"/>
    <s v="SC_MUM_5"/>
    <x v="0"/>
    <s v="Taycan"/>
    <s v="Sedan"/>
    <x v="1"/>
    <x v="1"/>
    <x v="0"/>
    <x v="0"/>
    <n v="5"/>
    <n v="7"/>
    <x v="0"/>
    <x v="1"/>
    <n v="539213"/>
    <n v="287107"/>
    <n v="252106"/>
    <x v="2"/>
    <n v="539213"/>
    <n v="0"/>
    <n v="0"/>
    <n v="1"/>
    <n v="1"/>
    <s v="No"/>
    <x v="1"/>
  </r>
  <r>
    <n v="21108"/>
    <d v="2024-01-17T00:00:00"/>
    <x v="1"/>
    <s v="Bhubaneswar"/>
    <s v="SC_BHU_2"/>
    <x v="0"/>
    <s v="911"/>
    <s v="Coupe"/>
    <x v="0"/>
    <x v="2"/>
    <x v="1"/>
    <x v="1"/>
    <n v="14"/>
    <n v="7"/>
    <x v="0"/>
    <x v="1"/>
    <n v="251394"/>
    <n v="176517"/>
    <n v="74877"/>
    <x v="1"/>
    <n v="251394"/>
    <n v="0"/>
    <n v="0"/>
    <n v="1"/>
    <n v="1"/>
    <s v="Yes"/>
    <x v="0"/>
  </r>
  <r>
    <n v="21109"/>
    <d v="2024-04-28T00:00:00"/>
    <x v="0"/>
    <s v="Hyderabad"/>
    <s v="SC_HYD_3"/>
    <x v="0"/>
    <s v="911"/>
    <s v="Coupe"/>
    <x v="0"/>
    <x v="1"/>
    <x v="0"/>
    <x v="0"/>
    <n v="22"/>
    <n v="7"/>
    <x v="0"/>
    <x v="1"/>
    <n v="355246"/>
    <n v="179066"/>
    <n v="176180"/>
    <x v="0"/>
    <n v="355246"/>
    <n v="0"/>
    <n v="0"/>
    <n v="1"/>
    <n v="1"/>
    <s v="Yes"/>
    <x v="0"/>
  </r>
  <r>
    <n v="21110"/>
    <d v="2024-05-03T00:00:00"/>
    <x v="3"/>
    <s v="Ahmedabad"/>
    <s v="SC_AHM_4"/>
    <x v="1"/>
    <s v="Macan"/>
    <s v="SUV"/>
    <x v="1"/>
    <x v="4"/>
    <x v="2"/>
    <x v="0"/>
    <n v="9"/>
    <n v="7"/>
    <x v="1"/>
    <x v="0"/>
    <n v="584883"/>
    <n v="316127"/>
    <n v="268756"/>
    <x v="3"/>
    <n v="0"/>
    <n v="1"/>
    <n v="1"/>
    <n v="0"/>
    <n v="1"/>
    <s v="Yes"/>
    <x v="2"/>
  </r>
  <r>
    <n v="21111"/>
    <d v="2024-04-13T00:00:00"/>
    <x v="2"/>
    <s v="Noida"/>
    <s v="SC_NOI_2"/>
    <x v="2"/>
    <s v="Macan"/>
    <s v="SUV"/>
    <x v="0"/>
    <x v="3"/>
    <x v="2"/>
    <x v="0"/>
    <n v="4"/>
    <n v="7"/>
    <x v="1"/>
    <x v="1"/>
    <n v="561158"/>
    <n v="352600"/>
    <n v="208558"/>
    <x v="4"/>
    <n v="0"/>
    <n v="0"/>
    <n v="1"/>
    <n v="0"/>
    <n v="1"/>
    <s v="No"/>
    <x v="2"/>
  </r>
  <r>
    <n v="21112"/>
    <d v="2024-02-27T00:00:00"/>
    <x v="1"/>
    <s v="Bhubaneswar"/>
    <s v="SC_BHU_1"/>
    <x v="1"/>
    <s v="911"/>
    <s v="Coupe"/>
    <x v="1"/>
    <x v="3"/>
    <x v="2"/>
    <x v="0"/>
    <n v="3"/>
    <n v="7"/>
    <x v="0"/>
    <x v="0"/>
    <n v="98632"/>
    <n v="62194"/>
    <n v="36438"/>
    <x v="3"/>
    <n v="0"/>
    <n v="1"/>
    <n v="0"/>
    <n v="1"/>
    <n v="1"/>
    <s v="No"/>
    <x v="2"/>
  </r>
  <r>
    <n v="21113"/>
    <d v="2024-01-03T00:00:00"/>
    <x v="3"/>
    <s v="Pune"/>
    <s v="SC_PUN_2"/>
    <x v="0"/>
    <s v="Cayenne"/>
    <s v="SUV"/>
    <x v="1"/>
    <x v="0"/>
    <x v="1"/>
    <x v="0"/>
    <n v="24"/>
    <n v="7"/>
    <x v="0"/>
    <x v="1"/>
    <n v="176743"/>
    <n v="101885"/>
    <n v="74858"/>
    <x v="0"/>
    <n v="176743"/>
    <n v="0"/>
    <n v="0"/>
    <n v="1"/>
    <n v="1"/>
    <s v="Yes"/>
    <x v="0"/>
  </r>
  <r>
    <n v="21114"/>
    <d v="2024-05-02T00:00:00"/>
    <x v="2"/>
    <s v="Gurugram"/>
    <s v="SC_GUR_1"/>
    <x v="1"/>
    <s v="911"/>
    <s v="Coupe"/>
    <x v="0"/>
    <x v="0"/>
    <x v="2"/>
    <x v="1"/>
    <n v="19"/>
    <n v="7"/>
    <x v="0"/>
    <x v="1"/>
    <n v="282447"/>
    <n v="204387"/>
    <n v="78060"/>
    <x v="0"/>
    <n v="282447"/>
    <n v="0"/>
    <n v="0"/>
    <n v="1"/>
    <n v="1"/>
    <s v="Yes"/>
    <x v="0"/>
  </r>
  <r>
    <n v="21115"/>
    <d v="2024-03-08T00:00:00"/>
    <x v="1"/>
    <s v="Patna"/>
    <s v="SC_PAT_4"/>
    <x v="2"/>
    <s v="Panamera"/>
    <s v="Sedan"/>
    <x v="1"/>
    <x v="4"/>
    <x v="2"/>
    <x v="0"/>
    <n v="3"/>
    <n v="7"/>
    <x v="0"/>
    <x v="0"/>
    <n v="124678"/>
    <n v="75099"/>
    <n v="49579"/>
    <x v="3"/>
    <n v="0"/>
    <n v="1"/>
    <n v="0"/>
    <n v="1"/>
    <n v="1"/>
    <s v="No"/>
    <x v="2"/>
  </r>
  <r>
    <n v="21116"/>
    <d v="2024-04-26T00:00:00"/>
    <x v="3"/>
    <s v="Pune"/>
    <s v="SC_PUN_2"/>
    <x v="1"/>
    <s v="911"/>
    <s v="Coupe"/>
    <x v="0"/>
    <x v="2"/>
    <x v="2"/>
    <x v="0"/>
    <n v="11"/>
    <n v="7"/>
    <x v="0"/>
    <x v="1"/>
    <n v="343114"/>
    <n v="255916"/>
    <n v="87198"/>
    <x v="1"/>
    <n v="343114"/>
    <n v="0"/>
    <n v="0"/>
    <n v="1"/>
    <n v="1"/>
    <s v="Yes"/>
    <x v="0"/>
  </r>
  <r>
    <n v="21117"/>
    <d v="2024-02-01T00:00:00"/>
    <x v="0"/>
    <s v="Hyderabad"/>
    <s v="SC_HYD_5"/>
    <x v="2"/>
    <s v="Panamera"/>
    <s v="Sedan"/>
    <x v="0"/>
    <x v="0"/>
    <x v="0"/>
    <x v="1"/>
    <n v="6"/>
    <n v="7"/>
    <x v="1"/>
    <x v="0"/>
    <n v="257760"/>
    <n v="173705"/>
    <n v="84055"/>
    <x v="3"/>
    <n v="0"/>
    <n v="1"/>
    <n v="1"/>
    <n v="0"/>
    <n v="1"/>
    <s v="No"/>
    <x v="2"/>
  </r>
  <r>
    <n v="21118"/>
    <d v="2024-03-18T00:00:00"/>
    <x v="0"/>
    <s v="Hyderabad"/>
    <s v="SC_HYD_2"/>
    <x v="0"/>
    <s v="911"/>
    <s v="Coupe"/>
    <x v="0"/>
    <x v="2"/>
    <x v="2"/>
    <x v="1"/>
    <n v="22"/>
    <n v="7"/>
    <x v="0"/>
    <x v="1"/>
    <n v="317615"/>
    <n v="190555"/>
    <n v="127060"/>
    <x v="0"/>
    <n v="317615"/>
    <n v="0"/>
    <n v="0"/>
    <n v="1"/>
    <n v="1"/>
    <s v="Yes"/>
    <x v="0"/>
  </r>
  <r>
    <n v="21119"/>
    <d v="2024-01-06T00:00:00"/>
    <x v="3"/>
    <s v="Ahmedabad"/>
    <s v="SC_AHM_4"/>
    <x v="0"/>
    <s v="Veyron"/>
    <s v="Hypercar"/>
    <x v="0"/>
    <x v="4"/>
    <x v="1"/>
    <x v="1"/>
    <n v="10"/>
    <n v="7"/>
    <x v="0"/>
    <x v="1"/>
    <n v="378456"/>
    <n v="190388"/>
    <n v="188068"/>
    <x v="1"/>
    <n v="378456"/>
    <n v="0"/>
    <n v="0"/>
    <n v="1"/>
    <n v="1"/>
    <s v="Yes"/>
    <x v="0"/>
  </r>
  <r>
    <n v="21120"/>
    <d v="2024-04-12T00:00:00"/>
    <x v="2"/>
    <s v="Gurugram"/>
    <s v="SC_GUR_5"/>
    <x v="1"/>
    <s v="Chiron"/>
    <s v="Hypercar"/>
    <x v="0"/>
    <x v="4"/>
    <x v="1"/>
    <x v="1"/>
    <n v="20"/>
    <n v="7"/>
    <x v="0"/>
    <x v="0"/>
    <n v="277661"/>
    <n v="223308"/>
    <n v="54353"/>
    <x v="0"/>
    <n v="0"/>
    <n v="1"/>
    <n v="0"/>
    <n v="1"/>
    <n v="1"/>
    <s v="Yes"/>
    <x v="0"/>
  </r>
  <r>
    <n v="21121"/>
    <d v="2024-03-27T00:00:00"/>
    <x v="0"/>
    <s v="Hyderabad"/>
    <s v="SC_HYD_1"/>
    <x v="2"/>
    <s v="Taycan"/>
    <s v="Sedan"/>
    <x v="0"/>
    <x v="0"/>
    <x v="1"/>
    <x v="1"/>
    <n v="25"/>
    <n v="7"/>
    <x v="0"/>
    <x v="1"/>
    <n v="212637"/>
    <n v="131661"/>
    <n v="80976"/>
    <x v="0"/>
    <n v="212637"/>
    <n v="0"/>
    <n v="0"/>
    <n v="1"/>
    <n v="1"/>
    <s v="Yes"/>
    <x v="0"/>
  </r>
  <r>
    <n v="21122"/>
    <d v="2024-06-18T00:00:00"/>
    <x v="2"/>
    <s v="Noida"/>
    <s v="SC_NOI_3"/>
    <x v="1"/>
    <s v="Chiron"/>
    <s v="Hypercar"/>
    <x v="1"/>
    <x v="3"/>
    <x v="2"/>
    <x v="0"/>
    <n v="17"/>
    <n v="7"/>
    <x v="1"/>
    <x v="0"/>
    <n v="106420"/>
    <n v="63518"/>
    <n v="42902"/>
    <x v="1"/>
    <n v="0"/>
    <n v="1"/>
    <n v="1"/>
    <n v="0"/>
    <n v="1"/>
    <s v="Yes"/>
    <x v="0"/>
  </r>
  <r>
    <n v="21123"/>
    <d v="2024-05-17T00:00:00"/>
    <x v="1"/>
    <s v="Patna"/>
    <s v="SC_PAT_5"/>
    <x v="1"/>
    <s v="Panamera"/>
    <s v="Sedan"/>
    <x v="1"/>
    <x v="3"/>
    <x v="1"/>
    <x v="1"/>
    <n v="22"/>
    <n v="7"/>
    <x v="1"/>
    <x v="0"/>
    <n v="341192"/>
    <n v="249830"/>
    <n v="91362"/>
    <x v="0"/>
    <n v="0"/>
    <n v="1"/>
    <n v="1"/>
    <n v="0"/>
    <n v="1"/>
    <s v="Yes"/>
    <x v="0"/>
  </r>
  <r>
    <n v="21124"/>
    <d v="2024-02-16T00:00:00"/>
    <x v="2"/>
    <s v="Noida"/>
    <s v="SC_NOI_2"/>
    <x v="1"/>
    <s v="Chiron"/>
    <s v="Hypercar"/>
    <x v="0"/>
    <x v="1"/>
    <x v="0"/>
    <x v="0"/>
    <n v="4"/>
    <n v="7"/>
    <x v="1"/>
    <x v="1"/>
    <n v="141858"/>
    <n v="106992"/>
    <n v="34866"/>
    <x v="4"/>
    <n v="0"/>
    <n v="0"/>
    <n v="1"/>
    <n v="0"/>
    <n v="1"/>
    <s v="No"/>
    <x v="2"/>
  </r>
  <r>
    <n v="21125"/>
    <d v="2024-03-21T00:00:00"/>
    <x v="3"/>
    <s v="Pune"/>
    <s v="SC_PUN_4"/>
    <x v="0"/>
    <s v="Cayenne"/>
    <s v="SUV"/>
    <x v="1"/>
    <x v="2"/>
    <x v="0"/>
    <x v="1"/>
    <n v="15"/>
    <n v="7"/>
    <x v="0"/>
    <x v="0"/>
    <n v="105192"/>
    <n v="75191"/>
    <n v="30001"/>
    <x v="0"/>
    <n v="0"/>
    <n v="1"/>
    <n v="0"/>
    <n v="1"/>
    <n v="1"/>
    <s v="Yes"/>
    <x v="0"/>
  </r>
  <r>
    <n v="21126"/>
    <d v="2024-06-24T00:00:00"/>
    <x v="1"/>
    <s v="Kolkata"/>
    <s v="SC_KOL_2"/>
    <x v="1"/>
    <s v="Chiron"/>
    <s v="Hypercar"/>
    <x v="1"/>
    <x v="3"/>
    <x v="1"/>
    <x v="0"/>
    <n v="18"/>
    <n v="7"/>
    <x v="0"/>
    <x v="1"/>
    <n v="484947"/>
    <n v="356251"/>
    <n v="128696"/>
    <x v="0"/>
    <n v="484947"/>
    <n v="0"/>
    <n v="0"/>
    <n v="1"/>
    <n v="1"/>
    <s v="Yes"/>
    <x v="0"/>
  </r>
  <r>
    <n v="21127"/>
    <d v="2024-03-24T00:00:00"/>
    <x v="1"/>
    <s v="Patna"/>
    <s v="SC_PAT_4"/>
    <x v="2"/>
    <s v="Macan"/>
    <s v="SUV"/>
    <x v="1"/>
    <x v="1"/>
    <x v="2"/>
    <x v="0"/>
    <n v="7"/>
    <n v="7"/>
    <x v="0"/>
    <x v="1"/>
    <n v="418726"/>
    <n v="319758"/>
    <n v="98968"/>
    <x v="2"/>
    <n v="418726"/>
    <n v="0"/>
    <n v="0"/>
    <n v="1"/>
    <n v="1"/>
    <s v="No"/>
    <x v="1"/>
  </r>
  <r>
    <n v="21128"/>
    <d v="2024-04-11T00:00:00"/>
    <x v="1"/>
    <s v="Bhubaneswar"/>
    <s v="SC_BHU_3"/>
    <x v="2"/>
    <s v="Panamera"/>
    <s v="Sedan"/>
    <x v="0"/>
    <x v="0"/>
    <x v="2"/>
    <x v="0"/>
    <n v="16"/>
    <n v="7"/>
    <x v="1"/>
    <x v="1"/>
    <n v="108854"/>
    <n v="57470"/>
    <n v="51384"/>
    <x v="1"/>
    <n v="0"/>
    <n v="0"/>
    <n v="1"/>
    <n v="0"/>
    <n v="1"/>
    <s v="Yes"/>
    <x v="0"/>
  </r>
  <r>
    <n v="21129"/>
    <d v="2024-06-22T00:00:00"/>
    <x v="2"/>
    <s v="Noida"/>
    <s v="SC_NOI_4"/>
    <x v="1"/>
    <s v="Veyron"/>
    <s v="Hypercar"/>
    <x v="1"/>
    <x v="4"/>
    <x v="0"/>
    <x v="0"/>
    <n v="6"/>
    <n v="7"/>
    <x v="0"/>
    <x v="1"/>
    <n v="465152"/>
    <n v="335858"/>
    <n v="129294"/>
    <x v="2"/>
    <n v="465152"/>
    <n v="0"/>
    <n v="0"/>
    <n v="1"/>
    <n v="1"/>
    <s v="No"/>
    <x v="1"/>
  </r>
  <r>
    <n v="21130"/>
    <d v="2024-03-31T00:00:00"/>
    <x v="1"/>
    <s v="Kolkata"/>
    <s v="SC_KOL_5"/>
    <x v="0"/>
    <s v="Chiron"/>
    <s v="Hypercar"/>
    <x v="1"/>
    <x v="1"/>
    <x v="1"/>
    <x v="0"/>
    <n v="25"/>
    <n v="7"/>
    <x v="0"/>
    <x v="1"/>
    <n v="531912"/>
    <n v="311829"/>
    <n v="220083"/>
    <x v="0"/>
    <n v="531912"/>
    <n v="0"/>
    <n v="0"/>
    <n v="1"/>
    <n v="1"/>
    <s v="Yes"/>
    <x v="0"/>
  </r>
  <r>
    <n v="21131"/>
    <d v="2024-02-27T00:00:00"/>
    <x v="0"/>
    <s v="Bengaluru"/>
    <s v="SC_BEN_3"/>
    <x v="2"/>
    <s v="Taycan"/>
    <s v="Sedan"/>
    <x v="1"/>
    <x v="2"/>
    <x v="1"/>
    <x v="0"/>
    <n v="22"/>
    <n v="7"/>
    <x v="0"/>
    <x v="1"/>
    <n v="473827"/>
    <n v="324174"/>
    <n v="149653"/>
    <x v="0"/>
    <n v="473827"/>
    <n v="0"/>
    <n v="0"/>
    <n v="1"/>
    <n v="1"/>
    <s v="Yes"/>
    <x v="0"/>
  </r>
  <r>
    <n v="21132"/>
    <d v="2024-02-08T00:00:00"/>
    <x v="3"/>
    <s v="Pune"/>
    <s v="SC_PUN_5"/>
    <x v="0"/>
    <s v="Panamera"/>
    <s v="Sedan"/>
    <x v="1"/>
    <x v="0"/>
    <x v="0"/>
    <x v="1"/>
    <n v="22"/>
    <n v="7"/>
    <x v="0"/>
    <x v="1"/>
    <n v="509779"/>
    <n v="351557"/>
    <n v="158222"/>
    <x v="0"/>
    <n v="509779"/>
    <n v="0"/>
    <n v="0"/>
    <n v="1"/>
    <n v="1"/>
    <s v="Yes"/>
    <x v="0"/>
  </r>
  <r>
    <n v="21133"/>
    <d v="2024-01-05T00:00:00"/>
    <x v="2"/>
    <s v="Noida"/>
    <s v="SC_NOI_4"/>
    <x v="0"/>
    <s v="911"/>
    <s v="Coupe"/>
    <x v="1"/>
    <x v="3"/>
    <x v="0"/>
    <x v="1"/>
    <n v="6"/>
    <n v="7"/>
    <x v="0"/>
    <x v="1"/>
    <n v="310652"/>
    <n v="248009"/>
    <n v="62643"/>
    <x v="2"/>
    <n v="310652"/>
    <n v="0"/>
    <n v="0"/>
    <n v="1"/>
    <n v="1"/>
    <s v="No"/>
    <x v="1"/>
  </r>
  <r>
    <n v="21134"/>
    <d v="2024-03-01T00:00:00"/>
    <x v="0"/>
    <s v="Hyderabad"/>
    <s v="SC_HYD_1"/>
    <x v="0"/>
    <s v="Taycan"/>
    <s v="Sedan"/>
    <x v="1"/>
    <x v="4"/>
    <x v="1"/>
    <x v="1"/>
    <n v="15"/>
    <n v="7"/>
    <x v="1"/>
    <x v="1"/>
    <n v="479130"/>
    <n v="374468"/>
    <n v="104662"/>
    <x v="1"/>
    <n v="0"/>
    <n v="0"/>
    <n v="1"/>
    <n v="0"/>
    <n v="1"/>
    <s v="Yes"/>
    <x v="0"/>
  </r>
  <r>
    <n v="21135"/>
    <d v="2024-03-29T00:00:00"/>
    <x v="3"/>
    <s v="Pune"/>
    <s v="SC_PUN_4"/>
    <x v="1"/>
    <s v="Veyron"/>
    <s v="Hypercar"/>
    <x v="1"/>
    <x v="4"/>
    <x v="1"/>
    <x v="0"/>
    <n v="21"/>
    <n v="7"/>
    <x v="1"/>
    <x v="1"/>
    <n v="338209"/>
    <n v="197206"/>
    <n v="141003"/>
    <x v="0"/>
    <n v="0"/>
    <n v="0"/>
    <n v="1"/>
    <n v="0"/>
    <n v="1"/>
    <s v="Yes"/>
    <x v="0"/>
  </r>
  <r>
    <n v="21136"/>
    <d v="2024-05-18T00:00:00"/>
    <x v="3"/>
    <s v="Pune"/>
    <s v="SC_PUN_5"/>
    <x v="1"/>
    <s v="Cayenne"/>
    <s v="SUV"/>
    <x v="1"/>
    <x v="1"/>
    <x v="1"/>
    <x v="1"/>
    <n v="15"/>
    <n v="7"/>
    <x v="1"/>
    <x v="1"/>
    <n v="263659"/>
    <n v="154073"/>
    <n v="109586"/>
    <x v="1"/>
    <n v="0"/>
    <n v="0"/>
    <n v="1"/>
    <n v="0"/>
    <n v="1"/>
    <s v="Yes"/>
    <x v="0"/>
  </r>
  <r>
    <n v="21137"/>
    <d v="2024-03-16T00:00:00"/>
    <x v="0"/>
    <s v="Hyderabad"/>
    <s v="SC_HYD_3"/>
    <x v="1"/>
    <s v="Macan"/>
    <s v="SUV"/>
    <x v="0"/>
    <x v="3"/>
    <x v="1"/>
    <x v="0"/>
    <n v="15"/>
    <n v="7"/>
    <x v="0"/>
    <x v="1"/>
    <n v="124184"/>
    <n v="98743"/>
    <n v="25441"/>
    <x v="0"/>
    <n v="124184"/>
    <n v="0"/>
    <n v="0"/>
    <n v="1"/>
    <n v="1"/>
    <s v="Yes"/>
    <x v="0"/>
  </r>
  <r>
    <n v="21138"/>
    <d v="2024-01-03T00:00:00"/>
    <x v="2"/>
    <s v="Gurugram"/>
    <s v="SC_GUR_1"/>
    <x v="0"/>
    <s v="Veyron"/>
    <s v="Hypercar"/>
    <x v="1"/>
    <x v="3"/>
    <x v="1"/>
    <x v="0"/>
    <n v="9"/>
    <n v="7"/>
    <x v="0"/>
    <x v="1"/>
    <n v="180739"/>
    <n v="112054"/>
    <n v="68685"/>
    <x v="2"/>
    <n v="180739"/>
    <n v="0"/>
    <n v="0"/>
    <n v="1"/>
    <n v="1"/>
    <s v="Yes"/>
    <x v="1"/>
  </r>
  <r>
    <n v="21139"/>
    <d v="2024-04-10T00:00:00"/>
    <x v="1"/>
    <s v="Patna"/>
    <s v="SC_PAT_2"/>
    <x v="0"/>
    <s v="Taycan"/>
    <s v="Sedan"/>
    <x v="0"/>
    <x v="4"/>
    <x v="2"/>
    <x v="0"/>
    <n v="15"/>
    <n v="7"/>
    <x v="0"/>
    <x v="1"/>
    <n v="105913"/>
    <n v="64432"/>
    <n v="41481"/>
    <x v="0"/>
    <n v="105913"/>
    <n v="0"/>
    <n v="0"/>
    <n v="1"/>
    <n v="1"/>
    <s v="Yes"/>
    <x v="0"/>
  </r>
  <r>
    <n v="21140"/>
    <d v="2024-03-15T00:00:00"/>
    <x v="2"/>
    <s v="Delhi"/>
    <s v="SC_DEL_1"/>
    <x v="0"/>
    <s v="Taycan"/>
    <s v="Sedan"/>
    <x v="1"/>
    <x v="4"/>
    <x v="1"/>
    <x v="0"/>
    <n v="10"/>
    <n v="7"/>
    <x v="0"/>
    <x v="1"/>
    <n v="484975"/>
    <n v="275571"/>
    <n v="209404"/>
    <x v="1"/>
    <n v="484975"/>
    <n v="0"/>
    <n v="0"/>
    <n v="1"/>
    <n v="1"/>
    <s v="Yes"/>
    <x v="0"/>
  </r>
  <r>
    <n v="21141"/>
    <d v="2024-01-05T00:00:00"/>
    <x v="1"/>
    <s v="Patna"/>
    <s v="SC_PAT_3"/>
    <x v="2"/>
    <s v="Panamera"/>
    <s v="Sedan"/>
    <x v="1"/>
    <x v="3"/>
    <x v="0"/>
    <x v="0"/>
    <n v="10"/>
    <n v="7"/>
    <x v="0"/>
    <x v="0"/>
    <n v="527857"/>
    <n v="398099"/>
    <n v="129758"/>
    <x v="1"/>
    <n v="0"/>
    <n v="1"/>
    <n v="0"/>
    <n v="1"/>
    <n v="1"/>
    <s v="Yes"/>
    <x v="0"/>
  </r>
  <r>
    <n v="21142"/>
    <d v="2024-01-29T00:00:00"/>
    <x v="2"/>
    <s v="Delhi"/>
    <s v="SC_DEL_2"/>
    <x v="2"/>
    <s v="Panamera"/>
    <s v="Sedan"/>
    <x v="1"/>
    <x v="0"/>
    <x v="0"/>
    <x v="0"/>
    <n v="25"/>
    <n v="7"/>
    <x v="0"/>
    <x v="1"/>
    <n v="159595"/>
    <n v="93767"/>
    <n v="65828"/>
    <x v="0"/>
    <n v="159595"/>
    <n v="0"/>
    <n v="0"/>
    <n v="1"/>
    <n v="1"/>
    <s v="Yes"/>
    <x v="0"/>
  </r>
  <r>
    <n v="21143"/>
    <d v="2024-05-31T00:00:00"/>
    <x v="3"/>
    <s v="Ahmedabad"/>
    <s v="SC_AHM_1"/>
    <x v="2"/>
    <s v="Veyron"/>
    <s v="Hypercar"/>
    <x v="1"/>
    <x v="4"/>
    <x v="0"/>
    <x v="0"/>
    <n v="25"/>
    <n v="7"/>
    <x v="0"/>
    <x v="0"/>
    <n v="306170"/>
    <n v="157033"/>
    <n v="149137"/>
    <x v="0"/>
    <n v="0"/>
    <n v="1"/>
    <n v="0"/>
    <n v="1"/>
    <n v="1"/>
    <s v="Yes"/>
    <x v="0"/>
  </r>
  <r>
    <n v="21144"/>
    <d v="2024-05-16T00:00:00"/>
    <x v="0"/>
    <s v="Chennai"/>
    <s v="SC_CHE_2"/>
    <x v="0"/>
    <s v="911"/>
    <s v="Coupe"/>
    <x v="1"/>
    <x v="3"/>
    <x v="0"/>
    <x v="0"/>
    <n v="13"/>
    <n v="7"/>
    <x v="0"/>
    <x v="0"/>
    <n v="503411"/>
    <n v="318836"/>
    <n v="184575"/>
    <x v="1"/>
    <n v="0"/>
    <n v="1"/>
    <n v="0"/>
    <n v="1"/>
    <n v="1"/>
    <s v="Yes"/>
    <x v="0"/>
  </r>
  <r>
    <n v="21145"/>
    <d v="2024-04-26T00:00:00"/>
    <x v="3"/>
    <s v="Pune"/>
    <s v="SC_PUN_4"/>
    <x v="0"/>
    <s v="Panamera"/>
    <s v="Sedan"/>
    <x v="1"/>
    <x v="1"/>
    <x v="0"/>
    <x v="0"/>
    <n v="4"/>
    <n v="7"/>
    <x v="0"/>
    <x v="1"/>
    <n v="569327"/>
    <n v="337541"/>
    <n v="231786"/>
    <x v="3"/>
    <n v="569327"/>
    <n v="0"/>
    <n v="0"/>
    <n v="1"/>
    <n v="1"/>
    <s v="No"/>
    <x v="2"/>
  </r>
  <r>
    <n v="21146"/>
    <d v="2024-03-09T00:00:00"/>
    <x v="1"/>
    <s v="Patna"/>
    <s v="SC_PAT_3"/>
    <x v="0"/>
    <s v="Chiron"/>
    <s v="Hypercar"/>
    <x v="1"/>
    <x v="2"/>
    <x v="1"/>
    <x v="0"/>
    <n v="13"/>
    <n v="7"/>
    <x v="0"/>
    <x v="1"/>
    <n v="305335"/>
    <n v="186505"/>
    <n v="118830"/>
    <x v="1"/>
    <n v="305335"/>
    <n v="0"/>
    <n v="0"/>
    <n v="1"/>
    <n v="1"/>
    <s v="Yes"/>
    <x v="0"/>
  </r>
  <r>
    <n v="21147"/>
    <d v="2024-01-12T00:00:00"/>
    <x v="0"/>
    <s v="Hyderabad"/>
    <s v="SC_HYD_3"/>
    <x v="1"/>
    <s v="Macan"/>
    <s v="SUV"/>
    <x v="0"/>
    <x v="2"/>
    <x v="2"/>
    <x v="1"/>
    <n v="25"/>
    <n v="7"/>
    <x v="1"/>
    <x v="1"/>
    <n v="288050"/>
    <n v="199063"/>
    <n v="88987"/>
    <x v="0"/>
    <n v="0"/>
    <n v="0"/>
    <n v="1"/>
    <n v="0"/>
    <n v="1"/>
    <s v="Yes"/>
    <x v="0"/>
  </r>
  <r>
    <n v="21148"/>
    <d v="2024-04-06T00:00:00"/>
    <x v="2"/>
    <s v="Noida"/>
    <s v="SC_NOI_1"/>
    <x v="2"/>
    <s v="911"/>
    <s v="Coupe"/>
    <x v="0"/>
    <x v="3"/>
    <x v="2"/>
    <x v="0"/>
    <n v="10"/>
    <n v="7"/>
    <x v="1"/>
    <x v="1"/>
    <n v="363643"/>
    <n v="209921"/>
    <n v="153722"/>
    <x v="2"/>
    <n v="0"/>
    <n v="0"/>
    <n v="1"/>
    <n v="0"/>
    <n v="1"/>
    <s v="Yes"/>
    <x v="1"/>
  </r>
  <r>
    <n v="21149"/>
    <d v="2024-04-21T00:00:00"/>
    <x v="2"/>
    <s v="Noida"/>
    <s v="SC_NOI_4"/>
    <x v="2"/>
    <s v="Chiron"/>
    <s v="Hypercar"/>
    <x v="0"/>
    <x v="4"/>
    <x v="0"/>
    <x v="1"/>
    <n v="5"/>
    <n v="7"/>
    <x v="0"/>
    <x v="1"/>
    <n v="562428"/>
    <n v="439179"/>
    <n v="123249"/>
    <x v="2"/>
    <n v="562428"/>
    <n v="0"/>
    <n v="0"/>
    <n v="1"/>
    <n v="1"/>
    <s v="No"/>
    <x v="1"/>
  </r>
  <r>
    <n v="21150"/>
    <d v="2024-04-25T00:00:00"/>
    <x v="3"/>
    <s v="Pune"/>
    <s v="SC_PUN_2"/>
    <x v="1"/>
    <s v="911"/>
    <s v="Coupe"/>
    <x v="1"/>
    <x v="3"/>
    <x v="0"/>
    <x v="0"/>
    <n v="20"/>
    <n v="7"/>
    <x v="0"/>
    <x v="0"/>
    <n v="137488"/>
    <n v="83504"/>
    <n v="53984"/>
    <x v="0"/>
    <n v="0"/>
    <n v="1"/>
    <n v="0"/>
    <n v="1"/>
    <n v="1"/>
    <s v="Yes"/>
    <x v="0"/>
  </r>
  <r>
    <n v="21151"/>
    <d v="2024-01-18T00:00:00"/>
    <x v="2"/>
    <s v="Delhi"/>
    <s v="SC_DEL_1"/>
    <x v="1"/>
    <s v="Macan"/>
    <s v="SUV"/>
    <x v="1"/>
    <x v="3"/>
    <x v="2"/>
    <x v="0"/>
    <n v="12"/>
    <n v="7"/>
    <x v="1"/>
    <x v="1"/>
    <n v="153596"/>
    <n v="98247"/>
    <n v="55349"/>
    <x v="2"/>
    <n v="0"/>
    <n v="0"/>
    <n v="1"/>
    <n v="0"/>
    <n v="1"/>
    <s v="Yes"/>
    <x v="1"/>
  </r>
  <r>
    <n v="21152"/>
    <d v="2024-03-31T00:00:00"/>
    <x v="3"/>
    <s v="Mumbai"/>
    <s v="SC_MUM_1"/>
    <x v="2"/>
    <s v="Cayenne"/>
    <s v="SUV"/>
    <x v="1"/>
    <x v="1"/>
    <x v="2"/>
    <x v="0"/>
    <n v="16"/>
    <n v="7"/>
    <x v="0"/>
    <x v="1"/>
    <n v="244370"/>
    <n v="136467"/>
    <n v="107903"/>
    <x v="0"/>
    <n v="244370"/>
    <n v="0"/>
    <n v="0"/>
    <n v="1"/>
    <n v="1"/>
    <s v="Yes"/>
    <x v="0"/>
  </r>
  <r>
    <n v="21153"/>
    <d v="2024-05-13T00:00:00"/>
    <x v="2"/>
    <s v="Noida"/>
    <s v="SC_NOI_2"/>
    <x v="1"/>
    <s v="Veyron"/>
    <s v="Hypercar"/>
    <x v="1"/>
    <x v="0"/>
    <x v="2"/>
    <x v="0"/>
    <n v="9"/>
    <n v="7"/>
    <x v="0"/>
    <x v="1"/>
    <n v="594608"/>
    <n v="341099"/>
    <n v="253509"/>
    <x v="2"/>
    <n v="594608"/>
    <n v="0"/>
    <n v="0"/>
    <n v="1"/>
    <n v="1"/>
    <s v="Yes"/>
    <x v="1"/>
  </r>
  <r>
    <n v="21154"/>
    <d v="2024-05-13T00:00:00"/>
    <x v="2"/>
    <s v="Noida"/>
    <s v="SC_NOI_2"/>
    <x v="0"/>
    <s v="Cayenne"/>
    <s v="SUV"/>
    <x v="0"/>
    <x v="4"/>
    <x v="1"/>
    <x v="1"/>
    <n v="11"/>
    <n v="7"/>
    <x v="1"/>
    <x v="0"/>
    <n v="260916"/>
    <n v="172517"/>
    <n v="88399"/>
    <x v="2"/>
    <n v="0"/>
    <n v="1"/>
    <n v="1"/>
    <n v="0"/>
    <n v="1"/>
    <s v="Yes"/>
    <x v="1"/>
  </r>
  <r>
    <n v="21155"/>
    <d v="2024-04-29T00:00:00"/>
    <x v="0"/>
    <s v="Chennai"/>
    <s v="SC_CHE_5"/>
    <x v="0"/>
    <s v="Chiron"/>
    <s v="Hypercar"/>
    <x v="1"/>
    <x v="3"/>
    <x v="1"/>
    <x v="1"/>
    <n v="11"/>
    <n v="7"/>
    <x v="0"/>
    <x v="1"/>
    <n v="519176"/>
    <n v="323071"/>
    <n v="196105"/>
    <x v="1"/>
    <n v="519176"/>
    <n v="0"/>
    <n v="0"/>
    <n v="1"/>
    <n v="1"/>
    <s v="Yes"/>
    <x v="0"/>
  </r>
  <r>
    <n v="21156"/>
    <d v="2024-04-12T00:00:00"/>
    <x v="0"/>
    <s v="Hyderabad"/>
    <s v="SC_HYD_5"/>
    <x v="1"/>
    <s v="Macan"/>
    <s v="SUV"/>
    <x v="1"/>
    <x v="1"/>
    <x v="1"/>
    <x v="0"/>
    <n v="10"/>
    <n v="7"/>
    <x v="0"/>
    <x v="1"/>
    <n v="450438"/>
    <n v="273643"/>
    <n v="176795"/>
    <x v="1"/>
    <n v="450438"/>
    <n v="0"/>
    <n v="0"/>
    <n v="1"/>
    <n v="1"/>
    <s v="Yes"/>
    <x v="0"/>
  </r>
  <r>
    <n v="21157"/>
    <d v="2024-05-04T00:00:00"/>
    <x v="1"/>
    <s v="Bhubaneswar"/>
    <s v="SC_BHU_4"/>
    <x v="1"/>
    <s v="Taycan"/>
    <s v="Sedan"/>
    <x v="0"/>
    <x v="2"/>
    <x v="1"/>
    <x v="1"/>
    <n v="14"/>
    <n v="7"/>
    <x v="0"/>
    <x v="0"/>
    <n v="591549"/>
    <n v="375826"/>
    <n v="215723"/>
    <x v="1"/>
    <n v="0"/>
    <n v="1"/>
    <n v="0"/>
    <n v="1"/>
    <n v="1"/>
    <s v="Yes"/>
    <x v="0"/>
  </r>
  <r>
    <n v="21158"/>
    <d v="2024-04-15T00:00:00"/>
    <x v="1"/>
    <s v="Patna"/>
    <s v="SC_PAT_4"/>
    <x v="1"/>
    <s v="911"/>
    <s v="Coupe"/>
    <x v="0"/>
    <x v="3"/>
    <x v="0"/>
    <x v="0"/>
    <n v="25"/>
    <n v="7"/>
    <x v="0"/>
    <x v="1"/>
    <n v="395686"/>
    <n v="261870"/>
    <n v="133816"/>
    <x v="0"/>
    <n v="395686"/>
    <n v="0"/>
    <n v="0"/>
    <n v="1"/>
    <n v="1"/>
    <s v="Yes"/>
    <x v="0"/>
  </r>
  <r>
    <n v="21159"/>
    <d v="2024-06-16T00:00:00"/>
    <x v="2"/>
    <s v="Gurugram"/>
    <s v="SC_GUR_4"/>
    <x v="2"/>
    <s v="911"/>
    <s v="Coupe"/>
    <x v="0"/>
    <x v="3"/>
    <x v="1"/>
    <x v="0"/>
    <n v="20"/>
    <n v="7"/>
    <x v="1"/>
    <x v="0"/>
    <n v="181295"/>
    <n v="118668"/>
    <n v="62627"/>
    <x v="0"/>
    <n v="0"/>
    <n v="1"/>
    <n v="1"/>
    <n v="0"/>
    <n v="1"/>
    <s v="Yes"/>
    <x v="0"/>
  </r>
  <r>
    <n v="21160"/>
    <d v="2024-03-28T00:00:00"/>
    <x v="1"/>
    <s v="Bhubaneswar"/>
    <s v="SC_BHU_4"/>
    <x v="2"/>
    <s v="Panamera"/>
    <s v="Sedan"/>
    <x v="0"/>
    <x v="4"/>
    <x v="2"/>
    <x v="0"/>
    <n v="11"/>
    <n v="7"/>
    <x v="1"/>
    <x v="0"/>
    <n v="192321"/>
    <n v="132261"/>
    <n v="60060"/>
    <x v="2"/>
    <n v="0"/>
    <n v="1"/>
    <n v="1"/>
    <n v="0"/>
    <n v="1"/>
    <s v="Yes"/>
    <x v="1"/>
  </r>
  <r>
    <n v="21161"/>
    <d v="2024-05-07T00:00:00"/>
    <x v="3"/>
    <s v="Pune"/>
    <s v="SC_PUN_3"/>
    <x v="2"/>
    <s v="Veyron"/>
    <s v="Hypercar"/>
    <x v="0"/>
    <x v="3"/>
    <x v="2"/>
    <x v="1"/>
    <n v="4"/>
    <n v="7"/>
    <x v="1"/>
    <x v="0"/>
    <n v="534340"/>
    <n v="287544"/>
    <n v="246796"/>
    <x v="4"/>
    <n v="0"/>
    <n v="1"/>
    <n v="1"/>
    <n v="0"/>
    <n v="1"/>
    <s v="No"/>
    <x v="2"/>
  </r>
  <r>
    <n v="21162"/>
    <d v="2024-04-27T00:00:00"/>
    <x v="3"/>
    <s v="Mumbai"/>
    <s v="SC_MUM_2"/>
    <x v="2"/>
    <s v="Panamera"/>
    <s v="Sedan"/>
    <x v="0"/>
    <x v="4"/>
    <x v="2"/>
    <x v="1"/>
    <n v="24"/>
    <n v="7"/>
    <x v="1"/>
    <x v="1"/>
    <n v="538039"/>
    <n v="364965"/>
    <n v="173074"/>
    <x v="0"/>
    <n v="0"/>
    <n v="0"/>
    <n v="1"/>
    <n v="0"/>
    <n v="1"/>
    <s v="Yes"/>
    <x v="0"/>
  </r>
  <r>
    <n v="21163"/>
    <d v="2024-03-25T00:00:00"/>
    <x v="0"/>
    <s v="Hyderabad"/>
    <s v="SC_HYD_4"/>
    <x v="2"/>
    <s v="Chiron"/>
    <s v="Hypercar"/>
    <x v="0"/>
    <x v="4"/>
    <x v="0"/>
    <x v="0"/>
    <n v="11"/>
    <n v="7"/>
    <x v="0"/>
    <x v="1"/>
    <n v="135323"/>
    <n v="71015"/>
    <n v="64308"/>
    <x v="1"/>
    <n v="135323"/>
    <n v="0"/>
    <n v="0"/>
    <n v="1"/>
    <n v="1"/>
    <s v="Yes"/>
    <x v="0"/>
  </r>
  <r>
    <n v="21164"/>
    <d v="2024-01-14T00:00:00"/>
    <x v="0"/>
    <s v="Chennai"/>
    <s v="SC_CHE_3"/>
    <x v="0"/>
    <s v="Macan"/>
    <s v="SUV"/>
    <x v="1"/>
    <x v="0"/>
    <x v="1"/>
    <x v="0"/>
    <n v="5"/>
    <n v="7"/>
    <x v="0"/>
    <x v="1"/>
    <n v="202730"/>
    <n v="151206"/>
    <n v="51524"/>
    <x v="2"/>
    <n v="202730"/>
    <n v="0"/>
    <n v="0"/>
    <n v="1"/>
    <n v="1"/>
    <s v="No"/>
    <x v="1"/>
  </r>
  <r>
    <n v="21165"/>
    <d v="2024-03-10T00:00:00"/>
    <x v="2"/>
    <s v="Noida"/>
    <s v="SC_NOI_2"/>
    <x v="1"/>
    <s v="Panamera"/>
    <s v="Sedan"/>
    <x v="1"/>
    <x v="2"/>
    <x v="0"/>
    <x v="1"/>
    <n v="17"/>
    <n v="7"/>
    <x v="0"/>
    <x v="0"/>
    <n v="99699"/>
    <n v="75051"/>
    <n v="24648"/>
    <x v="0"/>
    <n v="0"/>
    <n v="1"/>
    <n v="0"/>
    <n v="1"/>
    <n v="1"/>
    <s v="Yes"/>
    <x v="0"/>
  </r>
  <r>
    <n v="21166"/>
    <d v="2024-03-13T00:00:00"/>
    <x v="3"/>
    <s v="Ahmedabad"/>
    <s v="SC_AHM_5"/>
    <x v="1"/>
    <s v="Panamera"/>
    <s v="Sedan"/>
    <x v="1"/>
    <x v="4"/>
    <x v="0"/>
    <x v="1"/>
    <n v="16"/>
    <n v="7"/>
    <x v="0"/>
    <x v="0"/>
    <n v="134476"/>
    <n v="71294"/>
    <n v="63182"/>
    <x v="0"/>
    <n v="0"/>
    <n v="1"/>
    <n v="0"/>
    <n v="1"/>
    <n v="1"/>
    <s v="Yes"/>
    <x v="0"/>
  </r>
  <r>
    <n v="21167"/>
    <d v="2024-04-21T00:00:00"/>
    <x v="0"/>
    <s v="Hyderabad"/>
    <s v="SC_HYD_5"/>
    <x v="0"/>
    <s v="911"/>
    <s v="Coupe"/>
    <x v="0"/>
    <x v="1"/>
    <x v="2"/>
    <x v="0"/>
    <n v="19"/>
    <n v="7"/>
    <x v="1"/>
    <x v="1"/>
    <n v="120849"/>
    <n v="89907"/>
    <n v="30942"/>
    <x v="1"/>
    <n v="0"/>
    <n v="0"/>
    <n v="1"/>
    <n v="0"/>
    <n v="1"/>
    <s v="Yes"/>
    <x v="0"/>
  </r>
  <r>
    <n v="21168"/>
    <d v="2024-02-02T00:00:00"/>
    <x v="1"/>
    <s v="Bhubaneswar"/>
    <s v="SC_BHU_4"/>
    <x v="0"/>
    <s v="Taycan"/>
    <s v="Sedan"/>
    <x v="0"/>
    <x v="2"/>
    <x v="2"/>
    <x v="1"/>
    <n v="16"/>
    <n v="7"/>
    <x v="1"/>
    <x v="0"/>
    <n v="519560"/>
    <n v="385990"/>
    <n v="133570"/>
    <x v="1"/>
    <n v="0"/>
    <n v="1"/>
    <n v="1"/>
    <n v="0"/>
    <n v="1"/>
    <s v="Yes"/>
    <x v="0"/>
  </r>
  <r>
    <n v="21169"/>
    <d v="2024-02-06T00:00:00"/>
    <x v="0"/>
    <s v="Chennai"/>
    <s v="SC_CHE_2"/>
    <x v="1"/>
    <s v="Macan"/>
    <s v="SUV"/>
    <x v="0"/>
    <x v="2"/>
    <x v="0"/>
    <x v="1"/>
    <n v="22"/>
    <n v="7"/>
    <x v="0"/>
    <x v="1"/>
    <n v="539680"/>
    <n v="446726"/>
    <n v="92954"/>
    <x v="0"/>
    <n v="539680"/>
    <n v="0"/>
    <n v="0"/>
    <n v="1"/>
    <n v="1"/>
    <s v="Yes"/>
    <x v="0"/>
  </r>
  <r>
    <n v="21170"/>
    <d v="2024-05-15T00:00:00"/>
    <x v="3"/>
    <s v="Mumbai"/>
    <s v="SC_MUM_4"/>
    <x v="2"/>
    <s v="Cayenne"/>
    <s v="SUV"/>
    <x v="0"/>
    <x v="2"/>
    <x v="2"/>
    <x v="0"/>
    <n v="6"/>
    <n v="7"/>
    <x v="0"/>
    <x v="1"/>
    <n v="209260"/>
    <n v="142859"/>
    <n v="66401"/>
    <x v="2"/>
    <n v="209260"/>
    <n v="0"/>
    <n v="0"/>
    <n v="1"/>
    <n v="1"/>
    <s v="No"/>
    <x v="1"/>
  </r>
  <r>
    <n v="21171"/>
    <d v="2024-03-26T00:00:00"/>
    <x v="2"/>
    <s v="Noida"/>
    <s v="SC_NOI_5"/>
    <x v="2"/>
    <s v="911"/>
    <s v="Coupe"/>
    <x v="0"/>
    <x v="4"/>
    <x v="2"/>
    <x v="0"/>
    <n v="2"/>
    <n v="7"/>
    <x v="1"/>
    <x v="1"/>
    <n v="579468"/>
    <n v="457248"/>
    <n v="122220"/>
    <x v="4"/>
    <n v="0"/>
    <n v="0"/>
    <n v="1"/>
    <n v="0"/>
    <n v="1"/>
    <s v="No"/>
    <x v="2"/>
  </r>
  <r>
    <n v="21172"/>
    <d v="2024-05-11T00:00:00"/>
    <x v="1"/>
    <s v="Kolkata"/>
    <s v="SC_KOL_2"/>
    <x v="0"/>
    <s v="Veyron"/>
    <s v="Hypercar"/>
    <x v="0"/>
    <x v="4"/>
    <x v="1"/>
    <x v="0"/>
    <n v="15"/>
    <n v="7"/>
    <x v="1"/>
    <x v="1"/>
    <n v="135770"/>
    <n v="68779"/>
    <n v="66991"/>
    <x v="1"/>
    <n v="0"/>
    <n v="0"/>
    <n v="1"/>
    <n v="0"/>
    <n v="1"/>
    <s v="Yes"/>
    <x v="0"/>
  </r>
  <r>
    <n v="21173"/>
    <d v="2024-03-07T00:00:00"/>
    <x v="1"/>
    <s v="Patna"/>
    <s v="SC_PAT_5"/>
    <x v="2"/>
    <s v="Veyron"/>
    <s v="Hypercar"/>
    <x v="1"/>
    <x v="0"/>
    <x v="1"/>
    <x v="0"/>
    <n v="9"/>
    <n v="7"/>
    <x v="1"/>
    <x v="1"/>
    <n v="428220"/>
    <n v="214889"/>
    <n v="213331"/>
    <x v="3"/>
    <n v="0"/>
    <n v="0"/>
    <n v="1"/>
    <n v="0"/>
    <n v="1"/>
    <s v="Yes"/>
    <x v="2"/>
  </r>
  <r>
    <n v="21174"/>
    <d v="2024-05-09T00:00:00"/>
    <x v="0"/>
    <s v="Bengaluru"/>
    <s v="SC_BEN_4"/>
    <x v="0"/>
    <s v="Taycan"/>
    <s v="Sedan"/>
    <x v="0"/>
    <x v="4"/>
    <x v="0"/>
    <x v="0"/>
    <n v="18"/>
    <n v="7"/>
    <x v="0"/>
    <x v="1"/>
    <n v="119670"/>
    <n v="72350"/>
    <n v="47320"/>
    <x v="0"/>
    <n v="119670"/>
    <n v="0"/>
    <n v="0"/>
    <n v="1"/>
    <n v="1"/>
    <s v="Yes"/>
    <x v="0"/>
  </r>
  <r>
    <n v="21175"/>
    <d v="2024-03-24T00:00:00"/>
    <x v="2"/>
    <s v="Gurugram"/>
    <s v="SC_GUR_1"/>
    <x v="0"/>
    <s v="Panamera"/>
    <s v="Sedan"/>
    <x v="1"/>
    <x v="2"/>
    <x v="1"/>
    <x v="1"/>
    <n v="4"/>
    <n v="7"/>
    <x v="0"/>
    <x v="0"/>
    <n v="207465"/>
    <n v="108587"/>
    <n v="98878"/>
    <x v="3"/>
    <n v="0"/>
    <n v="1"/>
    <n v="0"/>
    <n v="1"/>
    <n v="1"/>
    <s v="No"/>
    <x v="2"/>
  </r>
  <r>
    <n v="21176"/>
    <d v="2024-04-23T00:00:00"/>
    <x v="0"/>
    <s v="Chennai"/>
    <s v="SC_CHE_2"/>
    <x v="0"/>
    <s v="Cayenne"/>
    <s v="SUV"/>
    <x v="1"/>
    <x v="4"/>
    <x v="2"/>
    <x v="0"/>
    <n v="18"/>
    <n v="7"/>
    <x v="0"/>
    <x v="1"/>
    <n v="220568"/>
    <n v="158059"/>
    <n v="62509"/>
    <x v="0"/>
    <n v="220568"/>
    <n v="0"/>
    <n v="0"/>
    <n v="1"/>
    <n v="1"/>
    <s v="Yes"/>
    <x v="0"/>
  </r>
  <r>
    <n v="21177"/>
    <d v="2024-01-01T00:00:00"/>
    <x v="1"/>
    <s v="Kolkata"/>
    <s v="SC_KOL_2"/>
    <x v="1"/>
    <s v="911"/>
    <s v="Coupe"/>
    <x v="0"/>
    <x v="4"/>
    <x v="0"/>
    <x v="1"/>
    <n v="2"/>
    <n v="7"/>
    <x v="1"/>
    <x v="1"/>
    <n v="349701"/>
    <n v="192052"/>
    <n v="157649"/>
    <x v="4"/>
    <n v="0"/>
    <n v="0"/>
    <n v="1"/>
    <n v="0"/>
    <n v="1"/>
    <s v="No"/>
    <x v="2"/>
  </r>
  <r>
    <n v="21178"/>
    <d v="2024-01-30T00:00:00"/>
    <x v="2"/>
    <s v="Noida"/>
    <s v="SC_NOI_1"/>
    <x v="1"/>
    <s v="Macan"/>
    <s v="SUV"/>
    <x v="1"/>
    <x v="1"/>
    <x v="2"/>
    <x v="0"/>
    <n v="8"/>
    <n v="7"/>
    <x v="0"/>
    <x v="1"/>
    <n v="371059"/>
    <n v="224770"/>
    <n v="146289"/>
    <x v="2"/>
    <n v="371059"/>
    <n v="0"/>
    <n v="0"/>
    <n v="1"/>
    <n v="1"/>
    <s v="Yes"/>
    <x v="1"/>
  </r>
  <r>
    <n v="21179"/>
    <d v="2024-04-24T00:00:00"/>
    <x v="1"/>
    <s v="Bhubaneswar"/>
    <s v="SC_BHU_2"/>
    <x v="0"/>
    <s v="Macan"/>
    <s v="SUV"/>
    <x v="1"/>
    <x v="2"/>
    <x v="2"/>
    <x v="0"/>
    <n v="18"/>
    <n v="7"/>
    <x v="1"/>
    <x v="0"/>
    <n v="572485"/>
    <n v="305359"/>
    <n v="267126"/>
    <x v="1"/>
    <n v="0"/>
    <n v="1"/>
    <n v="1"/>
    <n v="0"/>
    <n v="1"/>
    <s v="Yes"/>
    <x v="0"/>
  </r>
  <r>
    <n v="21180"/>
    <d v="2024-05-09T00:00:00"/>
    <x v="2"/>
    <s v="Delhi"/>
    <s v="SC_DEL_2"/>
    <x v="2"/>
    <s v="Cayenne"/>
    <s v="SUV"/>
    <x v="0"/>
    <x v="3"/>
    <x v="2"/>
    <x v="0"/>
    <n v="18"/>
    <n v="7"/>
    <x v="0"/>
    <x v="0"/>
    <n v="363350"/>
    <n v="216943"/>
    <n v="146407"/>
    <x v="0"/>
    <n v="0"/>
    <n v="1"/>
    <n v="0"/>
    <n v="1"/>
    <n v="1"/>
    <s v="Yes"/>
    <x v="0"/>
  </r>
  <r>
    <n v="21181"/>
    <d v="2024-06-12T00:00:00"/>
    <x v="1"/>
    <s v="Patna"/>
    <s v="SC_PAT_5"/>
    <x v="1"/>
    <s v="911"/>
    <s v="Coupe"/>
    <x v="0"/>
    <x v="0"/>
    <x v="0"/>
    <x v="1"/>
    <n v="22"/>
    <n v="7"/>
    <x v="0"/>
    <x v="1"/>
    <n v="329286"/>
    <n v="206881"/>
    <n v="122405"/>
    <x v="0"/>
    <n v="329286"/>
    <n v="0"/>
    <n v="0"/>
    <n v="1"/>
    <n v="1"/>
    <s v="Yes"/>
    <x v="0"/>
  </r>
  <r>
    <n v="21182"/>
    <d v="2024-04-17T00:00:00"/>
    <x v="3"/>
    <s v="Ahmedabad"/>
    <s v="SC_AHM_5"/>
    <x v="1"/>
    <s v="911"/>
    <s v="Coupe"/>
    <x v="0"/>
    <x v="1"/>
    <x v="0"/>
    <x v="0"/>
    <n v="9"/>
    <n v="7"/>
    <x v="1"/>
    <x v="1"/>
    <n v="499797"/>
    <n v="283518"/>
    <n v="216279"/>
    <x v="3"/>
    <n v="0"/>
    <n v="0"/>
    <n v="1"/>
    <n v="0"/>
    <n v="1"/>
    <s v="Yes"/>
    <x v="2"/>
  </r>
  <r>
    <n v="21183"/>
    <d v="2024-04-30T00:00:00"/>
    <x v="2"/>
    <s v="Noida"/>
    <s v="SC_NOI_1"/>
    <x v="2"/>
    <s v="Veyron"/>
    <s v="Hypercar"/>
    <x v="0"/>
    <x v="2"/>
    <x v="0"/>
    <x v="0"/>
    <n v="7"/>
    <n v="7"/>
    <x v="0"/>
    <x v="1"/>
    <n v="414219"/>
    <n v="314505"/>
    <n v="99714"/>
    <x v="2"/>
    <n v="414219"/>
    <n v="0"/>
    <n v="0"/>
    <n v="1"/>
    <n v="1"/>
    <s v="No"/>
    <x v="1"/>
  </r>
  <r>
    <n v="21184"/>
    <d v="2024-01-29T00:00:00"/>
    <x v="3"/>
    <s v="Mumbai"/>
    <s v="SC_MUM_2"/>
    <x v="2"/>
    <s v="Taycan"/>
    <s v="Sedan"/>
    <x v="1"/>
    <x v="2"/>
    <x v="1"/>
    <x v="0"/>
    <n v="9"/>
    <n v="7"/>
    <x v="1"/>
    <x v="1"/>
    <n v="314723"/>
    <n v="230746"/>
    <n v="83977"/>
    <x v="3"/>
    <n v="0"/>
    <n v="0"/>
    <n v="1"/>
    <n v="0"/>
    <n v="1"/>
    <s v="Yes"/>
    <x v="2"/>
  </r>
  <r>
    <n v="21185"/>
    <d v="2024-01-31T00:00:00"/>
    <x v="0"/>
    <s v="Bengaluru"/>
    <s v="SC_BEN_5"/>
    <x v="1"/>
    <s v="Veyron"/>
    <s v="Hypercar"/>
    <x v="1"/>
    <x v="2"/>
    <x v="0"/>
    <x v="1"/>
    <n v="25"/>
    <n v="7"/>
    <x v="0"/>
    <x v="1"/>
    <n v="253336"/>
    <n v="185048"/>
    <n v="68288"/>
    <x v="0"/>
    <n v="253336"/>
    <n v="0"/>
    <n v="0"/>
    <n v="1"/>
    <n v="1"/>
    <s v="Yes"/>
    <x v="0"/>
  </r>
  <r>
    <n v="21186"/>
    <d v="2024-06-28T00:00:00"/>
    <x v="1"/>
    <s v="Kolkata"/>
    <s v="SC_KOL_3"/>
    <x v="0"/>
    <s v="Taycan"/>
    <s v="Sedan"/>
    <x v="0"/>
    <x v="2"/>
    <x v="1"/>
    <x v="0"/>
    <n v="8"/>
    <n v="7"/>
    <x v="1"/>
    <x v="1"/>
    <n v="115802"/>
    <n v="79251"/>
    <n v="36551"/>
    <x v="3"/>
    <n v="0"/>
    <n v="0"/>
    <n v="1"/>
    <n v="0"/>
    <n v="1"/>
    <s v="Yes"/>
    <x v="2"/>
  </r>
  <r>
    <n v="21187"/>
    <d v="2024-01-25T00:00:00"/>
    <x v="2"/>
    <s v="Delhi"/>
    <s v="SC_DEL_5"/>
    <x v="2"/>
    <s v="Cayenne"/>
    <s v="SUV"/>
    <x v="1"/>
    <x v="0"/>
    <x v="1"/>
    <x v="1"/>
    <n v="15"/>
    <n v="7"/>
    <x v="0"/>
    <x v="0"/>
    <n v="219533"/>
    <n v="121527"/>
    <n v="98006"/>
    <x v="0"/>
    <n v="0"/>
    <n v="1"/>
    <n v="0"/>
    <n v="1"/>
    <n v="1"/>
    <s v="Yes"/>
    <x v="0"/>
  </r>
  <r>
    <n v="21188"/>
    <d v="2024-06-12T00:00:00"/>
    <x v="1"/>
    <s v="Bhubaneswar"/>
    <s v="SC_BHU_3"/>
    <x v="0"/>
    <s v="Panamera"/>
    <s v="Sedan"/>
    <x v="0"/>
    <x v="1"/>
    <x v="0"/>
    <x v="1"/>
    <n v="25"/>
    <n v="7"/>
    <x v="0"/>
    <x v="1"/>
    <n v="246336"/>
    <n v="168240"/>
    <n v="78096"/>
    <x v="0"/>
    <n v="246336"/>
    <n v="0"/>
    <n v="0"/>
    <n v="1"/>
    <n v="1"/>
    <s v="Yes"/>
    <x v="0"/>
  </r>
  <r>
    <n v="21189"/>
    <d v="2024-04-21T00:00:00"/>
    <x v="1"/>
    <s v="Kolkata"/>
    <s v="SC_KOL_1"/>
    <x v="1"/>
    <s v="Chiron"/>
    <s v="Hypercar"/>
    <x v="0"/>
    <x v="2"/>
    <x v="0"/>
    <x v="1"/>
    <n v="3"/>
    <n v="7"/>
    <x v="1"/>
    <x v="0"/>
    <n v="219167"/>
    <n v="177563"/>
    <n v="41604"/>
    <x v="4"/>
    <n v="0"/>
    <n v="1"/>
    <n v="1"/>
    <n v="0"/>
    <n v="1"/>
    <s v="No"/>
    <x v="2"/>
  </r>
  <r>
    <n v="21190"/>
    <d v="2024-06-09T00:00:00"/>
    <x v="0"/>
    <s v="Bengaluru"/>
    <s v="SC_BEN_5"/>
    <x v="2"/>
    <s v="Cayenne"/>
    <s v="SUV"/>
    <x v="1"/>
    <x v="2"/>
    <x v="1"/>
    <x v="0"/>
    <n v="18"/>
    <n v="7"/>
    <x v="0"/>
    <x v="1"/>
    <n v="594026"/>
    <n v="397970"/>
    <n v="196056"/>
    <x v="0"/>
    <n v="594026"/>
    <n v="0"/>
    <n v="0"/>
    <n v="1"/>
    <n v="1"/>
    <s v="Yes"/>
    <x v="0"/>
  </r>
  <r>
    <n v="21191"/>
    <d v="2024-01-26T00:00:00"/>
    <x v="2"/>
    <s v="Gurugram"/>
    <s v="SC_GUR_1"/>
    <x v="1"/>
    <s v="Cayenne"/>
    <s v="SUV"/>
    <x v="0"/>
    <x v="4"/>
    <x v="2"/>
    <x v="1"/>
    <n v="14"/>
    <n v="7"/>
    <x v="1"/>
    <x v="1"/>
    <n v="256319"/>
    <n v="157525"/>
    <n v="98794"/>
    <x v="2"/>
    <n v="0"/>
    <n v="0"/>
    <n v="1"/>
    <n v="0"/>
    <n v="1"/>
    <s v="Yes"/>
    <x v="1"/>
  </r>
  <r>
    <n v="21192"/>
    <d v="2024-04-02T00:00:00"/>
    <x v="1"/>
    <s v="Bhubaneswar"/>
    <s v="SC_BHU_2"/>
    <x v="2"/>
    <s v="Macan"/>
    <s v="SUV"/>
    <x v="1"/>
    <x v="2"/>
    <x v="1"/>
    <x v="0"/>
    <n v="25"/>
    <n v="7"/>
    <x v="0"/>
    <x v="1"/>
    <n v="115559"/>
    <n v="66764"/>
    <n v="48795"/>
    <x v="0"/>
    <n v="115559"/>
    <n v="0"/>
    <n v="0"/>
    <n v="1"/>
    <n v="1"/>
    <s v="Yes"/>
    <x v="0"/>
  </r>
  <r>
    <n v="21193"/>
    <d v="2024-05-19T00:00:00"/>
    <x v="3"/>
    <s v="Mumbai"/>
    <s v="SC_MUM_3"/>
    <x v="2"/>
    <s v="Veyron"/>
    <s v="Hypercar"/>
    <x v="1"/>
    <x v="4"/>
    <x v="2"/>
    <x v="1"/>
    <n v="25"/>
    <n v="7"/>
    <x v="1"/>
    <x v="0"/>
    <n v="327593"/>
    <n v="259530"/>
    <n v="68063"/>
    <x v="0"/>
    <n v="0"/>
    <n v="1"/>
    <n v="1"/>
    <n v="0"/>
    <n v="1"/>
    <s v="Yes"/>
    <x v="0"/>
  </r>
  <r>
    <n v="21194"/>
    <d v="2024-03-11T00:00:00"/>
    <x v="1"/>
    <s v="Patna"/>
    <s v="SC_PAT_5"/>
    <x v="0"/>
    <s v="911"/>
    <s v="Coupe"/>
    <x v="1"/>
    <x v="0"/>
    <x v="2"/>
    <x v="1"/>
    <n v="20"/>
    <n v="7"/>
    <x v="0"/>
    <x v="1"/>
    <n v="221882"/>
    <n v="113808"/>
    <n v="108074"/>
    <x v="0"/>
    <n v="221882"/>
    <n v="0"/>
    <n v="0"/>
    <n v="1"/>
    <n v="1"/>
    <s v="Yes"/>
    <x v="0"/>
  </r>
  <r>
    <n v="21195"/>
    <d v="2024-03-12T00:00:00"/>
    <x v="0"/>
    <s v="Bengaluru"/>
    <s v="SC_BEN_3"/>
    <x v="2"/>
    <s v="Taycan"/>
    <s v="Sedan"/>
    <x v="0"/>
    <x v="3"/>
    <x v="2"/>
    <x v="1"/>
    <n v="21"/>
    <n v="7"/>
    <x v="1"/>
    <x v="0"/>
    <n v="343338"/>
    <n v="291037"/>
    <n v="52301"/>
    <x v="0"/>
    <n v="0"/>
    <n v="1"/>
    <n v="1"/>
    <n v="0"/>
    <n v="1"/>
    <s v="Yes"/>
    <x v="0"/>
  </r>
  <r>
    <n v="21196"/>
    <d v="2024-05-16T00:00:00"/>
    <x v="2"/>
    <s v="Gurugram"/>
    <s v="SC_GUR_1"/>
    <x v="0"/>
    <s v="Panamera"/>
    <s v="Sedan"/>
    <x v="0"/>
    <x v="1"/>
    <x v="0"/>
    <x v="1"/>
    <n v="6"/>
    <n v="7"/>
    <x v="0"/>
    <x v="1"/>
    <n v="128348"/>
    <n v="81789"/>
    <n v="46559"/>
    <x v="2"/>
    <n v="128348"/>
    <n v="0"/>
    <n v="0"/>
    <n v="1"/>
    <n v="1"/>
    <s v="No"/>
    <x v="1"/>
  </r>
  <r>
    <n v="21197"/>
    <d v="2024-06-19T00:00:00"/>
    <x v="0"/>
    <s v="Hyderabad"/>
    <s v="SC_HYD_5"/>
    <x v="1"/>
    <s v="Cayenne"/>
    <s v="SUV"/>
    <x v="0"/>
    <x v="2"/>
    <x v="1"/>
    <x v="0"/>
    <n v="10"/>
    <n v="7"/>
    <x v="0"/>
    <x v="1"/>
    <n v="335491"/>
    <n v="250100"/>
    <n v="85391"/>
    <x v="1"/>
    <n v="335491"/>
    <n v="0"/>
    <n v="0"/>
    <n v="1"/>
    <n v="1"/>
    <s v="Yes"/>
    <x v="0"/>
  </r>
  <r>
    <n v="21198"/>
    <d v="2024-04-27T00:00:00"/>
    <x v="1"/>
    <s v="Kolkata"/>
    <s v="SC_KOL_4"/>
    <x v="1"/>
    <s v="911"/>
    <s v="Coupe"/>
    <x v="1"/>
    <x v="4"/>
    <x v="2"/>
    <x v="1"/>
    <n v="19"/>
    <n v="7"/>
    <x v="0"/>
    <x v="0"/>
    <n v="502465"/>
    <n v="256033"/>
    <n v="246432"/>
    <x v="0"/>
    <n v="0"/>
    <n v="1"/>
    <n v="0"/>
    <n v="1"/>
    <n v="1"/>
    <s v="Yes"/>
    <x v="0"/>
  </r>
  <r>
    <n v="21199"/>
    <d v="2024-06-19T00:00:00"/>
    <x v="2"/>
    <s v="Gurugram"/>
    <s v="SC_GUR_3"/>
    <x v="0"/>
    <s v="Veyron"/>
    <s v="Hypercar"/>
    <x v="1"/>
    <x v="2"/>
    <x v="1"/>
    <x v="0"/>
    <n v="22"/>
    <n v="7"/>
    <x v="1"/>
    <x v="1"/>
    <n v="532129"/>
    <n v="304558"/>
    <n v="227571"/>
    <x v="0"/>
    <n v="0"/>
    <n v="0"/>
    <n v="1"/>
    <n v="0"/>
    <n v="1"/>
    <s v="Yes"/>
    <x v="0"/>
  </r>
  <r>
    <n v="21200"/>
    <d v="2024-02-27T00:00:00"/>
    <x v="0"/>
    <s v="Bengaluru"/>
    <s v="SC_BEN_1"/>
    <x v="2"/>
    <s v="Panamera"/>
    <s v="Sedan"/>
    <x v="0"/>
    <x v="4"/>
    <x v="2"/>
    <x v="1"/>
    <n v="3"/>
    <n v="7"/>
    <x v="0"/>
    <x v="1"/>
    <n v="197732"/>
    <n v="101079"/>
    <n v="96653"/>
    <x v="3"/>
    <n v="197732"/>
    <n v="0"/>
    <n v="0"/>
    <n v="1"/>
    <n v="1"/>
    <s v="No"/>
    <x v="2"/>
  </r>
  <r>
    <n v="21201"/>
    <d v="2024-03-15T00:00:00"/>
    <x v="1"/>
    <s v="Patna"/>
    <s v="SC_PAT_5"/>
    <x v="2"/>
    <s v="Veyron"/>
    <s v="Hypercar"/>
    <x v="0"/>
    <x v="4"/>
    <x v="0"/>
    <x v="1"/>
    <n v="23"/>
    <n v="7"/>
    <x v="0"/>
    <x v="0"/>
    <n v="290409"/>
    <n v="171707"/>
    <n v="118702"/>
    <x v="0"/>
    <n v="0"/>
    <n v="1"/>
    <n v="0"/>
    <n v="1"/>
    <n v="1"/>
    <s v="Yes"/>
    <x v="0"/>
  </r>
  <r>
    <n v="21202"/>
    <d v="2024-02-17T00:00:00"/>
    <x v="0"/>
    <s v="Bengaluru"/>
    <s v="SC_BEN_2"/>
    <x v="2"/>
    <s v="Cayenne"/>
    <s v="SUV"/>
    <x v="1"/>
    <x v="2"/>
    <x v="1"/>
    <x v="0"/>
    <n v="14"/>
    <n v="7"/>
    <x v="0"/>
    <x v="1"/>
    <n v="380380"/>
    <n v="314256"/>
    <n v="66124"/>
    <x v="1"/>
    <n v="380380"/>
    <n v="0"/>
    <n v="0"/>
    <n v="1"/>
    <n v="1"/>
    <s v="Yes"/>
    <x v="0"/>
  </r>
  <r>
    <n v="21203"/>
    <d v="2024-01-06T00:00:00"/>
    <x v="2"/>
    <s v="Gurugram"/>
    <s v="SC_GUR_2"/>
    <x v="1"/>
    <s v="Cayenne"/>
    <s v="SUV"/>
    <x v="1"/>
    <x v="2"/>
    <x v="0"/>
    <x v="0"/>
    <n v="5"/>
    <n v="7"/>
    <x v="0"/>
    <x v="0"/>
    <n v="392560"/>
    <n v="237205"/>
    <n v="155355"/>
    <x v="2"/>
    <n v="0"/>
    <n v="1"/>
    <n v="0"/>
    <n v="1"/>
    <n v="1"/>
    <s v="No"/>
    <x v="1"/>
  </r>
  <r>
    <n v="21204"/>
    <d v="2024-01-18T00:00:00"/>
    <x v="1"/>
    <s v="Bhubaneswar"/>
    <s v="SC_BHU_5"/>
    <x v="1"/>
    <s v="Chiron"/>
    <s v="Hypercar"/>
    <x v="1"/>
    <x v="3"/>
    <x v="1"/>
    <x v="1"/>
    <n v="7"/>
    <n v="7"/>
    <x v="1"/>
    <x v="0"/>
    <n v="381462"/>
    <n v="322364"/>
    <n v="59098"/>
    <x v="3"/>
    <n v="0"/>
    <n v="1"/>
    <n v="1"/>
    <n v="0"/>
    <n v="1"/>
    <s v="No"/>
    <x v="2"/>
  </r>
  <r>
    <n v="21205"/>
    <d v="2024-02-15T00:00:00"/>
    <x v="0"/>
    <s v="Hyderabad"/>
    <s v="SC_HYD_4"/>
    <x v="0"/>
    <s v="Cayenne"/>
    <s v="SUV"/>
    <x v="1"/>
    <x v="0"/>
    <x v="1"/>
    <x v="0"/>
    <n v="25"/>
    <n v="7"/>
    <x v="0"/>
    <x v="1"/>
    <n v="454030"/>
    <n v="322840"/>
    <n v="131190"/>
    <x v="0"/>
    <n v="454030"/>
    <n v="0"/>
    <n v="0"/>
    <n v="1"/>
    <n v="1"/>
    <s v="Yes"/>
    <x v="0"/>
  </r>
  <r>
    <n v="21206"/>
    <d v="2024-02-12T00:00:00"/>
    <x v="2"/>
    <s v="Noida"/>
    <s v="SC_NOI_4"/>
    <x v="2"/>
    <s v="Veyron"/>
    <s v="Hypercar"/>
    <x v="0"/>
    <x v="2"/>
    <x v="1"/>
    <x v="1"/>
    <n v="5"/>
    <n v="7"/>
    <x v="1"/>
    <x v="0"/>
    <n v="469808"/>
    <n v="318646"/>
    <n v="151162"/>
    <x v="3"/>
    <n v="0"/>
    <n v="1"/>
    <n v="1"/>
    <n v="0"/>
    <n v="1"/>
    <s v="No"/>
    <x v="2"/>
  </r>
  <r>
    <n v="21207"/>
    <d v="2024-02-23T00:00:00"/>
    <x v="0"/>
    <s v="Chennai"/>
    <s v="SC_CHE_4"/>
    <x v="1"/>
    <s v="Veyron"/>
    <s v="Hypercar"/>
    <x v="1"/>
    <x v="2"/>
    <x v="0"/>
    <x v="0"/>
    <n v="6"/>
    <n v="7"/>
    <x v="1"/>
    <x v="1"/>
    <n v="175835"/>
    <n v="98156"/>
    <n v="77679"/>
    <x v="3"/>
    <n v="0"/>
    <n v="0"/>
    <n v="1"/>
    <n v="0"/>
    <n v="1"/>
    <s v="No"/>
    <x v="2"/>
  </r>
  <r>
    <n v="21208"/>
    <d v="2024-05-09T00:00:00"/>
    <x v="3"/>
    <s v="Mumbai"/>
    <s v="SC_MUM_5"/>
    <x v="1"/>
    <s v="Chiron"/>
    <s v="Hypercar"/>
    <x v="1"/>
    <x v="3"/>
    <x v="2"/>
    <x v="0"/>
    <n v="10"/>
    <n v="7"/>
    <x v="1"/>
    <x v="0"/>
    <n v="535145"/>
    <n v="400215"/>
    <n v="134930"/>
    <x v="2"/>
    <n v="0"/>
    <n v="1"/>
    <n v="1"/>
    <n v="0"/>
    <n v="1"/>
    <s v="Yes"/>
    <x v="1"/>
  </r>
  <r>
    <n v="21209"/>
    <d v="2024-03-01T00:00:00"/>
    <x v="1"/>
    <s v="Patna"/>
    <s v="SC_PAT_4"/>
    <x v="2"/>
    <s v="911"/>
    <s v="Coupe"/>
    <x v="1"/>
    <x v="0"/>
    <x v="0"/>
    <x v="0"/>
    <n v="16"/>
    <n v="7"/>
    <x v="0"/>
    <x v="1"/>
    <n v="195399"/>
    <n v="131816"/>
    <n v="63583"/>
    <x v="0"/>
    <n v="195399"/>
    <n v="0"/>
    <n v="0"/>
    <n v="1"/>
    <n v="1"/>
    <s v="Yes"/>
    <x v="0"/>
  </r>
  <r>
    <n v="21210"/>
    <d v="2024-03-19T00:00:00"/>
    <x v="2"/>
    <s v="Noida"/>
    <s v="SC_NOI_1"/>
    <x v="2"/>
    <s v="Panamera"/>
    <s v="Sedan"/>
    <x v="0"/>
    <x v="0"/>
    <x v="2"/>
    <x v="0"/>
    <n v="4"/>
    <n v="7"/>
    <x v="1"/>
    <x v="1"/>
    <n v="418302"/>
    <n v="261781"/>
    <n v="156521"/>
    <x v="4"/>
    <n v="0"/>
    <n v="0"/>
    <n v="1"/>
    <n v="0"/>
    <n v="1"/>
    <s v="No"/>
    <x v="2"/>
  </r>
  <r>
    <n v="21211"/>
    <d v="2024-01-20T00:00:00"/>
    <x v="1"/>
    <s v="Bhubaneswar"/>
    <s v="SC_BHU_2"/>
    <x v="1"/>
    <s v="Cayenne"/>
    <s v="SUV"/>
    <x v="1"/>
    <x v="4"/>
    <x v="2"/>
    <x v="0"/>
    <n v="22"/>
    <n v="7"/>
    <x v="0"/>
    <x v="1"/>
    <n v="117899"/>
    <n v="64313"/>
    <n v="53586"/>
    <x v="0"/>
    <n v="117899"/>
    <n v="0"/>
    <n v="0"/>
    <n v="1"/>
    <n v="1"/>
    <s v="Yes"/>
    <x v="0"/>
  </r>
  <r>
    <n v="21212"/>
    <d v="2024-02-25T00:00:00"/>
    <x v="3"/>
    <s v="Ahmedabad"/>
    <s v="SC_AHM_1"/>
    <x v="2"/>
    <s v="Taycan"/>
    <s v="Sedan"/>
    <x v="0"/>
    <x v="0"/>
    <x v="0"/>
    <x v="0"/>
    <n v="8"/>
    <n v="7"/>
    <x v="1"/>
    <x v="1"/>
    <n v="254149"/>
    <n v="173089"/>
    <n v="81060"/>
    <x v="3"/>
    <n v="0"/>
    <n v="0"/>
    <n v="1"/>
    <n v="0"/>
    <n v="1"/>
    <s v="Yes"/>
    <x v="2"/>
  </r>
  <r>
    <n v="21213"/>
    <d v="2024-02-04T00:00:00"/>
    <x v="3"/>
    <s v="Ahmedabad"/>
    <s v="SC_AHM_5"/>
    <x v="0"/>
    <s v="Chiron"/>
    <s v="Hypercar"/>
    <x v="0"/>
    <x v="4"/>
    <x v="1"/>
    <x v="1"/>
    <n v="20"/>
    <n v="7"/>
    <x v="1"/>
    <x v="0"/>
    <n v="430366"/>
    <n v="235764"/>
    <n v="194602"/>
    <x v="0"/>
    <n v="0"/>
    <n v="1"/>
    <n v="1"/>
    <n v="0"/>
    <n v="1"/>
    <s v="Yes"/>
    <x v="0"/>
  </r>
  <r>
    <n v="21214"/>
    <d v="2024-03-10T00:00:00"/>
    <x v="1"/>
    <s v="Bhubaneswar"/>
    <s v="SC_BHU_1"/>
    <x v="2"/>
    <s v="Cayenne"/>
    <s v="SUV"/>
    <x v="1"/>
    <x v="2"/>
    <x v="1"/>
    <x v="0"/>
    <n v="20"/>
    <n v="7"/>
    <x v="0"/>
    <x v="1"/>
    <n v="231311"/>
    <n v="157090"/>
    <n v="74221"/>
    <x v="0"/>
    <n v="231311"/>
    <n v="0"/>
    <n v="0"/>
    <n v="1"/>
    <n v="1"/>
    <s v="Yes"/>
    <x v="0"/>
  </r>
  <r>
    <n v="21215"/>
    <d v="2024-04-25T00:00:00"/>
    <x v="3"/>
    <s v="Mumbai"/>
    <s v="SC_MUM_1"/>
    <x v="2"/>
    <s v="Panamera"/>
    <s v="Sedan"/>
    <x v="1"/>
    <x v="2"/>
    <x v="2"/>
    <x v="1"/>
    <n v="2"/>
    <n v="7"/>
    <x v="0"/>
    <x v="0"/>
    <n v="287930"/>
    <n v="225721"/>
    <n v="62209"/>
    <x v="3"/>
    <n v="0"/>
    <n v="1"/>
    <n v="0"/>
    <n v="1"/>
    <n v="1"/>
    <s v="No"/>
    <x v="2"/>
  </r>
  <r>
    <n v="21216"/>
    <d v="2024-03-23T00:00:00"/>
    <x v="0"/>
    <s v="Chennai"/>
    <s v="SC_CHE_2"/>
    <x v="2"/>
    <s v="Chiron"/>
    <s v="Hypercar"/>
    <x v="0"/>
    <x v="2"/>
    <x v="2"/>
    <x v="0"/>
    <n v="24"/>
    <n v="7"/>
    <x v="0"/>
    <x v="1"/>
    <n v="348336"/>
    <n v="185488"/>
    <n v="162848"/>
    <x v="0"/>
    <n v="348336"/>
    <n v="0"/>
    <n v="0"/>
    <n v="1"/>
    <n v="1"/>
    <s v="Yes"/>
    <x v="0"/>
  </r>
  <r>
    <n v="21217"/>
    <d v="2024-03-05T00:00:00"/>
    <x v="0"/>
    <s v="Chennai"/>
    <s v="SC_CHE_2"/>
    <x v="1"/>
    <s v="Cayenne"/>
    <s v="SUV"/>
    <x v="0"/>
    <x v="0"/>
    <x v="2"/>
    <x v="0"/>
    <n v="4"/>
    <n v="7"/>
    <x v="1"/>
    <x v="0"/>
    <n v="504508"/>
    <n v="327238"/>
    <n v="177270"/>
    <x v="4"/>
    <n v="0"/>
    <n v="1"/>
    <n v="1"/>
    <n v="0"/>
    <n v="1"/>
    <s v="No"/>
    <x v="2"/>
  </r>
  <r>
    <n v="21218"/>
    <d v="2024-05-03T00:00:00"/>
    <x v="3"/>
    <s v="Ahmedabad"/>
    <s v="SC_AHM_5"/>
    <x v="1"/>
    <s v="Panamera"/>
    <s v="Sedan"/>
    <x v="0"/>
    <x v="1"/>
    <x v="2"/>
    <x v="1"/>
    <n v="10"/>
    <n v="7"/>
    <x v="0"/>
    <x v="1"/>
    <n v="307714"/>
    <n v="256794"/>
    <n v="50920"/>
    <x v="1"/>
    <n v="307714"/>
    <n v="0"/>
    <n v="0"/>
    <n v="1"/>
    <n v="1"/>
    <s v="Yes"/>
    <x v="0"/>
  </r>
  <r>
    <n v="21219"/>
    <d v="2024-06-01T00:00:00"/>
    <x v="3"/>
    <s v="Mumbai"/>
    <s v="SC_MUM_4"/>
    <x v="1"/>
    <s v="Taycan"/>
    <s v="Sedan"/>
    <x v="1"/>
    <x v="2"/>
    <x v="0"/>
    <x v="0"/>
    <n v="7"/>
    <n v="7"/>
    <x v="0"/>
    <x v="1"/>
    <n v="310790"/>
    <n v="161335"/>
    <n v="149455"/>
    <x v="2"/>
    <n v="310790"/>
    <n v="0"/>
    <n v="0"/>
    <n v="1"/>
    <n v="1"/>
    <s v="No"/>
    <x v="1"/>
  </r>
  <r>
    <n v="21220"/>
    <d v="2024-04-29T00:00:00"/>
    <x v="3"/>
    <s v="Ahmedabad"/>
    <s v="SC_AHM_5"/>
    <x v="1"/>
    <s v="Macan"/>
    <s v="SUV"/>
    <x v="1"/>
    <x v="4"/>
    <x v="2"/>
    <x v="0"/>
    <n v="25"/>
    <n v="7"/>
    <x v="0"/>
    <x v="0"/>
    <n v="355256"/>
    <n v="208482"/>
    <n v="146774"/>
    <x v="0"/>
    <n v="0"/>
    <n v="1"/>
    <n v="0"/>
    <n v="1"/>
    <n v="1"/>
    <s v="Yes"/>
    <x v="0"/>
  </r>
  <r>
    <n v="21221"/>
    <d v="2024-03-31T00:00:00"/>
    <x v="3"/>
    <s v="Ahmedabad"/>
    <s v="SC_AHM_1"/>
    <x v="2"/>
    <s v="Veyron"/>
    <s v="Hypercar"/>
    <x v="1"/>
    <x v="0"/>
    <x v="0"/>
    <x v="0"/>
    <n v="3"/>
    <n v="7"/>
    <x v="0"/>
    <x v="1"/>
    <n v="347476"/>
    <n v="261433"/>
    <n v="86043"/>
    <x v="3"/>
    <n v="347476"/>
    <n v="0"/>
    <n v="0"/>
    <n v="1"/>
    <n v="1"/>
    <s v="No"/>
    <x v="2"/>
  </r>
  <r>
    <n v="21222"/>
    <d v="2024-05-09T00:00:00"/>
    <x v="0"/>
    <s v="Hyderabad"/>
    <s v="SC_HYD_3"/>
    <x v="2"/>
    <s v="Panamera"/>
    <s v="Sedan"/>
    <x v="0"/>
    <x v="0"/>
    <x v="2"/>
    <x v="0"/>
    <n v="8"/>
    <n v="7"/>
    <x v="1"/>
    <x v="1"/>
    <n v="141279"/>
    <n v="96672"/>
    <n v="44607"/>
    <x v="3"/>
    <n v="0"/>
    <n v="0"/>
    <n v="1"/>
    <n v="0"/>
    <n v="1"/>
    <s v="Yes"/>
    <x v="2"/>
  </r>
  <r>
    <n v="21223"/>
    <d v="2024-03-12T00:00:00"/>
    <x v="0"/>
    <s v="Hyderabad"/>
    <s v="SC_HYD_5"/>
    <x v="2"/>
    <s v="Macan"/>
    <s v="SUV"/>
    <x v="0"/>
    <x v="4"/>
    <x v="2"/>
    <x v="0"/>
    <n v="15"/>
    <n v="7"/>
    <x v="0"/>
    <x v="1"/>
    <n v="377374"/>
    <n v="308430"/>
    <n v="68944"/>
    <x v="0"/>
    <n v="377374"/>
    <n v="0"/>
    <n v="0"/>
    <n v="1"/>
    <n v="1"/>
    <s v="Yes"/>
    <x v="0"/>
  </r>
  <r>
    <n v="21224"/>
    <d v="2024-01-07T00:00:00"/>
    <x v="0"/>
    <s v="Bengaluru"/>
    <s v="SC_BEN_5"/>
    <x v="0"/>
    <s v="Panamera"/>
    <s v="Sedan"/>
    <x v="1"/>
    <x v="4"/>
    <x v="1"/>
    <x v="1"/>
    <n v="16"/>
    <n v="7"/>
    <x v="1"/>
    <x v="1"/>
    <n v="522924"/>
    <n v="383390"/>
    <n v="139534"/>
    <x v="1"/>
    <n v="0"/>
    <n v="0"/>
    <n v="1"/>
    <n v="0"/>
    <n v="1"/>
    <s v="Yes"/>
    <x v="0"/>
  </r>
  <r>
    <n v="21225"/>
    <d v="2024-02-15T00:00:00"/>
    <x v="1"/>
    <s v="Patna"/>
    <s v="SC_PAT_2"/>
    <x v="2"/>
    <s v="Chiron"/>
    <s v="Hypercar"/>
    <x v="0"/>
    <x v="0"/>
    <x v="2"/>
    <x v="0"/>
    <n v="13"/>
    <n v="7"/>
    <x v="1"/>
    <x v="1"/>
    <n v="443895"/>
    <n v="289164"/>
    <n v="154731"/>
    <x v="2"/>
    <n v="0"/>
    <n v="0"/>
    <n v="1"/>
    <n v="0"/>
    <n v="1"/>
    <s v="Yes"/>
    <x v="1"/>
  </r>
  <r>
    <n v="21226"/>
    <d v="2024-03-04T00:00:00"/>
    <x v="1"/>
    <s v="Patna"/>
    <s v="SC_PAT_5"/>
    <x v="1"/>
    <s v="Macan"/>
    <s v="SUV"/>
    <x v="0"/>
    <x v="4"/>
    <x v="0"/>
    <x v="0"/>
    <n v="22"/>
    <n v="7"/>
    <x v="0"/>
    <x v="1"/>
    <n v="467658"/>
    <n v="394694"/>
    <n v="72964"/>
    <x v="0"/>
    <n v="467658"/>
    <n v="0"/>
    <n v="0"/>
    <n v="1"/>
    <n v="1"/>
    <s v="Yes"/>
    <x v="0"/>
  </r>
  <r>
    <n v="21227"/>
    <d v="2024-05-06T00:00:00"/>
    <x v="1"/>
    <s v="Patna"/>
    <s v="SC_PAT_2"/>
    <x v="1"/>
    <s v="Panamera"/>
    <s v="Sedan"/>
    <x v="0"/>
    <x v="4"/>
    <x v="0"/>
    <x v="1"/>
    <n v="10"/>
    <n v="7"/>
    <x v="1"/>
    <x v="0"/>
    <n v="123031"/>
    <n v="85165"/>
    <n v="37866"/>
    <x v="2"/>
    <n v="0"/>
    <n v="1"/>
    <n v="1"/>
    <n v="0"/>
    <n v="1"/>
    <s v="Yes"/>
    <x v="1"/>
  </r>
  <r>
    <n v="21228"/>
    <d v="2024-02-25T00:00:00"/>
    <x v="3"/>
    <s v="Mumbai"/>
    <s v="SC_MUM_1"/>
    <x v="1"/>
    <s v="911"/>
    <s v="Coupe"/>
    <x v="1"/>
    <x v="1"/>
    <x v="2"/>
    <x v="1"/>
    <n v="5"/>
    <n v="7"/>
    <x v="1"/>
    <x v="1"/>
    <n v="148852"/>
    <n v="81985"/>
    <n v="66867"/>
    <x v="3"/>
    <n v="0"/>
    <n v="0"/>
    <n v="1"/>
    <n v="0"/>
    <n v="1"/>
    <s v="No"/>
    <x v="2"/>
  </r>
  <r>
    <n v="21229"/>
    <d v="2024-03-23T00:00:00"/>
    <x v="0"/>
    <s v="Chennai"/>
    <s v="SC_CHE_3"/>
    <x v="2"/>
    <s v="Panamera"/>
    <s v="Sedan"/>
    <x v="1"/>
    <x v="0"/>
    <x v="2"/>
    <x v="0"/>
    <n v="7"/>
    <n v="7"/>
    <x v="1"/>
    <x v="0"/>
    <n v="426324"/>
    <n v="230510"/>
    <n v="195814"/>
    <x v="3"/>
    <n v="0"/>
    <n v="1"/>
    <n v="1"/>
    <n v="0"/>
    <n v="1"/>
    <s v="No"/>
    <x v="2"/>
  </r>
  <r>
    <n v="21230"/>
    <d v="2024-06-24T00:00:00"/>
    <x v="1"/>
    <s v="Kolkata"/>
    <s v="SC_KOL_2"/>
    <x v="2"/>
    <s v="Taycan"/>
    <s v="Sedan"/>
    <x v="0"/>
    <x v="0"/>
    <x v="2"/>
    <x v="1"/>
    <n v="15"/>
    <n v="7"/>
    <x v="0"/>
    <x v="1"/>
    <n v="145172"/>
    <n v="99728"/>
    <n v="45444"/>
    <x v="0"/>
    <n v="145172"/>
    <n v="0"/>
    <n v="0"/>
    <n v="1"/>
    <n v="1"/>
    <s v="Yes"/>
    <x v="0"/>
  </r>
  <r>
    <n v="21231"/>
    <d v="2024-03-21T00:00:00"/>
    <x v="3"/>
    <s v="Ahmedabad"/>
    <s v="SC_AHM_2"/>
    <x v="1"/>
    <s v="Taycan"/>
    <s v="Sedan"/>
    <x v="1"/>
    <x v="2"/>
    <x v="1"/>
    <x v="0"/>
    <n v="13"/>
    <n v="7"/>
    <x v="0"/>
    <x v="0"/>
    <n v="227569"/>
    <n v="165124"/>
    <n v="62445"/>
    <x v="1"/>
    <n v="0"/>
    <n v="1"/>
    <n v="0"/>
    <n v="1"/>
    <n v="1"/>
    <s v="Yes"/>
    <x v="0"/>
  </r>
  <r>
    <n v="21232"/>
    <d v="2024-03-25T00:00:00"/>
    <x v="1"/>
    <s v="Kolkata"/>
    <s v="SC_KOL_4"/>
    <x v="1"/>
    <s v="Macan"/>
    <s v="SUV"/>
    <x v="0"/>
    <x v="4"/>
    <x v="1"/>
    <x v="1"/>
    <n v="20"/>
    <n v="7"/>
    <x v="0"/>
    <x v="0"/>
    <n v="203116"/>
    <n v="119137"/>
    <n v="83979"/>
    <x v="0"/>
    <n v="0"/>
    <n v="1"/>
    <n v="0"/>
    <n v="1"/>
    <n v="1"/>
    <s v="Yes"/>
    <x v="0"/>
  </r>
  <r>
    <n v="21233"/>
    <d v="2024-03-17T00:00:00"/>
    <x v="2"/>
    <s v="Gurugram"/>
    <s v="SC_GUR_4"/>
    <x v="1"/>
    <s v="Panamera"/>
    <s v="Sedan"/>
    <x v="1"/>
    <x v="1"/>
    <x v="0"/>
    <x v="1"/>
    <n v="3"/>
    <n v="7"/>
    <x v="0"/>
    <x v="0"/>
    <n v="148588"/>
    <n v="116494"/>
    <n v="32094"/>
    <x v="3"/>
    <n v="0"/>
    <n v="1"/>
    <n v="0"/>
    <n v="1"/>
    <n v="1"/>
    <s v="No"/>
    <x v="2"/>
  </r>
  <r>
    <n v="21234"/>
    <d v="2024-02-16T00:00:00"/>
    <x v="1"/>
    <s v="Kolkata"/>
    <s v="SC_KOL_2"/>
    <x v="0"/>
    <s v="Macan"/>
    <s v="SUV"/>
    <x v="0"/>
    <x v="3"/>
    <x v="2"/>
    <x v="0"/>
    <n v="6"/>
    <n v="7"/>
    <x v="1"/>
    <x v="1"/>
    <n v="366955"/>
    <n v="185610"/>
    <n v="181345"/>
    <x v="3"/>
    <n v="0"/>
    <n v="0"/>
    <n v="1"/>
    <n v="0"/>
    <n v="1"/>
    <s v="No"/>
    <x v="2"/>
  </r>
  <r>
    <n v="21235"/>
    <d v="2024-06-14T00:00:00"/>
    <x v="0"/>
    <s v="Bengaluru"/>
    <s v="SC_BEN_1"/>
    <x v="1"/>
    <s v="Chiron"/>
    <s v="Hypercar"/>
    <x v="0"/>
    <x v="1"/>
    <x v="2"/>
    <x v="0"/>
    <n v="19"/>
    <n v="7"/>
    <x v="0"/>
    <x v="0"/>
    <n v="130149"/>
    <n v="71619"/>
    <n v="58530"/>
    <x v="0"/>
    <n v="0"/>
    <n v="1"/>
    <n v="0"/>
    <n v="1"/>
    <n v="1"/>
    <s v="Yes"/>
    <x v="0"/>
  </r>
  <r>
    <n v="21236"/>
    <d v="2024-06-20T00:00:00"/>
    <x v="2"/>
    <s v="Delhi"/>
    <s v="SC_DEL_5"/>
    <x v="0"/>
    <s v="911"/>
    <s v="Coupe"/>
    <x v="1"/>
    <x v="2"/>
    <x v="2"/>
    <x v="0"/>
    <n v="20"/>
    <n v="7"/>
    <x v="0"/>
    <x v="1"/>
    <n v="228723"/>
    <n v="172493"/>
    <n v="56230"/>
    <x v="0"/>
    <n v="228723"/>
    <n v="0"/>
    <n v="0"/>
    <n v="1"/>
    <n v="1"/>
    <s v="Yes"/>
    <x v="0"/>
  </r>
  <r>
    <n v="21237"/>
    <d v="2024-02-27T00:00:00"/>
    <x v="1"/>
    <s v="Patna"/>
    <s v="SC_PAT_4"/>
    <x v="2"/>
    <s v="Cayenne"/>
    <s v="SUV"/>
    <x v="0"/>
    <x v="1"/>
    <x v="0"/>
    <x v="0"/>
    <n v="11"/>
    <n v="7"/>
    <x v="0"/>
    <x v="0"/>
    <n v="345774"/>
    <n v="253300"/>
    <n v="92474"/>
    <x v="1"/>
    <n v="0"/>
    <n v="1"/>
    <n v="0"/>
    <n v="1"/>
    <n v="1"/>
    <s v="Yes"/>
    <x v="0"/>
  </r>
  <r>
    <n v="21238"/>
    <d v="2024-04-04T00:00:00"/>
    <x v="2"/>
    <s v="Gurugram"/>
    <s v="SC_GUR_5"/>
    <x v="1"/>
    <s v="911"/>
    <s v="Coupe"/>
    <x v="1"/>
    <x v="2"/>
    <x v="0"/>
    <x v="0"/>
    <n v="7"/>
    <n v="7"/>
    <x v="1"/>
    <x v="1"/>
    <n v="548994"/>
    <n v="406282"/>
    <n v="142712"/>
    <x v="3"/>
    <n v="0"/>
    <n v="0"/>
    <n v="1"/>
    <n v="0"/>
    <n v="1"/>
    <s v="No"/>
    <x v="2"/>
  </r>
  <r>
    <n v="21239"/>
    <d v="2024-03-17T00:00:00"/>
    <x v="0"/>
    <s v="Hyderabad"/>
    <s v="SC_HYD_4"/>
    <x v="2"/>
    <s v="Veyron"/>
    <s v="Hypercar"/>
    <x v="1"/>
    <x v="4"/>
    <x v="0"/>
    <x v="1"/>
    <n v="20"/>
    <n v="7"/>
    <x v="0"/>
    <x v="1"/>
    <n v="300478"/>
    <n v="161172"/>
    <n v="139306"/>
    <x v="0"/>
    <n v="300478"/>
    <n v="0"/>
    <n v="0"/>
    <n v="1"/>
    <n v="1"/>
    <s v="Yes"/>
    <x v="0"/>
  </r>
  <r>
    <n v="21240"/>
    <d v="2024-05-10T00:00:00"/>
    <x v="1"/>
    <s v="Patna"/>
    <s v="SC_PAT_4"/>
    <x v="0"/>
    <s v="Taycan"/>
    <s v="Sedan"/>
    <x v="0"/>
    <x v="4"/>
    <x v="1"/>
    <x v="1"/>
    <n v="18"/>
    <n v="7"/>
    <x v="0"/>
    <x v="1"/>
    <n v="256555"/>
    <n v="143444"/>
    <n v="113111"/>
    <x v="0"/>
    <n v="256555"/>
    <n v="0"/>
    <n v="0"/>
    <n v="1"/>
    <n v="1"/>
    <s v="Yes"/>
    <x v="0"/>
  </r>
  <r>
    <n v="21241"/>
    <d v="2024-03-27T00:00:00"/>
    <x v="0"/>
    <s v="Bengaluru"/>
    <s v="SC_BEN_2"/>
    <x v="2"/>
    <s v="911"/>
    <s v="Coupe"/>
    <x v="1"/>
    <x v="4"/>
    <x v="1"/>
    <x v="0"/>
    <n v="6"/>
    <n v="7"/>
    <x v="0"/>
    <x v="1"/>
    <n v="522758"/>
    <n v="364056"/>
    <n v="158702"/>
    <x v="2"/>
    <n v="522758"/>
    <n v="0"/>
    <n v="0"/>
    <n v="1"/>
    <n v="1"/>
    <s v="No"/>
    <x v="1"/>
  </r>
  <r>
    <n v="21242"/>
    <d v="2024-04-12T00:00:00"/>
    <x v="2"/>
    <s v="Gurugram"/>
    <s v="SC_GUR_3"/>
    <x v="1"/>
    <s v="911"/>
    <s v="Coupe"/>
    <x v="1"/>
    <x v="3"/>
    <x v="2"/>
    <x v="1"/>
    <n v="16"/>
    <n v="7"/>
    <x v="0"/>
    <x v="1"/>
    <n v="197377"/>
    <n v="142013"/>
    <n v="55364"/>
    <x v="0"/>
    <n v="197377"/>
    <n v="0"/>
    <n v="0"/>
    <n v="1"/>
    <n v="1"/>
    <s v="Yes"/>
    <x v="0"/>
  </r>
  <r>
    <n v="21243"/>
    <d v="2024-02-12T00:00:00"/>
    <x v="1"/>
    <s v="Kolkata"/>
    <s v="SC_KOL_4"/>
    <x v="2"/>
    <s v="Taycan"/>
    <s v="Sedan"/>
    <x v="1"/>
    <x v="1"/>
    <x v="2"/>
    <x v="0"/>
    <n v="16"/>
    <n v="7"/>
    <x v="1"/>
    <x v="0"/>
    <n v="307440"/>
    <n v="170758"/>
    <n v="136682"/>
    <x v="1"/>
    <n v="0"/>
    <n v="1"/>
    <n v="1"/>
    <n v="0"/>
    <n v="1"/>
    <s v="Yes"/>
    <x v="0"/>
  </r>
  <r>
    <n v="21244"/>
    <d v="2024-06-22T00:00:00"/>
    <x v="1"/>
    <s v="Bhubaneswar"/>
    <s v="SC_BHU_4"/>
    <x v="2"/>
    <s v="911"/>
    <s v="Coupe"/>
    <x v="0"/>
    <x v="3"/>
    <x v="2"/>
    <x v="0"/>
    <n v="4"/>
    <n v="7"/>
    <x v="0"/>
    <x v="1"/>
    <n v="374926"/>
    <n v="230857"/>
    <n v="144069"/>
    <x v="3"/>
    <n v="374926"/>
    <n v="0"/>
    <n v="0"/>
    <n v="1"/>
    <n v="1"/>
    <s v="No"/>
    <x v="2"/>
  </r>
  <r>
    <n v="21245"/>
    <d v="2024-05-13T00:00:00"/>
    <x v="2"/>
    <s v="Gurugram"/>
    <s v="SC_GUR_5"/>
    <x v="0"/>
    <s v="911"/>
    <s v="Coupe"/>
    <x v="1"/>
    <x v="0"/>
    <x v="2"/>
    <x v="0"/>
    <n v="24"/>
    <n v="7"/>
    <x v="1"/>
    <x v="0"/>
    <n v="387940"/>
    <n v="287262"/>
    <n v="100678"/>
    <x v="0"/>
    <n v="0"/>
    <n v="1"/>
    <n v="1"/>
    <n v="0"/>
    <n v="1"/>
    <s v="Yes"/>
    <x v="0"/>
  </r>
  <r>
    <n v="21246"/>
    <d v="2024-06-02T00:00:00"/>
    <x v="0"/>
    <s v="Hyderabad"/>
    <s v="SC_HYD_4"/>
    <x v="1"/>
    <s v="Cayenne"/>
    <s v="SUV"/>
    <x v="0"/>
    <x v="2"/>
    <x v="0"/>
    <x v="1"/>
    <n v="2"/>
    <n v="7"/>
    <x v="0"/>
    <x v="1"/>
    <n v="178375"/>
    <n v="117394"/>
    <n v="60981"/>
    <x v="3"/>
    <n v="178375"/>
    <n v="0"/>
    <n v="0"/>
    <n v="1"/>
    <n v="1"/>
    <s v="No"/>
    <x v="2"/>
  </r>
  <r>
    <n v="21247"/>
    <d v="2024-03-23T00:00:00"/>
    <x v="0"/>
    <s v="Chennai"/>
    <s v="SC_CHE_1"/>
    <x v="0"/>
    <s v="Veyron"/>
    <s v="Hypercar"/>
    <x v="0"/>
    <x v="2"/>
    <x v="1"/>
    <x v="0"/>
    <n v="5"/>
    <n v="7"/>
    <x v="0"/>
    <x v="1"/>
    <n v="270280"/>
    <n v="181680"/>
    <n v="88600"/>
    <x v="2"/>
    <n v="270280"/>
    <n v="0"/>
    <n v="0"/>
    <n v="1"/>
    <n v="1"/>
    <s v="No"/>
    <x v="1"/>
  </r>
  <r>
    <n v="21248"/>
    <d v="2024-01-05T00:00:00"/>
    <x v="0"/>
    <s v="Hyderabad"/>
    <s v="SC_HYD_1"/>
    <x v="0"/>
    <s v="911"/>
    <s v="Coupe"/>
    <x v="1"/>
    <x v="3"/>
    <x v="2"/>
    <x v="1"/>
    <n v="23"/>
    <n v="7"/>
    <x v="0"/>
    <x v="1"/>
    <n v="423634"/>
    <n v="246022"/>
    <n v="177612"/>
    <x v="0"/>
    <n v="423634"/>
    <n v="0"/>
    <n v="0"/>
    <n v="1"/>
    <n v="1"/>
    <s v="Yes"/>
    <x v="0"/>
  </r>
  <r>
    <n v="21249"/>
    <d v="2024-02-02T00:00:00"/>
    <x v="1"/>
    <s v="Bhubaneswar"/>
    <s v="SC_BHU_1"/>
    <x v="2"/>
    <s v="Macan"/>
    <s v="SUV"/>
    <x v="0"/>
    <x v="0"/>
    <x v="2"/>
    <x v="1"/>
    <n v="21"/>
    <n v="7"/>
    <x v="1"/>
    <x v="0"/>
    <n v="140645"/>
    <n v="77621"/>
    <n v="63024"/>
    <x v="0"/>
    <n v="0"/>
    <n v="1"/>
    <n v="1"/>
    <n v="0"/>
    <n v="1"/>
    <s v="Yes"/>
    <x v="0"/>
  </r>
  <r>
    <n v="21250"/>
    <d v="2024-06-25T00:00:00"/>
    <x v="0"/>
    <s v="Bengaluru"/>
    <s v="SC_BEN_1"/>
    <x v="2"/>
    <s v="Cayenne"/>
    <s v="SUV"/>
    <x v="0"/>
    <x v="4"/>
    <x v="0"/>
    <x v="1"/>
    <n v="11"/>
    <n v="7"/>
    <x v="0"/>
    <x v="1"/>
    <n v="354641"/>
    <n v="266195"/>
    <n v="88446"/>
    <x v="1"/>
    <n v="354641"/>
    <n v="0"/>
    <n v="0"/>
    <n v="1"/>
    <n v="1"/>
    <s v="Yes"/>
    <x v="0"/>
  </r>
  <r>
    <n v="21251"/>
    <d v="2024-06-24T00:00:00"/>
    <x v="3"/>
    <s v="Mumbai"/>
    <s v="SC_MUM_5"/>
    <x v="2"/>
    <s v="911"/>
    <s v="Coupe"/>
    <x v="1"/>
    <x v="4"/>
    <x v="1"/>
    <x v="0"/>
    <n v="5"/>
    <n v="7"/>
    <x v="1"/>
    <x v="1"/>
    <n v="518515"/>
    <n v="333978"/>
    <n v="184537"/>
    <x v="3"/>
    <n v="0"/>
    <n v="0"/>
    <n v="1"/>
    <n v="0"/>
    <n v="1"/>
    <s v="No"/>
    <x v="2"/>
  </r>
  <r>
    <n v="21252"/>
    <d v="2024-01-21T00:00:00"/>
    <x v="0"/>
    <s v="Chennai"/>
    <s v="SC_CHE_3"/>
    <x v="1"/>
    <s v="Macan"/>
    <s v="SUV"/>
    <x v="1"/>
    <x v="0"/>
    <x v="2"/>
    <x v="1"/>
    <n v="2"/>
    <n v="7"/>
    <x v="1"/>
    <x v="1"/>
    <n v="499869"/>
    <n v="271834"/>
    <n v="228035"/>
    <x v="4"/>
    <n v="0"/>
    <n v="0"/>
    <n v="1"/>
    <n v="0"/>
    <n v="1"/>
    <s v="No"/>
    <x v="2"/>
  </r>
  <r>
    <n v="21253"/>
    <d v="2024-02-17T00:00:00"/>
    <x v="3"/>
    <s v="Pune"/>
    <s v="SC_PUN_5"/>
    <x v="0"/>
    <s v="Veyron"/>
    <s v="Hypercar"/>
    <x v="0"/>
    <x v="2"/>
    <x v="1"/>
    <x v="1"/>
    <n v="25"/>
    <n v="7"/>
    <x v="1"/>
    <x v="1"/>
    <n v="185489"/>
    <n v="129303"/>
    <n v="56186"/>
    <x v="0"/>
    <n v="0"/>
    <n v="0"/>
    <n v="1"/>
    <n v="0"/>
    <n v="1"/>
    <s v="Yes"/>
    <x v="0"/>
  </r>
  <r>
    <n v="21254"/>
    <d v="2024-01-13T00:00:00"/>
    <x v="1"/>
    <s v="Patna"/>
    <s v="SC_PAT_3"/>
    <x v="2"/>
    <s v="Veyron"/>
    <s v="Hypercar"/>
    <x v="0"/>
    <x v="3"/>
    <x v="1"/>
    <x v="0"/>
    <n v="11"/>
    <n v="7"/>
    <x v="1"/>
    <x v="0"/>
    <n v="101072"/>
    <n v="59530"/>
    <n v="41542"/>
    <x v="2"/>
    <n v="0"/>
    <n v="1"/>
    <n v="1"/>
    <n v="0"/>
    <n v="1"/>
    <s v="Yes"/>
    <x v="1"/>
  </r>
  <r>
    <n v="21255"/>
    <d v="2024-02-10T00:00:00"/>
    <x v="0"/>
    <s v="Chennai"/>
    <s v="SC_CHE_5"/>
    <x v="0"/>
    <s v="Chiron"/>
    <s v="Hypercar"/>
    <x v="1"/>
    <x v="1"/>
    <x v="0"/>
    <x v="1"/>
    <n v="17"/>
    <n v="7"/>
    <x v="0"/>
    <x v="1"/>
    <n v="456664"/>
    <n v="351175"/>
    <n v="105489"/>
    <x v="0"/>
    <n v="456664"/>
    <n v="0"/>
    <n v="0"/>
    <n v="1"/>
    <n v="1"/>
    <s v="Yes"/>
    <x v="0"/>
  </r>
  <r>
    <n v="21256"/>
    <d v="2024-02-03T00:00:00"/>
    <x v="2"/>
    <s v="Delhi"/>
    <s v="SC_DEL_4"/>
    <x v="2"/>
    <s v="Veyron"/>
    <s v="Hypercar"/>
    <x v="1"/>
    <x v="0"/>
    <x v="0"/>
    <x v="0"/>
    <n v="20"/>
    <n v="7"/>
    <x v="0"/>
    <x v="0"/>
    <n v="180176"/>
    <n v="127288"/>
    <n v="52888"/>
    <x v="0"/>
    <n v="0"/>
    <n v="1"/>
    <n v="0"/>
    <n v="1"/>
    <n v="1"/>
    <s v="Yes"/>
    <x v="0"/>
  </r>
  <r>
    <n v="21257"/>
    <d v="2024-03-16T00:00:00"/>
    <x v="0"/>
    <s v="Bengaluru"/>
    <s v="SC_BEN_1"/>
    <x v="2"/>
    <s v="Veyron"/>
    <s v="Hypercar"/>
    <x v="0"/>
    <x v="4"/>
    <x v="0"/>
    <x v="0"/>
    <n v="9"/>
    <n v="7"/>
    <x v="1"/>
    <x v="0"/>
    <n v="340081"/>
    <n v="246912"/>
    <n v="93169"/>
    <x v="3"/>
    <n v="0"/>
    <n v="1"/>
    <n v="1"/>
    <n v="0"/>
    <n v="1"/>
    <s v="Yes"/>
    <x v="2"/>
  </r>
  <r>
    <n v="21258"/>
    <d v="2024-03-13T00:00:00"/>
    <x v="1"/>
    <s v="Patna"/>
    <s v="SC_PAT_3"/>
    <x v="1"/>
    <s v="911"/>
    <s v="Coupe"/>
    <x v="0"/>
    <x v="0"/>
    <x v="2"/>
    <x v="0"/>
    <n v="2"/>
    <n v="7"/>
    <x v="1"/>
    <x v="1"/>
    <n v="567292"/>
    <n v="398361"/>
    <n v="168931"/>
    <x v="4"/>
    <n v="0"/>
    <n v="0"/>
    <n v="1"/>
    <n v="0"/>
    <n v="1"/>
    <s v="No"/>
    <x v="2"/>
  </r>
  <r>
    <n v="21259"/>
    <d v="2024-02-22T00:00:00"/>
    <x v="3"/>
    <s v="Pune"/>
    <s v="SC_PUN_5"/>
    <x v="1"/>
    <s v="Panamera"/>
    <s v="Sedan"/>
    <x v="0"/>
    <x v="0"/>
    <x v="0"/>
    <x v="1"/>
    <n v="10"/>
    <n v="7"/>
    <x v="1"/>
    <x v="0"/>
    <n v="388795"/>
    <n v="312133"/>
    <n v="76662"/>
    <x v="2"/>
    <n v="0"/>
    <n v="1"/>
    <n v="1"/>
    <n v="0"/>
    <n v="1"/>
    <s v="Yes"/>
    <x v="1"/>
  </r>
  <r>
    <n v="21260"/>
    <d v="2024-01-20T00:00:00"/>
    <x v="0"/>
    <s v="Hyderabad"/>
    <s v="SC_HYD_2"/>
    <x v="2"/>
    <s v="911"/>
    <s v="Coupe"/>
    <x v="1"/>
    <x v="3"/>
    <x v="1"/>
    <x v="0"/>
    <n v="19"/>
    <n v="7"/>
    <x v="0"/>
    <x v="1"/>
    <n v="295838"/>
    <n v="218308"/>
    <n v="77530"/>
    <x v="0"/>
    <n v="295838"/>
    <n v="0"/>
    <n v="0"/>
    <n v="1"/>
    <n v="1"/>
    <s v="Yes"/>
    <x v="0"/>
  </r>
  <r>
    <n v="21261"/>
    <d v="2024-04-15T00:00:00"/>
    <x v="0"/>
    <s v="Bengaluru"/>
    <s v="SC_BEN_4"/>
    <x v="0"/>
    <s v="Veyron"/>
    <s v="Hypercar"/>
    <x v="1"/>
    <x v="3"/>
    <x v="2"/>
    <x v="1"/>
    <n v="14"/>
    <n v="7"/>
    <x v="0"/>
    <x v="1"/>
    <n v="130581"/>
    <n v="100811"/>
    <n v="29770"/>
    <x v="1"/>
    <n v="130581"/>
    <n v="0"/>
    <n v="0"/>
    <n v="1"/>
    <n v="1"/>
    <s v="Yes"/>
    <x v="0"/>
  </r>
  <r>
    <n v="21262"/>
    <d v="2024-04-03T00:00:00"/>
    <x v="0"/>
    <s v="Chennai"/>
    <s v="SC_CHE_1"/>
    <x v="2"/>
    <s v="Chiron"/>
    <s v="Hypercar"/>
    <x v="1"/>
    <x v="3"/>
    <x v="0"/>
    <x v="0"/>
    <n v="11"/>
    <n v="7"/>
    <x v="0"/>
    <x v="0"/>
    <n v="314276"/>
    <n v="247756"/>
    <n v="66520"/>
    <x v="1"/>
    <n v="0"/>
    <n v="1"/>
    <n v="0"/>
    <n v="1"/>
    <n v="1"/>
    <s v="Yes"/>
    <x v="0"/>
  </r>
  <r>
    <n v="21263"/>
    <d v="2024-01-15T00:00:00"/>
    <x v="1"/>
    <s v="Kolkata"/>
    <s v="SC_KOL_3"/>
    <x v="1"/>
    <s v="Taycan"/>
    <s v="Sedan"/>
    <x v="0"/>
    <x v="4"/>
    <x v="2"/>
    <x v="0"/>
    <n v="12"/>
    <n v="7"/>
    <x v="1"/>
    <x v="1"/>
    <n v="143135"/>
    <n v="112432"/>
    <n v="30703"/>
    <x v="2"/>
    <n v="0"/>
    <n v="0"/>
    <n v="1"/>
    <n v="0"/>
    <n v="1"/>
    <s v="Yes"/>
    <x v="1"/>
  </r>
  <r>
    <n v="21264"/>
    <d v="2024-02-05T00:00:00"/>
    <x v="0"/>
    <s v="Bengaluru"/>
    <s v="SC_BEN_4"/>
    <x v="0"/>
    <s v="Panamera"/>
    <s v="Sedan"/>
    <x v="0"/>
    <x v="3"/>
    <x v="2"/>
    <x v="0"/>
    <n v="19"/>
    <n v="7"/>
    <x v="1"/>
    <x v="0"/>
    <n v="341900"/>
    <n v="249826"/>
    <n v="92074"/>
    <x v="1"/>
    <n v="0"/>
    <n v="1"/>
    <n v="1"/>
    <n v="0"/>
    <n v="1"/>
    <s v="Yes"/>
    <x v="0"/>
  </r>
  <r>
    <n v="21265"/>
    <d v="2024-06-13T00:00:00"/>
    <x v="0"/>
    <s v="Bengaluru"/>
    <s v="SC_BEN_5"/>
    <x v="0"/>
    <s v="911"/>
    <s v="Coupe"/>
    <x v="1"/>
    <x v="2"/>
    <x v="2"/>
    <x v="0"/>
    <n v="23"/>
    <n v="7"/>
    <x v="0"/>
    <x v="0"/>
    <n v="476737"/>
    <n v="367146"/>
    <n v="109591"/>
    <x v="0"/>
    <n v="0"/>
    <n v="1"/>
    <n v="0"/>
    <n v="1"/>
    <n v="1"/>
    <s v="Yes"/>
    <x v="0"/>
  </r>
  <r>
    <n v="21266"/>
    <d v="2024-03-14T00:00:00"/>
    <x v="1"/>
    <s v="Bhubaneswar"/>
    <s v="SC_BHU_3"/>
    <x v="0"/>
    <s v="Panamera"/>
    <s v="Sedan"/>
    <x v="0"/>
    <x v="3"/>
    <x v="1"/>
    <x v="0"/>
    <n v="24"/>
    <n v="7"/>
    <x v="0"/>
    <x v="1"/>
    <n v="170546"/>
    <n v="122397"/>
    <n v="48149"/>
    <x v="0"/>
    <n v="170546"/>
    <n v="0"/>
    <n v="0"/>
    <n v="1"/>
    <n v="1"/>
    <s v="Yes"/>
    <x v="0"/>
  </r>
  <r>
    <n v="21267"/>
    <d v="2024-01-06T00:00:00"/>
    <x v="3"/>
    <s v="Ahmedabad"/>
    <s v="SC_AHM_1"/>
    <x v="2"/>
    <s v="Taycan"/>
    <s v="Sedan"/>
    <x v="1"/>
    <x v="1"/>
    <x v="2"/>
    <x v="0"/>
    <n v="15"/>
    <n v="7"/>
    <x v="0"/>
    <x v="0"/>
    <n v="458318"/>
    <n v="346514"/>
    <n v="111804"/>
    <x v="0"/>
    <n v="0"/>
    <n v="1"/>
    <n v="0"/>
    <n v="1"/>
    <n v="1"/>
    <s v="Yes"/>
    <x v="0"/>
  </r>
  <r>
    <n v="21268"/>
    <d v="2024-03-08T00:00:00"/>
    <x v="2"/>
    <s v="Delhi"/>
    <s v="SC_DEL_3"/>
    <x v="0"/>
    <s v="Macan"/>
    <s v="SUV"/>
    <x v="1"/>
    <x v="0"/>
    <x v="1"/>
    <x v="1"/>
    <n v="12"/>
    <n v="7"/>
    <x v="1"/>
    <x v="1"/>
    <n v="525098"/>
    <n v="330061"/>
    <n v="195037"/>
    <x v="2"/>
    <n v="0"/>
    <n v="0"/>
    <n v="1"/>
    <n v="0"/>
    <n v="1"/>
    <s v="Yes"/>
    <x v="1"/>
  </r>
  <r>
    <n v="21269"/>
    <d v="2024-05-07T00:00:00"/>
    <x v="1"/>
    <s v="Bhubaneswar"/>
    <s v="SC_BHU_3"/>
    <x v="0"/>
    <s v="911"/>
    <s v="Coupe"/>
    <x v="1"/>
    <x v="0"/>
    <x v="2"/>
    <x v="1"/>
    <n v="7"/>
    <n v="7"/>
    <x v="0"/>
    <x v="0"/>
    <n v="320678"/>
    <n v="186586"/>
    <n v="134092"/>
    <x v="2"/>
    <n v="0"/>
    <n v="1"/>
    <n v="0"/>
    <n v="1"/>
    <n v="1"/>
    <s v="No"/>
    <x v="1"/>
  </r>
  <r>
    <n v="21270"/>
    <d v="2024-04-28T00:00:00"/>
    <x v="3"/>
    <s v="Ahmedabad"/>
    <s v="SC_AHM_1"/>
    <x v="2"/>
    <s v="Chiron"/>
    <s v="Hypercar"/>
    <x v="0"/>
    <x v="3"/>
    <x v="1"/>
    <x v="0"/>
    <n v="24"/>
    <n v="7"/>
    <x v="1"/>
    <x v="0"/>
    <n v="130311"/>
    <n v="73230"/>
    <n v="57081"/>
    <x v="0"/>
    <n v="0"/>
    <n v="1"/>
    <n v="1"/>
    <n v="0"/>
    <n v="1"/>
    <s v="Yes"/>
    <x v="0"/>
  </r>
  <r>
    <n v="21271"/>
    <d v="2024-02-15T00:00:00"/>
    <x v="0"/>
    <s v="Chennai"/>
    <s v="SC_CHE_5"/>
    <x v="1"/>
    <s v="Panamera"/>
    <s v="Sedan"/>
    <x v="1"/>
    <x v="2"/>
    <x v="0"/>
    <x v="0"/>
    <n v="6"/>
    <n v="7"/>
    <x v="1"/>
    <x v="1"/>
    <n v="218512"/>
    <n v="120321"/>
    <n v="98191"/>
    <x v="3"/>
    <n v="0"/>
    <n v="0"/>
    <n v="1"/>
    <n v="0"/>
    <n v="1"/>
    <s v="No"/>
    <x v="2"/>
  </r>
  <r>
    <n v="21272"/>
    <d v="2024-03-17T00:00:00"/>
    <x v="0"/>
    <s v="Hyderabad"/>
    <s v="SC_HYD_2"/>
    <x v="2"/>
    <s v="Panamera"/>
    <s v="Sedan"/>
    <x v="1"/>
    <x v="2"/>
    <x v="1"/>
    <x v="1"/>
    <n v="21"/>
    <n v="7"/>
    <x v="0"/>
    <x v="1"/>
    <n v="564493"/>
    <n v="439405"/>
    <n v="125088"/>
    <x v="0"/>
    <n v="564493"/>
    <n v="0"/>
    <n v="0"/>
    <n v="1"/>
    <n v="1"/>
    <s v="Yes"/>
    <x v="0"/>
  </r>
  <r>
    <n v="21273"/>
    <d v="2024-03-30T00:00:00"/>
    <x v="1"/>
    <s v="Bhubaneswar"/>
    <s v="SC_BHU_2"/>
    <x v="0"/>
    <s v="Macan"/>
    <s v="SUV"/>
    <x v="0"/>
    <x v="3"/>
    <x v="0"/>
    <x v="0"/>
    <n v="12"/>
    <n v="7"/>
    <x v="0"/>
    <x v="1"/>
    <n v="536876"/>
    <n v="373016"/>
    <n v="163860"/>
    <x v="1"/>
    <n v="536876"/>
    <n v="0"/>
    <n v="0"/>
    <n v="1"/>
    <n v="1"/>
    <s v="Yes"/>
    <x v="0"/>
  </r>
  <r>
    <n v="21274"/>
    <d v="2024-05-26T00:00:00"/>
    <x v="3"/>
    <s v="Pune"/>
    <s v="SC_PUN_1"/>
    <x v="2"/>
    <s v="Macan"/>
    <s v="SUV"/>
    <x v="1"/>
    <x v="4"/>
    <x v="1"/>
    <x v="0"/>
    <n v="18"/>
    <n v="7"/>
    <x v="1"/>
    <x v="0"/>
    <n v="561129"/>
    <n v="351693"/>
    <n v="209436"/>
    <x v="1"/>
    <n v="0"/>
    <n v="1"/>
    <n v="1"/>
    <n v="0"/>
    <n v="1"/>
    <s v="Yes"/>
    <x v="0"/>
  </r>
  <r>
    <n v="21275"/>
    <d v="2024-04-16T00:00:00"/>
    <x v="1"/>
    <s v="Patna"/>
    <s v="SC_PAT_4"/>
    <x v="0"/>
    <s v="Panamera"/>
    <s v="Sedan"/>
    <x v="0"/>
    <x v="0"/>
    <x v="1"/>
    <x v="1"/>
    <n v="22"/>
    <n v="7"/>
    <x v="0"/>
    <x v="1"/>
    <n v="433084"/>
    <n v="354885"/>
    <n v="78199"/>
    <x v="0"/>
    <n v="433084"/>
    <n v="0"/>
    <n v="0"/>
    <n v="1"/>
    <n v="1"/>
    <s v="Yes"/>
    <x v="0"/>
  </r>
  <r>
    <n v="21276"/>
    <d v="2024-02-14T00:00:00"/>
    <x v="0"/>
    <s v="Chennai"/>
    <s v="SC_CHE_2"/>
    <x v="1"/>
    <s v="Veyron"/>
    <s v="Hypercar"/>
    <x v="1"/>
    <x v="2"/>
    <x v="0"/>
    <x v="0"/>
    <n v="24"/>
    <n v="7"/>
    <x v="0"/>
    <x v="0"/>
    <n v="194442"/>
    <n v="146410"/>
    <n v="48032"/>
    <x v="0"/>
    <n v="0"/>
    <n v="1"/>
    <n v="0"/>
    <n v="1"/>
    <n v="1"/>
    <s v="Yes"/>
    <x v="0"/>
  </r>
  <r>
    <n v="21277"/>
    <d v="2024-06-15T00:00:00"/>
    <x v="3"/>
    <s v="Ahmedabad"/>
    <s v="SC_AHM_1"/>
    <x v="0"/>
    <s v="Chiron"/>
    <s v="Hypercar"/>
    <x v="0"/>
    <x v="1"/>
    <x v="0"/>
    <x v="1"/>
    <n v="12"/>
    <n v="7"/>
    <x v="0"/>
    <x v="0"/>
    <n v="521332"/>
    <n v="277933"/>
    <n v="243399"/>
    <x v="1"/>
    <n v="0"/>
    <n v="1"/>
    <n v="0"/>
    <n v="1"/>
    <n v="1"/>
    <s v="Yes"/>
    <x v="0"/>
  </r>
  <r>
    <n v="21278"/>
    <d v="2024-05-27T00:00:00"/>
    <x v="3"/>
    <s v="Mumbai"/>
    <s v="SC_MUM_3"/>
    <x v="2"/>
    <s v="Macan"/>
    <s v="SUV"/>
    <x v="1"/>
    <x v="2"/>
    <x v="1"/>
    <x v="0"/>
    <n v="14"/>
    <n v="7"/>
    <x v="0"/>
    <x v="0"/>
    <n v="574861"/>
    <n v="369659"/>
    <n v="205202"/>
    <x v="1"/>
    <n v="0"/>
    <n v="1"/>
    <n v="0"/>
    <n v="1"/>
    <n v="1"/>
    <s v="Yes"/>
    <x v="0"/>
  </r>
  <r>
    <n v="21279"/>
    <d v="2024-05-08T00:00:00"/>
    <x v="0"/>
    <s v="Bengaluru"/>
    <s v="SC_BEN_3"/>
    <x v="2"/>
    <s v="Macan"/>
    <s v="SUV"/>
    <x v="1"/>
    <x v="1"/>
    <x v="0"/>
    <x v="1"/>
    <n v="15"/>
    <n v="7"/>
    <x v="0"/>
    <x v="0"/>
    <n v="556276"/>
    <n v="459426"/>
    <n v="96850"/>
    <x v="0"/>
    <n v="0"/>
    <n v="1"/>
    <n v="0"/>
    <n v="1"/>
    <n v="1"/>
    <s v="Yes"/>
    <x v="0"/>
  </r>
  <r>
    <n v="21280"/>
    <d v="2024-01-21T00:00:00"/>
    <x v="1"/>
    <s v="Kolkata"/>
    <s v="SC_KOL_4"/>
    <x v="2"/>
    <s v="Cayenne"/>
    <s v="SUV"/>
    <x v="1"/>
    <x v="0"/>
    <x v="2"/>
    <x v="0"/>
    <n v="20"/>
    <n v="7"/>
    <x v="0"/>
    <x v="1"/>
    <n v="183251"/>
    <n v="146447"/>
    <n v="36804"/>
    <x v="0"/>
    <n v="183251"/>
    <n v="0"/>
    <n v="0"/>
    <n v="1"/>
    <n v="1"/>
    <s v="Yes"/>
    <x v="0"/>
  </r>
  <r>
    <n v="21281"/>
    <d v="2024-02-27T00:00:00"/>
    <x v="1"/>
    <s v="Kolkata"/>
    <s v="SC_KOL_1"/>
    <x v="0"/>
    <s v="Macan"/>
    <s v="SUV"/>
    <x v="1"/>
    <x v="1"/>
    <x v="1"/>
    <x v="1"/>
    <n v="10"/>
    <n v="7"/>
    <x v="1"/>
    <x v="1"/>
    <n v="480545"/>
    <n v="271048"/>
    <n v="209497"/>
    <x v="2"/>
    <n v="0"/>
    <n v="0"/>
    <n v="1"/>
    <n v="0"/>
    <n v="1"/>
    <s v="Yes"/>
    <x v="1"/>
  </r>
  <r>
    <n v="21282"/>
    <d v="2024-01-04T00:00:00"/>
    <x v="1"/>
    <s v="Kolkata"/>
    <s v="SC_KOL_1"/>
    <x v="2"/>
    <s v="Veyron"/>
    <s v="Hypercar"/>
    <x v="0"/>
    <x v="1"/>
    <x v="1"/>
    <x v="0"/>
    <n v="7"/>
    <n v="7"/>
    <x v="1"/>
    <x v="1"/>
    <n v="299016"/>
    <n v="252496"/>
    <n v="46520"/>
    <x v="3"/>
    <n v="0"/>
    <n v="0"/>
    <n v="1"/>
    <n v="0"/>
    <n v="1"/>
    <s v="No"/>
    <x v="2"/>
  </r>
  <r>
    <n v="21283"/>
    <d v="2024-06-20T00:00:00"/>
    <x v="1"/>
    <s v="Kolkata"/>
    <s v="SC_KOL_5"/>
    <x v="2"/>
    <s v="911"/>
    <s v="Coupe"/>
    <x v="0"/>
    <x v="2"/>
    <x v="1"/>
    <x v="0"/>
    <n v="5"/>
    <n v="7"/>
    <x v="0"/>
    <x v="0"/>
    <n v="264962"/>
    <n v="140732"/>
    <n v="124230"/>
    <x v="2"/>
    <n v="0"/>
    <n v="1"/>
    <n v="0"/>
    <n v="1"/>
    <n v="1"/>
    <s v="No"/>
    <x v="1"/>
  </r>
  <r>
    <n v="21284"/>
    <d v="2024-06-17T00:00:00"/>
    <x v="0"/>
    <s v="Bengaluru"/>
    <s v="SC_BEN_3"/>
    <x v="2"/>
    <s v="Cayenne"/>
    <s v="SUV"/>
    <x v="1"/>
    <x v="0"/>
    <x v="1"/>
    <x v="1"/>
    <n v="20"/>
    <n v="7"/>
    <x v="1"/>
    <x v="0"/>
    <n v="295517"/>
    <n v="196415"/>
    <n v="99102"/>
    <x v="0"/>
    <n v="0"/>
    <n v="1"/>
    <n v="1"/>
    <n v="0"/>
    <n v="1"/>
    <s v="Yes"/>
    <x v="0"/>
  </r>
  <r>
    <n v="21285"/>
    <d v="2024-04-09T00:00:00"/>
    <x v="3"/>
    <s v="Pune"/>
    <s v="SC_PUN_3"/>
    <x v="1"/>
    <s v="Veyron"/>
    <s v="Hypercar"/>
    <x v="0"/>
    <x v="2"/>
    <x v="2"/>
    <x v="1"/>
    <n v="9"/>
    <n v="7"/>
    <x v="0"/>
    <x v="1"/>
    <n v="445667"/>
    <n v="306676"/>
    <n v="138991"/>
    <x v="2"/>
    <n v="445667"/>
    <n v="0"/>
    <n v="0"/>
    <n v="1"/>
    <n v="1"/>
    <s v="Yes"/>
    <x v="1"/>
  </r>
  <r>
    <n v="21286"/>
    <d v="2024-04-22T00:00:00"/>
    <x v="1"/>
    <s v="Kolkata"/>
    <s v="SC_KOL_1"/>
    <x v="1"/>
    <s v="911"/>
    <s v="Coupe"/>
    <x v="0"/>
    <x v="3"/>
    <x v="2"/>
    <x v="0"/>
    <n v="6"/>
    <n v="7"/>
    <x v="1"/>
    <x v="1"/>
    <n v="370608"/>
    <n v="274737"/>
    <n v="95871"/>
    <x v="3"/>
    <n v="0"/>
    <n v="0"/>
    <n v="1"/>
    <n v="0"/>
    <n v="1"/>
    <s v="No"/>
    <x v="2"/>
  </r>
  <r>
    <n v="21287"/>
    <d v="2024-01-17T00:00:00"/>
    <x v="2"/>
    <s v="Delhi"/>
    <s v="SC_DEL_4"/>
    <x v="0"/>
    <s v="Cayenne"/>
    <s v="SUV"/>
    <x v="0"/>
    <x v="0"/>
    <x v="0"/>
    <x v="1"/>
    <n v="20"/>
    <n v="7"/>
    <x v="0"/>
    <x v="0"/>
    <n v="431935"/>
    <n v="320852"/>
    <n v="111083"/>
    <x v="0"/>
    <n v="0"/>
    <n v="1"/>
    <n v="0"/>
    <n v="1"/>
    <n v="1"/>
    <s v="Yes"/>
    <x v="0"/>
  </r>
  <r>
    <n v="21288"/>
    <d v="2024-02-29T00:00:00"/>
    <x v="1"/>
    <s v="Patna"/>
    <s v="SC_PAT_5"/>
    <x v="2"/>
    <s v="Chiron"/>
    <s v="Hypercar"/>
    <x v="0"/>
    <x v="0"/>
    <x v="2"/>
    <x v="0"/>
    <n v="12"/>
    <n v="7"/>
    <x v="1"/>
    <x v="1"/>
    <n v="193343"/>
    <n v="149109"/>
    <n v="44234"/>
    <x v="2"/>
    <n v="0"/>
    <n v="0"/>
    <n v="1"/>
    <n v="0"/>
    <n v="1"/>
    <s v="Yes"/>
    <x v="1"/>
  </r>
  <r>
    <n v="21289"/>
    <d v="2024-03-28T00:00:00"/>
    <x v="1"/>
    <s v="Bhubaneswar"/>
    <s v="SC_BHU_5"/>
    <x v="1"/>
    <s v="911"/>
    <s v="Coupe"/>
    <x v="1"/>
    <x v="3"/>
    <x v="1"/>
    <x v="0"/>
    <n v="17"/>
    <n v="7"/>
    <x v="1"/>
    <x v="1"/>
    <n v="172318"/>
    <n v="128130"/>
    <n v="44188"/>
    <x v="1"/>
    <n v="0"/>
    <n v="0"/>
    <n v="1"/>
    <n v="0"/>
    <n v="1"/>
    <s v="Yes"/>
    <x v="0"/>
  </r>
  <r>
    <n v="21290"/>
    <d v="2024-06-15T00:00:00"/>
    <x v="3"/>
    <s v="Mumbai"/>
    <s v="SC_MUM_3"/>
    <x v="2"/>
    <s v="Panamera"/>
    <s v="Sedan"/>
    <x v="1"/>
    <x v="0"/>
    <x v="1"/>
    <x v="1"/>
    <n v="7"/>
    <n v="7"/>
    <x v="0"/>
    <x v="1"/>
    <n v="535965"/>
    <n v="283791"/>
    <n v="252174"/>
    <x v="2"/>
    <n v="535965"/>
    <n v="0"/>
    <n v="0"/>
    <n v="1"/>
    <n v="1"/>
    <s v="No"/>
    <x v="1"/>
  </r>
  <r>
    <n v="21291"/>
    <d v="2024-02-25T00:00:00"/>
    <x v="1"/>
    <s v="Kolkata"/>
    <s v="SC_KOL_2"/>
    <x v="2"/>
    <s v="Macan"/>
    <s v="SUV"/>
    <x v="0"/>
    <x v="0"/>
    <x v="1"/>
    <x v="0"/>
    <n v="16"/>
    <n v="7"/>
    <x v="1"/>
    <x v="0"/>
    <n v="515235"/>
    <n v="402070"/>
    <n v="113165"/>
    <x v="1"/>
    <n v="0"/>
    <n v="1"/>
    <n v="1"/>
    <n v="0"/>
    <n v="1"/>
    <s v="Yes"/>
    <x v="0"/>
  </r>
  <r>
    <n v="21292"/>
    <d v="2024-03-01T00:00:00"/>
    <x v="0"/>
    <s v="Chennai"/>
    <s v="SC_CHE_1"/>
    <x v="0"/>
    <s v="911"/>
    <s v="Coupe"/>
    <x v="1"/>
    <x v="4"/>
    <x v="0"/>
    <x v="0"/>
    <n v="17"/>
    <n v="7"/>
    <x v="0"/>
    <x v="1"/>
    <n v="482043"/>
    <n v="330443"/>
    <n v="151600"/>
    <x v="0"/>
    <n v="482043"/>
    <n v="0"/>
    <n v="0"/>
    <n v="1"/>
    <n v="1"/>
    <s v="Yes"/>
    <x v="0"/>
  </r>
  <r>
    <n v="21293"/>
    <d v="2024-05-23T00:00:00"/>
    <x v="3"/>
    <s v="Ahmedabad"/>
    <s v="SC_AHM_5"/>
    <x v="2"/>
    <s v="Taycan"/>
    <s v="Sedan"/>
    <x v="0"/>
    <x v="4"/>
    <x v="2"/>
    <x v="0"/>
    <n v="21"/>
    <n v="7"/>
    <x v="0"/>
    <x v="1"/>
    <n v="410842"/>
    <n v="288615"/>
    <n v="122227"/>
    <x v="0"/>
    <n v="410842"/>
    <n v="0"/>
    <n v="0"/>
    <n v="1"/>
    <n v="1"/>
    <s v="Yes"/>
    <x v="0"/>
  </r>
  <r>
    <n v="21294"/>
    <d v="2024-04-27T00:00:00"/>
    <x v="3"/>
    <s v="Pune"/>
    <s v="SC_PUN_1"/>
    <x v="0"/>
    <s v="911"/>
    <s v="Coupe"/>
    <x v="0"/>
    <x v="0"/>
    <x v="0"/>
    <x v="1"/>
    <n v="21"/>
    <n v="7"/>
    <x v="0"/>
    <x v="0"/>
    <n v="432213"/>
    <n v="307438"/>
    <n v="124775"/>
    <x v="0"/>
    <n v="0"/>
    <n v="1"/>
    <n v="0"/>
    <n v="1"/>
    <n v="1"/>
    <s v="Yes"/>
    <x v="0"/>
  </r>
  <r>
    <n v="21295"/>
    <d v="2024-06-12T00:00:00"/>
    <x v="0"/>
    <s v="Bengaluru"/>
    <s v="SC_BEN_1"/>
    <x v="1"/>
    <s v="Chiron"/>
    <s v="Hypercar"/>
    <x v="0"/>
    <x v="2"/>
    <x v="0"/>
    <x v="0"/>
    <n v="23"/>
    <n v="7"/>
    <x v="0"/>
    <x v="1"/>
    <n v="467848"/>
    <n v="298151"/>
    <n v="169697"/>
    <x v="0"/>
    <n v="467848"/>
    <n v="0"/>
    <n v="0"/>
    <n v="1"/>
    <n v="1"/>
    <s v="Yes"/>
    <x v="0"/>
  </r>
  <r>
    <n v="21296"/>
    <d v="2024-05-19T00:00:00"/>
    <x v="1"/>
    <s v="Patna"/>
    <s v="SC_PAT_3"/>
    <x v="0"/>
    <s v="Macan"/>
    <s v="SUV"/>
    <x v="0"/>
    <x v="3"/>
    <x v="2"/>
    <x v="1"/>
    <n v="8"/>
    <n v="7"/>
    <x v="0"/>
    <x v="1"/>
    <n v="186548"/>
    <n v="110204"/>
    <n v="76344"/>
    <x v="2"/>
    <n v="186548"/>
    <n v="0"/>
    <n v="0"/>
    <n v="1"/>
    <n v="1"/>
    <s v="Yes"/>
    <x v="1"/>
  </r>
  <r>
    <n v="21297"/>
    <d v="2024-05-20T00:00:00"/>
    <x v="3"/>
    <s v="Ahmedabad"/>
    <s v="SC_AHM_2"/>
    <x v="2"/>
    <s v="Panamera"/>
    <s v="Sedan"/>
    <x v="0"/>
    <x v="0"/>
    <x v="0"/>
    <x v="0"/>
    <n v="3"/>
    <n v="7"/>
    <x v="0"/>
    <x v="1"/>
    <n v="306766"/>
    <n v="185045"/>
    <n v="121721"/>
    <x v="3"/>
    <n v="306766"/>
    <n v="0"/>
    <n v="0"/>
    <n v="1"/>
    <n v="1"/>
    <s v="No"/>
    <x v="2"/>
  </r>
  <r>
    <n v="21298"/>
    <d v="2024-02-01T00:00:00"/>
    <x v="2"/>
    <s v="Noida"/>
    <s v="SC_NOI_1"/>
    <x v="1"/>
    <s v="Macan"/>
    <s v="SUV"/>
    <x v="0"/>
    <x v="0"/>
    <x v="2"/>
    <x v="0"/>
    <n v="2"/>
    <n v="7"/>
    <x v="1"/>
    <x v="0"/>
    <n v="408707"/>
    <n v="278056"/>
    <n v="130651"/>
    <x v="4"/>
    <n v="0"/>
    <n v="1"/>
    <n v="1"/>
    <n v="0"/>
    <n v="1"/>
    <s v="No"/>
    <x v="2"/>
  </r>
  <r>
    <n v="21299"/>
    <d v="2024-06-09T00:00:00"/>
    <x v="2"/>
    <s v="Delhi"/>
    <s v="SC_DEL_4"/>
    <x v="2"/>
    <s v="Macan"/>
    <s v="SUV"/>
    <x v="1"/>
    <x v="1"/>
    <x v="1"/>
    <x v="0"/>
    <n v="22"/>
    <n v="7"/>
    <x v="0"/>
    <x v="1"/>
    <n v="505706"/>
    <n v="254208"/>
    <n v="251498"/>
    <x v="0"/>
    <n v="505706"/>
    <n v="0"/>
    <n v="0"/>
    <n v="1"/>
    <n v="1"/>
    <s v="Yes"/>
    <x v="0"/>
  </r>
  <r>
    <n v="21300"/>
    <d v="2024-02-23T00:00:00"/>
    <x v="1"/>
    <s v="Bhubaneswar"/>
    <s v="SC_BHU_2"/>
    <x v="0"/>
    <s v="Veyron"/>
    <s v="Hypercar"/>
    <x v="1"/>
    <x v="4"/>
    <x v="2"/>
    <x v="0"/>
    <n v="17"/>
    <n v="7"/>
    <x v="1"/>
    <x v="1"/>
    <n v="419053"/>
    <n v="241102"/>
    <n v="177951"/>
    <x v="1"/>
    <n v="0"/>
    <n v="0"/>
    <n v="1"/>
    <n v="0"/>
    <n v="1"/>
    <s v="Yes"/>
    <x v="0"/>
  </r>
  <r>
    <n v="21301"/>
    <d v="2024-03-25T00:00:00"/>
    <x v="0"/>
    <s v="Bengaluru"/>
    <s v="SC_BEN_4"/>
    <x v="1"/>
    <s v="Veyron"/>
    <s v="Hypercar"/>
    <x v="0"/>
    <x v="1"/>
    <x v="1"/>
    <x v="1"/>
    <n v="18"/>
    <n v="7"/>
    <x v="1"/>
    <x v="1"/>
    <n v="190252"/>
    <n v="125248"/>
    <n v="65004"/>
    <x v="1"/>
    <n v="0"/>
    <n v="0"/>
    <n v="1"/>
    <n v="0"/>
    <n v="1"/>
    <s v="Yes"/>
    <x v="0"/>
  </r>
  <r>
    <n v="21302"/>
    <d v="2024-02-16T00:00:00"/>
    <x v="3"/>
    <s v="Ahmedabad"/>
    <s v="SC_AHM_4"/>
    <x v="2"/>
    <s v="Taycan"/>
    <s v="Sedan"/>
    <x v="0"/>
    <x v="0"/>
    <x v="1"/>
    <x v="0"/>
    <n v="21"/>
    <n v="7"/>
    <x v="0"/>
    <x v="0"/>
    <n v="594781"/>
    <n v="380820"/>
    <n v="213961"/>
    <x v="0"/>
    <n v="0"/>
    <n v="1"/>
    <n v="0"/>
    <n v="1"/>
    <n v="1"/>
    <s v="Yes"/>
    <x v="0"/>
  </r>
  <r>
    <n v="21303"/>
    <d v="2024-06-15T00:00:00"/>
    <x v="1"/>
    <s v="Bhubaneswar"/>
    <s v="SC_BHU_3"/>
    <x v="1"/>
    <s v="Cayenne"/>
    <s v="SUV"/>
    <x v="0"/>
    <x v="4"/>
    <x v="0"/>
    <x v="0"/>
    <n v="4"/>
    <n v="7"/>
    <x v="0"/>
    <x v="0"/>
    <n v="558182"/>
    <n v="304152"/>
    <n v="254030"/>
    <x v="3"/>
    <n v="0"/>
    <n v="1"/>
    <n v="0"/>
    <n v="1"/>
    <n v="1"/>
    <s v="No"/>
    <x v="2"/>
  </r>
  <r>
    <n v="21304"/>
    <d v="2024-01-01T00:00:00"/>
    <x v="3"/>
    <s v="Pune"/>
    <s v="SC_PUN_4"/>
    <x v="0"/>
    <s v="Panamera"/>
    <s v="Sedan"/>
    <x v="1"/>
    <x v="0"/>
    <x v="2"/>
    <x v="1"/>
    <n v="4"/>
    <n v="7"/>
    <x v="1"/>
    <x v="1"/>
    <n v="192998"/>
    <n v="127406"/>
    <n v="65592"/>
    <x v="4"/>
    <n v="0"/>
    <n v="0"/>
    <n v="1"/>
    <n v="0"/>
    <n v="1"/>
    <s v="No"/>
    <x v="2"/>
  </r>
  <r>
    <n v="21305"/>
    <d v="2024-04-26T00:00:00"/>
    <x v="0"/>
    <s v="Chennai"/>
    <s v="SC_CHE_3"/>
    <x v="1"/>
    <s v="Cayenne"/>
    <s v="SUV"/>
    <x v="0"/>
    <x v="1"/>
    <x v="1"/>
    <x v="1"/>
    <n v="17"/>
    <n v="7"/>
    <x v="0"/>
    <x v="0"/>
    <n v="265844"/>
    <n v="186615"/>
    <n v="79229"/>
    <x v="0"/>
    <n v="0"/>
    <n v="1"/>
    <n v="0"/>
    <n v="1"/>
    <n v="1"/>
    <s v="Yes"/>
    <x v="0"/>
  </r>
  <r>
    <n v="21306"/>
    <d v="2024-01-11T00:00:00"/>
    <x v="2"/>
    <s v="Gurugram"/>
    <s v="SC_GUR_3"/>
    <x v="2"/>
    <s v="911"/>
    <s v="Coupe"/>
    <x v="0"/>
    <x v="2"/>
    <x v="2"/>
    <x v="0"/>
    <n v="15"/>
    <n v="7"/>
    <x v="0"/>
    <x v="1"/>
    <n v="227908"/>
    <n v="174296"/>
    <n v="53612"/>
    <x v="0"/>
    <n v="227908"/>
    <n v="0"/>
    <n v="0"/>
    <n v="1"/>
    <n v="1"/>
    <s v="Yes"/>
    <x v="0"/>
  </r>
  <r>
    <n v="21307"/>
    <d v="2024-01-28T00:00:00"/>
    <x v="3"/>
    <s v="Pune"/>
    <s v="SC_PUN_2"/>
    <x v="1"/>
    <s v="Veyron"/>
    <s v="Hypercar"/>
    <x v="1"/>
    <x v="2"/>
    <x v="2"/>
    <x v="1"/>
    <n v="19"/>
    <n v="7"/>
    <x v="0"/>
    <x v="0"/>
    <n v="172043"/>
    <n v="96047"/>
    <n v="75996"/>
    <x v="0"/>
    <n v="0"/>
    <n v="1"/>
    <n v="0"/>
    <n v="1"/>
    <n v="1"/>
    <s v="Yes"/>
    <x v="0"/>
  </r>
  <r>
    <n v="21308"/>
    <d v="2024-04-22T00:00:00"/>
    <x v="3"/>
    <s v="Ahmedabad"/>
    <s v="SC_AHM_4"/>
    <x v="1"/>
    <s v="Veyron"/>
    <s v="Hypercar"/>
    <x v="1"/>
    <x v="1"/>
    <x v="1"/>
    <x v="1"/>
    <n v="5"/>
    <n v="7"/>
    <x v="0"/>
    <x v="1"/>
    <n v="315137"/>
    <n v="252114"/>
    <n v="63023"/>
    <x v="2"/>
    <n v="315137"/>
    <n v="0"/>
    <n v="0"/>
    <n v="1"/>
    <n v="1"/>
    <s v="No"/>
    <x v="1"/>
  </r>
  <r>
    <n v="21309"/>
    <d v="2024-05-03T00:00:00"/>
    <x v="1"/>
    <s v="Bhubaneswar"/>
    <s v="SC_BHU_2"/>
    <x v="2"/>
    <s v="Panamera"/>
    <s v="Sedan"/>
    <x v="1"/>
    <x v="4"/>
    <x v="2"/>
    <x v="0"/>
    <n v="4"/>
    <n v="7"/>
    <x v="0"/>
    <x v="1"/>
    <n v="261351"/>
    <n v="217282"/>
    <n v="44069"/>
    <x v="3"/>
    <n v="261351"/>
    <n v="0"/>
    <n v="0"/>
    <n v="1"/>
    <n v="1"/>
    <s v="No"/>
    <x v="2"/>
  </r>
  <r>
    <n v="21310"/>
    <d v="2024-05-31T00:00:00"/>
    <x v="3"/>
    <s v="Mumbai"/>
    <s v="SC_MUM_3"/>
    <x v="2"/>
    <s v="Panamera"/>
    <s v="Sedan"/>
    <x v="0"/>
    <x v="0"/>
    <x v="2"/>
    <x v="1"/>
    <n v="22"/>
    <n v="7"/>
    <x v="0"/>
    <x v="0"/>
    <n v="417771"/>
    <n v="278530"/>
    <n v="139241"/>
    <x v="0"/>
    <n v="0"/>
    <n v="1"/>
    <n v="0"/>
    <n v="1"/>
    <n v="1"/>
    <s v="Yes"/>
    <x v="0"/>
  </r>
  <r>
    <n v="21311"/>
    <d v="2024-03-22T00:00:00"/>
    <x v="1"/>
    <s v="Kolkata"/>
    <s v="SC_KOL_4"/>
    <x v="0"/>
    <s v="911"/>
    <s v="Coupe"/>
    <x v="1"/>
    <x v="2"/>
    <x v="2"/>
    <x v="1"/>
    <n v="16"/>
    <n v="7"/>
    <x v="0"/>
    <x v="1"/>
    <n v="384826"/>
    <n v="269547"/>
    <n v="115279"/>
    <x v="0"/>
    <n v="384826"/>
    <n v="0"/>
    <n v="0"/>
    <n v="1"/>
    <n v="1"/>
    <s v="Yes"/>
    <x v="0"/>
  </r>
  <r>
    <n v="21312"/>
    <d v="2024-01-07T00:00:00"/>
    <x v="0"/>
    <s v="Bengaluru"/>
    <s v="SC_BEN_5"/>
    <x v="0"/>
    <s v="Panamera"/>
    <s v="Sedan"/>
    <x v="0"/>
    <x v="3"/>
    <x v="0"/>
    <x v="0"/>
    <n v="21"/>
    <n v="7"/>
    <x v="0"/>
    <x v="1"/>
    <n v="375212"/>
    <n v="189425"/>
    <n v="185787"/>
    <x v="0"/>
    <n v="375212"/>
    <n v="0"/>
    <n v="0"/>
    <n v="1"/>
    <n v="1"/>
    <s v="Yes"/>
    <x v="0"/>
  </r>
  <r>
    <n v="21313"/>
    <d v="2024-04-26T00:00:00"/>
    <x v="3"/>
    <s v="Ahmedabad"/>
    <s v="SC_AHM_2"/>
    <x v="0"/>
    <s v="Cayenne"/>
    <s v="SUV"/>
    <x v="1"/>
    <x v="4"/>
    <x v="2"/>
    <x v="1"/>
    <n v="11"/>
    <n v="7"/>
    <x v="1"/>
    <x v="1"/>
    <n v="117513"/>
    <n v="61564"/>
    <n v="55949"/>
    <x v="2"/>
    <n v="0"/>
    <n v="0"/>
    <n v="1"/>
    <n v="0"/>
    <n v="1"/>
    <s v="Yes"/>
    <x v="1"/>
  </r>
  <r>
    <n v="21314"/>
    <d v="2024-06-17T00:00:00"/>
    <x v="0"/>
    <s v="Chennai"/>
    <s v="SC_CHE_4"/>
    <x v="2"/>
    <s v="Cayenne"/>
    <s v="SUV"/>
    <x v="0"/>
    <x v="4"/>
    <x v="2"/>
    <x v="1"/>
    <n v="18"/>
    <n v="7"/>
    <x v="1"/>
    <x v="0"/>
    <n v="158018"/>
    <n v="129761"/>
    <n v="28257"/>
    <x v="1"/>
    <n v="0"/>
    <n v="1"/>
    <n v="1"/>
    <n v="0"/>
    <n v="1"/>
    <s v="Yes"/>
    <x v="0"/>
  </r>
  <r>
    <n v="21315"/>
    <d v="2024-04-24T00:00:00"/>
    <x v="3"/>
    <s v="Pune"/>
    <s v="SC_PUN_2"/>
    <x v="1"/>
    <s v="Veyron"/>
    <s v="Hypercar"/>
    <x v="1"/>
    <x v="1"/>
    <x v="0"/>
    <x v="1"/>
    <n v="20"/>
    <n v="7"/>
    <x v="0"/>
    <x v="1"/>
    <n v="400482"/>
    <n v="235331"/>
    <n v="165151"/>
    <x v="0"/>
    <n v="400482"/>
    <n v="0"/>
    <n v="0"/>
    <n v="1"/>
    <n v="1"/>
    <s v="Yes"/>
    <x v="0"/>
  </r>
  <r>
    <n v="21316"/>
    <d v="2024-02-13T00:00:00"/>
    <x v="1"/>
    <s v="Kolkata"/>
    <s v="SC_KOL_2"/>
    <x v="1"/>
    <s v="Taycan"/>
    <s v="Sedan"/>
    <x v="1"/>
    <x v="0"/>
    <x v="1"/>
    <x v="0"/>
    <n v="5"/>
    <n v="7"/>
    <x v="1"/>
    <x v="1"/>
    <n v="188313"/>
    <n v="95853"/>
    <n v="92460"/>
    <x v="3"/>
    <n v="0"/>
    <n v="0"/>
    <n v="1"/>
    <n v="0"/>
    <n v="1"/>
    <s v="No"/>
    <x v="2"/>
  </r>
  <r>
    <n v="21317"/>
    <d v="2024-05-15T00:00:00"/>
    <x v="2"/>
    <s v="Gurugram"/>
    <s v="SC_GUR_4"/>
    <x v="1"/>
    <s v="Chiron"/>
    <s v="Hypercar"/>
    <x v="0"/>
    <x v="1"/>
    <x v="1"/>
    <x v="0"/>
    <n v="18"/>
    <n v="7"/>
    <x v="0"/>
    <x v="1"/>
    <n v="456412"/>
    <n v="334232"/>
    <n v="122180"/>
    <x v="0"/>
    <n v="456412"/>
    <n v="0"/>
    <n v="0"/>
    <n v="1"/>
    <n v="1"/>
    <s v="Yes"/>
    <x v="0"/>
  </r>
  <r>
    <n v="21318"/>
    <d v="2024-06-08T00:00:00"/>
    <x v="2"/>
    <s v="Noida"/>
    <s v="SC_NOI_5"/>
    <x v="1"/>
    <s v="Taycan"/>
    <s v="Sedan"/>
    <x v="0"/>
    <x v="1"/>
    <x v="0"/>
    <x v="1"/>
    <n v="23"/>
    <n v="7"/>
    <x v="0"/>
    <x v="1"/>
    <n v="253114"/>
    <n v="128798"/>
    <n v="124316"/>
    <x v="0"/>
    <n v="253114"/>
    <n v="0"/>
    <n v="0"/>
    <n v="1"/>
    <n v="1"/>
    <s v="Yes"/>
    <x v="0"/>
  </r>
  <r>
    <n v="21319"/>
    <d v="2024-06-13T00:00:00"/>
    <x v="2"/>
    <s v="Delhi"/>
    <s v="SC_DEL_1"/>
    <x v="2"/>
    <s v="Chiron"/>
    <s v="Hypercar"/>
    <x v="0"/>
    <x v="1"/>
    <x v="2"/>
    <x v="1"/>
    <n v="19"/>
    <n v="7"/>
    <x v="0"/>
    <x v="1"/>
    <n v="537215"/>
    <n v="375160"/>
    <n v="162055"/>
    <x v="0"/>
    <n v="537215"/>
    <n v="0"/>
    <n v="0"/>
    <n v="1"/>
    <n v="1"/>
    <s v="Yes"/>
    <x v="0"/>
  </r>
  <r>
    <n v="21320"/>
    <d v="2024-04-04T00:00:00"/>
    <x v="2"/>
    <s v="Gurugram"/>
    <s v="SC_GUR_5"/>
    <x v="2"/>
    <s v="Veyron"/>
    <s v="Hypercar"/>
    <x v="0"/>
    <x v="4"/>
    <x v="2"/>
    <x v="1"/>
    <n v="11"/>
    <n v="7"/>
    <x v="0"/>
    <x v="0"/>
    <n v="513331"/>
    <n v="408583"/>
    <n v="104748"/>
    <x v="1"/>
    <n v="0"/>
    <n v="1"/>
    <n v="0"/>
    <n v="1"/>
    <n v="1"/>
    <s v="Yes"/>
    <x v="0"/>
  </r>
  <r>
    <n v="21321"/>
    <d v="2024-06-25T00:00:00"/>
    <x v="1"/>
    <s v="Bhubaneswar"/>
    <s v="SC_BHU_4"/>
    <x v="2"/>
    <s v="Taycan"/>
    <s v="Sedan"/>
    <x v="1"/>
    <x v="0"/>
    <x v="0"/>
    <x v="0"/>
    <n v="6"/>
    <n v="7"/>
    <x v="1"/>
    <x v="0"/>
    <n v="373181"/>
    <n v="254943"/>
    <n v="118238"/>
    <x v="3"/>
    <n v="0"/>
    <n v="1"/>
    <n v="1"/>
    <n v="0"/>
    <n v="1"/>
    <s v="No"/>
    <x v="2"/>
  </r>
  <r>
    <n v="21322"/>
    <d v="2024-02-19T00:00:00"/>
    <x v="3"/>
    <s v="Mumbai"/>
    <s v="SC_MUM_1"/>
    <x v="2"/>
    <s v="911"/>
    <s v="Coupe"/>
    <x v="0"/>
    <x v="4"/>
    <x v="0"/>
    <x v="1"/>
    <n v="17"/>
    <n v="7"/>
    <x v="0"/>
    <x v="0"/>
    <n v="346418"/>
    <n v="293684"/>
    <n v="52734"/>
    <x v="0"/>
    <n v="0"/>
    <n v="1"/>
    <n v="0"/>
    <n v="1"/>
    <n v="1"/>
    <s v="Yes"/>
    <x v="0"/>
  </r>
  <r>
    <n v="21323"/>
    <d v="2024-06-02T00:00:00"/>
    <x v="1"/>
    <s v="Bhubaneswar"/>
    <s v="SC_BHU_1"/>
    <x v="0"/>
    <s v="Chiron"/>
    <s v="Hypercar"/>
    <x v="0"/>
    <x v="3"/>
    <x v="1"/>
    <x v="1"/>
    <n v="3"/>
    <n v="7"/>
    <x v="1"/>
    <x v="0"/>
    <n v="97965"/>
    <n v="82229"/>
    <n v="15736"/>
    <x v="4"/>
    <n v="0"/>
    <n v="1"/>
    <n v="1"/>
    <n v="0"/>
    <n v="1"/>
    <s v="No"/>
    <x v="2"/>
  </r>
  <r>
    <n v="21324"/>
    <d v="2024-04-06T00:00:00"/>
    <x v="1"/>
    <s v="Bhubaneswar"/>
    <s v="SC_BHU_2"/>
    <x v="2"/>
    <s v="Panamera"/>
    <s v="Sedan"/>
    <x v="1"/>
    <x v="1"/>
    <x v="0"/>
    <x v="1"/>
    <n v="12"/>
    <n v="7"/>
    <x v="0"/>
    <x v="1"/>
    <n v="547265"/>
    <n v="451736"/>
    <n v="95529"/>
    <x v="1"/>
    <n v="547265"/>
    <n v="0"/>
    <n v="0"/>
    <n v="1"/>
    <n v="1"/>
    <s v="Yes"/>
    <x v="0"/>
  </r>
  <r>
    <n v="21325"/>
    <d v="2024-01-02T00:00:00"/>
    <x v="2"/>
    <s v="Delhi"/>
    <s v="SC_DEL_3"/>
    <x v="2"/>
    <s v="Chiron"/>
    <s v="Hypercar"/>
    <x v="1"/>
    <x v="3"/>
    <x v="0"/>
    <x v="0"/>
    <n v="6"/>
    <n v="7"/>
    <x v="0"/>
    <x v="1"/>
    <n v="211841"/>
    <n v="173303"/>
    <n v="38538"/>
    <x v="2"/>
    <n v="211841"/>
    <n v="0"/>
    <n v="0"/>
    <n v="1"/>
    <n v="1"/>
    <s v="No"/>
    <x v="1"/>
  </r>
  <r>
    <n v="21326"/>
    <d v="2024-03-04T00:00:00"/>
    <x v="2"/>
    <s v="Gurugram"/>
    <s v="SC_GUR_3"/>
    <x v="2"/>
    <s v="911"/>
    <s v="Coupe"/>
    <x v="1"/>
    <x v="4"/>
    <x v="1"/>
    <x v="1"/>
    <n v="19"/>
    <n v="7"/>
    <x v="1"/>
    <x v="1"/>
    <n v="385107"/>
    <n v="284014"/>
    <n v="101093"/>
    <x v="1"/>
    <n v="0"/>
    <n v="0"/>
    <n v="1"/>
    <n v="0"/>
    <n v="1"/>
    <s v="Yes"/>
    <x v="0"/>
  </r>
  <r>
    <n v="21327"/>
    <d v="2024-02-25T00:00:00"/>
    <x v="0"/>
    <s v="Chennai"/>
    <s v="SC_CHE_4"/>
    <x v="1"/>
    <s v="911"/>
    <s v="Coupe"/>
    <x v="0"/>
    <x v="3"/>
    <x v="1"/>
    <x v="1"/>
    <n v="15"/>
    <n v="7"/>
    <x v="0"/>
    <x v="1"/>
    <n v="90606"/>
    <n v="73885"/>
    <n v="16721"/>
    <x v="0"/>
    <n v="90606"/>
    <n v="0"/>
    <n v="0"/>
    <n v="1"/>
    <n v="1"/>
    <s v="Yes"/>
    <x v="0"/>
  </r>
  <r>
    <n v="21328"/>
    <d v="2024-04-11T00:00:00"/>
    <x v="3"/>
    <s v="Pune"/>
    <s v="SC_PUN_1"/>
    <x v="2"/>
    <s v="Cayenne"/>
    <s v="SUV"/>
    <x v="0"/>
    <x v="1"/>
    <x v="1"/>
    <x v="0"/>
    <n v="22"/>
    <n v="7"/>
    <x v="0"/>
    <x v="0"/>
    <n v="533974"/>
    <n v="361050"/>
    <n v="172924"/>
    <x v="0"/>
    <n v="0"/>
    <n v="1"/>
    <n v="0"/>
    <n v="1"/>
    <n v="1"/>
    <s v="Yes"/>
    <x v="0"/>
  </r>
  <r>
    <n v="21329"/>
    <d v="2024-04-29T00:00:00"/>
    <x v="1"/>
    <s v="Bhubaneswar"/>
    <s v="SC_BHU_4"/>
    <x v="0"/>
    <s v="911"/>
    <s v="Coupe"/>
    <x v="1"/>
    <x v="0"/>
    <x v="2"/>
    <x v="0"/>
    <n v="18"/>
    <n v="7"/>
    <x v="1"/>
    <x v="1"/>
    <n v="283634"/>
    <n v="179413"/>
    <n v="104221"/>
    <x v="1"/>
    <n v="0"/>
    <n v="0"/>
    <n v="1"/>
    <n v="0"/>
    <n v="1"/>
    <s v="Yes"/>
    <x v="0"/>
  </r>
  <r>
    <n v="21330"/>
    <d v="2024-02-01T00:00:00"/>
    <x v="1"/>
    <s v="Kolkata"/>
    <s v="SC_KOL_4"/>
    <x v="1"/>
    <s v="Taycan"/>
    <s v="Sedan"/>
    <x v="0"/>
    <x v="1"/>
    <x v="1"/>
    <x v="0"/>
    <n v="23"/>
    <n v="7"/>
    <x v="0"/>
    <x v="1"/>
    <n v="141624"/>
    <n v="85575"/>
    <n v="56049"/>
    <x v="0"/>
    <n v="141624"/>
    <n v="0"/>
    <n v="0"/>
    <n v="1"/>
    <n v="1"/>
    <s v="Yes"/>
    <x v="0"/>
  </r>
  <r>
    <n v="21331"/>
    <d v="2024-04-11T00:00:00"/>
    <x v="2"/>
    <s v="Delhi"/>
    <s v="SC_DEL_5"/>
    <x v="2"/>
    <s v="Cayenne"/>
    <s v="SUV"/>
    <x v="0"/>
    <x v="0"/>
    <x v="0"/>
    <x v="0"/>
    <n v="22"/>
    <n v="7"/>
    <x v="0"/>
    <x v="0"/>
    <n v="257955"/>
    <n v="204511"/>
    <n v="53444"/>
    <x v="0"/>
    <n v="0"/>
    <n v="1"/>
    <n v="0"/>
    <n v="1"/>
    <n v="1"/>
    <s v="Yes"/>
    <x v="0"/>
  </r>
  <r>
    <n v="21332"/>
    <d v="2024-03-24T00:00:00"/>
    <x v="1"/>
    <s v="Bhubaneswar"/>
    <s v="SC_BHU_5"/>
    <x v="2"/>
    <s v="Macan"/>
    <s v="SUV"/>
    <x v="0"/>
    <x v="0"/>
    <x v="2"/>
    <x v="0"/>
    <n v="4"/>
    <n v="7"/>
    <x v="1"/>
    <x v="1"/>
    <n v="551404"/>
    <n v="395782"/>
    <n v="155622"/>
    <x v="4"/>
    <n v="0"/>
    <n v="0"/>
    <n v="1"/>
    <n v="0"/>
    <n v="1"/>
    <s v="No"/>
    <x v="2"/>
  </r>
  <r>
    <n v="21333"/>
    <d v="2024-01-24T00:00:00"/>
    <x v="3"/>
    <s v="Ahmedabad"/>
    <s v="SC_AHM_1"/>
    <x v="0"/>
    <s v="Chiron"/>
    <s v="Hypercar"/>
    <x v="1"/>
    <x v="2"/>
    <x v="2"/>
    <x v="0"/>
    <n v="12"/>
    <n v="7"/>
    <x v="1"/>
    <x v="1"/>
    <n v="380012"/>
    <n v="321150"/>
    <n v="58862"/>
    <x v="2"/>
    <n v="0"/>
    <n v="0"/>
    <n v="1"/>
    <n v="0"/>
    <n v="1"/>
    <s v="Yes"/>
    <x v="1"/>
  </r>
  <r>
    <n v="21334"/>
    <d v="2024-06-06T00:00:00"/>
    <x v="2"/>
    <s v="Delhi"/>
    <s v="SC_DEL_3"/>
    <x v="0"/>
    <s v="Macan"/>
    <s v="SUV"/>
    <x v="0"/>
    <x v="0"/>
    <x v="1"/>
    <x v="0"/>
    <n v="6"/>
    <n v="7"/>
    <x v="1"/>
    <x v="1"/>
    <n v="309707"/>
    <n v="228476"/>
    <n v="81231"/>
    <x v="3"/>
    <n v="0"/>
    <n v="0"/>
    <n v="1"/>
    <n v="0"/>
    <n v="1"/>
    <s v="No"/>
    <x v="2"/>
  </r>
  <r>
    <n v="21335"/>
    <d v="2024-04-10T00:00:00"/>
    <x v="1"/>
    <s v="Kolkata"/>
    <s v="SC_KOL_3"/>
    <x v="1"/>
    <s v="Cayenne"/>
    <s v="SUV"/>
    <x v="1"/>
    <x v="2"/>
    <x v="0"/>
    <x v="0"/>
    <n v="15"/>
    <n v="7"/>
    <x v="0"/>
    <x v="1"/>
    <n v="100506"/>
    <n v="82465"/>
    <n v="18041"/>
    <x v="0"/>
    <n v="100506"/>
    <n v="0"/>
    <n v="0"/>
    <n v="1"/>
    <n v="1"/>
    <s v="Yes"/>
    <x v="0"/>
  </r>
  <r>
    <n v="21336"/>
    <d v="2024-03-25T00:00:00"/>
    <x v="0"/>
    <s v="Bengaluru"/>
    <s v="SC_BEN_2"/>
    <x v="2"/>
    <s v="Macan"/>
    <s v="SUV"/>
    <x v="1"/>
    <x v="1"/>
    <x v="2"/>
    <x v="0"/>
    <n v="5"/>
    <n v="7"/>
    <x v="0"/>
    <x v="1"/>
    <n v="389332"/>
    <n v="215119"/>
    <n v="174213"/>
    <x v="2"/>
    <n v="389332"/>
    <n v="0"/>
    <n v="0"/>
    <n v="1"/>
    <n v="1"/>
    <s v="No"/>
    <x v="1"/>
  </r>
  <r>
    <n v="21337"/>
    <d v="2024-06-18T00:00:00"/>
    <x v="3"/>
    <s v="Ahmedabad"/>
    <s v="SC_AHM_3"/>
    <x v="0"/>
    <s v="Taycan"/>
    <s v="Sedan"/>
    <x v="0"/>
    <x v="4"/>
    <x v="0"/>
    <x v="0"/>
    <n v="19"/>
    <n v="7"/>
    <x v="0"/>
    <x v="0"/>
    <n v="179046"/>
    <n v="117003"/>
    <n v="62043"/>
    <x v="0"/>
    <n v="0"/>
    <n v="1"/>
    <n v="0"/>
    <n v="1"/>
    <n v="1"/>
    <s v="Yes"/>
    <x v="0"/>
  </r>
  <r>
    <n v="21338"/>
    <d v="2024-06-27T00:00:00"/>
    <x v="2"/>
    <s v="Noida"/>
    <s v="SC_NOI_3"/>
    <x v="1"/>
    <s v="911"/>
    <s v="Coupe"/>
    <x v="1"/>
    <x v="0"/>
    <x v="2"/>
    <x v="0"/>
    <n v="21"/>
    <n v="7"/>
    <x v="1"/>
    <x v="0"/>
    <n v="294912"/>
    <n v="209909"/>
    <n v="85003"/>
    <x v="0"/>
    <n v="0"/>
    <n v="1"/>
    <n v="1"/>
    <n v="0"/>
    <n v="1"/>
    <s v="Yes"/>
    <x v="0"/>
  </r>
  <r>
    <n v="21339"/>
    <d v="2024-06-23T00:00:00"/>
    <x v="2"/>
    <s v="Delhi"/>
    <s v="SC_DEL_1"/>
    <x v="2"/>
    <s v="911"/>
    <s v="Coupe"/>
    <x v="1"/>
    <x v="4"/>
    <x v="0"/>
    <x v="1"/>
    <n v="13"/>
    <n v="7"/>
    <x v="0"/>
    <x v="0"/>
    <n v="213725"/>
    <n v="150044"/>
    <n v="63681"/>
    <x v="1"/>
    <n v="0"/>
    <n v="1"/>
    <n v="0"/>
    <n v="1"/>
    <n v="1"/>
    <s v="Yes"/>
    <x v="0"/>
  </r>
  <r>
    <n v="21340"/>
    <d v="2024-04-12T00:00:00"/>
    <x v="2"/>
    <s v="Gurugram"/>
    <s v="SC_GUR_2"/>
    <x v="2"/>
    <s v="911"/>
    <s v="Coupe"/>
    <x v="1"/>
    <x v="2"/>
    <x v="1"/>
    <x v="1"/>
    <n v="13"/>
    <n v="7"/>
    <x v="1"/>
    <x v="1"/>
    <n v="106682"/>
    <n v="67298"/>
    <n v="39384"/>
    <x v="2"/>
    <n v="0"/>
    <n v="0"/>
    <n v="1"/>
    <n v="0"/>
    <n v="1"/>
    <s v="Yes"/>
    <x v="1"/>
  </r>
  <r>
    <n v="21341"/>
    <d v="2024-03-09T00:00:00"/>
    <x v="1"/>
    <s v="Bhubaneswar"/>
    <s v="SC_BHU_4"/>
    <x v="1"/>
    <s v="Cayenne"/>
    <s v="SUV"/>
    <x v="0"/>
    <x v="4"/>
    <x v="0"/>
    <x v="1"/>
    <n v="15"/>
    <n v="7"/>
    <x v="0"/>
    <x v="0"/>
    <n v="145341"/>
    <n v="108013"/>
    <n v="37328"/>
    <x v="0"/>
    <n v="0"/>
    <n v="1"/>
    <n v="0"/>
    <n v="1"/>
    <n v="1"/>
    <s v="Yes"/>
    <x v="0"/>
  </r>
  <r>
    <n v="21342"/>
    <d v="2024-02-13T00:00:00"/>
    <x v="1"/>
    <s v="Patna"/>
    <s v="SC_PAT_5"/>
    <x v="1"/>
    <s v="Chiron"/>
    <s v="Hypercar"/>
    <x v="0"/>
    <x v="1"/>
    <x v="2"/>
    <x v="0"/>
    <n v="6"/>
    <n v="7"/>
    <x v="1"/>
    <x v="1"/>
    <n v="460923"/>
    <n v="249898"/>
    <n v="211025"/>
    <x v="3"/>
    <n v="0"/>
    <n v="0"/>
    <n v="1"/>
    <n v="0"/>
    <n v="1"/>
    <s v="No"/>
    <x v="2"/>
  </r>
  <r>
    <n v="21343"/>
    <d v="2024-05-25T00:00:00"/>
    <x v="0"/>
    <s v="Bengaluru"/>
    <s v="SC_BEN_5"/>
    <x v="1"/>
    <s v="Taycan"/>
    <s v="Sedan"/>
    <x v="0"/>
    <x v="3"/>
    <x v="0"/>
    <x v="0"/>
    <n v="14"/>
    <n v="7"/>
    <x v="0"/>
    <x v="1"/>
    <n v="304441"/>
    <n v="192984"/>
    <n v="111457"/>
    <x v="1"/>
    <n v="304441"/>
    <n v="0"/>
    <n v="0"/>
    <n v="1"/>
    <n v="1"/>
    <s v="Yes"/>
    <x v="0"/>
  </r>
  <r>
    <n v="21344"/>
    <d v="2024-04-08T00:00:00"/>
    <x v="1"/>
    <s v="Kolkata"/>
    <s v="SC_KOL_4"/>
    <x v="0"/>
    <s v="Macan"/>
    <s v="SUV"/>
    <x v="0"/>
    <x v="0"/>
    <x v="0"/>
    <x v="0"/>
    <n v="17"/>
    <n v="7"/>
    <x v="0"/>
    <x v="1"/>
    <n v="231202"/>
    <n v="179977"/>
    <n v="51225"/>
    <x v="0"/>
    <n v="231202"/>
    <n v="0"/>
    <n v="0"/>
    <n v="1"/>
    <n v="1"/>
    <s v="Yes"/>
    <x v="0"/>
  </r>
  <r>
    <n v="21345"/>
    <d v="2024-03-07T00:00:00"/>
    <x v="3"/>
    <s v="Pune"/>
    <s v="SC_PUN_1"/>
    <x v="2"/>
    <s v="Chiron"/>
    <s v="Hypercar"/>
    <x v="1"/>
    <x v="2"/>
    <x v="2"/>
    <x v="1"/>
    <n v="17"/>
    <n v="7"/>
    <x v="1"/>
    <x v="1"/>
    <n v="167578"/>
    <n v="109777"/>
    <n v="57801"/>
    <x v="1"/>
    <n v="0"/>
    <n v="0"/>
    <n v="1"/>
    <n v="0"/>
    <n v="1"/>
    <s v="Yes"/>
    <x v="0"/>
  </r>
  <r>
    <n v="21346"/>
    <d v="2024-04-30T00:00:00"/>
    <x v="2"/>
    <s v="Delhi"/>
    <s v="SC_DEL_4"/>
    <x v="2"/>
    <s v="Macan"/>
    <s v="SUV"/>
    <x v="1"/>
    <x v="3"/>
    <x v="1"/>
    <x v="1"/>
    <n v="15"/>
    <n v="7"/>
    <x v="0"/>
    <x v="1"/>
    <n v="534316"/>
    <n v="339335"/>
    <n v="194981"/>
    <x v="0"/>
    <n v="534316"/>
    <n v="0"/>
    <n v="0"/>
    <n v="1"/>
    <n v="1"/>
    <s v="Yes"/>
    <x v="0"/>
  </r>
  <r>
    <n v="21347"/>
    <d v="2024-06-15T00:00:00"/>
    <x v="1"/>
    <s v="Kolkata"/>
    <s v="SC_KOL_3"/>
    <x v="2"/>
    <s v="Taycan"/>
    <s v="Sedan"/>
    <x v="1"/>
    <x v="2"/>
    <x v="2"/>
    <x v="1"/>
    <n v="6"/>
    <n v="7"/>
    <x v="1"/>
    <x v="0"/>
    <n v="483719"/>
    <n v="336097"/>
    <n v="147622"/>
    <x v="3"/>
    <n v="0"/>
    <n v="1"/>
    <n v="1"/>
    <n v="0"/>
    <n v="1"/>
    <s v="No"/>
    <x v="2"/>
  </r>
  <r>
    <n v="21348"/>
    <d v="2024-03-20T00:00:00"/>
    <x v="1"/>
    <s v="Kolkata"/>
    <s v="SC_KOL_4"/>
    <x v="1"/>
    <s v="Veyron"/>
    <s v="Hypercar"/>
    <x v="0"/>
    <x v="2"/>
    <x v="2"/>
    <x v="0"/>
    <n v="14"/>
    <n v="7"/>
    <x v="1"/>
    <x v="1"/>
    <n v="559948"/>
    <n v="440041"/>
    <n v="119907"/>
    <x v="2"/>
    <n v="0"/>
    <n v="0"/>
    <n v="1"/>
    <n v="0"/>
    <n v="1"/>
    <s v="Yes"/>
    <x v="1"/>
  </r>
  <r>
    <n v="21349"/>
    <d v="2024-03-24T00:00:00"/>
    <x v="2"/>
    <s v="Noida"/>
    <s v="SC_NOI_3"/>
    <x v="2"/>
    <s v="Chiron"/>
    <s v="Hypercar"/>
    <x v="1"/>
    <x v="3"/>
    <x v="1"/>
    <x v="1"/>
    <n v="11"/>
    <n v="7"/>
    <x v="0"/>
    <x v="1"/>
    <n v="367992"/>
    <n v="258634"/>
    <n v="109358"/>
    <x v="1"/>
    <n v="367992"/>
    <n v="0"/>
    <n v="0"/>
    <n v="1"/>
    <n v="1"/>
    <s v="Yes"/>
    <x v="0"/>
  </r>
  <r>
    <n v="21350"/>
    <d v="2024-01-17T00:00:00"/>
    <x v="0"/>
    <s v="Hyderabad"/>
    <s v="SC_HYD_4"/>
    <x v="1"/>
    <s v="Veyron"/>
    <s v="Hypercar"/>
    <x v="0"/>
    <x v="3"/>
    <x v="0"/>
    <x v="1"/>
    <n v="18"/>
    <n v="7"/>
    <x v="0"/>
    <x v="1"/>
    <n v="459709"/>
    <n v="244245"/>
    <n v="215464"/>
    <x v="0"/>
    <n v="459709"/>
    <n v="0"/>
    <n v="0"/>
    <n v="1"/>
    <n v="1"/>
    <s v="Yes"/>
    <x v="0"/>
  </r>
  <r>
    <n v="21351"/>
    <d v="2024-03-02T00:00:00"/>
    <x v="3"/>
    <s v="Ahmedabad"/>
    <s v="SC_AHM_1"/>
    <x v="1"/>
    <s v="Taycan"/>
    <s v="Sedan"/>
    <x v="1"/>
    <x v="2"/>
    <x v="1"/>
    <x v="1"/>
    <n v="21"/>
    <n v="7"/>
    <x v="1"/>
    <x v="1"/>
    <n v="227617"/>
    <n v="182774"/>
    <n v="44843"/>
    <x v="0"/>
    <n v="0"/>
    <n v="0"/>
    <n v="1"/>
    <n v="0"/>
    <n v="1"/>
    <s v="Yes"/>
    <x v="0"/>
  </r>
  <r>
    <n v="21352"/>
    <d v="2024-06-29T00:00:00"/>
    <x v="1"/>
    <s v="Patna"/>
    <s v="SC_PAT_5"/>
    <x v="0"/>
    <s v="Chiron"/>
    <s v="Hypercar"/>
    <x v="1"/>
    <x v="2"/>
    <x v="2"/>
    <x v="1"/>
    <n v="11"/>
    <n v="7"/>
    <x v="0"/>
    <x v="1"/>
    <n v="278567"/>
    <n v="213752"/>
    <n v="64815"/>
    <x v="1"/>
    <n v="278567"/>
    <n v="0"/>
    <n v="0"/>
    <n v="1"/>
    <n v="1"/>
    <s v="Yes"/>
    <x v="0"/>
  </r>
  <r>
    <n v="21353"/>
    <d v="2024-04-01T00:00:00"/>
    <x v="3"/>
    <s v="Mumbai"/>
    <s v="SC_MUM_1"/>
    <x v="2"/>
    <s v="Panamera"/>
    <s v="Sedan"/>
    <x v="0"/>
    <x v="1"/>
    <x v="1"/>
    <x v="1"/>
    <n v="19"/>
    <n v="7"/>
    <x v="0"/>
    <x v="1"/>
    <n v="213200"/>
    <n v="155688"/>
    <n v="57512"/>
    <x v="0"/>
    <n v="213200"/>
    <n v="0"/>
    <n v="0"/>
    <n v="1"/>
    <n v="1"/>
    <s v="Yes"/>
    <x v="0"/>
  </r>
  <r>
    <n v="21354"/>
    <d v="2024-06-16T00:00:00"/>
    <x v="3"/>
    <s v="Pune"/>
    <s v="SC_PUN_5"/>
    <x v="1"/>
    <s v="Macan"/>
    <s v="SUV"/>
    <x v="0"/>
    <x v="0"/>
    <x v="0"/>
    <x v="0"/>
    <n v="23"/>
    <n v="7"/>
    <x v="0"/>
    <x v="1"/>
    <n v="147487"/>
    <n v="78268"/>
    <n v="69219"/>
    <x v="0"/>
    <n v="147487"/>
    <n v="0"/>
    <n v="0"/>
    <n v="1"/>
    <n v="1"/>
    <s v="Yes"/>
    <x v="0"/>
  </r>
  <r>
    <n v="21355"/>
    <d v="2024-04-12T00:00:00"/>
    <x v="3"/>
    <s v="Pune"/>
    <s v="SC_PUN_1"/>
    <x v="2"/>
    <s v="Macan"/>
    <s v="SUV"/>
    <x v="1"/>
    <x v="2"/>
    <x v="0"/>
    <x v="1"/>
    <n v="8"/>
    <n v="7"/>
    <x v="0"/>
    <x v="1"/>
    <n v="227171"/>
    <n v="126472"/>
    <n v="100699"/>
    <x v="2"/>
    <n v="227171"/>
    <n v="0"/>
    <n v="0"/>
    <n v="1"/>
    <n v="1"/>
    <s v="Yes"/>
    <x v="1"/>
  </r>
  <r>
    <n v="21356"/>
    <d v="2024-06-16T00:00:00"/>
    <x v="2"/>
    <s v="Delhi"/>
    <s v="SC_DEL_3"/>
    <x v="2"/>
    <s v="Taycan"/>
    <s v="Sedan"/>
    <x v="1"/>
    <x v="3"/>
    <x v="1"/>
    <x v="0"/>
    <n v="10"/>
    <n v="7"/>
    <x v="1"/>
    <x v="1"/>
    <n v="358961"/>
    <n v="248816"/>
    <n v="110145"/>
    <x v="2"/>
    <n v="0"/>
    <n v="0"/>
    <n v="1"/>
    <n v="0"/>
    <n v="1"/>
    <s v="Yes"/>
    <x v="1"/>
  </r>
  <r>
    <n v="21357"/>
    <d v="2024-06-06T00:00:00"/>
    <x v="1"/>
    <s v="Patna"/>
    <s v="SC_PAT_2"/>
    <x v="0"/>
    <s v="Panamera"/>
    <s v="Sedan"/>
    <x v="0"/>
    <x v="3"/>
    <x v="0"/>
    <x v="1"/>
    <n v="19"/>
    <n v="7"/>
    <x v="0"/>
    <x v="0"/>
    <n v="90050"/>
    <n v="45709"/>
    <n v="44341"/>
    <x v="0"/>
    <n v="0"/>
    <n v="1"/>
    <n v="0"/>
    <n v="1"/>
    <n v="1"/>
    <s v="Yes"/>
    <x v="0"/>
  </r>
  <r>
    <n v="21358"/>
    <d v="2024-05-14T00:00:00"/>
    <x v="0"/>
    <s v="Bengaluru"/>
    <s v="SC_BEN_5"/>
    <x v="1"/>
    <s v="911"/>
    <s v="Coupe"/>
    <x v="1"/>
    <x v="0"/>
    <x v="2"/>
    <x v="1"/>
    <n v="14"/>
    <n v="7"/>
    <x v="1"/>
    <x v="0"/>
    <n v="145809"/>
    <n v="84522"/>
    <n v="61287"/>
    <x v="2"/>
    <n v="0"/>
    <n v="1"/>
    <n v="1"/>
    <n v="0"/>
    <n v="1"/>
    <s v="Yes"/>
    <x v="1"/>
  </r>
  <r>
    <n v="21359"/>
    <d v="2024-03-24T00:00:00"/>
    <x v="2"/>
    <s v="Noida"/>
    <s v="SC_NOI_4"/>
    <x v="0"/>
    <s v="Cayenne"/>
    <s v="SUV"/>
    <x v="0"/>
    <x v="0"/>
    <x v="2"/>
    <x v="0"/>
    <n v="15"/>
    <n v="7"/>
    <x v="1"/>
    <x v="1"/>
    <n v="547968"/>
    <n v="465508"/>
    <n v="82460"/>
    <x v="1"/>
    <n v="0"/>
    <n v="0"/>
    <n v="1"/>
    <n v="0"/>
    <n v="1"/>
    <s v="Yes"/>
    <x v="0"/>
  </r>
  <r>
    <n v="21360"/>
    <d v="2024-02-07T00:00:00"/>
    <x v="1"/>
    <s v="Bhubaneswar"/>
    <s v="SC_BHU_1"/>
    <x v="1"/>
    <s v="Cayenne"/>
    <s v="SUV"/>
    <x v="1"/>
    <x v="4"/>
    <x v="1"/>
    <x v="1"/>
    <n v="25"/>
    <n v="7"/>
    <x v="1"/>
    <x v="1"/>
    <n v="233823"/>
    <n v="129591"/>
    <n v="104232"/>
    <x v="0"/>
    <n v="0"/>
    <n v="0"/>
    <n v="1"/>
    <n v="0"/>
    <n v="1"/>
    <s v="Yes"/>
    <x v="0"/>
  </r>
  <r>
    <n v="21361"/>
    <d v="2024-04-01T00:00:00"/>
    <x v="3"/>
    <s v="Pune"/>
    <s v="SC_PUN_3"/>
    <x v="0"/>
    <s v="Veyron"/>
    <s v="Hypercar"/>
    <x v="1"/>
    <x v="2"/>
    <x v="2"/>
    <x v="0"/>
    <n v="23"/>
    <n v="7"/>
    <x v="1"/>
    <x v="1"/>
    <n v="259277"/>
    <n v="205669"/>
    <n v="53608"/>
    <x v="0"/>
    <n v="0"/>
    <n v="0"/>
    <n v="1"/>
    <n v="0"/>
    <n v="1"/>
    <s v="Yes"/>
    <x v="0"/>
  </r>
  <r>
    <n v="21362"/>
    <d v="2024-03-03T00:00:00"/>
    <x v="0"/>
    <s v="Bengaluru"/>
    <s v="SC_BEN_2"/>
    <x v="1"/>
    <s v="Veyron"/>
    <s v="Hypercar"/>
    <x v="1"/>
    <x v="4"/>
    <x v="1"/>
    <x v="0"/>
    <n v="12"/>
    <n v="7"/>
    <x v="1"/>
    <x v="1"/>
    <n v="305133"/>
    <n v="255722"/>
    <n v="49411"/>
    <x v="2"/>
    <n v="0"/>
    <n v="0"/>
    <n v="1"/>
    <n v="0"/>
    <n v="1"/>
    <s v="Yes"/>
    <x v="1"/>
  </r>
  <r>
    <n v="21363"/>
    <d v="2024-06-21T00:00:00"/>
    <x v="2"/>
    <s v="Gurugram"/>
    <s v="SC_GUR_5"/>
    <x v="0"/>
    <s v="Panamera"/>
    <s v="Sedan"/>
    <x v="0"/>
    <x v="4"/>
    <x v="0"/>
    <x v="0"/>
    <n v="19"/>
    <n v="7"/>
    <x v="0"/>
    <x v="1"/>
    <n v="181605"/>
    <n v="97770"/>
    <n v="83835"/>
    <x v="0"/>
    <n v="181605"/>
    <n v="0"/>
    <n v="0"/>
    <n v="1"/>
    <n v="1"/>
    <s v="Yes"/>
    <x v="0"/>
  </r>
  <r>
    <n v="21364"/>
    <d v="2024-05-26T00:00:00"/>
    <x v="1"/>
    <s v="Bhubaneswar"/>
    <s v="SC_BHU_2"/>
    <x v="1"/>
    <s v="Macan"/>
    <s v="SUV"/>
    <x v="1"/>
    <x v="1"/>
    <x v="2"/>
    <x v="1"/>
    <n v="9"/>
    <n v="7"/>
    <x v="1"/>
    <x v="1"/>
    <n v="243634"/>
    <n v="179300"/>
    <n v="64334"/>
    <x v="3"/>
    <n v="0"/>
    <n v="0"/>
    <n v="1"/>
    <n v="0"/>
    <n v="1"/>
    <s v="Yes"/>
    <x v="2"/>
  </r>
  <r>
    <n v="21365"/>
    <d v="2024-02-01T00:00:00"/>
    <x v="3"/>
    <s v="Ahmedabad"/>
    <s v="SC_AHM_5"/>
    <x v="2"/>
    <s v="911"/>
    <s v="Coupe"/>
    <x v="1"/>
    <x v="3"/>
    <x v="2"/>
    <x v="0"/>
    <n v="12"/>
    <n v="7"/>
    <x v="1"/>
    <x v="1"/>
    <n v="307213"/>
    <n v="259407"/>
    <n v="47806"/>
    <x v="2"/>
    <n v="0"/>
    <n v="0"/>
    <n v="1"/>
    <n v="0"/>
    <n v="1"/>
    <s v="Yes"/>
    <x v="1"/>
  </r>
  <r>
    <n v="21366"/>
    <d v="2024-05-15T00:00:00"/>
    <x v="1"/>
    <s v="Bhubaneswar"/>
    <s v="SC_BHU_3"/>
    <x v="2"/>
    <s v="Macan"/>
    <s v="SUV"/>
    <x v="0"/>
    <x v="4"/>
    <x v="1"/>
    <x v="1"/>
    <n v="14"/>
    <n v="7"/>
    <x v="1"/>
    <x v="1"/>
    <n v="426336"/>
    <n v="353507"/>
    <n v="72829"/>
    <x v="2"/>
    <n v="0"/>
    <n v="0"/>
    <n v="1"/>
    <n v="0"/>
    <n v="1"/>
    <s v="Yes"/>
    <x v="1"/>
  </r>
  <r>
    <n v="21367"/>
    <d v="2024-05-24T00:00:00"/>
    <x v="0"/>
    <s v="Hyderabad"/>
    <s v="SC_HYD_3"/>
    <x v="1"/>
    <s v="Taycan"/>
    <s v="Sedan"/>
    <x v="0"/>
    <x v="3"/>
    <x v="1"/>
    <x v="0"/>
    <n v="16"/>
    <n v="7"/>
    <x v="1"/>
    <x v="0"/>
    <n v="410735"/>
    <n v="233356"/>
    <n v="177379"/>
    <x v="1"/>
    <n v="0"/>
    <n v="1"/>
    <n v="1"/>
    <n v="0"/>
    <n v="1"/>
    <s v="Yes"/>
    <x v="0"/>
  </r>
  <r>
    <n v="21368"/>
    <d v="2024-01-16T00:00:00"/>
    <x v="0"/>
    <s v="Hyderabad"/>
    <s v="SC_HYD_5"/>
    <x v="2"/>
    <s v="Cayenne"/>
    <s v="SUV"/>
    <x v="0"/>
    <x v="1"/>
    <x v="0"/>
    <x v="1"/>
    <n v="4"/>
    <n v="7"/>
    <x v="1"/>
    <x v="1"/>
    <n v="475774"/>
    <n v="240134"/>
    <n v="235640"/>
    <x v="4"/>
    <n v="0"/>
    <n v="0"/>
    <n v="1"/>
    <n v="0"/>
    <n v="1"/>
    <s v="No"/>
    <x v="2"/>
  </r>
  <r>
    <n v="21369"/>
    <d v="2024-05-28T00:00:00"/>
    <x v="2"/>
    <s v="Gurugram"/>
    <s v="SC_GUR_3"/>
    <x v="2"/>
    <s v="Cayenne"/>
    <s v="SUV"/>
    <x v="0"/>
    <x v="2"/>
    <x v="1"/>
    <x v="1"/>
    <n v="8"/>
    <n v="7"/>
    <x v="0"/>
    <x v="0"/>
    <n v="227338"/>
    <n v="172498"/>
    <n v="54840"/>
    <x v="2"/>
    <n v="0"/>
    <n v="1"/>
    <n v="0"/>
    <n v="1"/>
    <n v="1"/>
    <s v="Yes"/>
    <x v="1"/>
  </r>
  <r>
    <n v="21370"/>
    <d v="2024-05-26T00:00:00"/>
    <x v="1"/>
    <s v="Patna"/>
    <s v="SC_PAT_5"/>
    <x v="2"/>
    <s v="Macan"/>
    <s v="SUV"/>
    <x v="0"/>
    <x v="4"/>
    <x v="2"/>
    <x v="0"/>
    <n v="8"/>
    <n v="7"/>
    <x v="0"/>
    <x v="1"/>
    <n v="265805"/>
    <n v="222034"/>
    <n v="43771"/>
    <x v="2"/>
    <n v="265805"/>
    <n v="0"/>
    <n v="0"/>
    <n v="1"/>
    <n v="1"/>
    <s v="Yes"/>
    <x v="1"/>
  </r>
  <r>
    <n v="21371"/>
    <d v="2024-05-28T00:00:00"/>
    <x v="1"/>
    <s v="Bhubaneswar"/>
    <s v="SC_BHU_2"/>
    <x v="2"/>
    <s v="Veyron"/>
    <s v="Hypercar"/>
    <x v="1"/>
    <x v="2"/>
    <x v="2"/>
    <x v="0"/>
    <n v="3"/>
    <n v="7"/>
    <x v="1"/>
    <x v="0"/>
    <n v="111184"/>
    <n v="69813"/>
    <n v="41371"/>
    <x v="4"/>
    <n v="0"/>
    <n v="1"/>
    <n v="1"/>
    <n v="0"/>
    <n v="1"/>
    <s v="No"/>
    <x v="2"/>
  </r>
  <r>
    <n v="21372"/>
    <d v="2024-04-19T00:00:00"/>
    <x v="0"/>
    <s v="Hyderabad"/>
    <s v="SC_HYD_2"/>
    <x v="1"/>
    <s v="911"/>
    <s v="Coupe"/>
    <x v="0"/>
    <x v="2"/>
    <x v="2"/>
    <x v="1"/>
    <n v="17"/>
    <n v="7"/>
    <x v="1"/>
    <x v="1"/>
    <n v="312560"/>
    <n v="195491"/>
    <n v="117069"/>
    <x v="1"/>
    <n v="0"/>
    <n v="0"/>
    <n v="1"/>
    <n v="0"/>
    <n v="1"/>
    <s v="Yes"/>
    <x v="0"/>
  </r>
  <r>
    <n v="21373"/>
    <d v="2024-02-07T00:00:00"/>
    <x v="2"/>
    <s v="Gurugram"/>
    <s v="SC_GUR_5"/>
    <x v="1"/>
    <s v="Panamera"/>
    <s v="Sedan"/>
    <x v="0"/>
    <x v="4"/>
    <x v="2"/>
    <x v="0"/>
    <n v="20"/>
    <n v="7"/>
    <x v="0"/>
    <x v="1"/>
    <n v="385259"/>
    <n v="248218"/>
    <n v="137041"/>
    <x v="0"/>
    <n v="385259"/>
    <n v="0"/>
    <n v="0"/>
    <n v="1"/>
    <n v="1"/>
    <s v="Yes"/>
    <x v="0"/>
  </r>
  <r>
    <n v="21374"/>
    <d v="2024-04-05T00:00:00"/>
    <x v="2"/>
    <s v="Delhi"/>
    <s v="SC_DEL_5"/>
    <x v="1"/>
    <s v="Cayenne"/>
    <s v="SUV"/>
    <x v="1"/>
    <x v="2"/>
    <x v="2"/>
    <x v="0"/>
    <n v="8"/>
    <n v="7"/>
    <x v="0"/>
    <x v="1"/>
    <n v="138958"/>
    <n v="93105"/>
    <n v="45853"/>
    <x v="2"/>
    <n v="138958"/>
    <n v="0"/>
    <n v="0"/>
    <n v="1"/>
    <n v="1"/>
    <s v="Yes"/>
    <x v="1"/>
  </r>
  <r>
    <n v="21375"/>
    <d v="2024-01-16T00:00:00"/>
    <x v="2"/>
    <s v="Gurugram"/>
    <s v="SC_GUR_4"/>
    <x v="0"/>
    <s v="Cayenne"/>
    <s v="SUV"/>
    <x v="0"/>
    <x v="0"/>
    <x v="2"/>
    <x v="1"/>
    <n v="23"/>
    <n v="7"/>
    <x v="0"/>
    <x v="1"/>
    <n v="486327"/>
    <n v="248314"/>
    <n v="238013"/>
    <x v="0"/>
    <n v="486327"/>
    <n v="0"/>
    <n v="0"/>
    <n v="1"/>
    <n v="1"/>
    <s v="Yes"/>
    <x v="0"/>
  </r>
  <r>
    <n v="21376"/>
    <d v="2024-04-04T00:00:00"/>
    <x v="2"/>
    <s v="Noida"/>
    <s v="SC_NOI_5"/>
    <x v="2"/>
    <s v="Veyron"/>
    <s v="Hypercar"/>
    <x v="1"/>
    <x v="3"/>
    <x v="2"/>
    <x v="0"/>
    <n v="19"/>
    <n v="7"/>
    <x v="1"/>
    <x v="1"/>
    <n v="399473"/>
    <n v="258594"/>
    <n v="140879"/>
    <x v="1"/>
    <n v="0"/>
    <n v="0"/>
    <n v="1"/>
    <n v="0"/>
    <n v="1"/>
    <s v="Yes"/>
    <x v="0"/>
  </r>
  <r>
    <n v="21377"/>
    <d v="2024-03-27T00:00:00"/>
    <x v="1"/>
    <s v="Patna"/>
    <s v="SC_PAT_4"/>
    <x v="0"/>
    <s v="Panamera"/>
    <s v="Sedan"/>
    <x v="0"/>
    <x v="3"/>
    <x v="1"/>
    <x v="0"/>
    <n v="25"/>
    <n v="7"/>
    <x v="0"/>
    <x v="1"/>
    <n v="328507"/>
    <n v="218557"/>
    <n v="109950"/>
    <x v="0"/>
    <n v="328507"/>
    <n v="0"/>
    <n v="0"/>
    <n v="1"/>
    <n v="1"/>
    <s v="Yes"/>
    <x v="0"/>
  </r>
  <r>
    <n v="21378"/>
    <d v="2024-01-20T00:00:00"/>
    <x v="3"/>
    <s v="Mumbai"/>
    <s v="SC_MUM_3"/>
    <x v="2"/>
    <s v="911"/>
    <s v="Coupe"/>
    <x v="1"/>
    <x v="2"/>
    <x v="0"/>
    <x v="0"/>
    <n v="5"/>
    <n v="7"/>
    <x v="1"/>
    <x v="1"/>
    <n v="291858"/>
    <n v="193898"/>
    <n v="97960"/>
    <x v="3"/>
    <n v="0"/>
    <n v="0"/>
    <n v="1"/>
    <n v="0"/>
    <n v="1"/>
    <s v="No"/>
    <x v="2"/>
  </r>
  <r>
    <n v="21379"/>
    <d v="2024-06-21T00:00:00"/>
    <x v="2"/>
    <s v="Delhi"/>
    <s v="SC_DEL_3"/>
    <x v="1"/>
    <s v="Chiron"/>
    <s v="Hypercar"/>
    <x v="1"/>
    <x v="2"/>
    <x v="2"/>
    <x v="0"/>
    <n v="5"/>
    <n v="7"/>
    <x v="1"/>
    <x v="1"/>
    <n v="220518"/>
    <n v="115806"/>
    <n v="104712"/>
    <x v="3"/>
    <n v="0"/>
    <n v="0"/>
    <n v="1"/>
    <n v="0"/>
    <n v="1"/>
    <s v="No"/>
    <x v="2"/>
  </r>
  <r>
    <n v="21380"/>
    <d v="2024-02-01T00:00:00"/>
    <x v="0"/>
    <s v="Hyderabad"/>
    <s v="SC_HYD_5"/>
    <x v="2"/>
    <s v="911"/>
    <s v="Coupe"/>
    <x v="0"/>
    <x v="4"/>
    <x v="2"/>
    <x v="0"/>
    <n v="7"/>
    <n v="7"/>
    <x v="1"/>
    <x v="1"/>
    <n v="203192"/>
    <n v="129492"/>
    <n v="73700"/>
    <x v="3"/>
    <n v="0"/>
    <n v="0"/>
    <n v="1"/>
    <n v="0"/>
    <n v="1"/>
    <s v="No"/>
    <x v="2"/>
  </r>
  <r>
    <n v="21381"/>
    <d v="2024-03-18T00:00:00"/>
    <x v="2"/>
    <s v="Gurugram"/>
    <s v="SC_GUR_4"/>
    <x v="2"/>
    <s v="Taycan"/>
    <s v="Sedan"/>
    <x v="1"/>
    <x v="1"/>
    <x v="2"/>
    <x v="1"/>
    <n v="22"/>
    <n v="7"/>
    <x v="0"/>
    <x v="0"/>
    <n v="508335"/>
    <n v="396353"/>
    <n v="111982"/>
    <x v="0"/>
    <n v="0"/>
    <n v="1"/>
    <n v="0"/>
    <n v="1"/>
    <n v="1"/>
    <s v="Yes"/>
    <x v="0"/>
  </r>
  <r>
    <n v="21382"/>
    <d v="2024-02-29T00:00:00"/>
    <x v="1"/>
    <s v="Patna"/>
    <s v="SC_PAT_2"/>
    <x v="1"/>
    <s v="Taycan"/>
    <s v="Sedan"/>
    <x v="0"/>
    <x v="1"/>
    <x v="2"/>
    <x v="0"/>
    <n v="13"/>
    <n v="7"/>
    <x v="0"/>
    <x v="1"/>
    <n v="284332"/>
    <n v="196172"/>
    <n v="88160"/>
    <x v="1"/>
    <n v="284332"/>
    <n v="0"/>
    <n v="0"/>
    <n v="1"/>
    <n v="1"/>
    <s v="Yes"/>
    <x v="0"/>
  </r>
  <r>
    <n v="21383"/>
    <d v="2024-04-17T00:00:00"/>
    <x v="0"/>
    <s v="Chennai"/>
    <s v="SC_CHE_5"/>
    <x v="1"/>
    <s v="Chiron"/>
    <s v="Hypercar"/>
    <x v="0"/>
    <x v="4"/>
    <x v="1"/>
    <x v="1"/>
    <n v="14"/>
    <n v="7"/>
    <x v="0"/>
    <x v="1"/>
    <n v="513871"/>
    <n v="340303"/>
    <n v="173568"/>
    <x v="1"/>
    <n v="513871"/>
    <n v="0"/>
    <n v="0"/>
    <n v="1"/>
    <n v="1"/>
    <s v="Yes"/>
    <x v="0"/>
  </r>
  <r>
    <n v="21384"/>
    <d v="2024-04-07T00:00:00"/>
    <x v="3"/>
    <s v="Ahmedabad"/>
    <s v="SC_AHM_2"/>
    <x v="1"/>
    <s v="911"/>
    <s v="Coupe"/>
    <x v="1"/>
    <x v="1"/>
    <x v="2"/>
    <x v="1"/>
    <n v="22"/>
    <n v="7"/>
    <x v="0"/>
    <x v="1"/>
    <n v="419833"/>
    <n v="332441"/>
    <n v="87392"/>
    <x v="0"/>
    <n v="419833"/>
    <n v="0"/>
    <n v="0"/>
    <n v="1"/>
    <n v="1"/>
    <s v="Yes"/>
    <x v="0"/>
  </r>
  <r>
    <n v="21385"/>
    <d v="2024-04-18T00:00:00"/>
    <x v="2"/>
    <s v="Noida"/>
    <s v="SC_NOI_3"/>
    <x v="0"/>
    <s v="Veyron"/>
    <s v="Hypercar"/>
    <x v="0"/>
    <x v="4"/>
    <x v="0"/>
    <x v="1"/>
    <n v="7"/>
    <n v="7"/>
    <x v="0"/>
    <x v="1"/>
    <n v="497520"/>
    <n v="343789"/>
    <n v="153731"/>
    <x v="2"/>
    <n v="497520"/>
    <n v="0"/>
    <n v="0"/>
    <n v="1"/>
    <n v="1"/>
    <s v="No"/>
    <x v="1"/>
  </r>
  <r>
    <n v="21386"/>
    <d v="2024-04-15T00:00:00"/>
    <x v="0"/>
    <s v="Chennai"/>
    <s v="SC_CHE_2"/>
    <x v="1"/>
    <s v="Panamera"/>
    <s v="Sedan"/>
    <x v="0"/>
    <x v="1"/>
    <x v="1"/>
    <x v="0"/>
    <n v="4"/>
    <n v="7"/>
    <x v="0"/>
    <x v="0"/>
    <n v="498018"/>
    <n v="385910"/>
    <n v="112108"/>
    <x v="3"/>
    <n v="0"/>
    <n v="1"/>
    <n v="0"/>
    <n v="1"/>
    <n v="1"/>
    <s v="No"/>
    <x v="2"/>
  </r>
  <r>
    <n v="21387"/>
    <d v="2024-04-30T00:00:00"/>
    <x v="1"/>
    <s v="Kolkata"/>
    <s v="SC_KOL_2"/>
    <x v="1"/>
    <s v="Macan"/>
    <s v="SUV"/>
    <x v="0"/>
    <x v="1"/>
    <x v="0"/>
    <x v="0"/>
    <n v="14"/>
    <n v="7"/>
    <x v="0"/>
    <x v="0"/>
    <n v="101438"/>
    <n v="74133"/>
    <n v="27305"/>
    <x v="1"/>
    <n v="0"/>
    <n v="1"/>
    <n v="0"/>
    <n v="1"/>
    <n v="1"/>
    <s v="Yes"/>
    <x v="0"/>
  </r>
  <r>
    <n v="21388"/>
    <d v="2024-05-08T00:00:00"/>
    <x v="1"/>
    <s v="Patna"/>
    <s v="SC_PAT_3"/>
    <x v="1"/>
    <s v="Cayenne"/>
    <s v="SUV"/>
    <x v="0"/>
    <x v="3"/>
    <x v="1"/>
    <x v="1"/>
    <n v="14"/>
    <n v="7"/>
    <x v="0"/>
    <x v="1"/>
    <n v="391247"/>
    <n v="316369"/>
    <n v="74878"/>
    <x v="1"/>
    <n v="391247"/>
    <n v="0"/>
    <n v="0"/>
    <n v="1"/>
    <n v="1"/>
    <s v="Yes"/>
    <x v="0"/>
  </r>
  <r>
    <n v="21389"/>
    <d v="2024-06-18T00:00:00"/>
    <x v="3"/>
    <s v="Mumbai"/>
    <s v="SC_MUM_1"/>
    <x v="2"/>
    <s v="Macan"/>
    <s v="SUV"/>
    <x v="0"/>
    <x v="4"/>
    <x v="2"/>
    <x v="1"/>
    <n v="14"/>
    <n v="7"/>
    <x v="0"/>
    <x v="1"/>
    <n v="330245"/>
    <n v="257691"/>
    <n v="72554"/>
    <x v="1"/>
    <n v="330245"/>
    <n v="0"/>
    <n v="0"/>
    <n v="1"/>
    <n v="1"/>
    <s v="Yes"/>
    <x v="0"/>
  </r>
  <r>
    <n v="21390"/>
    <d v="2024-06-09T00:00:00"/>
    <x v="0"/>
    <s v="Hyderabad"/>
    <s v="SC_HYD_4"/>
    <x v="1"/>
    <s v="Veyron"/>
    <s v="Hypercar"/>
    <x v="0"/>
    <x v="4"/>
    <x v="2"/>
    <x v="0"/>
    <n v="20"/>
    <n v="7"/>
    <x v="1"/>
    <x v="1"/>
    <n v="447858"/>
    <n v="308114"/>
    <n v="139744"/>
    <x v="0"/>
    <n v="0"/>
    <n v="0"/>
    <n v="1"/>
    <n v="0"/>
    <n v="1"/>
    <s v="Yes"/>
    <x v="0"/>
  </r>
  <r>
    <n v="21391"/>
    <d v="2024-05-04T00:00:00"/>
    <x v="0"/>
    <s v="Chennai"/>
    <s v="SC_CHE_1"/>
    <x v="2"/>
    <s v="Chiron"/>
    <s v="Hypercar"/>
    <x v="0"/>
    <x v="0"/>
    <x v="2"/>
    <x v="1"/>
    <n v="5"/>
    <n v="7"/>
    <x v="0"/>
    <x v="0"/>
    <n v="534236"/>
    <n v="371861"/>
    <n v="162375"/>
    <x v="2"/>
    <n v="0"/>
    <n v="1"/>
    <n v="0"/>
    <n v="1"/>
    <n v="1"/>
    <s v="No"/>
    <x v="1"/>
  </r>
  <r>
    <n v="21392"/>
    <d v="2024-01-11T00:00:00"/>
    <x v="2"/>
    <s v="Delhi"/>
    <s v="SC_DEL_4"/>
    <x v="0"/>
    <s v="Panamera"/>
    <s v="Sedan"/>
    <x v="1"/>
    <x v="0"/>
    <x v="1"/>
    <x v="0"/>
    <n v="13"/>
    <n v="7"/>
    <x v="1"/>
    <x v="1"/>
    <n v="298213"/>
    <n v="166838"/>
    <n v="131375"/>
    <x v="2"/>
    <n v="0"/>
    <n v="0"/>
    <n v="1"/>
    <n v="0"/>
    <n v="1"/>
    <s v="Yes"/>
    <x v="1"/>
  </r>
  <r>
    <n v="21393"/>
    <d v="2024-02-03T00:00:00"/>
    <x v="3"/>
    <s v="Mumbai"/>
    <s v="SC_MUM_2"/>
    <x v="2"/>
    <s v="Macan"/>
    <s v="SUV"/>
    <x v="0"/>
    <x v="2"/>
    <x v="1"/>
    <x v="0"/>
    <n v="14"/>
    <n v="7"/>
    <x v="1"/>
    <x v="1"/>
    <n v="167436"/>
    <n v="111452"/>
    <n v="55984"/>
    <x v="2"/>
    <n v="0"/>
    <n v="0"/>
    <n v="1"/>
    <n v="0"/>
    <n v="1"/>
    <s v="Yes"/>
    <x v="1"/>
  </r>
  <r>
    <n v="21394"/>
    <d v="2024-03-01T00:00:00"/>
    <x v="1"/>
    <s v="Kolkata"/>
    <s v="SC_KOL_1"/>
    <x v="1"/>
    <s v="Chiron"/>
    <s v="Hypercar"/>
    <x v="1"/>
    <x v="0"/>
    <x v="2"/>
    <x v="0"/>
    <n v="22"/>
    <n v="7"/>
    <x v="0"/>
    <x v="1"/>
    <n v="366747"/>
    <n v="191753"/>
    <n v="174994"/>
    <x v="0"/>
    <n v="366747"/>
    <n v="0"/>
    <n v="0"/>
    <n v="1"/>
    <n v="1"/>
    <s v="Yes"/>
    <x v="0"/>
  </r>
  <r>
    <n v="21395"/>
    <d v="2024-05-12T00:00:00"/>
    <x v="2"/>
    <s v="Noida"/>
    <s v="SC_NOI_4"/>
    <x v="0"/>
    <s v="Panamera"/>
    <s v="Sedan"/>
    <x v="0"/>
    <x v="3"/>
    <x v="1"/>
    <x v="1"/>
    <n v="17"/>
    <n v="7"/>
    <x v="0"/>
    <x v="0"/>
    <n v="99383"/>
    <n v="84072"/>
    <n v="15311"/>
    <x v="0"/>
    <n v="0"/>
    <n v="1"/>
    <n v="0"/>
    <n v="1"/>
    <n v="1"/>
    <s v="Yes"/>
    <x v="0"/>
  </r>
  <r>
    <n v="21396"/>
    <d v="2024-01-12T00:00:00"/>
    <x v="2"/>
    <s v="Gurugram"/>
    <s v="SC_GUR_2"/>
    <x v="0"/>
    <s v="Panamera"/>
    <s v="Sedan"/>
    <x v="0"/>
    <x v="3"/>
    <x v="2"/>
    <x v="1"/>
    <n v="23"/>
    <n v="7"/>
    <x v="1"/>
    <x v="1"/>
    <n v="364190"/>
    <n v="182281"/>
    <n v="181909"/>
    <x v="0"/>
    <n v="0"/>
    <n v="0"/>
    <n v="1"/>
    <n v="0"/>
    <n v="1"/>
    <s v="Yes"/>
    <x v="0"/>
  </r>
  <r>
    <n v="21397"/>
    <d v="2024-05-07T00:00:00"/>
    <x v="2"/>
    <s v="Gurugram"/>
    <s v="SC_GUR_2"/>
    <x v="1"/>
    <s v="Veyron"/>
    <s v="Hypercar"/>
    <x v="1"/>
    <x v="0"/>
    <x v="0"/>
    <x v="0"/>
    <n v="9"/>
    <n v="7"/>
    <x v="0"/>
    <x v="1"/>
    <n v="401374"/>
    <n v="246571"/>
    <n v="154803"/>
    <x v="2"/>
    <n v="401374"/>
    <n v="0"/>
    <n v="0"/>
    <n v="1"/>
    <n v="1"/>
    <s v="Yes"/>
    <x v="1"/>
  </r>
  <r>
    <n v="21398"/>
    <d v="2024-01-07T00:00:00"/>
    <x v="3"/>
    <s v="Pune"/>
    <s v="SC_PUN_4"/>
    <x v="2"/>
    <s v="Taycan"/>
    <s v="Sedan"/>
    <x v="1"/>
    <x v="0"/>
    <x v="2"/>
    <x v="0"/>
    <n v="19"/>
    <n v="7"/>
    <x v="0"/>
    <x v="1"/>
    <n v="572839"/>
    <n v="376199"/>
    <n v="196640"/>
    <x v="0"/>
    <n v="572839"/>
    <n v="0"/>
    <n v="0"/>
    <n v="1"/>
    <n v="1"/>
    <s v="Yes"/>
    <x v="0"/>
  </r>
  <r>
    <n v="21399"/>
    <d v="2024-02-23T00:00:00"/>
    <x v="3"/>
    <s v="Pune"/>
    <s v="SC_PUN_3"/>
    <x v="0"/>
    <s v="Cayenne"/>
    <s v="SUV"/>
    <x v="0"/>
    <x v="0"/>
    <x v="2"/>
    <x v="1"/>
    <n v="8"/>
    <n v="7"/>
    <x v="1"/>
    <x v="1"/>
    <n v="240318"/>
    <n v="157247"/>
    <n v="83071"/>
    <x v="3"/>
    <n v="0"/>
    <n v="0"/>
    <n v="1"/>
    <n v="0"/>
    <n v="1"/>
    <s v="Yes"/>
    <x v="2"/>
  </r>
  <r>
    <n v="21400"/>
    <d v="2024-04-03T00:00:00"/>
    <x v="3"/>
    <s v="Pune"/>
    <s v="SC_PUN_4"/>
    <x v="0"/>
    <s v="Panamera"/>
    <s v="Sedan"/>
    <x v="0"/>
    <x v="4"/>
    <x v="0"/>
    <x v="0"/>
    <n v="2"/>
    <n v="7"/>
    <x v="1"/>
    <x v="1"/>
    <n v="339955"/>
    <n v="264195"/>
    <n v="75760"/>
    <x v="4"/>
    <n v="0"/>
    <n v="0"/>
    <n v="1"/>
    <n v="0"/>
    <n v="1"/>
    <s v="No"/>
    <x v="2"/>
  </r>
  <r>
    <n v="21401"/>
    <d v="2024-01-14T00:00:00"/>
    <x v="0"/>
    <s v="Bengaluru"/>
    <s v="SC_BEN_4"/>
    <x v="0"/>
    <s v="Panamera"/>
    <s v="Sedan"/>
    <x v="1"/>
    <x v="4"/>
    <x v="2"/>
    <x v="0"/>
    <n v="12"/>
    <n v="7"/>
    <x v="0"/>
    <x v="1"/>
    <n v="404920"/>
    <n v="333364"/>
    <n v="71556"/>
    <x v="1"/>
    <n v="404920"/>
    <n v="0"/>
    <n v="0"/>
    <n v="1"/>
    <n v="1"/>
    <s v="Yes"/>
    <x v="0"/>
  </r>
  <r>
    <n v="21402"/>
    <d v="2024-03-31T00:00:00"/>
    <x v="0"/>
    <s v="Hyderabad"/>
    <s v="SC_HYD_5"/>
    <x v="0"/>
    <s v="Veyron"/>
    <s v="Hypercar"/>
    <x v="1"/>
    <x v="3"/>
    <x v="0"/>
    <x v="0"/>
    <n v="7"/>
    <n v="7"/>
    <x v="1"/>
    <x v="0"/>
    <n v="560532"/>
    <n v="292350"/>
    <n v="268182"/>
    <x v="3"/>
    <n v="0"/>
    <n v="1"/>
    <n v="1"/>
    <n v="0"/>
    <n v="1"/>
    <s v="No"/>
    <x v="2"/>
  </r>
  <r>
    <n v="21403"/>
    <d v="2024-06-06T00:00:00"/>
    <x v="3"/>
    <s v="Mumbai"/>
    <s v="SC_MUM_2"/>
    <x v="2"/>
    <s v="911"/>
    <s v="Coupe"/>
    <x v="0"/>
    <x v="1"/>
    <x v="0"/>
    <x v="0"/>
    <n v="25"/>
    <n v="7"/>
    <x v="0"/>
    <x v="1"/>
    <n v="414454"/>
    <n v="234856"/>
    <n v="179598"/>
    <x v="0"/>
    <n v="414454"/>
    <n v="0"/>
    <n v="0"/>
    <n v="1"/>
    <n v="1"/>
    <s v="Yes"/>
    <x v="0"/>
  </r>
  <r>
    <n v="21404"/>
    <d v="2024-03-18T00:00:00"/>
    <x v="3"/>
    <s v="Ahmedabad"/>
    <s v="SC_AHM_2"/>
    <x v="2"/>
    <s v="Veyron"/>
    <s v="Hypercar"/>
    <x v="0"/>
    <x v="2"/>
    <x v="1"/>
    <x v="0"/>
    <n v="20"/>
    <n v="7"/>
    <x v="0"/>
    <x v="0"/>
    <n v="171331"/>
    <n v="129061"/>
    <n v="42270"/>
    <x v="0"/>
    <n v="0"/>
    <n v="1"/>
    <n v="0"/>
    <n v="1"/>
    <n v="1"/>
    <s v="Yes"/>
    <x v="0"/>
  </r>
  <r>
    <n v="21405"/>
    <d v="2024-05-17T00:00:00"/>
    <x v="1"/>
    <s v="Kolkata"/>
    <s v="SC_KOL_5"/>
    <x v="1"/>
    <s v="911"/>
    <s v="Coupe"/>
    <x v="1"/>
    <x v="2"/>
    <x v="0"/>
    <x v="0"/>
    <n v="4"/>
    <n v="7"/>
    <x v="1"/>
    <x v="1"/>
    <n v="494755"/>
    <n v="401717"/>
    <n v="93038"/>
    <x v="4"/>
    <n v="0"/>
    <n v="0"/>
    <n v="1"/>
    <n v="0"/>
    <n v="1"/>
    <s v="No"/>
    <x v="2"/>
  </r>
  <r>
    <n v="21406"/>
    <d v="2024-01-08T00:00:00"/>
    <x v="0"/>
    <s v="Bengaluru"/>
    <s v="SC_BEN_1"/>
    <x v="2"/>
    <s v="Veyron"/>
    <s v="Hypercar"/>
    <x v="0"/>
    <x v="1"/>
    <x v="0"/>
    <x v="0"/>
    <n v="17"/>
    <n v="7"/>
    <x v="0"/>
    <x v="0"/>
    <n v="245482"/>
    <n v="139624"/>
    <n v="105858"/>
    <x v="0"/>
    <n v="0"/>
    <n v="1"/>
    <n v="0"/>
    <n v="1"/>
    <n v="1"/>
    <s v="Yes"/>
    <x v="0"/>
  </r>
  <r>
    <n v="21407"/>
    <d v="2024-03-22T00:00:00"/>
    <x v="1"/>
    <s v="Patna"/>
    <s v="SC_PAT_1"/>
    <x v="0"/>
    <s v="Chiron"/>
    <s v="Hypercar"/>
    <x v="1"/>
    <x v="2"/>
    <x v="1"/>
    <x v="1"/>
    <n v="21"/>
    <n v="7"/>
    <x v="0"/>
    <x v="0"/>
    <n v="223595"/>
    <n v="184291"/>
    <n v="39304"/>
    <x v="0"/>
    <n v="0"/>
    <n v="1"/>
    <n v="0"/>
    <n v="1"/>
    <n v="1"/>
    <s v="Yes"/>
    <x v="0"/>
  </r>
  <r>
    <n v="21408"/>
    <d v="2024-05-30T00:00:00"/>
    <x v="1"/>
    <s v="Bhubaneswar"/>
    <s v="SC_BHU_3"/>
    <x v="1"/>
    <s v="Macan"/>
    <s v="SUV"/>
    <x v="0"/>
    <x v="1"/>
    <x v="1"/>
    <x v="1"/>
    <n v="22"/>
    <n v="7"/>
    <x v="0"/>
    <x v="1"/>
    <n v="414450"/>
    <n v="310502"/>
    <n v="103948"/>
    <x v="0"/>
    <n v="414450"/>
    <n v="0"/>
    <n v="0"/>
    <n v="1"/>
    <n v="1"/>
    <s v="Yes"/>
    <x v="0"/>
  </r>
  <r>
    <n v="21409"/>
    <d v="2024-01-02T00:00:00"/>
    <x v="0"/>
    <s v="Bengaluru"/>
    <s v="SC_BEN_5"/>
    <x v="1"/>
    <s v="911"/>
    <s v="Coupe"/>
    <x v="1"/>
    <x v="2"/>
    <x v="1"/>
    <x v="0"/>
    <n v="15"/>
    <n v="7"/>
    <x v="1"/>
    <x v="0"/>
    <n v="245891"/>
    <n v="154692"/>
    <n v="91199"/>
    <x v="1"/>
    <n v="0"/>
    <n v="1"/>
    <n v="1"/>
    <n v="0"/>
    <n v="1"/>
    <s v="Yes"/>
    <x v="0"/>
  </r>
  <r>
    <n v="21410"/>
    <d v="2024-02-25T00:00:00"/>
    <x v="2"/>
    <s v="Delhi"/>
    <s v="SC_DEL_5"/>
    <x v="0"/>
    <s v="Taycan"/>
    <s v="Sedan"/>
    <x v="0"/>
    <x v="1"/>
    <x v="1"/>
    <x v="1"/>
    <n v="14"/>
    <n v="7"/>
    <x v="1"/>
    <x v="1"/>
    <n v="352355"/>
    <n v="196557"/>
    <n v="155798"/>
    <x v="2"/>
    <n v="0"/>
    <n v="0"/>
    <n v="1"/>
    <n v="0"/>
    <n v="1"/>
    <s v="Yes"/>
    <x v="1"/>
  </r>
  <r>
    <n v="21411"/>
    <d v="2024-04-30T00:00:00"/>
    <x v="3"/>
    <s v="Ahmedabad"/>
    <s v="SC_AHM_2"/>
    <x v="1"/>
    <s v="Chiron"/>
    <s v="Hypercar"/>
    <x v="1"/>
    <x v="2"/>
    <x v="1"/>
    <x v="0"/>
    <n v="16"/>
    <n v="7"/>
    <x v="0"/>
    <x v="0"/>
    <n v="315649"/>
    <n v="215919"/>
    <n v="99730"/>
    <x v="0"/>
    <n v="0"/>
    <n v="1"/>
    <n v="0"/>
    <n v="1"/>
    <n v="1"/>
    <s v="Yes"/>
    <x v="0"/>
  </r>
  <r>
    <n v="21412"/>
    <d v="2024-04-12T00:00:00"/>
    <x v="3"/>
    <s v="Ahmedabad"/>
    <s v="SC_AHM_2"/>
    <x v="1"/>
    <s v="Macan"/>
    <s v="SUV"/>
    <x v="0"/>
    <x v="0"/>
    <x v="2"/>
    <x v="1"/>
    <n v="7"/>
    <n v="7"/>
    <x v="1"/>
    <x v="1"/>
    <n v="323244"/>
    <n v="246800"/>
    <n v="76444"/>
    <x v="3"/>
    <n v="0"/>
    <n v="0"/>
    <n v="1"/>
    <n v="0"/>
    <n v="1"/>
    <s v="No"/>
    <x v="2"/>
  </r>
  <r>
    <n v="21413"/>
    <d v="2024-03-17T00:00:00"/>
    <x v="2"/>
    <s v="Gurugram"/>
    <s v="SC_GUR_2"/>
    <x v="1"/>
    <s v="Chiron"/>
    <s v="Hypercar"/>
    <x v="0"/>
    <x v="0"/>
    <x v="2"/>
    <x v="1"/>
    <n v="12"/>
    <n v="7"/>
    <x v="0"/>
    <x v="0"/>
    <n v="151909"/>
    <n v="105116"/>
    <n v="46793"/>
    <x v="1"/>
    <n v="0"/>
    <n v="1"/>
    <n v="0"/>
    <n v="1"/>
    <n v="1"/>
    <s v="Yes"/>
    <x v="0"/>
  </r>
  <r>
    <n v="21414"/>
    <d v="2024-06-25T00:00:00"/>
    <x v="1"/>
    <s v="Patna"/>
    <s v="SC_PAT_1"/>
    <x v="2"/>
    <s v="Panamera"/>
    <s v="Sedan"/>
    <x v="1"/>
    <x v="2"/>
    <x v="0"/>
    <x v="0"/>
    <n v="10"/>
    <n v="7"/>
    <x v="0"/>
    <x v="0"/>
    <n v="125275"/>
    <n v="89445"/>
    <n v="35830"/>
    <x v="1"/>
    <n v="0"/>
    <n v="1"/>
    <n v="0"/>
    <n v="1"/>
    <n v="1"/>
    <s v="Yes"/>
    <x v="0"/>
  </r>
  <r>
    <n v="21415"/>
    <d v="2024-05-24T00:00:00"/>
    <x v="1"/>
    <s v="Bhubaneswar"/>
    <s v="SC_BHU_5"/>
    <x v="0"/>
    <s v="Chiron"/>
    <s v="Hypercar"/>
    <x v="0"/>
    <x v="2"/>
    <x v="2"/>
    <x v="0"/>
    <n v="17"/>
    <n v="7"/>
    <x v="1"/>
    <x v="1"/>
    <n v="416291"/>
    <n v="309598"/>
    <n v="106693"/>
    <x v="1"/>
    <n v="0"/>
    <n v="0"/>
    <n v="1"/>
    <n v="0"/>
    <n v="1"/>
    <s v="Yes"/>
    <x v="0"/>
  </r>
  <r>
    <n v="21416"/>
    <d v="2024-05-29T00:00:00"/>
    <x v="3"/>
    <s v="Mumbai"/>
    <s v="SC_MUM_5"/>
    <x v="0"/>
    <s v="Macan"/>
    <s v="SUV"/>
    <x v="0"/>
    <x v="3"/>
    <x v="2"/>
    <x v="0"/>
    <n v="20"/>
    <n v="7"/>
    <x v="0"/>
    <x v="0"/>
    <n v="282519"/>
    <n v="235518"/>
    <n v="47001"/>
    <x v="0"/>
    <n v="0"/>
    <n v="1"/>
    <n v="0"/>
    <n v="1"/>
    <n v="1"/>
    <s v="Yes"/>
    <x v="0"/>
  </r>
  <r>
    <n v="21417"/>
    <d v="2024-01-31T00:00:00"/>
    <x v="3"/>
    <s v="Mumbai"/>
    <s v="SC_MUM_4"/>
    <x v="1"/>
    <s v="911"/>
    <s v="Coupe"/>
    <x v="0"/>
    <x v="4"/>
    <x v="2"/>
    <x v="0"/>
    <n v="25"/>
    <n v="7"/>
    <x v="0"/>
    <x v="1"/>
    <n v="339616"/>
    <n v="226149"/>
    <n v="113467"/>
    <x v="0"/>
    <n v="339616"/>
    <n v="0"/>
    <n v="0"/>
    <n v="1"/>
    <n v="1"/>
    <s v="Yes"/>
    <x v="0"/>
  </r>
  <r>
    <n v="21418"/>
    <d v="2024-04-09T00:00:00"/>
    <x v="1"/>
    <s v="Patna"/>
    <s v="SC_PAT_5"/>
    <x v="2"/>
    <s v="Cayenne"/>
    <s v="SUV"/>
    <x v="1"/>
    <x v="0"/>
    <x v="2"/>
    <x v="0"/>
    <n v="18"/>
    <n v="7"/>
    <x v="0"/>
    <x v="1"/>
    <n v="549885"/>
    <n v="448248"/>
    <n v="101637"/>
    <x v="0"/>
    <n v="549885"/>
    <n v="0"/>
    <n v="0"/>
    <n v="1"/>
    <n v="1"/>
    <s v="Yes"/>
    <x v="0"/>
  </r>
  <r>
    <n v="21419"/>
    <d v="2024-01-03T00:00:00"/>
    <x v="2"/>
    <s v="Delhi"/>
    <s v="SC_DEL_1"/>
    <x v="2"/>
    <s v="Veyron"/>
    <s v="Hypercar"/>
    <x v="1"/>
    <x v="4"/>
    <x v="0"/>
    <x v="1"/>
    <n v="4"/>
    <n v="7"/>
    <x v="1"/>
    <x v="0"/>
    <n v="181623"/>
    <n v="132632"/>
    <n v="48991"/>
    <x v="4"/>
    <n v="0"/>
    <n v="1"/>
    <n v="1"/>
    <n v="0"/>
    <n v="1"/>
    <s v="No"/>
    <x v="2"/>
  </r>
  <r>
    <n v="21420"/>
    <d v="2024-01-13T00:00:00"/>
    <x v="2"/>
    <s v="Gurugram"/>
    <s v="SC_GUR_2"/>
    <x v="1"/>
    <s v="Taycan"/>
    <s v="Sedan"/>
    <x v="1"/>
    <x v="4"/>
    <x v="2"/>
    <x v="0"/>
    <n v="21"/>
    <n v="7"/>
    <x v="0"/>
    <x v="0"/>
    <n v="286141"/>
    <n v="223117"/>
    <n v="63024"/>
    <x v="0"/>
    <n v="0"/>
    <n v="1"/>
    <n v="0"/>
    <n v="1"/>
    <n v="1"/>
    <s v="Yes"/>
    <x v="0"/>
  </r>
  <r>
    <n v="21421"/>
    <d v="2024-01-17T00:00:00"/>
    <x v="3"/>
    <s v="Pune"/>
    <s v="SC_PUN_2"/>
    <x v="0"/>
    <s v="Chiron"/>
    <s v="Hypercar"/>
    <x v="0"/>
    <x v="3"/>
    <x v="2"/>
    <x v="1"/>
    <n v="2"/>
    <n v="7"/>
    <x v="0"/>
    <x v="0"/>
    <n v="293094"/>
    <n v="192261"/>
    <n v="100833"/>
    <x v="3"/>
    <n v="0"/>
    <n v="1"/>
    <n v="0"/>
    <n v="1"/>
    <n v="1"/>
    <s v="No"/>
    <x v="2"/>
  </r>
  <r>
    <n v="21422"/>
    <d v="2024-01-30T00:00:00"/>
    <x v="0"/>
    <s v="Hyderabad"/>
    <s v="SC_HYD_4"/>
    <x v="2"/>
    <s v="Panamera"/>
    <s v="Sedan"/>
    <x v="1"/>
    <x v="4"/>
    <x v="2"/>
    <x v="0"/>
    <n v="22"/>
    <n v="7"/>
    <x v="1"/>
    <x v="1"/>
    <n v="131251"/>
    <n v="86621"/>
    <n v="44630"/>
    <x v="0"/>
    <n v="0"/>
    <n v="0"/>
    <n v="1"/>
    <n v="0"/>
    <n v="1"/>
    <s v="Yes"/>
    <x v="0"/>
  </r>
  <r>
    <n v="21423"/>
    <d v="2024-03-22T00:00:00"/>
    <x v="1"/>
    <s v="Bhubaneswar"/>
    <s v="SC_BHU_1"/>
    <x v="2"/>
    <s v="Cayenne"/>
    <s v="SUV"/>
    <x v="0"/>
    <x v="1"/>
    <x v="2"/>
    <x v="1"/>
    <n v="4"/>
    <n v="7"/>
    <x v="1"/>
    <x v="0"/>
    <n v="510454"/>
    <n v="257240"/>
    <n v="253214"/>
    <x v="4"/>
    <n v="0"/>
    <n v="1"/>
    <n v="1"/>
    <n v="0"/>
    <n v="1"/>
    <s v="No"/>
    <x v="2"/>
  </r>
  <r>
    <n v="21424"/>
    <d v="2024-03-22T00:00:00"/>
    <x v="1"/>
    <s v="Patna"/>
    <s v="SC_PAT_3"/>
    <x v="2"/>
    <s v="Taycan"/>
    <s v="Sedan"/>
    <x v="0"/>
    <x v="0"/>
    <x v="1"/>
    <x v="0"/>
    <n v="19"/>
    <n v="7"/>
    <x v="1"/>
    <x v="1"/>
    <n v="538678"/>
    <n v="326315"/>
    <n v="212363"/>
    <x v="1"/>
    <n v="0"/>
    <n v="0"/>
    <n v="1"/>
    <n v="0"/>
    <n v="1"/>
    <s v="Yes"/>
    <x v="0"/>
  </r>
  <r>
    <n v="21425"/>
    <d v="2024-06-16T00:00:00"/>
    <x v="3"/>
    <s v="Mumbai"/>
    <s v="SC_MUM_1"/>
    <x v="2"/>
    <s v="Cayenne"/>
    <s v="SUV"/>
    <x v="0"/>
    <x v="3"/>
    <x v="2"/>
    <x v="0"/>
    <n v="8"/>
    <n v="7"/>
    <x v="0"/>
    <x v="0"/>
    <n v="531723"/>
    <n v="351856"/>
    <n v="179867"/>
    <x v="2"/>
    <n v="0"/>
    <n v="1"/>
    <n v="0"/>
    <n v="1"/>
    <n v="1"/>
    <s v="Yes"/>
    <x v="1"/>
  </r>
  <r>
    <n v="21426"/>
    <d v="2024-02-02T00:00:00"/>
    <x v="3"/>
    <s v="Mumbai"/>
    <s v="SC_MUM_5"/>
    <x v="1"/>
    <s v="Macan"/>
    <s v="SUV"/>
    <x v="1"/>
    <x v="0"/>
    <x v="0"/>
    <x v="0"/>
    <n v="14"/>
    <n v="7"/>
    <x v="0"/>
    <x v="0"/>
    <n v="107726"/>
    <n v="72505"/>
    <n v="35221"/>
    <x v="1"/>
    <n v="0"/>
    <n v="1"/>
    <n v="0"/>
    <n v="1"/>
    <n v="1"/>
    <s v="Yes"/>
    <x v="0"/>
  </r>
  <r>
    <n v="21427"/>
    <d v="2024-05-30T00:00:00"/>
    <x v="0"/>
    <s v="Bengaluru"/>
    <s v="SC_BEN_2"/>
    <x v="0"/>
    <s v="Chiron"/>
    <s v="Hypercar"/>
    <x v="0"/>
    <x v="4"/>
    <x v="2"/>
    <x v="1"/>
    <n v="5"/>
    <n v="7"/>
    <x v="0"/>
    <x v="0"/>
    <n v="101710"/>
    <n v="53579"/>
    <n v="48131"/>
    <x v="2"/>
    <n v="0"/>
    <n v="1"/>
    <n v="0"/>
    <n v="1"/>
    <n v="1"/>
    <s v="No"/>
    <x v="1"/>
  </r>
  <r>
    <n v="21428"/>
    <d v="2024-06-26T00:00:00"/>
    <x v="0"/>
    <s v="Bengaluru"/>
    <s v="SC_BEN_3"/>
    <x v="0"/>
    <s v="Macan"/>
    <s v="SUV"/>
    <x v="0"/>
    <x v="3"/>
    <x v="2"/>
    <x v="0"/>
    <n v="15"/>
    <n v="7"/>
    <x v="1"/>
    <x v="1"/>
    <n v="440130"/>
    <n v="249953"/>
    <n v="190177"/>
    <x v="1"/>
    <n v="0"/>
    <n v="0"/>
    <n v="1"/>
    <n v="0"/>
    <n v="1"/>
    <s v="Yes"/>
    <x v="0"/>
  </r>
  <r>
    <n v="21429"/>
    <d v="2024-06-28T00:00:00"/>
    <x v="3"/>
    <s v="Mumbai"/>
    <s v="SC_MUM_2"/>
    <x v="2"/>
    <s v="Chiron"/>
    <s v="Hypercar"/>
    <x v="1"/>
    <x v="2"/>
    <x v="1"/>
    <x v="0"/>
    <n v="21"/>
    <n v="7"/>
    <x v="0"/>
    <x v="1"/>
    <n v="421615"/>
    <n v="251558"/>
    <n v="170057"/>
    <x v="0"/>
    <n v="421615"/>
    <n v="0"/>
    <n v="0"/>
    <n v="1"/>
    <n v="1"/>
    <s v="Yes"/>
    <x v="0"/>
  </r>
  <r>
    <n v="21430"/>
    <d v="2024-05-19T00:00:00"/>
    <x v="1"/>
    <s v="Kolkata"/>
    <s v="SC_KOL_2"/>
    <x v="1"/>
    <s v="Cayenne"/>
    <s v="SUV"/>
    <x v="1"/>
    <x v="3"/>
    <x v="2"/>
    <x v="1"/>
    <n v="4"/>
    <n v="7"/>
    <x v="0"/>
    <x v="1"/>
    <n v="182129"/>
    <n v="139487"/>
    <n v="42642"/>
    <x v="3"/>
    <n v="182129"/>
    <n v="0"/>
    <n v="0"/>
    <n v="1"/>
    <n v="1"/>
    <s v="No"/>
    <x v="2"/>
  </r>
  <r>
    <n v="21431"/>
    <d v="2024-04-20T00:00:00"/>
    <x v="0"/>
    <s v="Bengaluru"/>
    <s v="SC_BEN_3"/>
    <x v="2"/>
    <s v="Taycan"/>
    <s v="Sedan"/>
    <x v="0"/>
    <x v="4"/>
    <x v="0"/>
    <x v="1"/>
    <n v="20"/>
    <n v="7"/>
    <x v="0"/>
    <x v="1"/>
    <n v="300895"/>
    <n v="151824"/>
    <n v="149071"/>
    <x v="0"/>
    <n v="300895"/>
    <n v="0"/>
    <n v="0"/>
    <n v="1"/>
    <n v="1"/>
    <s v="Yes"/>
    <x v="0"/>
  </r>
  <r>
    <n v="21432"/>
    <d v="2024-03-26T00:00:00"/>
    <x v="3"/>
    <s v="Mumbai"/>
    <s v="SC_MUM_1"/>
    <x v="2"/>
    <s v="Chiron"/>
    <s v="Hypercar"/>
    <x v="0"/>
    <x v="4"/>
    <x v="1"/>
    <x v="0"/>
    <n v="5"/>
    <n v="7"/>
    <x v="1"/>
    <x v="1"/>
    <n v="129481"/>
    <n v="109380"/>
    <n v="20101"/>
    <x v="3"/>
    <n v="0"/>
    <n v="0"/>
    <n v="1"/>
    <n v="0"/>
    <n v="1"/>
    <s v="No"/>
    <x v="2"/>
  </r>
  <r>
    <n v="21433"/>
    <d v="2024-01-11T00:00:00"/>
    <x v="1"/>
    <s v="Patna"/>
    <s v="SC_PAT_2"/>
    <x v="0"/>
    <s v="Macan"/>
    <s v="SUV"/>
    <x v="1"/>
    <x v="3"/>
    <x v="2"/>
    <x v="1"/>
    <n v="3"/>
    <n v="7"/>
    <x v="0"/>
    <x v="1"/>
    <n v="251962"/>
    <n v="207512"/>
    <n v="44450"/>
    <x v="3"/>
    <n v="251962"/>
    <n v="0"/>
    <n v="0"/>
    <n v="1"/>
    <n v="1"/>
    <s v="No"/>
    <x v="2"/>
  </r>
  <r>
    <n v="21434"/>
    <d v="2024-03-15T00:00:00"/>
    <x v="3"/>
    <s v="Pune"/>
    <s v="SC_PUN_5"/>
    <x v="1"/>
    <s v="Taycan"/>
    <s v="Sedan"/>
    <x v="0"/>
    <x v="2"/>
    <x v="1"/>
    <x v="1"/>
    <n v="4"/>
    <n v="7"/>
    <x v="0"/>
    <x v="1"/>
    <n v="299931"/>
    <n v="208391"/>
    <n v="91540"/>
    <x v="3"/>
    <n v="299931"/>
    <n v="0"/>
    <n v="0"/>
    <n v="1"/>
    <n v="1"/>
    <s v="No"/>
    <x v="2"/>
  </r>
  <r>
    <n v="21435"/>
    <d v="2024-05-06T00:00:00"/>
    <x v="0"/>
    <s v="Hyderabad"/>
    <s v="SC_HYD_5"/>
    <x v="0"/>
    <s v="Veyron"/>
    <s v="Hypercar"/>
    <x v="0"/>
    <x v="1"/>
    <x v="2"/>
    <x v="1"/>
    <n v="8"/>
    <n v="7"/>
    <x v="1"/>
    <x v="1"/>
    <n v="101186"/>
    <n v="73111"/>
    <n v="28075"/>
    <x v="3"/>
    <n v="0"/>
    <n v="0"/>
    <n v="1"/>
    <n v="0"/>
    <n v="1"/>
    <s v="Yes"/>
    <x v="2"/>
  </r>
  <r>
    <n v="21436"/>
    <d v="2024-05-20T00:00:00"/>
    <x v="0"/>
    <s v="Chennai"/>
    <s v="SC_CHE_5"/>
    <x v="1"/>
    <s v="Cayenne"/>
    <s v="SUV"/>
    <x v="1"/>
    <x v="2"/>
    <x v="0"/>
    <x v="0"/>
    <n v="8"/>
    <n v="7"/>
    <x v="1"/>
    <x v="1"/>
    <n v="331247"/>
    <n v="189175"/>
    <n v="142072"/>
    <x v="3"/>
    <n v="0"/>
    <n v="0"/>
    <n v="1"/>
    <n v="0"/>
    <n v="1"/>
    <s v="Yes"/>
    <x v="2"/>
  </r>
  <r>
    <n v="21437"/>
    <d v="2024-01-19T00:00:00"/>
    <x v="0"/>
    <s v="Hyderabad"/>
    <s v="SC_HYD_4"/>
    <x v="1"/>
    <s v="911"/>
    <s v="Coupe"/>
    <x v="0"/>
    <x v="4"/>
    <x v="2"/>
    <x v="0"/>
    <n v="7"/>
    <n v="7"/>
    <x v="1"/>
    <x v="1"/>
    <n v="371225"/>
    <n v="282186"/>
    <n v="89039"/>
    <x v="3"/>
    <n v="0"/>
    <n v="0"/>
    <n v="1"/>
    <n v="0"/>
    <n v="1"/>
    <s v="No"/>
    <x v="2"/>
  </r>
  <r>
    <n v="21438"/>
    <d v="2024-02-15T00:00:00"/>
    <x v="0"/>
    <s v="Bengaluru"/>
    <s v="SC_BEN_4"/>
    <x v="0"/>
    <s v="Chiron"/>
    <s v="Hypercar"/>
    <x v="1"/>
    <x v="2"/>
    <x v="0"/>
    <x v="0"/>
    <n v="19"/>
    <n v="7"/>
    <x v="0"/>
    <x v="0"/>
    <n v="187769"/>
    <n v="154923"/>
    <n v="32846"/>
    <x v="0"/>
    <n v="0"/>
    <n v="1"/>
    <n v="0"/>
    <n v="1"/>
    <n v="1"/>
    <s v="Yes"/>
    <x v="0"/>
  </r>
  <r>
    <n v="21439"/>
    <d v="2024-04-29T00:00:00"/>
    <x v="0"/>
    <s v="Hyderabad"/>
    <s v="SC_HYD_4"/>
    <x v="0"/>
    <s v="Veyron"/>
    <s v="Hypercar"/>
    <x v="0"/>
    <x v="4"/>
    <x v="1"/>
    <x v="1"/>
    <n v="9"/>
    <n v="7"/>
    <x v="0"/>
    <x v="0"/>
    <n v="348637"/>
    <n v="254623"/>
    <n v="94014"/>
    <x v="2"/>
    <n v="0"/>
    <n v="1"/>
    <n v="0"/>
    <n v="1"/>
    <n v="1"/>
    <s v="Yes"/>
    <x v="1"/>
  </r>
  <r>
    <n v="21440"/>
    <d v="2024-05-18T00:00:00"/>
    <x v="2"/>
    <s v="Gurugram"/>
    <s v="SC_GUR_2"/>
    <x v="2"/>
    <s v="Taycan"/>
    <s v="Sedan"/>
    <x v="0"/>
    <x v="4"/>
    <x v="0"/>
    <x v="0"/>
    <n v="25"/>
    <n v="7"/>
    <x v="0"/>
    <x v="1"/>
    <n v="533400"/>
    <n v="332227"/>
    <n v="201173"/>
    <x v="0"/>
    <n v="533400"/>
    <n v="0"/>
    <n v="0"/>
    <n v="1"/>
    <n v="1"/>
    <s v="Yes"/>
    <x v="0"/>
  </r>
  <r>
    <n v="21441"/>
    <d v="2024-05-13T00:00:00"/>
    <x v="0"/>
    <s v="Bengaluru"/>
    <s v="SC_BEN_3"/>
    <x v="0"/>
    <s v="Veyron"/>
    <s v="Hypercar"/>
    <x v="1"/>
    <x v="3"/>
    <x v="0"/>
    <x v="0"/>
    <n v="21"/>
    <n v="7"/>
    <x v="0"/>
    <x v="1"/>
    <n v="444264"/>
    <n v="234336"/>
    <n v="209928"/>
    <x v="0"/>
    <n v="444264"/>
    <n v="0"/>
    <n v="0"/>
    <n v="1"/>
    <n v="1"/>
    <s v="Yes"/>
    <x v="0"/>
  </r>
  <r>
    <n v="21442"/>
    <d v="2024-02-01T00:00:00"/>
    <x v="2"/>
    <s v="Noida"/>
    <s v="SC_NOI_2"/>
    <x v="1"/>
    <s v="Panamera"/>
    <s v="Sedan"/>
    <x v="1"/>
    <x v="0"/>
    <x v="0"/>
    <x v="1"/>
    <n v="12"/>
    <n v="7"/>
    <x v="0"/>
    <x v="0"/>
    <n v="286700"/>
    <n v="204908"/>
    <n v="81792"/>
    <x v="1"/>
    <n v="0"/>
    <n v="1"/>
    <n v="0"/>
    <n v="1"/>
    <n v="1"/>
    <s v="Yes"/>
    <x v="0"/>
  </r>
  <r>
    <n v="21443"/>
    <d v="2024-06-06T00:00:00"/>
    <x v="1"/>
    <s v="Patna"/>
    <s v="SC_PAT_5"/>
    <x v="1"/>
    <s v="Chiron"/>
    <s v="Hypercar"/>
    <x v="1"/>
    <x v="2"/>
    <x v="1"/>
    <x v="0"/>
    <n v="10"/>
    <n v="7"/>
    <x v="0"/>
    <x v="0"/>
    <n v="338801"/>
    <n v="211971"/>
    <n v="126830"/>
    <x v="1"/>
    <n v="0"/>
    <n v="1"/>
    <n v="0"/>
    <n v="1"/>
    <n v="1"/>
    <s v="Yes"/>
    <x v="0"/>
  </r>
  <r>
    <n v="21444"/>
    <d v="2024-05-30T00:00:00"/>
    <x v="2"/>
    <s v="Gurugram"/>
    <s v="SC_GUR_1"/>
    <x v="1"/>
    <s v="Cayenne"/>
    <s v="SUV"/>
    <x v="0"/>
    <x v="0"/>
    <x v="2"/>
    <x v="1"/>
    <n v="19"/>
    <n v="7"/>
    <x v="0"/>
    <x v="1"/>
    <n v="551707"/>
    <n v="310951"/>
    <n v="240756"/>
    <x v="0"/>
    <n v="551707"/>
    <n v="0"/>
    <n v="0"/>
    <n v="1"/>
    <n v="1"/>
    <s v="Yes"/>
    <x v="0"/>
  </r>
  <r>
    <n v="21445"/>
    <d v="2024-03-18T00:00:00"/>
    <x v="2"/>
    <s v="Gurugram"/>
    <s v="SC_GUR_3"/>
    <x v="0"/>
    <s v="Panamera"/>
    <s v="Sedan"/>
    <x v="1"/>
    <x v="1"/>
    <x v="2"/>
    <x v="1"/>
    <n v="8"/>
    <n v="7"/>
    <x v="1"/>
    <x v="1"/>
    <n v="95298"/>
    <n v="64426"/>
    <n v="30872"/>
    <x v="3"/>
    <n v="0"/>
    <n v="0"/>
    <n v="1"/>
    <n v="0"/>
    <n v="1"/>
    <s v="Yes"/>
    <x v="2"/>
  </r>
  <r>
    <n v="21446"/>
    <d v="2024-01-14T00:00:00"/>
    <x v="2"/>
    <s v="Noida"/>
    <s v="SC_NOI_3"/>
    <x v="1"/>
    <s v="Chiron"/>
    <s v="Hypercar"/>
    <x v="0"/>
    <x v="2"/>
    <x v="0"/>
    <x v="0"/>
    <n v="17"/>
    <n v="7"/>
    <x v="0"/>
    <x v="1"/>
    <n v="464423"/>
    <n v="265282"/>
    <n v="199141"/>
    <x v="0"/>
    <n v="464423"/>
    <n v="0"/>
    <n v="0"/>
    <n v="1"/>
    <n v="1"/>
    <s v="Yes"/>
    <x v="0"/>
  </r>
  <r>
    <n v="21447"/>
    <d v="2024-04-19T00:00:00"/>
    <x v="0"/>
    <s v="Hyderabad"/>
    <s v="SC_HYD_1"/>
    <x v="0"/>
    <s v="Veyron"/>
    <s v="Hypercar"/>
    <x v="0"/>
    <x v="4"/>
    <x v="2"/>
    <x v="1"/>
    <n v="3"/>
    <n v="7"/>
    <x v="1"/>
    <x v="1"/>
    <n v="330787"/>
    <n v="196014"/>
    <n v="134773"/>
    <x v="4"/>
    <n v="0"/>
    <n v="0"/>
    <n v="1"/>
    <n v="0"/>
    <n v="1"/>
    <s v="No"/>
    <x v="2"/>
  </r>
  <r>
    <n v="21448"/>
    <d v="2024-03-03T00:00:00"/>
    <x v="0"/>
    <s v="Hyderabad"/>
    <s v="SC_HYD_1"/>
    <x v="1"/>
    <s v="Taycan"/>
    <s v="Sedan"/>
    <x v="1"/>
    <x v="3"/>
    <x v="2"/>
    <x v="1"/>
    <n v="23"/>
    <n v="7"/>
    <x v="1"/>
    <x v="1"/>
    <n v="217317"/>
    <n v="172098"/>
    <n v="45219"/>
    <x v="0"/>
    <n v="0"/>
    <n v="0"/>
    <n v="1"/>
    <n v="0"/>
    <n v="1"/>
    <s v="Yes"/>
    <x v="0"/>
  </r>
  <r>
    <n v="21449"/>
    <d v="2024-06-15T00:00:00"/>
    <x v="0"/>
    <s v="Chennai"/>
    <s v="SC_CHE_2"/>
    <x v="2"/>
    <s v="Chiron"/>
    <s v="Hypercar"/>
    <x v="1"/>
    <x v="4"/>
    <x v="2"/>
    <x v="1"/>
    <n v="24"/>
    <n v="7"/>
    <x v="1"/>
    <x v="0"/>
    <n v="369871"/>
    <n v="237736"/>
    <n v="132135"/>
    <x v="0"/>
    <n v="0"/>
    <n v="1"/>
    <n v="1"/>
    <n v="0"/>
    <n v="1"/>
    <s v="Yes"/>
    <x v="0"/>
  </r>
  <r>
    <n v="21450"/>
    <d v="2024-01-30T00:00:00"/>
    <x v="1"/>
    <s v="Bhubaneswar"/>
    <s v="SC_BHU_2"/>
    <x v="2"/>
    <s v="Taycan"/>
    <s v="Sedan"/>
    <x v="0"/>
    <x v="0"/>
    <x v="1"/>
    <x v="0"/>
    <n v="5"/>
    <n v="7"/>
    <x v="1"/>
    <x v="0"/>
    <n v="368347"/>
    <n v="271722"/>
    <n v="96625"/>
    <x v="3"/>
    <n v="0"/>
    <n v="1"/>
    <n v="1"/>
    <n v="0"/>
    <n v="1"/>
    <s v="No"/>
    <x v="2"/>
  </r>
  <r>
    <n v="21451"/>
    <d v="2024-06-10T00:00:00"/>
    <x v="0"/>
    <s v="Hyderabad"/>
    <s v="SC_HYD_1"/>
    <x v="1"/>
    <s v="Veyron"/>
    <s v="Hypercar"/>
    <x v="0"/>
    <x v="0"/>
    <x v="1"/>
    <x v="0"/>
    <n v="19"/>
    <n v="7"/>
    <x v="1"/>
    <x v="1"/>
    <n v="364957"/>
    <n v="240452"/>
    <n v="124505"/>
    <x v="1"/>
    <n v="0"/>
    <n v="0"/>
    <n v="1"/>
    <n v="0"/>
    <n v="1"/>
    <s v="Yes"/>
    <x v="0"/>
  </r>
  <r>
    <n v="21452"/>
    <d v="2024-01-18T00:00:00"/>
    <x v="1"/>
    <s v="Kolkata"/>
    <s v="SC_KOL_3"/>
    <x v="2"/>
    <s v="Panamera"/>
    <s v="Sedan"/>
    <x v="0"/>
    <x v="2"/>
    <x v="0"/>
    <x v="1"/>
    <n v="23"/>
    <n v="7"/>
    <x v="0"/>
    <x v="0"/>
    <n v="489982"/>
    <n v="405483"/>
    <n v="84499"/>
    <x v="0"/>
    <n v="0"/>
    <n v="1"/>
    <n v="0"/>
    <n v="1"/>
    <n v="1"/>
    <s v="Yes"/>
    <x v="0"/>
  </r>
  <r>
    <n v="21453"/>
    <d v="2024-03-07T00:00:00"/>
    <x v="2"/>
    <s v="Delhi"/>
    <s v="SC_DEL_4"/>
    <x v="1"/>
    <s v="Taycan"/>
    <s v="Sedan"/>
    <x v="1"/>
    <x v="2"/>
    <x v="0"/>
    <x v="1"/>
    <n v="18"/>
    <n v="7"/>
    <x v="0"/>
    <x v="1"/>
    <n v="431818"/>
    <n v="332439"/>
    <n v="99379"/>
    <x v="0"/>
    <n v="431818"/>
    <n v="0"/>
    <n v="0"/>
    <n v="1"/>
    <n v="1"/>
    <s v="Yes"/>
    <x v="0"/>
  </r>
  <r>
    <n v="21454"/>
    <d v="2024-06-16T00:00:00"/>
    <x v="3"/>
    <s v="Ahmedabad"/>
    <s v="SC_AHM_5"/>
    <x v="0"/>
    <s v="911"/>
    <s v="Coupe"/>
    <x v="0"/>
    <x v="3"/>
    <x v="1"/>
    <x v="0"/>
    <n v="24"/>
    <n v="7"/>
    <x v="1"/>
    <x v="1"/>
    <n v="575909"/>
    <n v="450539"/>
    <n v="125370"/>
    <x v="0"/>
    <n v="0"/>
    <n v="0"/>
    <n v="1"/>
    <n v="0"/>
    <n v="1"/>
    <s v="Yes"/>
    <x v="0"/>
  </r>
  <r>
    <n v="21455"/>
    <d v="2024-01-12T00:00:00"/>
    <x v="1"/>
    <s v="Kolkata"/>
    <s v="SC_KOL_5"/>
    <x v="0"/>
    <s v="Taycan"/>
    <s v="Sedan"/>
    <x v="0"/>
    <x v="1"/>
    <x v="1"/>
    <x v="0"/>
    <n v="24"/>
    <n v="7"/>
    <x v="1"/>
    <x v="1"/>
    <n v="418450"/>
    <n v="251032"/>
    <n v="167418"/>
    <x v="0"/>
    <n v="0"/>
    <n v="0"/>
    <n v="1"/>
    <n v="0"/>
    <n v="1"/>
    <s v="Yes"/>
    <x v="0"/>
  </r>
  <r>
    <n v="21456"/>
    <d v="2024-03-08T00:00:00"/>
    <x v="2"/>
    <s v="Gurugram"/>
    <s v="SC_GUR_1"/>
    <x v="1"/>
    <s v="Panamera"/>
    <s v="Sedan"/>
    <x v="0"/>
    <x v="3"/>
    <x v="0"/>
    <x v="0"/>
    <n v="9"/>
    <n v="7"/>
    <x v="1"/>
    <x v="1"/>
    <n v="325798"/>
    <n v="185753"/>
    <n v="140045"/>
    <x v="3"/>
    <n v="0"/>
    <n v="0"/>
    <n v="1"/>
    <n v="0"/>
    <n v="1"/>
    <s v="Yes"/>
    <x v="2"/>
  </r>
  <r>
    <n v="21457"/>
    <d v="2024-04-21T00:00:00"/>
    <x v="0"/>
    <s v="Bengaluru"/>
    <s v="SC_BEN_5"/>
    <x v="2"/>
    <s v="Chiron"/>
    <s v="Hypercar"/>
    <x v="1"/>
    <x v="0"/>
    <x v="0"/>
    <x v="1"/>
    <n v="21"/>
    <n v="7"/>
    <x v="0"/>
    <x v="0"/>
    <n v="225032"/>
    <n v="172686"/>
    <n v="52346"/>
    <x v="0"/>
    <n v="0"/>
    <n v="1"/>
    <n v="0"/>
    <n v="1"/>
    <n v="1"/>
    <s v="Yes"/>
    <x v="0"/>
  </r>
  <r>
    <n v="21458"/>
    <d v="2024-06-08T00:00:00"/>
    <x v="2"/>
    <s v="Noida"/>
    <s v="SC_NOI_5"/>
    <x v="1"/>
    <s v="911"/>
    <s v="Coupe"/>
    <x v="1"/>
    <x v="2"/>
    <x v="2"/>
    <x v="0"/>
    <n v="4"/>
    <n v="7"/>
    <x v="1"/>
    <x v="1"/>
    <n v="291116"/>
    <n v="178883"/>
    <n v="112233"/>
    <x v="4"/>
    <n v="0"/>
    <n v="0"/>
    <n v="1"/>
    <n v="0"/>
    <n v="1"/>
    <s v="No"/>
    <x v="2"/>
  </r>
  <r>
    <n v="21459"/>
    <d v="2024-02-23T00:00:00"/>
    <x v="2"/>
    <s v="Gurugram"/>
    <s v="SC_GUR_3"/>
    <x v="1"/>
    <s v="Taycan"/>
    <s v="Sedan"/>
    <x v="1"/>
    <x v="1"/>
    <x v="1"/>
    <x v="0"/>
    <n v="4"/>
    <n v="7"/>
    <x v="0"/>
    <x v="1"/>
    <n v="355189"/>
    <n v="238528"/>
    <n v="116661"/>
    <x v="3"/>
    <n v="355189"/>
    <n v="0"/>
    <n v="0"/>
    <n v="1"/>
    <n v="1"/>
    <s v="No"/>
    <x v="2"/>
  </r>
  <r>
    <n v="21460"/>
    <d v="2024-06-22T00:00:00"/>
    <x v="1"/>
    <s v="Bhubaneswar"/>
    <s v="SC_BHU_4"/>
    <x v="0"/>
    <s v="Taycan"/>
    <s v="Sedan"/>
    <x v="0"/>
    <x v="0"/>
    <x v="2"/>
    <x v="0"/>
    <n v="19"/>
    <n v="7"/>
    <x v="1"/>
    <x v="0"/>
    <n v="464492"/>
    <n v="333089"/>
    <n v="131403"/>
    <x v="1"/>
    <n v="0"/>
    <n v="1"/>
    <n v="1"/>
    <n v="0"/>
    <n v="1"/>
    <s v="Yes"/>
    <x v="0"/>
  </r>
  <r>
    <n v="21461"/>
    <d v="2024-01-28T00:00:00"/>
    <x v="3"/>
    <s v="Ahmedabad"/>
    <s v="SC_AHM_3"/>
    <x v="1"/>
    <s v="Panamera"/>
    <s v="Sedan"/>
    <x v="0"/>
    <x v="0"/>
    <x v="2"/>
    <x v="0"/>
    <n v="12"/>
    <n v="7"/>
    <x v="0"/>
    <x v="0"/>
    <n v="202674"/>
    <n v="130546"/>
    <n v="72128"/>
    <x v="1"/>
    <n v="0"/>
    <n v="1"/>
    <n v="0"/>
    <n v="1"/>
    <n v="1"/>
    <s v="Yes"/>
    <x v="0"/>
  </r>
  <r>
    <n v="21462"/>
    <d v="2024-05-04T00:00:00"/>
    <x v="1"/>
    <s v="Bhubaneswar"/>
    <s v="SC_BHU_5"/>
    <x v="2"/>
    <s v="Panamera"/>
    <s v="Sedan"/>
    <x v="1"/>
    <x v="4"/>
    <x v="2"/>
    <x v="0"/>
    <n v="12"/>
    <n v="7"/>
    <x v="0"/>
    <x v="0"/>
    <n v="539150"/>
    <n v="270967"/>
    <n v="268183"/>
    <x v="1"/>
    <n v="0"/>
    <n v="1"/>
    <n v="0"/>
    <n v="1"/>
    <n v="1"/>
    <s v="Yes"/>
    <x v="0"/>
  </r>
  <r>
    <n v="21463"/>
    <d v="2024-01-14T00:00:00"/>
    <x v="2"/>
    <s v="Gurugram"/>
    <s v="SC_GUR_2"/>
    <x v="1"/>
    <s v="Macan"/>
    <s v="SUV"/>
    <x v="0"/>
    <x v="1"/>
    <x v="2"/>
    <x v="0"/>
    <n v="14"/>
    <n v="7"/>
    <x v="1"/>
    <x v="1"/>
    <n v="546366"/>
    <n v="293224"/>
    <n v="253142"/>
    <x v="2"/>
    <n v="0"/>
    <n v="0"/>
    <n v="1"/>
    <n v="0"/>
    <n v="1"/>
    <s v="Yes"/>
    <x v="1"/>
  </r>
  <r>
    <n v="21464"/>
    <d v="2024-02-08T00:00:00"/>
    <x v="3"/>
    <s v="Ahmedabad"/>
    <s v="SC_AHM_4"/>
    <x v="1"/>
    <s v="Chiron"/>
    <s v="Hypercar"/>
    <x v="0"/>
    <x v="2"/>
    <x v="0"/>
    <x v="1"/>
    <n v="3"/>
    <n v="7"/>
    <x v="1"/>
    <x v="1"/>
    <n v="522678"/>
    <n v="397541"/>
    <n v="125137"/>
    <x v="4"/>
    <n v="0"/>
    <n v="0"/>
    <n v="1"/>
    <n v="0"/>
    <n v="1"/>
    <s v="No"/>
    <x v="2"/>
  </r>
  <r>
    <n v="21465"/>
    <d v="2024-01-21T00:00:00"/>
    <x v="2"/>
    <s v="Delhi"/>
    <s v="SC_DEL_2"/>
    <x v="2"/>
    <s v="Chiron"/>
    <s v="Hypercar"/>
    <x v="0"/>
    <x v="2"/>
    <x v="0"/>
    <x v="0"/>
    <n v="25"/>
    <n v="7"/>
    <x v="0"/>
    <x v="0"/>
    <n v="549509"/>
    <n v="371188"/>
    <n v="178321"/>
    <x v="0"/>
    <n v="0"/>
    <n v="1"/>
    <n v="0"/>
    <n v="1"/>
    <n v="1"/>
    <s v="Yes"/>
    <x v="0"/>
  </r>
  <r>
    <n v="21466"/>
    <d v="2024-01-05T00:00:00"/>
    <x v="3"/>
    <s v="Mumbai"/>
    <s v="SC_MUM_5"/>
    <x v="0"/>
    <s v="Cayenne"/>
    <s v="SUV"/>
    <x v="1"/>
    <x v="0"/>
    <x v="0"/>
    <x v="1"/>
    <n v="5"/>
    <n v="7"/>
    <x v="1"/>
    <x v="1"/>
    <n v="561739"/>
    <n v="463197"/>
    <n v="98542"/>
    <x v="3"/>
    <n v="0"/>
    <n v="0"/>
    <n v="1"/>
    <n v="0"/>
    <n v="1"/>
    <s v="No"/>
    <x v="2"/>
  </r>
  <r>
    <n v="21467"/>
    <d v="2024-06-09T00:00:00"/>
    <x v="2"/>
    <s v="Noida"/>
    <s v="SC_NOI_2"/>
    <x v="1"/>
    <s v="Chiron"/>
    <s v="Hypercar"/>
    <x v="1"/>
    <x v="2"/>
    <x v="1"/>
    <x v="1"/>
    <n v="8"/>
    <n v="7"/>
    <x v="1"/>
    <x v="0"/>
    <n v="194644"/>
    <n v="120552"/>
    <n v="74092"/>
    <x v="3"/>
    <n v="0"/>
    <n v="1"/>
    <n v="1"/>
    <n v="0"/>
    <n v="1"/>
    <s v="Yes"/>
    <x v="2"/>
  </r>
  <r>
    <n v="21468"/>
    <d v="2024-03-04T00:00:00"/>
    <x v="0"/>
    <s v="Bengaluru"/>
    <s v="SC_BEN_2"/>
    <x v="0"/>
    <s v="Chiron"/>
    <s v="Hypercar"/>
    <x v="1"/>
    <x v="2"/>
    <x v="2"/>
    <x v="0"/>
    <n v="15"/>
    <n v="7"/>
    <x v="1"/>
    <x v="1"/>
    <n v="526276"/>
    <n v="276052"/>
    <n v="250224"/>
    <x v="1"/>
    <n v="0"/>
    <n v="0"/>
    <n v="1"/>
    <n v="0"/>
    <n v="1"/>
    <s v="Yes"/>
    <x v="0"/>
  </r>
  <r>
    <n v="21469"/>
    <d v="2024-02-05T00:00:00"/>
    <x v="3"/>
    <s v="Pune"/>
    <s v="SC_PUN_4"/>
    <x v="2"/>
    <s v="Macan"/>
    <s v="SUV"/>
    <x v="1"/>
    <x v="1"/>
    <x v="0"/>
    <x v="0"/>
    <n v="23"/>
    <n v="7"/>
    <x v="0"/>
    <x v="1"/>
    <n v="342134"/>
    <n v="251959"/>
    <n v="90175"/>
    <x v="0"/>
    <n v="342134"/>
    <n v="0"/>
    <n v="0"/>
    <n v="1"/>
    <n v="1"/>
    <s v="Yes"/>
    <x v="0"/>
  </r>
  <r>
    <n v="21470"/>
    <d v="2024-02-19T00:00:00"/>
    <x v="1"/>
    <s v="Patna"/>
    <s v="SC_PAT_3"/>
    <x v="0"/>
    <s v="Chiron"/>
    <s v="Hypercar"/>
    <x v="0"/>
    <x v="2"/>
    <x v="2"/>
    <x v="0"/>
    <n v="19"/>
    <n v="7"/>
    <x v="0"/>
    <x v="1"/>
    <n v="226302"/>
    <n v="173213"/>
    <n v="53089"/>
    <x v="0"/>
    <n v="226302"/>
    <n v="0"/>
    <n v="0"/>
    <n v="1"/>
    <n v="1"/>
    <s v="Yes"/>
    <x v="0"/>
  </r>
  <r>
    <n v="21471"/>
    <d v="2024-03-24T00:00:00"/>
    <x v="2"/>
    <s v="Noida"/>
    <s v="SC_NOI_2"/>
    <x v="1"/>
    <s v="Taycan"/>
    <s v="Sedan"/>
    <x v="1"/>
    <x v="0"/>
    <x v="2"/>
    <x v="0"/>
    <n v="9"/>
    <n v="7"/>
    <x v="1"/>
    <x v="1"/>
    <n v="318540"/>
    <n v="198192"/>
    <n v="120348"/>
    <x v="3"/>
    <n v="0"/>
    <n v="0"/>
    <n v="1"/>
    <n v="0"/>
    <n v="1"/>
    <s v="Yes"/>
    <x v="2"/>
  </r>
  <r>
    <n v="21472"/>
    <d v="2024-01-01T00:00:00"/>
    <x v="0"/>
    <s v="Hyderabad"/>
    <s v="SC_HYD_3"/>
    <x v="1"/>
    <s v="Veyron"/>
    <s v="Hypercar"/>
    <x v="1"/>
    <x v="2"/>
    <x v="2"/>
    <x v="0"/>
    <n v="3"/>
    <n v="7"/>
    <x v="0"/>
    <x v="0"/>
    <n v="477201"/>
    <n v="349607"/>
    <n v="127594"/>
    <x v="3"/>
    <n v="0"/>
    <n v="1"/>
    <n v="0"/>
    <n v="1"/>
    <n v="1"/>
    <s v="No"/>
    <x v="2"/>
  </r>
  <r>
    <n v="21473"/>
    <d v="2024-04-03T00:00:00"/>
    <x v="2"/>
    <s v="Gurugram"/>
    <s v="SC_GUR_4"/>
    <x v="2"/>
    <s v="Panamera"/>
    <s v="Sedan"/>
    <x v="1"/>
    <x v="1"/>
    <x v="2"/>
    <x v="0"/>
    <n v="9"/>
    <n v="7"/>
    <x v="0"/>
    <x v="0"/>
    <n v="261365"/>
    <n v="182402"/>
    <n v="78963"/>
    <x v="2"/>
    <n v="0"/>
    <n v="1"/>
    <n v="0"/>
    <n v="1"/>
    <n v="1"/>
    <s v="Yes"/>
    <x v="1"/>
  </r>
  <r>
    <n v="21474"/>
    <d v="2024-02-20T00:00:00"/>
    <x v="3"/>
    <s v="Pune"/>
    <s v="SC_PUN_4"/>
    <x v="2"/>
    <s v="Cayenne"/>
    <s v="SUV"/>
    <x v="1"/>
    <x v="4"/>
    <x v="2"/>
    <x v="1"/>
    <n v="3"/>
    <n v="7"/>
    <x v="1"/>
    <x v="1"/>
    <n v="503530"/>
    <n v="270810"/>
    <n v="232720"/>
    <x v="4"/>
    <n v="0"/>
    <n v="0"/>
    <n v="1"/>
    <n v="0"/>
    <n v="1"/>
    <s v="No"/>
    <x v="2"/>
  </r>
  <r>
    <n v="21475"/>
    <d v="2024-02-03T00:00:00"/>
    <x v="3"/>
    <s v="Mumbai"/>
    <s v="SC_MUM_4"/>
    <x v="1"/>
    <s v="Cayenne"/>
    <s v="SUV"/>
    <x v="1"/>
    <x v="1"/>
    <x v="0"/>
    <x v="0"/>
    <n v="18"/>
    <n v="7"/>
    <x v="0"/>
    <x v="0"/>
    <n v="149226"/>
    <n v="118964"/>
    <n v="30262"/>
    <x v="0"/>
    <n v="0"/>
    <n v="1"/>
    <n v="0"/>
    <n v="1"/>
    <n v="1"/>
    <s v="Yes"/>
    <x v="0"/>
  </r>
  <r>
    <n v="21476"/>
    <d v="2024-06-28T00:00:00"/>
    <x v="2"/>
    <s v="Noida"/>
    <s v="SC_NOI_4"/>
    <x v="0"/>
    <s v="Panamera"/>
    <s v="Sedan"/>
    <x v="1"/>
    <x v="4"/>
    <x v="0"/>
    <x v="0"/>
    <n v="12"/>
    <n v="7"/>
    <x v="0"/>
    <x v="1"/>
    <n v="406485"/>
    <n v="251060"/>
    <n v="155425"/>
    <x v="1"/>
    <n v="406485"/>
    <n v="0"/>
    <n v="0"/>
    <n v="1"/>
    <n v="1"/>
    <s v="Yes"/>
    <x v="0"/>
  </r>
  <r>
    <n v="21477"/>
    <d v="2024-04-12T00:00:00"/>
    <x v="2"/>
    <s v="Delhi"/>
    <s v="SC_DEL_3"/>
    <x v="1"/>
    <s v="Chiron"/>
    <s v="Hypercar"/>
    <x v="0"/>
    <x v="4"/>
    <x v="0"/>
    <x v="0"/>
    <n v="14"/>
    <n v="7"/>
    <x v="0"/>
    <x v="1"/>
    <n v="216239"/>
    <n v="139812"/>
    <n v="76427"/>
    <x v="1"/>
    <n v="216239"/>
    <n v="0"/>
    <n v="0"/>
    <n v="1"/>
    <n v="1"/>
    <s v="Yes"/>
    <x v="0"/>
  </r>
  <r>
    <n v="21478"/>
    <d v="2024-01-09T00:00:00"/>
    <x v="0"/>
    <s v="Chennai"/>
    <s v="SC_CHE_1"/>
    <x v="1"/>
    <s v="Chiron"/>
    <s v="Hypercar"/>
    <x v="1"/>
    <x v="2"/>
    <x v="1"/>
    <x v="0"/>
    <n v="15"/>
    <n v="7"/>
    <x v="1"/>
    <x v="1"/>
    <n v="487984"/>
    <n v="384620"/>
    <n v="103364"/>
    <x v="1"/>
    <n v="0"/>
    <n v="0"/>
    <n v="1"/>
    <n v="0"/>
    <n v="1"/>
    <s v="Yes"/>
    <x v="0"/>
  </r>
  <r>
    <n v="21479"/>
    <d v="2024-05-24T00:00:00"/>
    <x v="2"/>
    <s v="Gurugram"/>
    <s v="SC_GUR_5"/>
    <x v="1"/>
    <s v="Macan"/>
    <s v="SUV"/>
    <x v="1"/>
    <x v="2"/>
    <x v="2"/>
    <x v="0"/>
    <n v="18"/>
    <n v="7"/>
    <x v="0"/>
    <x v="1"/>
    <n v="318694"/>
    <n v="203285"/>
    <n v="115409"/>
    <x v="0"/>
    <n v="318694"/>
    <n v="0"/>
    <n v="0"/>
    <n v="1"/>
    <n v="1"/>
    <s v="Yes"/>
    <x v="0"/>
  </r>
  <r>
    <n v="21480"/>
    <d v="2024-05-04T00:00:00"/>
    <x v="0"/>
    <s v="Bengaluru"/>
    <s v="SC_BEN_3"/>
    <x v="2"/>
    <s v="Panamera"/>
    <s v="Sedan"/>
    <x v="1"/>
    <x v="3"/>
    <x v="2"/>
    <x v="0"/>
    <n v="10"/>
    <n v="7"/>
    <x v="0"/>
    <x v="0"/>
    <n v="208180"/>
    <n v="143933"/>
    <n v="64247"/>
    <x v="1"/>
    <n v="0"/>
    <n v="1"/>
    <n v="0"/>
    <n v="1"/>
    <n v="1"/>
    <s v="Yes"/>
    <x v="0"/>
  </r>
  <r>
    <n v="21481"/>
    <d v="2024-06-18T00:00:00"/>
    <x v="1"/>
    <s v="Kolkata"/>
    <s v="SC_KOL_1"/>
    <x v="0"/>
    <s v="Taycan"/>
    <s v="Sedan"/>
    <x v="1"/>
    <x v="2"/>
    <x v="2"/>
    <x v="1"/>
    <n v="23"/>
    <n v="7"/>
    <x v="0"/>
    <x v="0"/>
    <n v="475766"/>
    <n v="271510"/>
    <n v="204256"/>
    <x v="0"/>
    <n v="0"/>
    <n v="1"/>
    <n v="0"/>
    <n v="1"/>
    <n v="1"/>
    <s v="Yes"/>
    <x v="0"/>
  </r>
  <r>
    <n v="21482"/>
    <d v="2024-06-20T00:00:00"/>
    <x v="1"/>
    <s v="Kolkata"/>
    <s v="SC_KOL_4"/>
    <x v="1"/>
    <s v="Veyron"/>
    <s v="Hypercar"/>
    <x v="0"/>
    <x v="2"/>
    <x v="1"/>
    <x v="1"/>
    <n v="4"/>
    <n v="7"/>
    <x v="1"/>
    <x v="1"/>
    <n v="544540"/>
    <n v="315823"/>
    <n v="228717"/>
    <x v="4"/>
    <n v="0"/>
    <n v="0"/>
    <n v="1"/>
    <n v="0"/>
    <n v="1"/>
    <s v="No"/>
    <x v="2"/>
  </r>
  <r>
    <n v="21483"/>
    <d v="2024-05-26T00:00:00"/>
    <x v="2"/>
    <s v="Delhi"/>
    <s v="SC_DEL_5"/>
    <x v="2"/>
    <s v="Macan"/>
    <s v="SUV"/>
    <x v="0"/>
    <x v="1"/>
    <x v="0"/>
    <x v="1"/>
    <n v="20"/>
    <n v="7"/>
    <x v="0"/>
    <x v="0"/>
    <n v="521080"/>
    <n v="318293"/>
    <n v="202787"/>
    <x v="0"/>
    <n v="0"/>
    <n v="1"/>
    <n v="0"/>
    <n v="1"/>
    <n v="1"/>
    <s v="Yes"/>
    <x v="0"/>
  </r>
  <r>
    <n v="21484"/>
    <d v="2024-06-20T00:00:00"/>
    <x v="2"/>
    <s v="Noida"/>
    <s v="SC_NOI_5"/>
    <x v="0"/>
    <s v="Macan"/>
    <s v="SUV"/>
    <x v="1"/>
    <x v="4"/>
    <x v="1"/>
    <x v="0"/>
    <n v="22"/>
    <n v="7"/>
    <x v="1"/>
    <x v="0"/>
    <n v="500470"/>
    <n v="340114"/>
    <n v="160356"/>
    <x v="0"/>
    <n v="0"/>
    <n v="1"/>
    <n v="1"/>
    <n v="0"/>
    <n v="1"/>
    <s v="Yes"/>
    <x v="0"/>
  </r>
  <r>
    <n v="21485"/>
    <d v="2024-02-09T00:00:00"/>
    <x v="3"/>
    <s v="Pune"/>
    <s v="SC_PUN_5"/>
    <x v="2"/>
    <s v="Taycan"/>
    <s v="Sedan"/>
    <x v="1"/>
    <x v="1"/>
    <x v="0"/>
    <x v="1"/>
    <n v="12"/>
    <n v="7"/>
    <x v="0"/>
    <x v="1"/>
    <n v="341757"/>
    <n v="285525"/>
    <n v="56232"/>
    <x v="1"/>
    <n v="341757"/>
    <n v="0"/>
    <n v="0"/>
    <n v="1"/>
    <n v="1"/>
    <s v="Yes"/>
    <x v="0"/>
  </r>
  <r>
    <n v="21486"/>
    <d v="2024-05-12T00:00:00"/>
    <x v="0"/>
    <s v="Chennai"/>
    <s v="SC_CHE_1"/>
    <x v="0"/>
    <s v="Macan"/>
    <s v="SUV"/>
    <x v="1"/>
    <x v="4"/>
    <x v="2"/>
    <x v="1"/>
    <n v="15"/>
    <n v="7"/>
    <x v="0"/>
    <x v="0"/>
    <n v="555953"/>
    <n v="387979"/>
    <n v="167974"/>
    <x v="0"/>
    <n v="0"/>
    <n v="1"/>
    <n v="0"/>
    <n v="1"/>
    <n v="1"/>
    <s v="Yes"/>
    <x v="0"/>
  </r>
  <r>
    <n v="21487"/>
    <d v="2024-02-26T00:00:00"/>
    <x v="1"/>
    <s v="Kolkata"/>
    <s v="SC_KOL_4"/>
    <x v="0"/>
    <s v="Macan"/>
    <s v="SUV"/>
    <x v="1"/>
    <x v="4"/>
    <x v="0"/>
    <x v="0"/>
    <n v="14"/>
    <n v="7"/>
    <x v="0"/>
    <x v="1"/>
    <n v="145481"/>
    <n v="112289"/>
    <n v="33192"/>
    <x v="1"/>
    <n v="145481"/>
    <n v="0"/>
    <n v="0"/>
    <n v="1"/>
    <n v="1"/>
    <s v="Yes"/>
    <x v="0"/>
  </r>
  <r>
    <n v="21488"/>
    <d v="2024-02-12T00:00:00"/>
    <x v="2"/>
    <s v="Noida"/>
    <s v="SC_NOI_3"/>
    <x v="2"/>
    <s v="Cayenne"/>
    <s v="SUV"/>
    <x v="0"/>
    <x v="1"/>
    <x v="0"/>
    <x v="1"/>
    <n v="8"/>
    <n v="7"/>
    <x v="0"/>
    <x v="0"/>
    <n v="214649"/>
    <n v="112902"/>
    <n v="101747"/>
    <x v="2"/>
    <n v="0"/>
    <n v="1"/>
    <n v="0"/>
    <n v="1"/>
    <n v="1"/>
    <s v="Yes"/>
    <x v="1"/>
  </r>
  <r>
    <n v="21489"/>
    <d v="2024-02-13T00:00:00"/>
    <x v="2"/>
    <s v="Delhi"/>
    <s v="SC_DEL_1"/>
    <x v="2"/>
    <s v="Panamera"/>
    <s v="Sedan"/>
    <x v="1"/>
    <x v="1"/>
    <x v="2"/>
    <x v="0"/>
    <n v="18"/>
    <n v="7"/>
    <x v="1"/>
    <x v="0"/>
    <n v="122780"/>
    <n v="99806"/>
    <n v="22974"/>
    <x v="1"/>
    <n v="0"/>
    <n v="1"/>
    <n v="1"/>
    <n v="0"/>
    <n v="1"/>
    <s v="Yes"/>
    <x v="0"/>
  </r>
  <r>
    <n v="21490"/>
    <d v="2024-01-21T00:00:00"/>
    <x v="0"/>
    <s v="Chennai"/>
    <s v="SC_CHE_3"/>
    <x v="0"/>
    <s v="Chiron"/>
    <s v="Hypercar"/>
    <x v="1"/>
    <x v="1"/>
    <x v="2"/>
    <x v="0"/>
    <n v="20"/>
    <n v="7"/>
    <x v="1"/>
    <x v="0"/>
    <n v="164419"/>
    <n v="130945"/>
    <n v="33474"/>
    <x v="0"/>
    <n v="0"/>
    <n v="1"/>
    <n v="1"/>
    <n v="0"/>
    <n v="1"/>
    <s v="Yes"/>
    <x v="0"/>
  </r>
  <r>
    <n v="21491"/>
    <d v="2024-02-03T00:00:00"/>
    <x v="3"/>
    <s v="Ahmedabad"/>
    <s v="SC_AHM_2"/>
    <x v="0"/>
    <s v="Cayenne"/>
    <s v="SUV"/>
    <x v="0"/>
    <x v="4"/>
    <x v="0"/>
    <x v="0"/>
    <n v="16"/>
    <n v="7"/>
    <x v="0"/>
    <x v="1"/>
    <n v="150448"/>
    <n v="87894"/>
    <n v="62554"/>
    <x v="0"/>
    <n v="150448"/>
    <n v="0"/>
    <n v="0"/>
    <n v="1"/>
    <n v="1"/>
    <s v="Yes"/>
    <x v="0"/>
  </r>
  <r>
    <n v="21492"/>
    <d v="2024-06-14T00:00:00"/>
    <x v="0"/>
    <s v="Chennai"/>
    <s v="SC_CHE_2"/>
    <x v="2"/>
    <s v="911"/>
    <s v="Coupe"/>
    <x v="1"/>
    <x v="4"/>
    <x v="1"/>
    <x v="0"/>
    <n v="21"/>
    <n v="7"/>
    <x v="1"/>
    <x v="1"/>
    <n v="434669"/>
    <n v="217525"/>
    <n v="217144"/>
    <x v="0"/>
    <n v="0"/>
    <n v="0"/>
    <n v="1"/>
    <n v="0"/>
    <n v="1"/>
    <s v="Yes"/>
    <x v="0"/>
  </r>
  <r>
    <n v="21493"/>
    <d v="2024-01-14T00:00:00"/>
    <x v="0"/>
    <s v="Chennai"/>
    <s v="SC_CHE_2"/>
    <x v="2"/>
    <s v="Panamera"/>
    <s v="Sedan"/>
    <x v="1"/>
    <x v="2"/>
    <x v="1"/>
    <x v="0"/>
    <n v="11"/>
    <n v="7"/>
    <x v="0"/>
    <x v="1"/>
    <n v="554910"/>
    <n v="352876"/>
    <n v="202034"/>
    <x v="1"/>
    <n v="554910"/>
    <n v="0"/>
    <n v="0"/>
    <n v="1"/>
    <n v="1"/>
    <s v="Yes"/>
    <x v="0"/>
  </r>
  <r>
    <n v="21494"/>
    <d v="2024-06-18T00:00:00"/>
    <x v="1"/>
    <s v="Patna"/>
    <s v="SC_PAT_5"/>
    <x v="0"/>
    <s v="Chiron"/>
    <s v="Hypercar"/>
    <x v="1"/>
    <x v="1"/>
    <x v="1"/>
    <x v="0"/>
    <n v="19"/>
    <n v="7"/>
    <x v="1"/>
    <x v="0"/>
    <n v="447306"/>
    <n v="374892"/>
    <n v="72414"/>
    <x v="1"/>
    <n v="0"/>
    <n v="1"/>
    <n v="1"/>
    <n v="0"/>
    <n v="1"/>
    <s v="Yes"/>
    <x v="0"/>
  </r>
  <r>
    <n v="21495"/>
    <d v="2024-04-02T00:00:00"/>
    <x v="0"/>
    <s v="Bengaluru"/>
    <s v="SC_BEN_1"/>
    <x v="2"/>
    <s v="Taycan"/>
    <s v="Sedan"/>
    <x v="1"/>
    <x v="3"/>
    <x v="1"/>
    <x v="0"/>
    <n v="2"/>
    <n v="7"/>
    <x v="0"/>
    <x v="1"/>
    <n v="333785"/>
    <n v="200249"/>
    <n v="133536"/>
    <x v="3"/>
    <n v="333785"/>
    <n v="0"/>
    <n v="0"/>
    <n v="1"/>
    <n v="1"/>
    <s v="No"/>
    <x v="2"/>
  </r>
  <r>
    <n v="21496"/>
    <d v="2024-06-15T00:00:00"/>
    <x v="2"/>
    <s v="Noida"/>
    <s v="SC_NOI_4"/>
    <x v="1"/>
    <s v="Macan"/>
    <s v="SUV"/>
    <x v="0"/>
    <x v="3"/>
    <x v="1"/>
    <x v="0"/>
    <n v="20"/>
    <n v="7"/>
    <x v="1"/>
    <x v="1"/>
    <n v="312482"/>
    <n v="219786"/>
    <n v="92696"/>
    <x v="0"/>
    <n v="0"/>
    <n v="0"/>
    <n v="1"/>
    <n v="0"/>
    <n v="1"/>
    <s v="Yes"/>
    <x v="0"/>
  </r>
  <r>
    <n v="21497"/>
    <d v="2024-02-11T00:00:00"/>
    <x v="0"/>
    <s v="Chennai"/>
    <s v="SC_CHE_5"/>
    <x v="2"/>
    <s v="Panamera"/>
    <s v="Sedan"/>
    <x v="0"/>
    <x v="2"/>
    <x v="1"/>
    <x v="0"/>
    <n v="10"/>
    <n v="7"/>
    <x v="1"/>
    <x v="1"/>
    <n v="242090"/>
    <n v="175859"/>
    <n v="66231"/>
    <x v="2"/>
    <n v="0"/>
    <n v="0"/>
    <n v="1"/>
    <n v="0"/>
    <n v="1"/>
    <s v="Yes"/>
    <x v="1"/>
  </r>
  <r>
    <n v="21498"/>
    <d v="2024-04-24T00:00:00"/>
    <x v="0"/>
    <s v="Chennai"/>
    <s v="SC_CHE_5"/>
    <x v="2"/>
    <s v="Chiron"/>
    <s v="Hypercar"/>
    <x v="0"/>
    <x v="0"/>
    <x v="1"/>
    <x v="1"/>
    <n v="14"/>
    <n v="7"/>
    <x v="0"/>
    <x v="1"/>
    <n v="288997"/>
    <n v="221179"/>
    <n v="67818"/>
    <x v="1"/>
    <n v="288997"/>
    <n v="0"/>
    <n v="0"/>
    <n v="1"/>
    <n v="1"/>
    <s v="Yes"/>
    <x v="0"/>
  </r>
  <r>
    <n v="21499"/>
    <d v="2024-01-01T00:00:00"/>
    <x v="2"/>
    <s v="Gurugram"/>
    <s v="SC_GUR_4"/>
    <x v="1"/>
    <s v="Panamera"/>
    <s v="Sedan"/>
    <x v="1"/>
    <x v="1"/>
    <x v="1"/>
    <x v="0"/>
    <n v="9"/>
    <n v="7"/>
    <x v="1"/>
    <x v="1"/>
    <n v="111804"/>
    <n v="87899"/>
    <n v="23905"/>
    <x v="3"/>
    <n v="0"/>
    <n v="0"/>
    <n v="1"/>
    <n v="0"/>
    <n v="1"/>
    <s v="Yes"/>
    <x v="2"/>
  </r>
  <r>
    <n v="21500"/>
    <d v="2024-05-14T00:00:00"/>
    <x v="2"/>
    <s v="Gurugram"/>
    <s v="SC_GUR_1"/>
    <x v="2"/>
    <s v="Panamera"/>
    <s v="Sedan"/>
    <x v="1"/>
    <x v="3"/>
    <x v="2"/>
    <x v="1"/>
    <n v="4"/>
    <n v="7"/>
    <x v="1"/>
    <x v="1"/>
    <n v="453963"/>
    <n v="329493"/>
    <n v="124470"/>
    <x v="4"/>
    <n v="0"/>
    <n v="0"/>
    <n v="1"/>
    <n v="0"/>
    <n v="1"/>
    <s v="No"/>
    <x v="2"/>
  </r>
  <r>
    <n v="21501"/>
    <d v="2024-04-11T00:00:00"/>
    <x v="0"/>
    <s v="Bengaluru"/>
    <s v="SC_BEN_4"/>
    <x v="1"/>
    <s v="Veyron"/>
    <s v="Hypercar"/>
    <x v="1"/>
    <x v="0"/>
    <x v="0"/>
    <x v="0"/>
    <n v="9"/>
    <n v="7"/>
    <x v="1"/>
    <x v="1"/>
    <n v="462323"/>
    <n v="292352"/>
    <n v="169971"/>
    <x v="3"/>
    <n v="0"/>
    <n v="0"/>
    <n v="1"/>
    <n v="0"/>
    <n v="1"/>
    <s v="Yes"/>
    <x v="2"/>
  </r>
  <r>
    <n v="21502"/>
    <d v="2024-01-09T00:00:00"/>
    <x v="0"/>
    <s v="Hyderabad"/>
    <s v="SC_HYD_1"/>
    <x v="0"/>
    <s v="Chiron"/>
    <s v="Hypercar"/>
    <x v="1"/>
    <x v="3"/>
    <x v="1"/>
    <x v="1"/>
    <n v="11"/>
    <n v="7"/>
    <x v="1"/>
    <x v="1"/>
    <n v="519327"/>
    <n v="290137"/>
    <n v="229190"/>
    <x v="2"/>
    <n v="0"/>
    <n v="0"/>
    <n v="1"/>
    <n v="0"/>
    <n v="1"/>
    <s v="Yes"/>
    <x v="1"/>
  </r>
  <r>
    <n v="21503"/>
    <d v="2024-04-16T00:00:00"/>
    <x v="1"/>
    <s v="Kolkata"/>
    <s v="SC_KOL_1"/>
    <x v="1"/>
    <s v="Taycan"/>
    <s v="Sedan"/>
    <x v="0"/>
    <x v="0"/>
    <x v="1"/>
    <x v="0"/>
    <n v="2"/>
    <n v="7"/>
    <x v="0"/>
    <x v="1"/>
    <n v="248822"/>
    <n v="183770"/>
    <n v="65052"/>
    <x v="3"/>
    <n v="248822"/>
    <n v="0"/>
    <n v="0"/>
    <n v="1"/>
    <n v="1"/>
    <s v="No"/>
    <x v="2"/>
  </r>
  <r>
    <n v="21504"/>
    <d v="2024-01-22T00:00:00"/>
    <x v="1"/>
    <s v="Kolkata"/>
    <s v="SC_KOL_1"/>
    <x v="0"/>
    <s v="Macan"/>
    <s v="SUV"/>
    <x v="0"/>
    <x v="3"/>
    <x v="0"/>
    <x v="1"/>
    <n v="24"/>
    <n v="7"/>
    <x v="0"/>
    <x v="0"/>
    <n v="341702"/>
    <n v="199609"/>
    <n v="142093"/>
    <x v="0"/>
    <n v="0"/>
    <n v="1"/>
    <n v="0"/>
    <n v="1"/>
    <n v="1"/>
    <s v="Yes"/>
    <x v="0"/>
  </r>
  <r>
    <n v="21505"/>
    <d v="2024-06-26T00:00:00"/>
    <x v="0"/>
    <s v="Chennai"/>
    <s v="SC_CHE_5"/>
    <x v="0"/>
    <s v="911"/>
    <s v="Coupe"/>
    <x v="1"/>
    <x v="1"/>
    <x v="0"/>
    <x v="0"/>
    <n v="15"/>
    <n v="7"/>
    <x v="0"/>
    <x v="1"/>
    <n v="384276"/>
    <n v="215676"/>
    <n v="168600"/>
    <x v="0"/>
    <n v="384276"/>
    <n v="0"/>
    <n v="0"/>
    <n v="1"/>
    <n v="1"/>
    <s v="Yes"/>
    <x v="0"/>
  </r>
  <r>
    <n v="21506"/>
    <d v="2024-03-19T00:00:00"/>
    <x v="0"/>
    <s v="Chennai"/>
    <s v="SC_CHE_3"/>
    <x v="2"/>
    <s v="Cayenne"/>
    <s v="SUV"/>
    <x v="0"/>
    <x v="2"/>
    <x v="1"/>
    <x v="0"/>
    <n v="5"/>
    <n v="7"/>
    <x v="0"/>
    <x v="1"/>
    <n v="557714"/>
    <n v="347492"/>
    <n v="210222"/>
    <x v="2"/>
    <n v="557714"/>
    <n v="0"/>
    <n v="0"/>
    <n v="1"/>
    <n v="1"/>
    <s v="No"/>
    <x v="1"/>
  </r>
  <r>
    <n v="21507"/>
    <d v="2024-05-31T00:00:00"/>
    <x v="1"/>
    <s v="Patna"/>
    <s v="SC_PAT_2"/>
    <x v="2"/>
    <s v="Veyron"/>
    <s v="Hypercar"/>
    <x v="0"/>
    <x v="0"/>
    <x v="1"/>
    <x v="0"/>
    <n v="23"/>
    <n v="7"/>
    <x v="1"/>
    <x v="0"/>
    <n v="277340"/>
    <n v="192028"/>
    <n v="85312"/>
    <x v="0"/>
    <n v="0"/>
    <n v="1"/>
    <n v="1"/>
    <n v="0"/>
    <n v="1"/>
    <s v="Yes"/>
    <x v="0"/>
  </r>
  <r>
    <n v="21508"/>
    <d v="2024-05-20T00:00:00"/>
    <x v="1"/>
    <s v="Patna"/>
    <s v="SC_PAT_5"/>
    <x v="1"/>
    <s v="Taycan"/>
    <s v="Sedan"/>
    <x v="0"/>
    <x v="2"/>
    <x v="2"/>
    <x v="0"/>
    <n v="20"/>
    <n v="7"/>
    <x v="0"/>
    <x v="0"/>
    <n v="459209"/>
    <n v="233670"/>
    <n v="225539"/>
    <x v="0"/>
    <n v="0"/>
    <n v="1"/>
    <n v="0"/>
    <n v="1"/>
    <n v="1"/>
    <s v="Yes"/>
    <x v="0"/>
  </r>
  <r>
    <n v="21509"/>
    <d v="2024-05-22T00:00:00"/>
    <x v="3"/>
    <s v="Mumbai"/>
    <s v="SC_MUM_5"/>
    <x v="1"/>
    <s v="Taycan"/>
    <s v="Sedan"/>
    <x v="1"/>
    <x v="1"/>
    <x v="0"/>
    <x v="1"/>
    <n v="17"/>
    <n v="7"/>
    <x v="0"/>
    <x v="1"/>
    <n v="149002"/>
    <n v="98228"/>
    <n v="50774"/>
    <x v="0"/>
    <n v="149002"/>
    <n v="0"/>
    <n v="0"/>
    <n v="1"/>
    <n v="1"/>
    <s v="Yes"/>
    <x v="0"/>
  </r>
  <r>
    <n v="21510"/>
    <d v="2024-03-19T00:00:00"/>
    <x v="2"/>
    <s v="Delhi"/>
    <s v="SC_DEL_2"/>
    <x v="2"/>
    <s v="Panamera"/>
    <s v="Sedan"/>
    <x v="1"/>
    <x v="2"/>
    <x v="2"/>
    <x v="1"/>
    <n v="13"/>
    <n v="7"/>
    <x v="1"/>
    <x v="1"/>
    <n v="541217"/>
    <n v="393199"/>
    <n v="148018"/>
    <x v="2"/>
    <n v="0"/>
    <n v="0"/>
    <n v="1"/>
    <n v="0"/>
    <n v="1"/>
    <s v="Yes"/>
    <x v="1"/>
  </r>
  <r>
    <n v="21511"/>
    <d v="2024-05-16T00:00:00"/>
    <x v="0"/>
    <s v="Bengaluru"/>
    <s v="SC_BEN_3"/>
    <x v="1"/>
    <s v="Cayenne"/>
    <s v="SUV"/>
    <x v="1"/>
    <x v="2"/>
    <x v="2"/>
    <x v="0"/>
    <n v="21"/>
    <n v="7"/>
    <x v="0"/>
    <x v="1"/>
    <n v="305534"/>
    <n v="238067"/>
    <n v="67467"/>
    <x v="0"/>
    <n v="305534"/>
    <n v="0"/>
    <n v="0"/>
    <n v="1"/>
    <n v="1"/>
    <s v="Yes"/>
    <x v="0"/>
  </r>
  <r>
    <n v="21512"/>
    <d v="2024-03-08T00:00:00"/>
    <x v="0"/>
    <s v="Bengaluru"/>
    <s v="SC_BEN_1"/>
    <x v="1"/>
    <s v="Veyron"/>
    <s v="Hypercar"/>
    <x v="0"/>
    <x v="0"/>
    <x v="2"/>
    <x v="1"/>
    <n v="24"/>
    <n v="7"/>
    <x v="0"/>
    <x v="1"/>
    <n v="559440"/>
    <n v="412844"/>
    <n v="146596"/>
    <x v="0"/>
    <n v="559440"/>
    <n v="0"/>
    <n v="0"/>
    <n v="1"/>
    <n v="1"/>
    <s v="Yes"/>
    <x v="0"/>
  </r>
  <r>
    <n v="21513"/>
    <d v="2024-02-25T00:00:00"/>
    <x v="2"/>
    <s v="Noida"/>
    <s v="SC_NOI_2"/>
    <x v="0"/>
    <s v="911"/>
    <s v="Coupe"/>
    <x v="0"/>
    <x v="4"/>
    <x v="0"/>
    <x v="1"/>
    <n v="10"/>
    <n v="7"/>
    <x v="0"/>
    <x v="0"/>
    <n v="459442"/>
    <n v="248798"/>
    <n v="210644"/>
    <x v="1"/>
    <n v="0"/>
    <n v="1"/>
    <n v="0"/>
    <n v="1"/>
    <n v="1"/>
    <s v="Yes"/>
    <x v="0"/>
  </r>
  <r>
    <n v="21514"/>
    <d v="2024-05-31T00:00:00"/>
    <x v="1"/>
    <s v="Bhubaneswar"/>
    <s v="SC_BHU_4"/>
    <x v="0"/>
    <s v="911"/>
    <s v="Coupe"/>
    <x v="1"/>
    <x v="3"/>
    <x v="0"/>
    <x v="1"/>
    <n v="7"/>
    <n v="7"/>
    <x v="0"/>
    <x v="1"/>
    <n v="281510"/>
    <n v="155168"/>
    <n v="126342"/>
    <x v="2"/>
    <n v="281510"/>
    <n v="0"/>
    <n v="0"/>
    <n v="1"/>
    <n v="1"/>
    <s v="No"/>
    <x v="1"/>
  </r>
  <r>
    <n v="21515"/>
    <d v="2024-01-12T00:00:00"/>
    <x v="1"/>
    <s v="Kolkata"/>
    <s v="SC_KOL_3"/>
    <x v="2"/>
    <s v="Panamera"/>
    <s v="Sedan"/>
    <x v="1"/>
    <x v="0"/>
    <x v="1"/>
    <x v="0"/>
    <n v="7"/>
    <n v="7"/>
    <x v="1"/>
    <x v="0"/>
    <n v="132448"/>
    <n v="87758"/>
    <n v="44690"/>
    <x v="3"/>
    <n v="0"/>
    <n v="1"/>
    <n v="1"/>
    <n v="0"/>
    <n v="1"/>
    <s v="No"/>
    <x v="2"/>
  </r>
  <r>
    <n v="21516"/>
    <d v="2024-03-14T00:00:00"/>
    <x v="1"/>
    <s v="Kolkata"/>
    <s v="SC_KOL_3"/>
    <x v="1"/>
    <s v="Panamera"/>
    <s v="Sedan"/>
    <x v="0"/>
    <x v="3"/>
    <x v="0"/>
    <x v="0"/>
    <n v="5"/>
    <n v="7"/>
    <x v="1"/>
    <x v="1"/>
    <n v="531602"/>
    <n v="357937"/>
    <n v="173665"/>
    <x v="3"/>
    <n v="0"/>
    <n v="0"/>
    <n v="1"/>
    <n v="0"/>
    <n v="1"/>
    <s v="No"/>
    <x v="2"/>
  </r>
  <r>
    <n v="21517"/>
    <d v="2024-02-06T00:00:00"/>
    <x v="1"/>
    <s v="Patna"/>
    <s v="SC_PAT_1"/>
    <x v="0"/>
    <s v="Panamera"/>
    <s v="Sedan"/>
    <x v="0"/>
    <x v="2"/>
    <x v="1"/>
    <x v="0"/>
    <n v="2"/>
    <n v="7"/>
    <x v="0"/>
    <x v="0"/>
    <n v="140694"/>
    <n v="114182"/>
    <n v="26512"/>
    <x v="3"/>
    <n v="0"/>
    <n v="1"/>
    <n v="0"/>
    <n v="1"/>
    <n v="1"/>
    <s v="No"/>
    <x v="2"/>
  </r>
  <r>
    <n v="21518"/>
    <d v="2024-02-20T00:00:00"/>
    <x v="1"/>
    <s v="Kolkata"/>
    <s v="SC_KOL_1"/>
    <x v="2"/>
    <s v="Cayenne"/>
    <s v="SUV"/>
    <x v="1"/>
    <x v="1"/>
    <x v="0"/>
    <x v="1"/>
    <n v="16"/>
    <n v="7"/>
    <x v="0"/>
    <x v="1"/>
    <n v="396078"/>
    <n v="264659"/>
    <n v="131419"/>
    <x v="0"/>
    <n v="396078"/>
    <n v="0"/>
    <n v="0"/>
    <n v="1"/>
    <n v="1"/>
    <s v="Yes"/>
    <x v="0"/>
  </r>
  <r>
    <n v="21519"/>
    <d v="2024-06-16T00:00:00"/>
    <x v="1"/>
    <s v="Patna"/>
    <s v="SC_PAT_2"/>
    <x v="0"/>
    <s v="Cayenne"/>
    <s v="SUV"/>
    <x v="0"/>
    <x v="2"/>
    <x v="2"/>
    <x v="0"/>
    <n v="24"/>
    <n v="7"/>
    <x v="0"/>
    <x v="0"/>
    <n v="274948"/>
    <n v="190731"/>
    <n v="84217"/>
    <x v="0"/>
    <n v="0"/>
    <n v="1"/>
    <n v="0"/>
    <n v="1"/>
    <n v="1"/>
    <s v="Yes"/>
    <x v="0"/>
  </r>
  <r>
    <n v="21520"/>
    <d v="2024-05-08T00:00:00"/>
    <x v="1"/>
    <s v="Kolkata"/>
    <s v="SC_KOL_2"/>
    <x v="2"/>
    <s v="Macan"/>
    <s v="SUV"/>
    <x v="1"/>
    <x v="0"/>
    <x v="2"/>
    <x v="1"/>
    <n v="4"/>
    <n v="7"/>
    <x v="1"/>
    <x v="0"/>
    <n v="243109"/>
    <n v="172003"/>
    <n v="71106"/>
    <x v="4"/>
    <n v="0"/>
    <n v="1"/>
    <n v="1"/>
    <n v="0"/>
    <n v="1"/>
    <s v="No"/>
    <x v="2"/>
  </r>
  <r>
    <n v="21521"/>
    <d v="2024-03-09T00:00:00"/>
    <x v="3"/>
    <s v="Ahmedabad"/>
    <s v="SC_AHM_5"/>
    <x v="1"/>
    <s v="Taycan"/>
    <s v="Sedan"/>
    <x v="1"/>
    <x v="1"/>
    <x v="1"/>
    <x v="0"/>
    <n v="14"/>
    <n v="7"/>
    <x v="0"/>
    <x v="1"/>
    <n v="100325"/>
    <n v="72035"/>
    <n v="28290"/>
    <x v="1"/>
    <n v="100325"/>
    <n v="0"/>
    <n v="0"/>
    <n v="1"/>
    <n v="1"/>
    <s v="Yes"/>
    <x v="0"/>
  </r>
  <r>
    <n v="21522"/>
    <d v="2024-02-17T00:00:00"/>
    <x v="3"/>
    <s v="Pune"/>
    <s v="SC_PUN_5"/>
    <x v="1"/>
    <s v="Panamera"/>
    <s v="Sedan"/>
    <x v="1"/>
    <x v="2"/>
    <x v="0"/>
    <x v="0"/>
    <n v="17"/>
    <n v="7"/>
    <x v="0"/>
    <x v="1"/>
    <n v="550904"/>
    <n v="430692"/>
    <n v="120212"/>
    <x v="0"/>
    <n v="550904"/>
    <n v="0"/>
    <n v="0"/>
    <n v="1"/>
    <n v="1"/>
    <s v="Yes"/>
    <x v="0"/>
  </r>
  <r>
    <n v="21523"/>
    <d v="2024-05-01T00:00:00"/>
    <x v="3"/>
    <s v="Pune"/>
    <s v="SC_PUN_4"/>
    <x v="2"/>
    <s v="Macan"/>
    <s v="SUV"/>
    <x v="1"/>
    <x v="3"/>
    <x v="2"/>
    <x v="0"/>
    <n v="12"/>
    <n v="7"/>
    <x v="1"/>
    <x v="1"/>
    <n v="288150"/>
    <n v="217516"/>
    <n v="70634"/>
    <x v="2"/>
    <n v="0"/>
    <n v="0"/>
    <n v="1"/>
    <n v="0"/>
    <n v="1"/>
    <s v="Yes"/>
    <x v="1"/>
  </r>
  <r>
    <n v="21524"/>
    <d v="2024-04-18T00:00:00"/>
    <x v="0"/>
    <s v="Chennai"/>
    <s v="SC_CHE_5"/>
    <x v="0"/>
    <s v="Panamera"/>
    <s v="Sedan"/>
    <x v="1"/>
    <x v="2"/>
    <x v="2"/>
    <x v="0"/>
    <n v="21"/>
    <n v="7"/>
    <x v="0"/>
    <x v="1"/>
    <n v="153911"/>
    <n v="86899"/>
    <n v="67012"/>
    <x v="0"/>
    <n v="153911"/>
    <n v="0"/>
    <n v="0"/>
    <n v="1"/>
    <n v="1"/>
    <s v="Yes"/>
    <x v="0"/>
  </r>
  <r>
    <n v="21525"/>
    <d v="2024-06-17T00:00:00"/>
    <x v="1"/>
    <s v="Patna"/>
    <s v="SC_PAT_1"/>
    <x v="1"/>
    <s v="Panamera"/>
    <s v="Sedan"/>
    <x v="0"/>
    <x v="0"/>
    <x v="1"/>
    <x v="1"/>
    <n v="24"/>
    <n v="7"/>
    <x v="0"/>
    <x v="1"/>
    <n v="140828"/>
    <n v="110704"/>
    <n v="30124"/>
    <x v="0"/>
    <n v="140828"/>
    <n v="0"/>
    <n v="0"/>
    <n v="1"/>
    <n v="1"/>
    <s v="Yes"/>
    <x v="0"/>
  </r>
  <r>
    <n v="21526"/>
    <d v="2024-04-15T00:00:00"/>
    <x v="2"/>
    <s v="Noida"/>
    <s v="SC_NOI_1"/>
    <x v="0"/>
    <s v="Panamera"/>
    <s v="Sedan"/>
    <x v="1"/>
    <x v="1"/>
    <x v="2"/>
    <x v="0"/>
    <n v="22"/>
    <n v="7"/>
    <x v="1"/>
    <x v="1"/>
    <n v="540285"/>
    <n v="354934"/>
    <n v="185351"/>
    <x v="0"/>
    <n v="0"/>
    <n v="0"/>
    <n v="1"/>
    <n v="0"/>
    <n v="1"/>
    <s v="Yes"/>
    <x v="0"/>
  </r>
  <r>
    <n v="21527"/>
    <d v="2024-05-28T00:00:00"/>
    <x v="3"/>
    <s v="Mumbai"/>
    <s v="SC_MUM_1"/>
    <x v="1"/>
    <s v="Chiron"/>
    <s v="Hypercar"/>
    <x v="1"/>
    <x v="1"/>
    <x v="2"/>
    <x v="0"/>
    <n v="9"/>
    <n v="7"/>
    <x v="0"/>
    <x v="1"/>
    <n v="454061"/>
    <n v="230167"/>
    <n v="223894"/>
    <x v="2"/>
    <n v="454061"/>
    <n v="0"/>
    <n v="0"/>
    <n v="1"/>
    <n v="1"/>
    <s v="Yes"/>
    <x v="1"/>
  </r>
  <r>
    <n v="21528"/>
    <d v="2024-05-20T00:00:00"/>
    <x v="1"/>
    <s v="Bhubaneswar"/>
    <s v="SC_BHU_4"/>
    <x v="1"/>
    <s v="Taycan"/>
    <s v="Sedan"/>
    <x v="1"/>
    <x v="1"/>
    <x v="0"/>
    <x v="0"/>
    <n v="20"/>
    <n v="7"/>
    <x v="0"/>
    <x v="0"/>
    <n v="206291"/>
    <n v="162255"/>
    <n v="44036"/>
    <x v="0"/>
    <n v="0"/>
    <n v="1"/>
    <n v="0"/>
    <n v="1"/>
    <n v="1"/>
    <s v="Yes"/>
    <x v="0"/>
  </r>
  <r>
    <n v="21529"/>
    <d v="2024-04-18T00:00:00"/>
    <x v="1"/>
    <s v="Kolkata"/>
    <s v="SC_KOL_1"/>
    <x v="1"/>
    <s v="911"/>
    <s v="Coupe"/>
    <x v="0"/>
    <x v="2"/>
    <x v="1"/>
    <x v="0"/>
    <n v="22"/>
    <n v="7"/>
    <x v="0"/>
    <x v="1"/>
    <n v="555722"/>
    <n v="300987"/>
    <n v="254735"/>
    <x v="0"/>
    <n v="555722"/>
    <n v="0"/>
    <n v="0"/>
    <n v="1"/>
    <n v="1"/>
    <s v="Yes"/>
    <x v="0"/>
  </r>
  <r>
    <n v="21530"/>
    <d v="2024-03-12T00:00:00"/>
    <x v="2"/>
    <s v="Noida"/>
    <s v="SC_NOI_4"/>
    <x v="2"/>
    <s v="Macan"/>
    <s v="SUV"/>
    <x v="0"/>
    <x v="0"/>
    <x v="2"/>
    <x v="1"/>
    <n v="15"/>
    <n v="7"/>
    <x v="0"/>
    <x v="1"/>
    <n v="453077"/>
    <n v="339281"/>
    <n v="113796"/>
    <x v="0"/>
    <n v="453077"/>
    <n v="0"/>
    <n v="0"/>
    <n v="1"/>
    <n v="1"/>
    <s v="Yes"/>
    <x v="0"/>
  </r>
  <r>
    <n v="21531"/>
    <d v="2024-04-01T00:00:00"/>
    <x v="3"/>
    <s v="Mumbai"/>
    <s v="SC_MUM_1"/>
    <x v="1"/>
    <s v="911"/>
    <s v="Coupe"/>
    <x v="1"/>
    <x v="1"/>
    <x v="2"/>
    <x v="0"/>
    <n v="16"/>
    <n v="7"/>
    <x v="0"/>
    <x v="1"/>
    <n v="444792"/>
    <n v="228659"/>
    <n v="216133"/>
    <x v="0"/>
    <n v="444792"/>
    <n v="0"/>
    <n v="0"/>
    <n v="1"/>
    <n v="1"/>
    <s v="Yes"/>
    <x v="0"/>
  </r>
  <r>
    <n v="21532"/>
    <d v="2024-01-12T00:00:00"/>
    <x v="0"/>
    <s v="Chennai"/>
    <s v="SC_CHE_4"/>
    <x v="2"/>
    <s v="Veyron"/>
    <s v="Hypercar"/>
    <x v="1"/>
    <x v="2"/>
    <x v="0"/>
    <x v="1"/>
    <n v="25"/>
    <n v="7"/>
    <x v="0"/>
    <x v="1"/>
    <n v="277818"/>
    <n v="160329"/>
    <n v="117489"/>
    <x v="0"/>
    <n v="277818"/>
    <n v="0"/>
    <n v="0"/>
    <n v="1"/>
    <n v="1"/>
    <s v="Yes"/>
    <x v="0"/>
  </r>
  <r>
    <n v="21533"/>
    <d v="2024-02-09T00:00:00"/>
    <x v="3"/>
    <s v="Mumbai"/>
    <s v="SC_MUM_3"/>
    <x v="2"/>
    <s v="Chiron"/>
    <s v="Hypercar"/>
    <x v="0"/>
    <x v="4"/>
    <x v="2"/>
    <x v="0"/>
    <n v="18"/>
    <n v="7"/>
    <x v="1"/>
    <x v="1"/>
    <n v="342400"/>
    <n v="201346"/>
    <n v="141054"/>
    <x v="1"/>
    <n v="0"/>
    <n v="0"/>
    <n v="1"/>
    <n v="0"/>
    <n v="1"/>
    <s v="Yes"/>
    <x v="0"/>
  </r>
  <r>
    <n v="21534"/>
    <d v="2024-03-22T00:00:00"/>
    <x v="2"/>
    <s v="Gurugram"/>
    <s v="SC_GUR_1"/>
    <x v="2"/>
    <s v="Panamera"/>
    <s v="Sedan"/>
    <x v="0"/>
    <x v="2"/>
    <x v="2"/>
    <x v="1"/>
    <n v="7"/>
    <n v="7"/>
    <x v="0"/>
    <x v="1"/>
    <n v="257253"/>
    <n v="153500"/>
    <n v="103753"/>
    <x v="2"/>
    <n v="257253"/>
    <n v="0"/>
    <n v="0"/>
    <n v="1"/>
    <n v="1"/>
    <s v="No"/>
    <x v="1"/>
  </r>
  <r>
    <n v="21535"/>
    <d v="2024-04-05T00:00:00"/>
    <x v="2"/>
    <s v="Noida"/>
    <s v="SC_NOI_2"/>
    <x v="2"/>
    <s v="Macan"/>
    <s v="SUV"/>
    <x v="0"/>
    <x v="1"/>
    <x v="2"/>
    <x v="1"/>
    <n v="7"/>
    <n v="7"/>
    <x v="0"/>
    <x v="1"/>
    <n v="221484"/>
    <n v="134323"/>
    <n v="87161"/>
    <x v="2"/>
    <n v="221484"/>
    <n v="0"/>
    <n v="0"/>
    <n v="1"/>
    <n v="1"/>
    <s v="No"/>
    <x v="1"/>
  </r>
  <r>
    <n v="21536"/>
    <d v="2024-04-22T00:00:00"/>
    <x v="3"/>
    <s v="Pune"/>
    <s v="SC_PUN_3"/>
    <x v="2"/>
    <s v="Cayenne"/>
    <s v="SUV"/>
    <x v="1"/>
    <x v="1"/>
    <x v="2"/>
    <x v="0"/>
    <n v="22"/>
    <n v="7"/>
    <x v="0"/>
    <x v="0"/>
    <n v="547953"/>
    <n v="401621"/>
    <n v="146332"/>
    <x v="0"/>
    <n v="0"/>
    <n v="1"/>
    <n v="0"/>
    <n v="1"/>
    <n v="1"/>
    <s v="Yes"/>
    <x v="0"/>
  </r>
  <r>
    <n v="21537"/>
    <d v="2024-01-12T00:00:00"/>
    <x v="0"/>
    <s v="Bengaluru"/>
    <s v="SC_BEN_3"/>
    <x v="1"/>
    <s v="Panamera"/>
    <s v="Sedan"/>
    <x v="0"/>
    <x v="2"/>
    <x v="0"/>
    <x v="1"/>
    <n v="11"/>
    <n v="7"/>
    <x v="0"/>
    <x v="0"/>
    <n v="110118"/>
    <n v="89747"/>
    <n v="20371"/>
    <x v="1"/>
    <n v="0"/>
    <n v="1"/>
    <n v="0"/>
    <n v="1"/>
    <n v="1"/>
    <s v="Yes"/>
    <x v="0"/>
  </r>
  <r>
    <n v="21538"/>
    <d v="2024-05-25T00:00:00"/>
    <x v="3"/>
    <s v="Pune"/>
    <s v="SC_PUN_2"/>
    <x v="1"/>
    <s v="Macan"/>
    <s v="SUV"/>
    <x v="1"/>
    <x v="2"/>
    <x v="1"/>
    <x v="1"/>
    <n v="6"/>
    <n v="7"/>
    <x v="1"/>
    <x v="0"/>
    <n v="145939"/>
    <n v="90608"/>
    <n v="55331"/>
    <x v="3"/>
    <n v="0"/>
    <n v="1"/>
    <n v="1"/>
    <n v="0"/>
    <n v="1"/>
    <s v="No"/>
    <x v="2"/>
  </r>
  <r>
    <n v="21539"/>
    <d v="2024-02-29T00:00:00"/>
    <x v="2"/>
    <s v="Gurugram"/>
    <s v="SC_GUR_5"/>
    <x v="0"/>
    <s v="Veyron"/>
    <s v="Hypercar"/>
    <x v="1"/>
    <x v="4"/>
    <x v="2"/>
    <x v="1"/>
    <n v="21"/>
    <n v="7"/>
    <x v="1"/>
    <x v="1"/>
    <n v="541154"/>
    <n v="347837"/>
    <n v="193317"/>
    <x v="0"/>
    <n v="0"/>
    <n v="0"/>
    <n v="1"/>
    <n v="0"/>
    <n v="1"/>
    <s v="Yes"/>
    <x v="0"/>
  </r>
  <r>
    <n v="21540"/>
    <d v="2024-01-05T00:00:00"/>
    <x v="3"/>
    <s v="Pune"/>
    <s v="SC_PUN_4"/>
    <x v="1"/>
    <s v="911"/>
    <s v="Coupe"/>
    <x v="0"/>
    <x v="4"/>
    <x v="2"/>
    <x v="0"/>
    <n v="8"/>
    <n v="7"/>
    <x v="0"/>
    <x v="1"/>
    <n v="476673"/>
    <n v="260352"/>
    <n v="216321"/>
    <x v="2"/>
    <n v="476673"/>
    <n v="0"/>
    <n v="0"/>
    <n v="1"/>
    <n v="1"/>
    <s v="Yes"/>
    <x v="1"/>
  </r>
  <r>
    <n v="21541"/>
    <d v="2024-02-12T00:00:00"/>
    <x v="0"/>
    <s v="Bengaluru"/>
    <s v="SC_BEN_4"/>
    <x v="0"/>
    <s v="Chiron"/>
    <s v="Hypercar"/>
    <x v="0"/>
    <x v="2"/>
    <x v="1"/>
    <x v="1"/>
    <n v="13"/>
    <n v="7"/>
    <x v="1"/>
    <x v="0"/>
    <n v="253154"/>
    <n v="130209"/>
    <n v="122945"/>
    <x v="2"/>
    <n v="0"/>
    <n v="1"/>
    <n v="1"/>
    <n v="0"/>
    <n v="1"/>
    <s v="Yes"/>
    <x v="1"/>
  </r>
  <r>
    <n v="21542"/>
    <d v="2024-03-13T00:00:00"/>
    <x v="0"/>
    <s v="Chennai"/>
    <s v="SC_CHE_4"/>
    <x v="1"/>
    <s v="Chiron"/>
    <s v="Hypercar"/>
    <x v="0"/>
    <x v="2"/>
    <x v="1"/>
    <x v="0"/>
    <n v="22"/>
    <n v="7"/>
    <x v="1"/>
    <x v="1"/>
    <n v="481553"/>
    <n v="289973"/>
    <n v="191580"/>
    <x v="0"/>
    <n v="0"/>
    <n v="0"/>
    <n v="1"/>
    <n v="0"/>
    <n v="1"/>
    <s v="Yes"/>
    <x v="0"/>
  </r>
  <r>
    <n v="21543"/>
    <d v="2024-04-11T00:00:00"/>
    <x v="1"/>
    <s v="Bhubaneswar"/>
    <s v="SC_BHU_3"/>
    <x v="0"/>
    <s v="911"/>
    <s v="Coupe"/>
    <x v="0"/>
    <x v="4"/>
    <x v="2"/>
    <x v="0"/>
    <n v="10"/>
    <n v="7"/>
    <x v="0"/>
    <x v="0"/>
    <n v="426226"/>
    <n v="250926"/>
    <n v="175300"/>
    <x v="1"/>
    <n v="0"/>
    <n v="1"/>
    <n v="0"/>
    <n v="1"/>
    <n v="1"/>
    <s v="Yes"/>
    <x v="0"/>
  </r>
  <r>
    <n v="21544"/>
    <d v="2024-05-14T00:00:00"/>
    <x v="3"/>
    <s v="Pune"/>
    <s v="SC_PUN_3"/>
    <x v="2"/>
    <s v="911"/>
    <s v="Coupe"/>
    <x v="1"/>
    <x v="2"/>
    <x v="1"/>
    <x v="1"/>
    <n v="3"/>
    <n v="7"/>
    <x v="1"/>
    <x v="1"/>
    <n v="221377"/>
    <n v="133331"/>
    <n v="88046"/>
    <x v="4"/>
    <n v="0"/>
    <n v="0"/>
    <n v="1"/>
    <n v="0"/>
    <n v="1"/>
    <s v="No"/>
    <x v="2"/>
  </r>
  <r>
    <n v="21545"/>
    <d v="2024-02-11T00:00:00"/>
    <x v="1"/>
    <s v="Bhubaneswar"/>
    <s v="SC_BHU_2"/>
    <x v="0"/>
    <s v="Cayenne"/>
    <s v="SUV"/>
    <x v="0"/>
    <x v="4"/>
    <x v="2"/>
    <x v="0"/>
    <n v="22"/>
    <n v="7"/>
    <x v="1"/>
    <x v="1"/>
    <n v="587110"/>
    <n v="366044"/>
    <n v="221066"/>
    <x v="0"/>
    <n v="0"/>
    <n v="0"/>
    <n v="1"/>
    <n v="0"/>
    <n v="1"/>
    <s v="Yes"/>
    <x v="0"/>
  </r>
  <r>
    <n v="21546"/>
    <d v="2024-06-06T00:00:00"/>
    <x v="1"/>
    <s v="Bhubaneswar"/>
    <s v="SC_BHU_3"/>
    <x v="0"/>
    <s v="Panamera"/>
    <s v="Sedan"/>
    <x v="0"/>
    <x v="2"/>
    <x v="2"/>
    <x v="1"/>
    <n v="15"/>
    <n v="7"/>
    <x v="1"/>
    <x v="1"/>
    <n v="238626"/>
    <n v="132007"/>
    <n v="106619"/>
    <x v="1"/>
    <n v="0"/>
    <n v="0"/>
    <n v="1"/>
    <n v="0"/>
    <n v="1"/>
    <s v="Yes"/>
    <x v="0"/>
  </r>
  <r>
    <n v="21547"/>
    <d v="2024-06-15T00:00:00"/>
    <x v="1"/>
    <s v="Bhubaneswar"/>
    <s v="SC_BHU_1"/>
    <x v="1"/>
    <s v="Panamera"/>
    <s v="Sedan"/>
    <x v="1"/>
    <x v="2"/>
    <x v="1"/>
    <x v="0"/>
    <n v="24"/>
    <n v="7"/>
    <x v="0"/>
    <x v="0"/>
    <n v="595430"/>
    <n v="365899"/>
    <n v="229531"/>
    <x v="0"/>
    <n v="0"/>
    <n v="1"/>
    <n v="0"/>
    <n v="1"/>
    <n v="1"/>
    <s v="Yes"/>
    <x v="0"/>
  </r>
  <r>
    <n v="21548"/>
    <d v="2024-05-11T00:00:00"/>
    <x v="0"/>
    <s v="Bengaluru"/>
    <s v="SC_BEN_4"/>
    <x v="1"/>
    <s v="Veyron"/>
    <s v="Hypercar"/>
    <x v="1"/>
    <x v="0"/>
    <x v="1"/>
    <x v="1"/>
    <n v="6"/>
    <n v="7"/>
    <x v="0"/>
    <x v="0"/>
    <n v="393676"/>
    <n v="297422"/>
    <n v="96254"/>
    <x v="2"/>
    <n v="0"/>
    <n v="1"/>
    <n v="0"/>
    <n v="1"/>
    <n v="1"/>
    <s v="No"/>
    <x v="1"/>
  </r>
  <r>
    <n v="21549"/>
    <d v="2024-02-06T00:00:00"/>
    <x v="0"/>
    <s v="Chennai"/>
    <s v="SC_CHE_1"/>
    <x v="0"/>
    <s v="Panamera"/>
    <s v="Sedan"/>
    <x v="1"/>
    <x v="2"/>
    <x v="0"/>
    <x v="0"/>
    <n v="17"/>
    <n v="7"/>
    <x v="0"/>
    <x v="1"/>
    <n v="309865"/>
    <n v="255773"/>
    <n v="54092"/>
    <x v="0"/>
    <n v="309865"/>
    <n v="0"/>
    <n v="0"/>
    <n v="1"/>
    <n v="1"/>
    <s v="Yes"/>
    <x v="0"/>
  </r>
  <r>
    <n v="21550"/>
    <d v="2024-02-15T00:00:00"/>
    <x v="1"/>
    <s v="Patna"/>
    <s v="SC_PAT_2"/>
    <x v="2"/>
    <s v="Taycan"/>
    <s v="Sedan"/>
    <x v="1"/>
    <x v="1"/>
    <x v="1"/>
    <x v="0"/>
    <n v="25"/>
    <n v="7"/>
    <x v="0"/>
    <x v="0"/>
    <n v="116159"/>
    <n v="79972"/>
    <n v="36187"/>
    <x v="0"/>
    <n v="0"/>
    <n v="1"/>
    <n v="0"/>
    <n v="1"/>
    <n v="1"/>
    <s v="Yes"/>
    <x v="0"/>
  </r>
  <r>
    <n v="21551"/>
    <d v="2024-01-11T00:00:00"/>
    <x v="0"/>
    <s v="Bengaluru"/>
    <s v="SC_BEN_3"/>
    <x v="0"/>
    <s v="Taycan"/>
    <s v="Sedan"/>
    <x v="1"/>
    <x v="2"/>
    <x v="1"/>
    <x v="0"/>
    <n v="2"/>
    <n v="7"/>
    <x v="1"/>
    <x v="0"/>
    <n v="406385"/>
    <n v="291440"/>
    <n v="114945"/>
    <x v="4"/>
    <n v="0"/>
    <n v="1"/>
    <n v="1"/>
    <n v="0"/>
    <n v="1"/>
    <s v="No"/>
    <x v="2"/>
  </r>
  <r>
    <n v="21552"/>
    <d v="2024-06-08T00:00:00"/>
    <x v="3"/>
    <s v="Ahmedabad"/>
    <s v="SC_AHM_5"/>
    <x v="2"/>
    <s v="Cayenne"/>
    <s v="SUV"/>
    <x v="1"/>
    <x v="2"/>
    <x v="0"/>
    <x v="1"/>
    <n v="20"/>
    <n v="7"/>
    <x v="0"/>
    <x v="1"/>
    <n v="558534"/>
    <n v="313325"/>
    <n v="245209"/>
    <x v="0"/>
    <n v="558534"/>
    <n v="0"/>
    <n v="0"/>
    <n v="1"/>
    <n v="1"/>
    <s v="Yes"/>
    <x v="0"/>
  </r>
  <r>
    <n v="21553"/>
    <d v="2024-01-11T00:00:00"/>
    <x v="1"/>
    <s v="Patna"/>
    <s v="SC_PAT_2"/>
    <x v="1"/>
    <s v="Veyron"/>
    <s v="Hypercar"/>
    <x v="1"/>
    <x v="0"/>
    <x v="1"/>
    <x v="0"/>
    <n v="21"/>
    <n v="7"/>
    <x v="1"/>
    <x v="1"/>
    <n v="102578"/>
    <n v="70763"/>
    <n v="31815"/>
    <x v="0"/>
    <n v="0"/>
    <n v="0"/>
    <n v="1"/>
    <n v="0"/>
    <n v="1"/>
    <s v="Yes"/>
    <x v="0"/>
  </r>
  <r>
    <n v="21554"/>
    <d v="2024-05-19T00:00:00"/>
    <x v="0"/>
    <s v="Bengaluru"/>
    <s v="SC_BEN_2"/>
    <x v="1"/>
    <s v="Taycan"/>
    <s v="Sedan"/>
    <x v="0"/>
    <x v="2"/>
    <x v="1"/>
    <x v="0"/>
    <n v="3"/>
    <n v="7"/>
    <x v="0"/>
    <x v="1"/>
    <n v="288518"/>
    <n v="203215"/>
    <n v="85303"/>
    <x v="3"/>
    <n v="288518"/>
    <n v="0"/>
    <n v="0"/>
    <n v="1"/>
    <n v="1"/>
    <s v="No"/>
    <x v="2"/>
  </r>
  <r>
    <n v="21555"/>
    <d v="2024-03-31T00:00:00"/>
    <x v="0"/>
    <s v="Bengaluru"/>
    <s v="SC_BEN_5"/>
    <x v="2"/>
    <s v="Cayenne"/>
    <s v="SUV"/>
    <x v="0"/>
    <x v="4"/>
    <x v="0"/>
    <x v="1"/>
    <n v="13"/>
    <n v="7"/>
    <x v="0"/>
    <x v="1"/>
    <n v="382185"/>
    <n v="212346"/>
    <n v="169839"/>
    <x v="1"/>
    <n v="382185"/>
    <n v="0"/>
    <n v="0"/>
    <n v="1"/>
    <n v="1"/>
    <s v="Yes"/>
    <x v="0"/>
  </r>
  <r>
    <n v="21556"/>
    <d v="2024-05-23T00:00:00"/>
    <x v="2"/>
    <s v="Noida"/>
    <s v="SC_NOI_1"/>
    <x v="1"/>
    <s v="911"/>
    <s v="Coupe"/>
    <x v="1"/>
    <x v="1"/>
    <x v="0"/>
    <x v="1"/>
    <n v="11"/>
    <n v="7"/>
    <x v="0"/>
    <x v="1"/>
    <n v="164546"/>
    <n v="127874"/>
    <n v="36672"/>
    <x v="1"/>
    <n v="164546"/>
    <n v="0"/>
    <n v="0"/>
    <n v="1"/>
    <n v="1"/>
    <s v="Yes"/>
    <x v="0"/>
  </r>
  <r>
    <n v="21557"/>
    <d v="2024-05-06T00:00:00"/>
    <x v="2"/>
    <s v="Delhi"/>
    <s v="SC_DEL_1"/>
    <x v="1"/>
    <s v="Macan"/>
    <s v="SUV"/>
    <x v="1"/>
    <x v="0"/>
    <x v="2"/>
    <x v="0"/>
    <n v="17"/>
    <n v="7"/>
    <x v="0"/>
    <x v="1"/>
    <n v="528659"/>
    <n v="324352"/>
    <n v="204307"/>
    <x v="0"/>
    <n v="528659"/>
    <n v="0"/>
    <n v="0"/>
    <n v="1"/>
    <n v="1"/>
    <s v="Yes"/>
    <x v="0"/>
  </r>
  <r>
    <n v="21558"/>
    <d v="2024-06-24T00:00:00"/>
    <x v="0"/>
    <s v="Chennai"/>
    <s v="SC_CHE_4"/>
    <x v="2"/>
    <s v="Veyron"/>
    <s v="Hypercar"/>
    <x v="0"/>
    <x v="0"/>
    <x v="0"/>
    <x v="0"/>
    <n v="12"/>
    <n v="7"/>
    <x v="0"/>
    <x v="1"/>
    <n v="582666"/>
    <n v="391455"/>
    <n v="191211"/>
    <x v="1"/>
    <n v="582666"/>
    <n v="0"/>
    <n v="0"/>
    <n v="1"/>
    <n v="1"/>
    <s v="Yes"/>
    <x v="0"/>
  </r>
  <r>
    <n v="21559"/>
    <d v="2024-05-08T00:00:00"/>
    <x v="3"/>
    <s v="Ahmedabad"/>
    <s v="SC_AHM_5"/>
    <x v="2"/>
    <s v="Chiron"/>
    <s v="Hypercar"/>
    <x v="0"/>
    <x v="0"/>
    <x v="1"/>
    <x v="0"/>
    <n v="15"/>
    <n v="7"/>
    <x v="0"/>
    <x v="1"/>
    <n v="224890"/>
    <n v="141096"/>
    <n v="83794"/>
    <x v="0"/>
    <n v="224890"/>
    <n v="0"/>
    <n v="0"/>
    <n v="1"/>
    <n v="1"/>
    <s v="Yes"/>
    <x v="0"/>
  </r>
  <r>
    <n v="21560"/>
    <d v="2024-01-29T00:00:00"/>
    <x v="0"/>
    <s v="Bengaluru"/>
    <s v="SC_BEN_2"/>
    <x v="0"/>
    <s v="Cayenne"/>
    <s v="SUV"/>
    <x v="0"/>
    <x v="2"/>
    <x v="2"/>
    <x v="0"/>
    <n v="9"/>
    <n v="7"/>
    <x v="1"/>
    <x v="1"/>
    <n v="206770"/>
    <n v="152342"/>
    <n v="54428"/>
    <x v="3"/>
    <n v="0"/>
    <n v="0"/>
    <n v="1"/>
    <n v="0"/>
    <n v="1"/>
    <s v="Yes"/>
    <x v="2"/>
  </r>
  <r>
    <n v="21561"/>
    <d v="2024-04-19T00:00:00"/>
    <x v="0"/>
    <s v="Hyderabad"/>
    <s v="SC_HYD_4"/>
    <x v="1"/>
    <s v="Veyron"/>
    <s v="Hypercar"/>
    <x v="1"/>
    <x v="4"/>
    <x v="0"/>
    <x v="1"/>
    <n v="20"/>
    <n v="7"/>
    <x v="0"/>
    <x v="1"/>
    <n v="450092"/>
    <n v="357908"/>
    <n v="92184"/>
    <x v="0"/>
    <n v="450092"/>
    <n v="0"/>
    <n v="0"/>
    <n v="1"/>
    <n v="1"/>
    <s v="Yes"/>
    <x v="0"/>
  </r>
  <r>
    <n v="21562"/>
    <d v="2024-05-03T00:00:00"/>
    <x v="2"/>
    <s v="Gurugram"/>
    <s v="SC_GUR_5"/>
    <x v="1"/>
    <s v="Cayenne"/>
    <s v="SUV"/>
    <x v="0"/>
    <x v="0"/>
    <x v="1"/>
    <x v="1"/>
    <n v="24"/>
    <n v="7"/>
    <x v="1"/>
    <x v="1"/>
    <n v="509785"/>
    <n v="300758"/>
    <n v="209027"/>
    <x v="0"/>
    <n v="0"/>
    <n v="0"/>
    <n v="1"/>
    <n v="0"/>
    <n v="1"/>
    <s v="Yes"/>
    <x v="0"/>
  </r>
  <r>
    <n v="21563"/>
    <d v="2024-06-25T00:00:00"/>
    <x v="1"/>
    <s v="Kolkata"/>
    <s v="SC_KOL_4"/>
    <x v="0"/>
    <s v="Veyron"/>
    <s v="Hypercar"/>
    <x v="0"/>
    <x v="3"/>
    <x v="0"/>
    <x v="1"/>
    <n v="19"/>
    <n v="7"/>
    <x v="0"/>
    <x v="1"/>
    <n v="525782"/>
    <n v="367030"/>
    <n v="158752"/>
    <x v="0"/>
    <n v="525782"/>
    <n v="0"/>
    <n v="0"/>
    <n v="1"/>
    <n v="1"/>
    <s v="Yes"/>
    <x v="0"/>
  </r>
  <r>
    <n v="21564"/>
    <d v="2024-05-22T00:00:00"/>
    <x v="0"/>
    <s v="Bengaluru"/>
    <s v="SC_BEN_5"/>
    <x v="0"/>
    <s v="Panamera"/>
    <s v="Sedan"/>
    <x v="1"/>
    <x v="0"/>
    <x v="1"/>
    <x v="0"/>
    <n v="15"/>
    <n v="7"/>
    <x v="1"/>
    <x v="1"/>
    <n v="420169"/>
    <n v="267627"/>
    <n v="152542"/>
    <x v="1"/>
    <n v="0"/>
    <n v="0"/>
    <n v="1"/>
    <n v="0"/>
    <n v="1"/>
    <s v="Yes"/>
    <x v="0"/>
  </r>
  <r>
    <n v="21565"/>
    <d v="2024-03-22T00:00:00"/>
    <x v="0"/>
    <s v="Bengaluru"/>
    <s v="SC_BEN_4"/>
    <x v="0"/>
    <s v="Panamera"/>
    <s v="Sedan"/>
    <x v="0"/>
    <x v="3"/>
    <x v="0"/>
    <x v="1"/>
    <n v="25"/>
    <n v="7"/>
    <x v="0"/>
    <x v="1"/>
    <n v="243231"/>
    <n v="167443"/>
    <n v="75788"/>
    <x v="0"/>
    <n v="243231"/>
    <n v="0"/>
    <n v="0"/>
    <n v="1"/>
    <n v="1"/>
    <s v="Yes"/>
    <x v="0"/>
  </r>
  <r>
    <n v="21566"/>
    <d v="2024-03-16T00:00:00"/>
    <x v="0"/>
    <s v="Bengaluru"/>
    <s v="SC_BEN_1"/>
    <x v="1"/>
    <s v="911"/>
    <s v="Coupe"/>
    <x v="1"/>
    <x v="0"/>
    <x v="1"/>
    <x v="1"/>
    <n v="11"/>
    <n v="7"/>
    <x v="1"/>
    <x v="0"/>
    <n v="596691"/>
    <n v="437613"/>
    <n v="159078"/>
    <x v="2"/>
    <n v="0"/>
    <n v="1"/>
    <n v="1"/>
    <n v="0"/>
    <n v="1"/>
    <s v="Yes"/>
    <x v="1"/>
  </r>
  <r>
    <n v="21567"/>
    <d v="2024-06-17T00:00:00"/>
    <x v="0"/>
    <s v="Hyderabad"/>
    <s v="SC_HYD_3"/>
    <x v="1"/>
    <s v="Cayenne"/>
    <s v="SUV"/>
    <x v="0"/>
    <x v="1"/>
    <x v="0"/>
    <x v="1"/>
    <n v="13"/>
    <n v="7"/>
    <x v="0"/>
    <x v="1"/>
    <n v="331050"/>
    <n v="234522"/>
    <n v="96528"/>
    <x v="1"/>
    <n v="331050"/>
    <n v="0"/>
    <n v="0"/>
    <n v="1"/>
    <n v="1"/>
    <s v="Yes"/>
    <x v="0"/>
  </r>
  <r>
    <n v="21568"/>
    <d v="2024-03-26T00:00:00"/>
    <x v="2"/>
    <s v="Noida"/>
    <s v="SC_NOI_2"/>
    <x v="2"/>
    <s v="911"/>
    <s v="Coupe"/>
    <x v="1"/>
    <x v="3"/>
    <x v="1"/>
    <x v="0"/>
    <n v="22"/>
    <n v="7"/>
    <x v="0"/>
    <x v="1"/>
    <n v="263960"/>
    <n v="182079"/>
    <n v="81881"/>
    <x v="0"/>
    <n v="263960"/>
    <n v="0"/>
    <n v="0"/>
    <n v="1"/>
    <n v="1"/>
    <s v="Yes"/>
    <x v="0"/>
  </r>
  <r>
    <n v="21569"/>
    <d v="2024-02-13T00:00:00"/>
    <x v="3"/>
    <s v="Mumbai"/>
    <s v="SC_MUM_4"/>
    <x v="1"/>
    <s v="911"/>
    <s v="Coupe"/>
    <x v="1"/>
    <x v="3"/>
    <x v="0"/>
    <x v="1"/>
    <n v="14"/>
    <n v="7"/>
    <x v="0"/>
    <x v="0"/>
    <n v="271079"/>
    <n v="207690"/>
    <n v="63389"/>
    <x v="1"/>
    <n v="0"/>
    <n v="1"/>
    <n v="0"/>
    <n v="1"/>
    <n v="1"/>
    <s v="Yes"/>
    <x v="0"/>
  </r>
  <r>
    <n v="21570"/>
    <d v="2024-04-07T00:00:00"/>
    <x v="1"/>
    <s v="Bhubaneswar"/>
    <s v="SC_BHU_1"/>
    <x v="0"/>
    <s v="Chiron"/>
    <s v="Hypercar"/>
    <x v="0"/>
    <x v="4"/>
    <x v="1"/>
    <x v="0"/>
    <n v="19"/>
    <n v="7"/>
    <x v="0"/>
    <x v="1"/>
    <n v="151467"/>
    <n v="90097"/>
    <n v="61370"/>
    <x v="0"/>
    <n v="151467"/>
    <n v="0"/>
    <n v="0"/>
    <n v="1"/>
    <n v="1"/>
    <s v="Yes"/>
    <x v="0"/>
  </r>
  <r>
    <n v="21571"/>
    <d v="2024-01-10T00:00:00"/>
    <x v="0"/>
    <s v="Hyderabad"/>
    <s v="SC_HYD_3"/>
    <x v="2"/>
    <s v="Macan"/>
    <s v="SUV"/>
    <x v="1"/>
    <x v="4"/>
    <x v="0"/>
    <x v="1"/>
    <n v="7"/>
    <n v="7"/>
    <x v="0"/>
    <x v="1"/>
    <n v="152269"/>
    <n v="96882"/>
    <n v="55387"/>
    <x v="2"/>
    <n v="152269"/>
    <n v="0"/>
    <n v="0"/>
    <n v="1"/>
    <n v="1"/>
    <s v="No"/>
    <x v="1"/>
  </r>
  <r>
    <n v="21572"/>
    <d v="2024-05-04T00:00:00"/>
    <x v="1"/>
    <s v="Patna"/>
    <s v="SC_PAT_4"/>
    <x v="2"/>
    <s v="Panamera"/>
    <s v="Sedan"/>
    <x v="1"/>
    <x v="0"/>
    <x v="0"/>
    <x v="1"/>
    <n v="2"/>
    <n v="7"/>
    <x v="1"/>
    <x v="1"/>
    <n v="490066"/>
    <n v="301719"/>
    <n v="188347"/>
    <x v="4"/>
    <n v="0"/>
    <n v="0"/>
    <n v="1"/>
    <n v="0"/>
    <n v="1"/>
    <s v="No"/>
    <x v="2"/>
  </r>
  <r>
    <n v="21573"/>
    <d v="2024-02-16T00:00:00"/>
    <x v="2"/>
    <s v="Gurugram"/>
    <s v="SC_GUR_3"/>
    <x v="1"/>
    <s v="Macan"/>
    <s v="SUV"/>
    <x v="1"/>
    <x v="2"/>
    <x v="2"/>
    <x v="0"/>
    <n v="2"/>
    <n v="7"/>
    <x v="1"/>
    <x v="0"/>
    <n v="447916"/>
    <n v="320779"/>
    <n v="127137"/>
    <x v="4"/>
    <n v="0"/>
    <n v="1"/>
    <n v="1"/>
    <n v="0"/>
    <n v="1"/>
    <s v="No"/>
    <x v="2"/>
  </r>
  <r>
    <n v="21574"/>
    <d v="2024-06-28T00:00:00"/>
    <x v="2"/>
    <s v="Gurugram"/>
    <s v="SC_GUR_4"/>
    <x v="1"/>
    <s v="Taycan"/>
    <s v="Sedan"/>
    <x v="0"/>
    <x v="2"/>
    <x v="1"/>
    <x v="0"/>
    <n v="12"/>
    <n v="7"/>
    <x v="0"/>
    <x v="1"/>
    <n v="138889"/>
    <n v="97865"/>
    <n v="41024"/>
    <x v="1"/>
    <n v="138889"/>
    <n v="0"/>
    <n v="0"/>
    <n v="1"/>
    <n v="1"/>
    <s v="Yes"/>
    <x v="0"/>
  </r>
  <r>
    <n v="21575"/>
    <d v="2024-01-12T00:00:00"/>
    <x v="0"/>
    <s v="Chennai"/>
    <s v="SC_CHE_5"/>
    <x v="2"/>
    <s v="Panamera"/>
    <s v="Sedan"/>
    <x v="0"/>
    <x v="1"/>
    <x v="1"/>
    <x v="1"/>
    <n v="8"/>
    <n v="7"/>
    <x v="1"/>
    <x v="0"/>
    <n v="153054"/>
    <n v="82571"/>
    <n v="70483"/>
    <x v="3"/>
    <n v="0"/>
    <n v="1"/>
    <n v="1"/>
    <n v="0"/>
    <n v="1"/>
    <s v="Yes"/>
    <x v="2"/>
  </r>
  <r>
    <n v="21576"/>
    <d v="2024-03-29T00:00:00"/>
    <x v="1"/>
    <s v="Kolkata"/>
    <s v="SC_KOL_4"/>
    <x v="0"/>
    <s v="Veyron"/>
    <s v="Hypercar"/>
    <x v="0"/>
    <x v="3"/>
    <x v="1"/>
    <x v="1"/>
    <n v="6"/>
    <n v="7"/>
    <x v="1"/>
    <x v="1"/>
    <n v="171067"/>
    <n v="132821"/>
    <n v="38246"/>
    <x v="3"/>
    <n v="0"/>
    <n v="0"/>
    <n v="1"/>
    <n v="0"/>
    <n v="1"/>
    <s v="No"/>
    <x v="2"/>
  </r>
  <r>
    <n v="21577"/>
    <d v="2024-05-21T00:00:00"/>
    <x v="3"/>
    <s v="Ahmedabad"/>
    <s v="SC_AHM_5"/>
    <x v="0"/>
    <s v="Taycan"/>
    <s v="Sedan"/>
    <x v="1"/>
    <x v="0"/>
    <x v="1"/>
    <x v="0"/>
    <n v="16"/>
    <n v="7"/>
    <x v="0"/>
    <x v="0"/>
    <n v="426513"/>
    <n v="224950"/>
    <n v="201563"/>
    <x v="0"/>
    <n v="0"/>
    <n v="1"/>
    <n v="0"/>
    <n v="1"/>
    <n v="1"/>
    <s v="Yes"/>
    <x v="0"/>
  </r>
  <r>
    <n v="21578"/>
    <d v="2024-03-02T00:00:00"/>
    <x v="1"/>
    <s v="Kolkata"/>
    <s v="SC_KOL_1"/>
    <x v="0"/>
    <s v="Panamera"/>
    <s v="Sedan"/>
    <x v="0"/>
    <x v="3"/>
    <x v="1"/>
    <x v="0"/>
    <n v="16"/>
    <n v="7"/>
    <x v="1"/>
    <x v="1"/>
    <n v="357579"/>
    <n v="184433"/>
    <n v="173146"/>
    <x v="1"/>
    <n v="0"/>
    <n v="0"/>
    <n v="1"/>
    <n v="0"/>
    <n v="1"/>
    <s v="Yes"/>
    <x v="0"/>
  </r>
  <r>
    <n v="21579"/>
    <d v="2024-04-30T00:00:00"/>
    <x v="1"/>
    <s v="Kolkata"/>
    <s v="SC_KOL_2"/>
    <x v="2"/>
    <s v="Chiron"/>
    <s v="Hypercar"/>
    <x v="0"/>
    <x v="4"/>
    <x v="1"/>
    <x v="0"/>
    <n v="10"/>
    <n v="7"/>
    <x v="0"/>
    <x v="1"/>
    <n v="417117"/>
    <n v="218184"/>
    <n v="198933"/>
    <x v="1"/>
    <n v="417117"/>
    <n v="0"/>
    <n v="0"/>
    <n v="1"/>
    <n v="1"/>
    <s v="Yes"/>
    <x v="0"/>
  </r>
  <r>
    <n v="21580"/>
    <d v="2024-05-05T00:00:00"/>
    <x v="3"/>
    <s v="Mumbai"/>
    <s v="SC_MUM_1"/>
    <x v="0"/>
    <s v="Cayenne"/>
    <s v="SUV"/>
    <x v="0"/>
    <x v="2"/>
    <x v="0"/>
    <x v="0"/>
    <n v="8"/>
    <n v="7"/>
    <x v="1"/>
    <x v="1"/>
    <n v="485633"/>
    <n v="336681"/>
    <n v="148952"/>
    <x v="3"/>
    <n v="0"/>
    <n v="0"/>
    <n v="1"/>
    <n v="0"/>
    <n v="1"/>
    <s v="Yes"/>
    <x v="2"/>
  </r>
  <r>
    <n v="21581"/>
    <d v="2024-02-23T00:00:00"/>
    <x v="0"/>
    <s v="Chennai"/>
    <s v="SC_CHE_4"/>
    <x v="0"/>
    <s v="Taycan"/>
    <s v="Sedan"/>
    <x v="1"/>
    <x v="3"/>
    <x v="1"/>
    <x v="0"/>
    <n v="18"/>
    <n v="7"/>
    <x v="1"/>
    <x v="1"/>
    <n v="463356"/>
    <n v="371688"/>
    <n v="91668"/>
    <x v="1"/>
    <n v="0"/>
    <n v="0"/>
    <n v="1"/>
    <n v="0"/>
    <n v="1"/>
    <s v="Yes"/>
    <x v="0"/>
  </r>
  <r>
    <n v="21582"/>
    <d v="2024-01-22T00:00:00"/>
    <x v="3"/>
    <s v="Mumbai"/>
    <s v="SC_MUM_1"/>
    <x v="0"/>
    <s v="Macan"/>
    <s v="SUV"/>
    <x v="1"/>
    <x v="1"/>
    <x v="2"/>
    <x v="0"/>
    <n v="11"/>
    <n v="7"/>
    <x v="1"/>
    <x v="1"/>
    <n v="90990"/>
    <n v="63225"/>
    <n v="27765"/>
    <x v="2"/>
    <n v="0"/>
    <n v="0"/>
    <n v="1"/>
    <n v="0"/>
    <n v="1"/>
    <s v="Yes"/>
    <x v="1"/>
  </r>
  <r>
    <n v="21583"/>
    <d v="2024-06-28T00:00:00"/>
    <x v="0"/>
    <s v="Bengaluru"/>
    <s v="SC_BEN_2"/>
    <x v="2"/>
    <s v="Macan"/>
    <s v="SUV"/>
    <x v="0"/>
    <x v="1"/>
    <x v="0"/>
    <x v="0"/>
    <n v="21"/>
    <n v="7"/>
    <x v="0"/>
    <x v="1"/>
    <n v="191492"/>
    <n v="103571"/>
    <n v="87921"/>
    <x v="0"/>
    <n v="191492"/>
    <n v="0"/>
    <n v="0"/>
    <n v="1"/>
    <n v="1"/>
    <s v="Yes"/>
    <x v="0"/>
  </r>
  <r>
    <n v="21584"/>
    <d v="2024-03-16T00:00:00"/>
    <x v="3"/>
    <s v="Pune"/>
    <s v="SC_PUN_1"/>
    <x v="1"/>
    <s v="Veyron"/>
    <s v="Hypercar"/>
    <x v="0"/>
    <x v="2"/>
    <x v="2"/>
    <x v="0"/>
    <n v="25"/>
    <n v="7"/>
    <x v="0"/>
    <x v="1"/>
    <n v="262774"/>
    <n v="166252"/>
    <n v="96522"/>
    <x v="0"/>
    <n v="262774"/>
    <n v="0"/>
    <n v="0"/>
    <n v="1"/>
    <n v="1"/>
    <s v="Yes"/>
    <x v="0"/>
  </r>
  <r>
    <n v="21585"/>
    <d v="2024-06-02T00:00:00"/>
    <x v="3"/>
    <s v="Pune"/>
    <s v="SC_PUN_4"/>
    <x v="1"/>
    <s v="Chiron"/>
    <s v="Hypercar"/>
    <x v="0"/>
    <x v="3"/>
    <x v="1"/>
    <x v="0"/>
    <n v="16"/>
    <n v="7"/>
    <x v="1"/>
    <x v="1"/>
    <n v="216603"/>
    <n v="160925"/>
    <n v="55678"/>
    <x v="1"/>
    <n v="0"/>
    <n v="0"/>
    <n v="1"/>
    <n v="0"/>
    <n v="1"/>
    <s v="Yes"/>
    <x v="0"/>
  </r>
  <r>
    <n v="21586"/>
    <d v="2024-01-27T00:00:00"/>
    <x v="1"/>
    <s v="Bhubaneswar"/>
    <s v="SC_BHU_1"/>
    <x v="1"/>
    <s v="Veyron"/>
    <s v="Hypercar"/>
    <x v="0"/>
    <x v="0"/>
    <x v="2"/>
    <x v="0"/>
    <n v="19"/>
    <n v="7"/>
    <x v="1"/>
    <x v="0"/>
    <n v="412017"/>
    <n v="221822"/>
    <n v="190195"/>
    <x v="1"/>
    <n v="0"/>
    <n v="1"/>
    <n v="1"/>
    <n v="0"/>
    <n v="1"/>
    <s v="Yes"/>
    <x v="0"/>
  </r>
  <r>
    <n v="21587"/>
    <d v="2024-04-18T00:00:00"/>
    <x v="0"/>
    <s v="Bengaluru"/>
    <s v="SC_BEN_3"/>
    <x v="1"/>
    <s v="Taycan"/>
    <s v="Sedan"/>
    <x v="1"/>
    <x v="3"/>
    <x v="1"/>
    <x v="1"/>
    <n v="11"/>
    <n v="7"/>
    <x v="0"/>
    <x v="0"/>
    <n v="374770"/>
    <n v="266884"/>
    <n v="107886"/>
    <x v="1"/>
    <n v="0"/>
    <n v="1"/>
    <n v="0"/>
    <n v="1"/>
    <n v="1"/>
    <s v="Yes"/>
    <x v="0"/>
  </r>
  <r>
    <n v="21588"/>
    <d v="2024-01-24T00:00:00"/>
    <x v="0"/>
    <s v="Chennai"/>
    <s v="SC_CHE_3"/>
    <x v="1"/>
    <s v="Macan"/>
    <s v="SUV"/>
    <x v="1"/>
    <x v="3"/>
    <x v="2"/>
    <x v="0"/>
    <n v="5"/>
    <n v="7"/>
    <x v="1"/>
    <x v="1"/>
    <n v="407731"/>
    <n v="253895"/>
    <n v="153836"/>
    <x v="3"/>
    <n v="0"/>
    <n v="0"/>
    <n v="1"/>
    <n v="0"/>
    <n v="1"/>
    <s v="No"/>
    <x v="2"/>
  </r>
  <r>
    <n v="21589"/>
    <d v="2024-01-06T00:00:00"/>
    <x v="0"/>
    <s v="Hyderabad"/>
    <s v="SC_HYD_3"/>
    <x v="0"/>
    <s v="Panamera"/>
    <s v="Sedan"/>
    <x v="0"/>
    <x v="1"/>
    <x v="2"/>
    <x v="1"/>
    <n v="23"/>
    <n v="7"/>
    <x v="1"/>
    <x v="1"/>
    <n v="137434"/>
    <n v="87487"/>
    <n v="49947"/>
    <x v="0"/>
    <n v="0"/>
    <n v="0"/>
    <n v="1"/>
    <n v="0"/>
    <n v="1"/>
    <s v="Yes"/>
    <x v="0"/>
  </r>
  <r>
    <n v="21590"/>
    <d v="2024-04-20T00:00:00"/>
    <x v="0"/>
    <s v="Chennai"/>
    <s v="SC_CHE_3"/>
    <x v="0"/>
    <s v="Chiron"/>
    <s v="Hypercar"/>
    <x v="1"/>
    <x v="2"/>
    <x v="1"/>
    <x v="1"/>
    <n v="16"/>
    <n v="7"/>
    <x v="1"/>
    <x v="1"/>
    <n v="114906"/>
    <n v="70084"/>
    <n v="44822"/>
    <x v="1"/>
    <n v="0"/>
    <n v="0"/>
    <n v="1"/>
    <n v="0"/>
    <n v="1"/>
    <s v="Yes"/>
    <x v="0"/>
  </r>
  <r>
    <n v="21591"/>
    <d v="2024-03-30T00:00:00"/>
    <x v="2"/>
    <s v="Delhi"/>
    <s v="SC_DEL_1"/>
    <x v="0"/>
    <s v="Veyron"/>
    <s v="Hypercar"/>
    <x v="0"/>
    <x v="0"/>
    <x v="1"/>
    <x v="0"/>
    <n v="4"/>
    <n v="7"/>
    <x v="0"/>
    <x v="1"/>
    <n v="434944"/>
    <n v="319586"/>
    <n v="115358"/>
    <x v="3"/>
    <n v="434944"/>
    <n v="0"/>
    <n v="0"/>
    <n v="1"/>
    <n v="1"/>
    <s v="No"/>
    <x v="2"/>
  </r>
  <r>
    <n v="21592"/>
    <d v="2024-04-30T00:00:00"/>
    <x v="0"/>
    <s v="Bengaluru"/>
    <s v="SC_BEN_5"/>
    <x v="0"/>
    <s v="Chiron"/>
    <s v="Hypercar"/>
    <x v="0"/>
    <x v="4"/>
    <x v="2"/>
    <x v="0"/>
    <n v="11"/>
    <n v="7"/>
    <x v="1"/>
    <x v="0"/>
    <n v="384706"/>
    <n v="251153"/>
    <n v="133553"/>
    <x v="2"/>
    <n v="0"/>
    <n v="1"/>
    <n v="1"/>
    <n v="0"/>
    <n v="1"/>
    <s v="Yes"/>
    <x v="1"/>
  </r>
  <r>
    <n v="21593"/>
    <d v="2024-02-07T00:00:00"/>
    <x v="2"/>
    <s v="Gurugram"/>
    <s v="SC_GUR_2"/>
    <x v="2"/>
    <s v="Taycan"/>
    <s v="Sedan"/>
    <x v="1"/>
    <x v="1"/>
    <x v="0"/>
    <x v="0"/>
    <n v="9"/>
    <n v="7"/>
    <x v="1"/>
    <x v="0"/>
    <n v="431954"/>
    <n v="266268"/>
    <n v="165686"/>
    <x v="3"/>
    <n v="0"/>
    <n v="1"/>
    <n v="1"/>
    <n v="0"/>
    <n v="1"/>
    <s v="Yes"/>
    <x v="2"/>
  </r>
  <r>
    <n v="21594"/>
    <d v="2024-02-26T00:00:00"/>
    <x v="1"/>
    <s v="Bhubaneswar"/>
    <s v="SC_BHU_5"/>
    <x v="2"/>
    <s v="Veyron"/>
    <s v="Hypercar"/>
    <x v="1"/>
    <x v="4"/>
    <x v="1"/>
    <x v="1"/>
    <n v="3"/>
    <n v="7"/>
    <x v="1"/>
    <x v="1"/>
    <n v="378988"/>
    <n v="209995"/>
    <n v="168993"/>
    <x v="4"/>
    <n v="0"/>
    <n v="0"/>
    <n v="1"/>
    <n v="0"/>
    <n v="1"/>
    <s v="No"/>
    <x v="2"/>
  </r>
  <r>
    <n v="21595"/>
    <d v="2024-06-10T00:00:00"/>
    <x v="2"/>
    <s v="Gurugram"/>
    <s v="SC_GUR_5"/>
    <x v="0"/>
    <s v="Taycan"/>
    <s v="Sedan"/>
    <x v="0"/>
    <x v="2"/>
    <x v="0"/>
    <x v="0"/>
    <n v="24"/>
    <n v="7"/>
    <x v="0"/>
    <x v="1"/>
    <n v="131524"/>
    <n v="99072"/>
    <n v="32452"/>
    <x v="0"/>
    <n v="131524"/>
    <n v="0"/>
    <n v="0"/>
    <n v="1"/>
    <n v="1"/>
    <s v="Yes"/>
    <x v="0"/>
  </r>
  <r>
    <n v="21596"/>
    <d v="2024-01-18T00:00:00"/>
    <x v="1"/>
    <s v="Kolkata"/>
    <s v="SC_KOL_5"/>
    <x v="2"/>
    <s v="911"/>
    <s v="Coupe"/>
    <x v="1"/>
    <x v="0"/>
    <x v="1"/>
    <x v="0"/>
    <n v="16"/>
    <n v="7"/>
    <x v="1"/>
    <x v="0"/>
    <n v="409630"/>
    <n v="317514"/>
    <n v="92116"/>
    <x v="1"/>
    <n v="0"/>
    <n v="1"/>
    <n v="1"/>
    <n v="0"/>
    <n v="1"/>
    <s v="Yes"/>
    <x v="0"/>
  </r>
  <r>
    <n v="21597"/>
    <d v="2024-06-09T00:00:00"/>
    <x v="1"/>
    <s v="Patna"/>
    <s v="SC_PAT_3"/>
    <x v="0"/>
    <s v="911"/>
    <s v="Coupe"/>
    <x v="0"/>
    <x v="2"/>
    <x v="2"/>
    <x v="0"/>
    <n v="24"/>
    <n v="7"/>
    <x v="0"/>
    <x v="1"/>
    <n v="200680"/>
    <n v="129932"/>
    <n v="70748"/>
    <x v="0"/>
    <n v="200680"/>
    <n v="0"/>
    <n v="0"/>
    <n v="1"/>
    <n v="1"/>
    <s v="Yes"/>
    <x v="0"/>
  </r>
  <r>
    <n v="21598"/>
    <d v="2024-02-29T00:00:00"/>
    <x v="0"/>
    <s v="Bengaluru"/>
    <s v="SC_BEN_1"/>
    <x v="2"/>
    <s v="Cayenne"/>
    <s v="SUV"/>
    <x v="0"/>
    <x v="2"/>
    <x v="0"/>
    <x v="1"/>
    <n v="10"/>
    <n v="7"/>
    <x v="0"/>
    <x v="1"/>
    <n v="163953"/>
    <n v="133406"/>
    <n v="30547"/>
    <x v="1"/>
    <n v="163953"/>
    <n v="0"/>
    <n v="0"/>
    <n v="1"/>
    <n v="1"/>
    <s v="Yes"/>
    <x v="0"/>
  </r>
  <r>
    <n v="21599"/>
    <d v="2024-05-23T00:00:00"/>
    <x v="3"/>
    <s v="Pune"/>
    <s v="SC_PUN_1"/>
    <x v="0"/>
    <s v="Taycan"/>
    <s v="Sedan"/>
    <x v="1"/>
    <x v="0"/>
    <x v="1"/>
    <x v="0"/>
    <n v="9"/>
    <n v="7"/>
    <x v="0"/>
    <x v="1"/>
    <n v="544955"/>
    <n v="401133"/>
    <n v="143822"/>
    <x v="2"/>
    <n v="544955"/>
    <n v="0"/>
    <n v="0"/>
    <n v="1"/>
    <n v="1"/>
    <s v="Yes"/>
    <x v="1"/>
  </r>
  <r>
    <n v="21600"/>
    <d v="2024-04-07T00:00:00"/>
    <x v="1"/>
    <s v="Bhubaneswar"/>
    <s v="SC_BHU_3"/>
    <x v="2"/>
    <s v="Macan"/>
    <s v="SUV"/>
    <x v="0"/>
    <x v="1"/>
    <x v="1"/>
    <x v="1"/>
    <n v="11"/>
    <n v="7"/>
    <x v="1"/>
    <x v="0"/>
    <n v="204929"/>
    <n v="117593"/>
    <n v="87336"/>
    <x v="2"/>
    <n v="0"/>
    <n v="1"/>
    <n v="1"/>
    <n v="0"/>
    <n v="1"/>
    <s v="Yes"/>
    <x v="1"/>
  </r>
  <r>
    <n v="21601"/>
    <d v="2024-01-23T00:00:00"/>
    <x v="1"/>
    <s v="Bhubaneswar"/>
    <s v="SC_BHU_5"/>
    <x v="0"/>
    <s v="911"/>
    <s v="Coupe"/>
    <x v="1"/>
    <x v="1"/>
    <x v="1"/>
    <x v="1"/>
    <n v="15"/>
    <n v="7"/>
    <x v="0"/>
    <x v="1"/>
    <n v="433671"/>
    <n v="319223"/>
    <n v="114448"/>
    <x v="0"/>
    <n v="433671"/>
    <n v="0"/>
    <n v="0"/>
    <n v="1"/>
    <n v="1"/>
    <s v="Yes"/>
    <x v="0"/>
  </r>
  <r>
    <n v="21602"/>
    <d v="2024-04-10T00:00:00"/>
    <x v="2"/>
    <s v="Noida"/>
    <s v="SC_NOI_4"/>
    <x v="1"/>
    <s v="Veyron"/>
    <s v="Hypercar"/>
    <x v="1"/>
    <x v="4"/>
    <x v="0"/>
    <x v="1"/>
    <n v="14"/>
    <n v="7"/>
    <x v="0"/>
    <x v="0"/>
    <n v="191990"/>
    <n v="100180"/>
    <n v="91810"/>
    <x v="1"/>
    <n v="0"/>
    <n v="1"/>
    <n v="0"/>
    <n v="1"/>
    <n v="1"/>
    <s v="Yes"/>
    <x v="0"/>
  </r>
  <r>
    <n v="21603"/>
    <d v="2024-06-29T00:00:00"/>
    <x v="0"/>
    <s v="Chennai"/>
    <s v="SC_CHE_5"/>
    <x v="2"/>
    <s v="Chiron"/>
    <s v="Hypercar"/>
    <x v="0"/>
    <x v="0"/>
    <x v="2"/>
    <x v="0"/>
    <n v="19"/>
    <n v="7"/>
    <x v="0"/>
    <x v="1"/>
    <n v="120236"/>
    <n v="65456"/>
    <n v="54780"/>
    <x v="0"/>
    <n v="120236"/>
    <n v="0"/>
    <n v="0"/>
    <n v="1"/>
    <n v="1"/>
    <s v="Yes"/>
    <x v="0"/>
  </r>
  <r>
    <n v="21604"/>
    <d v="2024-06-11T00:00:00"/>
    <x v="0"/>
    <s v="Hyderabad"/>
    <s v="SC_HYD_4"/>
    <x v="1"/>
    <s v="Macan"/>
    <s v="SUV"/>
    <x v="0"/>
    <x v="1"/>
    <x v="1"/>
    <x v="1"/>
    <n v="17"/>
    <n v="7"/>
    <x v="1"/>
    <x v="0"/>
    <n v="242074"/>
    <n v="187202"/>
    <n v="54872"/>
    <x v="1"/>
    <n v="0"/>
    <n v="1"/>
    <n v="1"/>
    <n v="0"/>
    <n v="1"/>
    <s v="Yes"/>
    <x v="0"/>
  </r>
  <r>
    <n v="21605"/>
    <d v="2024-05-10T00:00:00"/>
    <x v="2"/>
    <s v="Gurugram"/>
    <s v="SC_GUR_1"/>
    <x v="0"/>
    <s v="Macan"/>
    <s v="SUV"/>
    <x v="1"/>
    <x v="4"/>
    <x v="2"/>
    <x v="1"/>
    <n v="14"/>
    <n v="7"/>
    <x v="0"/>
    <x v="0"/>
    <n v="322622"/>
    <n v="250906"/>
    <n v="71716"/>
    <x v="1"/>
    <n v="0"/>
    <n v="1"/>
    <n v="0"/>
    <n v="1"/>
    <n v="1"/>
    <s v="Yes"/>
    <x v="0"/>
  </r>
  <r>
    <n v="21606"/>
    <d v="2024-04-25T00:00:00"/>
    <x v="0"/>
    <s v="Hyderabad"/>
    <s v="SC_HYD_5"/>
    <x v="0"/>
    <s v="Chiron"/>
    <s v="Hypercar"/>
    <x v="0"/>
    <x v="4"/>
    <x v="1"/>
    <x v="0"/>
    <n v="18"/>
    <n v="7"/>
    <x v="1"/>
    <x v="1"/>
    <n v="415389"/>
    <n v="312501"/>
    <n v="102888"/>
    <x v="1"/>
    <n v="0"/>
    <n v="0"/>
    <n v="1"/>
    <n v="0"/>
    <n v="1"/>
    <s v="Yes"/>
    <x v="0"/>
  </r>
  <r>
    <n v="21607"/>
    <d v="2024-02-26T00:00:00"/>
    <x v="0"/>
    <s v="Chennai"/>
    <s v="SC_CHE_4"/>
    <x v="2"/>
    <s v="911"/>
    <s v="Coupe"/>
    <x v="0"/>
    <x v="1"/>
    <x v="2"/>
    <x v="1"/>
    <n v="3"/>
    <n v="7"/>
    <x v="1"/>
    <x v="0"/>
    <n v="177074"/>
    <n v="137548"/>
    <n v="39526"/>
    <x v="4"/>
    <n v="0"/>
    <n v="1"/>
    <n v="1"/>
    <n v="0"/>
    <n v="1"/>
    <s v="No"/>
    <x v="2"/>
  </r>
  <r>
    <n v="21608"/>
    <d v="2024-01-12T00:00:00"/>
    <x v="1"/>
    <s v="Patna"/>
    <s v="SC_PAT_3"/>
    <x v="1"/>
    <s v="Cayenne"/>
    <s v="SUV"/>
    <x v="1"/>
    <x v="4"/>
    <x v="2"/>
    <x v="0"/>
    <n v="3"/>
    <n v="7"/>
    <x v="1"/>
    <x v="1"/>
    <n v="512781"/>
    <n v="275369"/>
    <n v="237412"/>
    <x v="4"/>
    <n v="0"/>
    <n v="0"/>
    <n v="1"/>
    <n v="0"/>
    <n v="1"/>
    <s v="No"/>
    <x v="2"/>
  </r>
  <r>
    <n v="21609"/>
    <d v="2024-06-25T00:00:00"/>
    <x v="3"/>
    <s v="Ahmedabad"/>
    <s v="SC_AHM_3"/>
    <x v="0"/>
    <s v="Cayenne"/>
    <s v="SUV"/>
    <x v="1"/>
    <x v="3"/>
    <x v="2"/>
    <x v="1"/>
    <n v="5"/>
    <n v="7"/>
    <x v="0"/>
    <x v="0"/>
    <n v="190665"/>
    <n v="127781"/>
    <n v="62884"/>
    <x v="2"/>
    <n v="0"/>
    <n v="1"/>
    <n v="0"/>
    <n v="1"/>
    <n v="1"/>
    <s v="No"/>
    <x v="1"/>
  </r>
  <r>
    <n v="21610"/>
    <d v="2024-05-15T00:00:00"/>
    <x v="2"/>
    <s v="Noida"/>
    <s v="SC_NOI_2"/>
    <x v="0"/>
    <s v="Veyron"/>
    <s v="Hypercar"/>
    <x v="0"/>
    <x v="0"/>
    <x v="2"/>
    <x v="0"/>
    <n v="18"/>
    <n v="7"/>
    <x v="0"/>
    <x v="1"/>
    <n v="332670"/>
    <n v="257623"/>
    <n v="75047"/>
    <x v="0"/>
    <n v="332670"/>
    <n v="0"/>
    <n v="0"/>
    <n v="1"/>
    <n v="1"/>
    <s v="Yes"/>
    <x v="0"/>
  </r>
  <r>
    <n v="21611"/>
    <d v="2024-05-14T00:00:00"/>
    <x v="1"/>
    <s v="Patna"/>
    <s v="SC_PAT_4"/>
    <x v="2"/>
    <s v="Chiron"/>
    <s v="Hypercar"/>
    <x v="1"/>
    <x v="1"/>
    <x v="2"/>
    <x v="0"/>
    <n v="24"/>
    <n v="7"/>
    <x v="1"/>
    <x v="0"/>
    <n v="486141"/>
    <n v="321863"/>
    <n v="164278"/>
    <x v="0"/>
    <n v="0"/>
    <n v="1"/>
    <n v="1"/>
    <n v="0"/>
    <n v="1"/>
    <s v="Yes"/>
    <x v="0"/>
  </r>
  <r>
    <n v="21612"/>
    <d v="2024-01-28T00:00:00"/>
    <x v="3"/>
    <s v="Pune"/>
    <s v="SC_PUN_3"/>
    <x v="2"/>
    <s v="Veyron"/>
    <s v="Hypercar"/>
    <x v="1"/>
    <x v="4"/>
    <x v="1"/>
    <x v="1"/>
    <n v="22"/>
    <n v="7"/>
    <x v="0"/>
    <x v="1"/>
    <n v="332283"/>
    <n v="170681"/>
    <n v="161602"/>
    <x v="0"/>
    <n v="332283"/>
    <n v="0"/>
    <n v="0"/>
    <n v="1"/>
    <n v="1"/>
    <s v="Yes"/>
    <x v="0"/>
  </r>
  <r>
    <n v="21613"/>
    <d v="2024-05-26T00:00:00"/>
    <x v="1"/>
    <s v="Bhubaneswar"/>
    <s v="SC_BHU_4"/>
    <x v="1"/>
    <s v="Chiron"/>
    <s v="Hypercar"/>
    <x v="0"/>
    <x v="2"/>
    <x v="1"/>
    <x v="0"/>
    <n v="11"/>
    <n v="7"/>
    <x v="0"/>
    <x v="1"/>
    <n v="115911"/>
    <n v="97029"/>
    <n v="18882"/>
    <x v="1"/>
    <n v="115911"/>
    <n v="0"/>
    <n v="0"/>
    <n v="1"/>
    <n v="1"/>
    <s v="Yes"/>
    <x v="0"/>
  </r>
  <r>
    <n v="21614"/>
    <d v="2024-05-08T00:00:00"/>
    <x v="2"/>
    <s v="Noida"/>
    <s v="SC_NOI_2"/>
    <x v="1"/>
    <s v="Chiron"/>
    <s v="Hypercar"/>
    <x v="1"/>
    <x v="3"/>
    <x v="2"/>
    <x v="1"/>
    <n v="10"/>
    <n v="7"/>
    <x v="0"/>
    <x v="0"/>
    <n v="460804"/>
    <n v="269090"/>
    <n v="191714"/>
    <x v="1"/>
    <n v="0"/>
    <n v="1"/>
    <n v="0"/>
    <n v="1"/>
    <n v="1"/>
    <s v="Yes"/>
    <x v="0"/>
  </r>
  <r>
    <n v="21615"/>
    <d v="2024-03-24T00:00:00"/>
    <x v="2"/>
    <s v="Gurugram"/>
    <s v="SC_GUR_3"/>
    <x v="0"/>
    <s v="Cayenne"/>
    <s v="SUV"/>
    <x v="0"/>
    <x v="2"/>
    <x v="1"/>
    <x v="0"/>
    <n v="14"/>
    <n v="7"/>
    <x v="0"/>
    <x v="0"/>
    <n v="232897"/>
    <n v="152868"/>
    <n v="80029"/>
    <x v="1"/>
    <n v="0"/>
    <n v="1"/>
    <n v="0"/>
    <n v="1"/>
    <n v="1"/>
    <s v="Yes"/>
    <x v="0"/>
  </r>
  <r>
    <n v="21616"/>
    <d v="2024-01-18T00:00:00"/>
    <x v="3"/>
    <s v="Mumbai"/>
    <s v="SC_MUM_2"/>
    <x v="2"/>
    <s v="Cayenne"/>
    <s v="SUV"/>
    <x v="0"/>
    <x v="0"/>
    <x v="0"/>
    <x v="1"/>
    <n v="9"/>
    <n v="7"/>
    <x v="1"/>
    <x v="0"/>
    <n v="397210"/>
    <n v="212501"/>
    <n v="184709"/>
    <x v="3"/>
    <n v="0"/>
    <n v="1"/>
    <n v="1"/>
    <n v="0"/>
    <n v="1"/>
    <s v="Yes"/>
    <x v="2"/>
  </r>
  <r>
    <n v="21617"/>
    <d v="2024-03-11T00:00:00"/>
    <x v="1"/>
    <s v="Kolkata"/>
    <s v="SC_KOL_1"/>
    <x v="0"/>
    <s v="Chiron"/>
    <s v="Hypercar"/>
    <x v="1"/>
    <x v="1"/>
    <x v="1"/>
    <x v="0"/>
    <n v="9"/>
    <n v="7"/>
    <x v="1"/>
    <x v="1"/>
    <n v="454609"/>
    <n v="342602"/>
    <n v="112007"/>
    <x v="3"/>
    <n v="0"/>
    <n v="0"/>
    <n v="1"/>
    <n v="0"/>
    <n v="1"/>
    <s v="Yes"/>
    <x v="2"/>
  </r>
  <r>
    <n v="21618"/>
    <d v="2024-03-26T00:00:00"/>
    <x v="3"/>
    <s v="Ahmedabad"/>
    <s v="SC_AHM_4"/>
    <x v="2"/>
    <s v="Macan"/>
    <s v="SUV"/>
    <x v="0"/>
    <x v="3"/>
    <x v="2"/>
    <x v="0"/>
    <n v="12"/>
    <n v="7"/>
    <x v="0"/>
    <x v="1"/>
    <n v="216529"/>
    <n v="144580"/>
    <n v="71949"/>
    <x v="1"/>
    <n v="216529"/>
    <n v="0"/>
    <n v="0"/>
    <n v="1"/>
    <n v="1"/>
    <s v="Yes"/>
    <x v="0"/>
  </r>
  <r>
    <n v="21619"/>
    <d v="2024-03-08T00:00:00"/>
    <x v="3"/>
    <s v="Ahmedabad"/>
    <s v="SC_AHM_5"/>
    <x v="1"/>
    <s v="Macan"/>
    <s v="SUV"/>
    <x v="1"/>
    <x v="0"/>
    <x v="0"/>
    <x v="0"/>
    <n v="24"/>
    <n v="7"/>
    <x v="0"/>
    <x v="0"/>
    <n v="556178"/>
    <n v="375497"/>
    <n v="180681"/>
    <x v="0"/>
    <n v="0"/>
    <n v="1"/>
    <n v="0"/>
    <n v="1"/>
    <n v="1"/>
    <s v="Yes"/>
    <x v="0"/>
  </r>
  <r>
    <n v="21620"/>
    <d v="2024-03-07T00:00:00"/>
    <x v="2"/>
    <s v="Gurugram"/>
    <s v="SC_GUR_2"/>
    <x v="1"/>
    <s v="911"/>
    <s v="Coupe"/>
    <x v="1"/>
    <x v="2"/>
    <x v="0"/>
    <x v="1"/>
    <n v="11"/>
    <n v="7"/>
    <x v="0"/>
    <x v="1"/>
    <n v="427519"/>
    <n v="224360"/>
    <n v="203159"/>
    <x v="1"/>
    <n v="427519"/>
    <n v="0"/>
    <n v="0"/>
    <n v="1"/>
    <n v="1"/>
    <s v="Yes"/>
    <x v="0"/>
  </r>
  <r>
    <n v="21621"/>
    <d v="2024-02-25T00:00:00"/>
    <x v="1"/>
    <s v="Kolkata"/>
    <s v="SC_KOL_3"/>
    <x v="1"/>
    <s v="Macan"/>
    <s v="SUV"/>
    <x v="1"/>
    <x v="2"/>
    <x v="2"/>
    <x v="0"/>
    <n v="21"/>
    <n v="7"/>
    <x v="1"/>
    <x v="1"/>
    <n v="189185"/>
    <n v="160634"/>
    <n v="28551"/>
    <x v="0"/>
    <n v="0"/>
    <n v="0"/>
    <n v="1"/>
    <n v="0"/>
    <n v="1"/>
    <s v="Yes"/>
    <x v="0"/>
  </r>
  <r>
    <n v="21622"/>
    <d v="2024-03-29T00:00:00"/>
    <x v="3"/>
    <s v="Ahmedabad"/>
    <s v="SC_AHM_1"/>
    <x v="1"/>
    <s v="Cayenne"/>
    <s v="SUV"/>
    <x v="1"/>
    <x v="3"/>
    <x v="2"/>
    <x v="0"/>
    <n v="15"/>
    <n v="7"/>
    <x v="0"/>
    <x v="0"/>
    <n v="559678"/>
    <n v="374995"/>
    <n v="184683"/>
    <x v="0"/>
    <n v="0"/>
    <n v="1"/>
    <n v="0"/>
    <n v="1"/>
    <n v="1"/>
    <s v="Yes"/>
    <x v="0"/>
  </r>
  <r>
    <n v="21623"/>
    <d v="2024-04-11T00:00:00"/>
    <x v="1"/>
    <s v="Patna"/>
    <s v="SC_PAT_5"/>
    <x v="0"/>
    <s v="Panamera"/>
    <s v="Sedan"/>
    <x v="0"/>
    <x v="3"/>
    <x v="0"/>
    <x v="0"/>
    <n v="17"/>
    <n v="7"/>
    <x v="0"/>
    <x v="1"/>
    <n v="361746"/>
    <n v="298430"/>
    <n v="63316"/>
    <x v="0"/>
    <n v="361746"/>
    <n v="0"/>
    <n v="0"/>
    <n v="1"/>
    <n v="1"/>
    <s v="Yes"/>
    <x v="0"/>
  </r>
  <r>
    <n v="21624"/>
    <d v="2024-01-27T00:00:00"/>
    <x v="3"/>
    <s v="Mumbai"/>
    <s v="SC_MUM_5"/>
    <x v="2"/>
    <s v="Veyron"/>
    <s v="Hypercar"/>
    <x v="0"/>
    <x v="1"/>
    <x v="0"/>
    <x v="1"/>
    <n v="24"/>
    <n v="7"/>
    <x v="0"/>
    <x v="0"/>
    <n v="125363"/>
    <n v="73887"/>
    <n v="51476"/>
    <x v="0"/>
    <n v="0"/>
    <n v="1"/>
    <n v="0"/>
    <n v="1"/>
    <n v="1"/>
    <s v="Yes"/>
    <x v="0"/>
  </r>
  <r>
    <n v="21625"/>
    <d v="2024-05-27T00:00:00"/>
    <x v="0"/>
    <s v="Chennai"/>
    <s v="SC_CHE_2"/>
    <x v="0"/>
    <s v="Cayenne"/>
    <s v="SUV"/>
    <x v="0"/>
    <x v="4"/>
    <x v="1"/>
    <x v="1"/>
    <n v="17"/>
    <n v="7"/>
    <x v="0"/>
    <x v="1"/>
    <n v="188303"/>
    <n v="154804"/>
    <n v="33499"/>
    <x v="0"/>
    <n v="188303"/>
    <n v="0"/>
    <n v="0"/>
    <n v="1"/>
    <n v="1"/>
    <s v="Yes"/>
    <x v="0"/>
  </r>
  <r>
    <n v="21626"/>
    <d v="2024-06-02T00:00:00"/>
    <x v="1"/>
    <s v="Bhubaneswar"/>
    <s v="SC_BHU_1"/>
    <x v="1"/>
    <s v="Panamera"/>
    <s v="Sedan"/>
    <x v="0"/>
    <x v="2"/>
    <x v="1"/>
    <x v="0"/>
    <n v="18"/>
    <n v="7"/>
    <x v="0"/>
    <x v="0"/>
    <n v="166230"/>
    <n v="118066"/>
    <n v="48164"/>
    <x v="0"/>
    <n v="0"/>
    <n v="1"/>
    <n v="0"/>
    <n v="1"/>
    <n v="1"/>
    <s v="Yes"/>
    <x v="0"/>
  </r>
  <r>
    <n v="21627"/>
    <d v="2024-04-16T00:00:00"/>
    <x v="2"/>
    <s v="Delhi"/>
    <s v="SC_DEL_5"/>
    <x v="1"/>
    <s v="Chiron"/>
    <s v="Hypercar"/>
    <x v="1"/>
    <x v="4"/>
    <x v="2"/>
    <x v="0"/>
    <n v="2"/>
    <n v="7"/>
    <x v="1"/>
    <x v="1"/>
    <n v="570404"/>
    <n v="440586"/>
    <n v="129818"/>
    <x v="4"/>
    <n v="0"/>
    <n v="0"/>
    <n v="1"/>
    <n v="0"/>
    <n v="1"/>
    <s v="No"/>
    <x v="2"/>
  </r>
  <r>
    <n v="21628"/>
    <d v="2024-06-05T00:00:00"/>
    <x v="1"/>
    <s v="Bhubaneswar"/>
    <s v="SC_BHU_3"/>
    <x v="0"/>
    <s v="Panamera"/>
    <s v="Sedan"/>
    <x v="0"/>
    <x v="3"/>
    <x v="2"/>
    <x v="0"/>
    <n v="16"/>
    <n v="7"/>
    <x v="0"/>
    <x v="0"/>
    <n v="597853"/>
    <n v="427821"/>
    <n v="170032"/>
    <x v="0"/>
    <n v="0"/>
    <n v="1"/>
    <n v="0"/>
    <n v="1"/>
    <n v="1"/>
    <s v="Yes"/>
    <x v="0"/>
  </r>
  <r>
    <n v="21629"/>
    <d v="2024-05-10T00:00:00"/>
    <x v="2"/>
    <s v="Gurugram"/>
    <s v="SC_GUR_1"/>
    <x v="2"/>
    <s v="Macan"/>
    <s v="SUV"/>
    <x v="0"/>
    <x v="1"/>
    <x v="0"/>
    <x v="1"/>
    <n v="24"/>
    <n v="7"/>
    <x v="0"/>
    <x v="1"/>
    <n v="253936"/>
    <n v="169496"/>
    <n v="84440"/>
    <x v="0"/>
    <n v="253936"/>
    <n v="0"/>
    <n v="0"/>
    <n v="1"/>
    <n v="1"/>
    <s v="Yes"/>
    <x v="0"/>
  </r>
  <r>
    <n v="21630"/>
    <d v="2024-01-29T00:00:00"/>
    <x v="3"/>
    <s v="Ahmedabad"/>
    <s v="SC_AHM_2"/>
    <x v="2"/>
    <s v="Taycan"/>
    <s v="Sedan"/>
    <x v="0"/>
    <x v="0"/>
    <x v="2"/>
    <x v="1"/>
    <n v="20"/>
    <n v="7"/>
    <x v="1"/>
    <x v="1"/>
    <n v="369141"/>
    <n v="190234"/>
    <n v="178907"/>
    <x v="0"/>
    <n v="0"/>
    <n v="0"/>
    <n v="1"/>
    <n v="0"/>
    <n v="1"/>
    <s v="Yes"/>
    <x v="0"/>
  </r>
  <r>
    <n v="21631"/>
    <d v="2024-01-30T00:00:00"/>
    <x v="3"/>
    <s v="Mumbai"/>
    <s v="SC_MUM_3"/>
    <x v="1"/>
    <s v="Panamera"/>
    <s v="Sedan"/>
    <x v="1"/>
    <x v="3"/>
    <x v="0"/>
    <x v="0"/>
    <n v="20"/>
    <n v="7"/>
    <x v="0"/>
    <x v="0"/>
    <n v="508217"/>
    <n v="284720"/>
    <n v="223497"/>
    <x v="0"/>
    <n v="0"/>
    <n v="1"/>
    <n v="0"/>
    <n v="1"/>
    <n v="1"/>
    <s v="Yes"/>
    <x v="0"/>
  </r>
  <r>
    <n v="21632"/>
    <d v="2024-05-21T00:00:00"/>
    <x v="2"/>
    <s v="Noida"/>
    <s v="SC_NOI_1"/>
    <x v="0"/>
    <s v="Cayenne"/>
    <s v="SUV"/>
    <x v="0"/>
    <x v="4"/>
    <x v="1"/>
    <x v="1"/>
    <n v="7"/>
    <n v="7"/>
    <x v="1"/>
    <x v="1"/>
    <n v="411763"/>
    <n v="246238"/>
    <n v="165525"/>
    <x v="3"/>
    <n v="0"/>
    <n v="0"/>
    <n v="1"/>
    <n v="0"/>
    <n v="1"/>
    <s v="No"/>
    <x v="2"/>
  </r>
  <r>
    <n v="21633"/>
    <d v="2024-04-11T00:00:00"/>
    <x v="2"/>
    <s v="Gurugram"/>
    <s v="SC_GUR_1"/>
    <x v="1"/>
    <s v="Veyron"/>
    <s v="Hypercar"/>
    <x v="1"/>
    <x v="4"/>
    <x v="0"/>
    <x v="1"/>
    <n v="19"/>
    <n v="7"/>
    <x v="0"/>
    <x v="1"/>
    <n v="512471"/>
    <n v="394044"/>
    <n v="118427"/>
    <x v="0"/>
    <n v="512471"/>
    <n v="0"/>
    <n v="0"/>
    <n v="1"/>
    <n v="1"/>
    <s v="Yes"/>
    <x v="0"/>
  </r>
  <r>
    <n v="21634"/>
    <d v="2024-03-08T00:00:00"/>
    <x v="2"/>
    <s v="Gurugram"/>
    <s v="SC_GUR_2"/>
    <x v="1"/>
    <s v="Veyron"/>
    <s v="Hypercar"/>
    <x v="1"/>
    <x v="2"/>
    <x v="2"/>
    <x v="0"/>
    <n v="6"/>
    <n v="7"/>
    <x v="1"/>
    <x v="0"/>
    <n v="172385"/>
    <n v="87155"/>
    <n v="85230"/>
    <x v="3"/>
    <n v="0"/>
    <n v="1"/>
    <n v="1"/>
    <n v="0"/>
    <n v="1"/>
    <s v="No"/>
    <x v="2"/>
  </r>
  <r>
    <n v="21635"/>
    <d v="2024-01-19T00:00:00"/>
    <x v="1"/>
    <s v="Bhubaneswar"/>
    <s v="SC_BHU_4"/>
    <x v="0"/>
    <s v="Cayenne"/>
    <s v="SUV"/>
    <x v="0"/>
    <x v="2"/>
    <x v="2"/>
    <x v="0"/>
    <n v="16"/>
    <n v="7"/>
    <x v="0"/>
    <x v="1"/>
    <n v="574762"/>
    <n v="413521"/>
    <n v="161241"/>
    <x v="0"/>
    <n v="574762"/>
    <n v="0"/>
    <n v="0"/>
    <n v="1"/>
    <n v="1"/>
    <s v="Yes"/>
    <x v="0"/>
  </r>
  <r>
    <n v="21636"/>
    <d v="2024-06-28T00:00:00"/>
    <x v="2"/>
    <s v="Gurugram"/>
    <s v="SC_GUR_5"/>
    <x v="2"/>
    <s v="Chiron"/>
    <s v="Hypercar"/>
    <x v="0"/>
    <x v="0"/>
    <x v="1"/>
    <x v="0"/>
    <n v="8"/>
    <n v="7"/>
    <x v="1"/>
    <x v="0"/>
    <n v="196360"/>
    <n v="129416"/>
    <n v="66944"/>
    <x v="3"/>
    <n v="0"/>
    <n v="1"/>
    <n v="1"/>
    <n v="0"/>
    <n v="1"/>
    <s v="Yes"/>
    <x v="2"/>
  </r>
  <r>
    <n v="21637"/>
    <d v="2024-01-11T00:00:00"/>
    <x v="3"/>
    <s v="Ahmedabad"/>
    <s v="SC_AHM_2"/>
    <x v="0"/>
    <s v="Cayenne"/>
    <s v="SUV"/>
    <x v="0"/>
    <x v="0"/>
    <x v="0"/>
    <x v="0"/>
    <n v="2"/>
    <n v="7"/>
    <x v="0"/>
    <x v="1"/>
    <n v="383934"/>
    <n v="263367"/>
    <n v="120567"/>
    <x v="3"/>
    <n v="383934"/>
    <n v="0"/>
    <n v="0"/>
    <n v="1"/>
    <n v="1"/>
    <s v="No"/>
    <x v="2"/>
  </r>
  <r>
    <n v="21638"/>
    <d v="2024-06-19T00:00:00"/>
    <x v="2"/>
    <s v="Delhi"/>
    <s v="SC_DEL_1"/>
    <x v="2"/>
    <s v="Chiron"/>
    <s v="Hypercar"/>
    <x v="1"/>
    <x v="2"/>
    <x v="0"/>
    <x v="1"/>
    <n v="6"/>
    <n v="7"/>
    <x v="0"/>
    <x v="1"/>
    <n v="433313"/>
    <n v="224067"/>
    <n v="209246"/>
    <x v="2"/>
    <n v="433313"/>
    <n v="0"/>
    <n v="0"/>
    <n v="1"/>
    <n v="1"/>
    <s v="No"/>
    <x v="1"/>
  </r>
  <r>
    <n v="21639"/>
    <d v="2024-06-10T00:00:00"/>
    <x v="1"/>
    <s v="Kolkata"/>
    <s v="SC_KOL_3"/>
    <x v="2"/>
    <s v="Chiron"/>
    <s v="Hypercar"/>
    <x v="1"/>
    <x v="3"/>
    <x v="0"/>
    <x v="0"/>
    <n v="25"/>
    <n v="7"/>
    <x v="0"/>
    <x v="0"/>
    <n v="462611"/>
    <n v="321728"/>
    <n v="140883"/>
    <x v="0"/>
    <n v="0"/>
    <n v="1"/>
    <n v="0"/>
    <n v="1"/>
    <n v="1"/>
    <s v="Yes"/>
    <x v="0"/>
  </r>
  <r>
    <n v="21640"/>
    <d v="2024-03-08T00:00:00"/>
    <x v="2"/>
    <s v="Delhi"/>
    <s v="SC_DEL_1"/>
    <x v="2"/>
    <s v="Chiron"/>
    <s v="Hypercar"/>
    <x v="0"/>
    <x v="3"/>
    <x v="2"/>
    <x v="0"/>
    <n v="18"/>
    <n v="7"/>
    <x v="1"/>
    <x v="0"/>
    <n v="469341"/>
    <n v="278872"/>
    <n v="190469"/>
    <x v="1"/>
    <n v="0"/>
    <n v="1"/>
    <n v="1"/>
    <n v="0"/>
    <n v="1"/>
    <s v="Yes"/>
    <x v="0"/>
  </r>
  <r>
    <n v="21641"/>
    <d v="2024-04-21T00:00:00"/>
    <x v="0"/>
    <s v="Hyderabad"/>
    <s v="SC_HYD_3"/>
    <x v="0"/>
    <s v="Panamera"/>
    <s v="Sedan"/>
    <x v="0"/>
    <x v="1"/>
    <x v="1"/>
    <x v="0"/>
    <n v="15"/>
    <n v="7"/>
    <x v="0"/>
    <x v="0"/>
    <n v="245320"/>
    <n v="141288"/>
    <n v="104032"/>
    <x v="0"/>
    <n v="0"/>
    <n v="1"/>
    <n v="0"/>
    <n v="1"/>
    <n v="1"/>
    <s v="Yes"/>
    <x v="0"/>
  </r>
  <r>
    <n v="21642"/>
    <d v="2024-05-10T00:00:00"/>
    <x v="3"/>
    <s v="Pune"/>
    <s v="SC_PUN_2"/>
    <x v="1"/>
    <s v="Taycan"/>
    <s v="Sedan"/>
    <x v="1"/>
    <x v="0"/>
    <x v="2"/>
    <x v="0"/>
    <n v="8"/>
    <n v="7"/>
    <x v="1"/>
    <x v="1"/>
    <n v="223374"/>
    <n v="124789"/>
    <n v="98585"/>
    <x v="3"/>
    <n v="0"/>
    <n v="0"/>
    <n v="1"/>
    <n v="0"/>
    <n v="1"/>
    <s v="Yes"/>
    <x v="2"/>
  </r>
  <r>
    <n v="21643"/>
    <d v="2024-03-12T00:00:00"/>
    <x v="1"/>
    <s v="Patna"/>
    <s v="SC_PAT_3"/>
    <x v="0"/>
    <s v="911"/>
    <s v="Coupe"/>
    <x v="0"/>
    <x v="1"/>
    <x v="2"/>
    <x v="1"/>
    <n v="16"/>
    <n v="7"/>
    <x v="1"/>
    <x v="1"/>
    <n v="497345"/>
    <n v="383576"/>
    <n v="113769"/>
    <x v="1"/>
    <n v="0"/>
    <n v="0"/>
    <n v="1"/>
    <n v="0"/>
    <n v="1"/>
    <s v="Yes"/>
    <x v="0"/>
  </r>
  <r>
    <n v="21644"/>
    <d v="2024-03-27T00:00:00"/>
    <x v="0"/>
    <s v="Bengaluru"/>
    <s v="SC_BEN_5"/>
    <x v="2"/>
    <s v="Panamera"/>
    <s v="Sedan"/>
    <x v="0"/>
    <x v="0"/>
    <x v="1"/>
    <x v="1"/>
    <n v="7"/>
    <n v="7"/>
    <x v="0"/>
    <x v="1"/>
    <n v="185632"/>
    <n v="94539"/>
    <n v="91093"/>
    <x v="2"/>
    <n v="185632"/>
    <n v="0"/>
    <n v="0"/>
    <n v="1"/>
    <n v="1"/>
    <s v="No"/>
    <x v="1"/>
  </r>
  <r>
    <n v="21645"/>
    <d v="2024-06-16T00:00:00"/>
    <x v="3"/>
    <s v="Mumbai"/>
    <s v="SC_MUM_5"/>
    <x v="0"/>
    <s v="Panamera"/>
    <s v="Sedan"/>
    <x v="1"/>
    <x v="2"/>
    <x v="2"/>
    <x v="1"/>
    <n v="19"/>
    <n v="7"/>
    <x v="1"/>
    <x v="1"/>
    <n v="261303"/>
    <n v="208024"/>
    <n v="53279"/>
    <x v="1"/>
    <n v="0"/>
    <n v="0"/>
    <n v="1"/>
    <n v="0"/>
    <n v="1"/>
    <s v="Yes"/>
    <x v="0"/>
  </r>
  <r>
    <n v="21646"/>
    <d v="2024-05-31T00:00:00"/>
    <x v="3"/>
    <s v="Ahmedabad"/>
    <s v="SC_AHM_4"/>
    <x v="0"/>
    <s v="Macan"/>
    <s v="SUV"/>
    <x v="1"/>
    <x v="4"/>
    <x v="1"/>
    <x v="1"/>
    <n v="21"/>
    <n v="7"/>
    <x v="1"/>
    <x v="1"/>
    <n v="509860"/>
    <n v="397522"/>
    <n v="112338"/>
    <x v="0"/>
    <n v="0"/>
    <n v="0"/>
    <n v="1"/>
    <n v="0"/>
    <n v="1"/>
    <s v="Yes"/>
    <x v="0"/>
  </r>
  <r>
    <n v="21647"/>
    <d v="2024-06-08T00:00:00"/>
    <x v="1"/>
    <s v="Patna"/>
    <s v="SC_PAT_4"/>
    <x v="2"/>
    <s v="Taycan"/>
    <s v="Sedan"/>
    <x v="1"/>
    <x v="3"/>
    <x v="2"/>
    <x v="0"/>
    <n v="7"/>
    <n v="7"/>
    <x v="1"/>
    <x v="1"/>
    <n v="204446"/>
    <n v="131776"/>
    <n v="72670"/>
    <x v="3"/>
    <n v="0"/>
    <n v="0"/>
    <n v="1"/>
    <n v="0"/>
    <n v="1"/>
    <s v="No"/>
    <x v="2"/>
  </r>
  <r>
    <n v="21648"/>
    <d v="2024-01-08T00:00:00"/>
    <x v="2"/>
    <s v="Delhi"/>
    <s v="SC_DEL_5"/>
    <x v="2"/>
    <s v="Taycan"/>
    <s v="Sedan"/>
    <x v="0"/>
    <x v="1"/>
    <x v="1"/>
    <x v="1"/>
    <n v="18"/>
    <n v="7"/>
    <x v="0"/>
    <x v="0"/>
    <n v="221659"/>
    <n v="148482"/>
    <n v="73177"/>
    <x v="0"/>
    <n v="0"/>
    <n v="1"/>
    <n v="0"/>
    <n v="1"/>
    <n v="1"/>
    <s v="Yes"/>
    <x v="0"/>
  </r>
  <r>
    <n v="21649"/>
    <d v="2024-01-12T00:00:00"/>
    <x v="1"/>
    <s v="Bhubaneswar"/>
    <s v="SC_BHU_3"/>
    <x v="0"/>
    <s v="Panamera"/>
    <s v="Sedan"/>
    <x v="0"/>
    <x v="1"/>
    <x v="2"/>
    <x v="1"/>
    <n v="15"/>
    <n v="7"/>
    <x v="0"/>
    <x v="0"/>
    <n v="90513"/>
    <n v="75827"/>
    <n v="14686"/>
    <x v="0"/>
    <n v="0"/>
    <n v="1"/>
    <n v="0"/>
    <n v="1"/>
    <n v="1"/>
    <s v="Yes"/>
    <x v="0"/>
  </r>
  <r>
    <n v="21650"/>
    <d v="2024-06-26T00:00:00"/>
    <x v="2"/>
    <s v="Delhi"/>
    <s v="SC_DEL_2"/>
    <x v="2"/>
    <s v="Chiron"/>
    <s v="Hypercar"/>
    <x v="1"/>
    <x v="2"/>
    <x v="2"/>
    <x v="1"/>
    <n v="13"/>
    <n v="7"/>
    <x v="0"/>
    <x v="1"/>
    <n v="229745"/>
    <n v="189190"/>
    <n v="40555"/>
    <x v="1"/>
    <n v="229745"/>
    <n v="0"/>
    <n v="0"/>
    <n v="1"/>
    <n v="1"/>
    <s v="Yes"/>
    <x v="0"/>
  </r>
  <r>
    <n v="21651"/>
    <d v="2024-03-26T00:00:00"/>
    <x v="3"/>
    <s v="Ahmedabad"/>
    <s v="SC_AHM_4"/>
    <x v="2"/>
    <s v="Veyron"/>
    <s v="Hypercar"/>
    <x v="0"/>
    <x v="4"/>
    <x v="2"/>
    <x v="0"/>
    <n v="20"/>
    <n v="7"/>
    <x v="0"/>
    <x v="0"/>
    <n v="551876"/>
    <n v="348252"/>
    <n v="203624"/>
    <x v="0"/>
    <n v="0"/>
    <n v="1"/>
    <n v="0"/>
    <n v="1"/>
    <n v="1"/>
    <s v="Yes"/>
    <x v="0"/>
  </r>
  <r>
    <n v="21652"/>
    <d v="2024-05-16T00:00:00"/>
    <x v="0"/>
    <s v="Hyderabad"/>
    <s v="SC_HYD_1"/>
    <x v="1"/>
    <s v="Veyron"/>
    <s v="Hypercar"/>
    <x v="1"/>
    <x v="3"/>
    <x v="2"/>
    <x v="0"/>
    <n v="14"/>
    <n v="7"/>
    <x v="0"/>
    <x v="1"/>
    <n v="301911"/>
    <n v="198776"/>
    <n v="103135"/>
    <x v="1"/>
    <n v="301911"/>
    <n v="0"/>
    <n v="0"/>
    <n v="1"/>
    <n v="1"/>
    <s v="Yes"/>
    <x v="0"/>
  </r>
  <r>
    <n v="21653"/>
    <d v="2024-04-28T00:00:00"/>
    <x v="3"/>
    <s v="Pune"/>
    <s v="SC_PUN_1"/>
    <x v="1"/>
    <s v="Chiron"/>
    <s v="Hypercar"/>
    <x v="1"/>
    <x v="1"/>
    <x v="1"/>
    <x v="0"/>
    <n v="4"/>
    <n v="7"/>
    <x v="0"/>
    <x v="1"/>
    <n v="435110"/>
    <n v="330613"/>
    <n v="104497"/>
    <x v="3"/>
    <n v="435110"/>
    <n v="0"/>
    <n v="0"/>
    <n v="1"/>
    <n v="1"/>
    <s v="No"/>
    <x v="2"/>
  </r>
  <r>
    <n v="21654"/>
    <d v="2024-03-03T00:00:00"/>
    <x v="1"/>
    <s v="Bhubaneswar"/>
    <s v="SC_BHU_1"/>
    <x v="0"/>
    <s v="Taycan"/>
    <s v="Sedan"/>
    <x v="0"/>
    <x v="3"/>
    <x v="1"/>
    <x v="0"/>
    <n v="2"/>
    <n v="7"/>
    <x v="0"/>
    <x v="1"/>
    <n v="313066"/>
    <n v="219054"/>
    <n v="94012"/>
    <x v="3"/>
    <n v="313066"/>
    <n v="0"/>
    <n v="0"/>
    <n v="1"/>
    <n v="1"/>
    <s v="No"/>
    <x v="2"/>
  </r>
  <r>
    <n v="21655"/>
    <d v="2024-04-24T00:00:00"/>
    <x v="3"/>
    <s v="Pune"/>
    <s v="SC_PUN_2"/>
    <x v="2"/>
    <s v="Veyron"/>
    <s v="Hypercar"/>
    <x v="1"/>
    <x v="1"/>
    <x v="2"/>
    <x v="1"/>
    <n v="4"/>
    <n v="7"/>
    <x v="0"/>
    <x v="0"/>
    <n v="120593"/>
    <n v="71519"/>
    <n v="49074"/>
    <x v="3"/>
    <n v="0"/>
    <n v="1"/>
    <n v="0"/>
    <n v="1"/>
    <n v="1"/>
    <s v="No"/>
    <x v="2"/>
  </r>
  <r>
    <n v="21656"/>
    <d v="2024-03-01T00:00:00"/>
    <x v="0"/>
    <s v="Chennai"/>
    <s v="SC_CHE_3"/>
    <x v="2"/>
    <s v="Macan"/>
    <s v="SUV"/>
    <x v="0"/>
    <x v="3"/>
    <x v="0"/>
    <x v="0"/>
    <n v="20"/>
    <n v="7"/>
    <x v="0"/>
    <x v="0"/>
    <n v="167190"/>
    <n v="137885"/>
    <n v="29305"/>
    <x v="0"/>
    <n v="0"/>
    <n v="1"/>
    <n v="0"/>
    <n v="1"/>
    <n v="1"/>
    <s v="Yes"/>
    <x v="0"/>
  </r>
  <r>
    <n v="21657"/>
    <d v="2024-05-14T00:00:00"/>
    <x v="0"/>
    <s v="Bengaluru"/>
    <s v="SC_BEN_4"/>
    <x v="2"/>
    <s v="911"/>
    <s v="Coupe"/>
    <x v="0"/>
    <x v="1"/>
    <x v="2"/>
    <x v="1"/>
    <n v="12"/>
    <n v="7"/>
    <x v="0"/>
    <x v="1"/>
    <n v="462814"/>
    <n v="299324"/>
    <n v="163490"/>
    <x v="1"/>
    <n v="462814"/>
    <n v="0"/>
    <n v="0"/>
    <n v="1"/>
    <n v="1"/>
    <s v="Yes"/>
    <x v="0"/>
  </r>
  <r>
    <n v="21658"/>
    <d v="2024-03-20T00:00:00"/>
    <x v="2"/>
    <s v="Delhi"/>
    <s v="SC_DEL_3"/>
    <x v="2"/>
    <s v="911"/>
    <s v="Coupe"/>
    <x v="1"/>
    <x v="1"/>
    <x v="0"/>
    <x v="1"/>
    <n v="7"/>
    <n v="7"/>
    <x v="1"/>
    <x v="1"/>
    <n v="286063"/>
    <n v="145970"/>
    <n v="140093"/>
    <x v="3"/>
    <n v="0"/>
    <n v="0"/>
    <n v="1"/>
    <n v="0"/>
    <n v="1"/>
    <s v="No"/>
    <x v="2"/>
  </r>
  <r>
    <n v="21659"/>
    <d v="2024-01-08T00:00:00"/>
    <x v="1"/>
    <s v="Bhubaneswar"/>
    <s v="SC_BHU_2"/>
    <x v="1"/>
    <s v="Macan"/>
    <s v="SUV"/>
    <x v="1"/>
    <x v="1"/>
    <x v="2"/>
    <x v="0"/>
    <n v="25"/>
    <n v="7"/>
    <x v="1"/>
    <x v="1"/>
    <n v="282407"/>
    <n v="215503"/>
    <n v="66904"/>
    <x v="0"/>
    <n v="0"/>
    <n v="0"/>
    <n v="1"/>
    <n v="0"/>
    <n v="1"/>
    <s v="Yes"/>
    <x v="0"/>
  </r>
  <r>
    <n v="21660"/>
    <d v="2024-06-12T00:00:00"/>
    <x v="1"/>
    <s v="Bhubaneswar"/>
    <s v="SC_BHU_2"/>
    <x v="1"/>
    <s v="Macan"/>
    <s v="SUV"/>
    <x v="0"/>
    <x v="3"/>
    <x v="0"/>
    <x v="0"/>
    <n v="5"/>
    <n v="7"/>
    <x v="0"/>
    <x v="1"/>
    <n v="357762"/>
    <n v="186800"/>
    <n v="170962"/>
    <x v="2"/>
    <n v="357762"/>
    <n v="0"/>
    <n v="0"/>
    <n v="1"/>
    <n v="1"/>
    <s v="No"/>
    <x v="1"/>
  </r>
  <r>
    <n v="21661"/>
    <d v="2024-03-02T00:00:00"/>
    <x v="0"/>
    <s v="Chennai"/>
    <s v="SC_CHE_1"/>
    <x v="1"/>
    <s v="Veyron"/>
    <s v="Hypercar"/>
    <x v="1"/>
    <x v="0"/>
    <x v="1"/>
    <x v="1"/>
    <n v="18"/>
    <n v="7"/>
    <x v="1"/>
    <x v="0"/>
    <n v="307330"/>
    <n v="253067"/>
    <n v="54263"/>
    <x v="1"/>
    <n v="0"/>
    <n v="1"/>
    <n v="1"/>
    <n v="0"/>
    <n v="1"/>
    <s v="Yes"/>
    <x v="0"/>
  </r>
  <r>
    <n v="21662"/>
    <d v="2024-06-11T00:00:00"/>
    <x v="1"/>
    <s v="Kolkata"/>
    <s v="SC_KOL_4"/>
    <x v="1"/>
    <s v="Chiron"/>
    <s v="Hypercar"/>
    <x v="0"/>
    <x v="2"/>
    <x v="0"/>
    <x v="0"/>
    <n v="21"/>
    <n v="7"/>
    <x v="0"/>
    <x v="1"/>
    <n v="420328"/>
    <n v="216575"/>
    <n v="203753"/>
    <x v="0"/>
    <n v="420328"/>
    <n v="0"/>
    <n v="0"/>
    <n v="1"/>
    <n v="1"/>
    <s v="Yes"/>
    <x v="0"/>
  </r>
  <r>
    <n v="21663"/>
    <d v="2024-03-30T00:00:00"/>
    <x v="0"/>
    <s v="Hyderabad"/>
    <s v="SC_HYD_1"/>
    <x v="2"/>
    <s v="Cayenne"/>
    <s v="SUV"/>
    <x v="0"/>
    <x v="0"/>
    <x v="0"/>
    <x v="0"/>
    <n v="16"/>
    <n v="7"/>
    <x v="0"/>
    <x v="1"/>
    <n v="109200"/>
    <n v="54658"/>
    <n v="54542"/>
    <x v="0"/>
    <n v="109200"/>
    <n v="0"/>
    <n v="0"/>
    <n v="1"/>
    <n v="1"/>
    <s v="Yes"/>
    <x v="0"/>
  </r>
  <r>
    <n v="21664"/>
    <d v="2024-05-28T00:00:00"/>
    <x v="1"/>
    <s v="Bhubaneswar"/>
    <s v="SC_BHU_4"/>
    <x v="2"/>
    <s v="Panamera"/>
    <s v="Sedan"/>
    <x v="0"/>
    <x v="1"/>
    <x v="1"/>
    <x v="0"/>
    <n v="11"/>
    <n v="7"/>
    <x v="0"/>
    <x v="1"/>
    <n v="123302"/>
    <n v="76663"/>
    <n v="46639"/>
    <x v="1"/>
    <n v="123302"/>
    <n v="0"/>
    <n v="0"/>
    <n v="1"/>
    <n v="1"/>
    <s v="Yes"/>
    <x v="0"/>
  </r>
  <r>
    <n v="21665"/>
    <d v="2024-03-14T00:00:00"/>
    <x v="2"/>
    <s v="Noida"/>
    <s v="SC_NOI_5"/>
    <x v="1"/>
    <s v="Chiron"/>
    <s v="Hypercar"/>
    <x v="1"/>
    <x v="2"/>
    <x v="1"/>
    <x v="0"/>
    <n v="5"/>
    <n v="7"/>
    <x v="1"/>
    <x v="0"/>
    <n v="505400"/>
    <n v="428289"/>
    <n v="77111"/>
    <x v="3"/>
    <n v="0"/>
    <n v="1"/>
    <n v="1"/>
    <n v="0"/>
    <n v="1"/>
    <s v="No"/>
    <x v="2"/>
  </r>
  <r>
    <n v="21666"/>
    <d v="2024-02-15T00:00:00"/>
    <x v="0"/>
    <s v="Bengaluru"/>
    <s v="SC_BEN_3"/>
    <x v="0"/>
    <s v="Cayenne"/>
    <s v="SUV"/>
    <x v="0"/>
    <x v="0"/>
    <x v="1"/>
    <x v="0"/>
    <n v="9"/>
    <n v="7"/>
    <x v="0"/>
    <x v="1"/>
    <n v="121037"/>
    <n v="78128"/>
    <n v="42909"/>
    <x v="2"/>
    <n v="121037"/>
    <n v="0"/>
    <n v="0"/>
    <n v="1"/>
    <n v="1"/>
    <s v="Yes"/>
    <x v="1"/>
  </r>
  <r>
    <n v="21667"/>
    <d v="2024-03-02T00:00:00"/>
    <x v="2"/>
    <s v="Gurugram"/>
    <s v="SC_GUR_4"/>
    <x v="2"/>
    <s v="Taycan"/>
    <s v="Sedan"/>
    <x v="0"/>
    <x v="3"/>
    <x v="2"/>
    <x v="0"/>
    <n v="18"/>
    <n v="7"/>
    <x v="0"/>
    <x v="1"/>
    <n v="233709"/>
    <n v="118354"/>
    <n v="115355"/>
    <x v="0"/>
    <n v="233709"/>
    <n v="0"/>
    <n v="0"/>
    <n v="1"/>
    <n v="1"/>
    <s v="Yes"/>
    <x v="0"/>
  </r>
  <r>
    <n v="21668"/>
    <d v="2024-02-13T00:00:00"/>
    <x v="1"/>
    <s v="Patna"/>
    <s v="SC_PAT_4"/>
    <x v="0"/>
    <s v="Taycan"/>
    <s v="Sedan"/>
    <x v="1"/>
    <x v="4"/>
    <x v="0"/>
    <x v="1"/>
    <n v="3"/>
    <n v="7"/>
    <x v="1"/>
    <x v="1"/>
    <n v="378461"/>
    <n v="225384"/>
    <n v="153077"/>
    <x v="4"/>
    <n v="0"/>
    <n v="0"/>
    <n v="1"/>
    <n v="0"/>
    <n v="1"/>
    <s v="No"/>
    <x v="2"/>
  </r>
  <r>
    <n v="21669"/>
    <d v="2024-06-23T00:00:00"/>
    <x v="2"/>
    <s v="Gurugram"/>
    <s v="SC_GUR_5"/>
    <x v="1"/>
    <s v="Chiron"/>
    <s v="Hypercar"/>
    <x v="1"/>
    <x v="1"/>
    <x v="0"/>
    <x v="0"/>
    <n v="22"/>
    <n v="7"/>
    <x v="0"/>
    <x v="0"/>
    <n v="540374"/>
    <n v="429727"/>
    <n v="110647"/>
    <x v="0"/>
    <n v="0"/>
    <n v="1"/>
    <n v="0"/>
    <n v="1"/>
    <n v="1"/>
    <s v="Yes"/>
    <x v="0"/>
  </r>
  <r>
    <n v="21670"/>
    <d v="2024-01-23T00:00:00"/>
    <x v="2"/>
    <s v="Gurugram"/>
    <s v="SC_GUR_1"/>
    <x v="0"/>
    <s v="Panamera"/>
    <s v="Sedan"/>
    <x v="0"/>
    <x v="2"/>
    <x v="2"/>
    <x v="0"/>
    <n v="3"/>
    <n v="7"/>
    <x v="0"/>
    <x v="1"/>
    <n v="595572"/>
    <n v="326895"/>
    <n v="268677"/>
    <x v="3"/>
    <n v="595572"/>
    <n v="0"/>
    <n v="0"/>
    <n v="1"/>
    <n v="1"/>
    <s v="No"/>
    <x v="2"/>
  </r>
  <r>
    <n v="21671"/>
    <d v="2024-01-09T00:00:00"/>
    <x v="2"/>
    <s v="Gurugram"/>
    <s v="SC_GUR_1"/>
    <x v="2"/>
    <s v="Cayenne"/>
    <s v="SUV"/>
    <x v="1"/>
    <x v="1"/>
    <x v="1"/>
    <x v="0"/>
    <n v="22"/>
    <n v="7"/>
    <x v="0"/>
    <x v="1"/>
    <n v="197830"/>
    <n v="114346"/>
    <n v="83484"/>
    <x v="0"/>
    <n v="197830"/>
    <n v="0"/>
    <n v="0"/>
    <n v="1"/>
    <n v="1"/>
    <s v="Yes"/>
    <x v="0"/>
  </r>
  <r>
    <n v="21672"/>
    <d v="2024-01-26T00:00:00"/>
    <x v="1"/>
    <s v="Patna"/>
    <s v="SC_PAT_2"/>
    <x v="0"/>
    <s v="Taycan"/>
    <s v="Sedan"/>
    <x v="0"/>
    <x v="2"/>
    <x v="1"/>
    <x v="1"/>
    <n v="3"/>
    <n v="7"/>
    <x v="1"/>
    <x v="1"/>
    <n v="501447"/>
    <n v="300434"/>
    <n v="201013"/>
    <x v="4"/>
    <n v="0"/>
    <n v="0"/>
    <n v="1"/>
    <n v="0"/>
    <n v="1"/>
    <s v="No"/>
    <x v="2"/>
  </r>
  <r>
    <n v="21673"/>
    <d v="2024-05-28T00:00:00"/>
    <x v="2"/>
    <s v="Delhi"/>
    <s v="SC_DEL_1"/>
    <x v="0"/>
    <s v="Macan"/>
    <s v="SUV"/>
    <x v="0"/>
    <x v="1"/>
    <x v="2"/>
    <x v="1"/>
    <n v="18"/>
    <n v="7"/>
    <x v="1"/>
    <x v="1"/>
    <n v="492663"/>
    <n v="287586"/>
    <n v="205077"/>
    <x v="1"/>
    <n v="0"/>
    <n v="0"/>
    <n v="1"/>
    <n v="0"/>
    <n v="1"/>
    <s v="Yes"/>
    <x v="0"/>
  </r>
  <r>
    <n v="21674"/>
    <d v="2024-01-23T00:00:00"/>
    <x v="3"/>
    <s v="Pune"/>
    <s v="SC_PUN_5"/>
    <x v="1"/>
    <s v="Chiron"/>
    <s v="Hypercar"/>
    <x v="0"/>
    <x v="2"/>
    <x v="0"/>
    <x v="0"/>
    <n v="17"/>
    <n v="7"/>
    <x v="0"/>
    <x v="1"/>
    <n v="545437"/>
    <n v="428311"/>
    <n v="117126"/>
    <x v="0"/>
    <n v="545437"/>
    <n v="0"/>
    <n v="0"/>
    <n v="1"/>
    <n v="1"/>
    <s v="Yes"/>
    <x v="0"/>
  </r>
  <r>
    <n v="21675"/>
    <d v="2024-01-15T00:00:00"/>
    <x v="1"/>
    <s v="Bhubaneswar"/>
    <s v="SC_BHU_1"/>
    <x v="0"/>
    <s v="Macan"/>
    <s v="SUV"/>
    <x v="0"/>
    <x v="3"/>
    <x v="1"/>
    <x v="1"/>
    <n v="19"/>
    <n v="7"/>
    <x v="1"/>
    <x v="1"/>
    <n v="224317"/>
    <n v="171141"/>
    <n v="53176"/>
    <x v="1"/>
    <n v="0"/>
    <n v="0"/>
    <n v="1"/>
    <n v="0"/>
    <n v="1"/>
    <s v="Yes"/>
    <x v="0"/>
  </r>
  <r>
    <n v="21676"/>
    <d v="2024-05-13T00:00:00"/>
    <x v="0"/>
    <s v="Bengaluru"/>
    <s v="SC_BEN_5"/>
    <x v="0"/>
    <s v="Chiron"/>
    <s v="Hypercar"/>
    <x v="0"/>
    <x v="0"/>
    <x v="0"/>
    <x v="1"/>
    <n v="19"/>
    <n v="7"/>
    <x v="0"/>
    <x v="1"/>
    <n v="431180"/>
    <n v="289134"/>
    <n v="142046"/>
    <x v="0"/>
    <n v="431180"/>
    <n v="0"/>
    <n v="0"/>
    <n v="1"/>
    <n v="1"/>
    <s v="Yes"/>
    <x v="0"/>
  </r>
  <r>
    <n v="21677"/>
    <d v="2024-04-08T00:00:00"/>
    <x v="1"/>
    <s v="Kolkata"/>
    <s v="SC_KOL_4"/>
    <x v="0"/>
    <s v="Chiron"/>
    <s v="Hypercar"/>
    <x v="0"/>
    <x v="1"/>
    <x v="1"/>
    <x v="0"/>
    <n v="19"/>
    <n v="7"/>
    <x v="1"/>
    <x v="1"/>
    <n v="169061"/>
    <n v="116729"/>
    <n v="52332"/>
    <x v="1"/>
    <n v="0"/>
    <n v="0"/>
    <n v="1"/>
    <n v="0"/>
    <n v="1"/>
    <s v="Yes"/>
    <x v="0"/>
  </r>
  <r>
    <n v="21678"/>
    <d v="2024-06-01T00:00:00"/>
    <x v="0"/>
    <s v="Chennai"/>
    <s v="SC_CHE_3"/>
    <x v="0"/>
    <s v="Veyron"/>
    <s v="Hypercar"/>
    <x v="1"/>
    <x v="0"/>
    <x v="1"/>
    <x v="0"/>
    <n v="19"/>
    <n v="7"/>
    <x v="0"/>
    <x v="1"/>
    <n v="119574"/>
    <n v="68273"/>
    <n v="51301"/>
    <x v="0"/>
    <n v="119574"/>
    <n v="0"/>
    <n v="0"/>
    <n v="1"/>
    <n v="1"/>
    <s v="Yes"/>
    <x v="0"/>
  </r>
  <r>
    <n v="21679"/>
    <d v="2024-04-13T00:00:00"/>
    <x v="1"/>
    <s v="Patna"/>
    <s v="SC_PAT_2"/>
    <x v="2"/>
    <s v="Taycan"/>
    <s v="Sedan"/>
    <x v="1"/>
    <x v="1"/>
    <x v="2"/>
    <x v="0"/>
    <n v="9"/>
    <n v="7"/>
    <x v="0"/>
    <x v="0"/>
    <n v="428716"/>
    <n v="343958"/>
    <n v="84758"/>
    <x v="2"/>
    <n v="0"/>
    <n v="1"/>
    <n v="0"/>
    <n v="1"/>
    <n v="1"/>
    <s v="Yes"/>
    <x v="1"/>
  </r>
  <r>
    <n v="21680"/>
    <d v="2024-02-11T00:00:00"/>
    <x v="2"/>
    <s v="Gurugram"/>
    <s v="SC_GUR_2"/>
    <x v="0"/>
    <s v="Taycan"/>
    <s v="Sedan"/>
    <x v="0"/>
    <x v="2"/>
    <x v="2"/>
    <x v="0"/>
    <n v="4"/>
    <n v="7"/>
    <x v="1"/>
    <x v="1"/>
    <n v="203833"/>
    <n v="105398"/>
    <n v="98435"/>
    <x v="4"/>
    <n v="0"/>
    <n v="0"/>
    <n v="1"/>
    <n v="0"/>
    <n v="1"/>
    <s v="No"/>
    <x v="2"/>
  </r>
  <r>
    <n v="21681"/>
    <d v="2024-03-31T00:00:00"/>
    <x v="2"/>
    <s v="Delhi"/>
    <s v="SC_DEL_3"/>
    <x v="0"/>
    <s v="Veyron"/>
    <s v="Hypercar"/>
    <x v="1"/>
    <x v="0"/>
    <x v="2"/>
    <x v="0"/>
    <n v="9"/>
    <n v="7"/>
    <x v="1"/>
    <x v="1"/>
    <n v="153733"/>
    <n v="121475"/>
    <n v="32258"/>
    <x v="3"/>
    <n v="0"/>
    <n v="0"/>
    <n v="1"/>
    <n v="0"/>
    <n v="1"/>
    <s v="Yes"/>
    <x v="2"/>
  </r>
  <r>
    <n v="21682"/>
    <d v="2024-06-06T00:00:00"/>
    <x v="3"/>
    <s v="Mumbai"/>
    <s v="SC_MUM_3"/>
    <x v="2"/>
    <s v="Macan"/>
    <s v="SUV"/>
    <x v="1"/>
    <x v="0"/>
    <x v="2"/>
    <x v="0"/>
    <n v="14"/>
    <n v="7"/>
    <x v="1"/>
    <x v="1"/>
    <n v="408740"/>
    <n v="218269"/>
    <n v="190471"/>
    <x v="2"/>
    <n v="0"/>
    <n v="0"/>
    <n v="1"/>
    <n v="0"/>
    <n v="1"/>
    <s v="Yes"/>
    <x v="1"/>
  </r>
  <r>
    <n v="21683"/>
    <d v="2024-05-05T00:00:00"/>
    <x v="1"/>
    <s v="Kolkata"/>
    <s v="SC_KOL_4"/>
    <x v="0"/>
    <s v="Chiron"/>
    <s v="Hypercar"/>
    <x v="0"/>
    <x v="4"/>
    <x v="0"/>
    <x v="1"/>
    <n v="7"/>
    <n v="7"/>
    <x v="0"/>
    <x v="1"/>
    <n v="241595"/>
    <n v="200191"/>
    <n v="41404"/>
    <x v="2"/>
    <n v="241595"/>
    <n v="0"/>
    <n v="0"/>
    <n v="1"/>
    <n v="1"/>
    <s v="No"/>
    <x v="1"/>
  </r>
  <r>
    <n v="21684"/>
    <d v="2024-05-07T00:00:00"/>
    <x v="0"/>
    <s v="Hyderabad"/>
    <s v="SC_HYD_3"/>
    <x v="0"/>
    <s v="Veyron"/>
    <s v="Hypercar"/>
    <x v="1"/>
    <x v="1"/>
    <x v="1"/>
    <x v="1"/>
    <n v="4"/>
    <n v="7"/>
    <x v="1"/>
    <x v="1"/>
    <n v="504600"/>
    <n v="418839"/>
    <n v="85761"/>
    <x v="4"/>
    <n v="0"/>
    <n v="0"/>
    <n v="1"/>
    <n v="0"/>
    <n v="1"/>
    <s v="No"/>
    <x v="2"/>
  </r>
  <r>
    <n v="21685"/>
    <d v="2024-04-07T00:00:00"/>
    <x v="0"/>
    <s v="Bengaluru"/>
    <s v="SC_BEN_2"/>
    <x v="1"/>
    <s v="Taycan"/>
    <s v="Sedan"/>
    <x v="1"/>
    <x v="4"/>
    <x v="2"/>
    <x v="1"/>
    <n v="18"/>
    <n v="7"/>
    <x v="0"/>
    <x v="1"/>
    <n v="421923"/>
    <n v="283586"/>
    <n v="138337"/>
    <x v="0"/>
    <n v="421923"/>
    <n v="0"/>
    <n v="0"/>
    <n v="1"/>
    <n v="1"/>
    <s v="Yes"/>
    <x v="0"/>
  </r>
  <r>
    <n v="21686"/>
    <d v="2024-06-19T00:00:00"/>
    <x v="3"/>
    <s v="Pune"/>
    <s v="SC_PUN_3"/>
    <x v="0"/>
    <s v="Taycan"/>
    <s v="Sedan"/>
    <x v="1"/>
    <x v="4"/>
    <x v="1"/>
    <x v="1"/>
    <n v="14"/>
    <n v="7"/>
    <x v="1"/>
    <x v="1"/>
    <n v="409752"/>
    <n v="277516"/>
    <n v="132236"/>
    <x v="2"/>
    <n v="0"/>
    <n v="0"/>
    <n v="1"/>
    <n v="0"/>
    <n v="1"/>
    <s v="Yes"/>
    <x v="1"/>
  </r>
  <r>
    <n v="21687"/>
    <d v="2024-06-22T00:00:00"/>
    <x v="1"/>
    <s v="Bhubaneswar"/>
    <s v="SC_BHU_1"/>
    <x v="1"/>
    <s v="Panamera"/>
    <s v="Sedan"/>
    <x v="0"/>
    <x v="1"/>
    <x v="0"/>
    <x v="0"/>
    <n v="8"/>
    <n v="7"/>
    <x v="1"/>
    <x v="1"/>
    <n v="546156"/>
    <n v="462216"/>
    <n v="83940"/>
    <x v="3"/>
    <n v="0"/>
    <n v="0"/>
    <n v="1"/>
    <n v="0"/>
    <n v="1"/>
    <s v="Yes"/>
    <x v="2"/>
  </r>
  <r>
    <n v="21688"/>
    <d v="2024-02-26T00:00:00"/>
    <x v="2"/>
    <s v="Delhi"/>
    <s v="SC_DEL_4"/>
    <x v="1"/>
    <s v="911"/>
    <s v="Coupe"/>
    <x v="1"/>
    <x v="0"/>
    <x v="2"/>
    <x v="0"/>
    <n v="18"/>
    <n v="7"/>
    <x v="0"/>
    <x v="1"/>
    <n v="228742"/>
    <n v="190763"/>
    <n v="37979"/>
    <x v="0"/>
    <n v="228742"/>
    <n v="0"/>
    <n v="0"/>
    <n v="1"/>
    <n v="1"/>
    <s v="Yes"/>
    <x v="0"/>
  </r>
  <r>
    <n v="21689"/>
    <d v="2024-01-26T00:00:00"/>
    <x v="1"/>
    <s v="Kolkata"/>
    <s v="SC_KOL_1"/>
    <x v="2"/>
    <s v="Panamera"/>
    <s v="Sedan"/>
    <x v="1"/>
    <x v="2"/>
    <x v="1"/>
    <x v="0"/>
    <n v="15"/>
    <n v="7"/>
    <x v="1"/>
    <x v="1"/>
    <n v="352878"/>
    <n v="239965"/>
    <n v="112913"/>
    <x v="1"/>
    <n v="0"/>
    <n v="0"/>
    <n v="1"/>
    <n v="0"/>
    <n v="1"/>
    <s v="Yes"/>
    <x v="0"/>
  </r>
  <r>
    <n v="21690"/>
    <d v="2024-05-01T00:00:00"/>
    <x v="2"/>
    <s v="Gurugram"/>
    <s v="SC_GUR_3"/>
    <x v="0"/>
    <s v="911"/>
    <s v="Coupe"/>
    <x v="0"/>
    <x v="1"/>
    <x v="0"/>
    <x v="0"/>
    <n v="21"/>
    <n v="7"/>
    <x v="0"/>
    <x v="1"/>
    <n v="95453"/>
    <n v="57433"/>
    <n v="38020"/>
    <x v="0"/>
    <n v="95453"/>
    <n v="0"/>
    <n v="0"/>
    <n v="1"/>
    <n v="1"/>
    <s v="Yes"/>
    <x v="0"/>
  </r>
  <r>
    <n v="21691"/>
    <d v="2024-01-02T00:00:00"/>
    <x v="3"/>
    <s v="Pune"/>
    <s v="SC_PUN_4"/>
    <x v="2"/>
    <s v="Macan"/>
    <s v="SUV"/>
    <x v="0"/>
    <x v="4"/>
    <x v="2"/>
    <x v="0"/>
    <n v="3"/>
    <n v="7"/>
    <x v="1"/>
    <x v="1"/>
    <n v="223691"/>
    <n v="142337"/>
    <n v="81354"/>
    <x v="4"/>
    <n v="0"/>
    <n v="0"/>
    <n v="1"/>
    <n v="0"/>
    <n v="1"/>
    <s v="No"/>
    <x v="2"/>
  </r>
  <r>
    <n v="21692"/>
    <d v="2024-05-20T00:00:00"/>
    <x v="0"/>
    <s v="Hyderabad"/>
    <s v="SC_HYD_2"/>
    <x v="1"/>
    <s v="Taycan"/>
    <s v="Sedan"/>
    <x v="1"/>
    <x v="2"/>
    <x v="0"/>
    <x v="1"/>
    <n v="21"/>
    <n v="7"/>
    <x v="0"/>
    <x v="1"/>
    <n v="180389"/>
    <n v="91216"/>
    <n v="89173"/>
    <x v="0"/>
    <n v="180389"/>
    <n v="0"/>
    <n v="0"/>
    <n v="1"/>
    <n v="1"/>
    <s v="Yes"/>
    <x v="0"/>
  </r>
  <r>
    <n v="21693"/>
    <d v="2024-01-29T00:00:00"/>
    <x v="1"/>
    <s v="Patna"/>
    <s v="SC_PAT_3"/>
    <x v="0"/>
    <s v="Cayenne"/>
    <s v="SUV"/>
    <x v="0"/>
    <x v="0"/>
    <x v="2"/>
    <x v="1"/>
    <n v="11"/>
    <n v="7"/>
    <x v="0"/>
    <x v="0"/>
    <n v="364195"/>
    <n v="210294"/>
    <n v="153901"/>
    <x v="1"/>
    <n v="0"/>
    <n v="1"/>
    <n v="0"/>
    <n v="1"/>
    <n v="1"/>
    <s v="Yes"/>
    <x v="0"/>
  </r>
  <r>
    <n v="21694"/>
    <d v="2024-02-12T00:00:00"/>
    <x v="0"/>
    <s v="Bengaluru"/>
    <s v="SC_BEN_1"/>
    <x v="0"/>
    <s v="Taycan"/>
    <s v="Sedan"/>
    <x v="0"/>
    <x v="3"/>
    <x v="2"/>
    <x v="0"/>
    <n v="17"/>
    <n v="7"/>
    <x v="1"/>
    <x v="1"/>
    <n v="270307"/>
    <n v="228227"/>
    <n v="42080"/>
    <x v="1"/>
    <n v="0"/>
    <n v="0"/>
    <n v="1"/>
    <n v="0"/>
    <n v="1"/>
    <s v="Yes"/>
    <x v="0"/>
  </r>
  <r>
    <n v="21695"/>
    <d v="2024-03-27T00:00:00"/>
    <x v="1"/>
    <s v="Kolkata"/>
    <s v="SC_KOL_5"/>
    <x v="2"/>
    <s v="Veyron"/>
    <s v="Hypercar"/>
    <x v="0"/>
    <x v="1"/>
    <x v="2"/>
    <x v="0"/>
    <n v="3"/>
    <n v="7"/>
    <x v="0"/>
    <x v="0"/>
    <n v="382066"/>
    <n v="281611"/>
    <n v="100455"/>
    <x v="3"/>
    <n v="0"/>
    <n v="1"/>
    <n v="0"/>
    <n v="1"/>
    <n v="1"/>
    <s v="No"/>
    <x v="2"/>
  </r>
  <r>
    <n v="21696"/>
    <d v="2024-05-28T00:00:00"/>
    <x v="0"/>
    <s v="Hyderabad"/>
    <s v="SC_HYD_3"/>
    <x v="1"/>
    <s v="Taycan"/>
    <s v="Sedan"/>
    <x v="0"/>
    <x v="3"/>
    <x v="1"/>
    <x v="0"/>
    <n v="6"/>
    <n v="7"/>
    <x v="0"/>
    <x v="1"/>
    <n v="423604"/>
    <n v="231398"/>
    <n v="192206"/>
    <x v="2"/>
    <n v="423604"/>
    <n v="0"/>
    <n v="0"/>
    <n v="1"/>
    <n v="1"/>
    <s v="No"/>
    <x v="1"/>
  </r>
  <r>
    <n v="21697"/>
    <d v="2024-05-13T00:00:00"/>
    <x v="1"/>
    <s v="Patna"/>
    <s v="SC_PAT_2"/>
    <x v="0"/>
    <s v="Macan"/>
    <s v="SUV"/>
    <x v="0"/>
    <x v="4"/>
    <x v="0"/>
    <x v="0"/>
    <n v="11"/>
    <n v="7"/>
    <x v="0"/>
    <x v="0"/>
    <n v="310711"/>
    <n v="255753"/>
    <n v="54958"/>
    <x v="1"/>
    <n v="0"/>
    <n v="1"/>
    <n v="0"/>
    <n v="1"/>
    <n v="1"/>
    <s v="Yes"/>
    <x v="0"/>
  </r>
  <r>
    <n v="21698"/>
    <d v="2024-03-20T00:00:00"/>
    <x v="1"/>
    <s v="Patna"/>
    <s v="SC_PAT_2"/>
    <x v="1"/>
    <s v="Taycan"/>
    <s v="Sedan"/>
    <x v="1"/>
    <x v="2"/>
    <x v="2"/>
    <x v="0"/>
    <n v="5"/>
    <n v="7"/>
    <x v="0"/>
    <x v="1"/>
    <n v="166479"/>
    <n v="125476"/>
    <n v="41003"/>
    <x v="2"/>
    <n v="166479"/>
    <n v="0"/>
    <n v="0"/>
    <n v="1"/>
    <n v="1"/>
    <s v="No"/>
    <x v="1"/>
  </r>
  <r>
    <n v="21699"/>
    <d v="2024-04-15T00:00:00"/>
    <x v="2"/>
    <s v="Noida"/>
    <s v="SC_NOI_1"/>
    <x v="0"/>
    <s v="911"/>
    <s v="Coupe"/>
    <x v="1"/>
    <x v="1"/>
    <x v="2"/>
    <x v="1"/>
    <n v="23"/>
    <n v="7"/>
    <x v="0"/>
    <x v="1"/>
    <n v="329591"/>
    <n v="262467"/>
    <n v="67124"/>
    <x v="0"/>
    <n v="329591"/>
    <n v="0"/>
    <n v="0"/>
    <n v="1"/>
    <n v="1"/>
    <s v="Yes"/>
    <x v="0"/>
  </r>
  <r>
    <n v="21700"/>
    <d v="2024-03-22T00:00:00"/>
    <x v="3"/>
    <s v="Mumbai"/>
    <s v="SC_MUM_1"/>
    <x v="1"/>
    <s v="Cayenne"/>
    <s v="SUV"/>
    <x v="1"/>
    <x v="2"/>
    <x v="1"/>
    <x v="1"/>
    <n v="14"/>
    <n v="7"/>
    <x v="0"/>
    <x v="0"/>
    <n v="299969"/>
    <n v="233599"/>
    <n v="66370"/>
    <x v="1"/>
    <n v="0"/>
    <n v="1"/>
    <n v="0"/>
    <n v="1"/>
    <n v="1"/>
    <s v="Yes"/>
    <x v="0"/>
  </r>
  <r>
    <n v="21701"/>
    <d v="2024-04-27T00:00:00"/>
    <x v="2"/>
    <s v="Noida"/>
    <s v="SC_NOI_2"/>
    <x v="1"/>
    <s v="Veyron"/>
    <s v="Hypercar"/>
    <x v="0"/>
    <x v="1"/>
    <x v="0"/>
    <x v="1"/>
    <n v="4"/>
    <n v="7"/>
    <x v="0"/>
    <x v="1"/>
    <n v="593936"/>
    <n v="413176"/>
    <n v="180760"/>
    <x v="3"/>
    <n v="593936"/>
    <n v="0"/>
    <n v="0"/>
    <n v="1"/>
    <n v="1"/>
    <s v="No"/>
    <x v="2"/>
  </r>
  <r>
    <n v="21702"/>
    <d v="2024-02-19T00:00:00"/>
    <x v="1"/>
    <s v="Kolkata"/>
    <s v="SC_KOL_4"/>
    <x v="1"/>
    <s v="Cayenne"/>
    <s v="SUV"/>
    <x v="0"/>
    <x v="3"/>
    <x v="1"/>
    <x v="1"/>
    <n v="17"/>
    <n v="7"/>
    <x v="0"/>
    <x v="0"/>
    <n v="599783"/>
    <n v="369388"/>
    <n v="230395"/>
    <x v="0"/>
    <n v="0"/>
    <n v="1"/>
    <n v="0"/>
    <n v="1"/>
    <n v="1"/>
    <s v="Yes"/>
    <x v="0"/>
  </r>
  <r>
    <n v="21703"/>
    <d v="2024-05-28T00:00:00"/>
    <x v="2"/>
    <s v="Delhi"/>
    <s v="SC_DEL_2"/>
    <x v="1"/>
    <s v="Taycan"/>
    <s v="Sedan"/>
    <x v="1"/>
    <x v="1"/>
    <x v="0"/>
    <x v="1"/>
    <n v="17"/>
    <n v="7"/>
    <x v="0"/>
    <x v="0"/>
    <n v="116545"/>
    <n v="73332"/>
    <n v="43213"/>
    <x v="0"/>
    <n v="0"/>
    <n v="1"/>
    <n v="0"/>
    <n v="1"/>
    <n v="1"/>
    <s v="Yes"/>
    <x v="0"/>
  </r>
  <r>
    <n v="21704"/>
    <d v="2024-03-22T00:00:00"/>
    <x v="2"/>
    <s v="Noida"/>
    <s v="SC_NOI_4"/>
    <x v="2"/>
    <s v="911"/>
    <s v="Coupe"/>
    <x v="1"/>
    <x v="2"/>
    <x v="2"/>
    <x v="1"/>
    <n v="12"/>
    <n v="7"/>
    <x v="0"/>
    <x v="0"/>
    <n v="395290"/>
    <n v="272957"/>
    <n v="122333"/>
    <x v="1"/>
    <n v="0"/>
    <n v="1"/>
    <n v="0"/>
    <n v="1"/>
    <n v="1"/>
    <s v="Yes"/>
    <x v="0"/>
  </r>
  <r>
    <n v="21705"/>
    <d v="2024-02-23T00:00:00"/>
    <x v="0"/>
    <s v="Bengaluru"/>
    <s v="SC_BEN_5"/>
    <x v="2"/>
    <s v="Macan"/>
    <s v="SUV"/>
    <x v="1"/>
    <x v="3"/>
    <x v="0"/>
    <x v="1"/>
    <n v="7"/>
    <n v="7"/>
    <x v="0"/>
    <x v="0"/>
    <n v="176098"/>
    <n v="143850"/>
    <n v="32248"/>
    <x v="2"/>
    <n v="0"/>
    <n v="1"/>
    <n v="0"/>
    <n v="1"/>
    <n v="1"/>
    <s v="No"/>
    <x v="1"/>
  </r>
  <r>
    <n v="21706"/>
    <d v="2024-02-12T00:00:00"/>
    <x v="1"/>
    <s v="Kolkata"/>
    <s v="SC_KOL_4"/>
    <x v="2"/>
    <s v="Veyron"/>
    <s v="Hypercar"/>
    <x v="1"/>
    <x v="2"/>
    <x v="1"/>
    <x v="1"/>
    <n v="10"/>
    <n v="7"/>
    <x v="1"/>
    <x v="1"/>
    <n v="257410"/>
    <n v="188777"/>
    <n v="68633"/>
    <x v="2"/>
    <n v="0"/>
    <n v="0"/>
    <n v="1"/>
    <n v="0"/>
    <n v="1"/>
    <s v="Yes"/>
    <x v="1"/>
  </r>
  <r>
    <n v="21707"/>
    <d v="2024-01-10T00:00:00"/>
    <x v="2"/>
    <s v="Noida"/>
    <s v="SC_NOI_3"/>
    <x v="0"/>
    <s v="Chiron"/>
    <s v="Hypercar"/>
    <x v="1"/>
    <x v="3"/>
    <x v="0"/>
    <x v="1"/>
    <n v="15"/>
    <n v="7"/>
    <x v="0"/>
    <x v="1"/>
    <n v="400106"/>
    <n v="315288"/>
    <n v="84818"/>
    <x v="0"/>
    <n v="400106"/>
    <n v="0"/>
    <n v="0"/>
    <n v="1"/>
    <n v="1"/>
    <s v="Yes"/>
    <x v="0"/>
  </r>
  <r>
    <n v="21708"/>
    <d v="2024-01-03T00:00:00"/>
    <x v="3"/>
    <s v="Pune"/>
    <s v="SC_PUN_3"/>
    <x v="1"/>
    <s v="Cayenne"/>
    <s v="SUV"/>
    <x v="0"/>
    <x v="4"/>
    <x v="0"/>
    <x v="1"/>
    <n v="7"/>
    <n v="7"/>
    <x v="1"/>
    <x v="0"/>
    <n v="202656"/>
    <n v="104992"/>
    <n v="97664"/>
    <x v="3"/>
    <n v="0"/>
    <n v="1"/>
    <n v="1"/>
    <n v="0"/>
    <n v="1"/>
    <s v="No"/>
    <x v="2"/>
  </r>
  <r>
    <n v="21709"/>
    <d v="2024-03-03T00:00:00"/>
    <x v="2"/>
    <s v="Delhi"/>
    <s v="SC_DEL_5"/>
    <x v="1"/>
    <s v="Cayenne"/>
    <s v="SUV"/>
    <x v="1"/>
    <x v="2"/>
    <x v="1"/>
    <x v="0"/>
    <n v="5"/>
    <n v="7"/>
    <x v="1"/>
    <x v="1"/>
    <n v="278522"/>
    <n v="155181"/>
    <n v="123341"/>
    <x v="3"/>
    <n v="0"/>
    <n v="0"/>
    <n v="1"/>
    <n v="0"/>
    <n v="1"/>
    <s v="No"/>
    <x v="2"/>
  </r>
  <r>
    <n v="21710"/>
    <d v="2024-02-17T00:00:00"/>
    <x v="3"/>
    <s v="Mumbai"/>
    <s v="SC_MUM_2"/>
    <x v="1"/>
    <s v="Veyron"/>
    <s v="Hypercar"/>
    <x v="0"/>
    <x v="3"/>
    <x v="2"/>
    <x v="0"/>
    <n v="4"/>
    <n v="7"/>
    <x v="1"/>
    <x v="1"/>
    <n v="594952"/>
    <n v="338625"/>
    <n v="256327"/>
    <x v="4"/>
    <n v="0"/>
    <n v="0"/>
    <n v="1"/>
    <n v="0"/>
    <n v="1"/>
    <s v="No"/>
    <x v="2"/>
  </r>
  <r>
    <n v="21711"/>
    <d v="2024-01-25T00:00:00"/>
    <x v="3"/>
    <s v="Ahmedabad"/>
    <s v="SC_AHM_4"/>
    <x v="2"/>
    <s v="Cayenne"/>
    <s v="SUV"/>
    <x v="1"/>
    <x v="2"/>
    <x v="2"/>
    <x v="1"/>
    <n v="21"/>
    <n v="7"/>
    <x v="1"/>
    <x v="1"/>
    <n v="111026"/>
    <n v="66920"/>
    <n v="44106"/>
    <x v="0"/>
    <n v="0"/>
    <n v="0"/>
    <n v="1"/>
    <n v="0"/>
    <n v="1"/>
    <s v="Yes"/>
    <x v="0"/>
  </r>
  <r>
    <n v="21712"/>
    <d v="2024-05-01T00:00:00"/>
    <x v="0"/>
    <s v="Bengaluru"/>
    <s v="SC_BEN_4"/>
    <x v="1"/>
    <s v="911"/>
    <s v="Coupe"/>
    <x v="0"/>
    <x v="2"/>
    <x v="1"/>
    <x v="0"/>
    <n v="21"/>
    <n v="7"/>
    <x v="0"/>
    <x v="0"/>
    <n v="182603"/>
    <n v="121097"/>
    <n v="61506"/>
    <x v="0"/>
    <n v="0"/>
    <n v="1"/>
    <n v="0"/>
    <n v="1"/>
    <n v="1"/>
    <s v="Yes"/>
    <x v="0"/>
  </r>
  <r>
    <n v="21713"/>
    <d v="2024-04-17T00:00:00"/>
    <x v="1"/>
    <s v="Kolkata"/>
    <s v="SC_KOL_1"/>
    <x v="0"/>
    <s v="Taycan"/>
    <s v="Sedan"/>
    <x v="1"/>
    <x v="4"/>
    <x v="0"/>
    <x v="0"/>
    <n v="8"/>
    <n v="7"/>
    <x v="0"/>
    <x v="0"/>
    <n v="405241"/>
    <n v="203809"/>
    <n v="201432"/>
    <x v="2"/>
    <n v="0"/>
    <n v="1"/>
    <n v="0"/>
    <n v="1"/>
    <n v="1"/>
    <s v="Yes"/>
    <x v="1"/>
  </r>
  <r>
    <n v="21714"/>
    <d v="2024-01-18T00:00:00"/>
    <x v="1"/>
    <s v="Kolkata"/>
    <s v="SC_KOL_2"/>
    <x v="0"/>
    <s v="Taycan"/>
    <s v="Sedan"/>
    <x v="1"/>
    <x v="0"/>
    <x v="0"/>
    <x v="0"/>
    <n v="2"/>
    <n v="7"/>
    <x v="1"/>
    <x v="0"/>
    <n v="453300"/>
    <n v="231547"/>
    <n v="221753"/>
    <x v="4"/>
    <n v="0"/>
    <n v="1"/>
    <n v="1"/>
    <n v="0"/>
    <n v="1"/>
    <s v="No"/>
    <x v="2"/>
  </r>
  <r>
    <n v="21715"/>
    <d v="2024-02-28T00:00:00"/>
    <x v="1"/>
    <s v="Kolkata"/>
    <s v="SC_KOL_5"/>
    <x v="1"/>
    <s v="Panamera"/>
    <s v="Sedan"/>
    <x v="1"/>
    <x v="2"/>
    <x v="1"/>
    <x v="1"/>
    <n v="24"/>
    <n v="7"/>
    <x v="1"/>
    <x v="0"/>
    <n v="421605"/>
    <n v="300925"/>
    <n v="120680"/>
    <x v="0"/>
    <n v="0"/>
    <n v="1"/>
    <n v="1"/>
    <n v="0"/>
    <n v="1"/>
    <s v="Yes"/>
    <x v="0"/>
  </r>
  <r>
    <n v="21716"/>
    <d v="2024-06-10T00:00:00"/>
    <x v="1"/>
    <s v="Kolkata"/>
    <s v="SC_KOL_5"/>
    <x v="1"/>
    <s v="911"/>
    <s v="Coupe"/>
    <x v="1"/>
    <x v="3"/>
    <x v="1"/>
    <x v="1"/>
    <n v="12"/>
    <n v="7"/>
    <x v="0"/>
    <x v="1"/>
    <n v="512275"/>
    <n v="350205"/>
    <n v="162070"/>
    <x v="1"/>
    <n v="512275"/>
    <n v="0"/>
    <n v="0"/>
    <n v="1"/>
    <n v="1"/>
    <s v="Yes"/>
    <x v="0"/>
  </r>
  <r>
    <n v="21717"/>
    <d v="2024-03-24T00:00:00"/>
    <x v="0"/>
    <s v="Bengaluru"/>
    <s v="SC_BEN_3"/>
    <x v="2"/>
    <s v="Taycan"/>
    <s v="Sedan"/>
    <x v="0"/>
    <x v="1"/>
    <x v="2"/>
    <x v="0"/>
    <n v="22"/>
    <n v="7"/>
    <x v="1"/>
    <x v="0"/>
    <n v="282453"/>
    <n v="149052"/>
    <n v="133401"/>
    <x v="0"/>
    <n v="0"/>
    <n v="1"/>
    <n v="1"/>
    <n v="0"/>
    <n v="1"/>
    <s v="Yes"/>
    <x v="0"/>
  </r>
  <r>
    <n v="21718"/>
    <d v="2024-04-16T00:00:00"/>
    <x v="2"/>
    <s v="Noida"/>
    <s v="SC_NOI_1"/>
    <x v="1"/>
    <s v="Panamera"/>
    <s v="Sedan"/>
    <x v="1"/>
    <x v="1"/>
    <x v="2"/>
    <x v="0"/>
    <n v="9"/>
    <n v="7"/>
    <x v="0"/>
    <x v="0"/>
    <n v="287625"/>
    <n v="218267"/>
    <n v="69358"/>
    <x v="2"/>
    <n v="0"/>
    <n v="1"/>
    <n v="0"/>
    <n v="1"/>
    <n v="1"/>
    <s v="Yes"/>
    <x v="1"/>
  </r>
  <r>
    <n v="21719"/>
    <d v="2024-06-23T00:00:00"/>
    <x v="2"/>
    <s v="Noida"/>
    <s v="SC_NOI_5"/>
    <x v="1"/>
    <s v="Macan"/>
    <s v="SUV"/>
    <x v="1"/>
    <x v="1"/>
    <x v="2"/>
    <x v="0"/>
    <n v="6"/>
    <n v="7"/>
    <x v="1"/>
    <x v="1"/>
    <n v="396263"/>
    <n v="198859"/>
    <n v="197404"/>
    <x v="3"/>
    <n v="0"/>
    <n v="0"/>
    <n v="1"/>
    <n v="0"/>
    <n v="1"/>
    <s v="No"/>
    <x v="2"/>
  </r>
  <r>
    <n v="21720"/>
    <d v="2024-05-21T00:00:00"/>
    <x v="1"/>
    <s v="Bhubaneswar"/>
    <s v="SC_BHU_1"/>
    <x v="2"/>
    <s v="Taycan"/>
    <s v="Sedan"/>
    <x v="1"/>
    <x v="2"/>
    <x v="1"/>
    <x v="1"/>
    <n v="16"/>
    <n v="7"/>
    <x v="1"/>
    <x v="1"/>
    <n v="324394"/>
    <n v="257493"/>
    <n v="66901"/>
    <x v="1"/>
    <n v="0"/>
    <n v="0"/>
    <n v="1"/>
    <n v="0"/>
    <n v="1"/>
    <s v="Yes"/>
    <x v="0"/>
  </r>
  <r>
    <n v="21721"/>
    <d v="2024-02-29T00:00:00"/>
    <x v="1"/>
    <s v="Patna"/>
    <s v="SC_PAT_5"/>
    <x v="0"/>
    <s v="911"/>
    <s v="Coupe"/>
    <x v="0"/>
    <x v="3"/>
    <x v="2"/>
    <x v="0"/>
    <n v="6"/>
    <n v="7"/>
    <x v="1"/>
    <x v="0"/>
    <n v="587080"/>
    <n v="315467"/>
    <n v="271613"/>
    <x v="3"/>
    <n v="0"/>
    <n v="1"/>
    <n v="1"/>
    <n v="0"/>
    <n v="1"/>
    <s v="No"/>
    <x v="2"/>
  </r>
  <r>
    <n v="21722"/>
    <d v="2024-03-09T00:00:00"/>
    <x v="3"/>
    <s v="Mumbai"/>
    <s v="SC_MUM_3"/>
    <x v="2"/>
    <s v="Taycan"/>
    <s v="Sedan"/>
    <x v="1"/>
    <x v="1"/>
    <x v="2"/>
    <x v="1"/>
    <n v="24"/>
    <n v="7"/>
    <x v="0"/>
    <x v="0"/>
    <n v="581697"/>
    <n v="319825"/>
    <n v="261872"/>
    <x v="0"/>
    <n v="0"/>
    <n v="1"/>
    <n v="0"/>
    <n v="1"/>
    <n v="1"/>
    <s v="Yes"/>
    <x v="0"/>
  </r>
  <r>
    <n v="21723"/>
    <d v="2024-03-08T00:00:00"/>
    <x v="0"/>
    <s v="Hyderabad"/>
    <s v="SC_HYD_3"/>
    <x v="0"/>
    <s v="Taycan"/>
    <s v="Sedan"/>
    <x v="0"/>
    <x v="1"/>
    <x v="1"/>
    <x v="1"/>
    <n v="18"/>
    <n v="7"/>
    <x v="0"/>
    <x v="1"/>
    <n v="422498"/>
    <n v="344612"/>
    <n v="77886"/>
    <x v="0"/>
    <n v="422498"/>
    <n v="0"/>
    <n v="0"/>
    <n v="1"/>
    <n v="1"/>
    <s v="Yes"/>
    <x v="0"/>
  </r>
  <r>
    <n v="21724"/>
    <d v="2024-02-25T00:00:00"/>
    <x v="1"/>
    <s v="Kolkata"/>
    <s v="SC_KOL_5"/>
    <x v="2"/>
    <s v="Chiron"/>
    <s v="Hypercar"/>
    <x v="0"/>
    <x v="1"/>
    <x v="0"/>
    <x v="1"/>
    <n v="7"/>
    <n v="7"/>
    <x v="0"/>
    <x v="0"/>
    <n v="192476"/>
    <n v="157645"/>
    <n v="34831"/>
    <x v="2"/>
    <n v="0"/>
    <n v="1"/>
    <n v="0"/>
    <n v="1"/>
    <n v="1"/>
    <s v="No"/>
    <x v="1"/>
  </r>
  <r>
    <n v="21725"/>
    <d v="2024-04-29T00:00:00"/>
    <x v="1"/>
    <s v="Bhubaneswar"/>
    <s v="SC_BHU_2"/>
    <x v="1"/>
    <s v="Cayenne"/>
    <s v="SUV"/>
    <x v="0"/>
    <x v="4"/>
    <x v="2"/>
    <x v="0"/>
    <n v="19"/>
    <n v="7"/>
    <x v="0"/>
    <x v="0"/>
    <n v="519354"/>
    <n v="279927"/>
    <n v="239427"/>
    <x v="0"/>
    <n v="0"/>
    <n v="1"/>
    <n v="0"/>
    <n v="1"/>
    <n v="1"/>
    <s v="Yes"/>
    <x v="0"/>
  </r>
  <r>
    <n v="21726"/>
    <d v="2024-02-23T00:00:00"/>
    <x v="2"/>
    <s v="Noida"/>
    <s v="SC_NOI_5"/>
    <x v="2"/>
    <s v="Chiron"/>
    <s v="Hypercar"/>
    <x v="0"/>
    <x v="3"/>
    <x v="0"/>
    <x v="0"/>
    <n v="7"/>
    <n v="7"/>
    <x v="0"/>
    <x v="1"/>
    <n v="309652"/>
    <n v="248649"/>
    <n v="61003"/>
    <x v="2"/>
    <n v="309652"/>
    <n v="0"/>
    <n v="0"/>
    <n v="1"/>
    <n v="1"/>
    <s v="No"/>
    <x v="1"/>
  </r>
  <r>
    <n v="21727"/>
    <d v="2024-01-24T00:00:00"/>
    <x v="3"/>
    <s v="Mumbai"/>
    <s v="SC_MUM_1"/>
    <x v="1"/>
    <s v="Taycan"/>
    <s v="Sedan"/>
    <x v="0"/>
    <x v="1"/>
    <x v="0"/>
    <x v="0"/>
    <n v="20"/>
    <n v="7"/>
    <x v="0"/>
    <x v="1"/>
    <n v="146453"/>
    <n v="77510"/>
    <n v="68943"/>
    <x v="0"/>
    <n v="146453"/>
    <n v="0"/>
    <n v="0"/>
    <n v="1"/>
    <n v="1"/>
    <s v="Yes"/>
    <x v="0"/>
  </r>
  <r>
    <n v="21728"/>
    <d v="2024-02-18T00:00:00"/>
    <x v="2"/>
    <s v="Gurugram"/>
    <s v="SC_GUR_1"/>
    <x v="0"/>
    <s v="Cayenne"/>
    <s v="SUV"/>
    <x v="1"/>
    <x v="0"/>
    <x v="1"/>
    <x v="0"/>
    <n v="8"/>
    <n v="7"/>
    <x v="1"/>
    <x v="1"/>
    <n v="390945"/>
    <n v="260968"/>
    <n v="129977"/>
    <x v="3"/>
    <n v="0"/>
    <n v="0"/>
    <n v="1"/>
    <n v="0"/>
    <n v="1"/>
    <s v="Yes"/>
    <x v="2"/>
  </r>
  <r>
    <n v="21729"/>
    <d v="2024-01-07T00:00:00"/>
    <x v="2"/>
    <s v="Delhi"/>
    <s v="SC_DEL_3"/>
    <x v="0"/>
    <s v="911"/>
    <s v="Coupe"/>
    <x v="1"/>
    <x v="2"/>
    <x v="0"/>
    <x v="0"/>
    <n v="14"/>
    <n v="7"/>
    <x v="0"/>
    <x v="0"/>
    <n v="268541"/>
    <n v="178671"/>
    <n v="89870"/>
    <x v="1"/>
    <n v="0"/>
    <n v="1"/>
    <n v="0"/>
    <n v="1"/>
    <n v="1"/>
    <s v="Yes"/>
    <x v="0"/>
  </r>
  <r>
    <n v="21730"/>
    <d v="2024-01-13T00:00:00"/>
    <x v="0"/>
    <s v="Chennai"/>
    <s v="SC_CHE_4"/>
    <x v="0"/>
    <s v="Panamera"/>
    <s v="Sedan"/>
    <x v="0"/>
    <x v="1"/>
    <x v="1"/>
    <x v="1"/>
    <n v="21"/>
    <n v="7"/>
    <x v="0"/>
    <x v="0"/>
    <n v="431877"/>
    <n v="236436"/>
    <n v="195441"/>
    <x v="0"/>
    <n v="0"/>
    <n v="1"/>
    <n v="0"/>
    <n v="1"/>
    <n v="1"/>
    <s v="Yes"/>
    <x v="0"/>
  </r>
  <r>
    <n v="21731"/>
    <d v="2024-03-30T00:00:00"/>
    <x v="0"/>
    <s v="Hyderabad"/>
    <s v="SC_HYD_4"/>
    <x v="0"/>
    <s v="Veyron"/>
    <s v="Hypercar"/>
    <x v="1"/>
    <x v="3"/>
    <x v="2"/>
    <x v="1"/>
    <n v="15"/>
    <n v="7"/>
    <x v="0"/>
    <x v="1"/>
    <n v="103646"/>
    <n v="75688"/>
    <n v="27958"/>
    <x v="0"/>
    <n v="103646"/>
    <n v="0"/>
    <n v="0"/>
    <n v="1"/>
    <n v="1"/>
    <s v="Yes"/>
    <x v="0"/>
  </r>
  <r>
    <n v="21732"/>
    <d v="2024-03-11T00:00:00"/>
    <x v="0"/>
    <s v="Bengaluru"/>
    <s v="SC_BEN_3"/>
    <x v="0"/>
    <s v="Chiron"/>
    <s v="Hypercar"/>
    <x v="0"/>
    <x v="2"/>
    <x v="1"/>
    <x v="1"/>
    <n v="11"/>
    <n v="7"/>
    <x v="0"/>
    <x v="1"/>
    <n v="334322"/>
    <n v="172791"/>
    <n v="161531"/>
    <x v="1"/>
    <n v="334322"/>
    <n v="0"/>
    <n v="0"/>
    <n v="1"/>
    <n v="1"/>
    <s v="Yes"/>
    <x v="0"/>
  </r>
  <r>
    <n v="21733"/>
    <d v="2024-01-16T00:00:00"/>
    <x v="2"/>
    <s v="Delhi"/>
    <s v="SC_DEL_2"/>
    <x v="2"/>
    <s v="Cayenne"/>
    <s v="SUV"/>
    <x v="1"/>
    <x v="0"/>
    <x v="0"/>
    <x v="1"/>
    <n v="16"/>
    <n v="7"/>
    <x v="0"/>
    <x v="1"/>
    <n v="317105"/>
    <n v="210876"/>
    <n v="106229"/>
    <x v="0"/>
    <n v="317105"/>
    <n v="0"/>
    <n v="0"/>
    <n v="1"/>
    <n v="1"/>
    <s v="Yes"/>
    <x v="0"/>
  </r>
  <r>
    <n v="21734"/>
    <d v="2024-06-15T00:00:00"/>
    <x v="2"/>
    <s v="Gurugram"/>
    <s v="SC_GUR_5"/>
    <x v="2"/>
    <s v="911"/>
    <s v="Coupe"/>
    <x v="1"/>
    <x v="3"/>
    <x v="1"/>
    <x v="0"/>
    <n v="16"/>
    <n v="7"/>
    <x v="1"/>
    <x v="0"/>
    <n v="401796"/>
    <n v="231080"/>
    <n v="170716"/>
    <x v="1"/>
    <n v="0"/>
    <n v="1"/>
    <n v="1"/>
    <n v="0"/>
    <n v="1"/>
    <s v="Yes"/>
    <x v="0"/>
  </r>
  <r>
    <n v="21735"/>
    <d v="2024-03-13T00:00:00"/>
    <x v="2"/>
    <s v="Noida"/>
    <s v="SC_NOI_5"/>
    <x v="2"/>
    <s v="Macan"/>
    <s v="SUV"/>
    <x v="0"/>
    <x v="3"/>
    <x v="2"/>
    <x v="1"/>
    <n v="5"/>
    <n v="7"/>
    <x v="0"/>
    <x v="0"/>
    <n v="375346"/>
    <n v="318150"/>
    <n v="57196"/>
    <x v="2"/>
    <n v="0"/>
    <n v="1"/>
    <n v="0"/>
    <n v="1"/>
    <n v="1"/>
    <s v="No"/>
    <x v="1"/>
  </r>
  <r>
    <n v="21736"/>
    <d v="2024-05-12T00:00:00"/>
    <x v="3"/>
    <s v="Pune"/>
    <s v="SC_PUN_4"/>
    <x v="1"/>
    <s v="Taycan"/>
    <s v="Sedan"/>
    <x v="0"/>
    <x v="0"/>
    <x v="0"/>
    <x v="0"/>
    <n v="24"/>
    <n v="7"/>
    <x v="0"/>
    <x v="1"/>
    <n v="351639"/>
    <n v="204678"/>
    <n v="146961"/>
    <x v="0"/>
    <n v="351639"/>
    <n v="0"/>
    <n v="0"/>
    <n v="1"/>
    <n v="1"/>
    <s v="Yes"/>
    <x v="0"/>
  </r>
  <r>
    <n v="21737"/>
    <d v="2024-02-29T00:00:00"/>
    <x v="0"/>
    <s v="Hyderabad"/>
    <s v="SC_HYD_4"/>
    <x v="2"/>
    <s v="911"/>
    <s v="Coupe"/>
    <x v="1"/>
    <x v="3"/>
    <x v="0"/>
    <x v="0"/>
    <n v="12"/>
    <n v="7"/>
    <x v="0"/>
    <x v="1"/>
    <n v="427795"/>
    <n v="236539"/>
    <n v="191256"/>
    <x v="1"/>
    <n v="427795"/>
    <n v="0"/>
    <n v="0"/>
    <n v="1"/>
    <n v="1"/>
    <s v="Yes"/>
    <x v="0"/>
  </r>
  <r>
    <n v="21738"/>
    <d v="2024-01-27T00:00:00"/>
    <x v="0"/>
    <s v="Bengaluru"/>
    <s v="SC_BEN_2"/>
    <x v="1"/>
    <s v="Macan"/>
    <s v="SUV"/>
    <x v="0"/>
    <x v="3"/>
    <x v="2"/>
    <x v="1"/>
    <n v="6"/>
    <n v="7"/>
    <x v="0"/>
    <x v="1"/>
    <n v="453679"/>
    <n v="383674"/>
    <n v="70005"/>
    <x v="2"/>
    <n v="453679"/>
    <n v="0"/>
    <n v="0"/>
    <n v="1"/>
    <n v="1"/>
    <s v="No"/>
    <x v="1"/>
  </r>
  <r>
    <n v="21739"/>
    <d v="2024-06-28T00:00:00"/>
    <x v="3"/>
    <s v="Pune"/>
    <s v="SC_PUN_1"/>
    <x v="2"/>
    <s v="Panamera"/>
    <s v="Sedan"/>
    <x v="1"/>
    <x v="3"/>
    <x v="2"/>
    <x v="0"/>
    <n v="6"/>
    <n v="7"/>
    <x v="0"/>
    <x v="0"/>
    <n v="167724"/>
    <n v="101814"/>
    <n v="65910"/>
    <x v="2"/>
    <n v="0"/>
    <n v="1"/>
    <n v="0"/>
    <n v="1"/>
    <n v="1"/>
    <s v="No"/>
    <x v="1"/>
  </r>
  <r>
    <n v="21740"/>
    <d v="2024-01-15T00:00:00"/>
    <x v="1"/>
    <s v="Bhubaneswar"/>
    <s v="SC_BHU_3"/>
    <x v="1"/>
    <s v="Chiron"/>
    <s v="Hypercar"/>
    <x v="1"/>
    <x v="0"/>
    <x v="1"/>
    <x v="0"/>
    <n v="24"/>
    <n v="7"/>
    <x v="0"/>
    <x v="1"/>
    <n v="452957"/>
    <n v="234987"/>
    <n v="217970"/>
    <x v="0"/>
    <n v="452957"/>
    <n v="0"/>
    <n v="0"/>
    <n v="1"/>
    <n v="1"/>
    <s v="Yes"/>
    <x v="0"/>
  </r>
  <r>
    <n v="21741"/>
    <d v="2024-05-05T00:00:00"/>
    <x v="3"/>
    <s v="Mumbai"/>
    <s v="SC_MUM_4"/>
    <x v="0"/>
    <s v="Veyron"/>
    <s v="Hypercar"/>
    <x v="1"/>
    <x v="0"/>
    <x v="0"/>
    <x v="0"/>
    <n v="22"/>
    <n v="7"/>
    <x v="0"/>
    <x v="0"/>
    <n v="251586"/>
    <n v="195474"/>
    <n v="56112"/>
    <x v="0"/>
    <n v="0"/>
    <n v="1"/>
    <n v="0"/>
    <n v="1"/>
    <n v="1"/>
    <s v="Yes"/>
    <x v="0"/>
  </r>
  <r>
    <n v="21742"/>
    <d v="2024-03-11T00:00:00"/>
    <x v="0"/>
    <s v="Chennai"/>
    <s v="SC_CHE_2"/>
    <x v="0"/>
    <s v="Veyron"/>
    <s v="Hypercar"/>
    <x v="0"/>
    <x v="4"/>
    <x v="0"/>
    <x v="0"/>
    <n v="9"/>
    <n v="7"/>
    <x v="1"/>
    <x v="1"/>
    <n v="544836"/>
    <n v="426066"/>
    <n v="118770"/>
    <x v="3"/>
    <n v="0"/>
    <n v="0"/>
    <n v="1"/>
    <n v="0"/>
    <n v="1"/>
    <s v="Yes"/>
    <x v="2"/>
  </r>
  <r>
    <n v="21743"/>
    <d v="2024-03-08T00:00:00"/>
    <x v="0"/>
    <s v="Bengaluru"/>
    <s v="SC_BEN_3"/>
    <x v="2"/>
    <s v="Cayenne"/>
    <s v="SUV"/>
    <x v="0"/>
    <x v="4"/>
    <x v="2"/>
    <x v="0"/>
    <n v="25"/>
    <n v="7"/>
    <x v="1"/>
    <x v="1"/>
    <n v="299994"/>
    <n v="154909"/>
    <n v="145085"/>
    <x v="0"/>
    <n v="0"/>
    <n v="0"/>
    <n v="1"/>
    <n v="0"/>
    <n v="1"/>
    <s v="Yes"/>
    <x v="0"/>
  </r>
  <r>
    <n v="21744"/>
    <d v="2024-04-22T00:00:00"/>
    <x v="2"/>
    <s v="Gurugram"/>
    <s v="SC_GUR_4"/>
    <x v="1"/>
    <s v="Cayenne"/>
    <s v="SUV"/>
    <x v="1"/>
    <x v="1"/>
    <x v="1"/>
    <x v="0"/>
    <n v="11"/>
    <n v="7"/>
    <x v="1"/>
    <x v="0"/>
    <n v="536345"/>
    <n v="291123"/>
    <n v="245222"/>
    <x v="2"/>
    <n v="0"/>
    <n v="1"/>
    <n v="1"/>
    <n v="0"/>
    <n v="1"/>
    <s v="Yes"/>
    <x v="1"/>
  </r>
  <r>
    <n v="21745"/>
    <d v="2024-06-12T00:00:00"/>
    <x v="3"/>
    <s v="Mumbai"/>
    <s v="SC_MUM_5"/>
    <x v="2"/>
    <s v="Panamera"/>
    <s v="Sedan"/>
    <x v="1"/>
    <x v="3"/>
    <x v="1"/>
    <x v="0"/>
    <n v="8"/>
    <n v="7"/>
    <x v="1"/>
    <x v="0"/>
    <n v="381261"/>
    <n v="254495"/>
    <n v="126766"/>
    <x v="3"/>
    <n v="0"/>
    <n v="1"/>
    <n v="1"/>
    <n v="0"/>
    <n v="1"/>
    <s v="Yes"/>
    <x v="2"/>
  </r>
  <r>
    <n v="21746"/>
    <d v="2024-01-29T00:00:00"/>
    <x v="3"/>
    <s v="Mumbai"/>
    <s v="SC_MUM_3"/>
    <x v="2"/>
    <s v="Taycan"/>
    <s v="Sedan"/>
    <x v="0"/>
    <x v="4"/>
    <x v="0"/>
    <x v="0"/>
    <n v="4"/>
    <n v="7"/>
    <x v="1"/>
    <x v="1"/>
    <n v="308483"/>
    <n v="178174"/>
    <n v="130309"/>
    <x v="4"/>
    <n v="0"/>
    <n v="0"/>
    <n v="1"/>
    <n v="0"/>
    <n v="1"/>
    <s v="No"/>
    <x v="2"/>
  </r>
  <r>
    <n v="21747"/>
    <d v="2024-04-11T00:00:00"/>
    <x v="1"/>
    <s v="Bhubaneswar"/>
    <s v="SC_BHU_3"/>
    <x v="1"/>
    <s v="Veyron"/>
    <s v="Hypercar"/>
    <x v="0"/>
    <x v="4"/>
    <x v="2"/>
    <x v="1"/>
    <n v="17"/>
    <n v="7"/>
    <x v="1"/>
    <x v="1"/>
    <n v="263079"/>
    <n v="162106"/>
    <n v="100973"/>
    <x v="1"/>
    <n v="0"/>
    <n v="0"/>
    <n v="1"/>
    <n v="0"/>
    <n v="1"/>
    <s v="Yes"/>
    <x v="0"/>
  </r>
  <r>
    <n v="21748"/>
    <d v="2024-03-19T00:00:00"/>
    <x v="0"/>
    <s v="Bengaluru"/>
    <s v="SC_BEN_1"/>
    <x v="0"/>
    <s v="911"/>
    <s v="Coupe"/>
    <x v="1"/>
    <x v="0"/>
    <x v="0"/>
    <x v="1"/>
    <n v="14"/>
    <n v="7"/>
    <x v="0"/>
    <x v="1"/>
    <n v="142677"/>
    <n v="99333"/>
    <n v="43344"/>
    <x v="1"/>
    <n v="142677"/>
    <n v="0"/>
    <n v="0"/>
    <n v="1"/>
    <n v="1"/>
    <s v="Yes"/>
    <x v="0"/>
  </r>
  <r>
    <n v="21749"/>
    <d v="2024-01-03T00:00:00"/>
    <x v="1"/>
    <s v="Kolkata"/>
    <s v="SC_KOL_1"/>
    <x v="0"/>
    <s v="Cayenne"/>
    <s v="SUV"/>
    <x v="0"/>
    <x v="3"/>
    <x v="0"/>
    <x v="0"/>
    <n v="20"/>
    <n v="7"/>
    <x v="0"/>
    <x v="1"/>
    <n v="543736"/>
    <n v="359943"/>
    <n v="183793"/>
    <x v="0"/>
    <n v="543736"/>
    <n v="0"/>
    <n v="0"/>
    <n v="1"/>
    <n v="1"/>
    <s v="Yes"/>
    <x v="0"/>
  </r>
  <r>
    <n v="21750"/>
    <d v="2024-04-10T00:00:00"/>
    <x v="2"/>
    <s v="Delhi"/>
    <s v="SC_DEL_3"/>
    <x v="2"/>
    <s v="Panamera"/>
    <s v="Sedan"/>
    <x v="1"/>
    <x v="3"/>
    <x v="2"/>
    <x v="1"/>
    <n v="10"/>
    <n v="7"/>
    <x v="1"/>
    <x v="0"/>
    <n v="499541"/>
    <n v="420650"/>
    <n v="78891"/>
    <x v="2"/>
    <n v="0"/>
    <n v="1"/>
    <n v="1"/>
    <n v="0"/>
    <n v="1"/>
    <s v="Yes"/>
    <x v="1"/>
  </r>
  <r>
    <n v="21751"/>
    <d v="2024-01-06T00:00:00"/>
    <x v="1"/>
    <s v="Kolkata"/>
    <s v="SC_KOL_2"/>
    <x v="1"/>
    <s v="911"/>
    <s v="Coupe"/>
    <x v="1"/>
    <x v="1"/>
    <x v="1"/>
    <x v="0"/>
    <n v="13"/>
    <n v="7"/>
    <x v="0"/>
    <x v="0"/>
    <n v="346157"/>
    <n v="285343"/>
    <n v="60814"/>
    <x v="1"/>
    <n v="0"/>
    <n v="1"/>
    <n v="0"/>
    <n v="1"/>
    <n v="1"/>
    <s v="Yes"/>
    <x v="0"/>
  </r>
  <r>
    <n v="21752"/>
    <d v="2024-03-29T00:00:00"/>
    <x v="2"/>
    <s v="Gurugram"/>
    <s v="SC_GUR_5"/>
    <x v="2"/>
    <s v="Cayenne"/>
    <s v="SUV"/>
    <x v="0"/>
    <x v="0"/>
    <x v="1"/>
    <x v="0"/>
    <n v="22"/>
    <n v="7"/>
    <x v="1"/>
    <x v="1"/>
    <n v="489207"/>
    <n v="259651"/>
    <n v="229556"/>
    <x v="0"/>
    <n v="0"/>
    <n v="0"/>
    <n v="1"/>
    <n v="0"/>
    <n v="1"/>
    <s v="Yes"/>
    <x v="0"/>
  </r>
  <r>
    <n v="21753"/>
    <d v="2024-03-05T00:00:00"/>
    <x v="2"/>
    <s v="Noida"/>
    <s v="SC_NOI_3"/>
    <x v="2"/>
    <s v="Chiron"/>
    <s v="Hypercar"/>
    <x v="0"/>
    <x v="3"/>
    <x v="1"/>
    <x v="1"/>
    <n v="9"/>
    <n v="7"/>
    <x v="1"/>
    <x v="1"/>
    <n v="249191"/>
    <n v="186353"/>
    <n v="62838"/>
    <x v="3"/>
    <n v="0"/>
    <n v="0"/>
    <n v="1"/>
    <n v="0"/>
    <n v="1"/>
    <s v="Yes"/>
    <x v="2"/>
  </r>
  <r>
    <n v="21754"/>
    <d v="2024-05-12T00:00:00"/>
    <x v="2"/>
    <s v="Noida"/>
    <s v="SC_NOI_3"/>
    <x v="0"/>
    <s v="Macan"/>
    <s v="SUV"/>
    <x v="1"/>
    <x v="3"/>
    <x v="2"/>
    <x v="0"/>
    <n v="25"/>
    <n v="7"/>
    <x v="1"/>
    <x v="1"/>
    <n v="388972"/>
    <n v="280427"/>
    <n v="108545"/>
    <x v="0"/>
    <n v="0"/>
    <n v="0"/>
    <n v="1"/>
    <n v="0"/>
    <n v="1"/>
    <s v="Yes"/>
    <x v="0"/>
  </r>
  <r>
    <n v="21755"/>
    <d v="2024-01-03T00:00:00"/>
    <x v="3"/>
    <s v="Mumbai"/>
    <s v="SC_MUM_1"/>
    <x v="2"/>
    <s v="Taycan"/>
    <s v="Sedan"/>
    <x v="0"/>
    <x v="2"/>
    <x v="2"/>
    <x v="0"/>
    <n v="3"/>
    <n v="7"/>
    <x v="1"/>
    <x v="1"/>
    <n v="246277"/>
    <n v="132583"/>
    <n v="113694"/>
    <x v="4"/>
    <n v="0"/>
    <n v="0"/>
    <n v="1"/>
    <n v="0"/>
    <n v="1"/>
    <s v="No"/>
    <x v="2"/>
  </r>
  <r>
    <n v="21756"/>
    <d v="2024-04-09T00:00:00"/>
    <x v="0"/>
    <s v="Bengaluru"/>
    <s v="SC_BEN_4"/>
    <x v="0"/>
    <s v="Panamera"/>
    <s v="Sedan"/>
    <x v="1"/>
    <x v="3"/>
    <x v="0"/>
    <x v="0"/>
    <n v="24"/>
    <n v="7"/>
    <x v="0"/>
    <x v="1"/>
    <n v="460549"/>
    <n v="344998"/>
    <n v="115551"/>
    <x v="0"/>
    <n v="460549"/>
    <n v="0"/>
    <n v="0"/>
    <n v="1"/>
    <n v="1"/>
    <s v="Yes"/>
    <x v="0"/>
  </r>
  <r>
    <n v="21757"/>
    <d v="2024-04-23T00:00:00"/>
    <x v="2"/>
    <s v="Delhi"/>
    <s v="SC_DEL_4"/>
    <x v="2"/>
    <s v="Veyron"/>
    <s v="Hypercar"/>
    <x v="1"/>
    <x v="1"/>
    <x v="2"/>
    <x v="1"/>
    <n v="7"/>
    <n v="7"/>
    <x v="0"/>
    <x v="1"/>
    <n v="308470"/>
    <n v="196433"/>
    <n v="112037"/>
    <x v="2"/>
    <n v="308470"/>
    <n v="0"/>
    <n v="0"/>
    <n v="1"/>
    <n v="1"/>
    <s v="No"/>
    <x v="1"/>
  </r>
  <r>
    <n v="21758"/>
    <d v="2024-06-09T00:00:00"/>
    <x v="1"/>
    <s v="Bhubaneswar"/>
    <s v="SC_BHU_5"/>
    <x v="2"/>
    <s v="Taycan"/>
    <s v="Sedan"/>
    <x v="1"/>
    <x v="1"/>
    <x v="2"/>
    <x v="0"/>
    <n v="6"/>
    <n v="7"/>
    <x v="0"/>
    <x v="1"/>
    <n v="95000"/>
    <n v="56833"/>
    <n v="38167"/>
    <x v="2"/>
    <n v="95000"/>
    <n v="0"/>
    <n v="0"/>
    <n v="1"/>
    <n v="1"/>
    <s v="No"/>
    <x v="1"/>
  </r>
  <r>
    <n v="21759"/>
    <d v="2024-01-17T00:00:00"/>
    <x v="3"/>
    <s v="Mumbai"/>
    <s v="SC_MUM_4"/>
    <x v="1"/>
    <s v="Taycan"/>
    <s v="Sedan"/>
    <x v="1"/>
    <x v="2"/>
    <x v="2"/>
    <x v="1"/>
    <n v="14"/>
    <n v="7"/>
    <x v="0"/>
    <x v="1"/>
    <n v="568765"/>
    <n v="315374"/>
    <n v="253391"/>
    <x v="1"/>
    <n v="568765"/>
    <n v="0"/>
    <n v="0"/>
    <n v="1"/>
    <n v="1"/>
    <s v="Yes"/>
    <x v="0"/>
  </r>
  <r>
    <n v="21760"/>
    <d v="2024-04-14T00:00:00"/>
    <x v="1"/>
    <s v="Bhubaneswar"/>
    <s v="SC_BHU_2"/>
    <x v="0"/>
    <s v="Cayenne"/>
    <s v="SUV"/>
    <x v="0"/>
    <x v="3"/>
    <x v="2"/>
    <x v="1"/>
    <n v="23"/>
    <n v="7"/>
    <x v="0"/>
    <x v="1"/>
    <n v="433581"/>
    <n v="218556"/>
    <n v="215025"/>
    <x v="0"/>
    <n v="433581"/>
    <n v="0"/>
    <n v="0"/>
    <n v="1"/>
    <n v="1"/>
    <s v="Yes"/>
    <x v="0"/>
  </r>
  <r>
    <n v="21761"/>
    <d v="2024-04-05T00:00:00"/>
    <x v="1"/>
    <s v="Bhubaneswar"/>
    <s v="SC_BHU_5"/>
    <x v="2"/>
    <s v="Chiron"/>
    <s v="Hypercar"/>
    <x v="0"/>
    <x v="2"/>
    <x v="2"/>
    <x v="1"/>
    <n v="3"/>
    <n v="7"/>
    <x v="1"/>
    <x v="0"/>
    <n v="502647"/>
    <n v="297005"/>
    <n v="205642"/>
    <x v="4"/>
    <n v="0"/>
    <n v="1"/>
    <n v="1"/>
    <n v="0"/>
    <n v="1"/>
    <s v="No"/>
    <x v="2"/>
  </r>
  <r>
    <n v="21762"/>
    <d v="2024-04-16T00:00:00"/>
    <x v="3"/>
    <s v="Pune"/>
    <s v="SC_PUN_1"/>
    <x v="1"/>
    <s v="Veyron"/>
    <s v="Hypercar"/>
    <x v="1"/>
    <x v="0"/>
    <x v="1"/>
    <x v="1"/>
    <n v="23"/>
    <n v="7"/>
    <x v="0"/>
    <x v="1"/>
    <n v="140397"/>
    <n v="77613"/>
    <n v="62784"/>
    <x v="0"/>
    <n v="140397"/>
    <n v="0"/>
    <n v="0"/>
    <n v="1"/>
    <n v="1"/>
    <s v="Yes"/>
    <x v="0"/>
  </r>
  <r>
    <n v="21763"/>
    <d v="2024-02-05T00:00:00"/>
    <x v="3"/>
    <s v="Pune"/>
    <s v="SC_PUN_3"/>
    <x v="0"/>
    <s v="Panamera"/>
    <s v="Sedan"/>
    <x v="1"/>
    <x v="2"/>
    <x v="1"/>
    <x v="0"/>
    <n v="13"/>
    <n v="7"/>
    <x v="0"/>
    <x v="1"/>
    <n v="514624"/>
    <n v="301118"/>
    <n v="213506"/>
    <x v="1"/>
    <n v="514624"/>
    <n v="0"/>
    <n v="0"/>
    <n v="1"/>
    <n v="1"/>
    <s v="Yes"/>
    <x v="0"/>
  </r>
  <r>
    <n v="21764"/>
    <d v="2024-02-23T00:00:00"/>
    <x v="1"/>
    <s v="Kolkata"/>
    <s v="SC_KOL_4"/>
    <x v="2"/>
    <s v="911"/>
    <s v="Coupe"/>
    <x v="0"/>
    <x v="2"/>
    <x v="1"/>
    <x v="1"/>
    <n v="13"/>
    <n v="7"/>
    <x v="0"/>
    <x v="1"/>
    <n v="109440"/>
    <n v="55625"/>
    <n v="53815"/>
    <x v="1"/>
    <n v="109440"/>
    <n v="0"/>
    <n v="0"/>
    <n v="1"/>
    <n v="1"/>
    <s v="Yes"/>
    <x v="0"/>
  </r>
  <r>
    <n v="21765"/>
    <d v="2024-05-02T00:00:00"/>
    <x v="0"/>
    <s v="Chennai"/>
    <s v="SC_CHE_5"/>
    <x v="0"/>
    <s v="Panamera"/>
    <s v="Sedan"/>
    <x v="0"/>
    <x v="4"/>
    <x v="0"/>
    <x v="0"/>
    <n v="17"/>
    <n v="7"/>
    <x v="0"/>
    <x v="0"/>
    <n v="141001"/>
    <n v="75360"/>
    <n v="65641"/>
    <x v="0"/>
    <n v="0"/>
    <n v="1"/>
    <n v="0"/>
    <n v="1"/>
    <n v="1"/>
    <s v="Yes"/>
    <x v="0"/>
  </r>
  <r>
    <n v="21766"/>
    <d v="2024-01-01T00:00:00"/>
    <x v="1"/>
    <s v="Patna"/>
    <s v="SC_PAT_1"/>
    <x v="0"/>
    <s v="911"/>
    <s v="Coupe"/>
    <x v="1"/>
    <x v="2"/>
    <x v="1"/>
    <x v="0"/>
    <n v="23"/>
    <n v="7"/>
    <x v="0"/>
    <x v="1"/>
    <n v="123078"/>
    <n v="70082"/>
    <n v="52996"/>
    <x v="0"/>
    <n v="123078"/>
    <n v="0"/>
    <n v="0"/>
    <n v="1"/>
    <n v="1"/>
    <s v="Yes"/>
    <x v="0"/>
  </r>
  <r>
    <n v="21767"/>
    <d v="2024-01-26T00:00:00"/>
    <x v="3"/>
    <s v="Ahmedabad"/>
    <s v="SC_AHM_2"/>
    <x v="2"/>
    <s v="Taycan"/>
    <s v="Sedan"/>
    <x v="1"/>
    <x v="1"/>
    <x v="2"/>
    <x v="1"/>
    <n v="4"/>
    <n v="7"/>
    <x v="1"/>
    <x v="0"/>
    <n v="340546"/>
    <n v="208875"/>
    <n v="131671"/>
    <x v="4"/>
    <n v="0"/>
    <n v="1"/>
    <n v="1"/>
    <n v="0"/>
    <n v="1"/>
    <s v="No"/>
    <x v="2"/>
  </r>
  <r>
    <n v="21768"/>
    <d v="2024-02-07T00:00:00"/>
    <x v="2"/>
    <s v="Delhi"/>
    <s v="SC_DEL_3"/>
    <x v="2"/>
    <s v="Veyron"/>
    <s v="Hypercar"/>
    <x v="0"/>
    <x v="4"/>
    <x v="0"/>
    <x v="1"/>
    <n v="8"/>
    <n v="7"/>
    <x v="0"/>
    <x v="0"/>
    <n v="390795"/>
    <n v="204904"/>
    <n v="185891"/>
    <x v="2"/>
    <n v="0"/>
    <n v="1"/>
    <n v="0"/>
    <n v="1"/>
    <n v="1"/>
    <s v="Yes"/>
    <x v="1"/>
  </r>
  <r>
    <n v="21769"/>
    <d v="2024-01-03T00:00:00"/>
    <x v="0"/>
    <s v="Chennai"/>
    <s v="SC_CHE_4"/>
    <x v="2"/>
    <s v="Macan"/>
    <s v="SUV"/>
    <x v="0"/>
    <x v="0"/>
    <x v="2"/>
    <x v="0"/>
    <n v="12"/>
    <n v="7"/>
    <x v="1"/>
    <x v="1"/>
    <n v="517252"/>
    <n v="316846"/>
    <n v="200406"/>
    <x v="2"/>
    <n v="0"/>
    <n v="0"/>
    <n v="1"/>
    <n v="0"/>
    <n v="1"/>
    <s v="Yes"/>
    <x v="1"/>
  </r>
  <r>
    <n v="21770"/>
    <d v="2024-04-21T00:00:00"/>
    <x v="0"/>
    <s v="Bengaluru"/>
    <s v="SC_BEN_1"/>
    <x v="2"/>
    <s v="911"/>
    <s v="Coupe"/>
    <x v="0"/>
    <x v="2"/>
    <x v="0"/>
    <x v="0"/>
    <n v="13"/>
    <n v="7"/>
    <x v="0"/>
    <x v="1"/>
    <n v="539158"/>
    <n v="446857"/>
    <n v="92301"/>
    <x v="1"/>
    <n v="539158"/>
    <n v="0"/>
    <n v="0"/>
    <n v="1"/>
    <n v="1"/>
    <s v="Yes"/>
    <x v="0"/>
  </r>
  <r>
    <n v="21771"/>
    <d v="2024-03-25T00:00:00"/>
    <x v="0"/>
    <s v="Hyderabad"/>
    <s v="SC_HYD_1"/>
    <x v="2"/>
    <s v="Chiron"/>
    <s v="Hypercar"/>
    <x v="0"/>
    <x v="4"/>
    <x v="2"/>
    <x v="1"/>
    <n v="23"/>
    <n v="7"/>
    <x v="0"/>
    <x v="1"/>
    <n v="384787"/>
    <n v="316289"/>
    <n v="68498"/>
    <x v="0"/>
    <n v="384787"/>
    <n v="0"/>
    <n v="0"/>
    <n v="1"/>
    <n v="1"/>
    <s v="Yes"/>
    <x v="0"/>
  </r>
  <r>
    <n v="21772"/>
    <d v="2024-03-12T00:00:00"/>
    <x v="1"/>
    <s v="Patna"/>
    <s v="SC_PAT_4"/>
    <x v="1"/>
    <s v="Panamera"/>
    <s v="Sedan"/>
    <x v="0"/>
    <x v="0"/>
    <x v="1"/>
    <x v="1"/>
    <n v="4"/>
    <n v="7"/>
    <x v="0"/>
    <x v="0"/>
    <n v="574644"/>
    <n v="363940"/>
    <n v="210704"/>
    <x v="3"/>
    <n v="0"/>
    <n v="1"/>
    <n v="0"/>
    <n v="1"/>
    <n v="1"/>
    <s v="No"/>
    <x v="2"/>
  </r>
  <r>
    <n v="21773"/>
    <d v="2024-06-10T00:00:00"/>
    <x v="0"/>
    <s v="Hyderabad"/>
    <s v="SC_HYD_3"/>
    <x v="2"/>
    <s v="Veyron"/>
    <s v="Hypercar"/>
    <x v="0"/>
    <x v="0"/>
    <x v="2"/>
    <x v="1"/>
    <n v="17"/>
    <n v="7"/>
    <x v="1"/>
    <x v="1"/>
    <n v="93200"/>
    <n v="69203"/>
    <n v="23997"/>
    <x v="1"/>
    <n v="0"/>
    <n v="0"/>
    <n v="1"/>
    <n v="0"/>
    <n v="1"/>
    <s v="Yes"/>
    <x v="0"/>
  </r>
  <r>
    <n v="21774"/>
    <d v="2024-03-31T00:00:00"/>
    <x v="2"/>
    <s v="Delhi"/>
    <s v="SC_DEL_2"/>
    <x v="0"/>
    <s v="Cayenne"/>
    <s v="SUV"/>
    <x v="0"/>
    <x v="4"/>
    <x v="0"/>
    <x v="0"/>
    <n v="15"/>
    <n v="7"/>
    <x v="0"/>
    <x v="0"/>
    <n v="335590"/>
    <n v="278400"/>
    <n v="57190"/>
    <x v="0"/>
    <n v="0"/>
    <n v="1"/>
    <n v="0"/>
    <n v="1"/>
    <n v="1"/>
    <s v="Yes"/>
    <x v="0"/>
  </r>
  <r>
    <n v="21775"/>
    <d v="2024-01-28T00:00:00"/>
    <x v="3"/>
    <s v="Ahmedabad"/>
    <s v="SC_AHM_2"/>
    <x v="0"/>
    <s v="Cayenne"/>
    <s v="SUV"/>
    <x v="1"/>
    <x v="1"/>
    <x v="2"/>
    <x v="0"/>
    <n v="8"/>
    <n v="7"/>
    <x v="0"/>
    <x v="1"/>
    <n v="452337"/>
    <n v="258370"/>
    <n v="193967"/>
    <x v="2"/>
    <n v="452337"/>
    <n v="0"/>
    <n v="0"/>
    <n v="1"/>
    <n v="1"/>
    <s v="Yes"/>
    <x v="1"/>
  </r>
  <r>
    <n v="21776"/>
    <d v="2024-02-25T00:00:00"/>
    <x v="3"/>
    <s v="Mumbai"/>
    <s v="SC_MUM_5"/>
    <x v="1"/>
    <s v="Cayenne"/>
    <s v="SUV"/>
    <x v="1"/>
    <x v="0"/>
    <x v="1"/>
    <x v="0"/>
    <n v="25"/>
    <n v="7"/>
    <x v="0"/>
    <x v="0"/>
    <n v="375678"/>
    <n v="231496"/>
    <n v="144182"/>
    <x v="0"/>
    <n v="0"/>
    <n v="1"/>
    <n v="0"/>
    <n v="1"/>
    <n v="1"/>
    <s v="Yes"/>
    <x v="0"/>
  </r>
  <r>
    <n v="21777"/>
    <d v="2024-01-20T00:00:00"/>
    <x v="2"/>
    <s v="Noida"/>
    <s v="SC_NOI_5"/>
    <x v="1"/>
    <s v="Cayenne"/>
    <s v="SUV"/>
    <x v="1"/>
    <x v="4"/>
    <x v="2"/>
    <x v="0"/>
    <n v="9"/>
    <n v="7"/>
    <x v="1"/>
    <x v="1"/>
    <n v="558971"/>
    <n v="304950"/>
    <n v="254021"/>
    <x v="3"/>
    <n v="0"/>
    <n v="0"/>
    <n v="1"/>
    <n v="0"/>
    <n v="1"/>
    <s v="Yes"/>
    <x v="2"/>
  </r>
  <r>
    <n v="21778"/>
    <d v="2024-02-23T00:00:00"/>
    <x v="0"/>
    <s v="Hyderabad"/>
    <s v="SC_HYD_2"/>
    <x v="0"/>
    <s v="Veyron"/>
    <s v="Hypercar"/>
    <x v="1"/>
    <x v="2"/>
    <x v="0"/>
    <x v="1"/>
    <n v="20"/>
    <n v="7"/>
    <x v="0"/>
    <x v="0"/>
    <n v="99336"/>
    <n v="67924"/>
    <n v="31412"/>
    <x v="0"/>
    <n v="0"/>
    <n v="1"/>
    <n v="0"/>
    <n v="1"/>
    <n v="1"/>
    <s v="Yes"/>
    <x v="0"/>
  </r>
  <r>
    <n v="21779"/>
    <d v="2024-01-18T00:00:00"/>
    <x v="3"/>
    <s v="Pune"/>
    <s v="SC_PUN_2"/>
    <x v="0"/>
    <s v="Cayenne"/>
    <s v="SUV"/>
    <x v="1"/>
    <x v="0"/>
    <x v="2"/>
    <x v="0"/>
    <n v="10"/>
    <n v="7"/>
    <x v="0"/>
    <x v="1"/>
    <n v="109889"/>
    <n v="67006"/>
    <n v="42883"/>
    <x v="1"/>
    <n v="109889"/>
    <n v="0"/>
    <n v="0"/>
    <n v="1"/>
    <n v="1"/>
    <s v="Yes"/>
    <x v="0"/>
  </r>
  <r>
    <n v="21780"/>
    <d v="2024-03-11T00:00:00"/>
    <x v="1"/>
    <s v="Bhubaneswar"/>
    <s v="SC_BHU_3"/>
    <x v="2"/>
    <s v="Taycan"/>
    <s v="Sedan"/>
    <x v="1"/>
    <x v="1"/>
    <x v="2"/>
    <x v="0"/>
    <n v="22"/>
    <n v="7"/>
    <x v="0"/>
    <x v="1"/>
    <n v="280913"/>
    <n v="212697"/>
    <n v="68216"/>
    <x v="0"/>
    <n v="280913"/>
    <n v="0"/>
    <n v="0"/>
    <n v="1"/>
    <n v="1"/>
    <s v="Yes"/>
    <x v="0"/>
  </r>
  <r>
    <n v="21781"/>
    <d v="2024-04-03T00:00:00"/>
    <x v="3"/>
    <s v="Ahmedabad"/>
    <s v="SC_AHM_3"/>
    <x v="0"/>
    <s v="Cayenne"/>
    <s v="SUV"/>
    <x v="1"/>
    <x v="1"/>
    <x v="0"/>
    <x v="1"/>
    <n v="17"/>
    <n v="7"/>
    <x v="0"/>
    <x v="0"/>
    <n v="386426"/>
    <n v="272155"/>
    <n v="114271"/>
    <x v="0"/>
    <n v="0"/>
    <n v="1"/>
    <n v="0"/>
    <n v="1"/>
    <n v="1"/>
    <s v="Yes"/>
    <x v="0"/>
  </r>
  <r>
    <n v="21782"/>
    <d v="2024-03-28T00:00:00"/>
    <x v="0"/>
    <s v="Hyderabad"/>
    <s v="SC_HYD_4"/>
    <x v="0"/>
    <s v="Chiron"/>
    <s v="Hypercar"/>
    <x v="1"/>
    <x v="3"/>
    <x v="0"/>
    <x v="1"/>
    <n v="3"/>
    <n v="7"/>
    <x v="0"/>
    <x v="1"/>
    <n v="430460"/>
    <n v="249036"/>
    <n v="181424"/>
    <x v="3"/>
    <n v="430460"/>
    <n v="0"/>
    <n v="0"/>
    <n v="1"/>
    <n v="1"/>
    <s v="No"/>
    <x v="2"/>
  </r>
  <r>
    <n v="21783"/>
    <d v="2024-01-04T00:00:00"/>
    <x v="1"/>
    <s v="Patna"/>
    <s v="SC_PAT_4"/>
    <x v="2"/>
    <s v="Chiron"/>
    <s v="Hypercar"/>
    <x v="0"/>
    <x v="4"/>
    <x v="1"/>
    <x v="0"/>
    <n v="24"/>
    <n v="7"/>
    <x v="0"/>
    <x v="0"/>
    <n v="329601"/>
    <n v="249293"/>
    <n v="80308"/>
    <x v="0"/>
    <n v="0"/>
    <n v="1"/>
    <n v="0"/>
    <n v="1"/>
    <n v="1"/>
    <s v="Yes"/>
    <x v="0"/>
  </r>
  <r>
    <n v="21784"/>
    <d v="2024-04-27T00:00:00"/>
    <x v="1"/>
    <s v="Patna"/>
    <s v="SC_PAT_3"/>
    <x v="0"/>
    <s v="Veyron"/>
    <s v="Hypercar"/>
    <x v="1"/>
    <x v="2"/>
    <x v="2"/>
    <x v="0"/>
    <n v="12"/>
    <n v="7"/>
    <x v="0"/>
    <x v="1"/>
    <n v="446803"/>
    <n v="243440"/>
    <n v="203363"/>
    <x v="1"/>
    <n v="446803"/>
    <n v="0"/>
    <n v="0"/>
    <n v="1"/>
    <n v="1"/>
    <s v="Yes"/>
    <x v="0"/>
  </r>
  <r>
    <n v="21785"/>
    <d v="2024-01-11T00:00:00"/>
    <x v="1"/>
    <s v="Bhubaneswar"/>
    <s v="SC_BHU_4"/>
    <x v="2"/>
    <s v="Cayenne"/>
    <s v="SUV"/>
    <x v="0"/>
    <x v="4"/>
    <x v="2"/>
    <x v="1"/>
    <n v="13"/>
    <n v="7"/>
    <x v="0"/>
    <x v="0"/>
    <n v="115648"/>
    <n v="73708"/>
    <n v="41940"/>
    <x v="1"/>
    <n v="0"/>
    <n v="1"/>
    <n v="0"/>
    <n v="1"/>
    <n v="1"/>
    <s v="Yes"/>
    <x v="0"/>
  </r>
  <r>
    <n v="21786"/>
    <d v="2024-06-08T00:00:00"/>
    <x v="0"/>
    <s v="Hyderabad"/>
    <s v="SC_HYD_2"/>
    <x v="0"/>
    <s v="Taycan"/>
    <s v="Sedan"/>
    <x v="1"/>
    <x v="3"/>
    <x v="2"/>
    <x v="1"/>
    <n v="19"/>
    <n v="7"/>
    <x v="0"/>
    <x v="0"/>
    <n v="310393"/>
    <n v="249034"/>
    <n v="61359"/>
    <x v="0"/>
    <n v="0"/>
    <n v="1"/>
    <n v="0"/>
    <n v="1"/>
    <n v="1"/>
    <s v="Yes"/>
    <x v="0"/>
  </r>
  <r>
    <n v="21787"/>
    <d v="2024-04-29T00:00:00"/>
    <x v="2"/>
    <s v="Noida"/>
    <s v="SC_NOI_4"/>
    <x v="1"/>
    <s v="Cayenne"/>
    <s v="SUV"/>
    <x v="1"/>
    <x v="3"/>
    <x v="1"/>
    <x v="1"/>
    <n v="2"/>
    <n v="7"/>
    <x v="1"/>
    <x v="1"/>
    <n v="241424"/>
    <n v="140183"/>
    <n v="101241"/>
    <x v="4"/>
    <n v="0"/>
    <n v="0"/>
    <n v="1"/>
    <n v="0"/>
    <n v="1"/>
    <s v="No"/>
    <x v="2"/>
  </r>
  <r>
    <n v="21788"/>
    <d v="2024-05-19T00:00:00"/>
    <x v="3"/>
    <s v="Pune"/>
    <s v="SC_PUN_1"/>
    <x v="1"/>
    <s v="Macan"/>
    <s v="SUV"/>
    <x v="0"/>
    <x v="4"/>
    <x v="2"/>
    <x v="0"/>
    <n v="12"/>
    <n v="7"/>
    <x v="1"/>
    <x v="1"/>
    <n v="551382"/>
    <n v="439400"/>
    <n v="111982"/>
    <x v="2"/>
    <n v="0"/>
    <n v="0"/>
    <n v="1"/>
    <n v="0"/>
    <n v="1"/>
    <s v="Yes"/>
    <x v="1"/>
  </r>
  <r>
    <n v="21789"/>
    <d v="2024-05-25T00:00:00"/>
    <x v="3"/>
    <s v="Ahmedabad"/>
    <s v="SC_AHM_2"/>
    <x v="2"/>
    <s v="Chiron"/>
    <s v="Hypercar"/>
    <x v="0"/>
    <x v="1"/>
    <x v="2"/>
    <x v="0"/>
    <n v="5"/>
    <n v="7"/>
    <x v="0"/>
    <x v="1"/>
    <n v="505240"/>
    <n v="401764"/>
    <n v="103476"/>
    <x v="2"/>
    <n v="505240"/>
    <n v="0"/>
    <n v="0"/>
    <n v="1"/>
    <n v="1"/>
    <s v="No"/>
    <x v="1"/>
  </r>
  <r>
    <n v="21790"/>
    <d v="2024-03-16T00:00:00"/>
    <x v="0"/>
    <s v="Hyderabad"/>
    <s v="SC_HYD_2"/>
    <x v="0"/>
    <s v="Veyron"/>
    <s v="Hypercar"/>
    <x v="1"/>
    <x v="1"/>
    <x v="0"/>
    <x v="1"/>
    <n v="25"/>
    <n v="7"/>
    <x v="0"/>
    <x v="1"/>
    <n v="342367"/>
    <n v="267561"/>
    <n v="74806"/>
    <x v="0"/>
    <n v="342367"/>
    <n v="0"/>
    <n v="0"/>
    <n v="1"/>
    <n v="1"/>
    <s v="Yes"/>
    <x v="0"/>
  </r>
  <r>
    <n v="21791"/>
    <d v="2024-01-27T00:00:00"/>
    <x v="2"/>
    <s v="Gurugram"/>
    <s v="SC_GUR_5"/>
    <x v="2"/>
    <s v="Macan"/>
    <s v="SUV"/>
    <x v="0"/>
    <x v="4"/>
    <x v="1"/>
    <x v="1"/>
    <n v="23"/>
    <n v="7"/>
    <x v="1"/>
    <x v="1"/>
    <n v="228016"/>
    <n v="164432"/>
    <n v="63584"/>
    <x v="0"/>
    <n v="0"/>
    <n v="0"/>
    <n v="1"/>
    <n v="0"/>
    <n v="1"/>
    <s v="Yes"/>
    <x v="0"/>
  </r>
  <r>
    <n v="21792"/>
    <d v="2024-04-07T00:00:00"/>
    <x v="2"/>
    <s v="Delhi"/>
    <s v="SC_DEL_5"/>
    <x v="1"/>
    <s v="Macan"/>
    <s v="SUV"/>
    <x v="0"/>
    <x v="0"/>
    <x v="2"/>
    <x v="0"/>
    <n v="22"/>
    <n v="7"/>
    <x v="1"/>
    <x v="1"/>
    <n v="340589"/>
    <n v="186511"/>
    <n v="154078"/>
    <x v="0"/>
    <n v="0"/>
    <n v="0"/>
    <n v="1"/>
    <n v="0"/>
    <n v="1"/>
    <s v="Yes"/>
    <x v="0"/>
  </r>
  <r>
    <n v="21793"/>
    <d v="2024-01-21T00:00:00"/>
    <x v="1"/>
    <s v="Bhubaneswar"/>
    <s v="SC_BHU_4"/>
    <x v="2"/>
    <s v="911"/>
    <s v="Coupe"/>
    <x v="0"/>
    <x v="1"/>
    <x v="1"/>
    <x v="1"/>
    <n v="17"/>
    <n v="7"/>
    <x v="1"/>
    <x v="0"/>
    <n v="418052"/>
    <n v="298988"/>
    <n v="119064"/>
    <x v="1"/>
    <n v="0"/>
    <n v="1"/>
    <n v="1"/>
    <n v="0"/>
    <n v="1"/>
    <s v="Yes"/>
    <x v="0"/>
  </r>
  <r>
    <n v="21794"/>
    <d v="2024-04-08T00:00:00"/>
    <x v="0"/>
    <s v="Hyderabad"/>
    <s v="SC_HYD_5"/>
    <x v="2"/>
    <s v="Chiron"/>
    <s v="Hypercar"/>
    <x v="0"/>
    <x v="2"/>
    <x v="2"/>
    <x v="1"/>
    <n v="23"/>
    <n v="7"/>
    <x v="1"/>
    <x v="1"/>
    <n v="320060"/>
    <n v="210879"/>
    <n v="109181"/>
    <x v="0"/>
    <n v="0"/>
    <n v="0"/>
    <n v="1"/>
    <n v="0"/>
    <n v="1"/>
    <s v="Yes"/>
    <x v="0"/>
  </r>
  <r>
    <n v="21795"/>
    <d v="2024-03-22T00:00:00"/>
    <x v="0"/>
    <s v="Bengaluru"/>
    <s v="SC_BEN_1"/>
    <x v="1"/>
    <s v="Veyron"/>
    <s v="Hypercar"/>
    <x v="0"/>
    <x v="4"/>
    <x v="2"/>
    <x v="0"/>
    <n v="21"/>
    <n v="7"/>
    <x v="1"/>
    <x v="1"/>
    <n v="541189"/>
    <n v="341514"/>
    <n v="199675"/>
    <x v="0"/>
    <n v="0"/>
    <n v="0"/>
    <n v="1"/>
    <n v="0"/>
    <n v="1"/>
    <s v="Yes"/>
    <x v="0"/>
  </r>
  <r>
    <n v="21796"/>
    <d v="2024-03-22T00:00:00"/>
    <x v="3"/>
    <s v="Pune"/>
    <s v="SC_PUN_5"/>
    <x v="1"/>
    <s v="Chiron"/>
    <s v="Hypercar"/>
    <x v="1"/>
    <x v="4"/>
    <x v="1"/>
    <x v="1"/>
    <n v="9"/>
    <n v="7"/>
    <x v="1"/>
    <x v="1"/>
    <n v="235880"/>
    <n v="135396"/>
    <n v="100484"/>
    <x v="3"/>
    <n v="0"/>
    <n v="0"/>
    <n v="1"/>
    <n v="0"/>
    <n v="1"/>
    <s v="Yes"/>
    <x v="2"/>
  </r>
  <r>
    <n v="21797"/>
    <d v="2024-03-02T00:00:00"/>
    <x v="2"/>
    <s v="Gurugram"/>
    <s v="SC_GUR_3"/>
    <x v="1"/>
    <s v="Taycan"/>
    <s v="Sedan"/>
    <x v="1"/>
    <x v="3"/>
    <x v="2"/>
    <x v="1"/>
    <n v="21"/>
    <n v="7"/>
    <x v="0"/>
    <x v="1"/>
    <n v="101501"/>
    <n v="55050"/>
    <n v="46451"/>
    <x v="0"/>
    <n v="101501"/>
    <n v="0"/>
    <n v="0"/>
    <n v="1"/>
    <n v="1"/>
    <s v="Yes"/>
    <x v="0"/>
  </r>
  <r>
    <n v="21798"/>
    <d v="2024-05-29T00:00:00"/>
    <x v="0"/>
    <s v="Chennai"/>
    <s v="SC_CHE_4"/>
    <x v="1"/>
    <s v="Panamera"/>
    <s v="Sedan"/>
    <x v="1"/>
    <x v="2"/>
    <x v="0"/>
    <x v="0"/>
    <n v="6"/>
    <n v="7"/>
    <x v="0"/>
    <x v="1"/>
    <n v="524755"/>
    <n v="426993"/>
    <n v="97762"/>
    <x v="2"/>
    <n v="524755"/>
    <n v="0"/>
    <n v="0"/>
    <n v="1"/>
    <n v="1"/>
    <s v="No"/>
    <x v="1"/>
  </r>
  <r>
    <n v="21799"/>
    <d v="2024-02-28T00:00:00"/>
    <x v="0"/>
    <s v="Hyderabad"/>
    <s v="SC_HYD_2"/>
    <x v="2"/>
    <s v="Panamera"/>
    <s v="Sedan"/>
    <x v="0"/>
    <x v="1"/>
    <x v="0"/>
    <x v="1"/>
    <n v="5"/>
    <n v="7"/>
    <x v="0"/>
    <x v="1"/>
    <n v="94093"/>
    <n v="73412"/>
    <n v="20681"/>
    <x v="2"/>
    <n v="94093"/>
    <n v="0"/>
    <n v="0"/>
    <n v="1"/>
    <n v="1"/>
    <s v="No"/>
    <x v="1"/>
  </r>
  <r>
    <n v="21800"/>
    <d v="2024-06-08T00:00:00"/>
    <x v="1"/>
    <s v="Bhubaneswar"/>
    <s v="SC_BHU_1"/>
    <x v="1"/>
    <s v="Cayenne"/>
    <s v="SUV"/>
    <x v="1"/>
    <x v="0"/>
    <x v="0"/>
    <x v="0"/>
    <n v="22"/>
    <n v="7"/>
    <x v="0"/>
    <x v="1"/>
    <n v="335715"/>
    <n v="178663"/>
    <n v="157052"/>
    <x v="0"/>
    <n v="335715"/>
    <n v="0"/>
    <n v="0"/>
    <n v="1"/>
    <n v="1"/>
    <s v="Yes"/>
    <x v="0"/>
  </r>
  <r>
    <n v="21801"/>
    <d v="2024-06-15T00:00:00"/>
    <x v="0"/>
    <s v="Bengaluru"/>
    <s v="SC_BEN_5"/>
    <x v="1"/>
    <s v="Chiron"/>
    <s v="Hypercar"/>
    <x v="0"/>
    <x v="3"/>
    <x v="2"/>
    <x v="0"/>
    <n v="7"/>
    <n v="7"/>
    <x v="1"/>
    <x v="1"/>
    <n v="298962"/>
    <n v="243260"/>
    <n v="55702"/>
    <x v="3"/>
    <n v="0"/>
    <n v="0"/>
    <n v="1"/>
    <n v="0"/>
    <n v="1"/>
    <s v="No"/>
    <x v="2"/>
  </r>
  <r>
    <n v="21802"/>
    <d v="2024-04-26T00:00:00"/>
    <x v="0"/>
    <s v="Chennai"/>
    <s v="SC_CHE_1"/>
    <x v="1"/>
    <s v="Taycan"/>
    <s v="Sedan"/>
    <x v="0"/>
    <x v="4"/>
    <x v="1"/>
    <x v="0"/>
    <n v="11"/>
    <n v="7"/>
    <x v="1"/>
    <x v="1"/>
    <n v="599701"/>
    <n v="424480"/>
    <n v="175221"/>
    <x v="2"/>
    <n v="0"/>
    <n v="0"/>
    <n v="1"/>
    <n v="0"/>
    <n v="1"/>
    <s v="Yes"/>
    <x v="1"/>
  </r>
  <r>
    <n v="21803"/>
    <d v="2024-01-24T00:00:00"/>
    <x v="3"/>
    <s v="Ahmedabad"/>
    <s v="SC_AHM_4"/>
    <x v="2"/>
    <s v="Panamera"/>
    <s v="Sedan"/>
    <x v="1"/>
    <x v="0"/>
    <x v="0"/>
    <x v="0"/>
    <n v="11"/>
    <n v="7"/>
    <x v="0"/>
    <x v="0"/>
    <n v="505850"/>
    <n v="371400"/>
    <n v="134450"/>
    <x v="1"/>
    <n v="0"/>
    <n v="1"/>
    <n v="0"/>
    <n v="1"/>
    <n v="1"/>
    <s v="Yes"/>
    <x v="0"/>
  </r>
  <r>
    <n v="21804"/>
    <d v="2024-02-19T00:00:00"/>
    <x v="2"/>
    <s v="Gurugram"/>
    <s v="SC_GUR_4"/>
    <x v="0"/>
    <s v="Chiron"/>
    <s v="Hypercar"/>
    <x v="0"/>
    <x v="4"/>
    <x v="0"/>
    <x v="0"/>
    <n v="4"/>
    <n v="7"/>
    <x v="1"/>
    <x v="1"/>
    <n v="566636"/>
    <n v="454729"/>
    <n v="111907"/>
    <x v="4"/>
    <n v="0"/>
    <n v="0"/>
    <n v="1"/>
    <n v="0"/>
    <n v="1"/>
    <s v="No"/>
    <x v="2"/>
  </r>
  <r>
    <n v="21805"/>
    <d v="2024-04-19T00:00:00"/>
    <x v="2"/>
    <s v="Gurugram"/>
    <s v="SC_GUR_2"/>
    <x v="2"/>
    <s v="911"/>
    <s v="Coupe"/>
    <x v="0"/>
    <x v="4"/>
    <x v="2"/>
    <x v="0"/>
    <n v="23"/>
    <n v="7"/>
    <x v="1"/>
    <x v="0"/>
    <n v="193753"/>
    <n v="112325"/>
    <n v="81428"/>
    <x v="0"/>
    <n v="0"/>
    <n v="1"/>
    <n v="1"/>
    <n v="0"/>
    <n v="1"/>
    <s v="Yes"/>
    <x v="0"/>
  </r>
  <r>
    <n v="21806"/>
    <d v="2024-05-25T00:00:00"/>
    <x v="3"/>
    <s v="Pune"/>
    <s v="SC_PUN_3"/>
    <x v="1"/>
    <s v="Veyron"/>
    <s v="Hypercar"/>
    <x v="0"/>
    <x v="2"/>
    <x v="1"/>
    <x v="1"/>
    <n v="17"/>
    <n v="7"/>
    <x v="1"/>
    <x v="1"/>
    <n v="225068"/>
    <n v="177081"/>
    <n v="47987"/>
    <x v="1"/>
    <n v="0"/>
    <n v="0"/>
    <n v="1"/>
    <n v="0"/>
    <n v="1"/>
    <s v="Yes"/>
    <x v="0"/>
  </r>
  <r>
    <n v="21807"/>
    <d v="2024-01-06T00:00:00"/>
    <x v="0"/>
    <s v="Bengaluru"/>
    <s v="SC_BEN_1"/>
    <x v="2"/>
    <s v="Veyron"/>
    <s v="Hypercar"/>
    <x v="1"/>
    <x v="2"/>
    <x v="2"/>
    <x v="0"/>
    <n v="22"/>
    <n v="7"/>
    <x v="0"/>
    <x v="1"/>
    <n v="570903"/>
    <n v="378871"/>
    <n v="192032"/>
    <x v="0"/>
    <n v="570903"/>
    <n v="0"/>
    <n v="0"/>
    <n v="1"/>
    <n v="1"/>
    <s v="Yes"/>
    <x v="0"/>
  </r>
  <r>
    <n v="21808"/>
    <d v="2024-06-28T00:00:00"/>
    <x v="2"/>
    <s v="Delhi"/>
    <s v="SC_DEL_2"/>
    <x v="0"/>
    <s v="Cayenne"/>
    <s v="SUV"/>
    <x v="0"/>
    <x v="0"/>
    <x v="2"/>
    <x v="0"/>
    <n v="12"/>
    <n v="7"/>
    <x v="1"/>
    <x v="1"/>
    <n v="577613"/>
    <n v="447494"/>
    <n v="130119"/>
    <x v="2"/>
    <n v="0"/>
    <n v="0"/>
    <n v="1"/>
    <n v="0"/>
    <n v="1"/>
    <s v="Yes"/>
    <x v="1"/>
  </r>
  <r>
    <n v="21809"/>
    <d v="2024-03-12T00:00:00"/>
    <x v="1"/>
    <s v="Bhubaneswar"/>
    <s v="SC_BHU_4"/>
    <x v="0"/>
    <s v="Cayenne"/>
    <s v="SUV"/>
    <x v="0"/>
    <x v="1"/>
    <x v="0"/>
    <x v="1"/>
    <n v="13"/>
    <n v="7"/>
    <x v="0"/>
    <x v="1"/>
    <n v="454152"/>
    <n v="280689"/>
    <n v="173463"/>
    <x v="1"/>
    <n v="454152"/>
    <n v="0"/>
    <n v="0"/>
    <n v="1"/>
    <n v="1"/>
    <s v="Yes"/>
    <x v="0"/>
  </r>
  <r>
    <n v="21810"/>
    <d v="2024-06-25T00:00:00"/>
    <x v="0"/>
    <s v="Chennai"/>
    <s v="SC_CHE_2"/>
    <x v="0"/>
    <s v="Panamera"/>
    <s v="Sedan"/>
    <x v="1"/>
    <x v="4"/>
    <x v="1"/>
    <x v="0"/>
    <n v="18"/>
    <n v="7"/>
    <x v="1"/>
    <x v="1"/>
    <n v="240526"/>
    <n v="145029"/>
    <n v="95497"/>
    <x v="1"/>
    <n v="0"/>
    <n v="0"/>
    <n v="1"/>
    <n v="0"/>
    <n v="1"/>
    <s v="Yes"/>
    <x v="0"/>
  </r>
  <r>
    <n v="21811"/>
    <d v="2024-01-05T00:00:00"/>
    <x v="1"/>
    <s v="Patna"/>
    <s v="SC_PAT_3"/>
    <x v="0"/>
    <s v="Chiron"/>
    <s v="Hypercar"/>
    <x v="1"/>
    <x v="1"/>
    <x v="2"/>
    <x v="0"/>
    <n v="11"/>
    <n v="7"/>
    <x v="0"/>
    <x v="1"/>
    <n v="131449"/>
    <n v="86935"/>
    <n v="44514"/>
    <x v="1"/>
    <n v="131449"/>
    <n v="0"/>
    <n v="0"/>
    <n v="1"/>
    <n v="1"/>
    <s v="Yes"/>
    <x v="0"/>
  </r>
  <r>
    <n v="21812"/>
    <d v="2024-03-13T00:00:00"/>
    <x v="3"/>
    <s v="Ahmedabad"/>
    <s v="SC_AHM_4"/>
    <x v="2"/>
    <s v="Taycan"/>
    <s v="Sedan"/>
    <x v="1"/>
    <x v="0"/>
    <x v="1"/>
    <x v="1"/>
    <n v="25"/>
    <n v="7"/>
    <x v="1"/>
    <x v="1"/>
    <n v="430897"/>
    <n v="291839"/>
    <n v="139058"/>
    <x v="0"/>
    <n v="0"/>
    <n v="0"/>
    <n v="1"/>
    <n v="0"/>
    <n v="1"/>
    <s v="Yes"/>
    <x v="0"/>
  </r>
  <r>
    <n v="21813"/>
    <d v="2024-05-12T00:00:00"/>
    <x v="0"/>
    <s v="Hyderabad"/>
    <s v="SC_HYD_1"/>
    <x v="2"/>
    <s v="Cayenne"/>
    <s v="SUV"/>
    <x v="0"/>
    <x v="4"/>
    <x v="0"/>
    <x v="0"/>
    <n v="19"/>
    <n v="7"/>
    <x v="0"/>
    <x v="1"/>
    <n v="288257"/>
    <n v="184498"/>
    <n v="103759"/>
    <x v="0"/>
    <n v="288257"/>
    <n v="0"/>
    <n v="0"/>
    <n v="1"/>
    <n v="1"/>
    <s v="Yes"/>
    <x v="0"/>
  </r>
  <r>
    <n v="21814"/>
    <d v="2024-05-11T00:00:00"/>
    <x v="3"/>
    <s v="Pune"/>
    <s v="SC_PUN_1"/>
    <x v="0"/>
    <s v="Panamera"/>
    <s v="Sedan"/>
    <x v="1"/>
    <x v="3"/>
    <x v="2"/>
    <x v="0"/>
    <n v="25"/>
    <n v="7"/>
    <x v="1"/>
    <x v="1"/>
    <n v="254665"/>
    <n v="216436"/>
    <n v="38229"/>
    <x v="0"/>
    <n v="0"/>
    <n v="0"/>
    <n v="1"/>
    <n v="0"/>
    <n v="1"/>
    <s v="Yes"/>
    <x v="0"/>
  </r>
  <r>
    <n v="21815"/>
    <d v="2024-02-29T00:00:00"/>
    <x v="1"/>
    <s v="Bhubaneswar"/>
    <s v="SC_BHU_5"/>
    <x v="2"/>
    <s v="Chiron"/>
    <s v="Hypercar"/>
    <x v="0"/>
    <x v="2"/>
    <x v="2"/>
    <x v="1"/>
    <n v="23"/>
    <n v="7"/>
    <x v="1"/>
    <x v="1"/>
    <n v="357923"/>
    <n v="298099"/>
    <n v="59824"/>
    <x v="0"/>
    <n v="0"/>
    <n v="0"/>
    <n v="1"/>
    <n v="0"/>
    <n v="1"/>
    <s v="Yes"/>
    <x v="0"/>
  </r>
  <r>
    <n v="21816"/>
    <d v="2024-02-26T00:00:00"/>
    <x v="3"/>
    <s v="Mumbai"/>
    <s v="SC_MUM_5"/>
    <x v="0"/>
    <s v="Panamera"/>
    <s v="Sedan"/>
    <x v="1"/>
    <x v="4"/>
    <x v="2"/>
    <x v="0"/>
    <n v="18"/>
    <n v="7"/>
    <x v="0"/>
    <x v="1"/>
    <n v="292422"/>
    <n v="205172"/>
    <n v="87250"/>
    <x v="0"/>
    <n v="292422"/>
    <n v="0"/>
    <n v="0"/>
    <n v="1"/>
    <n v="1"/>
    <s v="Yes"/>
    <x v="0"/>
  </r>
  <r>
    <n v="21817"/>
    <d v="2024-03-11T00:00:00"/>
    <x v="1"/>
    <s v="Kolkata"/>
    <s v="SC_KOL_2"/>
    <x v="2"/>
    <s v="Chiron"/>
    <s v="Hypercar"/>
    <x v="1"/>
    <x v="3"/>
    <x v="0"/>
    <x v="1"/>
    <n v="24"/>
    <n v="7"/>
    <x v="0"/>
    <x v="1"/>
    <n v="485297"/>
    <n v="336611"/>
    <n v="148686"/>
    <x v="0"/>
    <n v="485297"/>
    <n v="0"/>
    <n v="0"/>
    <n v="1"/>
    <n v="1"/>
    <s v="Yes"/>
    <x v="0"/>
  </r>
  <r>
    <n v="21818"/>
    <d v="2024-03-12T00:00:00"/>
    <x v="2"/>
    <s v="Delhi"/>
    <s v="SC_DEL_3"/>
    <x v="2"/>
    <s v="Panamera"/>
    <s v="Sedan"/>
    <x v="0"/>
    <x v="2"/>
    <x v="2"/>
    <x v="1"/>
    <n v="14"/>
    <n v="7"/>
    <x v="1"/>
    <x v="1"/>
    <n v="149637"/>
    <n v="113196"/>
    <n v="36441"/>
    <x v="2"/>
    <n v="0"/>
    <n v="0"/>
    <n v="1"/>
    <n v="0"/>
    <n v="1"/>
    <s v="Yes"/>
    <x v="1"/>
  </r>
  <r>
    <n v="21819"/>
    <d v="2024-02-13T00:00:00"/>
    <x v="3"/>
    <s v="Mumbai"/>
    <s v="SC_MUM_5"/>
    <x v="2"/>
    <s v="Veyron"/>
    <s v="Hypercar"/>
    <x v="1"/>
    <x v="1"/>
    <x v="1"/>
    <x v="0"/>
    <n v="14"/>
    <n v="7"/>
    <x v="0"/>
    <x v="0"/>
    <n v="98176"/>
    <n v="81555"/>
    <n v="16621"/>
    <x v="1"/>
    <n v="0"/>
    <n v="1"/>
    <n v="0"/>
    <n v="1"/>
    <n v="1"/>
    <s v="Yes"/>
    <x v="0"/>
  </r>
  <r>
    <n v="21820"/>
    <d v="2024-06-26T00:00:00"/>
    <x v="3"/>
    <s v="Ahmedabad"/>
    <s v="SC_AHM_2"/>
    <x v="2"/>
    <s v="Panamera"/>
    <s v="Sedan"/>
    <x v="1"/>
    <x v="2"/>
    <x v="1"/>
    <x v="0"/>
    <n v="7"/>
    <n v="7"/>
    <x v="0"/>
    <x v="1"/>
    <n v="180008"/>
    <n v="105266"/>
    <n v="74742"/>
    <x v="2"/>
    <n v="180008"/>
    <n v="0"/>
    <n v="0"/>
    <n v="1"/>
    <n v="1"/>
    <s v="No"/>
    <x v="1"/>
  </r>
  <r>
    <n v="21821"/>
    <d v="2024-05-18T00:00:00"/>
    <x v="1"/>
    <s v="Kolkata"/>
    <s v="SC_KOL_1"/>
    <x v="1"/>
    <s v="Chiron"/>
    <s v="Hypercar"/>
    <x v="0"/>
    <x v="4"/>
    <x v="1"/>
    <x v="0"/>
    <n v="4"/>
    <n v="7"/>
    <x v="1"/>
    <x v="1"/>
    <n v="424298"/>
    <n v="311464"/>
    <n v="112834"/>
    <x v="4"/>
    <n v="0"/>
    <n v="0"/>
    <n v="1"/>
    <n v="0"/>
    <n v="1"/>
    <s v="No"/>
    <x v="2"/>
  </r>
  <r>
    <n v="21822"/>
    <d v="2024-02-11T00:00:00"/>
    <x v="1"/>
    <s v="Kolkata"/>
    <s v="SC_KOL_4"/>
    <x v="0"/>
    <s v="Taycan"/>
    <s v="Sedan"/>
    <x v="0"/>
    <x v="3"/>
    <x v="0"/>
    <x v="0"/>
    <n v="14"/>
    <n v="7"/>
    <x v="0"/>
    <x v="0"/>
    <n v="500352"/>
    <n v="256478"/>
    <n v="243874"/>
    <x v="1"/>
    <n v="0"/>
    <n v="1"/>
    <n v="0"/>
    <n v="1"/>
    <n v="1"/>
    <s v="Yes"/>
    <x v="0"/>
  </r>
  <r>
    <n v="21823"/>
    <d v="2024-01-12T00:00:00"/>
    <x v="0"/>
    <s v="Chennai"/>
    <s v="SC_CHE_5"/>
    <x v="2"/>
    <s v="Taycan"/>
    <s v="Sedan"/>
    <x v="0"/>
    <x v="4"/>
    <x v="1"/>
    <x v="0"/>
    <n v="24"/>
    <n v="7"/>
    <x v="1"/>
    <x v="1"/>
    <n v="580520"/>
    <n v="360818"/>
    <n v="219702"/>
    <x v="0"/>
    <n v="0"/>
    <n v="0"/>
    <n v="1"/>
    <n v="0"/>
    <n v="1"/>
    <s v="Yes"/>
    <x v="0"/>
  </r>
  <r>
    <n v="21824"/>
    <d v="2024-04-18T00:00:00"/>
    <x v="0"/>
    <s v="Hyderabad"/>
    <s v="SC_HYD_5"/>
    <x v="0"/>
    <s v="Chiron"/>
    <s v="Hypercar"/>
    <x v="0"/>
    <x v="2"/>
    <x v="2"/>
    <x v="1"/>
    <n v="20"/>
    <n v="7"/>
    <x v="1"/>
    <x v="1"/>
    <n v="278962"/>
    <n v="154098"/>
    <n v="124864"/>
    <x v="0"/>
    <n v="0"/>
    <n v="0"/>
    <n v="1"/>
    <n v="0"/>
    <n v="1"/>
    <s v="Yes"/>
    <x v="0"/>
  </r>
  <r>
    <n v="21825"/>
    <d v="2024-04-01T00:00:00"/>
    <x v="2"/>
    <s v="Gurugram"/>
    <s v="SC_GUR_2"/>
    <x v="2"/>
    <s v="Cayenne"/>
    <s v="SUV"/>
    <x v="1"/>
    <x v="1"/>
    <x v="0"/>
    <x v="0"/>
    <n v="10"/>
    <n v="7"/>
    <x v="1"/>
    <x v="1"/>
    <n v="159513"/>
    <n v="95973"/>
    <n v="63540"/>
    <x v="2"/>
    <n v="0"/>
    <n v="0"/>
    <n v="1"/>
    <n v="0"/>
    <n v="1"/>
    <s v="Yes"/>
    <x v="1"/>
  </r>
  <r>
    <n v="21826"/>
    <d v="2024-04-22T00:00:00"/>
    <x v="2"/>
    <s v="Noida"/>
    <s v="SC_NOI_2"/>
    <x v="1"/>
    <s v="Panamera"/>
    <s v="Sedan"/>
    <x v="1"/>
    <x v="1"/>
    <x v="0"/>
    <x v="0"/>
    <n v="18"/>
    <n v="7"/>
    <x v="0"/>
    <x v="0"/>
    <n v="292253"/>
    <n v="242855"/>
    <n v="49398"/>
    <x v="0"/>
    <n v="0"/>
    <n v="1"/>
    <n v="0"/>
    <n v="1"/>
    <n v="1"/>
    <s v="Yes"/>
    <x v="0"/>
  </r>
  <r>
    <n v="21827"/>
    <d v="2024-05-09T00:00:00"/>
    <x v="0"/>
    <s v="Bengaluru"/>
    <s v="SC_BEN_3"/>
    <x v="0"/>
    <s v="911"/>
    <s v="Coupe"/>
    <x v="0"/>
    <x v="2"/>
    <x v="2"/>
    <x v="0"/>
    <n v="3"/>
    <n v="7"/>
    <x v="1"/>
    <x v="1"/>
    <n v="324940"/>
    <n v="261302"/>
    <n v="63638"/>
    <x v="4"/>
    <n v="0"/>
    <n v="0"/>
    <n v="1"/>
    <n v="0"/>
    <n v="1"/>
    <s v="No"/>
    <x v="2"/>
  </r>
  <r>
    <n v="21828"/>
    <d v="2024-01-14T00:00:00"/>
    <x v="2"/>
    <s v="Delhi"/>
    <s v="SC_DEL_5"/>
    <x v="2"/>
    <s v="Taycan"/>
    <s v="Sedan"/>
    <x v="0"/>
    <x v="0"/>
    <x v="1"/>
    <x v="0"/>
    <n v="7"/>
    <n v="7"/>
    <x v="0"/>
    <x v="1"/>
    <n v="594793"/>
    <n v="377388"/>
    <n v="217405"/>
    <x v="2"/>
    <n v="594793"/>
    <n v="0"/>
    <n v="0"/>
    <n v="1"/>
    <n v="1"/>
    <s v="No"/>
    <x v="1"/>
  </r>
  <r>
    <n v="21829"/>
    <d v="2024-03-28T00:00:00"/>
    <x v="2"/>
    <s v="Gurugram"/>
    <s v="SC_GUR_4"/>
    <x v="2"/>
    <s v="Macan"/>
    <s v="SUV"/>
    <x v="1"/>
    <x v="4"/>
    <x v="1"/>
    <x v="0"/>
    <n v="14"/>
    <n v="7"/>
    <x v="0"/>
    <x v="1"/>
    <n v="345484"/>
    <n v="226683"/>
    <n v="118801"/>
    <x v="1"/>
    <n v="345484"/>
    <n v="0"/>
    <n v="0"/>
    <n v="1"/>
    <n v="1"/>
    <s v="Yes"/>
    <x v="0"/>
  </r>
  <r>
    <n v="21830"/>
    <d v="2024-02-13T00:00:00"/>
    <x v="0"/>
    <s v="Bengaluru"/>
    <s v="SC_BEN_1"/>
    <x v="2"/>
    <s v="Chiron"/>
    <s v="Hypercar"/>
    <x v="0"/>
    <x v="1"/>
    <x v="1"/>
    <x v="1"/>
    <n v="22"/>
    <n v="7"/>
    <x v="1"/>
    <x v="1"/>
    <n v="95428"/>
    <n v="63602"/>
    <n v="31826"/>
    <x v="0"/>
    <n v="0"/>
    <n v="0"/>
    <n v="1"/>
    <n v="0"/>
    <n v="1"/>
    <s v="Yes"/>
    <x v="0"/>
  </r>
  <r>
    <n v="21831"/>
    <d v="2024-04-05T00:00:00"/>
    <x v="3"/>
    <s v="Mumbai"/>
    <s v="SC_MUM_1"/>
    <x v="1"/>
    <s v="Chiron"/>
    <s v="Hypercar"/>
    <x v="0"/>
    <x v="1"/>
    <x v="2"/>
    <x v="0"/>
    <n v="4"/>
    <n v="7"/>
    <x v="0"/>
    <x v="1"/>
    <n v="217393"/>
    <n v="143813"/>
    <n v="73580"/>
    <x v="3"/>
    <n v="217393"/>
    <n v="0"/>
    <n v="0"/>
    <n v="1"/>
    <n v="1"/>
    <s v="No"/>
    <x v="2"/>
  </r>
  <r>
    <n v="21832"/>
    <d v="2024-06-02T00:00:00"/>
    <x v="0"/>
    <s v="Hyderabad"/>
    <s v="SC_HYD_5"/>
    <x v="0"/>
    <s v="Macan"/>
    <s v="SUV"/>
    <x v="0"/>
    <x v="1"/>
    <x v="2"/>
    <x v="1"/>
    <n v="18"/>
    <n v="7"/>
    <x v="1"/>
    <x v="1"/>
    <n v="591778"/>
    <n v="468010"/>
    <n v="123768"/>
    <x v="1"/>
    <n v="0"/>
    <n v="0"/>
    <n v="1"/>
    <n v="0"/>
    <n v="1"/>
    <s v="Yes"/>
    <x v="0"/>
  </r>
  <r>
    <n v="21833"/>
    <d v="2024-05-05T00:00:00"/>
    <x v="0"/>
    <s v="Bengaluru"/>
    <s v="SC_BEN_1"/>
    <x v="2"/>
    <s v="Macan"/>
    <s v="SUV"/>
    <x v="1"/>
    <x v="0"/>
    <x v="1"/>
    <x v="0"/>
    <n v="5"/>
    <n v="7"/>
    <x v="1"/>
    <x v="1"/>
    <n v="246330"/>
    <n v="191642"/>
    <n v="54688"/>
    <x v="3"/>
    <n v="0"/>
    <n v="0"/>
    <n v="1"/>
    <n v="0"/>
    <n v="1"/>
    <s v="No"/>
    <x v="2"/>
  </r>
  <r>
    <n v="21834"/>
    <d v="2024-01-21T00:00:00"/>
    <x v="3"/>
    <s v="Pune"/>
    <s v="SC_PUN_4"/>
    <x v="0"/>
    <s v="Macan"/>
    <s v="SUV"/>
    <x v="1"/>
    <x v="2"/>
    <x v="0"/>
    <x v="0"/>
    <n v="2"/>
    <n v="7"/>
    <x v="1"/>
    <x v="0"/>
    <n v="366064"/>
    <n v="224932"/>
    <n v="141132"/>
    <x v="4"/>
    <n v="0"/>
    <n v="1"/>
    <n v="1"/>
    <n v="0"/>
    <n v="1"/>
    <s v="No"/>
    <x v="2"/>
  </r>
  <r>
    <n v="21835"/>
    <d v="2024-04-06T00:00:00"/>
    <x v="1"/>
    <s v="Kolkata"/>
    <s v="SC_KOL_4"/>
    <x v="2"/>
    <s v="Taycan"/>
    <s v="Sedan"/>
    <x v="1"/>
    <x v="3"/>
    <x v="1"/>
    <x v="0"/>
    <n v="4"/>
    <n v="7"/>
    <x v="1"/>
    <x v="1"/>
    <n v="562319"/>
    <n v="382740"/>
    <n v="179579"/>
    <x v="4"/>
    <n v="0"/>
    <n v="0"/>
    <n v="1"/>
    <n v="0"/>
    <n v="1"/>
    <s v="No"/>
    <x v="2"/>
  </r>
  <r>
    <n v="21836"/>
    <d v="2024-02-06T00:00:00"/>
    <x v="1"/>
    <s v="Patna"/>
    <s v="SC_PAT_4"/>
    <x v="2"/>
    <s v="911"/>
    <s v="Coupe"/>
    <x v="0"/>
    <x v="0"/>
    <x v="0"/>
    <x v="1"/>
    <n v="7"/>
    <n v="7"/>
    <x v="1"/>
    <x v="0"/>
    <n v="197959"/>
    <n v="121554"/>
    <n v="76405"/>
    <x v="3"/>
    <n v="0"/>
    <n v="1"/>
    <n v="1"/>
    <n v="0"/>
    <n v="1"/>
    <s v="No"/>
    <x v="2"/>
  </r>
  <r>
    <n v="21837"/>
    <d v="2024-04-20T00:00:00"/>
    <x v="0"/>
    <s v="Bengaluru"/>
    <s v="SC_BEN_1"/>
    <x v="0"/>
    <s v="Veyron"/>
    <s v="Hypercar"/>
    <x v="1"/>
    <x v="1"/>
    <x v="1"/>
    <x v="1"/>
    <n v="15"/>
    <n v="7"/>
    <x v="0"/>
    <x v="1"/>
    <n v="502078"/>
    <n v="401653"/>
    <n v="100425"/>
    <x v="0"/>
    <n v="502078"/>
    <n v="0"/>
    <n v="0"/>
    <n v="1"/>
    <n v="1"/>
    <s v="Yes"/>
    <x v="0"/>
  </r>
  <r>
    <n v="21838"/>
    <d v="2024-04-08T00:00:00"/>
    <x v="2"/>
    <s v="Delhi"/>
    <s v="SC_DEL_3"/>
    <x v="2"/>
    <s v="Taycan"/>
    <s v="Sedan"/>
    <x v="1"/>
    <x v="0"/>
    <x v="0"/>
    <x v="1"/>
    <n v="13"/>
    <n v="7"/>
    <x v="0"/>
    <x v="1"/>
    <n v="351580"/>
    <n v="255401"/>
    <n v="96179"/>
    <x v="1"/>
    <n v="351580"/>
    <n v="0"/>
    <n v="0"/>
    <n v="1"/>
    <n v="1"/>
    <s v="Yes"/>
    <x v="0"/>
  </r>
  <r>
    <n v="21839"/>
    <d v="2024-06-07T00:00:00"/>
    <x v="0"/>
    <s v="Bengaluru"/>
    <s v="SC_BEN_4"/>
    <x v="2"/>
    <s v="Panamera"/>
    <s v="Sedan"/>
    <x v="1"/>
    <x v="1"/>
    <x v="1"/>
    <x v="0"/>
    <n v="5"/>
    <n v="7"/>
    <x v="0"/>
    <x v="1"/>
    <n v="160791"/>
    <n v="90318"/>
    <n v="70473"/>
    <x v="2"/>
    <n v="160791"/>
    <n v="0"/>
    <n v="0"/>
    <n v="1"/>
    <n v="1"/>
    <s v="No"/>
    <x v="1"/>
  </r>
  <r>
    <n v="21840"/>
    <d v="2024-06-15T00:00:00"/>
    <x v="1"/>
    <s v="Bhubaneswar"/>
    <s v="SC_BHU_5"/>
    <x v="0"/>
    <s v="Cayenne"/>
    <s v="SUV"/>
    <x v="1"/>
    <x v="0"/>
    <x v="2"/>
    <x v="1"/>
    <n v="23"/>
    <n v="7"/>
    <x v="0"/>
    <x v="0"/>
    <n v="497368"/>
    <n v="404320"/>
    <n v="93048"/>
    <x v="0"/>
    <n v="0"/>
    <n v="1"/>
    <n v="0"/>
    <n v="1"/>
    <n v="1"/>
    <s v="Yes"/>
    <x v="0"/>
  </r>
  <r>
    <n v="21841"/>
    <d v="2024-03-08T00:00:00"/>
    <x v="2"/>
    <s v="Delhi"/>
    <s v="SC_DEL_5"/>
    <x v="2"/>
    <s v="Macan"/>
    <s v="SUV"/>
    <x v="1"/>
    <x v="1"/>
    <x v="2"/>
    <x v="0"/>
    <n v="14"/>
    <n v="7"/>
    <x v="0"/>
    <x v="0"/>
    <n v="318262"/>
    <n v="172204"/>
    <n v="146058"/>
    <x v="1"/>
    <n v="0"/>
    <n v="1"/>
    <n v="0"/>
    <n v="1"/>
    <n v="1"/>
    <s v="Yes"/>
    <x v="0"/>
  </r>
  <r>
    <n v="21842"/>
    <d v="2024-01-04T00:00:00"/>
    <x v="2"/>
    <s v="Gurugram"/>
    <s v="SC_GUR_4"/>
    <x v="2"/>
    <s v="Macan"/>
    <s v="SUV"/>
    <x v="1"/>
    <x v="2"/>
    <x v="0"/>
    <x v="1"/>
    <n v="12"/>
    <n v="7"/>
    <x v="0"/>
    <x v="1"/>
    <n v="267490"/>
    <n v="165815"/>
    <n v="101675"/>
    <x v="1"/>
    <n v="267490"/>
    <n v="0"/>
    <n v="0"/>
    <n v="1"/>
    <n v="1"/>
    <s v="Yes"/>
    <x v="0"/>
  </r>
  <r>
    <n v="21843"/>
    <d v="2024-03-17T00:00:00"/>
    <x v="3"/>
    <s v="Mumbai"/>
    <s v="SC_MUM_5"/>
    <x v="1"/>
    <s v="Cayenne"/>
    <s v="SUV"/>
    <x v="1"/>
    <x v="0"/>
    <x v="0"/>
    <x v="1"/>
    <n v="15"/>
    <n v="7"/>
    <x v="0"/>
    <x v="1"/>
    <n v="376801"/>
    <n v="258550"/>
    <n v="118251"/>
    <x v="0"/>
    <n v="376801"/>
    <n v="0"/>
    <n v="0"/>
    <n v="1"/>
    <n v="1"/>
    <s v="Yes"/>
    <x v="0"/>
  </r>
  <r>
    <n v="21844"/>
    <d v="2024-01-02T00:00:00"/>
    <x v="2"/>
    <s v="Gurugram"/>
    <s v="SC_GUR_2"/>
    <x v="2"/>
    <s v="Macan"/>
    <s v="SUV"/>
    <x v="0"/>
    <x v="1"/>
    <x v="0"/>
    <x v="0"/>
    <n v="18"/>
    <n v="7"/>
    <x v="0"/>
    <x v="1"/>
    <n v="147294"/>
    <n v="101606"/>
    <n v="45688"/>
    <x v="0"/>
    <n v="147294"/>
    <n v="0"/>
    <n v="0"/>
    <n v="1"/>
    <n v="1"/>
    <s v="Yes"/>
    <x v="0"/>
  </r>
  <r>
    <n v="21845"/>
    <d v="2024-05-30T00:00:00"/>
    <x v="1"/>
    <s v="Bhubaneswar"/>
    <s v="SC_BHU_1"/>
    <x v="2"/>
    <s v="Taycan"/>
    <s v="Sedan"/>
    <x v="0"/>
    <x v="0"/>
    <x v="0"/>
    <x v="1"/>
    <n v="22"/>
    <n v="7"/>
    <x v="0"/>
    <x v="1"/>
    <n v="152491"/>
    <n v="77200"/>
    <n v="75291"/>
    <x v="0"/>
    <n v="152491"/>
    <n v="0"/>
    <n v="0"/>
    <n v="1"/>
    <n v="1"/>
    <s v="Yes"/>
    <x v="0"/>
  </r>
  <r>
    <n v="21846"/>
    <d v="2024-02-09T00:00:00"/>
    <x v="3"/>
    <s v="Ahmedabad"/>
    <s v="SC_AHM_3"/>
    <x v="0"/>
    <s v="Chiron"/>
    <s v="Hypercar"/>
    <x v="0"/>
    <x v="4"/>
    <x v="1"/>
    <x v="1"/>
    <n v="19"/>
    <n v="7"/>
    <x v="0"/>
    <x v="0"/>
    <n v="127302"/>
    <n v="76507"/>
    <n v="50795"/>
    <x v="0"/>
    <n v="0"/>
    <n v="1"/>
    <n v="0"/>
    <n v="1"/>
    <n v="1"/>
    <s v="Yes"/>
    <x v="0"/>
  </r>
  <r>
    <n v="21847"/>
    <d v="2024-04-24T00:00:00"/>
    <x v="1"/>
    <s v="Patna"/>
    <s v="SC_PAT_4"/>
    <x v="2"/>
    <s v="Veyron"/>
    <s v="Hypercar"/>
    <x v="0"/>
    <x v="2"/>
    <x v="1"/>
    <x v="0"/>
    <n v="11"/>
    <n v="7"/>
    <x v="0"/>
    <x v="0"/>
    <n v="549290"/>
    <n v="454163"/>
    <n v="95127"/>
    <x v="1"/>
    <n v="0"/>
    <n v="1"/>
    <n v="0"/>
    <n v="1"/>
    <n v="1"/>
    <s v="Yes"/>
    <x v="0"/>
  </r>
  <r>
    <n v="21848"/>
    <d v="2024-02-11T00:00:00"/>
    <x v="0"/>
    <s v="Chennai"/>
    <s v="SC_CHE_5"/>
    <x v="1"/>
    <s v="Panamera"/>
    <s v="Sedan"/>
    <x v="0"/>
    <x v="4"/>
    <x v="2"/>
    <x v="1"/>
    <n v="24"/>
    <n v="7"/>
    <x v="1"/>
    <x v="1"/>
    <n v="164579"/>
    <n v="113995"/>
    <n v="50584"/>
    <x v="0"/>
    <n v="0"/>
    <n v="0"/>
    <n v="1"/>
    <n v="0"/>
    <n v="1"/>
    <s v="Yes"/>
    <x v="0"/>
  </r>
  <r>
    <n v="21849"/>
    <d v="2024-01-24T00:00:00"/>
    <x v="3"/>
    <s v="Ahmedabad"/>
    <s v="SC_AHM_3"/>
    <x v="0"/>
    <s v="Macan"/>
    <s v="SUV"/>
    <x v="0"/>
    <x v="4"/>
    <x v="0"/>
    <x v="1"/>
    <n v="13"/>
    <n v="7"/>
    <x v="0"/>
    <x v="0"/>
    <n v="573092"/>
    <n v="370129"/>
    <n v="202963"/>
    <x v="1"/>
    <n v="0"/>
    <n v="1"/>
    <n v="0"/>
    <n v="1"/>
    <n v="1"/>
    <s v="Yes"/>
    <x v="0"/>
  </r>
  <r>
    <n v="21850"/>
    <d v="2024-05-30T00:00:00"/>
    <x v="0"/>
    <s v="Hyderabad"/>
    <s v="SC_HYD_2"/>
    <x v="0"/>
    <s v="Veyron"/>
    <s v="Hypercar"/>
    <x v="0"/>
    <x v="4"/>
    <x v="1"/>
    <x v="1"/>
    <n v="6"/>
    <n v="7"/>
    <x v="0"/>
    <x v="1"/>
    <n v="421271"/>
    <n v="254552"/>
    <n v="166719"/>
    <x v="2"/>
    <n v="421271"/>
    <n v="0"/>
    <n v="0"/>
    <n v="1"/>
    <n v="1"/>
    <s v="No"/>
    <x v="1"/>
  </r>
  <r>
    <n v="21851"/>
    <d v="2024-03-29T00:00:00"/>
    <x v="1"/>
    <s v="Bhubaneswar"/>
    <s v="SC_BHU_5"/>
    <x v="2"/>
    <s v="Taycan"/>
    <s v="Sedan"/>
    <x v="1"/>
    <x v="0"/>
    <x v="1"/>
    <x v="1"/>
    <n v="7"/>
    <n v="7"/>
    <x v="0"/>
    <x v="0"/>
    <n v="525933"/>
    <n v="279693"/>
    <n v="246240"/>
    <x v="2"/>
    <n v="0"/>
    <n v="1"/>
    <n v="0"/>
    <n v="1"/>
    <n v="1"/>
    <s v="No"/>
    <x v="1"/>
  </r>
  <r>
    <n v="21852"/>
    <d v="2024-03-31T00:00:00"/>
    <x v="1"/>
    <s v="Bhubaneswar"/>
    <s v="SC_BHU_5"/>
    <x v="1"/>
    <s v="Taycan"/>
    <s v="Sedan"/>
    <x v="1"/>
    <x v="0"/>
    <x v="0"/>
    <x v="0"/>
    <n v="4"/>
    <n v="7"/>
    <x v="0"/>
    <x v="1"/>
    <n v="208680"/>
    <n v="166625"/>
    <n v="42055"/>
    <x v="3"/>
    <n v="208680"/>
    <n v="0"/>
    <n v="0"/>
    <n v="1"/>
    <n v="1"/>
    <s v="No"/>
    <x v="2"/>
  </r>
  <r>
    <n v="21853"/>
    <d v="2024-05-20T00:00:00"/>
    <x v="2"/>
    <s v="Delhi"/>
    <s v="SC_DEL_3"/>
    <x v="2"/>
    <s v="Panamera"/>
    <s v="Sedan"/>
    <x v="1"/>
    <x v="2"/>
    <x v="1"/>
    <x v="0"/>
    <n v="23"/>
    <n v="7"/>
    <x v="0"/>
    <x v="1"/>
    <n v="533910"/>
    <n v="373899"/>
    <n v="160011"/>
    <x v="0"/>
    <n v="533910"/>
    <n v="0"/>
    <n v="0"/>
    <n v="1"/>
    <n v="1"/>
    <s v="Yes"/>
    <x v="0"/>
  </r>
  <r>
    <n v="21854"/>
    <d v="2024-03-12T00:00:00"/>
    <x v="3"/>
    <s v="Pune"/>
    <s v="SC_PUN_1"/>
    <x v="1"/>
    <s v="Chiron"/>
    <s v="Hypercar"/>
    <x v="0"/>
    <x v="2"/>
    <x v="0"/>
    <x v="1"/>
    <n v="22"/>
    <n v="7"/>
    <x v="0"/>
    <x v="0"/>
    <n v="307313"/>
    <n v="156752"/>
    <n v="150561"/>
    <x v="0"/>
    <n v="0"/>
    <n v="1"/>
    <n v="0"/>
    <n v="1"/>
    <n v="1"/>
    <s v="Yes"/>
    <x v="0"/>
  </r>
  <r>
    <n v="21855"/>
    <d v="2024-04-10T00:00:00"/>
    <x v="1"/>
    <s v="Kolkata"/>
    <s v="SC_KOL_4"/>
    <x v="0"/>
    <s v="Taycan"/>
    <s v="Sedan"/>
    <x v="1"/>
    <x v="4"/>
    <x v="1"/>
    <x v="0"/>
    <n v="9"/>
    <n v="7"/>
    <x v="0"/>
    <x v="1"/>
    <n v="314169"/>
    <n v="158184"/>
    <n v="155985"/>
    <x v="2"/>
    <n v="314169"/>
    <n v="0"/>
    <n v="0"/>
    <n v="1"/>
    <n v="1"/>
    <s v="Yes"/>
    <x v="1"/>
  </r>
  <r>
    <n v="21856"/>
    <d v="2024-02-04T00:00:00"/>
    <x v="2"/>
    <s v="Noida"/>
    <s v="SC_NOI_1"/>
    <x v="2"/>
    <s v="911"/>
    <s v="Coupe"/>
    <x v="1"/>
    <x v="4"/>
    <x v="0"/>
    <x v="0"/>
    <n v="16"/>
    <n v="7"/>
    <x v="0"/>
    <x v="1"/>
    <n v="393021"/>
    <n v="265990"/>
    <n v="127031"/>
    <x v="0"/>
    <n v="393021"/>
    <n v="0"/>
    <n v="0"/>
    <n v="1"/>
    <n v="1"/>
    <s v="Yes"/>
    <x v="0"/>
  </r>
  <r>
    <n v="21857"/>
    <d v="2024-02-15T00:00:00"/>
    <x v="3"/>
    <s v="Ahmedabad"/>
    <s v="SC_AHM_3"/>
    <x v="0"/>
    <s v="Macan"/>
    <s v="SUV"/>
    <x v="1"/>
    <x v="2"/>
    <x v="0"/>
    <x v="1"/>
    <n v="11"/>
    <n v="7"/>
    <x v="0"/>
    <x v="0"/>
    <n v="346699"/>
    <n v="273648"/>
    <n v="73051"/>
    <x v="1"/>
    <n v="0"/>
    <n v="1"/>
    <n v="0"/>
    <n v="1"/>
    <n v="1"/>
    <s v="Yes"/>
    <x v="0"/>
  </r>
  <r>
    <n v="21858"/>
    <d v="2024-03-06T00:00:00"/>
    <x v="1"/>
    <s v="Patna"/>
    <s v="SC_PAT_4"/>
    <x v="1"/>
    <s v="911"/>
    <s v="Coupe"/>
    <x v="0"/>
    <x v="4"/>
    <x v="2"/>
    <x v="1"/>
    <n v="3"/>
    <n v="7"/>
    <x v="1"/>
    <x v="1"/>
    <n v="150617"/>
    <n v="110322"/>
    <n v="40295"/>
    <x v="4"/>
    <n v="0"/>
    <n v="0"/>
    <n v="1"/>
    <n v="0"/>
    <n v="1"/>
    <s v="No"/>
    <x v="2"/>
  </r>
  <r>
    <n v="21859"/>
    <d v="2024-04-02T00:00:00"/>
    <x v="1"/>
    <s v="Bhubaneswar"/>
    <s v="SC_BHU_3"/>
    <x v="2"/>
    <s v="Chiron"/>
    <s v="Hypercar"/>
    <x v="1"/>
    <x v="4"/>
    <x v="2"/>
    <x v="0"/>
    <n v="16"/>
    <n v="7"/>
    <x v="0"/>
    <x v="0"/>
    <n v="369063"/>
    <n v="298781"/>
    <n v="70282"/>
    <x v="0"/>
    <n v="0"/>
    <n v="1"/>
    <n v="0"/>
    <n v="1"/>
    <n v="1"/>
    <s v="Yes"/>
    <x v="0"/>
  </r>
  <r>
    <n v="21860"/>
    <d v="2024-04-22T00:00:00"/>
    <x v="3"/>
    <s v="Ahmedabad"/>
    <s v="SC_AHM_4"/>
    <x v="0"/>
    <s v="Cayenne"/>
    <s v="SUV"/>
    <x v="1"/>
    <x v="1"/>
    <x v="2"/>
    <x v="0"/>
    <n v="2"/>
    <n v="7"/>
    <x v="1"/>
    <x v="1"/>
    <n v="424874"/>
    <n v="357569"/>
    <n v="67305"/>
    <x v="4"/>
    <n v="0"/>
    <n v="0"/>
    <n v="1"/>
    <n v="0"/>
    <n v="1"/>
    <s v="No"/>
    <x v="2"/>
  </r>
  <r>
    <n v="21861"/>
    <d v="2024-01-14T00:00:00"/>
    <x v="2"/>
    <s v="Gurugram"/>
    <s v="SC_GUR_1"/>
    <x v="0"/>
    <s v="911"/>
    <s v="Coupe"/>
    <x v="1"/>
    <x v="0"/>
    <x v="1"/>
    <x v="0"/>
    <n v="7"/>
    <n v="7"/>
    <x v="1"/>
    <x v="1"/>
    <n v="342573"/>
    <n v="281896"/>
    <n v="60677"/>
    <x v="3"/>
    <n v="0"/>
    <n v="0"/>
    <n v="1"/>
    <n v="0"/>
    <n v="1"/>
    <s v="No"/>
    <x v="2"/>
  </r>
  <r>
    <n v="21862"/>
    <d v="2024-05-30T00:00:00"/>
    <x v="3"/>
    <s v="Ahmedabad"/>
    <s v="SC_AHM_3"/>
    <x v="1"/>
    <s v="Cayenne"/>
    <s v="SUV"/>
    <x v="0"/>
    <x v="0"/>
    <x v="0"/>
    <x v="0"/>
    <n v="12"/>
    <n v="7"/>
    <x v="0"/>
    <x v="1"/>
    <n v="438288"/>
    <n v="371146"/>
    <n v="67142"/>
    <x v="1"/>
    <n v="438288"/>
    <n v="0"/>
    <n v="0"/>
    <n v="1"/>
    <n v="1"/>
    <s v="Yes"/>
    <x v="0"/>
  </r>
  <r>
    <n v="21863"/>
    <d v="2024-04-19T00:00:00"/>
    <x v="0"/>
    <s v="Chennai"/>
    <s v="SC_CHE_5"/>
    <x v="0"/>
    <s v="Chiron"/>
    <s v="Hypercar"/>
    <x v="1"/>
    <x v="2"/>
    <x v="0"/>
    <x v="0"/>
    <n v="25"/>
    <n v="7"/>
    <x v="0"/>
    <x v="0"/>
    <n v="534538"/>
    <n v="291361"/>
    <n v="243177"/>
    <x v="0"/>
    <n v="0"/>
    <n v="1"/>
    <n v="0"/>
    <n v="1"/>
    <n v="1"/>
    <s v="Yes"/>
    <x v="0"/>
  </r>
  <r>
    <n v="21864"/>
    <d v="2024-06-22T00:00:00"/>
    <x v="1"/>
    <s v="Kolkata"/>
    <s v="SC_KOL_1"/>
    <x v="1"/>
    <s v="911"/>
    <s v="Coupe"/>
    <x v="0"/>
    <x v="4"/>
    <x v="1"/>
    <x v="0"/>
    <n v="12"/>
    <n v="7"/>
    <x v="0"/>
    <x v="1"/>
    <n v="469923"/>
    <n v="351077"/>
    <n v="118846"/>
    <x v="1"/>
    <n v="469923"/>
    <n v="0"/>
    <n v="0"/>
    <n v="1"/>
    <n v="1"/>
    <s v="Yes"/>
    <x v="0"/>
  </r>
  <r>
    <n v="21865"/>
    <d v="2024-05-27T00:00:00"/>
    <x v="3"/>
    <s v="Pune"/>
    <s v="SC_PUN_4"/>
    <x v="0"/>
    <s v="Chiron"/>
    <s v="Hypercar"/>
    <x v="1"/>
    <x v="2"/>
    <x v="0"/>
    <x v="0"/>
    <n v="4"/>
    <n v="7"/>
    <x v="1"/>
    <x v="0"/>
    <n v="297858"/>
    <n v="230304"/>
    <n v="67554"/>
    <x v="4"/>
    <n v="0"/>
    <n v="1"/>
    <n v="1"/>
    <n v="0"/>
    <n v="1"/>
    <s v="No"/>
    <x v="2"/>
  </r>
  <r>
    <n v="21866"/>
    <d v="2024-02-18T00:00:00"/>
    <x v="0"/>
    <s v="Chennai"/>
    <s v="SC_CHE_1"/>
    <x v="0"/>
    <s v="Cayenne"/>
    <s v="SUV"/>
    <x v="0"/>
    <x v="1"/>
    <x v="0"/>
    <x v="1"/>
    <n v="3"/>
    <n v="7"/>
    <x v="1"/>
    <x v="1"/>
    <n v="555800"/>
    <n v="444676"/>
    <n v="111124"/>
    <x v="4"/>
    <n v="0"/>
    <n v="0"/>
    <n v="1"/>
    <n v="0"/>
    <n v="1"/>
    <s v="No"/>
    <x v="2"/>
  </r>
  <r>
    <n v="21867"/>
    <d v="2024-03-20T00:00:00"/>
    <x v="1"/>
    <s v="Bhubaneswar"/>
    <s v="SC_BHU_4"/>
    <x v="1"/>
    <s v="Panamera"/>
    <s v="Sedan"/>
    <x v="0"/>
    <x v="1"/>
    <x v="2"/>
    <x v="0"/>
    <n v="23"/>
    <n v="7"/>
    <x v="1"/>
    <x v="1"/>
    <n v="92395"/>
    <n v="60444"/>
    <n v="31951"/>
    <x v="0"/>
    <n v="0"/>
    <n v="0"/>
    <n v="1"/>
    <n v="0"/>
    <n v="1"/>
    <s v="Yes"/>
    <x v="0"/>
  </r>
  <r>
    <n v="21868"/>
    <d v="2024-05-19T00:00:00"/>
    <x v="3"/>
    <s v="Mumbai"/>
    <s v="SC_MUM_5"/>
    <x v="2"/>
    <s v="Panamera"/>
    <s v="Sedan"/>
    <x v="1"/>
    <x v="3"/>
    <x v="2"/>
    <x v="0"/>
    <n v="3"/>
    <n v="7"/>
    <x v="1"/>
    <x v="1"/>
    <n v="459308"/>
    <n v="358525"/>
    <n v="100783"/>
    <x v="4"/>
    <n v="0"/>
    <n v="0"/>
    <n v="1"/>
    <n v="0"/>
    <n v="1"/>
    <s v="No"/>
    <x v="2"/>
  </r>
  <r>
    <n v="21869"/>
    <d v="2024-03-22T00:00:00"/>
    <x v="1"/>
    <s v="Bhubaneswar"/>
    <s v="SC_BHU_5"/>
    <x v="2"/>
    <s v="Veyron"/>
    <s v="Hypercar"/>
    <x v="0"/>
    <x v="3"/>
    <x v="1"/>
    <x v="0"/>
    <n v="3"/>
    <n v="7"/>
    <x v="1"/>
    <x v="1"/>
    <n v="274271"/>
    <n v="185011"/>
    <n v="89260"/>
    <x v="4"/>
    <n v="0"/>
    <n v="0"/>
    <n v="1"/>
    <n v="0"/>
    <n v="1"/>
    <s v="No"/>
    <x v="2"/>
  </r>
  <r>
    <n v="21870"/>
    <d v="2024-06-22T00:00:00"/>
    <x v="3"/>
    <s v="Pune"/>
    <s v="SC_PUN_3"/>
    <x v="2"/>
    <s v="Panamera"/>
    <s v="Sedan"/>
    <x v="1"/>
    <x v="2"/>
    <x v="2"/>
    <x v="0"/>
    <n v="16"/>
    <n v="7"/>
    <x v="1"/>
    <x v="1"/>
    <n v="576528"/>
    <n v="359914"/>
    <n v="216614"/>
    <x v="1"/>
    <n v="0"/>
    <n v="0"/>
    <n v="1"/>
    <n v="0"/>
    <n v="1"/>
    <s v="Yes"/>
    <x v="0"/>
  </r>
  <r>
    <n v="21871"/>
    <d v="2024-06-20T00:00:00"/>
    <x v="2"/>
    <s v="Delhi"/>
    <s v="SC_DEL_2"/>
    <x v="2"/>
    <s v="Taycan"/>
    <s v="Sedan"/>
    <x v="1"/>
    <x v="4"/>
    <x v="2"/>
    <x v="1"/>
    <n v="6"/>
    <n v="7"/>
    <x v="0"/>
    <x v="1"/>
    <n v="140119"/>
    <n v="114927"/>
    <n v="25192"/>
    <x v="2"/>
    <n v="140119"/>
    <n v="0"/>
    <n v="0"/>
    <n v="1"/>
    <n v="1"/>
    <s v="No"/>
    <x v="1"/>
  </r>
  <r>
    <n v="21872"/>
    <d v="2024-05-08T00:00:00"/>
    <x v="1"/>
    <s v="Patna"/>
    <s v="SC_PAT_2"/>
    <x v="2"/>
    <s v="Veyron"/>
    <s v="Hypercar"/>
    <x v="0"/>
    <x v="1"/>
    <x v="1"/>
    <x v="1"/>
    <n v="15"/>
    <n v="7"/>
    <x v="1"/>
    <x v="1"/>
    <n v="332996"/>
    <n v="257566"/>
    <n v="75430"/>
    <x v="1"/>
    <n v="0"/>
    <n v="0"/>
    <n v="1"/>
    <n v="0"/>
    <n v="1"/>
    <s v="Yes"/>
    <x v="0"/>
  </r>
  <r>
    <n v="21873"/>
    <d v="2024-02-25T00:00:00"/>
    <x v="0"/>
    <s v="Chennai"/>
    <s v="SC_CHE_2"/>
    <x v="0"/>
    <s v="Taycan"/>
    <s v="Sedan"/>
    <x v="1"/>
    <x v="4"/>
    <x v="2"/>
    <x v="0"/>
    <n v="3"/>
    <n v="7"/>
    <x v="0"/>
    <x v="1"/>
    <n v="361701"/>
    <n v="182554"/>
    <n v="179147"/>
    <x v="3"/>
    <n v="361701"/>
    <n v="0"/>
    <n v="0"/>
    <n v="1"/>
    <n v="1"/>
    <s v="No"/>
    <x v="2"/>
  </r>
  <r>
    <n v="21874"/>
    <d v="2024-01-19T00:00:00"/>
    <x v="3"/>
    <s v="Ahmedabad"/>
    <s v="SC_AHM_1"/>
    <x v="1"/>
    <s v="Veyron"/>
    <s v="Hypercar"/>
    <x v="0"/>
    <x v="2"/>
    <x v="2"/>
    <x v="0"/>
    <n v="22"/>
    <n v="7"/>
    <x v="0"/>
    <x v="0"/>
    <n v="530892"/>
    <n v="383680"/>
    <n v="147212"/>
    <x v="0"/>
    <n v="0"/>
    <n v="1"/>
    <n v="0"/>
    <n v="1"/>
    <n v="1"/>
    <s v="Yes"/>
    <x v="0"/>
  </r>
  <r>
    <n v="21875"/>
    <d v="2024-05-16T00:00:00"/>
    <x v="2"/>
    <s v="Noida"/>
    <s v="SC_NOI_1"/>
    <x v="1"/>
    <s v="Panamera"/>
    <s v="Sedan"/>
    <x v="1"/>
    <x v="1"/>
    <x v="1"/>
    <x v="0"/>
    <n v="12"/>
    <n v="7"/>
    <x v="1"/>
    <x v="1"/>
    <n v="260446"/>
    <n v="144362"/>
    <n v="116084"/>
    <x v="2"/>
    <n v="0"/>
    <n v="0"/>
    <n v="1"/>
    <n v="0"/>
    <n v="1"/>
    <s v="Yes"/>
    <x v="1"/>
  </r>
  <r>
    <n v="21876"/>
    <d v="2024-02-17T00:00:00"/>
    <x v="1"/>
    <s v="Patna"/>
    <s v="SC_PAT_1"/>
    <x v="0"/>
    <s v="Panamera"/>
    <s v="Sedan"/>
    <x v="1"/>
    <x v="1"/>
    <x v="2"/>
    <x v="0"/>
    <n v="4"/>
    <n v="7"/>
    <x v="1"/>
    <x v="1"/>
    <n v="143912"/>
    <n v="105945"/>
    <n v="37967"/>
    <x v="4"/>
    <n v="0"/>
    <n v="0"/>
    <n v="1"/>
    <n v="0"/>
    <n v="1"/>
    <s v="No"/>
    <x v="2"/>
  </r>
  <r>
    <n v="21877"/>
    <d v="2024-03-17T00:00:00"/>
    <x v="2"/>
    <s v="Delhi"/>
    <s v="SC_DEL_3"/>
    <x v="2"/>
    <s v="Chiron"/>
    <s v="Hypercar"/>
    <x v="0"/>
    <x v="2"/>
    <x v="0"/>
    <x v="0"/>
    <n v="18"/>
    <n v="7"/>
    <x v="0"/>
    <x v="0"/>
    <n v="447019"/>
    <n v="329938"/>
    <n v="117081"/>
    <x v="0"/>
    <n v="0"/>
    <n v="1"/>
    <n v="0"/>
    <n v="1"/>
    <n v="1"/>
    <s v="Yes"/>
    <x v="0"/>
  </r>
  <r>
    <n v="21878"/>
    <d v="2024-03-14T00:00:00"/>
    <x v="0"/>
    <s v="Chennai"/>
    <s v="SC_CHE_2"/>
    <x v="0"/>
    <s v="Taycan"/>
    <s v="Sedan"/>
    <x v="0"/>
    <x v="2"/>
    <x v="0"/>
    <x v="0"/>
    <n v="15"/>
    <n v="7"/>
    <x v="0"/>
    <x v="1"/>
    <n v="558101"/>
    <n v="440349"/>
    <n v="117752"/>
    <x v="0"/>
    <n v="558101"/>
    <n v="0"/>
    <n v="0"/>
    <n v="1"/>
    <n v="1"/>
    <s v="Yes"/>
    <x v="0"/>
  </r>
  <r>
    <n v="21879"/>
    <d v="2024-03-29T00:00:00"/>
    <x v="2"/>
    <s v="Gurugram"/>
    <s v="SC_GUR_1"/>
    <x v="2"/>
    <s v="Panamera"/>
    <s v="Sedan"/>
    <x v="0"/>
    <x v="1"/>
    <x v="0"/>
    <x v="0"/>
    <n v="17"/>
    <n v="7"/>
    <x v="0"/>
    <x v="0"/>
    <n v="322905"/>
    <n v="242688"/>
    <n v="80217"/>
    <x v="0"/>
    <n v="0"/>
    <n v="1"/>
    <n v="0"/>
    <n v="1"/>
    <n v="1"/>
    <s v="Yes"/>
    <x v="0"/>
  </r>
  <r>
    <n v="21880"/>
    <d v="2024-05-01T00:00:00"/>
    <x v="0"/>
    <s v="Bengaluru"/>
    <s v="SC_BEN_1"/>
    <x v="0"/>
    <s v="Cayenne"/>
    <s v="SUV"/>
    <x v="1"/>
    <x v="0"/>
    <x v="2"/>
    <x v="1"/>
    <n v="19"/>
    <n v="7"/>
    <x v="0"/>
    <x v="0"/>
    <n v="480773"/>
    <n v="315932"/>
    <n v="164841"/>
    <x v="0"/>
    <n v="0"/>
    <n v="1"/>
    <n v="0"/>
    <n v="1"/>
    <n v="1"/>
    <s v="Yes"/>
    <x v="0"/>
  </r>
  <r>
    <n v="21881"/>
    <d v="2024-03-28T00:00:00"/>
    <x v="0"/>
    <s v="Bengaluru"/>
    <s v="SC_BEN_4"/>
    <x v="2"/>
    <s v="Veyron"/>
    <s v="Hypercar"/>
    <x v="0"/>
    <x v="4"/>
    <x v="1"/>
    <x v="1"/>
    <n v="3"/>
    <n v="7"/>
    <x v="1"/>
    <x v="1"/>
    <n v="96550"/>
    <n v="69220"/>
    <n v="27330"/>
    <x v="4"/>
    <n v="0"/>
    <n v="0"/>
    <n v="1"/>
    <n v="0"/>
    <n v="1"/>
    <s v="No"/>
    <x v="2"/>
  </r>
  <r>
    <n v="21882"/>
    <d v="2024-05-20T00:00:00"/>
    <x v="0"/>
    <s v="Hyderabad"/>
    <s v="SC_HYD_1"/>
    <x v="0"/>
    <s v="Macan"/>
    <s v="SUV"/>
    <x v="0"/>
    <x v="4"/>
    <x v="1"/>
    <x v="1"/>
    <n v="16"/>
    <n v="7"/>
    <x v="1"/>
    <x v="1"/>
    <n v="376912"/>
    <n v="190422"/>
    <n v="186490"/>
    <x v="1"/>
    <n v="0"/>
    <n v="0"/>
    <n v="1"/>
    <n v="0"/>
    <n v="1"/>
    <s v="Yes"/>
    <x v="0"/>
  </r>
  <r>
    <n v="21883"/>
    <d v="2024-01-12T00:00:00"/>
    <x v="1"/>
    <s v="Kolkata"/>
    <s v="SC_KOL_5"/>
    <x v="1"/>
    <s v="Cayenne"/>
    <s v="SUV"/>
    <x v="0"/>
    <x v="2"/>
    <x v="1"/>
    <x v="0"/>
    <n v="13"/>
    <n v="7"/>
    <x v="1"/>
    <x v="0"/>
    <n v="556834"/>
    <n v="436888"/>
    <n v="119946"/>
    <x v="2"/>
    <n v="0"/>
    <n v="1"/>
    <n v="1"/>
    <n v="0"/>
    <n v="1"/>
    <s v="Yes"/>
    <x v="1"/>
  </r>
  <r>
    <n v="21884"/>
    <d v="2024-04-03T00:00:00"/>
    <x v="2"/>
    <s v="Delhi"/>
    <s v="SC_DEL_1"/>
    <x v="0"/>
    <s v="Veyron"/>
    <s v="Hypercar"/>
    <x v="0"/>
    <x v="1"/>
    <x v="0"/>
    <x v="0"/>
    <n v="12"/>
    <n v="7"/>
    <x v="0"/>
    <x v="1"/>
    <n v="394610"/>
    <n v="264294"/>
    <n v="130316"/>
    <x v="1"/>
    <n v="394610"/>
    <n v="0"/>
    <n v="0"/>
    <n v="1"/>
    <n v="1"/>
    <s v="Yes"/>
    <x v="0"/>
  </r>
  <r>
    <n v="21885"/>
    <d v="2024-03-25T00:00:00"/>
    <x v="0"/>
    <s v="Hyderabad"/>
    <s v="SC_HYD_5"/>
    <x v="1"/>
    <s v="Cayenne"/>
    <s v="SUV"/>
    <x v="1"/>
    <x v="4"/>
    <x v="2"/>
    <x v="0"/>
    <n v="20"/>
    <n v="7"/>
    <x v="0"/>
    <x v="1"/>
    <n v="180778"/>
    <n v="133132"/>
    <n v="47646"/>
    <x v="0"/>
    <n v="180778"/>
    <n v="0"/>
    <n v="0"/>
    <n v="1"/>
    <n v="1"/>
    <s v="Yes"/>
    <x v="0"/>
  </r>
  <r>
    <n v="21886"/>
    <d v="2024-03-01T00:00:00"/>
    <x v="1"/>
    <s v="Kolkata"/>
    <s v="SC_KOL_5"/>
    <x v="2"/>
    <s v="911"/>
    <s v="Coupe"/>
    <x v="1"/>
    <x v="4"/>
    <x v="0"/>
    <x v="0"/>
    <n v="7"/>
    <n v="7"/>
    <x v="0"/>
    <x v="1"/>
    <n v="375862"/>
    <n v="230319"/>
    <n v="145543"/>
    <x v="2"/>
    <n v="375862"/>
    <n v="0"/>
    <n v="0"/>
    <n v="1"/>
    <n v="1"/>
    <s v="No"/>
    <x v="1"/>
  </r>
  <r>
    <n v="21887"/>
    <d v="2024-04-03T00:00:00"/>
    <x v="1"/>
    <s v="Patna"/>
    <s v="SC_PAT_3"/>
    <x v="0"/>
    <s v="Cayenne"/>
    <s v="SUV"/>
    <x v="1"/>
    <x v="4"/>
    <x v="0"/>
    <x v="1"/>
    <n v="23"/>
    <n v="7"/>
    <x v="0"/>
    <x v="1"/>
    <n v="123233"/>
    <n v="87976"/>
    <n v="35257"/>
    <x v="0"/>
    <n v="123233"/>
    <n v="0"/>
    <n v="0"/>
    <n v="1"/>
    <n v="1"/>
    <s v="Yes"/>
    <x v="0"/>
  </r>
  <r>
    <n v="21888"/>
    <d v="2024-04-08T00:00:00"/>
    <x v="2"/>
    <s v="Gurugram"/>
    <s v="SC_GUR_2"/>
    <x v="0"/>
    <s v="911"/>
    <s v="Coupe"/>
    <x v="1"/>
    <x v="4"/>
    <x v="0"/>
    <x v="0"/>
    <n v="14"/>
    <n v="7"/>
    <x v="0"/>
    <x v="0"/>
    <n v="577622"/>
    <n v="406624"/>
    <n v="170998"/>
    <x v="1"/>
    <n v="0"/>
    <n v="1"/>
    <n v="0"/>
    <n v="1"/>
    <n v="1"/>
    <s v="Yes"/>
    <x v="0"/>
  </r>
  <r>
    <n v="21889"/>
    <d v="2024-04-12T00:00:00"/>
    <x v="1"/>
    <s v="Bhubaneswar"/>
    <s v="SC_BHU_1"/>
    <x v="1"/>
    <s v="Chiron"/>
    <s v="Hypercar"/>
    <x v="1"/>
    <x v="4"/>
    <x v="1"/>
    <x v="0"/>
    <n v="17"/>
    <n v="7"/>
    <x v="1"/>
    <x v="1"/>
    <n v="543251"/>
    <n v="341370"/>
    <n v="201881"/>
    <x v="1"/>
    <n v="0"/>
    <n v="0"/>
    <n v="1"/>
    <n v="0"/>
    <n v="1"/>
    <s v="Yes"/>
    <x v="0"/>
  </r>
  <r>
    <n v="21890"/>
    <d v="2024-02-21T00:00:00"/>
    <x v="3"/>
    <s v="Mumbai"/>
    <s v="SC_MUM_5"/>
    <x v="1"/>
    <s v="Macan"/>
    <s v="SUV"/>
    <x v="0"/>
    <x v="2"/>
    <x v="1"/>
    <x v="0"/>
    <n v="6"/>
    <n v="7"/>
    <x v="1"/>
    <x v="1"/>
    <n v="191428"/>
    <n v="121139"/>
    <n v="70289"/>
    <x v="3"/>
    <n v="0"/>
    <n v="0"/>
    <n v="1"/>
    <n v="0"/>
    <n v="1"/>
    <s v="No"/>
    <x v="2"/>
  </r>
  <r>
    <n v="21891"/>
    <d v="2024-04-06T00:00:00"/>
    <x v="3"/>
    <s v="Ahmedabad"/>
    <s v="SC_AHM_4"/>
    <x v="0"/>
    <s v="911"/>
    <s v="Coupe"/>
    <x v="0"/>
    <x v="1"/>
    <x v="0"/>
    <x v="1"/>
    <n v="16"/>
    <n v="7"/>
    <x v="0"/>
    <x v="0"/>
    <n v="290531"/>
    <n v="153615"/>
    <n v="136916"/>
    <x v="0"/>
    <n v="0"/>
    <n v="1"/>
    <n v="0"/>
    <n v="1"/>
    <n v="1"/>
    <s v="Yes"/>
    <x v="0"/>
  </r>
  <r>
    <n v="21892"/>
    <d v="2024-03-13T00:00:00"/>
    <x v="1"/>
    <s v="Kolkata"/>
    <s v="SC_KOL_3"/>
    <x v="0"/>
    <s v="Chiron"/>
    <s v="Hypercar"/>
    <x v="1"/>
    <x v="1"/>
    <x v="1"/>
    <x v="0"/>
    <n v="13"/>
    <n v="7"/>
    <x v="1"/>
    <x v="0"/>
    <n v="320765"/>
    <n v="194514"/>
    <n v="126251"/>
    <x v="2"/>
    <n v="0"/>
    <n v="1"/>
    <n v="1"/>
    <n v="0"/>
    <n v="1"/>
    <s v="Yes"/>
    <x v="1"/>
  </r>
  <r>
    <n v="21893"/>
    <d v="2024-06-22T00:00:00"/>
    <x v="2"/>
    <s v="Gurugram"/>
    <s v="SC_GUR_3"/>
    <x v="0"/>
    <s v="Cayenne"/>
    <s v="SUV"/>
    <x v="0"/>
    <x v="3"/>
    <x v="2"/>
    <x v="0"/>
    <n v="23"/>
    <n v="7"/>
    <x v="1"/>
    <x v="1"/>
    <n v="174861"/>
    <n v="137464"/>
    <n v="37397"/>
    <x v="0"/>
    <n v="0"/>
    <n v="0"/>
    <n v="1"/>
    <n v="0"/>
    <n v="1"/>
    <s v="Yes"/>
    <x v="0"/>
  </r>
  <r>
    <n v="21894"/>
    <d v="2024-01-30T00:00:00"/>
    <x v="2"/>
    <s v="Noida"/>
    <s v="SC_NOI_4"/>
    <x v="1"/>
    <s v="911"/>
    <s v="Coupe"/>
    <x v="0"/>
    <x v="4"/>
    <x v="2"/>
    <x v="0"/>
    <n v="24"/>
    <n v="7"/>
    <x v="1"/>
    <x v="1"/>
    <n v="422606"/>
    <n v="354978"/>
    <n v="67628"/>
    <x v="0"/>
    <n v="0"/>
    <n v="0"/>
    <n v="1"/>
    <n v="0"/>
    <n v="1"/>
    <s v="Yes"/>
    <x v="0"/>
  </r>
  <r>
    <n v="21895"/>
    <d v="2024-01-19T00:00:00"/>
    <x v="0"/>
    <s v="Hyderabad"/>
    <s v="SC_HYD_5"/>
    <x v="0"/>
    <s v="911"/>
    <s v="Coupe"/>
    <x v="0"/>
    <x v="1"/>
    <x v="2"/>
    <x v="0"/>
    <n v="5"/>
    <n v="7"/>
    <x v="0"/>
    <x v="1"/>
    <n v="423871"/>
    <n v="269482"/>
    <n v="154389"/>
    <x v="2"/>
    <n v="423871"/>
    <n v="0"/>
    <n v="0"/>
    <n v="1"/>
    <n v="1"/>
    <s v="No"/>
    <x v="1"/>
  </r>
  <r>
    <n v="21896"/>
    <d v="2024-04-04T00:00:00"/>
    <x v="2"/>
    <s v="Delhi"/>
    <s v="SC_DEL_5"/>
    <x v="1"/>
    <s v="Chiron"/>
    <s v="Hypercar"/>
    <x v="1"/>
    <x v="0"/>
    <x v="0"/>
    <x v="1"/>
    <n v="9"/>
    <n v="7"/>
    <x v="0"/>
    <x v="1"/>
    <n v="220862"/>
    <n v="147823"/>
    <n v="73039"/>
    <x v="2"/>
    <n v="220862"/>
    <n v="0"/>
    <n v="0"/>
    <n v="1"/>
    <n v="1"/>
    <s v="Yes"/>
    <x v="1"/>
  </r>
  <r>
    <n v="21897"/>
    <d v="2024-05-21T00:00:00"/>
    <x v="0"/>
    <s v="Bengaluru"/>
    <s v="SC_BEN_4"/>
    <x v="1"/>
    <s v="Cayenne"/>
    <s v="SUV"/>
    <x v="1"/>
    <x v="3"/>
    <x v="2"/>
    <x v="0"/>
    <n v="15"/>
    <n v="7"/>
    <x v="0"/>
    <x v="1"/>
    <n v="263811"/>
    <n v="174558"/>
    <n v="89253"/>
    <x v="0"/>
    <n v="263811"/>
    <n v="0"/>
    <n v="0"/>
    <n v="1"/>
    <n v="1"/>
    <s v="Yes"/>
    <x v="0"/>
  </r>
  <r>
    <n v="21898"/>
    <d v="2024-05-12T00:00:00"/>
    <x v="2"/>
    <s v="Gurugram"/>
    <s v="SC_GUR_2"/>
    <x v="1"/>
    <s v="Cayenne"/>
    <s v="SUV"/>
    <x v="1"/>
    <x v="4"/>
    <x v="0"/>
    <x v="0"/>
    <n v="17"/>
    <n v="7"/>
    <x v="0"/>
    <x v="0"/>
    <n v="458279"/>
    <n v="266177"/>
    <n v="192102"/>
    <x v="0"/>
    <n v="0"/>
    <n v="1"/>
    <n v="0"/>
    <n v="1"/>
    <n v="1"/>
    <s v="Yes"/>
    <x v="0"/>
  </r>
  <r>
    <n v="21899"/>
    <d v="2024-06-19T00:00:00"/>
    <x v="0"/>
    <s v="Bengaluru"/>
    <s v="SC_BEN_3"/>
    <x v="1"/>
    <s v="Chiron"/>
    <s v="Hypercar"/>
    <x v="1"/>
    <x v="2"/>
    <x v="2"/>
    <x v="1"/>
    <n v="13"/>
    <n v="7"/>
    <x v="0"/>
    <x v="1"/>
    <n v="303206"/>
    <n v="206719"/>
    <n v="96487"/>
    <x v="1"/>
    <n v="303206"/>
    <n v="0"/>
    <n v="0"/>
    <n v="1"/>
    <n v="1"/>
    <s v="Yes"/>
    <x v="0"/>
  </r>
  <r>
    <n v="21900"/>
    <d v="2024-01-07T00:00:00"/>
    <x v="1"/>
    <s v="Patna"/>
    <s v="SC_PAT_3"/>
    <x v="2"/>
    <s v="Macan"/>
    <s v="SUV"/>
    <x v="1"/>
    <x v="0"/>
    <x v="0"/>
    <x v="0"/>
    <n v="23"/>
    <n v="7"/>
    <x v="0"/>
    <x v="1"/>
    <n v="230132"/>
    <n v="119936"/>
    <n v="110196"/>
    <x v="0"/>
    <n v="230132"/>
    <n v="0"/>
    <n v="0"/>
    <n v="1"/>
    <n v="1"/>
    <s v="Yes"/>
    <x v="0"/>
  </r>
  <r>
    <n v="21901"/>
    <d v="2024-05-30T00:00:00"/>
    <x v="0"/>
    <s v="Bengaluru"/>
    <s v="SC_BEN_5"/>
    <x v="1"/>
    <s v="Cayenne"/>
    <s v="SUV"/>
    <x v="0"/>
    <x v="0"/>
    <x v="1"/>
    <x v="0"/>
    <n v="25"/>
    <n v="7"/>
    <x v="1"/>
    <x v="1"/>
    <n v="218647"/>
    <n v="116296"/>
    <n v="102351"/>
    <x v="0"/>
    <n v="0"/>
    <n v="0"/>
    <n v="1"/>
    <n v="0"/>
    <n v="1"/>
    <s v="Yes"/>
    <x v="0"/>
  </r>
  <r>
    <n v="21902"/>
    <d v="2024-02-10T00:00:00"/>
    <x v="2"/>
    <s v="Gurugram"/>
    <s v="SC_GUR_1"/>
    <x v="0"/>
    <s v="Macan"/>
    <s v="SUV"/>
    <x v="1"/>
    <x v="3"/>
    <x v="0"/>
    <x v="1"/>
    <n v="10"/>
    <n v="7"/>
    <x v="0"/>
    <x v="0"/>
    <n v="438241"/>
    <n v="261305"/>
    <n v="176936"/>
    <x v="1"/>
    <n v="0"/>
    <n v="1"/>
    <n v="0"/>
    <n v="1"/>
    <n v="1"/>
    <s v="Yes"/>
    <x v="0"/>
  </r>
  <r>
    <n v="21903"/>
    <d v="2024-03-24T00:00:00"/>
    <x v="2"/>
    <s v="Noida"/>
    <s v="SC_NOI_2"/>
    <x v="0"/>
    <s v="911"/>
    <s v="Coupe"/>
    <x v="0"/>
    <x v="4"/>
    <x v="0"/>
    <x v="0"/>
    <n v="19"/>
    <n v="7"/>
    <x v="0"/>
    <x v="1"/>
    <n v="450785"/>
    <n v="295886"/>
    <n v="154899"/>
    <x v="0"/>
    <n v="450785"/>
    <n v="0"/>
    <n v="0"/>
    <n v="1"/>
    <n v="1"/>
    <s v="Yes"/>
    <x v="0"/>
  </r>
  <r>
    <n v="21904"/>
    <d v="2024-03-23T00:00:00"/>
    <x v="1"/>
    <s v="Patna"/>
    <s v="SC_PAT_5"/>
    <x v="1"/>
    <s v="Taycan"/>
    <s v="Sedan"/>
    <x v="0"/>
    <x v="3"/>
    <x v="1"/>
    <x v="1"/>
    <n v="25"/>
    <n v="7"/>
    <x v="1"/>
    <x v="1"/>
    <n v="546906"/>
    <n v="411242"/>
    <n v="135664"/>
    <x v="0"/>
    <n v="0"/>
    <n v="0"/>
    <n v="1"/>
    <n v="0"/>
    <n v="1"/>
    <s v="Yes"/>
    <x v="0"/>
  </r>
  <r>
    <n v="21905"/>
    <d v="2024-04-22T00:00:00"/>
    <x v="1"/>
    <s v="Bhubaneswar"/>
    <s v="SC_BHU_4"/>
    <x v="0"/>
    <s v="Cayenne"/>
    <s v="SUV"/>
    <x v="1"/>
    <x v="4"/>
    <x v="1"/>
    <x v="1"/>
    <n v="25"/>
    <n v="7"/>
    <x v="1"/>
    <x v="0"/>
    <n v="403133"/>
    <n v="306100"/>
    <n v="97033"/>
    <x v="0"/>
    <n v="0"/>
    <n v="1"/>
    <n v="1"/>
    <n v="0"/>
    <n v="1"/>
    <s v="Yes"/>
    <x v="0"/>
  </r>
  <r>
    <n v="21906"/>
    <d v="2024-05-20T00:00:00"/>
    <x v="3"/>
    <s v="Pune"/>
    <s v="SC_PUN_1"/>
    <x v="2"/>
    <s v="Macan"/>
    <s v="SUV"/>
    <x v="1"/>
    <x v="1"/>
    <x v="2"/>
    <x v="1"/>
    <n v="24"/>
    <n v="7"/>
    <x v="0"/>
    <x v="0"/>
    <n v="267017"/>
    <n v="207620"/>
    <n v="59397"/>
    <x v="0"/>
    <n v="0"/>
    <n v="1"/>
    <n v="0"/>
    <n v="1"/>
    <n v="1"/>
    <s v="Yes"/>
    <x v="0"/>
  </r>
  <r>
    <n v="21907"/>
    <d v="2024-04-12T00:00:00"/>
    <x v="3"/>
    <s v="Mumbai"/>
    <s v="SC_MUM_5"/>
    <x v="1"/>
    <s v="Chiron"/>
    <s v="Hypercar"/>
    <x v="0"/>
    <x v="0"/>
    <x v="1"/>
    <x v="0"/>
    <n v="11"/>
    <n v="7"/>
    <x v="1"/>
    <x v="1"/>
    <n v="318077"/>
    <n v="234732"/>
    <n v="83345"/>
    <x v="2"/>
    <n v="0"/>
    <n v="0"/>
    <n v="1"/>
    <n v="0"/>
    <n v="1"/>
    <s v="Yes"/>
    <x v="1"/>
  </r>
  <r>
    <n v="21908"/>
    <d v="2024-03-05T00:00:00"/>
    <x v="3"/>
    <s v="Ahmedabad"/>
    <s v="SC_AHM_2"/>
    <x v="2"/>
    <s v="911"/>
    <s v="Coupe"/>
    <x v="1"/>
    <x v="0"/>
    <x v="1"/>
    <x v="0"/>
    <n v="23"/>
    <n v="7"/>
    <x v="0"/>
    <x v="1"/>
    <n v="115815"/>
    <n v="60780"/>
    <n v="55035"/>
    <x v="0"/>
    <n v="115815"/>
    <n v="0"/>
    <n v="0"/>
    <n v="1"/>
    <n v="1"/>
    <s v="Yes"/>
    <x v="0"/>
  </r>
  <r>
    <n v="21909"/>
    <d v="2024-04-26T00:00:00"/>
    <x v="3"/>
    <s v="Pune"/>
    <s v="SC_PUN_1"/>
    <x v="0"/>
    <s v="Chiron"/>
    <s v="Hypercar"/>
    <x v="1"/>
    <x v="4"/>
    <x v="0"/>
    <x v="0"/>
    <n v="18"/>
    <n v="7"/>
    <x v="0"/>
    <x v="0"/>
    <n v="398265"/>
    <n v="219994"/>
    <n v="178271"/>
    <x v="0"/>
    <n v="0"/>
    <n v="1"/>
    <n v="0"/>
    <n v="1"/>
    <n v="1"/>
    <s v="Yes"/>
    <x v="0"/>
  </r>
  <r>
    <n v="21910"/>
    <d v="2024-02-17T00:00:00"/>
    <x v="3"/>
    <s v="Ahmedabad"/>
    <s v="SC_AHM_4"/>
    <x v="1"/>
    <s v="Cayenne"/>
    <s v="SUV"/>
    <x v="1"/>
    <x v="1"/>
    <x v="2"/>
    <x v="0"/>
    <n v="9"/>
    <n v="7"/>
    <x v="0"/>
    <x v="1"/>
    <n v="428051"/>
    <n v="314269"/>
    <n v="113782"/>
    <x v="2"/>
    <n v="428051"/>
    <n v="0"/>
    <n v="0"/>
    <n v="1"/>
    <n v="1"/>
    <s v="Yes"/>
    <x v="1"/>
  </r>
  <r>
    <n v="21911"/>
    <d v="2024-05-12T00:00:00"/>
    <x v="2"/>
    <s v="Noida"/>
    <s v="SC_NOI_2"/>
    <x v="0"/>
    <s v="911"/>
    <s v="Coupe"/>
    <x v="1"/>
    <x v="0"/>
    <x v="1"/>
    <x v="0"/>
    <n v="15"/>
    <n v="7"/>
    <x v="0"/>
    <x v="1"/>
    <n v="515467"/>
    <n v="408412"/>
    <n v="107055"/>
    <x v="0"/>
    <n v="515467"/>
    <n v="0"/>
    <n v="0"/>
    <n v="1"/>
    <n v="1"/>
    <s v="Yes"/>
    <x v="0"/>
  </r>
  <r>
    <n v="21912"/>
    <d v="2024-01-12T00:00:00"/>
    <x v="2"/>
    <s v="Gurugram"/>
    <s v="SC_GUR_1"/>
    <x v="1"/>
    <s v="911"/>
    <s v="Coupe"/>
    <x v="1"/>
    <x v="3"/>
    <x v="0"/>
    <x v="1"/>
    <n v="17"/>
    <n v="7"/>
    <x v="0"/>
    <x v="0"/>
    <n v="554174"/>
    <n v="456217"/>
    <n v="97957"/>
    <x v="0"/>
    <n v="0"/>
    <n v="1"/>
    <n v="0"/>
    <n v="1"/>
    <n v="1"/>
    <s v="Yes"/>
    <x v="0"/>
  </r>
  <r>
    <n v="21913"/>
    <d v="2024-01-01T00:00:00"/>
    <x v="2"/>
    <s v="Delhi"/>
    <s v="SC_DEL_4"/>
    <x v="1"/>
    <s v="Chiron"/>
    <s v="Hypercar"/>
    <x v="0"/>
    <x v="4"/>
    <x v="1"/>
    <x v="0"/>
    <n v="15"/>
    <n v="7"/>
    <x v="1"/>
    <x v="0"/>
    <n v="490584"/>
    <n v="313708"/>
    <n v="176876"/>
    <x v="1"/>
    <n v="0"/>
    <n v="1"/>
    <n v="1"/>
    <n v="0"/>
    <n v="1"/>
    <s v="Yes"/>
    <x v="0"/>
  </r>
  <r>
    <n v="21914"/>
    <d v="2024-01-06T00:00:00"/>
    <x v="1"/>
    <s v="Bhubaneswar"/>
    <s v="SC_BHU_3"/>
    <x v="2"/>
    <s v="Panamera"/>
    <s v="Sedan"/>
    <x v="0"/>
    <x v="2"/>
    <x v="2"/>
    <x v="0"/>
    <n v="5"/>
    <n v="7"/>
    <x v="0"/>
    <x v="0"/>
    <n v="314893"/>
    <n v="224493"/>
    <n v="90400"/>
    <x v="2"/>
    <n v="0"/>
    <n v="1"/>
    <n v="0"/>
    <n v="1"/>
    <n v="1"/>
    <s v="No"/>
    <x v="1"/>
  </r>
  <r>
    <n v="21915"/>
    <d v="2024-01-16T00:00:00"/>
    <x v="3"/>
    <s v="Mumbai"/>
    <s v="SC_MUM_5"/>
    <x v="2"/>
    <s v="Panamera"/>
    <s v="Sedan"/>
    <x v="1"/>
    <x v="3"/>
    <x v="2"/>
    <x v="1"/>
    <n v="20"/>
    <n v="7"/>
    <x v="1"/>
    <x v="0"/>
    <n v="504882"/>
    <n v="283945"/>
    <n v="220937"/>
    <x v="0"/>
    <n v="0"/>
    <n v="1"/>
    <n v="1"/>
    <n v="0"/>
    <n v="1"/>
    <s v="Yes"/>
    <x v="0"/>
  </r>
  <r>
    <n v="21916"/>
    <d v="2024-05-13T00:00:00"/>
    <x v="2"/>
    <s v="Noida"/>
    <s v="SC_NOI_5"/>
    <x v="2"/>
    <s v="Macan"/>
    <s v="SUV"/>
    <x v="0"/>
    <x v="2"/>
    <x v="1"/>
    <x v="0"/>
    <n v="24"/>
    <n v="7"/>
    <x v="0"/>
    <x v="1"/>
    <n v="321391"/>
    <n v="171618"/>
    <n v="149773"/>
    <x v="0"/>
    <n v="321391"/>
    <n v="0"/>
    <n v="0"/>
    <n v="1"/>
    <n v="1"/>
    <s v="Yes"/>
    <x v="0"/>
  </r>
  <r>
    <n v="21917"/>
    <d v="2024-05-20T00:00:00"/>
    <x v="0"/>
    <s v="Bengaluru"/>
    <s v="SC_BEN_5"/>
    <x v="1"/>
    <s v="Chiron"/>
    <s v="Hypercar"/>
    <x v="0"/>
    <x v="0"/>
    <x v="2"/>
    <x v="0"/>
    <n v="2"/>
    <n v="7"/>
    <x v="1"/>
    <x v="1"/>
    <n v="527787"/>
    <n v="362048"/>
    <n v="165739"/>
    <x v="4"/>
    <n v="0"/>
    <n v="0"/>
    <n v="1"/>
    <n v="0"/>
    <n v="1"/>
    <s v="No"/>
    <x v="2"/>
  </r>
  <r>
    <n v="21918"/>
    <d v="2024-03-09T00:00:00"/>
    <x v="3"/>
    <s v="Pune"/>
    <s v="SC_PUN_2"/>
    <x v="1"/>
    <s v="Macan"/>
    <s v="SUV"/>
    <x v="0"/>
    <x v="2"/>
    <x v="0"/>
    <x v="0"/>
    <n v="4"/>
    <n v="7"/>
    <x v="1"/>
    <x v="1"/>
    <n v="218351"/>
    <n v="184664"/>
    <n v="33687"/>
    <x v="4"/>
    <n v="0"/>
    <n v="0"/>
    <n v="1"/>
    <n v="0"/>
    <n v="1"/>
    <s v="No"/>
    <x v="2"/>
  </r>
  <r>
    <n v="21919"/>
    <d v="2024-01-05T00:00:00"/>
    <x v="3"/>
    <s v="Ahmedabad"/>
    <s v="SC_AHM_2"/>
    <x v="2"/>
    <s v="Chiron"/>
    <s v="Hypercar"/>
    <x v="1"/>
    <x v="3"/>
    <x v="2"/>
    <x v="0"/>
    <n v="12"/>
    <n v="7"/>
    <x v="0"/>
    <x v="1"/>
    <n v="474541"/>
    <n v="260577"/>
    <n v="213964"/>
    <x v="1"/>
    <n v="474541"/>
    <n v="0"/>
    <n v="0"/>
    <n v="1"/>
    <n v="1"/>
    <s v="Yes"/>
    <x v="0"/>
  </r>
  <r>
    <n v="21920"/>
    <d v="2024-06-10T00:00:00"/>
    <x v="3"/>
    <s v="Mumbai"/>
    <s v="SC_MUM_4"/>
    <x v="2"/>
    <s v="Macan"/>
    <s v="SUV"/>
    <x v="0"/>
    <x v="4"/>
    <x v="2"/>
    <x v="0"/>
    <n v="6"/>
    <n v="7"/>
    <x v="0"/>
    <x v="0"/>
    <n v="599913"/>
    <n v="423044"/>
    <n v="176869"/>
    <x v="2"/>
    <n v="0"/>
    <n v="1"/>
    <n v="0"/>
    <n v="1"/>
    <n v="1"/>
    <s v="No"/>
    <x v="1"/>
  </r>
  <r>
    <n v="21921"/>
    <d v="2024-04-22T00:00:00"/>
    <x v="0"/>
    <s v="Bengaluru"/>
    <s v="SC_BEN_2"/>
    <x v="0"/>
    <s v="911"/>
    <s v="Coupe"/>
    <x v="0"/>
    <x v="3"/>
    <x v="1"/>
    <x v="1"/>
    <n v="24"/>
    <n v="7"/>
    <x v="0"/>
    <x v="1"/>
    <n v="302830"/>
    <n v="246410"/>
    <n v="56420"/>
    <x v="0"/>
    <n v="302830"/>
    <n v="0"/>
    <n v="0"/>
    <n v="1"/>
    <n v="1"/>
    <s v="Yes"/>
    <x v="0"/>
  </r>
  <r>
    <n v="21922"/>
    <d v="2024-03-14T00:00:00"/>
    <x v="1"/>
    <s v="Bhubaneswar"/>
    <s v="SC_BHU_1"/>
    <x v="1"/>
    <s v="Veyron"/>
    <s v="Hypercar"/>
    <x v="0"/>
    <x v="0"/>
    <x v="0"/>
    <x v="1"/>
    <n v="6"/>
    <n v="7"/>
    <x v="0"/>
    <x v="0"/>
    <n v="402330"/>
    <n v="207354"/>
    <n v="194976"/>
    <x v="2"/>
    <n v="0"/>
    <n v="1"/>
    <n v="0"/>
    <n v="1"/>
    <n v="1"/>
    <s v="No"/>
    <x v="1"/>
  </r>
  <r>
    <n v="21923"/>
    <d v="2024-01-27T00:00:00"/>
    <x v="3"/>
    <s v="Pune"/>
    <s v="SC_PUN_2"/>
    <x v="0"/>
    <s v="Macan"/>
    <s v="SUV"/>
    <x v="0"/>
    <x v="0"/>
    <x v="2"/>
    <x v="1"/>
    <n v="3"/>
    <n v="7"/>
    <x v="0"/>
    <x v="0"/>
    <n v="154962"/>
    <n v="91478"/>
    <n v="63484"/>
    <x v="3"/>
    <n v="0"/>
    <n v="1"/>
    <n v="0"/>
    <n v="1"/>
    <n v="1"/>
    <s v="No"/>
    <x v="2"/>
  </r>
  <r>
    <n v="21924"/>
    <d v="2024-02-09T00:00:00"/>
    <x v="2"/>
    <s v="Gurugram"/>
    <s v="SC_GUR_4"/>
    <x v="2"/>
    <s v="Cayenne"/>
    <s v="SUV"/>
    <x v="0"/>
    <x v="0"/>
    <x v="1"/>
    <x v="0"/>
    <n v="2"/>
    <n v="7"/>
    <x v="0"/>
    <x v="0"/>
    <n v="559642"/>
    <n v="327831"/>
    <n v="231811"/>
    <x v="3"/>
    <n v="0"/>
    <n v="1"/>
    <n v="0"/>
    <n v="1"/>
    <n v="1"/>
    <s v="No"/>
    <x v="2"/>
  </r>
  <r>
    <n v="21925"/>
    <d v="2024-06-11T00:00:00"/>
    <x v="2"/>
    <s v="Gurugram"/>
    <s v="SC_GUR_3"/>
    <x v="0"/>
    <s v="Cayenne"/>
    <s v="SUV"/>
    <x v="0"/>
    <x v="1"/>
    <x v="0"/>
    <x v="0"/>
    <n v="2"/>
    <n v="7"/>
    <x v="1"/>
    <x v="0"/>
    <n v="362938"/>
    <n v="266649"/>
    <n v="96289"/>
    <x v="4"/>
    <n v="0"/>
    <n v="1"/>
    <n v="1"/>
    <n v="0"/>
    <n v="1"/>
    <s v="No"/>
    <x v="2"/>
  </r>
  <r>
    <n v="21926"/>
    <d v="2024-04-04T00:00:00"/>
    <x v="0"/>
    <s v="Chennai"/>
    <s v="SC_CHE_4"/>
    <x v="2"/>
    <s v="911"/>
    <s v="Coupe"/>
    <x v="1"/>
    <x v="1"/>
    <x v="1"/>
    <x v="0"/>
    <n v="17"/>
    <n v="7"/>
    <x v="0"/>
    <x v="1"/>
    <n v="461415"/>
    <n v="346103"/>
    <n v="115312"/>
    <x v="0"/>
    <n v="461415"/>
    <n v="0"/>
    <n v="0"/>
    <n v="1"/>
    <n v="1"/>
    <s v="Yes"/>
    <x v="0"/>
  </r>
  <r>
    <n v="21927"/>
    <d v="2024-06-03T00:00:00"/>
    <x v="0"/>
    <s v="Hyderabad"/>
    <s v="SC_HYD_3"/>
    <x v="1"/>
    <s v="Cayenne"/>
    <s v="SUV"/>
    <x v="1"/>
    <x v="2"/>
    <x v="1"/>
    <x v="1"/>
    <n v="16"/>
    <n v="7"/>
    <x v="1"/>
    <x v="1"/>
    <n v="115367"/>
    <n v="62414"/>
    <n v="52953"/>
    <x v="1"/>
    <n v="0"/>
    <n v="0"/>
    <n v="1"/>
    <n v="0"/>
    <n v="1"/>
    <s v="Yes"/>
    <x v="0"/>
  </r>
  <r>
    <n v="21928"/>
    <d v="2024-03-09T00:00:00"/>
    <x v="0"/>
    <s v="Bengaluru"/>
    <s v="SC_BEN_5"/>
    <x v="0"/>
    <s v="Taycan"/>
    <s v="Sedan"/>
    <x v="0"/>
    <x v="0"/>
    <x v="1"/>
    <x v="0"/>
    <n v="6"/>
    <n v="7"/>
    <x v="0"/>
    <x v="1"/>
    <n v="577176"/>
    <n v="389734"/>
    <n v="187442"/>
    <x v="2"/>
    <n v="577176"/>
    <n v="0"/>
    <n v="0"/>
    <n v="1"/>
    <n v="1"/>
    <s v="No"/>
    <x v="1"/>
  </r>
  <r>
    <n v="21929"/>
    <d v="2024-02-15T00:00:00"/>
    <x v="0"/>
    <s v="Chennai"/>
    <s v="SC_CHE_2"/>
    <x v="2"/>
    <s v="Veyron"/>
    <s v="Hypercar"/>
    <x v="1"/>
    <x v="4"/>
    <x v="0"/>
    <x v="0"/>
    <n v="19"/>
    <n v="7"/>
    <x v="0"/>
    <x v="1"/>
    <n v="414756"/>
    <n v="317449"/>
    <n v="97307"/>
    <x v="0"/>
    <n v="414756"/>
    <n v="0"/>
    <n v="0"/>
    <n v="1"/>
    <n v="1"/>
    <s v="Yes"/>
    <x v="0"/>
  </r>
  <r>
    <n v="21930"/>
    <d v="2024-03-23T00:00:00"/>
    <x v="0"/>
    <s v="Chennai"/>
    <s v="SC_CHE_4"/>
    <x v="0"/>
    <s v="911"/>
    <s v="Coupe"/>
    <x v="1"/>
    <x v="0"/>
    <x v="2"/>
    <x v="0"/>
    <n v="25"/>
    <n v="7"/>
    <x v="1"/>
    <x v="1"/>
    <n v="526707"/>
    <n v="447158"/>
    <n v="79549"/>
    <x v="0"/>
    <n v="0"/>
    <n v="0"/>
    <n v="1"/>
    <n v="0"/>
    <n v="1"/>
    <s v="Yes"/>
    <x v="0"/>
  </r>
  <r>
    <n v="21931"/>
    <d v="2024-01-11T00:00:00"/>
    <x v="2"/>
    <s v="Noida"/>
    <s v="SC_NOI_3"/>
    <x v="1"/>
    <s v="Macan"/>
    <s v="SUV"/>
    <x v="1"/>
    <x v="1"/>
    <x v="2"/>
    <x v="0"/>
    <n v="14"/>
    <n v="7"/>
    <x v="0"/>
    <x v="0"/>
    <n v="489662"/>
    <n v="413746"/>
    <n v="75916"/>
    <x v="1"/>
    <n v="0"/>
    <n v="1"/>
    <n v="0"/>
    <n v="1"/>
    <n v="1"/>
    <s v="Yes"/>
    <x v="0"/>
  </r>
  <r>
    <n v="21932"/>
    <d v="2024-05-25T00:00:00"/>
    <x v="2"/>
    <s v="Noida"/>
    <s v="SC_NOI_2"/>
    <x v="0"/>
    <s v="Veyron"/>
    <s v="Hypercar"/>
    <x v="0"/>
    <x v="2"/>
    <x v="0"/>
    <x v="0"/>
    <n v="14"/>
    <n v="7"/>
    <x v="0"/>
    <x v="1"/>
    <n v="232980"/>
    <n v="186703"/>
    <n v="46277"/>
    <x v="1"/>
    <n v="232980"/>
    <n v="0"/>
    <n v="0"/>
    <n v="1"/>
    <n v="1"/>
    <s v="Yes"/>
    <x v="0"/>
  </r>
  <r>
    <n v="21933"/>
    <d v="2024-06-18T00:00:00"/>
    <x v="1"/>
    <s v="Bhubaneswar"/>
    <s v="SC_BHU_3"/>
    <x v="2"/>
    <s v="Veyron"/>
    <s v="Hypercar"/>
    <x v="1"/>
    <x v="2"/>
    <x v="2"/>
    <x v="1"/>
    <n v="17"/>
    <n v="7"/>
    <x v="1"/>
    <x v="0"/>
    <n v="362843"/>
    <n v="204805"/>
    <n v="158038"/>
    <x v="1"/>
    <n v="0"/>
    <n v="1"/>
    <n v="1"/>
    <n v="0"/>
    <n v="1"/>
    <s v="Yes"/>
    <x v="0"/>
  </r>
  <r>
    <n v="21934"/>
    <d v="2024-05-29T00:00:00"/>
    <x v="1"/>
    <s v="Patna"/>
    <s v="SC_PAT_1"/>
    <x v="1"/>
    <s v="Cayenne"/>
    <s v="SUV"/>
    <x v="1"/>
    <x v="2"/>
    <x v="1"/>
    <x v="0"/>
    <n v="8"/>
    <n v="7"/>
    <x v="1"/>
    <x v="0"/>
    <n v="156631"/>
    <n v="87889"/>
    <n v="68742"/>
    <x v="3"/>
    <n v="0"/>
    <n v="1"/>
    <n v="1"/>
    <n v="0"/>
    <n v="1"/>
    <s v="Yes"/>
    <x v="2"/>
  </r>
  <r>
    <n v="21935"/>
    <d v="2024-06-24T00:00:00"/>
    <x v="3"/>
    <s v="Ahmedabad"/>
    <s v="SC_AHM_1"/>
    <x v="1"/>
    <s v="Panamera"/>
    <s v="Sedan"/>
    <x v="1"/>
    <x v="4"/>
    <x v="1"/>
    <x v="0"/>
    <n v="14"/>
    <n v="7"/>
    <x v="0"/>
    <x v="1"/>
    <n v="568436"/>
    <n v="376948"/>
    <n v="191488"/>
    <x v="1"/>
    <n v="568436"/>
    <n v="0"/>
    <n v="0"/>
    <n v="1"/>
    <n v="1"/>
    <s v="Yes"/>
    <x v="0"/>
  </r>
  <r>
    <n v="21936"/>
    <d v="2024-06-23T00:00:00"/>
    <x v="3"/>
    <s v="Pune"/>
    <s v="SC_PUN_4"/>
    <x v="1"/>
    <s v="Veyron"/>
    <s v="Hypercar"/>
    <x v="1"/>
    <x v="4"/>
    <x v="2"/>
    <x v="0"/>
    <n v="8"/>
    <n v="7"/>
    <x v="1"/>
    <x v="1"/>
    <n v="109484"/>
    <n v="74422"/>
    <n v="35062"/>
    <x v="3"/>
    <n v="0"/>
    <n v="0"/>
    <n v="1"/>
    <n v="0"/>
    <n v="1"/>
    <s v="Yes"/>
    <x v="2"/>
  </r>
  <r>
    <n v="21937"/>
    <d v="2024-05-11T00:00:00"/>
    <x v="0"/>
    <s v="Bengaluru"/>
    <s v="SC_BEN_5"/>
    <x v="0"/>
    <s v="Macan"/>
    <s v="SUV"/>
    <x v="0"/>
    <x v="0"/>
    <x v="1"/>
    <x v="0"/>
    <n v="20"/>
    <n v="7"/>
    <x v="0"/>
    <x v="1"/>
    <n v="394556"/>
    <n v="263467"/>
    <n v="131089"/>
    <x v="0"/>
    <n v="394556"/>
    <n v="0"/>
    <n v="0"/>
    <n v="1"/>
    <n v="1"/>
    <s v="Yes"/>
    <x v="0"/>
  </r>
  <r>
    <n v="21938"/>
    <d v="2024-04-25T00:00:00"/>
    <x v="0"/>
    <s v="Chennai"/>
    <s v="SC_CHE_1"/>
    <x v="1"/>
    <s v="Cayenne"/>
    <s v="SUV"/>
    <x v="1"/>
    <x v="3"/>
    <x v="2"/>
    <x v="1"/>
    <n v="23"/>
    <n v="7"/>
    <x v="0"/>
    <x v="1"/>
    <n v="115031"/>
    <n v="66695"/>
    <n v="48336"/>
    <x v="0"/>
    <n v="115031"/>
    <n v="0"/>
    <n v="0"/>
    <n v="1"/>
    <n v="1"/>
    <s v="Yes"/>
    <x v="0"/>
  </r>
  <r>
    <n v="21939"/>
    <d v="2024-02-01T00:00:00"/>
    <x v="2"/>
    <s v="Gurugram"/>
    <s v="SC_GUR_4"/>
    <x v="1"/>
    <s v="Panamera"/>
    <s v="Sedan"/>
    <x v="0"/>
    <x v="1"/>
    <x v="2"/>
    <x v="1"/>
    <n v="14"/>
    <n v="7"/>
    <x v="1"/>
    <x v="1"/>
    <n v="105793"/>
    <n v="71309"/>
    <n v="34484"/>
    <x v="2"/>
    <n v="0"/>
    <n v="0"/>
    <n v="1"/>
    <n v="0"/>
    <n v="1"/>
    <s v="Yes"/>
    <x v="1"/>
  </r>
  <r>
    <n v="21940"/>
    <d v="2024-03-06T00:00:00"/>
    <x v="2"/>
    <s v="Delhi"/>
    <s v="SC_DEL_2"/>
    <x v="0"/>
    <s v="Veyron"/>
    <s v="Hypercar"/>
    <x v="1"/>
    <x v="0"/>
    <x v="1"/>
    <x v="0"/>
    <n v="16"/>
    <n v="7"/>
    <x v="1"/>
    <x v="1"/>
    <n v="415931"/>
    <n v="227506"/>
    <n v="188425"/>
    <x v="1"/>
    <n v="0"/>
    <n v="0"/>
    <n v="1"/>
    <n v="0"/>
    <n v="1"/>
    <s v="Yes"/>
    <x v="0"/>
  </r>
  <r>
    <n v="21941"/>
    <d v="2024-01-16T00:00:00"/>
    <x v="2"/>
    <s v="Gurugram"/>
    <s v="SC_GUR_3"/>
    <x v="2"/>
    <s v="Macan"/>
    <s v="SUV"/>
    <x v="0"/>
    <x v="1"/>
    <x v="0"/>
    <x v="0"/>
    <n v="23"/>
    <n v="7"/>
    <x v="0"/>
    <x v="0"/>
    <n v="261158"/>
    <n v="130982"/>
    <n v="130176"/>
    <x v="0"/>
    <n v="0"/>
    <n v="1"/>
    <n v="0"/>
    <n v="1"/>
    <n v="1"/>
    <s v="Yes"/>
    <x v="0"/>
  </r>
  <r>
    <n v="21942"/>
    <d v="2024-04-08T00:00:00"/>
    <x v="0"/>
    <s v="Bengaluru"/>
    <s v="SC_BEN_5"/>
    <x v="0"/>
    <s v="Panamera"/>
    <s v="Sedan"/>
    <x v="0"/>
    <x v="4"/>
    <x v="2"/>
    <x v="0"/>
    <n v="14"/>
    <n v="7"/>
    <x v="0"/>
    <x v="0"/>
    <n v="253844"/>
    <n v="171892"/>
    <n v="81952"/>
    <x v="1"/>
    <n v="0"/>
    <n v="1"/>
    <n v="0"/>
    <n v="1"/>
    <n v="1"/>
    <s v="Yes"/>
    <x v="0"/>
  </r>
  <r>
    <n v="21943"/>
    <d v="2024-03-26T00:00:00"/>
    <x v="0"/>
    <s v="Chennai"/>
    <s v="SC_CHE_3"/>
    <x v="2"/>
    <s v="911"/>
    <s v="Coupe"/>
    <x v="1"/>
    <x v="3"/>
    <x v="1"/>
    <x v="1"/>
    <n v="8"/>
    <n v="7"/>
    <x v="0"/>
    <x v="0"/>
    <n v="164350"/>
    <n v="137680"/>
    <n v="26670"/>
    <x v="2"/>
    <n v="0"/>
    <n v="1"/>
    <n v="0"/>
    <n v="1"/>
    <n v="1"/>
    <s v="Yes"/>
    <x v="1"/>
  </r>
  <r>
    <n v="21944"/>
    <d v="2024-05-14T00:00:00"/>
    <x v="2"/>
    <s v="Noida"/>
    <s v="SC_NOI_5"/>
    <x v="2"/>
    <s v="Veyron"/>
    <s v="Hypercar"/>
    <x v="1"/>
    <x v="1"/>
    <x v="1"/>
    <x v="0"/>
    <n v="20"/>
    <n v="7"/>
    <x v="0"/>
    <x v="0"/>
    <n v="287711"/>
    <n v="193467"/>
    <n v="94244"/>
    <x v="0"/>
    <n v="0"/>
    <n v="1"/>
    <n v="0"/>
    <n v="1"/>
    <n v="1"/>
    <s v="Yes"/>
    <x v="0"/>
  </r>
  <r>
    <n v="21945"/>
    <d v="2024-01-26T00:00:00"/>
    <x v="3"/>
    <s v="Mumbai"/>
    <s v="SC_MUM_1"/>
    <x v="0"/>
    <s v="Macan"/>
    <s v="SUV"/>
    <x v="1"/>
    <x v="0"/>
    <x v="0"/>
    <x v="0"/>
    <n v="19"/>
    <n v="7"/>
    <x v="0"/>
    <x v="1"/>
    <n v="496460"/>
    <n v="304841"/>
    <n v="191619"/>
    <x v="0"/>
    <n v="496460"/>
    <n v="0"/>
    <n v="0"/>
    <n v="1"/>
    <n v="1"/>
    <s v="Yes"/>
    <x v="0"/>
  </r>
  <r>
    <n v="21946"/>
    <d v="2024-02-02T00:00:00"/>
    <x v="3"/>
    <s v="Pune"/>
    <s v="SC_PUN_2"/>
    <x v="2"/>
    <s v="Chiron"/>
    <s v="Hypercar"/>
    <x v="0"/>
    <x v="2"/>
    <x v="0"/>
    <x v="1"/>
    <n v="13"/>
    <n v="7"/>
    <x v="0"/>
    <x v="1"/>
    <n v="349264"/>
    <n v="191065"/>
    <n v="158199"/>
    <x v="1"/>
    <n v="349264"/>
    <n v="0"/>
    <n v="0"/>
    <n v="1"/>
    <n v="1"/>
    <s v="Yes"/>
    <x v="0"/>
  </r>
  <r>
    <n v="21947"/>
    <d v="2024-01-28T00:00:00"/>
    <x v="3"/>
    <s v="Mumbai"/>
    <s v="SC_MUM_5"/>
    <x v="0"/>
    <s v="Cayenne"/>
    <s v="SUV"/>
    <x v="0"/>
    <x v="4"/>
    <x v="0"/>
    <x v="0"/>
    <n v="12"/>
    <n v="7"/>
    <x v="0"/>
    <x v="1"/>
    <n v="505808"/>
    <n v="302441"/>
    <n v="203367"/>
    <x v="1"/>
    <n v="505808"/>
    <n v="0"/>
    <n v="0"/>
    <n v="1"/>
    <n v="1"/>
    <s v="Yes"/>
    <x v="0"/>
  </r>
  <r>
    <n v="21948"/>
    <d v="2024-01-10T00:00:00"/>
    <x v="2"/>
    <s v="Noida"/>
    <s v="SC_NOI_4"/>
    <x v="1"/>
    <s v="Panamera"/>
    <s v="Sedan"/>
    <x v="0"/>
    <x v="4"/>
    <x v="2"/>
    <x v="0"/>
    <n v="4"/>
    <n v="7"/>
    <x v="0"/>
    <x v="1"/>
    <n v="119862"/>
    <n v="99937"/>
    <n v="19925"/>
    <x v="3"/>
    <n v="119862"/>
    <n v="0"/>
    <n v="0"/>
    <n v="1"/>
    <n v="1"/>
    <s v="No"/>
    <x v="2"/>
  </r>
  <r>
    <n v="21949"/>
    <d v="2024-02-27T00:00:00"/>
    <x v="2"/>
    <s v="Gurugram"/>
    <s v="SC_GUR_4"/>
    <x v="1"/>
    <s v="Taycan"/>
    <s v="Sedan"/>
    <x v="0"/>
    <x v="3"/>
    <x v="1"/>
    <x v="1"/>
    <n v="4"/>
    <n v="7"/>
    <x v="1"/>
    <x v="0"/>
    <n v="440762"/>
    <n v="263997"/>
    <n v="176765"/>
    <x v="4"/>
    <n v="0"/>
    <n v="1"/>
    <n v="1"/>
    <n v="0"/>
    <n v="1"/>
    <s v="No"/>
    <x v="2"/>
  </r>
  <r>
    <n v="21950"/>
    <d v="2024-06-25T00:00:00"/>
    <x v="0"/>
    <s v="Bengaluru"/>
    <s v="SC_BEN_4"/>
    <x v="2"/>
    <s v="Veyron"/>
    <s v="Hypercar"/>
    <x v="1"/>
    <x v="4"/>
    <x v="2"/>
    <x v="0"/>
    <n v="20"/>
    <n v="7"/>
    <x v="0"/>
    <x v="0"/>
    <n v="371469"/>
    <n v="303641"/>
    <n v="67828"/>
    <x v="0"/>
    <n v="0"/>
    <n v="1"/>
    <n v="0"/>
    <n v="1"/>
    <n v="1"/>
    <s v="Yes"/>
    <x v="0"/>
  </r>
  <r>
    <n v="21951"/>
    <d v="2024-06-03T00:00:00"/>
    <x v="2"/>
    <s v="Gurugram"/>
    <s v="SC_GUR_5"/>
    <x v="1"/>
    <s v="Veyron"/>
    <s v="Hypercar"/>
    <x v="1"/>
    <x v="4"/>
    <x v="2"/>
    <x v="0"/>
    <n v="10"/>
    <n v="7"/>
    <x v="1"/>
    <x v="1"/>
    <n v="527492"/>
    <n v="307445"/>
    <n v="220047"/>
    <x v="2"/>
    <n v="0"/>
    <n v="0"/>
    <n v="1"/>
    <n v="0"/>
    <n v="1"/>
    <s v="Yes"/>
    <x v="1"/>
  </r>
  <r>
    <n v="21952"/>
    <d v="2024-01-27T00:00:00"/>
    <x v="3"/>
    <s v="Mumbai"/>
    <s v="SC_MUM_5"/>
    <x v="0"/>
    <s v="Macan"/>
    <s v="SUV"/>
    <x v="1"/>
    <x v="4"/>
    <x v="2"/>
    <x v="0"/>
    <n v="3"/>
    <n v="7"/>
    <x v="0"/>
    <x v="1"/>
    <n v="326276"/>
    <n v="170039"/>
    <n v="156237"/>
    <x v="3"/>
    <n v="326276"/>
    <n v="0"/>
    <n v="0"/>
    <n v="1"/>
    <n v="1"/>
    <s v="No"/>
    <x v="2"/>
  </r>
  <r>
    <n v="21953"/>
    <d v="2024-04-12T00:00:00"/>
    <x v="1"/>
    <s v="Bhubaneswar"/>
    <s v="SC_BHU_1"/>
    <x v="0"/>
    <s v="Chiron"/>
    <s v="Hypercar"/>
    <x v="0"/>
    <x v="0"/>
    <x v="2"/>
    <x v="0"/>
    <n v="8"/>
    <n v="7"/>
    <x v="1"/>
    <x v="1"/>
    <n v="239121"/>
    <n v="189446"/>
    <n v="49675"/>
    <x v="3"/>
    <n v="0"/>
    <n v="0"/>
    <n v="1"/>
    <n v="0"/>
    <n v="1"/>
    <s v="Yes"/>
    <x v="2"/>
  </r>
  <r>
    <n v="21954"/>
    <d v="2024-01-19T00:00:00"/>
    <x v="3"/>
    <s v="Pune"/>
    <s v="SC_PUN_2"/>
    <x v="2"/>
    <s v="Taycan"/>
    <s v="Sedan"/>
    <x v="1"/>
    <x v="4"/>
    <x v="2"/>
    <x v="1"/>
    <n v="9"/>
    <n v="7"/>
    <x v="0"/>
    <x v="1"/>
    <n v="160913"/>
    <n v="110100"/>
    <n v="50813"/>
    <x v="2"/>
    <n v="160913"/>
    <n v="0"/>
    <n v="0"/>
    <n v="1"/>
    <n v="1"/>
    <s v="Yes"/>
    <x v="1"/>
  </r>
  <r>
    <n v="21955"/>
    <d v="2024-03-03T00:00:00"/>
    <x v="2"/>
    <s v="Noida"/>
    <s v="SC_NOI_2"/>
    <x v="0"/>
    <s v="Chiron"/>
    <s v="Hypercar"/>
    <x v="0"/>
    <x v="2"/>
    <x v="1"/>
    <x v="0"/>
    <n v="4"/>
    <n v="7"/>
    <x v="0"/>
    <x v="1"/>
    <n v="315213"/>
    <n v="164536"/>
    <n v="150677"/>
    <x v="3"/>
    <n v="315213"/>
    <n v="0"/>
    <n v="0"/>
    <n v="1"/>
    <n v="1"/>
    <s v="No"/>
    <x v="2"/>
  </r>
  <r>
    <n v="21956"/>
    <d v="2024-01-23T00:00:00"/>
    <x v="1"/>
    <s v="Bhubaneswar"/>
    <s v="SC_BHU_2"/>
    <x v="1"/>
    <s v="Taycan"/>
    <s v="Sedan"/>
    <x v="0"/>
    <x v="0"/>
    <x v="0"/>
    <x v="1"/>
    <n v="2"/>
    <n v="7"/>
    <x v="0"/>
    <x v="1"/>
    <n v="514316"/>
    <n v="289035"/>
    <n v="225281"/>
    <x v="3"/>
    <n v="514316"/>
    <n v="0"/>
    <n v="0"/>
    <n v="1"/>
    <n v="1"/>
    <s v="No"/>
    <x v="2"/>
  </r>
  <r>
    <n v="21957"/>
    <d v="2024-06-12T00:00:00"/>
    <x v="1"/>
    <s v="Bhubaneswar"/>
    <s v="SC_BHU_4"/>
    <x v="1"/>
    <s v="911"/>
    <s v="Coupe"/>
    <x v="1"/>
    <x v="0"/>
    <x v="0"/>
    <x v="0"/>
    <n v="18"/>
    <n v="7"/>
    <x v="0"/>
    <x v="0"/>
    <n v="369613"/>
    <n v="252210"/>
    <n v="117403"/>
    <x v="0"/>
    <n v="0"/>
    <n v="1"/>
    <n v="0"/>
    <n v="1"/>
    <n v="1"/>
    <s v="Yes"/>
    <x v="0"/>
  </r>
  <r>
    <n v="21958"/>
    <d v="2024-04-22T00:00:00"/>
    <x v="0"/>
    <s v="Hyderabad"/>
    <s v="SC_HYD_2"/>
    <x v="1"/>
    <s v="Chiron"/>
    <s v="Hypercar"/>
    <x v="1"/>
    <x v="3"/>
    <x v="0"/>
    <x v="1"/>
    <n v="10"/>
    <n v="7"/>
    <x v="0"/>
    <x v="0"/>
    <n v="449043"/>
    <n v="248337"/>
    <n v="200706"/>
    <x v="1"/>
    <n v="0"/>
    <n v="1"/>
    <n v="0"/>
    <n v="1"/>
    <n v="1"/>
    <s v="Yes"/>
    <x v="0"/>
  </r>
  <r>
    <n v="21959"/>
    <d v="2024-01-15T00:00:00"/>
    <x v="0"/>
    <s v="Bengaluru"/>
    <s v="SC_BEN_4"/>
    <x v="2"/>
    <s v="Veyron"/>
    <s v="Hypercar"/>
    <x v="1"/>
    <x v="2"/>
    <x v="1"/>
    <x v="1"/>
    <n v="13"/>
    <n v="7"/>
    <x v="1"/>
    <x v="1"/>
    <n v="126641"/>
    <n v="76397"/>
    <n v="50244"/>
    <x v="2"/>
    <n v="0"/>
    <n v="0"/>
    <n v="1"/>
    <n v="0"/>
    <n v="1"/>
    <s v="Yes"/>
    <x v="1"/>
  </r>
  <r>
    <n v="21960"/>
    <d v="2024-05-17T00:00:00"/>
    <x v="3"/>
    <s v="Ahmedabad"/>
    <s v="SC_AHM_1"/>
    <x v="1"/>
    <s v="Chiron"/>
    <s v="Hypercar"/>
    <x v="0"/>
    <x v="4"/>
    <x v="0"/>
    <x v="1"/>
    <n v="17"/>
    <n v="7"/>
    <x v="0"/>
    <x v="0"/>
    <n v="125727"/>
    <n v="83471"/>
    <n v="42256"/>
    <x v="0"/>
    <n v="0"/>
    <n v="1"/>
    <n v="0"/>
    <n v="1"/>
    <n v="1"/>
    <s v="Yes"/>
    <x v="0"/>
  </r>
  <r>
    <n v="21961"/>
    <d v="2024-03-29T00:00:00"/>
    <x v="2"/>
    <s v="Gurugram"/>
    <s v="SC_GUR_5"/>
    <x v="0"/>
    <s v="Chiron"/>
    <s v="Hypercar"/>
    <x v="1"/>
    <x v="3"/>
    <x v="1"/>
    <x v="0"/>
    <n v="2"/>
    <n v="7"/>
    <x v="0"/>
    <x v="1"/>
    <n v="407700"/>
    <n v="317392"/>
    <n v="90308"/>
    <x v="3"/>
    <n v="407700"/>
    <n v="0"/>
    <n v="0"/>
    <n v="1"/>
    <n v="1"/>
    <s v="No"/>
    <x v="2"/>
  </r>
  <r>
    <n v="21962"/>
    <d v="2024-05-07T00:00:00"/>
    <x v="2"/>
    <s v="Gurugram"/>
    <s v="SC_GUR_4"/>
    <x v="0"/>
    <s v="Veyron"/>
    <s v="Hypercar"/>
    <x v="1"/>
    <x v="3"/>
    <x v="0"/>
    <x v="1"/>
    <n v="4"/>
    <n v="7"/>
    <x v="0"/>
    <x v="1"/>
    <n v="337279"/>
    <n v="194197"/>
    <n v="143082"/>
    <x v="3"/>
    <n v="337279"/>
    <n v="0"/>
    <n v="0"/>
    <n v="1"/>
    <n v="1"/>
    <s v="No"/>
    <x v="2"/>
  </r>
  <r>
    <n v="21963"/>
    <d v="2024-05-10T00:00:00"/>
    <x v="1"/>
    <s v="Patna"/>
    <s v="SC_PAT_5"/>
    <x v="0"/>
    <s v="Macan"/>
    <s v="SUV"/>
    <x v="1"/>
    <x v="1"/>
    <x v="2"/>
    <x v="0"/>
    <n v="20"/>
    <n v="7"/>
    <x v="1"/>
    <x v="1"/>
    <n v="364719"/>
    <n v="229694"/>
    <n v="135025"/>
    <x v="0"/>
    <n v="0"/>
    <n v="0"/>
    <n v="1"/>
    <n v="0"/>
    <n v="1"/>
    <s v="Yes"/>
    <x v="0"/>
  </r>
  <r>
    <n v="21964"/>
    <d v="2024-06-14T00:00:00"/>
    <x v="3"/>
    <s v="Ahmedabad"/>
    <s v="SC_AHM_5"/>
    <x v="2"/>
    <s v="Taycan"/>
    <s v="Sedan"/>
    <x v="0"/>
    <x v="1"/>
    <x v="2"/>
    <x v="0"/>
    <n v="22"/>
    <n v="7"/>
    <x v="1"/>
    <x v="1"/>
    <n v="361460"/>
    <n v="182333"/>
    <n v="179127"/>
    <x v="0"/>
    <n v="0"/>
    <n v="0"/>
    <n v="1"/>
    <n v="0"/>
    <n v="1"/>
    <s v="Yes"/>
    <x v="0"/>
  </r>
  <r>
    <n v="21965"/>
    <d v="2024-06-23T00:00:00"/>
    <x v="3"/>
    <s v="Mumbai"/>
    <s v="SC_MUM_5"/>
    <x v="2"/>
    <s v="Veyron"/>
    <s v="Hypercar"/>
    <x v="0"/>
    <x v="3"/>
    <x v="2"/>
    <x v="1"/>
    <n v="10"/>
    <n v="7"/>
    <x v="1"/>
    <x v="0"/>
    <n v="372716"/>
    <n v="213841"/>
    <n v="158875"/>
    <x v="2"/>
    <n v="0"/>
    <n v="1"/>
    <n v="1"/>
    <n v="0"/>
    <n v="1"/>
    <s v="Yes"/>
    <x v="1"/>
  </r>
  <r>
    <n v="21966"/>
    <d v="2024-04-23T00:00:00"/>
    <x v="0"/>
    <s v="Hyderabad"/>
    <s v="SC_HYD_4"/>
    <x v="2"/>
    <s v="Taycan"/>
    <s v="Sedan"/>
    <x v="1"/>
    <x v="0"/>
    <x v="2"/>
    <x v="0"/>
    <n v="19"/>
    <n v="7"/>
    <x v="0"/>
    <x v="1"/>
    <n v="321752"/>
    <n v="242918"/>
    <n v="78834"/>
    <x v="0"/>
    <n v="321752"/>
    <n v="0"/>
    <n v="0"/>
    <n v="1"/>
    <n v="1"/>
    <s v="Yes"/>
    <x v="0"/>
  </r>
  <r>
    <n v="21967"/>
    <d v="2024-05-09T00:00:00"/>
    <x v="3"/>
    <s v="Pune"/>
    <s v="SC_PUN_2"/>
    <x v="0"/>
    <s v="Taycan"/>
    <s v="Sedan"/>
    <x v="1"/>
    <x v="1"/>
    <x v="2"/>
    <x v="0"/>
    <n v="5"/>
    <n v="7"/>
    <x v="1"/>
    <x v="1"/>
    <n v="150005"/>
    <n v="75969"/>
    <n v="74036"/>
    <x v="3"/>
    <n v="0"/>
    <n v="0"/>
    <n v="1"/>
    <n v="0"/>
    <n v="1"/>
    <s v="No"/>
    <x v="2"/>
  </r>
  <r>
    <n v="21968"/>
    <d v="2024-05-07T00:00:00"/>
    <x v="0"/>
    <s v="Bengaluru"/>
    <s v="SC_BEN_3"/>
    <x v="0"/>
    <s v="Veyron"/>
    <s v="Hypercar"/>
    <x v="0"/>
    <x v="4"/>
    <x v="1"/>
    <x v="0"/>
    <n v="14"/>
    <n v="7"/>
    <x v="1"/>
    <x v="0"/>
    <n v="306857"/>
    <n v="215337"/>
    <n v="91520"/>
    <x v="2"/>
    <n v="0"/>
    <n v="1"/>
    <n v="1"/>
    <n v="0"/>
    <n v="1"/>
    <s v="Yes"/>
    <x v="1"/>
  </r>
  <r>
    <n v="21969"/>
    <d v="2024-05-09T00:00:00"/>
    <x v="1"/>
    <s v="Kolkata"/>
    <s v="SC_KOL_5"/>
    <x v="0"/>
    <s v="Taycan"/>
    <s v="Sedan"/>
    <x v="1"/>
    <x v="1"/>
    <x v="2"/>
    <x v="0"/>
    <n v="20"/>
    <n v="7"/>
    <x v="1"/>
    <x v="1"/>
    <n v="176055"/>
    <n v="137541"/>
    <n v="38514"/>
    <x v="0"/>
    <n v="0"/>
    <n v="0"/>
    <n v="1"/>
    <n v="0"/>
    <n v="1"/>
    <s v="Yes"/>
    <x v="0"/>
  </r>
  <r>
    <n v="21970"/>
    <d v="2024-06-13T00:00:00"/>
    <x v="2"/>
    <s v="Noida"/>
    <s v="SC_NOI_4"/>
    <x v="1"/>
    <s v="Chiron"/>
    <s v="Hypercar"/>
    <x v="1"/>
    <x v="1"/>
    <x v="0"/>
    <x v="1"/>
    <n v="14"/>
    <n v="7"/>
    <x v="0"/>
    <x v="1"/>
    <n v="411034"/>
    <n v="287927"/>
    <n v="123107"/>
    <x v="1"/>
    <n v="411034"/>
    <n v="0"/>
    <n v="0"/>
    <n v="1"/>
    <n v="1"/>
    <s v="Yes"/>
    <x v="0"/>
  </r>
  <r>
    <n v="21971"/>
    <d v="2024-03-06T00:00:00"/>
    <x v="3"/>
    <s v="Pune"/>
    <s v="SC_PUN_4"/>
    <x v="2"/>
    <s v="911"/>
    <s v="Coupe"/>
    <x v="0"/>
    <x v="2"/>
    <x v="1"/>
    <x v="0"/>
    <n v="9"/>
    <n v="7"/>
    <x v="1"/>
    <x v="1"/>
    <n v="364892"/>
    <n v="237269"/>
    <n v="127623"/>
    <x v="3"/>
    <n v="0"/>
    <n v="0"/>
    <n v="1"/>
    <n v="0"/>
    <n v="1"/>
    <s v="Yes"/>
    <x v="2"/>
  </r>
  <r>
    <n v="21972"/>
    <d v="2024-04-26T00:00:00"/>
    <x v="1"/>
    <s v="Patna"/>
    <s v="SC_PAT_3"/>
    <x v="1"/>
    <s v="Panamera"/>
    <s v="Sedan"/>
    <x v="1"/>
    <x v="0"/>
    <x v="1"/>
    <x v="0"/>
    <n v="24"/>
    <n v="7"/>
    <x v="0"/>
    <x v="1"/>
    <n v="202850"/>
    <n v="127592"/>
    <n v="75258"/>
    <x v="0"/>
    <n v="202850"/>
    <n v="0"/>
    <n v="0"/>
    <n v="1"/>
    <n v="1"/>
    <s v="Yes"/>
    <x v="0"/>
  </r>
  <r>
    <n v="21973"/>
    <d v="2024-03-15T00:00:00"/>
    <x v="2"/>
    <s v="Noida"/>
    <s v="SC_NOI_1"/>
    <x v="1"/>
    <s v="Macan"/>
    <s v="SUV"/>
    <x v="1"/>
    <x v="1"/>
    <x v="2"/>
    <x v="0"/>
    <n v="18"/>
    <n v="7"/>
    <x v="0"/>
    <x v="0"/>
    <n v="302210"/>
    <n v="222434"/>
    <n v="79776"/>
    <x v="0"/>
    <n v="0"/>
    <n v="1"/>
    <n v="0"/>
    <n v="1"/>
    <n v="1"/>
    <s v="Yes"/>
    <x v="0"/>
  </r>
  <r>
    <n v="21974"/>
    <d v="2024-01-01T00:00:00"/>
    <x v="0"/>
    <s v="Chennai"/>
    <s v="SC_CHE_3"/>
    <x v="0"/>
    <s v="911"/>
    <s v="Coupe"/>
    <x v="0"/>
    <x v="0"/>
    <x v="2"/>
    <x v="1"/>
    <n v="10"/>
    <n v="7"/>
    <x v="1"/>
    <x v="1"/>
    <n v="143959"/>
    <n v="72230"/>
    <n v="71729"/>
    <x v="2"/>
    <n v="0"/>
    <n v="0"/>
    <n v="1"/>
    <n v="0"/>
    <n v="1"/>
    <s v="Yes"/>
    <x v="1"/>
  </r>
  <r>
    <n v="21975"/>
    <d v="2024-02-13T00:00:00"/>
    <x v="0"/>
    <s v="Bengaluru"/>
    <s v="SC_BEN_1"/>
    <x v="0"/>
    <s v="Macan"/>
    <s v="SUV"/>
    <x v="1"/>
    <x v="4"/>
    <x v="2"/>
    <x v="1"/>
    <n v="18"/>
    <n v="7"/>
    <x v="0"/>
    <x v="1"/>
    <n v="218016"/>
    <n v="184693"/>
    <n v="33323"/>
    <x v="0"/>
    <n v="218016"/>
    <n v="0"/>
    <n v="0"/>
    <n v="1"/>
    <n v="1"/>
    <s v="Yes"/>
    <x v="0"/>
  </r>
  <r>
    <n v="21976"/>
    <d v="2024-04-05T00:00:00"/>
    <x v="3"/>
    <s v="Mumbai"/>
    <s v="SC_MUM_1"/>
    <x v="2"/>
    <s v="Panamera"/>
    <s v="Sedan"/>
    <x v="1"/>
    <x v="4"/>
    <x v="1"/>
    <x v="0"/>
    <n v="25"/>
    <n v="7"/>
    <x v="0"/>
    <x v="1"/>
    <n v="487327"/>
    <n v="384137"/>
    <n v="103190"/>
    <x v="0"/>
    <n v="487327"/>
    <n v="0"/>
    <n v="0"/>
    <n v="1"/>
    <n v="1"/>
    <s v="Yes"/>
    <x v="0"/>
  </r>
  <r>
    <n v="21977"/>
    <d v="2024-04-12T00:00:00"/>
    <x v="1"/>
    <s v="Patna"/>
    <s v="SC_PAT_1"/>
    <x v="0"/>
    <s v="Chiron"/>
    <s v="Hypercar"/>
    <x v="1"/>
    <x v="2"/>
    <x v="2"/>
    <x v="1"/>
    <n v="14"/>
    <n v="7"/>
    <x v="0"/>
    <x v="0"/>
    <n v="245192"/>
    <n v="141285"/>
    <n v="103907"/>
    <x v="1"/>
    <n v="0"/>
    <n v="1"/>
    <n v="0"/>
    <n v="1"/>
    <n v="1"/>
    <s v="Yes"/>
    <x v="0"/>
  </r>
  <r>
    <n v="21978"/>
    <d v="2024-06-19T00:00:00"/>
    <x v="0"/>
    <s v="Chennai"/>
    <s v="SC_CHE_4"/>
    <x v="0"/>
    <s v="Veyron"/>
    <s v="Hypercar"/>
    <x v="1"/>
    <x v="2"/>
    <x v="2"/>
    <x v="1"/>
    <n v="15"/>
    <n v="7"/>
    <x v="1"/>
    <x v="1"/>
    <n v="225103"/>
    <n v="174181"/>
    <n v="50922"/>
    <x v="1"/>
    <n v="0"/>
    <n v="0"/>
    <n v="1"/>
    <n v="0"/>
    <n v="1"/>
    <s v="Yes"/>
    <x v="0"/>
  </r>
  <r>
    <n v="21979"/>
    <d v="2024-06-23T00:00:00"/>
    <x v="2"/>
    <s v="Noida"/>
    <s v="SC_NOI_1"/>
    <x v="2"/>
    <s v="Chiron"/>
    <s v="Hypercar"/>
    <x v="1"/>
    <x v="2"/>
    <x v="2"/>
    <x v="0"/>
    <n v="21"/>
    <n v="7"/>
    <x v="1"/>
    <x v="1"/>
    <n v="154325"/>
    <n v="87278"/>
    <n v="67047"/>
    <x v="0"/>
    <n v="0"/>
    <n v="0"/>
    <n v="1"/>
    <n v="0"/>
    <n v="1"/>
    <s v="Yes"/>
    <x v="0"/>
  </r>
  <r>
    <n v="21980"/>
    <d v="2024-03-05T00:00:00"/>
    <x v="0"/>
    <s v="Bengaluru"/>
    <s v="SC_BEN_4"/>
    <x v="0"/>
    <s v="Macan"/>
    <s v="SUV"/>
    <x v="0"/>
    <x v="0"/>
    <x v="1"/>
    <x v="1"/>
    <n v="3"/>
    <n v="7"/>
    <x v="0"/>
    <x v="1"/>
    <n v="204735"/>
    <n v="108270"/>
    <n v="96465"/>
    <x v="3"/>
    <n v="204735"/>
    <n v="0"/>
    <n v="0"/>
    <n v="1"/>
    <n v="1"/>
    <s v="No"/>
    <x v="2"/>
  </r>
  <r>
    <n v="21981"/>
    <d v="2024-04-03T00:00:00"/>
    <x v="2"/>
    <s v="Delhi"/>
    <s v="SC_DEL_4"/>
    <x v="2"/>
    <s v="Chiron"/>
    <s v="Hypercar"/>
    <x v="1"/>
    <x v="3"/>
    <x v="0"/>
    <x v="0"/>
    <n v="4"/>
    <n v="7"/>
    <x v="0"/>
    <x v="0"/>
    <n v="131487"/>
    <n v="88057"/>
    <n v="43430"/>
    <x v="3"/>
    <n v="0"/>
    <n v="1"/>
    <n v="0"/>
    <n v="1"/>
    <n v="1"/>
    <s v="No"/>
    <x v="2"/>
  </r>
  <r>
    <n v="21982"/>
    <d v="2024-05-05T00:00:00"/>
    <x v="2"/>
    <s v="Noida"/>
    <s v="SC_NOI_3"/>
    <x v="2"/>
    <s v="Panamera"/>
    <s v="Sedan"/>
    <x v="0"/>
    <x v="2"/>
    <x v="1"/>
    <x v="0"/>
    <n v="19"/>
    <n v="7"/>
    <x v="0"/>
    <x v="1"/>
    <n v="530364"/>
    <n v="309439"/>
    <n v="220925"/>
    <x v="0"/>
    <n v="530364"/>
    <n v="0"/>
    <n v="0"/>
    <n v="1"/>
    <n v="1"/>
    <s v="Yes"/>
    <x v="0"/>
  </r>
  <r>
    <n v="21983"/>
    <d v="2024-03-28T00:00:00"/>
    <x v="3"/>
    <s v="Pune"/>
    <s v="SC_PUN_1"/>
    <x v="2"/>
    <s v="Panamera"/>
    <s v="Sedan"/>
    <x v="0"/>
    <x v="0"/>
    <x v="1"/>
    <x v="1"/>
    <n v="8"/>
    <n v="7"/>
    <x v="1"/>
    <x v="1"/>
    <n v="516799"/>
    <n v="349045"/>
    <n v="167754"/>
    <x v="3"/>
    <n v="0"/>
    <n v="0"/>
    <n v="1"/>
    <n v="0"/>
    <n v="1"/>
    <s v="Yes"/>
    <x v="2"/>
  </r>
  <r>
    <n v="21984"/>
    <d v="2024-06-06T00:00:00"/>
    <x v="1"/>
    <s v="Bhubaneswar"/>
    <s v="SC_BHU_4"/>
    <x v="1"/>
    <s v="911"/>
    <s v="Coupe"/>
    <x v="1"/>
    <x v="2"/>
    <x v="2"/>
    <x v="0"/>
    <n v="13"/>
    <n v="7"/>
    <x v="1"/>
    <x v="1"/>
    <n v="211462"/>
    <n v="122768"/>
    <n v="88694"/>
    <x v="2"/>
    <n v="0"/>
    <n v="0"/>
    <n v="1"/>
    <n v="0"/>
    <n v="1"/>
    <s v="Yes"/>
    <x v="1"/>
  </r>
  <r>
    <n v="21985"/>
    <d v="2024-06-19T00:00:00"/>
    <x v="1"/>
    <s v="Patna"/>
    <s v="SC_PAT_2"/>
    <x v="0"/>
    <s v="Panamera"/>
    <s v="Sedan"/>
    <x v="0"/>
    <x v="3"/>
    <x v="2"/>
    <x v="0"/>
    <n v="15"/>
    <n v="7"/>
    <x v="1"/>
    <x v="0"/>
    <n v="536432"/>
    <n v="350213"/>
    <n v="186219"/>
    <x v="1"/>
    <n v="0"/>
    <n v="1"/>
    <n v="1"/>
    <n v="0"/>
    <n v="1"/>
    <s v="Yes"/>
    <x v="0"/>
  </r>
  <r>
    <n v="21986"/>
    <d v="2024-05-27T00:00:00"/>
    <x v="3"/>
    <s v="Mumbai"/>
    <s v="SC_MUM_2"/>
    <x v="2"/>
    <s v="Veyron"/>
    <s v="Hypercar"/>
    <x v="0"/>
    <x v="4"/>
    <x v="1"/>
    <x v="1"/>
    <n v="11"/>
    <n v="7"/>
    <x v="0"/>
    <x v="1"/>
    <n v="279831"/>
    <n v="140826"/>
    <n v="139005"/>
    <x v="1"/>
    <n v="279831"/>
    <n v="0"/>
    <n v="0"/>
    <n v="1"/>
    <n v="1"/>
    <s v="Yes"/>
    <x v="0"/>
  </r>
  <r>
    <n v="21987"/>
    <d v="2024-04-15T00:00:00"/>
    <x v="3"/>
    <s v="Pune"/>
    <s v="SC_PUN_2"/>
    <x v="2"/>
    <s v="Veyron"/>
    <s v="Hypercar"/>
    <x v="0"/>
    <x v="1"/>
    <x v="2"/>
    <x v="0"/>
    <n v="8"/>
    <n v="7"/>
    <x v="0"/>
    <x v="0"/>
    <n v="422276"/>
    <n v="312156"/>
    <n v="110120"/>
    <x v="2"/>
    <n v="0"/>
    <n v="1"/>
    <n v="0"/>
    <n v="1"/>
    <n v="1"/>
    <s v="Yes"/>
    <x v="1"/>
  </r>
  <r>
    <n v="21988"/>
    <d v="2024-04-19T00:00:00"/>
    <x v="3"/>
    <s v="Ahmedabad"/>
    <s v="SC_AHM_5"/>
    <x v="2"/>
    <s v="911"/>
    <s v="Coupe"/>
    <x v="1"/>
    <x v="1"/>
    <x v="2"/>
    <x v="0"/>
    <n v="4"/>
    <n v="7"/>
    <x v="0"/>
    <x v="1"/>
    <n v="497698"/>
    <n v="307925"/>
    <n v="189773"/>
    <x v="3"/>
    <n v="497698"/>
    <n v="0"/>
    <n v="0"/>
    <n v="1"/>
    <n v="1"/>
    <s v="No"/>
    <x v="2"/>
  </r>
  <r>
    <n v="21989"/>
    <d v="2024-06-21T00:00:00"/>
    <x v="1"/>
    <s v="Kolkata"/>
    <s v="SC_KOL_4"/>
    <x v="2"/>
    <s v="Cayenne"/>
    <s v="SUV"/>
    <x v="0"/>
    <x v="3"/>
    <x v="1"/>
    <x v="0"/>
    <n v="4"/>
    <n v="7"/>
    <x v="1"/>
    <x v="1"/>
    <n v="177707"/>
    <n v="93344"/>
    <n v="84363"/>
    <x v="4"/>
    <n v="0"/>
    <n v="0"/>
    <n v="1"/>
    <n v="0"/>
    <n v="1"/>
    <s v="No"/>
    <x v="2"/>
  </r>
  <r>
    <n v="21990"/>
    <d v="2024-06-24T00:00:00"/>
    <x v="2"/>
    <s v="Noida"/>
    <s v="SC_NOI_1"/>
    <x v="0"/>
    <s v="Chiron"/>
    <s v="Hypercar"/>
    <x v="1"/>
    <x v="0"/>
    <x v="1"/>
    <x v="0"/>
    <n v="15"/>
    <n v="7"/>
    <x v="0"/>
    <x v="1"/>
    <n v="590194"/>
    <n v="437450"/>
    <n v="152744"/>
    <x v="0"/>
    <n v="590194"/>
    <n v="0"/>
    <n v="0"/>
    <n v="1"/>
    <n v="1"/>
    <s v="Yes"/>
    <x v="0"/>
  </r>
  <r>
    <n v="21991"/>
    <d v="2024-01-17T00:00:00"/>
    <x v="0"/>
    <s v="Bengaluru"/>
    <s v="SC_BEN_5"/>
    <x v="1"/>
    <s v="Macan"/>
    <s v="SUV"/>
    <x v="0"/>
    <x v="3"/>
    <x v="2"/>
    <x v="0"/>
    <n v="5"/>
    <n v="7"/>
    <x v="1"/>
    <x v="1"/>
    <n v="392864"/>
    <n v="207586"/>
    <n v="185278"/>
    <x v="3"/>
    <n v="0"/>
    <n v="0"/>
    <n v="1"/>
    <n v="0"/>
    <n v="1"/>
    <s v="No"/>
    <x v="2"/>
  </r>
  <r>
    <n v="21992"/>
    <d v="2024-04-01T00:00:00"/>
    <x v="3"/>
    <s v="Mumbai"/>
    <s v="SC_MUM_5"/>
    <x v="2"/>
    <s v="Macan"/>
    <s v="SUV"/>
    <x v="1"/>
    <x v="3"/>
    <x v="2"/>
    <x v="1"/>
    <n v="2"/>
    <n v="7"/>
    <x v="1"/>
    <x v="0"/>
    <n v="166483"/>
    <n v="129288"/>
    <n v="37195"/>
    <x v="4"/>
    <n v="0"/>
    <n v="1"/>
    <n v="1"/>
    <n v="0"/>
    <n v="1"/>
    <s v="No"/>
    <x v="2"/>
  </r>
  <r>
    <n v="21993"/>
    <d v="2024-05-21T00:00:00"/>
    <x v="1"/>
    <s v="Patna"/>
    <s v="SC_PAT_1"/>
    <x v="1"/>
    <s v="Chiron"/>
    <s v="Hypercar"/>
    <x v="1"/>
    <x v="3"/>
    <x v="2"/>
    <x v="1"/>
    <n v="22"/>
    <n v="7"/>
    <x v="1"/>
    <x v="0"/>
    <n v="103130"/>
    <n v="85629"/>
    <n v="17501"/>
    <x v="0"/>
    <n v="0"/>
    <n v="1"/>
    <n v="1"/>
    <n v="0"/>
    <n v="1"/>
    <s v="Yes"/>
    <x v="0"/>
  </r>
  <r>
    <n v="21994"/>
    <d v="2024-04-20T00:00:00"/>
    <x v="3"/>
    <s v="Pune"/>
    <s v="SC_PUN_3"/>
    <x v="1"/>
    <s v="Cayenne"/>
    <s v="SUV"/>
    <x v="0"/>
    <x v="4"/>
    <x v="0"/>
    <x v="0"/>
    <n v="22"/>
    <n v="7"/>
    <x v="0"/>
    <x v="0"/>
    <n v="137295"/>
    <n v="72371"/>
    <n v="64924"/>
    <x v="0"/>
    <n v="0"/>
    <n v="1"/>
    <n v="0"/>
    <n v="1"/>
    <n v="1"/>
    <s v="Yes"/>
    <x v="0"/>
  </r>
  <r>
    <n v="21995"/>
    <d v="2024-06-07T00:00:00"/>
    <x v="3"/>
    <s v="Ahmedabad"/>
    <s v="SC_AHM_4"/>
    <x v="1"/>
    <s v="Veyron"/>
    <s v="Hypercar"/>
    <x v="0"/>
    <x v="3"/>
    <x v="2"/>
    <x v="0"/>
    <n v="13"/>
    <n v="7"/>
    <x v="0"/>
    <x v="1"/>
    <n v="105951"/>
    <n v="82084"/>
    <n v="23867"/>
    <x v="1"/>
    <n v="105951"/>
    <n v="0"/>
    <n v="0"/>
    <n v="1"/>
    <n v="1"/>
    <s v="Yes"/>
    <x v="0"/>
  </r>
  <r>
    <n v="21996"/>
    <d v="2024-05-13T00:00:00"/>
    <x v="2"/>
    <s v="Noida"/>
    <s v="SC_NOI_5"/>
    <x v="2"/>
    <s v="Chiron"/>
    <s v="Hypercar"/>
    <x v="0"/>
    <x v="4"/>
    <x v="1"/>
    <x v="0"/>
    <n v="13"/>
    <n v="7"/>
    <x v="1"/>
    <x v="1"/>
    <n v="132186"/>
    <n v="92391"/>
    <n v="39795"/>
    <x v="2"/>
    <n v="0"/>
    <n v="0"/>
    <n v="1"/>
    <n v="0"/>
    <n v="1"/>
    <s v="Yes"/>
    <x v="1"/>
  </r>
  <r>
    <n v="21997"/>
    <d v="2024-02-15T00:00:00"/>
    <x v="0"/>
    <s v="Hyderabad"/>
    <s v="SC_HYD_4"/>
    <x v="2"/>
    <s v="Panamera"/>
    <s v="Sedan"/>
    <x v="1"/>
    <x v="2"/>
    <x v="2"/>
    <x v="0"/>
    <n v="25"/>
    <n v="7"/>
    <x v="0"/>
    <x v="1"/>
    <n v="142224"/>
    <n v="120094"/>
    <n v="22130"/>
    <x v="0"/>
    <n v="142224"/>
    <n v="0"/>
    <n v="0"/>
    <n v="1"/>
    <n v="1"/>
    <s v="Yes"/>
    <x v="0"/>
  </r>
  <r>
    <n v="21998"/>
    <d v="2024-02-03T00:00:00"/>
    <x v="0"/>
    <s v="Chennai"/>
    <s v="SC_CHE_4"/>
    <x v="0"/>
    <s v="Chiron"/>
    <s v="Hypercar"/>
    <x v="1"/>
    <x v="0"/>
    <x v="1"/>
    <x v="0"/>
    <n v="9"/>
    <n v="7"/>
    <x v="0"/>
    <x v="1"/>
    <n v="413643"/>
    <n v="275787"/>
    <n v="137856"/>
    <x v="2"/>
    <n v="413643"/>
    <n v="0"/>
    <n v="0"/>
    <n v="1"/>
    <n v="1"/>
    <s v="Yes"/>
    <x v="1"/>
  </r>
  <r>
    <n v="21999"/>
    <d v="2024-04-16T00:00:00"/>
    <x v="0"/>
    <s v="Bengaluru"/>
    <s v="SC_BEN_5"/>
    <x v="1"/>
    <s v="Macan"/>
    <s v="SUV"/>
    <x v="1"/>
    <x v="0"/>
    <x v="2"/>
    <x v="1"/>
    <n v="21"/>
    <n v="7"/>
    <x v="1"/>
    <x v="1"/>
    <n v="240205"/>
    <n v="202021"/>
    <n v="38184"/>
    <x v="0"/>
    <n v="0"/>
    <n v="0"/>
    <n v="1"/>
    <n v="0"/>
    <n v="1"/>
    <s v="Yes"/>
    <x v="0"/>
  </r>
  <r>
    <n v="22000"/>
    <d v="2024-01-23T00:00:00"/>
    <x v="2"/>
    <s v="Delhi"/>
    <s v="SC_DEL_5"/>
    <x v="0"/>
    <s v="Macan"/>
    <s v="SUV"/>
    <x v="0"/>
    <x v="1"/>
    <x v="0"/>
    <x v="0"/>
    <n v="17"/>
    <n v="7"/>
    <x v="0"/>
    <x v="1"/>
    <n v="545703"/>
    <n v="379044"/>
    <n v="166659"/>
    <x v="0"/>
    <n v="545703"/>
    <n v="0"/>
    <n v="0"/>
    <n v="1"/>
    <n v="1"/>
    <s v="Yes"/>
    <x v="0"/>
  </r>
  <r>
    <n v="22001"/>
    <d v="2024-03-09T00:00:00"/>
    <x v="2"/>
    <s v="Gurugram"/>
    <s v="SC_GUR_5"/>
    <x v="2"/>
    <s v="Macan"/>
    <s v="SUV"/>
    <x v="1"/>
    <x v="3"/>
    <x v="2"/>
    <x v="1"/>
    <n v="2"/>
    <n v="7"/>
    <x v="1"/>
    <x v="1"/>
    <n v="258022"/>
    <n v="175577"/>
    <n v="82445"/>
    <x v="4"/>
    <n v="0"/>
    <n v="0"/>
    <n v="1"/>
    <n v="0"/>
    <n v="1"/>
    <s v="No"/>
    <x v="2"/>
  </r>
  <r>
    <n v="22002"/>
    <d v="2024-06-07T00:00:00"/>
    <x v="1"/>
    <s v="Patna"/>
    <s v="SC_PAT_1"/>
    <x v="1"/>
    <s v="Macan"/>
    <s v="SUV"/>
    <x v="1"/>
    <x v="3"/>
    <x v="0"/>
    <x v="1"/>
    <n v="9"/>
    <n v="7"/>
    <x v="1"/>
    <x v="1"/>
    <n v="455895"/>
    <n v="320752"/>
    <n v="135143"/>
    <x v="3"/>
    <n v="0"/>
    <n v="0"/>
    <n v="1"/>
    <n v="0"/>
    <n v="1"/>
    <s v="Yes"/>
    <x v="2"/>
  </r>
  <r>
    <n v="22003"/>
    <d v="2024-01-19T00:00:00"/>
    <x v="1"/>
    <s v="Bhubaneswar"/>
    <s v="SC_BHU_4"/>
    <x v="0"/>
    <s v="Veyron"/>
    <s v="Hypercar"/>
    <x v="1"/>
    <x v="2"/>
    <x v="1"/>
    <x v="0"/>
    <n v="6"/>
    <n v="7"/>
    <x v="1"/>
    <x v="0"/>
    <n v="388718"/>
    <n v="304824"/>
    <n v="83894"/>
    <x v="3"/>
    <n v="0"/>
    <n v="1"/>
    <n v="1"/>
    <n v="0"/>
    <n v="1"/>
    <s v="No"/>
    <x v="2"/>
  </r>
  <r>
    <n v="22004"/>
    <d v="2024-05-08T00:00:00"/>
    <x v="2"/>
    <s v="Noida"/>
    <s v="SC_NOI_2"/>
    <x v="1"/>
    <s v="911"/>
    <s v="Coupe"/>
    <x v="1"/>
    <x v="3"/>
    <x v="0"/>
    <x v="1"/>
    <n v="20"/>
    <n v="7"/>
    <x v="0"/>
    <x v="1"/>
    <n v="181435"/>
    <n v="109796"/>
    <n v="71639"/>
    <x v="0"/>
    <n v="181435"/>
    <n v="0"/>
    <n v="0"/>
    <n v="1"/>
    <n v="1"/>
    <s v="Yes"/>
    <x v="0"/>
  </r>
  <r>
    <n v="22005"/>
    <d v="2024-05-21T00:00:00"/>
    <x v="1"/>
    <s v="Kolkata"/>
    <s v="SC_KOL_1"/>
    <x v="0"/>
    <s v="Panamera"/>
    <s v="Sedan"/>
    <x v="0"/>
    <x v="3"/>
    <x v="1"/>
    <x v="0"/>
    <n v="21"/>
    <n v="7"/>
    <x v="1"/>
    <x v="0"/>
    <n v="308849"/>
    <n v="241825"/>
    <n v="67024"/>
    <x v="0"/>
    <n v="0"/>
    <n v="1"/>
    <n v="1"/>
    <n v="0"/>
    <n v="1"/>
    <s v="Yes"/>
    <x v="0"/>
  </r>
  <r>
    <n v="22006"/>
    <d v="2024-02-18T00:00:00"/>
    <x v="0"/>
    <s v="Bengaluru"/>
    <s v="SC_BEN_3"/>
    <x v="2"/>
    <s v="Panamera"/>
    <s v="Sedan"/>
    <x v="1"/>
    <x v="4"/>
    <x v="2"/>
    <x v="1"/>
    <n v="21"/>
    <n v="7"/>
    <x v="0"/>
    <x v="1"/>
    <n v="492418"/>
    <n v="341506"/>
    <n v="150912"/>
    <x v="0"/>
    <n v="492418"/>
    <n v="0"/>
    <n v="0"/>
    <n v="1"/>
    <n v="1"/>
    <s v="Yes"/>
    <x v="0"/>
  </r>
  <r>
    <n v="22007"/>
    <d v="2024-02-02T00:00:00"/>
    <x v="1"/>
    <s v="Bhubaneswar"/>
    <s v="SC_BHU_3"/>
    <x v="1"/>
    <s v="Veyron"/>
    <s v="Hypercar"/>
    <x v="0"/>
    <x v="1"/>
    <x v="0"/>
    <x v="0"/>
    <n v="18"/>
    <n v="7"/>
    <x v="0"/>
    <x v="1"/>
    <n v="247191"/>
    <n v="123742"/>
    <n v="123449"/>
    <x v="0"/>
    <n v="247191"/>
    <n v="0"/>
    <n v="0"/>
    <n v="1"/>
    <n v="1"/>
    <s v="Yes"/>
    <x v="0"/>
  </r>
  <r>
    <n v="22008"/>
    <d v="2024-05-09T00:00:00"/>
    <x v="1"/>
    <s v="Kolkata"/>
    <s v="SC_KOL_1"/>
    <x v="1"/>
    <s v="Macan"/>
    <s v="SUV"/>
    <x v="0"/>
    <x v="0"/>
    <x v="2"/>
    <x v="0"/>
    <n v="18"/>
    <n v="7"/>
    <x v="0"/>
    <x v="0"/>
    <n v="222765"/>
    <n v="182081"/>
    <n v="40684"/>
    <x v="0"/>
    <n v="0"/>
    <n v="1"/>
    <n v="0"/>
    <n v="1"/>
    <n v="1"/>
    <s v="Yes"/>
    <x v="0"/>
  </r>
  <r>
    <n v="22009"/>
    <d v="2024-02-23T00:00:00"/>
    <x v="2"/>
    <s v="Delhi"/>
    <s v="SC_DEL_4"/>
    <x v="0"/>
    <s v="Veyron"/>
    <s v="Hypercar"/>
    <x v="1"/>
    <x v="0"/>
    <x v="1"/>
    <x v="0"/>
    <n v="13"/>
    <n v="7"/>
    <x v="1"/>
    <x v="1"/>
    <n v="599499"/>
    <n v="449935"/>
    <n v="149564"/>
    <x v="2"/>
    <n v="0"/>
    <n v="0"/>
    <n v="1"/>
    <n v="0"/>
    <n v="1"/>
    <s v="Yes"/>
    <x v="1"/>
  </r>
  <r>
    <n v="22010"/>
    <d v="2024-02-03T00:00:00"/>
    <x v="3"/>
    <s v="Ahmedabad"/>
    <s v="SC_AHM_2"/>
    <x v="2"/>
    <s v="911"/>
    <s v="Coupe"/>
    <x v="0"/>
    <x v="3"/>
    <x v="0"/>
    <x v="0"/>
    <n v="19"/>
    <n v="7"/>
    <x v="0"/>
    <x v="0"/>
    <n v="556611"/>
    <n v="414854"/>
    <n v="141757"/>
    <x v="0"/>
    <n v="0"/>
    <n v="1"/>
    <n v="0"/>
    <n v="1"/>
    <n v="1"/>
    <s v="Yes"/>
    <x v="0"/>
  </r>
  <r>
    <n v="22011"/>
    <d v="2024-01-02T00:00:00"/>
    <x v="2"/>
    <s v="Delhi"/>
    <s v="SC_DEL_4"/>
    <x v="0"/>
    <s v="Chiron"/>
    <s v="Hypercar"/>
    <x v="0"/>
    <x v="2"/>
    <x v="2"/>
    <x v="0"/>
    <n v="21"/>
    <n v="7"/>
    <x v="0"/>
    <x v="1"/>
    <n v="297895"/>
    <n v="197828"/>
    <n v="100067"/>
    <x v="0"/>
    <n v="297895"/>
    <n v="0"/>
    <n v="0"/>
    <n v="1"/>
    <n v="1"/>
    <s v="Yes"/>
    <x v="0"/>
  </r>
  <r>
    <n v="22012"/>
    <d v="2024-02-19T00:00:00"/>
    <x v="0"/>
    <s v="Hyderabad"/>
    <s v="SC_HYD_4"/>
    <x v="1"/>
    <s v="Panamera"/>
    <s v="Sedan"/>
    <x v="0"/>
    <x v="1"/>
    <x v="1"/>
    <x v="0"/>
    <n v="22"/>
    <n v="7"/>
    <x v="1"/>
    <x v="1"/>
    <n v="431746"/>
    <n v="291542"/>
    <n v="140204"/>
    <x v="0"/>
    <n v="0"/>
    <n v="0"/>
    <n v="1"/>
    <n v="0"/>
    <n v="1"/>
    <s v="Yes"/>
    <x v="0"/>
  </r>
  <r>
    <n v="22013"/>
    <d v="2024-05-23T00:00:00"/>
    <x v="2"/>
    <s v="Delhi"/>
    <s v="SC_DEL_4"/>
    <x v="2"/>
    <s v="Macan"/>
    <s v="SUV"/>
    <x v="0"/>
    <x v="0"/>
    <x v="0"/>
    <x v="1"/>
    <n v="14"/>
    <n v="7"/>
    <x v="0"/>
    <x v="1"/>
    <n v="591757"/>
    <n v="310106"/>
    <n v="281651"/>
    <x v="1"/>
    <n v="591757"/>
    <n v="0"/>
    <n v="0"/>
    <n v="1"/>
    <n v="1"/>
    <s v="Yes"/>
    <x v="0"/>
  </r>
  <r>
    <n v="22014"/>
    <d v="2024-02-21T00:00:00"/>
    <x v="0"/>
    <s v="Bengaluru"/>
    <s v="SC_BEN_2"/>
    <x v="1"/>
    <s v="Taycan"/>
    <s v="Sedan"/>
    <x v="0"/>
    <x v="1"/>
    <x v="2"/>
    <x v="0"/>
    <n v="10"/>
    <n v="7"/>
    <x v="0"/>
    <x v="1"/>
    <n v="231980"/>
    <n v="178541"/>
    <n v="53439"/>
    <x v="1"/>
    <n v="231980"/>
    <n v="0"/>
    <n v="0"/>
    <n v="1"/>
    <n v="1"/>
    <s v="Yes"/>
    <x v="0"/>
  </r>
  <r>
    <n v="22015"/>
    <d v="2024-06-09T00:00:00"/>
    <x v="2"/>
    <s v="Gurugram"/>
    <s v="SC_GUR_3"/>
    <x v="0"/>
    <s v="Cayenne"/>
    <s v="SUV"/>
    <x v="1"/>
    <x v="3"/>
    <x v="2"/>
    <x v="0"/>
    <n v="15"/>
    <n v="7"/>
    <x v="1"/>
    <x v="1"/>
    <n v="284988"/>
    <n v="160018"/>
    <n v="124970"/>
    <x v="1"/>
    <n v="0"/>
    <n v="0"/>
    <n v="1"/>
    <n v="0"/>
    <n v="1"/>
    <s v="Yes"/>
    <x v="0"/>
  </r>
  <r>
    <n v="22016"/>
    <d v="2024-02-25T00:00:00"/>
    <x v="1"/>
    <s v="Patna"/>
    <s v="SC_PAT_3"/>
    <x v="1"/>
    <s v="Taycan"/>
    <s v="Sedan"/>
    <x v="0"/>
    <x v="3"/>
    <x v="1"/>
    <x v="0"/>
    <n v="9"/>
    <n v="7"/>
    <x v="0"/>
    <x v="1"/>
    <n v="138166"/>
    <n v="116839"/>
    <n v="21327"/>
    <x v="2"/>
    <n v="138166"/>
    <n v="0"/>
    <n v="0"/>
    <n v="1"/>
    <n v="1"/>
    <s v="Yes"/>
    <x v="1"/>
  </r>
  <r>
    <n v="22017"/>
    <d v="2024-02-19T00:00:00"/>
    <x v="0"/>
    <s v="Chennai"/>
    <s v="SC_CHE_2"/>
    <x v="1"/>
    <s v="Taycan"/>
    <s v="Sedan"/>
    <x v="0"/>
    <x v="0"/>
    <x v="2"/>
    <x v="0"/>
    <n v="7"/>
    <n v="7"/>
    <x v="1"/>
    <x v="1"/>
    <n v="152717"/>
    <n v="104455"/>
    <n v="48262"/>
    <x v="3"/>
    <n v="0"/>
    <n v="0"/>
    <n v="1"/>
    <n v="0"/>
    <n v="1"/>
    <s v="No"/>
    <x v="2"/>
  </r>
  <r>
    <n v="22018"/>
    <d v="2024-06-26T00:00:00"/>
    <x v="3"/>
    <s v="Mumbai"/>
    <s v="SC_MUM_2"/>
    <x v="0"/>
    <s v="911"/>
    <s v="Coupe"/>
    <x v="0"/>
    <x v="1"/>
    <x v="0"/>
    <x v="0"/>
    <n v="8"/>
    <n v="7"/>
    <x v="0"/>
    <x v="0"/>
    <n v="454558"/>
    <n v="367520"/>
    <n v="87038"/>
    <x v="2"/>
    <n v="0"/>
    <n v="1"/>
    <n v="0"/>
    <n v="1"/>
    <n v="1"/>
    <s v="Yes"/>
    <x v="1"/>
  </r>
  <r>
    <n v="22019"/>
    <d v="2024-05-12T00:00:00"/>
    <x v="1"/>
    <s v="Bhubaneswar"/>
    <s v="SC_BHU_4"/>
    <x v="0"/>
    <s v="Veyron"/>
    <s v="Hypercar"/>
    <x v="0"/>
    <x v="2"/>
    <x v="2"/>
    <x v="0"/>
    <n v="8"/>
    <n v="7"/>
    <x v="1"/>
    <x v="0"/>
    <n v="307790"/>
    <n v="182074"/>
    <n v="125716"/>
    <x v="3"/>
    <n v="0"/>
    <n v="1"/>
    <n v="1"/>
    <n v="0"/>
    <n v="1"/>
    <s v="Yes"/>
    <x v="2"/>
  </r>
  <r>
    <n v="22020"/>
    <d v="2024-05-11T00:00:00"/>
    <x v="0"/>
    <s v="Hyderabad"/>
    <s v="SC_HYD_1"/>
    <x v="1"/>
    <s v="Cayenne"/>
    <s v="SUV"/>
    <x v="1"/>
    <x v="1"/>
    <x v="2"/>
    <x v="0"/>
    <n v="8"/>
    <n v="7"/>
    <x v="1"/>
    <x v="1"/>
    <n v="114525"/>
    <n v="82206"/>
    <n v="32319"/>
    <x v="3"/>
    <n v="0"/>
    <n v="0"/>
    <n v="1"/>
    <n v="0"/>
    <n v="1"/>
    <s v="Yes"/>
    <x v="2"/>
  </r>
  <r>
    <n v="22021"/>
    <d v="2024-04-29T00:00:00"/>
    <x v="2"/>
    <s v="Noida"/>
    <s v="SC_NOI_2"/>
    <x v="2"/>
    <s v="Cayenne"/>
    <s v="SUV"/>
    <x v="0"/>
    <x v="3"/>
    <x v="0"/>
    <x v="1"/>
    <n v="11"/>
    <n v="7"/>
    <x v="0"/>
    <x v="1"/>
    <n v="249972"/>
    <n v="204638"/>
    <n v="45334"/>
    <x v="1"/>
    <n v="249972"/>
    <n v="0"/>
    <n v="0"/>
    <n v="1"/>
    <n v="1"/>
    <s v="Yes"/>
    <x v="0"/>
  </r>
  <r>
    <n v="22022"/>
    <d v="2024-03-31T00:00:00"/>
    <x v="2"/>
    <s v="Gurugram"/>
    <s v="SC_GUR_3"/>
    <x v="2"/>
    <s v="911"/>
    <s v="Coupe"/>
    <x v="0"/>
    <x v="3"/>
    <x v="2"/>
    <x v="0"/>
    <n v="23"/>
    <n v="7"/>
    <x v="0"/>
    <x v="0"/>
    <n v="599414"/>
    <n v="353610"/>
    <n v="245804"/>
    <x v="0"/>
    <n v="0"/>
    <n v="1"/>
    <n v="0"/>
    <n v="1"/>
    <n v="1"/>
    <s v="Yes"/>
    <x v="0"/>
  </r>
  <r>
    <n v="22023"/>
    <d v="2024-02-03T00:00:00"/>
    <x v="3"/>
    <s v="Pune"/>
    <s v="SC_PUN_5"/>
    <x v="2"/>
    <s v="Macan"/>
    <s v="SUV"/>
    <x v="1"/>
    <x v="4"/>
    <x v="0"/>
    <x v="0"/>
    <n v="20"/>
    <n v="7"/>
    <x v="0"/>
    <x v="0"/>
    <n v="440619"/>
    <n v="239825"/>
    <n v="200794"/>
    <x v="0"/>
    <n v="0"/>
    <n v="1"/>
    <n v="0"/>
    <n v="1"/>
    <n v="1"/>
    <s v="Yes"/>
    <x v="0"/>
  </r>
  <r>
    <n v="22024"/>
    <d v="2024-01-06T00:00:00"/>
    <x v="2"/>
    <s v="Noida"/>
    <s v="SC_NOI_2"/>
    <x v="1"/>
    <s v="Veyron"/>
    <s v="Hypercar"/>
    <x v="0"/>
    <x v="2"/>
    <x v="1"/>
    <x v="0"/>
    <n v="6"/>
    <n v="7"/>
    <x v="1"/>
    <x v="0"/>
    <n v="570874"/>
    <n v="305231"/>
    <n v="265643"/>
    <x v="3"/>
    <n v="0"/>
    <n v="1"/>
    <n v="1"/>
    <n v="0"/>
    <n v="1"/>
    <s v="No"/>
    <x v="2"/>
  </r>
  <r>
    <n v="22025"/>
    <d v="2024-02-13T00:00:00"/>
    <x v="0"/>
    <s v="Bengaluru"/>
    <s v="SC_BEN_4"/>
    <x v="0"/>
    <s v="Chiron"/>
    <s v="Hypercar"/>
    <x v="0"/>
    <x v="0"/>
    <x v="0"/>
    <x v="0"/>
    <n v="24"/>
    <n v="7"/>
    <x v="0"/>
    <x v="1"/>
    <n v="220623"/>
    <n v="140522"/>
    <n v="80101"/>
    <x v="0"/>
    <n v="220623"/>
    <n v="0"/>
    <n v="0"/>
    <n v="1"/>
    <n v="1"/>
    <s v="Yes"/>
    <x v="0"/>
  </r>
  <r>
    <n v="22026"/>
    <d v="2024-02-02T00:00:00"/>
    <x v="3"/>
    <s v="Mumbai"/>
    <s v="SC_MUM_5"/>
    <x v="2"/>
    <s v="Panamera"/>
    <s v="Sedan"/>
    <x v="1"/>
    <x v="2"/>
    <x v="2"/>
    <x v="0"/>
    <n v="10"/>
    <n v="7"/>
    <x v="0"/>
    <x v="1"/>
    <n v="135545"/>
    <n v="95834"/>
    <n v="39711"/>
    <x v="1"/>
    <n v="135545"/>
    <n v="0"/>
    <n v="0"/>
    <n v="1"/>
    <n v="1"/>
    <s v="Yes"/>
    <x v="0"/>
  </r>
  <r>
    <n v="22027"/>
    <d v="2024-01-02T00:00:00"/>
    <x v="3"/>
    <s v="Pune"/>
    <s v="SC_PUN_2"/>
    <x v="2"/>
    <s v="Panamera"/>
    <s v="Sedan"/>
    <x v="0"/>
    <x v="4"/>
    <x v="0"/>
    <x v="0"/>
    <n v="22"/>
    <n v="7"/>
    <x v="0"/>
    <x v="0"/>
    <n v="349910"/>
    <n v="195055"/>
    <n v="154855"/>
    <x v="0"/>
    <n v="0"/>
    <n v="1"/>
    <n v="0"/>
    <n v="1"/>
    <n v="1"/>
    <s v="Yes"/>
    <x v="0"/>
  </r>
  <r>
    <n v="22028"/>
    <d v="2024-05-02T00:00:00"/>
    <x v="2"/>
    <s v="Gurugram"/>
    <s v="SC_GUR_1"/>
    <x v="0"/>
    <s v="Taycan"/>
    <s v="Sedan"/>
    <x v="1"/>
    <x v="3"/>
    <x v="1"/>
    <x v="1"/>
    <n v="18"/>
    <n v="7"/>
    <x v="1"/>
    <x v="1"/>
    <n v="579323"/>
    <n v="488380"/>
    <n v="90943"/>
    <x v="1"/>
    <n v="0"/>
    <n v="0"/>
    <n v="1"/>
    <n v="0"/>
    <n v="1"/>
    <s v="Yes"/>
    <x v="0"/>
  </r>
  <r>
    <n v="22029"/>
    <d v="2024-02-28T00:00:00"/>
    <x v="0"/>
    <s v="Hyderabad"/>
    <s v="SC_HYD_2"/>
    <x v="2"/>
    <s v="Macan"/>
    <s v="SUV"/>
    <x v="1"/>
    <x v="2"/>
    <x v="2"/>
    <x v="0"/>
    <n v="5"/>
    <n v="7"/>
    <x v="1"/>
    <x v="1"/>
    <n v="196722"/>
    <n v="157672"/>
    <n v="39050"/>
    <x v="3"/>
    <n v="0"/>
    <n v="0"/>
    <n v="1"/>
    <n v="0"/>
    <n v="1"/>
    <s v="No"/>
    <x v="2"/>
  </r>
  <r>
    <n v="22030"/>
    <d v="2024-05-13T00:00:00"/>
    <x v="3"/>
    <s v="Pune"/>
    <s v="SC_PUN_5"/>
    <x v="1"/>
    <s v="Panamera"/>
    <s v="Sedan"/>
    <x v="1"/>
    <x v="4"/>
    <x v="0"/>
    <x v="0"/>
    <n v="2"/>
    <n v="7"/>
    <x v="0"/>
    <x v="0"/>
    <n v="238557"/>
    <n v="150588"/>
    <n v="87969"/>
    <x v="3"/>
    <n v="0"/>
    <n v="1"/>
    <n v="0"/>
    <n v="1"/>
    <n v="1"/>
    <s v="No"/>
    <x v="2"/>
  </r>
  <r>
    <n v="22031"/>
    <d v="2024-02-19T00:00:00"/>
    <x v="3"/>
    <s v="Mumbai"/>
    <s v="SC_MUM_1"/>
    <x v="0"/>
    <s v="Cayenne"/>
    <s v="SUV"/>
    <x v="1"/>
    <x v="3"/>
    <x v="2"/>
    <x v="0"/>
    <n v="7"/>
    <n v="7"/>
    <x v="0"/>
    <x v="0"/>
    <n v="95239"/>
    <n v="70918"/>
    <n v="24321"/>
    <x v="2"/>
    <n v="0"/>
    <n v="1"/>
    <n v="0"/>
    <n v="1"/>
    <n v="1"/>
    <s v="No"/>
    <x v="1"/>
  </r>
  <r>
    <n v="22032"/>
    <d v="2024-03-24T00:00:00"/>
    <x v="3"/>
    <s v="Pune"/>
    <s v="SC_PUN_1"/>
    <x v="0"/>
    <s v="Taycan"/>
    <s v="Sedan"/>
    <x v="1"/>
    <x v="0"/>
    <x v="2"/>
    <x v="0"/>
    <n v="23"/>
    <n v="7"/>
    <x v="0"/>
    <x v="1"/>
    <n v="553046"/>
    <n v="373266"/>
    <n v="179780"/>
    <x v="0"/>
    <n v="553046"/>
    <n v="0"/>
    <n v="0"/>
    <n v="1"/>
    <n v="1"/>
    <s v="Yes"/>
    <x v="0"/>
  </r>
  <r>
    <n v="22033"/>
    <d v="2024-06-04T00:00:00"/>
    <x v="0"/>
    <s v="Bengaluru"/>
    <s v="SC_BEN_2"/>
    <x v="0"/>
    <s v="Cayenne"/>
    <s v="SUV"/>
    <x v="1"/>
    <x v="3"/>
    <x v="0"/>
    <x v="0"/>
    <n v="12"/>
    <n v="7"/>
    <x v="0"/>
    <x v="1"/>
    <n v="111148"/>
    <n v="66397"/>
    <n v="44751"/>
    <x v="1"/>
    <n v="111148"/>
    <n v="0"/>
    <n v="0"/>
    <n v="1"/>
    <n v="1"/>
    <s v="Yes"/>
    <x v="0"/>
  </r>
  <r>
    <n v="22034"/>
    <d v="2024-02-26T00:00:00"/>
    <x v="1"/>
    <s v="Patna"/>
    <s v="SC_PAT_2"/>
    <x v="0"/>
    <s v="Cayenne"/>
    <s v="SUV"/>
    <x v="0"/>
    <x v="2"/>
    <x v="0"/>
    <x v="1"/>
    <n v="22"/>
    <n v="7"/>
    <x v="0"/>
    <x v="1"/>
    <n v="171376"/>
    <n v="113731"/>
    <n v="57645"/>
    <x v="0"/>
    <n v="171376"/>
    <n v="0"/>
    <n v="0"/>
    <n v="1"/>
    <n v="1"/>
    <s v="Yes"/>
    <x v="0"/>
  </r>
  <r>
    <n v="22035"/>
    <d v="2024-04-02T00:00:00"/>
    <x v="0"/>
    <s v="Hyderabad"/>
    <s v="SC_HYD_5"/>
    <x v="1"/>
    <s v="Taycan"/>
    <s v="Sedan"/>
    <x v="1"/>
    <x v="0"/>
    <x v="1"/>
    <x v="1"/>
    <n v="16"/>
    <n v="7"/>
    <x v="1"/>
    <x v="0"/>
    <n v="431360"/>
    <n v="346716"/>
    <n v="84644"/>
    <x v="1"/>
    <n v="0"/>
    <n v="1"/>
    <n v="1"/>
    <n v="0"/>
    <n v="1"/>
    <s v="Yes"/>
    <x v="0"/>
  </r>
  <r>
    <n v="22036"/>
    <d v="2024-02-13T00:00:00"/>
    <x v="3"/>
    <s v="Mumbai"/>
    <s v="SC_MUM_3"/>
    <x v="2"/>
    <s v="Panamera"/>
    <s v="Sedan"/>
    <x v="0"/>
    <x v="4"/>
    <x v="2"/>
    <x v="0"/>
    <n v="23"/>
    <n v="7"/>
    <x v="1"/>
    <x v="1"/>
    <n v="477659"/>
    <n v="340860"/>
    <n v="136799"/>
    <x v="0"/>
    <n v="0"/>
    <n v="0"/>
    <n v="1"/>
    <n v="0"/>
    <n v="1"/>
    <s v="Yes"/>
    <x v="0"/>
  </r>
  <r>
    <n v="22037"/>
    <d v="2024-01-14T00:00:00"/>
    <x v="3"/>
    <s v="Mumbai"/>
    <s v="SC_MUM_3"/>
    <x v="2"/>
    <s v="Panamera"/>
    <s v="Sedan"/>
    <x v="1"/>
    <x v="0"/>
    <x v="0"/>
    <x v="0"/>
    <n v="10"/>
    <n v="7"/>
    <x v="1"/>
    <x v="1"/>
    <n v="166363"/>
    <n v="108799"/>
    <n v="57564"/>
    <x v="2"/>
    <n v="0"/>
    <n v="0"/>
    <n v="1"/>
    <n v="0"/>
    <n v="1"/>
    <s v="Yes"/>
    <x v="1"/>
  </r>
  <r>
    <n v="22038"/>
    <d v="2024-04-01T00:00:00"/>
    <x v="2"/>
    <s v="Noida"/>
    <s v="SC_NOI_3"/>
    <x v="2"/>
    <s v="Cayenne"/>
    <s v="SUV"/>
    <x v="1"/>
    <x v="2"/>
    <x v="0"/>
    <x v="0"/>
    <n v="21"/>
    <n v="7"/>
    <x v="0"/>
    <x v="0"/>
    <n v="445642"/>
    <n v="342273"/>
    <n v="103369"/>
    <x v="0"/>
    <n v="0"/>
    <n v="1"/>
    <n v="0"/>
    <n v="1"/>
    <n v="1"/>
    <s v="Yes"/>
    <x v="0"/>
  </r>
  <r>
    <n v="22039"/>
    <d v="2024-03-11T00:00:00"/>
    <x v="3"/>
    <s v="Ahmedabad"/>
    <s v="SC_AHM_5"/>
    <x v="1"/>
    <s v="Macan"/>
    <s v="SUV"/>
    <x v="0"/>
    <x v="4"/>
    <x v="0"/>
    <x v="0"/>
    <n v="6"/>
    <n v="7"/>
    <x v="0"/>
    <x v="1"/>
    <n v="283064"/>
    <n v="189789"/>
    <n v="93275"/>
    <x v="2"/>
    <n v="283064"/>
    <n v="0"/>
    <n v="0"/>
    <n v="1"/>
    <n v="1"/>
    <s v="No"/>
    <x v="1"/>
  </r>
  <r>
    <n v="22040"/>
    <d v="2024-02-23T00:00:00"/>
    <x v="0"/>
    <s v="Chennai"/>
    <s v="SC_CHE_5"/>
    <x v="1"/>
    <s v="Chiron"/>
    <s v="Hypercar"/>
    <x v="1"/>
    <x v="0"/>
    <x v="1"/>
    <x v="0"/>
    <n v="7"/>
    <n v="7"/>
    <x v="1"/>
    <x v="1"/>
    <n v="318536"/>
    <n v="221264"/>
    <n v="97272"/>
    <x v="3"/>
    <n v="0"/>
    <n v="0"/>
    <n v="1"/>
    <n v="0"/>
    <n v="1"/>
    <s v="No"/>
    <x v="2"/>
  </r>
  <r>
    <n v="22041"/>
    <d v="2024-02-07T00:00:00"/>
    <x v="0"/>
    <s v="Chennai"/>
    <s v="SC_CHE_4"/>
    <x v="2"/>
    <s v="Chiron"/>
    <s v="Hypercar"/>
    <x v="0"/>
    <x v="2"/>
    <x v="2"/>
    <x v="0"/>
    <n v="6"/>
    <n v="7"/>
    <x v="1"/>
    <x v="1"/>
    <n v="303367"/>
    <n v="211183"/>
    <n v="92184"/>
    <x v="3"/>
    <n v="0"/>
    <n v="0"/>
    <n v="1"/>
    <n v="0"/>
    <n v="1"/>
    <s v="No"/>
    <x v="2"/>
  </r>
  <r>
    <n v="22042"/>
    <d v="2024-06-12T00:00:00"/>
    <x v="3"/>
    <s v="Pune"/>
    <s v="SC_PUN_3"/>
    <x v="0"/>
    <s v="Panamera"/>
    <s v="Sedan"/>
    <x v="1"/>
    <x v="2"/>
    <x v="0"/>
    <x v="1"/>
    <n v="10"/>
    <n v="7"/>
    <x v="0"/>
    <x v="1"/>
    <n v="114427"/>
    <n v="72048"/>
    <n v="42379"/>
    <x v="1"/>
    <n v="114427"/>
    <n v="0"/>
    <n v="0"/>
    <n v="1"/>
    <n v="1"/>
    <s v="Yes"/>
    <x v="0"/>
  </r>
  <r>
    <n v="22043"/>
    <d v="2024-03-02T00:00:00"/>
    <x v="3"/>
    <s v="Pune"/>
    <s v="SC_PUN_3"/>
    <x v="1"/>
    <s v="Chiron"/>
    <s v="Hypercar"/>
    <x v="0"/>
    <x v="4"/>
    <x v="2"/>
    <x v="0"/>
    <n v="8"/>
    <n v="7"/>
    <x v="1"/>
    <x v="0"/>
    <n v="462649"/>
    <n v="351044"/>
    <n v="111605"/>
    <x v="3"/>
    <n v="0"/>
    <n v="1"/>
    <n v="1"/>
    <n v="0"/>
    <n v="1"/>
    <s v="Yes"/>
    <x v="2"/>
  </r>
  <r>
    <n v="22044"/>
    <d v="2024-04-08T00:00:00"/>
    <x v="1"/>
    <s v="Patna"/>
    <s v="SC_PAT_5"/>
    <x v="1"/>
    <s v="Macan"/>
    <s v="SUV"/>
    <x v="1"/>
    <x v="4"/>
    <x v="2"/>
    <x v="0"/>
    <n v="11"/>
    <n v="7"/>
    <x v="0"/>
    <x v="1"/>
    <n v="516277"/>
    <n v="298726"/>
    <n v="217551"/>
    <x v="1"/>
    <n v="516277"/>
    <n v="0"/>
    <n v="0"/>
    <n v="1"/>
    <n v="1"/>
    <s v="Yes"/>
    <x v="0"/>
  </r>
  <r>
    <n v="22045"/>
    <d v="2024-04-07T00:00:00"/>
    <x v="3"/>
    <s v="Pune"/>
    <s v="SC_PUN_4"/>
    <x v="0"/>
    <s v="Macan"/>
    <s v="SUV"/>
    <x v="1"/>
    <x v="2"/>
    <x v="2"/>
    <x v="0"/>
    <n v="5"/>
    <n v="7"/>
    <x v="1"/>
    <x v="0"/>
    <n v="172702"/>
    <n v="98876"/>
    <n v="73826"/>
    <x v="3"/>
    <n v="0"/>
    <n v="1"/>
    <n v="1"/>
    <n v="0"/>
    <n v="1"/>
    <s v="No"/>
    <x v="2"/>
  </r>
  <r>
    <n v="22046"/>
    <d v="2024-01-31T00:00:00"/>
    <x v="1"/>
    <s v="Kolkata"/>
    <s v="SC_KOL_1"/>
    <x v="2"/>
    <s v="Taycan"/>
    <s v="Sedan"/>
    <x v="0"/>
    <x v="3"/>
    <x v="1"/>
    <x v="0"/>
    <n v="14"/>
    <n v="7"/>
    <x v="1"/>
    <x v="1"/>
    <n v="296442"/>
    <n v="151388"/>
    <n v="145054"/>
    <x v="2"/>
    <n v="0"/>
    <n v="0"/>
    <n v="1"/>
    <n v="0"/>
    <n v="1"/>
    <s v="Yes"/>
    <x v="1"/>
  </r>
  <r>
    <n v="22047"/>
    <d v="2024-01-06T00:00:00"/>
    <x v="1"/>
    <s v="Patna"/>
    <s v="SC_PAT_3"/>
    <x v="0"/>
    <s v="Cayenne"/>
    <s v="SUV"/>
    <x v="1"/>
    <x v="0"/>
    <x v="1"/>
    <x v="0"/>
    <n v="19"/>
    <n v="7"/>
    <x v="1"/>
    <x v="0"/>
    <n v="137907"/>
    <n v="84234"/>
    <n v="53673"/>
    <x v="1"/>
    <n v="0"/>
    <n v="1"/>
    <n v="1"/>
    <n v="0"/>
    <n v="1"/>
    <s v="Yes"/>
    <x v="0"/>
  </r>
  <r>
    <n v="22048"/>
    <d v="2024-05-18T00:00:00"/>
    <x v="2"/>
    <s v="Delhi"/>
    <s v="SC_DEL_1"/>
    <x v="0"/>
    <s v="Cayenne"/>
    <s v="SUV"/>
    <x v="1"/>
    <x v="1"/>
    <x v="2"/>
    <x v="1"/>
    <n v="24"/>
    <n v="7"/>
    <x v="1"/>
    <x v="0"/>
    <n v="222519"/>
    <n v="157197"/>
    <n v="65322"/>
    <x v="0"/>
    <n v="0"/>
    <n v="1"/>
    <n v="1"/>
    <n v="0"/>
    <n v="1"/>
    <s v="Yes"/>
    <x v="0"/>
  </r>
  <r>
    <n v="22049"/>
    <d v="2024-03-05T00:00:00"/>
    <x v="1"/>
    <s v="Patna"/>
    <s v="SC_PAT_1"/>
    <x v="2"/>
    <s v="Taycan"/>
    <s v="Sedan"/>
    <x v="1"/>
    <x v="2"/>
    <x v="0"/>
    <x v="0"/>
    <n v="24"/>
    <n v="7"/>
    <x v="0"/>
    <x v="1"/>
    <n v="211470"/>
    <n v="134883"/>
    <n v="76587"/>
    <x v="0"/>
    <n v="211470"/>
    <n v="0"/>
    <n v="0"/>
    <n v="1"/>
    <n v="1"/>
    <s v="Yes"/>
    <x v="0"/>
  </r>
  <r>
    <n v="22050"/>
    <d v="2024-05-09T00:00:00"/>
    <x v="2"/>
    <s v="Gurugram"/>
    <s v="SC_GUR_4"/>
    <x v="1"/>
    <s v="Chiron"/>
    <s v="Hypercar"/>
    <x v="0"/>
    <x v="4"/>
    <x v="1"/>
    <x v="0"/>
    <n v="16"/>
    <n v="7"/>
    <x v="1"/>
    <x v="1"/>
    <n v="405943"/>
    <n v="210567"/>
    <n v="195376"/>
    <x v="1"/>
    <n v="0"/>
    <n v="0"/>
    <n v="1"/>
    <n v="0"/>
    <n v="1"/>
    <s v="Yes"/>
    <x v="0"/>
  </r>
  <r>
    <n v="22051"/>
    <d v="2024-03-04T00:00:00"/>
    <x v="0"/>
    <s v="Hyderabad"/>
    <s v="SC_HYD_2"/>
    <x v="0"/>
    <s v="Cayenne"/>
    <s v="SUV"/>
    <x v="0"/>
    <x v="2"/>
    <x v="1"/>
    <x v="1"/>
    <n v="8"/>
    <n v="7"/>
    <x v="1"/>
    <x v="1"/>
    <n v="407781"/>
    <n v="218577"/>
    <n v="189204"/>
    <x v="3"/>
    <n v="0"/>
    <n v="0"/>
    <n v="1"/>
    <n v="0"/>
    <n v="1"/>
    <s v="Yes"/>
    <x v="2"/>
  </r>
  <r>
    <n v="22052"/>
    <d v="2024-01-28T00:00:00"/>
    <x v="2"/>
    <s v="Gurugram"/>
    <s v="SC_GUR_2"/>
    <x v="1"/>
    <s v="Chiron"/>
    <s v="Hypercar"/>
    <x v="0"/>
    <x v="4"/>
    <x v="1"/>
    <x v="0"/>
    <n v="6"/>
    <n v="7"/>
    <x v="0"/>
    <x v="0"/>
    <n v="249663"/>
    <n v="197038"/>
    <n v="52625"/>
    <x v="2"/>
    <n v="0"/>
    <n v="1"/>
    <n v="0"/>
    <n v="1"/>
    <n v="1"/>
    <s v="No"/>
    <x v="1"/>
  </r>
  <r>
    <n v="22053"/>
    <d v="2024-04-10T00:00:00"/>
    <x v="1"/>
    <s v="Kolkata"/>
    <s v="SC_KOL_2"/>
    <x v="0"/>
    <s v="Macan"/>
    <s v="SUV"/>
    <x v="0"/>
    <x v="3"/>
    <x v="2"/>
    <x v="0"/>
    <n v="24"/>
    <n v="7"/>
    <x v="1"/>
    <x v="1"/>
    <n v="540282"/>
    <n v="438881"/>
    <n v="101401"/>
    <x v="0"/>
    <n v="0"/>
    <n v="0"/>
    <n v="1"/>
    <n v="0"/>
    <n v="1"/>
    <s v="Yes"/>
    <x v="0"/>
  </r>
  <r>
    <n v="22054"/>
    <d v="2024-05-29T00:00:00"/>
    <x v="0"/>
    <s v="Hyderabad"/>
    <s v="SC_HYD_3"/>
    <x v="1"/>
    <s v="911"/>
    <s v="Coupe"/>
    <x v="1"/>
    <x v="3"/>
    <x v="2"/>
    <x v="0"/>
    <n v="19"/>
    <n v="7"/>
    <x v="1"/>
    <x v="1"/>
    <n v="464992"/>
    <n v="288509"/>
    <n v="176483"/>
    <x v="1"/>
    <n v="0"/>
    <n v="0"/>
    <n v="1"/>
    <n v="0"/>
    <n v="1"/>
    <s v="Yes"/>
    <x v="0"/>
  </r>
  <r>
    <n v="22055"/>
    <d v="2024-04-22T00:00:00"/>
    <x v="0"/>
    <s v="Bengaluru"/>
    <s v="SC_BEN_3"/>
    <x v="2"/>
    <s v="Chiron"/>
    <s v="Hypercar"/>
    <x v="0"/>
    <x v="0"/>
    <x v="0"/>
    <x v="1"/>
    <n v="7"/>
    <n v="7"/>
    <x v="0"/>
    <x v="0"/>
    <n v="140913"/>
    <n v="96678"/>
    <n v="44235"/>
    <x v="2"/>
    <n v="0"/>
    <n v="1"/>
    <n v="0"/>
    <n v="1"/>
    <n v="1"/>
    <s v="No"/>
    <x v="1"/>
  </r>
  <r>
    <n v="22056"/>
    <d v="2024-06-26T00:00:00"/>
    <x v="3"/>
    <s v="Pune"/>
    <s v="SC_PUN_2"/>
    <x v="0"/>
    <s v="Cayenne"/>
    <s v="SUV"/>
    <x v="0"/>
    <x v="2"/>
    <x v="1"/>
    <x v="0"/>
    <n v="7"/>
    <n v="7"/>
    <x v="1"/>
    <x v="0"/>
    <n v="308999"/>
    <n v="245004"/>
    <n v="63995"/>
    <x v="3"/>
    <n v="0"/>
    <n v="1"/>
    <n v="1"/>
    <n v="0"/>
    <n v="1"/>
    <s v="No"/>
    <x v="2"/>
  </r>
  <r>
    <n v="22057"/>
    <d v="2024-06-05T00:00:00"/>
    <x v="3"/>
    <s v="Pune"/>
    <s v="SC_PUN_2"/>
    <x v="1"/>
    <s v="Macan"/>
    <s v="SUV"/>
    <x v="1"/>
    <x v="3"/>
    <x v="0"/>
    <x v="1"/>
    <n v="18"/>
    <n v="7"/>
    <x v="0"/>
    <x v="1"/>
    <n v="157526"/>
    <n v="123083"/>
    <n v="34443"/>
    <x v="0"/>
    <n v="157526"/>
    <n v="0"/>
    <n v="0"/>
    <n v="1"/>
    <n v="1"/>
    <s v="Yes"/>
    <x v="0"/>
  </r>
  <r>
    <n v="22058"/>
    <d v="2024-05-20T00:00:00"/>
    <x v="3"/>
    <s v="Mumbai"/>
    <s v="SC_MUM_3"/>
    <x v="1"/>
    <s v="Cayenne"/>
    <s v="SUV"/>
    <x v="0"/>
    <x v="2"/>
    <x v="1"/>
    <x v="0"/>
    <n v="12"/>
    <n v="7"/>
    <x v="1"/>
    <x v="1"/>
    <n v="424026"/>
    <n v="312707"/>
    <n v="111319"/>
    <x v="2"/>
    <n v="0"/>
    <n v="0"/>
    <n v="1"/>
    <n v="0"/>
    <n v="1"/>
    <s v="Yes"/>
    <x v="1"/>
  </r>
  <r>
    <n v="22059"/>
    <d v="2024-06-23T00:00:00"/>
    <x v="3"/>
    <s v="Ahmedabad"/>
    <s v="SC_AHM_4"/>
    <x v="1"/>
    <s v="Panamera"/>
    <s v="Sedan"/>
    <x v="1"/>
    <x v="2"/>
    <x v="1"/>
    <x v="0"/>
    <n v="24"/>
    <n v="7"/>
    <x v="0"/>
    <x v="1"/>
    <n v="370027"/>
    <n v="297517"/>
    <n v="72510"/>
    <x v="0"/>
    <n v="370027"/>
    <n v="0"/>
    <n v="0"/>
    <n v="1"/>
    <n v="1"/>
    <s v="Yes"/>
    <x v="0"/>
  </r>
  <r>
    <n v="22060"/>
    <d v="2024-01-17T00:00:00"/>
    <x v="3"/>
    <s v="Ahmedabad"/>
    <s v="SC_AHM_1"/>
    <x v="1"/>
    <s v="Cayenne"/>
    <s v="SUV"/>
    <x v="0"/>
    <x v="1"/>
    <x v="0"/>
    <x v="1"/>
    <n v="21"/>
    <n v="7"/>
    <x v="0"/>
    <x v="1"/>
    <n v="263463"/>
    <n v="199058"/>
    <n v="64405"/>
    <x v="0"/>
    <n v="263463"/>
    <n v="0"/>
    <n v="0"/>
    <n v="1"/>
    <n v="1"/>
    <s v="Yes"/>
    <x v="0"/>
  </r>
  <r>
    <n v="22061"/>
    <d v="2024-01-18T00:00:00"/>
    <x v="3"/>
    <s v="Ahmedabad"/>
    <s v="SC_AHM_1"/>
    <x v="1"/>
    <s v="Taycan"/>
    <s v="Sedan"/>
    <x v="1"/>
    <x v="4"/>
    <x v="0"/>
    <x v="0"/>
    <n v="21"/>
    <n v="7"/>
    <x v="0"/>
    <x v="0"/>
    <n v="263993"/>
    <n v="138889"/>
    <n v="125104"/>
    <x v="0"/>
    <n v="0"/>
    <n v="1"/>
    <n v="0"/>
    <n v="1"/>
    <n v="1"/>
    <s v="Yes"/>
    <x v="0"/>
  </r>
  <r>
    <n v="22062"/>
    <d v="2024-04-18T00:00:00"/>
    <x v="3"/>
    <s v="Pune"/>
    <s v="SC_PUN_5"/>
    <x v="1"/>
    <s v="Panamera"/>
    <s v="Sedan"/>
    <x v="1"/>
    <x v="1"/>
    <x v="0"/>
    <x v="1"/>
    <n v="15"/>
    <n v="7"/>
    <x v="0"/>
    <x v="1"/>
    <n v="456289"/>
    <n v="276599"/>
    <n v="179690"/>
    <x v="0"/>
    <n v="456289"/>
    <n v="0"/>
    <n v="0"/>
    <n v="1"/>
    <n v="1"/>
    <s v="Yes"/>
    <x v="0"/>
  </r>
  <r>
    <n v="22063"/>
    <d v="2024-02-17T00:00:00"/>
    <x v="3"/>
    <s v="Pune"/>
    <s v="SC_PUN_4"/>
    <x v="1"/>
    <s v="911"/>
    <s v="Coupe"/>
    <x v="1"/>
    <x v="1"/>
    <x v="0"/>
    <x v="0"/>
    <n v="12"/>
    <n v="7"/>
    <x v="0"/>
    <x v="1"/>
    <n v="250688"/>
    <n v="163406"/>
    <n v="87282"/>
    <x v="1"/>
    <n v="250688"/>
    <n v="0"/>
    <n v="0"/>
    <n v="1"/>
    <n v="1"/>
    <s v="Yes"/>
    <x v="0"/>
  </r>
  <r>
    <n v="22064"/>
    <d v="2024-05-31T00:00:00"/>
    <x v="1"/>
    <s v="Bhubaneswar"/>
    <s v="SC_BHU_4"/>
    <x v="0"/>
    <s v="Veyron"/>
    <s v="Hypercar"/>
    <x v="0"/>
    <x v="0"/>
    <x v="1"/>
    <x v="0"/>
    <n v="13"/>
    <n v="7"/>
    <x v="1"/>
    <x v="1"/>
    <n v="396924"/>
    <n v="216874"/>
    <n v="180050"/>
    <x v="2"/>
    <n v="0"/>
    <n v="0"/>
    <n v="1"/>
    <n v="0"/>
    <n v="1"/>
    <s v="Yes"/>
    <x v="1"/>
  </r>
  <r>
    <n v="22065"/>
    <d v="2024-05-10T00:00:00"/>
    <x v="0"/>
    <s v="Chennai"/>
    <s v="SC_CHE_4"/>
    <x v="0"/>
    <s v="Veyron"/>
    <s v="Hypercar"/>
    <x v="1"/>
    <x v="3"/>
    <x v="2"/>
    <x v="0"/>
    <n v="5"/>
    <n v="7"/>
    <x v="1"/>
    <x v="1"/>
    <n v="198252"/>
    <n v="126333"/>
    <n v="71919"/>
    <x v="3"/>
    <n v="0"/>
    <n v="0"/>
    <n v="1"/>
    <n v="0"/>
    <n v="1"/>
    <s v="No"/>
    <x v="2"/>
  </r>
  <r>
    <n v="22066"/>
    <d v="2024-04-17T00:00:00"/>
    <x v="3"/>
    <s v="Pune"/>
    <s v="SC_PUN_2"/>
    <x v="0"/>
    <s v="Veyron"/>
    <s v="Hypercar"/>
    <x v="0"/>
    <x v="3"/>
    <x v="1"/>
    <x v="0"/>
    <n v="4"/>
    <n v="7"/>
    <x v="0"/>
    <x v="1"/>
    <n v="587814"/>
    <n v="300202"/>
    <n v="287612"/>
    <x v="3"/>
    <n v="587814"/>
    <n v="0"/>
    <n v="0"/>
    <n v="1"/>
    <n v="1"/>
    <s v="No"/>
    <x v="2"/>
  </r>
  <r>
    <n v="22067"/>
    <d v="2024-02-10T00:00:00"/>
    <x v="2"/>
    <s v="Noida"/>
    <s v="SC_NOI_4"/>
    <x v="0"/>
    <s v="Veyron"/>
    <s v="Hypercar"/>
    <x v="0"/>
    <x v="1"/>
    <x v="0"/>
    <x v="0"/>
    <n v="17"/>
    <n v="7"/>
    <x v="0"/>
    <x v="1"/>
    <n v="113205"/>
    <n v="95800"/>
    <n v="17405"/>
    <x v="0"/>
    <n v="113205"/>
    <n v="0"/>
    <n v="0"/>
    <n v="1"/>
    <n v="1"/>
    <s v="Yes"/>
    <x v="0"/>
  </r>
  <r>
    <n v="22068"/>
    <d v="2024-02-29T00:00:00"/>
    <x v="3"/>
    <s v="Mumbai"/>
    <s v="SC_MUM_5"/>
    <x v="2"/>
    <s v="Chiron"/>
    <s v="Hypercar"/>
    <x v="1"/>
    <x v="2"/>
    <x v="2"/>
    <x v="0"/>
    <n v="15"/>
    <n v="7"/>
    <x v="1"/>
    <x v="1"/>
    <n v="583748"/>
    <n v="296742"/>
    <n v="287006"/>
    <x v="1"/>
    <n v="0"/>
    <n v="0"/>
    <n v="1"/>
    <n v="0"/>
    <n v="1"/>
    <s v="Yes"/>
    <x v="0"/>
  </r>
  <r>
    <n v="22069"/>
    <d v="2024-02-20T00:00:00"/>
    <x v="1"/>
    <s v="Patna"/>
    <s v="SC_PAT_5"/>
    <x v="1"/>
    <s v="Macan"/>
    <s v="SUV"/>
    <x v="0"/>
    <x v="4"/>
    <x v="1"/>
    <x v="0"/>
    <n v="20"/>
    <n v="7"/>
    <x v="1"/>
    <x v="0"/>
    <n v="596869"/>
    <n v="335232"/>
    <n v="261637"/>
    <x v="0"/>
    <n v="0"/>
    <n v="1"/>
    <n v="1"/>
    <n v="0"/>
    <n v="1"/>
    <s v="Yes"/>
    <x v="0"/>
  </r>
  <r>
    <n v="22070"/>
    <d v="2024-05-01T00:00:00"/>
    <x v="3"/>
    <s v="Mumbai"/>
    <s v="SC_MUM_2"/>
    <x v="0"/>
    <s v="Cayenne"/>
    <s v="SUV"/>
    <x v="1"/>
    <x v="2"/>
    <x v="2"/>
    <x v="0"/>
    <n v="24"/>
    <n v="7"/>
    <x v="1"/>
    <x v="0"/>
    <n v="483684"/>
    <n v="335864"/>
    <n v="147820"/>
    <x v="0"/>
    <n v="0"/>
    <n v="1"/>
    <n v="1"/>
    <n v="0"/>
    <n v="1"/>
    <s v="Yes"/>
    <x v="0"/>
  </r>
  <r>
    <n v="22071"/>
    <d v="2024-04-25T00:00:00"/>
    <x v="1"/>
    <s v="Bhubaneswar"/>
    <s v="SC_BHU_4"/>
    <x v="0"/>
    <s v="Cayenne"/>
    <s v="SUV"/>
    <x v="1"/>
    <x v="3"/>
    <x v="2"/>
    <x v="1"/>
    <n v="23"/>
    <n v="7"/>
    <x v="0"/>
    <x v="1"/>
    <n v="454381"/>
    <n v="345469"/>
    <n v="108912"/>
    <x v="0"/>
    <n v="454381"/>
    <n v="0"/>
    <n v="0"/>
    <n v="1"/>
    <n v="1"/>
    <s v="Yes"/>
    <x v="0"/>
  </r>
  <r>
    <n v="22072"/>
    <d v="2024-02-27T00:00:00"/>
    <x v="3"/>
    <s v="Mumbai"/>
    <s v="SC_MUM_5"/>
    <x v="2"/>
    <s v="Chiron"/>
    <s v="Hypercar"/>
    <x v="1"/>
    <x v="1"/>
    <x v="1"/>
    <x v="1"/>
    <n v="23"/>
    <n v="7"/>
    <x v="0"/>
    <x v="1"/>
    <n v="412216"/>
    <n v="241168"/>
    <n v="171048"/>
    <x v="0"/>
    <n v="412216"/>
    <n v="0"/>
    <n v="0"/>
    <n v="1"/>
    <n v="1"/>
    <s v="Yes"/>
    <x v="0"/>
  </r>
  <r>
    <n v="22073"/>
    <d v="2024-05-25T00:00:00"/>
    <x v="2"/>
    <s v="Delhi"/>
    <s v="SC_DEL_3"/>
    <x v="0"/>
    <s v="Cayenne"/>
    <s v="SUV"/>
    <x v="0"/>
    <x v="3"/>
    <x v="0"/>
    <x v="0"/>
    <n v="5"/>
    <n v="7"/>
    <x v="1"/>
    <x v="0"/>
    <n v="321256"/>
    <n v="166438"/>
    <n v="154818"/>
    <x v="3"/>
    <n v="0"/>
    <n v="1"/>
    <n v="1"/>
    <n v="0"/>
    <n v="1"/>
    <s v="No"/>
    <x v="2"/>
  </r>
  <r>
    <n v="22074"/>
    <d v="2024-05-09T00:00:00"/>
    <x v="2"/>
    <s v="Delhi"/>
    <s v="SC_DEL_3"/>
    <x v="2"/>
    <s v="Macan"/>
    <s v="SUV"/>
    <x v="0"/>
    <x v="0"/>
    <x v="2"/>
    <x v="0"/>
    <n v="16"/>
    <n v="7"/>
    <x v="1"/>
    <x v="1"/>
    <n v="151192"/>
    <n v="81555"/>
    <n v="69637"/>
    <x v="1"/>
    <n v="0"/>
    <n v="0"/>
    <n v="1"/>
    <n v="0"/>
    <n v="1"/>
    <s v="Yes"/>
    <x v="0"/>
  </r>
  <r>
    <n v="22075"/>
    <d v="2024-01-13T00:00:00"/>
    <x v="2"/>
    <s v="Noida"/>
    <s v="SC_NOI_4"/>
    <x v="0"/>
    <s v="Panamera"/>
    <s v="Sedan"/>
    <x v="1"/>
    <x v="1"/>
    <x v="1"/>
    <x v="0"/>
    <n v="10"/>
    <n v="7"/>
    <x v="0"/>
    <x v="0"/>
    <n v="544757"/>
    <n v="345816"/>
    <n v="198941"/>
    <x v="1"/>
    <n v="0"/>
    <n v="1"/>
    <n v="0"/>
    <n v="1"/>
    <n v="1"/>
    <s v="Yes"/>
    <x v="0"/>
  </r>
  <r>
    <n v="22076"/>
    <d v="2024-06-09T00:00:00"/>
    <x v="3"/>
    <s v="Ahmedabad"/>
    <s v="SC_AHM_2"/>
    <x v="2"/>
    <s v="Taycan"/>
    <s v="Sedan"/>
    <x v="0"/>
    <x v="1"/>
    <x v="0"/>
    <x v="1"/>
    <n v="2"/>
    <n v="7"/>
    <x v="1"/>
    <x v="0"/>
    <n v="173619"/>
    <n v="89885"/>
    <n v="83734"/>
    <x v="4"/>
    <n v="0"/>
    <n v="1"/>
    <n v="1"/>
    <n v="0"/>
    <n v="1"/>
    <s v="No"/>
    <x v="2"/>
  </r>
  <r>
    <n v="22077"/>
    <d v="2024-05-11T00:00:00"/>
    <x v="1"/>
    <s v="Patna"/>
    <s v="SC_PAT_5"/>
    <x v="2"/>
    <s v="Taycan"/>
    <s v="Sedan"/>
    <x v="1"/>
    <x v="4"/>
    <x v="1"/>
    <x v="0"/>
    <n v="21"/>
    <n v="7"/>
    <x v="0"/>
    <x v="0"/>
    <n v="271828"/>
    <n v="197372"/>
    <n v="74456"/>
    <x v="0"/>
    <n v="0"/>
    <n v="1"/>
    <n v="0"/>
    <n v="1"/>
    <n v="1"/>
    <s v="Yes"/>
    <x v="0"/>
  </r>
  <r>
    <n v="22078"/>
    <d v="2024-01-30T00:00:00"/>
    <x v="2"/>
    <s v="Delhi"/>
    <s v="SC_DEL_1"/>
    <x v="2"/>
    <s v="Cayenne"/>
    <s v="SUV"/>
    <x v="0"/>
    <x v="0"/>
    <x v="1"/>
    <x v="1"/>
    <n v="3"/>
    <n v="7"/>
    <x v="0"/>
    <x v="1"/>
    <n v="273520"/>
    <n v="166836"/>
    <n v="106684"/>
    <x v="3"/>
    <n v="273520"/>
    <n v="0"/>
    <n v="0"/>
    <n v="1"/>
    <n v="1"/>
    <s v="No"/>
    <x v="2"/>
  </r>
  <r>
    <n v="22079"/>
    <d v="2024-05-02T00:00:00"/>
    <x v="3"/>
    <s v="Ahmedabad"/>
    <s v="SC_AHM_2"/>
    <x v="0"/>
    <s v="Taycan"/>
    <s v="Sedan"/>
    <x v="1"/>
    <x v="4"/>
    <x v="2"/>
    <x v="1"/>
    <n v="7"/>
    <n v="7"/>
    <x v="1"/>
    <x v="1"/>
    <n v="298875"/>
    <n v="221515"/>
    <n v="77360"/>
    <x v="3"/>
    <n v="0"/>
    <n v="0"/>
    <n v="1"/>
    <n v="0"/>
    <n v="1"/>
    <s v="No"/>
    <x v="2"/>
  </r>
  <r>
    <n v="22080"/>
    <d v="2024-02-11T00:00:00"/>
    <x v="3"/>
    <s v="Mumbai"/>
    <s v="SC_MUM_5"/>
    <x v="1"/>
    <s v="911"/>
    <s v="Coupe"/>
    <x v="0"/>
    <x v="1"/>
    <x v="0"/>
    <x v="0"/>
    <n v="7"/>
    <n v="7"/>
    <x v="1"/>
    <x v="1"/>
    <n v="219988"/>
    <n v="171993"/>
    <n v="47995"/>
    <x v="3"/>
    <n v="0"/>
    <n v="0"/>
    <n v="1"/>
    <n v="0"/>
    <n v="1"/>
    <s v="No"/>
    <x v="2"/>
  </r>
  <r>
    <n v="22081"/>
    <d v="2024-01-12T00:00:00"/>
    <x v="0"/>
    <s v="Chennai"/>
    <s v="SC_CHE_5"/>
    <x v="2"/>
    <s v="Panamera"/>
    <s v="Sedan"/>
    <x v="0"/>
    <x v="1"/>
    <x v="0"/>
    <x v="1"/>
    <n v="21"/>
    <n v="7"/>
    <x v="0"/>
    <x v="1"/>
    <n v="440036"/>
    <n v="234064"/>
    <n v="205972"/>
    <x v="0"/>
    <n v="440036"/>
    <n v="0"/>
    <n v="0"/>
    <n v="1"/>
    <n v="1"/>
    <s v="Yes"/>
    <x v="0"/>
  </r>
  <r>
    <n v="22082"/>
    <d v="2024-01-01T00:00:00"/>
    <x v="2"/>
    <s v="Delhi"/>
    <s v="SC_DEL_5"/>
    <x v="0"/>
    <s v="Chiron"/>
    <s v="Hypercar"/>
    <x v="0"/>
    <x v="0"/>
    <x v="1"/>
    <x v="0"/>
    <n v="25"/>
    <n v="7"/>
    <x v="1"/>
    <x v="1"/>
    <n v="233660"/>
    <n v="164588"/>
    <n v="69072"/>
    <x v="0"/>
    <n v="0"/>
    <n v="0"/>
    <n v="1"/>
    <n v="0"/>
    <n v="1"/>
    <s v="Yes"/>
    <x v="0"/>
  </r>
  <r>
    <n v="22083"/>
    <d v="2024-04-14T00:00:00"/>
    <x v="3"/>
    <s v="Pune"/>
    <s v="SC_PUN_3"/>
    <x v="2"/>
    <s v="911"/>
    <s v="Coupe"/>
    <x v="1"/>
    <x v="4"/>
    <x v="2"/>
    <x v="0"/>
    <n v="7"/>
    <n v="7"/>
    <x v="1"/>
    <x v="0"/>
    <n v="246032"/>
    <n v="198459"/>
    <n v="47573"/>
    <x v="3"/>
    <n v="0"/>
    <n v="1"/>
    <n v="1"/>
    <n v="0"/>
    <n v="1"/>
    <s v="No"/>
    <x v="2"/>
  </r>
  <r>
    <n v="22084"/>
    <d v="2024-01-05T00:00:00"/>
    <x v="1"/>
    <s v="Kolkata"/>
    <s v="SC_KOL_1"/>
    <x v="1"/>
    <s v="911"/>
    <s v="Coupe"/>
    <x v="0"/>
    <x v="0"/>
    <x v="0"/>
    <x v="0"/>
    <n v="15"/>
    <n v="7"/>
    <x v="0"/>
    <x v="1"/>
    <n v="483757"/>
    <n v="348296"/>
    <n v="135461"/>
    <x v="0"/>
    <n v="483757"/>
    <n v="0"/>
    <n v="0"/>
    <n v="1"/>
    <n v="1"/>
    <s v="Yes"/>
    <x v="0"/>
  </r>
  <r>
    <n v="22085"/>
    <d v="2024-05-30T00:00:00"/>
    <x v="2"/>
    <s v="Delhi"/>
    <s v="SC_DEL_5"/>
    <x v="1"/>
    <s v="Chiron"/>
    <s v="Hypercar"/>
    <x v="0"/>
    <x v="3"/>
    <x v="0"/>
    <x v="0"/>
    <n v="17"/>
    <n v="7"/>
    <x v="0"/>
    <x v="1"/>
    <n v="186305"/>
    <n v="94723"/>
    <n v="91582"/>
    <x v="0"/>
    <n v="186305"/>
    <n v="0"/>
    <n v="0"/>
    <n v="1"/>
    <n v="1"/>
    <s v="Yes"/>
    <x v="0"/>
  </r>
  <r>
    <n v="22086"/>
    <d v="2024-04-29T00:00:00"/>
    <x v="1"/>
    <s v="Patna"/>
    <s v="SC_PAT_5"/>
    <x v="0"/>
    <s v="Cayenne"/>
    <s v="SUV"/>
    <x v="0"/>
    <x v="0"/>
    <x v="0"/>
    <x v="0"/>
    <n v="6"/>
    <n v="7"/>
    <x v="0"/>
    <x v="0"/>
    <n v="122974"/>
    <n v="90958"/>
    <n v="32016"/>
    <x v="2"/>
    <n v="0"/>
    <n v="1"/>
    <n v="0"/>
    <n v="1"/>
    <n v="1"/>
    <s v="No"/>
    <x v="1"/>
  </r>
  <r>
    <n v="22087"/>
    <d v="2024-04-02T00:00:00"/>
    <x v="2"/>
    <s v="Delhi"/>
    <s v="SC_DEL_1"/>
    <x v="0"/>
    <s v="Taycan"/>
    <s v="Sedan"/>
    <x v="1"/>
    <x v="3"/>
    <x v="0"/>
    <x v="1"/>
    <n v="11"/>
    <n v="7"/>
    <x v="0"/>
    <x v="1"/>
    <n v="535257"/>
    <n v="278196"/>
    <n v="257061"/>
    <x v="1"/>
    <n v="535257"/>
    <n v="0"/>
    <n v="0"/>
    <n v="1"/>
    <n v="1"/>
    <s v="Yes"/>
    <x v="0"/>
  </r>
  <r>
    <n v="22088"/>
    <d v="2024-06-05T00:00:00"/>
    <x v="3"/>
    <s v="Pune"/>
    <s v="SC_PUN_5"/>
    <x v="1"/>
    <s v="Chiron"/>
    <s v="Hypercar"/>
    <x v="1"/>
    <x v="2"/>
    <x v="2"/>
    <x v="1"/>
    <n v="10"/>
    <n v="7"/>
    <x v="1"/>
    <x v="1"/>
    <n v="270986"/>
    <n v="169483"/>
    <n v="101503"/>
    <x v="2"/>
    <n v="0"/>
    <n v="0"/>
    <n v="1"/>
    <n v="0"/>
    <n v="1"/>
    <s v="Yes"/>
    <x v="1"/>
  </r>
  <r>
    <n v="22089"/>
    <d v="2024-01-01T00:00:00"/>
    <x v="3"/>
    <s v="Mumbai"/>
    <s v="SC_MUM_3"/>
    <x v="1"/>
    <s v="911"/>
    <s v="Coupe"/>
    <x v="1"/>
    <x v="2"/>
    <x v="0"/>
    <x v="1"/>
    <n v="9"/>
    <n v="7"/>
    <x v="1"/>
    <x v="0"/>
    <n v="559603"/>
    <n v="367966"/>
    <n v="191637"/>
    <x v="3"/>
    <n v="0"/>
    <n v="1"/>
    <n v="1"/>
    <n v="0"/>
    <n v="1"/>
    <s v="Yes"/>
    <x v="2"/>
  </r>
  <r>
    <n v="22090"/>
    <d v="2024-05-18T00:00:00"/>
    <x v="1"/>
    <s v="Kolkata"/>
    <s v="SC_KOL_5"/>
    <x v="2"/>
    <s v="911"/>
    <s v="Coupe"/>
    <x v="1"/>
    <x v="1"/>
    <x v="0"/>
    <x v="0"/>
    <n v="19"/>
    <n v="7"/>
    <x v="0"/>
    <x v="1"/>
    <n v="97881"/>
    <n v="72660"/>
    <n v="25221"/>
    <x v="0"/>
    <n v="97881"/>
    <n v="0"/>
    <n v="0"/>
    <n v="1"/>
    <n v="1"/>
    <s v="Yes"/>
    <x v="0"/>
  </r>
  <r>
    <n v="22091"/>
    <d v="2024-03-16T00:00:00"/>
    <x v="2"/>
    <s v="Delhi"/>
    <s v="SC_DEL_1"/>
    <x v="0"/>
    <s v="Veyron"/>
    <s v="Hypercar"/>
    <x v="1"/>
    <x v="4"/>
    <x v="1"/>
    <x v="0"/>
    <n v="19"/>
    <n v="7"/>
    <x v="1"/>
    <x v="0"/>
    <n v="579662"/>
    <n v="445855"/>
    <n v="133807"/>
    <x v="1"/>
    <n v="0"/>
    <n v="1"/>
    <n v="1"/>
    <n v="0"/>
    <n v="1"/>
    <s v="Yes"/>
    <x v="0"/>
  </r>
  <r>
    <n v="22092"/>
    <d v="2024-02-23T00:00:00"/>
    <x v="0"/>
    <s v="Chennai"/>
    <s v="SC_CHE_5"/>
    <x v="0"/>
    <s v="Chiron"/>
    <s v="Hypercar"/>
    <x v="1"/>
    <x v="2"/>
    <x v="0"/>
    <x v="0"/>
    <n v="12"/>
    <n v="7"/>
    <x v="0"/>
    <x v="1"/>
    <n v="360472"/>
    <n v="260455"/>
    <n v="100017"/>
    <x v="1"/>
    <n v="360472"/>
    <n v="0"/>
    <n v="0"/>
    <n v="1"/>
    <n v="1"/>
    <s v="Yes"/>
    <x v="0"/>
  </r>
  <r>
    <n v="22093"/>
    <d v="2024-06-09T00:00:00"/>
    <x v="1"/>
    <s v="Kolkata"/>
    <s v="SC_KOL_4"/>
    <x v="0"/>
    <s v="Veyron"/>
    <s v="Hypercar"/>
    <x v="1"/>
    <x v="1"/>
    <x v="2"/>
    <x v="0"/>
    <n v="23"/>
    <n v="7"/>
    <x v="0"/>
    <x v="0"/>
    <n v="506546"/>
    <n v="346937"/>
    <n v="159609"/>
    <x v="0"/>
    <n v="0"/>
    <n v="1"/>
    <n v="0"/>
    <n v="1"/>
    <n v="1"/>
    <s v="Yes"/>
    <x v="0"/>
  </r>
  <r>
    <n v="22094"/>
    <d v="2024-02-15T00:00:00"/>
    <x v="1"/>
    <s v="Bhubaneswar"/>
    <s v="SC_BHU_5"/>
    <x v="0"/>
    <s v="Chiron"/>
    <s v="Hypercar"/>
    <x v="1"/>
    <x v="1"/>
    <x v="2"/>
    <x v="0"/>
    <n v="16"/>
    <n v="7"/>
    <x v="0"/>
    <x v="0"/>
    <n v="211966"/>
    <n v="172281"/>
    <n v="39685"/>
    <x v="0"/>
    <n v="0"/>
    <n v="1"/>
    <n v="0"/>
    <n v="1"/>
    <n v="1"/>
    <s v="Yes"/>
    <x v="0"/>
  </r>
  <r>
    <n v="22095"/>
    <d v="2024-04-29T00:00:00"/>
    <x v="3"/>
    <s v="Ahmedabad"/>
    <s v="SC_AHM_5"/>
    <x v="1"/>
    <s v="Macan"/>
    <s v="SUV"/>
    <x v="1"/>
    <x v="1"/>
    <x v="2"/>
    <x v="0"/>
    <n v="18"/>
    <n v="7"/>
    <x v="0"/>
    <x v="1"/>
    <n v="534181"/>
    <n v="382753"/>
    <n v="151428"/>
    <x v="0"/>
    <n v="534181"/>
    <n v="0"/>
    <n v="0"/>
    <n v="1"/>
    <n v="1"/>
    <s v="Yes"/>
    <x v="0"/>
  </r>
  <r>
    <n v="22096"/>
    <d v="2024-03-12T00:00:00"/>
    <x v="2"/>
    <s v="Delhi"/>
    <s v="SC_DEL_5"/>
    <x v="0"/>
    <s v="Cayenne"/>
    <s v="SUV"/>
    <x v="0"/>
    <x v="2"/>
    <x v="1"/>
    <x v="1"/>
    <n v="13"/>
    <n v="7"/>
    <x v="0"/>
    <x v="1"/>
    <n v="246026"/>
    <n v="123949"/>
    <n v="122077"/>
    <x v="1"/>
    <n v="246026"/>
    <n v="0"/>
    <n v="0"/>
    <n v="1"/>
    <n v="1"/>
    <s v="Yes"/>
    <x v="0"/>
  </r>
  <r>
    <n v="22097"/>
    <d v="2024-02-24T00:00:00"/>
    <x v="1"/>
    <s v="Bhubaneswar"/>
    <s v="SC_BHU_1"/>
    <x v="1"/>
    <s v="Chiron"/>
    <s v="Hypercar"/>
    <x v="1"/>
    <x v="0"/>
    <x v="0"/>
    <x v="1"/>
    <n v="10"/>
    <n v="7"/>
    <x v="0"/>
    <x v="0"/>
    <n v="286329"/>
    <n v="154600"/>
    <n v="131729"/>
    <x v="1"/>
    <n v="0"/>
    <n v="1"/>
    <n v="0"/>
    <n v="1"/>
    <n v="1"/>
    <s v="Yes"/>
    <x v="0"/>
  </r>
  <r>
    <n v="22098"/>
    <d v="2024-01-04T00:00:00"/>
    <x v="1"/>
    <s v="Bhubaneswar"/>
    <s v="SC_BHU_2"/>
    <x v="0"/>
    <s v="Panamera"/>
    <s v="Sedan"/>
    <x v="0"/>
    <x v="2"/>
    <x v="2"/>
    <x v="1"/>
    <n v="13"/>
    <n v="7"/>
    <x v="0"/>
    <x v="1"/>
    <n v="278536"/>
    <n v="142479"/>
    <n v="136057"/>
    <x v="1"/>
    <n v="278536"/>
    <n v="0"/>
    <n v="0"/>
    <n v="1"/>
    <n v="1"/>
    <s v="Yes"/>
    <x v="0"/>
  </r>
  <r>
    <n v="22099"/>
    <d v="2024-03-30T00:00:00"/>
    <x v="3"/>
    <s v="Ahmedabad"/>
    <s v="SC_AHM_2"/>
    <x v="0"/>
    <s v="Chiron"/>
    <s v="Hypercar"/>
    <x v="1"/>
    <x v="1"/>
    <x v="0"/>
    <x v="1"/>
    <n v="2"/>
    <n v="7"/>
    <x v="1"/>
    <x v="1"/>
    <n v="268699"/>
    <n v="199129"/>
    <n v="69570"/>
    <x v="4"/>
    <n v="0"/>
    <n v="0"/>
    <n v="1"/>
    <n v="0"/>
    <n v="1"/>
    <s v="No"/>
    <x v="2"/>
  </r>
  <r>
    <n v="22100"/>
    <d v="2024-06-08T00:00:00"/>
    <x v="0"/>
    <s v="Bengaluru"/>
    <s v="SC_BEN_2"/>
    <x v="1"/>
    <s v="Panamera"/>
    <s v="Sedan"/>
    <x v="0"/>
    <x v="4"/>
    <x v="2"/>
    <x v="1"/>
    <n v="24"/>
    <n v="7"/>
    <x v="0"/>
    <x v="0"/>
    <n v="237043"/>
    <n v="176769"/>
    <n v="60274"/>
    <x v="0"/>
    <n v="0"/>
    <n v="1"/>
    <n v="0"/>
    <n v="1"/>
    <n v="1"/>
    <s v="Yes"/>
    <x v="0"/>
  </r>
  <r>
    <n v="22101"/>
    <d v="2024-02-28T00:00:00"/>
    <x v="1"/>
    <s v="Patna"/>
    <s v="SC_PAT_5"/>
    <x v="0"/>
    <s v="Chiron"/>
    <s v="Hypercar"/>
    <x v="0"/>
    <x v="1"/>
    <x v="0"/>
    <x v="1"/>
    <n v="17"/>
    <n v="7"/>
    <x v="0"/>
    <x v="1"/>
    <n v="159806"/>
    <n v="118702"/>
    <n v="41104"/>
    <x v="0"/>
    <n v="159806"/>
    <n v="0"/>
    <n v="0"/>
    <n v="1"/>
    <n v="1"/>
    <s v="Yes"/>
    <x v="0"/>
  </r>
  <r>
    <n v="22102"/>
    <d v="2024-03-17T00:00:00"/>
    <x v="3"/>
    <s v="Mumbai"/>
    <s v="SC_MUM_1"/>
    <x v="1"/>
    <s v="Panamera"/>
    <s v="Sedan"/>
    <x v="0"/>
    <x v="4"/>
    <x v="2"/>
    <x v="0"/>
    <n v="13"/>
    <n v="7"/>
    <x v="0"/>
    <x v="0"/>
    <n v="421420"/>
    <n v="220203"/>
    <n v="201217"/>
    <x v="1"/>
    <n v="0"/>
    <n v="1"/>
    <n v="0"/>
    <n v="1"/>
    <n v="1"/>
    <s v="Yes"/>
    <x v="0"/>
  </r>
  <r>
    <n v="22103"/>
    <d v="2024-03-03T00:00:00"/>
    <x v="3"/>
    <s v="Pune"/>
    <s v="SC_PUN_3"/>
    <x v="2"/>
    <s v="Macan"/>
    <s v="SUV"/>
    <x v="0"/>
    <x v="4"/>
    <x v="2"/>
    <x v="1"/>
    <n v="6"/>
    <n v="7"/>
    <x v="0"/>
    <x v="0"/>
    <n v="519908"/>
    <n v="335198"/>
    <n v="184710"/>
    <x v="2"/>
    <n v="0"/>
    <n v="1"/>
    <n v="0"/>
    <n v="1"/>
    <n v="1"/>
    <s v="No"/>
    <x v="1"/>
  </r>
  <r>
    <n v="22104"/>
    <d v="2024-06-17T00:00:00"/>
    <x v="2"/>
    <s v="Gurugram"/>
    <s v="SC_GUR_5"/>
    <x v="2"/>
    <s v="Macan"/>
    <s v="SUV"/>
    <x v="1"/>
    <x v="3"/>
    <x v="1"/>
    <x v="1"/>
    <n v="16"/>
    <n v="7"/>
    <x v="0"/>
    <x v="1"/>
    <n v="397531"/>
    <n v="255747"/>
    <n v="141784"/>
    <x v="0"/>
    <n v="397531"/>
    <n v="0"/>
    <n v="0"/>
    <n v="1"/>
    <n v="1"/>
    <s v="Yes"/>
    <x v="0"/>
  </r>
  <r>
    <n v="22105"/>
    <d v="2024-03-28T00:00:00"/>
    <x v="1"/>
    <s v="Bhubaneswar"/>
    <s v="SC_BHU_3"/>
    <x v="0"/>
    <s v="Taycan"/>
    <s v="Sedan"/>
    <x v="0"/>
    <x v="3"/>
    <x v="2"/>
    <x v="0"/>
    <n v="14"/>
    <n v="7"/>
    <x v="0"/>
    <x v="0"/>
    <n v="361642"/>
    <n v="195341"/>
    <n v="166301"/>
    <x v="1"/>
    <n v="0"/>
    <n v="1"/>
    <n v="0"/>
    <n v="1"/>
    <n v="1"/>
    <s v="Yes"/>
    <x v="0"/>
  </r>
  <r>
    <n v="22106"/>
    <d v="2024-02-20T00:00:00"/>
    <x v="0"/>
    <s v="Chennai"/>
    <s v="SC_CHE_1"/>
    <x v="0"/>
    <s v="Cayenne"/>
    <s v="SUV"/>
    <x v="0"/>
    <x v="2"/>
    <x v="2"/>
    <x v="1"/>
    <n v="20"/>
    <n v="7"/>
    <x v="0"/>
    <x v="1"/>
    <n v="284298"/>
    <n v="226191"/>
    <n v="58107"/>
    <x v="0"/>
    <n v="284298"/>
    <n v="0"/>
    <n v="0"/>
    <n v="1"/>
    <n v="1"/>
    <s v="Yes"/>
    <x v="0"/>
  </r>
  <r>
    <n v="22107"/>
    <d v="2024-06-03T00:00:00"/>
    <x v="1"/>
    <s v="Kolkata"/>
    <s v="SC_KOL_3"/>
    <x v="2"/>
    <s v="Cayenne"/>
    <s v="SUV"/>
    <x v="1"/>
    <x v="2"/>
    <x v="0"/>
    <x v="0"/>
    <n v="14"/>
    <n v="7"/>
    <x v="0"/>
    <x v="0"/>
    <n v="325855"/>
    <n v="186896"/>
    <n v="138959"/>
    <x v="1"/>
    <n v="0"/>
    <n v="1"/>
    <n v="0"/>
    <n v="1"/>
    <n v="1"/>
    <s v="Yes"/>
    <x v="0"/>
  </r>
  <r>
    <n v="22108"/>
    <d v="2024-04-07T00:00:00"/>
    <x v="1"/>
    <s v="Bhubaneswar"/>
    <s v="SC_BHU_5"/>
    <x v="0"/>
    <s v="Veyron"/>
    <s v="Hypercar"/>
    <x v="1"/>
    <x v="0"/>
    <x v="2"/>
    <x v="0"/>
    <n v="16"/>
    <n v="7"/>
    <x v="0"/>
    <x v="0"/>
    <n v="226534"/>
    <n v="125104"/>
    <n v="101430"/>
    <x v="0"/>
    <n v="0"/>
    <n v="1"/>
    <n v="0"/>
    <n v="1"/>
    <n v="1"/>
    <s v="Yes"/>
    <x v="0"/>
  </r>
  <r>
    <n v="22109"/>
    <d v="2024-06-22T00:00:00"/>
    <x v="0"/>
    <s v="Chennai"/>
    <s v="SC_CHE_2"/>
    <x v="0"/>
    <s v="Taycan"/>
    <s v="Sedan"/>
    <x v="0"/>
    <x v="2"/>
    <x v="1"/>
    <x v="0"/>
    <n v="5"/>
    <n v="7"/>
    <x v="0"/>
    <x v="0"/>
    <n v="557870"/>
    <n v="330696"/>
    <n v="227174"/>
    <x v="2"/>
    <n v="0"/>
    <n v="1"/>
    <n v="0"/>
    <n v="1"/>
    <n v="1"/>
    <s v="No"/>
    <x v="1"/>
  </r>
  <r>
    <n v="22110"/>
    <d v="2024-04-14T00:00:00"/>
    <x v="1"/>
    <s v="Patna"/>
    <s v="SC_PAT_3"/>
    <x v="1"/>
    <s v="Taycan"/>
    <s v="Sedan"/>
    <x v="0"/>
    <x v="0"/>
    <x v="1"/>
    <x v="1"/>
    <n v="6"/>
    <n v="7"/>
    <x v="0"/>
    <x v="1"/>
    <n v="153480"/>
    <n v="100931"/>
    <n v="52549"/>
    <x v="2"/>
    <n v="153480"/>
    <n v="0"/>
    <n v="0"/>
    <n v="1"/>
    <n v="1"/>
    <s v="No"/>
    <x v="1"/>
  </r>
  <r>
    <n v="22111"/>
    <d v="2024-04-07T00:00:00"/>
    <x v="0"/>
    <s v="Bengaluru"/>
    <s v="SC_BEN_3"/>
    <x v="2"/>
    <s v="Panamera"/>
    <s v="Sedan"/>
    <x v="0"/>
    <x v="1"/>
    <x v="2"/>
    <x v="0"/>
    <n v="2"/>
    <n v="7"/>
    <x v="0"/>
    <x v="0"/>
    <n v="304124"/>
    <n v="196579"/>
    <n v="107545"/>
    <x v="3"/>
    <n v="0"/>
    <n v="1"/>
    <n v="0"/>
    <n v="1"/>
    <n v="1"/>
    <s v="No"/>
    <x v="2"/>
  </r>
  <r>
    <n v="22112"/>
    <d v="2024-03-25T00:00:00"/>
    <x v="0"/>
    <s v="Bengaluru"/>
    <s v="SC_BEN_2"/>
    <x v="0"/>
    <s v="Chiron"/>
    <s v="Hypercar"/>
    <x v="1"/>
    <x v="0"/>
    <x v="1"/>
    <x v="1"/>
    <n v="22"/>
    <n v="7"/>
    <x v="0"/>
    <x v="0"/>
    <n v="289312"/>
    <n v="177125"/>
    <n v="112187"/>
    <x v="0"/>
    <n v="0"/>
    <n v="1"/>
    <n v="0"/>
    <n v="1"/>
    <n v="1"/>
    <s v="Yes"/>
    <x v="0"/>
  </r>
  <r>
    <n v="22113"/>
    <d v="2024-04-12T00:00:00"/>
    <x v="2"/>
    <s v="Gurugram"/>
    <s v="SC_GUR_3"/>
    <x v="2"/>
    <s v="Chiron"/>
    <s v="Hypercar"/>
    <x v="1"/>
    <x v="4"/>
    <x v="0"/>
    <x v="0"/>
    <n v="25"/>
    <n v="7"/>
    <x v="0"/>
    <x v="1"/>
    <n v="135363"/>
    <n v="85874"/>
    <n v="49489"/>
    <x v="0"/>
    <n v="135363"/>
    <n v="0"/>
    <n v="0"/>
    <n v="1"/>
    <n v="1"/>
    <s v="Yes"/>
    <x v="0"/>
  </r>
  <r>
    <n v="22114"/>
    <d v="2024-05-18T00:00:00"/>
    <x v="1"/>
    <s v="Bhubaneswar"/>
    <s v="SC_BHU_5"/>
    <x v="2"/>
    <s v="Chiron"/>
    <s v="Hypercar"/>
    <x v="1"/>
    <x v="1"/>
    <x v="2"/>
    <x v="1"/>
    <n v="19"/>
    <n v="7"/>
    <x v="1"/>
    <x v="0"/>
    <n v="525617"/>
    <n v="429142"/>
    <n v="96475"/>
    <x v="1"/>
    <n v="0"/>
    <n v="1"/>
    <n v="1"/>
    <n v="0"/>
    <n v="1"/>
    <s v="Yes"/>
    <x v="0"/>
  </r>
  <r>
    <n v="22115"/>
    <d v="2024-01-08T00:00:00"/>
    <x v="0"/>
    <s v="Chennai"/>
    <s v="SC_CHE_3"/>
    <x v="0"/>
    <s v="Veyron"/>
    <s v="Hypercar"/>
    <x v="1"/>
    <x v="2"/>
    <x v="0"/>
    <x v="0"/>
    <n v="12"/>
    <n v="7"/>
    <x v="0"/>
    <x v="0"/>
    <n v="133384"/>
    <n v="89781"/>
    <n v="43603"/>
    <x v="1"/>
    <n v="0"/>
    <n v="1"/>
    <n v="0"/>
    <n v="1"/>
    <n v="1"/>
    <s v="Yes"/>
    <x v="0"/>
  </r>
  <r>
    <n v="22116"/>
    <d v="2024-03-20T00:00:00"/>
    <x v="0"/>
    <s v="Hyderabad"/>
    <s v="SC_HYD_3"/>
    <x v="0"/>
    <s v="Veyron"/>
    <s v="Hypercar"/>
    <x v="1"/>
    <x v="0"/>
    <x v="2"/>
    <x v="0"/>
    <n v="16"/>
    <n v="7"/>
    <x v="0"/>
    <x v="0"/>
    <n v="300336"/>
    <n v="240148"/>
    <n v="60188"/>
    <x v="0"/>
    <n v="0"/>
    <n v="1"/>
    <n v="0"/>
    <n v="1"/>
    <n v="1"/>
    <s v="Yes"/>
    <x v="0"/>
  </r>
  <r>
    <n v="22117"/>
    <d v="2024-04-14T00:00:00"/>
    <x v="1"/>
    <s v="Patna"/>
    <s v="SC_PAT_3"/>
    <x v="0"/>
    <s v="Veyron"/>
    <s v="Hypercar"/>
    <x v="0"/>
    <x v="4"/>
    <x v="2"/>
    <x v="1"/>
    <n v="8"/>
    <n v="7"/>
    <x v="1"/>
    <x v="0"/>
    <n v="421838"/>
    <n v="298164"/>
    <n v="123674"/>
    <x v="3"/>
    <n v="0"/>
    <n v="1"/>
    <n v="1"/>
    <n v="0"/>
    <n v="1"/>
    <s v="Yes"/>
    <x v="2"/>
  </r>
  <r>
    <n v="22118"/>
    <d v="2024-03-19T00:00:00"/>
    <x v="3"/>
    <s v="Pune"/>
    <s v="SC_PUN_2"/>
    <x v="2"/>
    <s v="Panamera"/>
    <s v="Sedan"/>
    <x v="0"/>
    <x v="1"/>
    <x v="2"/>
    <x v="1"/>
    <n v="24"/>
    <n v="7"/>
    <x v="1"/>
    <x v="1"/>
    <n v="414628"/>
    <n v="223599"/>
    <n v="191029"/>
    <x v="0"/>
    <n v="0"/>
    <n v="0"/>
    <n v="1"/>
    <n v="0"/>
    <n v="1"/>
    <s v="Yes"/>
    <x v="0"/>
  </r>
  <r>
    <n v="22119"/>
    <d v="2024-05-30T00:00:00"/>
    <x v="1"/>
    <s v="Kolkata"/>
    <s v="SC_KOL_5"/>
    <x v="1"/>
    <s v="Chiron"/>
    <s v="Hypercar"/>
    <x v="0"/>
    <x v="4"/>
    <x v="0"/>
    <x v="0"/>
    <n v="21"/>
    <n v="7"/>
    <x v="0"/>
    <x v="1"/>
    <n v="179436"/>
    <n v="94986"/>
    <n v="84450"/>
    <x v="0"/>
    <n v="179436"/>
    <n v="0"/>
    <n v="0"/>
    <n v="1"/>
    <n v="1"/>
    <s v="Yes"/>
    <x v="0"/>
  </r>
  <r>
    <n v="22120"/>
    <d v="2024-03-18T00:00:00"/>
    <x v="2"/>
    <s v="Noida"/>
    <s v="SC_NOI_5"/>
    <x v="0"/>
    <s v="Taycan"/>
    <s v="Sedan"/>
    <x v="1"/>
    <x v="4"/>
    <x v="2"/>
    <x v="0"/>
    <n v="3"/>
    <n v="7"/>
    <x v="1"/>
    <x v="1"/>
    <n v="97053"/>
    <n v="75620"/>
    <n v="21433"/>
    <x v="4"/>
    <n v="0"/>
    <n v="0"/>
    <n v="1"/>
    <n v="0"/>
    <n v="1"/>
    <s v="No"/>
    <x v="2"/>
  </r>
  <r>
    <n v="22121"/>
    <d v="2024-06-09T00:00:00"/>
    <x v="1"/>
    <s v="Bhubaneswar"/>
    <s v="SC_BHU_1"/>
    <x v="2"/>
    <s v="Panamera"/>
    <s v="Sedan"/>
    <x v="1"/>
    <x v="4"/>
    <x v="0"/>
    <x v="0"/>
    <n v="18"/>
    <n v="7"/>
    <x v="0"/>
    <x v="1"/>
    <n v="357014"/>
    <n v="282664"/>
    <n v="74350"/>
    <x v="0"/>
    <n v="357014"/>
    <n v="0"/>
    <n v="0"/>
    <n v="1"/>
    <n v="1"/>
    <s v="Yes"/>
    <x v="0"/>
  </r>
  <r>
    <n v="22122"/>
    <d v="2024-03-21T00:00:00"/>
    <x v="2"/>
    <s v="Gurugram"/>
    <s v="SC_GUR_1"/>
    <x v="2"/>
    <s v="Veyron"/>
    <s v="Hypercar"/>
    <x v="1"/>
    <x v="4"/>
    <x v="2"/>
    <x v="1"/>
    <n v="20"/>
    <n v="7"/>
    <x v="1"/>
    <x v="0"/>
    <n v="494441"/>
    <n v="371361"/>
    <n v="123080"/>
    <x v="0"/>
    <n v="0"/>
    <n v="1"/>
    <n v="1"/>
    <n v="0"/>
    <n v="1"/>
    <s v="Yes"/>
    <x v="0"/>
  </r>
  <r>
    <n v="22123"/>
    <d v="2024-06-24T00:00:00"/>
    <x v="2"/>
    <s v="Delhi"/>
    <s v="SC_DEL_5"/>
    <x v="0"/>
    <s v="Macan"/>
    <s v="SUV"/>
    <x v="1"/>
    <x v="3"/>
    <x v="0"/>
    <x v="0"/>
    <n v="16"/>
    <n v="7"/>
    <x v="0"/>
    <x v="1"/>
    <n v="285304"/>
    <n v="238990"/>
    <n v="46314"/>
    <x v="0"/>
    <n v="285304"/>
    <n v="0"/>
    <n v="0"/>
    <n v="1"/>
    <n v="1"/>
    <s v="Yes"/>
    <x v="0"/>
  </r>
  <r>
    <n v="22124"/>
    <d v="2024-04-09T00:00:00"/>
    <x v="2"/>
    <s v="Noida"/>
    <s v="SC_NOI_5"/>
    <x v="0"/>
    <s v="Veyron"/>
    <s v="Hypercar"/>
    <x v="1"/>
    <x v="4"/>
    <x v="0"/>
    <x v="1"/>
    <n v="25"/>
    <n v="7"/>
    <x v="0"/>
    <x v="0"/>
    <n v="380638"/>
    <n v="315778"/>
    <n v="64860"/>
    <x v="0"/>
    <n v="0"/>
    <n v="1"/>
    <n v="0"/>
    <n v="1"/>
    <n v="1"/>
    <s v="Yes"/>
    <x v="0"/>
  </r>
  <r>
    <n v="22125"/>
    <d v="2024-04-27T00:00:00"/>
    <x v="0"/>
    <s v="Hyderabad"/>
    <s v="SC_HYD_5"/>
    <x v="0"/>
    <s v="Cayenne"/>
    <s v="SUV"/>
    <x v="0"/>
    <x v="3"/>
    <x v="2"/>
    <x v="1"/>
    <n v="9"/>
    <n v="7"/>
    <x v="1"/>
    <x v="1"/>
    <n v="115595"/>
    <n v="59702"/>
    <n v="55893"/>
    <x v="3"/>
    <n v="0"/>
    <n v="0"/>
    <n v="1"/>
    <n v="0"/>
    <n v="1"/>
    <s v="Yes"/>
    <x v="2"/>
  </r>
  <r>
    <n v="22126"/>
    <d v="2024-02-27T00:00:00"/>
    <x v="3"/>
    <s v="Mumbai"/>
    <s v="SC_MUM_4"/>
    <x v="0"/>
    <s v="Veyron"/>
    <s v="Hypercar"/>
    <x v="1"/>
    <x v="0"/>
    <x v="2"/>
    <x v="1"/>
    <n v="24"/>
    <n v="7"/>
    <x v="1"/>
    <x v="1"/>
    <n v="301244"/>
    <n v="254068"/>
    <n v="47176"/>
    <x v="0"/>
    <n v="0"/>
    <n v="0"/>
    <n v="1"/>
    <n v="0"/>
    <n v="1"/>
    <s v="Yes"/>
    <x v="0"/>
  </r>
  <r>
    <n v="22127"/>
    <d v="2024-03-21T00:00:00"/>
    <x v="1"/>
    <s v="Kolkata"/>
    <s v="SC_KOL_2"/>
    <x v="0"/>
    <s v="Cayenne"/>
    <s v="SUV"/>
    <x v="0"/>
    <x v="0"/>
    <x v="2"/>
    <x v="0"/>
    <n v="17"/>
    <n v="7"/>
    <x v="0"/>
    <x v="0"/>
    <n v="91844"/>
    <n v="64479"/>
    <n v="27365"/>
    <x v="0"/>
    <n v="0"/>
    <n v="1"/>
    <n v="0"/>
    <n v="1"/>
    <n v="1"/>
    <s v="Yes"/>
    <x v="0"/>
  </r>
  <r>
    <n v="22128"/>
    <d v="2024-06-25T00:00:00"/>
    <x v="3"/>
    <s v="Pune"/>
    <s v="SC_PUN_2"/>
    <x v="2"/>
    <s v="Panamera"/>
    <s v="Sedan"/>
    <x v="1"/>
    <x v="3"/>
    <x v="1"/>
    <x v="1"/>
    <n v="25"/>
    <n v="7"/>
    <x v="0"/>
    <x v="1"/>
    <n v="597135"/>
    <n v="436480"/>
    <n v="160655"/>
    <x v="0"/>
    <n v="597135"/>
    <n v="0"/>
    <n v="0"/>
    <n v="1"/>
    <n v="1"/>
    <s v="Yes"/>
    <x v="0"/>
  </r>
  <r>
    <n v="22129"/>
    <d v="2024-04-09T00:00:00"/>
    <x v="3"/>
    <s v="Ahmedabad"/>
    <s v="SC_AHM_2"/>
    <x v="1"/>
    <s v="Panamera"/>
    <s v="Sedan"/>
    <x v="1"/>
    <x v="2"/>
    <x v="1"/>
    <x v="1"/>
    <n v="21"/>
    <n v="7"/>
    <x v="0"/>
    <x v="0"/>
    <n v="441060"/>
    <n v="269233"/>
    <n v="171827"/>
    <x v="0"/>
    <n v="0"/>
    <n v="1"/>
    <n v="0"/>
    <n v="1"/>
    <n v="1"/>
    <s v="Yes"/>
    <x v="0"/>
  </r>
  <r>
    <n v="22130"/>
    <d v="2024-04-10T00:00:00"/>
    <x v="0"/>
    <s v="Hyderabad"/>
    <s v="SC_HYD_4"/>
    <x v="0"/>
    <s v="Cayenne"/>
    <s v="SUV"/>
    <x v="1"/>
    <x v="1"/>
    <x v="1"/>
    <x v="0"/>
    <n v="4"/>
    <n v="7"/>
    <x v="0"/>
    <x v="1"/>
    <n v="503206"/>
    <n v="365735"/>
    <n v="137471"/>
    <x v="3"/>
    <n v="503206"/>
    <n v="0"/>
    <n v="0"/>
    <n v="1"/>
    <n v="1"/>
    <s v="No"/>
    <x v="2"/>
  </r>
  <r>
    <n v="22131"/>
    <d v="2024-06-25T00:00:00"/>
    <x v="3"/>
    <s v="Mumbai"/>
    <s v="SC_MUM_3"/>
    <x v="2"/>
    <s v="Macan"/>
    <s v="SUV"/>
    <x v="1"/>
    <x v="0"/>
    <x v="2"/>
    <x v="0"/>
    <n v="7"/>
    <n v="7"/>
    <x v="1"/>
    <x v="1"/>
    <n v="91531"/>
    <n v="53453"/>
    <n v="38078"/>
    <x v="3"/>
    <n v="0"/>
    <n v="0"/>
    <n v="1"/>
    <n v="0"/>
    <n v="1"/>
    <s v="No"/>
    <x v="2"/>
  </r>
  <r>
    <n v="22132"/>
    <d v="2024-03-14T00:00:00"/>
    <x v="0"/>
    <s v="Bengaluru"/>
    <s v="SC_BEN_3"/>
    <x v="1"/>
    <s v="Taycan"/>
    <s v="Sedan"/>
    <x v="0"/>
    <x v="0"/>
    <x v="2"/>
    <x v="1"/>
    <n v="2"/>
    <n v="7"/>
    <x v="0"/>
    <x v="0"/>
    <n v="179764"/>
    <n v="148969"/>
    <n v="30795"/>
    <x v="3"/>
    <n v="0"/>
    <n v="1"/>
    <n v="0"/>
    <n v="1"/>
    <n v="1"/>
    <s v="No"/>
    <x v="2"/>
  </r>
  <r>
    <n v="22133"/>
    <d v="2024-06-11T00:00:00"/>
    <x v="1"/>
    <s v="Kolkata"/>
    <s v="SC_KOL_2"/>
    <x v="0"/>
    <s v="Panamera"/>
    <s v="Sedan"/>
    <x v="1"/>
    <x v="2"/>
    <x v="2"/>
    <x v="0"/>
    <n v="11"/>
    <n v="7"/>
    <x v="1"/>
    <x v="1"/>
    <n v="171947"/>
    <n v="122851"/>
    <n v="49096"/>
    <x v="2"/>
    <n v="0"/>
    <n v="0"/>
    <n v="1"/>
    <n v="0"/>
    <n v="1"/>
    <s v="Yes"/>
    <x v="1"/>
  </r>
  <r>
    <n v="22134"/>
    <d v="2024-06-16T00:00:00"/>
    <x v="3"/>
    <s v="Ahmedabad"/>
    <s v="SC_AHM_2"/>
    <x v="2"/>
    <s v="Cayenne"/>
    <s v="SUV"/>
    <x v="0"/>
    <x v="1"/>
    <x v="2"/>
    <x v="0"/>
    <n v="2"/>
    <n v="7"/>
    <x v="1"/>
    <x v="1"/>
    <n v="259858"/>
    <n v="198792"/>
    <n v="61066"/>
    <x v="4"/>
    <n v="0"/>
    <n v="0"/>
    <n v="1"/>
    <n v="0"/>
    <n v="1"/>
    <s v="No"/>
    <x v="2"/>
  </r>
  <r>
    <n v="22135"/>
    <d v="2024-02-01T00:00:00"/>
    <x v="2"/>
    <s v="Delhi"/>
    <s v="SC_DEL_5"/>
    <x v="0"/>
    <s v="Taycan"/>
    <s v="Sedan"/>
    <x v="0"/>
    <x v="0"/>
    <x v="1"/>
    <x v="0"/>
    <n v="9"/>
    <n v="7"/>
    <x v="1"/>
    <x v="1"/>
    <n v="213675"/>
    <n v="180681"/>
    <n v="32994"/>
    <x v="3"/>
    <n v="0"/>
    <n v="0"/>
    <n v="1"/>
    <n v="0"/>
    <n v="1"/>
    <s v="Yes"/>
    <x v="2"/>
  </r>
  <r>
    <n v="22136"/>
    <d v="2024-01-02T00:00:00"/>
    <x v="0"/>
    <s v="Chennai"/>
    <s v="SC_CHE_1"/>
    <x v="1"/>
    <s v="911"/>
    <s v="Coupe"/>
    <x v="1"/>
    <x v="2"/>
    <x v="1"/>
    <x v="1"/>
    <n v="10"/>
    <n v="7"/>
    <x v="0"/>
    <x v="1"/>
    <n v="572830"/>
    <n v="339677"/>
    <n v="233153"/>
    <x v="1"/>
    <n v="572830"/>
    <n v="0"/>
    <n v="0"/>
    <n v="1"/>
    <n v="1"/>
    <s v="Yes"/>
    <x v="0"/>
  </r>
  <r>
    <n v="22137"/>
    <d v="2024-05-06T00:00:00"/>
    <x v="0"/>
    <s v="Chennai"/>
    <s v="SC_CHE_4"/>
    <x v="0"/>
    <s v="Panamera"/>
    <s v="Sedan"/>
    <x v="1"/>
    <x v="2"/>
    <x v="2"/>
    <x v="1"/>
    <n v="3"/>
    <n v="7"/>
    <x v="1"/>
    <x v="0"/>
    <n v="244075"/>
    <n v="154291"/>
    <n v="89784"/>
    <x v="4"/>
    <n v="0"/>
    <n v="1"/>
    <n v="1"/>
    <n v="0"/>
    <n v="1"/>
    <s v="No"/>
    <x v="2"/>
  </r>
  <r>
    <n v="22138"/>
    <d v="2024-02-05T00:00:00"/>
    <x v="2"/>
    <s v="Noida"/>
    <s v="SC_NOI_4"/>
    <x v="1"/>
    <s v="Macan"/>
    <s v="SUV"/>
    <x v="0"/>
    <x v="1"/>
    <x v="2"/>
    <x v="1"/>
    <n v="5"/>
    <n v="7"/>
    <x v="1"/>
    <x v="1"/>
    <n v="147692"/>
    <n v="111981"/>
    <n v="35711"/>
    <x v="3"/>
    <n v="0"/>
    <n v="0"/>
    <n v="1"/>
    <n v="0"/>
    <n v="1"/>
    <s v="No"/>
    <x v="2"/>
  </r>
  <r>
    <n v="22139"/>
    <d v="2024-05-25T00:00:00"/>
    <x v="3"/>
    <s v="Ahmedabad"/>
    <s v="SC_AHM_5"/>
    <x v="2"/>
    <s v="Panamera"/>
    <s v="Sedan"/>
    <x v="1"/>
    <x v="3"/>
    <x v="0"/>
    <x v="1"/>
    <n v="7"/>
    <n v="7"/>
    <x v="1"/>
    <x v="1"/>
    <n v="388408"/>
    <n v="289051"/>
    <n v="99357"/>
    <x v="3"/>
    <n v="0"/>
    <n v="0"/>
    <n v="1"/>
    <n v="0"/>
    <n v="1"/>
    <s v="No"/>
    <x v="2"/>
  </r>
  <r>
    <n v="22140"/>
    <d v="2024-02-25T00:00:00"/>
    <x v="0"/>
    <s v="Bengaluru"/>
    <s v="SC_BEN_5"/>
    <x v="1"/>
    <s v="Chiron"/>
    <s v="Hypercar"/>
    <x v="0"/>
    <x v="3"/>
    <x v="1"/>
    <x v="0"/>
    <n v="8"/>
    <n v="7"/>
    <x v="0"/>
    <x v="0"/>
    <n v="198419"/>
    <n v="120644"/>
    <n v="77775"/>
    <x v="2"/>
    <n v="0"/>
    <n v="1"/>
    <n v="0"/>
    <n v="1"/>
    <n v="1"/>
    <s v="Yes"/>
    <x v="1"/>
  </r>
  <r>
    <n v="22141"/>
    <d v="2024-01-18T00:00:00"/>
    <x v="3"/>
    <s v="Ahmedabad"/>
    <s v="SC_AHM_5"/>
    <x v="1"/>
    <s v="Panamera"/>
    <s v="Sedan"/>
    <x v="1"/>
    <x v="4"/>
    <x v="0"/>
    <x v="0"/>
    <n v="23"/>
    <n v="7"/>
    <x v="0"/>
    <x v="1"/>
    <n v="214522"/>
    <n v="116785"/>
    <n v="97737"/>
    <x v="0"/>
    <n v="214522"/>
    <n v="0"/>
    <n v="0"/>
    <n v="1"/>
    <n v="1"/>
    <s v="Yes"/>
    <x v="0"/>
  </r>
  <r>
    <n v="22142"/>
    <d v="2024-05-05T00:00:00"/>
    <x v="1"/>
    <s v="Kolkata"/>
    <s v="SC_KOL_4"/>
    <x v="0"/>
    <s v="Macan"/>
    <s v="SUV"/>
    <x v="0"/>
    <x v="0"/>
    <x v="1"/>
    <x v="0"/>
    <n v="16"/>
    <n v="7"/>
    <x v="0"/>
    <x v="1"/>
    <n v="112468"/>
    <n v="80135"/>
    <n v="32333"/>
    <x v="0"/>
    <n v="112468"/>
    <n v="0"/>
    <n v="0"/>
    <n v="1"/>
    <n v="1"/>
    <s v="Yes"/>
    <x v="0"/>
  </r>
  <r>
    <n v="22143"/>
    <d v="2024-02-22T00:00:00"/>
    <x v="2"/>
    <s v="Gurugram"/>
    <s v="SC_GUR_5"/>
    <x v="1"/>
    <s v="Veyron"/>
    <s v="Hypercar"/>
    <x v="0"/>
    <x v="1"/>
    <x v="0"/>
    <x v="1"/>
    <n v="22"/>
    <n v="7"/>
    <x v="0"/>
    <x v="1"/>
    <n v="106084"/>
    <n v="87637"/>
    <n v="18447"/>
    <x v="0"/>
    <n v="106084"/>
    <n v="0"/>
    <n v="0"/>
    <n v="1"/>
    <n v="1"/>
    <s v="Yes"/>
    <x v="0"/>
  </r>
  <r>
    <n v="22144"/>
    <d v="2024-02-29T00:00:00"/>
    <x v="2"/>
    <s v="Delhi"/>
    <s v="SC_DEL_2"/>
    <x v="1"/>
    <s v="Chiron"/>
    <s v="Hypercar"/>
    <x v="1"/>
    <x v="0"/>
    <x v="2"/>
    <x v="0"/>
    <n v="5"/>
    <n v="7"/>
    <x v="1"/>
    <x v="0"/>
    <n v="259674"/>
    <n v="214022"/>
    <n v="45652"/>
    <x v="3"/>
    <n v="0"/>
    <n v="1"/>
    <n v="1"/>
    <n v="0"/>
    <n v="1"/>
    <s v="No"/>
    <x v="2"/>
  </r>
  <r>
    <n v="22145"/>
    <d v="2024-02-25T00:00:00"/>
    <x v="3"/>
    <s v="Mumbai"/>
    <s v="SC_MUM_3"/>
    <x v="1"/>
    <s v="911"/>
    <s v="Coupe"/>
    <x v="1"/>
    <x v="2"/>
    <x v="2"/>
    <x v="0"/>
    <n v="22"/>
    <n v="7"/>
    <x v="1"/>
    <x v="0"/>
    <n v="511271"/>
    <n v="312962"/>
    <n v="198309"/>
    <x v="0"/>
    <n v="0"/>
    <n v="1"/>
    <n v="1"/>
    <n v="0"/>
    <n v="1"/>
    <s v="Yes"/>
    <x v="0"/>
  </r>
  <r>
    <n v="22146"/>
    <d v="2024-06-02T00:00:00"/>
    <x v="2"/>
    <s v="Delhi"/>
    <s v="SC_DEL_5"/>
    <x v="1"/>
    <s v="Veyron"/>
    <s v="Hypercar"/>
    <x v="1"/>
    <x v="1"/>
    <x v="0"/>
    <x v="1"/>
    <n v="7"/>
    <n v="7"/>
    <x v="1"/>
    <x v="0"/>
    <n v="544951"/>
    <n v="278886"/>
    <n v="266065"/>
    <x v="3"/>
    <n v="0"/>
    <n v="1"/>
    <n v="1"/>
    <n v="0"/>
    <n v="1"/>
    <s v="No"/>
    <x v="2"/>
  </r>
  <r>
    <n v="22147"/>
    <d v="2024-06-11T00:00:00"/>
    <x v="0"/>
    <s v="Chennai"/>
    <s v="SC_CHE_3"/>
    <x v="1"/>
    <s v="Chiron"/>
    <s v="Hypercar"/>
    <x v="0"/>
    <x v="3"/>
    <x v="2"/>
    <x v="1"/>
    <n v="24"/>
    <n v="7"/>
    <x v="0"/>
    <x v="1"/>
    <n v="181003"/>
    <n v="116158"/>
    <n v="64845"/>
    <x v="0"/>
    <n v="181003"/>
    <n v="0"/>
    <n v="0"/>
    <n v="1"/>
    <n v="1"/>
    <s v="Yes"/>
    <x v="0"/>
  </r>
  <r>
    <n v="22148"/>
    <d v="2024-06-13T00:00:00"/>
    <x v="2"/>
    <s v="Delhi"/>
    <s v="SC_DEL_5"/>
    <x v="2"/>
    <s v="Taycan"/>
    <s v="Sedan"/>
    <x v="1"/>
    <x v="3"/>
    <x v="1"/>
    <x v="1"/>
    <n v="6"/>
    <n v="7"/>
    <x v="1"/>
    <x v="0"/>
    <n v="204397"/>
    <n v="169685"/>
    <n v="34712"/>
    <x v="3"/>
    <n v="0"/>
    <n v="1"/>
    <n v="1"/>
    <n v="0"/>
    <n v="1"/>
    <s v="No"/>
    <x v="2"/>
  </r>
  <r>
    <n v="22149"/>
    <d v="2024-03-15T00:00:00"/>
    <x v="3"/>
    <s v="Ahmedabad"/>
    <s v="SC_AHM_2"/>
    <x v="0"/>
    <s v="911"/>
    <s v="Coupe"/>
    <x v="1"/>
    <x v="1"/>
    <x v="2"/>
    <x v="0"/>
    <n v="20"/>
    <n v="7"/>
    <x v="0"/>
    <x v="1"/>
    <n v="426105"/>
    <n v="237270"/>
    <n v="188835"/>
    <x v="0"/>
    <n v="426105"/>
    <n v="0"/>
    <n v="0"/>
    <n v="1"/>
    <n v="1"/>
    <s v="Yes"/>
    <x v="0"/>
  </r>
  <r>
    <n v="22150"/>
    <d v="2024-03-14T00:00:00"/>
    <x v="3"/>
    <s v="Ahmedabad"/>
    <s v="SC_AHM_2"/>
    <x v="0"/>
    <s v="Chiron"/>
    <s v="Hypercar"/>
    <x v="0"/>
    <x v="0"/>
    <x v="2"/>
    <x v="1"/>
    <n v="4"/>
    <n v="7"/>
    <x v="1"/>
    <x v="1"/>
    <n v="551685"/>
    <n v="327874"/>
    <n v="223811"/>
    <x v="4"/>
    <n v="0"/>
    <n v="0"/>
    <n v="1"/>
    <n v="0"/>
    <n v="1"/>
    <s v="No"/>
    <x v="2"/>
  </r>
  <r>
    <n v="22151"/>
    <d v="2024-04-04T00:00:00"/>
    <x v="2"/>
    <s v="Noida"/>
    <s v="SC_NOI_5"/>
    <x v="2"/>
    <s v="911"/>
    <s v="Coupe"/>
    <x v="1"/>
    <x v="3"/>
    <x v="2"/>
    <x v="0"/>
    <n v="19"/>
    <n v="7"/>
    <x v="1"/>
    <x v="0"/>
    <n v="94089"/>
    <n v="54757"/>
    <n v="39332"/>
    <x v="1"/>
    <n v="0"/>
    <n v="1"/>
    <n v="1"/>
    <n v="0"/>
    <n v="1"/>
    <s v="Yes"/>
    <x v="0"/>
  </r>
  <r>
    <n v="22152"/>
    <d v="2024-03-18T00:00:00"/>
    <x v="0"/>
    <s v="Chennai"/>
    <s v="SC_CHE_2"/>
    <x v="0"/>
    <s v="Cayenne"/>
    <s v="SUV"/>
    <x v="0"/>
    <x v="4"/>
    <x v="2"/>
    <x v="1"/>
    <n v="22"/>
    <n v="7"/>
    <x v="1"/>
    <x v="1"/>
    <n v="155613"/>
    <n v="103889"/>
    <n v="51724"/>
    <x v="0"/>
    <n v="0"/>
    <n v="0"/>
    <n v="1"/>
    <n v="0"/>
    <n v="1"/>
    <s v="Yes"/>
    <x v="0"/>
  </r>
  <r>
    <n v="22153"/>
    <d v="2024-02-29T00:00:00"/>
    <x v="3"/>
    <s v="Ahmedabad"/>
    <s v="SC_AHM_3"/>
    <x v="2"/>
    <s v="Panamera"/>
    <s v="Sedan"/>
    <x v="0"/>
    <x v="3"/>
    <x v="2"/>
    <x v="1"/>
    <n v="23"/>
    <n v="7"/>
    <x v="1"/>
    <x v="0"/>
    <n v="592965"/>
    <n v="427558"/>
    <n v="165407"/>
    <x v="0"/>
    <n v="0"/>
    <n v="1"/>
    <n v="1"/>
    <n v="0"/>
    <n v="1"/>
    <s v="Yes"/>
    <x v="0"/>
  </r>
  <r>
    <n v="22154"/>
    <d v="2024-06-25T00:00:00"/>
    <x v="2"/>
    <s v="Gurugram"/>
    <s v="SC_GUR_3"/>
    <x v="0"/>
    <s v="Chiron"/>
    <s v="Hypercar"/>
    <x v="0"/>
    <x v="0"/>
    <x v="0"/>
    <x v="0"/>
    <n v="17"/>
    <n v="7"/>
    <x v="0"/>
    <x v="0"/>
    <n v="126231"/>
    <n v="95955"/>
    <n v="30276"/>
    <x v="0"/>
    <n v="0"/>
    <n v="1"/>
    <n v="0"/>
    <n v="1"/>
    <n v="1"/>
    <s v="Yes"/>
    <x v="0"/>
  </r>
  <r>
    <n v="22155"/>
    <d v="2024-04-26T00:00:00"/>
    <x v="1"/>
    <s v="Kolkata"/>
    <s v="SC_KOL_4"/>
    <x v="0"/>
    <s v="Taycan"/>
    <s v="Sedan"/>
    <x v="0"/>
    <x v="0"/>
    <x v="2"/>
    <x v="0"/>
    <n v="2"/>
    <n v="7"/>
    <x v="0"/>
    <x v="1"/>
    <n v="585884"/>
    <n v="435085"/>
    <n v="150799"/>
    <x v="3"/>
    <n v="585884"/>
    <n v="0"/>
    <n v="0"/>
    <n v="1"/>
    <n v="1"/>
    <s v="No"/>
    <x v="2"/>
  </r>
  <r>
    <n v="22156"/>
    <d v="2024-03-06T00:00:00"/>
    <x v="0"/>
    <s v="Hyderabad"/>
    <s v="SC_HYD_2"/>
    <x v="2"/>
    <s v="Veyron"/>
    <s v="Hypercar"/>
    <x v="0"/>
    <x v="3"/>
    <x v="0"/>
    <x v="0"/>
    <n v="25"/>
    <n v="7"/>
    <x v="0"/>
    <x v="1"/>
    <n v="401512"/>
    <n v="210076"/>
    <n v="191436"/>
    <x v="0"/>
    <n v="401512"/>
    <n v="0"/>
    <n v="0"/>
    <n v="1"/>
    <n v="1"/>
    <s v="Yes"/>
    <x v="0"/>
  </r>
  <r>
    <n v="22157"/>
    <d v="2024-03-30T00:00:00"/>
    <x v="3"/>
    <s v="Pune"/>
    <s v="SC_PUN_4"/>
    <x v="2"/>
    <s v="Veyron"/>
    <s v="Hypercar"/>
    <x v="0"/>
    <x v="2"/>
    <x v="1"/>
    <x v="0"/>
    <n v="15"/>
    <n v="7"/>
    <x v="0"/>
    <x v="1"/>
    <n v="121730"/>
    <n v="74036"/>
    <n v="47694"/>
    <x v="0"/>
    <n v="121730"/>
    <n v="0"/>
    <n v="0"/>
    <n v="1"/>
    <n v="1"/>
    <s v="Yes"/>
    <x v="0"/>
  </r>
  <r>
    <n v="22158"/>
    <d v="2024-01-08T00:00:00"/>
    <x v="0"/>
    <s v="Hyderabad"/>
    <s v="SC_HYD_5"/>
    <x v="2"/>
    <s v="Cayenne"/>
    <s v="SUV"/>
    <x v="1"/>
    <x v="4"/>
    <x v="0"/>
    <x v="1"/>
    <n v="24"/>
    <n v="7"/>
    <x v="0"/>
    <x v="0"/>
    <n v="308462"/>
    <n v="210852"/>
    <n v="97610"/>
    <x v="0"/>
    <n v="0"/>
    <n v="1"/>
    <n v="0"/>
    <n v="1"/>
    <n v="1"/>
    <s v="Yes"/>
    <x v="0"/>
  </r>
  <r>
    <n v="22159"/>
    <d v="2024-06-14T00:00:00"/>
    <x v="0"/>
    <s v="Hyderabad"/>
    <s v="SC_HYD_5"/>
    <x v="2"/>
    <s v="Veyron"/>
    <s v="Hypercar"/>
    <x v="1"/>
    <x v="3"/>
    <x v="2"/>
    <x v="0"/>
    <n v="5"/>
    <n v="7"/>
    <x v="1"/>
    <x v="1"/>
    <n v="538449"/>
    <n v="280951"/>
    <n v="257498"/>
    <x v="3"/>
    <n v="0"/>
    <n v="0"/>
    <n v="1"/>
    <n v="0"/>
    <n v="1"/>
    <s v="No"/>
    <x v="2"/>
  </r>
  <r>
    <n v="22160"/>
    <d v="2024-01-29T00:00:00"/>
    <x v="3"/>
    <s v="Mumbai"/>
    <s v="SC_MUM_5"/>
    <x v="2"/>
    <s v="Cayenne"/>
    <s v="SUV"/>
    <x v="0"/>
    <x v="3"/>
    <x v="0"/>
    <x v="1"/>
    <n v="10"/>
    <n v="7"/>
    <x v="0"/>
    <x v="1"/>
    <n v="171816"/>
    <n v="92121"/>
    <n v="79695"/>
    <x v="1"/>
    <n v="171816"/>
    <n v="0"/>
    <n v="0"/>
    <n v="1"/>
    <n v="1"/>
    <s v="Yes"/>
    <x v="0"/>
  </r>
  <r>
    <n v="22161"/>
    <d v="2024-05-21T00:00:00"/>
    <x v="1"/>
    <s v="Patna"/>
    <s v="SC_PAT_4"/>
    <x v="2"/>
    <s v="Cayenne"/>
    <s v="SUV"/>
    <x v="0"/>
    <x v="4"/>
    <x v="2"/>
    <x v="0"/>
    <n v="5"/>
    <n v="7"/>
    <x v="1"/>
    <x v="0"/>
    <n v="349029"/>
    <n v="248444"/>
    <n v="100585"/>
    <x v="3"/>
    <n v="0"/>
    <n v="1"/>
    <n v="1"/>
    <n v="0"/>
    <n v="1"/>
    <s v="No"/>
    <x v="2"/>
  </r>
  <r>
    <n v="22162"/>
    <d v="2024-05-05T00:00:00"/>
    <x v="1"/>
    <s v="Patna"/>
    <s v="SC_PAT_1"/>
    <x v="2"/>
    <s v="Veyron"/>
    <s v="Hypercar"/>
    <x v="0"/>
    <x v="0"/>
    <x v="2"/>
    <x v="0"/>
    <n v="12"/>
    <n v="7"/>
    <x v="0"/>
    <x v="0"/>
    <n v="245197"/>
    <n v="178834"/>
    <n v="66363"/>
    <x v="1"/>
    <n v="0"/>
    <n v="1"/>
    <n v="0"/>
    <n v="1"/>
    <n v="1"/>
    <s v="Yes"/>
    <x v="0"/>
  </r>
  <r>
    <n v="22163"/>
    <d v="2024-04-06T00:00:00"/>
    <x v="2"/>
    <s v="Noida"/>
    <s v="SC_NOI_2"/>
    <x v="0"/>
    <s v="Veyron"/>
    <s v="Hypercar"/>
    <x v="0"/>
    <x v="4"/>
    <x v="2"/>
    <x v="0"/>
    <n v="17"/>
    <n v="7"/>
    <x v="1"/>
    <x v="1"/>
    <n v="482911"/>
    <n v="320518"/>
    <n v="162393"/>
    <x v="1"/>
    <n v="0"/>
    <n v="0"/>
    <n v="1"/>
    <n v="0"/>
    <n v="1"/>
    <s v="Yes"/>
    <x v="0"/>
  </r>
  <r>
    <n v="22164"/>
    <d v="2024-03-21T00:00:00"/>
    <x v="1"/>
    <s v="Kolkata"/>
    <s v="SC_KOL_1"/>
    <x v="2"/>
    <s v="911"/>
    <s v="Coupe"/>
    <x v="1"/>
    <x v="2"/>
    <x v="1"/>
    <x v="0"/>
    <n v="8"/>
    <n v="7"/>
    <x v="1"/>
    <x v="1"/>
    <n v="381106"/>
    <n v="220243"/>
    <n v="160863"/>
    <x v="3"/>
    <n v="0"/>
    <n v="0"/>
    <n v="1"/>
    <n v="0"/>
    <n v="1"/>
    <s v="Yes"/>
    <x v="2"/>
  </r>
  <r>
    <n v="22165"/>
    <d v="2024-06-13T00:00:00"/>
    <x v="1"/>
    <s v="Kolkata"/>
    <s v="SC_KOL_3"/>
    <x v="0"/>
    <s v="Macan"/>
    <s v="SUV"/>
    <x v="1"/>
    <x v="3"/>
    <x v="2"/>
    <x v="1"/>
    <n v="13"/>
    <n v="7"/>
    <x v="0"/>
    <x v="0"/>
    <n v="553222"/>
    <n v="341218"/>
    <n v="212004"/>
    <x v="1"/>
    <n v="0"/>
    <n v="1"/>
    <n v="0"/>
    <n v="1"/>
    <n v="1"/>
    <s v="Yes"/>
    <x v="0"/>
  </r>
  <r>
    <n v="22166"/>
    <d v="2024-04-14T00:00:00"/>
    <x v="2"/>
    <s v="Delhi"/>
    <s v="SC_DEL_1"/>
    <x v="0"/>
    <s v="Veyron"/>
    <s v="Hypercar"/>
    <x v="1"/>
    <x v="1"/>
    <x v="0"/>
    <x v="1"/>
    <n v="5"/>
    <n v="7"/>
    <x v="0"/>
    <x v="0"/>
    <n v="351207"/>
    <n v="237194"/>
    <n v="114013"/>
    <x v="2"/>
    <n v="0"/>
    <n v="1"/>
    <n v="0"/>
    <n v="1"/>
    <n v="1"/>
    <s v="No"/>
    <x v="1"/>
  </r>
  <r>
    <n v="22167"/>
    <d v="2024-04-16T00:00:00"/>
    <x v="0"/>
    <s v="Chennai"/>
    <s v="SC_CHE_4"/>
    <x v="1"/>
    <s v="Veyron"/>
    <s v="Hypercar"/>
    <x v="0"/>
    <x v="4"/>
    <x v="1"/>
    <x v="0"/>
    <n v="5"/>
    <n v="7"/>
    <x v="0"/>
    <x v="1"/>
    <n v="188163"/>
    <n v="128615"/>
    <n v="59548"/>
    <x v="2"/>
    <n v="188163"/>
    <n v="0"/>
    <n v="0"/>
    <n v="1"/>
    <n v="1"/>
    <s v="No"/>
    <x v="1"/>
  </r>
  <r>
    <n v="22168"/>
    <d v="2024-03-31T00:00:00"/>
    <x v="1"/>
    <s v="Bhubaneswar"/>
    <s v="SC_BHU_1"/>
    <x v="0"/>
    <s v="911"/>
    <s v="Coupe"/>
    <x v="0"/>
    <x v="2"/>
    <x v="2"/>
    <x v="0"/>
    <n v="16"/>
    <n v="7"/>
    <x v="0"/>
    <x v="1"/>
    <n v="219645"/>
    <n v="179302"/>
    <n v="40343"/>
    <x v="0"/>
    <n v="219645"/>
    <n v="0"/>
    <n v="0"/>
    <n v="1"/>
    <n v="1"/>
    <s v="Yes"/>
    <x v="0"/>
  </r>
  <r>
    <n v="22169"/>
    <d v="2024-06-09T00:00:00"/>
    <x v="1"/>
    <s v="Kolkata"/>
    <s v="SC_KOL_2"/>
    <x v="1"/>
    <s v="Taycan"/>
    <s v="Sedan"/>
    <x v="1"/>
    <x v="0"/>
    <x v="2"/>
    <x v="1"/>
    <n v="13"/>
    <n v="7"/>
    <x v="0"/>
    <x v="1"/>
    <n v="507676"/>
    <n v="415697"/>
    <n v="91979"/>
    <x v="1"/>
    <n v="507676"/>
    <n v="0"/>
    <n v="0"/>
    <n v="1"/>
    <n v="1"/>
    <s v="Yes"/>
    <x v="0"/>
  </r>
  <r>
    <n v="22170"/>
    <d v="2024-03-28T00:00:00"/>
    <x v="1"/>
    <s v="Kolkata"/>
    <s v="SC_KOL_3"/>
    <x v="2"/>
    <s v="Panamera"/>
    <s v="Sedan"/>
    <x v="0"/>
    <x v="2"/>
    <x v="2"/>
    <x v="1"/>
    <n v="24"/>
    <n v="7"/>
    <x v="0"/>
    <x v="0"/>
    <n v="320496"/>
    <n v="161614"/>
    <n v="158882"/>
    <x v="0"/>
    <n v="0"/>
    <n v="1"/>
    <n v="0"/>
    <n v="1"/>
    <n v="1"/>
    <s v="Yes"/>
    <x v="0"/>
  </r>
  <r>
    <n v="22171"/>
    <d v="2024-01-03T00:00:00"/>
    <x v="0"/>
    <s v="Bengaluru"/>
    <s v="SC_BEN_2"/>
    <x v="1"/>
    <s v="Cayenne"/>
    <s v="SUV"/>
    <x v="0"/>
    <x v="1"/>
    <x v="0"/>
    <x v="0"/>
    <n v="23"/>
    <n v="7"/>
    <x v="0"/>
    <x v="1"/>
    <n v="199948"/>
    <n v="140690"/>
    <n v="59258"/>
    <x v="0"/>
    <n v="199948"/>
    <n v="0"/>
    <n v="0"/>
    <n v="1"/>
    <n v="1"/>
    <s v="Yes"/>
    <x v="0"/>
  </r>
  <r>
    <n v="22172"/>
    <d v="2024-06-22T00:00:00"/>
    <x v="1"/>
    <s v="Bhubaneswar"/>
    <s v="SC_BHU_5"/>
    <x v="0"/>
    <s v="Taycan"/>
    <s v="Sedan"/>
    <x v="1"/>
    <x v="2"/>
    <x v="2"/>
    <x v="1"/>
    <n v="19"/>
    <n v="7"/>
    <x v="0"/>
    <x v="1"/>
    <n v="547783"/>
    <n v="287708"/>
    <n v="260075"/>
    <x v="0"/>
    <n v="547783"/>
    <n v="0"/>
    <n v="0"/>
    <n v="1"/>
    <n v="1"/>
    <s v="Yes"/>
    <x v="0"/>
  </r>
  <r>
    <n v="22173"/>
    <d v="2024-03-22T00:00:00"/>
    <x v="3"/>
    <s v="Pune"/>
    <s v="SC_PUN_5"/>
    <x v="1"/>
    <s v="Chiron"/>
    <s v="Hypercar"/>
    <x v="1"/>
    <x v="0"/>
    <x v="2"/>
    <x v="0"/>
    <n v="23"/>
    <n v="7"/>
    <x v="0"/>
    <x v="1"/>
    <n v="521732"/>
    <n v="294367"/>
    <n v="227365"/>
    <x v="0"/>
    <n v="521732"/>
    <n v="0"/>
    <n v="0"/>
    <n v="1"/>
    <n v="1"/>
    <s v="Yes"/>
    <x v="0"/>
  </r>
  <r>
    <n v="22174"/>
    <d v="2024-05-13T00:00:00"/>
    <x v="3"/>
    <s v="Pune"/>
    <s v="SC_PUN_4"/>
    <x v="2"/>
    <s v="Cayenne"/>
    <s v="SUV"/>
    <x v="0"/>
    <x v="4"/>
    <x v="1"/>
    <x v="1"/>
    <n v="6"/>
    <n v="7"/>
    <x v="0"/>
    <x v="1"/>
    <n v="324130"/>
    <n v="190257"/>
    <n v="133873"/>
    <x v="2"/>
    <n v="324130"/>
    <n v="0"/>
    <n v="0"/>
    <n v="1"/>
    <n v="1"/>
    <s v="No"/>
    <x v="1"/>
  </r>
  <r>
    <n v="22175"/>
    <d v="2024-06-13T00:00:00"/>
    <x v="0"/>
    <s v="Bengaluru"/>
    <s v="SC_BEN_2"/>
    <x v="2"/>
    <s v="Panamera"/>
    <s v="Sedan"/>
    <x v="0"/>
    <x v="0"/>
    <x v="2"/>
    <x v="0"/>
    <n v="17"/>
    <n v="7"/>
    <x v="1"/>
    <x v="0"/>
    <n v="382262"/>
    <n v="218684"/>
    <n v="163578"/>
    <x v="1"/>
    <n v="0"/>
    <n v="1"/>
    <n v="1"/>
    <n v="0"/>
    <n v="1"/>
    <s v="Yes"/>
    <x v="0"/>
  </r>
  <r>
    <n v="22176"/>
    <d v="2024-04-29T00:00:00"/>
    <x v="2"/>
    <s v="Delhi"/>
    <s v="SC_DEL_1"/>
    <x v="2"/>
    <s v="Taycan"/>
    <s v="Sedan"/>
    <x v="1"/>
    <x v="2"/>
    <x v="2"/>
    <x v="0"/>
    <n v="7"/>
    <n v="7"/>
    <x v="1"/>
    <x v="0"/>
    <n v="506747"/>
    <n v="282272"/>
    <n v="224475"/>
    <x v="3"/>
    <n v="0"/>
    <n v="1"/>
    <n v="1"/>
    <n v="0"/>
    <n v="1"/>
    <s v="No"/>
    <x v="2"/>
  </r>
  <r>
    <n v="22177"/>
    <d v="2024-01-27T00:00:00"/>
    <x v="2"/>
    <s v="Noida"/>
    <s v="SC_NOI_2"/>
    <x v="1"/>
    <s v="Cayenne"/>
    <s v="SUV"/>
    <x v="0"/>
    <x v="4"/>
    <x v="1"/>
    <x v="0"/>
    <n v="16"/>
    <n v="7"/>
    <x v="1"/>
    <x v="0"/>
    <n v="141351"/>
    <n v="76076"/>
    <n v="65275"/>
    <x v="1"/>
    <n v="0"/>
    <n v="1"/>
    <n v="1"/>
    <n v="0"/>
    <n v="1"/>
    <s v="Yes"/>
    <x v="0"/>
  </r>
  <r>
    <n v="22178"/>
    <d v="2024-03-15T00:00:00"/>
    <x v="3"/>
    <s v="Ahmedabad"/>
    <s v="SC_AHM_3"/>
    <x v="0"/>
    <s v="Cayenne"/>
    <s v="SUV"/>
    <x v="1"/>
    <x v="2"/>
    <x v="0"/>
    <x v="1"/>
    <n v="20"/>
    <n v="7"/>
    <x v="0"/>
    <x v="1"/>
    <n v="481284"/>
    <n v="382121"/>
    <n v="99163"/>
    <x v="0"/>
    <n v="481284"/>
    <n v="0"/>
    <n v="0"/>
    <n v="1"/>
    <n v="1"/>
    <s v="Yes"/>
    <x v="0"/>
  </r>
  <r>
    <n v="22179"/>
    <d v="2024-05-29T00:00:00"/>
    <x v="1"/>
    <s v="Kolkata"/>
    <s v="SC_KOL_5"/>
    <x v="2"/>
    <s v="Veyron"/>
    <s v="Hypercar"/>
    <x v="1"/>
    <x v="2"/>
    <x v="2"/>
    <x v="1"/>
    <n v="17"/>
    <n v="7"/>
    <x v="1"/>
    <x v="0"/>
    <n v="165559"/>
    <n v="118638"/>
    <n v="46921"/>
    <x v="1"/>
    <n v="0"/>
    <n v="1"/>
    <n v="1"/>
    <n v="0"/>
    <n v="1"/>
    <s v="Yes"/>
    <x v="0"/>
  </r>
  <r>
    <n v="22180"/>
    <d v="2024-06-18T00:00:00"/>
    <x v="0"/>
    <s v="Chennai"/>
    <s v="SC_CHE_5"/>
    <x v="0"/>
    <s v="Taycan"/>
    <s v="Sedan"/>
    <x v="1"/>
    <x v="2"/>
    <x v="2"/>
    <x v="0"/>
    <n v="12"/>
    <n v="7"/>
    <x v="1"/>
    <x v="1"/>
    <n v="218522"/>
    <n v="148325"/>
    <n v="70197"/>
    <x v="2"/>
    <n v="0"/>
    <n v="0"/>
    <n v="1"/>
    <n v="0"/>
    <n v="1"/>
    <s v="Yes"/>
    <x v="1"/>
  </r>
  <r>
    <n v="22181"/>
    <d v="2024-03-31T00:00:00"/>
    <x v="0"/>
    <s v="Hyderabad"/>
    <s v="SC_HYD_3"/>
    <x v="1"/>
    <s v="Panamera"/>
    <s v="Sedan"/>
    <x v="0"/>
    <x v="0"/>
    <x v="1"/>
    <x v="0"/>
    <n v="17"/>
    <n v="7"/>
    <x v="1"/>
    <x v="0"/>
    <n v="237012"/>
    <n v="175352"/>
    <n v="61660"/>
    <x v="1"/>
    <n v="0"/>
    <n v="1"/>
    <n v="1"/>
    <n v="0"/>
    <n v="1"/>
    <s v="Yes"/>
    <x v="0"/>
  </r>
  <r>
    <n v="22182"/>
    <d v="2024-03-13T00:00:00"/>
    <x v="2"/>
    <s v="Gurugram"/>
    <s v="SC_GUR_2"/>
    <x v="1"/>
    <s v="Panamera"/>
    <s v="Sedan"/>
    <x v="0"/>
    <x v="1"/>
    <x v="1"/>
    <x v="0"/>
    <n v="2"/>
    <n v="7"/>
    <x v="1"/>
    <x v="1"/>
    <n v="556037"/>
    <n v="327232"/>
    <n v="228805"/>
    <x v="4"/>
    <n v="0"/>
    <n v="0"/>
    <n v="1"/>
    <n v="0"/>
    <n v="1"/>
    <s v="No"/>
    <x v="2"/>
  </r>
  <r>
    <n v="22183"/>
    <d v="2024-05-27T00:00:00"/>
    <x v="2"/>
    <s v="Delhi"/>
    <s v="SC_DEL_2"/>
    <x v="1"/>
    <s v="Veyron"/>
    <s v="Hypercar"/>
    <x v="1"/>
    <x v="1"/>
    <x v="2"/>
    <x v="0"/>
    <n v="19"/>
    <n v="7"/>
    <x v="0"/>
    <x v="1"/>
    <n v="204009"/>
    <n v="159941"/>
    <n v="44068"/>
    <x v="0"/>
    <n v="204009"/>
    <n v="0"/>
    <n v="0"/>
    <n v="1"/>
    <n v="1"/>
    <s v="Yes"/>
    <x v="0"/>
  </r>
  <r>
    <n v="22184"/>
    <d v="2024-06-15T00:00:00"/>
    <x v="3"/>
    <s v="Pune"/>
    <s v="SC_PUN_2"/>
    <x v="0"/>
    <s v="911"/>
    <s v="Coupe"/>
    <x v="0"/>
    <x v="2"/>
    <x v="2"/>
    <x v="0"/>
    <n v="17"/>
    <n v="7"/>
    <x v="1"/>
    <x v="1"/>
    <n v="418467"/>
    <n v="290690"/>
    <n v="127777"/>
    <x v="1"/>
    <n v="0"/>
    <n v="0"/>
    <n v="1"/>
    <n v="0"/>
    <n v="1"/>
    <s v="Yes"/>
    <x v="0"/>
  </r>
  <r>
    <n v="22185"/>
    <d v="2024-05-31T00:00:00"/>
    <x v="2"/>
    <s v="Delhi"/>
    <s v="SC_DEL_4"/>
    <x v="2"/>
    <s v="911"/>
    <s v="Coupe"/>
    <x v="0"/>
    <x v="4"/>
    <x v="0"/>
    <x v="0"/>
    <n v="20"/>
    <n v="7"/>
    <x v="0"/>
    <x v="0"/>
    <n v="132568"/>
    <n v="82341"/>
    <n v="50227"/>
    <x v="0"/>
    <n v="0"/>
    <n v="1"/>
    <n v="0"/>
    <n v="1"/>
    <n v="1"/>
    <s v="Yes"/>
    <x v="0"/>
  </r>
  <r>
    <n v="22186"/>
    <d v="2024-03-31T00:00:00"/>
    <x v="1"/>
    <s v="Kolkata"/>
    <s v="SC_KOL_2"/>
    <x v="2"/>
    <s v="911"/>
    <s v="Coupe"/>
    <x v="0"/>
    <x v="0"/>
    <x v="1"/>
    <x v="1"/>
    <n v="4"/>
    <n v="7"/>
    <x v="0"/>
    <x v="1"/>
    <n v="436157"/>
    <n v="341616"/>
    <n v="94541"/>
    <x v="3"/>
    <n v="436157"/>
    <n v="0"/>
    <n v="0"/>
    <n v="1"/>
    <n v="1"/>
    <s v="No"/>
    <x v="2"/>
  </r>
  <r>
    <n v="22187"/>
    <d v="2024-03-20T00:00:00"/>
    <x v="3"/>
    <s v="Mumbai"/>
    <s v="SC_MUM_2"/>
    <x v="2"/>
    <s v="911"/>
    <s v="Coupe"/>
    <x v="1"/>
    <x v="1"/>
    <x v="1"/>
    <x v="0"/>
    <n v="18"/>
    <n v="7"/>
    <x v="0"/>
    <x v="1"/>
    <n v="297706"/>
    <n v="199545"/>
    <n v="98161"/>
    <x v="0"/>
    <n v="297706"/>
    <n v="0"/>
    <n v="0"/>
    <n v="1"/>
    <n v="1"/>
    <s v="Yes"/>
    <x v="0"/>
  </r>
  <r>
    <n v="22188"/>
    <d v="2024-05-03T00:00:00"/>
    <x v="0"/>
    <s v="Chennai"/>
    <s v="SC_CHE_1"/>
    <x v="1"/>
    <s v="Chiron"/>
    <s v="Hypercar"/>
    <x v="1"/>
    <x v="3"/>
    <x v="1"/>
    <x v="0"/>
    <n v="21"/>
    <n v="7"/>
    <x v="0"/>
    <x v="0"/>
    <n v="538396"/>
    <n v="290261"/>
    <n v="248135"/>
    <x v="0"/>
    <n v="0"/>
    <n v="1"/>
    <n v="0"/>
    <n v="1"/>
    <n v="1"/>
    <s v="Yes"/>
    <x v="0"/>
  </r>
  <r>
    <n v="22189"/>
    <d v="2024-04-08T00:00:00"/>
    <x v="3"/>
    <s v="Ahmedabad"/>
    <s v="SC_AHM_1"/>
    <x v="1"/>
    <s v="Veyron"/>
    <s v="Hypercar"/>
    <x v="1"/>
    <x v="2"/>
    <x v="0"/>
    <x v="0"/>
    <n v="8"/>
    <n v="7"/>
    <x v="0"/>
    <x v="1"/>
    <n v="208841"/>
    <n v="133383"/>
    <n v="75458"/>
    <x v="2"/>
    <n v="208841"/>
    <n v="0"/>
    <n v="0"/>
    <n v="1"/>
    <n v="1"/>
    <s v="Yes"/>
    <x v="1"/>
  </r>
  <r>
    <n v="22190"/>
    <d v="2024-05-22T00:00:00"/>
    <x v="1"/>
    <s v="Bhubaneswar"/>
    <s v="SC_BHU_2"/>
    <x v="1"/>
    <s v="Veyron"/>
    <s v="Hypercar"/>
    <x v="0"/>
    <x v="1"/>
    <x v="1"/>
    <x v="0"/>
    <n v="24"/>
    <n v="7"/>
    <x v="0"/>
    <x v="1"/>
    <n v="310151"/>
    <n v="260958"/>
    <n v="49193"/>
    <x v="0"/>
    <n v="310151"/>
    <n v="0"/>
    <n v="0"/>
    <n v="1"/>
    <n v="1"/>
    <s v="Yes"/>
    <x v="0"/>
  </r>
  <r>
    <n v="22191"/>
    <d v="2024-03-01T00:00:00"/>
    <x v="0"/>
    <s v="Chennai"/>
    <s v="SC_CHE_3"/>
    <x v="0"/>
    <s v="Cayenne"/>
    <s v="SUV"/>
    <x v="1"/>
    <x v="2"/>
    <x v="1"/>
    <x v="0"/>
    <n v="25"/>
    <n v="7"/>
    <x v="1"/>
    <x v="1"/>
    <n v="102386"/>
    <n v="71686"/>
    <n v="30700"/>
    <x v="0"/>
    <n v="0"/>
    <n v="0"/>
    <n v="1"/>
    <n v="0"/>
    <n v="1"/>
    <s v="Yes"/>
    <x v="0"/>
  </r>
  <r>
    <n v="22192"/>
    <d v="2024-06-28T00:00:00"/>
    <x v="1"/>
    <s v="Kolkata"/>
    <s v="SC_KOL_5"/>
    <x v="1"/>
    <s v="Macan"/>
    <s v="SUV"/>
    <x v="0"/>
    <x v="4"/>
    <x v="0"/>
    <x v="1"/>
    <n v="16"/>
    <n v="7"/>
    <x v="0"/>
    <x v="1"/>
    <n v="329380"/>
    <n v="246518"/>
    <n v="82862"/>
    <x v="0"/>
    <n v="329380"/>
    <n v="0"/>
    <n v="0"/>
    <n v="1"/>
    <n v="1"/>
    <s v="Yes"/>
    <x v="0"/>
  </r>
  <r>
    <n v="22193"/>
    <d v="2024-01-16T00:00:00"/>
    <x v="2"/>
    <s v="Delhi"/>
    <s v="SC_DEL_5"/>
    <x v="2"/>
    <s v="Taycan"/>
    <s v="Sedan"/>
    <x v="0"/>
    <x v="2"/>
    <x v="2"/>
    <x v="1"/>
    <n v="15"/>
    <n v="7"/>
    <x v="1"/>
    <x v="1"/>
    <n v="456236"/>
    <n v="316224"/>
    <n v="140012"/>
    <x v="1"/>
    <n v="0"/>
    <n v="0"/>
    <n v="1"/>
    <n v="0"/>
    <n v="1"/>
    <s v="Yes"/>
    <x v="0"/>
  </r>
  <r>
    <n v="22194"/>
    <d v="2024-02-16T00:00:00"/>
    <x v="2"/>
    <s v="Gurugram"/>
    <s v="SC_GUR_5"/>
    <x v="2"/>
    <s v="Veyron"/>
    <s v="Hypercar"/>
    <x v="0"/>
    <x v="0"/>
    <x v="0"/>
    <x v="1"/>
    <n v="21"/>
    <n v="7"/>
    <x v="0"/>
    <x v="1"/>
    <n v="235306"/>
    <n v="170834"/>
    <n v="64472"/>
    <x v="0"/>
    <n v="235306"/>
    <n v="0"/>
    <n v="0"/>
    <n v="1"/>
    <n v="1"/>
    <s v="Yes"/>
    <x v="0"/>
  </r>
  <r>
    <n v="22195"/>
    <d v="2024-05-29T00:00:00"/>
    <x v="1"/>
    <s v="Kolkata"/>
    <s v="SC_KOL_1"/>
    <x v="2"/>
    <s v="Cayenne"/>
    <s v="SUV"/>
    <x v="0"/>
    <x v="0"/>
    <x v="2"/>
    <x v="1"/>
    <n v="22"/>
    <n v="7"/>
    <x v="1"/>
    <x v="1"/>
    <n v="440854"/>
    <n v="323524"/>
    <n v="117330"/>
    <x v="0"/>
    <n v="0"/>
    <n v="0"/>
    <n v="1"/>
    <n v="0"/>
    <n v="1"/>
    <s v="Yes"/>
    <x v="0"/>
  </r>
  <r>
    <n v="22196"/>
    <d v="2024-03-14T00:00:00"/>
    <x v="2"/>
    <s v="Delhi"/>
    <s v="SC_DEL_3"/>
    <x v="1"/>
    <s v="Veyron"/>
    <s v="Hypercar"/>
    <x v="0"/>
    <x v="2"/>
    <x v="0"/>
    <x v="0"/>
    <n v="7"/>
    <n v="7"/>
    <x v="0"/>
    <x v="1"/>
    <n v="515572"/>
    <n v="338532"/>
    <n v="177040"/>
    <x v="2"/>
    <n v="515572"/>
    <n v="0"/>
    <n v="0"/>
    <n v="1"/>
    <n v="1"/>
    <s v="No"/>
    <x v="1"/>
  </r>
  <r>
    <n v="22197"/>
    <d v="2024-02-20T00:00:00"/>
    <x v="0"/>
    <s v="Bengaluru"/>
    <s v="SC_BEN_1"/>
    <x v="1"/>
    <s v="911"/>
    <s v="Coupe"/>
    <x v="1"/>
    <x v="4"/>
    <x v="2"/>
    <x v="1"/>
    <n v="5"/>
    <n v="7"/>
    <x v="0"/>
    <x v="1"/>
    <n v="129608"/>
    <n v="75619"/>
    <n v="53989"/>
    <x v="2"/>
    <n v="129608"/>
    <n v="0"/>
    <n v="0"/>
    <n v="1"/>
    <n v="1"/>
    <s v="No"/>
    <x v="1"/>
  </r>
  <r>
    <n v="22198"/>
    <d v="2024-01-10T00:00:00"/>
    <x v="1"/>
    <s v="Kolkata"/>
    <s v="SC_KOL_1"/>
    <x v="1"/>
    <s v="Veyron"/>
    <s v="Hypercar"/>
    <x v="1"/>
    <x v="3"/>
    <x v="2"/>
    <x v="1"/>
    <n v="6"/>
    <n v="7"/>
    <x v="0"/>
    <x v="1"/>
    <n v="305494"/>
    <n v="176005"/>
    <n v="129489"/>
    <x v="2"/>
    <n v="305494"/>
    <n v="0"/>
    <n v="0"/>
    <n v="1"/>
    <n v="1"/>
    <s v="No"/>
    <x v="1"/>
  </r>
  <r>
    <n v="22199"/>
    <d v="2024-03-07T00:00:00"/>
    <x v="3"/>
    <s v="Ahmedabad"/>
    <s v="SC_AHM_2"/>
    <x v="1"/>
    <s v="Chiron"/>
    <s v="Hypercar"/>
    <x v="1"/>
    <x v="2"/>
    <x v="2"/>
    <x v="0"/>
    <n v="2"/>
    <n v="7"/>
    <x v="1"/>
    <x v="1"/>
    <n v="545852"/>
    <n v="275556"/>
    <n v="270296"/>
    <x v="4"/>
    <n v="0"/>
    <n v="0"/>
    <n v="1"/>
    <n v="0"/>
    <n v="1"/>
    <s v="No"/>
    <x v="2"/>
  </r>
  <r>
    <n v="22200"/>
    <d v="2024-03-24T00:00:00"/>
    <x v="1"/>
    <s v="Kolkata"/>
    <s v="SC_KOL_5"/>
    <x v="2"/>
    <s v="Taycan"/>
    <s v="Sedan"/>
    <x v="0"/>
    <x v="0"/>
    <x v="2"/>
    <x v="0"/>
    <n v="12"/>
    <n v="7"/>
    <x v="1"/>
    <x v="1"/>
    <n v="115353"/>
    <n v="59126"/>
    <n v="56227"/>
    <x v="2"/>
    <n v="0"/>
    <n v="0"/>
    <n v="1"/>
    <n v="0"/>
    <n v="1"/>
    <s v="Yes"/>
    <x v="1"/>
  </r>
  <r>
    <n v="22201"/>
    <d v="2024-05-03T00:00:00"/>
    <x v="2"/>
    <s v="Gurugram"/>
    <s v="SC_GUR_4"/>
    <x v="2"/>
    <s v="Taycan"/>
    <s v="Sedan"/>
    <x v="1"/>
    <x v="1"/>
    <x v="0"/>
    <x v="0"/>
    <n v="3"/>
    <n v="7"/>
    <x v="0"/>
    <x v="1"/>
    <n v="495749"/>
    <n v="391945"/>
    <n v="103804"/>
    <x v="3"/>
    <n v="495749"/>
    <n v="0"/>
    <n v="0"/>
    <n v="1"/>
    <n v="1"/>
    <s v="No"/>
    <x v="2"/>
  </r>
  <r>
    <n v="22202"/>
    <d v="2024-01-02T00:00:00"/>
    <x v="0"/>
    <s v="Chennai"/>
    <s v="SC_CHE_4"/>
    <x v="1"/>
    <s v="911"/>
    <s v="Coupe"/>
    <x v="0"/>
    <x v="1"/>
    <x v="0"/>
    <x v="0"/>
    <n v="17"/>
    <n v="7"/>
    <x v="0"/>
    <x v="0"/>
    <n v="353225"/>
    <n v="272866"/>
    <n v="80359"/>
    <x v="0"/>
    <n v="0"/>
    <n v="1"/>
    <n v="0"/>
    <n v="1"/>
    <n v="1"/>
    <s v="Yes"/>
    <x v="0"/>
  </r>
  <r>
    <n v="22203"/>
    <d v="2024-05-11T00:00:00"/>
    <x v="3"/>
    <s v="Mumbai"/>
    <s v="SC_MUM_4"/>
    <x v="0"/>
    <s v="Veyron"/>
    <s v="Hypercar"/>
    <x v="1"/>
    <x v="1"/>
    <x v="0"/>
    <x v="0"/>
    <n v="22"/>
    <n v="7"/>
    <x v="0"/>
    <x v="1"/>
    <n v="253238"/>
    <n v="171881"/>
    <n v="81357"/>
    <x v="0"/>
    <n v="253238"/>
    <n v="0"/>
    <n v="0"/>
    <n v="1"/>
    <n v="1"/>
    <s v="Yes"/>
    <x v="0"/>
  </r>
  <r>
    <n v="22204"/>
    <d v="2024-01-30T00:00:00"/>
    <x v="0"/>
    <s v="Chennai"/>
    <s v="SC_CHE_4"/>
    <x v="1"/>
    <s v="Taycan"/>
    <s v="Sedan"/>
    <x v="1"/>
    <x v="3"/>
    <x v="2"/>
    <x v="1"/>
    <n v="2"/>
    <n v="7"/>
    <x v="0"/>
    <x v="1"/>
    <n v="507697"/>
    <n v="316468"/>
    <n v="191229"/>
    <x v="3"/>
    <n v="507697"/>
    <n v="0"/>
    <n v="0"/>
    <n v="1"/>
    <n v="1"/>
    <s v="No"/>
    <x v="2"/>
  </r>
  <r>
    <n v="22205"/>
    <d v="2024-02-24T00:00:00"/>
    <x v="2"/>
    <s v="Delhi"/>
    <s v="SC_DEL_2"/>
    <x v="0"/>
    <s v="Chiron"/>
    <s v="Hypercar"/>
    <x v="0"/>
    <x v="3"/>
    <x v="2"/>
    <x v="0"/>
    <n v="22"/>
    <n v="7"/>
    <x v="1"/>
    <x v="1"/>
    <n v="420956"/>
    <n v="273298"/>
    <n v="147658"/>
    <x v="0"/>
    <n v="0"/>
    <n v="0"/>
    <n v="1"/>
    <n v="0"/>
    <n v="1"/>
    <s v="Yes"/>
    <x v="0"/>
  </r>
  <r>
    <n v="22206"/>
    <d v="2024-03-15T00:00:00"/>
    <x v="0"/>
    <s v="Chennai"/>
    <s v="SC_CHE_3"/>
    <x v="2"/>
    <s v="Chiron"/>
    <s v="Hypercar"/>
    <x v="0"/>
    <x v="4"/>
    <x v="0"/>
    <x v="1"/>
    <n v="17"/>
    <n v="7"/>
    <x v="0"/>
    <x v="0"/>
    <n v="122303"/>
    <n v="68559"/>
    <n v="53744"/>
    <x v="0"/>
    <n v="0"/>
    <n v="1"/>
    <n v="0"/>
    <n v="1"/>
    <n v="1"/>
    <s v="Yes"/>
    <x v="0"/>
  </r>
  <r>
    <n v="22207"/>
    <d v="2024-06-03T00:00:00"/>
    <x v="3"/>
    <s v="Mumbai"/>
    <s v="SC_MUM_3"/>
    <x v="2"/>
    <s v="Panamera"/>
    <s v="Sedan"/>
    <x v="0"/>
    <x v="4"/>
    <x v="0"/>
    <x v="0"/>
    <n v="11"/>
    <n v="7"/>
    <x v="0"/>
    <x v="1"/>
    <n v="456039"/>
    <n v="383231"/>
    <n v="72808"/>
    <x v="1"/>
    <n v="456039"/>
    <n v="0"/>
    <n v="0"/>
    <n v="1"/>
    <n v="1"/>
    <s v="Yes"/>
    <x v="0"/>
  </r>
  <r>
    <n v="22208"/>
    <d v="2024-03-01T00:00:00"/>
    <x v="2"/>
    <s v="Gurugram"/>
    <s v="SC_GUR_3"/>
    <x v="2"/>
    <s v="Taycan"/>
    <s v="Sedan"/>
    <x v="1"/>
    <x v="1"/>
    <x v="2"/>
    <x v="1"/>
    <n v="2"/>
    <n v="7"/>
    <x v="0"/>
    <x v="1"/>
    <n v="138949"/>
    <n v="112260"/>
    <n v="26689"/>
    <x v="3"/>
    <n v="138949"/>
    <n v="0"/>
    <n v="0"/>
    <n v="1"/>
    <n v="1"/>
    <s v="No"/>
    <x v="2"/>
  </r>
  <r>
    <n v="22209"/>
    <d v="2024-05-09T00:00:00"/>
    <x v="1"/>
    <s v="Patna"/>
    <s v="SC_PAT_3"/>
    <x v="0"/>
    <s v="Chiron"/>
    <s v="Hypercar"/>
    <x v="1"/>
    <x v="1"/>
    <x v="2"/>
    <x v="1"/>
    <n v="21"/>
    <n v="7"/>
    <x v="1"/>
    <x v="1"/>
    <n v="464985"/>
    <n v="243369"/>
    <n v="221616"/>
    <x v="0"/>
    <n v="0"/>
    <n v="0"/>
    <n v="1"/>
    <n v="0"/>
    <n v="1"/>
    <s v="Yes"/>
    <x v="0"/>
  </r>
  <r>
    <n v="22210"/>
    <d v="2024-03-14T00:00:00"/>
    <x v="3"/>
    <s v="Ahmedabad"/>
    <s v="SC_AHM_2"/>
    <x v="1"/>
    <s v="Veyron"/>
    <s v="Hypercar"/>
    <x v="0"/>
    <x v="2"/>
    <x v="0"/>
    <x v="0"/>
    <n v="5"/>
    <n v="7"/>
    <x v="1"/>
    <x v="0"/>
    <n v="467564"/>
    <n v="390759"/>
    <n v="76805"/>
    <x v="3"/>
    <n v="0"/>
    <n v="1"/>
    <n v="1"/>
    <n v="0"/>
    <n v="1"/>
    <s v="No"/>
    <x v="2"/>
  </r>
  <r>
    <n v="22211"/>
    <d v="2024-01-11T00:00:00"/>
    <x v="3"/>
    <s v="Ahmedabad"/>
    <s v="SC_AHM_3"/>
    <x v="0"/>
    <s v="Panamera"/>
    <s v="Sedan"/>
    <x v="0"/>
    <x v="3"/>
    <x v="2"/>
    <x v="0"/>
    <n v="10"/>
    <n v="7"/>
    <x v="1"/>
    <x v="0"/>
    <n v="166601"/>
    <n v="103699"/>
    <n v="62902"/>
    <x v="2"/>
    <n v="0"/>
    <n v="1"/>
    <n v="1"/>
    <n v="0"/>
    <n v="1"/>
    <s v="Yes"/>
    <x v="1"/>
  </r>
  <r>
    <n v="22212"/>
    <d v="2024-03-05T00:00:00"/>
    <x v="1"/>
    <s v="Bhubaneswar"/>
    <s v="SC_BHU_2"/>
    <x v="0"/>
    <s v="Macan"/>
    <s v="SUV"/>
    <x v="0"/>
    <x v="4"/>
    <x v="0"/>
    <x v="1"/>
    <n v="24"/>
    <n v="7"/>
    <x v="0"/>
    <x v="1"/>
    <n v="300392"/>
    <n v="180530"/>
    <n v="119862"/>
    <x v="0"/>
    <n v="300392"/>
    <n v="0"/>
    <n v="0"/>
    <n v="1"/>
    <n v="1"/>
    <s v="Yes"/>
    <x v="0"/>
  </r>
  <r>
    <n v="22213"/>
    <d v="2024-03-26T00:00:00"/>
    <x v="3"/>
    <s v="Ahmedabad"/>
    <s v="SC_AHM_3"/>
    <x v="1"/>
    <s v="Chiron"/>
    <s v="Hypercar"/>
    <x v="0"/>
    <x v="4"/>
    <x v="2"/>
    <x v="0"/>
    <n v="4"/>
    <n v="7"/>
    <x v="0"/>
    <x v="1"/>
    <n v="255211"/>
    <n v="136891"/>
    <n v="118320"/>
    <x v="3"/>
    <n v="255211"/>
    <n v="0"/>
    <n v="0"/>
    <n v="1"/>
    <n v="1"/>
    <s v="No"/>
    <x v="2"/>
  </r>
  <r>
    <n v="22214"/>
    <d v="2024-02-29T00:00:00"/>
    <x v="0"/>
    <s v="Chennai"/>
    <s v="SC_CHE_2"/>
    <x v="2"/>
    <s v="Macan"/>
    <s v="SUV"/>
    <x v="1"/>
    <x v="0"/>
    <x v="2"/>
    <x v="1"/>
    <n v="17"/>
    <n v="7"/>
    <x v="1"/>
    <x v="0"/>
    <n v="333475"/>
    <n v="239184"/>
    <n v="94291"/>
    <x v="1"/>
    <n v="0"/>
    <n v="1"/>
    <n v="1"/>
    <n v="0"/>
    <n v="1"/>
    <s v="Yes"/>
    <x v="0"/>
  </r>
  <r>
    <n v="22215"/>
    <d v="2024-05-30T00:00:00"/>
    <x v="1"/>
    <s v="Kolkata"/>
    <s v="SC_KOL_3"/>
    <x v="2"/>
    <s v="911"/>
    <s v="Coupe"/>
    <x v="1"/>
    <x v="3"/>
    <x v="2"/>
    <x v="0"/>
    <n v="11"/>
    <n v="7"/>
    <x v="1"/>
    <x v="0"/>
    <n v="116364"/>
    <n v="76991"/>
    <n v="39373"/>
    <x v="2"/>
    <n v="0"/>
    <n v="1"/>
    <n v="1"/>
    <n v="0"/>
    <n v="1"/>
    <s v="Yes"/>
    <x v="1"/>
  </r>
  <r>
    <n v="22216"/>
    <d v="2024-02-22T00:00:00"/>
    <x v="1"/>
    <s v="Kolkata"/>
    <s v="SC_KOL_5"/>
    <x v="1"/>
    <s v="Veyron"/>
    <s v="Hypercar"/>
    <x v="1"/>
    <x v="2"/>
    <x v="2"/>
    <x v="0"/>
    <n v="15"/>
    <n v="7"/>
    <x v="1"/>
    <x v="0"/>
    <n v="255860"/>
    <n v="132968"/>
    <n v="122892"/>
    <x v="1"/>
    <n v="0"/>
    <n v="1"/>
    <n v="1"/>
    <n v="0"/>
    <n v="1"/>
    <s v="Yes"/>
    <x v="0"/>
  </r>
  <r>
    <n v="22217"/>
    <d v="2024-04-23T00:00:00"/>
    <x v="1"/>
    <s v="Kolkata"/>
    <s v="SC_KOL_3"/>
    <x v="0"/>
    <s v="Chiron"/>
    <s v="Hypercar"/>
    <x v="1"/>
    <x v="2"/>
    <x v="0"/>
    <x v="0"/>
    <n v="7"/>
    <n v="7"/>
    <x v="1"/>
    <x v="1"/>
    <n v="488830"/>
    <n v="279807"/>
    <n v="209023"/>
    <x v="3"/>
    <n v="0"/>
    <n v="0"/>
    <n v="1"/>
    <n v="0"/>
    <n v="1"/>
    <s v="No"/>
    <x v="2"/>
  </r>
  <r>
    <n v="22218"/>
    <d v="2024-06-06T00:00:00"/>
    <x v="2"/>
    <s v="Gurugram"/>
    <s v="SC_GUR_4"/>
    <x v="1"/>
    <s v="911"/>
    <s v="Coupe"/>
    <x v="0"/>
    <x v="0"/>
    <x v="2"/>
    <x v="0"/>
    <n v="11"/>
    <n v="7"/>
    <x v="0"/>
    <x v="0"/>
    <n v="283927"/>
    <n v="178637"/>
    <n v="105290"/>
    <x v="1"/>
    <n v="0"/>
    <n v="1"/>
    <n v="0"/>
    <n v="1"/>
    <n v="1"/>
    <s v="Yes"/>
    <x v="0"/>
  </r>
  <r>
    <n v="22219"/>
    <d v="2024-03-15T00:00:00"/>
    <x v="1"/>
    <s v="Kolkata"/>
    <s v="SC_KOL_1"/>
    <x v="1"/>
    <s v="Macan"/>
    <s v="SUV"/>
    <x v="0"/>
    <x v="1"/>
    <x v="1"/>
    <x v="0"/>
    <n v="25"/>
    <n v="7"/>
    <x v="0"/>
    <x v="1"/>
    <n v="343158"/>
    <n v="276748"/>
    <n v="66410"/>
    <x v="0"/>
    <n v="343158"/>
    <n v="0"/>
    <n v="0"/>
    <n v="1"/>
    <n v="1"/>
    <s v="Yes"/>
    <x v="0"/>
  </r>
  <r>
    <n v="22220"/>
    <d v="2024-04-07T00:00:00"/>
    <x v="0"/>
    <s v="Chennai"/>
    <s v="SC_CHE_3"/>
    <x v="0"/>
    <s v="911"/>
    <s v="Coupe"/>
    <x v="1"/>
    <x v="3"/>
    <x v="1"/>
    <x v="0"/>
    <n v="12"/>
    <n v="7"/>
    <x v="1"/>
    <x v="1"/>
    <n v="99841"/>
    <n v="56998"/>
    <n v="42843"/>
    <x v="2"/>
    <n v="0"/>
    <n v="0"/>
    <n v="1"/>
    <n v="0"/>
    <n v="1"/>
    <s v="Yes"/>
    <x v="1"/>
  </r>
  <r>
    <n v="22221"/>
    <d v="2024-03-25T00:00:00"/>
    <x v="1"/>
    <s v="Kolkata"/>
    <s v="SC_KOL_5"/>
    <x v="0"/>
    <s v="Macan"/>
    <s v="SUV"/>
    <x v="1"/>
    <x v="0"/>
    <x v="0"/>
    <x v="1"/>
    <n v="14"/>
    <n v="7"/>
    <x v="0"/>
    <x v="1"/>
    <n v="137762"/>
    <n v="80686"/>
    <n v="57076"/>
    <x v="1"/>
    <n v="137762"/>
    <n v="0"/>
    <n v="0"/>
    <n v="1"/>
    <n v="1"/>
    <s v="Yes"/>
    <x v="0"/>
  </r>
  <r>
    <n v="22222"/>
    <d v="2024-04-20T00:00:00"/>
    <x v="1"/>
    <s v="Bhubaneswar"/>
    <s v="SC_BHU_4"/>
    <x v="2"/>
    <s v="911"/>
    <s v="Coupe"/>
    <x v="1"/>
    <x v="0"/>
    <x v="0"/>
    <x v="0"/>
    <n v="6"/>
    <n v="7"/>
    <x v="1"/>
    <x v="1"/>
    <n v="397120"/>
    <n v="273911"/>
    <n v="123209"/>
    <x v="3"/>
    <n v="0"/>
    <n v="0"/>
    <n v="1"/>
    <n v="0"/>
    <n v="1"/>
    <s v="No"/>
    <x v="2"/>
  </r>
  <r>
    <n v="22223"/>
    <d v="2024-06-26T00:00:00"/>
    <x v="1"/>
    <s v="Patna"/>
    <s v="SC_PAT_2"/>
    <x v="2"/>
    <s v="911"/>
    <s v="Coupe"/>
    <x v="0"/>
    <x v="3"/>
    <x v="0"/>
    <x v="1"/>
    <n v="11"/>
    <n v="7"/>
    <x v="0"/>
    <x v="0"/>
    <n v="452482"/>
    <n v="345534"/>
    <n v="106948"/>
    <x v="1"/>
    <n v="0"/>
    <n v="1"/>
    <n v="0"/>
    <n v="1"/>
    <n v="1"/>
    <s v="Yes"/>
    <x v="0"/>
  </r>
  <r>
    <n v="22224"/>
    <d v="2024-01-19T00:00:00"/>
    <x v="3"/>
    <s v="Ahmedabad"/>
    <s v="SC_AHM_4"/>
    <x v="1"/>
    <s v="911"/>
    <s v="Coupe"/>
    <x v="1"/>
    <x v="2"/>
    <x v="2"/>
    <x v="1"/>
    <n v="11"/>
    <n v="7"/>
    <x v="1"/>
    <x v="1"/>
    <n v="321004"/>
    <n v="193024"/>
    <n v="127980"/>
    <x v="2"/>
    <n v="0"/>
    <n v="0"/>
    <n v="1"/>
    <n v="0"/>
    <n v="1"/>
    <s v="Yes"/>
    <x v="1"/>
  </r>
  <r>
    <n v="22225"/>
    <d v="2024-06-22T00:00:00"/>
    <x v="3"/>
    <s v="Mumbai"/>
    <s v="SC_MUM_5"/>
    <x v="0"/>
    <s v="Chiron"/>
    <s v="Hypercar"/>
    <x v="1"/>
    <x v="4"/>
    <x v="2"/>
    <x v="0"/>
    <n v="19"/>
    <n v="7"/>
    <x v="0"/>
    <x v="0"/>
    <n v="438997"/>
    <n v="348861"/>
    <n v="90136"/>
    <x v="0"/>
    <n v="0"/>
    <n v="1"/>
    <n v="0"/>
    <n v="1"/>
    <n v="1"/>
    <s v="Yes"/>
    <x v="0"/>
  </r>
  <r>
    <n v="22226"/>
    <d v="2024-04-04T00:00:00"/>
    <x v="0"/>
    <s v="Hyderabad"/>
    <s v="SC_HYD_5"/>
    <x v="1"/>
    <s v="Macan"/>
    <s v="SUV"/>
    <x v="1"/>
    <x v="2"/>
    <x v="2"/>
    <x v="1"/>
    <n v="15"/>
    <n v="7"/>
    <x v="0"/>
    <x v="1"/>
    <n v="381524"/>
    <n v="211448"/>
    <n v="170076"/>
    <x v="0"/>
    <n v="381524"/>
    <n v="0"/>
    <n v="0"/>
    <n v="1"/>
    <n v="1"/>
    <s v="Yes"/>
    <x v="0"/>
  </r>
  <r>
    <n v="22227"/>
    <d v="2024-04-11T00:00:00"/>
    <x v="0"/>
    <s v="Hyderabad"/>
    <s v="SC_HYD_5"/>
    <x v="0"/>
    <s v="911"/>
    <s v="Coupe"/>
    <x v="0"/>
    <x v="1"/>
    <x v="1"/>
    <x v="0"/>
    <n v="17"/>
    <n v="7"/>
    <x v="1"/>
    <x v="1"/>
    <n v="377851"/>
    <n v="249043"/>
    <n v="128808"/>
    <x v="1"/>
    <n v="0"/>
    <n v="0"/>
    <n v="1"/>
    <n v="0"/>
    <n v="1"/>
    <s v="Yes"/>
    <x v="0"/>
  </r>
  <r>
    <n v="22228"/>
    <d v="2024-03-06T00:00:00"/>
    <x v="0"/>
    <s v="Hyderabad"/>
    <s v="SC_HYD_2"/>
    <x v="2"/>
    <s v="Panamera"/>
    <s v="Sedan"/>
    <x v="0"/>
    <x v="3"/>
    <x v="1"/>
    <x v="1"/>
    <n v="16"/>
    <n v="7"/>
    <x v="1"/>
    <x v="0"/>
    <n v="213119"/>
    <n v="113358"/>
    <n v="99761"/>
    <x v="1"/>
    <n v="0"/>
    <n v="1"/>
    <n v="1"/>
    <n v="0"/>
    <n v="1"/>
    <s v="Yes"/>
    <x v="0"/>
  </r>
  <r>
    <n v="22229"/>
    <d v="2024-03-02T00:00:00"/>
    <x v="1"/>
    <s v="Patna"/>
    <s v="SC_PAT_5"/>
    <x v="1"/>
    <s v="Cayenne"/>
    <s v="SUV"/>
    <x v="1"/>
    <x v="3"/>
    <x v="0"/>
    <x v="1"/>
    <n v="18"/>
    <n v="7"/>
    <x v="0"/>
    <x v="1"/>
    <n v="393616"/>
    <n v="247402"/>
    <n v="146214"/>
    <x v="0"/>
    <n v="393616"/>
    <n v="0"/>
    <n v="0"/>
    <n v="1"/>
    <n v="1"/>
    <s v="Yes"/>
    <x v="0"/>
  </r>
  <r>
    <n v="22230"/>
    <d v="2024-02-16T00:00:00"/>
    <x v="0"/>
    <s v="Bengaluru"/>
    <s v="SC_BEN_1"/>
    <x v="2"/>
    <s v="911"/>
    <s v="Coupe"/>
    <x v="0"/>
    <x v="3"/>
    <x v="2"/>
    <x v="0"/>
    <n v="3"/>
    <n v="7"/>
    <x v="1"/>
    <x v="1"/>
    <n v="388980"/>
    <n v="309888"/>
    <n v="79092"/>
    <x v="4"/>
    <n v="0"/>
    <n v="0"/>
    <n v="1"/>
    <n v="0"/>
    <n v="1"/>
    <s v="No"/>
    <x v="2"/>
  </r>
  <r>
    <n v="22231"/>
    <d v="2024-04-03T00:00:00"/>
    <x v="1"/>
    <s v="Bhubaneswar"/>
    <s v="SC_BHU_3"/>
    <x v="0"/>
    <s v="911"/>
    <s v="Coupe"/>
    <x v="1"/>
    <x v="1"/>
    <x v="0"/>
    <x v="0"/>
    <n v="22"/>
    <n v="7"/>
    <x v="0"/>
    <x v="1"/>
    <n v="176318"/>
    <n v="123330"/>
    <n v="52988"/>
    <x v="0"/>
    <n v="176318"/>
    <n v="0"/>
    <n v="0"/>
    <n v="1"/>
    <n v="1"/>
    <s v="Yes"/>
    <x v="0"/>
  </r>
  <r>
    <n v="22232"/>
    <d v="2024-05-12T00:00:00"/>
    <x v="0"/>
    <s v="Chennai"/>
    <s v="SC_CHE_2"/>
    <x v="2"/>
    <s v="Panamera"/>
    <s v="Sedan"/>
    <x v="0"/>
    <x v="2"/>
    <x v="0"/>
    <x v="1"/>
    <n v="17"/>
    <n v="7"/>
    <x v="0"/>
    <x v="1"/>
    <n v="397295"/>
    <n v="313497"/>
    <n v="83798"/>
    <x v="0"/>
    <n v="397295"/>
    <n v="0"/>
    <n v="0"/>
    <n v="1"/>
    <n v="1"/>
    <s v="Yes"/>
    <x v="0"/>
  </r>
  <r>
    <n v="22233"/>
    <d v="2024-06-13T00:00:00"/>
    <x v="2"/>
    <s v="Noida"/>
    <s v="SC_NOI_4"/>
    <x v="0"/>
    <s v="Cayenne"/>
    <s v="SUV"/>
    <x v="1"/>
    <x v="2"/>
    <x v="2"/>
    <x v="0"/>
    <n v="13"/>
    <n v="7"/>
    <x v="1"/>
    <x v="0"/>
    <n v="443953"/>
    <n v="265470"/>
    <n v="178483"/>
    <x v="2"/>
    <n v="0"/>
    <n v="1"/>
    <n v="1"/>
    <n v="0"/>
    <n v="1"/>
    <s v="Yes"/>
    <x v="1"/>
  </r>
  <r>
    <n v="22234"/>
    <d v="2024-01-16T00:00:00"/>
    <x v="2"/>
    <s v="Delhi"/>
    <s v="SC_DEL_5"/>
    <x v="1"/>
    <s v="Chiron"/>
    <s v="Hypercar"/>
    <x v="0"/>
    <x v="3"/>
    <x v="2"/>
    <x v="0"/>
    <n v="20"/>
    <n v="7"/>
    <x v="1"/>
    <x v="1"/>
    <n v="579433"/>
    <n v="488994"/>
    <n v="90439"/>
    <x v="0"/>
    <n v="0"/>
    <n v="0"/>
    <n v="1"/>
    <n v="0"/>
    <n v="1"/>
    <s v="Yes"/>
    <x v="0"/>
  </r>
  <r>
    <n v="22235"/>
    <d v="2024-06-25T00:00:00"/>
    <x v="1"/>
    <s v="Patna"/>
    <s v="SC_PAT_2"/>
    <x v="1"/>
    <s v="Taycan"/>
    <s v="Sedan"/>
    <x v="0"/>
    <x v="2"/>
    <x v="2"/>
    <x v="0"/>
    <n v="4"/>
    <n v="7"/>
    <x v="0"/>
    <x v="0"/>
    <n v="275239"/>
    <n v="151038"/>
    <n v="124201"/>
    <x v="3"/>
    <n v="0"/>
    <n v="1"/>
    <n v="0"/>
    <n v="1"/>
    <n v="1"/>
    <s v="No"/>
    <x v="2"/>
  </r>
  <r>
    <n v="22236"/>
    <d v="2024-06-04T00:00:00"/>
    <x v="1"/>
    <s v="Patna"/>
    <s v="SC_PAT_3"/>
    <x v="1"/>
    <s v="911"/>
    <s v="Coupe"/>
    <x v="1"/>
    <x v="1"/>
    <x v="0"/>
    <x v="1"/>
    <n v="15"/>
    <n v="7"/>
    <x v="0"/>
    <x v="1"/>
    <n v="429111"/>
    <n v="240557"/>
    <n v="188554"/>
    <x v="0"/>
    <n v="429111"/>
    <n v="0"/>
    <n v="0"/>
    <n v="1"/>
    <n v="1"/>
    <s v="Yes"/>
    <x v="0"/>
  </r>
  <r>
    <n v="22237"/>
    <d v="2024-03-03T00:00:00"/>
    <x v="0"/>
    <s v="Chennai"/>
    <s v="SC_CHE_4"/>
    <x v="0"/>
    <s v="911"/>
    <s v="Coupe"/>
    <x v="0"/>
    <x v="0"/>
    <x v="2"/>
    <x v="0"/>
    <n v="22"/>
    <n v="7"/>
    <x v="0"/>
    <x v="0"/>
    <n v="161393"/>
    <n v="137140"/>
    <n v="24253"/>
    <x v="0"/>
    <n v="0"/>
    <n v="1"/>
    <n v="0"/>
    <n v="1"/>
    <n v="1"/>
    <s v="Yes"/>
    <x v="0"/>
  </r>
  <r>
    <n v="22238"/>
    <d v="2024-05-01T00:00:00"/>
    <x v="3"/>
    <s v="Mumbai"/>
    <s v="SC_MUM_1"/>
    <x v="0"/>
    <s v="Macan"/>
    <s v="SUV"/>
    <x v="0"/>
    <x v="2"/>
    <x v="1"/>
    <x v="1"/>
    <n v="20"/>
    <n v="7"/>
    <x v="0"/>
    <x v="1"/>
    <n v="497326"/>
    <n v="251010"/>
    <n v="246316"/>
    <x v="0"/>
    <n v="497326"/>
    <n v="0"/>
    <n v="0"/>
    <n v="1"/>
    <n v="1"/>
    <s v="Yes"/>
    <x v="0"/>
  </r>
  <r>
    <n v="22239"/>
    <d v="2024-03-19T00:00:00"/>
    <x v="1"/>
    <s v="Bhubaneswar"/>
    <s v="SC_BHU_1"/>
    <x v="0"/>
    <s v="Cayenne"/>
    <s v="SUV"/>
    <x v="0"/>
    <x v="0"/>
    <x v="0"/>
    <x v="1"/>
    <n v="22"/>
    <n v="7"/>
    <x v="0"/>
    <x v="0"/>
    <n v="236863"/>
    <n v="167417"/>
    <n v="69446"/>
    <x v="0"/>
    <n v="0"/>
    <n v="1"/>
    <n v="0"/>
    <n v="1"/>
    <n v="1"/>
    <s v="Yes"/>
    <x v="0"/>
  </r>
  <r>
    <n v="22240"/>
    <d v="2024-04-03T00:00:00"/>
    <x v="1"/>
    <s v="Bhubaneswar"/>
    <s v="SC_BHU_4"/>
    <x v="0"/>
    <s v="Chiron"/>
    <s v="Hypercar"/>
    <x v="1"/>
    <x v="0"/>
    <x v="2"/>
    <x v="1"/>
    <n v="16"/>
    <n v="7"/>
    <x v="0"/>
    <x v="1"/>
    <n v="582716"/>
    <n v="466342"/>
    <n v="116374"/>
    <x v="0"/>
    <n v="582716"/>
    <n v="0"/>
    <n v="0"/>
    <n v="1"/>
    <n v="1"/>
    <s v="Yes"/>
    <x v="0"/>
  </r>
  <r>
    <n v="22241"/>
    <d v="2024-03-11T00:00:00"/>
    <x v="0"/>
    <s v="Bengaluru"/>
    <s v="SC_BEN_3"/>
    <x v="2"/>
    <s v="Veyron"/>
    <s v="Hypercar"/>
    <x v="1"/>
    <x v="2"/>
    <x v="0"/>
    <x v="0"/>
    <n v="6"/>
    <n v="7"/>
    <x v="0"/>
    <x v="1"/>
    <n v="280246"/>
    <n v="183618"/>
    <n v="96628"/>
    <x v="2"/>
    <n v="280246"/>
    <n v="0"/>
    <n v="0"/>
    <n v="1"/>
    <n v="1"/>
    <s v="No"/>
    <x v="1"/>
  </r>
  <r>
    <n v="22242"/>
    <d v="2024-02-18T00:00:00"/>
    <x v="3"/>
    <s v="Pune"/>
    <s v="SC_PUN_5"/>
    <x v="2"/>
    <s v="Chiron"/>
    <s v="Hypercar"/>
    <x v="0"/>
    <x v="3"/>
    <x v="0"/>
    <x v="1"/>
    <n v="13"/>
    <n v="7"/>
    <x v="0"/>
    <x v="1"/>
    <n v="598076"/>
    <n v="474035"/>
    <n v="124041"/>
    <x v="1"/>
    <n v="598076"/>
    <n v="0"/>
    <n v="0"/>
    <n v="1"/>
    <n v="1"/>
    <s v="Yes"/>
    <x v="0"/>
  </r>
  <r>
    <n v="22243"/>
    <d v="2024-01-02T00:00:00"/>
    <x v="1"/>
    <s v="Patna"/>
    <s v="SC_PAT_1"/>
    <x v="1"/>
    <s v="911"/>
    <s v="Coupe"/>
    <x v="1"/>
    <x v="1"/>
    <x v="1"/>
    <x v="1"/>
    <n v="14"/>
    <n v="7"/>
    <x v="1"/>
    <x v="1"/>
    <n v="513770"/>
    <n v="281615"/>
    <n v="232155"/>
    <x v="2"/>
    <n v="0"/>
    <n v="0"/>
    <n v="1"/>
    <n v="0"/>
    <n v="1"/>
    <s v="Yes"/>
    <x v="1"/>
  </r>
  <r>
    <n v="22244"/>
    <d v="2024-01-28T00:00:00"/>
    <x v="1"/>
    <s v="Kolkata"/>
    <s v="SC_KOL_3"/>
    <x v="0"/>
    <s v="Chiron"/>
    <s v="Hypercar"/>
    <x v="0"/>
    <x v="2"/>
    <x v="0"/>
    <x v="0"/>
    <n v="13"/>
    <n v="7"/>
    <x v="0"/>
    <x v="0"/>
    <n v="454457"/>
    <n v="363146"/>
    <n v="91311"/>
    <x v="1"/>
    <n v="0"/>
    <n v="1"/>
    <n v="0"/>
    <n v="1"/>
    <n v="1"/>
    <s v="Yes"/>
    <x v="0"/>
  </r>
  <r>
    <n v="22245"/>
    <d v="2024-05-29T00:00:00"/>
    <x v="3"/>
    <s v="Pune"/>
    <s v="SC_PUN_5"/>
    <x v="1"/>
    <s v="Macan"/>
    <s v="SUV"/>
    <x v="0"/>
    <x v="2"/>
    <x v="1"/>
    <x v="0"/>
    <n v="25"/>
    <n v="7"/>
    <x v="0"/>
    <x v="1"/>
    <n v="264918"/>
    <n v="141689"/>
    <n v="123229"/>
    <x v="0"/>
    <n v="264918"/>
    <n v="0"/>
    <n v="0"/>
    <n v="1"/>
    <n v="1"/>
    <s v="Yes"/>
    <x v="0"/>
  </r>
  <r>
    <n v="22246"/>
    <d v="2024-03-08T00:00:00"/>
    <x v="1"/>
    <s v="Kolkata"/>
    <s v="SC_KOL_4"/>
    <x v="0"/>
    <s v="Panamera"/>
    <s v="Sedan"/>
    <x v="1"/>
    <x v="2"/>
    <x v="1"/>
    <x v="0"/>
    <n v="18"/>
    <n v="7"/>
    <x v="0"/>
    <x v="1"/>
    <n v="545039"/>
    <n v="345679"/>
    <n v="199360"/>
    <x v="0"/>
    <n v="545039"/>
    <n v="0"/>
    <n v="0"/>
    <n v="1"/>
    <n v="1"/>
    <s v="Yes"/>
    <x v="0"/>
  </r>
  <r>
    <n v="22247"/>
    <d v="2024-03-09T00:00:00"/>
    <x v="3"/>
    <s v="Ahmedabad"/>
    <s v="SC_AHM_4"/>
    <x v="2"/>
    <s v="911"/>
    <s v="Coupe"/>
    <x v="1"/>
    <x v="3"/>
    <x v="0"/>
    <x v="0"/>
    <n v="2"/>
    <n v="7"/>
    <x v="0"/>
    <x v="1"/>
    <n v="286219"/>
    <n v="187027"/>
    <n v="99192"/>
    <x v="3"/>
    <n v="286219"/>
    <n v="0"/>
    <n v="0"/>
    <n v="1"/>
    <n v="1"/>
    <s v="No"/>
    <x v="2"/>
  </r>
  <r>
    <n v="22248"/>
    <d v="2024-05-25T00:00:00"/>
    <x v="1"/>
    <s v="Bhubaneswar"/>
    <s v="SC_BHU_1"/>
    <x v="2"/>
    <s v="Veyron"/>
    <s v="Hypercar"/>
    <x v="1"/>
    <x v="3"/>
    <x v="1"/>
    <x v="0"/>
    <n v="25"/>
    <n v="7"/>
    <x v="1"/>
    <x v="0"/>
    <n v="317356"/>
    <n v="233230"/>
    <n v="84126"/>
    <x v="0"/>
    <n v="0"/>
    <n v="1"/>
    <n v="1"/>
    <n v="0"/>
    <n v="1"/>
    <s v="Yes"/>
    <x v="0"/>
  </r>
  <r>
    <n v="22249"/>
    <d v="2024-06-25T00:00:00"/>
    <x v="0"/>
    <s v="Bengaluru"/>
    <s v="SC_BEN_1"/>
    <x v="0"/>
    <s v="Cayenne"/>
    <s v="SUV"/>
    <x v="1"/>
    <x v="3"/>
    <x v="2"/>
    <x v="1"/>
    <n v="2"/>
    <n v="7"/>
    <x v="1"/>
    <x v="1"/>
    <n v="447350"/>
    <n v="377852"/>
    <n v="69498"/>
    <x v="4"/>
    <n v="0"/>
    <n v="0"/>
    <n v="1"/>
    <n v="0"/>
    <n v="1"/>
    <s v="No"/>
    <x v="2"/>
  </r>
  <r>
    <n v="22250"/>
    <d v="2024-03-13T00:00:00"/>
    <x v="3"/>
    <s v="Ahmedabad"/>
    <s v="SC_AHM_4"/>
    <x v="0"/>
    <s v="Chiron"/>
    <s v="Hypercar"/>
    <x v="0"/>
    <x v="1"/>
    <x v="0"/>
    <x v="0"/>
    <n v="24"/>
    <n v="7"/>
    <x v="0"/>
    <x v="0"/>
    <n v="136810"/>
    <n v="69385"/>
    <n v="67425"/>
    <x v="0"/>
    <n v="0"/>
    <n v="1"/>
    <n v="0"/>
    <n v="1"/>
    <n v="1"/>
    <s v="Yes"/>
    <x v="0"/>
  </r>
  <r>
    <n v="22251"/>
    <d v="2024-05-11T00:00:00"/>
    <x v="3"/>
    <s v="Pune"/>
    <s v="SC_PUN_3"/>
    <x v="1"/>
    <s v="Panamera"/>
    <s v="Sedan"/>
    <x v="0"/>
    <x v="4"/>
    <x v="1"/>
    <x v="0"/>
    <n v="11"/>
    <n v="7"/>
    <x v="1"/>
    <x v="1"/>
    <n v="316222"/>
    <n v="261381"/>
    <n v="54841"/>
    <x v="2"/>
    <n v="0"/>
    <n v="0"/>
    <n v="1"/>
    <n v="0"/>
    <n v="1"/>
    <s v="Yes"/>
    <x v="1"/>
  </r>
  <r>
    <n v="22252"/>
    <d v="2024-02-10T00:00:00"/>
    <x v="2"/>
    <s v="Gurugram"/>
    <s v="SC_GUR_5"/>
    <x v="1"/>
    <s v="Chiron"/>
    <s v="Hypercar"/>
    <x v="1"/>
    <x v="1"/>
    <x v="1"/>
    <x v="1"/>
    <n v="3"/>
    <n v="7"/>
    <x v="0"/>
    <x v="0"/>
    <n v="328285"/>
    <n v="227804"/>
    <n v="100481"/>
    <x v="3"/>
    <n v="0"/>
    <n v="1"/>
    <n v="0"/>
    <n v="1"/>
    <n v="1"/>
    <s v="No"/>
    <x v="2"/>
  </r>
  <r>
    <n v="22253"/>
    <d v="2024-06-14T00:00:00"/>
    <x v="3"/>
    <s v="Mumbai"/>
    <s v="SC_MUM_4"/>
    <x v="0"/>
    <s v="Macan"/>
    <s v="SUV"/>
    <x v="1"/>
    <x v="3"/>
    <x v="1"/>
    <x v="1"/>
    <n v="22"/>
    <n v="7"/>
    <x v="1"/>
    <x v="1"/>
    <n v="395567"/>
    <n v="244988"/>
    <n v="150579"/>
    <x v="0"/>
    <n v="0"/>
    <n v="0"/>
    <n v="1"/>
    <n v="0"/>
    <n v="1"/>
    <s v="Yes"/>
    <x v="0"/>
  </r>
  <r>
    <n v="22254"/>
    <d v="2024-01-27T00:00:00"/>
    <x v="2"/>
    <s v="Noida"/>
    <s v="SC_NOI_4"/>
    <x v="2"/>
    <s v="Cayenne"/>
    <s v="SUV"/>
    <x v="0"/>
    <x v="3"/>
    <x v="0"/>
    <x v="0"/>
    <n v="14"/>
    <n v="7"/>
    <x v="0"/>
    <x v="1"/>
    <n v="417262"/>
    <n v="336933"/>
    <n v="80329"/>
    <x v="1"/>
    <n v="417262"/>
    <n v="0"/>
    <n v="0"/>
    <n v="1"/>
    <n v="1"/>
    <s v="Yes"/>
    <x v="0"/>
  </r>
  <r>
    <n v="22255"/>
    <d v="2024-04-18T00:00:00"/>
    <x v="3"/>
    <s v="Mumbai"/>
    <s v="SC_MUM_2"/>
    <x v="2"/>
    <s v="Taycan"/>
    <s v="Sedan"/>
    <x v="1"/>
    <x v="2"/>
    <x v="2"/>
    <x v="0"/>
    <n v="10"/>
    <n v="7"/>
    <x v="1"/>
    <x v="1"/>
    <n v="163776"/>
    <n v="129163"/>
    <n v="34613"/>
    <x v="2"/>
    <n v="0"/>
    <n v="0"/>
    <n v="1"/>
    <n v="0"/>
    <n v="1"/>
    <s v="Yes"/>
    <x v="1"/>
  </r>
  <r>
    <n v="22256"/>
    <d v="2024-05-28T00:00:00"/>
    <x v="0"/>
    <s v="Bengaluru"/>
    <s v="SC_BEN_2"/>
    <x v="1"/>
    <s v="Chiron"/>
    <s v="Hypercar"/>
    <x v="0"/>
    <x v="4"/>
    <x v="0"/>
    <x v="0"/>
    <n v="21"/>
    <n v="7"/>
    <x v="0"/>
    <x v="0"/>
    <n v="518838"/>
    <n v="319079"/>
    <n v="199759"/>
    <x v="0"/>
    <n v="0"/>
    <n v="1"/>
    <n v="0"/>
    <n v="1"/>
    <n v="1"/>
    <s v="Yes"/>
    <x v="0"/>
  </r>
  <r>
    <n v="22257"/>
    <d v="2024-04-20T00:00:00"/>
    <x v="3"/>
    <s v="Ahmedabad"/>
    <s v="SC_AHM_5"/>
    <x v="1"/>
    <s v="911"/>
    <s v="Coupe"/>
    <x v="1"/>
    <x v="4"/>
    <x v="1"/>
    <x v="1"/>
    <n v="24"/>
    <n v="7"/>
    <x v="1"/>
    <x v="0"/>
    <n v="90820"/>
    <n v="74092"/>
    <n v="16728"/>
    <x v="0"/>
    <n v="0"/>
    <n v="1"/>
    <n v="1"/>
    <n v="0"/>
    <n v="1"/>
    <s v="Yes"/>
    <x v="0"/>
  </r>
  <r>
    <n v="22258"/>
    <d v="2024-05-20T00:00:00"/>
    <x v="1"/>
    <s v="Kolkata"/>
    <s v="SC_KOL_2"/>
    <x v="0"/>
    <s v="Cayenne"/>
    <s v="SUV"/>
    <x v="1"/>
    <x v="3"/>
    <x v="0"/>
    <x v="0"/>
    <n v="17"/>
    <n v="7"/>
    <x v="0"/>
    <x v="0"/>
    <n v="164889"/>
    <n v="113968"/>
    <n v="50921"/>
    <x v="0"/>
    <n v="0"/>
    <n v="1"/>
    <n v="0"/>
    <n v="1"/>
    <n v="1"/>
    <s v="Yes"/>
    <x v="0"/>
  </r>
  <r>
    <n v="22259"/>
    <d v="2024-01-31T00:00:00"/>
    <x v="3"/>
    <s v="Pune"/>
    <s v="SC_PUN_1"/>
    <x v="2"/>
    <s v="Cayenne"/>
    <s v="SUV"/>
    <x v="1"/>
    <x v="4"/>
    <x v="2"/>
    <x v="0"/>
    <n v="7"/>
    <n v="7"/>
    <x v="1"/>
    <x v="1"/>
    <n v="368225"/>
    <n v="201089"/>
    <n v="167136"/>
    <x v="3"/>
    <n v="0"/>
    <n v="0"/>
    <n v="1"/>
    <n v="0"/>
    <n v="1"/>
    <s v="No"/>
    <x v="2"/>
  </r>
  <r>
    <n v="22260"/>
    <d v="2024-05-07T00:00:00"/>
    <x v="3"/>
    <s v="Pune"/>
    <s v="SC_PUN_2"/>
    <x v="0"/>
    <s v="Macan"/>
    <s v="SUV"/>
    <x v="0"/>
    <x v="2"/>
    <x v="1"/>
    <x v="1"/>
    <n v="7"/>
    <n v="7"/>
    <x v="1"/>
    <x v="1"/>
    <n v="289810"/>
    <n v="153517"/>
    <n v="136293"/>
    <x v="3"/>
    <n v="0"/>
    <n v="0"/>
    <n v="1"/>
    <n v="0"/>
    <n v="1"/>
    <s v="No"/>
    <x v="2"/>
  </r>
  <r>
    <n v="22261"/>
    <d v="2024-06-12T00:00:00"/>
    <x v="3"/>
    <s v="Ahmedabad"/>
    <s v="SC_AHM_3"/>
    <x v="0"/>
    <s v="Veyron"/>
    <s v="Hypercar"/>
    <x v="0"/>
    <x v="4"/>
    <x v="1"/>
    <x v="0"/>
    <n v="10"/>
    <n v="7"/>
    <x v="1"/>
    <x v="0"/>
    <n v="231190"/>
    <n v="168536"/>
    <n v="62654"/>
    <x v="2"/>
    <n v="0"/>
    <n v="1"/>
    <n v="1"/>
    <n v="0"/>
    <n v="1"/>
    <s v="Yes"/>
    <x v="1"/>
  </r>
  <r>
    <n v="22262"/>
    <d v="2024-01-24T00:00:00"/>
    <x v="2"/>
    <s v="Noida"/>
    <s v="SC_NOI_3"/>
    <x v="2"/>
    <s v="Veyron"/>
    <s v="Hypercar"/>
    <x v="0"/>
    <x v="0"/>
    <x v="2"/>
    <x v="1"/>
    <n v="16"/>
    <n v="7"/>
    <x v="1"/>
    <x v="1"/>
    <n v="512885"/>
    <n v="329336"/>
    <n v="183549"/>
    <x v="1"/>
    <n v="0"/>
    <n v="0"/>
    <n v="1"/>
    <n v="0"/>
    <n v="1"/>
    <s v="Yes"/>
    <x v="0"/>
  </r>
  <r>
    <n v="22263"/>
    <d v="2024-03-29T00:00:00"/>
    <x v="1"/>
    <s v="Kolkata"/>
    <s v="SC_KOL_3"/>
    <x v="2"/>
    <s v="911"/>
    <s v="Coupe"/>
    <x v="0"/>
    <x v="2"/>
    <x v="0"/>
    <x v="0"/>
    <n v="23"/>
    <n v="7"/>
    <x v="0"/>
    <x v="0"/>
    <n v="448588"/>
    <n v="355033"/>
    <n v="93555"/>
    <x v="0"/>
    <n v="0"/>
    <n v="1"/>
    <n v="0"/>
    <n v="1"/>
    <n v="1"/>
    <s v="Yes"/>
    <x v="0"/>
  </r>
  <r>
    <n v="22264"/>
    <d v="2024-01-09T00:00:00"/>
    <x v="1"/>
    <s v="Kolkata"/>
    <s v="SC_KOL_4"/>
    <x v="1"/>
    <s v="Cayenne"/>
    <s v="SUV"/>
    <x v="0"/>
    <x v="1"/>
    <x v="0"/>
    <x v="1"/>
    <n v="2"/>
    <n v="7"/>
    <x v="0"/>
    <x v="1"/>
    <n v="146951"/>
    <n v="95623"/>
    <n v="51328"/>
    <x v="3"/>
    <n v="146951"/>
    <n v="0"/>
    <n v="0"/>
    <n v="1"/>
    <n v="1"/>
    <s v="No"/>
    <x v="2"/>
  </r>
  <r>
    <n v="22265"/>
    <d v="2024-02-04T00:00:00"/>
    <x v="2"/>
    <s v="Noida"/>
    <s v="SC_NOI_1"/>
    <x v="2"/>
    <s v="Panamera"/>
    <s v="Sedan"/>
    <x v="0"/>
    <x v="3"/>
    <x v="1"/>
    <x v="1"/>
    <n v="11"/>
    <n v="7"/>
    <x v="1"/>
    <x v="0"/>
    <n v="564500"/>
    <n v="286536"/>
    <n v="277964"/>
    <x v="2"/>
    <n v="0"/>
    <n v="1"/>
    <n v="1"/>
    <n v="0"/>
    <n v="1"/>
    <s v="Yes"/>
    <x v="1"/>
  </r>
  <r>
    <n v="22266"/>
    <d v="2024-03-06T00:00:00"/>
    <x v="3"/>
    <s v="Mumbai"/>
    <s v="SC_MUM_3"/>
    <x v="0"/>
    <s v="Taycan"/>
    <s v="Sedan"/>
    <x v="0"/>
    <x v="3"/>
    <x v="1"/>
    <x v="0"/>
    <n v="13"/>
    <n v="7"/>
    <x v="0"/>
    <x v="1"/>
    <n v="385697"/>
    <n v="224338"/>
    <n v="161359"/>
    <x v="1"/>
    <n v="385697"/>
    <n v="0"/>
    <n v="0"/>
    <n v="1"/>
    <n v="1"/>
    <s v="Yes"/>
    <x v="0"/>
  </r>
  <r>
    <n v="22267"/>
    <d v="2024-02-29T00:00:00"/>
    <x v="2"/>
    <s v="Delhi"/>
    <s v="SC_DEL_3"/>
    <x v="0"/>
    <s v="911"/>
    <s v="Coupe"/>
    <x v="0"/>
    <x v="2"/>
    <x v="0"/>
    <x v="0"/>
    <n v="12"/>
    <n v="7"/>
    <x v="0"/>
    <x v="1"/>
    <n v="369314"/>
    <n v="275183"/>
    <n v="94131"/>
    <x v="1"/>
    <n v="369314"/>
    <n v="0"/>
    <n v="0"/>
    <n v="1"/>
    <n v="1"/>
    <s v="Yes"/>
    <x v="0"/>
  </r>
  <r>
    <n v="22268"/>
    <d v="2024-02-24T00:00:00"/>
    <x v="1"/>
    <s v="Patna"/>
    <s v="SC_PAT_5"/>
    <x v="1"/>
    <s v="Chiron"/>
    <s v="Hypercar"/>
    <x v="0"/>
    <x v="4"/>
    <x v="1"/>
    <x v="0"/>
    <n v="15"/>
    <n v="7"/>
    <x v="0"/>
    <x v="1"/>
    <n v="139360"/>
    <n v="100792"/>
    <n v="38568"/>
    <x v="0"/>
    <n v="139360"/>
    <n v="0"/>
    <n v="0"/>
    <n v="1"/>
    <n v="1"/>
    <s v="Yes"/>
    <x v="0"/>
  </r>
  <r>
    <n v="22269"/>
    <d v="2024-01-08T00:00:00"/>
    <x v="1"/>
    <s v="Kolkata"/>
    <s v="SC_KOL_1"/>
    <x v="0"/>
    <s v="Veyron"/>
    <s v="Hypercar"/>
    <x v="1"/>
    <x v="4"/>
    <x v="0"/>
    <x v="0"/>
    <n v="3"/>
    <n v="7"/>
    <x v="1"/>
    <x v="1"/>
    <n v="299738"/>
    <n v="195218"/>
    <n v="104520"/>
    <x v="4"/>
    <n v="0"/>
    <n v="0"/>
    <n v="1"/>
    <n v="0"/>
    <n v="1"/>
    <s v="No"/>
    <x v="2"/>
  </r>
  <r>
    <n v="22270"/>
    <d v="2024-01-02T00:00:00"/>
    <x v="0"/>
    <s v="Bengaluru"/>
    <s v="SC_BEN_1"/>
    <x v="2"/>
    <s v="Macan"/>
    <s v="SUV"/>
    <x v="0"/>
    <x v="1"/>
    <x v="2"/>
    <x v="0"/>
    <n v="2"/>
    <n v="7"/>
    <x v="0"/>
    <x v="1"/>
    <n v="171090"/>
    <n v="127675"/>
    <n v="43415"/>
    <x v="3"/>
    <n v="171090"/>
    <n v="0"/>
    <n v="0"/>
    <n v="1"/>
    <n v="1"/>
    <s v="No"/>
    <x v="2"/>
  </r>
  <r>
    <n v="22271"/>
    <d v="2024-01-24T00:00:00"/>
    <x v="0"/>
    <s v="Bengaluru"/>
    <s v="SC_BEN_2"/>
    <x v="0"/>
    <s v="Chiron"/>
    <s v="Hypercar"/>
    <x v="1"/>
    <x v="1"/>
    <x v="0"/>
    <x v="0"/>
    <n v="19"/>
    <n v="7"/>
    <x v="0"/>
    <x v="1"/>
    <n v="509266"/>
    <n v="326850"/>
    <n v="182416"/>
    <x v="0"/>
    <n v="509266"/>
    <n v="0"/>
    <n v="0"/>
    <n v="1"/>
    <n v="1"/>
    <s v="Yes"/>
    <x v="0"/>
  </r>
  <r>
    <n v="22272"/>
    <d v="2024-06-24T00:00:00"/>
    <x v="1"/>
    <s v="Patna"/>
    <s v="SC_PAT_5"/>
    <x v="1"/>
    <s v="Panamera"/>
    <s v="Sedan"/>
    <x v="0"/>
    <x v="0"/>
    <x v="1"/>
    <x v="1"/>
    <n v="16"/>
    <n v="7"/>
    <x v="1"/>
    <x v="0"/>
    <n v="227365"/>
    <n v="140119"/>
    <n v="87246"/>
    <x v="1"/>
    <n v="0"/>
    <n v="1"/>
    <n v="1"/>
    <n v="0"/>
    <n v="1"/>
    <s v="Yes"/>
    <x v="0"/>
  </r>
  <r>
    <n v="22273"/>
    <d v="2024-05-05T00:00:00"/>
    <x v="0"/>
    <s v="Chennai"/>
    <s v="SC_CHE_4"/>
    <x v="0"/>
    <s v="911"/>
    <s v="Coupe"/>
    <x v="1"/>
    <x v="4"/>
    <x v="2"/>
    <x v="1"/>
    <n v="13"/>
    <n v="7"/>
    <x v="1"/>
    <x v="0"/>
    <n v="523822"/>
    <n v="439453"/>
    <n v="84369"/>
    <x v="2"/>
    <n v="0"/>
    <n v="1"/>
    <n v="1"/>
    <n v="0"/>
    <n v="1"/>
    <s v="Yes"/>
    <x v="1"/>
  </r>
  <r>
    <n v="22274"/>
    <d v="2024-05-11T00:00:00"/>
    <x v="0"/>
    <s v="Hyderabad"/>
    <s v="SC_HYD_3"/>
    <x v="0"/>
    <s v="Cayenne"/>
    <s v="SUV"/>
    <x v="0"/>
    <x v="4"/>
    <x v="1"/>
    <x v="0"/>
    <n v="6"/>
    <n v="7"/>
    <x v="0"/>
    <x v="1"/>
    <n v="167468"/>
    <n v="125032"/>
    <n v="42436"/>
    <x v="2"/>
    <n v="167468"/>
    <n v="0"/>
    <n v="0"/>
    <n v="1"/>
    <n v="1"/>
    <s v="No"/>
    <x v="1"/>
  </r>
  <r>
    <n v="22275"/>
    <d v="2024-04-28T00:00:00"/>
    <x v="0"/>
    <s v="Bengaluru"/>
    <s v="SC_BEN_5"/>
    <x v="2"/>
    <s v="911"/>
    <s v="Coupe"/>
    <x v="0"/>
    <x v="0"/>
    <x v="1"/>
    <x v="0"/>
    <n v="2"/>
    <n v="7"/>
    <x v="0"/>
    <x v="1"/>
    <n v="97728"/>
    <n v="71313"/>
    <n v="26415"/>
    <x v="3"/>
    <n v="97728"/>
    <n v="0"/>
    <n v="0"/>
    <n v="1"/>
    <n v="1"/>
    <s v="No"/>
    <x v="2"/>
  </r>
  <r>
    <n v="22276"/>
    <d v="2024-04-14T00:00:00"/>
    <x v="0"/>
    <s v="Hyderabad"/>
    <s v="SC_HYD_2"/>
    <x v="1"/>
    <s v="Veyron"/>
    <s v="Hypercar"/>
    <x v="0"/>
    <x v="0"/>
    <x v="1"/>
    <x v="0"/>
    <n v="11"/>
    <n v="7"/>
    <x v="0"/>
    <x v="0"/>
    <n v="329765"/>
    <n v="189635"/>
    <n v="140130"/>
    <x v="1"/>
    <n v="0"/>
    <n v="1"/>
    <n v="0"/>
    <n v="1"/>
    <n v="1"/>
    <s v="Yes"/>
    <x v="0"/>
  </r>
  <r>
    <n v="22277"/>
    <d v="2024-04-23T00:00:00"/>
    <x v="3"/>
    <s v="Pune"/>
    <s v="SC_PUN_3"/>
    <x v="0"/>
    <s v="Chiron"/>
    <s v="Hypercar"/>
    <x v="1"/>
    <x v="1"/>
    <x v="0"/>
    <x v="0"/>
    <n v="22"/>
    <n v="7"/>
    <x v="0"/>
    <x v="1"/>
    <n v="228725"/>
    <n v="132804"/>
    <n v="95921"/>
    <x v="0"/>
    <n v="228725"/>
    <n v="0"/>
    <n v="0"/>
    <n v="1"/>
    <n v="1"/>
    <s v="Yes"/>
    <x v="0"/>
  </r>
  <r>
    <n v="22278"/>
    <d v="2024-02-16T00:00:00"/>
    <x v="2"/>
    <s v="Noida"/>
    <s v="SC_NOI_3"/>
    <x v="2"/>
    <s v="Cayenne"/>
    <s v="SUV"/>
    <x v="0"/>
    <x v="3"/>
    <x v="1"/>
    <x v="0"/>
    <n v="3"/>
    <n v="7"/>
    <x v="0"/>
    <x v="1"/>
    <n v="294024"/>
    <n v="155512"/>
    <n v="138512"/>
    <x v="3"/>
    <n v="294024"/>
    <n v="0"/>
    <n v="0"/>
    <n v="1"/>
    <n v="1"/>
    <s v="No"/>
    <x v="2"/>
  </r>
  <r>
    <n v="22279"/>
    <d v="2024-06-03T00:00:00"/>
    <x v="3"/>
    <s v="Mumbai"/>
    <s v="SC_MUM_3"/>
    <x v="2"/>
    <s v="Panamera"/>
    <s v="Sedan"/>
    <x v="1"/>
    <x v="3"/>
    <x v="0"/>
    <x v="0"/>
    <n v="3"/>
    <n v="7"/>
    <x v="0"/>
    <x v="1"/>
    <n v="539859"/>
    <n v="309501"/>
    <n v="230358"/>
    <x v="3"/>
    <n v="539859"/>
    <n v="0"/>
    <n v="0"/>
    <n v="1"/>
    <n v="1"/>
    <s v="No"/>
    <x v="2"/>
  </r>
  <r>
    <n v="22280"/>
    <d v="2024-04-08T00:00:00"/>
    <x v="3"/>
    <s v="Mumbai"/>
    <s v="SC_MUM_2"/>
    <x v="0"/>
    <s v="Panamera"/>
    <s v="Sedan"/>
    <x v="1"/>
    <x v="2"/>
    <x v="2"/>
    <x v="0"/>
    <n v="20"/>
    <n v="7"/>
    <x v="0"/>
    <x v="0"/>
    <n v="483639"/>
    <n v="271311"/>
    <n v="212328"/>
    <x v="0"/>
    <n v="0"/>
    <n v="1"/>
    <n v="0"/>
    <n v="1"/>
    <n v="1"/>
    <s v="Yes"/>
    <x v="0"/>
  </r>
  <r>
    <n v="22281"/>
    <d v="2024-01-27T00:00:00"/>
    <x v="1"/>
    <s v="Bhubaneswar"/>
    <s v="SC_BHU_2"/>
    <x v="2"/>
    <s v="Chiron"/>
    <s v="Hypercar"/>
    <x v="1"/>
    <x v="3"/>
    <x v="2"/>
    <x v="0"/>
    <n v="5"/>
    <n v="7"/>
    <x v="1"/>
    <x v="0"/>
    <n v="215752"/>
    <n v="134592"/>
    <n v="81160"/>
    <x v="3"/>
    <n v="0"/>
    <n v="1"/>
    <n v="1"/>
    <n v="0"/>
    <n v="1"/>
    <s v="No"/>
    <x v="2"/>
  </r>
  <r>
    <n v="22282"/>
    <d v="2024-04-07T00:00:00"/>
    <x v="2"/>
    <s v="Delhi"/>
    <s v="SC_DEL_3"/>
    <x v="1"/>
    <s v="Panamera"/>
    <s v="Sedan"/>
    <x v="0"/>
    <x v="0"/>
    <x v="0"/>
    <x v="1"/>
    <n v="2"/>
    <n v="7"/>
    <x v="1"/>
    <x v="1"/>
    <n v="362723"/>
    <n v="202633"/>
    <n v="160090"/>
    <x v="4"/>
    <n v="0"/>
    <n v="0"/>
    <n v="1"/>
    <n v="0"/>
    <n v="1"/>
    <s v="No"/>
    <x v="2"/>
  </r>
  <r>
    <n v="22283"/>
    <d v="2024-02-23T00:00:00"/>
    <x v="2"/>
    <s v="Delhi"/>
    <s v="SC_DEL_5"/>
    <x v="1"/>
    <s v="Macan"/>
    <s v="SUV"/>
    <x v="1"/>
    <x v="2"/>
    <x v="1"/>
    <x v="0"/>
    <n v="11"/>
    <n v="7"/>
    <x v="1"/>
    <x v="0"/>
    <n v="522402"/>
    <n v="333826"/>
    <n v="188576"/>
    <x v="2"/>
    <n v="0"/>
    <n v="1"/>
    <n v="1"/>
    <n v="0"/>
    <n v="1"/>
    <s v="Yes"/>
    <x v="1"/>
  </r>
  <r>
    <n v="22284"/>
    <d v="2024-03-08T00:00:00"/>
    <x v="1"/>
    <s v="Kolkata"/>
    <s v="SC_KOL_4"/>
    <x v="1"/>
    <s v="Veyron"/>
    <s v="Hypercar"/>
    <x v="1"/>
    <x v="3"/>
    <x v="1"/>
    <x v="1"/>
    <n v="20"/>
    <n v="7"/>
    <x v="0"/>
    <x v="1"/>
    <n v="169913"/>
    <n v="94707"/>
    <n v="75206"/>
    <x v="0"/>
    <n v="169913"/>
    <n v="0"/>
    <n v="0"/>
    <n v="1"/>
    <n v="1"/>
    <s v="Yes"/>
    <x v="0"/>
  </r>
  <r>
    <n v="22285"/>
    <d v="2024-01-21T00:00:00"/>
    <x v="3"/>
    <s v="Pune"/>
    <s v="SC_PUN_5"/>
    <x v="2"/>
    <s v="Panamera"/>
    <s v="Sedan"/>
    <x v="0"/>
    <x v="1"/>
    <x v="2"/>
    <x v="1"/>
    <n v="13"/>
    <n v="7"/>
    <x v="0"/>
    <x v="1"/>
    <n v="306763"/>
    <n v="258671"/>
    <n v="48092"/>
    <x v="1"/>
    <n v="306763"/>
    <n v="0"/>
    <n v="0"/>
    <n v="1"/>
    <n v="1"/>
    <s v="Yes"/>
    <x v="0"/>
  </r>
  <r>
    <n v="22286"/>
    <d v="2024-01-29T00:00:00"/>
    <x v="3"/>
    <s v="Ahmedabad"/>
    <s v="SC_AHM_5"/>
    <x v="2"/>
    <s v="Panamera"/>
    <s v="Sedan"/>
    <x v="0"/>
    <x v="3"/>
    <x v="1"/>
    <x v="0"/>
    <n v="19"/>
    <n v="7"/>
    <x v="1"/>
    <x v="1"/>
    <n v="428750"/>
    <n v="264176"/>
    <n v="164574"/>
    <x v="1"/>
    <n v="0"/>
    <n v="0"/>
    <n v="1"/>
    <n v="0"/>
    <n v="1"/>
    <s v="Yes"/>
    <x v="0"/>
  </r>
  <r>
    <n v="22287"/>
    <d v="2024-04-06T00:00:00"/>
    <x v="1"/>
    <s v="Bhubaneswar"/>
    <s v="SC_BHU_5"/>
    <x v="2"/>
    <s v="Cayenne"/>
    <s v="SUV"/>
    <x v="1"/>
    <x v="3"/>
    <x v="1"/>
    <x v="1"/>
    <n v="11"/>
    <n v="7"/>
    <x v="0"/>
    <x v="1"/>
    <n v="466149"/>
    <n v="294827"/>
    <n v="171322"/>
    <x v="1"/>
    <n v="466149"/>
    <n v="0"/>
    <n v="0"/>
    <n v="1"/>
    <n v="1"/>
    <s v="Yes"/>
    <x v="0"/>
  </r>
  <r>
    <n v="22288"/>
    <d v="2024-01-09T00:00:00"/>
    <x v="2"/>
    <s v="Delhi"/>
    <s v="SC_DEL_2"/>
    <x v="2"/>
    <s v="Taycan"/>
    <s v="Sedan"/>
    <x v="0"/>
    <x v="3"/>
    <x v="1"/>
    <x v="0"/>
    <n v="8"/>
    <n v="7"/>
    <x v="1"/>
    <x v="0"/>
    <n v="165861"/>
    <n v="107424"/>
    <n v="58437"/>
    <x v="3"/>
    <n v="0"/>
    <n v="1"/>
    <n v="1"/>
    <n v="0"/>
    <n v="1"/>
    <s v="Yes"/>
    <x v="2"/>
  </r>
  <r>
    <n v="22289"/>
    <d v="2024-02-29T00:00:00"/>
    <x v="3"/>
    <s v="Pune"/>
    <s v="SC_PUN_5"/>
    <x v="2"/>
    <s v="Veyron"/>
    <s v="Hypercar"/>
    <x v="1"/>
    <x v="0"/>
    <x v="0"/>
    <x v="1"/>
    <n v="3"/>
    <n v="7"/>
    <x v="1"/>
    <x v="1"/>
    <n v="439512"/>
    <n v="307075"/>
    <n v="132437"/>
    <x v="4"/>
    <n v="0"/>
    <n v="0"/>
    <n v="1"/>
    <n v="0"/>
    <n v="1"/>
    <s v="No"/>
    <x v="2"/>
  </r>
  <r>
    <n v="22290"/>
    <d v="2024-03-08T00:00:00"/>
    <x v="2"/>
    <s v="Gurugram"/>
    <s v="SC_GUR_1"/>
    <x v="2"/>
    <s v="Macan"/>
    <s v="SUV"/>
    <x v="0"/>
    <x v="3"/>
    <x v="2"/>
    <x v="1"/>
    <n v="12"/>
    <n v="7"/>
    <x v="1"/>
    <x v="1"/>
    <n v="164291"/>
    <n v="123628"/>
    <n v="40663"/>
    <x v="2"/>
    <n v="0"/>
    <n v="0"/>
    <n v="1"/>
    <n v="0"/>
    <n v="1"/>
    <s v="Yes"/>
    <x v="1"/>
  </r>
  <r>
    <n v="22291"/>
    <d v="2024-03-14T00:00:00"/>
    <x v="0"/>
    <s v="Chennai"/>
    <s v="SC_CHE_4"/>
    <x v="2"/>
    <s v="Macan"/>
    <s v="SUV"/>
    <x v="0"/>
    <x v="3"/>
    <x v="0"/>
    <x v="0"/>
    <n v="16"/>
    <n v="7"/>
    <x v="0"/>
    <x v="0"/>
    <n v="336255"/>
    <n v="203186"/>
    <n v="133069"/>
    <x v="0"/>
    <n v="0"/>
    <n v="1"/>
    <n v="0"/>
    <n v="1"/>
    <n v="1"/>
    <s v="Yes"/>
    <x v="0"/>
  </r>
  <r>
    <n v="22292"/>
    <d v="2024-03-26T00:00:00"/>
    <x v="1"/>
    <s v="Patna"/>
    <s v="SC_PAT_3"/>
    <x v="0"/>
    <s v="Panamera"/>
    <s v="Sedan"/>
    <x v="1"/>
    <x v="3"/>
    <x v="0"/>
    <x v="0"/>
    <n v="11"/>
    <n v="7"/>
    <x v="0"/>
    <x v="1"/>
    <n v="292831"/>
    <n v="195990"/>
    <n v="96841"/>
    <x v="1"/>
    <n v="292831"/>
    <n v="0"/>
    <n v="0"/>
    <n v="1"/>
    <n v="1"/>
    <s v="Yes"/>
    <x v="0"/>
  </r>
  <r>
    <n v="22293"/>
    <d v="2024-05-10T00:00:00"/>
    <x v="3"/>
    <s v="Ahmedabad"/>
    <s v="SC_AHM_4"/>
    <x v="1"/>
    <s v="Taycan"/>
    <s v="Sedan"/>
    <x v="0"/>
    <x v="0"/>
    <x v="2"/>
    <x v="0"/>
    <n v="7"/>
    <n v="7"/>
    <x v="1"/>
    <x v="0"/>
    <n v="107036"/>
    <n v="55708"/>
    <n v="51328"/>
    <x v="3"/>
    <n v="0"/>
    <n v="1"/>
    <n v="1"/>
    <n v="0"/>
    <n v="1"/>
    <s v="No"/>
    <x v="2"/>
  </r>
  <r>
    <n v="22294"/>
    <d v="2024-06-17T00:00:00"/>
    <x v="1"/>
    <s v="Bhubaneswar"/>
    <s v="SC_BHU_1"/>
    <x v="2"/>
    <s v="Veyron"/>
    <s v="Hypercar"/>
    <x v="1"/>
    <x v="1"/>
    <x v="2"/>
    <x v="0"/>
    <n v="14"/>
    <n v="7"/>
    <x v="1"/>
    <x v="1"/>
    <n v="323943"/>
    <n v="207424"/>
    <n v="116519"/>
    <x v="2"/>
    <n v="0"/>
    <n v="0"/>
    <n v="1"/>
    <n v="0"/>
    <n v="1"/>
    <s v="Yes"/>
    <x v="1"/>
  </r>
  <r>
    <n v="22295"/>
    <d v="2024-03-20T00:00:00"/>
    <x v="2"/>
    <s v="Delhi"/>
    <s v="SC_DEL_5"/>
    <x v="1"/>
    <s v="911"/>
    <s v="Coupe"/>
    <x v="0"/>
    <x v="3"/>
    <x v="1"/>
    <x v="1"/>
    <n v="14"/>
    <n v="7"/>
    <x v="0"/>
    <x v="1"/>
    <n v="539183"/>
    <n v="282121"/>
    <n v="257062"/>
    <x v="1"/>
    <n v="539183"/>
    <n v="0"/>
    <n v="0"/>
    <n v="1"/>
    <n v="1"/>
    <s v="Yes"/>
    <x v="0"/>
  </r>
  <r>
    <n v="22296"/>
    <d v="2024-04-28T00:00:00"/>
    <x v="0"/>
    <s v="Hyderabad"/>
    <s v="SC_HYD_4"/>
    <x v="2"/>
    <s v="911"/>
    <s v="Coupe"/>
    <x v="1"/>
    <x v="0"/>
    <x v="1"/>
    <x v="0"/>
    <n v="13"/>
    <n v="7"/>
    <x v="0"/>
    <x v="1"/>
    <n v="497327"/>
    <n v="416998"/>
    <n v="80329"/>
    <x v="1"/>
    <n v="497327"/>
    <n v="0"/>
    <n v="0"/>
    <n v="1"/>
    <n v="1"/>
    <s v="Yes"/>
    <x v="0"/>
  </r>
  <r>
    <n v="22297"/>
    <d v="2024-01-15T00:00:00"/>
    <x v="0"/>
    <s v="Hyderabad"/>
    <s v="SC_HYD_2"/>
    <x v="2"/>
    <s v="Chiron"/>
    <s v="Hypercar"/>
    <x v="1"/>
    <x v="1"/>
    <x v="1"/>
    <x v="0"/>
    <n v="24"/>
    <n v="7"/>
    <x v="1"/>
    <x v="1"/>
    <n v="241994"/>
    <n v="176177"/>
    <n v="65817"/>
    <x v="0"/>
    <n v="0"/>
    <n v="0"/>
    <n v="1"/>
    <n v="0"/>
    <n v="1"/>
    <s v="Yes"/>
    <x v="0"/>
  </r>
  <r>
    <n v="22298"/>
    <d v="2024-02-28T00:00:00"/>
    <x v="1"/>
    <s v="Kolkata"/>
    <s v="SC_KOL_3"/>
    <x v="2"/>
    <s v="Taycan"/>
    <s v="Sedan"/>
    <x v="1"/>
    <x v="4"/>
    <x v="2"/>
    <x v="1"/>
    <n v="15"/>
    <n v="7"/>
    <x v="0"/>
    <x v="1"/>
    <n v="265573"/>
    <n v="155167"/>
    <n v="110406"/>
    <x v="0"/>
    <n v="265573"/>
    <n v="0"/>
    <n v="0"/>
    <n v="1"/>
    <n v="1"/>
    <s v="Yes"/>
    <x v="0"/>
  </r>
  <r>
    <n v="22299"/>
    <d v="2024-02-02T00:00:00"/>
    <x v="1"/>
    <s v="Kolkata"/>
    <s v="SC_KOL_3"/>
    <x v="1"/>
    <s v="Panamera"/>
    <s v="Sedan"/>
    <x v="1"/>
    <x v="1"/>
    <x v="2"/>
    <x v="1"/>
    <n v="9"/>
    <n v="7"/>
    <x v="0"/>
    <x v="0"/>
    <n v="134065"/>
    <n v="84154"/>
    <n v="49911"/>
    <x v="2"/>
    <n v="0"/>
    <n v="1"/>
    <n v="0"/>
    <n v="1"/>
    <n v="1"/>
    <s v="Yes"/>
    <x v="1"/>
  </r>
  <r>
    <n v="22300"/>
    <d v="2024-03-04T00:00:00"/>
    <x v="3"/>
    <s v="Ahmedabad"/>
    <s v="SC_AHM_5"/>
    <x v="2"/>
    <s v="Macan"/>
    <s v="SUV"/>
    <x v="1"/>
    <x v="1"/>
    <x v="2"/>
    <x v="0"/>
    <n v="7"/>
    <n v="7"/>
    <x v="1"/>
    <x v="1"/>
    <n v="211035"/>
    <n v="154953"/>
    <n v="56082"/>
    <x v="3"/>
    <n v="0"/>
    <n v="0"/>
    <n v="1"/>
    <n v="0"/>
    <n v="1"/>
    <s v="No"/>
    <x v="2"/>
  </r>
  <r>
    <n v="22301"/>
    <d v="2024-04-30T00:00:00"/>
    <x v="2"/>
    <s v="Delhi"/>
    <s v="SC_DEL_3"/>
    <x v="2"/>
    <s v="Chiron"/>
    <s v="Hypercar"/>
    <x v="0"/>
    <x v="2"/>
    <x v="2"/>
    <x v="0"/>
    <n v="18"/>
    <n v="7"/>
    <x v="0"/>
    <x v="0"/>
    <n v="328003"/>
    <n v="266284"/>
    <n v="61719"/>
    <x v="0"/>
    <n v="0"/>
    <n v="1"/>
    <n v="0"/>
    <n v="1"/>
    <n v="1"/>
    <s v="Yes"/>
    <x v="0"/>
  </r>
  <r>
    <n v="22302"/>
    <d v="2024-05-23T00:00:00"/>
    <x v="2"/>
    <s v="Delhi"/>
    <s v="SC_DEL_4"/>
    <x v="2"/>
    <s v="Panamera"/>
    <s v="Sedan"/>
    <x v="0"/>
    <x v="2"/>
    <x v="2"/>
    <x v="1"/>
    <n v="15"/>
    <n v="7"/>
    <x v="0"/>
    <x v="0"/>
    <n v="103032"/>
    <n v="87213"/>
    <n v="15819"/>
    <x v="0"/>
    <n v="0"/>
    <n v="1"/>
    <n v="0"/>
    <n v="1"/>
    <n v="1"/>
    <s v="Yes"/>
    <x v="0"/>
  </r>
  <r>
    <n v="22303"/>
    <d v="2024-06-09T00:00:00"/>
    <x v="2"/>
    <s v="Gurugram"/>
    <s v="SC_GUR_3"/>
    <x v="0"/>
    <s v="Cayenne"/>
    <s v="SUV"/>
    <x v="0"/>
    <x v="3"/>
    <x v="0"/>
    <x v="0"/>
    <n v="20"/>
    <n v="7"/>
    <x v="0"/>
    <x v="0"/>
    <n v="316738"/>
    <n v="238356"/>
    <n v="78382"/>
    <x v="0"/>
    <n v="0"/>
    <n v="1"/>
    <n v="0"/>
    <n v="1"/>
    <n v="1"/>
    <s v="Yes"/>
    <x v="0"/>
  </r>
  <r>
    <n v="22304"/>
    <d v="2024-03-30T00:00:00"/>
    <x v="1"/>
    <s v="Patna"/>
    <s v="SC_PAT_1"/>
    <x v="1"/>
    <s v="Macan"/>
    <s v="SUV"/>
    <x v="1"/>
    <x v="2"/>
    <x v="1"/>
    <x v="1"/>
    <n v="17"/>
    <n v="7"/>
    <x v="0"/>
    <x v="0"/>
    <n v="479576"/>
    <n v="253921"/>
    <n v="225655"/>
    <x v="0"/>
    <n v="0"/>
    <n v="1"/>
    <n v="0"/>
    <n v="1"/>
    <n v="1"/>
    <s v="Yes"/>
    <x v="0"/>
  </r>
  <r>
    <n v="22305"/>
    <d v="2024-06-14T00:00:00"/>
    <x v="0"/>
    <s v="Bengaluru"/>
    <s v="SC_BEN_3"/>
    <x v="1"/>
    <s v="911"/>
    <s v="Coupe"/>
    <x v="1"/>
    <x v="3"/>
    <x v="0"/>
    <x v="1"/>
    <n v="2"/>
    <n v="7"/>
    <x v="1"/>
    <x v="1"/>
    <n v="498454"/>
    <n v="366247"/>
    <n v="132207"/>
    <x v="4"/>
    <n v="0"/>
    <n v="0"/>
    <n v="1"/>
    <n v="0"/>
    <n v="1"/>
    <s v="No"/>
    <x v="2"/>
  </r>
  <r>
    <n v="22306"/>
    <d v="2024-05-29T00:00:00"/>
    <x v="0"/>
    <s v="Bengaluru"/>
    <s v="SC_BEN_2"/>
    <x v="0"/>
    <s v="911"/>
    <s v="Coupe"/>
    <x v="0"/>
    <x v="4"/>
    <x v="1"/>
    <x v="0"/>
    <n v="3"/>
    <n v="7"/>
    <x v="0"/>
    <x v="0"/>
    <n v="282070"/>
    <n v="222588"/>
    <n v="59482"/>
    <x v="3"/>
    <n v="0"/>
    <n v="1"/>
    <n v="0"/>
    <n v="1"/>
    <n v="1"/>
    <s v="No"/>
    <x v="2"/>
  </r>
  <r>
    <n v="22307"/>
    <d v="2024-06-16T00:00:00"/>
    <x v="3"/>
    <s v="Pune"/>
    <s v="SC_PUN_5"/>
    <x v="0"/>
    <s v="Macan"/>
    <s v="SUV"/>
    <x v="1"/>
    <x v="4"/>
    <x v="2"/>
    <x v="0"/>
    <n v="11"/>
    <n v="7"/>
    <x v="0"/>
    <x v="1"/>
    <n v="408426"/>
    <n v="256992"/>
    <n v="151434"/>
    <x v="1"/>
    <n v="408426"/>
    <n v="0"/>
    <n v="0"/>
    <n v="1"/>
    <n v="1"/>
    <s v="Yes"/>
    <x v="0"/>
  </r>
  <r>
    <n v="22308"/>
    <d v="2024-02-23T00:00:00"/>
    <x v="0"/>
    <s v="Chennai"/>
    <s v="SC_CHE_4"/>
    <x v="1"/>
    <s v="Veyron"/>
    <s v="Hypercar"/>
    <x v="1"/>
    <x v="2"/>
    <x v="2"/>
    <x v="1"/>
    <n v="3"/>
    <n v="7"/>
    <x v="0"/>
    <x v="1"/>
    <n v="174009"/>
    <n v="125897"/>
    <n v="48112"/>
    <x v="3"/>
    <n v="174009"/>
    <n v="0"/>
    <n v="0"/>
    <n v="1"/>
    <n v="1"/>
    <s v="No"/>
    <x v="2"/>
  </r>
  <r>
    <n v="22309"/>
    <d v="2024-03-15T00:00:00"/>
    <x v="3"/>
    <s v="Ahmedabad"/>
    <s v="SC_AHM_5"/>
    <x v="0"/>
    <s v="911"/>
    <s v="Coupe"/>
    <x v="0"/>
    <x v="2"/>
    <x v="0"/>
    <x v="0"/>
    <n v="15"/>
    <n v="7"/>
    <x v="0"/>
    <x v="1"/>
    <n v="261106"/>
    <n v="138089"/>
    <n v="123017"/>
    <x v="0"/>
    <n v="261106"/>
    <n v="0"/>
    <n v="0"/>
    <n v="1"/>
    <n v="1"/>
    <s v="Yes"/>
    <x v="0"/>
  </r>
  <r>
    <n v="22310"/>
    <d v="2024-06-20T00:00:00"/>
    <x v="0"/>
    <s v="Bengaluru"/>
    <s v="SC_BEN_4"/>
    <x v="0"/>
    <s v="Chiron"/>
    <s v="Hypercar"/>
    <x v="1"/>
    <x v="4"/>
    <x v="0"/>
    <x v="0"/>
    <n v="14"/>
    <n v="7"/>
    <x v="0"/>
    <x v="1"/>
    <n v="384356"/>
    <n v="238558"/>
    <n v="145798"/>
    <x v="1"/>
    <n v="384356"/>
    <n v="0"/>
    <n v="0"/>
    <n v="1"/>
    <n v="1"/>
    <s v="Yes"/>
    <x v="0"/>
  </r>
  <r>
    <n v="22311"/>
    <d v="2024-05-23T00:00:00"/>
    <x v="1"/>
    <s v="Kolkata"/>
    <s v="SC_KOL_2"/>
    <x v="0"/>
    <s v="Panamera"/>
    <s v="Sedan"/>
    <x v="1"/>
    <x v="2"/>
    <x v="1"/>
    <x v="0"/>
    <n v="15"/>
    <n v="7"/>
    <x v="0"/>
    <x v="1"/>
    <n v="510273"/>
    <n v="414794"/>
    <n v="95479"/>
    <x v="0"/>
    <n v="510273"/>
    <n v="0"/>
    <n v="0"/>
    <n v="1"/>
    <n v="1"/>
    <s v="Yes"/>
    <x v="0"/>
  </r>
  <r>
    <n v="22312"/>
    <d v="2024-01-05T00:00:00"/>
    <x v="1"/>
    <s v="Kolkata"/>
    <s v="SC_KOL_4"/>
    <x v="0"/>
    <s v="Veyron"/>
    <s v="Hypercar"/>
    <x v="0"/>
    <x v="3"/>
    <x v="2"/>
    <x v="0"/>
    <n v="19"/>
    <n v="7"/>
    <x v="1"/>
    <x v="1"/>
    <n v="247182"/>
    <n v="203478"/>
    <n v="43704"/>
    <x v="1"/>
    <n v="0"/>
    <n v="0"/>
    <n v="1"/>
    <n v="0"/>
    <n v="1"/>
    <s v="Yes"/>
    <x v="0"/>
  </r>
  <r>
    <n v="22313"/>
    <d v="2024-02-27T00:00:00"/>
    <x v="0"/>
    <s v="Bengaluru"/>
    <s v="SC_BEN_1"/>
    <x v="1"/>
    <s v="Veyron"/>
    <s v="Hypercar"/>
    <x v="1"/>
    <x v="3"/>
    <x v="0"/>
    <x v="0"/>
    <n v="17"/>
    <n v="7"/>
    <x v="0"/>
    <x v="1"/>
    <n v="598986"/>
    <n v="353865"/>
    <n v="245121"/>
    <x v="0"/>
    <n v="598986"/>
    <n v="0"/>
    <n v="0"/>
    <n v="1"/>
    <n v="1"/>
    <s v="Yes"/>
    <x v="0"/>
  </r>
  <r>
    <n v="22314"/>
    <d v="2024-01-27T00:00:00"/>
    <x v="3"/>
    <s v="Ahmedabad"/>
    <s v="SC_AHM_2"/>
    <x v="2"/>
    <s v="Chiron"/>
    <s v="Hypercar"/>
    <x v="0"/>
    <x v="1"/>
    <x v="0"/>
    <x v="0"/>
    <n v="24"/>
    <n v="7"/>
    <x v="0"/>
    <x v="0"/>
    <n v="208876"/>
    <n v="112809"/>
    <n v="96067"/>
    <x v="0"/>
    <n v="0"/>
    <n v="1"/>
    <n v="0"/>
    <n v="1"/>
    <n v="1"/>
    <s v="Yes"/>
    <x v="0"/>
  </r>
  <r>
    <n v="22315"/>
    <d v="2024-05-25T00:00:00"/>
    <x v="2"/>
    <s v="Gurugram"/>
    <s v="SC_GUR_5"/>
    <x v="0"/>
    <s v="Veyron"/>
    <s v="Hypercar"/>
    <x v="1"/>
    <x v="1"/>
    <x v="1"/>
    <x v="0"/>
    <n v="16"/>
    <n v="7"/>
    <x v="1"/>
    <x v="1"/>
    <n v="219074"/>
    <n v="137684"/>
    <n v="81390"/>
    <x v="1"/>
    <n v="0"/>
    <n v="0"/>
    <n v="1"/>
    <n v="0"/>
    <n v="1"/>
    <s v="Yes"/>
    <x v="0"/>
  </r>
  <r>
    <n v="22316"/>
    <d v="2024-02-26T00:00:00"/>
    <x v="1"/>
    <s v="Bhubaneswar"/>
    <s v="SC_BHU_1"/>
    <x v="0"/>
    <s v="Macan"/>
    <s v="SUV"/>
    <x v="1"/>
    <x v="1"/>
    <x v="2"/>
    <x v="1"/>
    <n v="20"/>
    <n v="7"/>
    <x v="1"/>
    <x v="1"/>
    <n v="161555"/>
    <n v="123522"/>
    <n v="38033"/>
    <x v="0"/>
    <n v="0"/>
    <n v="0"/>
    <n v="1"/>
    <n v="0"/>
    <n v="1"/>
    <s v="Yes"/>
    <x v="0"/>
  </r>
  <r>
    <n v="22317"/>
    <d v="2024-03-02T00:00:00"/>
    <x v="1"/>
    <s v="Kolkata"/>
    <s v="SC_KOL_3"/>
    <x v="0"/>
    <s v="Macan"/>
    <s v="SUV"/>
    <x v="1"/>
    <x v="2"/>
    <x v="2"/>
    <x v="1"/>
    <n v="17"/>
    <n v="7"/>
    <x v="0"/>
    <x v="1"/>
    <n v="228916"/>
    <n v="148737"/>
    <n v="80179"/>
    <x v="0"/>
    <n v="228916"/>
    <n v="0"/>
    <n v="0"/>
    <n v="1"/>
    <n v="1"/>
    <s v="Yes"/>
    <x v="0"/>
  </r>
  <r>
    <n v="22318"/>
    <d v="2024-04-03T00:00:00"/>
    <x v="1"/>
    <s v="Patna"/>
    <s v="SC_PAT_1"/>
    <x v="2"/>
    <s v="Macan"/>
    <s v="SUV"/>
    <x v="1"/>
    <x v="1"/>
    <x v="0"/>
    <x v="0"/>
    <n v="23"/>
    <n v="7"/>
    <x v="0"/>
    <x v="1"/>
    <n v="587165"/>
    <n v="461405"/>
    <n v="125760"/>
    <x v="0"/>
    <n v="587165"/>
    <n v="0"/>
    <n v="0"/>
    <n v="1"/>
    <n v="1"/>
    <s v="Yes"/>
    <x v="0"/>
  </r>
  <r>
    <n v="22319"/>
    <d v="2024-03-07T00:00:00"/>
    <x v="0"/>
    <s v="Chennai"/>
    <s v="SC_CHE_1"/>
    <x v="1"/>
    <s v="Taycan"/>
    <s v="Sedan"/>
    <x v="1"/>
    <x v="2"/>
    <x v="1"/>
    <x v="0"/>
    <n v="13"/>
    <n v="7"/>
    <x v="1"/>
    <x v="1"/>
    <n v="553283"/>
    <n v="295712"/>
    <n v="257571"/>
    <x v="2"/>
    <n v="0"/>
    <n v="0"/>
    <n v="1"/>
    <n v="0"/>
    <n v="1"/>
    <s v="Yes"/>
    <x v="1"/>
  </r>
  <r>
    <n v="22320"/>
    <d v="2024-01-20T00:00:00"/>
    <x v="3"/>
    <s v="Pune"/>
    <s v="SC_PUN_4"/>
    <x v="0"/>
    <s v="Panamera"/>
    <s v="Sedan"/>
    <x v="1"/>
    <x v="0"/>
    <x v="1"/>
    <x v="1"/>
    <n v="3"/>
    <n v="7"/>
    <x v="0"/>
    <x v="1"/>
    <n v="264006"/>
    <n v="199860"/>
    <n v="64146"/>
    <x v="3"/>
    <n v="264006"/>
    <n v="0"/>
    <n v="0"/>
    <n v="1"/>
    <n v="1"/>
    <s v="No"/>
    <x v="2"/>
  </r>
  <r>
    <n v="22321"/>
    <d v="2024-06-11T00:00:00"/>
    <x v="0"/>
    <s v="Chennai"/>
    <s v="SC_CHE_5"/>
    <x v="1"/>
    <s v="911"/>
    <s v="Coupe"/>
    <x v="1"/>
    <x v="3"/>
    <x v="0"/>
    <x v="1"/>
    <n v="11"/>
    <n v="7"/>
    <x v="0"/>
    <x v="0"/>
    <n v="362366"/>
    <n v="292515"/>
    <n v="69851"/>
    <x v="1"/>
    <n v="0"/>
    <n v="1"/>
    <n v="0"/>
    <n v="1"/>
    <n v="1"/>
    <s v="Yes"/>
    <x v="0"/>
  </r>
  <r>
    <n v="22322"/>
    <d v="2024-06-24T00:00:00"/>
    <x v="2"/>
    <s v="Gurugram"/>
    <s v="SC_GUR_5"/>
    <x v="1"/>
    <s v="911"/>
    <s v="Coupe"/>
    <x v="0"/>
    <x v="3"/>
    <x v="0"/>
    <x v="0"/>
    <n v="11"/>
    <n v="7"/>
    <x v="0"/>
    <x v="1"/>
    <n v="414962"/>
    <n v="273685"/>
    <n v="141277"/>
    <x v="1"/>
    <n v="414962"/>
    <n v="0"/>
    <n v="0"/>
    <n v="1"/>
    <n v="1"/>
    <s v="Yes"/>
    <x v="0"/>
  </r>
  <r>
    <n v="22323"/>
    <d v="2024-03-27T00:00:00"/>
    <x v="2"/>
    <s v="Delhi"/>
    <s v="SC_DEL_4"/>
    <x v="2"/>
    <s v="911"/>
    <s v="Coupe"/>
    <x v="0"/>
    <x v="0"/>
    <x v="1"/>
    <x v="0"/>
    <n v="14"/>
    <n v="7"/>
    <x v="1"/>
    <x v="1"/>
    <n v="131117"/>
    <n v="74775"/>
    <n v="56342"/>
    <x v="2"/>
    <n v="0"/>
    <n v="0"/>
    <n v="1"/>
    <n v="0"/>
    <n v="1"/>
    <s v="Yes"/>
    <x v="1"/>
  </r>
  <r>
    <n v="22324"/>
    <d v="2024-05-26T00:00:00"/>
    <x v="0"/>
    <s v="Chennai"/>
    <s v="SC_CHE_1"/>
    <x v="1"/>
    <s v="Cayenne"/>
    <s v="SUV"/>
    <x v="1"/>
    <x v="3"/>
    <x v="0"/>
    <x v="1"/>
    <n v="24"/>
    <n v="7"/>
    <x v="0"/>
    <x v="0"/>
    <n v="466609"/>
    <n v="286360"/>
    <n v="180249"/>
    <x v="0"/>
    <n v="0"/>
    <n v="1"/>
    <n v="0"/>
    <n v="1"/>
    <n v="1"/>
    <s v="Yes"/>
    <x v="0"/>
  </r>
  <r>
    <n v="22325"/>
    <d v="2024-01-20T00:00:00"/>
    <x v="2"/>
    <s v="Delhi"/>
    <s v="SC_DEL_4"/>
    <x v="1"/>
    <s v="Macan"/>
    <s v="SUV"/>
    <x v="0"/>
    <x v="3"/>
    <x v="0"/>
    <x v="0"/>
    <n v="19"/>
    <n v="7"/>
    <x v="0"/>
    <x v="0"/>
    <n v="509921"/>
    <n v="310560"/>
    <n v="199361"/>
    <x v="0"/>
    <n v="0"/>
    <n v="1"/>
    <n v="0"/>
    <n v="1"/>
    <n v="1"/>
    <s v="Yes"/>
    <x v="0"/>
  </r>
  <r>
    <n v="22326"/>
    <d v="2024-05-03T00:00:00"/>
    <x v="3"/>
    <s v="Mumbai"/>
    <s v="SC_MUM_4"/>
    <x v="0"/>
    <s v="Chiron"/>
    <s v="Hypercar"/>
    <x v="0"/>
    <x v="1"/>
    <x v="2"/>
    <x v="0"/>
    <n v="2"/>
    <n v="7"/>
    <x v="1"/>
    <x v="1"/>
    <n v="587895"/>
    <n v="450559"/>
    <n v="137336"/>
    <x v="4"/>
    <n v="0"/>
    <n v="0"/>
    <n v="1"/>
    <n v="0"/>
    <n v="1"/>
    <s v="No"/>
    <x v="2"/>
  </r>
  <r>
    <n v="22327"/>
    <d v="2024-04-19T00:00:00"/>
    <x v="3"/>
    <s v="Mumbai"/>
    <s v="SC_MUM_2"/>
    <x v="1"/>
    <s v="Macan"/>
    <s v="SUV"/>
    <x v="1"/>
    <x v="1"/>
    <x v="2"/>
    <x v="0"/>
    <n v="3"/>
    <n v="7"/>
    <x v="1"/>
    <x v="0"/>
    <n v="577500"/>
    <n v="368793"/>
    <n v="208707"/>
    <x v="4"/>
    <n v="0"/>
    <n v="1"/>
    <n v="1"/>
    <n v="0"/>
    <n v="1"/>
    <s v="No"/>
    <x v="2"/>
  </r>
  <r>
    <n v="22328"/>
    <d v="2024-02-27T00:00:00"/>
    <x v="1"/>
    <s v="Kolkata"/>
    <s v="SC_KOL_5"/>
    <x v="2"/>
    <s v="Macan"/>
    <s v="SUV"/>
    <x v="1"/>
    <x v="1"/>
    <x v="1"/>
    <x v="1"/>
    <n v="8"/>
    <n v="7"/>
    <x v="1"/>
    <x v="1"/>
    <n v="362448"/>
    <n v="254443"/>
    <n v="108005"/>
    <x v="3"/>
    <n v="0"/>
    <n v="0"/>
    <n v="1"/>
    <n v="0"/>
    <n v="1"/>
    <s v="Yes"/>
    <x v="2"/>
  </r>
  <r>
    <n v="22329"/>
    <d v="2024-01-19T00:00:00"/>
    <x v="0"/>
    <s v="Chennai"/>
    <s v="SC_CHE_1"/>
    <x v="2"/>
    <s v="Veyron"/>
    <s v="Hypercar"/>
    <x v="0"/>
    <x v="2"/>
    <x v="1"/>
    <x v="0"/>
    <n v="8"/>
    <n v="7"/>
    <x v="0"/>
    <x v="0"/>
    <n v="289478"/>
    <n v="204632"/>
    <n v="84846"/>
    <x v="2"/>
    <n v="0"/>
    <n v="1"/>
    <n v="0"/>
    <n v="1"/>
    <n v="1"/>
    <s v="Yes"/>
    <x v="1"/>
  </r>
  <r>
    <n v="22330"/>
    <d v="2024-03-12T00:00:00"/>
    <x v="0"/>
    <s v="Chennai"/>
    <s v="SC_CHE_2"/>
    <x v="1"/>
    <s v="Veyron"/>
    <s v="Hypercar"/>
    <x v="0"/>
    <x v="1"/>
    <x v="1"/>
    <x v="0"/>
    <n v="19"/>
    <n v="7"/>
    <x v="0"/>
    <x v="1"/>
    <n v="217678"/>
    <n v="169735"/>
    <n v="47943"/>
    <x v="0"/>
    <n v="217678"/>
    <n v="0"/>
    <n v="0"/>
    <n v="1"/>
    <n v="1"/>
    <s v="Yes"/>
    <x v="0"/>
  </r>
  <r>
    <n v="22331"/>
    <d v="2024-03-23T00:00:00"/>
    <x v="1"/>
    <s v="Bhubaneswar"/>
    <s v="SC_BHU_4"/>
    <x v="1"/>
    <s v="Veyron"/>
    <s v="Hypercar"/>
    <x v="1"/>
    <x v="2"/>
    <x v="1"/>
    <x v="1"/>
    <n v="15"/>
    <n v="7"/>
    <x v="0"/>
    <x v="1"/>
    <n v="342197"/>
    <n v="258332"/>
    <n v="83865"/>
    <x v="0"/>
    <n v="342197"/>
    <n v="0"/>
    <n v="0"/>
    <n v="1"/>
    <n v="1"/>
    <s v="Yes"/>
    <x v="0"/>
  </r>
  <r>
    <n v="22332"/>
    <d v="2024-05-04T00:00:00"/>
    <x v="0"/>
    <s v="Hyderabad"/>
    <s v="SC_HYD_4"/>
    <x v="1"/>
    <s v="Veyron"/>
    <s v="Hypercar"/>
    <x v="1"/>
    <x v="4"/>
    <x v="1"/>
    <x v="1"/>
    <n v="25"/>
    <n v="7"/>
    <x v="0"/>
    <x v="0"/>
    <n v="246492"/>
    <n v="123385"/>
    <n v="123107"/>
    <x v="0"/>
    <n v="0"/>
    <n v="1"/>
    <n v="0"/>
    <n v="1"/>
    <n v="1"/>
    <s v="Yes"/>
    <x v="0"/>
  </r>
  <r>
    <n v="22333"/>
    <d v="2024-04-21T00:00:00"/>
    <x v="0"/>
    <s v="Chennai"/>
    <s v="SC_CHE_5"/>
    <x v="1"/>
    <s v="Veyron"/>
    <s v="Hypercar"/>
    <x v="1"/>
    <x v="0"/>
    <x v="1"/>
    <x v="0"/>
    <n v="4"/>
    <n v="7"/>
    <x v="1"/>
    <x v="1"/>
    <n v="254810"/>
    <n v="194732"/>
    <n v="60078"/>
    <x v="4"/>
    <n v="0"/>
    <n v="0"/>
    <n v="1"/>
    <n v="0"/>
    <n v="1"/>
    <s v="No"/>
    <x v="2"/>
  </r>
  <r>
    <n v="22334"/>
    <d v="2024-01-21T00:00:00"/>
    <x v="1"/>
    <s v="Bhubaneswar"/>
    <s v="SC_BHU_3"/>
    <x v="1"/>
    <s v="Veyron"/>
    <s v="Hypercar"/>
    <x v="1"/>
    <x v="4"/>
    <x v="1"/>
    <x v="1"/>
    <n v="10"/>
    <n v="7"/>
    <x v="0"/>
    <x v="1"/>
    <n v="476725"/>
    <n v="341390"/>
    <n v="135335"/>
    <x v="1"/>
    <n v="476725"/>
    <n v="0"/>
    <n v="0"/>
    <n v="1"/>
    <n v="1"/>
    <s v="Yes"/>
    <x v="0"/>
  </r>
  <r>
    <n v="22335"/>
    <d v="2024-03-03T00:00:00"/>
    <x v="3"/>
    <s v="Pune"/>
    <s v="SC_PUN_1"/>
    <x v="0"/>
    <s v="Panamera"/>
    <s v="Sedan"/>
    <x v="1"/>
    <x v="0"/>
    <x v="2"/>
    <x v="1"/>
    <n v="11"/>
    <n v="7"/>
    <x v="0"/>
    <x v="1"/>
    <n v="257299"/>
    <n v="146657"/>
    <n v="110642"/>
    <x v="1"/>
    <n v="257299"/>
    <n v="0"/>
    <n v="0"/>
    <n v="1"/>
    <n v="1"/>
    <s v="Yes"/>
    <x v="0"/>
  </r>
  <r>
    <n v="22336"/>
    <d v="2024-04-08T00:00:00"/>
    <x v="0"/>
    <s v="Bengaluru"/>
    <s v="SC_BEN_5"/>
    <x v="0"/>
    <s v="Chiron"/>
    <s v="Hypercar"/>
    <x v="1"/>
    <x v="0"/>
    <x v="1"/>
    <x v="0"/>
    <n v="18"/>
    <n v="7"/>
    <x v="0"/>
    <x v="0"/>
    <n v="458315"/>
    <n v="353575"/>
    <n v="104740"/>
    <x v="0"/>
    <n v="0"/>
    <n v="1"/>
    <n v="0"/>
    <n v="1"/>
    <n v="1"/>
    <s v="Yes"/>
    <x v="0"/>
  </r>
  <r>
    <n v="22337"/>
    <d v="2024-06-17T00:00:00"/>
    <x v="1"/>
    <s v="Kolkata"/>
    <s v="SC_KOL_3"/>
    <x v="1"/>
    <s v="Macan"/>
    <s v="SUV"/>
    <x v="1"/>
    <x v="2"/>
    <x v="2"/>
    <x v="1"/>
    <n v="23"/>
    <n v="7"/>
    <x v="1"/>
    <x v="0"/>
    <n v="123210"/>
    <n v="79300"/>
    <n v="43910"/>
    <x v="0"/>
    <n v="0"/>
    <n v="1"/>
    <n v="1"/>
    <n v="0"/>
    <n v="1"/>
    <s v="Yes"/>
    <x v="0"/>
  </r>
  <r>
    <n v="22338"/>
    <d v="2024-01-11T00:00:00"/>
    <x v="0"/>
    <s v="Chennai"/>
    <s v="SC_CHE_2"/>
    <x v="0"/>
    <s v="Taycan"/>
    <s v="Sedan"/>
    <x v="1"/>
    <x v="2"/>
    <x v="1"/>
    <x v="1"/>
    <n v="6"/>
    <n v="7"/>
    <x v="0"/>
    <x v="1"/>
    <n v="508978"/>
    <n v="284888"/>
    <n v="224090"/>
    <x v="2"/>
    <n v="508978"/>
    <n v="0"/>
    <n v="0"/>
    <n v="1"/>
    <n v="1"/>
    <s v="No"/>
    <x v="1"/>
  </r>
  <r>
    <n v="22339"/>
    <d v="2024-04-23T00:00:00"/>
    <x v="0"/>
    <s v="Hyderabad"/>
    <s v="SC_HYD_4"/>
    <x v="1"/>
    <s v="Cayenne"/>
    <s v="SUV"/>
    <x v="1"/>
    <x v="0"/>
    <x v="0"/>
    <x v="1"/>
    <n v="24"/>
    <n v="7"/>
    <x v="0"/>
    <x v="0"/>
    <n v="493101"/>
    <n v="334527"/>
    <n v="158574"/>
    <x v="0"/>
    <n v="0"/>
    <n v="1"/>
    <n v="0"/>
    <n v="1"/>
    <n v="1"/>
    <s v="Yes"/>
    <x v="0"/>
  </r>
  <r>
    <n v="22340"/>
    <d v="2024-05-28T00:00:00"/>
    <x v="2"/>
    <s v="Delhi"/>
    <s v="SC_DEL_5"/>
    <x v="1"/>
    <s v="911"/>
    <s v="Coupe"/>
    <x v="0"/>
    <x v="0"/>
    <x v="0"/>
    <x v="0"/>
    <n v="10"/>
    <n v="7"/>
    <x v="0"/>
    <x v="0"/>
    <n v="333841"/>
    <n v="275472"/>
    <n v="58369"/>
    <x v="1"/>
    <n v="0"/>
    <n v="1"/>
    <n v="0"/>
    <n v="1"/>
    <n v="1"/>
    <s v="Yes"/>
    <x v="0"/>
  </r>
  <r>
    <n v="22341"/>
    <d v="2024-03-02T00:00:00"/>
    <x v="1"/>
    <s v="Kolkata"/>
    <s v="SC_KOL_1"/>
    <x v="2"/>
    <s v="Veyron"/>
    <s v="Hypercar"/>
    <x v="0"/>
    <x v="2"/>
    <x v="2"/>
    <x v="0"/>
    <n v="8"/>
    <n v="7"/>
    <x v="0"/>
    <x v="1"/>
    <n v="315976"/>
    <n v="200949"/>
    <n v="115027"/>
    <x v="2"/>
    <n v="315976"/>
    <n v="0"/>
    <n v="0"/>
    <n v="1"/>
    <n v="1"/>
    <s v="Yes"/>
    <x v="1"/>
  </r>
  <r>
    <n v="22342"/>
    <d v="2024-02-23T00:00:00"/>
    <x v="1"/>
    <s v="Kolkata"/>
    <s v="SC_KOL_1"/>
    <x v="2"/>
    <s v="911"/>
    <s v="Coupe"/>
    <x v="0"/>
    <x v="1"/>
    <x v="2"/>
    <x v="1"/>
    <n v="6"/>
    <n v="7"/>
    <x v="1"/>
    <x v="0"/>
    <n v="117430"/>
    <n v="63636"/>
    <n v="53794"/>
    <x v="3"/>
    <n v="0"/>
    <n v="1"/>
    <n v="1"/>
    <n v="0"/>
    <n v="1"/>
    <s v="No"/>
    <x v="2"/>
  </r>
  <r>
    <n v="22343"/>
    <d v="2024-06-27T00:00:00"/>
    <x v="0"/>
    <s v="Bengaluru"/>
    <s v="SC_BEN_2"/>
    <x v="2"/>
    <s v="911"/>
    <s v="Coupe"/>
    <x v="0"/>
    <x v="3"/>
    <x v="0"/>
    <x v="1"/>
    <n v="19"/>
    <n v="7"/>
    <x v="0"/>
    <x v="0"/>
    <n v="341687"/>
    <n v="244644"/>
    <n v="97043"/>
    <x v="0"/>
    <n v="0"/>
    <n v="1"/>
    <n v="0"/>
    <n v="1"/>
    <n v="1"/>
    <s v="Yes"/>
    <x v="0"/>
  </r>
  <r>
    <n v="22344"/>
    <d v="2024-03-07T00:00:00"/>
    <x v="1"/>
    <s v="Bhubaneswar"/>
    <s v="SC_BHU_5"/>
    <x v="1"/>
    <s v="911"/>
    <s v="Coupe"/>
    <x v="0"/>
    <x v="3"/>
    <x v="1"/>
    <x v="1"/>
    <n v="13"/>
    <n v="7"/>
    <x v="0"/>
    <x v="1"/>
    <n v="378507"/>
    <n v="254110"/>
    <n v="124397"/>
    <x v="1"/>
    <n v="378507"/>
    <n v="0"/>
    <n v="0"/>
    <n v="1"/>
    <n v="1"/>
    <s v="Yes"/>
    <x v="0"/>
  </r>
  <r>
    <n v="22345"/>
    <d v="2024-01-11T00:00:00"/>
    <x v="3"/>
    <s v="Pune"/>
    <s v="SC_PUN_3"/>
    <x v="2"/>
    <s v="911"/>
    <s v="Coupe"/>
    <x v="0"/>
    <x v="3"/>
    <x v="2"/>
    <x v="0"/>
    <n v="8"/>
    <n v="7"/>
    <x v="0"/>
    <x v="1"/>
    <n v="583459"/>
    <n v="391219"/>
    <n v="192240"/>
    <x v="2"/>
    <n v="583459"/>
    <n v="0"/>
    <n v="0"/>
    <n v="1"/>
    <n v="1"/>
    <s v="Yes"/>
    <x v="1"/>
  </r>
  <r>
    <n v="22346"/>
    <d v="2024-04-21T00:00:00"/>
    <x v="3"/>
    <s v="Ahmedabad"/>
    <s v="SC_AHM_5"/>
    <x v="1"/>
    <s v="Veyron"/>
    <s v="Hypercar"/>
    <x v="1"/>
    <x v="2"/>
    <x v="0"/>
    <x v="0"/>
    <n v="12"/>
    <n v="7"/>
    <x v="0"/>
    <x v="1"/>
    <n v="496043"/>
    <n v="285897"/>
    <n v="210146"/>
    <x v="1"/>
    <n v="496043"/>
    <n v="0"/>
    <n v="0"/>
    <n v="1"/>
    <n v="1"/>
    <s v="Yes"/>
    <x v="0"/>
  </r>
  <r>
    <n v="22347"/>
    <d v="2024-02-03T00:00:00"/>
    <x v="1"/>
    <s v="Bhubaneswar"/>
    <s v="SC_BHU_5"/>
    <x v="1"/>
    <s v="Taycan"/>
    <s v="Sedan"/>
    <x v="0"/>
    <x v="2"/>
    <x v="0"/>
    <x v="0"/>
    <n v="11"/>
    <n v="7"/>
    <x v="0"/>
    <x v="1"/>
    <n v="241805"/>
    <n v="200777"/>
    <n v="41028"/>
    <x v="1"/>
    <n v="241805"/>
    <n v="0"/>
    <n v="0"/>
    <n v="1"/>
    <n v="1"/>
    <s v="Yes"/>
    <x v="0"/>
  </r>
  <r>
    <n v="22348"/>
    <d v="2024-03-20T00:00:00"/>
    <x v="1"/>
    <s v="Bhubaneswar"/>
    <s v="SC_BHU_2"/>
    <x v="1"/>
    <s v="Macan"/>
    <s v="SUV"/>
    <x v="1"/>
    <x v="3"/>
    <x v="1"/>
    <x v="0"/>
    <n v="16"/>
    <n v="7"/>
    <x v="0"/>
    <x v="1"/>
    <n v="550443"/>
    <n v="454751"/>
    <n v="95692"/>
    <x v="0"/>
    <n v="550443"/>
    <n v="0"/>
    <n v="0"/>
    <n v="1"/>
    <n v="1"/>
    <s v="Yes"/>
    <x v="0"/>
  </r>
  <r>
    <n v="22349"/>
    <d v="2024-06-03T00:00:00"/>
    <x v="2"/>
    <s v="Gurugram"/>
    <s v="SC_GUR_5"/>
    <x v="2"/>
    <s v="Cayenne"/>
    <s v="SUV"/>
    <x v="0"/>
    <x v="2"/>
    <x v="1"/>
    <x v="0"/>
    <n v="6"/>
    <n v="7"/>
    <x v="0"/>
    <x v="1"/>
    <n v="271187"/>
    <n v="203642"/>
    <n v="67545"/>
    <x v="2"/>
    <n v="271187"/>
    <n v="0"/>
    <n v="0"/>
    <n v="1"/>
    <n v="1"/>
    <s v="No"/>
    <x v="1"/>
  </r>
  <r>
    <n v="22350"/>
    <d v="2024-06-29T00:00:00"/>
    <x v="0"/>
    <s v="Bengaluru"/>
    <s v="SC_BEN_1"/>
    <x v="2"/>
    <s v="Cayenne"/>
    <s v="SUV"/>
    <x v="1"/>
    <x v="1"/>
    <x v="2"/>
    <x v="0"/>
    <n v="20"/>
    <n v="7"/>
    <x v="1"/>
    <x v="1"/>
    <n v="114709"/>
    <n v="77499"/>
    <n v="37210"/>
    <x v="0"/>
    <n v="0"/>
    <n v="0"/>
    <n v="1"/>
    <n v="0"/>
    <n v="1"/>
    <s v="Yes"/>
    <x v="0"/>
  </r>
  <r>
    <n v="22351"/>
    <d v="2024-02-21T00:00:00"/>
    <x v="2"/>
    <s v="Gurugram"/>
    <s v="SC_GUR_2"/>
    <x v="2"/>
    <s v="911"/>
    <s v="Coupe"/>
    <x v="1"/>
    <x v="3"/>
    <x v="0"/>
    <x v="0"/>
    <n v="13"/>
    <n v="7"/>
    <x v="0"/>
    <x v="0"/>
    <n v="464454"/>
    <n v="310416"/>
    <n v="154038"/>
    <x v="1"/>
    <n v="0"/>
    <n v="1"/>
    <n v="0"/>
    <n v="1"/>
    <n v="1"/>
    <s v="Yes"/>
    <x v="0"/>
  </r>
  <r>
    <n v="22352"/>
    <d v="2024-02-16T00:00:00"/>
    <x v="2"/>
    <s v="Noida"/>
    <s v="SC_NOI_1"/>
    <x v="1"/>
    <s v="Taycan"/>
    <s v="Sedan"/>
    <x v="0"/>
    <x v="2"/>
    <x v="2"/>
    <x v="1"/>
    <n v="7"/>
    <n v="7"/>
    <x v="1"/>
    <x v="0"/>
    <n v="492476"/>
    <n v="370571"/>
    <n v="121905"/>
    <x v="3"/>
    <n v="0"/>
    <n v="1"/>
    <n v="1"/>
    <n v="0"/>
    <n v="1"/>
    <s v="No"/>
    <x v="2"/>
  </r>
  <r>
    <n v="22353"/>
    <d v="2024-01-05T00:00:00"/>
    <x v="2"/>
    <s v="Noida"/>
    <s v="SC_NOI_4"/>
    <x v="2"/>
    <s v="Veyron"/>
    <s v="Hypercar"/>
    <x v="0"/>
    <x v="1"/>
    <x v="1"/>
    <x v="0"/>
    <n v="15"/>
    <n v="7"/>
    <x v="0"/>
    <x v="0"/>
    <n v="374866"/>
    <n v="255987"/>
    <n v="118879"/>
    <x v="0"/>
    <n v="0"/>
    <n v="1"/>
    <n v="0"/>
    <n v="1"/>
    <n v="1"/>
    <s v="Yes"/>
    <x v="0"/>
  </r>
  <r>
    <n v="22354"/>
    <d v="2024-02-22T00:00:00"/>
    <x v="2"/>
    <s v="Gurugram"/>
    <s v="SC_GUR_5"/>
    <x v="1"/>
    <s v="Cayenne"/>
    <s v="SUV"/>
    <x v="0"/>
    <x v="2"/>
    <x v="0"/>
    <x v="1"/>
    <n v="3"/>
    <n v="7"/>
    <x v="0"/>
    <x v="0"/>
    <n v="311964"/>
    <n v="184328"/>
    <n v="127636"/>
    <x v="3"/>
    <n v="0"/>
    <n v="1"/>
    <n v="0"/>
    <n v="1"/>
    <n v="1"/>
    <s v="No"/>
    <x v="2"/>
  </r>
  <r>
    <n v="22355"/>
    <d v="2024-05-22T00:00:00"/>
    <x v="1"/>
    <s v="Bhubaneswar"/>
    <s v="SC_BHU_3"/>
    <x v="2"/>
    <s v="Macan"/>
    <s v="SUV"/>
    <x v="0"/>
    <x v="4"/>
    <x v="2"/>
    <x v="1"/>
    <n v="11"/>
    <n v="7"/>
    <x v="1"/>
    <x v="0"/>
    <n v="158589"/>
    <n v="114539"/>
    <n v="44050"/>
    <x v="2"/>
    <n v="0"/>
    <n v="1"/>
    <n v="1"/>
    <n v="0"/>
    <n v="1"/>
    <s v="Yes"/>
    <x v="1"/>
  </r>
  <r>
    <n v="22356"/>
    <d v="2024-02-07T00:00:00"/>
    <x v="1"/>
    <s v="Patna"/>
    <s v="SC_PAT_1"/>
    <x v="2"/>
    <s v="Taycan"/>
    <s v="Sedan"/>
    <x v="1"/>
    <x v="1"/>
    <x v="2"/>
    <x v="0"/>
    <n v="12"/>
    <n v="7"/>
    <x v="0"/>
    <x v="0"/>
    <n v="590506"/>
    <n v="469020"/>
    <n v="121486"/>
    <x v="1"/>
    <n v="0"/>
    <n v="1"/>
    <n v="0"/>
    <n v="1"/>
    <n v="1"/>
    <s v="Yes"/>
    <x v="0"/>
  </r>
  <r>
    <n v="22357"/>
    <d v="2024-04-22T00:00:00"/>
    <x v="2"/>
    <s v="Gurugram"/>
    <s v="SC_GUR_3"/>
    <x v="0"/>
    <s v="Macan"/>
    <s v="SUV"/>
    <x v="0"/>
    <x v="4"/>
    <x v="2"/>
    <x v="1"/>
    <n v="17"/>
    <n v="7"/>
    <x v="0"/>
    <x v="1"/>
    <n v="94768"/>
    <n v="57088"/>
    <n v="37680"/>
    <x v="0"/>
    <n v="94768"/>
    <n v="0"/>
    <n v="0"/>
    <n v="1"/>
    <n v="1"/>
    <s v="Yes"/>
    <x v="0"/>
  </r>
  <r>
    <n v="22358"/>
    <d v="2024-06-25T00:00:00"/>
    <x v="1"/>
    <s v="Patna"/>
    <s v="SC_PAT_5"/>
    <x v="1"/>
    <s v="Panamera"/>
    <s v="Sedan"/>
    <x v="1"/>
    <x v="4"/>
    <x v="0"/>
    <x v="0"/>
    <n v="7"/>
    <n v="7"/>
    <x v="1"/>
    <x v="1"/>
    <n v="518777"/>
    <n v="434035"/>
    <n v="84742"/>
    <x v="3"/>
    <n v="0"/>
    <n v="0"/>
    <n v="1"/>
    <n v="0"/>
    <n v="1"/>
    <s v="No"/>
    <x v="2"/>
  </r>
  <r>
    <n v="22359"/>
    <d v="2024-05-16T00:00:00"/>
    <x v="0"/>
    <s v="Hyderabad"/>
    <s v="SC_HYD_4"/>
    <x v="2"/>
    <s v="Chiron"/>
    <s v="Hypercar"/>
    <x v="0"/>
    <x v="1"/>
    <x v="2"/>
    <x v="1"/>
    <n v="24"/>
    <n v="7"/>
    <x v="0"/>
    <x v="0"/>
    <n v="254146"/>
    <n v="211749"/>
    <n v="42397"/>
    <x v="0"/>
    <n v="0"/>
    <n v="1"/>
    <n v="0"/>
    <n v="1"/>
    <n v="1"/>
    <s v="Yes"/>
    <x v="0"/>
  </r>
  <r>
    <n v="22360"/>
    <d v="2024-02-29T00:00:00"/>
    <x v="3"/>
    <s v="Mumbai"/>
    <s v="SC_MUM_1"/>
    <x v="1"/>
    <s v="Cayenne"/>
    <s v="SUV"/>
    <x v="1"/>
    <x v="1"/>
    <x v="1"/>
    <x v="0"/>
    <n v="14"/>
    <n v="7"/>
    <x v="1"/>
    <x v="1"/>
    <n v="205502"/>
    <n v="127630"/>
    <n v="77872"/>
    <x v="2"/>
    <n v="0"/>
    <n v="0"/>
    <n v="1"/>
    <n v="0"/>
    <n v="1"/>
    <s v="Yes"/>
    <x v="1"/>
  </r>
  <r>
    <n v="22361"/>
    <d v="2024-03-10T00:00:00"/>
    <x v="3"/>
    <s v="Mumbai"/>
    <s v="SC_MUM_4"/>
    <x v="2"/>
    <s v="911"/>
    <s v="Coupe"/>
    <x v="0"/>
    <x v="3"/>
    <x v="1"/>
    <x v="0"/>
    <n v="18"/>
    <n v="7"/>
    <x v="1"/>
    <x v="0"/>
    <n v="253693"/>
    <n v="138881"/>
    <n v="114812"/>
    <x v="1"/>
    <n v="0"/>
    <n v="1"/>
    <n v="1"/>
    <n v="0"/>
    <n v="1"/>
    <s v="Yes"/>
    <x v="0"/>
  </r>
  <r>
    <n v="22362"/>
    <d v="2024-01-15T00:00:00"/>
    <x v="1"/>
    <s v="Bhubaneswar"/>
    <s v="SC_BHU_1"/>
    <x v="1"/>
    <s v="911"/>
    <s v="Coupe"/>
    <x v="0"/>
    <x v="4"/>
    <x v="0"/>
    <x v="0"/>
    <n v="15"/>
    <n v="7"/>
    <x v="0"/>
    <x v="1"/>
    <n v="383772"/>
    <n v="237687"/>
    <n v="146085"/>
    <x v="0"/>
    <n v="383772"/>
    <n v="0"/>
    <n v="0"/>
    <n v="1"/>
    <n v="1"/>
    <s v="Yes"/>
    <x v="0"/>
  </r>
  <r>
    <n v="22363"/>
    <d v="2024-05-03T00:00:00"/>
    <x v="0"/>
    <s v="Bengaluru"/>
    <s v="SC_BEN_3"/>
    <x v="0"/>
    <s v="Veyron"/>
    <s v="Hypercar"/>
    <x v="0"/>
    <x v="2"/>
    <x v="0"/>
    <x v="1"/>
    <n v="22"/>
    <n v="7"/>
    <x v="0"/>
    <x v="1"/>
    <n v="488109"/>
    <n v="361829"/>
    <n v="126280"/>
    <x v="0"/>
    <n v="488109"/>
    <n v="0"/>
    <n v="0"/>
    <n v="1"/>
    <n v="1"/>
    <s v="Yes"/>
    <x v="0"/>
  </r>
  <r>
    <n v="22364"/>
    <d v="2024-01-08T00:00:00"/>
    <x v="3"/>
    <s v="Mumbai"/>
    <s v="SC_MUM_4"/>
    <x v="0"/>
    <s v="911"/>
    <s v="Coupe"/>
    <x v="0"/>
    <x v="1"/>
    <x v="0"/>
    <x v="1"/>
    <n v="15"/>
    <n v="7"/>
    <x v="0"/>
    <x v="1"/>
    <n v="91212"/>
    <n v="46588"/>
    <n v="44624"/>
    <x v="0"/>
    <n v="91212"/>
    <n v="0"/>
    <n v="0"/>
    <n v="1"/>
    <n v="1"/>
    <s v="Yes"/>
    <x v="0"/>
  </r>
  <r>
    <n v="22365"/>
    <d v="2024-03-31T00:00:00"/>
    <x v="3"/>
    <s v="Pune"/>
    <s v="SC_PUN_3"/>
    <x v="1"/>
    <s v="Veyron"/>
    <s v="Hypercar"/>
    <x v="0"/>
    <x v="2"/>
    <x v="2"/>
    <x v="0"/>
    <n v="14"/>
    <n v="7"/>
    <x v="1"/>
    <x v="0"/>
    <n v="379152"/>
    <n v="245908"/>
    <n v="133244"/>
    <x v="2"/>
    <n v="0"/>
    <n v="1"/>
    <n v="1"/>
    <n v="0"/>
    <n v="1"/>
    <s v="Yes"/>
    <x v="1"/>
  </r>
  <r>
    <n v="22366"/>
    <d v="2024-01-09T00:00:00"/>
    <x v="2"/>
    <s v="Gurugram"/>
    <s v="SC_GUR_5"/>
    <x v="0"/>
    <s v="Panamera"/>
    <s v="Sedan"/>
    <x v="1"/>
    <x v="4"/>
    <x v="0"/>
    <x v="1"/>
    <n v="24"/>
    <n v="7"/>
    <x v="0"/>
    <x v="1"/>
    <n v="579687"/>
    <n v="363928"/>
    <n v="215759"/>
    <x v="0"/>
    <n v="579687"/>
    <n v="0"/>
    <n v="0"/>
    <n v="1"/>
    <n v="1"/>
    <s v="Yes"/>
    <x v="0"/>
  </r>
  <r>
    <n v="22367"/>
    <d v="2024-05-26T00:00:00"/>
    <x v="2"/>
    <s v="Delhi"/>
    <s v="SC_DEL_2"/>
    <x v="2"/>
    <s v="Cayenne"/>
    <s v="SUV"/>
    <x v="1"/>
    <x v="4"/>
    <x v="0"/>
    <x v="0"/>
    <n v="24"/>
    <n v="7"/>
    <x v="0"/>
    <x v="0"/>
    <n v="495896"/>
    <n v="391180"/>
    <n v="104716"/>
    <x v="0"/>
    <n v="0"/>
    <n v="1"/>
    <n v="0"/>
    <n v="1"/>
    <n v="1"/>
    <s v="Yes"/>
    <x v="0"/>
  </r>
  <r>
    <n v="22368"/>
    <d v="2024-01-12T00:00:00"/>
    <x v="3"/>
    <s v="Pune"/>
    <s v="SC_PUN_3"/>
    <x v="1"/>
    <s v="Cayenne"/>
    <s v="SUV"/>
    <x v="1"/>
    <x v="0"/>
    <x v="2"/>
    <x v="1"/>
    <n v="16"/>
    <n v="7"/>
    <x v="1"/>
    <x v="1"/>
    <n v="521686"/>
    <n v="423199"/>
    <n v="98487"/>
    <x v="1"/>
    <n v="0"/>
    <n v="0"/>
    <n v="1"/>
    <n v="0"/>
    <n v="1"/>
    <s v="Yes"/>
    <x v="0"/>
  </r>
  <r>
    <n v="22369"/>
    <d v="2024-02-13T00:00:00"/>
    <x v="0"/>
    <s v="Chennai"/>
    <s v="SC_CHE_2"/>
    <x v="0"/>
    <s v="Macan"/>
    <s v="SUV"/>
    <x v="0"/>
    <x v="4"/>
    <x v="2"/>
    <x v="0"/>
    <n v="22"/>
    <n v="7"/>
    <x v="0"/>
    <x v="1"/>
    <n v="282079"/>
    <n v="206593"/>
    <n v="75486"/>
    <x v="0"/>
    <n v="282079"/>
    <n v="0"/>
    <n v="0"/>
    <n v="1"/>
    <n v="1"/>
    <s v="Yes"/>
    <x v="0"/>
  </r>
  <r>
    <n v="22370"/>
    <d v="2024-05-06T00:00:00"/>
    <x v="2"/>
    <s v="Gurugram"/>
    <s v="SC_GUR_1"/>
    <x v="2"/>
    <s v="Panamera"/>
    <s v="Sedan"/>
    <x v="1"/>
    <x v="3"/>
    <x v="1"/>
    <x v="0"/>
    <n v="8"/>
    <n v="7"/>
    <x v="0"/>
    <x v="1"/>
    <n v="306942"/>
    <n v="188002"/>
    <n v="118940"/>
    <x v="2"/>
    <n v="306942"/>
    <n v="0"/>
    <n v="0"/>
    <n v="1"/>
    <n v="1"/>
    <s v="Yes"/>
    <x v="1"/>
  </r>
  <r>
    <n v="22371"/>
    <d v="2024-05-28T00:00:00"/>
    <x v="1"/>
    <s v="Bhubaneswar"/>
    <s v="SC_BHU_3"/>
    <x v="2"/>
    <s v="Taycan"/>
    <s v="Sedan"/>
    <x v="1"/>
    <x v="0"/>
    <x v="2"/>
    <x v="1"/>
    <n v="25"/>
    <n v="7"/>
    <x v="1"/>
    <x v="1"/>
    <n v="207024"/>
    <n v="157594"/>
    <n v="49430"/>
    <x v="0"/>
    <n v="0"/>
    <n v="0"/>
    <n v="1"/>
    <n v="0"/>
    <n v="1"/>
    <s v="Yes"/>
    <x v="0"/>
  </r>
  <r>
    <n v="22372"/>
    <d v="2024-04-26T00:00:00"/>
    <x v="3"/>
    <s v="Mumbai"/>
    <s v="SC_MUM_2"/>
    <x v="1"/>
    <s v="Chiron"/>
    <s v="Hypercar"/>
    <x v="1"/>
    <x v="0"/>
    <x v="1"/>
    <x v="0"/>
    <n v="19"/>
    <n v="7"/>
    <x v="0"/>
    <x v="0"/>
    <n v="471156"/>
    <n v="318389"/>
    <n v="152767"/>
    <x v="0"/>
    <n v="0"/>
    <n v="1"/>
    <n v="0"/>
    <n v="1"/>
    <n v="1"/>
    <s v="Yes"/>
    <x v="0"/>
  </r>
  <r>
    <n v="22373"/>
    <d v="2024-02-08T00:00:00"/>
    <x v="0"/>
    <s v="Hyderabad"/>
    <s v="SC_HYD_4"/>
    <x v="0"/>
    <s v="Veyron"/>
    <s v="Hypercar"/>
    <x v="0"/>
    <x v="2"/>
    <x v="0"/>
    <x v="0"/>
    <n v="3"/>
    <n v="7"/>
    <x v="0"/>
    <x v="1"/>
    <n v="281624"/>
    <n v="151468"/>
    <n v="130156"/>
    <x v="3"/>
    <n v="281624"/>
    <n v="0"/>
    <n v="0"/>
    <n v="1"/>
    <n v="1"/>
    <s v="No"/>
    <x v="2"/>
  </r>
  <r>
    <n v="22374"/>
    <d v="2024-05-21T00:00:00"/>
    <x v="1"/>
    <s v="Kolkata"/>
    <s v="SC_KOL_3"/>
    <x v="0"/>
    <s v="911"/>
    <s v="Coupe"/>
    <x v="1"/>
    <x v="4"/>
    <x v="2"/>
    <x v="1"/>
    <n v="22"/>
    <n v="7"/>
    <x v="0"/>
    <x v="1"/>
    <n v="292110"/>
    <n v="221752"/>
    <n v="70358"/>
    <x v="0"/>
    <n v="292110"/>
    <n v="0"/>
    <n v="0"/>
    <n v="1"/>
    <n v="1"/>
    <s v="Yes"/>
    <x v="0"/>
  </r>
  <r>
    <n v="22375"/>
    <d v="2024-01-09T00:00:00"/>
    <x v="3"/>
    <s v="Pune"/>
    <s v="SC_PUN_4"/>
    <x v="0"/>
    <s v="Macan"/>
    <s v="SUV"/>
    <x v="0"/>
    <x v="4"/>
    <x v="1"/>
    <x v="0"/>
    <n v="2"/>
    <n v="7"/>
    <x v="0"/>
    <x v="1"/>
    <n v="480034"/>
    <n v="376699"/>
    <n v="103335"/>
    <x v="3"/>
    <n v="480034"/>
    <n v="0"/>
    <n v="0"/>
    <n v="1"/>
    <n v="1"/>
    <s v="No"/>
    <x v="2"/>
  </r>
  <r>
    <n v="22376"/>
    <d v="2024-03-10T00:00:00"/>
    <x v="0"/>
    <s v="Chennai"/>
    <s v="SC_CHE_3"/>
    <x v="1"/>
    <s v="Chiron"/>
    <s v="Hypercar"/>
    <x v="0"/>
    <x v="1"/>
    <x v="0"/>
    <x v="0"/>
    <n v="20"/>
    <n v="7"/>
    <x v="0"/>
    <x v="1"/>
    <n v="153787"/>
    <n v="86278"/>
    <n v="67509"/>
    <x v="0"/>
    <n v="153787"/>
    <n v="0"/>
    <n v="0"/>
    <n v="1"/>
    <n v="1"/>
    <s v="Yes"/>
    <x v="0"/>
  </r>
  <r>
    <n v="22377"/>
    <d v="2024-03-07T00:00:00"/>
    <x v="1"/>
    <s v="Bhubaneswar"/>
    <s v="SC_BHU_1"/>
    <x v="0"/>
    <s v="Macan"/>
    <s v="SUV"/>
    <x v="1"/>
    <x v="4"/>
    <x v="0"/>
    <x v="1"/>
    <n v="2"/>
    <n v="7"/>
    <x v="1"/>
    <x v="1"/>
    <n v="401670"/>
    <n v="261880"/>
    <n v="139790"/>
    <x v="4"/>
    <n v="0"/>
    <n v="0"/>
    <n v="1"/>
    <n v="0"/>
    <n v="1"/>
    <s v="No"/>
    <x v="2"/>
  </r>
  <r>
    <n v="22378"/>
    <d v="2024-04-08T00:00:00"/>
    <x v="0"/>
    <s v="Hyderabad"/>
    <s v="SC_HYD_3"/>
    <x v="2"/>
    <s v="Macan"/>
    <s v="SUV"/>
    <x v="1"/>
    <x v="3"/>
    <x v="2"/>
    <x v="0"/>
    <n v="11"/>
    <n v="7"/>
    <x v="1"/>
    <x v="0"/>
    <n v="358679"/>
    <n v="264700"/>
    <n v="93979"/>
    <x v="2"/>
    <n v="0"/>
    <n v="1"/>
    <n v="1"/>
    <n v="0"/>
    <n v="1"/>
    <s v="Yes"/>
    <x v="1"/>
  </r>
  <r>
    <n v="22379"/>
    <d v="2024-05-14T00:00:00"/>
    <x v="0"/>
    <s v="Hyderabad"/>
    <s v="SC_HYD_5"/>
    <x v="0"/>
    <s v="Panamera"/>
    <s v="Sedan"/>
    <x v="1"/>
    <x v="4"/>
    <x v="0"/>
    <x v="1"/>
    <n v="15"/>
    <n v="7"/>
    <x v="0"/>
    <x v="1"/>
    <n v="125652"/>
    <n v="72599"/>
    <n v="53053"/>
    <x v="0"/>
    <n v="125652"/>
    <n v="0"/>
    <n v="0"/>
    <n v="1"/>
    <n v="1"/>
    <s v="Yes"/>
    <x v="0"/>
  </r>
  <r>
    <n v="22380"/>
    <d v="2024-01-10T00:00:00"/>
    <x v="0"/>
    <s v="Bengaluru"/>
    <s v="SC_BEN_3"/>
    <x v="1"/>
    <s v="Veyron"/>
    <s v="Hypercar"/>
    <x v="1"/>
    <x v="3"/>
    <x v="2"/>
    <x v="0"/>
    <n v="9"/>
    <n v="7"/>
    <x v="1"/>
    <x v="1"/>
    <n v="412536"/>
    <n v="299449"/>
    <n v="113087"/>
    <x v="3"/>
    <n v="0"/>
    <n v="0"/>
    <n v="1"/>
    <n v="0"/>
    <n v="1"/>
    <s v="Yes"/>
    <x v="2"/>
  </r>
  <r>
    <n v="22381"/>
    <d v="2024-04-30T00:00:00"/>
    <x v="2"/>
    <s v="Delhi"/>
    <s v="SC_DEL_3"/>
    <x v="0"/>
    <s v="Macan"/>
    <s v="SUV"/>
    <x v="1"/>
    <x v="1"/>
    <x v="1"/>
    <x v="1"/>
    <n v="9"/>
    <n v="7"/>
    <x v="0"/>
    <x v="0"/>
    <n v="417754"/>
    <n v="251548"/>
    <n v="166206"/>
    <x v="2"/>
    <n v="0"/>
    <n v="1"/>
    <n v="0"/>
    <n v="1"/>
    <n v="1"/>
    <s v="Yes"/>
    <x v="1"/>
  </r>
  <r>
    <n v="22382"/>
    <d v="2024-01-28T00:00:00"/>
    <x v="2"/>
    <s v="Delhi"/>
    <s v="SC_DEL_5"/>
    <x v="2"/>
    <s v="Taycan"/>
    <s v="Sedan"/>
    <x v="0"/>
    <x v="1"/>
    <x v="0"/>
    <x v="0"/>
    <n v="18"/>
    <n v="7"/>
    <x v="0"/>
    <x v="1"/>
    <n v="96159"/>
    <n v="68617"/>
    <n v="27542"/>
    <x v="0"/>
    <n v="96159"/>
    <n v="0"/>
    <n v="0"/>
    <n v="1"/>
    <n v="1"/>
    <s v="Yes"/>
    <x v="0"/>
  </r>
  <r>
    <n v="22383"/>
    <d v="2024-05-18T00:00:00"/>
    <x v="0"/>
    <s v="Hyderabad"/>
    <s v="SC_HYD_3"/>
    <x v="1"/>
    <s v="Cayenne"/>
    <s v="SUV"/>
    <x v="1"/>
    <x v="2"/>
    <x v="2"/>
    <x v="0"/>
    <n v="25"/>
    <n v="7"/>
    <x v="1"/>
    <x v="1"/>
    <n v="394464"/>
    <n v="312191"/>
    <n v="82273"/>
    <x v="0"/>
    <n v="0"/>
    <n v="0"/>
    <n v="1"/>
    <n v="0"/>
    <n v="1"/>
    <s v="Yes"/>
    <x v="0"/>
  </r>
  <r>
    <n v="22384"/>
    <d v="2024-06-26T00:00:00"/>
    <x v="2"/>
    <s v="Noida"/>
    <s v="SC_NOI_4"/>
    <x v="2"/>
    <s v="Macan"/>
    <s v="SUV"/>
    <x v="1"/>
    <x v="3"/>
    <x v="2"/>
    <x v="0"/>
    <n v="22"/>
    <n v="7"/>
    <x v="1"/>
    <x v="1"/>
    <n v="339098"/>
    <n v="261815"/>
    <n v="77283"/>
    <x v="0"/>
    <n v="0"/>
    <n v="0"/>
    <n v="1"/>
    <n v="0"/>
    <n v="1"/>
    <s v="Yes"/>
    <x v="0"/>
  </r>
  <r>
    <n v="22385"/>
    <d v="2024-02-14T00:00:00"/>
    <x v="1"/>
    <s v="Bhubaneswar"/>
    <s v="SC_BHU_1"/>
    <x v="2"/>
    <s v="Panamera"/>
    <s v="Sedan"/>
    <x v="1"/>
    <x v="4"/>
    <x v="1"/>
    <x v="1"/>
    <n v="7"/>
    <n v="7"/>
    <x v="1"/>
    <x v="1"/>
    <n v="352964"/>
    <n v="227572"/>
    <n v="125392"/>
    <x v="3"/>
    <n v="0"/>
    <n v="0"/>
    <n v="1"/>
    <n v="0"/>
    <n v="1"/>
    <s v="No"/>
    <x v="2"/>
  </r>
  <r>
    <n v="22386"/>
    <d v="2024-04-21T00:00:00"/>
    <x v="2"/>
    <s v="Delhi"/>
    <s v="SC_DEL_1"/>
    <x v="0"/>
    <s v="Taycan"/>
    <s v="Sedan"/>
    <x v="0"/>
    <x v="1"/>
    <x v="2"/>
    <x v="0"/>
    <n v="4"/>
    <n v="7"/>
    <x v="1"/>
    <x v="0"/>
    <n v="546471"/>
    <n v="296867"/>
    <n v="249604"/>
    <x v="4"/>
    <n v="0"/>
    <n v="1"/>
    <n v="1"/>
    <n v="0"/>
    <n v="1"/>
    <s v="No"/>
    <x v="2"/>
  </r>
  <r>
    <n v="22387"/>
    <d v="2024-05-21T00:00:00"/>
    <x v="3"/>
    <s v="Ahmedabad"/>
    <s v="SC_AHM_1"/>
    <x v="2"/>
    <s v="911"/>
    <s v="Coupe"/>
    <x v="1"/>
    <x v="2"/>
    <x v="2"/>
    <x v="0"/>
    <n v="15"/>
    <n v="7"/>
    <x v="1"/>
    <x v="1"/>
    <n v="441746"/>
    <n v="347800"/>
    <n v="93946"/>
    <x v="1"/>
    <n v="0"/>
    <n v="0"/>
    <n v="1"/>
    <n v="0"/>
    <n v="1"/>
    <s v="Yes"/>
    <x v="0"/>
  </r>
  <r>
    <n v="22388"/>
    <d v="2024-05-14T00:00:00"/>
    <x v="2"/>
    <s v="Delhi"/>
    <s v="SC_DEL_5"/>
    <x v="0"/>
    <s v="Macan"/>
    <s v="SUV"/>
    <x v="0"/>
    <x v="3"/>
    <x v="2"/>
    <x v="0"/>
    <n v="11"/>
    <n v="7"/>
    <x v="0"/>
    <x v="1"/>
    <n v="408035"/>
    <n v="338962"/>
    <n v="69073"/>
    <x v="1"/>
    <n v="408035"/>
    <n v="0"/>
    <n v="0"/>
    <n v="1"/>
    <n v="1"/>
    <s v="Yes"/>
    <x v="0"/>
  </r>
  <r>
    <n v="22389"/>
    <d v="2024-02-11T00:00:00"/>
    <x v="2"/>
    <s v="Gurugram"/>
    <s v="SC_GUR_3"/>
    <x v="2"/>
    <s v="Cayenne"/>
    <s v="SUV"/>
    <x v="1"/>
    <x v="4"/>
    <x v="0"/>
    <x v="1"/>
    <n v="6"/>
    <n v="7"/>
    <x v="0"/>
    <x v="0"/>
    <n v="365685"/>
    <n v="294193"/>
    <n v="71492"/>
    <x v="2"/>
    <n v="0"/>
    <n v="1"/>
    <n v="0"/>
    <n v="1"/>
    <n v="1"/>
    <s v="No"/>
    <x v="1"/>
  </r>
  <r>
    <n v="22390"/>
    <d v="2024-01-02T00:00:00"/>
    <x v="2"/>
    <s v="Gurugram"/>
    <s v="SC_GUR_2"/>
    <x v="0"/>
    <s v="Macan"/>
    <s v="SUV"/>
    <x v="1"/>
    <x v="4"/>
    <x v="1"/>
    <x v="0"/>
    <n v="19"/>
    <n v="7"/>
    <x v="1"/>
    <x v="1"/>
    <n v="511102"/>
    <n v="268347"/>
    <n v="242755"/>
    <x v="1"/>
    <n v="0"/>
    <n v="0"/>
    <n v="1"/>
    <n v="0"/>
    <n v="1"/>
    <s v="Yes"/>
    <x v="0"/>
  </r>
  <r>
    <n v="22391"/>
    <d v="2024-02-06T00:00:00"/>
    <x v="2"/>
    <s v="Gurugram"/>
    <s v="SC_GUR_4"/>
    <x v="2"/>
    <s v="Chiron"/>
    <s v="Hypercar"/>
    <x v="1"/>
    <x v="2"/>
    <x v="2"/>
    <x v="1"/>
    <n v="2"/>
    <n v="7"/>
    <x v="1"/>
    <x v="1"/>
    <n v="230575"/>
    <n v="152450"/>
    <n v="78125"/>
    <x v="4"/>
    <n v="0"/>
    <n v="0"/>
    <n v="1"/>
    <n v="0"/>
    <n v="1"/>
    <s v="No"/>
    <x v="2"/>
  </r>
  <r>
    <n v="22392"/>
    <d v="2024-05-19T00:00:00"/>
    <x v="2"/>
    <s v="Gurugram"/>
    <s v="SC_GUR_3"/>
    <x v="1"/>
    <s v="Macan"/>
    <s v="SUV"/>
    <x v="1"/>
    <x v="0"/>
    <x v="0"/>
    <x v="0"/>
    <n v="5"/>
    <n v="7"/>
    <x v="0"/>
    <x v="0"/>
    <n v="324670"/>
    <n v="263086"/>
    <n v="61584"/>
    <x v="2"/>
    <n v="0"/>
    <n v="1"/>
    <n v="0"/>
    <n v="1"/>
    <n v="1"/>
    <s v="No"/>
    <x v="1"/>
  </r>
  <r>
    <n v="22393"/>
    <d v="2024-03-09T00:00:00"/>
    <x v="3"/>
    <s v="Mumbai"/>
    <s v="SC_MUM_4"/>
    <x v="1"/>
    <s v="Cayenne"/>
    <s v="SUV"/>
    <x v="1"/>
    <x v="3"/>
    <x v="2"/>
    <x v="1"/>
    <n v="2"/>
    <n v="7"/>
    <x v="0"/>
    <x v="1"/>
    <n v="478797"/>
    <n v="317712"/>
    <n v="161085"/>
    <x v="3"/>
    <n v="478797"/>
    <n v="0"/>
    <n v="0"/>
    <n v="1"/>
    <n v="1"/>
    <s v="No"/>
    <x v="2"/>
  </r>
  <r>
    <n v="22394"/>
    <d v="2024-04-07T00:00:00"/>
    <x v="3"/>
    <s v="Ahmedabad"/>
    <s v="SC_AHM_4"/>
    <x v="1"/>
    <s v="Cayenne"/>
    <s v="SUV"/>
    <x v="0"/>
    <x v="3"/>
    <x v="0"/>
    <x v="0"/>
    <n v="7"/>
    <n v="7"/>
    <x v="1"/>
    <x v="1"/>
    <n v="196045"/>
    <n v="155810"/>
    <n v="40235"/>
    <x v="3"/>
    <n v="0"/>
    <n v="0"/>
    <n v="1"/>
    <n v="0"/>
    <n v="1"/>
    <s v="No"/>
    <x v="2"/>
  </r>
  <r>
    <n v="22395"/>
    <d v="2024-05-31T00:00:00"/>
    <x v="3"/>
    <s v="Ahmedabad"/>
    <s v="SC_AHM_1"/>
    <x v="2"/>
    <s v="Cayenne"/>
    <s v="SUV"/>
    <x v="1"/>
    <x v="0"/>
    <x v="1"/>
    <x v="1"/>
    <n v="3"/>
    <n v="7"/>
    <x v="0"/>
    <x v="1"/>
    <n v="536931"/>
    <n v="352443"/>
    <n v="184488"/>
    <x v="3"/>
    <n v="536931"/>
    <n v="0"/>
    <n v="0"/>
    <n v="1"/>
    <n v="1"/>
    <s v="No"/>
    <x v="2"/>
  </r>
  <r>
    <n v="22396"/>
    <d v="2024-05-20T00:00:00"/>
    <x v="1"/>
    <s v="Bhubaneswar"/>
    <s v="SC_BHU_1"/>
    <x v="0"/>
    <s v="Cayenne"/>
    <s v="SUV"/>
    <x v="1"/>
    <x v="3"/>
    <x v="2"/>
    <x v="1"/>
    <n v="20"/>
    <n v="7"/>
    <x v="1"/>
    <x v="1"/>
    <n v="219483"/>
    <n v="183863"/>
    <n v="35620"/>
    <x v="0"/>
    <n v="0"/>
    <n v="0"/>
    <n v="1"/>
    <n v="0"/>
    <n v="1"/>
    <s v="Yes"/>
    <x v="0"/>
  </r>
  <r>
    <n v="22397"/>
    <d v="2024-05-01T00:00:00"/>
    <x v="1"/>
    <s v="Bhubaneswar"/>
    <s v="SC_BHU_5"/>
    <x v="1"/>
    <s v="Taycan"/>
    <s v="Sedan"/>
    <x v="0"/>
    <x v="2"/>
    <x v="2"/>
    <x v="1"/>
    <n v="8"/>
    <n v="7"/>
    <x v="0"/>
    <x v="0"/>
    <n v="163473"/>
    <n v="112742"/>
    <n v="50731"/>
    <x v="2"/>
    <n v="0"/>
    <n v="1"/>
    <n v="0"/>
    <n v="1"/>
    <n v="1"/>
    <s v="Yes"/>
    <x v="1"/>
  </r>
  <r>
    <n v="22398"/>
    <d v="2024-05-31T00:00:00"/>
    <x v="1"/>
    <s v="Bhubaneswar"/>
    <s v="SC_BHU_1"/>
    <x v="1"/>
    <s v="Chiron"/>
    <s v="Hypercar"/>
    <x v="1"/>
    <x v="3"/>
    <x v="2"/>
    <x v="1"/>
    <n v="22"/>
    <n v="7"/>
    <x v="0"/>
    <x v="1"/>
    <n v="483900"/>
    <n v="249045"/>
    <n v="234855"/>
    <x v="0"/>
    <n v="483900"/>
    <n v="0"/>
    <n v="0"/>
    <n v="1"/>
    <n v="1"/>
    <s v="Yes"/>
    <x v="0"/>
  </r>
  <r>
    <n v="22399"/>
    <d v="2024-04-04T00:00:00"/>
    <x v="1"/>
    <s v="Bhubaneswar"/>
    <s v="SC_BHU_1"/>
    <x v="2"/>
    <s v="Chiron"/>
    <s v="Hypercar"/>
    <x v="0"/>
    <x v="4"/>
    <x v="2"/>
    <x v="1"/>
    <n v="13"/>
    <n v="7"/>
    <x v="0"/>
    <x v="1"/>
    <n v="589051"/>
    <n v="302429"/>
    <n v="286622"/>
    <x v="1"/>
    <n v="589051"/>
    <n v="0"/>
    <n v="0"/>
    <n v="1"/>
    <n v="1"/>
    <s v="Yes"/>
    <x v="0"/>
  </r>
  <r>
    <n v="22400"/>
    <d v="2024-03-27T00:00:00"/>
    <x v="0"/>
    <s v="Hyderabad"/>
    <s v="SC_HYD_2"/>
    <x v="1"/>
    <s v="Chiron"/>
    <s v="Hypercar"/>
    <x v="1"/>
    <x v="4"/>
    <x v="2"/>
    <x v="0"/>
    <n v="22"/>
    <n v="7"/>
    <x v="1"/>
    <x v="1"/>
    <n v="114187"/>
    <n v="90394"/>
    <n v="23793"/>
    <x v="0"/>
    <n v="0"/>
    <n v="0"/>
    <n v="1"/>
    <n v="0"/>
    <n v="1"/>
    <s v="Yes"/>
    <x v="0"/>
  </r>
  <r>
    <n v="22401"/>
    <d v="2024-05-20T00:00:00"/>
    <x v="2"/>
    <s v="Gurugram"/>
    <s v="SC_GUR_3"/>
    <x v="1"/>
    <s v="911"/>
    <s v="Coupe"/>
    <x v="0"/>
    <x v="3"/>
    <x v="0"/>
    <x v="1"/>
    <n v="17"/>
    <n v="7"/>
    <x v="0"/>
    <x v="0"/>
    <n v="157304"/>
    <n v="119557"/>
    <n v="37747"/>
    <x v="0"/>
    <n v="0"/>
    <n v="1"/>
    <n v="0"/>
    <n v="1"/>
    <n v="1"/>
    <s v="Yes"/>
    <x v="0"/>
  </r>
  <r>
    <n v="22402"/>
    <d v="2024-05-20T00:00:00"/>
    <x v="1"/>
    <s v="Kolkata"/>
    <s v="SC_KOL_3"/>
    <x v="2"/>
    <s v="Panamera"/>
    <s v="Sedan"/>
    <x v="1"/>
    <x v="1"/>
    <x v="1"/>
    <x v="0"/>
    <n v="7"/>
    <n v="7"/>
    <x v="1"/>
    <x v="1"/>
    <n v="246360"/>
    <n v="170175"/>
    <n v="76185"/>
    <x v="3"/>
    <n v="0"/>
    <n v="0"/>
    <n v="1"/>
    <n v="0"/>
    <n v="1"/>
    <s v="No"/>
    <x v="2"/>
  </r>
  <r>
    <n v="22403"/>
    <d v="2024-06-01T00:00:00"/>
    <x v="3"/>
    <s v="Ahmedabad"/>
    <s v="SC_AHM_5"/>
    <x v="2"/>
    <s v="Chiron"/>
    <s v="Hypercar"/>
    <x v="0"/>
    <x v="3"/>
    <x v="2"/>
    <x v="0"/>
    <n v="19"/>
    <n v="7"/>
    <x v="0"/>
    <x v="1"/>
    <n v="404377"/>
    <n v="299414"/>
    <n v="104963"/>
    <x v="0"/>
    <n v="404377"/>
    <n v="0"/>
    <n v="0"/>
    <n v="1"/>
    <n v="1"/>
    <s v="Yes"/>
    <x v="0"/>
  </r>
  <r>
    <n v="22404"/>
    <d v="2024-04-23T00:00:00"/>
    <x v="1"/>
    <s v="Patna"/>
    <s v="SC_PAT_1"/>
    <x v="1"/>
    <s v="Veyron"/>
    <s v="Hypercar"/>
    <x v="0"/>
    <x v="0"/>
    <x v="1"/>
    <x v="1"/>
    <n v="14"/>
    <n v="7"/>
    <x v="0"/>
    <x v="1"/>
    <n v="444307"/>
    <n v="223380"/>
    <n v="220927"/>
    <x v="1"/>
    <n v="444307"/>
    <n v="0"/>
    <n v="0"/>
    <n v="1"/>
    <n v="1"/>
    <s v="Yes"/>
    <x v="0"/>
  </r>
  <r>
    <n v="22405"/>
    <d v="2024-02-18T00:00:00"/>
    <x v="0"/>
    <s v="Bengaluru"/>
    <s v="SC_BEN_4"/>
    <x v="1"/>
    <s v="Cayenne"/>
    <s v="SUV"/>
    <x v="0"/>
    <x v="3"/>
    <x v="0"/>
    <x v="0"/>
    <n v="11"/>
    <n v="7"/>
    <x v="0"/>
    <x v="0"/>
    <n v="268469"/>
    <n v="220682"/>
    <n v="47787"/>
    <x v="1"/>
    <n v="0"/>
    <n v="1"/>
    <n v="0"/>
    <n v="1"/>
    <n v="1"/>
    <s v="Yes"/>
    <x v="0"/>
  </r>
  <r>
    <n v="22406"/>
    <d v="2024-01-16T00:00:00"/>
    <x v="0"/>
    <s v="Hyderabad"/>
    <s v="SC_HYD_4"/>
    <x v="2"/>
    <s v="Macan"/>
    <s v="SUV"/>
    <x v="0"/>
    <x v="2"/>
    <x v="0"/>
    <x v="0"/>
    <n v="22"/>
    <n v="7"/>
    <x v="0"/>
    <x v="0"/>
    <n v="368624"/>
    <n v="291057"/>
    <n v="77567"/>
    <x v="0"/>
    <n v="0"/>
    <n v="1"/>
    <n v="0"/>
    <n v="1"/>
    <n v="1"/>
    <s v="Yes"/>
    <x v="0"/>
  </r>
  <r>
    <n v="22407"/>
    <d v="2024-05-26T00:00:00"/>
    <x v="1"/>
    <s v="Kolkata"/>
    <s v="SC_KOL_4"/>
    <x v="0"/>
    <s v="Cayenne"/>
    <s v="SUV"/>
    <x v="1"/>
    <x v="3"/>
    <x v="0"/>
    <x v="1"/>
    <n v="20"/>
    <n v="7"/>
    <x v="0"/>
    <x v="1"/>
    <n v="405102"/>
    <n v="291987"/>
    <n v="113115"/>
    <x v="0"/>
    <n v="405102"/>
    <n v="0"/>
    <n v="0"/>
    <n v="1"/>
    <n v="1"/>
    <s v="Yes"/>
    <x v="0"/>
  </r>
  <r>
    <n v="22408"/>
    <d v="2024-05-01T00:00:00"/>
    <x v="2"/>
    <s v="Gurugram"/>
    <s v="SC_GUR_4"/>
    <x v="1"/>
    <s v="Cayenne"/>
    <s v="SUV"/>
    <x v="0"/>
    <x v="3"/>
    <x v="1"/>
    <x v="0"/>
    <n v="18"/>
    <n v="7"/>
    <x v="0"/>
    <x v="1"/>
    <n v="391512"/>
    <n v="332128"/>
    <n v="59384"/>
    <x v="0"/>
    <n v="391512"/>
    <n v="0"/>
    <n v="0"/>
    <n v="1"/>
    <n v="1"/>
    <s v="Yes"/>
    <x v="0"/>
  </r>
  <r>
    <n v="22409"/>
    <d v="2024-03-05T00:00:00"/>
    <x v="3"/>
    <s v="Mumbai"/>
    <s v="SC_MUM_2"/>
    <x v="2"/>
    <s v="Panamera"/>
    <s v="Sedan"/>
    <x v="0"/>
    <x v="4"/>
    <x v="2"/>
    <x v="1"/>
    <n v="13"/>
    <n v="7"/>
    <x v="1"/>
    <x v="1"/>
    <n v="222071"/>
    <n v="123218"/>
    <n v="98853"/>
    <x v="2"/>
    <n v="0"/>
    <n v="0"/>
    <n v="1"/>
    <n v="0"/>
    <n v="1"/>
    <s v="Yes"/>
    <x v="1"/>
  </r>
  <r>
    <n v="22410"/>
    <d v="2024-05-24T00:00:00"/>
    <x v="3"/>
    <s v="Pune"/>
    <s v="SC_PUN_2"/>
    <x v="1"/>
    <s v="Veyron"/>
    <s v="Hypercar"/>
    <x v="0"/>
    <x v="3"/>
    <x v="0"/>
    <x v="1"/>
    <n v="19"/>
    <n v="7"/>
    <x v="0"/>
    <x v="0"/>
    <n v="349507"/>
    <n v="293637"/>
    <n v="55870"/>
    <x v="0"/>
    <n v="0"/>
    <n v="1"/>
    <n v="0"/>
    <n v="1"/>
    <n v="1"/>
    <s v="Yes"/>
    <x v="0"/>
  </r>
  <r>
    <n v="22411"/>
    <d v="2024-05-07T00:00:00"/>
    <x v="0"/>
    <s v="Chennai"/>
    <s v="SC_CHE_5"/>
    <x v="0"/>
    <s v="911"/>
    <s v="Coupe"/>
    <x v="0"/>
    <x v="4"/>
    <x v="1"/>
    <x v="0"/>
    <n v="22"/>
    <n v="7"/>
    <x v="0"/>
    <x v="0"/>
    <n v="119140"/>
    <n v="81737"/>
    <n v="37403"/>
    <x v="0"/>
    <n v="0"/>
    <n v="1"/>
    <n v="0"/>
    <n v="1"/>
    <n v="1"/>
    <s v="Yes"/>
    <x v="0"/>
  </r>
  <r>
    <n v="22412"/>
    <d v="2024-04-11T00:00:00"/>
    <x v="1"/>
    <s v="Kolkata"/>
    <s v="SC_KOL_2"/>
    <x v="2"/>
    <s v="Macan"/>
    <s v="SUV"/>
    <x v="1"/>
    <x v="3"/>
    <x v="2"/>
    <x v="0"/>
    <n v="16"/>
    <n v="7"/>
    <x v="1"/>
    <x v="1"/>
    <n v="418402"/>
    <n v="229558"/>
    <n v="188844"/>
    <x v="1"/>
    <n v="0"/>
    <n v="0"/>
    <n v="1"/>
    <n v="0"/>
    <n v="1"/>
    <s v="Yes"/>
    <x v="0"/>
  </r>
  <r>
    <n v="22413"/>
    <d v="2024-03-30T00:00:00"/>
    <x v="2"/>
    <s v="Delhi"/>
    <s v="SC_DEL_2"/>
    <x v="0"/>
    <s v="Taycan"/>
    <s v="Sedan"/>
    <x v="0"/>
    <x v="0"/>
    <x v="2"/>
    <x v="0"/>
    <n v="4"/>
    <n v="7"/>
    <x v="1"/>
    <x v="1"/>
    <n v="139519"/>
    <n v="81278"/>
    <n v="58241"/>
    <x v="4"/>
    <n v="0"/>
    <n v="0"/>
    <n v="1"/>
    <n v="0"/>
    <n v="1"/>
    <s v="No"/>
    <x v="2"/>
  </r>
  <r>
    <n v="22414"/>
    <d v="2024-05-27T00:00:00"/>
    <x v="0"/>
    <s v="Hyderabad"/>
    <s v="SC_HYD_1"/>
    <x v="1"/>
    <s v="Cayenne"/>
    <s v="SUV"/>
    <x v="1"/>
    <x v="3"/>
    <x v="2"/>
    <x v="1"/>
    <n v="14"/>
    <n v="7"/>
    <x v="0"/>
    <x v="0"/>
    <n v="222404"/>
    <n v="155975"/>
    <n v="66429"/>
    <x v="1"/>
    <n v="0"/>
    <n v="1"/>
    <n v="0"/>
    <n v="1"/>
    <n v="1"/>
    <s v="Yes"/>
    <x v="0"/>
  </r>
  <r>
    <n v="22415"/>
    <d v="2024-03-28T00:00:00"/>
    <x v="3"/>
    <s v="Ahmedabad"/>
    <s v="SC_AHM_1"/>
    <x v="2"/>
    <s v="Taycan"/>
    <s v="Sedan"/>
    <x v="1"/>
    <x v="1"/>
    <x v="2"/>
    <x v="1"/>
    <n v="2"/>
    <n v="7"/>
    <x v="0"/>
    <x v="1"/>
    <n v="356849"/>
    <n v="181478"/>
    <n v="175371"/>
    <x v="3"/>
    <n v="356849"/>
    <n v="0"/>
    <n v="0"/>
    <n v="1"/>
    <n v="1"/>
    <s v="No"/>
    <x v="2"/>
  </r>
  <r>
    <n v="22416"/>
    <d v="2024-04-16T00:00:00"/>
    <x v="0"/>
    <s v="Hyderabad"/>
    <s v="SC_HYD_2"/>
    <x v="2"/>
    <s v="Chiron"/>
    <s v="Hypercar"/>
    <x v="0"/>
    <x v="1"/>
    <x v="2"/>
    <x v="1"/>
    <n v="19"/>
    <n v="7"/>
    <x v="0"/>
    <x v="1"/>
    <n v="441035"/>
    <n v="339342"/>
    <n v="101693"/>
    <x v="0"/>
    <n v="441035"/>
    <n v="0"/>
    <n v="0"/>
    <n v="1"/>
    <n v="1"/>
    <s v="Yes"/>
    <x v="0"/>
  </r>
  <r>
    <n v="22417"/>
    <d v="2024-04-14T00:00:00"/>
    <x v="1"/>
    <s v="Bhubaneswar"/>
    <s v="SC_BHU_5"/>
    <x v="0"/>
    <s v="Veyron"/>
    <s v="Hypercar"/>
    <x v="1"/>
    <x v="3"/>
    <x v="2"/>
    <x v="0"/>
    <n v="22"/>
    <n v="7"/>
    <x v="1"/>
    <x v="1"/>
    <n v="177606"/>
    <n v="121226"/>
    <n v="56380"/>
    <x v="0"/>
    <n v="0"/>
    <n v="0"/>
    <n v="1"/>
    <n v="0"/>
    <n v="1"/>
    <s v="Yes"/>
    <x v="0"/>
  </r>
  <r>
    <n v="22418"/>
    <d v="2024-05-26T00:00:00"/>
    <x v="2"/>
    <s v="Noida"/>
    <s v="SC_NOI_2"/>
    <x v="1"/>
    <s v="Chiron"/>
    <s v="Hypercar"/>
    <x v="1"/>
    <x v="0"/>
    <x v="2"/>
    <x v="0"/>
    <n v="7"/>
    <n v="7"/>
    <x v="1"/>
    <x v="0"/>
    <n v="130793"/>
    <n v="100356"/>
    <n v="30437"/>
    <x v="3"/>
    <n v="0"/>
    <n v="1"/>
    <n v="1"/>
    <n v="0"/>
    <n v="1"/>
    <s v="No"/>
    <x v="2"/>
  </r>
  <r>
    <n v="22419"/>
    <d v="2024-05-13T00:00:00"/>
    <x v="2"/>
    <s v="Noida"/>
    <s v="SC_NOI_3"/>
    <x v="1"/>
    <s v="Chiron"/>
    <s v="Hypercar"/>
    <x v="1"/>
    <x v="4"/>
    <x v="2"/>
    <x v="0"/>
    <n v="10"/>
    <n v="7"/>
    <x v="0"/>
    <x v="1"/>
    <n v="529961"/>
    <n v="371766"/>
    <n v="158195"/>
    <x v="1"/>
    <n v="529961"/>
    <n v="0"/>
    <n v="0"/>
    <n v="1"/>
    <n v="1"/>
    <s v="Yes"/>
    <x v="0"/>
  </r>
  <r>
    <n v="22420"/>
    <d v="2024-06-18T00:00:00"/>
    <x v="3"/>
    <s v="Ahmedabad"/>
    <s v="SC_AHM_1"/>
    <x v="0"/>
    <s v="Veyron"/>
    <s v="Hypercar"/>
    <x v="0"/>
    <x v="2"/>
    <x v="0"/>
    <x v="1"/>
    <n v="2"/>
    <n v="7"/>
    <x v="1"/>
    <x v="1"/>
    <n v="143241"/>
    <n v="112893"/>
    <n v="30348"/>
    <x v="4"/>
    <n v="0"/>
    <n v="0"/>
    <n v="1"/>
    <n v="0"/>
    <n v="1"/>
    <s v="No"/>
    <x v="2"/>
  </r>
  <r>
    <n v="22421"/>
    <d v="2024-05-13T00:00:00"/>
    <x v="2"/>
    <s v="Noida"/>
    <s v="SC_NOI_3"/>
    <x v="0"/>
    <s v="Panamera"/>
    <s v="Sedan"/>
    <x v="0"/>
    <x v="0"/>
    <x v="2"/>
    <x v="1"/>
    <n v="4"/>
    <n v="7"/>
    <x v="0"/>
    <x v="1"/>
    <n v="300239"/>
    <n v="184031"/>
    <n v="116208"/>
    <x v="3"/>
    <n v="300239"/>
    <n v="0"/>
    <n v="0"/>
    <n v="1"/>
    <n v="1"/>
    <s v="No"/>
    <x v="2"/>
  </r>
  <r>
    <n v="22422"/>
    <d v="2024-03-17T00:00:00"/>
    <x v="0"/>
    <s v="Bengaluru"/>
    <s v="SC_BEN_2"/>
    <x v="1"/>
    <s v="Cayenne"/>
    <s v="SUV"/>
    <x v="1"/>
    <x v="4"/>
    <x v="0"/>
    <x v="1"/>
    <n v="16"/>
    <n v="7"/>
    <x v="0"/>
    <x v="1"/>
    <n v="99456"/>
    <n v="76562"/>
    <n v="22894"/>
    <x v="0"/>
    <n v="99456"/>
    <n v="0"/>
    <n v="0"/>
    <n v="1"/>
    <n v="1"/>
    <s v="Yes"/>
    <x v="0"/>
  </r>
  <r>
    <n v="22423"/>
    <d v="2024-04-22T00:00:00"/>
    <x v="2"/>
    <s v="Gurugram"/>
    <s v="SC_GUR_4"/>
    <x v="2"/>
    <s v="Cayenne"/>
    <s v="SUV"/>
    <x v="1"/>
    <x v="2"/>
    <x v="1"/>
    <x v="1"/>
    <n v="3"/>
    <n v="7"/>
    <x v="1"/>
    <x v="1"/>
    <n v="367276"/>
    <n v="266850"/>
    <n v="100426"/>
    <x v="4"/>
    <n v="0"/>
    <n v="0"/>
    <n v="1"/>
    <n v="0"/>
    <n v="1"/>
    <s v="No"/>
    <x v="2"/>
  </r>
  <r>
    <n v="22424"/>
    <d v="2024-03-02T00:00:00"/>
    <x v="1"/>
    <s v="Patna"/>
    <s v="SC_PAT_3"/>
    <x v="1"/>
    <s v="Macan"/>
    <s v="SUV"/>
    <x v="0"/>
    <x v="2"/>
    <x v="0"/>
    <x v="0"/>
    <n v="21"/>
    <n v="7"/>
    <x v="0"/>
    <x v="1"/>
    <n v="146502"/>
    <n v="94762"/>
    <n v="51740"/>
    <x v="0"/>
    <n v="146502"/>
    <n v="0"/>
    <n v="0"/>
    <n v="1"/>
    <n v="1"/>
    <s v="Yes"/>
    <x v="0"/>
  </r>
  <r>
    <n v="22425"/>
    <d v="2024-01-04T00:00:00"/>
    <x v="1"/>
    <s v="Patna"/>
    <s v="SC_PAT_5"/>
    <x v="2"/>
    <s v="Chiron"/>
    <s v="Hypercar"/>
    <x v="0"/>
    <x v="0"/>
    <x v="1"/>
    <x v="1"/>
    <n v="12"/>
    <n v="7"/>
    <x v="1"/>
    <x v="1"/>
    <n v="539364"/>
    <n v="313553"/>
    <n v="225811"/>
    <x v="2"/>
    <n v="0"/>
    <n v="0"/>
    <n v="1"/>
    <n v="0"/>
    <n v="1"/>
    <s v="Yes"/>
    <x v="1"/>
  </r>
  <r>
    <n v="22426"/>
    <d v="2024-01-11T00:00:00"/>
    <x v="2"/>
    <s v="Noida"/>
    <s v="SC_NOI_1"/>
    <x v="2"/>
    <s v="Taycan"/>
    <s v="Sedan"/>
    <x v="0"/>
    <x v="4"/>
    <x v="2"/>
    <x v="1"/>
    <n v="8"/>
    <n v="7"/>
    <x v="1"/>
    <x v="0"/>
    <n v="272835"/>
    <n v="181439"/>
    <n v="91396"/>
    <x v="3"/>
    <n v="0"/>
    <n v="1"/>
    <n v="1"/>
    <n v="0"/>
    <n v="1"/>
    <s v="Yes"/>
    <x v="2"/>
  </r>
  <r>
    <n v="22427"/>
    <d v="2024-03-24T00:00:00"/>
    <x v="0"/>
    <s v="Chennai"/>
    <s v="SC_CHE_5"/>
    <x v="1"/>
    <s v="Taycan"/>
    <s v="Sedan"/>
    <x v="1"/>
    <x v="2"/>
    <x v="2"/>
    <x v="0"/>
    <n v="21"/>
    <n v="7"/>
    <x v="0"/>
    <x v="1"/>
    <n v="406758"/>
    <n v="208908"/>
    <n v="197850"/>
    <x v="0"/>
    <n v="406758"/>
    <n v="0"/>
    <n v="0"/>
    <n v="1"/>
    <n v="1"/>
    <s v="Yes"/>
    <x v="0"/>
  </r>
  <r>
    <n v="22428"/>
    <d v="2024-02-11T00:00:00"/>
    <x v="3"/>
    <s v="Pune"/>
    <s v="SC_PUN_1"/>
    <x v="2"/>
    <s v="Veyron"/>
    <s v="Hypercar"/>
    <x v="0"/>
    <x v="3"/>
    <x v="1"/>
    <x v="0"/>
    <n v="21"/>
    <n v="7"/>
    <x v="1"/>
    <x v="0"/>
    <n v="223456"/>
    <n v="147923"/>
    <n v="75533"/>
    <x v="0"/>
    <n v="0"/>
    <n v="1"/>
    <n v="1"/>
    <n v="0"/>
    <n v="1"/>
    <s v="Yes"/>
    <x v="0"/>
  </r>
  <r>
    <n v="22429"/>
    <d v="2024-01-07T00:00:00"/>
    <x v="1"/>
    <s v="Kolkata"/>
    <s v="SC_KOL_1"/>
    <x v="0"/>
    <s v="Panamera"/>
    <s v="Sedan"/>
    <x v="1"/>
    <x v="3"/>
    <x v="0"/>
    <x v="1"/>
    <n v="4"/>
    <n v="7"/>
    <x v="0"/>
    <x v="1"/>
    <n v="236576"/>
    <n v="143298"/>
    <n v="93278"/>
    <x v="3"/>
    <n v="236576"/>
    <n v="0"/>
    <n v="0"/>
    <n v="1"/>
    <n v="1"/>
    <s v="No"/>
    <x v="2"/>
  </r>
  <r>
    <n v="22430"/>
    <d v="2024-04-06T00:00:00"/>
    <x v="1"/>
    <s v="Bhubaneswar"/>
    <s v="SC_BHU_4"/>
    <x v="0"/>
    <s v="911"/>
    <s v="Coupe"/>
    <x v="0"/>
    <x v="0"/>
    <x v="1"/>
    <x v="0"/>
    <n v="3"/>
    <n v="7"/>
    <x v="1"/>
    <x v="0"/>
    <n v="529016"/>
    <n v="377365"/>
    <n v="151651"/>
    <x v="4"/>
    <n v="0"/>
    <n v="1"/>
    <n v="1"/>
    <n v="0"/>
    <n v="1"/>
    <s v="No"/>
    <x v="2"/>
  </r>
  <r>
    <n v="22431"/>
    <d v="2024-02-24T00:00:00"/>
    <x v="0"/>
    <s v="Hyderabad"/>
    <s v="SC_HYD_1"/>
    <x v="0"/>
    <s v="Veyron"/>
    <s v="Hypercar"/>
    <x v="0"/>
    <x v="3"/>
    <x v="0"/>
    <x v="1"/>
    <n v="20"/>
    <n v="7"/>
    <x v="0"/>
    <x v="1"/>
    <n v="313036"/>
    <n v="251730"/>
    <n v="61306"/>
    <x v="0"/>
    <n v="313036"/>
    <n v="0"/>
    <n v="0"/>
    <n v="1"/>
    <n v="1"/>
    <s v="Yes"/>
    <x v="0"/>
  </r>
  <r>
    <n v="22432"/>
    <d v="2024-04-23T00:00:00"/>
    <x v="3"/>
    <s v="Mumbai"/>
    <s v="SC_MUM_3"/>
    <x v="1"/>
    <s v="Panamera"/>
    <s v="Sedan"/>
    <x v="0"/>
    <x v="2"/>
    <x v="2"/>
    <x v="0"/>
    <n v="7"/>
    <n v="7"/>
    <x v="0"/>
    <x v="0"/>
    <n v="592084"/>
    <n v="353732"/>
    <n v="238352"/>
    <x v="2"/>
    <n v="0"/>
    <n v="1"/>
    <n v="0"/>
    <n v="1"/>
    <n v="1"/>
    <s v="No"/>
    <x v="1"/>
  </r>
  <r>
    <n v="22433"/>
    <d v="2024-05-05T00:00:00"/>
    <x v="0"/>
    <s v="Bengaluru"/>
    <s v="SC_BEN_1"/>
    <x v="0"/>
    <s v="Macan"/>
    <s v="SUV"/>
    <x v="0"/>
    <x v="0"/>
    <x v="0"/>
    <x v="1"/>
    <n v="18"/>
    <n v="7"/>
    <x v="0"/>
    <x v="1"/>
    <n v="219892"/>
    <n v="150621"/>
    <n v="69271"/>
    <x v="0"/>
    <n v="219892"/>
    <n v="0"/>
    <n v="0"/>
    <n v="1"/>
    <n v="1"/>
    <s v="Yes"/>
    <x v="0"/>
  </r>
  <r>
    <n v="22434"/>
    <d v="2024-05-09T00:00:00"/>
    <x v="3"/>
    <s v="Pune"/>
    <s v="SC_PUN_2"/>
    <x v="2"/>
    <s v="Panamera"/>
    <s v="Sedan"/>
    <x v="1"/>
    <x v="2"/>
    <x v="1"/>
    <x v="1"/>
    <n v="22"/>
    <n v="7"/>
    <x v="1"/>
    <x v="1"/>
    <n v="153711"/>
    <n v="85728"/>
    <n v="67983"/>
    <x v="0"/>
    <n v="0"/>
    <n v="0"/>
    <n v="1"/>
    <n v="0"/>
    <n v="1"/>
    <s v="Yes"/>
    <x v="0"/>
  </r>
  <r>
    <n v="22435"/>
    <d v="2024-05-16T00:00:00"/>
    <x v="2"/>
    <s v="Delhi"/>
    <s v="SC_DEL_1"/>
    <x v="0"/>
    <s v="Taycan"/>
    <s v="Sedan"/>
    <x v="0"/>
    <x v="2"/>
    <x v="0"/>
    <x v="0"/>
    <n v="10"/>
    <n v="7"/>
    <x v="1"/>
    <x v="1"/>
    <n v="331890"/>
    <n v="173170"/>
    <n v="158720"/>
    <x v="2"/>
    <n v="0"/>
    <n v="0"/>
    <n v="1"/>
    <n v="0"/>
    <n v="1"/>
    <s v="Yes"/>
    <x v="1"/>
  </r>
  <r>
    <n v="22436"/>
    <d v="2024-05-02T00:00:00"/>
    <x v="1"/>
    <s v="Kolkata"/>
    <s v="SC_KOL_2"/>
    <x v="1"/>
    <s v="Taycan"/>
    <s v="Sedan"/>
    <x v="0"/>
    <x v="3"/>
    <x v="2"/>
    <x v="0"/>
    <n v="7"/>
    <n v="7"/>
    <x v="1"/>
    <x v="0"/>
    <n v="469771"/>
    <n v="337983"/>
    <n v="131788"/>
    <x v="3"/>
    <n v="0"/>
    <n v="1"/>
    <n v="1"/>
    <n v="0"/>
    <n v="1"/>
    <s v="No"/>
    <x v="2"/>
  </r>
  <r>
    <n v="22437"/>
    <d v="2024-06-06T00:00:00"/>
    <x v="3"/>
    <s v="Ahmedabad"/>
    <s v="SC_AHM_5"/>
    <x v="2"/>
    <s v="Chiron"/>
    <s v="Hypercar"/>
    <x v="1"/>
    <x v="0"/>
    <x v="2"/>
    <x v="0"/>
    <n v="24"/>
    <n v="7"/>
    <x v="0"/>
    <x v="1"/>
    <n v="249290"/>
    <n v="134921"/>
    <n v="114369"/>
    <x v="0"/>
    <n v="249290"/>
    <n v="0"/>
    <n v="0"/>
    <n v="1"/>
    <n v="1"/>
    <s v="Yes"/>
    <x v="0"/>
  </r>
  <r>
    <n v="22438"/>
    <d v="2024-06-03T00:00:00"/>
    <x v="2"/>
    <s v="Noida"/>
    <s v="SC_NOI_1"/>
    <x v="2"/>
    <s v="Taycan"/>
    <s v="Sedan"/>
    <x v="1"/>
    <x v="1"/>
    <x v="2"/>
    <x v="0"/>
    <n v="4"/>
    <n v="7"/>
    <x v="1"/>
    <x v="0"/>
    <n v="340315"/>
    <n v="285697"/>
    <n v="54618"/>
    <x v="4"/>
    <n v="0"/>
    <n v="1"/>
    <n v="1"/>
    <n v="0"/>
    <n v="1"/>
    <s v="No"/>
    <x v="2"/>
  </r>
  <r>
    <n v="22439"/>
    <d v="2024-01-08T00:00:00"/>
    <x v="3"/>
    <s v="Mumbai"/>
    <s v="SC_MUM_4"/>
    <x v="0"/>
    <s v="Chiron"/>
    <s v="Hypercar"/>
    <x v="0"/>
    <x v="4"/>
    <x v="0"/>
    <x v="0"/>
    <n v="5"/>
    <n v="7"/>
    <x v="0"/>
    <x v="0"/>
    <n v="405404"/>
    <n v="222062"/>
    <n v="183342"/>
    <x v="2"/>
    <n v="0"/>
    <n v="1"/>
    <n v="0"/>
    <n v="1"/>
    <n v="1"/>
    <s v="No"/>
    <x v="1"/>
  </r>
  <r>
    <n v="22440"/>
    <d v="2024-03-04T00:00:00"/>
    <x v="3"/>
    <s v="Mumbai"/>
    <s v="SC_MUM_1"/>
    <x v="2"/>
    <s v="Chiron"/>
    <s v="Hypercar"/>
    <x v="0"/>
    <x v="2"/>
    <x v="0"/>
    <x v="0"/>
    <n v="16"/>
    <n v="7"/>
    <x v="0"/>
    <x v="1"/>
    <n v="411120"/>
    <n v="267625"/>
    <n v="143495"/>
    <x v="0"/>
    <n v="411120"/>
    <n v="0"/>
    <n v="0"/>
    <n v="1"/>
    <n v="1"/>
    <s v="Yes"/>
    <x v="0"/>
  </r>
  <r>
    <n v="22441"/>
    <d v="2024-05-03T00:00:00"/>
    <x v="0"/>
    <s v="Chennai"/>
    <s v="SC_CHE_4"/>
    <x v="0"/>
    <s v="Taycan"/>
    <s v="Sedan"/>
    <x v="0"/>
    <x v="3"/>
    <x v="1"/>
    <x v="0"/>
    <n v="3"/>
    <n v="7"/>
    <x v="1"/>
    <x v="1"/>
    <n v="280893"/>
    <n v="155346"/>
    <n v="125547"/>
    <x v="4"/>
    <n v="0"/>
    <n v="0"/>
    <n v="1"/>
    <n v="0"/>
    <n v="1"/>
    <s v="No"/>
    <x v="2"/>
  </r>
  <r>
    <n v="22442"/>
    <d v="2024-04-06T00:00:00"/>
    <x v="3"/>
    <s v="Mumbai"/>
    <s v="SC_MUM_3"/>
    <x v="0"/>
    <s v="911"/>
    <s v="Coupe"/>
    <x v="0"/>
    <x v="4"/>
    <x v="1"/>
    <x v="1"/>
    <n v="20"/>
    <n v="7"/>
    <x v="0"/>
    <x v="1"/>
    <n v="461847"/>
    <n v="329039"/>
    <n v="132808"/>
    <x v="0"/>
    <n v="461847"/>
    <n v="0"/>
    <n v="0"/>
    <n v="1"/>
    <n v="1"/>
    <s v="Yes"/>
    <x v="0"/>
  </r>
  <r>
    <n v="22443"/>
    <d v="2024-04-08T00:00:00"/>
    <x v="0"/>
    <s v="Hyderabad"/>
    <s v="SC_HYD_2"/>
    <x v="0"/>
    <s v="911"/>
    <s v="Coupe"/>
    <x v="1"/>
    <x v="1"/>
    <x v="2"/>
    <x v="0"/>
    <n v="2"/>
    <n v="7"/>
    <x v="0"/>
    <x v="1"/>
    <n v="322119"/>
    <n v="262045"/>
    <n v="60074"/>
    <x v="3"/>
    <n v="322119"/>
    <n v="0"/>
    <n v="0"/>
    <n v="1"/>
    <n v="1"/>
    <s v="No"/>
    <x v="2"/>
  </r>
  <r>
    <n v="22444"/>
    <d v="2024-04-10T00:00:00"/>
    <x v="3"/>
    <s v="Mumbai"/>
    <s v="SC_MUM_1"/>
    <x v="0"/>
    <s v="Cayenne"/>
    <s v="SUV"/>
    <x v="1"/>
    <x v="4"/>
    <x v="0"/>
    <x v="0"/>
    <n v="3"/>
    <n v="7"/>
    <x v="1"/>
    <x v="1"/>
    <n v="329732"/>
    <n v="207971"/>
    <n v="121761"/>
    <x v="4"/>
    <n v="0"/>
    <n v="0"/>
    <n v="1"/>
    <n v="0"/>
    <n v="1"/>
    <s v="No"/>
    <x v="2"/>
  </r>
  <r>
    <n v="22445"/>
    <d v="2024-05-01T00:00:00"/>
    <x v="3"/>
    <s v="Mumbai"/>
    <s v="SC_MUM_2"/>
    <x v="0"/>
    <s v="Panamera"/>
    <s v="Sedan"/>
    <x v="0"/>
    <x v="0"/>
    <x v="1"/>
    <x v="1"/>
    <n v="7"/>
    <n v="7"/>
    <x v="0"/>
    <x v="1"/>
    <n v="388282"/>
    <n v="201877"/>
    <n v="186405"/>
    <x v="2"/>
    <n v="388282"/>
    <n v="0"/>
    <n v="0"/>
    <n v="1"/>
    <n v="1"/>
    <s v="No"/>
    <x v="1"/>
  </r>
  <r>
    <n v="22446"/>
    <d v="2024-05-05T00:00:00"/>
    <x v="1"/>
    <s v="Bhubaneswar"/>
    <s v="SC_BHU_5"/>
    <x v="2"/>
    <s v="Cayenne"/>
    <s v="SUV"/>
    <x v="0"/>
    <x v="2"/>
    <x v="2"/>
    <x v="0"/>
    <n v="6"/>
    <n v="7"/>
    <x v="0"/>
    <x v="1"/>
    <n v="446928"/>
    <n v="379648"/>
    <n v="67280"/>
    <x v="2"/>
    <n v="446928"/>
    <n v="0"/>
    <n v="0"/>
    <n v="1"/>
    <n v="1"/>
    <s v="No"/>
    <x v="1"/>
  </r>
  <r>
    <n v="22447"/>
    <d v="2024-03-04T00:00:00"/>
    <x v="0"/>
    <s v="Chennai"/>
    <s v="SC_CHE_5"/>
    <x v="2"/>
    <s v="Cayenne"/>
    <s v="SUV"/>
    <x v="0"/>
    <x v="3"/>
    <x v="1"/>
    <x v="0"/>
    <n v="25"/>
    <n v="7"/>
    <x v="0"/>
    <x v="1"/>
    <n v="233973"/>
    <n v="157201"/>
    <n v="76772"/>
    <x v="0"/>
    <n v="233973"/>
    <n v="0"/>
    <n v="0"/>
    <n v="1"/>
    <n v="1"/>
    <s v="Yes"/>
    <x v="0"/>
  </r>
  <r>
    <n v="22448"/>
    <d v="2024-04-26T00:00:00"/>
    <x v="1"/>
    <s v="Kolkata"/>
    <s v="SC_KOL_5"/>
    <x v="2"/>
    <s v="Veyron"/>
    <s v="Hypercar"/>
    <x v="1"/>
    <x v="0"/>
    <x v="2"/>
    <x v="1"/>
    <n v="17"/>
    <n v="7"/>
    <x v="1"/>
    <x v="1"/>
    <n v="374360"/>
    <n v="289210"/>
    <n v="85150"/>
    <x v="1"/>
    <n v="0"/>
    <n v="0"/>
    <n v="1"/>
    <n v="0"/>
    <n v="1"/>
    <s v="Yes"/>
    <x v="0"/>
  </r>
  <r>
    <n v="22449"/>
    <d v="2024-06-29T00:00:00"/>
    <x v="2"/>
    <s v="Delhi"/>
    <s v="SC_DEL_1"/>
    <x v="2"/>
    <s v="Chiron"/>
    <s v="Hypercar"/>
    <x v="0"/>
    <x v="3"/>
    <x v="0"/>
    <x v="0"/>
    <n v="9"/>
    <n v="7"/>
    <x v="1"/>
    <x v="1"/>
    <n v="228031"/>
    <n v="137951"/>
    <n v="90080"/>
    <x v="3"/>
    <n v="0"/>
    <n v="0"/>
    <n v="1"/>
    <n v="0"/>
    <n v="1"/>
    <s v="Yes"/>
    <x v="2"/>
  </r>
  <r>
    <n v="22450"/>
    <d v="2024-04-09T00:00:00"/>
    <x v="3"/>
    <s v="Pune"/>
    <s v="SC_PUN_2"/>
    <x v="1"/>
    <s v="Veyron"/>
    <s v="Hypercar"/>
    <x v="0"/>
    <x v="0"/>
    <x v="0"/>
    <x v="1"/>
    <n v="10"/>
    <n v="7"/>
    <x v="1"/>
    <x v="1"/>
    <n v="116324"/>
    <n v="73836"/>
    <n v="42488"/>
    <x v="2"/>
    <n v="0"/>
    <n v="0"/>
    <n v="1"/>
    <n v="0"/>
    <n v="1"/>
    <s v="Yes"/>
    <x v="1"/>
  </r>
  <r>
    <n v="22451"/>
    <d v="2024-04-24T00:00:00"/>
    <x v="2"/>
    <s v="Gurugram"/>
    <s v="SC_GUR_1"/>
    <x v="2"/>
    <s v="Cayenne"/>
    <s v="SUV"/>
    <x v="1"/>
    <x v="1"/>
    <x v="0"/>
    <x v="0"/>
    <n v="8"/>
    <n v="7"/>
    <x v="0"/>
    <x v="1"/>
    <n v="274862"/>
    <n v="148890"/>
    <n v="125972"/>
    <x v="2"/>
    <n v="274862"/>
    <n v="0"/>
    <n v="0"/>
    <n v="1"/>
    <n v="1"/>
    <s v="Yes"/>
    <x v="1"/>
  </r>
  <r>
    <n v="22452"/>
    <d v="2024-03-15T00:00:00"/>
    <x v="2"/>
    <s v="Noida"/>
    <s v="SC_NOI_1"/>
    <x v="1"/>
    <s v="Chiron"/>
    <s v="Hypercar"/>
    <x v="0"/>
    <x v="0"/>
    <x v="2"/>
    <x v="0"/>
    <n v="15"/>
    <n v="7"/>
    <x v="0"/>
    <x v="1"/>
    <n v="347660"/>
    <n v="214601"/>
    <n v="133059"/>
    <x v="0"/>
    <n v="347660"/>
    <n v="0"/>
    <n v="0"/>
    <n v="1"/>
    <n v="1"/>
    <s v="Yes"/>
    <x v="0"/>
  </r>
  <r>
    <n v="22453"/>
    <d v="2024-05-08T00:00:00"/>
    <x v="0"/>
    <s v="Bengaluru"/>
    <s v="SC_BEN_5"/>
    <x v="2"/>
    <s v="Cayenne"/>
    <s v="SUV"/>
    <x v="1"/>
    <x v="2"/>
    <x v="0"/>
    <x v="0"/>
    <n v="21"/>
    <n v="7"/>
    <x v="0"/>
    <x v="1"/>
    <n v="366677"/>
    <n v="235888"/>
    <n v="130789"/>
    <x v="0"/>
    <n v="366677"/>
    <n v="0"/>
    <n v="0"/>
    <n v="1"/>
    <n v="1"/>
    <s v="Yes"/>
    <x v="0"/>
  </r>
  <r>
    <n v="22454"/>
    <d v="2024-06-09T00:00:00"/>
    <x v="1"/>
    <s v="Bhubaneswar"/>
    <s v="SC_BHU_5"/>
    <x v="1"/>
    <s v="Cayenne"/>
    <s v="SUV"/>
    <x v="0"/>
    <x v="3"/>
    <x v="2"/>
    <x v="0"/>
    <n v="24"/>
    <n v="7"/>
    <x v="1"/>
    <x v="1"/>
    <n v="291927"/>
    <n v="225700"/>
    <n v="66227"/>
    <x v="0"/>
    <n v="0"/>
    <n v="0"/>
    <n v="1"/>
    <n v="0"/>
    <n v="1"/>
    <s v="Yes"/>
    <x v="0"/>
  </r>
  <r>
    <n v="22455"/>
    <d v="2024-04-20T00:00:00"/>
    <x v="2"/>
    <s v="Noida"/>
    <s v="SC_NOI_2"/>
    <x v="2"/>
    <s v="Panamera"/>
    <s v="Sedan"/>
    <x v="0"/>
    <x v="3"/>
    <x v="0"/>
    <x v="1"/>
    <n v="18"/>
    <n v="7"/>
    <x v="0"/>
    <x v="1"/>
    <n v="573025"/>
    <n v="297104"/>
    <n v="275921"/>
    <x v="0"/>
    <n v="573025"/>
    <n v="0"/>
    <n v="0"/>
    <n v="1"/>
    <n v="1"/>
    <s v="Yes"/>
    <x v="0"/>
  </r>
  <r>
    <n v="22456"/>
    <d v="2024-05-04T00:00:00"/>
    <x v="2"/>
    <s v="Noida"/>
    <s v="SC_NOI_2"/>
    <x v="2"/>
    <s v="Macan"/>
    <s v="SUV"/>
    <x v="1"/>
    <x v="1"/>
    <x v="0"/>
    <x v="1"/>
    <n v="19"/>
    <n v="7"/>
    <x v="0"/>
    <x v="1"/>
    <n v="207506"/>
    <n v="108748"/>
    <n v="98758"/>
    <x v="0"/>
    <n v="207506"/>
    <n v="0"/>
    <n v="0"/>
    <n v="1"/>
    <n v="1"/>
    <s v="Yes"/>
    <x v="0"/>
  </r>
  <r>
    <n v="22457"/>
    <d v="2024-06-08T00:00:00"/>
    <x v="0"/>
    <s v="Hyderabad"/>
    <s v="SC_HYD_4"/>
    <x v="0"/>
    <s v="Cayenne"/>
    <s v="SUV"/>
    <x v="1"/>
    <x v="3"/>
    <x v="2"/>
    <x v="0"/>
    <n v="24"/>
    <n v="7"/>
    <x v="0"/>
    <x v="1"/>
    <n v="95963"/>
    <n v="64718"/>
    <n v="31245"/>
    <x v="0"/>
    <n v="95963"/>
    <n v="0"/>
    <n v="0"/>
    <n v="1"/>
    <n v="1"/>
    <s v="Yes"/>
    <x v="0"/>
  </r>
  <r>
    <n v="22458"/>
    <d v="2024-01-25T00:00:00"/>
    <x v="0"/>
    <s v="Chennai"/>
    <s v="SC_CHE_2"/>
    <x v="0"/>
    <s v="Macan"/>
    <s v="SUV"/>
    <x v="0"/>
    <x v="0"/>
    <x v="1"/>
    <x v="1"/>
    <n v="17"/>
    <n v="7"/>
    <x v="0"/>
    <x v="1"/>
    <n v="98177"/>
    <n v="62472"/>
    <n v="35705"/>
    <x v="0"/>
    <n v="98177"/>
    <n v="0"/>
    <n v="0"/>
    <n v="1"/>
    <n v="1"/>
    <s v="Yes"/>
    <x v="0"/>
  </r>
  <r>
    <n v="22459"/>
    <d v="2024-04-23T00:00:00"/>
    <x v="2"/>
    <s v="Gurugram"/>
    <s v="SC_GUR_1"/>
    <x v="2"/>
    <s v="Panamera"/>
    <s v="Sedan"/>
    <x v="0"/>
    <x v="0"/>
    <x v="0"/>
    <x v="0"/>
    <n v="6"/>
    <n v="7"/>
    <x v="0"/>
    <x v="1"/>
    <n v="335817"/>
    <n v="238212"/>
    <n v="97605"/>
    <x v="2"/>
    <n v="335817"/>
    <n v="0"/>
    <n v="0"/>
    <n v="1"/>
    <n v="1"/>
    <s v="No"/>
    <x v="1"/>
  </r>
  <r>
    <n v="22460"/>
    <d v="2024-01-07T00:00:00"/>
    <x v="0"/>
    <s v="Bengaluru"/>
    <s v="SC_BEN_3"/>
    <x v="2"/>
    <s v="Veyron"/>
    <s v="Hypercar"/>
    <x v="0"/>
    <x v="3"/>
    <x v="1"/>
    <x v="0"/>
    <n v="7"/>
    <n v="7"/>
    <x v="0"/>
    <x v="1"/>
    <n v="167487"/>
    <n v="131784"/>
    <n v="35703"/>
    <x v="2"/>
    <n v="167487"/>
    <n v="0"/>
    <n v="0"/>
    <n v="1"/>
    <n v="1"/>
    <s v="No"/>
    <x v="1"/>
  </r>
  <r>
    <n v="22461"/>
    <d v="2024-05-01T00:00:00"/>
    <x v="3"/>
    <s v="Ahmedabad"/>
    <s v="SC_AHM_4"/>
    <x v="1"/>
    <s v="Cayenne"/>
    <s v="SUV"/>
    <x v="0"/>
    <x v="3"/>
    <x v="1"/>
    <x v="0"/>
    <n v="6"/>
    <n v="7"/>
    <x v="1"/>
    <x v="0"/>
    <n v="384584"/>
    <n v="263731"/>
    <n v="120853"/>
    <x v="3"/>
    <n v="0"/>
    <n v="1"/>
    <n v="1"/>
    <n v="0"/>
    <n v="1"/>
    <s v="No"/>
    <x v="2"/>
  </r>
  <r>
    <n v="22462"/>
    <d v="2024-02-23T00:00:00"/>
    <x v="3"/>
    <s v="Mumbai"/>
    <s v="SC_MUM_3"/>
    <x v="2"/>
    <s v="911"/>
    <s v="Coupe"/>
    <x v="0"/>
    <x v="2"/>
    <x v="0"/>
    <x v="1"/>
    <n v="15"/>
    <n v="7"/>
    <x v="0"/>
    <x v="0"/>
    <n v="452822"/>
    <n v="309446"/>
    <n v="143376"/>
    <x v="0"/>
    <n v="0"/>
    <n v="1"/>
    <n v="0"/>
    <n v="1"/>
    <n v="1"/>
    <s v="Yes"/>
    <x v="0"/>
  </r>
  <r>
    <n v="22463"/>
    <d v="2024-04-10T00:00:00"/>
    <x v="3"/>
    <s v="Ahmedabad"/>
    <s v="SC_AHM_5"/>
    <x v="2"/>
    <s v="Cayenne"/>
    <s v="SUV"/>
    <x v="0"/>
    <x v="0"/>
    <x v="0"/>
    <x v="1"/>
    <n v="11"/>
    <n v="7"/>
    <x v="0"/>
    <x v="0"/>
    <n v="467367"/>
    <n v="375388"/>
    <n v="91979"/>
    <x v="1"/>
    <n v="0"/>
    <n v="1"/>
    <n v="0"/>
    <n v="1"/>
    <n v="1"/>
    <s v="Yes"/>
    <x v="0"/>
  </r>
  <r>
    <n v="22464"/>
    <d v="2024-01-24T00:00:00"/>
    <x v="3"/>
    <s v="Ahmedabad"/>
    <s v="SC_AHM_3"/>
    <x v="0"/>
    <s v="Cayenne"/>
    <s v="SUV"/>
    <x v="0"/>
    <x v="1"/>
    <x v="2"/>
    <x v="0"/>
    <n v="7"/>
    <n v="7"/>
    <x v="1"/>
    <x v="1"/>
    <n v="129180"/>
    <n v="77356"/>
    <n v="51824"/>
    <x v="3"/>
    <n v="0"/>
    <n v="0"/>
    <n v="1"/>
    <n v="0"/>
    <n v="1"/>
    <s v="No"/>
    <x v="2"/>
  </r>
  <r>
    <n v="22465"/>
    <d v="2024-05-23T00:00:00"/>
    <x v="2"/>
    <s v="Delhi"/>
    <s v="SC_DEL_1"/>
    <x v="0"/>
    <s v="Veyron"/>
    <s v="Hypercar"/>
    <x v="0"/>
    <x v="1"/>
    <x v="0"/>
    <x v="0"/>
    <n v="19"/>
    <n v="7"/>
    <x v="0"/>
    <x v="0"/>
    <n v="444727"/>
    <n v="246186"/>
    <n v="198541"/>
    <x v="0"/>
    <n v="0"/>
    <n v="1"/>
    <n v="0"/>
    <n v="1"/>
    <n v="1"/>
    <s v="Yes"/>
    <x v="0"/>
  </r>
  <r>
    <n v="22466"/>
    <d v="2024-03-14T00:00:00"/>
    <x v="3"/>
    <s v="Mumbai"/>
    <s v="SC_MUM_2"/>
    <x v="1"/>
    <s v="Chiron"/>
    <s v="Hypercar"/>
    <x v="1"/>
    <x v="3"/>
    <x v="2"/>
    <x v="1"/>
    <n v="4"/>
    <n v="7"/>
    <x v="0"/>
    <x v="1"/>
    <n v="105022"/>
    <n v="76453"/>
    <n v="28569"/>
    <x v="3"/>
    <n v="105022"/>
    <n v="0"/>
    <n v="0"/>
    <n v="1"/>
    <n v="1"/>
    <s v="No"/>
    <x v="2"/>
  </r>
  <r>
    <n v="22467"/>
    <d v="2024-01-10T00:00:00"/>
    <x v="0"/>
    <s v="Chennai"/>
    <s v="SC_CHE_3"/>
    <x v="0"/>
    <s v="Cayenne"/>
    <s v="SUV"/>
    <x v="1"/>
    <x v="2"/>
    <x v="2"/>
    <x v="1"/>
    <n v="10"/>
    <n v="7"/>
    <x v="0"/>
    <x v="1"/>
    <n v="551549"/>
    <n v="449951"/>
    <n v="101598"/>
    <x v="1"/>
    <n v="551549"/>
    <n v="0"/>
    <n v="0"/>
    <n v="1"/>
    <n v="1"/>
    <s v="Yes"/>
    <x v="0"/>
  </r>
  <r>
    <n v="22468"/>
    <d v="2024-04-09T00:00:00"/>
    <x v="0"/>
    <s v="Bengaluru"/>
    <s v="SC_BEN_1"/>
    <x v="2"/>
    <s v="Cayenne"/>
    <s v="SUV"/>
    <x v="0"/>
    <x v="2"/>
    <x v="2"/>
    <x v="0"/>
    <n v="16"/>
    <n v="7"/>
    <x v="0"/>
    <x v="1"/>
    <n v="371749"/>
    <n v="306752"/>
    <n v="64997"/>
    <x v="0"/>
    <n v="371749"/>
    <n v="0"/>
    <n v="0"/>
    <n v="1"/>
    <n v="1"/>
    <s v="Yes"/>
    <x v="0"/>
  </r>
  <r>
    <n v="22469"/>
    <d v="2024-02-26T00:00:00"/>
    <x v="1"/>
    <s v="Patna"/>
    <s v="SC_PAT_2"/>
    <x v="0"/>
    <s v="Taycan"/>
    <s v="Sedan"/>
    <x v="1"/>
    <x v="4"/>
    <x v="1"/>
    <x v="1"/>
    <n v="23"/>
    <n v="7"/>
    <x v="1"/>
    <x v="0"/>
    <n v="584054"/>
    <n v="364582"/>
    <n v="219472"/>
    <x v="0"/>
    <n v="0"/>
    <n v="1"/>
    <n v="1"/>
    <n v="0"/>
    <n v="1"/>
    <s v="Yes"/>
    <x v="0"/>
  </r>
  <r>
    <n v="22470"/>
    <d v="2024-06-09T00:00:00"/>
    <x v="2"/>
    <s v="Delhi"/>
    <s v="SC_DEL_5"/>
    <x v="2"/>
    <s v="Chiron"/>
    <s v="Hypercar"/>
    <x v="0"/>
    <x v="2"/>
    <x v="0"/>
    <x v="0"/>
    <n v="14"/>
    <n v="7"/>
    <x v="0"/>
    <x v="0"/>
    <n v="271732"/>
    <n v="196821"/>
    <n v="74911"/>
    <x v="1"/>
    <n v="0"/>
    <n v="1"/>
    <n v="0"/>
    <n v="1"/>
    <n v="1"/>
    <s v="Yes"/>
    <x v="0"/>
  </r>
  <r>
    <n v="22471"/>
    <d v="2024-03-14T00:00:00"/>
    <x v="3"/>
    <s v="Pune"/>
    <s v="SC_PUN_2"/>
    <x v="1"/>
    <s v="Macan"/>
    <s v="SUV"/>
    <x v="1"/>
    <x v="2"/>
    <x v="2"/>
    <x v="1"/>
    <n v="25"/>
    <n v="7"/>
    <x v="0"/>
    <x v="0"/>
    <n v="538911"/>
    <n v="346828"/>
    <n v="192083"/>
    <x v="0"/>
    <n v="0"/>
    <n v="1"/>
    <n v="0"/>
    <n v="1"/>
    <n v="1"/>
    <s v="Yes"/>
    <x v="0"/>
  </r>
  <r>
    <n v="22472"/>
    <d v="2024-03-15T00:00:00"/>
    <x v="1"/>
    <s v="Kolkata"/>
    <s v="SC_KOL_3"/>
    <x v="1"/>
    <s v="Panamera"/>
    <s v="Sedan"/>
    <x v="1"/>
    <x v="4"/>
    <x v="2"/>
    <x v="0"/>
    <n v="18"/>
    <n v="7"/>
    <x v="1"/>
    <x v="1"/>
    <n v="382984"/>
    <n v="246103"/>
    <n v="136881"/>
    <x v="1"/>
    <n v="0"/>
    <n v="0"/>
    <n v="1"/>
    <n v="0"/>
    <n v="1"/>
    <s v="Yes"/>
    <x v="0"/>
  </r>
  <r>
    <n v="22473"/>
    <d v="2024-01-10T00:00:00"/>
    <x v="1"/>
    <s v="Bhubaneswar"/>
    <s v="SC_BHU_1"/>
    <x v="0"/>
    <s v="Chiron"/>
    <s v="Hypercar"/>
    <x v="0"/>
    <x v="2"/>
    <x v="2"/>
    <x v="1"/>
    <n v="12"/>
    <n v="7"/>
    <x v="0"/>
    <x v="1"/>
    <n v="228696"/>
    <n v="189431"/>
    <n v="39265"/>
    <x v="1"/>
    <n v="228696"/>
    <n v="0"/>
    <n v="0"/>
    <n v="1"/>
    <n v="1"/>
    <s v="Yes"/>
    <x v="0"/>
  </r>
  <r>
    <n v="22474"/>
    <d v="2024-01-27T00:00:00"/>
    <x v="1"/>
    <s v="Kolkata"/>
    <s v="SC_KOL_4"/>
    <x v="0"/>
    <s v="Macan"/>
    <s v="SUV"/>
    <x v="0"/>
    <x v="3"/>
    <x v="0"/>
    <x v="1"/>
    <n v="24"/>
    <n v="7"/>
    <x v="0"/>
    <x v="0"/>
    <n v="346635"/>
    <n v="185851"/>
    <n v="160784"/>
    <x v="0"/>
    <n v="0"/>
    <n v="1"/>
    <n v="0"/>
    <n v="1"/>
    <n v="1"/>
    <s v="Yes"/>
    <x v="0"/>
  </r>
  <r>
    <n v="22475"/>
    <d v="2024-03-14T00:00:00"/>
    <x v="0"/>
    <s v="Chennai"/>
    <s v="SC_CHE_1"/>
    <x v="1"/>
    <s v="Veyron"/>
    <s v="Hypercar"/>
    <x v="0"/>
    <x v="2"/>
    <x v="2"/>
    <x v="1"/>
    <n v="12"/>
    <n v="7"/>
    <x v="0"/>
    <x v="0"/>
    <n v="445906"/>
    <n v="300315"/>
    <n v="145591"/>
    <x v="1"/>
    <n v="0"/>
    <n v="1"/>
    <n v="0"/>
    <n v="1"/>
    <n v="1"/>
    <s v="Yes"/>
    <x v="0"/>
  </r>
  <r>
    <n v="22476"/>
    <d v="2024-01-19T00:00:00"/>
    <x v="0"/>
    <s v="Chennai"/>
    <s v="SC_CHE_1"/>
    <x v="2"/>
    <s v="Taycan"/>
    <s v="Sedan"/>
    <x v="0"/>
    <x v="4"/>
    <x v="1"/>
    <x v="1"/>
    <n v="23"/>
    <n v="7"/>
    <x v="0"/>
    <x v="1"/>
    <n v="548632"/>
    <n v="377591"/>
    <n v="171041"/>
    <x v="0"/>
    <n v="548632"/>
    <n v="0"/>
    <n v="0"/>
    <n v="1"/>
    <n v="1"/>
    <s v="Yes"/>
    <x v="0"/>
  </r>
  <r>
    <n v="22477"/>
    <d v="2024-05-06T00:00:00"/>
    <x v="3"/>
    <s v="Ahmedabad"/>
    <s v="SC_AHM_1"/>
    <x v="1"/>
    <s v="911"/>
    <s v="Coupe"/>
    <x v="1"/>
    <x v="0"/>
    <x v="0"/>
    <x v="0"/>
    <n v="24"/>
    <n v="7"/>
    <x v="0"/>
    <x v="1"/>
    <n v="415571"/>
    <n v="238163"/>
    <n v="177408"/>
    <x v="0"/>
    <n v="415571"/>
    <n v="0"/>
    <n v="0"/>
    <n v="1"/>
    <n v="1"/>
    <s v="Yes"/>
    <x v="0"/>
  </r>
  <r>
    <n v="22478"/>
    <d v="2024-04-16T00:00:00"/>
    <x v="1"/>
    <s v="Kolkata"/>
    <s v="SC_KOL_5"/>
    <x v="1"/>
    <s v="Cayenne"/>
    <s v="SUV"/>
    <x v="1"/>
    <x v="0"/>
    <x v="0"/>
    <x v="0"/>
    <n v="6"/>
    <n v="7"/>
    <x v="0"/>
    <x v="1"/>
    <n v="547368"/>
    <n v="275604"/>
    <n v="271764"/>
    <x v="2"/>
    <n v="547368"/>
    <n v="0"/>
    <n v="0"/>
    <n v="1"/>
    <n v="1"/>
    <s v="No"/>
    <x v="1"/>
  </r>
  <r>
    <n v="22479"/>
    <d v="2024-02-27T00:00:00"/>
    <x v="3"/>
    <s v="Ahmedabad"/>
    <s v="SC_AHM_3"/>
    <x v="0"/>
    <s v="Panamera"/>
    <s v="Sedan"/>
    <x v="0"/>
    <x v="2"/>
    <x v="2"/>
    <x v="1"/>
    <n v="18"/>
    <n v="7"/>
    <x v="1"/>
    <x v="0"/>
    <n v="149786"/>
    <n v="101646"/>
    <n v="48140"/>
    <x v="1"/>
    <n v="0"/>
    <n v="1"/>
    <n v="1"/>
    <n v="0"/>
    <n v="1"/>
    <s v="Yes"/>
    <x v="0"/>
  </r>
  <r>
    <n v="22480"/>
    <d v="2024-04-25T00:00:00"/>
    <x v="0"/>
    <s v="Chennai"/>
    <s v="SC_CHE_2"/>
    <x v="1"/>
    <s v="Cayenne"/>
    <s v="SUV"/>
    <x v="0"/>
    <x v="4"/>
    <x v="1"/>
    <x v="0"/>
    <n v="14"/>
    <n v="7"/>
    <x v="1"/>
    <x v="1"/>
    <n v="474032"/>
    <n v="263464"/>
    <n v="210568"/>
    <x v="2"/>
    <n v="0"/>
    <n v="0"/>
    <n v="1"/>
    <n v="0"/>
    <n v="1"/>
    <s v="Yes"/>
    <x v="1"/>
  </r>
  <r>
    <n v="22481"/>
    <d v="2024-03-12T00:00:00"/>
    <x v="1"/>
    <s v="Bhubaneswar"/>
    <s v="SC_BHU_2"/>
    <x v="0"/>
    <s v="Chiron"/>
    <s v="Hypercar"/>
    <x v="1"/>
    <x v="0"/>
    <x v="2"/>
    <x v="0"/>
    <n v="3"/>
    <n v="7"/>
    <x v="0"/>
    <x v="0"/>
    <n v="533737"/>
    <n v="381120"/>
    <n v="152617"/>
    <x v="3"/>
    <n v="0"/>
    <n v="1"/>
    <n v="0"/>
    <n v="1"/>
    <n v="1"/>
    <s v="No"/>
    <x v="2"/>
  </r>
  <r>
    <n v="22482"/>
    <d v="2024-01-26T00:00:00"/>
    <x v="0"/>
    <s v="Chennai"/>
    <s v="SC_CHE_2"/>
    <x v="2"/>
    <s v="Panamera"/>
    <s v="Sedan"/>
    <x v="1"/>
    <x v="1"/>
    <x v="1"/>
    <x v="1"/>
    <n v="24"/>
    <n v="7"/>
    <x v="1"/>
    <x v="0"/>
    <n v="510768"/>
    <n v="299579"/>
    <n v="211189"/>
    <x v="0"/>
    <n v="0"/>
    <n v="1"/>
    <n v="1"/>
    <n v="0"/>
    <n v="1"/>
    <s v="Yes"/>
    <x v="0"/>
  </r>
  <r>
    <n v="22483"/>
    <d v="2024-06-04T00:00:00"/>
    <x v="1"/>
    <s v="Patna"/>
    <s v="SC_PAT_3"/>
    <x v="2"/>
    <s v="Taycan"/>
    <s v="Sedan"/>
    <x v="1"/>
    <x v="3"/>
    <x v="0"/>
    <x v="1"/>
    <n v="22"/>
    <n v="7"/>
    <x v="0"/>
    <x v="0"/>
    <n v="482646"/>
    <n v="395101"/>
    <n v="87545"/>
    <x v="0"/>
    <n v="0"/>
    <n v="1"/>
    <n v="0"/>
    <n v="1"/>
    <n v="1"/>
    <s v="Yes"/>
    <x v="0"/>
  </r>
  <r>
    <n v="22484"/>
    <d v="2024-05-21T00:00:00"/>
    <x v="2"/>
    <s v="Gurugram"/>
    <s v="SC_GUR_2"/>
    <x v="1"/>
    <s v="Macan"/>
    <s v="SUV"/>
    <x v="1"/>
    <x v="4"/>
    <x v="2"/>
    <x v="1"/>
    <n v="24"/>
    <n v="7"/>
    <x v="0"/>
    <x v="0"/>
    <n v="539257"/>
    <n v="418137"/>
    <n v="121120"/>
    <x v="0"/>
    <n v="0"/>
    <n v="1"/>
    <n v="0"/>
    <n v="1"/>
    <n v="1"/>
    <s v="Yes"/>
    <x v="0"/>
  </r>
  <r>
    <n v="22485"/>
    <d v="2024-02-12T00:00:00"/>
    <x v="0"/>
    <s v="Hyderabad"/>
    <s v="SC_HYD_5"/>
    <x v="1"/>
    <s v="Panamera"/>
    <s v="Sedan"/>
    <x v="0"/>
    <x v="4"/>
    <x v="1"/>
    <x v="0"/>
    <n v="10"/>
    <n v="7"/>
    <x v="0"/>
    <x v="0"/>
    <n v="270644"/>
    <n v="170541"/>
    <n v="100103"/>
    <x v="1"/>
    <n v="0"/>
    <n v="1"/>
    <n v="0"/>
    <n v="1"/>
    <n v="1"/>
    <s v="Yes"/>
    <x v="0"/>
  </r>
  <r>
    <n v="22486"/>
    <d v="2024-06-23T00:00:00"/>
    <x v="0"/>
    <s v="Chennai"/>
    <s v="SC_CHE_5"/>
    <x v="1"/>
    <s v="Cayenne"/>
    <s v="SUV"/>
    <x v="0"/>
    <x v="3"/>
    <x v="1"/>
    <x v="0"/>
    <n v="14"/>
    <n v="7"/>
    <x v="0"/>
    <x v="0"/>
    <n v="221007"/>
    <n v="126580"/>
    <n v="94427"/>
    <x v="1"/>
    <n v="0"/>
    <n v="1"/>
    <n v="0"/>
    <n v="1"/>
    <n v="1"/>
    <s v="Yes"/>
    <x v="0"/>
  </r>
  <r>
    <n v="22487"/>
    <d v="2024-06-21T00:00:00"/>
    <x v="1"/>
    <s v="Bhubaneswar"/>
    <s v="SC_BHU_5"/>
    <x v="0"/>
    <s v="Macan"/>
    <s v="SUV"/>
    <x v="1"/>
    <x v="0"/>
    <x v="1"/>
    <x v="0"/>
    <n v="10"/>
    <n v="7"/>
    <x v="0"/>
    <x v="1"/>
    <n v="505119"/>
    <n v="352753"/>
    <n v="152366"/>
    <x v="1"/>
    <n v="505119"/>
    <n v="0"/>
    <n v="0"/>
    <n v="1"/>
    <n v="1"/>
    <s v="Yes"/>
    <x v="0"/>
  </r>
  <r>
    <n v="22488"/>
    <d v="2024-01-12T00:00:00"/>
    <x v="3"/>
    <s v="Ahmedabad"/>
    <s v="SC_AHM_3"/>
    <x v="0"/>
    <s v="Taycan"/>
    <s v="Sedan"/>
    <x v="0"/>
    <x v="2"/>
    <x v="0"/>
    <x v="0"/>
    <n v="10"/>
    <n v="7"/>
    <x v="1"/>
    <x v="0"/>
    <n v="463815"/>
    <n v="338972"/>
    <n v="124843"/>
    <x v="2"/>
    <n v="0"/>
    <n v="1"/>
    <n v="1"/>
    <n v="0"/>
    <n v="1"/>
    <s v="Yes"/>
    <x v="1"/>
  </r>
  <r>
    <n v="22489"/>
    <d v="2024-04-04T00:00:00"/>
    <x v="0"/>
    <s v="Bengaluru"/>
    <s v="SC_BEN_1"/>
    <x v="2"/>
    <s v="Chiron"/>
    <s v="Hypercar"/>
    <x v="0"/>
    <x v="0"/>
    <x v="0"/>
    <x v="0"/>
    <n v="20"/>
    <n v="7"/>
    <x v="0"/>
    <x v="1"/>
    <n v="377724"/>
    <n v="238490"/>
    <n v="139234"/>
    <x v="0"/>
    <n v="377724"/>
    <n v="0"/>
    <n v="0"/>
    <n v="1"/>
    <n v="1"/>
    <s v="Yes"/>
    <x v="0"/>
  </r>
  <r>
    <n v="22490"/>
    <d v="2024-02-28T00:00:00"/>
    <x v="0"/>
    <s v="Chennai"/>
    <s v="SC_CHE_5"/>
    <x v="2"/>
    <s v="Veyron"/>
    <s v="Hypercar"/>
    <x v="0"/>
    <x v="1"/>
    <x v="2"/>
    <x v="0"/>
    <n v="22"/>
    <n v="7"/>
    <x v="0"/>
    <x v="1"/>
    <n v="464179"/>
    <n v="373320"/>
    <n v="90859"/>
    <x v="0"/>
    <n v="464179"/>
    <n v="0"/>
    <n v="0"/>
    <n v="1"/>
    <n v="1"/>
    <s v="Yes"/>
    <x v="0"/>
  </r>
  <r>
    <n v="22491"/>
    <d v="2024-06-16T00:00:00"/>
    <x v="3"/>
    <s v="Mumbai"/>
    <s v="SC_MUM_1"/>
    <x v="2"/>
    <s v="Cayenne"/>
    <s v="SUV"/>
    <x v="0"/>
    <x v="1"/>
    <x v="2"/>
    <x v="1"/>
    <n v="15"/>
    <n v="7"/>
    <x v="0"/>
    <x v="1"/>
    <n v="315876"/>
    <n v="184504"/>
    <n v="131372"/>
    <x v="0"/>
    <n v="315876"/>
    <n v="0"/>
    <n v="0"/>
    <n v="1"/>
    <n v="1"/>
    <s v="Yes"/>
    <x v="0"/>
  </r>
  <r>
    <n v="22492"/>
    <d v="2024-06-17T00:00:00"/>
    <x v="2"/>
    <s v="Noida"/>
    <s v="SC_NOI_3"/>
    <x v="0"/>
    <s v="Chiron"/>
    <s v="Hypercar"/>
    <x v="1"/>
    <x v="4"/>
    <x v="2"/>
    <x v="0"/>
    <n v="14"/>
    <n v="7"/>
    <x v="0"/>
    <x v="0"/>
    <n v="483214"/>
    <n v="251172"/>
    <n v="232042"/>
    <x v="1"/>
    <n v="0"/>
    <n v="1"/>
    <n v="0"/>
    <n v="1"/>
    <n v="1"/>
    <s v="Yes"/>
    <x v="0"/>
  </r>
  <r>
    <n v="22493"/>
    <d v="2024-05-19T00:00:00"/>
    <x v="2"/>
    <s v="Delhi"/>
    <s v="SC_DEL_3"/>
    <x v="1"/>
    <s v="Veyron"/>
    <s v="Hypercar"/>
    <x v="0"/>
    <x v="3"/>
    <x v="1"/>
    <x v="0"/>
    <n v="24"/>
    <n v="7"/>
    <x v="1"/>
    <x v="1"/>
    <n v="440898"/>
    <n v="259639"/>
    <n v="181259"/>
    <x v="0"/>
    <n v="0"/>
    <n v="0"/>
    <n v="1"/>
    <n v="0"/>
    <n v="1"/>
    <s v="Yes"/>
    <x v="0"/>
  </r>
  <r>
    <n v="22494"/>
    <d v="2024-04-09T00:00:00"/>
    <x v="1"/>
    <s v="Patna"/>
    <s v="SC_PAT_3"/>
    <x v="2"/>
    <s v="911"/>
    <s v="Coupe"/>
    <x v="0"/>
    <x v="0"/>
    <x v="1"/>
    <x v="1"/>
    <n v="16"/>
    <n v="7"/>
    <x v="0"/>
    <x v="0"/>
    <n v="134933"/>
    <n v="104456"/>
    <n v="30477"/>
    <x v="0"/>
    <n v="0"/>
    <n v="1"/>
    <n v="0"/>
    <n v="1"/>
    <n v="1"/>
    <s v="Yes"/>
    <x v="0"/>
  </r>
  <r>
    <n v="22495"/>
    <d v="2024-05-12T00:00:00"/>
    <x v="0"/>
    <s v="Chennai"/>
    <s v="SC_CHE_4"/>
    <x v="0"/>
    <s v="Taycan"/>
    <s v="Sedan"/>
    <x v="1"/>
    <x v="0"/>
    <x v="2"/>
    <x v="0"/>
    <n v="18"/>
    <n v="7"/>
    <x v="1"/>
    <x v="0"/>
    <n v="414737"/>
    <n v="253615"/>
    <n v="161122"/>
    <x v="1"/>
    <n v="0"/>
    <n v="1"/>
    <n v="1"/>
    <n v="0"/>
    <n v="1"/>
    <s v="Yes"/>
    <x v="0"/>
  </r>
  <r>
    <n v="22496"/>
    <d v="2024-02-27T00:00:00"/>
    <x v="2"/>
    <s v="Gurugram"/>
    <s v="SC_GUR_2"/>
    <x v="0"/>
    <s v="Panamera"/>
    <s v="Sedan"/>
    <x v="0"/>
    <x v="2"/>
    <x v="1"/>
    <x v="0"/>
    <n v="8"/>
    <n v="7"/>
    <x v="1"/>
    <x v="0"/>
    <n v="384091"/>
    <n v="274810"/>
    <n v="109281"/>
    <x v="3"/>
    <n v="0"/>
    <n v="1"/>
    <n v="1"/>
    <n v="0"/>
    <n v="1"/>
    <s v="Yes"/>
    <x v="2"/>
  </r>
  <r>
    <n v="22497"/>
    <d v="2024-06-24T00:00:00"/>
    <x v="2"/>
    <s v="Gurugram"/>
    <s v="SC_GUR_4"/>
    <x v="2"/>
    <s v="911"/>
    <s v="Coupe"/>
    <x v="0"/>
    <x v="3"/>
    <x v="1"/>
    <x v="0"/>
    <n v="22"/>
    <n v="7"/>
    <x v="0"/>
    <x v="1"/>
    <n v="234199"/>
    <n v="149551"/>
    <n v="84648"/>
    <x v="0"/>
    <n v="234199"/>
    <n v="0"/>
    <n v="0"/>
    <n v="1"/>
    <n v="1"/>
    <s v="Yes"/>
    <x v="0"/>
  </r>
  <r>
    <n v="22498"/>
    <d v="2024-05-02T00:00:00"/>
    <x v="1"/>
    <s v="Patna"/>
    <s v="SC_PAT_1"/>
    <x v="2"/>
    <s v="Taycan"/>
    <s v="Sedan"/>
    <x v="0"/>
    <x v="2"/>
    <x v="0"/>
    <x v="1"/>
    <n v="15"/>
    <n v="7"/>
    <x v="0"/>
    <x v="1"/>
    <n v="495941"/>
    <n v="273756"/>
    <n v="222185"/>
    <x v="0"/>
    <n v="495941"/>
    <n v="0"/>
    <n v="0"/>
    <n v="1"/>
    <n v="1"/>
    <s v="Yes"/>
    <x v="0"/>
  </r>
  <r>
    <n v="22499"/>
    <d v="2024-05-28T00:00:00"/>
    <x v="1"/>
    <s v="Kolkata"/>
    <s v="SC_KOL_2"/>
    <x v="1"/>
    <s v="Veyron"/>
    <s v="Hypercar"/>
    <x v="0"/>
    <x v="1"/>
    <x v="2"/>
    <x v="1"/>
    <n v="7"/>
    <n v="7"/>
    <x v="1"/>
    <x v="1"/>
    <n v="475745"/>
    <n v="391152"/>
    <n v="84593"/>
    <x v="3"/>
    <n v="0"/>
    <n v="0"/>
    <n v="1"/>
    <n v="0"/>
    <n v="1"/>
    <s v="No"/>
    <x v="2"/>
  </r>
  <r>
    <n v="22500"/>
    <d v="2024-02-15T00:00:00"/>
    <x v="0"/>
    <s v="Bengaluru"/>
    <s v="SC_BEN_1"/>
    <x v="0"/>
    <s v="Macan"/>
    <s v="SUV"/>
    <x v="1"/>
    <x v="0"/>
    <x v="2"/>
    <x v="1"/>
    <n v="6"/>
    <n v="7"/>
    <x v="0"/>
    <x v="1"/>
    <n v="240441"/>
    <n v="175069"/>
    <n v="65372"/>
    <x v="2"/>
    <n v="240441"/>
    <n v="0"/>
    <n v="0"/>
    <n v="1"/>
    <n v="1"/>
    <s v="No"/>
    <x v="1"/>
  </r>
  <r>
    <n v="22501"/>
    <d v="2024-03-25T00:00:00"/>
    <x v="3"/>
    <s v="Mumbai"/>
    <s v="SC_MUM_3"/>
    <x v="1"/>
    <s v="Chiron"/>
    <s v="Hypercar"/>
    <x v="0"/>
    <x v="1"/>
    <x v="0"/>
    <x v="1"/>
    <n v="5"/>
    <n v="7"/>
    <x v="1"/>
    <x v="1"/>
    <n v="340702"/>
    <n v="259369"/>
    <n v="81333"/>
    <x v="3"/>
    <n v="0"/>
    <n v="0"/>
    <n v="1"/>
    <n v="0"/>
    <n v="1"/>
    <s v="No"/>
    <x v="2"/>
  </r>
  <r>
    <n v="22502"/>
    <d v="2024-03-12T00:00:00"/>
    <x v="3"/>
    <s v="Pune"/>
    <s v="SC_PUN_4"/>
    <x v="0"/>
    <s v="Cayenne"/>
    <s v="SUV"/>
    <x v="1"/>
    <x v="4"/>
    <x v="1"/>
    <x v="0"/>
    <n v="17"/>
    <n v="7"/>
    <x v="1"/>
    <x v="0"/>
    <n v="130015"/>
    <n v="79974"/>
    <n v="50041"/>
    <x v="1"/>
    <n v="0"/>
    <n v="1"/>
    <n v="1"/>
    <n v="0"/>
    <n v="1"/>
    <s v="Yes"/>
    <x v="0"/>
  </r>
  <r>
    <n v="22503"/>
    <d v="2024-06-26T00:00:00"/>
    <x v="2"/>
    <s v="Delhi"/>
    <s v="SC_DEL_5"/>
    <x v="2"/>
    <s v="Cayenne"/>
    <s v="SUV"/>
    <x v="0"/>
    <x v="0"/>
    <x v="1"/>
    <x v="0"/>
    <n v="6"/>
    <n v="7"/>
    <x v="1"/>
    <x v="0"/>
    <n v="466967"/>
    <n v="314492"/>
    <n v="152475"/>
    <x v="3"/>
    <n v="0"/>
    <n v="1"/>
    <n v="1"/>
    <n v="0"/>
    <n v="1"/>
    <s v="No"/>
    <x v="2"/>
  </r>
  <r>
    <n v="22504"/>
    <d v="2024-03-01T00:00:00"/>
    <x v="2"/>
    <s v="Noida"/>
    <s v="SC_NOI_4"/>
    <x v="2"/>
    <s v="911"/>
    <s v="Coupe"/>
    <x v="0"/>
    <x v="0"/>
    <x v="2"/>
    <x v="1"/>
    <n v="7"/>
    <n v="7"/>
    <x v="1"/>
    <x v="1"/>
    <n v="304176"/>
    <n v="163599"/>
    <n v="140577"/>
    <x v="3"/>
    <n v="0"/>
    <n v="0"/>
    <n v="1"/>
    <n v="0"/>
    <n v="1"/>
    <s v="No"/>
    <x v="2"/>
  </r>
  <r>
    <n v="22505"/>
    <d v="2024-06-04T00:00:00"/>
    <x v="0"/>
    <s v="Bengaluru"/>
    <s v="SC_BEN_2"/>
    <x v="0"/>
    <s v="Veyron"/>
    <s v="Hypercar"/>
    <x v="0"/>
    <x v="2"/>
    <x v="2"/>
    <x v="1"/>
    <n v="18"/>
    <n v="7"/>
    <x v="1"/>
    <x v="1"/>
    <n v="506074"/>
    <n v="319779"/>
    <n v="186295"/>
    <x v="1"/>
    <n v="0"/>
    <n v="0"/>
    <n v="1"/>
    <n v="0"/>
    <n v="1"/>
    <s v="Yes"/>
    <x v="0"/>
  </r>
  <r>
    <n v="22506"/>
    <d v="2024-06-12T00:00:00"/>
    <x v="1"/>
    <s v="Patna"/>
    <s v="SC_PAT_4"/>
    <x v="2"/>
    <s v="Taycan"/>
    <s v="Sedan"/>
    <x v="1"/>
    <x v="4"/>
    <x v="0"/>
    <x v="0"/>
    <n v="20"/>
    <n v="7"/>
    <x v="0"/>
    <x v="1"/>
    <n v="387729"/>
    <n v="211723"/>
    <n v="176006"/>
    <x v="0"/>
    <n v="387729"/>
    <n v="0"/>
    <n v="0"/>
    <n v="1"/>
    <n v="1"/>
    <s v="Yes"/>
    <x v="0"/>
  </r>
  <r>
    <n v="22507"/>
    <d v="2024-03-17T00:00:00"/>
    <x v="1"/>
    <s v="Kolkata"/>
    <s v="SC_KOL_4"/>
    <x v="1"/>
    <s v="911"/>
    <s v="Coupe"/>
    <x v="1"/>
    <x v="2"/>
    <x v="0"/>
    <x v="0"/>
    <n v="13"/>
    <n v="7"/>
    <x v="0"/>
    <x v="0"/>
    <n v="164722"/>
    <n v="91952"/>
    <n v="72770"/>
    <x v="1"/>
    <n v="0"/>
    <n v="1"/>
    <n v="0"/>
    <n v="1"/>
    <n v="1"/>
    <s v="Yes"/>
    <x v="0"/>
  </r>
  <r>
    <n v="22508"/>
    <d v="2024-01-31T00:00:00"/>
    <x v="0"/>
    <s v="Hyderabad"/>
    <s v="SC_HYD_4"/>
    <x v="0"/>
    <s v="911"/>
    <s v="Coupe"/>
    <x v="1"/>
    <x v="4"/>
    <x v="1"/>
    <x v="0"/>
    <n v="19"/>
    <n v="7"/>
    <x v="1"/>
    <x v="1"/>
    <n v="452568"/>
    <n v="259695"/>
    <n v="192873"/>
    <x v="1"/>
    <n v="0"/>
    <n v="0"/>
    <n v="1"/>
    <n v="0"/>
    <n v="1"/>
    <s v="Yes"/>
    <x v="0"/>
  </r>
  <r>
    <n v="22509"/>
    <d v="2024-05-11T00:00:00"/>
    <x v="1"/>
    <s v="Patna"/>
    <s v="SC_PAT_3"/>
    <x v="0"/>
    <s v="Panamera"/>
    <s v="Sedan"/>
    <x v="0"/>
    <x v="2"/>
    <x v="0"/>
    <x v="1"/>
    <n v="16"/>
    <n v="7"/>
    <x v="0"/>
    <x v="1"/>
    <n v="258669"/>
    <n v="207574"/>
    <n v="51095"/>
    <x v="0"/>
    <n v="258669"/>
    <n v="0"/>
    <n v="0"/>
    <n v="1"/>
    <n v="1"/>
    <s v="Yes"/>
    <x v="0"/>
  </r>
  <r>
    <n v="22510"/>
    <d v="2024-04-04T00:00:00"/>
    <x v="0"/>
    <s v="Chennai"/>
    <s v="SC_CHE_2"/>
    <x v="2"/>
    <s v="Chiron"/>
    <s v="Hypercar"/>
    <x v="0"/>
    <x v="4"/>
    <x v="0"/>
    <x v="1"/>
    <n v="5"/>
    <n v="7"/>
    <x v="0"/>
    <x v="1"/>
    <n v="513075"/>
    <n v="307115"/>
    <n v="205960"/>
    <x v="2"/>
    <n v="513075"/>
    <n v="0"/>
    <n v="0"/>
    <n v="1"/>
    <n v="1"/>
    <s v="No"/>
    <x v="1"/>
  </r>
  <r>
    <n v="22511"/>
    <d v="2024-01-04T00:00:00"/>
    <x v="2"/>
    <s v="Gurugram"/>
    <s v="SC_GUR_4"/>
    <x v="1"/>
    <s v="Cayenne"/>
    <s v="SUV"/>
    <x v="0"/>
    <x v="3"/>
    <x v="2"/>
    <x v="0"/>
    <n v="22"/>
    <n v="7"/>
    <x v="0"/>
    <x v="0"/>
    <n v="437218"/>
    <n v="257773"/>
    <n v="179445"/>
    <x v="0"/>
    <n v="0"/>
    <n v="1"/>
    <n v="0"/>
    <n v="1"/>
    <n v="1"/>
    <s v="Yes"/>
    <x v="0"/>
  </r>
  <r>
    <n v="22512"/>
    <d v="2024-06-21T00:00:00"/>
    <x v="0"/>
    <s v="Chennai"/>
    <s v="SC_CHE_5"/>
    <x v="0"/>
    <s v="Veyron"/>
    <s v="Hypercar"/>
    <x v="1"/>
    <x v="4"/>
    <x v="0"/>
    <x v="1"/>
    <n v="25"/>
    <n v="7"/>
    <x v="0"/>
    <x v="1"/>
    <n v="528439"/>
    <n v="329893"/>
    <n v="198546"/>
    <x v="0"/>
    <n v="528439"/>
    <n v="0"/>
    <n v="0"/>
    <n v="1"/>
    <n v="1"/>
    <s v="Yes"/>
    <x v="0"/>
  </r>
  <r>
    <n v="22513"/>
    <d v="2024-02-25T00:00:00"/>
    <x v="0"/>
    <s v="Hyderabad"/>
    <s v="SC_HYD_3"/>
    <x v="1"/>
    <s v="Macan"/>
    <s v="SUV"/>
    <x v="1"/>
    <x v="3"/>
    <x v="1"/>
    <x v="1"/>
    <n v="8"/>
    <n v="7"/>
    <x v="1"/>
    <x v="1"/>
    <n v="347548"/>
    <n v="216922"/>
    <n v="130626"/>
    <x v="3"/>
    <n v="0"/>
    <n v="0"/>
    <n v="1"/>
    <n v="0"/>
    <n v="1"/>
    <s v="Yes"/>
    <x v="2"/>
  </r>
  <r>
    <n v="22514"/>
    <d v="2024-03-16T00:00:00"/>
    <x v="0"/>
    <s v="Bengaluru"/>
    <s v="SC_BEN_5"/>
    <x v="1"/>
    <s v="Panamera"/>
    <s v="Sedan"/>
    <x v="0"/>
    <x v="3"/>
    <x v="1"/>
    <x v="0"/>
    <n v="5"/>
    <n v="7"/>
    <x v="1"/>
    <x v="1"/>
    <n v="161269"/>
    <n v="134375"/>
    <n v="26894"/>
    <x v="3"/>
    <n v="0"/>
    <n v="0"/>
    <n v="1"/>
    <n v="0"/>
    <n v="1"/>
    <s v="No"/>
    <x v="2"/>
  </r>
  <r>
    <n v="22515"/>
    <d v="2024-03-28T00:00:00"/>
    <x v="3"/>
    <s v="Ahmedabad"/>
    <s v="SC_AHM_1"/>
    <x v="1"/>
    <s v="Chiron"/>
    <s v="Hypercar"/>
    <x v="1"/>
    <x v="3"/>
    <x v="2"/>
    <x v="0"/>
    <n v="2"/>
    <n v="7"/>
    <x v="1"/>
    <x v="0"/>
    <n v="211500"/>
    <n v="127530"/>
    <n v="83970"/>
    <x v="4"/>
    <n v="0"/>
    <n v="1"/>
    <n v="1"/>
    <n v="0"/>
    <n v="1"/>
    <s v="No"/>
    <x v="2"/>
  </r>
  <r>
    <n v="22516"/>
    <d v="2024-05-14T00:00:00"/>
    <x v="3"/>
    <s v="Pune"/>
    <s v="SC_PUN_5"/>
    <x v="2"/>
    <s v="Taycan"/>
    <s v="Sedan"/>
    <x v="1"/>
    <x v="4"/>
    <x v="1"/>
    <x v="1"/>
    <n v="15"/>
    <n v="7"/>
    <x v="0"/>
    <x v="1"/>
    <n v="543644"/>
    <n v="300281"/>
    <n v="243363"/>
    <x v="0"/>
    <n v="543644"/>
    <n v="0"/>
    <n v="0"/>
    <n v="1"/>
    <n v="1"/>
    <s v="Yes"/>
    <x v="0"/>
  </r>
  <r>
    <n v="22517"/>
    <d v="2024-06-25T00:00:00"/>
    <x v="0"/>
    <s v="Chennai"/>
    <s v="SC_CHE_3"/>
    <x v="0"/>
    <s v="Taycan"/>
    <s v="Sedan"/>
    <x v="1"/>
    <x v="0"/>
    <x v="2"/>
    <x v="1"/>
    <n v="23"/>
    <n v="7"/>
    <x v="1"/>
    <x v="0"/>
    <n v="251577"/>
    <n v="147193"/>
    <n v="104384"/>
    <x v="0"/>
    <n v="0"/>
    <n v="1"/>
    <n v="1"/>
    <n v="0"/>
    <n v="1"/>
    <s v="Yes"/>
    <x v="0"/>
  </r>
  <r>
    <n v="22518"/>
    <d v="2024-05-24T00:00:00"/>
    <x v="3"/>
    <s v="Mumbai"/>
    <s v="SC_MUM_2"/>
    <x v="2"/>
    <s v="Taycan"/>
    <s v="Sedan"/>
    <x v="1"/>
    <x v="0"/>
    <x v="1"/>
    <x v="0"/>
    <n v="2"/>
    <n v="7"/>
    <x v="1"/>
    <x v="1"/>
    <n v="140799"/>
    <n v="95824"/>
    <n v="44975"/>
    <x v="4"/>
    <n v="0"/>
    <n v="0"/>
    <n v="1"/>
    <n v="0"/>
    <n v="1"/>
    <s v="No"/>
    <x v="2"/>
  </r>
  <r>
    <n v="22519"/>
    <d v="2024-06-06T00:00:00"/>
    <x v="1"/>
    <s v="Bhubaneswar"/>
    <s v="SC_BHU_2"/>
    <x v="1"/>
    <s v="Veyron"/>
    <s v="Hypercar"/>
    <x v="0"/>
    <x v="4"/>
    <x v="0"/>
    <x v="1"/>
    <n v="15"/>
    <n v="7"/>
    <x v="0"/>
    <x v="1"/>
    <n v="213663"/>
    <n v="162976"/>
    <n v="50687"/>
    <x v="0"/>
    <n v="213663"/>
    <n v="0"/>
    <n v="0"/>
    <n v="1"/>
    <n v="1"/>
    <s v="Yes"/>
    <x v="0"/>
  </r>
  <r>
    <n v="22520"/>
    <d v="2024-01-12T00:00:00"/>
    <x v="3"/>
    <s v="Ahmedabad"/>
    <s v="SC_AHM_1"/>
    <x v="0"/>
    <s v="Chiron"/>
    <s v="Hypercar"/>
    <x v="0"/>
    <x v="4"/>
    <x v="2"/>
    <x v="1"/>
    <n v="21"/>
    <n v="7"/>
    <x v="1"/>
    <x v="0"/>
    <n v="100919"/>
    <n v="84854"/>
    <n v="16065"/>
    <x v="0"/>
    <n v="0"/>
    <n v="1"/>
    <n v="1"/>
    <n v="0"/>
    <n v="1"/>
    <s v="Yes"/>
    <x v="0"/>
  </r>
  <r>
    <n v="22521"/>
    <d v="2024-05-18T00:00:00"/>
    <x v="3"/>
    <s v="Mumbai"/>
    <s v="SC_MUM_1"/>
    <x v="1"/>
    <s v="Panamera"/>
    <s v="Sedan"/>
    <x v="1"/>
    <x v="1"/>
    <x v="2"/>
    <x v="1"/>
    <n v="11"/>
    <n v="7"/>
    <x v="0"/>
    <x v="1"/>
    <n v="466006"/>
    <n v="299698"/>
    <n v="166308"/>
    <x v="1"/>
    <n v="466006"/>
    <n v="0"/>
    <n v="0"/>
    <n v="1"/>
    <n v="1"/>
    <s v="Yes"/>
    <x v="0"/>
  </r>
  <r>
    <n v="22522"/>
    <d v="2024-04-04T00:00:00"/>
    <x v="0"/>
    <s v="Chennai"/>
    <s v="SC_CHE_1"/>
    <x v="2"/>
    <s v="911"/>
    <s v="Coupe"/>
    <x v="0"/>
    <x v="2"/>
    <x v="2"/>
    <x v="0"/>
    <n v="25"/>
    <n v="7"/>
    <x v="1"/>
    <x v="1"/>
    <n v="461635"/>
    <n v="254058"/>
    <n v="207577"/>
    <x v="0"/>
    <n v="0"/>
    <n v="0"/>
    <n v="1"/>
    <n v="0"/>
    <n v="1"/>
    <s v="Yes"/>
    <x v="0"/>
  </r>
  <r>
    <n v="22523"/>
    <d v="2024-02-11T00:00:00"/>
    <x v="0"/>
    <s v="Hyderabad"/>
    <s v="SC_HYD_5"/>
    <x v="0"/>
    <s v="Taycan"/>
    <s v="Sedan"/>
    <x v="0"/>
    <x v="0"/>
    <x v="1"/>
    <x v="0"/>
    <n v="7"/>
    <n v="7"/>
    <x v="1"/>
    <x v="1"/>
    <n v="469425"/>
    <n v="285383"/>
    <n v="184042"/>
    <x v="3"/>
    <n v="0"/>
    <n v="0"/>
    <n v="1"/>
    <n v="0"/>
    <n v="1"/>
    <s v="No"/>
    <x v="2"/>
  </r>
  <r>
    <n v="22524"/>
    <d v="2024-02-09T00:00:00"/>
    <x v="3"/>
    <s v="Ahmedabad"/>
    <s v="SC_AHM_2"/>
    <x v="1"/>
    <s v="Macan"/>
    <s v="SUV"/>
    <x v="1"/>
    <x v="0"/>
    <x v="2"/>
    <x v="0"/>
    <n v="9"/>
    <n v="7"/>
    <x v="0"/>
    <x v="0"/>
    <n v="263035"/>
    <n v="200841"/>
    <n v="62194"/>
    <x v="2"/>
    <n v="0"/>
    <n v="1"/>
    <n v="0"/>
    <n v="1"/>
    <n v="1"/>
    <s v="Yes"/>
    <x v="1"/>
  </r>
  <r>
    <n v="22525"/>
    <d v="2024-01-22T00:00:00"/>
    <x v="1"/>
    <s v="Bhubaneswar"/>
    <s v="SC_BHU_2"/>
    <x v="0"/>
    <s v="911"/>
    <s v="Coupe"/>
    <x v="1"/>
    <x v="2"/>
    <x v="1"/>
    <x v="1"/>
    <n v="11"/>
    <n v="7"/>
    <x v="1"/>
    <x v="0"/>
    <n v="507307"/>
    <n v="291891"/>
    <n v="215416"/>
    <x v="2"/>
    <n v="0"/>
    <n v="1"/>
    <n v="1"/>
    <n v="0"/>
    <n v="1"/>
    <s v="Yes"/>
    <x v="1"/>
  </r>
  <r>
    <n v="22526"/>
    <d v="2024-02-27T00:00:00"/>
    <x v="3"/>
    <s v="Ahmedabad"/>
    <s v="SC_AHM_2"/>
    <x v="0"/>
    <s v="Panamera"/>
    <s v="Sedan"/>
    <x v="1"/>
    <x v="1"/>
    <x v="0"/>
    <x v="1"/>
    <n v="13"/>
    <n v="7"/>
    <x v="0"/>
    <x v="1"/>
    <n v="338263"/>
    <n v="239605"/>
    <n v="98658"/>
    <x v="1"/>
    <n v="338263"/>
    <n v="0"/>
    <n v="0"/>
    <n v="1"/>
    <n v="1"/>
    <s v="Yes"/>
    <x v="0"/>
  </r>
  <r>
    <n v="22527"/>
    <d v="2024-06-06T00:00:00"/>
    <x v="2"/>
    <s v="Delhi"/>
    <s v="SC_DEL_5"/>
    <x v="1"/>
    <s v="Chiron"/>
    <s v="Hypercar"/>
    <x v="0"/>
    <x v="1"/>
    <x v="0"/>
    <x v="0"/>
    <n v="7"/>
    <n v="7"/>
    <x v="0"/>
    <x v="0"/>
    <n v="587169"/>
    <n v="375238"/>
    <n v="211931"/>
    <x v="2"/>
    <n v="0"/>
    <n v="1"/>
    <n v="0"/>
    <n v="1"/>
    <n v="1"/>
    <s v="No"/>
    <x v="1"/>
  </r>
  <r>
    <n v="22528"/>
    <d v="2024-02-15T00:00:00"/>
    <x v="0"/>
    <s v="Hyderabad"/>
    <s v="SC_HYD_1"/>
    <x v="0"/>
    <s v="Veyron"/>
    <s v="Hypercar"/>
    <x v="1"/>
    <x v="3"/>
    <x v="0"/>
    <x v="1"/>
    <n v="13"/>
    <n v="7"/>
    <x v="0"/>
    <x v="1"/>
    <n v="466525"/>
    <n v="389663"/>
    <n v="76862"/>
    <x v="1"/>
    <n v="466525"/>
    <n v="0"/>
    <n v="0"/>
    <n v="1"/>
    <n v="1"/>
    <s v="Yes"/>
    <x v="0"/>
  </r>
  <r>
    <n v="22529"/>
    <d v="2024-06-07T00:00:00"/>
    <x v="1"/>
    <s v="Kolkata"/>
    <s v="SC_KOL_2"/>
    <x v="0"/>
    <s v="Cayenne"/>
    <s v="SUV"/>
    <x v="0"/>
    <x v="1"/>
    <x v="2"/>
    <x v="0"/>
    <n v="24"/>
    <n v="7"/>
    <x v="0"/>
    <x v="1"/>
    <n v="524040"/>
    <n v="278441"/>
    <n v="245599"/>
    <x v="0"/>
    <n v="524040"/>
    <n v="0"/>
    <n v="0"/>
    <n v="1"/>
    <n v="1"/>
    <s v="Yes"/>
    <x v="0"/>
  </r>
  <r>
    <n v="22530"/>
    <d v="2024-06-19T00:00:00"/>
    <x v="3"/>
    <s v="Ahmedabad"/>
    <s v="SC_AHM_4"/>
    <x v="1"/>
    <s v="Chiron"/>
    <s v="Hypercar"/>
    <x v="1"/>
    <x v="0"/>
    <x v="0"/>
    <x v="0"/>
    <n v="5"/>
    <n v="7"/>
    <x v="0"/>
    <x v="0"/>
    <n v="401717"/>
    <n v="226538"/>
    <n v="175179"/>
    <x v="2"/>
    <n v="0"/>
    <n v="1"/>
    <n v="0"/>
    <n v="1"/>
    <n v="1"/>
    <s v="No"/>
    <x v="1"/>
  </r>
  <r>
    <n v="22531"/>
    <d v="2024-05-12T00:00:00"/>
    <x v="2"/>
    <s v="Delhi"/>
    <s v="SC_DEL_2"/>
    <x v="1"/>
    <s v="Veyron"/>
    <s v="Hypercar"/>
    <x v="1"/>
    <x v="4"/>
    <x v="2"/>
    <x v="0"/>
    <n v="8"/>
    <n v="7"/>
    <x v="0"/>
    <x v="0"/>
    <n v="280812"/>
    <n v="180742"/>
    <n v="100070"/>
    <x v="2"/>
    <n v="0"/>
    <n v="1"/>
    <n v="0"/>
    <n v="1"/>
    <n v="1"/>
    <s v="Yes"/>
    <x v="1"/>
  </r>
  <r>
    <n v="22532"/>
    <d v="2024-06-25T00:00:00"/>
    <x v="2"/>
    <s v="Delhi"/>
    <s v="SC_DEL_4"/>
    <x v="2"/>
    <s v="Cayenne"/>
    <s v="SUV"/>
    <x v="1"/>
    <x v="2"/>
    <x v="2"/>
    <x v="1"/>
    <n v="3"/>
    <n v="7"/>
    <x v="0"/>
    <x v="0"/>
    <n v="222038"/>
    <n v="166301"/>
    <n v="55737"/>
    <x v="3"/>
    <n v="0"/>
    <n v="1"/>
    <n v="0"/>
    <n v="1"/>
    <n v="1"/>
    <s v="No"/>
    <x v="2"/>
  </r>
  <r>
    <n v="22533"/>
    <d v="2024-04-06T00:00:00"/>
    <x v="3"/>
    <s v="Pune"/>
    <s v="SC_PUN_3"/>
    <x v="0"/>
    <s v="Panamera"/>
    <s v="Sedan"/>
    <x v="0"/>
    <x v="1"/>
    <x v="1"/>
    <x v="0"/>
    <n v="12"/>
    <n v="7"/>
    <x v="0"/>
    <x v="1"/>
    <n v="134934"/>
    <n v="80855"/>
    <n v="54079"/>
    <x v="1"/>
    <n v="134934"/>
    <n v="0"/>
    <n v="0"/>
    <n v="1"/>
    <n v="1"/>
    <s v="Yes"/>
    <x v="0"/>
  </r>
  <r>
    <n v="22534"/>
    <d v="2024-05-24T00:00:00"/>
    <x v="3"/>
    <s v="Mumbai"/>
    <s v="SC_MUM_4"/>
    <x v="0"/>
    <s v="Taycan"/>
    <s v="Sedan"/>
    <x v="0"/>
    <x v="3"/>
    <x v="1"/>
    <x v="0"/>
    <n v="9"/>
    <n v="7"/>
    <x v="0"/>
    <x v="0"/>
    <n v="156590"/>
    <n v="102248"/>
    <n v="54342"/>
    <x v="2"/>
    <n v="0"/>
    <n v="1"/>
    <n v="0"/>
    <n v="1"/>
    <n v="1"/>
    <s v="Yes"/>
    <x v="1"/>
  </r>
  <r>
    <n v="22535"/>
    <d v="2024-05-13T00:00:00"/>
    <x v="1"/>
    <s v="Kolkata"/>
    <s v="SC_KOL_2"/>
    <x v="1"/>
    <s v="Taycan"/>
    <s v="Sedan"/>
    <x v="1"/>
    <x v="3"/>
    <x v="0"/>
    <x v="1"/>
    <n v="9"/>
    <n v="7"/>
    <x v="0"/>
    <x v="0"/>
    <n v="549090"/>
    <n v="443258"/>
    <n v="105832"/>
    <x v="2"/>
    <n v="0"/>
    <n v="1"/>
    <n v="0"/>
    <n v="1"/>
    <n v="1"/>
    <s v="Yes"/>
    <x v="1"/>
  </r>
  <r>
    <n v="22536"/>
    <d v="2024-02-21T00:00:00"/>
    <x v="0"/>
    <s v="Hyderabad"/>
    <s v="SC_HYD_4"/>
    <x v="2"/>
    <s v="911"/>
    <s v="Coupe"/>
    <x v="0"/>
    <x v="0"/>
    <x v="0"/>
    <x v="1"/>
    <n v="22"/>
    <n v="7"/>
    <x v="0"/>
    <x v="1"/>
    <n v="402699"/>
    <n v="332541"/>
    <n v="70158"/>
    <x v="0"/>
    <n v="402699"/>
    <n v="0"/>
    <n v="0"/>
    <n v="1"/>
    <n v="1"/>
    <s v="Yes"/>
    <x v="0"/>
  </r>
  <r>
    <n v="22537"/>
    <d v="2024-04-20T00:00:00"/>
    <x v="1"/>
    <s v="Bhubaneswar"/>
    <s v="SC_BHU_5"/>
    <x v="1"/>
    <s v="Chiron"/>
    <s v="Hypercar"/>
    <x v="0"/>
    <x v="2"/>
    <x v="1"/>
    <x v="0"/>
    <n v="9"/>
    <n v="7"/>
    <x v="1"/>
    <x v="1"/>
    <n v="151555"/>
    <n v="82327"/>
    <n v="69228"/>
    <x v="3"/>
    <n v="0"/>
    <n v="0"/>
    <n v="1"/>
    <n v="0"/>
    <n v="1"/>
    <s v="Yes"/>
    <x v="2"/>
  </r>
  <r>
    <n v="22538"/>
    <d v="2024-05-24T00:00:00"/>
    <x v="1"/>
    <s v="Bhubaneswar"/>
    <s v="SC_BHU_5"/>
    <x v="1"/>
    <s v="Panamera"/>
    <s v="Sedan"/>
    <x v="0"/>
    <x v="3"/>
    <x v="2"/>
    <x v="0"/>
    <n v="25"/>
    <n v="7"/>
    <x v="1"/>
    <x v="1"/>
    <n v="277372"/>
    <n v="195776"/>
    <n v="81596"/>
    <x v="0"/>
    <n v="0"/>
    <n v="0"/>
    <n v="1"/>
    <n v="0"/>
    <n v="1"/>
    <s v="Yes"/>
    <x v="0"/>
  </r>
  <r>
    <n v="22539"/>
    <d v="2024-01-01T00:00:00"/>
    <x v="0"/>
    <s v="Bengaluru"/>
    <s v="SC_BEN_2"/>
    <x v="1"/>
    <s v="Panamera"/>
    <s v="Sedan"/>
    <x v="0"/>
    <x v="4"/>
    <x v="2"/>
    <x v="0"/>
    <n v="22"/>
    <n v="7"/>
    <x v="0"/>
    <x v="1"/>
    <n v="278761"/>
    <n v="209177"/>
    <n v="69584"/>
    <x v="0"/>
    <n v="278761"/>
    <n v="0"/>
    <n v="0"/>
    <n v="1"/>
    <n v="1"/>
    <s v="Yes"/>
    <x v="0"/>
  </r>
  <r>
    <n v="22540"/>
    <d v="2024-04-11T00:00:00"/>
    <x v="0"/>
    <s v="Chennai"/>
    <s v="SC_CHE_4"/>
    <x v="2"/>
    <s v="911"/>
    <s v="Coupe"/>
    <x v="1"/>
    <x v="3"/>
    <x v="2"/>
    <x v="0"/>
    <n v="12"/>
    <n v="7"/>
    <x v="0"/>
    <x v="0"/>
    <n v="417651"/>
    <n v="293023"/>
    <n v="124628"/>
    <x v="1"/>
    <n v="0"/>
    <n v="1"/>
    <n v="0"/>
    <n v="1"/>
    <n v="1"/>
    <s v="Yes"/>
    <x v="0"/>
  </r>
  <r>
    <n v="22541"/>
    <d v="2024-01-31T00:00:00"/>
    <x v="3"/>
    <s v="Mumbai"/>
    <s v="SC_MUM_1"/>
    <x v="0"/>
    <s v="Veyron"/>
    <s v="Hypercar"/>
    <x v="0"/>
    <x v="4"/>
    <x v="2"/>
    <x v="1"/>
    <n v="2"/>
    <n v="7"/>
    <x v="0"/>
    <x v="1"/>
    <n v="335565"/>
    <n v="185139"/>
    <n v="150426"/>
    <x v="3"/>
    <n v="335565"/>
    <n v="0"/>
    <n v="0"/>
    <n v="1"/>
    <n v="1"/>
    <s v="No"/>
    <x v="2"/>
  </r>
  <r>
    <n v="22542"/>
    <d v="2024-04-06T00:00:00"/>
    <x v="3"/>
    <s v="Mumbai"/>
    <s v="SC_MUM_4"/>
    <x v="2"/>
    <s v="Cayenne"/>
    <s v="SUV"/>
    <x v="1"/>
    <x v="3"/>
    <x v="1"/>
    <x v="0"/>
    <n v="7"/>
    <n v="7"/>
    <x v="0"/>
    <x v="1"/>
    <n v="520388"/>
    <n v="275404"/>
    <n v="244984"/>
    <x v="2"/>
    <n v="520388"/>
    <n v="0"/>
    <n v="0"/>
    <n v="1"/>
    <n v="1"/>
    <s v="No"/>
    <x v="1"/>
  </r>
  <r>
    <n v="22543"/>
    <d v="2024-01-06T00:00:00"/>
    <x v="3"/>
    <s v="Mumbai"/>
    <s v="SC_MUM_1"/>
    <x v="2"/>
    <s v="Macan"/>
    <s v="SUV"/>
    <x v="0"/>
    <x v="2"/>
    <x v="1"/>
    <x v="0"/>
    <n v="25"/>
    <n v="7"/>
    <x v="1"/>
    <x v="1"/>
    <n v="484435"/>
    <n v="309190"/>
    <n v="175245"/>
    <x v="0"/>
    <n v="0"/>
    <n v="0"/>
    <n v="1"/>
    <n v="0"/>
    <n v="1"/>
    <s v="Yes"/>
    <x v="0"/>
  </r>
  <r>
    <n v="22544"/>
    <d v="2024-02-01T00:00:00"/>
    <x v="0"/>
    <s v="Bengaluru"/>
    <s v="SC_BEN_4"/>
    <x v="0"/>
    <s v="Cayenne"/>
    <s v="SUV"/>
    <x v="0"/>
    <x v="1"/>
    <x v="2"/>
    <x v="0"/>
    <n v="8"/>
    <n v="7"/>
    <x v="1"/>
    <x v="0"/>
    <n v="350411"/>
    <n v="268479"/>
    <n v="81932"/>
    <x v="3"/>
    <n v="0"/>
    <n v="1"/>
    <n v="1"/>
    <n v="0"/>
    <n v="1"/>
    <s v="Yes"/>
    <x v="2"/>
  </r>
  <r>
    <n v="22545"/>
    <d v="2024-03-20T00:00:00"/>
    <x v="1"/>
    <s v="Patna"/>
    <s v="SC_PAT_5"/>
    <x v="2"/>
    <s v="911"/>
    <s v="Coupe"/>
    <x v="1"/>
    <x v="3"/>
    <x v="1"/>
    <x v="0"/>
    <n v="20"/>
    <n v="7"/>
    <x v="0"/>
    <x v="0"/>
    <n v="175462"/>
    <n v="139456"/>
    <n v="36006"/>
    <x v="0"/>
    <n v="0"/>
    <n v="1"/>
    <n v="0"/>
    <n v="1"/>
    <n v="1"/>
    <s v="Yes"/>
    <x v="0"/>
  </r>
  <r>
    <n v="22546"/>
    <d v="2024-02-16T00:00:00"/>
    <x v="0"/>
    <s v="Bengaluru"/>
    <s v="SC_BEN_5"/>
    <x v="0"/>
    <s v="Panamera"/>
    <s v="Sedan"/>
    <x v="0"/>
    <x v="4"/>
    <x v="2"/>
    <x v="1"/>
    <n v="10"/>
    <n v="7"/>
    <x v="1"/>
    <x v="0"/>
    <n v="571991"/>
    <n v="386258"/>
    <n v="185733"/>
    <x v="2"/>
    <n v="0"/>
    <n v="1"/>
    <n v="1"/>
    <n v="0"/>
    <n v="1"/>
    <s v="Yes"/>
    <x v="1"/>
  </r>
  <r>
    <n v="22547"/>
    <d v="2024-01-08T00:00:00"/>
    <x v="0"/>
    <s v="Bengaluru"/>
    <s v="SC_BEN_3"/>
    <x v="1"/>
    <s v="Veyron"/>
    <s v="Hypercar"/>
    <x v="0"/>
    <x v="0"/>
    <x v="0"/>
    <x v="1"/>
    <n v="13"/>
    <n v="7"/>
    <x v="0"/>
    <x v="1"/>
    <n v="428840"/>
    <n v="242404"/>
    <n v="186436"/>
    <x v="1"/>
    <n v="428840"/>
    <n v="0"/>
    <n v="0"/>
    <n v="1"/>
    <n v="1"/>
    <s v="Yes"/>
    <x v="0"/>
  </r>
  <r>
    <n v="22548"/>
    <d v="2024-02-14T00:00:00"/>
    <x v="3"/>
    <s v="Pune"/>
    <s v="SC_PUN_5"/>
    <x v="2"/>
    <s v="Panamera"/>
    <s v="Sedan"/>
    <x v="0"/>
    <x v="4"/>
    <x v="0"/>
    <x v="0"/>
    <n v="8"/>
    <n v="7"/>
    <x v="1"/>
    <x v="1"/>
    <n v="153837"/>
    <n v="128142"/>
    <n v="25695"/>
    <x v="3"/>
    <n v="0"/>
    <n v="0"/>
    <n v="1"/>
    <n v="0"/>
    <n v="1"/>
    <s v="Yes"/>
    <x v="2"/>
  </r>
  <r>
    <n v="22549"/>
    <d v="2024-03-06T00:00:00"/>
    <x v="3"/>
    <s v="Pune"/>
    <s v="SC_PUN_3"/>
    <x v="2"/>
    <s v="911"/>
    <s v="Coupe"/>
    <x v="0"/>
    <x v="2"/>
    <x v="0"/>
    <x v="1"/>
    <n v="14"/>
    <n v="7"/>
    <x v="0"/>
    <x v="1"/>
    <n v="183826"/>
    <n v="95092"/>
    <n v="88734"/>
    <x v="1"/>
    <n v="183826"/>
    <n v="0"/>
    <n v="0"/>
    <n v="1"/>
    <n v="1"/>
    <s v="Yes"/>
    <x v="0"/>
  </r>
  <r>
    <n v="22550"/>
    <d v="2024-05-11T00:00:00"/>
    <x v="3"/>
    <s v="Pune"/>
    <s v="SC_PUN_5"/>
    <x v="1"/>
    <s v="Panamera"/>
    <s v="Sedan"/>
    <x v="0"/>
    <x v="0"/>
    <x v="0"/>
    <x v="1"/>
    <n v="9"/>
    <n v="7"/>
    <x v="0"/>
    <x v="0"/>
    <n v="92646"/>
    <n v="77497"/>
    <n v="15149"/>
    <x v="2"/>
    <n v="0"/>
    <n v="1"/>
    <n v="0"/>
    <n v="1"/>
    <n v="1"/>
    <s v="Yes"/>
    <x v="1"/>
  </r>
  <r>
    <n v="22551"/>
    <d v="2024-04-18T00:00:00"/>
    <x v="1"/>
    <s v="Kolkata"/>
    <s v="SC_KOL_3"/>
    <x v="0"/>
    <s v="Taycan"/>
    <s v="Sedan"/>
    <x v="0"/>
    <x v="2"/>
    <x v="1"/>
    <x v="1"/>
    <n v="22"/>
    <n v="7"/>
    <x v="0"/>
    <x v="1"/>
    <n v="177095"/>
    <n v="95941"/>
    <n v="81154"/>
    <x v="0"/>
    <n v="177095"/>
    <n v="0"/>
    <n v="0"/>
    <n v="1"/>
    <n v="1"/>
    <s v="Yes"/>
    <x v="0"/>
  </r>
  <r>
    <n v="22552"/>
    <d v="2024-06-23T00:00:00"/>
    <x v="2"/>
    <s v="Noida"/>
    <s v="SC_NOI_5"/>
    <x v="0"/>
    <s v="Macan"/>
    <s v="SUV"/>
    <x v="1"/>
    <x v="3"/>
    <x v="1"/>
    <x v="1"/>
    <n v="15"/>
    <n v="7"/>
    <x v="1"/>
    <x v="1"/>
    <n v="295062"/>
    <n v="229032"/>
    <n v="66030"/>
    <x v="1"/>
    <n v="0"/>
    <n v="0"/>
    <n v="1"/>
    <n v="0"/>
    <n v="1"/>
    <s v="Yes"/>
    <x v="0"/>
  </r>
  <r>
    <n v="22553"/>
    <d v="2024-04-09T00:00:00"/>
    <x v="0"/>
    <s v="Bengaluru"/>
    <s v="SC_BEN_1"/>
    <x v="1"/>
    <s v="911"/>
    <s v="Coupe"/>
    <x v="1"/>
    <x v="2"/>
    <x v="0"/>
    <x v="1"/>
    <n v="4"/>
    <n v="7"/>
    <x v="1"/>
    <x v="0"/>
    <n v="328296"/>
    <n v="210596"/>
    <n v="117700"/>
    <x v="4"/>
    <n v="0"/>
    <n v="1"/>
    <n v="1"/>
    <n v="0"/>
    <n v="1"/>
    <s v="No"/>
    <x v="2"/>
  </r>
  <r>
    <n v="22554"/>
    <d v="2024-05-30T00:00:00"/>
    <x v="0"/>
    <s v="Chennai"/>
    <s v="SC_CHE_1"/>
    <x v="0"/>
    <s v="911"/>
    <s v="Coupe"/>
    <x v="1"/>
    <x v="4"/>
    <x v="2"/>
    <x v="1"/>
    <n v="18"/>
    <n v="7"/>
    <x v="0"/>
    <x v="1"/>
    <n v="459651"/>
    <n v="259544"/>
    <n v="200107"/>
    <x v="0"/>
    <n v="459651"/>
    <n v="0"/>
    <n v="0"/>
    <n v="1"/>
    <n v="1"/>
    <s v="Yes"/>
    <x v="0"/>
  </r>
  <r>
    <n v="22555"/>
    <d v="2024-04-21T00:00:00"/>
    <x v="1"/>
    <s v="Kolkata"/>
    <s v="SC_KOL_3"/>
    <x v="0"/>
    <s v="Chiron"/>
    <s v="Hypercar"/>
    <x v="1"/>
    <x v="1"/>
    <x v="0"/>
    <x v="0"/>
    <n v="13"/>
    <n v="7"/>
    <x v="0"/>
    <x v="1"/>
    <n v="123695"/>
    <n v="91490"/>
    <n v="32205"/>
    <x v="1"/>
    <n v="123695"/>
    <n v="0"/>
    <n v="0"/>
    <n v="1"/>
    <n v="1"/>
    <s v="Yes"/>
    <x v="0"/>
  </r>
  <r>
    <n v="22556"/>
    <d v="2024-06-14T00:00:00"/>
    <x v="0"/>
    <s v="Hyderabad"/>
    <s v="SC_HYD_4"/>
    <x v="1"/>
    <s v="Cayenne"/>
    <s v="SUV"/>
    <x v="1"/>
    <x v="1"/>
    <x v="0"/>
    <x v="1"/>
    <n v="21"/>
    <n v="7"/>
    <x v="0"/>
    <x v="1"/>
    <n v="351560"/>
    <n v="184953"/>
    <n v="166607"/>
    <x v="0"/>
    <n v="351560"/>
    <n v="0"/>
    <n v="0"/>
    <n v="1"/>
    <n v="1"/>
    <s v="Yes"/>
    <x v="0"/>
  </r>
  <r>
    <n v="22557"/>
    <d v="2024-02-12T00:00:00"/>
    <x v="0"/>
    <s v="Chennai"/>
    <s v="SC_CHE_3"/>
    <x v="2"/>
    <s v="Chiron"/>
    <s v="Hypercar"/>
    <x v="1"/>
    <x v="2"/>
    <x v="1"/>
    <x v="1"/>
    <n v="21"/>
    <n v="7"/>
    <x v="0"/>
    <x v="1"/>
    <n v="124117"/>
    <n v="72087"/>
    <n v="52030"/>
    <x v="0"/>
    <n v="124117"/>
    <n v="0"/>
    <n v="0"/>
    <n v="1"/>
    <n v="1"/>
    <s v="Yes"/>
    <x v="0"/>
  </r>
  <r>
    <n v="22558"/>
    <d v="2024-02-19T00:00:00"/>
    <x v="3"/>
    <s v="Ahmedabad"/>
    <s v="SC_AHM_1"/>
    <x v="1"/>
    <s v="Cayenne"/>
    <s v="SUV"/>
    <x v="0"/>
    <x v="0"/>
    <x v="0"/>
    <x v="1"/>
    <n v="15"/>
    <n v="7"/>
    <x v="0"/>
    <x v="0"/>
    <n v="217421"/>
    <n v="147625"/>
    <n v="69796"/>
    <x v="0"/>
    <n v="0"/>
    <n v="1"/>
    <n v="0"/>
    <n v="1"/>
    <n v="1"/>
    <s v="Yes"/>
    <x v="0"/>
  </r>
  <r>
    <n v="22559"/>
    <d v="2024-05-23T00:00:00"/>
    <x v="2"/>
    <s v="Delhi"/>
    <s v="SC_DEL_4"/>
    <x v="1"/>
    <s v="Taycan"/>
    <s v="Sedan"/>
    <x v="0"/>
    <x v="2"/>
    <x v="1"/>
    <x v="0"/>
    <n v="17"/>
    <n v="7"/>
    <x v="0"/>
    <x v="0"/>
    <n v="316860"/>
    <n v="184184"/>
    <n v="132676"/>
    <x v="0"/>
    <n v="0"/>
    <n v="1"/>
    <n v="0"/>
    <n v="1"/>
    <n v="1"/>
    <s v="Yes"/>
    <x v="0"/>
  </r>
  <r>
    <n v="22560"/>
    <d v="2024-05-13T00:00:00"/>
    <x v="0"/>
    <s v="Bengaluru"/>
    <s v="SC_BEN_4"/>
    <x v="2"/>
    <s v="Veyron"/>
    <s v="Hypercar"/>
    <x v="0"/>
    <x v="4"/>
    <x v="1"/>
    <x v="0"/>
    <n v="20"/>
    <n v="7"/>
    <x v="0"/>
    <x v="1"/>
    <n v="210170"/>
    <n v="124491"/>
    <n v="85679"/>
    <x v="0"/>
    <n v="210170"/>
    <n v="0"/>
    <n v="0"/>
    <n v="1"/>
    <n v="1"/>
    <s v="Yes"/>
    <x v="0"/>
  </r>
  <r>
    <n v="22561"/>
    <d v="2024-02-28T00:00:00"/>
    <x v="1"/>
    <s v="Bhubaneswar"/>
    <s v="SC_BHU_4"/>
    <x v="0"/>
    <s v="911"/>
    <s v="Coupe"/>
    <x v="1"/>
    <x v="2"/>
    <x v="2"/>
    <x v="0"/>
    <n v="11"/>
    <n v="7"/>
    <x v="1"/>
    <x v="1"/>
    <n v="189589"/>
    <n v="127860"/>
    <n v="61729"/>
    <x v="2"/>
    <n v="0"/>
    <n v="0"/>
    <n v="1"/>
    <n v="0"/>
    <n v="1"/>
    <s v="Yes"/>
    <x v="1"/>
  </r>
  <r>
    <n v="22562"/>
    <d v="2024-05-11T00:00:00"/>
    <x v="1"/>
    <s v="Kolkata"/>
    <s v="SC_KOL_3"/>
    <x v="0"/>
    <s v="Macan"/>
    <s v="SUV"/>
    <x v="1"/>
    <x v="0"/>
    <x v="0"/>
    <x v="0"/>
    <n v="16"/>
    <n v="7"/>
    <x v="0"/>
    <x v="1"/>
    <n v="132226"/>
    <n v="83901"/>
    <n v="48325"/>
    <x v="0"/>
    <n v="132226"/>
    <n v="0"/>
    <n v="0"/>
    <n v="1"/>
    <n v="1"/>
    <s v="Yes"/>
    <x v="0"/>
  </r>
  <r>
    <n v="22563"/>
    <d v="2024-03-13T00:00:00"/>
    <x v="1"/>
    <s v="Kolkata"/>
    <s v="SC_KOL_3"/>
    <x v="0"/>
    <s v="Cayenne"/>
    <s v="SUV"/>
    <x v="1"/>
    <x v="1"/>
    <x v="2"/>
    <x v="0"/>
    <n v="21"/>
    <n v="7"/>
    <x v="0"/>
    <x v="1"/>
    <n v="550932"/>
    <n v="330922"/>
    <n v="220010"/>
    <x v="0"/>
    <n v="550932"/>
    <n v="0"/>
    <n v="0"/>
    <n v="1"/>
    <n v="1"/>
    <s v="Yes"/>
    <x v="0"/>
  </r>
  <r>
    <n v="22564"/>
    <d v="2024-02-11T00:00:00"/>
    <x v="0"/>
    <s v="Bengaluru"/>
    <s v="SC_BEN_1"/>
    <x v="1"/>
    <s v="Chiron"/>
    <s v="Hypercar"/>
    <x v="0"/>
    <x v="3"/>
    <x v="2"/>
    <x v="0"/>
    <n v="8"/>
    <n v="7"/>
    <x v="0"/>
    <x v="1"/>
    <n v="342686"/>
    <n v="257941"/>
    <n v="84745"/>
    <x v="2"/>
    <n v="342686"/>
    <n v="0"/>
    <n v="0"/>
    <n v="1"/>
    <n v="1"/>
    <s v="Yes"/>
    <x v="1"/>
  </r>
  <r>
    <n v="22565"/>
    <d v="2024-06-13T00:00:00"/>
    <x v="1"/>
    <s v="Bhubaneswar"/>
    <s v="SC_BHU_4"/>
    <x v="1"/>
    <s v="Chiron"/>
    <s v="Hypercar"/>
    <x v="1"/>
    <x v="3"/>
    <x v="1"/>
    <x v="1"/>
    <n v="6"/>
    <n v="7"/>
    <x v="0"/>
    <x v="1"/>
    <n v="488536"/>
    <n v="258332"/>
    <n v="230204"/>
    <x v="2"/>
    <n v="488536"/>
    <n v="0"/>
    <n v="0"/>
    <n v="1"/>
    <n v="1"/>
    <s v="No"/>
    <x v="1"/>
  </r>
  <r>
    <n v="22566"/>
    <d v="2024-01-31T00:00:00"/>
    <x v="2"/>
    <s v="Noida"/>
    <s v="SC_NOI_1"/>
    <x v="1"/>
    <s v="Taycan"/>
    <s v="Sedan"/>
    <x v="1"/>
    <x v="4"/>
    <x v="2"/>
    <x v="0"/>
    <n v="10"/>
    <n v="7"/>
    <x v="1"/>
    <x v="1"/>
    <n v="401401"/>
    <n v="204499"/>
    <n v="196902"/>
    <x v="2"/>
    <n v="0"/>
    <n v="0"/>
    <n v="1"/>
    <n v="0"/>
    <n v="1"/>
    <s v="Yes"/>
    <x v="1"/>
  </r>
  <r>
    <n v="22567"/>
    <d v="2024-05-17T00:00:00"/>
    <x v="1"/>
    <s v="Bhubaneswar"/>
    <s v="SC_BHU_3"/>
    <x v="1"/>
    <s v="Taycan"/>
    <s v="Sedan"/>
    <x v="1"/>
    <x v="1"/>
    <x v="2"/>
    <x v="0"/>
    <n v="16"/>
    <n v="7"/>
    <x v="1"/>
    <x v="0"/>
    <n v="255983"/>
    <n v="146145"/>
    <n v="109838"/>
    <x v="1"/>
    <n v="0"/>
    <n v="1"/>
    <n v="1"/>
    <n v="0"/>
    <n v="1"/>
    <s v="Yes"/>
    <x v="0"/>
  </r>
  <r>
    <n v="22568"/>
    <d v="2024-04-21T00:00:00"/>
    <x v="0"/>
    <s v="Chennai"/>
    <s v="SC_CHE_5"/>
    <x v="1"/>
    <s v="Taycan"/>
    <s v="Sedan"/>
    <x v="1"/>
    <x v="0"/>
    <x v="1"/>
    <x v="1"/>
    <n v="8"/>
    <n v="7"/>
    <x v="1"/>
    <x v="1"/>
    <n v="358887"/>
    <n v="228402"/>
    <n v="130485"/>
    <x v="3"/>
    <n v="0"/>
    <n v="0"/>
    <n v="1"/>
    <n v="0"/>
    <n v="1"/>
    <s v="Yes"/>
    <x v="2"/>
  </r>
  <r>
    <n v="22569"/>
    <d v="2024-03-06T00:00:00"/>
    <x v="0"/>
    <s v="Chennai"/>
    <s v="SC_CHE_5"/>
    <x v="2"/>
    <s v="Veyron"/>
    <s v="Hypercar"/>
    <x v="0"/>
    <x v="3"/>
    <x v="2"/>
    <x v="1"/>
    <n v="19"/>
    <n v="7"/>
    <x v="1"/>
    <x v="1"/>
    <n v="266404"/>
    <n v="134805"/>
    <n v="131599"/>
    <x v="1"/>
    <n v="0"/>
    <n v="0"/>
    <n v="1"/>
    <n v="0"/>
    <n v="1"/>
    <s v="Yes"/>
    <x v="0"/>
  </r>
  <r>
    <n v="22570"/>
    <d v="2024-02-22T00:00:00"/>
    <x v="3"/>
    <s v="Ahmedabad"/>
    <s v="SC_AHM_2"/>
    <x v="1"/>
    <s v="Macan"/>
    <s v="SUV"/>
    <x v="0"/>
    <x v="4"/>
    <x v="2"/>
    <x v="1"/>
    <n v="17"/>
    <n v="7"/>
    <x v="1"/>
    <x v="1"/>
    <n v="315970"/>
    <n v="221693"/>
    <n v="94277"/>
    <x v="1"/>
    <n v="0"/>
    <n v="0"/>
    <n v="1"/>
    <n v="0"/>
    <n v="1"/>
    <s v="Yes"/>
    <x v="0"/>
  </r>
  <r>
    <n v="22571"/>
    <d v="2024-03-02T00:00:00"/>
    <x v="0"/>
    <s v="Chennai"/>
    <s v="SC_CHE_5"/>
    <x v="2"/>
    <s v="Macan"/>
    <s v="SUV"/>
    <x v="0"/>
    <x v="1"/>
    <x v="2"/>
    <x v="1"/>
    <n v="22"/>
    <n v="7"/>
    <x v="0"/>
    <x v="1"/>
    <n v="306914"/>
    <n v="188649"/>
    <n v="118265"/>
    <x v="0"/>
    <n v="306914"/>
    <n v="0"/>
    <n v="0"/>
    <n v="1"/>
    <n v="1"/>
    <s v="Yes"/>
    <x v="0"/>
  </r>
  <r>
    <n v="22572"/>
    <d v="2024-03-19T00:00:00"/>
    <x v="3"/>
    <s v="Pune"/>
    <s v="SC_PUN_3"/>
    <x v="0"/>
    <s v="Macan"/>
    <s v="SUV"/>
    <x v="1"/>
    <x v="4"/>
    <x v="1"/>
    <x v="0"/>
    <n v="18"/>
    <n v="7"/>
    <x v="0"/>
    <x v="0"/>
    <n v="494607"/>
    <n v="312380"/>
    <n v="182227"/>
    <x v="0"/>
    <n v="0"/>
    <n v="1"/>
    <n v="0"/>
    <n v="1"/>
    <n v="1"/>
    <s v="Yes"/>
    <x v="0"/>
  </r>
  <r>
    <n v="22573"/>
    <d v="2024-02-03T00:00:00"/>
    <x v="2"/>
    <s v="Noida"/>
    <s v="SC_NOI_1"/>
    <x v="1"/>
    <s v="Cayenne"/>
    <s v="SUV"/>
    <x v="0"/>
    <x v="4"/>
    <x v="0"/>
    <x v="1"/>
    <n v="25"/>
    <n v="7"/>
    <x v="0"/>
    <x v="0"/>
    <n v="451541"/>
    <n v="367223"/>
    <n v="84318"/>
    <x v="0"/>
    <n v="0"/>
    <n v="1"/>
    <n v="0"/>
    <n v="1"/>
    <n v="1"/>
    <s v="Yes"/>
    <x v="0"/>
  </r>
  <r>
    <n v="22574"/>
    <d v="2024-01-29T00:00:00"/>
    <x v="0"/>
    <s v="Chennai"/>
    <s v="SC_CHE_1"/>
    <x v="0"/>
    <s v="Taycan"/>
    <s v="Sedan"/>
    <x v="0"/>
    <x v="1"/>
    <x v="2"/>
    <x v="0"/>
    <n v="6"/>
    <n v="7"/>
    <x v="1"/>
    <x v="1"/>
    <n v="505356"/>
    <n v="380680"/>
    <n v="124676"/>
    <x v="3"/>
    <n v="0"/>
    <n v="0"/>
    <n v="1"/>
    <n v="0"/>
    <n v="1"/>
    <s v="No"/>
    <x v="2"/>
  </r>
  <r>
    <n v="22575"/>
    <d v="2024-01-31T00:00:00"/>
    <x v="0"/>
    <s v="Chennai"/>
    <s v="SC_CHE_5"/>
    <x v="2"/>
    <s v="Chiron"/>
    <s v="Hypercar"/>
    <x v="0"/>
    <x v="1"/>
    <x v="0"/>
    <x v="0"/>
    <n v="3"/>
    <n v="7"/>
    <x v="1"/>
    <x v="0"/>
    <n v="446565"/>
    <n v="319204"/>
    <n v="127361"/>
    <x v="4"/>
    <n v="0"/>
    <n v="1"/>
    <n v="1"/>
    <n v="0"/>
    <n v="1"/>
    <s v="No"/>
    <x v="2"/>
  </r>
  <r>
    <n v="22576"/>
    <d v="2024-03-02T00:00:00"/>
    <x v="0"/>
    <s v="Chennai"/>
    <s v="SC_CHE_1"/>
    <x v="2"/>
    <s v="Veyron"/>
    <s v="Hypercar"/>
    <x v="0"/>
    <x v="1"/>
    <x v="2"/>
    <x v="1"/>
    <n v="8"/>
    <n v="7"/>
    <x v="1"/>
    <x v="1"/>
    <n v="137937"/>
    <n v="71258"/>
    <n v="66679"/>
    <x v="3"/>
    <n v="0"/>
    <n v="0"/>
    <n v="1"/>
    <n v="0"/>
    <n v="1"/>
    <s v="Yes"/>
    <x v="2"/>
  </r>
  <r>
    <n v="22577"/>
    <d v="2024-05-19T00:00:00"/>
    <x v="1"/>
    <s v="Bhubaneswar"/>
    <s v="SC_BHU_2"/>
    <x v="1"/>
    <s v="Cayenne"/>
    <s v="SUV"/>
    <x v="1"/>
    <x v="3"/>
    <x v="1"/>
    <x v="1"/>
    <n v="5"/>
    <n v="7"/>
    <x v="1"/>
    <x v="1"/>
    <n v="211020"/>
    <n v="168636"/>
    <n v="42384"/>
    <x v="3"/>
    <n v="0"/>
    <n v="0"/>
    <n v="1"/>
    <n v="0"/>
    <n v="1"/>
    <s v="No"/>
    <x v="2"/>
  </r>
  <r>
    <n v="22578"/>
    <d v="2024-04-11T00:00:00"/>
    <x v="1"/>
    <s v="Patna"/>
    <s v="SC_PAT_3"/>
    <x v="0"/>
    <s v="Veyron"/>
    <s v="Hypercar"/>
    <x v="1"/>
    <x v="3"/>
    <x v="2"/>
    <x v="0"/>
    <n v="19"/>
    <n v="7"/>
    <x v="1"/>
    <x v="1"/>
    <n v="371848"/>
    <n v="254814"/>
    <n v="117034"/>
    <x v="1"/>
    <n v="0"/>
    <n v="0"/>
    <n v="1"/>
    <n v="0"/>
    <n v="1"/>
    <s v="Yes"/>
    <x v="0"/>
  </r>
  <r>
    <n v="22579"/>
    <d v="2024-03-10T00:00:00"/>
    <x v="1"/>
    <s v="Kolkata"/>
    <s v="SC_KOL_2"/>
    <x v="2"/>
    <s v="Chiron"/>
    <s v="Hypercar"/>
    <x v="0"/>
    <x v="3"/>
    <x v="2"/>
    <x v="0"/>
    <n v="5"/>
    <n v="7"/>
    <x v="0"/>
    <x v="1"/>
    <n v="457289"/>
    <n v="348434"/>
    <n v="108855"/>
    <x v="2"/>
    <n v="457289"/>
    <n v="0"/>
    <n v="0"/>
    <n v="1"/>
    <n v="1"/>
    <s v="No"/>
    <x v="1"/>
  </r>
  <r>
    <n v="22580"/>
    <d v="2024-05-13T00:00:00"/>
    <x v="0"/>
    <s v="Chennai"/>
    <s v="SC_CHE_1"/>
    <x v="1"/>
    <s v="Chiron"/>
    <s v="Hypercar"/>
    <x v="0"/>
    <x v="1"/>
    <x v="1"/>
    <x v="0"/>
    <n v="7"/>
    <n v="7"/>
    <x v="0"/>
    <x v="1"/>
    <n v="270890"/>
    <n v="174338"/>
    <n v="96552"/>
    <x v="2"/>
    <n v="270890"/>
    <n v="0"/>
    <n v="0"/>
    <n v="1"/>
    <n v="1"/>
    <s v="No"/>
    <x v="1"/>
  </r>
  <r>
    <n v="22581"/>
    <d v="2024-05-15T00:00:00"/>
    <x v="2"/>
    <s v="Gurugram"/>
    <s v="SC_GUR_2"/>
    <x v="2"/>
    <s v="Chiron"/>
    <s v="Hypercar"/>
    <x v="0"/>
    <x v="2"/>
    <x v="2"/>
    <x v="0"/>
    <n v="7"/>
    <n v="7"/>
    <x v="1"/>
    <x v="0"/>
    <n v="115821"/>
    <n v="59963"/>
    <n v="55858"/>
    <x v="3"/>
    <n v="0"/>
    <n v="1"/>
    <n v="1"/>
    <n v="0"/>
    <n v="1"/>
    <s v="No"/>
    <x v="2"/>
  </r>
  <r>
    <n v="22582"/>
    <d v="2024-05-21T00:00:00"/>
    <x v="1"/>
    <s v="Bhubaneswar"/>
    <s v="SC_BHU_1"/>
    <x v="1"/>
    <s v="Cayenne"/>
    <s v="SUV"/>
    <x v="1"/>
    <x v="0"/>
    <x v="2"/>
    <x v="0"/>
    <n v="18"/>
    <n v="7"/>
    <x v="0"/>
    <x v="1"/>
    <n v="242162"/>
    <n v="166436"/>
    <n v="75726"/>
    <x v="0"/>
    <n v="242162"/>
    <n v="0"/>
    <n v="0"/>
    <n v="1"/>
    <n v="1"/>
    <s v="Yes"/>
    <x v="0"/>
  </r>
  <r>
    <n v="22583"/>
    <d v="2024-04-28T00:00:00"/>
    <x v="3"/>
    <s v="Ahmedabad"/>
    <s v="SC_AHM_5"/>
    <x v="2"/>
    <s v="Macan"/>
    <s v="SUV"/>
    <x v="1"/>
    <x v="4"/>
    <x v="0"/>
    <x v="0"/>
    <n v="14"/>
    <n v="7"/>
    <x v="0"/>
    <x v="1"/>
    <n v="298588"/>
    <n v="244135"/>
    <n v="54453"/>
    <x v="1"/>
    <n v="298588"/>
    <n v="0"/>
    <n v="0"/>
    <n v="1"/>
    <n v="1"/>
    <s v="Yes"/>
    <x v="0"/>
  </r>
  <r>
    <n v="22584"/>
    <d v="2024-04-18T00:00:00"/>
    <x v="1"/>
    <s v="Bhubaneswar"/>
    <s v="SC_BHU_5"/>
    <x v="0"/>
    <s v="Macan"/>
    <s v="SUV"/>
    <x v="1"/>
    <x v="2"/>
    <x v="2"/>
    <x v="1"/>
    <n v="4"/>
    <n v="7"/>
    <x v="0"/>
    <x v="1"/>
    <n v="425007"/>
    <n v="320599"/>
    <n v="104408"/>
    <x v="3"/>
    <n v="425007"/>
    <n v="0"/>
    <n v="0"/>
    <n v="1"/>
    <n v="1"/>
    <s v="No"/>
    <x v="2"/>
  </r>
  <r>
    <n v="22585"/>
    <d v="2024-01-21T00:00:00"/>
    <x v="1"/>
    <s v="Bhubaneswar"/>
    <s v="SC_BHU_4"/>
    <x v="2"/>
    <s v="Veyron"/>
    <s v="Hypercar"/>
    <x v="0"/>
    <x v="4"/>
    <x v="2"/>
    <x v="0"/>
    <n v="20"/>
    <n v="7"/>
    <x v="0"/>
    <x v="0"/>
    <n v="128876"/>
    <n v="95902"/>
    <n v="32974"/>
    <x v="0"/>
    <n v="0"/>
    <n v="1"/>
    <n v="0"/>
    <n v="1"/>
    <n v="1"/>
    <s v="Yes"/>
    <x v="0"/>
  </r>
  <r>
    <n v="22586"/>
    <d v="2024-03-20T00:00:00"/>
    <x v="2"/>
    <s v="Delhi"/>
    <s v="SC_DEL_5"/>
    <x v="1"/>
    <s v="Cayenne"/>
    <s v="SUV"/>
    <x v="1"/>
    <x v="2"/>
    <x v="2"/>
    <x v="1"/>
    <n v="23"/>
    <n v="7"/>
    <x v="0"/>
    <x v="1"/>
    <n v="407189"/>
    <n v="340937"/>
    <n v="66252"/>
    <x v="0"/>
    <n v="407189"/>
    <n v="0"/>
    <n v="0"/>
    <n v="1"/>
    <n v="1"/>
    <s v="Yes"/>
    <x v="0"/>
  </r>
  <r>
    <n v="22587"/>
    <d v="2024-03-05T00:00:00"/>
    <x v="1"/>
    <s v="Kolkata"/>
    <s v="SC_KOL_3"/>
    <x v="2"/>
    <s v="Macan"/>
    <s v="SUV"/>
    <x v="1"/>
    <x v="0"/>
    <x v="0"/>
    <x v="1"/>
    <n v="15"/>
    <n v="7"/>
    <x v="0"/>
    <x v="0"/>
    <n v="580872"/>
    <n v="327145"/>
    <n v="253727"/>
    <x v="0"/>
    <n v="0"/>
    <n v="1"/>
    <n v="0"/>
    <n v="1"/>
    <n v="1"/>
    <s v="Yes"/>
    <x v="0"/>
  </r>
  <r>
    <n v="22588"/>
    <d v="2024-06-02T00:00:00"/>
    <x v="0"/>
    <s v="Chennai"/>
    <s v="SC_CHE_2"/>
    <x v="0"/>
    <s v="Taycan"/>
    <s v="Sedan"/>
    <x v="1"/>
    <x v="4"/>
    <x v="1"/>
    <x v="0"/>
    <n v="21"/>
    <n v="7"/>
    <x v="1"/>
    <x v="1"/>
    <n v="224075"/>
    <n v="133437"/>
    <n v="90638"/>
    <x v="0"/>
    <n v="0"/>
    <n v="0"/>
    <n v="1"/>
    <n v="0"/>
    <n v="1"/>
    <s v="Yes"/>
    <x v="0"/>
  </r>
  <r>
    <n v="22589"/>
    <d v="2024-03-16T00:00:00"/>
    <x v="2"/>
    <s v="Delhi"/>
    <s v="SC_DEL_3"/>
    <x v="0"/>
    <s v="Taycan"/>
    <s v="Sedan"/>
    <x v="1"/>
    <x v="4"/>
    <x v="2"/>
    <x v="1"/>
    <n v="25"/>
    <n v="7"/>
    <x v="0"/>
    <x v="1"/>
    <n v="564179"/>
    <n v="350551"/>
    <n v="213628"/>
    <x v="0"/>
    <n v="564179"/>
    <n v="0"/>
    <n v="0"/>
    <n v="1"/>
    <n v="1"/>
    <s v="Yes"/>
    <x v="0"/>
  </r>
  <r>
    <n v="22590"/>
    <d v="2024-05-23T00:00:00"/>
    <x v="2"/>
    <s v="Noida"/>
    <s v="SC_NOI_2"/>
    <x v="0"/>
    <s v="Panamera"/>
    <s v="Sedan"/>
    <x v="1"/>
    <x v="2"/>
    <x v="0"/>
    <x v="1"/>
    <n v="23"/>
    <n v="7"/>
    <x v="0"/>
    <x v="1"/>
    <n v="265361"/>
    <n v="148238"/>
    <n v="117123"/>
    <x v="0"/>
    <n v="265361"/>
    <n v="0"/>
    <n v="0"/>
    <n v="1"/>
    <n v="1"/>
    <s v="Yes"/>
    <x v="0"/>
  </r>
  <r>
    <n v="22591"/>
    <d v="2024-04-30T00:00:00"/>
    <x v="3"/>
    <s v="Pune"/>
    <s v="SC_PUN_2"/>
    <x v="0"/>
    <s v="911"/>
    <s v="Coupe"/>
    <x v="0"/>
    <x v="0"/>
    <x v="2"/>
    <x v="1"/>
    <n v="21"/>
    <n v="7"/>
    <x v="1"/>
    <x v="0"/>
    <n v="437128"/>
    <n v="305172"/>
    <n v="131956"/>
    <x v="0"/>
    <n v="0"/>
    <n v="1"/>
    <n v="1"/>
    <n v="0"/>
    <n v="1"/>
    <s v="Yes"/>
    <x v="0"/>
  </r>
  <r>
    <n v="22592"/>
    <d v="2024-06-16T00:00:00"/>
    <x v="0"/>
    <s v="Chennai"/>
    <s v="SC_CHE_4"/>
    <x v="0"/>
    <s v="Panamera"/>
    <s v="Sedan"/>
    <x v="0"/>
    <x v="0"/>
    <x v="1"/>
    <x v="1"/>
    <n v="12"/>
    <n v="7"/>
    <x v="1"/>
    <x v="1"/>
    <n v="158969"/>
    <n v="111720"/>
    <n v="47249"/>
    <x v="2"/>
    <n v="0"/>
    <n v="0"/>
    <n v="1"/>
    <n v="0"/>
    <n v="1"/>
    <s v="Yes"/>
    <x v="1"/>
  </r>
  <r>
    <n v="22593"/>
    <d v="2024-06-01T00:00:00"/>
    <x v="2"/>
    <s v="Gurugram"/>
    <s v="SC_GUR_3"/>
    <x v="1"/>
    <s v="Cayenne"/>
    <s v="SUV"/>
    <x v="0"/>
    <x v="1"/>
    <x v="0"/>
    <x v="0"/>
    <n v="2"/>
    <n v="7"/>
    <x v="1"/>
    <x v="1"/>
    <n v="552449"/>
    <n v="462508"/>
    <n v="89941"/>
    <x v="4"/>
    <n v="0"/>
    <n v="0"/>
    <n v="1"/>
    <n v="0"/>
    <n v="1"/>
    <s v="No"/>
    <x v="2"/>
  </r>
  <r>
    <n v="22594"/>
    <d v="2024-06-21T00:00:00"/>
    <x v="2"/>
    <s v="Delhi"/>
    <s v="SC_DEL_3"/>
    <x v="1"/>
    <s v="Veyron"/>
    <s v="Hypercar"/>
    <x v="1"/>
    <x v="4"/>
    <x v="2"/>
    <x v="1"/>
    <n v="6"/>
    <n v="7"/>
    <x v="0"/>
    <x v="1"/>
    <n v="535195"/>
    <n v="387068"/>
    <n v="148127"/>
    <x v="2"/>
    <n v="535195"/>
    <n v="0"/>
    <n v="0"/>
    <n v="1"/>
    <n v="1"/>
    <s v="No"/>
    <x v="1"/>
  </r>
  <r>
    <n v="22595"/>
    <d v="2024-03-17T00:00:00"/>
    <x v="1"/>
    <s v="Kolkata"/>
    <s v="SC_KOL_2"/>
    <x v="1"/>
    <s v="Cayenne"/>
    <s v="SUV"/>
    <x v="1"/>
    <x v="3"/>
    <x v="1"/>
    <x v="0"/>
    <n v="5"/>
    <n v="7"/>
    <x v="1"/>
    <x v="1"/>
    <n v="115362"/>
    <n v="84334"/>
    <n v="31028"/>
    <x v="3"/>
    <n v="0"/>
    <n v="0"/>
    <n v="1"/>
    <n v="0"/>
    <n v="1"/>
    <s v="No"/>
    <x v="2"/>
  </r>
  <r>
    <n v="22596"/>
    <d v="2024-06-10T00:00:00"/>
    <x v="3"/>
    <s v="Mumbai"/>
    <s v="SC_MUM_2"/>
    <x v="0"/>
    <s v="Cayenne"/>
    <s v="SUV"/>
    <x v="0"/>
    <x v="0"/>
    <x v="2"/>
    <x v="0"/>
    <n v="8"/>
    <n v="7"/>
    <x v="0"/>
    <x v="1"/>
    <n v="324460"/>
    <n v="194281"/>
    <n v="130179"/>
    <x v="2"/>
    <n v="324460"/>
    <n v="0"/>
    <n v="0"/>
    <n v="1"/>
    <n v="1"/>
    <s v="Yes"/>
    <x v="1"/>
  </r>
  <r>
    <n v="22597"/>
    <d v="2024-02-20T00:00:00"/>
    <x v="2"/>
    <s v="Delhi"/>
    <s v="SC_DEL_1"/>
    <x v="1"/>
    <s v="Macan"/>
    <s v="SUV"/>
    <x v="0"/>
    <x v="2"/>
    <x v="0"/>
    <x v="0"/>
    <n v="7"/>
    <n v="7"/>
    <x v="0"/>
    <x v="0"/>
    <n v="268796"/>
    <n v="191460"/>
    <n v="77336"/>
    <x v="2"/>
    <n v="0"/>
    <n v="1"/>
    <n v="0"/>
    <n v="1"/>
    <n v="1"/>
    <s v="No"/>
    <x v="1"/>
  </r>
  <r>
    <n v="22598"/>
    <d v="2024-06-28T00:00:00"/>
    <x v="2"/>
    <s v="Noida"/>
    <s v="SC_NOI_2"/>
    <x v="2"/>
    <s v="Panamera"/>
    <s v="Sedan"/>
    <x v="1"/>
    <x v="4"/>
    <x v="0"/>
    <x v="0"/>
    <n v="13"/>
    <n v="7"/>
    <x v="0"/>
    <x v="1"/>
    <n v="518450"/>
    <n v="274513"/>
    <n v="243937"/>
    <x v="1"/>
    <n v="518450"/>
    <n v="0"/>
    <n v="0"/>
    <n v="1"/>
    <n v="1"/>
    <s v="Yes"/>
    <x v="0"/>
  </r>
  <r>
    <n v="22599"/>
    <d v="2024-03-04T00:00:00"/>
    <x v="2"/>
    <s v="Noida"/>
    <s v="SC_NOI_3"/>
    <x v="1"/>
    <s v="911"/>
    <s v="Coupe"/>
    <x v="1"/>
    <x v="2"/>
    <x v="0"/>
    <x v="0"/>
    <n v="12"/>
    <n v="7"/>
    <x v="0"/>
    <x v="0"/>
    <n v="117608"/>
    <n v="74847"/>
    <n v="42761"/>
    <x v="1"/>
    <n v="0"/>
    <n v="1"/>
    <n v="0"/>
    <n v="1"/>
    <n v="1"/>
    <s v="Yes"/>
    <x v="0"/>
  </r>
  <r>
    <n v="22600"/>
    <d v="2024-06-09T00:00:00"/>
    <x v="3"/>
    <s v="Ahmedabad"/>
    <s v="SC_AHM_2"/>
    <x v="2"/>
    <s v="Chiron"/>
    <s v="Hypercar"/>
    <x v="0"/>
    <x v="3"/>
    <x v="2"/>
    <x v="1"/>
    <n v="9"/>
    <n v="7"/>
    <x v="1"/>
    <x v="0"/>
    <n v="174686"/>
    <n v="101973"/>
    <n v="72713"/>
    <x v="3"/>
    <n v="0"/>
    <n v="1"/>
    <n v="1"/>
    <n v="0"/>
    <n v="1"/>
    <s v="Yes"/>
    <x v="2"/>
  </r>
  <r>
    <n v="22601"/>
    <d v="2024-04-29T00:00:00"/>
    <x v="0"/>
    <s v="Hyderabad"/>
    <s v="SC_HYD_1"/>
    <x v="1"/>
    <s v="Panamera"/>
    <s v="Sedan"/>
    <x v="0"/>
    <x v="4"/>
    <x v="1"/>
    <x v="1"/>
    <n v="16"/>
    <n v="7"/>
    <x v="1"/>
    <x v="1"/>
    <n v="309558"/>
    <n v="201396"/>
    <n v="108162"/>
    <x v="1"/>
    <n v="0"/>
    <n v="0"/>
    <n v="1"/>
    <n v="0"/>
    <n v="1"/>
    <s v="Yes"/>
    <x v="0"/>
  </r>
  <r>
    <n v="22602"/>
    <d v="2024-03-26T00:00:00"/>
    <x v="1"/>
    <s v="Patna"/>
    <s v="SC_PAT_5"/>
    <x v="1"/>
    <s v="Chiron"/>
    <s v="Hypercar"/>
    <x v="1"/>
    <x v="3"/>
    <x v="0"/>
    <x v="1"/>
    <n v="18"/>
    <n v="7"/>
    <x v="0"/>
    <x v="0"/>
    <n v="459371"/>
    <n v="336076"/>
    <n v="123295"/>
    <x v="0"/>
    <n v="0"/>
    <n v="1"/>
    <n v="0"/>
    <n v="1"/>
    <n v="1"/>
    <s v="Yes"/>
    <x v="0"/>
  </r>
  <r>
    <n v="22603"/>
    <d v="2024-06-16T00:00:00"/>
    <x v="0"/>
    <s v="Chennai"/>
    <s v="SC_CHE_2"/>
    <x v="1"/>
    <s v="911"/>
    <s v="Coupe"/>
    <x v="0"/>
    <x v="0"/>
    <x v="0"/>
    <x v="1"/>
    <n v="16"/>
    <n v="7"/>
    <x v="0"/>
    <x v="1"/>
    <n v="404625"/>
    <n v="314648"/>
    <n v="89977"/>
    <x v="0"/>
    <n v="404625"/>
    <n v="0"/>
    <n v="0"/>
    <n v="1"/>
    <n v="1"/>
    <s v="Yes"/>
    <x v="0"/>
  </r>
  <r>
    <n v="22604"/>
    <d v="2024-04-07T00:00:00"/>
    <x v="0"/>
    <s v="Bengaluru"/>
    <s v="SC_BEN_2"/>
    <x v="2"/>
    <s v="Chiron"/>
    <s v="Hypercar"/>
    <x v="1"/>
    <x v="4"/>
    <x v="1"/>
    <x v="0"/>
    <n v="7"/>
    <n v="7"/>
    <x v="0"/>
    <x v="1"/>
    <n v="196003"/>
    <n v="115176"/>
    <n v="80827"/>
    <x v="2"/>
    <n v="196003"/>
    <n v="0"/>
    <n v="0"/>
    <n v="1"/>
    <n v="1"/>
    <s v="No"/>
    <x v="1"/>
  </r>
  <r>
    <n v="22605"/>
    <d v="2024-05-19T00:00:00"/>
    <x v="3"/>
    <s v="Pune"/>
    <s v="SC_PUN_3"/>
    <x v="2"/>
    <s v="Cayenne"/>
    <s v="SUV"/>
    <x v="1"/>
    <x v="1"/>
    <x v="2"/>
    <x v="0"/>
    <n v="19"/>
    <n v="7"/>
    <x v="1"/>
    <x v="1"/>
    <n v="273861"/>
    <n v="198814"/>
    <n v="75047"/>
    <x v="1"/>
    <n v="0"/>
    <n v="0"/>
    <n v="1"/>
    <n v="0"/>
    <n v="1"/>
    <s v="Yes"/>
    <x v="0"/>
  </r>
  <r>
    <n v="22606"/>
    <d v="2024-05-05T00:00:00"/>
    <x v="3"/>
    <s v="Pune"/>
    <s v="SC_PUN_5"/>
    <x v="1"/>
    <s v="Taycan"/>
    <s v="Sedan"/>
    <x v="1"/>
    <x v="2"/>
    <x v="2"/>
    <x v="1"/>
    <n v="5"/>
    <n v="7"/>
    <x v="0"/>
    <x v="1"/>
    <n v="222232"/>
    <n v="118707"/>
    <n v="103525"/>
    <x v="2"/>
    <n v="222232"/>
    <n v="0"/>
    <n v="0"/>
    <n v="1"/>
    <n v="1"/>
    <s v="No"/>
    <x v="1"/>
  </r>
  <r>
    <n v="22607"/>
    <d v="2024-04-07T00:00:00"/>
    <x v="2"/>
    <s v="Delhi"/>
    <s v="SC_DEL_5"/>
    <x v="2"/>
    <s v="Chiron"/>
    <s v="Hypercar"/>
    <x v="1"/>
    <x v="4"/>
    <x v="0"/>
    <x v="1"/>
    <n v="10"/>
    <n v="7"/>
    <x v="1"/>
    <x v="0"/>
    <n v="276540"/>
    <n v="218028"/>
    <n v="58512"/>
    <x v="2"/>
    <n v="0"/>
    <n v="1"/>
    <n v="1"/>
    <n v="0"/>
    <n v="1"/>
    <s v="Yes"/>
    <x v="1"/>
  </r>
  <r>
    <n v="22608"/>
    <d v="2024-01-09T00:00:00"/>
    <x v="0"/>
    <s v="Chennai"/>
    <s v="SC_CHE_1"/>
    <x v="0"/>
    <s v="911"/>
    <s v="Coupe"/>
    <x v="0"/>
    <x v="4"/>
    <x v="1"/>
    <x v="0"/>
    <n v="7"/>
    <n v="7"/>
    <x v="0"/>
    <x v="0"/>
    <n v="307764"/>
    <n v="180437"/>
    <n v="127327"/>
    <x v="2"/>
    <n v="0"/>
    <n v="1"/>
    <n v="0"/>
    <n v="1"/>
    <n v="1"/>
    <s v="No"/>
    <x v="1"/>
  </r>
  <r>
    <n v="22609"/>
    <d v="2024-06-08T00:00:00"/>
    <x v="2"/>
    <s v="Gurugram"/>
    <s v="SC_GUR_4"/>
    <x v="1"/>
    <s v="911"/>
    <s v="Coupe"/>
    <x v="0"/>
    <x v="0"/>
    <x v="0"/>
    <x v="0"/>
    <n v="8"/>
    <n v="7"/>
    <x v="0"/>
    <x v="1"/>
    <n v="117836"/>
    <n v="95334"/>
    <n v="22502"/>
    <x v="2"/>
    <n v="117836"/>
    <n v="0"/>
    <n v="0"/>
    <n v="1"/>
    <n v="1"/>
    <s v="Yes"/>
    <x v="1"/>
  </r>
  <r>
    <n v="22610"/>
    <d v="2024-06-26T00:00:00"/>
    <x v="0"/>
    <s v="Bengaluru"/>
    <s v="SC_BEN_1"/>
    <x v="0"/>
    <s v="Macan"/>
    <s v="SUV"/>
    <x v="0"/>
    <x v="4"/>
    <x v="1"/>
    <x v="0"/>
    <n v="23"/>
    <n v="7"/>
    <x v="0"/>
    <x v="0"/>
    <n v="219047"/>
    <n v="164154"/>
    <n v="54893"/>
    <x v="0"/>
    <n v="0"/>
    <n v="1"/>
    <n v="0"/>
    <n v="1"/>
    <n v="1"/>
    <s v="Yes"/>
    <x v="0"/>
  </r>
  <r>
    <n v="22611"/>
    <d v="2024-01-21T00:00:00"/>
    <x v="2"/>
    <s v="Noida"/>
    <s v="SC_NOI_2"/>
    <x v="0"/>
    <s v="Panamera"/>
    <s v="Sedan"/>
    <x v="0"/>
    <x v="1"/>
    <x v="1"/>
    <x v="0"/>
    <n v="7"/>
    <n v="7"/>
    <x v="1"/>
    <x v="0"/>
    <n v="464293"/>
    <n v="305021"/>
    <n v="159272"/>
    <x v="3"/>
    <n v="0"/>
    <n v="1"/>
    <n v="1"/>
    <n v="0"/>
    <n v="1"/>
    <s v="No"/>
    <x v="2"/>
  </r>
  <r>
    <n v="22612"/>
    <d v="2024-03-19T00:00:00"/>
    <x v="3"/>
    <s v="Mumbai"/>
    <s v="SC_MUM_5"/>
    <x v="2"/>
    <s v="Panamera"/>
    <s v="Sedan"/>
    <x v="1"/>
    <x v="0"/>
    <x v="2"/>
    <x v="1"/>
    <n v="8"/>
    <n v="7"/>
    <x v="0"/>
    <x v="0"/>
    <n v="502266"/>
    <n v="300938"/>
    <n v="201328"/>
    <x v="2"/>
    <n v="0"/>
    <n v="1"/>
    <n v="0"/>
    <n v="1"/>
    <n v="1"/>
    <s v="Yes"/>
    <x v="1"/>
  </r>
  <r>
    <n v="22613"/>
    <d v="2024-04-16T00:00:00"/>
    <x v="2"/>
    <s v="Gurugram"/>
    <s v="SC_GUR_5"/>
    <x v="0"/>
    <s v="Taycan"/>
    <s v="Sedan"/>
    <x v="1"/>
    <x v="2"/>
    <x v="2"/>
    <x v="0"/>
    <n v="16"/>
    <n v="7"/>
    <x v="1"/>
    <x v="1"/>
    <n v="444203"/>
    <n v="283972"/>
    <n v="160231"/>
    <x v="1"/>
    <n v="0"/>
    <n v="0"/>
    <n v="1"/>
    <n v="0"/>
    <n v="1"/>
    <s v="Yes"/>
    <x v="0"/>
  </r>
  <r>
    <n v="22614"/>
    <d v="2024-02-13T00:00:00"/>
    <x v="0"/>
    <s v="Chennai"/>
    <s v="SC_CHE_1"/>
    <x v="0"/>
    <s v="Cayenne"/>
    <s v="SUV"/>
    <x v="1"/>
    <x v="2"/>
    <x v="1"/>
    <x v="0"/>
    <n v="11"/>
    <n v="7"/>
    <x v="0"/>
    <x v="1"/>
    <n v="493978"/>
    <n v="322339"/>
    <n v="171639"/>
    <x v="1"/>
    <n v="493978"/>
    <n v="0"/>
    <n v="0"/>
    <n v="1"/>
    <n v="1"/>
    <s v="Yes"/>
    <x v="0"/>
  </r>
  <r>
    <n v="22615"/>
    <d v="2024-04-28T00:00:00"/>
    <x v="0"/>
    <s v="Chennai"/>
    <s v="SC_CHE_3"/>
    <x v="1"/>
    <s v="Veyron"/>
    <s v="Hypercar"/>
    <x v="1"/>
    <x v="2"/>
    <x v="2"/>
    <x v="0"/>
    <n v="16"/>
    <n v="7"/>
    <x v="0"/>
    <x v="1"/>
    <n v="344718"/>
    <n v="276131"/>
    <n v="68587"/>
    <x v="0"/>
    <n v="344718"/>
    <n v="0"/>
    <n v="0"/>
    <n v="1"/>
    <n v="1"/>
    <s v="Yes"/>
    <x v="0"/>
  </r>
  <r>
    <n v="22616"/>
    <d v="2024-01-20T00:00:00"/>
    <x v="3"/>
    <s v="Mumbai"/>
    <s v="SC_MUM_5"/>
    <x v="2"/>
    <s v="Veyron"/>
    <s v="Hypercar"/>
    <x v="0"/>
    <x v="2"/>
    <x v="2"/>
    <x v="0"/>
    <n v="20"/>
    <n v="7"/>
    <x v="0"/>
    <x v="0"/>
    <n v="521860"/>
    <n v="432082"/>
    <n v="89778"/>
    <x v="0"/>
    <n v="0"/>
    <n v="1"/>
    <n v="0"/>
    <n v="1"/>
    <n v="1"/>
    <s v="Yes"/>
    <x v="0"/>
  </r>
  <r>
    <n v="22617"/>
    <d v="2024-02-05T00:00:00"/>
    <x v="1"/>
    <s v="Kolkata"/>
    <s v="SC_KOL_3"/>
    <x v="0"/>
    <s v="Chiron"/>
    <s v="Hypercar"/>
    <x v="1"/>
    <x v="2"/>
    <x v="2"/>
    <x v="0"/>
    <n v="14"/>
    <n v="7"/>
    <x v="1"/>
    <x v="0"/>
    <n v="97660"/>
    <n v="81082"/>
    <n v="16578"/>
    <x v="2"/>
    <n v="0"/>
    <n v="1"/>
    <n v="1"/>
    <n v="0"/>
    <n v="1"/>
    <s v="Yes"/>
    <x v="1"/>
  </r>
  <r>
    <n v="22618"/>
    <d v="2024-01-10T00:00:00"/>
    <x v="3"/>
    <s v="Ahmedabad"/>
    <s v="SC_AHM_5"/>
    <x v="1"/>
    <s v="911"/>
    <s v="Coupe"/>
    <x v="1"/>
    <x v="2"/>
    <x v="2"/>
    <x v="0"/>
    <n v="17"/>
    <n v="7"/>
    <x v="1"/>
    <x v="1"/>
    <n v="226689"/>
    <n v="145827"/>
    <n v="80862"/>
    <x v="1"/>
    <n v="0"/>
    <n v="0"/>
    <n v="1"/>
    <n v="0"/>
    <n v="1"/>
    <s v="Yes"/>
    <x v="0"/>
  </r>
  <r>
    <n v="22619"/>
    <d v="2024-06-06T00:00:00"/>
    <x v="2"/>
    <s v="Delhi"/>
    <s v="SC_DEL_3"/>
    <x v="1"/>
    <s v="Veyron"/>
    <s v="Hypercar"/>
    <x v="0"/>
    <x v="1"/>
    <x v="2"/>
    <x v="0"/>
    <n v="3"/>
    <n v="7"/>
    <x v="0"/>
    <x v="0"/>
    <n v="220493"/>
    <n v="160599"/>
    <n v="59894"/>
    <x v="3"/>
    <n v="0"/>
    <n v="1"/>
    <n v="0"/>
    <n v="1"/>
    <n v="1"/>
    <s v="No"/>
    <x v="2"/>
  </r>
  <r>
    <n v="22620"/>
    <d v="2024-02-01T00:00:00"/>
    <x v="1"/>
    <s v="Kolkata"/>
    <s v="SC_KOL_1"/>
    <x v="2"/>
    <s v="Veyron"/>
    <s v="Hypercar"/>
    <x v="0"/>
    <x v="4"/>
    <x v="1"/>
    <x v="1"/>
    <n v="24"/>
    <n v="7"/>
    <x v="0"/>
    <x v="1"/>
    <n v="590821"/>
    <n v="323039"/>
    <n v="267782"/>
    <x v="0"/>
    <n v="590821"/>
    <n v="0"/>
    <n v="0"/>
    <n v="1"/>
    <n v="1"/>
    <s v="Yes"/>
    <x v="0"/>
  </r>
  <r>
    <n v="22621"/>
    <d v="2024-01-27T00:00:00"/>
    <x v="0"/>
    <s v="Bengaluru"/>
    <s v="SC_BEN_4"/>
    <x v="0"/>
    <s v="Cayenne"/>
    <s v="SUV"/>
    <x v="0"/>
    <x v="1"/>
    <x v="2"/>
    <x v="1"/>
    <n v="24"/>
    <n v="7"/>
    <x v="1"/>
    <x v="1"/>
    <n v="329150"/>
    <n v="271842"/>
    <n v="57308"/>
    <x v="0"/>
    <n v="0"/>
    <n v="0"/>
    <n v="1"/>
    <n v="0"/>
    <n v="1"/>
    <s v="Yes"/>
    <x v="0"/>
  </r>
  <r>
    <n v="22622"/>
    <d v="2024-06-15T00:00:00"/>
    <x v="3"/>
    <s v="Ahmedabad"/>
    <s v="SC_AHM_1"/>
    <x v="1"/>
    <s v="Macan"/>
    <s v="SUV"/>
    <x v="1"/>
    <x v="2"/>
    <x v="1"/>
    <x v="1"/>
    <n v="17"/>
    <n v="7"/>
    <x v="0"/>
    <x v="0"/>
    <n v="353477"/>
    <n v="201293"/>
    <n v="152184"/>
    <x v="0"/>
    <n v="0"/>
    <n v="1"/>
    <n v="0"/>
    <n v="1"/>
    <n v="1"/>
    <s v="Yes"/>
    <x v="0"/>
  </r>
  <r>
    <n v="22623"/>
    <d v="2024-05-20T00:00:00"/>
    <x v="1"/>
    <s v="Kolkata"/>
    <s v="SC_KOL_5"/>
    <x v="0"/>
    <s v="Chiron"/>
    <s v="Hypercar"/>
    <x v="1"/>
    <x v="4"/>
    <x v="0"/>
    <x v="1"/>
    <n v="11"/>
    <n v="7"/>
    <x v="0"/>
    <x v="0"/>
    <n v="480239"/>
    <n v="404192"/>
    <n v="76047"/>
    <x v="1"/>
    <n v="0"/>
    <n v="1"/>
    <n v="0"/>
    <n v="1"/>
    <n v="1"/>
    <s v="Yes"/>
    <x v="0"/>
  </r>
  <r>
    <n v="22624"/>
    <d v="2024-06-09T00:00:00"/>
    <x v="1"/>
    <s v="Bhubaneswar"/>
    <s v="SC_BHU_1"/>
    <x v="2"/>
    <s v="Taycan"/>
    <s v="Sedan"/>
    <x v="0"/>
    <x v="1"/>
    <x v="1"/>
    <x v="0"/>
    <n v="6"/>
    <n v="7"/>
    <x v="1"/>
    <x v="0"/>
    <n v="95673"/>
    <n v="69226"/>
    <n v="26447"/>
    <x v="3"/>
    <n v="0"/>
    <n v="1"/>
    <n v="1"/>
    <n v="0"/>
    <n v="1"/>
    <s v="No"/>
    <x v="2"/>
  </r>
  <r>
    <n v="22625"/>
    <d v="2024-03-17T00:00:00"/>
    <x v="2"/>
    <s v="Gurugram"/>
    <s v="SC_GUR_2"/>
    <x v="0"/>
    <s v="Veyron"/>
    <s v="Hypercar"/>
    <x v="1"/>
    <x v="3"/>
    <x v="1"/>
    <x v="1"/>
    <n v="18"/>
    <n v="7"/>
    <x v="0"/>
    <x v="1"/>
    <n v="505935"/>
    <n v="427189"/>
    <n v="78746"/>
    <x v="0"/>
    <n v="505935"/>
    <n v="0"/>
    <n v="0"/>
    <n v="1"/>
    <n v="1"/>
    <s v="Yes"/>
    <x v="0"/>
  </r>
  <r>
    <n v="22626"/>
    <d v="2024-01-21T00:00:00"/>
    <x v="3"/>
    <s v="Pune"/>
    <s v="SC_PUN_5"/>
    <x v="1"/>
    <s v="Veyron"/>
    <s v="Hypercar"/>
    <x v="1"/>
    <x v="0"/>
    <x v="2"/>
    <x v="0"/>
    <n v="10"/>
    <n v="7"/>
    <x v="1"/>
    <x v="1"/>
    <n v="496301"/>
    <n v="335638"/>
    <n v="160663"/>
    <x v="2"/>
    <n v="0"/>
    <n v="0"/>
    <n v="1"/>
    <n v="0"/>
    <n v="1"/>
    <s v="Yes"/>
    <x v="1"/>
  </r>
  <r>
    <n v="22627"/>
    <d v="2024-04-02T00:00:00"/>
    <x v="2"/>
    <s v="Delhi"/>
    <s v="SC_DEL_5"/>
    <x v="1"/>
    <s v="Taycan"/>
    <s v="Sedan"/>
    <x v="1"/>
    <x v="0"/>
    <x v="2"/>
    <x v="1"/>
    <n v="25"/>
    <n v="7"/>
    <x v="1"/>
    <x v="1"/>
    <n v="97609"/>
    <n v="59398"/>
    <n v="38211"/>
    <x v="0"/>
    <n v="0"/>
    <n v="0"/>
    <n v="1"/>
    <n v="0"/>
    <n v="1"/>
    <s v="Yes"/>
    <x v="0"/>
  </r>
  <r>
    <n v="22628"/>
    <d v="2024-03-07T00:00:00"/>
    <x v="3"/>
    <s v="Ahmedabad"/>
    <s v="SC_AHM_4"/>
    <x v="2"/>
    <s v="Chiron"/>
    <s v="Hypercar"/>
    <x v="1"/>
    <x v="3"/>
    <x v="1"/>
    <x v="1"/>
    <n v="13"/>
    <n v="7"/>
    <x v="0"/>
    <x v="1"/>
    <n v="501339"/>
    <n v="401895"/>
    <n v="99444"/>
    <x v="1"/>
    <n v="501339"/>
    <n v="0"/>
    <n v="0"/>
    <n v="1"/>
    <n v="1"/>
    <s v="Yes"/>
    <x v="0"/>
  </r>
  <r>
    <n v="22629"/>
    <d v="2024-03-16T00:00:00"/>
    <x v="0"/>
    <s v="Hyderabad"/>
    <s v="SC_HYD_4"/>
    <x v="1"/>
    <s v="Panamera"/>
    <s v="Sedan"/>
    <x v="1"/>
    <x v="1"/>
    <x v="2"/>
    <x v="0"/>
    <n v="24"/>
    <n v="7"/>
    <x v="1"/>
    <x v="1"/>
    <n v="249503"/>
    <n v="164961"/>
    <n v="84542"/>
    <x v="0"/>
    <n v="0"/>
    <n v="0"/>
    <n v="1"/>
    <n v="0"/>
    <n v="1"/>
    <s v="Yes"/>
    <x v="0"/>
  </r>
  <r>
    <n v="22630"/>
    <d v="2024-05-07T00:00:00"/>
    <x v="1"/>
    <s v="Patna"/>
    <s v="SC_PAT_3"/>
    <x v="2"/>
    <s v="Veyron"/>
    <s v="Hypercar"/>
    <x v="1"/>
    <x v="0"/>
    <x v="1"/>
    <x v="0"/>
    <n v="15"/>
    <n v="7"/>
    <x v="0"/>
    <x v="0"/>
    <n v="545326"/>
    <n v="405067"/>
    <n v="140259"/>
    <x v="0"/>
    <n v="0"/>
    <n v="1"/>
    <n v="0"/>
    <n v="1"/>
    <n v="1"/>
    <s v="Yes"/>
    <x v="0"/>
  </r>
  <r>
    <n v="22631"/>
    <d v="2024-05-27T00:00:00"/>
    <x v="0"/>
    <s v="Hyderabad"/>
    <s v="SC_HYD_4"/>
    <x v="0"/>
    <s v="Veyron"/>
    <s v="Hypercar"/>
    <x v="1"/>
    <x v="0"/>
    <x v="1"/>
    <x v="0"/>
    <n v="2"/>
    <n v="7"/>
    <x v="1"/>
    <x v="1"/>
    <n v="440548"/>
    <n v="338125"/>
    <n v="102423"/>
    <x v="4"/>
    <n v="0"/>
    <n v="0"/>
    <n v="1"/>
    <n v="0"/>
    <n v="1"/>
    <s v="No"/>
    <x v="2"/>
  </r>
  <r>
    <n v="22632"/>
    <d v="2024-05-03T00:00:00"/>
    <x v="1"/>
    <s v="Kolkata"/>
    <s v="SC_KOL_2"/>
    <x v="2"/>
    <s v="Cayenne"/>
    <s v="SUV"/>
    <x v="0"/>
    <x v="0"/>
    <x v="1"/>
    <x v="0"/>
    <n v="16"/>
    <n v="7"/>
    <x v="1"/>
    <x v="1"/>
    <n v="550583"/>
    <n v="401023"/>
    <n v="149560"/>
    <x v="1"/>
    <n v="0"/>
    <n v="0"/>
    <n v="1"/>
    <n v="0"/>
    <n v="1"/>
    <s v="Yes"/>
    <x v="0"/>
  </r>
  <r>
    <n v="22633"/>
    <d v="2024-05-26T00:00:00"/>
    <x v="3"/>
    <s v="Ahmedabad"/>
    <s v="SC_AHM_2"/>
    <x v="2"/>
    <s v="Macan"/>
    <s v="SUV"/>
    <x v="0"/>
    <x v="1"/>
    <x v="2"/>
    <x v="1"/>
    <n v="19"/>
    <n v="7"/>
    <x v="0"/>
    <x v="1"/>
    <n v="418321"/>
    <n v="264604"/>
    <n v="153717"/>
    <x v="0"/>
    <n v="418321"/>
    <n v="0"/>
    <n v="0"/>
    <n v="1"/>
    <n v="1"/>
    <s v="Yes"/>
    <x v="0"/>
  </r>
  <r>
    <n v="22634"/>
    <d v="2024-05-24T00:00:00"/>
    <x v="0"/>
    <s v="Bengaluru"/>
    <s v="SC_BEN_1"/>
    <x v="2"/>
    <s v="Taycan"/>
    <s v="Sedan"/>
    <x v="1"/>
    <x v="0"/>
    <x v="1"/>
    <x v="1"/>
    <n v="13"/>
    <n v="7"/>
    <x v="0"/>
    <x v="1"/>
    <n v="178367"/>
    <n v="134861"/>
    <n v="43506"/>
    <x v="1"/>
    <n v="178367"/>
    <n v="0"/>
    <n v="0"/>
    <n v="1"/>
    <n v="1"/>
    <s v="Yes"/>
    <x v="0"/>
  </r>
  <r>
    <n v="22635"/>
    <d v="2024-06-02T00:00:00"/>
    <x v="0"/>
    <s v="Bengaluru"/>
    <s v="SC_BEN_5"/>
    <x v="1"/>
    <s v="Cayenne"/>
    <s v="SUV"/>
    <x v="1"/>
    <x v="4"/>
    <x v="0"/>
    <x v="0"/>
    <n v="19"/>
    <n v="7"/>
    <x v="0"/>
    <x v="0"/>
    <n v="177298"/>
    <n v="98445"/>
    <n v="78853"/>
    <x v="0"/>
    <n v="0"/>
    <n v="1"/>
    <n v="0"/>
    <n v="1"/>
    <n v="1"/>
    <s v="Yes"/>
    <x v="0"/>
  </r>
  <r>
    <n v="22636"/>
    <d v="2024-04-12T00:00:00"/>
    <x v="3"/>
    <s v="Ahmedabad"/>
    <s v="SC_AHM_5"/>
    <x v="1"/>
    <s v="911"/>
    <s v="Coupe"/>
    <x v="0"/>
    <x v="1"/>
    <x v="2"/>
    <x v="1"/>
    <n v="2"/>
    <n v="7"/>
    <x v="1"/>
    <x v="1"/>
    <n v="111003"/>
    <n v="91804"/>
    <n v="19199"/>
    <x v="4"/>
    <n v="0"/>
    <n v="0"/>
    <n v="1"/>
    <n v="0"/>
    <n v="1"/>
    <s v="No"/>
    <x v="2"/>
  </r>
  <r>
    <n v="22637"/>
    <d v="2024-05-17T00:00:00"/>
    <x v="1"/>
    <s v="Kolkata"/>
    <s v="SC_KOL_2"/>
    <x v="1"/>
    <s v="Panamera"/>
    <s v="Sedan"/>
    <x v="1"/>
    <x v="1"/>
    <x v="2"/>
    <x v="0"/>
    <n v="10"/>
    <n v="7"/>
    <x v="1"/>
    <x v="1"/>
    <n v="305542"/>
    <n v="252190"/>
    <n v="53352"/>
    <x v="2"/>
    <n v="0"/>
    <n v="0"/>
    <n v="1"/>
    <n v="0"/>
    <n v="1"/>
    <s v="Yes"/>
    <x v="1"/>
  </r>
  <r>
    <n v="22638"/>
    <d v="2024-06-10T00:00:00"/>
    <x v="0"/>
    <s v="Hyderabad"/>
    <s v="SC_HYD_3"/>
    <x v="2"/>
    <s v="Cayenne"/>
    <s v="SUV"/>
    <x v="0"/>
    <x v="0"/>
    <x v="0"/>
    <x v="0"/>
    <n v="23"/>
    <n v="7"/>
    <x v="0"/>
    <x v="1"/>
    <n v="474564"/>
    <n v="345185"/>
    <n v="129379"/>
    <x v="0"/>
    <n v="474564"/>
    <n v="0"/>
    <n v="0"/>
    <n v="1"/>
    <n v="1"/>
    <s v="Yes"/>
    <x v="0"/>
  </r>
  <r>
    <n v="22639"/>
    <d v="2024-04-02T00:00:00"/>
    <x v="2"/>
    <s v="Noida"/>
    <s v="SC_NOI_4"/>
    <x v="2"/>
    <s v="Macan"/>
    <s v="SUV"/>
    <x v="0"/>
    <x v="0"/>
    <x v="1"/>
    <x v="0"/>
    <n v="6"/>
    <n v="7"/>
    <x v="0"/>
    <x v="1"/>
    <n v="351311"/>
    <n v="183865"/>
    <n v="167446"/>
    <x v="2"/>
    <n v="351311"/>
    <n v="0"/>
    <n v="0"/>
    <n v="1"/>
    <n v="1"/>
    <s v="No"/>
    <x v="1"/>
  </r>
  <r>
    <n v="22640"/>
    <d v="2024-02-26T00:00:00"/>
    <x v="0"/>
    <s v="Bengaluru"/>
    <s v="SC_BEN_3"/>
    <x v="0"/>
    <s v="Cayenne"/>
    <s v="SUV"/>
    <x v="0"/>
    <x v="3"/>
    <x v="0"/>
    <x v="0"/>
    <n v="7"/>
    <n v="7"/>
    <x v="0"/>
    <x v="1"/>
    <n v="261936"/>
    <n v="197000"/>
    <n v="64936"/>
    <x v="2"/>
    <n v="261936"/>
    <n v="0"/>
    <n v="0"/>
    <n v="1"/>
    <n v="1"/>
    <s v="No"/>
    <x v="1"/>
  </r>
  <r>
    <n v="22641"/>
    <d v="2024-01-27T00:00:00"/>
    <x v="1"/>
    <s v="Patna"/>
    <s v="SC_PAT_4"/>
    <x v="0"/>
    <s v="Cayenne"/>
    <s v="SUV"/>
    <x v="0"/>
    <x v="1"/>
    <x v="2"/>
    <x v="1"/>
    <n v="2"/>
    <n v="7"/>
    <x v="0"/>
    <x v="1"/>
    <n v="234512"/>
    <n v="148291"/>
    <n v="86221"/>
    <x v="3"/>
    <n v="234512"/>
    <n v="0"/>
    <n v="0"/>
    <n v="1"/>
    <n v="1"/>
    <s v="No"/>
    <x v="2"/>
  </r>
  <r>
    <n v="22642"/>
    <d v="2024-02-19T00:00:00"/>
    <x v="0"/>
    <s v="Hyderabad"/>
    <s v="SC_HYD_1"/>
    <x v="2"/>
    <s v="Chiron"/>
    <s v="Hypercar"/>
    <x v="0"/>
    <x v="1"/>
    <x v="1"/>
    <x v="0"/>
    <n v="13"/>
    <n v="7"/>
    <x v="1"/>
    <x v="1"/>
    <n v="412375"/>
    <n v="287394"/>
    <n v="124981"/>
    <x v="2"/>
    <n v="0"/>
    <n v="0"/>
    <n v="1"/>
    <n v="0"/>
    <n v="1"/>
    <s v="Yes"/>
    <x v="1"/>
  </r>
  <r>
    <n v="22643"/>
    <d v="2024-05-22T00:00:00"/>
    <x v="2"/>
    <s v="Noida"/>
    <s v="SC_NOI_2"/>
    <x v="1"/>
    <s v="Taycan"/>
    <s v="Sedan"/>
    <x v="1"/>
    <x v="2"/>
    <x v="2"/>
    <x v="1"/>
    <n v="10"/>
    <n v="7"/>
    <x v="1"/>
    <x v="0"/>
    <n v="587784"/>
    <n v="319067"/>
    <n v="268717"/>
    <x v="2"/>
    <n v="0"/>
    <n v="1"/>
    <n v="1"/>
    <n v="0"/>
    <n v="1"/>
    <s v="Yes"/>
    <x v="1"/>
  </r>
  <r>
    <n v="22644"/>
    <d v="2024-05-02T00:00:00"/>
    <x v="0"/>
    <s v="Chennai"/>
    <s v="SC_CHE_2"/>
    <x v="0"/>
    <s v="Macan"/>
    <s v="SUV"/>
    <x v="1"/>
    <x v="4"/>
    <x v="0"/>
    <x v="0"/>
    <n v="2"/>
    <n v="7"/>
    <x v="1"/>
    <x v="0"/>
    <n v="245309"/>
    <n v="195795"/>
    <n v="49514"/>
    <x v="4"/>
    <n v="0"/>
    <n v="1"/>
    <n v="1"/>
    <n v="0"/>
    <n v="1"/>
    <s v="No"/>
    <x v="2"/>
  </r>
  <r>
    <n v="22645"/>
    <d v="2024-06-27T00:00:00"/>
    <x v="3"/>
    <s v="Mumbai"/>
    <s v="SC_MUM_1"/>
    <x v="0"/>
    <s v="Macan"/>
    <s v="SUV"/>
    <x v="1"/>
    <x v="1"/>
    <x v="1"/>
    <x v="0"/>
    <n v="20"/>
    <n v="7"/>
    <x v="1"/>
    <x v="1"/>
    <n v="438835"/>
    <n v="274373"/>
    <n v="164462"/>
    <x v="0"/>
    <n v="0"/>
    <n v="0"/>
    <n v="1"/>
    <n v="0"/>
    <n v="1"/>
    <s v="Yes"/>
    <x v="0"/>
  </r>
  <r>
    <n v="22646"/>
    <d v="2024-01-26T00:00:00"/>
    <x v="2"/>
    <s v="Noida"/>
    <s v="SC_NOI_3"/>
    <x v="2"/>
    <s v="911"/>
    <s v="Coupe"/>
    <x v="0"/>
    <x v="3"/>
    <x v="0"/>
    <x v="1"/>
    <n v="19"/>
    <n v="7"/>
    <x v="0"/>
    <x v="1"/>
    <n v="193883"/>
    <n v="136642"/>
    <n v="57241"/>
    <x v="0"/>
    <n v="193883"/>
    <n v="0"/>
    <n v="0"/>
    <n v="1"/>
    <n v="1"/>
    <s v="Yes"/>
    <x v="0"/>
  </r>
  <r>
    <n v="22647"/>
    <d v="2024-05-25T00:00:00"/>
    <x v="1"/>
    <s v="Kolkata"/>
    <s v="SC_KOL_3"/>
    <x v="0"/>
    <s v="911"/>
    <s v="Coupe"/>
    <x v="0"/>
    <x v="2"/>
    <x v="1"/>
    <x v="0"/>
    <n v="3"/>
    <n v="7"/>
    <x v="1"/>
    <x v="0"/>
    <n v="561068"/>
    <n v="474866"/>
    <n v="86202"/>
    <x v="4"/>
    <n v="0"/>
    <n v="1"/>
    <n v="1"/>
    <n v="0"/>
    <n v="1"/>
    <s v="No"/>
    <x v="2"/>
  </r>
  <r>
    <n v="22648"/>
    <d v="2024-03-09T00:00:00"/>
    <x v="3"/>
    <s v="Ahmedabad"/>
    <s v="SC_AHM_4"/>
    <x v="0"/>
    <s v="Macan"/>
    <s v="SUV"/>
    <x v="1"/>
    <x v="1"/>
    <x v="2"/>
    <x v="1"/>
    <n v="20"/>
    <n v="7"/>
    <x v="1"/>
    <x v="0"/>
    <n v="398912"/>
    <n v="215202"/>
    <n v="183710"/>
    <x v="0"/>
    <n v="0"/>
    <n v="1"/>
    <n v="1"/>
    <n v="0"/>
    <n v="1"/>
    <s v="Yes"/>
    <x v="0"/>
  </r>
  <r>
    <n v="22649"/>
    <d v="2024-04-24T00:00:00"/>
    <x v="2"/>
    <s v="Delhi"/>
    <s v="SC_DEL_3"/>
    <x v="0"/>
    <s v="Panamera"/>
    <s v="Sedan"/>
    <x v="0"/>
    <x v="3"/>
    <x v="2"/>
    <x v="0"/>
    <n v="4"/>
    <n v="7"/>
    <x v="0"/>
    <x v="1"/>
    <n v="297060"/>
    <n v="193784"/>
    <n v="103276"/>
    <x v="3"/>
    <n v="297060"/>
    <n v="0"/>
    <n v="0"/>
    <n v="1"/>
    <n v="1"/>
    <s v="No"/>
    <x v="2"/>
  </r>
  <r>
    <n v="22650"/>
    <d v="2024-01-03T00:00:00"/>
    <x v="0"/>
    <s v="Chennai"/>
    <s v="SC_CHE_3"/>
    <x v="2"/>
    <s v="Cayenne"/>
    <s v="SUV"/>
    <x v="1"/>
    <x v="2"/>
    <x v="1"/>
    <x v="0"/>
    <n v="9"/>
    <n v="7"/>
    <x v="0"/>
    <x v="1"/>
    <n v="361418"/>
    <n v="286543"/>
    <n v="74875"/>
    <x v="2"/>
    <n v="361418"/>
    <n v="0"/>
    <n v="0"/>
    <n v="1"/>
    <n v="1"/>
    <s v="Yes"/>
    <x v="1"/>
  </r>
  <r>
    <n v="22651"/>
    <d v="2024-06-08T00:00:00"/>
    <x v="2"/>
    <s v="Delhi"/>
    <s v="SC_DEL_4"/>
    <x v="2"/>
    <s v="Cayenne"/>
    <s v="SUV"/>
    <x v="0"/>
    <x v="0"/>
    <x v="0"/>
    <x v="0"/>
    <n v="6"/>
    <n v="7"/>
    <x v="1"/>
    <x v="0"/>
    <n v="288011"/>
    <n v="197481"/>
    <n v="90530"/>
    <x v="3"/>
    <n v="0"/>
    <n v="1"/>
    <n v="1"/>
    <n v="0"/>
    <n v="1"/>
    <s v="No"/>
    <x v="2"/>
  </r>
  <r>
    <n v="22652"/>
    <d v="2024-03-30T00:00:00"/>
    <x v="1"/>
    <s v="Patna"/>
    <s v="SC_PAT_5"/>
    <x v="2"/>
    <s v="Taycan"/>
    <s v="Sedan"/>
    <x v="1"/>
    <x v="4"/>
    <x v="2"/>
    <x v="0"/>
    <n v="25"/>
    <n v="7"/>
    <x v="1"/>
    <x v="0"/>
    <n v="560565"/>
    <n v="465038"/>
    <n v="95527"/>
    <x v="0"/>
    <n v="0"/>
    <n v="1"/>
    <n v="1"/>
    <n v="0"/>
    <n v="1"/>
    <s v="Yes"/>
    <x v="0"/>
  </r>
  <r>
    <n v="22653"/>
    <d v="2024-01-15T00:00:00"/>
    <x v="1"/>
    <s v="Patna"/>
    <s v="SC_PAT_1"/>
    <x v="1"/>
    <s v="Macan"/>
    <s v="SUV"/>
    <x v="0"/>
    <x v="4"/>
    <x v="0"/>
    <x v="0"/>
    <n v="11"/>
    <n v="7"/>
    <x v="0"/>
    <x v="1"/>
    <n v="484810"/>
    <n v="257333"/>
    <n v="227477"/>
    <x v="1"/>
    <n v="484810"/>
    <n v="0"/>
    <n v="0"/>
    <n v="1"/>
    <n v="1"/>
    <s v="Yes"/>
    <x v="0"/>
  </r>
  <r>
    <n v="22654"/>
    <d v="2024-01-08T00:00:00"/>
    <x v="0"/>
    <s v="Hyderabad"/>
    <s v="SC_HYD_3"/>
    <x v="0"/>
    <s v="Cayenne"/>
    <s v="SUV"/>
    <x v="0"/>
    <x v="1"/>
    <x v="1"/>
    <x v="0"/>
    <n v="13"/>
    <n v="7"/>
    <x v="0"/>
    <x v="0"/>
    <n v="319589"/>
    <n v="226420"/>
    <n v="93169"/>
    <x v="1"/>
    <n v="0"/>
    <n v="1"/>
    <n v="0"/>
    <n v="1"/>
    <n v="1"/>
    <s v="Yes"/>
    <x v="0"/>
  </r>
  <r>
    <n v="22655"/>
    <d v="2024-05-26T00:00:00"/>
    <x v="3"/>
    <s v="Ahmedabad"/>
    <s v="SC_AHM_2"/>
    <x v="1"/>
    <s v="Cayenne"/>
    <s v="SUV"/>
    <x v="0"/>
    <x v="3"/>
    <x v="2"/>
    <x v="1"/>
    <n v="12"/>
    <n v="7"/>
    <x v="1"/>
    <x v="1"/>
    <n v="490640"/>
    <n v="314401"/>
    <n v="176239"/>
    <x v="2"/>
    <n v="0"/>
    <n v="0"/>
    <n v="1"/>
    <n v="0"/>
    <n v="1"/>
    <s v="Yes"/>
    <x v="1"/>
  </r>
  <r>
    <n v="22656"/>
    <d v="2024-01-21T00:00:00"/>
    <x v="0"/>
    <s v="Bengaluru"/>
    <s v="SC_BEN_5"/>
    <x v="1"/>
    <s v="Chiron"/>
    <s v="Hypercar"/>
    <x v="1"/>
    <x v="1"/>
    <x v="1"/>
    <x v="0"/>
    <n v="18"/>
    <n v="7"/>
    <x v="1"/>
    <x v="1"/>
    <n v="129955"/>
    <n v="104309"/>
    <n v="25646"/>
    <x v="1"/>
    <n v="0"/>
    <n v="0"/>
    <n v="1"/>
    <n v="0"/>
    <n v="1"/>
    <s v="Yes"/>
    <x v="0"/>
  </r>
  <r>
    <n v="22657"/>
    <d v="2024-06-08T00:00:00"/>
    <x v="1"/>
    <s v="Patna"/>
    <s v="SC_PAT_3"/>
    <x v="2"/>
    <s v="Chiron"/>
    <s v="Hypercar"/>
    <x v="0"/>
    <x v="1"/>
    <x v="0"/>
    <x v="1"/>
    <n v="22"/>
    <n v="7"/>
    <x v="0"/>
    <x v="0"/>
    <n v="141766"/>
    <n v="81494"/>
    <n v="60272"/>
    <x v="0"/>
    <n v="0"/>
    <n v="1"/>
    <n v="0"/>
    <n v="1"/>
    <n v="1"/>
    <s v="Yes"/>
    <x v="0"/>
  </r>
  <r>
    <n v="22658"/>
    <d v="2024-03-10T00:00:00"/>
    <x v="1"/>
    <s v="Patna"/>
    <s v="SC_PAT_2"/>
    <x v="1"/>
    <s v="Veyron"/>
    <s v="Hypercar"/>
    <x v="1"/>
    <x v="2"/>
    <x v="1"/>
    <x v="0"/>
    <n v="15"/>
    <n v="7"/>
    <x v="0"/>
    <x v="1"/>
    <n v="483917"/>
    <n v="383880"/>
    <n v="100037"/>
    <x v="0"/>
    <n v="483917"/>
    <n v="0"/>
    <n v="0"/>
    <n v="1"/>
    <n v="1"/>
    <s v="Yes"/>
    <x v="0"/>
  </r>
  <r>
    <n v="22659"/>
    <d v="2024-01-21T00:00:00"/>
    <x v="1"/>
    <s v="Bhubaneswar"/>
    <s v="SC_BHU_5"/>
    <x v="1"/>
    <s v="Cayenne"/>
    <s v="SUV"/>
    <x v="0"/>
    <x v="0"/>
    <x v="1"/>
    <x v="0"/>
    <n v="6"/>
    <n v="7"/>
    <x v="0"/>
    <x v="0"/>
    <n v="543143"/>
    <n v="347483"/>
    <n v="195660"/>
    <x v="2"/>
    <n v="0"/>
    <n v="1"/>
    <n v="0"/>
    <n v="1"/>
    <n v="1"/>
    <s v="No"/>
    <x v="1"/>
  </r>
  <r>
    <n v="22660"/>
    <d v="2024-03-30T00:00:00"/>
    <x v="3"/>
    <s v="Pune"/>
    <s v="SC_PUN_3"/>
    <x v="1"/>
    <s v="Panamera"/>
    <s v="Sedan"/>
    <x v="1"/>
    <x v="0"/>
    <x v="0"/>
    <x v="1"/>
    <n v="4"/>
    <n v="7"/>
    <x v="1"/>
    <x v="1"/>
    <n v="296457"/>
    <n v="170867"/>
    <n v="125590"/>
    <x v="4"/>
    <n v="0"/>
    <n v="0"/>
    <n v="1"/>
    <n v="0"/>
    <n v="1"/>
    <s v="No"/>
    <x v="2"/>
  </r>
  <r>
    <n v="22661"/>
    <d v="2024-03-04T00:00:00"/>
    <x v="1"/>
    <s v="Patna"/>
    <s v="SC_PAT_4"/>
    <x v="1"/>
    <s v="Veyron"/>
    <s v="Hypercar"/>
    <x v="1"/>
    <x v="1"/>
    <x v="2"/>
    <x v="0"/>
    <n v="23"/>
    <n v="7"/>
    <x v="0"/>
    <x v="1"/>
    <n v="231593"/>
    <n v="142119"/>
    <n v="89474"/>
    <x v="0"/>
    <n v="231593"/>
    <n v="0"/>
    <n v="0"/>
    <n v="1"/>
    <n v="1"/>
    <s v="Yes"/>
    <x v="0"/>
  </r>
  <r>
    <n v="22662"/>
    <d v="2024-01-30T00:00:00"/>
    <x v="2"/>
    <s v="Noida"/>
    <s v="SC_NOI_4"/>
    <x v="0"/>
    <s v="911"/>
    <s v="Coupe"/>
    <x v="0"/>
    <x v="1"/>
    <x v="1"/>
    <x v="0"/>
    <n v="6"/>
    <n v="7"/>
    <x v="1"/>
    <x v="0"/>
    <n v="210541"/>
    <n v="131727"/>
    <n v="78814"/>
    <x v="3"/>
    <n v="0"/>
    <n v="1"/>
    <n v="1"/>
    <n v="0"/>
    <n v="1"/>
    <s v="No"/>
    <x v="2"/>
  </r>
  <r>
    <n v="22663"/>
    <d v="2024-06-12T00:00:00"/>
    <x v="1"/>
    <s v="Bhubaneswar"/>
    <s v="SC_BHU_4"/>
    <x v="2"/>
    <s v="Veyron"/>
    <s v="Hypercar"/>
    <x v="0"/>
    <x v="1"/>
    <x v="2"/>
    <x v="0"/>
    <n v="9"/>
    <n v="7"/>
    <x v="1"/>
    <x v="1"/>
    <n v="577983"/>
    <n v="445676"/>
    <n v="132307"/>
    <x v="3"/>
    <n v="0"/>
    <n v="0"/>
    <n v="1"/>
    <n v="0"/>
    <n v="1"/>
    <s v="Yes"/>
    <x v="2"/>
  </r>
  <r>
    <n v="22664"/>
    <d v="2024-03-31T00:00:00"/>
    <x v="0"/>
    <s v="Hyderabad"/>
    <s v="SC_HYD_4"/>
    <x v="2"/>
    <s v="911"/>
    <s v="Coupe"/>
    <x v="1"/>
    <x v="4"/>
    <x v="1"/>
    <x v="1"/>
    <n v="11"/>
    <n v="7"/>
    <x v="0"/>
    <x v="1"/>
    <n v="265388"/>
    <n v="186291"/>
    <n v="79097"/>
    <x v="1"/>
    <n v="265388"/>
    <n v="0"/>
    <n v="0"/>
    <n v="1"/>
    <n v="1"/>
    <s v="Yes"/>
    <x v="0"/>
  </r>
  <r>
    <n v="22665"/>
    <d v="2024-04-19T00:00:00"/>
    <x v="2"/>
    <s v="Gurugram"/>
    <s v="SC_GUR_3"/>
    <x v="1"/>
    <s v="Macan"/>
    <s v="SUV"/>
    <x v="0"/>
    <x v="4"/>
    <x v="2"/>
    <x v="1"/>
    <n v="12"/>
    <n v="7"/>
    <x v="1"/>
    <x v="1"/>
    <n v="115791"/>
    <n v="80649"/>
    <n v="35142"/>
    <x v="2"/>
    <n v="0"/>
    <n v="0"/>
    <n v="1"/>
    <n v="0"/>
    <n v="1"/>
    <s v="Yes"/>
    <x v="1"/>
  </r>
  <r>
    <n v="22666"/>
    <d v="2024-06-26T00:00:00"/>
    <x v="2"/>
    <s v="Delhi"/>
    <s v="SC_DEL_3"/>
    <x v="0"/>
    <s v="Panamera"/>
    <s v="Sedan"/>
    <x v="0"/>
    <x v="4"/>
    <x v="1"/>
    <x v="0"/>
    <n v="14"/>
    <n v="7"/>
    <x v="1"/>
    <x v="1"/>
    <n v="389597"/>
    <n v="201567"/>
    <n v="188030"/>
    <x v="2"/>
    <n v="0"/>
    <n v="0"/>
    <n v="1"/>
    <n v="0"/>
    <n v="1"/>
    <s v="Yes"/>
    <x v="1"/>
  </r>
  <r>
    <n v="22667"/>
    <d v="2024-04-07T00:00:00"/>
    <x v="1"/>
    <s v="Bhubaneswar"/>
    <s v="SC_BHU_4"/>
    <x v="0"/>
    <s v="Taycan"/>
    <s v="Sedan"/>
    <x v="1"/>
    <x v="2"/>
    <x v="1"/>
    <x v="0"/>
    <n v="12"/>
    <n v="7"/>
    <x v="0"/>
    <x v="0"/>
    <n v="513645"/>
    <n v="257127"/>
    <n v="256518"/>
    <x v="1"/>
    <n v="0"/>
    <n v="1"/>
    <n v="0"/>
    <n v="1"/>
    <n v="1"/>
    <s v="Yes"/>
    <x v="0"/>
  </r>
  <r>
    <n v="22668"/>
    <d v="2024-03-27T00:00:00"/>
    <x v="3"/>
    <s v="Ahmedabad"/>
    <s v="SC_AHM_4"/>
    <x v="2"/>
    <s v="Taycan"/>
    <s v="Sedan"/>
    <x v="1"/>
    <x v="3"/>
    <x v="0"/>
    <x v="0"/>
    <n v="25"/>
    <n v="7"/>
    <x v="0"/>
    <x v="1"/>
    <n v="312440"/>
    <n v="248540"/>
    <n v="63900"/>
    <x v="0"/>
    <n v="312440"/>
    <n v="0"/>
    <n v="0"/>
    <n v="1"/>
    <n v="1"/>
    <s v="Yes"/>
    <x v="0"/>
  </r>
  <r>
    <n v="22669"/>
    <d v="2024-01-11T00:00:00"/>
    <x v="3"/>
    <s v="Mumbai"/>
    <s v="SC_MUM_5"/>
    <x v="1"/>
    <s v="911"/>
    <s v="Coupe"/>
    <x v="0"/>
    <x v="4"/>
    <x v="1"/>
    <x v="0"/>
    <n v="19"/>
    <n v="7"/>
    <x v="1"/>
    <x v="0"/>
    <n v="293777"/>
    <n v="177163"/>
    <n v="116614"/>
    <x v="1"/>
    <n v="0"/>
    <n v="1"/>
    <n v="1"/>
    <n v="0"/>
    <n v="1"/>
    <s v="Yes"/>
    <x v="0"/>
  </r>
  <r>
    <n v="22670"/>
    <d v="2024-04-23T00:00:00"/>
    <x v="1"/>
    <s v="Patna"/>
    <s v="SC_PAT_1"/>
    <x v="2"/>
    <s v="Taycan"/>
    <s v="Sedan"/>
    <x v="0"/>
    <x v="1"/>
    <x v="2"/>
    <x v="0"/>
    <n v="13"/>
    <n v="7"/>
    <x v="1"/>
    <x v="1"/>
    <n v="226531"/>
    <n v="160414"/>
    <n v="66117"/>
    <x v="2"/>
    <n v="0"/>
    <n v="0"/>
    <n v="1"/>
    <n v="0"/>
    <n v="1"/>
    <s v="Yes"/>
    <x v="1"/>
  </r>
  <r>
    <n v="22671"/>
    <d v="2024-05-20T00:00:00"/>
    <x v="2"/>
    <s v="Gurugram"/>
    <s v="SC_GUR_1"/>
    <x v="0"/>
    <s v="Chiron"/>
    <s v="Hypercar"/>
    <x v="1"/>
    <x v="0"/>
    <x v="2"/>
    <x v="0"/>
    <n v="21"/>
    <n v="7"/>
    <x v="0"/>
    <x v="1"/>
    <n v="353446"/>
    <n v="285087"/>
    <n v="68359"/>
    <x v="0"/>
    <n v="353446"/>
    <n v="0"/>
    <n v="0"/>
    <n v="1"/>
    <n v="1"/>
    <s v="Yes"/>
    <x v="0"/>
  </r>
  <r>
    <n v="22672"/>
    <d v="2024-03-08T00:00:00"/>
    <x v="3"/>
    <s v="Pune"/>
    <s v="SC_PUN_1"/>
    <x v="1"/>
    <s v="Cayenne"/>
    <s v="SUV"/>
    <x v="1"/>
    <x v="3"/>
    <x v="1"/>
    <x v="0"/>
    <n v="14"/>
    <n v="7"/>
    <x v="0"/>
    <x v="1"/>
    <n v="460123"/>
    <n v="238412"/>
    <n v="221711"/>
    <x v="1"/>
    <n v="460123"/>
    <n v="0"/>
    <n v="0"/>
    <n v="1"/>
    <n v="1"/>
    <s v="Yes"/>
    <x v="0"/>
  </r>
  <r>
    <n v="22673"/>
    <d v="2024-04-08T00:00:00"/>
    <x v="2"/>
    <s v="Gurugram"/>
    <s v="SC_GUR_2"/>
    <x v="1"/>
    <s v="911"/>
    <s v="Coupe"/>
    <x v="1"/>
    <x v="3"/>
    <x v="2"/>
    <x v="1"/>
    <n v="12"/>
    <n v="7"/>
    <x v="0"/>
    <x v="1"/>
    <n v="457400"/>
    <n v="288694"/>
    <n v="168706"/>
    <x v="1"/>
    <n v="457400"/>
    <n v="0"/>
    <n v="0"/>
    <n v="1"/>
    <n v="1"/>
    <s v="Yes"/>
    <x v="0"/>
  </r>
  <r>
    <n v="22674"/>
    <d v="2024-06-20T00:00:00"/>
    <x v="1"/>
    <s v="Bhubaneswar"/>
    <s v="SC_BHU_3"/>
    <x v="2"/>
    <s v="Chiron"/>
    <s v="Hypercar"/>
    <x v="0"/>
    <x v="4"/>
    <x v="1"/>
    <x v="1"/>
    <n v="11"/>
    <n v="7"/>
    <x v="0"/>
    <x v="1"/>
    <n v="571467"/>
    <n v="413677"/>
    <n v="157790"/>
    <x v="1"/>
    <n v="571467"/>
    <n v="0"/>
    <n v="0"/>
    <n v="1"/>
    <n v="1"/>
    <s v="Yes"/>
    <x v="0"/>
  </r>
  <r>
    <n v="22675"/>
    <d v="2024-04-13T00:00:00"/>
    <x v="1"/>
    <s v="Bhubaneswar"/>
    <s v="SC_BHU_2"/>
    <x v="2"/>
    <s v="Veyron"/>
    <s v="Hypercar"/>
    <x v="0"/>
    <x v="0"/>
    <x v="1"/>
    <x v="1"/>
    <n v="16"/>
    <n v="7"/>
    <x v="0"/>
    <x v="1"/>
    <n v="208958"/>
    <n v="151767"/>
    <n v="57191"/>
    <x v="0"/>
    <n v="208958"/>
    <n v="0"/>
    <n v="0"/>
    <n v="1"/>
    <n v="1"/>
    <s v="Yes"/>
    <x v="0"/>
  </r>
  <r>
    <n v="22676"/>
    <d v="2024-05-19T00:00:00"/>
    <x v="3"/>
    <s v="Pune"/>
    <s v="SC_PUN_5"/>
    <x v="2"/>
    <s v="Panamera"/>
    <s v="Sedan"/>
    <x v="0"/>
    <x v="3"/>
    <x v="0"/>
    <x v="0"/>
    <n v="22"/>
    <n v="7"/>
    <x v="0"/>
    <x v="0"/>
    <n v="178710"/>
    <n v="139169"/>
    <n v="39541"/>
    <x v="0"/>
    <n v="0"/>
    <n v="1"/>
    <n v="0"/>
    <n v="1"/>
    <n v="1"/>
    <s v="Yes"/>
    <x v="0"/>
  </r>
  <r>
    <n v="22677"/>
    <d v="2024-02-28T00:00:00"/>
    <x v="0"/>
    <s v="Bengaluru"/>
    <s v="SC_BEN_4"/>
    <x v="0"/>
    <s v="Veyron"/>
    <s v="Hypercar"/>
    <x v="0"/>
    <x v="0"/>
    <x v="0"/>
    <x v="1"/>
    <n v="16"/>
    <n v="7"/>
    <x v="0"/>
    <x v="0"/>
    <n v="338901"/>
    <n v="191435"/>
    <n v="147466"/>
    <x v="0"/>
    <n v="0"/>
    <n v="1"/>
    <n v="0"/>
    <n v="1"/>
    <n v="1"/>
    <s v="Yes"/>
    <x v="0"/>
  </r>
  <r>
    <n v="22678"/>
    <d v="2024-01-30T00:00:00"/>
    <x v="0"/>
    <s v="Bengaluru"/>
    <s v="SC_BEN_1"/>
    <x v="0"/>
    <s v="Panamera"/>
    <s v="Sedan"/>
    <x v="1"/>
    <x v="4"/>
    <x v="1"/>
    <x v="0"/>
    <n v="16"/>
    <n v="7"/>
    <x v="1"/>
    <x v="0"/>
    <n v="188368"/>
    <n v="149330"/>
    <n v="39038"/>
    <x v="1"/>
    <n v="0"/>
    <n v="1"/>
    <n v="1"/>
    <n v="0"/>
    <n v="1"/>
    <s v="Yes"/>
    <x v="0"/>
  </r>
  <r>
    <n v="22679"/>
    <d v="2024-03-03T00:00:00"/>
    <x v="1"/>
    <s v="Patna"/>
    <s v="SC_PAT_3"/>
    <x v="1"/>
    <s v="Chiron"/>
    <s v="Hypercar"/>
    <x v="1"/>
    <x v="2"/>
    <x v="1"/>
    <x v="0"/>
    <n v="4"/>
    <n v="7"/>
    <x v="0"/>
    <x v="0"/>
    <n v="555660"/>
    <n v="350445"/>
    <n v="205215"/>
    <x v="3"/>
    <n v="0"/>
    <n v="1"/>
    <n v="0"/>
    <n v="1"/>
    <n v="1"/>
    <s v="No"/>
    <x v="2"/>
  </r>
  <r>
    <n v="22680"/>
    <d v="2024-02-08T00:00:00"/>
    <x v="0"/>
    <s v="Chennai"/>
    <s v="SC_CHE_5"/>
    <x v="0"/>
    <s v="Veyron"/>
    <s v="Hypercar"/>
    <x v="0"/>
    <x v="0"/>
    <x v="2"/>
    <x v="1"/>
    <n v="5"/>
    <n v="7"/>
    <x v="1"/>
    <x v="1"/>
    <n v="556876"/>
    <n v="308146"/>
    <n v="248730"/>
    <x v="3"/>
    <n v="0"/>
    <n v="0"/>
    <n v="1"/>
    <n v="0"/>
    <n v="1"/>
    <s v="No"/>
    <x v="2"/>
  </r>
  <r>
    <n v="22681"/>
    <d v="2024-05-03T00:00:00"/>
    <x v="1"/>
    <s v="Kolkata"/>
    <s v="SC_KOL_4"/>
    <x v="0"/>
    <s v="Macan"/>
    <s v="SUV"/>
    <x v="0"/>
    <x v="1"/>
    <x v="1"/>
    <x v="0"/>
    <n v="5"/>
    <n v="7"/>
    <x v="1"/>
    <x v="1"/>
    <n v="360194"/>
    <n v="237516"/>
    <n v="122678"/>
    <x v="3"/>
    <n v="0"/>
    <n v="0"/>
    <n v="1"/>
    <n v="0"/>
    <n v="1"/>
    <s v="No"/>
    <x v="2"/>
  </r>
  <r>
    <n v="22682"/>
    <d v="2024-04-18T00:00:00"/>
    <x v="0"/>
    <s v="Hyderabad"/>
    <s v="SC_HYD_2"/>
    <x v="0"/>
    <s v="Chiron"/>
    <s v="Hypercar"/>
    <x v="1"/>
    <x v="4"/>
    <x v="1"/>
    <x v="0"/>
    <n v="19"/>
    <n v="7"/>
    <x v="1"/>
    <x v="1"/>
    <n v="112588"/>
    <n v="75047"/>
    <n v="37541"/>
    <x v="1"/>
    <n v="0"/>
    <n v="0"/>
    <n v="1"/>
    <n v="0"/>
    <n v="1"/>
    <s v="Yes"/>
    <x v="0"/>
  </r>
  <r>
    <n v="22683"/>
    <d v="2024-04-02T00:00:00"/>
    <x v="1"/>
    <s v="Patna"/>
    <s v="SC_PAT_5"/>
    <x v="2"/>
    <s v="Chiron"/>
    <s v="Hypercar"/>
    <x v="1"/>
    <x v="4"/>
    <x v="1"/>
    <x v="1"/>
    <n v="18"/>
    <n v="7"/>
    <x v="1"/>
    <x v="0"/>
    <n v="245310"/>
    <n v="158360"/>
    <n v="86950"/>
    <x v="1"/>
    <n v="0"/>
    <n v="1"/>
    <n v="1"/>
    <n v="0"/>
    <n v="1"/>
    <s v="Yes"/>
    <x v="0"/>
  </r>
  <r>
    <n v="22684"/>
    <d v="2024-02-06T00:00:00"/>
    <x v="2"/>
    <s v="Delhi"/>
    <s v="SC_DEL_5"/>
    <x v="0"/>
    <s v="911"/>
    <s v="Coupe"/>
    <x v="1"/>
    <x v="4"/>
    <x v="2"/>
    <x v="1"/>
    <n v="4"/>
    <n v="7"/>
    <x v="0"/>
    <x v="1"/>
    <n v="239443"/>
    <n v="176361"/>
    <n v="63082"/>
    <x v="3"/>
    <n v="239443"/>
    <n v="0"/>
    <n v="0"/>
    <n v="1"/>
    <n v="1"/>
    <s v="No"/>
    <x v="2"/>
  </r>
  <r>
    <n v="22685"/>
    <d v="2024-02-10T00:00:00"/>
    <x v="2"/>
    <s v="Gurugram"/>
    <s v="SC_GUR_3"/>
    <x v="0"/>
    <s v="Panamera"/>
    <s v="Sedan"/>
    <x v="0"/>
    <x v="4"/>
    <x v="2"/>
    <x v="0"/>
    <n v="4"/>
    <n v="7"/>
    <x v="1"/>
    <x v="0"/>
    <n v="359776"/>
    <n v="293453"/>
    <n v="66323"/>
    <x v="4"/>
    <n v="0"/>
    <n v="1"/>
    <n v="1"/>
    <n v="0"/>
    <n v="1"/>
    <s v="No"/>
    <x v="2"/>
  </r>
  <r>
    <n v="22686"/>
    <d v="2024-06-24T00:00:00"/>
    <x v="2"/>
    <s v="Gurugram"/>
    <s v="SC_GUR_4"/>
    <x v="2"/>
    <s v="Taycan"/>
    <s v="Sedan"/>
    <x v="1"/>
    <x v="3"/>
    <x v="0"/>
    <x v="0"/>
    <n v="21"/>
    <n v="7"/>
    <x v="0"/>
    <x v="1"/>
    <n v="445014"/>
    <n v="237730"/>
    <n v="207284"/>
    <x v="0"/>
    <n v="445014"/>
    <n v="0"/>
    <n v="0"/>
    <n v="1"/>
    <n v="1"/>
    <s v="Yes"/>
    <x v="0"/>
  </r>
  <r>
    <n v="22687"/>
    <d v="2024-02-28T00:00:00"/>
    <x v="1"/>
    <s v="Patna"/>
    <s v="SC_PAT_3"/>
    <x v="0"/>
    <s v="Cayenne"/>
    <s v="SUV"/>
    <x v="1"/>
    <x v="1"/>
    <x v="2"/>
    <x v="1"/>
    <n v="21"/>
    <n v="7"/>
    <x v="0"/>
    <x v="1"/>
    <n v="234075"/>
    <n v="182881"/>
    <n v="51194"/>
    <x v="0"/>
    <n v="234075"/>
    <n v="0"/>
    <n v="0"/>
    <n v="1"/>
    <n v="1"/>
    <s v="Yes"/>
    <x v="0"/>
  </r>
  <r>
    <n v="22688"/>
    <d v="2024-04-25T00:00:00"/>
    <x v="1"/>
    <s v="Kolkata"/>
    <s v="SC_KOL_3"/>
    <x v="0"/>
    <s v="Veyron"/>
    <s v="Hypercar"/>
    <x v="1"/>
    <x v="0"/>
    <x v="1"/>
    <x v="0"/>
    <n v="12"/>
    <n v="7"/>
    <x v="1"/>
    <x v="1"/>
    <n v="380242"/>
    <n v="322187"/>
    <n v="58055"/>
    <x v="2"/>
    <n v="0"/>
    <n v="0"/>
    <n v="1"/>
    <n v="0"/>
    <n v="1"/>
    <s v="Yes"/>
    <x v="1"/>
  </r>
  <r>
    <n v="22689"/>
    <d v="2024-04-17T00:00:00"/>
    <x v="1"/>
    <s v="Kolkata"/>
    <s v="SC_KOL_4"/>
    <x v="0"/>
    <s v="Cayenne"/>
    <s v="SUV"/>
    <x v="0"/>
    <x v="1"/>
    <x v="0"/>
    <x v="1"/>
    <n v="14"/>
    <n v="7"/>
    <x v="0"/>
    <x v="1"/>
    <n v="146183"/>
    <n v="112188"/>
    <n v="33995"/>
    <x v="1"/>
    <n v="146183"/>
    <n v="0"/>
    <n v="0"/>
    <n v="1"/>
    <n v="1"/>
    <s v="Yes"/>
    <x v="0"/>
  </r>
  <r>
    <n v="22690"/>
    <d v="2024-03-10T00:00:00"/>
    <x v="1"/>
    <s v="Bhubaneswar"/>
    <s v="SC_BHU_4"/>
    <x v="1"/>
    <s v="Veyron"/>
    <s v="Hypercar"/>
    <x v="1"/>
    <x v="1"/>
    <x v="0"/>
    <x v="1"/>
    <n v="22"/>
    <n v="7"/>
    <x v="0"/>
    <x v="1"/>
    <n v="338945"/>
    <n v="274415"/>
    <n v="64530"/>
    <x v="0"/>
    <n v="338945"/>
    <n v="0"/>
    <n v="0"/>
    <n v="1"/>
    <n v="1"/>
    <s v="Yes"/>
    <x v="0"/>
  </r>
  <r>
    <n v="22691"/>
    <d v="2024-06-08T00:00:00"/>
    <x v="3"/>
    <s v="Mumbai"/>
    <s v="SC_MUM_5"/>
    <x v="1"/>
    <s v="911"/>
    <s v="Coupe"/>
    <x v="0"/>
    <x v="4"/>
    <x v="1"/>
    <x v="0"/>
    <n v="16"/>
    <n v="7"/>
    <x v="1"/>
    <x v="1"/>
    <n v="545040"/>
    <n v="385357"/>
    <n v="159683"/>
    <x v="1"/>
    <n v="0"/>
    <n v="0"/>
    <n v="1"/>
    <n v="0"/>
    <n v="1"/>
    <s v="Yes"/>
    <x v="0"/>
  </r>
  <r>
    <n v="22692"/>
    <d v="2024-02-07T00:00:00"/>
    <x v="2"/>
    <s v="Gurugram"/>
    <s v="SC_GUR_2"/>
    <x v="0"/>
    <s v="Macan"/>
    <s v="SUV"/>
    <x v="0"/>
    <x v="4"/>
    <x v="1"/>
    <x v="1"/>
    <n v="5"/>
    <n v="7"/>
    <x v="0"/>
    <x v="0"/>
    <n v="359624"/>
    <n v="209873"/>
    <n v="149751"/>
    <x v="2"/>
    <n v="0"/>
    <n v="1"/>
    <n v="0"/>
    <n v="1"/>
    <n v="1"/>
    <s v="No"/>
    <x v="1"/>
  </r>
  <r>
    <n v="22693"/>
    <d v="2024-06-09T00:00:00"/>
    <x v="2"/>
    <s v="Delhi"/>
    <s v="SC_DEL_1"/>
    <x v="1"/>
    <s v="Cayenne"/>
    <s v="SUV"/>
    <x v="1"/>
    <x v="2"/>
    <x v="1"/>
    <x v="0"/>
    <n v="3"/>
    <n v="7"/>
    <x v="1"/>
    <x v="0"/>
    <n v="564214"/>
    <n v="341432"/>
    <n v="222782"/>
    <x v="4"/>
    <n v="0"/>
    <n v="1"/>
    <n v="1"/>
    <n v="0"/>
    <n v="1"/>
    <s v="No"/>
    <x v="2"/>
  </r>
  <r>
    <n v="22694"/>
    <d v="2024-01-19T00:00:00"/>
    <x v="2"/>
    <s v="Gurugram"/>
    <s v="SC_GUR_5"/>
    <x v="2"/>
    <s v="Veyron"/>
    <s v="Hypercar"/>
    <x v="0"/>
    <x v="0"/>
    <x v="1"/>
    <x v="0"/>
    <n v="11"/>
    <n v="7"/>
    <x v="0"/>
    <x v="1"/>
    <n v="584390"/>
    <n v="292554"/>
    <n v="291836"/>
    <x v="1"/>
    <n v="584390"/>
    <n v="0"/>
    <n v="0"/>
    <n v="1"/>
    <n v="1"/>
    <s v="Yes"/>
    <x v="0"/>
  </r>
  <r>
    <n v="22695"/>
    <d v="2024-06-01T00:00:00"/>
    <x v="3"/>
    <s v="Ahmedabad"/>
    <s v="SC_AHM_4"/>
    <x v="2"/>
    <s v="Veyron"/>
    <s v="Hypercar"/>
    <x v="1"/>
    <x v="1"/>
    <x v="0"/>
    <x v="1"/>
    <n v="6"/>
    <n v="7"/>
    <x v="0"/>
    <x v="1"/>
    <n v="565908"/>
    <n v="313557"/>
    <n v="252351"/>
    <x v="2"/>
    <n v="565908"/>
    <n v="0"/>
    <n v="0"/>
    <n v="1"/>
    <n v="1"/>
    <s v="No"/>
    <x v="1"/>
  </r>
  <r>
    <n v="22696"/>
    <d v="2024-02-01T00:00:00"/>
    <x v="3"/>
    <s v="Mumbai"/>
    <s v="SC_MUM_3"/>
    <x v="0"/>
    <s v="Panamera"/>
    <s v="Sedan"/>
    <x v="0"/>
    <x v="4"/>
    <x v="2"/>
    <x v="1"/>
    <n v="22"/>
    <n v="7"/>
    <x v="0"/>
    <x v="1"/>
    <n v="425920"/>
    <n v="270313"/>
    <n v="155607"/>
    <x v="0"/>
    <n v="425920"/>
    <n v="0"/>
    <n v="0"/>
    <n v="1"/>
    <n v="1"/>
    <s v="Yes"/>
    <x v="0"/>
  </r>
  <r>
    <n v="22697"/>
    <d v="2024-04-29T00:00:00"/>
    <x v="1"/>
    <s v="Kolkata"/>
    <s v="SC_KOL_5"/>
    <x v="0"/>
    <s v="Cayenne"/>
    <s v="SUV"/>
    <x v="0"/>
    <x v="1"/>
    <x v="1"/>
    <x v="1"/>
    <n v="17"/>
    <n v="7"/>
    <x v="1"/>
    <x v="0"/>
    <n v="574969"/>
    <n v="349894"/>
    <n v="225075"/>
    <x v="1"/>
    <n v="0"/>
    <n v="1"/>
    <n v="1"/>
    <n v="0"/>
    <n v="1"/>
    <s v="Yes"/>
    <x v="0"/>
  </r>
  <r>
    <n v="22698"/>
    <d v="2024-02-16T00:00:00"/>
    <x v="3"/>
    <s v="Mumbai"/>
    <s v="SC_MUM_3"/>
    <x v="2"/>
    <s v="Taycan"/>
    <s v="Sedan"/>
    <x v="1"/>
    <x v="0"/>
    <x v="1"/>
    <x v="0"/>
    <n v="7"/>
    <n v="7"/>
    <x v="0"/>
    <x v="1"/>
    <n v="487367"/>
    <n v="394235"/>
    <n v="93132"/>
    <x v="2"/>
    <n v="487367"/>
    <n v="0"/>
    <n v="0"/>
    <n v="1"/>
    <n v="1"/>
    <s v="No"/>
    <x v="1"/>
  </r>
  <r>
    <n v="22699"/>
    <d v="2024-05-02T00:00:00"/>
    <x v="3"/>
    <s v="Ahmedabad"/>
    <s v="SC_AHM_1"/>
    <x v="1"/>
    <s v="Panamera"/>
    <s v="Sedan"/>
    <x v="1"/>
    <x v="4"/>
    <x v="0"/>
    <x v="0"/>
    <n v="15"/>
    <n v="7"/>
    <x v="0"/>
    <x v="1"/>
    <n v="168656"/>
    <n v="124847"/>
    <n v="43809"/>
    <x v="0"/>
    <n v="168656"/>
    <n v="0"/>
    <n v="0"/>
    <n v="1"/>
    <n v="1"/>
    <s v="Yes"/>
    <x v="0"/>
  </r>
  <r>
    <n v="22700"/>
    <d v="2024-01-21T00:00:00"/>
    <x v="0"/>
    <s v="Chennai"/>
    <s v="SC_CHE_4"/>
    <x v="0"/>
    <s v="Panamera"/>
    <s v="Sedan"/>
    <x v="0"/>
    <x v="2"/>
    <x v="0"/>
    <x v="1"/>
    <n v="21"/>
    <n v="7"/>
    <x v="0"/>
    <x v="1"/>
    <n v="344944"/>
    <n v="260987"/>
    <n v="83957"/>
    <x v="0"/>
    <n v="344944"/>
    <n v="0"/>
    <n v="0"/>
    <n v="1"/>
    <n v="1"/>
    <s v="Yes"/>
    <x v="0"/>
  </r>
  <r>
    <n v="22701"/>
    <d v="2024-03-26T00:00:00"/>
    <x v="0"/>
    <s v="Bengaluru"/>
    <s v="SC_BEN_2"/>
    <x v="1"/>
    <s v="Chiron"/>
    <s v="Hypercar"/>
    <x v="1"/>
    <x v="4"/>
    <x v="0"/>
    <x v="0"/>
    <n v="18"/>
    <n v="7"/>
    <x v="0"/>
    <x v="0"/>
    <n v="281873"/>
    <n v="237521"/>
    <n v="44352"/>
    <x v="0"/>
    <n v="0"/>
    <n v="1"/>
    <n v="0"/>
    <n v="1"/>
    <n v="1"/>
    <s v="Yes"/>
    <x v="0"/>
  </r>
  <r>
    <n v="22702"/>
    <d v="2024-04-17T00:00:00"/>
    <x v="3"/>
    <s v="Ahmedabad"/>
    <s v="SC_AHM_4"/>
    <x v="2"/>
    <s v="Macan"/>
    <s v="SUV"/>
    <x v="1"/>
    <x v="2"/>
    <x v="2"/>
    <x v="0"/>
    <n v="9"/>
    <n v="7"/>
    <x v="0"/>
    <x v="1"/>
    <n v="223975"/>
    <n v="171747"/>
    <n v="52228"/>
    <x v="2"/>
    <n v="223975"/>
    <n v="0"/>
    <n v="0"/>
    <n v="1"/>
    <n v="1"/>
    <s v="Yes"/>
    <x v="1"/>
  </r>
  <r>
    <n v="22703"/>
    <d v="2024-03-28T00:00:00"/>
    <x v="0"/>
    <s v="Bengaluru"/>
    <s v="SC_BEN_4"/>
    <x v="1"/>
    <s v="Veyron"/>
    <s v="Hypercar"/>
    <x v="1"/>
    <x v="0"/>
    <x v="0"/>
    <x v="0"/>
    <n v="7"/>
    <n v="7"/>
    <x v="0"/>
    <x v="1"/>
    <n v="415386"/>
    <n v="212970"/>
    <n v="202416"/>
    <x v="2"/>
    <n v="415386"/>
    <n v="0"/>
    <n v="0"/>
    <n v="1"/>
    <n v="1"/>
    <s v="No"/>
    <x v="1"/>
  </r>
  <r>
    <n v="22704"/>
    <d v="2024-06-14T00:00:00"/>
    <x v="2"/>
    <s v="Delhi"/>
    <s v="SC_DEL_4"/>
    <x v="0"/>
    <s v="Chiron"/>
    <s v="Hypercar"/>
    <x v="0"/>
    <x v="4"/>
    <x v="2"/>
    <x v="0"/>
    <n v="19"/>
    <n v="7"/>
    <x v="1"/>
    <x v="0"/>
    <n v="439904"/>
    <n v="302236"/>
    <n v="137668"/>
    <x v="1"/>
    <n v="0"/>
    <n v="1"/>
    <n v="1"/>
    <n v="0"/>
    <n v="1"/>
    <s v="Yes"/>
    <x v="0"/>
  </r>
  <r>
    <n v="22705"/>
    <d v="2024-06-17T00:00:00"/>
    <x v="2"/>
    <s v="Delhi"/>
    <s v="SC_DEL_2"/>
    <x v="0"/>
    <s v="Taycan"/>
    <s v="Sedan"/>
    <x v="0"/>
    <x v="0"/>
    <x v="1"/>
    <x v="0"/>
    <n v="16"/>
    <n v="7"/>
    <x v="0"/>
    <x v="1"/>
    <n v="162351"/>
    <n v="112178"/>
    <n v="50173"/>
    <x v="0"/>
    <n v="162351"/>
    <n v="0"/>
    <n v="0"/>
    <n v="1"/>
    <n v="1"/>
    <s v="Yes"/>
    <x v="0"/>
  </r>
  <r>
    <n v="22706"/>
    <d v="2024-04-09T00:00:00"/>
    <x v="2"/>
    <s v="Noida"/>
    <s v="SC_NOI_3"/>
    <x v="0"/>
    <s v="Macan"/>
    <s v="SUV"/>
    <x v="0"/>
    <x v="2"/>
    <x v="1"/>
    <x v="1"/>
    <n v="12"/>
    <n v="7"/>
    <x v="1"/>
    <x v="1"/>
    <n v="412785"/>
    <n v="250819"/>
    <n v="161966"/>
    <x v="2"/>
    <n v="0"/>
    <n v="0"/>
    <n v="1"/>
    <n v="0"/>
    <n v="1"/>
    <s v="Yes"/>
    <x v="1"/>
  </r>
  <r>
    <n v="22707"/>
    <d v="2024-05-25T00:00:00"/>
    <x v="0"/>
    <s v="Hyderabad"/>
    <s v="SC_HYD_2"/>
    <x v="1"/>
    <s v="Macan"/>
    <s v="SUV"/>
    <x v="0"/>
    <x v="1"/>
    <x v="0"/>
    <x v="0"/>
    <n v="6"/>
    <n v="7"/>
    <x v="1"/>
    <x v="1"/>
    <n v="150913"/>
    <n v="123364"/>
    <n v="27549"/>
    <x v="3"/>
    <n v="0"/>
    <n v="0"/>
    <n v="1"/>
    <n v="0"/>
    <n v="1"/>
    <s v="No"/>
    <x v="2"/>
  </r>
  <r>
    <n v="22708"/>
    <d v="2024-06-12T00:00:00"/>
    <x v="3"/>
    <s v="Ahmedabad"/>
    <s v="SC_AHM_4"/>
    <x v="2"/>
    <s v="Veyron"/>
    <s v="Hypercar"/>
    <x v="1"/>
    <x v="4"/>
    <x v="1"/>
    <x v="1"/>
    <n v="5"/>
    <n v="7"/>
    <x v="0"/>
    <x v="1"/>
    <n v="451988"/>
    <n v="240031"/>
    <n v="211957"/>
    <x v="2"/>
    <n v="451988"/>
    <n v="0"/>
    <n v="0"/>
    <n v="1"/>
    <n v="1"/>
    <s v="No"/>
    <x v="1"/>
  </r>
  <r>
    <n v="22709"/>
    <d v="2024-03-26T00:00:00"/>
    <x v="0"/>
    <s v="Chennai"/>
    <s v="SC_CHE_4"/>
    <x v="2"/>
    <s v="Macan"/>
    <s v="SUV"/>
    <x v="0"/>
    <x v="0"/>
    <x v="0"/>
    <x v="0"/>
    <n v="24"/>
    <n v="7"/>
    <x v="0"/>
    <x v="0"/>
    <n v="581953"/>
    <n v="399278"/>
    <n v="182675"/>
    <x v="0"/>
    <n v="0"/>
    <n v="1"/>
    <n v="0"/>
    <n v="1"/>
    <n v="1"/>
    <s v="Yes"/>
    <x v="0"/>
  </r>
  <r>
    <n v="22710"/>
    <d v="2024-01-24T00:00:00"/>
    <x v="2"/>
    <s v="Gurugram"/>
    <s v="SC_GUR_3"/>
    <x v="2"/>
    <s v="Veyron"/>
    <s v="Hypercar"/>
    <x v="1"/>
    <x v="3"/>
    <x v="2"/>
    <x v="0"/>
    <n v="13"/>
    <n v="7"/>
    <x v="1"/>
    <x v="1"/>
    <n v="301098"/>
    <n v="242829"/>
    <n v="58269"/>
    <x v="2"/>
    <n v="0"/>
    <n v="0"/>
    <n v="1"/>
    <n v="0"/>
    <n v="1"/>
    <s v="Yes"/>
    <x v="1"/>
  </r>
  <r>
    <n v="22711"/>
    <d v="2024-06-27T00:00:00"/>
    <x v="1"/>
    <s v="Kolkata"/>
    <s v="SC_KOL_3"/>
    <x v="0"/>
    <s v="Taycan"/>
    <s v="Sedan"/>
    <x v="0"/>
    <x v="2"/>
    <x v="1"/>
    <x v="0"/>
    <n v="18"/>
    <n v="7"/>
    <x v="1"/>
    <x v="1"/>
    <n v="266151"/>
    <n v="143544"/>
    <n v="122607"/>
    <x v="1"/>
    <n v="0"/>
    <n v="0"/>
    <n v="1"/>
    <n v="0"/>
    <n v="1"/>
    <s v="Yes"/>
    <x v="0"/>
  </r>
  <r>
    <n v="22712"/>
    <d v="2024-02-03T00:00:00"/>
    <x v="0"/>
    <s v="Bengaluru"/>
    <s v="SC_BEN_3"/>
    <x v="1"/>
    <s v="Taycan"/>
    <s v="Sedan"/>
    <x v="0"/>
    <x v="4"/>
    <x v="2"/>
    <x v="0"/>
    <n v="10"/>
    <n v="7"/>
    <x v="1"/>
    <x v="1"/>
    <n v="426094"/>
    <n v="215221"/>
    <n v="210873"/>
    <x v="2"/>
    <n v="0"/>
    <n v="0"/>
    <n v="1"/>
    <n v="0"/>
    <n v="1"/>
    <s v="Yes"/>
    <x v="1"/>
  </r>
  <r>
    <n v="22713"/>
    <d v="2024-03-26T00:00:00"/>
    <x v="3"/>
    <s v="Ahmedabad"/>
    <s v="SC_AHM_4"/>
    <x v="1"/>
    <s v="911"/>
    <s v="Coupe"/>
    <x v="0"/>
    <x v="1"/>
    <x v="0"/>
    <x v="1"/>
    <n v="14"/>
    <n v="7"/>
    <x v="0"/>
    <x v="0"/>
    <n v="479589"/>
    <n v="394324"/>
    <n v="85265"/>
    <x v="1"/>
    <n v="0"/>
    <n v="1"/>
    <n v="0"/>
    <n v="1"/>
    <n v="1"/>
    <s v="Yes"/>
    <x v="0"/>
  </r>
  <r>
    <n v="22714"/>
    <d v="2024-02-05T00:00:00"/>
    <x v="1"/>
    <s v="Patna"/>
    <s v="SC_PAT_3"/>
    <x v="1"/>
    <s v="Panamera"/>
    <s v="Sedan"/>
    <x v="0"/>
    <x v="2"/>
    <x v="1"/>
    <x v="0"/>
    <n v="18"/>
    <n v="7"/>
    <x v="1"/>
    <x v="1"/>
    <n v="479034"/>
    <n v="278106"/>
    <n v="200928"/>
    <x v="1"/>
    <n v="0"/>
    <n v="0"/>
    <n v="1"/>
    <n v="0"/>
    <n v="1"/>
    <s v="Yes"/>
    <x v="0"/>
  </r>
  <r>
    <n v="22715"/>
    <d v="2024-04-24T00:00:00"/>
    <x v="1"/>
    <s v="Kolkata"/>
    <s v="SC_KOL_3"/>
    <x v="0"/>
    <s v="Chiron"/>
    <s v="Hypercar"/>
    <x v="1"/>
    <x v="0"/>
    <x v="0"/>
    <x v="0"/>
    <n v="13"/>
    <n v="7"/>
    <x v="0"/>
    <x v="0"/>
    <n v="594069"/>
    <n v="396333"/>
    <n v="197736"/>
    <x v="1"/>
    <n v="0"/>
    <n v="1"/>
    <n v="0"/>
    <n v="1"/>
    <n v="1"/>
    <s v="Yes"/>
    <x v="0"/>
  </r>
  <r>
    <n v="22716"/>
    <d v="2024-06-27T00:00:00"/>
    <x v="1"/>
    <s v="Kolkata"/>
    <s v="SC_KOL_4"/>
    <x v="1"/>
    <s v="Taycan"/>
    <s v="Sedan"/>
    <x v="1"/>
    <x v="4"/>
    <x v="2"/>
    <x v="1"/>
    <n v="23"/>
    <n v="7"/>
    <x v="0"/>
    <x v="1"/>
    <n v="342716"/>
    <n v="235221"/>
    <n v="107495"/>
    <x v="0"/>
    <n v="342716"/>
    <n v="0"/>
    <n v="0"/>
    <n v="1"/>
    <n v="1"/>
    <s v="Yes"/>
    <x v="0"/>
  </r>
  <r>
    <n v="22717"/>
    <d v="2024-05-05T00:00:00"/>
    <x v="2"/>
    <s v="Noida"/>
    <s v="SC_NOI_2"/>
    <x v="0"/>
    <s v="911"/>
    <s v="Coupe"/>
    <x v="1"/>
    <x v="0"/>
    <x v="0"/>
    <x v="0"/>
    <n v="2"/>
    <n v="7"/>
    <x v="1"/>
    <x v="0"/>
    <n v="509055"/>
    <n v="279756"/>
    <n v="229299"/>
    <x v="4"/>
    <n v="0"/>
    <n v="1"/>
    <n v="1"/>
    <n v="0"/>
    <n v="1"/>
    <s v="No"/>
    <x v="2"/>
  </r>
  <r>
    <n v="22718"/>
    <d v="2024-03-22T00:00:00"/>
    <x v="0"/>
    <s v="Bengaluru"/>
    <s v="SC_BEN_4"/>
    <x v="2"/>
    <s v="Chiron"/>
    <s v="Hypercar"/>
    <x v="1"/>
    <x v="0"/>
    <x v="2"/>
    <x v="1"/>
    <n v="20"/>
    <n v="7"/>
    <x v="0"/>
    <x v="1"/>
    <n v="474115"/>
    <n v="295274"/>
    <n v="178841"/>
    <x v="0"/>
    <n v="474115"/>
    <n v="0"/>
    <n v="0"/>
    <n v="1"/>
    <n v="1"/>
    <s v="Yes"/>
    <x v="0"/>
  </r>
  <r>
    <n v="22719"/>
    <d v="2024-04-25T00:00:00"/>
    <x v="0"/>
    <s v="Hyderabad"/>
    <s v="SC_HYD_4"/>
    <x v="2"/>
    <s v="Taycan"/>
    <s v="Sedan"/>
    <x v="0"/>
    <x v="1"/>
    <x v="2"/>
    <x v="0"/>
    <n v="5"/>
    <n v="7"/>
    <x v="0"/>
    <x v="1"/>
    <n v="485009"/>
    <n v="377621"/>
    <n v="107388"/>
    <x v="2"/>
    <n v="485009"/>
    <n v="0"/>
    <n v="0"/>
    <n v="1"/>
    <n v="1"/>
    <s v="No"/>
    <x v="1"/>
  </r>
  <r>
    <n v="22720"/>
    <d v="2024-06-15T00:00:00"/>
    <x v="0"/>
    <s v="Bengaluru"/>
    <s v="SC_BEN_3"/>
    <x v="1"/>
    <s v="Chiron"/>
    <s v="Hypercar"/>
    <x v="1"/>
    <x v="1"/>
    <x v="0"/>
    <x v="1"/>
    <n v="24"/>
    <n v="7"/>
    <x v="0"/>
    <x v="1"/>
    <n v="412106"/>
    <n v="319788"/>
    <n v="92318"/>
    <x v="0"/>
    <n v="412106"/>
    <n v="0"/>
    <n v="0"/>
    <n v="1"/>
    <n v="1"/>
    <s v="Yes"/>
    <x v="0"/>
  </r>
  <r>
    <n v="22721"/>
    <d v="2024-01-22T00:00:00"/>
    <x v="1"/>
    <s v="Bhubaneswar"/>
    <s v="SC_BHU_5"/>
    <x v="2"/>
    <s v="Veyron"/>
    <s v="Hypercar"/>
    <x v="0"/>
    <x v="1"/>
    <x v="2"/>
    <x v="0"/>
    <n v="9"/>
    <n v="7"/>
    <x v="1"/>
    <x v="0"/>
    <n v="144324"/>
    <n v="111958"/>
    <n v="32366"/>
    <x v="3"/>
    <n v="0"/>
    <n v="1"/>
    <n v="1"/>
    <n v="0"/>
    <n v="1"/>
    <s v="Yes"/>
    <x v="2"/>
  </r>
  <r>
    <n v="22722"/>
    <d v="2024-04-28T00:00:00"/>
    <x v="1"/>
    <s v="Kolkata"/>
    <s v="SC_KOL_3"/>
    <x v="2"/>
    <s v="Cayenne"/>
    <s v="SUV"/>
    <x v="0"/>
    <x v="1"/>
    <x v="0"/>
    <x v="0"/>
    <n v="24"/>
    <n v="7"/>
    <x v="0"/>
    <x v="1"/>
    <n v="353349"/>
    <n v="235329"/>
    <n v="118020"/>
    <x v="0"/>
    <n v="353349"/>
    <n v="0"/>
    <n v="0"/>
    <n v="1"/>
    <n v="1"/>
    <s v="Yes"/>
    <x v="0"/>
  </r>
  <r>
    <n v="22723"/>
    <d v="2024-05-29T00:00:00"/>
    <x v="1"/>
    <s v="Kolkata"/>
    <s v="SC_KOL_1"/>
    <x v="1"/>
    <s v="911"/>
    <s v="Coupe"/>
    <x v="1"/>
    <x v="2"/>
    <x v="2"/>
    <x v="0"/>
    <n v="12"/>
    <n v="7"/>
    <x v="1"/>
    <x v="1"/>
    <n v="310008"/>
    <n v="169646"/>
    <n v="140362"/>
    <x v="2"/>
    <n v="0"/>
    <n v="0"/>
    <n v="1"/>
    <n v="0"/>
    <n v="1"/>
    <s v="Yes"/>
    <x v="1"/>
  </r>
  <r>
    <n v="22724"/>
    <d v="2024-05-28T00:00:00"/>
    <x v="0"/>
    <s v="Bengaluru"/>
    <s v="SC_BEN_1"/>
    <x v="0"/>
    <s v="Macan"/>
    <s v="SUV"/>
    <x v="1"/>
    <x v="4"/>
    <x v="2"/>
    <x v="0"/>
    <n v="15"/>
    <n v="7"/>
    <x v="1"/>
    <x v="1"/>
    <n v="101263"/>
    <n v="52276"/>
    <n v="48987"/>
    <x v="1"/>
    <n v="0"/>
    <n v="0"/>
    <n v="1"/>
    <n v="0"/>
    <n v="1"/>
    <s v="Yes"/>
    <x v="0"/>
  </r>
  <r>
    <n v="22725"/>
    <d v="2024-06-15T00:00:00"/>
    <x v="0"/>
    <s v="Hyderabad"/>
    <s v="SC_HYD_1"/>
    <x v="2"/>
    <s v="Veyron"/>
    <s v="Hypercar"/>
    <x v="1"/>
    <x v="3"/>
    <x v="1"/>
    <x v="0"/>
    <n v="6"/>
    <n v="7"/>
    <x v="0"/>
    <x v="1"/>
    <n v="557770"/>
    <n v="332900"/>
    <n v="224870"/>
    <x v="2"/>
    <n v="557770"/>
    <n v="0"/>
    <n v="0"/>
    <n v="1"/>
    <n v="1"/>
    <s v="No"/>
    <x v="1"/>
  </r>
  <r>
    <n v="22726"/>
    <d v="2024-06-19T00:00:00"/>
    <x v="1"/>
    <s v="Kolkata"/>
    <s v="SC_KOL_1"/>
    <x v="1"/>
    <s v="911"/>
    <s v="Coupe"/>
    <x v="0"/>
    <x v="2"/>
    <x v="2"/>
    <x v="0"/>
    <n v="16"/>
    <n v="7"/>
    <x v="0"/>
    <x v="0"/>
    <n v="162572"/>
    <n v="91883"/>
    <n v="70689"/>
    <x v="0"/>
    <n v="0"/>
    <n v="1"/>
    <n v="0"/>
    <n v="1"/>
    <n v="1"/>
    <s v="Yes"/>
    <x v="0"/>
  </r>
  <r>
    <n v="22727"/>
    <d v="2024-02-05T00:00:00"/>
    <x v="2"/>
    <s v="Gurugram"/>
    <s v="SC_GUR_4"/>
    <x v="1"/>
    <s v="Cayenne"/>
    <s v="SUV"/>
    <x v="1"/>
    <x v="2"/>
    <x v="1"/>
    <x v="0"/>
    <n v="17"/>
    <n v="7"/>
    <x v="1"/>
    <x v="1"/>
    <n v="457955"/>
    <n v="232678"/>
    <n v="225277"/>
    <x v="1"/>
    <n v="0"/>
    <n v="0"/>
    <n v="1"/>
    <n v="0"/>
    <n v="1"/>
    <s v="Yes"/>
    <x v="0"/>
  </r>
  <r>
    <n v="22728"/>
    <d v="2024-01-30T00:00:00"/>
    <x v="3"/>
    <s v="Pune"/>
    <s v="SC_PUN_3"/>
    <x v="1"/>
    <s v="Taycan"/>
    <s v="Sedan"/>
    <x v="1"/>
    <x v="1"/>
    <x v="0"/>
    <x v="0"/>
    <n v="7"/>
    <n v="7"/>
    <x v="0"/>
    <x v="1"/>
    <n v="97310"/>
    <n v="54469"/>
    <n v="42841"/>
    <x v="2"/>
    <n v="97310"/>
    <n v="0"/>
    <n v="0"/>
    <n v="1"/>
    <n v="1"/>
    <s v="No"/>
    <x v="1"/>
  </r>
  <r>
    <n v="22729"/>
    <d v="2024-02-11T00:00:00"/>
    <x v="3"/>
    <s v="Pune"/>
    <s v="SC_PUN_2"/>
    <x v="2"/>
    <s v="911"/>
    <s v="Coupe"/>
    <x v="1"/>
    <x v="0"/>
    <x v="2"/>
    <x v="0"/>
    <n v="2"/>
    <n v="7"/>
    <x v="1"/>
    <x v="1"/>
    <n v="248694"/>
    <n v="165345"/>
    <n v="83349"/>
    <x v="4"/>
    <n v="0"/>
    <n v="0"/>
    <n v="1"/>
    <n v="0"/>
    <n v="1"/>
    <s v="No"/>
    <x v="2"/>
  </r>
  <r>
    <n v="22730"/>
    <d v="2024-06-17T00:00:00"/>
    <x v="1"/>
    <s v="Kolkata"/>
    <s v="SC_KOL_4"/>
    <x v="1"/>
    <s v="Chiron"/>
    <s v="Hypercar"/>
    <x v="1"/>
    <x v="0"/>
    <x v="1"/>
    <x v="0"/>
    <n v="12"/>
    <n v="7"/>
    <x v="0"/>
    <x v="1"/>
    <n v="246202"/>
    <n v="134120"/>
    <n v="112082"/>
    <x v="1"/>
    <n v="246202"/>
    <n v="0"/>
    <n v="0"/>
    <n v="1"/>
    <n v="1"/>
    <s v="Yes"/>
    <x v="0"/>
  </r>
  <r>
    <n v="22731"/>
    <d v="2024-04-08T00:00:00"/>
    <x v="3"/>
    <s v="Pune"/>
    <s v="SC_PUN_1"/>
    <x v="1"/>
    <s v="Macan"/>
    <s v="SUV"/>
    <x v="1"/>
    <x v="2"/>
    <x v="0"/>
    <x v="0"/>
    <n v="17"/>
    <n v="7"/>
    <x v="0"/>
    <x v="0"/>
    <n v="175480"/>
    <n v="137402"/>
    <n v="38078"/>
    <x v="0"/>
    <n v="0"/>
    <n v="1"/>
    <n v="0"/>
    <n v="1"/>
    <n v="1"/>
    <s v="Yes"/>
    <x v="0"/>
  </r>
  <r>
    <n v="22732"/>
    <d v="2024-04-09T00:00:00"/>
    <x v="1"/>
    <s v="Bhubaneswar"/>
    <s v="SC_BHU_3"/>
    <x v="2"/>
    <s v="Chiron"/>
    <s v="Hypercar"/>
    <x v="1"/>
    <x v="3"/>
    <x v="0"/>
    <x v="0"/>
    <n v="2"/>
    <n v="7"/>
    <x v="1"/>
    <x v="1"/>
    <n v="386854"/>
    <n v="268551"/>
    <n v="118303"/>
    <x v="4"/>
    <n v="0"/>
    <n v="0"/>
    <n v="1"/>
    <n v="0"/>
    <n v="1"/>
    <s v="No"/>
    <x v="2"/>
  </r>
  <r>
    <n v="22733"/>
    <d v="2024-01-06T00:00:00"/>
    <x v="1"/>
    <s v="Patna"/>
    <s v="SC_PAT_1"/>
    <x v="2"/>
    <s v="Veyron"/>
    <s v="Hypercar"/>
    <x v="0"/>
    <x v="1"/>
    <x v="0"/>
    <x v="1"/>
    <n v="3"/>
    <n v="7"/>
    <x v="0"/>
    <x v="1"/>
    <n v="96702"/>
    <n v="53848"/>
    <n v="42854"/>
    <x v="3"/>
    <n v="96702"/>
    <n v="0"/>
    <n v="0"/>
    <n v="1"/>
    <n v="1"/>
    <s v="No"/>
    <x v="2"/>
  </r>
  <r>
    <n v="22734"/>
    <d v="2024-06-06T00:00:00"/>
    <x v="3"/>
    <s v="Mumbai"/>
    <s v="SC_MUM_3"/>
    <x v="0"/>
    <s v="Taycan"/>
    <s v="Sedan"/>
    <x v="1"/>
    <x v="1"/>
    <x v="0"/>
    <x v="1"/>
    <n v="12"/>
    <n v="7"/>
    <x v="0"/>
    <x v="1"/>
    <n v="105622"/>
    <n v="74763"/>
    <n v="30859"/>
    <x v="1"/>
    <n v="105622"/>
    <n v="0"/>
    <n v="0"/>
    <n v="1"/>
    <n v="1"/>
    <s v="Yes"/>
    <x v="0"/>
  </r>
  <r>
    <n v="22735"/>
    <d v="2024-01-03T00:00:00"/>
    <x v="2"/>
    <s v="Noida"/>
    <s v="SC_NOI_5"/>
    <x v="0"/>
    <s v="Veyron"/>
    <s v="Hypercar"/>
    <x v="0"/>
    <x v="2"/>
    <x v="1"/>
    <x v="1"/>
    <n v="16"/>
    <n v="7"/>
    <x v="1"/>
    <x v="1"/>
    <n v="501245"/>
    <n v="260717"/>
    <n v="240528"/>
    <x v="1"/>
    <n v="0"/>
    <n v="0"/>
    <n v="1"/>
    <n v="0"/>
    <n v="1"/>
    <s v="Yes"/>
    <x v="0"/>
  </r>
  <r>
    <n v="22736"/>
    <d v="2024-06-05T00:00:00"/>
    <x v="1"/>
    <s v="Bhubaneswar"/>
    <s v="SC_BHU_1"/>
    <x v="2"/>
    <s v="Cayenne"/>
    <s v="SUV"/>
    <x v="0"/>
    <x v="2"/>
    <x v="1"/>
    <x v="0"/>
    <n v="2"/>
    <n v="7"/>
    <x v="1"/>
    <x v="0"/>
    <n v="110635"/>
    <n v="86914"/>
    <n v="23721"/>
    <x v="4"/>
    <n v="0"/>
    <n v="1"/>
    <n v="1"/>
    <n v="0"/>
    <n v="1"/>
    <s v="No"/>
    <x v="2"/>
  </r>
  <r>
    <n v="22737"/>
    <d v="2024-01-03T00:00:00"/>
    <x v="1"/>
    <s v="Patna"/>
    <s v="SC_PAT_5"/>
    <x v="2"/>
    <s v="Taycan"/>
    <s v="Sedan"/>
    <x v="0"/>
    <x v="4"/>
    <x v="2"/>
    <x v="0"/>
    <n v="14"/>
    <n v="7"/>
    <x v="1"/>
    <x v="0"/>
    <n v="503019"/>
    <n v="309611"/>
    <n v="193408"/>
    <x v="2"/>
    <n v="0"/>
    <n v="1"/>
    <n v="1"/>
    <n v="0"/>
    <n v="1"/>
    <s v="Yes"/>
    <x v="1"/>
  </r>
  <r>
    <n v="22738"/>
    <d v="2024-03-02T00:00:00"/>
    <x v="0"/>
    <s v="Hyderabad"/>
    <s v="SC_HYD_3"/>
    <x v="1"/>
    <s v="Cayenne"/>
    <s v="SUV"/>
    <x v="1"/>
    <x v="0"/>
    <x v="2"/>
    <x v="0"/>
    <n v="11"/>
    <n v="7"/>
    <x v="0"/>
    <x v="0"/>
    <n v="220358"/>
    <n v="158727"/>
    <n v="61631"/>
    <x v="1"/>
    <n v="0"/>
    <n v="1"/>
    <n v="0"/>
    <n v="1"/>
    <n v="1"/>
    <s v="Yes"/>
    <x v="0"/>
  </r>
  <r>
    <n v="22739"/>
    <d v="2024-05-08T00:00:00"/>
    <x v="0"/>
    <s v="Bengaluru"/>
    <s v="SC_BEN_5"/>
    <x v="0"/>
    <s v="Chiron"/>
    <s v="Hypercar"/>
    <x v="0"/>
    <x v="4"/>
    <x v="1"/>
    <x v="0"/>
    <n v="15"/>
    <n v="7"/>
    <x v="1"/>
    <x v="1"/>
    <n v="411889"/>
    <n v="263499"/>
    <n v="148390"/>
    <x v="1"/>
    <n v="0"/>
    <n v="0"/>
    <n v="1"/>
    <n v="0"/>
    <n v="1"/>
    <s v="Yes"/>
    <x v="0"/>
  </r>
  <r>
    <n v="22740"/>
    <d v="2024-02-15T00:00:00"/>
    <x v="0"/>
    <s v="Chennai"/>
    <s v="SC_CHE_4"/>
    <x v="2"/>
    <s v="Macan"/>
    <s v="SUV"/>
    <x v="1"/>
    <x v="3"/>
    <x v="2"/>
    <x v="0"/>
    <n v="4"/>
    <n v="7"/>
    <x v="1"/>
    <x v="0"/>
    <n v="165977"/>
    <n v="125076"/>
    <n v="40901"/>
    <x v="4"/>
    <n v="0"/>
    <n v="1"/>
    <n v="1"/>
    <n v="0"/>
    <n v="1"/>
    <s v="No"/>
    <x v="2"/>
  </r>
  <r>
    <n v="22741"/>
    <d v="2024-02-23T00:00:00"/>
    <x v="2"/>
    <s v="Noida"/>
    <s v="SC_NOI_5"/>
    <x v="0"/>
    <s v="Macan"/>
    <s v="SUV"/>
    <x v="0"/>
    <x v="3"/>
    <x v="2"/>
    <x v="1"/>
    <n v="20"/>
    <n v="7"/>
    <x v="1"/>
    <x v="0"/>
    <n v="270455"/>
    <n v="219966"/>
    <n v="50489"/>
    <x v="0"/>
    <n v="0"/>
    <n v="1"/>
    <n v="1"/>
    <n v="0"/>
    <n v="1"/>
    <s v="Yes"/>
    <x v="0"/>
  </r>
  <r>
    <n v="22742"/>
    <d v="2024-01-13T00:00:00"/>
    <x v="2"/>
    <s v="Noida"/>
    <s v="SC_NOI_1"/>
    <x v="1"/>
    <s v="Chiron"/>
    <s v="Hypercar"/>
    <x v="0"/>
    <x v="2"/>
    <x v="2"/>
    <x v="0"/>
    <n v="5"/>
    <n v="7"/>
    <x v="1"/>
    <x v="0"/>
    <n v="104876"/>
    <n v="58610"/>
    <n v="46266"/>
    <x v="3"/>
    <n v="0"/>
    <n v="1"/>
    <n v="1"/>
    <n v="0"/>
    <n v="1"/>
    <s v="No"/>
    <x v="2"/>
  </r>
  <r>
    <n v="22743"/>
    <d v="2024-06-01T00:00:00"/>
    <x v="1"/>
    <s v="Bhubaneswar"/>
    <s v="SC_BHU_2"/>
    <x v="2"/>
    <s v="Macan"/>
    <s v="SUV"/>
    <x v="1"/>
    <x v="3"/>
    <x v="1"/>
    <x v="1"/>
    <n v="13"/>
    <n v="7"/>
    <x v="1"/>
    <x v="1"/>
    <n v="535581"/>
    <n v="410916"/>
    <n v="124665"/>
    <x v="2"/>
    <n v="0"/>
    <n v="0"/>
    <n v="1"/>
    <n v="0"/>
    <n v="1"/>
    <s v="Yes"/>
    <x v="1"/>
  </r>
  <r>
    <n v="22744"/>
    <d v="2024-02-23T00:00:00"/>
    <x v="3"/>
    <s v="Mumbai"/>
    <s v="SC_MUM_2"/>
    <x v="2"/>
    <s v="Veyron"/>
    <s v="Hypercar"/>
    <x v="1"/>
    <x v="0"/>
    <x v="0"/>
    <x v="1"/>
    <n v="12"/>
    <n v="7"/>
    <x v="0"/>
    <x v="1"/>
    <n v="406569"/>
    <n v="276661"/>
    <n v="129908"/>
    <x v="1"/>
    <n v="406569"/>
    <n v="0"/>
    <n v="0"/>
    <n v="1"/>
    <n v="1"/>
    <s v="Yes"/>
    <x v="0"/>
  </r>
  <r>
    <n v="22745"/>
    <d v="2024-03-17T00:00:00"/>
    <x v="1"/>
    <s v="Patna"/>
    <s v="SC_PAT_3"/>
    <x v="2"/>
    <s v="Cayenne"/>
    <s v="SUV"/>
    <x v="1"/>
    <x v="1"/>
    <x v="1"/>
    <x v="0"/>
    <n v="15"/>
    <n v="7"/>
    <x v="1"/>
    <x v="1"/>
    <n v="103912"/>
    <n v="54175"/>
    <n v="49737"/>
    <x v="1"/>
    <n v="0"/>
    <n v="0"/>
    <n v="1"/>
    <n v="0"/>
    <n v="1"/>
    <s v="Yes"/>
    <x v="0"/>
  </r>
  <r>
    <n v="22746"/>
    <d v="2024-05-21T00:00:00"/>
    <x v="3"/>
    <s v="Pune"/>
    <s v="SC_PUN_2"/>
    <x v="1"/>
    <s v="Macan"/>
    <s v="SUV"/>
    <x v="1"/>
    <x v="1"/>
    <x v="2"/>
    <x v="1"/>
    <n v="3"/>
    <n v="7"/>
    <x v="0"/>
    <x v="1"/>
    <n v="197405"/>
    <n v="165182"/>
    <n v="32223"/>
    <x v="3"/>
    <n v="197405"/>
    <n v="0"/>
    <n v="0"/>
    <n v="1"/>
    <n v="1"/>
    <s v="No"/>
    <x v="2"/>
  </r>
  <r>
    <n v="22747"/>
    <d v="2024-06-04T00:00:00"/>
    <x v="0"/>
    <s v="Chennai"/>
    <s v="SC_CHE_4"/>
    <x v="0"/>
    <s v="Chiron"/>
    <s v="Hypercar"/>
    <x v="1"/>
    <x v="1"/>
    <x v="2"/>
    <x v="1"/>
    <n v="10"/>
    <n v="7"/>
    <x v="1"/>
    <x v="1"/>
    <n v="190250"/>
    <n v="104902"/>
    <n v="85348"/>
    <x v="2"/>
    <n v="0"/>
    <n v="0"/>
    <n v="1"/>
    <n v="0"/>
    <n v="1"/>
    <s v="Yes"/>
    <x v="1"/>
  </r>
  <r>
    <n v="22748"/>
    <d v="2024-06-11T00:00:00"/>
    <x v="1"/>
    <s v="Kolkata"/>
    <s v="SC_KOL_1"/>
    <x v="2"/>
    <s v="Chiron"/>
    <s v="Hypercar"/>
    <x v="0"/>
    <x v="4"/>
    <x v="2"/>
    <x v="1"/>
    <n v="17"/>
    <n v="7"/>
    <x v="1"/>
    <x v="1"/>
    <n v="454384"/>
    <n v="255055"/>
    <n v="199329"/>
    <x v="1"/>
    <n v="0"/>
    <n v="0"/>
    <n v="1"/>
    <n v="0"/>
    <n v="1"/>
    <s v="Yes"/>
    <x v="0"/>
  </r>
  <r>
    <n v="22749"/>
    <d v="2024-06-02T00:00:00"/>
    <x v="0"/>
    <s v="Bengaluru"/>
    <s v="SC_BEN_4"/>
    <x v="0"/>
    <s v="Cayenne"/>
    <s v="SUV"/>
    <x v="1"/>
    <x v="0"/>
    <x v="2"/>
    <x v="0"/>
    <n v="16"/>
    <n v="7"/>
    <x v="0"/>
    <x v="0"/>
    <n v="421932"/>
    <n v="212036"/>
    <n v="209896"/>
    <x v="0"/>
    <n v="0"/>
    <n v="1"/>
    <n v="0"/>
    <n v="1"/>
    <n v="1"/>
    <s v="Yes"/>
    <x v="0"/>
  </r>
  <r>
    <n v="22750"/>
    <d v="2024-01-18T00:00:00"/>
    <x v="0"/>
    <s v="Bengaluru"/>
    <s v="SC_BEN_5"/>
    <x v="0"/>
    <s v="Chiron"/>
    <s v="Hypercar"/>
    <x v="1"/>
    <x v="2"/>
    <x v="2"/>
    <x v="0"/>
    <n v="6"/>
    <n v="7"/>
    <x v="1"/>
    <x v="0"/>
    <n v="148716"/>
    <n v="83527"/>
    <n v="65189"/>
    <x v="3"/>
    <n v="0"/>
    <n v="1"/>
    <n v="1"/>
    <n v="0"/>
    <n v="1"/>
    <s v="No"/>
    <x v="2"/>
  </r>
  <r>
    <n v="22751"/>
    <d v="2024-06-20T00:00:00"/>
    <x v="0"/>
    <s v="Hyderabad"/>
    <s v="SC_HYD_4"/>
    <x v="1"/>
    <s v="Taycan"/>
    <s v="Sedan"/>
    <x v="0"/>
    <x v="3"/>
    <x v="0"/>
    <x v="0"/>
    <n v="17"/>
    <n v="7"/>
    <x v="0"/>
    <x v="1"/>
    <n v="287049"/>
    <n v="170384"/>
    <n v="116665"/>
    <x v="0"/>
    <n v="287049"/>
    <n v="0"/>
    <n v="0"/>
    <n v="1"/>
    <n v="1"/>
    <s v="Yes"/>
    <x v="0"/>
  </r>
  <r>
    <n v="22752"/>
    <d v="2024-05-14T00:00:00"/>
    <x v="2"/>
    <s v="Delhi"/>
    <s v="SC_DEL_4"/>
    <x v="0"/>
    <s v="Chiron"/>
    <s v="Hypercar"/>
    <x v="0"/>
    <x v="2"/>
    <x v="1"/>
    <x v="0"/>
    <n v="5"/>
    <n v="7"/>
    <x v="1"/>
    <x v="1"/>
    <n v="352304"/>
    <n v="287219"/>
    <n v="65085"/>
    <x v="3"/>
    <n v="0"/>
    <n v="0"/>
    <n v="1"/>
    <n v="0"/>
    <n v="1"/>
    <s v="No"/>
    <x v="2"/>
  </r>
  <r>
    <n v="22753"/>
    <d v="2024-04-03T00:00:00"/>
    <x v="0"/>
    <s v="Chennai"/>
    <s v="SC_CHE_4"/>
    <x v="0"/>
    <s v="Chiron"/>
    <s v="Hypercar"/>
    <x v="0"/>
    <x v="2"/>
    <x v="0"/>
    <x v="0"/>
    <n v="7"/>
    <n v="7"/>
    <x v="1"/>
    <x v="0"/>
    <n v="209356"/>
    <n v="111159"/>
    <n v="98197"/>
    <x v="3"/>
    <n v="0"/>
    <n v="1"/>
    <n v="1"/>
    <n v="0"/>
    <n v="1"/>
    <s v="No"/>
    <x v="2"/>
  </r>
  <r>
    <n v="22754"/>
    <d v="2024-02-17T00:00:00"/>
    <x v="1"/>
    <s v="Patna"/>
    <s v="SC_PAT_1"/>
    <x v="2"/>
    <s v="Panamera"/>
    <s v="Sedan"/>
    <x v="0"/>
    <x v="1"/>
    <x v="1"/>
    <x v="0"/>
    <n v="10"/>
    <n v="7"/>
    <x v="1"/>
    <x v="1"/>
    <n v="201014"/>
    <n v="170574"/>
    <n v="30440"/>
    <x v="2"/>
    <n v="0"/>
    <n v="0"/>
    <n v="1"/>
    <n v="0"/>
    <n v="1"/>
    <s v="Yes"/>
    <x v="1"/>
  </r>
  <r>
    <n v="22755"/>
    <d v="2024-03-31T00:00:00"/>
    <x v="0"/>
    <s v="Bengaluru"/>
    <s v="SC_BEN_4"/>
    <x v="0"/>
    <s v="Chiron"/>
    <s v="Hypercar"/>
    <x v="0"/>
    <x v="4"/>
    <x v="0"/>
    <x v="1"/>
    <n v="10"/>
    <n v="7"/>
    <x v="1"/>
    <x v="1"/>
    <n v="513795"/>
    <n v="287459"/>
    <n v="226336"/>
    <x v="2"/>
    <n v="0"/>
    <n v="0"/>
    <n v="1"/>
    <n v="0"/>
    <n v="1"/>
    <s v="Yes"/>
    <x v="1"/>
  </r>
  <r>
    <n v="22756"/>
    <d v="2024-06-24T00:00:00"/>
    <x v="0"/>
    <s v="Chennai"/>
    <s v="SC_CHE_5"/>
    <x v="0"/>
    <s v="Cayenne"/>
    <s v="SUV"/>
    <x v="0"/>
    <x v="3"/>
    <x v="0"/>
    <x v="1"/>
    <n v="11"/>
    <n v="7"/>
    <x v="0"/>
    <x v="0"/>
    <n v="545272"/>
    <n v="273991"/>
    <n v="271281"/>
    <x v="1"/>
    <n v="0"/>
    <n v="1"/>
    <n v="0"/>
    <n v="1"/>
    <n v="1"/>
    <s v="Yes"/>
    <x v="0"/>
  </r>
  <r>
    <n v="22757"/>
    <d v="2024-02-20T00:00:00"/>
    <x v="1"/>
    <s v="Kolkata"/>
    <s v="SC_KOL_5"/>
    <x v="0"/>
    <s v="Chiron"/>
    <s v="Hypercar"/>
    <x v="0"/>
    <x v="3"/>
    <x v="0"/>
    <x v="1"/>
    <n v="4"/>
    <n v="7"/>
    <x v="0"/>
    <x v="1"/>
    <n v="497062"/>
    <n v="412339"/>
    <n v="84723"/>
    <x v="3"/>
    <n v="497062"/>
    <n v="0"/>
    <n v="0"/>
    <n v="1"/>
    <n v="1"/>
    <s v="No"/>
    <x v="2"/>
  </r>
  <r>
    <n v="22758"/>
    <d v="2024-04-24T00:00:00"/>
    <x v="0"/>
    <s v="Chennai"/>
    <s v="SC_CHE_2"/>
    <x v="2"/>
    <s v="Panamera"/>
    <s v="Sedan"/>
    <x v="1"/>
    <x v="0"/>
    <x v="1"/>
    <x v="0"/>
    <n v="11"/>
    <n v="7"/>
    <x v="1"/>
    <x v="1"/>
    <n v="441298"/>
    <n v="293294"/>
    <n v="148004"/>
    <x v="2"/>
    <n v="0"/>
    <n v="0"/>
    <n v="1"/>
    <n v="0"/>
    <n v="1"/>
    <s v="Yes"/>
    <x v="1"/>
  </r>
  <r>
    <n v="22759"/>
    <d v="2024-05-22T00:00:00"/>
    <x v="3"/>
    <s v="Pune"/>
    <s v="SC_PUN_3"/>
    <x v="2"/>
    <s v="Taycan"/>
    <s v="Sedan"/>
    <x v="0"/>
    <x v="2"/>
    <x v="2"/>
    <x v="0"/>
    <n v="17"/>
    <n v="7"/>
    <x v="0"/>
    <x v="1"/>
    <n v="273445"/>
    <n v="201594"/>
    <n v="71851"/>
    <x v="0"/>
    <n v="273445"/>
    <n v="0"/>
    <n v="0"/>
    <n v="1"/>
    <n v="1"/>
    <s v="Yes"/>
    <x v="0"/>
  </r>
  <r>
    <n v="22760"/>
    <d v="2024-03-11T00:00:00"/>
    <x v="3"/>
    <s v="Ahmedabad"/>
    <s v="SC_AHM_3"/>
    <x v="0"/>
    <s v="Macan"/>
    <s v="SUV"/>
    <x v="0"/>
    <x v="3"/>
    <x v="2"/>
    <x v="0"/>
    <n v="25"/>
    <n v="7"/>
    <x v="0"/>
    <x v="0"/>
    <n v="349152"/>
    <n v="196025"/>
    <n v="153127"/>
    <x v="0"/>
    <n v="0"/>
    <n v="1"/>
    <n v="0"/>
    <n v="1"/>
    <n v="1"/>
    <s v="Yes"/>
    <x v="0"/>
  </r>
  <r>
    <n v="22761"/>
    <d v="2024-04-26T00:00:00"/>
    <x v="3"/>
    <s v="Ahmedabad"/>
    <s v="SC_AHM_3"/>
    <x v="2"/>
    <s v="Panamera"/>
    <s v="Sedan"/>
    <x v="0"/>
    <x v="0"/>
    <x v="2"/>
    <x v="1"/>
    <n v="13"/>
    <n v="7"/>
    <x v="0"/>
    <x v="1"/>
    <n v="504472"/>
    <n v="376937"/>
    <n v="127535"/>
    <x v="1"/>
    <n v="504472"/>
    <n v="0"/>
    <n v="0"/>
    <n v="1"/>
    <n v="1"/>
    <s v="Yes"/>
    <x v="0"/>
  </r>
  <r>
    <n v="22762"/>
    <d v="2024-06-17T00:00:00"/>
    <x v="1"/>
    <s v="Kolkata"/>
    <s v="SC_KOL_2"/>
    <x v="1"/>
    <s v="911"/>
    <s v="Coupe"/>
    <x v="0"/>
    <x v="1"/>
    <x v="0"/>
    <x v="1"/>
    <n v="19"/>
    <n v="7"/>
    <x v="0"/>
    <x v="1"/>
    <n v="250804"/>
    <n v="206114"/>
    <n v="44690"/>
    <x v="0"/>
    <n v="250804"/>
    <n v="0"/>
    <n v="0"/>
    <n v="1"/>
    <n v="1"/>
    <s v="Yes"/>
    <x v="0"/>
  </r>
  <r>
    <n v="22763"/>
    <d v="2024-05-11T00:00:00"/>
    <x v="1"/>
    <s v="Kolkata"/>
    <s v="SC_KOL_5"/>
    <x v="1"/>
    <s v="Panamera"/>
    <s v="Sedan"/>
    <x v="0"/>
    <x v="4"/>
    <x v="1"/>
    <x v="0"/>
    <n v="14"/>
    <n v="7"/>
    <x v="0"/>
    <x v="0"/>
    <n v="506622"/>
    <n v="294239"/>
    <n v="212383"/>
    <x v="1"/>
    <n v="0"/>
    <n v="1"/>
    <n v="0"/>
    <n v="1"/>
    <n v="1"/>
    <s v="Yes"/>
    <x v="0"/>
  </r>
  <r>
    <n v="22764"/>
    <d v="2024-01-27T00:00:00"/>
    <x v="1"/>
    <s v="Bhubaneswar"/>
    <s v="SC_BHU_1"/>
    <x v="0"/>
    <s v="Cayenne"/>
    <s v="SUV"/>
    <x v="1"/>
    <x v="3"/>
    <x v="0"/>
    <x v="0"/>
    <n v="11"/>
    <n v="7"/>
    <x v="0"/>
    <x v="0"/>
    <n v="213996"/>
    <n v="153819"/>
    <n v="60177"/>
    <x v="1"/>
    <n v="0"/>
    <n v="1"/>
    <n v="0"/>
    <n v="1"/>
    <n v="1"/>
    <s v="Yes"/>
    <x v="0"/>
  </r>
  <r>
    <n v="22765"/>
    <d v="2024-04-18T00:00:00"/>
    <x v="3"/>
    <s v="Pune"/>
    <s v="SC_PUN_4"/>
    <x v="2"/>
    <s v="Veyron"/>
    <s v="Hypercar"/>
    <x v="0"/>
    <x v="0"/>
    <x v="1"/>
    <x v="1"/>
    <n v="15"/>
    <n v="7"/>
    <x v="0"/>
    <x v="0"/>
    <n v="458323"/>
    <n v="247400"/>
    <n v="210923"/>
    <x v="0"/>
    <n v="0"/>
    <n v="1"/>
    <n v="0"/>
    <n v="1"/>
    <n v="1"/>
    <s v="Yes"/>
    <x v="0"/>
  </r>
  <r>
    <n v="22766"/>
    <d v="2024-01-10T00:00:00"/>
    <x v="1"/>
    <s v="Patna"/>
    <s v="SC_PAT_2"/>
    <x v="0"/>
    <s v="Macan"/>
    <s v="SUV"/>
    <x v="1"/>
    <x v="2"/>
    <x v="1"/>
    <x v="0"/>
    <n v="4"/>
    <n v="7"/>
    <x v="0"/>
    <x v="1"/>
    <n v="372866"/>
    <n v="245740"/>
    <n v="127126"/>
    <x v="3"/>
    <n v="372866"/>
    <n v="0"/>
    <n v="0"/>
    <n v="1"/>
    <n v="1"/>
    <s v="No"/>
    <x v="2"/>
  </r>
  <r>
    <n v="22767"/>
    <d v="2024-01-29T00:00:00"/>
    <x v="1"/>
    <s v="Kolkata"/>
    <s v="SC_KOL_2"/>
    <x v="2"/>
    <s v="Chiron"/>
    <s v="Hypercar"/>
    <x v="1"/>
    <x v="2"/>
    <x v="1"/>
    <x v="1"/>
    <n v="3"/>
    <n v="7"/>
    <x v="0"/>
    <x v="1"/>
    <n v="101503"/>
    <n v="76078"/>
    <n v="25425"/>
    <x v="3"/>
    <n v="101503"/>
    <n v="0"/>
    <n v="0"/>
    <n v="1"/>
    <n v="1"/>
    <s v="No"/>
    <x v="2"/>
  </r>
  <r>
    <n v="22768"/>
    <d v="2024-03-16T00:00:00"/>
    <x v="0"/>
    <s v="Bengaluru"/>
    <s v="SC_BEN_3"/>
    <x v="2"/>
    <s v="Taycan"/>
    <s v="Sedan"/>
    <x v="1"/>
    <x v="4"/>
    <x v="1"/>
    <x v="1"/>
    <n v="13"/>
    <n v="7"/>
    <x v="1"/>
    <x v="1"/>
    <n v="343985"/>
    <n v="271374"/>
    <n v="72611"/>
    <x v="2"/>
    <n v="0"/>
    <n v="0"/>
    <n v="1"/>
    <n v="0"/>
    <n v="1"/>
    <s v="Yes"/>
    <x v="1"/>
  </r>
  <r>
    <n v="22769"/>
    <d v="2024-01-06T00:00:00"/>
    <x v="1"/>
    <s v="Kolkata"/>
    <s v="SC_KOL_5"/>
    <x v="0"/>
    <s v="Macan"/>
    <s v="SUV"/>
    <x v="0"/>
    <x v="2"/>
    <x v="2"/>
    <x v="0"/>
    <n v="24"/>
    <n v="7"/>
    <x v="0"/>
    <x v="0"/>
    <n v="309801"/>
    <n v="189154"/>
    <n v="120647"/>
    <x v="0"/>
    <n v="0"/>
    <n v="1"/>
    <n v="0"/>
    <n v="1"/>
    <n v="1"/>
    <s v="Yes"/>
    <x v="0"/>
  </r>
  <r>
    <n v="22770"/>
    <d v="2024-05-25T00:00:00"/>
    <x v="3"/>
    <s v="Ahmedabad"/>
    <s v="SC_AHM_2"/>
    <x v="0"/>
    <s v="Veyron"/>
    <s v="Hypercar"/>
    <x v="1"/>
    <x v="0"/>
    <x v="0"/>
    <x v="0"/>
    <n v="25"/>
    <n v="7"/>
    <x v="0"/>
    <x v="1"/>
    <n v="437686"/>
    <n v="302629"/>
    <n v="135057"/>
    <x v="0"/>
    <n v="437686"/>
    <n v="0"/>
    <n v="0"/>
    <n v="1"/>
    <n v="1"/>
    <s v="Yes"/>
    <x v="0"/>
  </r>
  <r>
    <n v="22771"/>
    <d v="2024-03-21T00:00:00"/>
    <x v="0"/>
    <s v="Hyderabad"/>
    <s v="SC_HYD_1"/>
    <x v="2"/>
    <s v="Panamera"/>
    <s v="Sedan"/>
    <x v="0"/>
    <x v="2"/>
    <x v="2"/>
    <x v="0"/>
    <n v="18"/>
    <n v="7"/>
    <x v="0"/>
    <x v="1"/>
    <n v="200871"/>
    <n v="149350"/>
    <n v="51521"/>
    <x v="0"/>
    <n v="200871"/>
    <n v="0"/>
    <n v="0"/>
    <n v="1"/>
    <n v="1"/>
    <s v="Yes"/>
    <x v="0"/>
  </r>
  <r>
    <n v="22772"/>
    <d v="2024-03-30T00:00:00"/>
    <x v="3"/>
    <s v="Mumbai"/>
    <s v="SC_MUM_3"/>
    <x v="0"/>
    <s v="Macan"/>
    <s v="SUV"/>
    <x v="1"/>
    <x v="3"/>
    <x v="0"/>
    <x v="1"/>
    <n v="10"/>
    <n v="7"/>
    <x v="0"/>
    <x v="0"/>
    <n v="247454"/>
    <n v="141945"/>
    <n v="105509"/>
    <x v="1"/>
    <n v="0"/>
    <n v="1"/>
    <n v="0"/>
    <n v="1"/>
    <n v="1"/>
    <s v="Yes"/>
    <x v="0"/>
  </r>
  <r>
    <n v="22773"/>
    <d v="2024-05-09T00:00:00"/>
    <x v="1"/>
    <s v="Kolkata"/>
    <s v="SC_KOL_1"/>
    <x v="1"/>
    <s v="Chiron"/>
    <s v="Hypercar"/>
    <x v="1"/>
    <x v="0"/>
    <x v="2"/>
    <x v="0"/>
    <n v="19"/>
    <n v="7"/>
    <x v="1"/>
    <x v="1"/>
    <n v="413322"/>
    <n v="239216"/>
    <n v="174106"/>
    <x v="1"/>
    <n v="0"/>
    <n v="0"/>
    <n v="1"/>
    <n v="0"/>
    <n v="1"/>
    <s v="Yes"/>
    <x v="0"/>
  </r>
  <r>
    <n v="22774"/>
    <d v="2024-03-24T00:00:00"/>
    <x v="2"/>
    <s v="Noida"/>
    <s v="SC_NOI_2"/>
    <x v="1"/>
    <s v="Panamera"/>
    <s v="Sedan"/>
    <x v="1"/>
    <x v="1"/>
    <x v="1"/>
    <x v="0"/>
    <n v="23"/>
    <n v="7"/>
    <x v="0"/>
    <x v="0"/>
    <n v="281060"/>
    <n v="155918"/>
    <n v="125142"/>
    <x v="0"/>
    <n v="0"/>
    <n v="1"/>
    <n v="0"/>
    <n v="1"/>
    <n v="1"/>
    <s v="Yes"/>
    <x v="0"/>
  </r>
  <r>
    <n v="22775"/>
    <d v="2024-05-29T00:00:00"/>
    <x v="1"/>
    <s v="Bhubaneswar"/>
    <s v="SC_BHU_3"/>
    <x v="1"/>
    <s v="Panamera"/>
    <s v="Sedan"/>
    <x v="0"/>
    <x v="0"/>
    <x v="2"/>
    <x v="1"/>
    <n v="20"/>
    <n v="7"/>
    <x v="1"/>
    <x v="1"/>
    <n v="194690"/>
    <n v="135108"/>
    <n v="59582"/>
    <x v="0"/>
    <n v="0"/>
    <n v="0"/>
    <n v="1"/>
    <n v="0"/>
    <n v="1"/>
    <s v="Yes"/>
    <x v="0"/>
  </r>
  <r>
    <n v="22776"/>
    <d v="2024-02-13T00:00:00"/>
    <x v="1"/>
    <s v="Kolkata"/>
    <s v="SC_KOL_4"/>
    <x v="1"/>
    <s v="911"/>
    <s v="Coupe"/>
    <x v="1"/>
    <x v="3"/>
    <x v="0"/>
    <x v="0"/>
    <n v="4"/>
    <n v="7"/>
    <x v="1"/>
    <x v="0"/>
    <n v="133778"/>
    <n v="100308"/>
    <n v="33470"/>
    <x v="4"/>
    <n v="0"/>
    <n v="1"/>
    <n v="1"/>
    <n v="0"/>
    <n v="1"/>
    <s v="No"/>
    <x v="2"/>
  </r>
  <r>
    <n v="22777"/>
    <d v="2024-06-13T00:00:00"/>
    <x v="2"/>
    <s v="Noida"/>
    <s v="SC_NOI_1"/>
    <x v="2"/>
    <s v="Chiron"/>
    <s v="Hypercar"/>
    <x v="1"/>
    <x v="1"/>
    <x v="2"/>
    <x v="1"/>
    <n v="2"/>
    <n v="7"/>
    <x v="1"/>
    <x v="1"/>
    <n v="482846"/>
    <n v="281015"/>
    <n v="201831"/>
    <x v="4"/>
    <n v="0"/>
    <n v="0"/>
    <n v="1"/>
    <n v="0"/>
    <n v="1"/>
    <s v="No"/>
    <x v="2"/>
  </r>
  <r>
    <n v="22778"/>
    <d v="2024-05-09T00:00:00"/>
    <x v="0"/>
    <s v="Chennai"/>
    <s v="SC_CHE_4"/>
    <x v="0"/>
    <s v="Macan"/>
    <s v="SUV"/>
    <x v="1"/>
    <x v="3"/>
    <x v="2"/>
    <x v="0"/>
    <n v="21"/>
    <n v="7"/>
    <x v="1"/>
    <x v="0"/>
    <n v="481977"/>
    <n v="288329"/>
    <n v="193648"/>
    <x v="0"/>
    <n v="0"/>
    <n v="1"/>
    <n v="1"/>
    <n v="0"/>
    <n v="1"/>
    <s v="Yes"/>
    <x v="0"/>
  </r>
  <r>
    <n v="22779"/>
    <d v="2024-04-11T00:00:00"/>
    <x v="3"/>
    <s v="Mumbai"/>
    <s v="SC_MUM_1"/>
    <x v="2"/>
    <s v="Cayenne"/>
    <s v="SUV"/>
    <x v="1"/>
    <x v="2"/>
    <x v="1"/>
    <x v="1"/>
    <n v="4"/>
    <n v="7"/>
    <x v="1"/>
    <x v="1"/>
    <n v="438645"/>
    <n v="306438"/>
    <n v="132207"/>
    <x v="4"/>
    <n v="0"/>
    <n v="0"/>
    <n v="1"/>
    <n v="0"/>
    <n v="1"/>
    <s v="No"/>
    <x v="2"/>
  </r>
  <r>
    <n v="22780"/>
    <d v="2024-01-10T00:00:00"/>
    <x v="1"/>
    <s v="Bhubaneswar"/>
    <s v="SC_BHU_1"/>
    <x v="1"/>
    <s v="911"/>
    <s v="Coupe"/>
    <x v="1"/>
    <x v="4"/>
    <x v="2"/>
    <x v="0"/>
    <n v="23"/>
    <n v="7"/>
    <x v="1"/>
    <x v="0"/>
    <n v="333440"/>
    <n v="266545"/>
    <n v="66895"/>
    <x v="0"/>
    <n v="0"/>
    <n v="1"/>
    <n v="1"/>
    <n v="0"/>
    <n v="1"/>
    <s v="Yes"/>
    <x v="0"/>
  </r>
  <r>
    <n v="22781"/>
    <d v="2024-02-24T00:00:00"/>
    <x v="1"/>
    <s v="Bhubaneswar"/>
    <s v="SC_BHU_1"/>
    <x v="2"/>
    <s v="Chiron"/>
    <s v="Hypercar"/>
    <x v="0"/>
    <x v="3"/>
    <x v="2"/>
    <x v="0"/>
    <n v="5"/>
    <n v="7"/>
    <x v="1"/>
    <x v="1"/>
    <n v="98683"/>
    <n v="60994"/>
    <n v="37689"/>
    <x v="3"/>
    <n v="0"/>
    <n v="0"/>
    <n v="1"/>
    <n v="0"/>
    <n v="1"/>
    <s v="No"/>
    <x v="2"/>
  </r>
  <r>
    <n v="22782"/>
    <d v="2024-05-21T00:00:00"/>
    <x v="1"/>
    <s v="Kolkata"/>
    <s v="SC_KOL_1"/>
    <x v="0"/>
    <s v="Taycan"/>
    <s v="Sedan"/>
    <x v="1"/>
    <x v="4"/>
    <x v="1"/>
    <x v="0"/>
    <n v="12"/>
    <n v="7"/>
    <x v="1"/>
    <x v="1"/>
    <n v="211682"/>
    <n v="147996"/>
    <n v="63686"/>
    <x v="2"/>
    <n v="0"/>
    <n v="0"/>
    <n v="1"/>
    <n v="0"/>
    <n v="1"/>
    <s v="Yes"/>
    <x v="1"/>
  </r>
  <r>
    <n v="22783"/>
    <d v="2024-01-31T00:00:00"/>
    <x v="1"/>
    <s v="Patna"/>
    <s v="SC_PAT_5"/>
    <x v="2"/>
    <s v="Taycan"/>
    <s v="Sedan"/>
    <x v="1"/>
    <x v="3"/>
    <x v="1"/>
    <x v="0"/>
    <n v="24"/>
    <n v="7"/>
    <x v="1"/>
    <x v="0"/>
    <n v="482134"/>
    <n v="407961"/>
    <n v="74173"/>
    <x v="0"/>
    <n v="0"/>
    <n v="1"/>
    <n v="1"/>
    <n v="0"/>
    <n v="1"/>
    <s v="Yes"/>
    <x v="0"/>
  </r>
  <r>
    <n v="22784"/>
    <d v="2024-01-23T00:00:00"/>
    <x v="1"/>
    <s v="Kolkata"/>
    <s v="SC_KOL_2"/>
    <x v="0"/>
    <s v="911"/>
    <s v="Coupe"/>
    <x v="1"/>
    <x v="4"/>
    <x v="0"/>
    <x v="1"/>
    <n v="20"/>
    <n v="7"/>
    <x v="0"/>
    <x v="0"/>
    <n v="543414"/>
    <n v="416109"/>
    <n v="127305"/>
    <x v="0"/>
    <n v="0"/>
    <n v="1"/>
    <n v="0"/>
    <n v="1"/>
    <n v="1"/>
    <s v="Yes"/>
    <x v="0"/>
  </r>
  <r>
    <n v="22785"/>
    <d v="2024-06-12T00:00:00"/>
    <x v="0"/>
    <s v="Chennai"/>
    <s v="SC_CHE_2"/>
    <x v="0"/>
    <s v="Veyron"/>
    <s v="Hypercar"/>
    <x v="0"/>
    <x v="4"/>
    <x v="2"/>
    <x v="0"/>
    <n v="2"/>
    <n v="7"/>
    <x v="0"/>
    <x v="1"/>
    <n v="270135"/>
    <n v="175572"/>
    <n v="94563"/>
    <x v="3"/>
    <n v="270135"/>
    <n v="0"/>
    <n v="0"/>
    <n v="1"/>
    <n v="1"/>
    <s v="No"/>
    <x v="2"/>
  </r>
  <r>
    <n v="22786"/>
    <d v="2024-03-19T00:00:00"/>
    <x v="3"/>
    <s v="Ahmedabad"/>
    <s v="SC_AHM_4"/>
    <x v="2"/>
    <s v="Chiron"/>
    <s v="Hypercar"/>
    <x v="1"/>
    <x v="1"/>
    <x v="2"/>
    <x v="0"/>
    <n v="10"/>
    <n v="7"/>
    <x v="1"/>
    <x v="1"/>
    <n v="320933"/>
    <n v="263344"/>
    <n v="57589"/>
    <x v="2"/>
    <n v="0"/>
    <n v="0"/>
    <n v="1"/>
    <n v="0"/>
    <n v="1"/>
    <s v="Yes"/>
    <x v="1"/>
  </r>
  <r>
    <n v="22787"/>
    <d v="2024-05-16T00:00:00"/>
    <x v="3"/>
    <s v="Pune"/>
    <s v="SC_PUN_1"/>
    <x v="1"/>
    <s v="Veyron"/>
    <s v="Hypercar"/>
    <x v="0"/>
    <x v="4"/>
    <x v="0"/>
    <x v="0"/>
    <n v="6"/>
    <n v="7"/>
    <x v="1"/>
    <x v="0"/>
    <n v="93980"/>
    <n v="76977"/>
    <n v="17003"/>
    <x v="3"/>
    <n v="0"/>
    <n v="1"/>
    <n v="1"/>
    <n v="0"/>
    <n v="1"/>
    <s v="No"/>
    <x v="2"/>
  </r>
  <r>
    <n v="22788"/>
    <d v="2024-06-11T00:00:00"/>
    <x v="1"/>
    <s v="Bhubaneswar"/>
    <s v="SC_BHU_2"/>
    <x v="1"/>
    <s v="Taycan"/>
    <s v="Sedan"/>
    <x v="1"/>
    <x v="1"/>
    <x v="0"/>
    <x v="1"/>
    <n v="15"/>
    <n v="7"/>
    <x v="0"/>
    <x v="1"/>
    <n v="193118"/>
    <n v="148053"/>
    <n v="45065"/>
    <x v="0"/>
    <n v="193118"/>
    <n v="0"/>
    <n v="0"/>
    <n v="1"/>
    <n v="1"/>
    <s v="Yes"/>
    <x v="0"/>
  </r>
  <r>
    <n v="22789"/>
    <d v="2024-05-19T00:00:00"/>
    <x v="3"/>
    <s v="Pune"/>
    <s v="SC_PUN_4"/>
    <x v="1"/>
    <s v="911"/>
    <s v="Coupe"/>
    <x v="0"/>
    <x v="4"/>
    <x v="1"/>
    <x v="1"/>
    <n v="13"/>
    <n v="7"/>
    <x v="0"/>
    <x v="1"/>
    <n v="340316"/>
    <n v="217872"/>
    <n v="122444"/>
    <x v="1"/>
    <n v="340316"/>
    <n v="0"/>
    <n v="0"/>
    <n v="1"/>
    <n v="1"/>
    <s v="Yes"/>
    <x v="0"/>
  </r>
  <r>
    <n v="22790"/>
    <d v="2024-03-05T00:00:00"/>
    <x v="3"/>
    <s v="Pune"/>
    <s v="SC_PUN_3"/>
    <x v="0"/>
    <s v="Veyron"/>
    <s v="Hypercar"/>
    <x v="1"/>
    <x v="4"/>
    <x v="0"/>
    <x v="1"/>
    <n v="8"/>
    <n v="7"/>
    <x v="0"/>
    <x v="1"/>
    <n v="374438"/>
    <n v="213178"/>
    <n v="161260"/>
    <x v="2"/>
    <n v="374438"/>
    <n v="0"/>
    <n v="0"/>
    <n v="1"/>
    <n v="1"/>
    <s v="Yes"/>
    <x v="1"/>
  </r>
  <r>
    <n v="22791"/>
    <d v="2024-03-05T00:00:00"/>
    <x v="1"/>
    <s v="Patna"/>
    <s v="SC_PAT_3"/>
    <x v="0"/>
    <s v="Taycan"/>
    <s v="Sedan"/>
    <x v="1"/>
    <x v="4"/>
    <x v="2"/>
    <x v="1"/>
    <n v="2"/>
    <n v="7"/>
    <x v="1"/>
    <x v="0"/>
    <n v="146800"/>
    <n v="90388"/>
    <n v="56412"/>
    <x v="4"/>
    <n v="0"/>
    <n v="1"/>
    <n v="1"/>
    <n v="0"/>
    <n v="1"/>
    <s v="No"/>
    <x v="2"/>
  </r>
  <r>
    <n v="22792"/>
    <d v="2024-04-14T00:00:00"/>
    <x v="0"/>
    <s v="Hyderabad"/>
    <s v="SC_HYD_1"/>
    <x v="0"/>
    <s v="Cayenne"/>
    <s v="SUV"/>
    <x v="1"/>
    <x v="1"/>
    <x v="1"/>
    <x v="0"/>
    <n v="4"/>
    <n v="7"/>
    <x v="1"/>
    <x v="1"/>
    <n v="385243"/>
    <n v="225355"/>
    <n v="159888"/>
    <x v="4"/>
    <n v="0"/>
    <n v="0"/>
    <n v="1"/>
    <n v="0"/>
    <n v="1"/>
    <s v="No"/>
    <x v="2"/>
  </r>
  <r>
    <n v="22793"/>
    <d v="2024-04-03T00:00:00"/>
    <x v="1"/>
    <s v="Patna"/>
    <s v="SC_PAT_3"/>
    <x v="0"/>
    <s v="Macan"/>
    <s v="SUV"/>
    <x v="0"/>
    <x v="0"/>
    <x v="0"/>
    <x v="0"/>
    <n v="8"/>
    <n v="7"/>
    <x v="0"/>
    <x v="1"/>
    <n v="473940"/>
    <n v="353433"/>
    <n v="120507"/>
    <x v="2"/>
    <n v="473940"/>
    <n v="0"/>
    <n v="0"/>
    <n v="1"/>
    <n v="1"/>
    <s v="Yes"/>
    <x v="1"/>
  </r>
  <r>
    <n v="22794"/>
    <d v="2024-02-18T00:00:00"/>
    <x v="2"/>
    <s v="Noida"/>
    <s v="SC_NOI_2"/>
    <x v="1"/>
    <s v="Chiron"/>
    <s v="Hypercar"/>
    <x v="1"/>
    <x v="4"/>
    <x v="2"/>
    <x v="0"/>
    <n v="12"/>
    <n v="7"/>
    <x v="0"/>
    <x v="0"/>
    <n v="267755"/>
    <n v="172748"/>
    <n v="95007"/>
    <x v="1"/>
    <n v="0"/>
    <n v="1"/>
    <n v="0"/>
    <n v="1"/>
    <n v="1"/>
    <s v="Yes"/>
    <x v="0"/>
  </r>
  <r>
    <n v="22795"/>
    <d v="2024-06-16T00:00:00"/>
    <x v="1"/>
    <s v="Bhubaneswar"/>
    <s v="SC_BHU_4"/>
    <x v="1"/>
    <s v="Chiron"/>
    <s v="Hypercar"/>
    <x v="1"/>
    <x v="2"/>
    <x v="2"/>
    <x v="0"/>
    <n v="22"/>
    <n v="7"/>
    <x v="0"/>
    <x v="1"/>
    <n v="516012"/>
    <n v="297425"/>
    <n v="218587"/>
    <x v="0"/>
    <n v="516012"/>
    <n v="0"/>
    <n v="0"/>
    <n v="1"/>
    <n v="1"/>
    <s v="Yes"/>
    <x v="0"/>
  </r>
  <r>
    <n v="22796"/>
    <d v="2024-05-22T00:00:00"/>
    <x v="2"/>
    <s v="Delhi"/>
    <s v="SC_DEL_4"/>
    <x v="2"/>
    <s v="Panamera"/>
    <s v="Sedan"/>
    <x v="1"/>
    <x v="1"/>
    <x v="2"/>
    <x v="1"/>
    <n v="10"/>
    <n v="7"/>
    <x v="0"/>
    <x v="0"/>
    <n v="336451"/>
    <n v="208816"/>
    <n v="127635"/>
    <x v="1"/>
    <n v="0"/>
    <n v="1"/>
    <n v="0"/>
    <n v="1"/>
    <n v="1"/>
    <s v="Yes"/>
    <x v="0"/>
  </r>
  <r>
    <n v="22797"/>
    <d v="2024-01-29T00:00:00"/>
    <x v="3"/>
    <s v="Ahmedabad"/>
    <s v="SC_AHM_2"/>
    <x v="1"/>
    <s v="Cayenne"/>
    <s v="SUV"/>
    <x v="1"/>
    <x v="4"/>
    <x v="0"/>
    <x v="0"/>
    <n v="10"/>
    <n v="7"/>
    <x v="0"/>
    <x v="1"/>
    <n v="506869"/>
    <n v="263177"/>
    <n v="243692"/>
    <x v="1"/>
    <n v="506869"/>
    <n v="0"/>
    <n v="0"/>
    <n v="1"/>
    <n v="1"/>
    <s v="Yes"/>
    <x v="0"/>
  </r>
  <r>
    <n v="22798"/>
    <d v="2024-04-15T00:00:00"/>
    <x v="0"/>
    <s v="Hyderabad"/>
    <s v="SC_HYD_1"/>
    <x v="2"/>
    <s v="Taycan"/>
    <s v="Sedan"/>
    <x v="1"/>
    <x v="3"/>
    <x v="2"/>
    <x v="0"/>
    <n v="8"/>
    <n v="7"/>
    <x v="1"/>
    <x v="0"/>
    <n v="202949"/>
    <n v="154831"/>
    <n v="48118"/>
    <x v="3"/>
    <n v="0"/>
    <n v="1"/>
    <n v="1"/>
    <n v="0"/>
    <n v="1"/>
    <s v="Yes"/>
    <x v="2"/>
  </r>
  <r>
    <n v="22799"/>
    <d v="2024-03-07T00:00:00"/>
    <x v="2"/>
    <s v="Delhi"/>
    <s v="SC_DEL_2"/>
    <x v="0"/>
    <s v="Cayenne"/>
    <s v="SUV"/>
    <x v="0"/>
    <x v="3"/>
    <x v="2"/>
    <x v="0"/>
    <n v="13"/>
    <n v="7"/>
    <x v="0"/>
    <x v="1"/>
    <n v="561716"/>
    <n v="295627"/>
    <n v="266089"/>
    <x v="1"/>
    <n v="561716"/>
    <n v="0"/>
    <n v="0"/>
    <n v="1"/>
    <n v="1"/>
    <s v="Yes"/>
    <x v="0"/>
  </r>
  <r>
    <n v="22800"/>
    <d v="2024-06-01T00:00:00"/>
    <x v="3"/>
    <s v="Mumbai"/>
    <s v="SC_MUM_4"/>
    <x v="1"/>
    <s v="Veyron"/>
    <s v="Hypercar"/>
    <x v="0"/>
    <x v="1"/>
    <x v="1"/>
    <x v="0"/>
    <n v="19"/>
    <n v="7"/>
    <x v="0"/>
    <x v="0"/>
    <n v="181981"/>
    <n v="102475"/>
    <n v="79506"/>
    <x v="0"/>
    <n v="0"/>
    <n v="1"/>
    <n v="0"/>
    <n v="1"/>
    <n v="1"/>
    <s v="Yes"/>
    <x v="0"/>
  </r>
  <r>
    <n v="22801"/>
    <d v="2024-03-22T00:00:00"/>
    <x v="1"/>
    <s v="Patna"/>
    <s v="SC_PAT_5"/>
    <x v="0"/>
    <s v="911"/>
    <s v="Coupe"/>
    <x v="0"/>
    <x v="2"/>
    <x v="0"/>
    <x v="1"/>
    <n v="24"/>
    <n v="7"/>
    <x v="0"/>
    <x v="0"/>
    <n v="207338"/>
    <n v="111087"/>
    <n v="96251"/>
    <x v="0"/>
    <n v="0"/>
    <n v="1"/>
    <n v="0"/>
    <n v="1"/>
    <n v="1"/>
    <s v="Yes"/>
    <x v="0"/>
  </r>
  <r>
    <n v="22802"/>
    <d v="2024-01-07T00:00:00"/>
    <x v="0"/>
    <s v="Hyderabad"/>
    <s v="SC_HYD_1"/>
    <x v="0"/>
    <s v="Cayenne"/>
    <s v="SUV"/>
    <x v="0"/>
    <x v="3"/>
    <x v="0"/>
    <x v="0"/>
    <n v="3"/>
    <n v="7"/>
    <x v="1"/>
    <x v="1"/>
    <n v="399108"/>
    <n v="315710"/>
    <n v="83398"/>
    <x v="4"/>
    <n v="0"/>
    <n v="0"/>
    <n v="1"/>
    <n v="0"/>
    <n v="1"/>
    <s v="No"/>
    <x v="2"/>
  </r>
  <r>
    <n v="22803"/>
    <d v="2024-03-11T00:00:00"/>
    <x v="2"/>
    <s v="Noida"/>
    <s v="SC_NOI_1"/>
    <x v="2"/>
    <s v="911"/>
    <s v="Coupe"/>
    <x v="1"/>
    <x v="2"/>
    <x v="0"/>
    <x v="0"/>
    <n v="5"/>
    <n v="7"/>
    <x v="0"/>
    <x v="1"/>
    <n v="232640"/>
    <n v="149307"/>
    <n v="83333"/>
    <x v="2"/>
    <n v="232640"/>
    <n v="0"/>
    <n v="0"/>
    <n v="1"/>
    <n v="1"/>
    <s v="No"/>
    <x v="1"/>
  </r>
  <r>
    <n v="22804"/>
    <d v="2024-01-23T00:00:00"/>
    <x v="3"/>
    <s v="Pune"/>
    <s v="SC_PUN_4"/>
    <x v="0"/>
    <s v="Macan"/>
    <s v="SUV"/>
    <x v="1"/>
    <x v="4"/>
    <x v="0"/>
    <x v="1"/>
    <n v="22"/>
    <n v="7"/>
    <x v="0"/>
    <x v="1"/>
    <n v="364928"/>
    <n v="194509"/>
    <n v="170419"/>
    <x v="0"/>
    <n v="364928"/>
    <n v="0"/>
    <n v="0"/>
    <n v="1"/>
    <n v="1"/>
    <s v="Yes"/>
    <x v="0"/>
  </r>
  <r>
    <n v="22805"/>
    <d v="2024-01-21T00:00:00"/>
    <x v="1"/>
    <s v="Bhubaneswar"/>
    <s v="SC_BHU_4"/>
    <x v="2"/>
    <s v="Veyron"/>
    <s v="Hypercar"/>
    <x v="0"/>
    <x v="3"/>
    <x v="2"/>
    <x v="0"/>
    <n v="22"/>
    <n v="7"/>
    <x v="1"/>
    <x v="0"/>
    <n v="177071"/>
    <n v="107167"/>
    <n v="69904"/>
    <x v="0"/>
    <n v="0"/>
    <n v="1"/>
    <n v="1"/>
    <n v="0"/>
    <n v="1"/>
    <s v="Yes"/>
    <x v="0"/>
  </r>
  <r>
    <n v="22806"/>
    <d v="2024-02-01T00:00:00"/>
    <x v="3"/>
    <s v="Ahmedabad"/>
    <s v="SC_AHM_3"/>
    <x v="0"/>
    <s v="Macan"/>
    <s v="SUV"/>
    <x v="1"/>
    <x v="1"/>
    <x v="0"/>
    <x v="1"/>
    <n v="16"/>
    <n v="7"/>
    <x v="0"/>
    <x v="1"/>
    <n v="98873"/>
    <n v="57395"/>
    <n v="41478"/>
    <x v="0"/>
    <n v="98873"/>
    <n v="0"/>
    <n v="0"/>
    <n v="1"/>
    <n v="1"/>
    <s v="Yes"/>
    <x v="0"/>
  </r>
  <r>
    <n v="22807"/>
    <d v="2024-03-17T00:00:00"/>
    <x v="2"/>
    <s v="Noida"/>
    <s v="SC_NOI_3"/>
    <x v="0"/>
    <s v="911"/>
    <s v="Coupe"/>
    <x v="0"/>
    <x v="0"/>
    <x v="2"/>
    <x v="0"/>
    <n v="5"/>
    <n v="7"/>
    <x v="1"/>
    <x v="1"/>
    <n v="116448"/>
    <n v="68376"/>
    <n v="48072"/>
    <x v="3"/>
    <n v="0"/>
    <n v="0"/>
    <n v="1"/>
    <n v="0"/>
    <n v="1"/>
    <s v="No"/>
    <x v="2"/>
  </r>
  <r>
    <n v="22808"/>
    <d v="2024-05-20T00:00:00"/>
    <x v="1"/>
    <s v="Kolkata"/>
    <s v="SC_KOL_3"/>
    <x v="2"/>
    <s v="Chiron"/>
    <s v="Hypercar"/>
    <x v="1"/>
    <x v="3"/>
    <x v="0"/>
    <x v="0"/>
    <n v="5"/>
    <n v="7"/>
    <x v="1"/>
    <x v="1"/>
    <n v="445534"/>
    <n v="229723"/>
    <n v="215811"/>
    <x v="3"/>
    <n v="0"/>
    <n v="0"/>
    <n v="1"/>
    <n v="0"/>
    <n v="1"/>
    <s v="No"/>
    <x v="2"/>
  </r>
  <r>
    <n v="22809"/>
    <d v="2024-05-03T00:00:00"/>
    <x v="0"/>
    <s v="Chennai"/>
    <s v="SC_CHE_1"/>
    <x v="2"/>
    <s v="Macan"/>
    <s v="SUV"/>
    <x v="1"/>
    <x v="4"/>
    <x v="1"/>
    <x v="1"/>
    <n v="5"/>
    <n v="7"/>
    <x v="0"/>
    <x v="0"/>
    <n v="212935"/>
    <n v="135910"/>
    <n v="77025"/>
    <x v="2"/>
    <n v="0"/>
    <n v="1"/>
    <n v="0"/>
    <n v="1"/>
    <n v="1"/>
    <s v="No"/>
    <x v="1"/>
  </r>
  <r>
    <n v="22810"/>
    <d v="2024-05-17T00:00:00"/>
    <x v="3"/>
    <s v="Pune"/>
    <s v="SC_PUN_3"/>
    <x v="0"/>
    <s v="Taycan"/>
    <s v="Sedan"/>
    <x v="1"/>
    <x v="4"/>
    <x v="0"/>
    <x v="0"/>
    <n v="25"/>
    <n v="7"/>
    <x v="0"/>
    <x v="1"/>
    <n v="197090"/>
    <n v="149848"/>
    <n v="47242"/>
    <x v="0"/>
    <n v="197090"/>
    <n v="0"/>
    <n v="0"/>
    <n v="1"/>
    <n v="1"/>
    <s v="Yes"/>
    <x v="0"/>
  </r>
  <r>
    <n v="22811"/>
    <d v="2024-03-09T00:00:00"/>
    <x v="0"/>
    <s v="Hyderabad"/>
    <s v="SC_HYD_4"/>
    <x v="0"/>
    <s v="Cayenne"/>
    <s v="SUV"/>
    <x v="0"/>
    <x v="3"/>
    <x v="2"/>
    <x v="0"/>
    <n v="2"/>
    <n v="7"/>
    <x v="1"/>
    <x v="1"/>
    <n v="107762"/>
    <n v="71810"/>
    <n v="35952"/>
    <x v="4"/>
    <n v="0"/>
    <n v="0"/>
    <n v="1"/>
    <n v="0"/>
    <n v="1"/>
    <s v="No"/>
    <x v="2"/>
  </r>
  <r>
    <n v="22812"/>
    <d v="2024-05-30T00:00:00"/>
    <x v="1"/>
    <s v="Kolkata"/>
    <s v="SC_KOL_3"/>
    <x v="0"/>
    <s v="Veyron"/>
    <s v="Hypercar"/>
    <x v="1"/>
    <x v="2"/>
    <x v="1"/>
    <x v="0"/>
    <n v="5"/>
    <n v="7"/>
    <x v="1"/>
    <x v="0"/>
    <n v="349414"/>
    <n v="216246"/>
    <n v="133168"/>
    <x v="3"/>
    <n v="0"/>
    <n v="1"/>
    <n v="1"/>
    <n v="0"/>
    <n v="1"/>
    <s v="No"/>
    <x v="2"/>
  </r>
  <r>
    <n v="22813"/>
    <d v="2024-04-02T00:00:00"/>
    <x v="0"/>
    <s v="Chennai"/>
    <s v="SC_CHE_3"/>
    <x v="2"/>
    <s v="Chiron"/>
    <s v="Hypercar"/>
    <x v="0"/>
    <x v="4"/>
    <x v="0"/>
    <x v="0"/>
    <n v="13"/>
    <n v="7"/>
    <x v="0"/>
    <x v="1"/>
    <n v="123853"/>
    <n v="94621"/>
    <n v="29232"/>
    <x v="1"/>
    <n v="123853"/>
    <n v="0"/>
    <n v="0"/>
    <n v="1"/>
    <n v="1"/>
    <s v="Yes"/>
    <x v="0"/>
  </r>
  <r>
    <n v="22814"/>
    <d v="2024-04-21T00:00:00"/>
    <x v="1"/>
    <s v="Patna"/>
    <s v="SC_PAT_5"/>
    <x v="0"/>
    <s v="Chiron"/>
    <s v="Hypercar"/>
    <x v="1"/>
    <x v="2"/>
    <x v="2"/>
    <x v="0"/>
    <n v="17"/>
    <n v="7"/>
    <x v="1"/>
    <x v="0"/>
    <n v="332153"/>
    <n v="208303"/>
    <n v="123850"/>
    <x v="1"/>
    <n v="0"/>
    <n v="1"/>
    <n v="1"/>
    <n v="0"/>
    <n v="1"/>
    <s v="Yes"/>
    <x v="0"/>
  </r>
  <r>
    <n v="22815"/>
    <d v="2024-01-16T00:00:00"/>
    <x v="2"/>
    <s v="Noida"/>
    <s v="SC_NOI_5"/>
    <x v="0"/>
    <s v="Veyron"/>
    <s v="Hypercar"/>
    <x v="1"/>
    <x v="0"/>
    <x v="2"/>
    <x v="1"/>
    <n v="8"/>
    <n v="7"/>
    <x v="1"/>
    <x v="1"/>
    <n v="132041"/>
    <n v="111908"/>
    <n v="20133"/>
    <x v="3"/>
    <n v="0"/>
    <n v="0"/>
    <n v="1"/>
    <n v="0"/>
    <n v="1"/>
    <s v="Yes"/>
    <x v="2"/>
  </r>
  <r>
    <n v="22816"/>
    <d v="2024-05-14T00:00:00"/>
    <x v="3"/>
    <s v="Ahmedabad"/>
    <s v="SC_AHM_4"/>
    <x v="0"/>
    <s v="911"/>
    <s v="Coupe"/>
    <x v="0"/>
    <x v="3"/>
    <x v="2"/>
    <x v="0"/>
    <n v="20"/>
    <n v="7"/>
    <x v="1"/>
    <x v="1"/>
    <n v="509915"/>
    <n v="400672"/>
    <n v="109243"/>
    <x v="0"/>
    <n v="0"/>
    <n v="0"/>
    <n v="1"/>
    <n v="0"/>
    <n v="1"/>
    <s v="Yes"/>
    <x v="0"/>
  </r>
  <r>
    <n v="22817"/>
    <d v="2024-03-31T00:00:00"/>
    <x v="1"/>
    <s v="Bhubaneswar"/>
    <s v="SC_BHU_1"/>
    <x v="2"/>
    <s v="Panamera"/>
    <s v="Sedan"/>
    <x v="1"/>
    <x v="2"/>
    <x v="2"/>
    <x v="0"/>
    <n v="6"/>
    <n v="7"/>
    <x v="1"/>
    <x v="1"/>
    <n v="210982"/>
    <n v="171818"/>
    <n v="39164"/>
    <x v="3"/>
    <n v="0"/>
    <n v="0"/>
    <n v="1"/>
    <n v="0"/>
    <n v="1"/>
    <s v="No"/>
    <x v="2"/>
  </r>
  <r>
    <n v="22818"/>
    <d v="2024-06-23T00:00:00"/>
    <x v="0"/>
    <s v="Bengaluru"/>
    <s v="SC_BEN_3"/>
    <x v="2"/>
    <s v="Veyron"/>
    <s v="Hypercar"/>
    <x v="1"/>
    <x v="1"/>
    <x v="2"/>
    <x v="1"/>
    <n v="17"/>
    <n v="7"/>
    <x v="1"/>
    <x v="1"/>
    <n v="501755"/>
    <n v="356627"/>
    <n v="145128"/>
    <x v="1"/>
    <n v="0"/>
    <n v="0"/>
    <n v="1"/>
    <n v="0"/>
    <n v="1"/>
    <s v="Yes"/>
    <x v="0"/>
  </r>
  <r>
    <n v="22819"/>
    <d v="2024-06-25T00:00:00"/>
    <x v="3"/>
    <s v="Pune"/>
    <s v="SC_PUN_5"/>
    <x v="2"/>
    <s v="Panamera"/>
    <s v="Sedan"/>
    <x v="0"/>
    <x v="0"/>
    <x v="2"/>
    <x v="1"/>
    <n v="8"/>
    <n v="7"/>
    <x v="0"/>
    <x v="0"/>
    <n v="542369"/>
    <n v="363362"/>
    <n v="179007"/>
    <x v="2"/>
    <n v="0"/>
    <n v="1"/>
    <n v="0"/>
    <n v="1"/>
    <n v="1"/>
    <s v="Yes"/>
    <x v="1"/>
  </r>
  <r>
    <n v="22820"/>
    <d v="2024-05-14T00:00:00"/>
    <x v="0"/>
    <s v="Bengaluru"/>
    <s v="SC_BEN_2"/>
    <x v="0"/>
    <s v="Panamera"/>
    <s v="Sedan"/>
    <x v="1"/>
    <x v="3"/>
    <x v="0"/>
    <x v="0"/>
    <n v="16"/>
    <n v="7"/>
    <x v="0"/>
    <x v="1"/>
    <n v="372542"/>
    <n v="300891"/>
    <n v="71651"/>
    <x v="0"/>
    <n v="372542"/>
    <n v="0"/>
    <n v="0"/>
    <n v="1"/>
    <n v="1"/>
    <s v="Yes"/>
    <x v="0"/>
  </r>
  <r>
    <n v="22821"/>
    <d v="2024-04-01T00:00:00"/>
    <x v="2"/>
    <s v="Gurugram"/>
    <s v="SC_GUR_5"/>
    <x v="2"/>
    <s v="Veyron"/>
    <s v="Hypercar"/>
    <x v="1"/>
    <x v="1"/>
    <x v="1"/>
    <x v="0"/>
    <n v="8"/>
    <n v="7"/>
    <x v="1"/>
    <x v="0"/>
    <n v="410471"/>
    <n v="315204"/>
    <n v="95267"/>
    <x v="3"/>
    <n v="0"/>
    <n v="1"/>
    <n v="1"/>
    <n v="0"/>
    <n v="1"/>
    <s v="Yes"/>
    <x v="2"/>
  </r>
  <r>
    <n v="22822"/>
    <d v="2024-05-03T00:00:00"/>
    <x v="0"/>
    <s v="Chennai"/>
    <s v="SC_CHE_2"/>
    <x v="2"/>
    <s v="Chiron"/>
    <s v="Hypercar"/>
    <x v="0"/>
    <x v="3"/>
    <x v="0"/>
    <x v="0"/>
    <n v="3"/>
    <n v="7"/>
    <x v="1"/>
    <x v="1"/>
    <n v="493916"/>
    <n v="282002"/>
    <n v="211914"/>
    <x v="4"/>
    <n v="0"/>
    <n v="0"/>
    <n v="1"/>
    <n v="0"/>
    <n v="1"/>
    <s v="No"/>
    <x v="2"/>
  </r>
  <r>
    <n v="22823"/>
    <d v="2024-01-02T00:00:00"/>
    <x v="3"/>
    <s v="Pune"/>
    <s v="SC_PUN_2"/>
    <x v="1"/>
    <s v="Macan"/>
    <s v="SUV"/>
    <x v="1"/>
    <x v="3"/>
    <x v="0"/>
    <x v="0"/>
    <n v="2"/>
    <n v="7"/>
    <x v="0"/>
    <x v="1"/>
    <n v="132689"/>
    <n v="110173"/>
    <n v="22516"/>
    <x v="3"/>
    <n v="132689"/>
    <n v="0"/>
    <n v="0"/>
    <n v="1"/>
    <n v="1"/>
    <s v="No"/>
    <x v="2"/>
  </r>
  <r>
    <n v="22824"/>
    <d v="2024-06-10T00:00:00"/>
    <x v="1"/>
    <s v="Kolkata"/>
    <s v="SC_KOL_3"/>
    <x v="0"/>
    <s v="Taycan"/>
    <s v="Sedan"/>
    <x v="1"/>
    <x v="4"/>
    <x v="0"/>
    <x v="0"/>
    <n v="10"/>
    <n v="7"/>
    <x v="1"/>
    <x v="0"/>
    <n v="355347"/>
    <n v="242110"/>
    <n v="113237"/>
    <x v="2"/>
    <n v="0"/>
    <n v="1"/>
    <n v="1"/>
    <n v="0"/>
    <n v="1"/>
    <s v="Yes"/>
    <x v="1"/>
  </r>
  <r>
    <n v="22825"/>
    <d v="2024-01-03T00:00:00"/>
    <x v="2"/>
    <s v="Noida"/>
    <s v="SC_NOI_1"/>
    <x v="1"/>
    <s v="Macan"/>
    <s v="SUV"/>
    <x v="0"/>
    <x v="3"/>
    <x v="0"/>
    <x v="1"/>
    <n v="6"/>
    <n v="7"/>
    <x v="1"/>
    <x v="1"/>
    <n v="522159"/>
    <n v="420673"/>
    <n v="101486"/>
    <x v="3"/>
    <n v="0"/>
    <n v="0"/>
    <n v="1"/>
    <n v="0"/>
    <n v="1"/>
    <s v="No"/>
    <x v="2"/>
  </r>
  <r>
    <n v="22826"/>
    <d v="2024-03-13T00:00:00"/>
    <x v="3"/>
    <s v="Ahmedabad"/>
    <s v="SC_AHM_5"/>
    <x v="2"/>
    <s v="Panamera"/>
    <s v="Sedan"/>
    <x v="1"/>
    <x v="3"/>
    <x v="0"/>
    <x v="1"/>
    <n v="16"/>
    <n v="7"/>
    <x v="0"/>
    <x v="1"/>
    <n v="154489"/>
    <n v="108762"/>
    <n v="45727"/>
    <x v="0"/>
    <n v="154489"/>
    <n v="0"/>
    <n v="0"/>
    <n v="1"/>
    <n v="1"/>
    <s v="Yes"/>
    <x v="0"/>
  </r>
  <r>
    <n v="22827"/>
    <d v="2024-03-04T00:00:00"/>
    <x v="3"/>
    <s v="Mumbai"/>
    <s v="SC_MUM_3"/>
    <x v="0"/>
    <s v="Macan"/>
    <s v="SUV"/>
    <x v="1"/>
    <x v="1"/>
    <x v="1"/>
    <x v="0"/>
    <n v="23"/>
    <n v="7"/>
    <x v="1"/>
    <x v="1"/>
    <n v="318123"/>
    <n v="193802"/>
    <n v="124321"/>
    <x v="0"/>
    <n v="0"/>
    <n v="0"/>
    <n v="1"/>
    <n v="0"/>
    <n v="1"/>
    <s v="Yes"/>
    <x v="0"/>
  </r>
  <r>
    <n v="22828"/>
    <d v="2024-06-11T00:00:00"/>
    <x v="0"/>
    <s v="Hyderabad"/>
    <s v="SC_HYD_5"/>
    <x v="2"/>
    <s v="Panamera"/>
    <s v="Sedan"/>
    <x v="0"/>
    <x v="1"/>
    <x v="0"/>
    <x v="0"/>
    <n v="13"/>
    <n v="7"/>
    <x v="0"/>
    <x v="1"/>
    <n v="389888"/>
    <n v="314239"/>
    <n v="75649"/>
    <x v="1"/>
    <n v="389888"/>
    <n v="0"/>
    <n v="0"/>
    <n v="1"/>
    <n v="1"/>
    <s v="Yes"/>
    <x v="0"/>
  </r>
  <r>
    <n v="22829"/>
    <d v="2024-04-16T00:00:00"/>
    <x v="2"/>
    <s v="Gurugram"/>
    <s v="SC_GUR_4"/>
    <x v="1"/>
    <s v="Panamera"/>
    <s v="Sedan"/>
    <x v="1"/>
    <x v="1"/>
    <x v="2"/>
    <x v="0"/>
    <n v="23"/>
    <n v="7"/>
    <x v="1"/>
    <x v="1"/>
    <n v="430101"/>
    <n v="233392"/>
    <n v="196709"/>
    <x v="0"/>
    <n v="0"/>
    <n v="0"/>
    <n v="1"/>
    <n v="0"/>
    <n v="1"/>
    <s v="Yes"/>
    <x v="0"/>
  </r>
  <r>
    <n v="22830"/>
    <d v="2024-04-20T00:00:00"/>
    <x v="2"/>
    <s v="Delhi"/>
    <s v="SC_DEL_2"/>
    <x v="2"/>
    <s v="Cayenne"/>
    <s v="SUV"/>
    <x v="1"/>
    <x v="0"/>
    <x v="2"/>
    <x v="0"/>
    <n v="5"/>
    <n v="7"/>
    <x v="0"/>
    <x v="0"/>
    <n v="586531"/>
    <n v="476623"/>
    <n v="109908"/>
    <x v="2"/>
    <n v="0"/>
    <n v="1"/>
    <n v="0"/>
    <n v="1"/>
    <n v="1"/>
    <s v="No"/>
    <x v="1"/>
  </r>
  <r>
    <n v="22831"/>
    <d v="2024-05-14T00:00:00"/>
    <x v="2"/>
    <s v="Gurugram"/>
    <s v="SC_GUR_3"/>
    <x v="0"/>
    <s v="Veyron"/>
    <s v="Hypercar"/>
    <x v="1"/>
    <x v="0"/>
    <x v="0"/>
    <x v="1"/>
    <n v="19"/>
    <n v="7"/>
    <x v="0"/>
    <x v="1"/>
    <n v="218097"/>
    <n v="113835"/>
    <n v="104262"/>
    <x v="0"/>
    <n v="218097"/>
    <n v="0"/>
    <n v="0"/>
    <n v="1"/>
    <n v="1"/>
    <s v="Yes"/>
    <x v="0"/>
  </r>
  <r>
    <n v="22832"/>
    <d v="2024-06-17T00:00:00"/>
    <x v="1"/>
    <s v="Kolkata"/>
    <s v="SC_KOL_5"/>
    <x v="0"/>
    <s v="911"/>
    <s v="Coupe"/>
    <x v="1"/>
    <x v="1"/>
    <x v="0"/>
    <x v="0"/>
    <n v="13"/>
    <n v="7"/>
    <x v="0"/>
    <x v="1"/>
    <n v="121740"/>
    <n v="72181"/>
    <n v="49559"/>
    <x v="1"/>
    <n v="121740"/>
    <n v="0"/>
    <n v="0"/>
    <n v="1"/>
    <n v="1"/>
    <s v="Yes"/>
    <x v="0"/>
  </r>
  <r>
    <n v="22833"/>
    <d v="2024-05-19T00:00:00"/>
    <x v="2"/>
    <s v="Delhi"/>
    <s v="SC_DEL_3"/>
    <x v="2"/>
    <s v="Taycan"/>
    <s v="Sedan"/>
    <x v="0"/>
    <x v="0"/>
    <x v="1"/>
    <x v="0"/>
    <n v="3"/>
    <n v="7"/>
    <x v="1"/>
    <x v="0"/>
    <n v="566376"/>
    <n v="439062"/>
    <n v="127314"/>
    <x v="4"/>
    <n v="0"/>
    <n v="1"/>
    <n v="1"/>
    <n v="0"/>
    <n v="1"/>
    <s v="No"/>
    <x v="2"/>
  </r>
  <r>
    <n v="22834"/>
    <d v="2024-06-23T00:00:00"/>
    <x v="3"/>
    <s v="Mumbai"/>
    <s v="SC_MUM_1"/>
    <x v="1"/>
    <s v="911"/>
    <s v="Coupe"/>
    <x v="1"/>
    <x v="2"/>
    <x v="0"/>
    <x v="0"/>
    <n v="13"/>
    <n v="7"/>
    <x v="0"/>
    <x v="1"/>
    <n v="188583"/>
    <n v="147115"/>
    <n v="41468"/>
    <x v="1"/>
    <n v="188583"/>
    <n v="0"/>
    <n v="0"/>
    <n v="1"/>
    <n v="1"/>
    <s v="Yes"/>
    <x v="0"/>
  </r>
  <r>
    <n v="22835"/>
    <d v="2024-05-21T00:00:00"/>
    <x v="2"/>
    <s v="Delhi"/>
    <s v="SC_DEL_1"/>
    <x v="1"/>
    <s v="911"/>
    <s v="Coupe"/>
    <x v="1"/>
    <x v="3"/>
    <x v="1"/>
    <x v="0"/>
    <n v="21"/>
    <n v="7"/>
    <x v="0"/>
    <x v="1"/>
    <n v="404693"/>
    <n v="272676"/>
    <n v="132017"/>
    <x v="0"/>
    <n v="404693"/>
    <n v="0"/>
    <n v="0"/>
    <n v="1"/>
    <n v="1"/>
    <s v="Yes"/>
    <x v="0"/>
  </r>
  <r>
    <n v="22836"/>
    <d v="2024-05-10T00:00:00"/>
    <x v="2"/>
    <s v="Delhi"/>
    <s v="SC_DEL_1"/>
    <x v="0"/>
    <s v="Veyron"/>
    <s v="Hypercar"/>
    <x v="0"/>
    <x v="2"/>
    <x v="0"/>
    <x v="1"/>
    <n v="10"/>
    <n v="7"/>
    <x v="0"/>
    <x v="0"/>
    <n v="172959"/>
    <n v="136125"/>
    <n v="36834"/>
    <x v="1"/>
    <n v="0"/>
    <n v="1"/>
    <n v="0"/>
    <n v="1"/>
    <n v="1"/>
    <s v="Yes"/>
    <x v="0"/>
  </r>
  <r>
    <n v="22837"/>
    <d v="2024-01-06T00:00:00"/>
    <x v="1"/>
    <s v="Kolkata"/>
    <s v="SC_KOL_1"/>
    <x v="1"/>
    <s v="Cayenne"/>
    <s v="SUV"/>
    <x v="0"/>
    <x v="1"/>
    <x v="2"/>
    <x v="1"/>
    <n v="25"/>
    <n v="7"/>
    <x v="0"/>
    <x v="0"/>
    <n v="228623"/>
    <n v="193795"/>
    <n v="34828"/>
    <x v="0"/>
    <n v="0"/>
    <n v="1"/>
    <n v="0"/>
    <n v="1"/>
    <n v="1"/>
    <s v="Yes"/>
    <x v="0"/>
  </r>
  <r>
    <n v="22838"/>
    <d v="2024-05-19T00:00:00"/>
    <x v="0"/>
    <s v="Chennai"/>
    <s v="SC_CHE_5"/>
    <x v="1"/>
    <s v="Veyron"/>
    <s v="Hypercar"/>
    <x v="0"/>
    <x v="0"/>
    <x v="2"/>
    <x v="0"/>
    <n v="20"/>
    <n v="7"/>
    <x v="1"/>
    <x v="0"/>
    <n v="103576"/>
    <n v="84824"/>
    <n v="18752"/>
    <x v="0"/>
    <n v="0"/>
    <n v="1"/>
    <n v="1"/>
    <n v="0"/>
    <n v="1"/>
    <s v="Yes"/>
    <x v="0"/>
  </r>
  <r>
    <n v="22839"/>
    <d v="2024-03-15T00:00:00"/>
    <x v="3"/>
    <s v="Ahmedabad"/>
    <s v="SC_AHM_2"/>
    <x v="1"/>
    <s v="Cayenne"/>
    <s v="SUV"/>
    <x v="1"/>
    <x v="0"/>
    <x v="1"/>
    <x v="0"/>
    <n v="25"/>
    <n v="7"/>
    <x v="1"/>
    <x v="0"/>
    <n v="303382"/>
    <n v="219519"/>
    <n v="83863"/>
    <x v="0"/>
    <n v="0"/>
    <n v="1"/>
    <n v="1"/>
    <n v="0"/>
    <n v="1"/>
    <s v="Yes"/>
    <x v="0"/>
  </r>
  <r>
    <n v="22840"/>
    <d v="2024-01-29T00:00:00"/>
    <x v="2"/>
    <s v="Delhi"/>
    <s v="SC_DEL_2"/>
    <x v="2"/>
    <s v="Taycan"/>
    <s v="Sedan"/>
    <x v="0"/>
    <x v="0"/>
    <x v="2"/>
    <x v="0"/>
    <n v="21"/>
    <n v="7"/>
    <x v="0"/>
    <x v="1"/>
    <n v="392476"/>
    <n v="210172"/>
    <n v="182304"/>
    <x v="0"/>
    <n v="392476"/>
    <n v="0"/>
    <n v="0"/>
    <n v="1"/>
    <n v="1"/>
    <s v="Yes"/>
    <x v="0"/>
  </r>
  <r>
    <n v="22841"/>
    <d v="2024-03-13T00:00:00"/>
    <x v="3"/>
    <s v="Pune"/>
    <s v="SC_PUN_3"/>
    <x v="0"/>
    <s v="Veyron"/>
    <s v="Hypercar"/>
    <x v="0"/>
    <x v="2"/>
    <x v="1"/>
    <x v="0"/>
    <n v="4"/>
    <n v="7"/>
    <x v="1"/>
    <x v="1"/>
    <n v="581636"/>
    <n v="303074"/>
    <n v="278562"/>
    <x v="4"/>
    <n v="0"/>
    <n v="0"/>
    <n v="1"/>
    <n v="0"/>
    <n v="1"/>
    <s v="No"/>
    <x v="2"/>
  </r>
  <r>
    <n v="22842"/>
    <d v="2024-05-26T00:00:00"/>
    <x v="1"/>
    <s v="Kolkata"/>
    <s v="SC_KOL_3"/>
    <x v="0"/>
    <s v="Panamera"/>
    <s v="Sedan"/>
    <x v="0"/>
    <x v="1"/>
    <x v="2"/>
    <x v="0"/>
    <n v="12"/>
    <n v="7"/>
    <x v="1"/>
    <x v="0"/>
    <n v="378469"/>
    <n v="233622"/>
    <n v="144847"/>
    <x v="2"/>
    <n v="0"/>
    <n v="1"/>
    <n v="1"/>
    <n v="0"/>
    <n v="1"/>
    <s v="Yes"/>
    <x v="1"/>
  </r>
  <r>
    <n v="22843"/>
    <d v="2024-04-12T00:00:00"/>
    <x v="0"/>
    <s v="Bengaluru"/>
    <s v="SC_BEN_5"/>
    <x v="1"/>
    <s v="Macan"/>
    <s v="SUV"/>
    <x v="0"/>
    <x v="1"/>
    <x v="1"/>
    <x v="1"/>
    <n v="7"/>
    <n v="7"/>
    <x v="0"/>
    <x v="1"/>
    <n v="541112"/>
    <n v="317522"/>
    <n v="223590"/>
    <x v="2"/>
    <n v="541112"/>
    <n v="0"/>
    <n v="0"/>
    <n v="1"/>
    <n v="1"/>
    <s v="No"/>
    <x v="1"/>
  </r>
  <r>
    <n v="22844"/>
    <d v="2024-01-15T00:00:00"/>
    <x v="1"/>
    <s v="Kolkata"/>
    <s v="SC_KOL_4"/>
    <x v="1"/>
    <s v="Macan"/>
    <s v="SUV"/>
    <x v="0"/>
    <x v="4"/>
    <x v="0"/>
    <x v="1"/>
    <n v="3"/>
    <n v="7"/>
    <x v="1"/>
    <x v="1"/>
    <n v="455492"/>
    <n v="237842"/>
    <n v="217650"/>
    <x v="4"/>
    <n v="0"/>
    <n v="0"/>
    <n v="1"/>
    <n v="0"/>
    <n v="1"/>
    <s v="No"/>
    <x v="2"/>
  </r>
  <r>
    <n v="22845"/>
    <d v="2024-01-18T00:00:00"/>
    <x v="1"/>
    <s v="Bhubaneswar"/>
    <s v="SC_BHU_3"/>
    <x v="2"/>
    <s v="Macan"/>
    <s v="SUV"/>
    <x v="1"/>
    <x v="3"/>
    <x v="2"/>
    <x v="1"/>
    <n v="18"/>
    <n v="7"/>
    <x v="0"/>
    <x v="0"/>
    <n v="563504"/>
    <n v="390983"/>
    <n v="172521"/>
    <x v="0"/>
    <n v="0"/>
    <n v="1"/>
    <n v="0"/>
    <n v="1"/>
    <n v="1"/>
    <s v="Yes"/>
    <x v="0"/>
  </r>
  <r>
    <n v="22846"/>
    <d v="2024-05-11T00:00:00"/>
    <x v="1"/>
    <s v="Kolkata"/>
    <s v="SC_KOL_4"/>
    <x v="0"/>
    <s v="Panamera"/>
    <s v="Sedan"/>
    <x v="1"/>
    <x v="3"/>
    <x v="1"/>
    <x v="1"/>
    <n v="19"/>
    <n v="7"/>
    <x v="0"/>
    <x v="0"/>
    <n v="520803"/>
    <n v="285757"/>
    <n v="235046"/>
    <x v="0"/>
    <n v="0"/>
    <n v="1"/>
    <n v="0"/>
    <n v="1"/>
    <n v="1"/>
    <s v="Yes"/>
    <x v="0"/>
  </r>
  <r>
    <n v="22847"/>
    <d v="2024-02-03T00:00:00"/>
    <x v="2"/>
    <s v="Gurugram"/>
    <s v="SC_GUR_1"/>
    <x v="2"/>
    <s v="Panamera"/>
    <s v="Sedan"/>
    <x v="1"/>
    <x v="2"/>
    <x v="1"/>
    <x v="0"/>
    <n v="9"/>
    <n v="7"/>
    <x v="0"/>
    <x v="0"/>
    <n v="538620"/>
    <n v="277730"/>
    <n v="260890"/>
    <x v="2"/>
    <n v="0"/>
    <n v="1"/>
    <n v="0"/>
    <n v="1"/>
    <n v="1"/>
    <s v="Yes"/>
    <x v="1"/>
  </r>
  <r>
    <n v="22848"/>
    <d v="2024-06-19T00:00:00"/>
    <x v="0"/>
    <s v="Chennai"/>
    <s v="SC_CHE_5"/>
    <x v="1"/>
    <s v="Taycan"/>
    <s v="Sedan"/>
    <x v="1"/>
    <x v="2"/>
    <x v="1"/>
    <x v="0"/>
    <n v="2"/>
    <n v="7"/>
    <x v="0"/>
    <x v="1"/>
    <n v="255670"/>
    <n v="170273"/>
    <n v="85397"/>
    <x v="3"/>
    <n v="255670"/>
    <n v="0"/>
    <n v="0"/>
    <n v="1"/>
    <n v="1"/>
    <s v="No"/>
    <x v="2"/>
  </r>
  <r>
    <n v="22849"/>
    <d v="2024-03-19T00:00:00"/>
    <x v="3"/>
    <s v="Pune"/>
    <s v="SC_PUN_4"/>
    <x v="1"/>
    <s v="Veyron"/>
    <s v="Hypercar"/>
    <x v="0"/>
    <x v="3"/>
    <x v="1"/>
    <x v="0"/>
    <n v="22"/>
    <n v="7"/>
    <x v="1"/>
    <x v="1"/>
    <n v="484695"/>
    <n v="302860"/>
    <n v="181835"/>
    <x v="0"/>
    <n v="0"/>
    <n v="0"/>
    <n v="1"/>
    <n v="0"/>
    <n v="1"/>
    <s v="Yes"/>
    <x v="0"/>
  </r>
  <r>
    <n v="22850"/>
    <d v="2024-03-14T00:00:00"/>
    <x v="2"/>
    <s v="Noida"/>
    <s v="SC_NOI_1"/>
    <x v="0"/>
    <s v="Chiron"/>
    <s v="Hypercar"/>
    <x v="1"/>
    <x v="1"/>
    <x v="2"/>
    <x v="1"/>
    <n v="21"/>
    <n v="7"/>
    <x v="0"/>
    <x v="1"/>
    <n v="114570"/>
    <n v="91225"/>
    <n v="23345"/>
    <x v="0"/>
    <n v="114570"/>
    <n v="0"/>
    <n v="0"/>
    <n v="1"/>
    <n v="1"/>
    <s v="Yes"/>
    <x v="0"/>
  </r>
  <r>
    <n v="22851"/>
    <d v="2024-02-12T00:00:00"/>
    <x v="3"/>
    <s v="Ahmedabad"/>
    <s v="SC_AHM_3"/>
    <x v="2"/>
    <s v="Chiron"/>
    <s v="Hypercar"/>
    <x v="0"/>
    <x v="3"/>
    <x v="0"/>
    <x v="1"/>
    <n v="19"/>
    <n v="7"/>
    <x v="0"/>
    <x v="1"/>
    <n v="402577"/>
    <n v="244784"/>
    <n v="157793"/>
    <x v="0"/>
    <n v="402577"/>
    <n v="0"/>
    <n v="0"/>
    <n v="1"/>
    <n v="1"/>
    <s v="Yes"/>
    <x v="0"/>
  </r>
  <r>
    <n v="22852"/>
    <d v="2024-02-02T00:00:00"/>
    <x v="2"/>
    <s v="Delhi"/>
    <s v="SC_DEL_2"/>
    <x v="0"/>
    <s v="Panamera"/>
    <s v="Sedan"/>
    <x v="0"/>
    <x v="0"/>
    <x v="0"/>
    <x v="1"/>
    <n v="4"/>
    <n v="7"/>
    <x v="1"/>
    <x v="0"/>
    <n v="393409"/>
    <n v="294296"/>
    <n v="99113"/>
    <x v="4"/>
    <n v="0"/>
    <n v="1"/>
    <n v="1"/>
    <n v="0"/>
    <n v="1"/>
    <s v="No"/>
    <x v="2"/>
  </r>
  <r>
    <n v="22853"/>
    <d v="2024-05-22T00:00:00"/>
    <x v="3"/>
    <s v="Mumbai"/>
    <s v="SC_MUM_2"/>
    <x v="2"/>
    <s v="911"/>
    <s v="Coupe"/>
    <x v="0"/>
    <x v="1"/>
    <x v="0"/>
    <x v="1"/>
    <n v="19"/>
    <n v="7"/>
    <x v="0"/>
    <x v="1"/>
    <n v="469227"/>
    <n v="302182"/>
    <n v="167045"/>
    <x v="0"/>
    <n v="469227"/>
    <n v="0"/>
    <n v="0"/>
    <n v="1"/>
    <n v="1"/>
    <s v="Yes"/>
    <x v="0"/>
  </r>
  <r>
    <n v="22854"/>
    <d v="2024-03-25T00:00:00"/>
    <x v="1"/>
    <s v="Bhubaneswar"/>
    <s v="SC_BHU_1"/>
    <x v="1"/>
    <s v="Veyron"/>
    <s v="Hypercar"/>
    <x v="1"/>
    <x v="3"/>
    <x v="2"/>
    <x v="0"/>
    <n v="6"/>
    <n v="7"/>
    <x v="0"/>
    <x v="1"/>
    <n v="129662"/>
    <n v="96705"/>
    <n v="32957"/>
    <x v="2"/>
    <n v="129662"/>
    <n v="0"/>
    <n v="0"/>
    <n v="1"/>
    <n v="1"/>
    <s v="No"/>
    <x v="1"/>
  </r>
  <r>
    <n v="22855"/>
    <d v="2024-03-30T00:00:00"/>
    <x v="3"/>
    <s v="Pune"/>
    <s v="SC_PUN_2"/>
    <x v="1"/>
    <s v="Veyron"/>
    <s v="Hypercar"/>
    <x v="1"/>
    <x v="2"/>
    <x v="2"/>
    <x v="1"/>
    <n v="22"/>
    <n v="7"/>
    <x v="1"/>
    <x v="1"/>
    <n v="596514"/>
    <n v="502551"/>
    <n v="93963"/>
    <x v="0"/>
    <n v="0"/>
    <n v="0"/>
    <n v="1"/>
    <n v="0"/>
    <n v="1"/>
    <s v="Yes"/>
    <x v="0"/>
  </r>
  <r>
    <n v="22856"/>
    <d v="2024-05-23T00:00:00"/>
    <x v="2"/>
    <s v="Gurugram"/>
    <s v="SC_GUR_4"/>
    <x v="1"/>
    <s v="Cayenne"/>
    <s v="SUV"/>
    <x v="0"/>
    <x v="3"/>
    <x v="0"/>
    <x v="0"/>
    <n v="5"/>
    <n v="7"/>
    <x v="0"/>
    <x v="0"/>
    <n v="582484"/>
    <n v="463182"/>
    <n v="119302"/>
    <x v="2"/>
    <n v="0"/>
    <n v="1"/>
    <n v="0"/>
    <n v="1"/>
    <n v="1"/>
    <s v="No"/>
    <x v="1"/>
  </r>
  <r>
    <n v="22857"/>
    <d v="2024-02-19T00:00:00"/>
    <x v="1"/>
    <s v="Patna"/>
    <s v="SC_PAT_5"/>
    <x v="2"/>
    <s v="Macan"/>
    <s v="SUV"/>
    <x v="0"/>
    <x v="2"/>
    <x v="0"/>
    <x v="0"/>
    <n v="22"/>
    <n v="7"/>
    <x v="0"/>
    <x v="0"/>
    <n v="500830"/>
    <n v="422033"/>
    <n v="78797"/>
    <x v="0"/>
    <n v="0"/>
    <n v="1"/>
    <n v="0"/>
    <n v="1"/>
    <n v="1"/>
    <s v="Yes"/>
    <x v="0"/>
  </r>
  <r>
    <n v="22858"/>
    <d v="2024-04-05T00:00:00"/>
    <x v="3"/>
    <s v="Ahmedabad"/>
    <s v="SC_AHM_3"/>
    <x v="0"/>
    <s v="Macan"/>
    <s v="SUV"/>
    <x v="1"/>
    <x v="1"/>
    <x v="2"/>
    <x v="0"/>
    <n v="24"/>
    <n v="7"/>
    <x v="1"/>
    <x v="1"/>
    <n v="486734"/>
    <n v="283629"/>
    <n v="203105"/>
    <x v="0"/>
    <n v="0"/>
    <n v="0"/>
    <n v="1"/>
    <n v="0"/>
    <n v="1"/>
    <s v="Yes"/>
    <x v="0"/>
  </r>
  <r>
    <n v="22859"/>
    <d v="2024-03-13T00:00:00"/>
    <x v="3"/>
    <s v="Mumbai"/>
    <s v="SC_MUM_2"/>
    <x v="0"/>
    <s v="Chiron"/>
    <s v="Hypercar"/>
    <x v="1"/>
    <x v="3"/>
    <x v="1"/>
    <x v="0"/>
    <n v="12"/>
    <n v="7"/>
    <x v="1"/>
    <x v="0"/>
    <n v="300360"/>
    <n v="154366"/>
    <n v="145994"/>
    <x v="2"/>
    <n v="0"/>
    <n v="1"/>
    <n v="1"/>
    <n v="0"/>
    <n v="1"/>
    <s v="Yes"/>
    <x v="1"/>
  </r>
  <r>
    <n v="22860"/>
    <d v="2024-03-26T00:00:00"/>
    <x v="1"/>
    <s v="Patna"/>
    <s v="SC_PAT_4"/>
    <x v="2"/>
    <s v="Panamera"/>
    <s v="Sedan"/>
    <x v="0"/>
    <x v="1"/>
    <x v="1"/>
    <x v="1"/>
    <n v="9"/>
    <n v="7"/>
    <x v="1"/>
    <x v="1"/>
    <n v="147851"/>
    <n v="90422"/>
    <n v="57429"/>
    <x v="3"/>
    <n v="0"/>
    <n v="0"/>
    <n v="1"/>
    <n v="0"/>
    <n v="1"/>
    <s v="Yes"/>
    <x v="2"/>
  </r>
  <r>
    <n v="22861"/>
    <d v="2024-01-27T00:00:00"/>
    <x v="1"/>
    <s v="Bhubaneswar"/>
    <s v="SC_BHU_1"/>
    <x v="0"/>
    <s v="Veyron"/>
    <s v="Hypercar"/>
    <x v="0"/>
    <x v="2"/>
    <x v="2"/>
    <x v="1"/>
    <n v="13"/>
    <n v="7"/>
    <x v="1"/>
    <x v="0"/>
    <n v="565704"/>
    <n v="311618"/>
    <n v="254086"/>
    <x v="2"/>
    <n v="0"/>
    <n v="1"/>
    <n v="1"/>
    <n v="0"/>
    <n v="1"/>
    <s v="Yes"/>
    <x v="1"/>
  </r>
  <r>
    <n v="22862"/>
    <d v="2024-05-29T00:00:00"/>
    <x v="3"/>
    <s v="Pune"/>
    <s v="SC_PUN_3"/>
    <x v="1"/>
    <s v="Chiron"/>
    <s v="Hypercar"/>
    <x v="0"/>
    <x v="3"/>
    <x v="0"/>
    <x v="1"/>
    <n v="12"/>
    <n v="7"/>
    <x v="0"/>
    <x v="0"/>
    <n v="254002"/>
    <n v="209687"/>
    <n v="44315"/>
    <x v="1"/>
    <n v="0"/>
    <n v="1"/>
    <n v="0"/>
    <n v="1"/>
    <n v="1"/>
    <s v="Yes"/>
    <x v="0"/>
  </r>
  <r>
    <n v="22863"/>
    <d v="2024-06-02T00:00:00"/>
    <x v="2"/>
    <s v="Noida"/>
    <s v="SC_NOI_1"/>
    <x v="2"/>
    <s v="Chiron"/>
    <s v="Hypercar"/>
    <x v="0"/>
    <x v="3"/>
    <x v="2"/>
    <x v="0"/>
    <n v="25"/>
    <n v="7"/>
    <x v="1"/>
    <x v="1"/>
    <n v="257485"/>
    <n v="166755"/>
    <n v="90730"/>
    <x v="0"/>
    <n v="0"/>
    <n v="0"/>
    <n v="1"/>
    <n v="0"/>
    <n v="1"/>
    <s v="Yes"/>
    <x v="0"/>
  </r>
  <r>
    <n v="22864"/>
    <d v="2024-05-05T00:00:00"/>
    <x v="3"/>
    <s v="Pune"/>
    <s v="SC_PUN_2"/>
    <x v="2"/>
    <s v="Chiron"/>
    <s v="Hypercar"/>
    <x v="0"/>
    <x v="0"/>
    <x v="1"/>
    <x v="1"/>
    <n v="21"/>
    <n v="7"/>
    <x v="1"/>
    <x v="1"/>
    <n v="130355"/>
    <n v="75092"/>
    <n v="55263"/>
    <x v="0"/>
    <n v="0"/>
    <n v="0"/>
    <n v="1"/>
    <n v="0"/>
    <n v="1"/>
    <s v="Yes"/>
    <x v="0"/>
  </r>
  <r>
    <n v="22865"/>
    <d v="2024-06-23T00:00:00"/>
    <x v="0"/>
    <s v="Bengaluru"/>
    <s v="SC_BEN_5"/>
    <x v="2"/>
    <s v="Veyron"/>
    <s v="Hypercar"/>
    <x v="1"/>
    <x v="3"/>
    <x v="0"/>
    <x v="1"/>
    <n v="12"/>
    <n v="7"/>
    <x v="0"/>
    <x v="0"/>
    <n v="490487"/>
    <n v="289363"/>
    <n v="201124"/>
    <x v="1"/>
    <n v="0"/>
    <n v="1"/>
    <n v="0"/>
    <n v="1"/>
    <n v="1"/>
    <s v="Yes"/>
    <x v="0"/>
  </r>
  <r>
    <n v="22866"/>
    <d v="2024-05-03T00:00:00"/>
    <x v="1"/>
    <s v="Kolkata"/>
    <s v="SC_KOL_3"/>
    <x v="2"/>
    <s v="Veyron"/>
    <s v="Hypercar"/>
    <x v="1"/>
    <x v="0"/>
    <x v="2"/>
    <x v="1"/>
    <n v="17"/>
    <n v="7"/>
    <x v="1"/>
    <x v="1"/>
    <n v="183060"/>
    <n v="104889"/>
    <n v="78171"/>
    <x v="1"/>
    <n v="0"/>
    <n v="0"/>
    <n v="1"/>
    <n v="0"/>
    <n v="1"/>
    <s v="Yes"/>
    <x v="0"/>
  </r>
  <r>
    <n v="22867"/>
    <d v="2024-04-04T00:00:00"/>
    <x v="2"/>
    <s v="Noida"/>
    <s v="SC_NOI_1"/>
    <x v="0"/>
    <s v="911"/>
    <s v="Coupe"/>
    <x v="1"/>
    <x v="0"/>
    <x v="2"/>
    <x v="1"/>
    <n v="11"/>
    <n v="7"/>
    <x v="1"/>
    <x v="1"/>
    <n v="273293"/>
    <n v="221891"/>
    <n v="51402"/>
    <x v="2"/>
    <n v="0"/>
    <n v="0"/>
    <n v="1"/>
    <n v="0"/>
    <n v="1"/>
    <s v="Yes"/>
    <x v="1"/>
  </r>
  <r>
    <n v="22868"/>
    <d v="2024-02-27T00:00:00"/>
    <x v="3"/>
    <s v="Ahmedabad"/>
    <s v="SC_AHM_1"/>
    <x v="0"/>
    <s v="Veyron"/>
    <s v="Hypercar"/>
    <x v="1"/>
    <x v="0"/>
    <x v="1"/>
    <x v="1"/>
    <n v="8"/>
    <n v="7"/>
    <x v="0"/>
    <x v="0"/>
    <n v="556919"/>
    <n v="397559"/>
    <n v="159360"/>
    <x v="2"/>
    <n v="0"/>
    <n v="1"/>
    <n v="0"/>
    <n v="1"/>
    <n v="1"/>
    <s v="Yes"/>
    <x v="1"/>
  </r>
  <r>
    <n v="22869"/>
    <d v="2024-01-03T00:00:00"/>
    <x v="0"/>
    <s v="Chennai"/>
    <s v="SC_CHE_1"/>
    <x v="2"/>
    <s v="911"/>
    <s v="Coupe"/>
    <x v="1"/>
    <x v="4"/>
    <x v="0"/>
    <x v="0"/>
    <n v="2"/>
    <n v="7"/>
    <x v="0"/>
    <x v="1"/>
    <n v="572866"/>
    <n v="424352"/>
    <n v="148514"/>
    <x v="3"/>
    <n v="572866"/>
    <n v="0"/>
    <n v="0"/>
    <n v="1"/>
    <n v="1"/>
    <s v="No"/>
    <x v="2"/>
  </r>
  <r>
    <n v="22870"/>
    <d v="2024-01-29T00:00:00"/>
    <x v="0"/>
    <s v="Bengaluru"/>
    <s v="SC_BEN_4"/>
    <x v="1"/>
    <s v="Panamera"/>
    <s v="Sedan"/>
    <x v="0"/>
    <x v="1"/>
    <x v="2"/>
    <x v="0"/>
    <n v="23"/>
    <n v="7"/>
    <x v="0"/>
    <x v="1"/>
    <n v="584441"/>
    <n v="484567"/>
    <n v="99874"/>
    <x v="0"/>
    <n v="584441"/>
    <n v="0"/>
    <n v="0"/>
    <n v="1"/>
    <n v="1"/>
    <s v="Yes"/>
    <x v="0"/>
  </r>
  <r>
    <n v="22871"/>
    <d v="2024-05-25T00:00:00"/>
    <x v="1"/>
    <s v="Patna"/>
    <s v="SC_PAT_4"/>
    <x v="0"/>
    <s v="Taycan"/>
    <s v="Sedan"/>
    <x v="0"/>
    <x v="4"/>
    <x v="1"/>
    <x v="1"/>
    <n v="21"/>
    <n v="7"/>
    <x v="1"/>
    <x v="1"/>
    <n v="215293"/>
    <n v="125029"/>
    <n v="90264"/>
    <x v="0"/>
    <n v="0"/>
    <n v="0"/>
    <n v="1"/>
    <n v="0"/>
    <n v="1"/>
    <s v="Yes"/>
    <x v="0"/>
  </r>
  <r>
    <n v="22872"/>
    <d v="2024-01-29T00:00:00"/>
    <x v="1"/>
    <s v="Bhubaneswar"/>
    <s v="SC_BHU_4"/>
    <x v="0"/>
    <s v="Veyron"/>
    <s v="Hypercar"/>
    <x v="0"/>
    <x v="3"/>
    <x v="2"/>
    <x v="1"/>
    <n v="2"/>
    <n v="7"/>
    <x v="0"/>
    <x v="1"/>
    <n v="408106"/>
    <n v="252674"/>
    <n v="155432"/>
    <x v="3"/>
    <n v="408106"/>
    <n v="0"/>
    <n v="0"/>
    <n v="1"/>
    <n v="1"/>
    <s v="No"/>
    <x v="2"/>
  </r>
  <r>
    <n v="22873"/>
    <d v="2024-03-05T00:00:00"/>
    <x v="1"/>
    <s v="Kolkata"/>
    <s v="SC_KOL_5"/>
    <x v="2"/>
    <s v="Panamera"/>
    <s v="Sedan"/>
    <x v="0"/>
    <x v="1"/>
    <x v="2"/>
    <x v="0"/>
    <n v="7"/>
    <n v="7"/>
    <x v="0"/>
    <x v="1"/>
    <n v="403621"/>
    <n v="267935"/>
    <n v="135686"/>
    <x v="2"/>
    <n v="403621"/>
    <n v="0"/>
    <n v="0"/>
    <n v="1"/>
    <n v="1"/>
    <s v="No"/>
    <x v="1"/>
  </r>
  <r>
    <n v="22874"/>
    <d v="2024-01-23T00:00:00"/>
    <x v="3"/>
    <s v="Ahmedabad"/>
    <s v="SC_AHM_4"/>
    <x v="1"/>
    <s v="911"/>
    <s v="Coupe"/>
    <x v="1"/>
    <x v="1"/>
    <x v="2"/>
    <x v="1"/>
    <n v="13"/>
    <n v="7"/>
    <x v="1"/>
    <x v="1"/>
    <n v="363439"/>
    <n v="193329"/>
    <n v="170110"/>
    <x v="2"/>
    <n v="0"/>
    <n v="0"/>
    <n v="1"/>
    <n v="0"/>
    <n v="1"/>
    <s v="Yes"/>
    <x v="1"/>
  </r>
  <r>
    <n v="22875"/>
    <d v="2024-05-21T00:00:00"/>
    <x v="1"/>
    <s v="Bhubaneswar"/>
    <s v="SC_BHU_4"/>
    <x v="0"/>
    <s v="Taycan"/>
    <s v="Sedan"/>
    <x v="0"/>
    <x v="0"/>
    <x v="2"/>
    <x v="0"/>
    <n v="18"/>
    <n v="7"/>
    <x v="1"/>
    <x v="1"/>
    <n v="511632"/>
    <n v="412806"/>
    <n v="98826"/>
    <x v="1"/>
    <n v="0"/>
    <n v="0"/>
    <n v="1"/>
    <n v="0"/>
    <n v="1"/>
    <s v="Yes"/>
    <x v="0"/>
  </r>
  <r>
    <n v="22876"/>
    <d v="2024-03-15T00:00:00"/>
    <x v="2"/>
    <s v="Gurugram"/>
    <s v="SC_GUR_1"/>
    <x v="0"/>
    <s v="Cayenne"/>
    <s v="SUV"/>
    <x v="0"/>
    <x v="0"/>
    <x v="2"/>
    <x v="1"/>
    <n v="20"/>
    <n v="7"/>
    <x v="1"/>
    <x v="1"/>
    <n v="508492"/>
    <n v="390927"/>
    <n v="117565"/>
    <x v="0"/>
    <n v="0"/>
    <n v="0"/>
    <n v="1"/>
    <n v="0"/>
    <n v="1"/>
    <s v="Yes"/>
    <x v="0"/>
  </r>
  <r>
    <n v="22877"/>
    <d v="2024-01-06T00:00:00"/>
    <x v="1"/>
    <s v="Kolkata"/>
    <s v="SC_KOL_5"/>
    <x v="2"/>
    <s v="Veyron"/>
    <s v="Hypercar"/>
    <x v="0"/>
    <x v="3"/>
    <x v="1"/>
    <x v="0"/>
    <n v="3"/>
    <n v="7"/>
    <x v="1"/>
    <x v="1"/>
    <n v="503377"/>
    <n v="332217"/>
    <n v="171160"/>
    <x v="4"/>
    <n v="0"/>
    <n v="0"/>
    <n v="1"/>
    <n v="0"/>
    <n v="1"/>
    <s v="No"/>
    <x v="2"/>
  </r>
  <r>
    <n v="22878"/>
    <d v="2024-06-27T00:00:00"/>
    <x v="0"/>
    <s v="Bengaluru"/>
    <s v="SC_BEN_4"/>
    <x v="1"/>
    <s v="Taycan"/>
    <s v="Sedan"/>
    <x v="1"/>
    <x v="1"/>
    <x v="0"/>
    <x v="1"/>
    <n v="21"/>
    <n v="7"/>
    <x v="0"/>
    <x v="1"/>
    <n v="413652"/>
    <n v="263430"/>
    <n v="150222"/>
    <x v="0"/>
    <n v="413652"/>
    <n v="0"/>
    <n v="0"/>
    <n v="1"/>
    <n v="1"/>
    <s v="Yes"/>
    <x v="0"/>
  </r>
  <r>
    <n v="22879"/>
    <d v="2024-01-13T00:00:00"/>
    <x v="3"/>
    <s v="Ahmedabad"/>
    <s v="SC_AHM_5"/>
    <x v="2"/>
    <s v="Taycan"/>
    <s v="Sedan"/>
    <x v="1"/>
    <x v="4"/>
    <x v="2"/>
    <x v="0"/>
    <n v="8"/>
    <n v="7"/>
    <x v="0"/>
    <x v="0"/>
    <n v="199612"/>
    <n v="160486"/>
    <n v="39126"/>
    <x v="2"/>
    <n v="0"/>
    <n v="1"/>
    <n v="0"/>
    <n v="1"/>
    <n v="1"/>
    <s v="Yes"/>
    <x v="1"/>
  </r>
  <r>
    <n v="22880"/>
    <d v="2024-04-25T00:00:00"/>
    <x v="3"/>
    <s v="Ahmedabad"/>
    <s v="SC_AHM_4"/>
    <x v="2"/>
    <s v="911"/>
    <s v="Coupe"/>
    <x v="0"/>
    <x v="1"/>
    <x v="0"/>
    <x v="0"/>
    <n v="18"/>
    <n v="7"/>
    <x v="0"/>
    <x v="0"/>
    <n v="471983"/>
    <n v="334358"/>
    <n v="137625"/>
    <x v="0"/>
    <n v="0"/>
    <n v="1"/>
    <n v="0"/>
    <n v="1"/>
    <n v="1"/>
    <s v="Yes"/>
    <x v="0"/>
  </r>
  <r>
    <n v="22881"/>
    <d v="2024-04-02T00:00:00"/>
    <x v="3"/>
    <s v="Ahmedabad"/>
    <s v="SC_AHM_1"/>
    <x v="2"/>
    <s v="Panamera"/>
    <s v="Sedan"/>
    <x v="0"/>
    <x v="0"/>
    <x v="1"/>
    <x v="0"/>
    <n v="13"/>
    <n v="7"/>
    <x v="1"/>
    <x v="1"/>
    <n v="96778"/>
    <n v="75757"/>
    <n v="21021"/>
    <x v="2"/>
    <n v="0"/>
    <n v="0"/>
    <n v="1"/>
    <n v="0"/>
    <n v="1"/>
    <s v="Yes"/>
    <x v="1"/>
  </r>
  <r>
    <n v="22882"/>
    <d v="2024-05-23T00:00:00"/>
    <x v="1"/>
    <s v="Patna"/>
    <s v="SC_PAT_5"/>
    <x v="0"/>
    <s v="Veyron"/>
    <s v="Hypercar"/>
    <x v="0"/>
    <x v="0"/>
    <x v="0"/>
    <x v="0"/>
    <n v="10"/>
    <n v="7"/>
    <x v="0"/>
    <x v="1"/>
    <n v="327941"/>
    <n v="274077"/>
    <n v="53864"/>
    <x v="1"/>
    <n v="327941"/>
    <n v="0"/>
    <n v="0"/>
    <n v="1"/>
    <n v="1"/>
    <s v="Yes"/>
    <x v="0"/>
  </r>
  <r>
    <n v="22883"/>
    <d v="2024-04-25T00:00:00"/>
    <x v="3"/>
    <s v="Mumbai"/>
    <s v="SC_MUM_5"/>
    <x v="1"/>
    <s v="Macan"/>
    <s v="SUV"/>
    <x v="1"/>
    <x v="2"/>
    <x v="2"/>
    <x v="0"/>
    <n v="12"/>
    <n v="7"/>
    <x v="0"/>
    <x v="0"/>
    <n v="199424"/>
    <n v="127716"/>
    <n v="71708"/>
    <x v="1"/>
    <n v="0"/>
    <n v="1"/>
    <n v="0"/>
    <n v="1"/>
    <n v="1"/>
    <s v="Yes"/>
    <x v="0"/>
  </r>
  <r>
    <n v="22884"/>
    <d v="2024-05-18T00:00:00"/>
    <x v="0"/>
    <s v="Chennai"/>
    <s v="SC_CHE_2"/>
    <x v="0"/>
    <s v="Cayenne"/>
    <s v="SUV"/>
    <x v="0"/>
    <x v="3"/>
    <x v="1"/>
    <x v="0"/>
    <n v="5"/>
    <n v="7"/>
    <x v="1"/>
    <x v="0"/>
    <n v="566533"/>
    <n v="421389"/>
    <n v="145144"/>
    <x v="3"/>
    <n v="0"/>
    <n v="1"/>
    <n v="1"/>
    <n v="0"/>
    <n v="1"/>
    <s v="No"/>
    <x v="2"/>
  </r>
  <r>
    <n v="22885"/>
    <d v="2024-02-12T00:00:00"/>
    <x v="1"/>
    <s v="Patna"/>
    <s v="SC_PAT_5"/>
    <x v="0"/>
    <s v="Taycan"/>
    <s v="Sedan"/>
    <x v="1"/>
    <x v="0"/>
    <x v="1"/>
    <x v="1"/>
    <n v="7"/>
    <n v="7"/>
    <x v="0"/>
    <x v="1"/>
    <n v="388821"/>
    <n v="328706"/>
    <n v="60115"/>
    <x v="2"/>
    <n v="388821"/>
    <n v="0"/>
    <n v="0"/>
    <n v="1"/>
    <n v="1"/>
    <s v="No"/>
    <x v="1"/>
  </r>
  <r>
    <n v="22886"/>
    <d v="2024-01-19T00:00:00"/>
    <x v="3"/>
    <s v="Mumbai"/>
    <s v="SC_MUM_5"/>
    <x v="2"/>
    <s v="Cayenne"/>
    <s v="SUV"/>
    <x v="1"/>
    <x v="1"/>
    <x v="2"/>
    <x v="0"/>
    <n v="21"/>
    <n v="7"/>
    <x v="1"/>
    <x v="0"/>
    <n v="136542"/>
    <n v="91778"/>
    <n v="44764"/>
    <x v="0"/>
    <n v="0"/>
    <n v="1"/>
    <n v="1"/>
    <n v="0"/>
    <n v="1"/>
    <s v="Yes"/>
    <x v="0"/>
  </r>
  <r>
    <n v="22887"/>
    <d v="2024-04-02T00:00:00"/>
    <x v="2"/>
    <s v="Delhi"/>
    <s v="SC_DEL_5"/>
    <x v="1"/>
    <s v="Panamera"/>
    <s v="Sedan"/>
    <x v="1"/>
    <x v="2"/>
    <x v="1"/>
    <x v="1"/>
    <n v="17"/>
    <n v="7"/>
    <x v="1"/>
    <x v="1"/>
    <n v="361689"/>
    <n v="233855"/>
    <n v="127834"/>
    <x v="1"/>
    <n v="0"/>
    <n v="0"/>
    <n v="1"/>
    <n v="0"/>
    <n v="1"/>
    <s v="Yes"/>
    <x v="0"/>
  </r>
  <r>
    <n v="22888"/>
    <d v="2024-01-25T00:00:00"/>
    <x v="1"/>
    <s v="Patna"/>
    <s v="SC_PAT_2"/>
    <x v="1"/>
    <s v="911"/>
    <s v="Coupe"/>
    <x v="1"/>
    <x v="1"/>
    <x v="0"/>
    <x v="1"/>
    <n v="20"/>
    <n v="7"/>
    <x v="0"/>
    <x v="1"/>
    <n v="460640"/>
    <n v="362566"/>
    <n v="98074"/>
    <x v="0"/>
    <n v="460640"/>
    <n v="0"/>
    <n v="0"/>
    <n v="1"/>
    <n v="1"/>
    <s v="Yes"/>
    <x v="0"/>
  </r>
  <r>
    <n v="22889"/>
    <d v="2024-02-01T00:00:00"/>
    <x v="2"/>
    <s v="Noida"/>
    <s v="SC_NOI_1"/>
    <x v="1"/>
    <s v="Panamera"/>
    <s v="Sedan"/>
    <x v="1"/>
    <x v="2"/>
    <x v="2"/>
    <x v="0"/>
    <n v="21"/>
    <n v="7"/>
    <x v="0"/>
    <x v="0"/>
    <n v="586721"/>
    <n v="390418"/>
    <n v="196303"/>
    <x v="0"/>
    <n v="0"/>
    <n v="1"/>
    <n v="0"/>
    <n v="1"/>
    <n v="1"/>
    <s v="Yes"/>
    <x v="0"/>
  </r>
  <r>
    <n v="22890"/>
    <d v="2024-04-25T00:00:00"/>
    <x v="2"/>
    <s v="Noida"/>
    <s v="SC_NOI_4"/>
    <x v="2"/>
    <s v="Cayenne"/>
    <s v="SUV"/>
    <x v="1"/>
    <x v="3"/>
    <x v="1"/>
    <x v="0"/>
    <n v="14"/>
    <n v="7"/>
    <x v="1"/>
    <x v="0"/>
    <n v="561075"/>
    <n v="369196"/>
    <n v="191879"/>
    <x v="2"/>
    <n v="0"/>
    <n v="1"/>
    <n v="1"/>
    <n v="0"/>
    <n v="1"/>
    <s v="Yes"/>
    <x v="1"/>
  </r>
  <r>
    <n v="22891"/>
    <d v="2024-04-22T00:00:00"/>
    <x v="0"/>
    <s v="Hyderabad"/>
    <s v="SC_HYD_5"/>
    <x v="0"/>
    <s v="Veyron"/>
    <s v="Hypercar"/>
    <x v="1"/>
    <x v="1"/>
    <x v="2"/>
    <x v="0"/>
    <n v="21"/>
    <n v="7"/>
    <x v="1"/>
    <x v="0"/>
    <n v="134861"/>
    <n v="73119"/>
    <n v="61742"/>
    <x v="0"/>
    <n v="0"/>
    <n v="1"/>
    <n v="1"/>
    <n v="0"/>
    <n v="1"/>
    <s v="Yes"/>
    <x v="0"/>
  </r>
  <r>
    <n v="22892"/>
    <d v="2024-02-27T00:00:00"/>
    <x v="1"/>
    <s v="Patna"/>
    <s v="SC_PAT_1"/>
    <x v="1"/>
    <s v="Chiron"/>
    <s v="Hypercar"/>
    <x v="0"/>
    <x v="1"/>
    <x v="1"/>
    <x v="0"/>
    <n v="16"/>
    <n v="7"/>
    <x v="1"/>
    <x v="0"/>
    <n v="285884"/>
    <n v="195296"/>
    <n v="90588"/>
    <x v="1"/>
    <n v="0"/>
    <n v="1"/>
    <n v="1"/>
    <n v="0"/>
    <n v="1"/>
    <s v="Yes"/>
    <x v="0"/>
  </r>
  <r>
    <n v="22893"/>
    <d v="2024-02-29T00:00:00"/>
    <x v="2"/>
    <s v="Delhi"/>
    <s v="SC_DEL_3"/>
    <x v="0"/>
    <s v="Chiron"/>
    <s v="Hypercar"/>
    <x v="0"/>
    <x v="1"/>
    <x v="0"/>
    <x v="1"/>
    <n v="13"/>
    <n v="7"/>
    <x v="0"/>
    <x v="1"/>
    <n v="171673"/>
    <n v="117700"/>
    <n v="53973"/>
    <x v="1"/>
    <n v="171673"/>
    <n v="0"/>
    <n v="0"/>
    <n v="1"/>
    <n v="1"/>
    <s v="Yes"/>
    <x v="0"/>
  </r>
  <r>
    <n v="22894"/>
    <d v="2024-05-27T00:00:00"/>
    <x v="3"/>
    <s v="Mumbai"/>
    <s v="SC_MUM_3"/>
    <x v="0"/>
    <s v="911"/>
    <s v="Coupe"/>
    <x v="0"/>
    <x v="2"/>
    <x v="0"/>
    <x v="1"/>
    <n v="10"/>
    <n v="7"/>
    <x v="0"/>
    <x v="0"/>
    <n v="523770"/>
    <n v="283754"/>
    <n v="240016"/>
    <x v="1"/>
    <n v="0"/>
    <n v="1"/>
    <n v="0"/>
    <n v="1"/>
    <n v="1"/>
    <s v="Yes"/>
    <x v="0"/>
  </r>
  <r>
    <n v="22895"/>
    <d v="2024-02-27T00:00:00"/>
    <x v="0"/>
    <s v="Bengaluru"/>
    <s v="SC_BEN_3"/>
    <x v="2"/>
    <s v="Macan"/>
    <s v="SUV"/>
    <x v="0"/>
    <x v="4"/>
    <x v="0"/>
    <x v="0"/>
    <n v="13"/>
    <n v="7"/>
    <x v="0"/>
    <x v="1"/>
    <n v="470387"/>
    <n v="363180"/>
    <n v="107207"/>
    <x v="1"/>
    <n v="470387"/>
    <n v="0"/>
    <n v="0"/>
    <n v="1"/>
    <n v="1"/>
    <s v="Yes"/>
    <x v="0"/>
  </r>
  <r>
    <n v="22896"/>
    <d v="2024-02-28T00:00:00"/>
    <x v="1"/>
    <s v="Kolkata"/>
    <s v="SC_KOL_4"/>
    <x v="2"/>
    <s v="Chiron"/>
    <s v="Hypercar"/>
    <x v="1"/>
    <x v="1"/>
    <x v="2"/>
    <x v="0"/>
    <n v="12"/>
    <n v="7"/>
    <x v="1"/>
    <x v="1"/>
    <n v="491568"/>
    <n v="327185"/>
    <n v="164383"/>
    <x v="2"/>
    <n v="0"/>
    <n v="0"/>
    <n v="1"/>
    <n v="0"/>
    <n v="1"/>
    <s v="Yes"/>
    <x v="1"/>
  </r>
  <r>
    <n v="22897"/>
    <d v="2024-01-30T00:00:00"/>
    <x v="1"/>
    <s v="Kolkata"/>
    <s v="SC_KOL_1"/>
    <x v="2"/>
    <s v="Panamera"/>
    <s v="Sedan"/>
    <x v="1"/>
    <x v="4"/>
    <x v="1"/>
    <x v="1"/>
    <n v="24"/>
    <n v="7"/>
    <x v="1"/>
    <x v="1"/>
    <n v="301963"/>
    <n v="159365"/>
    <n v="142598"/>
    <x v="0"/>
    <n v="0"/>
    <n v="0"/>
    <n v="1"/>
    <n v="0"/>
    <n v="1"/>
    <s v="Yes"/>
    <x v="0"/>
  </r>
  <r>
    <n v="22898"/>
    <d v="2024-06-11T00:00:00"/>
    <x v="2"/>
    <s v="Delhi"/>
    <s v="SC_DEL_3"/>
    <x v="2"/>
    <s v="Veyron"/>
    <s v="Hypercar"/>
    <x v="1"/>
    <x v="0"/>
    <x v="0"/>
    <x v="1"/>
    <n v="16"/>
    <n v="7"/>
    <x v="0"/>
    <x v="1"/>
    <n v="105751"/>
    <n v="61543"/>
    <n v="44208"/>
    <x v="0"/>
    <n v="105751"/>
    <n v="0"/>
    <n v="0"/>
    <n v="1"/>
    <n v="1"/>
    <s v="Yes"/>
    <x v="0"/>
  </r>
  <r>
    <n v="22899"/>
    <d v="2024-01-11T00:00:00"/>
    <x v="2"/>
    <s v="Delhi"/>
    <s v="SC_DEL_3"/>
    <x v="2"/>
    <s v="Panamera"/>
    <s v="Sedan"/>
    <x v="0"/>
    <x v="3"/>
    <x v="1"/>
    <x v="0"/>
    <n v="23"/>
    <n v="7"/>
    <x v="0"/>
    <x v="1"/>
    <n v="134229"/>
    <n v="87165"/>
    <n v="47064"/>
    <x v="0"/>
    <n v="134229"/>
    <n v="0"/>
    <n v="0"/>
    <n v="1"/>
    <n v="1"/>
    <s v="Yes"/>
    <x v="0"/>
  </r>
  <r>
    <n v="22900"/>
    <d v="2024-06-16T00:00:00"/>
    <x v="3"/>
    <s v="Ahmedabad"/>
    <s v="SC_AHM_1"/>
    <x v="0"/>
    <s v="911"/>
    <s v="Coupe"/>
    <x v="1"/>
    <x v="4"/>
    <x v="2"/>
    <x v="0"/>
    <n v="25"/>
    <n v="7"/>
    <x v="1"/>
    <x v="0"/>
    <n v="561591"/>
    <n v="306516"/>
    <n v="255075"/>
    <x v="0"/>
    <n v="0"/>
    <n v="1"/>
    <n v="1"/>
    <n v="0"/>
    <n v="1"/>
    <s v="Yes"/>
    <x v="0"/>
  </r>
  <r>
    <n v="22901"/>
    <d v="2024-05-14T00:00:00"/>
    <x v="1"/>
    <s v="Patna"/>
    <s v="SC_PAT_4"/>
    <x v="1"/>
    <s v="Cayenne"/>
    <s v="SUV"/>
    <x v="0"/>
    <x v="2"/>
    <x v="2"/>
    <x v="0"/>
    <n v="13"/>
    <n v="7"/>
    <x v="1"/>
    <x v="0"/>
    <n v="538106"/>
    <n v="421582"/>
    <n v="116524"/>
    <x v="2"/>
    <n v="0"/>
    <n v="1"/>
    <n v="1"/>
    <n v="0"/>
    <n v="1"/>
    <s v="Yes"/>
    <x v="1"/>
  </r>
  <r>
    <n v="22902"/>
    <d v="2024-06-29T00:00:00"/>
    <x v="3"/>
    <s v="Pune"/>
    <s v="SC_PUN_4"/>
    <x v="0"/>
    <s v="Macan"/>
    <s v="SUV"/>
    <x v="0"/>
    <x v="4"/>
    <x v="0"/>
    <x v="1"/>
    <n v="16"/>
    <n v="7"/>
    <x v="0"/>
    <x v="0"/>
    <n v="217281"/>
    <n v="113126"/>
    <n v="104155"/>
    <x v="0"/>
    <n v="0"/>
    <n v="1"/>
    <n v="0"/>
    <n v="1"/>
    <n v="1"/>
    <s v="Yes"/>
    <x v="0"/>
  </r>
  <r>
    <n v="22903"/>
    <d v="2024-01-03T00:00:00"/>
    <x v="2"/>
    <s v="Noida"/>
    <s v="SC_NOI_1"/>
    <x v="1"/>
    <s v="Panamera"/>
    <s v="Sedan"/>
    <x v="1"/>
    <x v="1"/>
    <x v="2"/>
    <x v="0"/>
    <n v="24"/>
    <n v="7"/>
    <x v="1"/>
    <x v="1"/>
    <n v="481308"/>
    <n v="297977"/>
    <n v="183331"/>
    <x v="0"/>
    <n v="0"/>
    <n v="0"/>
    <n v="1"/>
    <n v="0"/>
    <n v="1"/>
    <s v="Yes"/>
    <x v="0"/>
  </r>
  <r>
    <n v="22904"/>
    <d v="2024-03-26T00:00:00"/>
    <x v="0"/>
    <s v="Hyderabad"/>
    <s v="SC_HYD_5"/>
    <x v="1"/>
    <s v="Veyron"/>
    <s v="Hypercar"/>
    <x v="1"/>
    <x v="1"/>
    <x v="2"/>
    <x v="1"/>
    <n v="15"/>
    <n v="7"/>
    <x v="1"/>
    <x v="1"/>
    <n v="339378"/>
    <n v="208393"/>
    <n v="130985"/>
    <x v="1"/>
    <n v="0"/>
    <n v="0"/>
    <n v="1"/>
    <n v="0"/>
    <n v="1"/>
    <s v="Yes"/>
    <x v="0"/>
  </r>
  <r>
    <n v="22905"/>
    <d v="2024-02-09T00:00:00"/>
    <x v="3"/>
    <s v="Pune"/>
    <s v="SC_PUN_1"/>
    <x v="1"/>
    <s v="911"/>
    <s v="Coupe"/>
    <x v="1"/>
    <x v="2"/>
    <x v="2"/>
    <x v="0"/>
    <n v="3"/>
    <n v="7"/>
    <x v="0"/>
    <x v="1"/>
    <n v="474569"/>
    <n v="245084"/>
    <n v="229485"/>
    <x v="3"/>
    <n v="474569"/>
    <n v="0"/>
    <n v="0"/>
    <n v="1"/>
    <n v="1"/>
    <s v="No"/>
    <x v="2"/>
  </r>
  <r>
    <n v="22906"/>
    <d v="2024-03-22T00:00:00"/>
    <x v="1"/>
    <s v="Kolkata"/>
    <s v="SC_KOL_2"/>
    <x v="1"/>
    <s v="Macan"/>
    <s v="SUV"/>
    <x v="1"/>
    <x v="0"/>
    <x v="0"/>
    <x v="1"/>
    <n v="11"/>
    <n v="7"/>
    <x v="0"/>
    <x v="0"/>
    <n v="348921"/>
    <n v="215692"/>
    <n v="133229"/>
    <x v="1"/>
    <n v="0"/>
    <n v="1"/>
    <n v="0"/>
    <n v="1"/>
    <n v="1"/>
    <s v="Yes"/>
    <x v="0"/>
  </r>
  <r>
    <n v="22907"/>
    <d v="2024-02-29T00:00:00"/>
    <x v="0"/>
    <s v="Chennai"/>
    <s v="SC_CHE_5"/>
    <x v="1"/>
    <s v="Panamera"/>
    <s v="Sedan"/>
    <x v="0"/>
    <x v="4"/>
    <x v="0"/>
    <x v="0"/>
    <n v="25"/>
    <n v="7"/>
    <x v="0"/>
    <x v="0"/>
    <n v="112710"/>
    <n v="72923"/>
    <n v="39787"/>
    <x v="0"/>
    <n v="0"/>
    <n v="1"/>
    <n v="0"/>
    <n v="1"/>
    <n v="1"/>
    <s v="Yes"/>
    <x v="0"/>
  </r>
  <r>
    <n v="22908"/>
    <d v="2024-01-31T00:00:00"/>
    <x v="0"/>
    <s v="Hyderabad"/>
    <s v="SC_HYD_5"/>
    <x v="2"/>
    <s v="Cayenne"/>
    <s v="SUV"/>
    <x v="0"/>
    <x v="3"/>
    <x v="1"/>
    <x v="0"/>
    <n v="3"/>
    <n v="7"/>
    <x v="1"/>
    <x v="0"/>
    <n v="483542"/>
    <n v="298069"/>
    <n v="185473"/>
    <x v="4"/>
    <n v="0"/>
    <n v="1"/>
    <n v="1"/>
    <n v="0"/>
    <n v="1"/>
    <s v="No"/>
    <x v="2"/>
  </r>
  <r>
    <n v="22909"/>
    <d v="2024-02-24T00:00:00"/>
    <x v="1"/>
    <s v="Patna"/>
    <s v="SC_PAT_5"/>
    <x v="0"/>
    <s v="Macan"/>
    <s v="SUV"/>
    <x v="0"/>
    <x v="2"/>
    <x v="0"/>
    <x v="0"/>
    <n v="8"/>
    <n v="7"/>
    <x v="1"/>
    <x v="1"/>
    <n v="273810"/>
    <n v="232427"/>
    <n v="41383"/>
    <x v="3"/>
    <n v="0"/>
    <n v="0"/>
    <n v="1"/>
    <n v="0"/>
    <n v="1"/>
    <s v="Yes"/>
    <x v="2"/>
  </r>
  <r>
    <n v="22910"/>
    <d v="2024-05-24T00:00:00"/>
    <x v="0"/>
    <s v="Bengaluru"/>
    <s v="SC_BEN_2"/>
    <x v="2"/>
    <s v="Panamera"/>
    <s v="Sedan"/>
    <x v="1"/>
    <x v="2"/>
    <x v="2"/>
    <x v="1"/>
    <n v="25"/>
    <n v="7"/>
    <x v="0"/>
    <x v="1"/>
    <n v="578202"/>
    <n v="487520"/>
    <n v="90682"/>
    <x v="0"/>
    <n v="578202"/>
    <n v="0"/>
    <n v="0"/>
    <n v="1"/>
    <n v="1"/>
    <s v="Yes"/>
    <x v="0"/>
  </r>
  <r>
    <n v="22911"/>
    <d v="2024-01-31T00:00:00"/>
    <x v="0"/>
    <s v="Bengaluru"/>
    <s v="SC_BEN_4"/>
    <x v="0"/>
    <s v="Chiron"/>
    <s v="Hypercar"/>
    <x v="0"/>
    <x v="4"/>
    <x v="0"/>
    <x v="1"/>
    <n v="24"/>
    <n v="7"/>
    <x v="0"/>
    <x v="1"/>
    <n v="209689"/>
    <n v="143533"/>
    <n v="66156"/>
    <x v="0"/>
    <n v="209689"/>
    <n v="0"/>
    <n v="0"/>
    <n v="1"/>
    <n v="1"/>
    <s v="Yes"/>
    <x v="0"/>
  </r>
  <r>
    <n v="22912"/>
    <d v="2024-05-06T00:00:00"/>
    <x v="3"/>
    <s v="Mumbai"/>
    <s v="SC_MUM_3"/>
    <x v="1"/>
    <s v="Chiron"/>
    <s v="Hypercar"/>
    <x v="1"/>
    <x v="0"/>
    <x v="1"/>
    <x v="1"/>
    <n v="3"/>
    <n v="7"/>
    <x v="0"/>
    <x v="1"/>
    <n v="182372"/>
    <n v="133877"/>
    <n v="48495"/>
    <x v="3"/>
    <n v="182372"/>
    <n v="0"/>
    <n v="0"/>
    <n v="1"/>
    <n v="1"/>
    <s v="No"/>
    <x v="2"/>
  </r>
  <r>
    <n v="22913"/>
    <d v="2024-01-19T00:00:00"/>
    <x v="1"/>
    <s v="Bhubaneswar"/>
    <s v="SC_BHU_3"/>
    <x v="0"/>
    <s v="Panamera"/>
    <s v="Sedan"/>
    <x v="0"/>
    <x v="4"/>
    <x v="0"/>
    <x v="0"/>
    <n v="4"/>
    <n v="7"/>
    <x v="0"/>
    <x v="0"/>
    <n v="500954"/>
    <n v="318085"/>
    <n v="182869"/>
    <x v="3"/>
    <n v="0"/>
    <n v="1"/>
    <n v="0"/>
    <n v="1"/>
    <n v="1"/>
    <s v="No"/>
    <x v="2"/>
  </r>
  <r>
    <n v="22914"/>
    <d v="2024-02-10T00:00:00"/>
    <x v="1"/>
    <s v="Bhubaneswar"/>
    <s v="SC_BHU_4"/>
    <x v="1"/>
    <s v="Cayenne"/>
    <s v="SUV"/>
    <x v="1"/>
    <x v="3"/>
    <x v="1"/>
    <x v="0"/>
    <n v="6"/>
    <n v="7"/>
    <x v="1"/>
    <x v="0"/>
    <n v="416573"/>
    <n v="293923"/>
    <n v="122650"/>
    <x v="3"/>
    <n v="0"/>
    <n v="1"/>
    <n v="1"/>
    <n v="0"/>
    <n v="1"/>
    <s v="No"/>
    <x v="2"/>
  </r>
  <r>
    <n v="22915"/>
    <d v="2024-02-18T00:00:00"/>
    <x v="0"/>
    <s v="Chennai"/>
    <s v="SC_CHE_1"/>
    <x v="2"/>
    <s v="Veyron"/>
    <s v="Hypercar"/>
    <x v="0"/>
    <x v="2"/>
    <x v="2"/>
    <x v="0"/>
    <n v="18"/>
    <n v="7"/>
    <x v="0"/>
    <x v="1"/>
    <n v="301426"/>
    <n v="241603"/>
    <n v="59823"/>
    <x v="0"/>
    <n v="301426"/>
    <n v="0"/>
    <n v="0"/>
    <n v="1"/>
    <n v="1"/>
    <s v="Yes"/>
    <x v="0"/>
  </r>
  <r>
    <n v="22916"/>
    <d v="2024-01-10T00:00:00"/>
    <x v="1"/>
    <s v="Patna"/>
    <s v="SC_PAT_2"/>
    <x v="1"/>
    <s v="Veyron"/>
    <s v="Hypercar"/>
    <x v="0"/>
    <x v="1"/>
    <x v="2"/>
    <x v="0"/>
    <n v="20"/>
    <n v="7"/>
    <x v="1"/>
    <x v="0"/>
    <n v="512928"/>
    <n v="267401"/>
    <n v="245527"/>
    <x v="0"/>
    <n v="0"/>
    <n v="1"/>
    <n v="1"/>
    <n v="0"/>
    <n v="1"/>
    <s v="Yes"/>
    <x v="0"/>
  </r>
  <r>
    <n v="22917"/>
    <d v="2024-06-28T00:00:00"/>
    <x v="2"/>
    <s v="Noida"/>
    <s v="SC_NOI_1"/>
    <x v="0"/>
    <s v="911"/>
    <s v="Coupe"/>
    <x v="0"/>
    <x v="3"/>
    <x v="0"/>
    <x v="1"/>
    <n v="24"/>
    <n v="7"/>
    <x v="0"/>
    <x v="0"/>
    <n v="307809"/>
    <n v="214819"/>
    <n v="92990"/>
    <x v="0"/>
    <n v="0"/>
    <n v="1"/>
    <n v="0"/>
    <n v="1"/>
    <n v="1"/>
    <s v="Yes"/>
    <x v="0"/>
  </r>
  <r>
    <n v="22918"/>
    <d v="2024-05-15T00:00:00"/>
    <x v="2"/>
    <s v="Delhi"/>
    <s v="SC_DEL_3"/>
    <x v="1"/>
    <s v="Taycan"/>
    <s v="Sedan"/>
    <x v="1"/>
    <x v="2"/>
    <x v="2"/>
    <x v="0"/>
    <n v="19"/>
    <n v="7"/>
    <x v="1"/>
    <x v="0"/>
    <n v="373480"/>
    <n v="274902"/>
    <n v="98578"/>
    <x v="1"/>
    <n v="0"/>
    <n v="1"/>
    <n v="1"/>
    <n v="0"/>
    <n v="1"/>
    <s v="Yes"/>
    <x v="0"/>
  </r>
  <r>
    <n v="22919"/>
    <d v="2024-03-09T00:00:00"/>
    <x v="3"/>
    <s v="Pune"/>
    <s v="SC_PUN_4"/>
    <x v="1"/>
    <s v="Veyron"/>
    <s v="Hypercar"/>
    <x v="0"/>
    <x v="0"/>
    <x v="2"/>
    <x v="0"/>
    <n v="21"/>
    <n v="7"/>
    <x v="0"/>
    <x v="1"/>
    <n v="251893"/>
    <n v="136670"/>
    <n v="115223"/>
    <x v="0"/>
    <n v="251893"/>
    <n v="0"/>
    <n v="0"/>
    <n v="1"/>
    <n v="1"/>
    <s v="Yes"/>
    <x v="0"/>
  </r>
  <r>
    <n v="22920"/>
    <d v="2024-04-07T00:00:00"/>
    <x v="0"/>
    <s v="Bengaluru"/>
    <s v="SC_BEN_1"/>
    <x v="2"/>
    <s v="Veyron"/>
    <s v="Hypercar"/>
    <x v="1"/>
    <x v="1"/>
    <x v="2"/>
    <x v="1"/>
    <n v="6"/>
    <n v="7"/>
    <x v="1"/>
    <x v="0"/>
    <n v="283868"/>
    <n v="167056"/>
    <n v="116812"/>
    <x v="3"/>
    <n v="0"/>
    <n v="1"/>
    <n v="1"/>
    <n v="0"/>
    <n v="1"/>
    <s v="No"/>
    <x v="2"/>
  </r>
  <r>
    <n v="22921"/>
    <d v="2024-03-22T00:00:00"/>
    <x v="1"/>
    <s v="Patna"/>
    <s v="SC_PAT_5"/>
    <x v="0"/>
    <s v="911"/>
    <s v="Coupe"/>
    <x v="1"/>
    <x v="0"/>
    <x v="0"/>
    <x v="0"/>
    <n v="2"/>
    <n v="7"/>
    <x v="0"/>
    <x v="1"/>
    <n v="393334"/>
    <n v="275171"/>
    <n v="118163"/>
    <x v="3"/>
    <n v="393334"/>
    <n v="0"/>
    <n v="0"/>
    <n v="1"/>
    <n v="1"/>
    <s v="No"/>
    <x v="2"/>
  </r>
  <r>
    <n v="22922"/>
    <d v="2024-05-20T00:00:00"/>
    <x v="3"/>
    <s v="Ahmedabad"/>
    <s v="SC_AHM_3"/>
    <x v="1"/>
    <s v="Taycan"/>
    <s v="Sedan"/>
    <x v="1"/>
    <x v="1"/>
    <x v="1"/>
    <x v="0"/>
    <n v="17"/>
    <n v="7"/>
    <x v="1"/>
    <x v="0"/>
    <n v="403205"/>
    <n v="319991"/>
    <n v="83214"/>
    <x v="1"/>
    <n v="0"/>
    <n v="1"/>
    <n v="1"/>
    <n v="0"/>
    <n v="1"/>
    <s v="Yes"/>
    <x v="0"/>
  </r>
  <r>
    <n v="22923"/>
    <d v="2024-03-29T00:00:00"/>
    <x v="3"/>
    <s v="Ahmedabad"/>
    <s v="SC_AHM_1"/>
    <x v="0"/>
    <s v="Chiron"/>
    <s v="Hypercar"/>
    <x v="1"/>
    <x v="4"/>
    <x v="1"/>
    <x v="1"/>
    <n v="6"/>
    <n v="7"/>
    <x v="0"/>
    <x v="0"/>
    <n v="597789"/>
    <n v="383746"/>
    <n v="214043"/>
    <x v="2"/>
    <n v="0"/>
    <n v="1"/>
    <n v="0"/>
    <n v="1"/>
    <n v="1"/>
    <s v="No"/>
    <x v="1"/>
  </r>
  <r>
    <n v="22924"/>
    <d v="2024-06-24T00:00:00"/>
    <x v="1"/>
    <s v="Kolkata"/>
    <s v="SC_KOL_2"/>
    <x v="0"/>
    <s v="Chiron"/>
    <s v="Hypercar"/>
    <x v="1"/>
    <x v="4"/>
    <x v="1"/>
    <x v="0"/>
    <n v="11"/>
    <n v="7"/>
    <x v="0"/>
    <x v="0"/>
    <n v="511456"/>
    <n v="294067"/>
    <n v="217389"/>
    <x v="1"/>
    <n v="0"/>
    <n v="1"/>
    <n v="0"/>
    <n v="1"/>
    <n v="1"/>
    <s v="Yes"/>
    <x v="0"/>
  </r>
  <r>
    <n v="22925"/>
    <d v="2024-03-07T00:00:00"/>
    <x v="2"/>
    <s v="Noida"/>
    <s v="SC_NOI_1"/>
    <x v="2"/>
    <s v="Macan"/>
    <s v="SUV"/>
    <x v="1"/>
    <x v="4"/>
    <x v="2"/>
    <x v="1"/>
    <n v="10"/>
    <n v="7"/>
    <x v="0"/>
    <x v="0"/>
    <n v="509471"/>
    <n v="328494"/>
    <n v="180977"/>
    <x v="1"/>
    <n v="0"/>
    <n v="1"/>
    <n v="0"/>
    <n v="1"/>
    <n v="1"/>
    <s v="Yes"/>
    <x v="0"/>
  </r>
  <r>
    <n v="22926"/>
    <d v="2024-06-09T00:00:00"/>
    <x v="3"/>
    <s v="Ahmedabad"/>
    <s v="SC_AHM_5"/>
    <x v="2"/>
    <s v="Chiron"/>
    <s v="Hypercar"/>
    <x v="1"/>
    <x v="4"/>
    <x v="1"/>
    <x v="0"/>
    <n v="3"/>
    <n v="7"/>
    <x v="1"/>
    <x v="0"/>
    <n v="207859"/>
    <n v="130414"/>
    <n v="77445"/>
    <x v="4"/>
    <n v="0"/>
    <n v="1"/>
    <n v="1"/>
    <n v="0"/>
    <n v="1"/>
    <s v="No"/>
    <x v="2"/>
  </r>
  <r>
    <n v="22927"/>
    <d v="2024-01-20T00:00:00"/>
    <x v="2"/>
    <s v="Delhi"/>
    <s v="SC_DEL_5"/>
    <x v="2"/>
    <s v="Chiron"/>
    <s v="Hypercar"/>
    <x v="0"/>
    <x v="3"/>
    <x v="2"/>
    <x v="1"/>
    <n v="12"/>
    <n v="7"/>
    <x v="0"/>
    <x v="0"/>
    <n v="315780"/>
    <n v="164584"/>
    <n v="151196"/>
    <x v="1"/>
    <n v="0"/>
    <n v="1"/>
    <n v="0"/>
    <n v="1"/>
    <n v="1"/>
    <s v="Yes"/>
    <x v="0"/>
  </r>
  <r>
    <n v="22928"/>
    <d v="2024-06-04T00:00:00"/>
    <x v="2"/>
    <s v="Gurugram"/>
    <s v="SC_GUR_1"/>
    <x v="2"/>
    <s v="911"/>
    <s v="Coupe"/>
    <x v="1"/>
    <x v="2"/>
    <x v="2"/>
    <x v="0"/>
    <n v="9"/>
    <n v="7"/>
    <x v="0"/>
    <x v="0"/>
    <n v="580492"/>
    <n v="475834"/>
    <n v="104658"/>
    <x v="2"/>
    <n v="0"/>
    <n v="1"/>
    <n v="0"/>
    <n v="1"/>
    <n v="1"/>
    <s v="Yes"/>
    <x v="1"/>
  </r>
  <r>
    <n v="22929"/>
    <d v="2024-03-24T00:00:00"/>
    <x v="1"/>
    <s v="Patna"/>
    <s v="SC_PAT_2"/>
    <x v="1"/>
    <s v="Cayenne"/>
    <s v="SUV"/>
    <x v="0"/>
    <x v="3"/>
    <x v="2"/>
    <x v="0"/>
    <n v="15"/>
    <n v="7"/>
    <x v="0"/>
    <x v="0"/>
    <n v="367348"/>
    <n v="309613"/>
    <n v="57735"/>
    <x v="0"/>
    <n v="0"/>
    <n v="1"/>
    <n v="0"/>
    <n v="1"/>
    <n v="1"/>
    <s v="Yes"/>
    <x v="0"/>
  </r>
  <r>
    <n v="22930"/>
    <d v="2024-01-06T00:00:00"/>
    <x v="0"/>
    <s v="Hyderabad"/>
    <s v="SC_HYD_1"/>
    <x v="0"/>
    <s v="Taycan"/>
    <s v="Sedan"/>
    <x v="0"/>
    <x v="4"/>
    <x v="2"/>
    <x v="1"/>
    <n v="25"/>
    <n v="7"/>
    <x v="1"/>
    <x v="0"/>
    <n v="304429"/>
    <n v="216301"/>
    <n v="88128"/>
    <x v="0"/>
    <n v="0"/>
    <n v="1"/>
    <n v="1"/>
    <n v="0"/>
    <n v="1"/>
    <s v="Yes"/>
    <x v="0"/>
  </r>
  <r>
    <n v="22931"/>
    <d v="2024-04-07T00:00:00"/>
    <x v="2"/>
    <s v="Noida"/>
    <s v="SC_NOI_5"/>
    <x v="0"/>
    <s v="911"/>
    <s v="Coupe"/>
    <x v="0"/>
    <x v="3"/>
    <x v="1"/>
    <x v="1"/>
    <n v="19"/>
    <n v="7"/>
    <x v="0"/>
    <x v="1"/>
    <n v="445352"/>
    <n v="239556"/>
    <n v="205796"/>
    <x v="0"/>
    <n v="445352"/>
    <n v="0"/>
    <n v="0"/>
    <n v="1"/>
    <n v="1"/>
    <s v="Yes"/>
    <x v="0"/>
  </r>
  <r>
    <n v="22932"/>
    <d v="2024-05-07T00:00:00"/>
    <x v="0"/>
    <s v="Hyderabad"/>
    <s v="SC_HYD_1"/>
    <x v="1"/>
    <s v="Macan"/>
    <s v="SUV"/>
    <x v="1"/>
    <x v="3"/>
    <x v="1"/>
    <x v="0"/>
    <n v="20"/>
    <n v="7"/>
    <x v="1"/>
    <x v="0"/>
    <n v="379039"/>
    <n v="196471"/>
    <n v="182568"/>
    <x v="0"/>
    <n v="0"/>
    <n v="1"/>
    <n v="1"/>
    <n v="0"/>
    <n v="1"/>
    <s v="Yes"/>
    <x v="0"/>
  </r>
  <r>
    <n v="22933"/>
    <d v="2024-03-07T00:00:00"/>
    <x v="2"/>
    <s v="Gurugram"/>
    <s v="SC_GUR_2"/>
    <x v="0"/>
    <s v="Macan"/>
    <s v="SUV"/>
    <x v="0"/>
    <x v="3"/>
    <x v="0"/>
    <x v="0"/>
    <n v="3"/>
    <n v="7"/>
    <x v="1"/>
    <x v="1"/>
    <n v="359420"/>
    <n v="220378"/>
    <n v="139042"/>
    <x v="4"/>
    <n v="0"/>
    <n v="0"/>
    <n v="1"/>
    <n v="0"/>
    <n v="1"/>
    <s v="No"/>
    <x v="2"/>
  </r>
  <r>
    <n v="22934"/>
    <d v="2024-02-23T00:00:00"/>
    <x v="3"/>
    <s v="Ahmedabad"/>
    <s v="SC_AHM_2"/>
    <x v="0"/>
    <s v="Chiron"/>
    <s v="Hypercar"/>
    <x v="0"/>
    <x v="0"/>
    <x v="2"/>
    <x v="0"/>
    <n v="15"/>
    <n v="7"/>
    <x v="1"/>
    <x v="1"/>
    <n v="574900"/>
    <n v="291733"/>
    <n v="283167"/>
    <x v="1"/>
    <n v="0"/>
    <n v="0"/>
    <n v="1"/>
    <n v="0"/>
    <n v="1"/>
    <s v="Yes"/>
    <x v="0"/>
  </r>
  <r>
    <n v="22935"/>
    <d v="2024-01-28T00:00:00"/>
    <x v="2"/>
    <s v="Delhi"/>
    <s v="SC_DEL_3"/>
    <x v="2"/>
    <s v="Veyron"/>
    <s v="Hypercar"/>
    <x v="0"/>
    <x v="1"/>
    <x v="2"/>
    <x v="1"/>
    <n v="13"/>
    <n v="7"/>
    <x v="1"/>
    <x v="0"/>
    <n v="387174"/>
    <n v="297827"/>
    <n v="89347"/>
    <x v="2"/>
    <n v="0"/>
    <n v="1"/>
    <n v="1"/>
    <n v="0"/>
    <n v="1"/>
    <s v="Yes"/>
    <x v="1"/>
  </r>
  <r>
    <n v="22936"/>
    <d v="2024-06-23T00:00:00"/>
    <x v="2"/>
    <s v="Noida"/>
    <s v="SC_NOI_4"/>
    <x v="2"/>
    <s v="Veyron"/>
    <s v="Hypercar"/>
    <x v="0"/>
    <x v="1"/>
    <x v="2"/>
    <x v="0"/>
    <n v="10"/>
    <n v="7"/>
    <x v="0"/>
    <x v="1"/>
    <n v="366217"/>
    <n v="241595"/>
    <n v="124622"/>
    <x v="1"/>
    <n v="366217"/>
    <n v="0"/>
    <n v="0"/>
    <n v="1"/>
    <n v="1"/>
    <s v="Yes"/>
    <x v="0"/>
  </r>
  <r>
    <n v="22937"/>
    <d v="2024-03-10T00:00:00"/>
    <x v="1"/>
    <s v="Patna"/>
    <s v="SC_PAT_3"/>
    <x v="0"/>
    <s v="Macan"/>
    <s v="SUV"/>
    <x v="1"/>
    <x v="4"/>
    <x v="0"/>
    <x v="1"/>
    <n v="19"/>
    <n v="7"/>
    <x v="0"/>
    <x v="0"/>
    <n v="215320"/>
    <n v="175257"/>
    <n v="40063"/>
    <x v="0"/>
    <n v="0"/>
    <n v="1"/>
    <n v="0"/>
    <n v="1"/>
    <n v="1"/>
    <s v="Yes"/>
    <x v="0"/>
  </r>
  <r>
    <n v="22938"/>
    <d v="2024-01-20T00:00:00"/>
    <x v="0"/>
    <s v="Hyderabad"/>
    <s v="SC_HYD_3"/>
    <x v="2"/>
    <s v="911"/>
    <s v="Coupe"/>
    <x v="1"/>
    <x v="1"/>
    <x v="2"/>
    <x v="1"/>
    <n v="23"/>
    <n v="7"/>
    <x v="1"/>
    <x v="1"/>
    <n v="177762"/>
    <n v="96071"/>
    <n v="81691"/>
    <x v="0"/>
    <n v="0"/>
    <n v="0"/>
    <n v="1"/>
    <n v="0"/>
    <n v="1"/>
    <s v="Yes"/>
    <x v="0"/>
  </r>
  <r>
    <n v="22939"/>
    <d v="2024-02-05T00:00:00"/>
    <x v="2"/>
    <s v="Delhi"/>
    <s v="SC_DEL_2"/>
    <x v="0"/>
    <s v="Chiron"/>
    <s v="Hypercar"/>
    <x v="1"/>
    <x v="3"/>
    <x v="1"/>
    <x v="0"/>
    <n v="2"/>
    <n v="7"/>
    <x v="0"/>
    <x v="1"/>
    <n v="421039"/>
    <n v="244326"/>
    <n v="176713"/>
    <x v="3"/>
    <n v="421039"/>
    <n v="0"/>
    <n v="0"/>
    <n v="1"/>
    <n v="1"/>
    <s v="No"/>
    <x v="2"/>
  </r>
  <r>
    <n v="22940"/>
    <d v="2024-03-07T00:00:00"/>
    <x v="0"/>
    <s v="Bengaluru"/>
    <s v="SC_BEN_2"/>
    <x v="1"/>
    <s v="Veyron"/>
    <s v="Hypercar"/>
    <x v="1"/>
    <x v="2"/>
    <x v="0"/>
    <x v="0"/>
    <n v="11"/>
    <n v="7"/>
    <x v="0"/>
    <x v="1"/>
    <n v="518580"/>
    <n v="425775"/>
    <n v="92805"/>
    <x v="1"/>
    <n v="518580"/>
    <n v="0"/>
    <n v="0"/>
    <n v="1"/>
    <n v="1"/>
    <s v="Yes"/>
    <x v="0"/>
  </r>
  <r>
    <n v="22941"/>
    <d v="2024-04-30T00:00:00"/>
    <x v="2"/>
    <s v="Delhi"/>
    <s v="SC_DEL_2"/>
    <x v="0"/>
    <s v="911"/>
    <s v="Coupe"/>
    <x v="0"/>
    <x v="0"/>
    <x v="2"/>
    <x v="0"/>
    <n v="8"/>
    <n v="7"/>
    <x v="1"/>
    <x v="1"/>
    <n v="285821"/>
    <n v="194140"/>
    <n v="91681"/>
    <x v="3"/>
    <n v="0"/>
    <n v="0"/>
    <n v="1"/>
    <n v="0"/>
    <n v="1"/>
    <s v="Yes"/>
    <x v="2"/>
  </r>
  <r>
    <n v="22942"/>
    <d v="2024-03-31T00:00:00"/>
    <x v="3"/>
    <s v="Pune"/>
    <s v="SC_PUN_2"/>
    <x v="0"/>
    <s v="Chiron"/>
    <s v="Hypercar"/>
    <x v="0"/>
    <x v="2"/>
    <x v="2"/>
    <x v="0"/>
    <n v="7"/>
    <n v="7"/>
    <x v="0"/>
    <x v="0"/>
    <n v="327870"/>
    <n v="191486"/>
    <n v="136384"/>
    <x v="2"/>
    <n v="0"/>
    <n v="1"/>
    <n v="0"/>
    <n v="1"/>
    <n v="1"/>
    <s v="No"/>
    <x v="1"/>
  </r>
  <r>
    <n v="22943"/>
    <d v="2024-04-05T00:00:00"/>
    <x v="0"/>
    <s v="Chennai"/>
    <s v="SC_CHE_1"/>
    <x v="1"/>
    <s v="Cayenne"/>
    <s v="SUV"/>
    <x v="0"/>
    <x v="1"/>
    <x v="0"/>
    <x v="0"/>
    <n v="12"/>
    <n v="7"/>
    <x v="0"/>
    <x v="1"/>
    <n v="230660"/>
    <n v="131869"/>
    <n v="98791"/>
    <x v="1"/>
    <n v="230660"/>
    <n v="0"/>
    <n v="0"/>
    <n v="1"/>
    <n v="1"/>
    <s v="Yes"/>
    <x v="0"/>
  </r>
  <r>
    <n v="22944"/>
    <d v="2024-04-13T00:00:00"/>
    <x v="1"/>
    <s v="Bhubaneswar"/>
    <s v="SC_BHU_5"/>
    <x v="0"/>
    <s v="911"/>
    <s v="Coupe"/>
    <x v="0"/>
    <x v="1"/>
    <x v="2"/>
    <x v="0"/>
    <n v="3"/>
    <n v="7"/>
    <x v="0"/>
    <x v="0"/>
    <n v="505333"/>
    <n v="304907"/>
    <n v="200426"/>
    <x v="3"/>
    <n v="0"/>
    <n v="1"/>
    <n v="0"/>
    <n v="1"/>
    <n v="1"/>
    <s v="No"/>
    <x v="2"/>
  </r>
  <r>
    <n v="22945"/>
    <d v="2024-02-11T00:00:00"/>
    <x v="3"/>
    <s v="Pune"/>
    <s v="SC_PUN_2"/>
    <x v="1"/>
    <s v="Cayenne"/>
    <s v="SUV"/>
    <x v="1"/>
    <x v="1"/>
    <x v="0"/>
    <x v="0"/>
    <n v="15"/>
    <n v="7"/>
    <x v="0"/>
    <x v="1"/>
    <n v="364289"/>
    <n v="265654"/>
    <n v="98635"/>
    <x v="0"/>
    <n v="364289"/>
    <n v="0"/>
    <n v="0"/>
    <n v="1"/>
    <n v="1"/>
    <s v="Yes"/>
    <x v="0"/>
  </r>
  <r>
    <n v="22946"/>
    <d v="2024-06-01T00:00:00"/>
    <x v="3"/>
    <s v="Mumbai"/>
    <s v="SC_MUM_3"/>
    <x v="2"/>
    <s v="Veyron"/>
    <s v="Hypercar"/>
    <x v="1"/>
    <x v="2"/>
    <x v="1"/>
    <x v="1"/>
    <n v="18"/>
    <n v="7"/>
    <x v="0"/>
    <x v="0"/>
    <n v="270485"/>
    <n v="190893"/>
    <n v="79592"/>
    <x v="0"/>
    <n v="0"/>
    <n v="1"/>
    <n v="0"/>
    <n v="1"/>
    <n v="1"/>
    <s v="Yes"/>
    <x v="0"/>
  </r>
  <r>
    <n v="22947"/>
    <d v="2024-05-15T00:00:00"/>
    <x v="0"/>
    <s v="Chennai"/>
    <s v="SC_CHE_5"/>
    <x v="1"/>
    <s v="Macan"/>
    <s v="SUV"/>
    <x v="0"/>
    <x v="3"/>
    <x v="0"/>
    <x v="1"/>
    <n v="5"/>
    <n v="7"/>
    <x v="0"/>
    <x v="1"/>
    <n v="179910"/>
    <n v="147223"/>
    <n v="32687"/>
    <x v="2"/>
    <n v="179910"/>
    <n v="0"/>
    <n v="0"/>
    <n v="1"/>
    <n v="1"/>
    <s v="No"/>
    <x v="1"/>
  </r>
  <r>
    <n v="22948"/>
    <d v="2024-01-10T00:00:00"/>
    <x v="2"/>
    <s v="Noida"/>
    <s v="SC_NOI_2"/>
    <x v="0"/>
    <s v="Panamera"/>
    <s v="Sedan"/>
    <x v="0"/>
    <x v="3"/>
    <x v="2"/>
    <x v="0"/>
    <n v="8"/>
    <n v="7"/>
    <x v="0"/>
    <x v="1"/>
    <n v="118679"/>
    <n v="96884"/>
    <n v="21795"/>
    <x v="2"/>
    <n v="118679"/>
    <n v="0"/>
    <n v="0"/>
    <n v="1"/>
    <n v="1"/>
    <s v="Yes"/>
    <x v="1"/>
  </r>
  <r>
    <n v="22949"/>
    <d v="2024-03-04T00:00:00"/>
    <x v="3"/>
    <s v="Mumbai"/>
    <s v="SC_MUM_5"/>
    <x v="0"/>
    <s v="Panamera"/>
    <s v="Sedan"/>
    <x v="0"/>
    <x v="4"/>
    <x v="0"/>
    <x v="0"/>
    <n v="11"/>
    <n v="7"/>
    <x v="0"/>
    <x v="0"/>
    <n v="441065"/>
    <n v="291206"/>
    <n v="149859"/>
    <x v="1"/>
    <n v="0"/>
    <n v="1"/>
    <n v="0"/>
    <n v="1"/>
    <n v="1"/>
    <s v="Yes"/>
    <x v="0"/>
  </r>
  <r>
    <n v="22950"/>
    <d v="2024-03-14T00:00:00"/>
    <x v="3"/>
    <s v="Mumbai"/>
    <s v="SC_MUM_1"/>
    <x v="1"/>
    <s v="911"/>
    <s v="Coupe"/>
    <x v="0"/>
    <x v="0"/>
    <x v="0"/>
    <x v="0"/>
    <n v="21"/>
    <n v="7"/>
    <x v="0"/>
    <x v="1"/>
    <n v="142997"/>
    <n v="108230"/>
    <n v="34767"/>
    <x v="0"/>
    <n v="142997"/>
    <n v="0"/>
    <n v="0"/>
    <n v="1"/>
    <n v="1"/>
    <s v="Yes"/>
    <x v="0"/>
  </r>
  <r>
    <n v="22951"/>
    <d v="2024-01-12T00:00:00"/>
    <x v="0"/>
    <s v="Hyderabad"/>
    <s v="SC_HYD_5"/>
    <x v="2"/>
    <s v="Macan"/>
    <s v="SUV"/>
    <x v="1"/>
    <x v="0"/>
    <x v="0"/>
    <x v="0"/>
    <n v="10"/>
    <n v="7"/>
    <x v="1"/>
    <x v="1"/>
    <n v="395219"/>
    <n v="318620"/>
    <n v="76599"/>
    <x v="2"/>
    <n v="0"/>
    <n v="0"/>
    <n v="1"/>
    <n v="0"/>
    <n v="1"/>
    <s v="Yes"/>
    <x v="1"/>
  </r>
  <r>
    <n v="22952"/>
    <d v="2024-06-13T00:00:00"/>
    <x v="2"/>
    <s v="Delhi"/>
    <s v="SC_DEL_1"/>
    <x v="1"/>
    <s v="Veyron"/>
    <s v="Hypercar"/>
    <x v="1"/>
    <x v="2"/>
    <x v="0"/>
    <x v="0"/>
    <n v="20"/>
    <n v="7"/>
    <x v="0"/>
    <x v="1"/>
    <n v="336027"/>
    <n v="170541"/>
    <n v="165486"/>
    <x v="0"/>
    <n v="336027"/>
    <n v="0"/>
    <n v="0"/>
    <n v="1"/>
    <n v="1"/>
    <s v="Yes"/>
    <x v="0"/>
  </r>
  <r>
    <n v="22953"/>
    <d v="2024-02-08T00:00:00"/>
    <x v="3"/>
    <s v="Ahmedabad"/>
    <s v="SC_AHM_4"/>
    <x v="2"/>
    <s v="Cayenne"/>
    <s v="SUV"/>
    <x v="1"/>
    <x v="2"/>
    <x v="2"/>
    <x v="0"/>
    <n v="21"/>
    <n v="7"/>
    <x v="1"/>
    <x v="1"/>
    <n v="193804"/>
    <n v="150197"/>
    <n v="43607"/>
    <x v="0"/>
    <n v="0"/>
    <n v="0"/>
    <n v="1"/>
    <n v="0"/>
    <n v="1"/>
    <s v="Yes"/>
    <x v="0"/>
  </r>
  <r>
    <n v="22954"/>
    <d v="2024-02-16T00:00:00"/>
    <x v="0"/>
    <s v="Chennai"/>
    <s v="SC_CHE_3"/>
    <x v="0"/>
    <s v="Taycan"/>
    <s v="Sedan"/>
    <x v="0"/>
    <x v="2"/>
    <x v="2"/>
    <x v="0"/>
    <n v="9"/>
    <n v="7"/>
    <x v="0"/>
    <x v="1"/>
    <n v="117164"/>
    <n v="81031"/>
    <n v="36133"/>
    <x v="2"/>
    <n v="117164"/>
    <n v="0"/>
    <n v="0"/>
    <n v="1"/>
    <n v="1"/>
    <s v="Yes"/>
    <x v="1"/>
  </r>
  <r>
    <n v="22955"/>
    <d v="2024-03-15T00:00:00"/>
    <x v="3"/>
    <s v="Ahmedabad"/>
    <s v="SC_AHM_2"/>
    <x v="2"/>
    <s v="Chiron"/>
    <s v="Hypercar"/>
    <x v="0"/>
    <x v="3"/>
    <x v="1"/>
    <x v="0"/>
    <n v="25"/>
    <n v="7"/>
    <x v="0"/>
    <x v="1"/>
    <n v="490950"/>
    <n v="413179"/>
    <n v="77771"/>
    <x v="0"/>
    <n v="490950"/>
    <n v="0"/>
    <n v="0"/>
    <n v="1"/>
    <n v="1"/>
    <s v="Yes"/>
    <x v="0"/>
  </r>
  <r>
    <n v="22956"/>
    <d v="2024-03-09T00:00:00"/>
    <x v="3"/>
    <s v="Ahmedabad"/>
    <s v="SC_AHM_1"/>
    <x v="2"/>
    <s v="Taycan"/>
    <s v="Sedan"/>
    <x v="1"/>
    <x v="0"/>
    <x v="1"/>
    <x v="0"/>
    <n v="23"/>
    <n v="7"/>
    <x v="1"/>
    <x v="1"/>
    <n v="217073"/>
    <n v="129855"/>
    <n v="87218"/>
    <x v="0"/>
    <n v="0"/>
    <n v="0"/>
    <n v="1"/>
    <n v="0"/>
    <n v="1"/>
    <s v="Yes"/>
    <x v="0"/>
  </r>
  <r>
    <n v="22957"/>
    <d v="2024-03-03T00:00:00"/>
    <x v="2"/>
    <s v="Noida"/>
    <s v="SC_NOI_1"/>
    <x v="0"/>
    <s v="Macan"/>
    <s v="SUV"/>
    <x v="0"/>
    <x v="2"/>
    <x v="0"/>
    <x v="1"/>
    <n v="15"/>
    <n v="7"/>
    <x v="0"/>
    <x v="0"/>
    <n v="453320"/>
    <n v="303428"/>
    <n v="149892"/>
    <x v="0"/>
    <n v="0"/>
    <n v="1"/>
    <n v="0"/>
    <n v="1"/>
    <n v="1"/>
    <s v="Yes"/>
    <x v="0"/>
  </r>
  <r>
    <n v="22958"/>
    <d v="2024-04-04T00:00:00"/>
    <x v="3"/>
    <s v="Mumbai"/>
    <s v="SC_MUM_1"/>
    <x v="2"/>
    <s v="Veyron"/>
    <s v="Hypercar"/>
    <x v="0"/>
    <x v="2"/>
    <x v="1"/>
    <x v="1"/>
    <n v="19"/>
    <n v="7"/>
    <x v="1"/>
    <x v="1"/>
    <n v="329376"/>
    <n v="187049"/>
    <n v="142327"/>
    <x v="1"/>
    <n v="0"/>
    <n v="0"/>
    <n v="1"/>
    <n v="0"/>
    <n v="1"/>
    <s v="Yes"/>
    <x v="0"/>
  </r>
  <r>
    <n v="22959"/>
    <d v="2024-02-03T00:00:00"/>
    <x v="0"/>
    <s v="Hyderabad"/>
    <s v="SC_HYD_2"/>
    <x v="1"/>
    <s v="Taycan"/>
    <s v="Sedan"/>
    <x v="1"/>
    <x v="1"/>
    <x v="1"/>
    <x v="1"/>
    <n v="17"/>
    <n v="7"/>
    <x v="1"/>
    <x v="1"/>
    <n v="108400"/>
    <n v="75173"/>
    <n v="33227"/>
    <x v="1"/>
    <n v="0"/>
    <n v="0"/>
    <n v="1"/>
    <n v="0"/>
    <n v="1"/>
    <s v="Yes"/>
    <x v="0"/>
  </r>
  <r>
    <n v="22960"/>
    <d v="2024-06-13T00:00:00"/>
    <x v="3"/>
    <s v="Ahmedabad"/>
    <s v="SC_AHM_5"/>
    <x v="0"/>
    <s v="Panamera"/>
    <s v="Sedan"/>
    <x v="0"/>
    <x v="0"/>
    <x v="1"/>
    <x v="1"/>
    <n v="22"/>
    <n v="7"/>
    <x v="1"/>
    <x v="1"/>
    <n v="227065"/>
    <n v="139283"/>
    <n v="87782"/>
    <x v="0"/>
    <n v="0"/>
    <n v="0"/>
    <n v="1"/>
    <n v="0"/>
    <n v="1"/>
    <s v="Yes"/>
    <x v="0"/>
  </r>
  <r>
    <n v="22961"/>
    <d v="2024-05-09T00:00:00"/>
    <x v="3"/>
    <s v="Ahmedabad"/>
    <s v="SC_AHM_2"/>
    <x v="1"/>
    <s v="Veyron"/>
    <s v="Hypercar"/>
    <x v="1"/>
    <x v="0"/>
    <x v="0"/>
    <x v="1"/>
    <n v="21"/>
    <n v="7"/>
    <x v="0"/>
    <x v="1"/>
    <n v="128315"/>
    <n v="73264"/>
    <n v="55051"/>
    <x v="0"/>
    <n v="128315"/>
    <n v="0"/>
    <n v="0"/>
    <n v="1"/>
    <n v="1"/>
    <s v="Yes"/>
    <x v="0"/>
  </r>
  <r>
    <n v="22962"/>
    <d v="2024-04-17T00:00:00"/>
    <x v="1"/>
    <s v="Bhubaneswar"/>
    <s v="SC_BHU_4"/>
    <x v="0"/>
    <s v="Chiron"/>
    <s v="Hypercar"/>
    <x v="0"/>
    <x v="4"/>
    <x v="2"/>
    <x v="0"/>
    <n v="20"/>
    <n v="7"/>
    <x v="1"/>
    <x v="1"/>
    <n v="153424"/>
    <n v="119928"/>
    <n v="33496"/>
    <x v="0"/>
    <n v="0"/>
    <n v="0"/>
    <n v="1"/>
    <n v="0"/>
    <n v="1"/>
    <s v="Yes"/>
    <x v="0"/>
  </r>
  <r>
    <n v="22963"/>
    <d v="2024-01-02T00:00:00"/>
    <x v="0"/>
    <s v="Hyderabad"/>
    <s v="SC_HYD_4"/>
    <x v="1"/>
    <s v="Macan"/>
    <s v="SUV"/>
    <x v="1"/>
    <x v="2"/>
    <x v="0"/>
    <x v="0"/>
    <n v="19"/>
    <n v="7"/>
    <x v="0"/>
    <x v="1"/>
    <n v="229875"/>
    <n v="141908"/>
    <n v="87967"/>
    <x v="0"/>
    <n v="229875"/>
    <n v="0"/>
    <n v="0"/>
    <n v="1"/>
    <n v="1"/>
    <s v="Yes"/>
    <x v="0"/>
  </r>
  <r>
    <n v="22964"/>
    <d v="2024-04-14T00:00:00"/>
    <x v="0"/>
    <s v="Bengaluru"/>
    <s v="SC_BEN_3"/>
    <x v="2"/>
    <s v="Cayenne"/>
    <s v="SUV"/>
    <x v="0"/>
    <x v="4"/>
    <x v="0"/>
    <x v="1"/>
    <n v="21"/>
    <n v="7"/>
    <x v="0"/>
    <x v="0"/>
    <n v="518027"/>
    <n v="343354"/>
    <n v="174673"/>
    <x v="0"/>
    <n v="0"/>
    <n v="1"/>
    <n v="0"/>
    <n v="1"/>
    <n v="1"/>
    <s v="Yes"/>
    <x v="0"/>
  </r>
  <r>
    <n v="22965"/>
    <d v="2024-04-06T00:00:00"/>
    <x v="1"/>
    <s v="Bhubaneswar"/>
    <s v="SC_BHU_4"/>
    <x v="2"/>
    <s v="Chiron"/>
    <s v="Hypercar"/>
    <x v="0"/>
    <x v="1"/>
    <x v="0"/>
    <x v="1"/>
    <n v="3"/>
    <n v="7"/>
    <x v="1"/>
    <x v="0"/>
    <n v="227627"/>
    <n v="181443"/>
    <n v="46184"/>
    <x v="4"/>
    <n v="0"/>
    <n v="1"/>
    <n v="1"/>
    <n v="0"/>
    <n v="1"/>
    <s v="No"/>
    <x v="2"/>
  </r>
  <r>
    <n v="22966"/>
    <d v="2024-01-11T00:00:00"/>
    <x v="3"/>
    <s v="Mumbai"/>
    <s v="SC_MUM_1"/>
    <x v="1"/>
    <s v="Chiron"/>
    <s v="Hypercar"/>
    <x v="1"/>
    <x v="3"/>
    <x v="1"/>
    <x v="0"/>
    <n v="3"/>
    <n v="7"/>
    <x v="1"/>
    <x v="0"/>
    <n v="213292"/>
    <n v="142553"/>
    <n v="70739"/>
    <x v="4"/>
    <n v="0"/>
    <n v="1"/>
    <n v="1"/>
    <n v="0"/>
    <n v="1"/>
    <s v="No"/>
    <x v="2"/>
  </r>
  <r>
    <n v="22967"/>
    <d v="2024-05-11T00:00:00"/>
    <x v="3"/>
    <s v="Ahmedabad"/>
    <s v="SC_AHM_4"/>
    <x v="1"/>
    <s v="Taycan"/>
    <s v="Sedan"/>
    <x v="1"/>
    <x v="2"/>
    <x v="0"/>
    <x v="1"/>
    <n v="10"/>
    <n v="7"/>
    <x v="1"/>
    <x v="0"/>
    <n v="420513"/>
    <n v="349441"/>
    <n v="71072"/>
    <x v="2"/>
    <n v="0"/>
    <n v="1"/>
    <n v="1"/>
    <n v="0"/>
    <n v="1"/>
    <s v="Yes"/>
    <x v="1"/>
  </r>
  <r>
    <n v="22968"/>
    <d v="2024-01-09T00:00:00"/>
    <x v="3"/>
    <s v="Ahmedabad"/>
    <s v="SC_AHM_3"/>
    <x v="1"/>
    <s v="Chiron"/>
    <s v="Hypercar"/>
    <x v="0"/>
    <x v="4"/>
    <x v="2"/>
    <x v="1"/>
    <n v="9"/>
    <n v="7"/>
    <x v="1"/>
    <x v="0"/>
    <n v="181509"/>
    <n v="128093"/>
    <n v="53416"/>
    <x v="3"/>
    <n v="0"/>
    <n v="1"/>
    <n v="1"/>
    <n v="0"/>
    <n v="1"/>
    <s v="Yes"/>
    <x v="2"/>
  </r>
  <r>
    <n v="22969"/>
    <d v="2024-06-26T00:00:00"/>
    <x v="3"/>
    <s v="Mumbai"/>
    <s v="SC_MUM_1"/>
    <x v="1"/>
    <s v="911"/>
    <s v="Coupe"/>
    <x v="0"/>
    <x v="2"/>
    <x v="1"/>
    <x v="0"/>
    <n v="22"/>
    <n v="7"/>
    <x v="0"/>
    <x v="0"/>
    <n v="577198"/>
    <n v="348917"/>
    <n v="228281"/>
    <x v="0"/>
    <n v="0"/>
    <n v="1"/>
    <n v="0"/>
    <n v="1"/>
    <n v="1"/>
    <s v="Yes"/>
    <x v="0"/>
  </r>
  <r>
    <n v="22970"/>
    <d v="2024-06-27T00:00:00"/>
    <x v="0"/>
    <s v="Hyderabad"/>
    <s v="SC_HYD_4"/>
    <x v="1"/>
    <s v="Chiron"/>
    <s v="Hypercar"/>
    <x v="0"/>
    <x v="1"/>
    <x v="1"/>
    <x v="0"/>
    <n v="17"/>
    <n v="7"/>
    <x v="0"/>
    <x v="1"/>
    <n v="207508"/>
    <n v="172698"/>
    <n v="34810"/>
    <x v="0"/>
    <n v="207508"/>
    <n v="0"/>
    <n v="0"/>
    <n v="1"/>
    <n v="1"/>
    <s v="Yes"/>
    <x v="0"/>
  </r>
  <r>
    <n v="22971"/>
    <d v="2024-05-18T00:00:00"/>
    <x v="0"/>
    <s v="Chennai"/>
    <s v="SC_CHE_1"/>
    <x v="0"/>
    <s v="Panamera"/>
    <s v="Sedan"/>
    <x v="1"/>
    <x v="2"/>
    <x v="2"/>
    <x v="1"/>
    <n v="20"/>
    <n v="7"/>
    <x v="1"/>
    <x v="1"/>
    <n v="491957"/>
    <n v="325640"/>
    <n v="166317"/>
    <x v="0"/>
    <n v="0"/>
    <n v="0"/>
    <n v="1"/>
    <n v="0"/>
    <n v="1"/>
    <s v="Yes"/>
    <x v="0"/>
  </r>
  <r>
    <n v="22972"/>
    <d v="2024-03-08T00:00:00"/>
    <x v="1"/>
    <s v="Patna"/>
    <s v="SC_PAT_1"/>
    <x v="0"/>
    <s v="Macan"/>
    <s v="SUV"/>
    <x v="0"/>
    <x v="3"/>
    <x v="2"/>
    <x v="1"/>
    <n v="10"/>
    <n v="7"/>
    <x v="0"/>
    <x v="0"/>
    <n v="388343"/>
    <n v="253678"/>
    <n v="134665"/>
    <x v="1"/>
    <n v="0"/>
    <n v="1"/>
    <n v="0"/>
    <n v="1"/>
    <n v="1"/>
    <s v="Yes"/>
    <x v="0"/>
  </r>
  <r>
    <n v="22973"/>
    <d v="2024-03-14T00:00:00"/>
    <x v="2"/>
    <s v="Noida"/>
    <s v="SC_NOI_4"/>
    <x v="1"/>
    <s v="Taycan"/>
    <s v="Sedan"/>
    <x v="1"/>
    <x v="4"/>
    <x v="0"/>
    <x v="0"/>
    <n v="13"/>
    <n v="7"/>
    <x v="0"/>
    <x v="0"/>
    <n v="465230"/>
    <n v="320864"/>
    <n v="144366"/>
    <x v="1"/>
    <n v="0"/>
    <n v="1"/>
    <n v="0"/>
    <n v="1"/>
    <n v="1"/>
    <s v="Yes"/>
    <x v="0"/>
  </r>
  <r>
    <n v="22974"/>
    <d v="2024-04-27T00:00:00"/>
    <x v="0"/>
    <s v="Bengaluru"/>
    <s v="SC_BEN_3"/>
    <x v="0"/>
    <s v="Chiron"/>
    <s v="Hypercar"/>
    <x v="1"/>
    <x v="3"/>
    <x v="2"/>
    <x v="0"/>
    <n v="20"/>
    <n v="7"/>
    <x v="1"/>
    <x v="1"/>
    <n v="168652"/>
    <n v="124347"/>
    <n v="44305"/>
    <x v="0"/>
    <n v="0"/>
    <n v="0"/>
    <n v="1"/>
    <n v="0"/>
    <n v="1"/>
    <s v="Yes"/>
    <x v="0"/>
  </r>
  <r>
    <n v="22975"/>
    <d v="2024-02-06T00:00:00"/>
    <x v="1"/>
    <s v="Kolkata"/>
    <s v="SC_KOL_1"/>
    <x v="0"/>
    <s v="911"/>
    <s v="Coupe"/>
    <x v="1"/>
    <x v="4"/>
    <x v="2"/>
    <x v="1"/>
    <n v="7"/>
    <n v="7"/>
    <x v="0"/>
    <x v="0"/>
    <n v="447525"/>
    <n v="257005"/>
    <n v="190520"/>
    <x v="2"/>
    <n v="0"/>
    <n v="1"/>
    <n v="0"/>
    <n v="1"/>
    <n v="1"/>
    <s v="No"/>
    <x v="1"/>
  </r>
  <r>
    <n v="22976"/>
    <d v="2024-05-21T00:00:00"/>
    <x v="1"/>
    <s v="Bhubaneswar"/>
    <s v="SC_BHU_2"/>
    <x v="2"/>
    <s v="Chiron"/>
    <s v="Hypercar"/>
    <x v="0"/>
    <x v="4"/>
    <x v="0"/>
    <x v="0"/>
    <n v="21"/>
    <n v="7"/>
    <x v="0"/>
    <x v="0"/>
    <n v="439058"/>
    <n v="294945"/>
    <n v="144113"/>
    <x v="0"/>
    <n v="0"/>
    <n v="1"/>
    <n v="0"/>
    <n v="1"/>
    <n v="1"/>
    <s v="Yes"/>
    <x v="0"/>
  </r>
  <r>
    <n v="22977"/>
    <d v="2024-01-11T00:00:00"/>
    <x v="1"/>
    <s v="Patna"/>
    <s v="SC_PAT_2"/>
    <x v="1"/>
    <s v="Panamera"/>
    <s v="Sedan"/>
    <x v="0"/>
    <x v="3"/>
    <x v="1"/>
    <x v="1"/>
    <n v="6"/>
    <n v="7"/>
    <x v="1"/>
    <x v="0"/>
    <n v="113720"/>
    <n v="93833"/>
    <n v="19887"/>
    <x v="3"/>
    <n v="0"/>
    <n v="1"/>
    <n v="1"/>
    <n v="0"/>
    <n v="1"/>
    <s v="No"/>
    <x v="2"/>
  </r>
  <r>
    <n v="22978"/>
    <d v="2024-01-02T00:00:00"/>
    <x v="0"/>
    <s v="Bengaluru"/>
    <s v="SC_BEN_2"/>
    <x v="0"/>
    <s v="Veyron"/>
    <s v="Hypercar"/>
    <x v="0"/>
    <x v="4"/>
    <x v="1"/>
    <x v="0"/>
    <n v="7"/>
    <n v="7"/>
    <x v="1"/>
    <x v="1"/>
    <n v="199015"/>
    <n v="143625"/>
    <n v="55390"/>
    <x v="3"/>
    <n v="0"/>
    <n v="0"/>
    <n v="1"/>
    <n v="0"/>
    <n v="1"/>
    <s v="No"/>
    <x v="2"/>
  </r>
  <r>
    <n v="22979"/>
    <d v="2024-05-16T00:00:00"/>
    <x v="0"/>
    <s v="Hyderabad"/>
    <s v="SC_HYD_2"/>
    <x v="2"/>
    <s v="Macan"/>
    <s v="SUV"/>
    <x v="1"/>
    <x v="3"/>
    <x v="1"/>
    <x v="0"/>
    <n v="17"/>
    <n v="7"/>
    <x v="0"/>
    <x v="0"/>
    <n v="320231"/>
    <n v="269832"/>
    <n v="50399"/>
    <x v="0"/>
    <n v="0"/>
    <n v="1"/>
    <n v="0"/>
    <n v="1"/>
    <n v="1"/>
    <s v="Yes"/>
    <x v="0"/>
  </r>
  <r>
    <n v="22980"/>
    <d v="2024-03-13T00:00:00"/>
    <x v="1"/>
    <s v="Kolkata"/>
    <s v="SC_KOL_4"/>
    <x v="0"/>
    <s v="Macan"/>
    <s v="SUV"/>
    <x v="1"/>
    <x v="1"/>
    <x v="1"/>
    <x v="0"/>
    <n v="25"/>
    <n v="7"/>
    <x v="0"/>
    <x v="1"/>
    <n v="356621"/>
    <n v="301345"/>
    <n v="55276"/>
    <x v="0"/>
    <n v="356621"/>
    <n v="0"/>
    <n v="0"/>
    <n v="1"/>
    <n v="1"/>
    <s v="Yes"/>
    <x v="0"/>
  </r>
  <r>
    <n v="22981"/>
    <d v="2024-02-25T00:00:00"/>
    <x v="3"/>
    <s v="Ahmedabad"/>
    <s v="SC_AHM_1"/>
    <x v="1"/>
    <s v="Panamera"/>
    <s v="Sedan"/>
    <x v="1"/>
    <x v="3"/>
    <x v="0"/>
    <x v="0"/>
    <n v="9"/>
    <n v="7"/>
    <x v="1"/>
    <x v="1"/>
    <n v="291680"/>
    <n v="171923"/>
    <n v="119757"/>
    <x v="3"/>
    <n v="0"/>
    <n v="0"/>
    <n v="1"/>
    <n v="0"/>
    <n v="1"/>
    <s v="Yes"/>
    <x v="2"/>
  </r>
  <r>
    <n v="22982"/>
    <d v="2024-04-18T00:00:00"/>
    <x v="1"/>
    <s v="Kolkata"/>
    <s v="SC_KOL_3"/>
    <x v="1"/>
    <s v="Cayenne"/>
    <s v="SUV"/>
    <x v="0"/>
    <x v="3"/>
    <x v="1"/>
    <x v="0"/>
    <n v="20"/>
    <n v="7"/>
    <x v="1"/>
    <x v="1"/>
    <n v="255727"/>
    <n v="192209"/>
    <n v="63518"/>
    <x v="0"/>
    <n v="0"/>
    <n v="0"/>
    <n v="1"/>
    <n v="0"/>
    <n v="1"/>
    <s v="Yes"/>
    <x v="0"/>
  </r>
  <r>
    <n v="22983"/>
    <d v="2024-01-11T00:00:00"/>
    <x v="2"/>
    <s v="Delhi"/>
    <s v="SC_DEL_2"/>
    <x v="1"/>
    <s v="Macan"/>
    <s v="SUV"/>
    <x v="1"/>
    <x v="2"/>
    <x v="1"/>
    <x v="1"/>
    <n v="15"/>
    <n v="7"/>
    <x v="1"/>
    <x v="1"/>
    <n v="340345"/>
    <n v="183299"/>
    <n v="157046"/>
    <x v="1"/>
    <n v="0"/>
    <n v="0"/>
    <n v="1"/>
    <n v="0"/>
    <n v="1"/>
    <s v="Yes"/>
    <x v="0"/>
  </r>
  <r>
    <n v="22984"/>
    <d v="2024-03-16T00:00:00"/>
    <x v="0"/>
    <s v="Chennai"/>
    <s v="SC_CHE_3"/>
    <x v="0"/>
    <s v="Chiron"/>
    <s v="Hypercar"/>
    <x v="0"/>
    <x v="3"/>
    <x v="2"/>
    <x v="1"/>
    <n v="20"/>
    <n v="7"/>
    <x v="1"/>
    <x v="1"/>
    <n v="166705"/>
    <n v="137815"/>
    <n v="28890"/>
    <x v="0"/>
    <n v="0"/>
    <n v="0"/>
    <n v="1"/>
    <n v="0"/>
    <n v="1"/>
    <s v="Yes"/>
    <x v="0"/>
  </r>
  <r>
    <n v="22985"/>
    <d v="2024-06-11T00:00:00"/>
    <x v="2"/>
    <s v="Delhi"/>
    <s v="SC_DEL_5"/>
    <x v="2"/>
    <s v="Panamera"/>
    <s v="Sedan"/>
    <x v="0"/>
    <x v="0"/>
    <x v="1"/>
    <x v="0"/>
    <n v="13"/>
    <n v="7"/>
    <x v="0"/>
    <x v="1"/>
    <n v="543635"/>
    <n v="461297"/>
    <n v="82338"/>
    <x v="1"/>
    <n v="543635"/>
    <n v="0"/>
    <n v="0"/>
    <n v="1"/>
    <n v="1"/>
    <s v="Yes"/>
    <x v="0"/>
  </r>
  <r>
    <n v="22986"/>
    <d v="2024-04-10T00:00:00"/>
    <x v="2"/>
    <s v="Delhi"/>
    <s v="SC_DEL_4"/>
    <x v="2"/>
    <s v="911"/>
    <s v="Coupe"/>
    <x v="1"/>
    <x v="1"/>
    <x v="0"/>
    <x v="1"/>
    <n v="11"/>
    <n v="7"/>
    <x v="0"/>
    <x v="1"/>
    <n v="324006"/>
    <n v="167308"/>
    <n v="156698"/>
    <x v="1"/>
    <n v="324006"/>
    <n v="0"/>
    <n v="0"/>
    <n v="1"/>
    <n v="1"/>
    <s v="Yes"/>
    <x v="0"/>
  </r>
  <r>
    <n v="22987"/>
    <d v="2024-04-01T00:00:00"/>
    <x v="1"/>
    <s v="Bhubaneswar"/>
    <s v="SC_BHU_1"/>
    <x v="2"/>
    <s v="Cayenne"/>
    <s v="SUV"/>
    <x v="0"/>
    <x v="0"/>
    <x v="2"/>
    <x v="0"/>
    <n v="12"/>
    <n v="7"/>
    <x v="1"/>
    <x v="0"/>
    <n v="397382"/>
    <n v="207614"/>
    <n v="189768"/>
    <x v="2"/>
    <n v="0"/>
    <n v="1"/>
    <n v="1"/>
    <n v="0"/>
    <n v="1"/>
    <s v="Yes"/>
    <x v="1"/>
  </r>
  <r>
    <n v="22988"/>
    <d v="2024-03-14T00:00:00"/>
    <x v="1"/>
    <s v="Patna"/>
    <s v="SC_PAT_3"/>
    <x v="0"/>
    <s v="Taycan"/>
    <s v="Sedan"/>
    <x v="1"/>
    <x v="0"/>
    <x v="0"/>
    <x v="0"/>
    <n v="8"/>
    <n v="7"/>
    <x v="1"/>
    <x v="1"/>
    <n v="457832"/>
    <n v="383169"/>
    <n v="74663"/>
    <x v="3"/>
    <n v="0"/>
    <n v="0"/>
    <n v="1"/>
    <n v="0"/>
    <n v="1"/>
    <s v="Yes"/>
    <x v="2"/>
  </r>
  <r>
    <n v="22989"/>
    <d v="2024-06-08T00:00:00"/>
    <x v="1"/>
    <s v="Bhubaneswar"/>
    <s v="SC_BHU_3"/>
    <x v="1"/>
    <s v="Veyron"/>
    <s v="Hypercar"/>
    <x v="0"/>
    <x v="1"/>
    <x v="2"/>
    <x v="1"/>
    <n v="16"/>
    <n v="7"/>
    <x v="1"/>
    <x v="1"/>
    <n v="411042"/>
    <n v="304003"/>
    <n v="107039"/>
    <x v="1"/>
    <n v="0"/>
    <n v="0"/>
    <n v="1"/>
    <n v="0"/>
    <n v="1"/>
    <s v="Yes"/>
    <x v="0"/>
  </r>
  <r>
    <n v="22990"/>
    <d v="2024-04-07T00:00:00"/>
    <x v="0"/>
    <s v="Chennai"/>
    <s v="SC_CHE_2"/>
    <x v="0"/>
    <s v="Panamera"/>
    <s v="Sedan"/>
    <x v="1"/>
    <x v="3"/>
    <x v="0"/>
    <x v="1"/>
    <n v="20"/>
    <n v="7"/>
    <x v="0"/>
    <x v="1"/>
    <n v="263142"/>
    <n v="208884"/>
    <n v="54258"/>
    <x v="0"/>
    <n v="263142"/>
    <n v="0"/>
    <n v="0"/>
    <n v="1"/>
    <n v="1"/>
    <s v="Yes"/>
    <x v="0"/>
  </r>
  <r>
    <n v="22991"/>
    <d v="2024-01-03T00:00:00"/>
    <x v="1"/>
    <s v="Bhubaneswar"/>
    <s v="SC_BHU_1"/>
    <x v="0"/>
    <s v="Veyron"/>
    <s v="Hypercar"/>
    <x v="1"/>
    <x v="1"/>
    <x v="1"/>
    <x v="0"/>
    <n v="21"/>
    <n v="7"/>
    <x v="0"/>
    <x v="1"/>
    <n v="433271"/>
    <n v="317164"/>
    <n v="116107"/>
    <x v="0"/>
    <n v="433271"/>
    <n v="0"/>
    <n v="0"/>
    <n v="1"/>
    <n v="1"/>
    <s v="Yes"/>
    <x v="0"/>
  </r>
  <r>
    <n v="22992"/>
    <d v="2024-06-06T00:00:00"/>
    <x v="0"/>
    <s v="Chennai"/>
    <s v="SC_CHE_3"/>
    <x v="1"/>
    <s v="Taycan"/>
    <s v="Sedan"/>
    <x v="1"/>
    <x v="0"/>
    <x v="0"/>
    <x v="0"/>
    <n v="25"/>
    <n v="7"/>
    <x v="0"/>
    <x v="1"/>
    <n v="210453"/>
    <n v="123075"/>
    <n v="87378"/>
    <x v="0"/>
    <n v="210453"/>
    <n v="0"/>
    <n v="0"/>
    <n v="1"/>
    <n v="1"/>
    <s v="Yes"/>
    <x v="0"/>
  </r>
  <r>
    <n v="22993"/>
    <d v="2024-02-06T00:00:00"/>
    <x v="1"/>
    <s v="Kolkata"/>
    <s v="SC_KOL_5"/>
    <x v="1"/>
    <s v="Cayenne"/>
    <s v="SUV"/>
    <x v="1"/>
    <x v="2"/>
    <x v="1"/>
    <x v="0"/>
    <n v="22"/>
    <n v="7"/>
    <x v="1"/>
    <x v="0"/>
    <n v="360086"/>
    <n v="248543"/>
    <n v="111543"/>
    <x v="0"/>
    <n v="0"/>
    <n v="1"/>
    <n v="1"/>
    <n v="0"/>
    <n v="1"/>
    <s v="Yes"/>
    <x v="0"/>
  </r>
  <r>
    <n v="22994"/>
    <d v="2024-01-19T00:00:00"/>
    <x v="2"/>
    <s v="Delhi"/>
    <s v="SC_DEL_2"/>
    <x v="0"/>
    <s v="Taycan"/>
    <s v="Sedan"/>
    <x v="1"/>
    <x v="1"/>
    <x v="2"/>
    <x v="0"/>
    <n v="13"/>
    <n v="7"/>
    <x v="1"/>
    <x v="1"/>
    <n v="232449"/>
    <n v="132082"/>
    <n v="100367"/>
    <x v="2"/>
    <n v="0"/>
    <n v="0"/>
    <n v="1"/>
    <n v="0"/>
    <n v="1"/>
    <s v="Yes"/>
    <x v="1"/>
  </r>
  <r>
    <n v="22995"/>
    <d v="2024-06-01T00:00:00"/>
    <x v="0"/>
    <s v="Bengaluru"/>
    <s v="SC_BEN_2"/>
    <x v="2"/>
    <s v="Panamera"/>
    <s v="Sedan"/>
    <x v="0"/>
    <x v="2"/>
    <x v="0"/>
    <x v="0"/>
    <n v="12"/>
    <n v="7"/>
    <x v="0"/>
    <x v="0"/>
    <n v="329604"/>
    <n v="191739"/>
    <n v="137865"/>
    <x v="1"/>
    <n v="0"/>
    <n v="1"/>
    <n v="0"/>
    <n v="1"/>
    <n v="1"/>
    <s v="Yes"/>
    <x v="0"/>
  </r>
  <r>
    <n v="22996"/>
    <d v="2024-03-05T00:00:00"/>
    <x v="3"/>
    <s v="Mumbai"/>
    <s v="SC_MUM_4"/>
    <x v="0"/>
    <s v="Chiron"/>
    <s v="Hypercar"/>
    <x v="1"/>
    <x v="1"/>
    <x v="1"/>
    <x v="1"/>
    <n v="6"/>
    <n v="7"/>
    <x v="0"/>
    <x v="1"/>
    <n v="380991"/>
    <n v="301559"/>
    <n v="79432"/>
    <x v="2"/>
    <n v="380991"/>
    <n v="0"/>
    <n v="0"/>
    <n v="1"/>
    <n v="1"/>
    <s v="No"/>
    <x v="1"/>
  </r>
  <r>
    <n v="22997"/>
    <d v="2024-03-28T00:00:00"/>
    <x v="2"/>
    <s v="Gurugram"/>
    <s v="SC_GUR_3"/>
    <x v="2"/>
    <s v="911"/>
    <s v="Coupe"/>
    <x v="0"/>
    <x v="0"/>
    <x v="2"/>
    <x v="0"/>
    <n v="13"/>
    <n v="7"/>
    <x v="0"/>
    <x v="1"/>
    <n v="383364"/>
    <n v="259761"/>
    <n v="123603"/>
    <x v="1"/>
    <n v="383364"/>
    <n v="0"/>
    <n v="0"/>
    <n v="1"/>
    <n v="1"/>
    <s v="Yes"/>
    <x v="0"/>
  </r>
  <r>
    <n v="22998"/>
    <d v="2024-02-05T00:00:00"/>
    <x v="2"/>
    <s v="Delhi"/>
    <s v="SC_DEL_1"/>
    <x v="2"/>
    <s v="Veyron"/>
    <s v="Hypercar"/>
    <x v="0"/>
    <x v="0"/>
    <x v="1"/>
    <x v="1"/>
    <n v="23"/>
    <n v="7"/>
    <x v="1"/>
    <x v="1"/>
    <n v="157201"/>
    <n v="126182"/>
    <n v="31019"/>
    <x v="0"/>
    <n v="0"/>
    <n v="0"/>
    <n v="1"/>
    <n v="0"/>
    <n v="1"/>
    <s v="Yes"/>
    <x v="0"/>
  </r>
  <r>
    <n v="22999"/>
    <d v="2024-03-29T00:00:00"/>
    <x v="3"/>
    <s v="Ahmedabad"/>
    <s v="SC_AHM_4"/>
    <x v="0"/>
    <s v="Taycan"/>
    <s v="Sedan"/>
    <x v="1"/>
    <x v="1"/>
    <x v="0"/>
    <x v="1"/>
    <n v="7"/>
    <n v="7"/>
    <x v="1"/>
    <x v="1"/>
    <n v="231498"/>
    <n v="136147"/>
    <n v="95351"/>
    <x v="3"/>
    <n v="0"/>
    <n v="0"/>
    <n v="1"/>
    <n v="0"/>
    <n v="1"/>
    <s v="No"/>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E2B8DE-12A7-4CE3-AC68-1F7D989AFED4}" name="KPI_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I3" firstHeaderRow="0" firstDataRow="1" firstDataCol="0"/>
  <pivotFields count="31">
    <pivotField showAll="0"/>
    <pivotField numFmtId="14" showAll="0"/>
    <pivotField showAll="0">
      <items count="5">
        <item x="1"/>
        <item x="2"/>
        <item x="0"/>
        <item x="3"/>
        <item t="default"/>
      </items>
    </pivotField>
    <pivotField showAll="0"/>
    <pivotField showAll="0"/>
    <pivotField showAll="0">
      <items count="4">
        <item x="0"/>
        <item x="2"/>
        <item x="1"/>
        <item t="default"/>
      </items>
    </pivotField>
    <pivotField showAll="0"/>
    <pivotField showAll="0"/>
    <pivotField showAll="0">
      <items count="3">
        <item x="0"/>
        <item x="1"/>
        <item t="default"/>
      </items>
    </pivotField>
    <pivotField showAll="0">
      <items count="6">
        <item x="3"/>
        <item x="4"/>
        <item x="1"/>
        <item x="0"/>
        <item x="2"/>
        <item t="default"/>
      </items>
    </pivotField>
    <pivotField showAll="0">
      <items count="4">
        <item x="0"/>
        <item x="1"/>
        <item x="2"/>
        <item t="default"/>
      </items>
    </pivotField>
    <pivotField showAll="0"/>
    <pivotField numFmtId="1" showAll="0"/>
    <pivotField numFmtId="1" showAll="0"/>
    <pivotField showAll="0"/>
    <pivotField showAll="0"/>
    <pivotField dataField="1" numFmtId="1" showAll="0"/>
    <pivotField dataField="1" numFmtId="1" showAll="0"/>
    <pivotField dataField="1" numFmtId="1" showAll="0"/>
    <pivotField numFmtId="1" showAll="0"/>
    <pivotField dataField="1" numFmtId="1" showAll="0"/>
    <pivotField numFmtId="1" showAll="0"/>
    <pivotField numFmtId="1" showAll="0"/>
    <pivotField numFmtId="1" showAll="0"/>
    <pivotField dataField="1" numFmtId="1" showAll="0"/>
    <pivotField showAll="0"/>
    <pivotField showAll="0"/>
    <pivotField dataField="1" dragToRow="0" dragToCol="0" dragToPage="0" showAll="0" defaultSubtotal="0"/>
    <pivotField dataField="1" dragToRow="0" dragToCol="0" dragToPage="0" showAll="0" defaultSubtotal="0"/>
    <pivotField dataField="1" dragToRow="0" dragToCol="0" dragToPage="0" showAll="0" defaultSubtotal="0"/>
    <pivotField dataField="1" dragToRow="0" dragToCol="0" dragToPage="0" showAll="0" defaultSubtotal="0"/>
  </pivotFields>
  <rowItems count="1">
    <i/>
  </rowItems>
  <colFields count="1">
    <field x="-2"/>
  </colFields>
  <colItems count="9">
    <i>
      <x/>
    </i>
    <i i="1">
      <x v="1"/>
    </i>
    <i i="2">
      <x v="2"/>
    </i>
    <i i="3">
      <x v="3"/>
    </i>
    <i i="4">
      <x v="4"/>
    </i>
    <i i="5">
      <x v="5"/>
    </i>
    <i i="6">
      <x v="6"/>
    </i>
    <i i="7">
      <x v="7"/>
    </i>
    <i i="8">
      <x v="8"/>
    </i>
  </colItems>
  <dataFields count="9">
    <dataField name="Sum of count_of_job" fld="24" baseField="0" baseItem="0" numFmtId="1"/>
    <dataField name="Sum of Service_Revenue" fld="16" baseField="0" baseItem="0" numFmtId="164"/>
    <dataField name="Sum of Service_Cost" fld="17" baseField="0" baseItem="0" numFmtId="164"/>
    <dataField name="Sum of Profit" fld="18" baseField="0" baseItem="0" numFmtId="164"/>
    <dataField name="Sum of Profit Margin %" fld="27" baseField="0" baseItem="0" numFmtId="10"/>
    <dataField name="Sum of Revenue_at_Risk" fld="20" baseField="0" baseItem="0" numFmtId="164"/>
    <dataField name="Sum of Warranty_claim_rate" fld="28" baseField="0" baseItem="0" numFmtId="10"/>
    <dataField name="Sum of First_time_rate" fld="29" baseField="0" baseItem="0" numFmtId="10"/>
    <dataField name="Sum of Repeat_visit_rate" fld="30" baseField="0" baseItem="0" numFmtId="10"/>
  </dataFields>
  <formats count="6">
    <format dxfId="9">
      <pivotArea outline="0" collapsedLevelsAreSubtotals="1" fieldPosition="0">
        <references count="1">
          <reference field="4294967294" count="1" selected="0">
            <x v="4"/>
          </reference>
        </references>
      </pivotArea>
    </format>
    <format dxfId="8">
      <pivotArea outline="0" collapsedLevelsAreSubtotals="1" fieldPosition="0">
        <references count="1">
          <reference field="4294967294" count="1" selected="0">
            <x v="1"/>
          </reference>
        </references>
      </pivotArea>
    </format>
    <format dxfId="7">
      <pivotArea outline="0" collapsedLevelsAreSubtotals="1" fieldPosition="0">
        <references count="1">
          <reference field="4294967294" count="1" selected="0">
            <x v="2"/>
          </reference>
        </references>
      </pivotArea>
    </format>
    <format dxfId="6">
      <pivotArea outline="0" collapsedLevelsAreSubtotals="1" fieldPosition="0">
        <references count="1">
          <reference field="4294967294" count="1" selected="0">
            <x v="3"/>
          </reference>
        </references>
      </pivotArea>
    </format>
    <format dxfId="5">
      <pivotArea outline="0" collapsedLevelsAreSubtotals="1" fieldPosition="0">
        <references count="1">
          <reference field="4294967294" count="1" selected="0">
            <x v="7"/>
          </reference>
        </references>
      </pivotArea>
    </format>
    <format dxfId="4">
      <pivotArea outline="0" collapsedLevelsAreSubtotals="1" fieldPosition="0">
        <references count="1">
          <reference field="4294967294" count="1" selected="0">
            <x v="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E02BD9-B8A2-4185-A48E-5126F2336D63}" name="Root cause of Risk 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Rework_flag">
  <location ref="D23:E26" firstHeaderRow="1" firstDataRow="1" firstDataCol="1"/>
  <pivotFields count="31">
    <pivotField showAll="0"/>
    <pivotField numFmtId="14" showAll="0"/>
    <pivotField showAll="0">
      <items count="5">
        <item x="1"/>
        <item x="2"/>
        <item x="0"/>
        <item x="3"/>
        <item t="default"/>
      </items>
    </pivotField>
    <pivotField showAll="0"/>
    <pivotField showAll="0"/>
    <pivotField showAll="0">
      <items count="4">
        <item x="0"/>
        <item x="2"/>
        <item x="1"/>
        <item t="default"/>
      </items>
    </pivotField>
    <pivotField showAll="0"/>
    <pivotField showAll="0"/>
    <pivotField showAll="0">
      <items count="3">
        <item x="0"/>
        <item x="1"/>
        <item t="default"/>
      </items>
    </pivotField>
    <pivotField showAll="0">
      <items count="6">
        <item x="3"/>
        <item x="4"/>
        <item x="1"/>
        <item x="0"/>
        <item x="2"/>
        <item t="default"/>
      </items>
    </pivotField>
    <pivotField showAll="0">
      <items count="4">
        <item x="0"/>
        <item x="1"/>
        <item x="2"/>
        <item t="default"/>
      </items>
    </pivotField>
    <pivotField showAll="0"/>
    <pivotField numFmtId="1" showAll="0"/>
    <pivotField numFmtId="1" showAll="0"/>
    <pivotField showAll="0"/>
    <pivotField axis="axisRow" showAll="0">
      <items count="3">
        <item x="1"/>
        <item x="0"/>
        <item t="default"/>
      </items>
    </pivotField>
    <pivotField numFmtId="1" showAll="0"/>
    <pivotField numFmtId="1" showAll="0"/>
    <pivotField numFmtId="1" showAll="0"/>
    <pivotField numFmtId="1" showAll="0"/>
    <pivotField dataField="1" numFmtId="1" showAll="0"/>
    <pivotField numFmtId="1" showAll="0"/>
    <pivotField numFmtId="1" showAll="0"/>
    <pivotField numFmtId="1" showAll="0"/>
    <pivotField numFmtId="1"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5"/>
  </rowFields>
  <rowItems count="3">
    <i>
      <x/>
    </i>
    <i>
      <x v="1"/>
    </i>
    <i t="grand">
      <x/>
    </i>
  </rowItems>
  <colItems count="1">
    <i/>
  </colItems>
  <dataFields count="1">
    <dataField name="Sum of Revenue_at_Risk" fld="20" baseField="0" baseItem="0" numFmtId="1"/>
  </dataFields>
  <formats count="1">
    <format dxfId="10">
      <pivotArea outline="0" collapsedLevelsAreSubtotals="1" fieldPosition="0"/>
    </format>
  </format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761C98-9840-429C-8FF6-04DE6BB15F37}" name="region_revenue/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Region">
  <location ref="A6:B11" firstHeaderRow="1" firstDataRow="1" firstDataCol="1"/>
  <pivotFields count="31">
    <pivotField showAll="0"/>
    <pivotField numFmtId="14" showAll="0"/>
    <pivotField axis="axisRow" showAll="0">
      <items count="5">
        <item x="1"/>
        <item x="2"/>
        <item x="0"/>
        <item x="3"/>
        <item t="default"/>
      </items>
    </pivotField>
    <pivotField showAll="0"/>
    <pivotField showAll="0"/>
    <pivotField showAll="0">
      <items count="4">
        <item x="0"/>
        <item x="2"/>
        <item x="1"/>
        <item t="default"/>
      </items>
    </pivotField>
    <pivotField showAll="0"/>
    <pivotField showAll="0"/>
    <pivotField showAll="0">
      <items count="3">
        <item x="0"/>
        <item x="1"/>
        <item t="default"/>
      </items>
    </pivotField>
    <pivotField showAll="0">
      <items count="6">
        <item x="3"/>
        <item x="4"/>
        <item x="1"/>
        <item x="0"/>
        <item x="2"/>
        <item t="default"/>
      </items>
    </pivotField>
    <pivotField showAll="0">
      <items count="4">
        <item x="0"/>
        <item x="1"/>
        <item x="2"/>
        <item t="default"/>
      </items>
    </pivotField>
    <pivotField showAll="0"/>
    <pivotField numFmtId="1" showAll="0"/>
    <pivotField numFmtId="1" showAll="0"/>
    <pivotField showAll="0"/>
    <pivotField showAll="0"/>
    <pivotField dataField="1"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includeNewItemsInFilter="1" countASubtotal="1"/>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
  </rowFields>
  <rowItems count="5">
    <i>
      <x/>
    </i>
    <i>
      <x v="1"/>
    </i>
    <i>
      <x v="2"/>
    </i>
    <i>
      <x v="3"/>
    </i>
    <i t="grand">
      <x/>
    </i>
  </rowItems>
  <colItems count="1">
    <i/>
  </colItems>
  <dataFields count="1">
    <dataField name="Sum of Service_Revenue" fld="16" baseField="0" baseItem="0" numFmtId="164"/>
  </dataFields>
  <formats count="1">
    <format dxfId="11">
      <pivotArea outline="0" collapsedLevelsAreSubtotals="1" fieldPosition="0">
        <references count="1">
          <reference field="4294967294" count="1" selected="0">
            <x v="0"/>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9608F85-8D7F-4D9F-815F-B2278A9116C9}" name="Rework_CS/Tat/cost/jobI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work_flag">
  <location ref="G7:K10" firstHeaderRow="0" firstDataRow="1" firstDataCol="1"/>
  <pivotFields count="31">
    <pivotField dataField="1" showAll="0"/>
    <pivotField numFmtId="14" showAll="0"/>
    <pivotField showAll="0">
      <items count="5">
        <item x="1"/>
        <item x="2"/>
        <item x="0"/>
        <item x="3"/>
        <item t="default"/>
      </items>
    </pivotField>
    <pivotField showAll="0"/>
    <pivotField showAll="0"/>
    <pivotField showAll="0">
      <items count="4">
        <item x="0"/>
        <item x="2"/>
        <item x="1"/>
        <item t="default"/>
      </items>
    </pivotField>
    <pivotField showAll="0"/>
    <pivotField showAll="0"/>
    <pivotField showAll="0">
      <items count="3">
        <item x="0"/>
        <item x="1"/>
        <item t="default"/>
      </items>
    </pivotField>
    <pivotField showAll="0">
      <items count="6">
        <item x="3"/>
        <item x="4"/>
        <item x="1"/>
        <item x="0"/>
        <item x="2"/>
        <item t="default"/>
      </items>
    </pivotField>
    <pivotField showAll="0">
      <items count="4">
        <item x="0"/>
        <item x="1"/>
        <item x="2"/>
        <item t="default"/>
      </items>
    </pivotField>
    <pivotField showAll="0"/>
    <pivotField dataField="1" numFmtId="1" showAll="0"/>
    <pivotField numFmtId="1" showAll="0"/>
    <pivotField axis="axisRow" showAll="0">
      <items count="3">
        <item x="1"/>
        <item x="0"/>
        <item t="default"/>
      </items>
    </pivotField>
    <pivotField showAll="0"/>
    <pivotField numFmtId="1" showAll="0"/>
    <pivotField dataField="1" numFmtId="1" showAll="0"/>
    <pivotField numFmtId="1" showAll="0"/>
    <pivotField dataField="1" numFmtId="1" showAll="0"/>
    <pivotField numFmtId="1" showAll="0"/>
    <pivotField numFmtId="1" showAll="0"/>
    <pivotField numFmtId="1" showAll="0"/>
    <pivotField numFmtId="1" showAll="0"/>
    <pivotField numFmtId="1" showAll="0"/>
    <pivotField showAll="0" includeNewItemsInFilter="1" countASubtotal="1"/>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4"/>
  </rowFields>
  <rowItems count="3">
    <i>
      <x/>
    </i>
    <i>
      <x v="1"/>
    </i>
    <i t="grand">
      <x/>
    </i>
  </rowItems>
  <colFields count="1">
    <field x="-2"/>
  </colFields>
  <colItems count="4">
    <i>
      <x/>
    </i>
    <i i="1">
      <x v="1"/>
    </i>
    <i i="2">
      <x v="2"/>
    </i>
    <i i="3">
      <x v="3"/>
    </i>
  </colItems>
  <dataFields count="4">
    <dataField name="Average of Customer_Satisfaction" fld="19" subtotal="average" baseField="14" baseItem="0" numFmtId="2"/>
    <dataField name="Average of TAT_Days" fld="12" subtotal="average" baseField="14" baseItem="0" numFmtId="1"/>
    <dataField name="Sum of Service_Cost" fld="17" baseField="0" baseItem="0" numFmtId="164"/>
    <dataField name="Count of Job_ID" fld="0" subtotal="count" baseField="14" baseItem="0" numFmtId="1"/>
  </dataFields>
  <formats count="4">
    <format dxfId="15">
      <pivotArea field="2" type="button" dataOnly="0" labelOnly="1" outline="0"/>
    </format>
    <format dxfId="14">
      <pivotArea outline="0" collapsedLevelsAreSubtotals="1" fieldPosition="0"/>
    </format>
    <format dxfId="13">
      <pivotArea outline="0" collapsedLevelsAreSubtotals="1" fieldPosition="0">
        <references count="1">
          <reference field="4294967294" count="1" selected="0">
            <x v="3"/>
          </reference>
        </references>
      </pivotArea>
    </format>
    <format dxfId="12">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68D698-AFF4-4560-A245-2E30044B4D90}" name="Customer_satisfac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A23" firstHeaderRow="1" firstDataRow="1" firstDataCol="0"/>
  <pivotFields count="31">
    <pivotField showAll="0"/>
    <pivotField numFmtId="14" showAll="0"/>
    <pivotField showAll="0">
      <items count="5">
        <item x="1"/>
        <item x="2"/>
        <item x="0"/>
        <item x="3"/>
        <item t="default"/>
      </items>
    </pivotField>
    <pivotField showAll="0"/>
    <pivotField showAll="0"/>
    <pivotField showAll="0">
      <items count="4">
        <item x="0"/>
        <item x="2"/>
        <item x="1"/>
        <item t="default"/>
      </items>
    </pivotField>
    <pivotField showAll="0"/>
    <pivotField showAll="0"/>
    <pivotField showAll="0">
      <items count="3">
        <item x="0"/>
        <item x="1"/>
        <item t="default"/>
      </items>
    </pivotField>
    <pivotField showAll="0">
      <items count="6">
        <item x="3"/>
        <item x="4"/>
        <item x="1"/>
        <item x="0"/>
        <item x="2"/>
        <item t="default"/>
      </items>
    </pivotField>
    <pivotField showAll="0">
      <items count="4">
        <item x="0"/>
        <item x="1"/>
        <item x="2"/>
        <item t="default"/>
      </items>
    </pivotField>
    <pivotField showAll="0"/>
    <pivotField numFmtId="1" showAll="0"/>
    <pivotField numFmtId="1" showAll="0"/>
    <pivotField showAll="0"/>
    <pivotField showAll="0"/>
    <pivotField numFmtId="1" showAll="0"/>
    <pivotField numFmtId="1" showAll="0"/>
    <pivotField numFmtId="1" showAll="0"/>
    <pivotField dataField="1" numFmtId="1" showAll="0"/>
    <pivotField numFmtId="1" showAll="0"/>
    <pivotField numFmtId="1" showAll="0"/>
    <pivotField numFmtId="1" showAll="0"/>
    <pivotField numFmtId="1" showAll="0"/>
    <pivotField numFmtId="1"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Average of Customer_Satisfaction" fld="19" subtotal="average" baseField="0" baseItem="0" numFmtId="166"/>
  </dataFields>
  <formats count="2">
    <format dxfId="17">
      <pivotArea dataOnly="0" labelOnly="1" outline="0" axis="axisValues" fieldPosition="0"/>
    </format>
    <format dxfId="16">
      <pivotArea outline="0" collapsedLevelsAreSubtotals="1" fieldPosition="0"/>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31A4C48-64F7-44CE-8401-E916141D47F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work_flag">
  <location ref="H23:L27" firstHeaderRow="1" firstDataRow="2" firstDataCol="1"/>
  <pivotFields count="31">
    <pivotField showAll="0"/>
    <pivotField numFmtId="14" showAll="0"/>
    <pivotField showAll="0">
      <items count="5">
        <item x="1"/>
        <item x="2"/>
        <item x="0"/>
        <item x="3"/>
        <item t="default"/>
      </items>
    </pivotField>
    <pivotField showAll="0"/>
    <pivotField showAll="0"/>
    <pivotField showAll="0">
      <items count="4">
        <item x="0"/>
        <item x="2"/>
        <item x="1"/>
        <item t="default"/>
      </items>
    </pivotField>
    <pivotField showAll="0"/>
    <pivotField showAll="0"/>
    <pivotField showAll="0">
      <items count="3">
        <item x="0"/>
        <item x="1"/>
        <item t="default"/>
      </items>
    </pivotField>
    <pivotField showAll="0">
      <items count="6">
        <item x="3"/>
        <item x="4"/>
        <item x="1"/>
        <item x="0"/>
        <item x="2"/>
        <item t="default"/>
      </items>
    </pivotField>
    <pivotField axis="axisCol" showAll="0">
      <items count="4">
        <item x="0"/>
        <item x="1"/>
        <item x="2"/>
        <item t="default"/>
      </items>
    </pivotField>
    <pivotField showAll="0"/>
    <pivotField numFmtId="1" showAll="0"/>
    <pivotField numFmtId="1" showAll="0"/>
    <pivotField axis="axisRow" showAll="0">
      <items count="3">
        <item x="1"/>
        <item x="0"/>
        <item t="default"/>
      </items>
    </pivotField>
    <pivotField showAll="0"/>
    <pivotField numFmtId="1" showAll="0"/>
    <pivotField dataField="1" numFmtId="1" showAll="0"/>
    <pivotField numFmtId="1" showAll="0"/>
    <pivotField numFmtId="1" showAll="0"/>
    <pivotField numFmtId="1" showAll="0"/>
    <pivotField numFmtId="1" showAll="0"/>
    <pivotField numFmtId="1" showAll="0"/>
    <pivotField numFmtId="1" showAll="0"/>
    <pivotField numFmtId="1" showAll="0"/>
    <pivotField showAll="0" includeNewItemsInFilter="1" countASubtotal="1"/>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4"/>
  </rowFields>
  <rowItems count="3">
    <i>
      <x/>
    </i>
    <i>
      <x v="1"/>
    </i>
    <i t="grand">
      <x/>
    </i>
  </rowItems>
  <colFields count="1">
    <field x="10"/>
  </colFields>
  <colItems count="4">
    <i>
      <x/>
    </i>
    <i>
      <x v="1"/>
    </i>
    <i>
      <x v="2"/>
    </i>
    <i t="grand">
      <x/>
    </i>
  </colItems>
  <dataFields count="1">
    <dataField name="Sum of Service_Cost" fld="17" baseField="0" baseItem="0" numFmtId="164"/>
  </dataFields>
  <formats count="3">
    <format dxfId="20">
      <pivotArea field="2" type="button" dataOnly="0" labelOnly="1" outline="0"/>
    </format>
    <format dxfId="19">
      <pivotArea outline="0" collapsedLevelsAreSubtotals="1" fieldPosition="0"/>
    </format>
    <format dxfId="18">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189CF8B-B1BE-489A-8E7C-88A421CB424B}" name="Csatisfaction_TATday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ustomer_satisfaction">
  <location ref="D7:E13" firstHeaderRow="1" firstDataRow="1" firstDataCol="1"/>
  <pivotFields count="31">
    <pivotField showAll="0"/>
    <pivotField numFmtId="14" showAll="0"/>
    <pivotField showAll="0">
      <items count="5">
        <item x="1"/>
        <item x="2"/>
        <item x="0"/>
        <item x="3"/>
        <item t="default"/>
      </items>
    </pivotField>
    <pivotField showAll="0"/>
    <pivotField showAll="0"/>
    <pivotField showAll="0">
      <items count="4">
        <item x="0"/>
        <item x="2"/>
        <item x="1"/>
        <item t="default"/>
      </items>
    </pivotField>
    <pivotField showAll="0"/>
    <pivotField showAll="0"/>
    <pivotField showAll="0">
      <items count="3">
        <item x="0"/>
        <item x="1"/>
        <item t="default"/>
      </items>
    </pivotField>
    <pivotField showAll="0">
      <items count="6">
        <item x="3"/>
        <item x="4"/>
        <item x="1"/>
        <item x="0"/>
        <item x="2"/>
        <item t="default"/>
      </items>
    </pivotField>
    <pivotField showAll="0">
      <items count="4">
        <item x="0"/>
        <item x="1"/>
        <item x="2"/>
        <item t="default"/>
      </items>
    </pivotField>
    <pivotField showAll="0"/>
    <pivotField dataField="1" numFmtId="1" showAll="0"/>
    <pivotField numFmtId="1" showAll="0"/>
    <pivotField showAll="0"/>
    <pivotField showAll="0"/>
    <pivotField numFmtId="1" showAll="0"/>
    <pivotField numFmtId="1" showAll="0"/>
    <pivotField numFmtId="1" showAll="0"/>
    <pivotField axis="axisRow" numFmtId="1" showAll="0">
      <items count="6">
        <item x="0"/>
        <item x="1"/>
        <item x="2"/>
        <item x="3"/>
        <item x="4"/>
        <item t="default"/>
      </items>
    </pivotField>
    <pivotField numFmtId="1" showAll="0"/>
    <pivotField numFmtId="1" showAll="0"/>
    <pivotField numFmtId="1" showAll="0"/>
    <pivotField numFmtId="1" showAll="0"/>
    <pivotField numFmtId="1" showAll="0"/>
    <pivotField showAll="0" includeNewItemsInFilter="1" countASubtotal="1"/>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9"/>
  </rowFields>
  <rowItems count="6">
    <i>
      <x/>
    </i>
    <i>
      <x v="1"/>
    </i>
    <i>
      <x v="2"/>
    </i>
    <i>
      <x v="3"/>
    </i>
    <i>
      <x v="4"/>
    </i>
    <i t="grand">
      <x/>
    </i>
  </rowItems>
  <colItems count="1">
    <i/>
  </colItems>
  <dataFields count="1">
    <dataField name="Average of TAT_Days" fld="12" subtotal="average" baseField="19" baseItem="0" numFmtId="1"/>
  </dataFields>
  <formats count="1">
    <format dxfId="21">
      <pivotArea field="2" type="button" dataOnly="0" labelOnly="1" outline="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C7D0C51-8D1A-4AB0-A58D-C68749F32E52}" name="Rework_partsavai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Rework_flag" colHeaderCaption="Parts_availability">
  <location ref="D16:G20" firstHeaderRow="1" firstDataRow="2" firstDataCol="1"/>
  <pivotFields count="31">
    <pivotField showAll="0"/>
    <pivotField numFmtId="14" showAll="0"/>
    <pivotField showAll="0">
      <items count="5">
        <item x="1"/>
        <item x="2"/>
        <item x="0"/>
        <item x="3"/>
        <item t="default"/>
      </items>
    </pivotField>
    <pivotField showAll="0"/>
    <pivotField showAll="0"/>
    <pivotField showAll="0">
      <items count="4">
        <item x="0"/>
        <item x="2"/>
        <item x="1"/>
        <item t="default"/>
      </items>
    </pivotField>
    <pivotField showAll="0"/>
    <pivotField showAll="0"/>
    <pivotField showAll="0">
      <items count="3">
        <item x="0"/>
        <item x="1"/>
        <item t="default"/>
      </items>
    </pivotField>
    <pivotField showAll="0">
      <items count="6">
        <item x="3"/>
        <item x="4"/>
        <item x="1"/>
        <item x="0"/>
        <item x="2"/>
        <item t="default"/>
      </items>
    </pivotField>
    <pivotField showAll="0">
      <items count="4">
        <item x="0"/>
        <item x="1"/>
        <item x="2"/>
        <item t="default"/>
      </items>
    </pivotField>
    <pivotField axis="axisCol" dataField="1" showAll="0">
      <items count="3">
        <item x="0"/>
        <item x="1"/>
        <item t="default"/>
      </items>
    </pivotField>
    <pivotField numFmtId="1" showAll="0"/>
    <pivotField numFmtId="1" showAll="0"/>
    <pivotField axis="axisRow" showAll="0">
      <items count="3">
        <item x="1"/>
        <item x="0"/>
        <item t="default"/>
      </items>
    </pivotField>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includeNewItemsInFilter="1" countASubtotal="1"/>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4"/>
  </rowFields>
  <rowItems count="3">
    <i>
      <x/>
    </i>
    <i>
      <x v="1"/>
    </i>
    <i t="grand">
      <x/>
    </i>
  </rowItems>
  <colFields count="1">
    <field x="11"/>
  </colFields>
  <colItems count="3">
    <i>
      <x/>
    </i>
    <i>
      <x v="1"/>
    </i>
    <i t="grand">
      <x/>
    </i>
  </colItems>
  <dataFields count="1">
    <dataField name="Count of Parts_Availability" fld="11" subtotal="count" baseField="0" baseItem="0"/>
  </dataFields>
  <formats count="1">
    <format dxfId="22">
      <pivotArea field="2" type="button" dataOnly="0" labelOnly="1" outline="0"/>
    </format>
  </formats>
  <chartFormats count="2">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8D90BF1-B7C8-4D59-93B1-CEDAC1E7452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Issue _severity" colHeaderCaption="Rework_flag">
  <location ref="H15:K20" firstHeaderRow="1" firstDataRow="2" firstDataCol="1"/>
  <pivotFields count="31">
    <pivotField showAll="0"/>
    <pivotField numFmtId="14" showAll="0"/>
    <pivotField showAll="0">
      <items count="5">
        <item x="1"/>
        <item x="2"/>
        <item x="0"/>
        <item x="3"/>
        <item t="default"/>
      </items>
    </pivotField>
    <pivotField showAll="0"/>
    <pivotField showAll="0"/>
    <pivotField showAll="0">
      <items count="4">
        <item x="0"/>
        <item x="2"/>
        <item x="1"/>
        <item t="default"/>
      </items>
    </pivotField>
    <pivotField showAll="0"/>
    <pivotField showAll="0"/>
    <pivotField showAll="0">
      <items count="3">
        <item x="0"/>
        <item x="1"/>
        <item t="default"/>
      </items>
    </pivotField>
    <pivotField showAll="0">
      <items count="6">
        <item x="3"/>
        <item x="4"/>
        <item x="1"/>
        <item x="0"/>
        <item x="2"/>
        <item t="default"/>
      </items>
    </pivotField>
    <pivotField axis="axisRow" showAll="0">
      <items count="4">
        <item x="0"/>
        <item x="1"/>
        <item x="2"/>
        <item t="default"/>
      </items>
    </pivotField>
    <pivotField showAll="0"/>
    <pivotField numFmtId="1" showAll="0"/>
    <pivotField numFmtId="1" showAll="0"/>
    <pivotField axis="axisCol" showAll="0">
      <items count="3">
        <item x="1"/>
        <item x="0"/>
        <item t="default"/>
      </items>
    </pivotField>
    <pivotField showAll="0">
      <items count="3">
        <item x="1"/>
        <item x="0"/>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dataField="1" numFmtId="1"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0"/>
  </rowFields>
  <rowItems count="4">
    <i>
      <x/>
    </i>
    <i>
      <x v="1"/>
    </i>
    <i>
      <x v="2"/>
    </i>
    <i t="grand">
      <x/>
    </i>
  </rowItems>
  <colFields count="1">
    <field x="14"/>
  </colFields>
  <colItems count="3">
    <i>
      <x/>
    </i>
    <i>
      <x v="1"/>
    </i>
    <i t="grand">
      <x/>
    </i>
  </colItems>
  <dataFields count="1">
    <dataField name="Sum of count_of_job" fld="24" baseField="0" baseItem="0" numFmtId="1"/>
  </dataFields>
  <formats count="3">
    <format dxfId="25">
      <pivotArea outline="0" collapsedLevelsAreSubtotals="1" fieldPosition="0"/>
    </format>
    <format dxfId="24">
      <pivotArea collapsedLevelsAreSubtotals="1" fieldPosition="0">
        <references count="2">
          <reference field="10" count="1">
            <x v="0"/>
          </reference>
          <reference field="14" count="1" selected="0">
            <x v="1"/>
          </reference>
        </references>
      </pivotArea>
    </format>
    <format dxfId="23">
      <pivotArea collapsedLevelsAreSubtotals="1" fieldPosition="0">
        <references count="2">
          <reference field="10" count="1">
            <x v="2"/>
          </reference>
          <reference field="1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764161D-0D04-45F3-9543-F75362414ED4}" name="C_S_bucke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ust_satis_bucket">
  <location ref="A36:C40" firstHeaderRow="0" firstDataRow="1" firstDataCol="1"/>
  <pivotFields count="31">
    <pivotField showAll="0"/>
    <pivotField numFmtId="14" showAll="0"/>
    <pivotField showAll="0">
      <items count="5">
        <item x="1"/>
        <item x="2"/>
        <item x="0"/>
        <item x="3"/>
        <item t="default"/>
      </items>
    </pivotField>
    <pivotField showAll="0"/>
    <pivotField showAll="0"/>
    <pivotField showAll="0">
      <items count="4">
        <item x="0"/>
        <item x="2"/>
        <item x="1"/>
        <item t="default"/>
      </items>
    </pivotField>
    <pivotField showAll="0"/>
    <pivotField showAll="0"/>
    <pivotField showAll="0">
      <items count="3">
        <item x="0"/>
        <item x="1"/>
        <item t="default"/>
      </items>
    </pivotField>
    <pivotField showAll="0">
      <items count="6">
        <item x="3"/>
        <item x="4"/>
        <item x="1"/>
        <item x="0"/>
        <item x="2"/>
        <item t="default"/>
      </items>
    </pivotField>
    <pivotField showAll="0">
      <items count="4">
        <item x="0"/>
        <item x="1"/>
        <item x="2"/>
        <item t="default"/>
      </items>
    </pivotField>
    <pivotField showAll="0"/>
    <pivotField numFmtId="1" showAll="0"/>
    <pivotField numFmtId="1"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dataField="1" numFmtId="1" showAll="0"/>
    <pivotField showAll="0"/>
    <pivotField axis="axisRow" showAll="0">
      <items count="4">
        <item x="2"/>
        <item x="1"/>
        <item x="0"/>
        <item t="default"/>
      </items>
    </pivotField>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s>
  <rowFields count="1">
    <field x="26"/>
  </rowFields>
  <rowItems count="4">
    <i>
      <x/>
    </i>
    <i>
      <x v="1"/>
    </i>
    <i>
      <x v="2"/>
    </i>
    <i t="grand">
      <x/>
    </i>
  </rowItems>
  <colFields count="1">
    <field x="-2"/>
  </colFields>
  <colItems count="2">
    <i>
      <x/>
    </i>
    <i i="1">
      <x v="1"/>
    </i>
  </colItems>
  <dataFields count="2">
    <dataField name="Sum of Repeat_visit_rate" fld="30" baseField="26" baseItem="0" numFmtId="43"/>
    <dataField name="Sum of count_of_job" fld="24" baseField="0" baseItem="0" numFmtId="1"/>
  </dataFields>
  <formats count="1">
    <format dxfId="26">
      <pivotArea outline="0" collapsedLevelsAreSubtotals="1" fieldPosition="0"/>
    </format>
  </formats>
  <chartFormats count="8">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26" count="1" selected="0">
            <x v="0"/>
          </reference>
        </references>
      </pivotArea>
    </chartFormat>
    <chartFormat chart="2" format="7">
      <pivotArea type="data" outline="0" fieldPosition="0">
        <references count="2">
          <reference field="4294967294" count="1" selected="0">
            <x v="0"/>
          </reference>
          <reference field="26" count="1" selected="0">
            <x v="1"/>
          </reference>
        </references>
      </pivotArea>
    </chartFormat>
    <chartFormat chart="2" format="8">
      <pivotArea type="data" outline="0" fieldPosition="0">
        <references count="2">
          <reference field="4294967294" count="1" selected="0">
            <x v="0"/>
          </reference>
          <reference field="26" count="1" selected="0">
            <x v="2"/>
          </reference>
        </references>
      </pivotArea>
    </chartFormat>
    <chartFormat chart="2" format="10" series="1">
      <pivotArea type="data" outline="0" fieldPosition="0">
        <references count="1">
          <reference field="4294967294" count="1" selected="0">
            <x v="1"/>
          </reference>
        </references>
      </pivotArea>
    </chartFormat>
    <chartFormat chart="2" format="11">
      <pivotArea type="data" outline="0" fieldPosition="0">
        <references count="2">
          <reference field="4294967294" count="1" selected="0">
            <x v="1"/>
          </reference>
          <reference field="26" count="1" selected="0">
            <x v="0"/>
          </reference>
        </references>
      </pivotArea>
    </chartFormat>
    <chartFormat chart="2" format="12">
      <pivotArea type="data" outline="0" fieldPosition="0">
        <references count="2">
          <reference field="4294967294" count="1" selected="0">
            <x v="1"/>
          </reference>
          <reference field="26" count="1" selected="0">
            <x v="1"/>
          </reference>
        </references>
      </pivotArea>
    </chartFormat>
    <chartFormat chart="2" format="13">
      <pivotArea type="data" outline="0" fieldPosition="0">
        <references count="2">
          <reference field="4294967294" count="1" selected="0">
            <x v="1"/>
          </reference>
          <reference field="2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29397CA-DA20-43A3-991F-4F6E7996F350}" name="Region_risk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Region" colHeaderCaption="Issue_severity">
  <location ref="A28:E34" firstHeaderRow="1" firstDataRow="2" firstDataCol="1"/>
  <pivotFields count="31">
    <pivotField showAll="0"/>
    <pivotField numFmtId="14" showAll="0"/>
    <pivotField axis="axisRow" showAll="0">
      <items count="5">
        <item x="1"/>
        <item x="2"/>
        <item x="0"/>
        <item x="3"/>
        <item t="default"/>
      </items>
    </pivotField>
    <pivotField showAll="0"/>
    <pivotField showAll="0"/>
    <pivotField showAll="0">
      <items count="4">
        <item x="0"/>
        <item x="2"/>
        <item x="1"/>
        <item t="default"/>
      </items>
    </pivotField>
    <pivotField showAll="0"/>
    <pivotField showAll="0"/>
    <pivotField showAll="0">
      <items count="3">
        <item x="0"/>
        <item x="1"/>
        <item t="default"/>
      </items>
    </pivotField>
    <pivotField showAll="0">
      <items count="6">
        <item x="3"/>
        <item x="4"/>
        <item x="1"/>
        <item x="0"/>
        <item x="2"/>
        <item t="default"/>
      </items>
    </pivotField>
    <pivotField axis="axisCol" showAll="0">
      <items count="4">
        <item x="0"/>
        <item x="1"/>
        <item x="2"/>
        <item t="default"/>
      </items>
    </pivotField>
    <pivotField showAll="0"/>
    <pivotField numFmtId="1" showAll="0"/>
    <pivotField numFmtId="1" showAll="0"/>
    <pivotField showAll="0"/>
    <pivotField showAll="0"/>
    <pivotField numFmtId="1" showAll="0"/>
    <pivotField numFmtId="1" showAll="0"/>
    <pivotField numFmtId="1" showAll="0"/>
    <pivotField numFmtId="1" showAll="0"/>
    <pivotField dataField="1" numFmtId="1" showAll="0"/>
    <pivotField numFmtId="1" showAll="0"/>
    <pivotField numFmtId="1" showAll="0"/>
    <pivotField numFmtId="1" showAll="0"/>
    <pivotField numFmtId="1"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
  </rowFields>
  <rowItems count="5">
    <i>
      <x/>
    </i>
    <i>
      <x v="1"/>
    </i>
    <i>
      <x v="2"/>
    </i>
    <i>
      <x v="3"/>
    </i>
    <i t="grand">
      <x/>
    </i>
  </rowItems>
  <colFields count="1">
    <field x="10"/>
  </colFields>
  <colItems count="4">
    <i>
      <x/>
    </i>
    <i>
      <x v="1"/>
    </i>
    <i>
      <x v="2"/>
    </i>
    <i t="grand">
      <x/>
    </i>
  </colItems>
  <dataFields count="1">
    <dataField name="Sum of Revenue_at_Risk" fld="20" baseField="0" baseItem="0" numFmtId="164"/>
  </dataFields>
  <formats count="1">
    <format dxfId="27">
      <pivotArea outline="0" collapsedLevelsAreSubtotals="1" fieldPosition="0"/>
    </format>
  </formats>
  <chartFormats count="3">
    <chartFormat chart="2" format="6" series="1">
      <pivotArea type="data" outline="0" fieldPosition="0">
        <references count="2">
          <reference field="4294967294" count="1" selected="0">
            <x v="0"/>
          </reference>
          <reference field="10" count="1" selected="0">
            <x v="0"/>
          </reference>
        </references>
      </pivotArea>
    </chartFormat>
    <chartFormat chart="2" format="7" series="1">
      <pivotArea type="data" outline="0" fieldPosition="0">
        <references count="2">
          <reference field="4294967294" count="1" selected="0">
            <x v="0"/>
          </reference>
          <reference field="10" count="1" selected="0">
            <x v="1"/>
          </reference>
        </references>
      </pivotArea>
    </chartFormat>
    <chartFormat chart="2"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0124EE8-44EB-444C-98EB-CDC75058C079}" name="Region_Risk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Region">
  <location ref="A13:B18" firstHeaderRow="1" firstDataRow="1" firstDataCol="1"/>
  <pivotFields count="31">
    <pivotField showAll="0"/>
    <pivotField numFmtId="14" showAll="0"/>
    <pivotField axis="axisRow" showAll="0">
      <items count="5">
        <item x="1"/>
        <item x="2"/>
        <item x="0"/>
        <item x="3"/>
        <item t="default"/>
      </items>
    </pivotField>
    <pivotField showAll="0"/>
    <pivotField showAll="0"/>
    <pivotField showAll="0">
      <items count="4">
        <item x="0"/>
        <item x="2"/>
        <item x="1"/>
        <item t="default"/>
      </items>
    </pivotField>
    <pivotField showAll="0"/>
    <pivotField showAll="0"/>
    <pivotField showAll="0">
      <items count="3">
        <item x="0"/>
        <item x="1"/>
        <item t="default"/>
      </items>
    </pivotField>
    <pivotField showAll="0">
      <items count="6">
        <item x="3"/>
        <item x="4"/>
        <item x="1"/>
        <item x="0"/>
        <item x="2"/>
        <item t="default"/>
      </items>
    </pivotField>
    <pivotField showAll="0">
      <items count="4">
        <item x="0"/>
        <item x="1"/>
        <item x="2"/>
        <item t="default"/>
      </items>
    </pivotField>
    <pivotField showAll="0"/>
    <pivotField numFmtId="1" showAll="0"/>
    <pivotField numFmtId="1" showAll="0"/>
    <pivotField showAll="0"/>
    <pivotField showAll="0"/>
    <pivotField numFmtId="1" showAll="0"/>
    <pivotField numFmtId="1" showAll="0"/>
    <pivotField numFmtId="1" showAll="0"/>
    <pivotField numFmtId="1" showAll="0"/>
    <pivotField dataField="1" numFmtId="1" showAll="0"/>
    <pivotField numFmtId="1" showAll="0"/>
    <pivotField numFmtId="1" showAll="0"/>
    <pivotField numFmtId="1" showAll="0"/>
    <pivotField numFmtId="1"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
  </rowFields>
  <rowItems count="5">
    <i>
      <x/>
    </i>
    <i>
      <x v="1"/>
    </i>
    <i>
      <x v="2"/>
    </i>
    <i>
      <x v="3"/>
    </i>
    <i t="grand">
      <x/>
    </i>
  </rowItems>
  <colItems count="1">
    <i/>
  </colItems>
  <dataFields count="1">
    <dataField name="Sum of Revenue_at_Risk" fld="20" baseField="0" baseItem="0" numFmtId="164"/>
  </dataFields>
  <formats count="1">
    <format dxfId="2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C8FF213-A084-4002-951B-AA803497CA7D}" sourceName="Region">
  <pivotTables>
    <pivotTable tabId="3" name="KPI_Pivot"/>
    <pivotTable tabId="3" name="Csatisfaction_TATdays"/>
    <pivotTable tabId="3" name="region_revenue/profit"/>
    <pivotTable tabId="3" name="Region_RiskRevenue"/>
    <pivotTable tabId="3" name="Rework_CS/Tat/cost/jobID"/>
    <pivotTable tabId="3" name="Rework_partsavail"/>
    <pivotTable tabId="3" name="Customer_satisfaction"/>
    <pivotTable tabId="3" name="Root cause of Risk Revenue"/>
    <pivotTable tabId="3" name="C_S_bucket"/>
    <pivotTable tabId="3" name="PivotTable1"/>
    <pivotTable tabId="3" name="PivotTable3"/>
  </pivotTables>
  <data>
    <tabular pivotCacheId="1881287014">
      <items count="4">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enter_Type" xr10:uid="{AF7FB696-5946-437E-B02C-88DF2F2B4C1D}" sourceName="Center_Type">
  <pivotTables>
    <pivotTable tabId="3" name="KPI_Pivot"/>
    <pivotTable tabId="3" name="Csatisfaction_TATdays"/>
    <pivotTable tabId="3" name="region_revenue/profit"/>
    <pivotTable tabId="3" name="Region_RiskRevenue"/>
    <pivotTable tabId="3" name="Rework_CS/Tat/cost/jobID"/>
    <pivotTable tabId="3" name="Rework_partsavail"/>
    <pivotTable tabId="3" name="Customer_satisfaction"/>
    <pivotTable tabId="3" name="Root cause of Risk Revenue"/>
    <pivotTable tabId="3" name="Region_risk_revenue"/>
    <pivotTable tabId="3" name="C_S_bucket"/>
    <pivotTable tabId="3" name="PivotTable1"/>
    <pivotTable tabId="3" name="PivotTable3"/>
  </pivotTables>
  <data>
    <tabular pivotCacheId="1881287014">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ice_Type" xr10:uid="{41076BD7-61EA-4134-B15B-8BAEEF309CA6}" sourceName="Service_Type">
  <pivotTables>
    <pivotTable tabId="3" name="KPI_Pivot"/>
    <pivotTable tabId="3" name="Csatisfaction_TATdays"/>
    <pivotTable tabId="3" name="region_revenue/profit"/>
    <pivotTable tabId="3" name="Region_RiskRevenue"/>
    <pivotTable tabId="3" name="Rework_CS/Tat/cost/jobID"/>
    <pivotTable tabId="3" name="Rework_partsavail"/>
    <pivotTable tabId="3" name="Customer_satisfaction"/>
    <pivotTable tabId="3" name="Root cause of Risk Revenue"/>
    <pivotTable tabId="3" name="Region_risk_revenue"/>
    <pivotTable tabId="3" name="C_S_bucket"/>
    <pivotTable tabId="3" name="PivotTable1"/>
    <pivotTable tabId="3" name="PivotTable3"/>
  </pivotTables>
  <data>
    <tabular pivotCacheId="1881287014">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sue_Category" xr10:uid="{AA69E2EC-4F9F-48BE-A71F-9E90C0C81BB6}" sourceName="Issue_Category">
  <pivotTables>
    <pivotTable tabId="3" name="KPI_Pivot"/>
    <pivotTable tabId="3" name="Csatisfaction_TATdays"/>
    <pivotTable tabId="3" name="region_revenue/profit"/>
    <pivotTable tabId="3" name="Region_RiskRevenue"/>
    <pivotTable tabId="3" name="Rework_CS/Tat/cost/jobID"/>
    <pivotTable tabId="3" name="Rework_partsavail"/>
    <pivotTable tabId="3" name="Customer_satisfaction"/>
    <pivotTable tabId="3" name="Root cause of Risk Revenue"/>
    <pivotTable tabId="3" name="Region_risk_revenue"/>
    <pivotTable tabId="3" name="C_S_bucket"/>
    <pivotTable tabId="3" name="PivotTable1"/>
    <pivotTable tabId="3" name="PivotTable3"/>
  </pivotTables>
  <data>
    <tabular pivotCacheId="1881287014">
      <items count="5">
        <i x="3" s="1"/>
        <i x="4" s="1"/>
        <i x="1"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sue_Severity" xr10:uid="{85451FDE-59A6-456A-8542-7FDA886F4292}" sourceName="Issue_Severity">
  <pivotTables>
    <pivotTable tabId="3" name="KPI_Pivot"/>
    <pivotTable tabId="3" name="Csatisfaction_TATdays"/>
    <pivotTable tabId="3" name="region_revenue/profit"/>
    <pivotTable tabId="3" name="Region_RiskRevenue"/>
    <pivotTable tabId="3" name="Rework_CS/Tat/cost/jobID"/>
    <pivotTable tabId="3" name="Rework_partsavail"/>
    <pivotTable tabId="3" name="Customer_satisfaction"/>
    <pivotTable tabId="3" name="Root cause of Risk Revenue"/>
    <pivotTable tabId="3" name="Region_risk_revenue"/>
    <pivotTable tabId="3" name="C_S_bucket"/>
    <pivotTable tabId="3" name="PivotTable1"/>
    <pivotTable tabId="3" name="PivotTable3"/>
  </pivotTables>
  <data>
    <tabular pivotCacheId="1881287014">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F6C9E1B-88ED-407F-891C-75F533A7E2D1}" cache="Slicer_Region" caption="Region" rowHeight="241300"/>
  <slicer name="Center_Type" xr10:uid="{CBE9563D-D970-4EF4-94EB-C725489368AD}" cache="Slicer_Center_Type" caption="Center_Type" rowHeight="241300"/>
  <slicer name="Service_Type" xr10:uid="{E41654B9-8A01-4E34-AA00-2140B8598BE0}" cache="Slicer_Service_Type" caption="Service_Type" rowHeight="241300"/>
  <slicer name="Issue_Category" xr10:uid="{5E5EAEA0-50A7-41F4-BBD4-92A9EA8373F0}" cache="Slicer_Issue_Category" caption="Issue_Category" rowHeight="241300"/>
  <slicer name="Issue_Severity" xr10:uid="{F55D1CD3-653C-4338-8524-C023486CBA9C}" cache="Slicer_Issue_Severity" caption="Issue_Severit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4CCD0C-FB2F-4726-8558-FE501C45E516}" name="Table1" displayName="Table1" ref="A1:AA3001" totalsRowShown="0" headerRowDxfId="44">
  <autoFilter ref="A1:AA3001" xr:uid="{814CCD0C-FB2F-4726-8558-FE501C45E516}"/>
  <tableColumns count="27">
    <tableColumn id="1" xr3:uid="{3B80D66E-7C22-4638-916B-A643F20B3F9C}" name="Job_ID"/>
    <tableColumn id="2" xr3:uid="{20807BAC-3E1D-4924-8E43-4FC5AD23A83B}" name="Job_Date" dataDxfId="43"/>
    <tableColumn id="3" xr3:uid="{8050F7F9-A9B1-4B1A-AC56-FD1DFC82D7BB}" name="Region"/>
    <tableColumn id="4" xr3:uid="{7962B741-1A38-4629-AF7E-BF12B8762218}" name="City"/>
    <tableColumn id="5" xr3:uid="{D26CE26D-1D55-4F70-A794-76A5AFDDF29D}" name="Service_Center"/>
    <tableColumn id="6" xr3:uid="{CC2500F1-3EE6-4CE5-A47C-BFFE0B59DF7C}" name="Center_Type"/>
    <tableColumn id="7" xr3:uid="{88DF13E8-1824-45F7-8ED5-7F44F48E1066}" name="Vehicle_Model"/>
    <tableColumn id="8" xr3:uid="{C8BFA3A6-8A4B-4DCF-81D0-71634574E262}" name="Vehicle_Segment"/>
    <tableColumn id="9" xr3:uid="{04E78995-FBBC-430D-BE78-EC27DC82E929}" name="Service_Type"/>
    <tableColumn id="10" xr3:uid="{91C795EC-1D86-4191-BD46-D12FD5800829}" name="Issue_Category"/>
    <tableColumn id="11" xr3:uid="{316B36A6-99AC-432A-B52E-0FC9750F1482}" name="Issue_Severity"/>
    <tableColumn id="12" xr3:uid="{268FEC4C-F285-4B79-A881-A15000D1719E}" name="Parts_Availability"/>
    <tableColumn id="13" xr3:uid="{860061CE-5397-4770-8789-CD2096A9026C}" name="TAT_Days" dataDxfId="42"/>
    <tableColumn id="14" xr3:uid="{AE23ABDF-2621-4AAC-A79E-996928EA887A}" name="SLA_TAT" dataDxfId="41"/>
    <tableColumn id="15" xr3:uid="{0A20E393-AE7C-444F-812F-60D3A0CBD6C6}" name="Rework_Flag"/>
    <tableColumn id="16" xr3:uid="{27B8053A-0226-41FE-BC25-E953B557A842}" name="Warranty_Claim"/>
    <tableColumn id="17" xr3:uid="{5D5447A0-1124-42A9-AFC9-6068A51AAB9E}" name="Service_Revenue" dataDxfId="40"/>
    <tableColumn id="18" xr3:uid="{2257E32A-68B0-44A8-ACC1-9BCD9BFCC53A}" name="Service_Cost" dataDxfId="39"/>
    <tableColumn id="21" xr3:uid="{01402DD0-4FB7-443B-AF46-B4AD81A473C5}" name="Profit" dataDxfId="38">
      <calculatedColumnFormula>Table1[[#This Row],[Service_Revenue]]-Table1[[#This Row],[Service_Cost]]</calculatedColumnFormula>
    </tableColumn>
    <tableColumn id="19" xr3:uid="{4E5F6EEB-4519-4836-A503-BCFB22F2403F}" name="Customer_Satisfaction" dataDxfId="37"/>
    <tableColumn id="20" xr3:uid="{D78E3F5D-7F00-475B-A8F8-86C6F2A36039}" name="Revenue_at_Risk" dataDxfId="36">
      <calculatedColumnFormula>IF(AND(Table1[[#This Row],[Rework_Flag]]="Yes",Table1[[#This Row],[Warranty_Claim]]="No"),Table1[[#This Row],[Service_Revenue]],0)</calculatedColumnFormula>
    </tableColumn>
    <tableColumn id="22" xr3:uid="{F2A6BD9D-8A35-44AE-A978-8AEEDDA69A15}" name="Warranty_claim_Num" dataDxfId="35">
      <calculatedColumnFormula>IF(Table1[[#This Row],[Warranty_Claim]]="Yes",1,0)</calculatedColumnFormula>
    </tableColumn>
    <tableColumn id="23" xr3:uid="{5092CEFD-8D13-44FF-825A-54D5EBB4211E}" name="First_time_num" dataDxfId="34">
      <calculatedColumnFormula>IF(Table1[[#This Row],[Rework_Flag]]="No",1,0)</calculatedColumnFormula>
    </tableColumn>
    <tableColumn id="24" xr3:uid="{9EAD493A-91FF-44F1-8E3B-3490AFFDF0EA}" name="Repeat_visit_num" dataDxfId="33">
      <calculatedColumnFormula>IF(Table1[[#This Row],[Rework_Flag]]="Yes",1,0)</calculatedColumnFormula>
    </tableColumn>
    <tableColumn id="25" xr3:uid="{95033D1E-4422-4BE9-9DA2-7A117AE5A623}" name="count_of_job" dataDxfId="32"/>
    <tableColumn id="26" xr3:uid="{A566C848-2A86-4120-A5BA-1313CC6E7A18}" name="SLA_Breached" dataDxfId="31">
      <calculatedColumnFormula>IF(Table1[[#This Row],[TAT_Days]]&gt;Table1[[#This Row],[SLA_TAT]],"Yes","No")</calculatedColumnFormula>
    </tableColumn>
    <tableColumn id="27" xr3:uid="{440E8A85-01CF-4E90-BAC2-5F9FFD529EE8}" name="Customer_satisfaction_bucket" dataDxfId="30">
      <calculatedColumnFormula array="1">_xlfn.IFS(Table1[[#This Row],[Customer_Satisfaction]]&lt;=2,"Poor",Table1[[#This Row],[Customer_Satisfaction]]=3,"Neutral",Table1[[#This Row],[Customer_Satisfaction]]=4,"Good",Table1[[#This Row],[Customer_Satisfaction]]=5,"Good")</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001"/>
  <sheetViews>
    <sheetView zoomScale="89" zoomScaleNormal="100" workbookViewId="0">
      <selection activeCell="A7" sqref="A7"/>
    </sheetView>
  </sheetViews>
  <sheetFormatPr defaultRowHeight="14.5" x14ac:dyDescent="0.35"/>
  <cols>
    <col min="2" max="2" width="10.6328125" style="1" customWidth="1"/>
    <col min="4" max="4" width="12.26953125" bestFit="1" customWidth="1"/>
    <col min="5" max="5" width="15.26953125" customWidth="1"/>
    <col min="6" max="6" width="13.453125" customWidth="1"/>
    <col min="7" max="7" width="15.1796875" customWidth="1"/>
    <col min="8" max="8" width="17.08984375" customWidth="1"/>
    <col min="9" max="9" width="13.6328125" customWidth="1"/>
    <col min="10" max="10" width="15.54296875" customWidth="1"/>
    <col min="11" max="11" width="14.7265625" customWidth="1"/>
    <col min="12" max="12" width="17.26953125" customWidth="1"/>
    <col min="13" max="13" width="11" style="4" customWidth="1"/>
    <col min="14" max="14" width="9.90625" style="4" customWidth="1"/>
    <col min="15" max="15" width="13.453125" customWidth="1"/>
    <col min="16" max="16" width="16.453125" customWidth="1"/>
    <col min="17" max="17" width="16.81640625" style="4" customWidth="1"/>
    <col min="18" max="19" width="13.36328125" style="4" customWidth="1"/>
    <col min="20" max="20" width="21.7265625" style="4" customWidth="1"/>
    <col min="21" max="21" width="16.54296875" bestFit="1" customWidth="1"/>
    <col min="22" max="22" width="21.81640625" bestFit="1" customWidth="1"/>
    <col min="23" max="23" width="10.90625" bestFit="1" customWidth="1"/>
    <col min="25" max="25" width="9.90625" bestFit="1" customWidth="1"/>
    <col min="27" max="27" width="31.08984375" bestFit="1" customWidth="1"/>
    <col min="30" max="30" width="8.1796875" bestFit="1" customWidth="1"/>
  </cols>
  <sheetData>
    <row r="1" spans="1:27" s="2" customFormat="1" x14ac:dyDescent="0.35">
      <c r="A1" s="2" t="s">
        <v>0</v>
      </c>
      <c r="B1" s="3" t="s">
        <v>1</v>
      </c>
      <c r="C1" s="2" t="s">
        <v>2</v>
      </c>
      <c r="D1" s="2" t="s">
        <v>3</v>
      </c>
      <c r="E1" s="2" t="s">
        <v>4</v>
      </c>
      <c r="F1" s="2" t="s">
        <v>5</v>
      </c>
      <c r="G1" s="2" t="s">
        <v>6</v>
      </c>
      <c r="H1" s="2" t="s">
        <v>7</v>
      </c>
      <c r="I1" s="2" t="s">
        <v>8</v>
      </c>
      <c r="J1" s="2" t="s">
        <v>9</v>
      </c>
      <c r="K1" s="2" t="s">
        <v>10</v>
      </c>
      <c r="L1" s="2" t="s">
        <v>11</v>
      </c>
      <c r="M1" s="5" t="s">
        <v>12</v>
      </c>
      <c r="N1" s="5" t="s">
        <v>13</v>
      </c>
      <c r="O1" s="2" t="s">
        <v>14</v>
      </c>
      <c r="P1" s="2" t="s">
        <v>15</v>
      </c>
      <c r="Q1" s="5" t="s">
        <v>16</v>
      </c>
      <c r="R1" s="5" t="s">
        <v>17</v>
      </c>
      <c r="S1" s="5" t="s">
        <v>130</v>
      </c>
      <c r="T1" s="5" t="s">
        <v>18</v>
      </c>
      <c r="U1" s="5" t="s">
        <v>150</v>
      </c>
      <c r="V1" s="5" t="s">
        <v>157</v>
      </c>
      <c r="W1" s="5" t="s">
        <v>159</v>
      </c>
      <c r="X1" s="5" t="s">
        <v>160</v>
      </c>
      <c r="Y1" s="5" t="s">
        <v>163</v>
      </c>
      <c r="Z1" s="5" t="s">
        <v>165</v>
      </c>
      <c r="AA1" s="5" t="s">
        <v>186</v>
      </c>
    </row>
    <row r="2" spans="1:27" x14ac:dyDescent="0.35">
      <c r="A2">
        <v>20000</v>
      </c>
      <c r="B2" s="1">
        <v>45378</v>
      </c>
      <c r="C2" t="s">
        <v>19</v>
      </c>
      <c r="D2" t="s">
        <v>20</v>
      </c>
      <c r="E2" t="s">
        <v>21</v>
      </c>
      <c r="F2" t="s">
        <v>22</v>
      </c>
      <c r="G2" t="s">
        <v>23</v>
      </c>
      <c r="H2" t="s">
        <v>24</v>
      </c>
      <c r="I2" t="s">
        <v>25</v>
      </c>
      <c r="J2" t="s">
        <v>26</v>
      </c>
      <c r="K2" t="s">
        <v>27</v>
      </c>
      <c r="L2" t="s">
        <v>28</v>
      </c>
      <c r="M2" s="4">
        <v>25</v>
      </c>
      <c r="N2" s="4">
        <v>7</v>
      </c>
      <c r="O2" t="s">
        <v>29</v>
      </c>
      <c r="P2" t="s">
        <v>29</v>
      </c>
      <c r="Q2" s="4">
        <v>243818</v>
      </c>
      <c r="R2" s="4">
        <v>184097</v>
      </c>
      <c r="S2" s="4">
        <f>Table1[[#This Row],[Service_Revenue]]-Table1[[#This Row],[Service_Cost]]</f>
        <v>59721</v>
      </c>
      <c r="T2" s="4">
        <v>1</v>
      </c>
      <c r="U2" s="4">
        <f>IF(AND(Table1[[#This Row],[Rework_Flag]]="Yes",Table1[[#This Row],[Warranty_Claim]]="No"),Table1[[#This Row],[Service_Revenue]],0)</f>
        <v>0</v>
      </c>
      <c r="V2" s="4">
        <f>IF(Table1[[#This Row],[Warranty_Claim]]="Yes",1,0)</f>
        <v>1</v>
      </c>
      <c r="W2" s="4">
        <f>IF(Table1[[#This Row],[Rework_Flag]]="No",1,0)</f>
        <v>0</v>
      </c>
      <c r="X2" s="4">
        <f>IF(Table1[[#This Row],[Rework_Flag]]="Yes",1,0)</f>
        <v>1</v>
      </c>
      <c r="Y2" s="4">
        <v>1</v>
      </c>
      <c r="Z2" s="4" t="str">
        <f>IF(Table1[[#This Row],[TAT_Days]]&gt;Table1[[#This Row],[SLA_TAT]],"Yes","No")</f>
        <v>Yes</v>
      </c>
      <c r="AA2" s="4" t="str" cm="1">
        <f t="array" ref="AA2">_xlfn.IFS(Table1[[#This Row],[Customer_Satisfaction]]&lt;=2,"Poor",Table1[[#This Row],[Customer_Satisfaction]]=3,"Neutral",Table1[[#This Row],[Customer_Satisfaction]]=4,"Good",Table1[[#This Row],[Customer_Satisfaction]]=5,"Good")</f>
        <v>Poor</v>
      </c>
    </row>
    <row r="3" spans="1:27" x14ac:dyDescent="0.35">
      <c r="A3">
        <v>20001</v>
      </c>
      <c r="B3" s="1">
        <v>45355</v>
      </c>
      <c r="C3" t="s">
        <v>30</v>
      </c>
      <c r="D3" t="s">
        <v>31</v>
      </c>
      <c r="E3" t="s">
        <v>32</v>
      </c>
      <c r="F3" t="s">
        <v>22</v>
      </c>
      <c r="G3" t="s">
        <v>33</v>
      </c>
      <c r="H3" t="s">
        <v>34</v>
      </c>
      <c r="I3" t="s">
        <v>25</v>
      </c>
      <c r="J3" t="s">
        <v>35</v>
      </c>
      <c r="K3" t="s">
        <v>27</v>
      </c>
      <c r="L3" t="s">
        <v>28</v>
      </c>
      <c r="M3" s="4">
        <v>12</v>
      </c>
      <c r="N3" s="4">
        <v>7</v>
      </c>
      <c r="O3" t="s">
        <v>29</v>
      </c>
      <c r="P3" t="s">
        <v>36</v>
      </c>
      <c r="Q3" s="4">
        <v>190119</v>
      </c>
      <c r="R3" s="4">
        <v>124471</v>
      </c>
      <c r="S3" s="4">
        <f>Table1[[#This Row],[Service_Revenue]]-Table1[[#This Row],[Service_Cost]]</f>
        <v>65648</v>
      </c>
      <c r="T3" s="4">
        <v>2</v>
      </c>
      <c r="U3" s="4">
        <f>IF(AND(Table1[[#This Row],[Rework_Flag]]="Yes",Table1[[#This Row],[Warranty_Claim]]="No"),Table1[[#This Row],[Service_Revenue]],0)</f>
        <v>190119</v>
      </c>
      <c r="V3" s="4">
        <f>IF(Table1[[#This Row],[Warranty_Claim]]="Yes",1,0)</f>
        <v>0</v>
      </c>
      <c r="W3" s="4">
        <f>IF(Table1[[#This Row],[Rework_Flag]]="No",1,0)</f>
        <v>0</v>
      </c>
      <c r="X3" s="4">
        <f>IF(Table1[[#This Row],[Rework_Flag]]="Yes",1,0)</f>
        <v>1</v>
      </c>
      <c r="Y3" s="4">
        <v>1</v>
      </c>
      <c r="Z3" s="4" t="str">
        <f>IF(Table1[[#This Row],[TAT_Days]]&gt;Table1[[#This Row],[SLA_TAT]],"Yes","No")</f>
        <v>Yes</v>
      </c>
      <c r="AA3" s="4" t="str" cm="1">
        <f t="array" ref="AA3">_xlfn.IFS(Table1[[#This Row],[Customer_Satisfaction]]&lt;=2,"Poor",Table1[[#This Row],[Customer_Satisfaction]]=3,"Neutral",Table1[[#This Row],[Customer_Satisfaction]]=4,"Good",Table1[[#This Row],[Customer_Satisfaction]]=5,"Good")</f>
        <v>Poor</v>
      </c>
    </row>
    <row r="4" spans="1:27" x14ac:dyDescent="0.35">
      <c r="A4">
        <v>20002</v>
      </c>
      <c r="B4" s="1">
        <v>45332</v>
      </c>
      <c r="C4" t="s">
        <v>37</v>
      </c>
      <c r="D4" t="s">
        <v>38</v>
      </c>
      <c r="E4" t="s">
        <v>39</v>
      </c>
      <c r="F4" t="s">
        <v>40</v>
      </c>
      <c r="G4" t="s">
        <v>41</v>
      </c>
      <c r="H4" t="s">
        <v>42</v>
      </c>
      <c r="I4" t="s">
        <v>25</v>
      </c>
      <c r="J4" t="s">
        <v>43</v>
      </c>
      <c r="K4" t="s">
        <v>44</v>
      </c>
      <c r="L4" t="s">
        <v>28</v>
      </c>
      <c r="M4" s="4">
        <v>17</v>
      </c>
      <c r="N4" s="4">
        <v>7</v>
      </c>
      <c r="O4" t="s">
        <v>29</v>
      </c>
      <c r="P4" t="s">
        <v>36</v>
      </c>
      <c r="Q4" s="4">
        <v>314035</v>
      </c>
      <c r="R4" s="4">
        <v>232840</v>
      </c>
      <c r="S4" s="4">
        <f>Table1[[#This Row],[Service_Revenue]]-Table1[[#This Row],[Service_Cost]]</f>
        <v>81195</v>
      </c>
      <c r="T4" s="4">
        <v>1</v>
      </c>
      <c r="U4" s="4">
        <f>IF(AND(Table1[[#This Row],[Rework_Flag]]="Yes",Table1[[#This Row],[Warranty_Claim]]="No"),Table1[[#This Row],[Service_Revenue]],0)</f>
        <v>314035</v>
      </c>
      <c r="V4" s="4">
        <f>IF(Table1[[#This Row],[Warranty_Claim]]="Yes",1,0)</f>
        <v>0</v>
      </c>
      <c r="W4" s="4">
        <f>IF(Table1[[#This Row],[Rework_Flag]]="No",1,0)</f>
        <v>0</v>
      </c>
      <c r="X4" s="4">
        <f>IF(Table1[[#This Row],[Rework_Flag]]="Yes",1,0)</f>
        <v>1</v>
      </c>
      <c r="Y4" s="4">
        <v>1</v>
      </c>
      <c r="Z4" s="4" t="str">
        <f>IF(Table1[[#This Row],[TAT_Days]]&gt;Table1[[#This Row],[SLA_TAT]],"Yes","No")</f>
        <v>Yes</v>
      </c>
      <c r="AA4" s="4" t="str" cm="1">
        <f t="array" ref="AA4">_xlfn.IFS(Table1[[#This Row],[Customer_Satisfaction]]&lt;=2,"Poor",Table1[[#This Row],[Customer_Satisfaction]]=3,"Neutral",Table1[[#This Row],[Customer_Satisfaction]]=4,"Good",Table1[[#This Row],[Customer_Satisfaction]]=5,"Good")</f>
        <v>Poor</v>
      </c>
    </row>
    <row r="5" spans="1:27" x14ac:dyDescent="0.35">
      <c r="A5">
        <v>20003</v>
      </c>
      <c r="B5" s="1">
        <v>45442</v>
      </c>
      <c r="C5" t="s">
        <v>19</v>
      </c>
      <c r="D5" t="s">
        <v>45</v>
      </c>
      <c r="E5" t="s">
        <v>46</v>
      </c>
      <c r="F5" t="s">
        <v>40</v>
      </c>
      <c r="G5" t="s">
        <v>47</v>
      </c>
      <c r="H5" t="s">
        <v>48</v>
      </c>
      <c r="I5" t="s">
        <v>25</v>
      </c>
      <c r="J5" t="s">
        <v>26</v>
      </c>
      <c r="K5" t="s">
        <v>44</v>
      </c>
      <c r="L5" t="s">
        <v>49</v>
      </c>
      <c r="M5" s="4">
        <v>12</v>
      </c>
      <c r="N5" s="4">
        <v>7</v>
      </c>
      <c r="O5" t="s">
        <v>36</v>
      </c>
      <c r="P5" t="s">
        <v>36</v>
      </c>
      <c r="Q5" s="4">
        <v>206050</v>
      </c>
      <c r="R5" s="4">
        <v>155487</v>
      </c>
      <c r="S5" s="4">
        <f>Table1[[#This Row],[Service_Revenue]]-Table1[[#This Row],[Service_Cost]]</f>
        <v>50563</v>
      </c>
      <c r="T5" s="4">
        <v>3</v>
      </c>
      <c r="U5" s="4">
        <f>IF(AND(Table1[[#This Row],[Rework_Flag]]="Yes",Table1[[#This Row],[Warranty_Claim]]="No"),Table1[[#This Row],[Service_Revenue]],0)</f>
        <v>0</v>
      </c>
      <c r="V5" s="4">
        <f>IF(Table1[[#This Row],[Warranty_Claim]]="Yes",1,0)</f>
        <v>0</v>
      </c>
      <c r="W5" s="4">
        <f>IF(Table1[[#This Row],[Rework_Flag]]="No",1,0)</f>
        <v>1</v>
      </c>
      <c r="X5" s="4">
        <f>IF(Table1[[#This Row],[Rework_Flag]]="Yes",1,0)</f>
        <v>0</v>
      </c>
      <c r="Y5" s="4">
        <v>1</v>
      </c>
      <c r="Z5" s="4" t="str">
        <f>IF(Table1[[#This Row],[TAT_Days]]&gt;Table1[[#This Row],[SLA_TAT]],"Yes","No")</f>
        <v>Yes</v>
      </c>
      <c r="AA5" s="4" t="str" cm="1">
        <f t="array" ref="AA5">_xlfn.IFS(Table1[[#This Row],[Customer_Satisfaction]]&lt;=2,"Poor",Table1[[#This Row],[Customer_Satisfaction]]=3,"Neutral",Table1[[#This Row],[Customer_Satisfaction]]=4,"Good",Table1[[#This Row],[Customer_Satisfaction]]=5,"Good")</f>
        <v>Neutral</v>
      </c>
    </row>
    <row r="6" spans="1:27" x14ac:dyDescent="0.35">
      <c r="A6">
        <v>20004</v>
      </c>
      <c r="B6" s="1">
        <v>45441</v>
      </c>
      <c r="C6" t="s">
        <v>50</v>
      </c>
      <c r="D6" t="s">
        <v>51</v>
      </c>
      <c r="E6" t="s">
        <v>52</v>
      </c>
      <c r="F6" t="s">
        <v>53</v>
      </c>
      <c r="G6" t="s">
        <v>54</v>
      </c>
      <c r="H6" t="s">
        <v>42</v>
      </c>
      <c r="I6" t="s">
        <v>55</v>
      </c>
      <c r="J6" t="s">
        <v>43</v>
      </c>
      <c r="K6" t="s">
        <v>27</v>
      </c>
      <c r="L6" t="s">
        <v>49</v>
      </c>
      <c r="M6" s="4">
        <v>25</v>
      </c>
      <c r="N6" s="4">
        <v>7</v>
      </c>
      <c r="O6" t="s">
        <v>29</v>
      </c>
      <c r="P6" t="s">
        <v>36</v>
      </c>
      <c r="Q6" s="4">
        <v>148961</v>
      </c>
      <c r="R6" s="4">
        <v>122991</v>
      </c>
      <c r="S6" s="4">
        <f>Table1[[#This Row],[Service_Revenue]]-Table1[[#This Row],[Service_Cost]]</f>
        <v>25970</v>
      </c>
      <c r="T6" s="4">
        <v>1</v>
      </c>
      <c r="U6" s="4">
        <f>IF(AND(Table1[[#This Row],[Rework_Flag]]="Yes",Table1[[#This Row],[Warranty_Claim]]="No"),Table1[[#This Row],[Service_Revenue]],0)</f>
        <v>148961</v>
      </c>
      <c r="V6" s="4">
        <f>IF(Table1[[#This Row],[Warranty_Claim]]="Yes",1,0)</f>
        <v>0</v>
      </c>
      <c r="W6" s="4">
        <f>IF(Table1[[#This Row],[Rework_Flag]]="No",1,0)</f>
        <v>0</v>
      </c>
      <c r="X6" s="4">
        <f>IF(Table1[[#This Row],[Rework_Flag]]="Yes",1,0)</f>
        <v>1</v>
      </c>
      <c r="Y6" s="4">
        <v>1</v>
      </c>
      <c r="Z6" s="4" t="str">
        <f>IF(Table1[[#This Row],[TAT_Days]]&gt;Table1[[#This Row],[SLA_TAT]],"Yes","No")</f>
        <v>Yes</v>
      </c>
      <c r="AA6" s="4" t="str" cm="1">
        <f t="array" ref="AA6">_xlfn.IFS(Table1[[#This Row],[Customer_Satisfaction]]&lt;=2,"Poor",Table1[[#This Row],[Customer_Satisfaction]]=3,"Neutral",Table1[[#This Row],[Customer_Satisfaction]]=4,"Good",Table1[[#This Row],[Customer_Satisfaction]]=5,"Good")</f>
        <v>Poor</v>
      </c>
    </row>
    <row r="7" spans="1:27" x14ac:dyDescent="0.35">
      <c r="A7">
        <v>20005</v>
      </c>
      <c r="B7" s="1">
        <v>45354</v>
      </c>
      <c r="C7" t="s">
        <v>50</v>
      </c>
      <c r="D7" t="s">
        <v>56</v>
      </c>
      <c r="E7" t="s">
        <v>57</v>
      </c>
      <c r="F7" t="s">
        <v>22</v>
      </c>
      <c r="G7" t="s">
        <v>33</v>
      </c>
      <c r="H7" t="s">
        <v>34</v>
      </c>
      <c r="I7" t="s">
        <v>25</v>
      </c>
      <c r="J7" t="s">
        <v>58</v>
      </c>
      <c r="K7" t="s">
        <v>44</v>
      </c>
      <c r="L7" t="s">
        <v>49</v>
      </c>
      <c r="M7" s="4">
        <v>3</v>
      </c>
      <c r="N7" s="4">
        <v>7</v>
      </c>
      <c r="O7" t="s">
        <v>29</v>
      </c>
      <c r="P7" t="s">
        <v>29</v>
      </c>
      <c r="Q7" s="4">
        <v>101553</v>
      </c>
      <c r="R7" s="4">
        <v>75203</v>
      </c>
      <c r="S7" s="4">
        <f>Table1[[#This Row],[Service_Revenue]]-Table1[[#This Row],[Service_Cost]]</f>
        <v>26350</v>
      </c>
      <c r="T7" s="4">
        <v>4</v>
      </c>
      <c r="U7" s="4">
        <f>IF(AND(Table1[[#This Row],[Rework_Flag]]="Yes",Table1[[#This Row],[Warranty_Claim]]="No"),Table1[[#This Row],[Service_Revenue]],0)</f>
        <v>0</v>
      </c>
      <c r="V7" s="4">
        <f>IF(Table1[[#This Row],[Warranty_Claim]]="Yes",1,0)</f>
        <v>1</v>
      </c>
      <c r="W7" s="4">
        <f>IF(Table1[[#This Row],[Rework_Flag]]="No",1,0)</f>
        <v>0</v>
      </c>
      <c r="X7" s="4">
        <f>IF(Table1[[#This Row],[Rework_Flag]]="Yes",1,0)</f>
        <v>1</v>
      </c>
      <c r="Y7" s="4">
        <v>1</v>
      </c>
      <c r="Z7" s="4" t="str">
        <f>IF(Table1[[#This Row],[TAT_Days]]&gt;Table1[[#This Row],[SLA_TAT]],"Yes","No")</f>
        <v>No</v>
      </c>
      <c r="AA7" s="4" t="str" cm="1">
        <f t="array" ref="AA7">_xlfn.IFS(Table1[[#This Row],[Customer_Satisfaction]]&lt;=2,"Poor",Table1[[#This Row],[Customer_Satisfaction]]=3,"Neutral",Table1[[#This Row],[Customer_Satisfaction]]=4,"Good",Table1[[#This Row],[Customer_Satisfaction]]=5,"Good")</f>
        <v>Good</v>
      </c>
    </row>
    <row r="8" spans="1:27" x14ac:dyDescent="0.35">
      <c r="A8">
        <v>20006</v>
      </c>
      <c r="B8" s="1">
        <v>45458</v>
      </c>
      <c r="C8" t="s">
        <v>30</v>
      </c>
      <c r="D8" t="s">
        <v>59</v>
      </c>
      <c r="E8" t="s">
        <v>60</v>
      </c>
      <c r="F8" t="s">
        <v>40</v>
      </c>
      <c r="G8" t="s">
        <v>23</v>
      </c>
      <c r="H8" t="s">
        <v>24</v>
      </c>
      <c r="I8" t="s">
        <v>55</v>
      </c>
      <c r="J8" t="s">
        <v>26</v>
      </c>
      <c r="K8" t="s">
        <v>61</v>
      </c>
      <c r="L8" t="s">
        <v>28</v>
      </c>
      <c r="M8" s="4">
        <v>10</v>
      </c>
      <c r="N8" s="4">
        <v>7</v>
      </c>
      <c r="O8" t="s">
        <v>29</v>
      </c>
      <c r="P8" t="s">
        <v>29</v>
      </c>
      <c r="Q8" s="4">
        <v>314895</v>
      </c>
      <c r="R8" s="4">
        <v>223154</v>
      </c>
      <c r="S8" s="4">
        <f>Table1[[#This Row],[Service_Revenue]]-Table1[[#This Row],[Service_Cost]]</f>
        <v>91741</v>
      </c>
      <c r="T8" s="4">
        <v>2</v>
      </c>
      <c r="U8" s="4">
        <f>IF(AND(Table1[[#This Row],[Rework_Flag]]="Yes",Table1[[#This Row],[Warranty_Claim]]="No"),Table1[[#This Row],[Service_Revenue]],0)</f>
        <v>0</v>
      </c>
      <c r="V8" s="4">
        <f>IF(Table1[[#This Row],[Warranty_Claim]]="Yes",1,0)</f>
        <v>1</v>
      </c>
      <c r="W8" s="4">
        <f>IF(Table1[[#This Row],[Rework_Flag]]="No",1,0)</f>
        <v>0</v>
      </c>
      <c r="X8" s="4">
        <f>IF(Table1[[#This Row],[Rework_Flag]]="Yes",1,0)</f>
        <v>1</v>
      </c>
      <c r="Y8" s="4">
        <v>1</v>
      </c>
      <c r="Z8" s="4" t="str">
        <f>IF(Table1[[#This Row],[TAT_Days]]&gt;Table1[[#This Row],[SLA_TAT]],"Yes","No")</f>
        <v>Yes</v>
      </c>
      <c r="AA8" s="4" t="str" cm="1">
        <f t="array" ref="AA8">_xlfn.IFS(Table1[[#This Row],[Customer_Satisfaction]]&lt;=2,"Poor",Table1[[#This Row],[Customer_Satisfaction]]=3,"Neutral",Table1[[#This Row],[Customer_Satisfaction]]=4,"Good",Table1[[#This Row],[Customer_Satisfaction]]=5,"Good")</f>
        <v>Poor</v>
      </c>
    </row>
    <row r="9" spans="1:27" x14ac:dyDescent="0.35">
      <c r="A9">
        <v>20007</v>
      </c>
      <c r="B9" s="1">
        <v>45397</v>
      </c>
      <c r="C9" t="s">
        <v>30</v>
      </c>
      <c r="D9" t="s">
        <v>31</v>
      </c>
      <c r="E9" t="s">
        <v>62</v>
      </c>
      <c r="F9" t="s">
        <v>53</v>
      </c>
      <c r="G9" t="s">
        <v>63</v>
      </c>
      <c r="H9" t="s">
        <v>24</v>
      </c>
      <c r="I9" t="s">
        <v>25</v>
      </c>
      <c r="J9" t="s">
        <v>35</v>
      </c>
      <c r="K9" t="s">
        <v>61</v>
      </c>
      <c r="L9" t="s">
        <v>49</v>
      </c>
      <c r="M9" s="4">
        <v>10</v>
      </c>
      <c r="N9" s="4">
        <v>7</v>
      </c>
      <c r="O9" t="s">
        <v>29</v>
      </c>
      <c r="P9" t="s">
        <v>36</v>
      </c>
      <c r="Q9" s="4">
        <v>521120</v>
      </c>
      <c r="R9" s="4">
        <v>399852</v>
      </c>
      <c r="S9" s="4">
        <f>Table1[[#This Row],[Service_Revenue]]-Table1[[#This Row],[Service_Cost]]</f>
        <v>121268</v>
      </c>
      <c r="T9" s="4">
        <v>2</v>
      </c>
      <c r="U9" s="4">
        <f>IF(AND(Table1[[#This Row],[Rework_Flag]]="Yes",Table1[[#This Row],[Warranty_Claim]]="No"),Table1[[#This Row],[Service_Revenue]],0)</f>
        <v>521120</v>
      </c>
      <c r="V9" s="4">
        <f>IF(Table1[[#This Row],[Warranty_Claim]]="Yes",1,0)</f>
        <v>0</v>
      </c>
      <c r="W9" s="4">
        <f>IF(Table1[[#This Row],[Rework_Flag]]="No",1,0)</f>
        <v>0</v>
      </c>
      <c r="X9" s="4">
        <f>IF(Table1[[#This Row],[Rework_Flag]]="Yes",1,0)</f>
        <v>1</v>
      </c>
      <c r="Y9" s="4">
        <v>1</v>
      </c>
      <c r="Z9" s="4" t="str">
        <f>IF(Table1[[#This Row],[TAT_Days]]&gt;Table1[[#This Row],[SLA_TAT]],"Yes","No")</f>
        <v>Yes</v>
      </c>
      <c r="AA9" s="4" t="str" cm="1">
        <f t="array" ref="AA9">_xlfn.IFS(Table1[[#This Row],[Customer_Satisfaction]]&lt;=2,"Poor",Table1[[#This Row],[Customer_Satisfaction]]=3,"Neutral",Table1[[#This Row],[Customer_Satisfaction]]=4,"Good",Table1[[#This Row],[Customer_Satisfaction]]=5,"Good")</f>
        <v>Poor</v>
      </c>
    </row>
    <row r="10" spans="1:27" x14ac:dyDescent="0.35">
      <c r="A10">
        <v>20008</v>
      </c>
      <c r="B10" s="1">
        <v>45365</v>
      </c>
      <c r="C10" t="s">
        <v>37</v>
      </c>
      <c r="D10" t="s">
        <v>64</v>
      </c>
      <c r="E10" t="s">
        <v>65</v>
      </c>
      <c r="F10" t="s">
        <v>22</v>
      </c>
      <c r="G10" t="s">
        <v>33</v>
      </c>
      <c r="H10" t="s">
        <v>34</v>
      </c>
      <c r="I10" t="s">
        <v>25</v>
      </c>
      <c r="J10" t="s">
        <v>43</v>
      </c>
      <c r="K10" t="s">
        <v>27</v>
      </c>
      <c r="L10" t="s">
        <v>49</v>
      </c>
      <c r="M10" s="4">
        <v>3</v>
      </c>
      <c r="N10" s="4">
        <v>7</v>
      </c>
      <c r="O10" t="s">
        <v>36</v>
      </c>
      <c r="P10" t="s">
        <v>36</v>
      </c>
      <c r="Q10" s="4">
        <v>510335</v>
      </c>
      <c r="R10" s="4">
        <v>407767</v>
      </c>
      <c r="S10" s="4">
        <f>Table1[[#This Row],[Service_Revenue]]-Table1[[#This Row],[Service_Cost]]</f>
        <v>102568</v>
      </c>
      <c r="T10" s="4">
        <v>5</v>
      </c>
      <c r="U10" s="4">
        <f>IF(AND(Table1[[#This Row],[Rework_Flag]]="Yes",Table1[[#This Row],[Warranty_Claim]]="No"),Table1[[#This Row],[Service_Revenue]],0)</f>
        <v>0</v>
      </c>
      <c r="V10" s="4">
        <f>IF(Table1[[#This Row],[Warranty_Claim]]="Yes",1,0)</f>
        <v>0</v>
      </c>
      <c r="W10" s="4">
        <f>IF(Table1[[#This Row],[Rework_Flag]]="No",1,0)</f>
        <v>1</v>
      </c>
      <c r="X10" s="4">
        <f>IF(Table1[[#This Row],[Rework_Flag]]="Yes",1,0)</f>
        <v>0</v>
      </c>
      <c r="Y10" s="4">
        <v>1</v>
      </c>
      <c r="Z10" s="4" t="str">
        <f>IF(Table1[[#This Row],[TAT_Days]]&gt;Table1[[#This Row],[SLA_TAT]],"Yes","No")</f>
        <v>No</v>
      </c>
      <c r="AA10" s="4" t="str" cm="1">
        <f t="array" ref="AA10">_xlfn.IFS(Table1[[#This Row],[Customer_Satisfaction]]&lt;=2,"Poor",Table1[[#This Row],[Customer_Satisfaction]]=3,"Neutral",Table1[[#This Row],[Customer_Satisfaction]]=4,"Good",Table1[[#This Row],[Customer_Satisfaction]]=5,"Good")</f>
        <v>Good</v>
      </c>
    </row>
    <row r="11" spans="1:27" x14ac:dyDescent="0.35">
      <c r="A11">
        <v>20009</v>
      </c>
      <c r="B11" s="1">
        <v>45446</v>
      </c>
      <c r="C11" t="s">
        <v>30</v>
      </c>
      <c r="D11" t="s">
        <v>59</v>
      </c>
      <c r="E11" t="s">
        <v>66</v>
      </c>
      <c r="F11" t="s">
        <v>40</v>
      </c>
      <c r="G11" t="s">
        <v>54</v>
      </c>
      <c r="H11" t="s">
        <v>42</v>
      </c>
      <c r="I11" t="s">
        <v>55</v>
      </c>
      <c r="J11" t="s">
        <v>67</v>
      </c>
      <c r="K11" t="s">
        <v>27</v>
      </c>
      <c r="L11" t="s">
        <v>49</v>
      </c>
      <c r="M11" s="4">
        <v>3</v>
      </c>
      <c r="N11" s="4">
        <v>7</v>
      </c>
      <c r="O11" t="s">
        <v>36</v>
      </c>
      <c r="P11" t="s">
        <v>29</v>
      </c>
      <c r="Q11" s="4">
        <v>433317</v>
      </c>
      <c r="R11" s="4">
        <v>273962</v>
      </c>
      <c r="S11" s="4">
        <f>Table1[[#This Row],[Service_Revenue]]-Table1[[#This Row],[Service_Cost]]</f>
        <v>159355</v>
      </c>
      <c r="T11" s="4">
        <v>5</v>
      </c>
      <c r="U11" s="4">
        <f>IF(AND(Table1[[#This Row],[Rework_Flag]]="Yes",Table1[[#This Row],[Warranty_Claim]]="No"),Table1[[#This Row],[Service_Revenue]],0)</f>
        <v>0</v>
      </c>
      <c r="V11" s="4">
        <f>IF(Table1[[#This Row],[Warranty_Claim]]="Yes",1,0)</f>
        <v>1</v>
      </c>
      <c r="W11" s="4">
        <f>IF(Table1[[#This Row],[Rework_Flag]]="No",1,0)</f>
        <v>1</v>
      </c>
      <c r="X11" s="4">
        <f>IF(Table1[[#This Row],[Rework_Flag]]="Yes",1,0)</f>
        <v>0</v>
      </c>
      <c r="Y11" s="4">
        <v>1</v>
      </c>
      <c r="Z11" s="4" t="str">
        <f>IF(Table1[[#This Row],[TAT_Days]]&gt;Table1[[#This Row],[SLA_TAT]],"Yes","No")</f>
        <v>No</v>
      </c>
      <c r="AA11" s="4" t="str" cm="1">
        <f t="array" ref="AA11">_xlfn.IFS(Table1[[#This Row],[Customer_Satisfaction]]&lt;=2,"Poor",Table1[[#This Row],[Customer_Satisfaction]]=3,"Neutral",Table1[[#This Row],[Customer_Satisfaction]]=4,"Good",Table1[[#This Row],[Customer_Satisfaction]]=5,"Good")</f>
        <v>Good</v>
      </c>
    </row>
    <row r="12" spans="1:27" x14ac:dyDescent="0.35">
      <c r="A12">
        <v>20010</v>
      </c>
      <c r="B12" s="1">
        <v>45293</v>
      </c>
      <c r="C12" t="s">
        <v>50</v>
      </c>
      <c r="D12" t="s">
        <v>56</v>
      </c>
      <c r="E12" t="s">
        <v>68</v>
      </c>
      <c r="F12" t="s">
        <v>40</v>
      </c>
      <c r="G12" t="s">
        <v>23</v>
      </c>
      <c r="H12" t="s">
        <v>24</v>
      </c>
      <c r="I12" t="s">
        <v>25</v>
      </c>
      <c r="J12" t="s">
        <v>58</v>
      </c>
      <c r="K12" t="s">
        <v>27</v>
      </c>
      <c r="L12" t="s">
        <v>49</v>
      </c>
      <c r="M12" s="4">
        <v>11</v>
      </c>
      <c r="N12" s="4">
        <v>7</v>
      </c>
      <c r="O12" t="s">
        <v>29</v>
      </c>
      <c r="P12" t="s">
        <v>36</v>
      </c>
      <c r="Q12" s="4">
        <v>470727</v>
      </c>
      <c r="R12" s="4">
        <v>349785</v>
      </c>
      <c r="S12" s="4">
        <f>Table1[[#This Row],[Service_Revenue]]-Table1[[#This Row],[Service_Cost]]</f>
        <v>120942</v>
      </c>
      <c r="T12" s="4">
        <v>2</v>
      </c>
      <c r="U12" s="4">
        <f>IF(AND(Table1[[#This Row],[Rework_Flag]]="Yes",Table1[[#This Row],[Warranty_Claim]]="No"),Table1[[#This Row],[Service_Revenue]],0)</f>
        <v>470727</v>
      </c>
      <c r="V12" s="4">
        <f>IF(Table1[[#This Row],[Warranty_Claim]]="Yes",1,0)</f>
        <v>0</v>
      </c>
      <c r="W12" s="8">
        <f>IF(Table1[[#This Row],[Rework_Flag]]="No",1,0)</f>
        <v>0</v>
      </c>
      <c r="X12" s="4">
        <f>IF(Table1[[#This Row],[Rework_Flag]]="Yes",1,0)</f>
        <v>1</v>
      </c>
      <c r="Y12" s="4">
        <v>1</v>
      </c>
      <c r="Z12" s="4" t="str">
        <f>IF(Table1[[#This Row],[TAT_Days]]&gt;Table1[[#This Row],[SLA_TAT]],"Yes","No")</f>
        <v>Yes</v>
      </c>
      <c r="AA12" s="4" t="str" cm="1">
        <f t="array" ref="AA12">_xlfn.IFS(Table1[[#This Row],[Customer_Satisfaction]]&lt;=2,"Poor",Table1[[#This Row],[Customer_Satisfaction]]=3,"Neutral",Table1[[#This Row],[Customer_Satisfaction]]=4,"Good",Table1[[#This Row],[Customer_Satisfaction]]=5,"Good")</f>
        <v>Poor</v>
      </c>
    </row>
    <row r="13" spans="1:27" x14ac:dyDescent="0.35">
      <c r="A13">
        <v>20011</v>
      </c>
      <c r="B13" s="1">
        <v>45427</v>
      </c>
      <c r="C13" t="s">
        <v>30</v>
      </c>
      <c r="D13" t="s">
        <v>59</v>
      </c>
      <c r="E13" t="s">
        <v>69</v>
      </c>
      <c r="F13" t="s">
        <v>22</v>
      </c>
      <c r="G13" t="s">
        <v>23</v>
      </c>
      <c r="H13" t="s">
        <v>24</v>
      </c>
      <c r="I13" t="s">
        <v>55</v>
      </c>
      <c r="J13" t="s">
        <v>35</v>
      </c>
      <c r="K13" t="s">
        <v>27</v>
      </c>
      <c r="L13" t="s">
        <v>49</v>
      </c>
      <c r="M13" s="4">
        <v>22</v>
      </c>
      <c r="N13" s="4">
        <v>7</v>
      </c>
      <c r="O13" t="s">
        <v>29</v>
      </c>
      <c r="P13" t="s">
        <v>29</v>
      </c>
      <c r="Q13" s="4">
        <v>168313</v>
      </c>
      <c r="R13" s="4">
        <v>142958</v>
      </c>
      <c r="S13" s="4">
        <f>Table1[[#This Row],[Service_Revenue]]-Table1[[#This Row],[Service_Cost]]</f>
        <v>25355</v>
      </c>
      <c r="T13" s="4">
        <v>1</v>
      </c>
      <c r="U13" s="4">
        <f>IF(AND(Table1[[#This Row],[Rework_Flag]]="Yes",Table1[[#This Row],[Warranty_Claim]]="No"),Table1[[#This Row],[Service_Revenue]],0)</f>
        <v>0</v>
      </c>
      <c r="V13" s="4">
        <f>IF(Table1[[#This Row],[Warranty_Claim]]="Yes",1,0)</f>
        <v>1</v>
      </c>
      <c r="W13" s="4">
        <f>IF(Table1[[#This Row],[Rework_Flag]]="No",1,0)</f>
        <v>0</v>
      </c>
      <c r="X13" s="4">
        <f>IF(Table1[[#This Row],[Rework_Flag]]="Yes",1,0)</f>
        <v>1</v>
      </c>
      <c r="Y13" s="4">
        <v>1</v>
      </c>
      <c r="Z13" s="4" t="str">
        <f>IF(Table1[[#This Row],[TAT_Days]]&gt;Table1[[#This Row],[SLA_TAT]],"Yes","No")</f>
        <v>Yes</v>
      </c>
      <c r="AA13" s="4" t="str" cm="1">
        <f t="array" ref="AA13">_xlfn.IFS(Table1[[#This Row],[Customer_Satisfaction]]&lt;=2,"Poor",Table1[[#This Row],[Customer_Satisfaction]]=3,"Neutral",Table1[[#This Row],[Customer_Satisfaction]]=4,"Good",Table1[[#This Row],[Customer_Satisfaction]]=5,"Good")</f>
        <v>Poor</v>
      </c>
    </row>
    <row r="14" spans="1:27" x14ac:dyDescent="0.35">
      <c r="A14">
        <v>20012</v>
      </c>
      <c r="B14" s="1">
        <v>45432</v>
      </c>
      <c r="C14" t="s">
        <v>37</v>
      </c>
      <c r="D14" t="s">
        <v>70</v>
      </c>
      <c r="E14" t="s">
        <v>71</v>
      </c>
      <c r="F14" t="s">
        <v>22</v>
      </c>
      <c r="G14" t="s">
        <v>63</v>
      </c>
      <c r="H14" t="s">
        <v>24</v>
      </c>
      <c r="I14" t="s">
        <v>25</v>
      </c>
      <c r="J14" t="s">
        <v>67</v>
      </c>
      <c r="K14" t="s">
        <v>27</v>
      </c>
      <c r="L14" t="s">
        <v>28</v>
      </c>
      <c r="M14" s="4">
        <v>23</v>
      </c>
      <c r="N14" s="4">
        <v>7</v>
      </c>
      <c r="O14" t="s">
        <v>29</v>
      </c>
      <c r="P14" t="s">
        <v>36</v>
      </c>
      <c r="Q14" s="4">
        <v>427750</v>
      </c>
      <c r="R14" s="4">
        <v>227383</v>
      </c>
      <c r="S14" s="4">
        <f>Table1[[#This Row],[Service_Revenue]]-Table1[[#This Row],[Service_Cost]]</f>
        <v>200367</v>
      </c>
      <c r="T14" s="4">
        <v>1</v>
      </c>
      <c r="U14" s="4">
        <f>IF(AND(Table1[[#This Row],[Rework_Flag]]="Yes",Table1[[#This Row],[Warranty_Claim]]="No"),Table1[[#This Row],[Service_Revenue]],0)</f>
        <v>427750</v>
      </c>
      <c r="V14" s="4">
        <f>IF(Table1[[#This Row],[Warranty_Claim]]="Yes",1,0)</f>
        <v>0</v>
      </c>
      <c r="W14" s="4">
        <f>IF(Table1[[#This Row],[Rework_Flag]]="No",1,0)</f>
        <v>0</v>
      </c>
      <c r="X14" s="4">
        <f>IF(Table1[[#This Row],[Rework_Flag]]="Yes",1,0)</f>
        <v>1</v>
      </c>
      <c r="Y14" s="4">
        <v>1</v>
      </c>
      <c r="Z14" s="4" t="str">
        <f>IF(Table1[[#This Row],[TAT_Days]]&gt;Table1[[#This Row],[SLA_TAT]],"Yes","No")</f>
        <v>Yes</v>
      </c>
      <c r="AA14" s="4" t="str" cm="1">
        <f t="array" ref="AA14">_xlfn.IFS(Table1[[#This Row],[Customer_Satisfaction]]&lt;=2,"Poor",Table1[[#This Row],[Customer_Satisfaction]]=3,"Neutral",Table1[[#This Row],[Customer_Satisfaction]]=4,"Good",Table1[[#This Row],[Customer_Satisfaction]]=5,"Good")</f>
        <v>Poor</v>
      </c>
    </row>
    <row r="15" spans="1:27" x14ac:dyDescent="0.35">
      <c r="A15">
        <v>20013</v>
      </c>
      <c r="B15" s="1">
        <v>45310</v>
      </c>
      <c r="C15" t="s">
        <v>37</v>
      </c>
      <c r="D15" t="s">
        <v>64</v>
      </c>
      <c r="E15" t="s">
        <v>72</v>
      </c>
      <c r="F15" t="s">
        <v>40</v>
      </c>
      <c r="G15" t="s">
        <v>41</v>
      </c>
      <c r="H15" t="s">
        <v>42</v>
      </c>
      <c r="I15" t="s">
        <v>25</v>
      </c>
      <c r="J15" t="s">
        <v>67</v>
      </c>
      <c r="K15" t="s">
        <v>27</v>
      </c>
      <c r="L15" t="s">
        <v>28</v>
      </c>
      <c r="M15" s="4">
        <v>4</v>
      </c>
      <c r="N15" s="4">
        <v>7</v>
      </c>
      <c r="O15" t="s">
        <v>29</v>
      </c>
      <c r="P15" t="s">
        <v>36</v>
      </c>
      <c r="Q15" s="4">
        <v>396733</v>
      </c>
      <c r="R15" s="4">
        <v>212910</v>
      </c>
      <c r="S15" s="4">
        <f>Table1[[#This Row],[Service_Revenue]]-Table1[[#This Row],[Service_Cost]]</f>
        <v>183823</v>
      </c>
      <c r="T15" s="4">
        <v>4</v>
      </c>
      <c r="U15" s="4">
        <f>IF(AND(Table1[[#This Row],[Rework_Flag]]="Yes",Table1[[#This Row],[Warranty_Claim]]="No"),Table1[[#This Row],[Service_Revenue]],0)</f>
        <v>396733</v>
      </c>
      <c r="V15" s="4">
        <f>IF(Table1[[#This Row],[Warranty_Claim]]="Yes",1,0)</f>
        <v>0</v>
      </c>
      <c r="W15" s="4">
        <f>IF(Table1[[#This Row],[Rework_Flag]]="No",1,0)</f>
        <v>0</v>
      </c>
      <c r="X15" s="4">
        <f>IF(Table1[[#This Row],[Rework_Flag]]="Yes",1,0)</f>
        <v>1</v>
      </c>
      <c r="Y15" s="4">
        <v>1</v>
      </c>
      <c r="Z15" s="4" t="str">
        <f>IF(Table1[[#This Row],[TAT_Days]]&gt;Table1[[#This Row],[SLA_TAT]],"Yes","No")</f>
        <v>No</v>
      </c>
      <c r="AA15" s="4" t="str" cm="1">
        <f t="array" ref="AA15">_xlfn.IFS(Table1[[#This Row],[Customer_Satisfaction]]&lt;=2,"Poor",Table1[[#This Row],[Customer_Satisfaction]]=3,"Neutral",Table1[[#This Row],[Customer_Satisfaction]]=4,"Good",Table1[[#This Row],[Customer_Satisfaction]]=5,"Good")</f>
        <v>Good</v>
      </c>
    </row>
    <row r="16" spans="1:27" x14ac:dyDescent="0.35">
      <c r="A16">
        <v>20014</v>
      </c>
      <c r="B16" s="1">
        <v>45363</v>
      </c>
      <c r="C16" t="s">
        <v>50</v>
      </c>
      <c r="D16" t="s">
        <v>51</v>
      </c>
      <c r="E16" t="s">
        <v>73</v>
      </c>
      <c r="F16" t="s">
        <v>40</v>
      </c>
      <c r="G16" t="s">
        <v>41</v>
      </c>
      <c r="H16" t="s">
        <v>42</v>
      </c>
      <c r="I16" t="s">
        <v>55</v>
      </c>
      <c r="J16" t="s">
        <v>43</v>
      </c>
      <c r="K16" t="s">
        <v>61</v>
      </c>
      <c r="L16" t="s">
        <v>28</v>
      </c>
      <c r="M16" s="4">
        <v>10</v>
      </c>
      <c r="N16" s="4">
        <v>7</v>
      </c>
      <c r="O16" t="s">
        <v>29</v>
      </c>
      <c r="P16" t="s">
        <v>36</v>
      </c>
      <c r="Q16" s="4">
        <v>321897</v>
      </c>
      <c r="R16" s="4">
        <v>219012</v>
      </c>
      <c r="S16" s="4">
        <f>Table1[[#This Row],[Service_Revenue]]-Table1[[#This Row],[Service_Cost]]</f>
        <v>102885</v>
      </c>
      <c r="T16" s="4">
        <v>2</v>
      </c>
      <c r="U16" s="4">
        <f>IF(AND(Table1[[#This Row],[Rework_Flag]]="Yes",Table1[[#This Row],[Warranty_Claim]]="No"),Table1[[#This Row],[Service_Revenue]],0)</f>
        <v>321897</v>
      </c>
      <c r="V16" s="4">
        <f>IF(Table1[[#This Row],[Warranty_Claim]]="Yes",1,0)</f>
        <v>0</v>
      </c>
      <c r="W16" s="4">
        <f>IF(Table1[[#This Row],[Rework_Flag]]="No",1,0)</f>
        <v>0</v>
      </c>
      <c r="X16" s="4">
        <f>IF(Table1[[#This Row],[Rework_Flag]]="Yes",1,0)</f>
        <v>1</v>
      </c>
      <c r="Y16" s="4">
        <v>1</v>
      </c>
      <c r="Z16" s="4" t="str">
        <f>IF(Table1[[#This Row],[TAT_Days]]&gt;Table1[[#This Row],[SLA_TAT]],"Yes","No")</f>
        <v>Yes</v>
      </c>
      <c r="AA16" s="4" t="str" cm="1">
        <f t="array" ref="AA16">_xlfn.IFS(Table1[[#This Row],[Customer_Satisfaction]]&lt;=2,"Poor",Table1[[#This Row],[Customer_Satisfaction]]=3,"Neutral",Table1[[#This Row],[Customer_Satisfaction]]=4,"Good",Table1[[#This Row],[Customer_Satisfaction]]=5,"Good")</f>
        <v>Poor</v>
      </c>
    </row>
    <row r="17" spans="1:27" x14ac:dyDescent="0.35">
      <c r="A17">
        <v>20015</v>
      </c>
      <c r="B17" s="1">
        <v>45397</v>
      </c>
      <c r="C17" t="s">
        <v>30</v>
      </c>
      <c r="D17" t="s">
        <v>59</v>
      </c>
      <c r="E17" t="s">
        <v>60</v>
      </c>
      <c r="F17" t="s">
        <v>53</v>
      </c>
      <c r="G17" t="s">
        <v>74</v>
      </c>
      <c r="H17" t="s">
        <v>34</v>
      </c>
      <c r="I17" t="s">
        <v>25</v>
      </c>
      <c r="J17" t="s">
        <v>35</v>
      </c>
      <c r="K17" t="s">
        <v>61</v>
      </c>
      <c r="L17" t="s">
        <v>49</v>
      </c>
      <c r="M17" s="4">
        <v>14</v>
      </c>
      <c r="N17" s="4">
        <v>7</v>
      </c>
      <c r="O17" t="s">
        <v>29</v>
      </c>
      <c r="P17" t="s">
        <v>29</v>
      </c>
      <c r="Q17" s="4">
        <v>114456</v>
      </c>
      <c r="R17" s="4">
        <v>80073</v>
      </c>
      <c r="S17" s="4">
        <f>Table1[[#This Row],[Service_Revenue]]-Table1[[#This Row],[Service_Cost]]</f>
        <v>34383</v>
      </c>
      <c r="T17" s="4">
        <v>2</v>
      </c>
      <c r="U17" s="4">
        <f>IF(AND(Table1[[#This Row],[Rework_Flag]]="Yes",Table1[[#This Row],[Warranty_Claim]]="No"),Table1[[#This Row],[Service_Revenue]],0)</f>
        <v>0</v>
      </c>
      <c r="V17" s="4">
        <f>IF(Table1[[#This Row],[Warranty_Claim]]="Yes",1,0)</f>
        <v>1</v>
      </c>
      <c r="W17" s="4">
        <f>IF(Table1[[#This Row],[Rework_Flag]]="No",1,0)</f>
        <v>0</v>
      </c>
      <c r="X17" s="4">
        <f>IF(Table1[[#This Row],[Rework_Flag]]="Yes",1,0)</f>
        <v>1</v>
      </c>
      <c r="Y17" s="4">
        <v>1</v>
      </c>
      <c r="Z17" s="4" t="str">
        <f>IF(Table1[[#This Row],[TAT_Days]]&gt;Table1[[#This Row],[SLA_TAT]],"Yes","No")</f>
        <v>Yes</v>
      </c>
      <c r="AA17" s="4" t="str" cm="1">
        <f t="array" ref="AA17">_xlfn.IFS(Table1[[#This Row],[Customer_Satisfaction]]&lt;=2,"Poor",Table1[[#This Row],[Customer_Satisfaction]]=3,"Neutral",Table1[[#This Row],[Customer_Satisfaction]]=4,"Good",Table1[[#This Row],[Customer_Satisfaction]]=5,"Good")</f>
        <v>Poor</v>
      </c>
    </row>
    <row r="18" spans="1:27" x14ac:dyDescent="0.35">
      <c r="A18">
        <v>20016</v>
      </c>
      <c r="B18" s="1">
        <v>45450</v>
      </c>
      <c r="C18" t="s">
        <v>30</v>
      </c>
      <c r="D18" t="s">
        <v>31</v>
      </c>
      <c r="E18" t="s">
        <v>32</v>
      </c>
      <c r="F18" t="s">
        <v>53</v>
      </c>
      <c r="G18" t="s">
        <v>54</v>
      </c>
      <c r="H18" t="s">
        <v>42</v>
      </c>
      <c r="I18" t="s">
        <v>55</v>
      </c>
      <c r="J18" t="s">
        <v>58</v>
      </c>
      <c r="K18" t="s">
        <v>61</v>
      </c>
      <c r="L18" t="s">
        <v>49</v>
      </c>
      <c r="M18" s="4">
        <v>21</v>
      </c>
      <c r="N18" s="4">
        <v>7</v>
      </c>
      <c r="O18" t="s">
        <v>29</v>
      </c>
      <c r="P18" t="s">
        <v>36</v>
      </c>
      <c r="Q18" s="4">
        <v>492934</v>
      </c>
      <c r="R18" s="4">
        <v>379097</v>
      </c>
      <c r="S18" s="4">
        <f>Table1[[#This Row],[Service_Revenue]]-Table1[[#This Row],[Service_Cost]]</f>
        <v>113837</v>
      </c>
      <c r="T18" s="4">
        <v>1</v>
      </c>
      <c r="U18" s="4">
        <f>IF(AND(Table1[[#This Row],[Rework_Flag]]="Yes",Table1[[#This Row],[Warranty_Claim]]="No"),Table1[[#This Row],[Service_Revenue]],0)</f>
        <v>492934</v>
      </c>
      <c r="V18" s="4">
        <f>IF(Table1[[#This Row],[Warranty_Claim]]="Yes",1,0)</f>
        <v>0</v>
      </c>
      <c r="W18" s="4">
        <f>IF(Table1[[#This Row],[Rework_Flag]]="No",1,0)</f>
        <v>0</v>
      </c>
      <c r="X18" s="4">
        <f>IF(Table1[[#This Row],[Rework_Flag]]="Yes",1,0)</f>
        <v>1</v>
      </c>
      <c r="Y18" s="4">
        <v>1</v>
      </c>
      <c r="Z18" s="4" t="str">
        <f>IF(Table1[[#This Row],[TAT_Days]]&gt;Table1[[#This Row],[SLA_TAT]],"Yes","No")</f>
        <v>Yes</v>
      </c>
      <c r="AA18" s="4" t="str" cm="1">
        <f t="array" ref="AA18">_xlfn.IFS(Table1[[#This Row],[Customer_Satisfaction]]&lt;=2,"Poor",Table1[[#This Row],[Customer_Satisfaction]]=3,"Neutral",Table1[[#This Row],[Customer_Satisfaction]]=4,"Good",Table1[[#This Row],[Customer_Satisfaction]]=5,"Good")</f>
        <v>Poor</v>
      </c>
    </row>
    <row r="19" spans="1:27" x14ac:dyDescent="0.35">
      <c r="A19">
        <v>20017</v>
      </c>
      <c r="B19" s="1">
        <v>45322</v>
      </c>
      <c r="C19" t="s">
        <v>50</v>
      </c>
      <c r="D19" t="s">
        <v>51</v>
      </c>
      <c r="E19" t="s">
        <v>75</v>
      </c>
      <c r="F19" t="s">
        <v>22</v>
      </c>
      <c r="G19" t="s">
        <v>41</v>
      </c>
      <c r="H19" t="s">
        <v>42</v>
      </c>
      <c r="I19" t="s">
        <v>55</v>
      </c>
      <c r="J19" t="s">
        <v>26</v>
      </c>
      <c r="K19" t="s">
        <v>61</v>
      </c>
      <c r="L19" t="s">
        <v>28</v>
      </c>
      <c r="M19" s="4">
        <v>22</v>
      </c>
      <c r="N19" s="4">
        <v>7</v>
      </c>
      <c r="O19" t="s">
        <v>36</v>
      </c>
      <c r="P19" t="s">
        <v>36</v>
      </c>
      <c r="Q19" s="4">
        <v>496495</v>
      </c>
      <c r="R19" s="4">
        <v>341203</v>
      </c>
      <c r="S19" s="4">
        <f>Table1[[#This Row],[Service_Revenue]]-Table1[[#This Row],[Service_Cost]]</f>
        <v>155292</v>
      </c>
      <c r="T19" s="4">
        <v>1</v>
      </c>
      <c r="U19" s="4">
        <f>IF(AND(Table1[[#This Row],[Rework_Flag]]="Yes",Table1[[#This Row],[Warranty_Claim]]="No"),Table1[[#This Row],[Service_Revenue]],0)</f>
        <v>0</v>
      </c>
      <c r="V19" s="4">
        <f>IF(Table1[[#This Row],[Warranty_Claim]]="Yes",1,0)</f>
        <v>0</v>
      </c>
      <c r="W19" s="4">
        <f>IF(Table1[[#This Row],[Rework_Flag]]="No",1,0)</f>
        <v>1</v>
      </c>
      <c r="X19" s="4">
        <f>IF(Table1[[#This Row],[Rework_Flag]]="Yes",1,0)</f>
        <v>0</v>
      </c>
      <c r="Y19" s="4">
        <v>1</v>
      </c>
      <c r="Z19" s="4" t="str">
        <f>IF(Table1[[#This Row],[TAT_Days]]&gt;Table1[[#This Row],[SLA_TAT]],"Yes","No")</f>
        <v>Yes</v>
      </c>
      <c r="AA19" s="4" t="str" cm="1">
        <f t="array" ref="AA19">_xlfn.IFS(Table1[[#This Row],[Customer_Satisfaction]]&lt;=2,"Poor",Table1[[#This Row],[Customer_Satisfaction]]=3,"Neutral",Table1[[#This Row],[Customer_Satisfaction]]=4,"Good",Table1[[#This Row],[Customer_Satisfaction]]=5,"Good")</f>
        <v>Poor</v>
      </c>
    </row>
    <row r="20" spans="1:27" x14ac:dyDescent="0.35">
      <c r="A20">
        <v>20018</v>
      </c>
      <c r="B20" s="1">
        <v>45407</v>
      </c>
      <c r="C20" t="s">
        <v>19</v>
      </c>
      <c r="D20" t="s">
        <v>45</v>
      </c>
      <c r="E20" t="s">
        <v>76</v>
      </c>
      <c r="F20" t="s">
        <v>22</v>
      </c>
      <c r="G20" t="s">
        <v>74</v>
      </c>
      <c r="H20" t="s">
        <v>34</v>
      </c>
      <c r="I20" t="s">
        <v>25</v>
      </c>
      <c r="J20" t="s">
        <v>67</v>
      </c>
      <c r="K20" t="s">
        <v>44</v>
      </c>
      <c r="L20" t="s">
        <v>49</v>
      </c>
      <c r="M20" s="4">
        <v>20</v>
      </c>
      <c r="N20" s="4">
        <v>7</v>
      </c>
      <c r="O20" t="s">
        <v>36</v>
      </c>
      <c r="P20" t="s">
        <v>29</v>
      </c>
      <c r="Q20" s="4">
        <v>463664</v>
      </c>
      <c r="R20" s="4">
        <v>340039</v>
      </c>
      <c r="S20" s="4">
        <f>Table1[[#This Row],[Service_Revenue]]-Table1[[#This Row],[Service_Cost]]</f>
        <v>123625</v>
      </c>
      <c r="T20" s="4">
        <v>1</v>
      </c>
      <c r="U20" s="4">
        <f>IF(AND(Table1[[#This Row],[Rework_Flag]]="Yes",Table1[[#This Row],[Warranty_Claim]]="No"),Table1[[#This Row],[Service_Revenue]],0)</f>
        <v>0</v>
      </c>
      <c r="V20" s="4">
        <f>IF(Table1[[#This Row],[Warranty_Claim]]="Yes",1,0)</f>
        <v>1</v>
      </c>
      <c r="W20" s="4">
        <f>IF(Table1[[#This Row],[Rework_Flag]]="No",1,0)</f>
        <v>1</v>
      </c>
      <c r="X20" s="4">
        <f>IF(Table1[[#This Row],[Rework_Flag]]="Yes",1,0)</f>
        <v>0</v>
      </c>
      <c r="Y20" s="4">
        <v>1</v>
      </c>
      <c r="Z20" s="4" t="str">
        <f>IF(Table1[[#This Row],[TAT_Days]]&gt;Table1[[#This Row],[SLA_TAT]],"Yes","No")</f>
        <v>Yes</v>
      </c>
      <c r="AA20" s="4" t="str" cm="1">
        <f t="array" ref="AA20">_xlfn.IFS(Table1[[#This Row],[Customer_Satisfaction]]&lt;=2,"Poor",Table1[[#This Row],[Customer_Satisfaction]]=3,"Neutral",Table1[[#This Row],[Customer_Satisfaction]]=4,"Good",Table1[[#This Row],[Customer_Satisfaction]]=5,"Good")</f>
        <v>Poor</v>
      </c>
    </row>
    <row r="21" spans="1:27" x14ac:dyDescent="0.35">
      <c r="A21">
        <v>20019</v>
      </c>
      <c r="B21" s="1">
        <v>45405</v>
      </c>
      <c r="C21" t="s">
        <v>50</v>
      </c>
      <c r="D21" t="s">
        <v>56</v>
      </c>
      <c r="E21" t="s">
        <v>77</v>
      </c>
      <c r="F21" t="s">
        <v>53</v>
      </c>
      <c r="G21" t="s">
        <v>74</v>
      </c>
      <c r="H21" t="s">
        <v>34</v>
      </c>
      <c r="I21" t="s">
        <v>55</v>
      </c>
      <c r="J21" t="s">
        <v>67</v>
      </c>
      <c r="K21" t="s">
        <v>27</v>
      </c>
      <c r="L21" t="s">
        <v>28</v>
      </c>
      <c r="M21" s="4">
        <v>24</v>
      </c>
      <c r="N21" s="4">
        <v>7</v>
      </c>
      <c r="O21" t="s">
        <v>29</v>
      </c>
      <c r="P21" t="s">
        <v>36</v>
      </c>
      <c r="Q21" s="4">
        <v>423000</v>
      </c>
      <c r="R21" s="4">
        <v>213156</v>
      </c>
      <c r="S21" s="4">
        <f>Table1[[#This Row],[Service_Revenue]]-Table1[[#This Row],[Service_Cost]]</f>
        <v>209844</v>
      </c>
      <c r="T21" s="4">
        <v>1</v>
      </c>
      <c r="U21" s="4">
        <f>IF(AND(Table1[[#This Row],[Rework_Flag]]="Yes",Table1[[#This Row],[Warranty_Claim]]="No"),Table1[[#This Row],[Service_Revenue]],0)</f>
        <v>423000</v>
      </c>
      <c r="V21" s="4">
        <f>IF(Table1[[#This Row],[Warranty_Claim]]="Yes",1,0)</f>
        <v>0</v>
      </c>
      <c r="W21" s="4">
        <f>IF(Table1[[#This Row],[Rework_Flag]]="No",1,0)</f>
        <v>0</v>
      </c>
      <c r="X21" s="4">
        <f>IF(Table1[[#This Row],[Rework_Flag]]="Yes",1,0)</f>
        <v>1</v>
      </c>
      <c r="Y21" s="4">
        <v>1</v>
      </c>
      <c r="Z21" s="4" t="str">
        <f>IF(Table1[[#This Row],[TAT_Days]]&gt;Table1[[#This Row],[SLA_TAT]],"Yes","No")</f>
        <v>Yes</v>
      </c>
      <c r="AA21" s="4" t="str" cm="1">
        <f t="array" ref="AA21">_xlfn.IFS(Table1[[#This Row],[Customer_Satisfaction]]&lt;=2,"Poor",Table1[[#This Row],[Customer_Satisfaction]]=3,"Neutral",Table1[[#This Row],[Customer_Satisfaction]]=4,"Good",Table1[[#This Row],[Customer_Satisfaction]]=5,"Good")</f>
        <v>Poor</v>
      </c>
    </row>
    <row r="22" spans="1:27" x14ac:dyDescent="0.35">
      <c r="A22">
        <v>20020</v>
      </c>
      <c r="B22" s="1">
        <v>45441</v>
      </c>
      <c r="C22" t="s">
        <v>30</v>
      </c>
      <c r="D22" t="s">
        <v>59</v>
      </c>
      <c r="E22" t="s">
        <v>78</v>
      </c>
      <c r="F22" t="s">
        <v>40</v>
      </c>
      <c r="G22" t="s">
        <v>33</v>
      </c>
      <c r="H22" t="s">
        <v>34</v>
      </c>
      <c r="I22" t="s">
        <v>55</v>
      </c>
      <c r="J22" t="s">
        <v>43</v>
      </c>
      <c r="K22" t="s">
        <v>61</v>
      </c>
      <c r="L22" t="s">
        <v>28</v>
      </c>
      <c r="M22" s="4">
        <v>25</v>
      </c>
      <c r="N22" s="4">
        <v>7</v>
      </c>
      <c r="O22" t="s">
        <v>29</v>
      </c>
      <c r="P22" t="s">
        <v>36</v>
      </c>
      <c r="Q22" s="4">
        <v>343109</v>
      </c>
      <c r="R22" s="4">
        <v>246203</v>
      </c>
      <c r="S22" s="4">
        <f>Table1[[#This Row],[Service_Revenue]]-Table1[[#This Row],[Service_Cost]]</f>
        <v>96906</v>
      </c>
      <c r="T22" s="4">
        <v>1</v>
      </c>
      <c r="U22" s="4">
        <f>IF(AND(Table1[[#This Row],[Rework_Flag]]="Yes",Table1[[#This Row],[Warranty_Claim]]="No"),Table1[[#This Row],[Service_Revenue]],0)</f>
        <v>343109</v>
      </c>
      <c r="V22" s="4">
        <f>IF(Table1[[#This Row],[Warranty_Claim]]="Yes",1,0)</f>
        <v>0</v>
      </c>
      <c r="W22" s="4">
        <f>IF(Table1[[#This Row],[Rework_Flag]]="No",1,0)</f>
        <v>0</v>
      </c>
      <c r="X22" s="4">
        <f>IF(Table1[[#This Row],[Rework_Flag]]="Yes",1,0)</f>
        <v>1</v>
      </c>
      <c r="Y22" s="4">
        <v>1</v>
      </c>
      <c r="Z22" s="4" t="str">
        <f>IF(Table1[[#This Row],[TAT_Days]]&gt;Table1[[#This Row],[SLA_TAT]],"Yes","No")</f>
        <v>Yes</v>
      </c>
      <c r="AA22" s="4" t="str" cm="1">
        <f t="array" ref="AA22">_xlfn.IFS(Table1[[#This Row],[Customer_Satisfaction]]&lt;=2,"Poor",Table1[[#This Row],[Customer_Satisfaction]]=3,"Neutral",Table1[[#This Row],[Customer_Satisfaction]]=4,"Good",Table1[[#This Row],[Customer_Satisfaction]]=5,"Good")</f>
        <v>Poor</v>
      </c>
    </row>
    <row r="23" spans="1:27" x14ac:dyDescent="0.35">
      <c r="A23">
        <v>20021</v>
      </c>
      <c r="B23" s="1">
        <v>45314</v>
      </c>
      <c r="C23" t="s">
        <v>30</v>
      </c>
      <c r="D23" t="s">
        <v>31</v>
      </c>
      <c r="E23" t="s">
        <v>79</v>
      </c>
      <c r="F23" t="s">
        <v>40</v>
      </c>
      <c r="G23" t="s">
        <v>41</v>
      </c>
      <c r="H23" t="s">
        <v>42</v>
      </c>
      <c r="I23" t="s">
        <v>25</v>
      </c>
      <c r="J23" t="s">
        <v>58</v>
      </c>
      <c r="K23" t="s">
        <v>61</v>
      </c>
      <c r="L23" t="s">
        <v>28</v>
      </c>
      <c r="M23" s="4">
        <v>14</v>
      </c>
      <c r="N23" s="4">
        <v>7</v>
      </c>
      <c r="O23" t="s">
        <v>36</v>
      </c>
      <c r="P23" t="s">
        <v>36</v>
      </c>
      <c r="Q23" s="4">
        <v>119236</v>
      </c>
      <c r="R23" s="4">
        <v>81884</v>
      </c>
      <c r="S23" s="4">
        <f>Table1[[#This Row],[Service_Revenue]]-Table1[[#This Row],[Service_Cost]]</f>
        <v>37352</v>
      </c>
      <c r="T23" s="4">
        <v>3</v>
      </c>
      <c r="U23" s="4">
        <f>IF(AND(Table1[[#This Row],[Rework_Flag]]="Yes",Table1[[#This Row],[Warranty_Claim]]="No"),Table1[[#This Row],[Service_Revenue]],0)</f>
        <v>0</v>
      </c>
      <c r="V23" s="4">
        <f>IF(Table1[[#This Row],[Warranty_Claim]]="Yes",1,0)</f>
        <v>0</v>
      </c>
      <c r="W23" s="4">
        <f>IF(Table1[[#This Row],[Rework_Flag]]="No",1,0)</f>
        <v>1</v>
      </c>
      <c r="X23" s="4">
        <f>IF(Table1[[#This Row],[Rework_Flag]]="Yes",1,0)</f>
        <v>0</v>
      </c>
      <c r="Y23" s="4">
        <v>1</v>
      </c>
      <c r="Z23" s="4" t="str">
        <f>IF(Table1[[#This Row],[TAT_Days]]&gt;Table1[[#This Row],[SLA_TAT]],"Yes","No")</f>
        <v>Yes</v>
      </c>
      <c r="AA23" s="4" t="str" cm="1">
        <f t="array" ref="AA23">_xlfn.IFS(Table1[[#This Row],[Customer_Satisfaction]]&lt;=2,"Poor",Table1[[#This Row],[Customer_Satisfaction]]=3,"Neutral",Table1[[#This Row],[Customer_Satisfaction]]=4,"Good",Table1[[#This Row],[Customer_Satisfaction]]=5,"Good")</f>
        <v>Neutral</v>
      </c>
    </row>
    <row r="24" spans="1:27" x14ac:dyDescent="0.35">
      <c r="A24">
        <v>20022</v>
      </c>
      <c r="B24" s="1">
        <v>45317</v>
      </c>
      <c r="C24" t="s">
        <v>50</v>
      </c>
      <c r="D24" t="s">
        <v>80</v>
      </c>
      <c r="E24" t="s">
        <v>81</v>
      </c>
      <c r="F24" t="s">
        <v>40</v>
      </c>
      <c r="G24" t="s">
        <v>63</v>
      </c>
      <c r="H24" t="s">
        <v>24</v>
      </c>
      <c r="I24" t="s">
        <v>55</v>
      </c>
      <c r="J24" t="s">
        <v>43</v>
      </c>
      <c r="K24" t="s">
        <v>44</v>
      </c>
      <c r="L24" t="s">
        <v>28</v>
      </c>
      <c r="M24" s="4">
        <v>9</v>
      </c>
      <c r="N24" s="4">
        <v>7</v>
      </c>
      <c r="O24" t="s">
        <v>29</v>
      </c>
      <c r="P24" t="s">
        <v>36</v>
      </c>
      <c r="Q24" s="4">
        <v>208999</v>
      </c>
      <c r="R24" s="4">
        <v>115970</v>
      </c>
      <c r="S24" s="4">
        <f>Table1[[#This Row],[Service_Revenue]]-Table1[[#This Row],[Service_Cost]]</f>
        <v>93029</v>
      </c>
      <c r="T24" s="4">
        <v>3</v>
      </c>
      <c r="U24" s="4">
        <f>IF(AND(Table1[[#This Row],[Rework_Flag]]="Yes",Table1[[#This Row],[Warranty_Claim]]="No"),Table1[[#This Row],[Service_Revenue]],0)</f>
        <v>208999</v>
      </c>
      <c r="V24" s="4">
        <f>IF(Table1[[#This Row],[Warranty_Claim]]="Yes",1,0)</f>
        <v>0</v>
      </c>
      <c r="W24" s="4">
        <f>IF(Table1[[#This Row],[Rework_Flag]]="No",1,0)</f>
        <v>0</v>
      </c>
      <c r="X24" s="4">
        <f>IF(Table1[[#This Row],[Rework_Flag]]="Yes",1,0)</f>
        <v>1</v>
      </c>
      <c r="Y24" s="4">
        <v>1</v>
      </c>
      <c r="Z24" s="4" t="str">
        <f>IF(Table1[[#This Row],[TAT_Days]]&gt;Table1[[#This Row],[SLA_TAT]],"Yes","No")</f>
        <v>Yes</v>
      </c>
      <c r="AA24" s="4" t="str" cm="1">
        <f t="array" ref="AA24">_xlfn.IFS(Table1[[#This Row],[Customer_Satisfaction]]&lt;=2,"Poor",Table1[[#This Row],[Customer_Satisfaction]]=3,"Neutral",Table1[[#This Row],[Customer_Satisfaction]]=4,"Good",Table1[[#This Row],[Customer_Satisfaction]]=5,"Good")</f>
        <v>Neutral</v>
      </c>
    </row>
    <row r="25" spans="1:27" x14ac:dyDescent="0.35">
      <c r="A25">
        <v>20023</v>
      </c>
      <c r="B25" s="1">
        <v>45367</v>
      </c>
      <c r="C25" t="s">
        <v>37</v>
      </c>
      <c r="D25" t="s">
        <v>70</v>
      </c>
      <c r="E25" t="s">
        <v>82</v>
      </c>
      <c r="F25" t="s">
        <v>22</v>
      </c>
      <c r="G25" t="s">
        <v>74</v>
      </c>
      <c r="H25" t="s">
        <v>34</v>
      </c>
      <c r="I25" t="s">
        <v>25</v>
      </c>
      <c r="J25" t="s">
        <v>26</v>
      </c>
      <c r="K25" t="s">
        <v>44</v>
      </c>
      <c r="L25" t="s">
        <v>49</v>
      </c>
      <c r="M25" s="4">
        <v>11</v>
      </c>
      <c r="N25" s="4">
        <v>7</v>
      </c>
      <c r="O25" t="s">
        <v>29</v>
      </c>
      <c r="P25" t="s">
        <v>36</v>
      </c>
      <c r="Q25" s="4">
        <v>374998</v>
      </c>
      <c r="R25" s="4">
        <v>268203</v>
      </c>
      <c r="S25" s="4">
        <f>Table1[[#This Row],[Service_Revenue]]-Table1[[#This Row],[Service_Cost]]</f>
        <v>106795</v>
      </c>
      <c r="T25" s="4">
        <v>2</v>
      </c>
      <c r="U25" s="4">
        <f>IF(AND(Table1[[#This Row],[Rework_Flag]]="Yes",Table1[[#This Row],[Warranty_Claim]]="No"),Table1[[#This Row],[Service_Revenue]],0)</f>
        <v>374998</v>
      </c>
      <c r="V25" s="4">
        <f>IF(Table1[[#This Row],[Warranty_Claim]]="Yes",1,0)</f>
        <v>0</v>
      </c>
      <c r="W25" s="4">
        <f>IF(Table1[[#This Row],[Rework_Flag]]="No",1,0)</f>
        <v>0</v>
      </c>
      <c r="X25" s="4">
        <f>IF(Table1[[#This Row],[Rework_Flag]]="Yes",1,0)</f>
        <v>1</v>
      </c>
      <c r="Y25" s="4">
        <v>1</v>
      </c>
      <c r="Z25" s="4" t="str">
        <f>IF(Table1[[#This Row],[TAT_Days]]&gt;Table1[[#This Row],[SLA_TAT]],"Yes","No")</f>
        <v>Yes</v>
      </c>
      <c r="AA25" s="4" t="str" cm="1">
        <f t="array" ref="AA25">_xlfn.IFS(Table1[[#This Row],[Customer_Satisfaction]]&lt;=2,"Poor",Table1[[#This Row],[Customer_Satisfaction]]=3,"Neutral",Table1[[#This Row],[Customer_Satisfaction]]=4,"Good",Table1[[#This Row],[Customer_Satisfaction]]=5,"Good")</f>
        <v>Poor</v>
      </c>
    </row>
    <row r="26" spans="1:27" x14ac:dyDescent="0.35">
      <c r="A26">
        <v>20024</v>
      </c>
      <c r="B26" s="1">
        <v>45315</v>
      </c>
      <c r="C26" t="s">
        <v>19</v>
      </c>
      <c r="D26" t="s">
        <v>20</v>
      </c>
      <c r="E26" t="s">
        <v>21</v>
      </c>
      <c r="F26" t="s">
        <v>22</v>
      </c>
      <c r="G26" t="s">
        <v>41</v>
      </c>
      <c r="H26" t="s">
        <v>42</v>
      </c>
      <c r="I26" t="s">
        <v>55</v>
      </c>
      <c r="J26" t="s">
        <v>35</v>
      </c>
      <c r="K26" t="s">
        <v>61</v>
      </c>
      <c r="L26" t="s">
        <v>28</v>
      </c>
      <c r="M26" s="4">
        <v>2</v>
      </c>
      <c r="N26" s="4">
        <v>7</v>
      </c>
      <c r="O26" t="s">
        <v>36</v>
      </c>
      <c r="P26" t="s">
        <v>29</v>
      </c>
      <c r="Q26" s="4">
        <v>566142</v>
      </c>
      <c r="R26" s="4">
        <v>345235</v>
      </c>
      <c r="S26" s="4">
        <f>Table1[[#This Row],[Service_Revenue]]-Table1[[#This Row],[Service_Cost]]</f>
        <v>220907</v>
      </c>
      <c r="T26" s="4">
        <v>5</v>
      </c>
      <c r="U26" s="4">
        <f>IF(AND(Table1[[#This Row],[Rework_Flag]]="Yes",Table1[[#This Row],[Warranty_Claim]]="No"),Table1[[#This Row],[Service_Revenue]],0)</f>
        <v>0</v>
      </c>
      <c r="V26" s="4">
        <f>IF(Table1[[#This Row],[Warranty_Claim]]="Yes",1,0)</f>
        <v>1</v>
      </c>
      <c r="W26" s="4">
        <f>IF(Table1[[#This Row],[Rework_Flag]]="No",1,0)</f>
        <v>1</v>
      </c>
      <c r="X26" s="4">
        <f>IF(Table1[[#This Row],[Rework_Flag]]="Yes",1,0)</f>
        <v>0</v>
      </c>
      <c r="Y26" s="4">
        <v>1</v>
      </c>
      <c r="Z26" s="4" t="str">
        <f>IF(Table1[[#This Row],[TAT_Days]]&gt;Table1[[#This Row],[SLA_TAT]],"Yes","No")</f>
        <v>No</v>
      </c>
      <c r="AA26" s="4" t="str" cm="1">
        <f t="array" ref="AA26">_xlfn.IFS(Table1[[#This Row],[Customer_Satisfaction]]&lt;=2,"Poor",Table1[[#This Row],[Customer_Satisfaction]]=3,"Neutral",Table1[[#This Row],[Customer_Satisfaction]]=4,"Good",Table1[[#This Row],[Customer_Satisfaction]]=5,"Good")</f>
        <v>Good</v>
      </c>
    </row>
    <row r="27" spans="1:27" x14ac:dyDescent="0.35">
      <c r="A27">
        <v>20025</v>
      </c>
      <c r="B27" s="1">
        <v>45300</v>
      </c>
      <c r="C27" t="s">
        <v>30</v>
      </c>
      <c r="D27" t="s">
        <v>83</v>
      </c>
      <c r="E27" t="s">
        <v>84</v>
      </c>
      <c r="F27" t="s">
        <v>40</v>
      </c>
      <c r="G27" t="s">
        <v>33</v>
      </c>
      <c r="H27" t="s">
        <v>34</v>
      </c>
      <c r="I27" t="s">
        <v>55</v>
      </c>
      <c r="J27" t="s">
        <v>26</v>
      </c>
      <c r="K27" t="s">
        <v>61</v>
      </c>
      <c r="L27" t="s">
        <v>49</v>
      </c>
      <c r="M27" s="4">
        <v>12</v>
      </c>
      <c r="N27" s="4">
        <v>7</v>
      </c>
      <c r="O27" t="s">
        <v>36</v>
      </c>
      <c r="P27" t="s">
        <v>29</v>
      </c>
      <c r="Q27" s="4">
        <v>333882</v>
      </c>
      <c r="R27" s="4">
        <v>247331</v>
      </c>
      <c r="S27" s="4">
        <f>Table1[[#This Row],[Service_Revenue]]-Table1[[#This Row],[Service_Cost]]</f>
        <v>86551</v>
      </c>
      <c r="T27" s="4">
        <v>3</v>
      </c>
      <c r="U27" s="4">
        <f>IF(AND(Table1[[#This Row],[Rework_Flag]]="Yes",Table1[[#This Row],[Warranty_Claim]]="No"),Table1[[#This Row],[Service_Revenue]],0)</f>
        <v>0</v>
      </c>
      <c r="V27" s="4">
        <f>IF(Table1[[#This Row],[Warranty_Claim]]="Yes",1,0)</f>
        <v>1</v>
      </c>
      <c r="W27" s="4">
        <f>IF(Table1[[#This Row],[Rework_Flag]]="No",1,0)</f>
        <v>1</v>
      </c>
      <c r="X27" s="4">
        <f>IF(Table1[[#This Row],[Rework_Flag]]="Yes",1,0)</f>
        <v>0</v>
      </c>
      <c r="Y27" s="4">
        <v>1</v>
      </c>
      <c r="Z27" s="4" t="str">
        <f>IF(Table1[[#This Row],[TAT_Days]]&gt;Table1[[#This Row],[SLA_TAT]],"Yes","No")</f>
        <v>Yes</v>
      </c>
      <c r="AA27" s="4" t="str" cm="1">
        <f t="array" ref="AA27">_xlfn.IFS(Table1[[#This Row],[Customer_Satisfaction]]&lt;=2,"Poor",Table1[[#This Row],[Customer_Satisfaction]]=3,"Neutral",Table1[[#This Row],[Customer_Satisfaction]]=4,"Good",Table1[[#This Row],[Customer_Satisfaction]]=5,"Good")</f>
        <v>Neutral</v>
      </c>
    </row>
    <row r="28" spans="1:27" x14ac:dyDescent="0.35">
      <c r="A28">
        <v>20026</v>
      </c>
      <c r="B28" s="1">
        <v>45357</v>
      </c>
      <c r="C28" t="s">
        <v>50</v>
      </c>
      <c r="D28" t="s">
        <v>80</v>
      </c>
      <c r="E28" t="s">
        <v>85</v>
      </c>
      <c r="F28" t="s">
        <v>22</v>
      </c>
      <c r="G28" t="s">
        <v>74</v>
      </c>
      <c r="H28" t="s">
        <v>34</v>
      </c>
      <c r="I28" t="s">
        <v>55</v>
      </c>
      <c r="J28" t="s">
        <v>26</v>
      </c>
      <c r="K28" t="s">
        <v>27</v>
      </c>
      <c r="L28" t="s">
        <v>28</v>
      </c>
      <c r="M28" s="4">
        <v>22</v>
      </c>
      <c r="N28" s="4">
        <v>7</v>
      </c>
      <c r="O28" t="s">
        <v>29</v>
      </c>
      <c r="P28" t="s">
        <v>36</v>
      </c>
      <c r="Q28" s="4">
        <v>575400</v>
      </c>
      <c r="R28" s="4">
        <v>338598</v>
      </c>
      <c r="S28" s="4">
        <f>Table1[[#This Row],[Service_Revenue]]-Table1[[#This Row],[Service_Cost]]</f>
        <v>236802</v>
      </c>
      <c r="T28" s="4">
        <v>1</v>
      </c>
      <c r="U28" s="4">
        <f>IF(AND(Table1[[#This Row],[Rework_Flag]]="Yes",Table1[[#This Row],[Warranty_Claim]]="No"),Table1[[#This Row],[Service_Revenue]],0)</f>
        <v>575400</v>
      </c>
      <c r="V28" s="4">
        <f>IF(Table1[[#This Row],[Warranty_Claim]]="Yes",1,0)</f>
        <v>0</v>
      </c>
      <c r="W28" s="4">
        <f>IF(Table1[[#This Row],[Rework_Flag]]="No",1,0)</f>
        <v>0</v>
      </c>
      <c r="X28" s="4">
        <f>IF(Table1[[#This Row],[Rework_Flag]]="Yes",1,0)</f>
        <v>1</v>
      </c>
      <c r="Y28" s="4">
        <v>1</v>
      </c>
      <c r="Z28" s="4" t="str">
        <f>IF(Table1[[#This Row],[TAT_Days]]&gt;Table1[[#This Row],[SLA_TAT]],"Yes","No")</f>
        <v>Yes</v>
      </c>
      <c r="AA28" s="4" t="str" cm="1">
        <f t="array" ref="AA28">_xlfn.IFS(Table1[[#This Row],[Customer_Satisfaction]]&lt;=2,"Poor",Table1[[#This Row],[Customer_Satisfaction]]=3,"Neutral",Table1[[#This Row],[Customer_Satisfaction]]=4,"Good",Table1[[#This Row],[Customer_Satisfaction]]=5,"Good")</f>
        <v>Poor</v>
      </c>
    </row>
    <row r="29" spans="1:27" x14ac:dyDescent="0.35">
      <c r="A29">
        <v>20027</v>
      </c>
      <c r="B29" s="1">
        <v>45299</v>
      </c>
      <c r="C29" t="s">
        <v>30</v>
      </c>
      <c r="D29" t="s">
        <v>83</v>
      </c>
      <c r="E29" t="s">
        <v>84</v>
      </c>
      <c r="F29" t="s">
        <v>53</v>
      </c>
      <c r="G29" t="s">
        <v>47</v>
      </c>
      <c r="H29" t="s">
        <v>48</v>
      </c>
      <c r="I29" t="s">
        <v>55</v>
      </c>
      <c r="J29" t="s">
        <v>35</v>
      </c>
      <c r="K29" t="s">
        <v>61</v>
      </c>
      <c r="L29" t="s">
        <v>49</v>
      </c>
      <c r="M29" s="4">
        <v>2</v>
      </c>
      <c r="N29" s="4">
        <v>7</v>
      </c>
      <c r="O29" t="s">
        <v>36</v>
      </c>
      <c r="P29" t="s">
        <v>36</v>
      </c>
      <c r="Q29" s="4">
        <v>298907</v>
      </c>
      <c r="R29" s="4">
        <v>164452</v>
      </c>
      <c r="S29" s="4">
        <f>Table1[[#This Row],[Service_Revenue]]-Table1[[#This Row],[Service_Cost]]</f>
        <v>134455</v>
      </c>
      <c r="T29" s="4">
        <v>5</v>
      </c>
      <c r="U29" s="4">
        <f>IF(AND(Table1[[#This Row],[Rework_Flag]]="Yes",Table1[[#This Row],[Warranty_Claim]]="No"),Table1[[#This Row],[Service_Revenue]],0)</f>
        <v>0</v>
      </c>
      <c r="V29" s="4">
        <f>IF(Table1[[#This Row],[Warranty_Claim]]="Yes",1,0)</f>
        <v>0</v>
      </c>
      <c r="W29" s="4">
        <f>IF(Table1[[#This Row],[Rework_Flag]]="No",1,0)</f>
        <v>1</v>
      </c>
      <c r="X29" s="4">
        <f>IF(Table1[[#This Row],[Rework_Flag]]="Yes",1,0)</f>
        <v>0</v>
      </c>
      <c r="Y29" s="4">
        <v>1</v>
      </c>
      <c r="Z29" s="4" t="str">
        <f>IF(Table1[[#This Row],[TAT_Days]]&gt;Table1[[#This Row],[SLA_TAT]],"Yes","No")</f>
        <v>No</v>
      </c>
      <c r="AA29" s="4" t="str" cm="1">
        <f t="array" ref="AA29">_xlfn.IFS(Table1[[#This Row],[Customer_Satisfaction]]&lt;=2,"Poor",Table1[[#This Row],[Customer_Satisfaction]]=3,"Neutral",Table1[[#This Row],[Customer_Satisfaction]]=4,"Good",Table1[[#This Row],[Customer_Satisfaction]]=5,"Good")</f>
        <v>Good</v>
      </c>
    </row>
    <row r="30" spans="1:27" x14ac:dyDescent="0.35">
      <c r="A30">
        <v>20028</v>
      </c>
      <c r="B30" s="1">
        <v>45440</v>
      </c>
      <c r="C30" t="s">
        <v>19</v>
      </c>
      <c r="D30" t="s">
        <v>45</v>
      </c>
      <c r="E30" t="s">
        <v>76</v>
      </c>
      <c r="F30" t="s">
        <v>40</v>
      </c>
      <c r="G30" t="s">
        <v>33</v>
      </c>
      <c r="H30" t="s">
        <v>34</v>
      </c>
      <c r="I30" t="s">
        <v>25</v>
      </c>
      <c r="J30" t="s">
        <v>58</v>
      </c>
      <c r="K30" t="s">
        <v>27</v>
      </c>
      <c r="L30" t="s">
        <v>49</v>
      </c>
      <c r="M30" s="4">
        <v>9</v>
      </c>
      <c r="N30" s="4">
        <v>7</v>
      </c>
      <c r="O30" t="s">
        <v>36</v>
      </c>
      <c r="P30" t="s">
        <v>36</v>
      </c>
      <c r="Q30" s="4">
        <v>590232</v>
      </c>
      <c r="R30" s="4">
        <v>329735</v>
      </c>
      <c r="S30" s="4">
        <f>Table1[[#This Row],[Service_Revenue]]-Table1[[#This Row],[Service_Cost]]</f>
        <v>260497</v>
      </c>
      <c r="T30" s="4">
        <v>4</v>
      </c>
      <c r="U30" s="4">
        <f>IF(AND(Table1[[#This Row],[Rework_Flag]]="Yes",Table1[[#This Row],[Warranty_Claim]]="No"),Table1[[#This Row],[Service_Revenue]],0)</f>
        <v>0</v>
      </c>
      <c r="V30" s="4">
        <f>IF(Table1[[#This Row],[Warranty_Claim]]="Yes",1,0)</f>
        <v>0</v>
      </c>
      <c r="W30" s="4">
        <f>IF(Table1[[#This Row],[Rework_Flag]]="No",1,0)</f>
        <v>1</v>
      </c>
      <c r="X30" s="4">
        <f>IF(Table1[[#This Row],[Rework_Flag]]="Yes",1,0)</f>
        <v>0</v>
      </c>
      <c r="Y30" s="4">
        <v>1</v>
      </c>
      <c r="Z30" s="4" t="str">
        <f>IF(Table1[[#This Row],[TAT_Days]]&gt;Table1[[#This Row],[SLA_TAT]],"Yes","No")</f>
        <v>Yes</v>
      </c>
      <c r="AA30" s="4" t="str" cm="1">
        <f t="array" ref="AA30">_xlfn.IFS(Table1[[#This Row],[Customer_Satisfaction]]&lt;=2,"Poor",Table1[[#This Row],[Customer_Satisfaction]]=3,"Neutral",Table1[[#This Row],[Customer_Satisfaction]]=4,"Good",Table1[[#This Row],[Customer_Satisfaction]]=5,"Good")</f>
        <v>Good</v>
      </c>
    </row>
    <row r="31" spans="1:27" x14ac:dyDescent="0.35">
      <c r="A31">
        <v>20029</v>
      </c>
      <c r="B31" s="1">
        <v>45314</v>
      </c>
      <c r="C31" t="s">
        <v>19</v>
      </c>
      <c r="D31" t="s">
        <v>20</v>
      </c>
      <c r="E31" t="s">
        <v>86</v>
      </c>
      <c r="F31" t="s">
        <v>22</v>
      </c>
      <c r="G31" t="s">
        <v>23</v>
      </c>
      <c r="H31" t="s">
        <v>24</v>
      </c>
      <c r="I31" t="s">
        <v>25</v>
      </c>
      <c r="J31" t="s">
        <v>67</v>
      </c>
      <c r="K31" t="s">
        <v>44</v>
      </c>
      <c r="L31" t="s">
        <v>28</v>
      </c>
      <c r="M31" s="4">
        <v>10</v>
      </c>
      <c r="N31" s="4">
        <v>7</v>
      </c>
      <c r="O31" t="s">
        <v>36</v>
      </c>
      <c r="P31" t="s">
        <v>36</v>
      </c>
      <c r="Q31" s="4">
        <v>568096</v>
      </c>
      <c r="R31" s="4">
        <v>347000</v>
      </c>
      <c r="S31" s="4">
        <f>Table1[[#This Row],[Service_Revenue]]-Table1[[#This Row],[Service_Cost]]</f>
        <v>221096</v>
      </c>
      <c r="T31" s="4">
        <v>3</v>
      </c>
      <c r="U31" s="4">
        <f>IF(AND(Table1[[#This Row],[Rework_Flag]]="Yes",Table1[[#This Row],[Warranty_Claim]]="No"),Table1[[#This Row],[Service_Revenue]],0)</f>
        <v>0</v>
      </c>
      <c r="V31" s="4">
        <f>IF(Table1[[#This Row],[Warranty_Claim]]="Yes",1,0)</f>
        <v>0</v>
      </c>
      <c r="W31" s="4">
        <f>IF(Table1[[#This Row],[Rework_Flag]]="No",1,0)</f>
        <v>1</v>
      </c>
      <c r="X31" s="4">
        <f>IF(Table1[[#This Row],[Rework_Flag]]="Yes",1,0)</f>
        <v>0</v>
      </c>
      <c r="Y31" s="4">
        <v>1</v>
      </c>
      <c r="Z31" s="4" t="str">
        <f>IF(Table1[[#This Row],[TAT_Days]]&gt;Table1[[#This Row],[SLA_TAT]],"Yes","No")</f>
        <v>Yes</v>
      </c>
      <c r="AA31" s="4" t="str" cm="1">
        <f t="array" ref="AA31">_xlfn.IFS(Table1[[#This Row],[Customer_Satisfaction]]&lt;=2,"Poor",Table1[[#This Row],[Customer_Satisfaction]]=3,"Neutral",Table1[[#This Row],[Customer_Satisfaction]]=4,"Good",Table1[[#This Row],[Customer_Satisfaction]]=5,"Good")</f>
        <v>Neutral</v>
      </c>
    </row>
    <row r="32" spans="1:27" x14ac:dyDescent="0.35">
      <c r="A32">
        <v>20030</v>
      </c>
      <c r="B32" s="1">
        <v>45419</v>
      </c>
      <c r="C32" t="s">
        <v>19</v>
      </c>
      <c r="D32" t="s">
        <v>20</v>
      </c>
      <c r="E32" t="s">
        <v>21</v>
      </c>
      <c r="F32" t="s">
        <v>22</v>
      </c>
      <c r="G32" t="s">
        <v>33</v>
      </c>
      <c r="H32" t="s">
        <v>34</v>
      </c>
      <c r="I32" t="s">
        <v>55</v>
      </c>
      <c r="J32" t="s">
        <v>58</v>
      </c>
      <c r="K32" t="s">
        <v>44</v>
      </c>
      <c r="L32" t="s">
        <v>28</v>
      </c>
      <c r="M32" s="4">
        <v>13</v>
      </c>
      <c r="N32" s="4">
        <v>7</v>
      </c>
      <c r="O32" t="s">
        <v>36</v>
      </c>
      <c r="P32" t="s">
        <v>29</v>
      </c>
      <c r="Q32" s="4">
        <v>568971</v>
      </c>
      <c r="R32" s="4">
        <v>472443</v>
      </c>
      <c r="S32" s="4">
        <f>Table1[[#This Row],[Service_Revenue]]-Table1[[#This Row],[Service_Cost]]</f>
        <v>96528</v>
      </c>
      <c r="T32" s="4">
        <v>3</v>
      </c>
      <c r="U32" s="4">
        <f>IF(AND(Table1[[#This Row],[Rework_Flag]]="Yes",Table1[[#This Row],[Warranty_Claim]]="No"),Table1[[#This Row],[Service_Revenue]],0)</f>
        <v>0</v>
      </c>
      <c r="V32" s="4">
        <f>IF(Table1[[#This Row],[Warranty_Claim]]="Yes",1,0)</f>
        <v>1</v>
      </c>
      <c r="W32" s="4">
        <f>IF(Table1[[#This Row],[Rework_Flag]]="No",1,0)</f>
        <v>1</v>
      </c>
      <c r="X32" s="4">
        <f>IF(Table1[[#This Row],[Rework_Flag]]="Yes",1,0)</f>
        <v>0</v>
      </c>
      <c r="Y32" s="4">
        <v>1</v>
      </c>
      <c r="Z32" s="4" t="str">
        <f>IF(Table1[[#This Row],[TAT_Days]]&gt;Table1[[#This Row],[SLA_TAT]],"Yes","No")</f>
        <v>Yes</v>
      </c>
      <c r="AA32" s="4" t="str" cm="1">
        <f t="array" ref="AA32">_xlfn.IFS(Table1[[#This Row],[Customer_Satisfaction]]&lt;=2,"Poor",Table1[[#This Row],[Customer_Satisfaction]]=3,"Neutral",Table1[[#This Row],[Customer_Satisfaction]]=4,"Good",Table1[[#This Row],[Customer_Satisfaction]]=5,"Good")</f>
        <v>Neutral</v>
      </c>
    </row>
    <row r="33" spans="1:27" x14ac:dyDescent="0.35">
      <c r="A33">
        <v>20031</v>
      </c>
      <c r="B33" s="1">
        <v>45430</v>
      </c>
      <c r="C33" t="s">
        <v>50</v>
      </c>
      <c r="D33" t="s">
        <v>56</v>
      </c>
      <c r="E33" t="s">
        <v>68</v>
      </c>
      <c r="F33" t="s">
        <v>22</v>
      </c>
      <c r="G33" t="s">
        <v>74</v>
      </c>
      <c r="H33" t="s">
        <v>34</v>
      </c>
      <c r="I33" t="s">
        <v>55</v>
      </c>
      <c r="J33" t="s">
        <v>67</v>
      </c>
      <c r="K33" t="s">
        <v>61</v>
      </c>
      <c r="L33" t="s">
        <v>28</v>
      </c>
      <c r="M33" s="4">
        <v>22</v>
      </c>
      <c r="N33" s="4">
        <v>7</v>
      </c>
      <c r="O33" t="s">
        <v>36</v>
      </c>
      <c r="P33" t="s">
        <v>29</v>
      </c>
      <c r="Q33" s="4">
        <v>101351</v>
      </c>
      <c r="R33" s="4">
        <v>53138</v>
      </c>
      <c r="S33" s="4">
        <f>Table1[[#This Row],[Service_Revenue]]-Table1[[#This Row],[Service_Cost]]</f>
        <v>48213</v>
      </c>
      <c r="T33" s="4">
        <v>1</v>
      </c>
      <c r="U33" s="4">
        <f>IF(AND(Table1[[#This Row],[Rework_Flag]]="Yes",Table1[[#This Row],[Warranty_Claim]]="No"),Table1[[#This Row],[Service_Revenue]],0)</f>
        <v>0</v>
      </c>
      <c r="V33" s="4">
        <f>IF(Table1[[#This Row],[Warranty_Claim]]="Yes",1,0)</f>
        <v>1</v>
      </c>
      <c r="W33" s="4">
        <f>IF(Table1[[#This Row],[Rework_Flag]]="No",1,0)</f>
        <v>1</v>
      </c>
      <c r="X33" s="4">
        <f>IF(Table1[[#This Row],[Rework_Flag]]="Yes",1,0)</f>
        <v>0</v>
      </c>
      <c r="Y33" s="4">
        <v>1</v>
      </c>
      <c r="Z33" s="4" t="str">
        <f>IF(Table1[[#This Row],[TAT_Days]]&gt;Table1[[#This Row],[SLA_TAT]],"Yes","No")</f>
        <v>Yes</v>
      </c>
      <c r="AA33" s="4" t="str" cm="1">
        <f t="array" ref="AA33">_xlfn.IFS(Table1[[#This Row],[Customer_Satisfaction]]&lt;=2,"Poor",Table1[[#This Row],[Customer_Satisfaction]]=3,"Neutral",Table1[[#This Row],[Customer_Satisfaction]]=4,"Good",Table1[[#This Row],[Customer_Satisfaction]]=5,"Good")</f>
        <v>Poor</v>
      </c>
    </row>
    <row r="34" spans="1:27" x14ac:dyDescent="0.35">
      <c r="A34">
        <v>20032</v>
      </c>
      <c r="B34" s="1">
        <v>45337</v>
      </c>
      <c r="C34" t="s">
        <v>37</v>
      </c>
      <c r="D34" t="s">
        <v>64</v>
      </c>
      <c r="E34" t="s">
        <v>87</v>
      </c>
      <c r="F34" t="s">
        <v>53</v>
      </c>
      <c r="G34" t="s">
        <v>41</v>
      </c>
      <c r="H34" t="s">
        <v>42</v>
      </c>
      <c r="I34" t="s">
        <v>25</v>
      </c>
      <c r="J34" t="s">
        <v>35</v>
      </c>
      <c r="K34" t="s">
        <v>44</v>
      </c>
      <c r="L34" t="s">
        <v>28</v>
      </c>
      <c r="M34" s="4">
        <v>16</v>
      </c>
      <c r="N34" s="4">
        <v>7</v>
      </c>
      <c r="O34" t="s">
        <v>36</v>
      </c>
      <c r="P34" t="s">
        <v>29</v>
      </c>
      <c r="Q34" s="4">
        <v>312195</v>
      </c>
      <c r="R34" s="4">
        <v>250026</v>
      </c>
      <c r="S34" s="4">
        <f>Table1[[#This Row],[Service_Revenue]]-Table1[[#This Row],[Service_Cost]]</f>
        <v>62169</v>
      </c>
      <c r="T34" s="4">
        <v>2</v>
      </c>
      <c r="U34" s="4">
        <f>IF(AND(Table1[[#This Row],[Rework_Flag]]="Yes",Table1[[#This Row],[Warranty_Claim]]="No"),Table1[[#This Row],[Service_Revenue]],0)</f>
        <v>0</v>
      </c>
      <c r="V34" s="4">
        <f>IF(Table1[[#This Row],[Warranty_Claim]]="Yes",1,0)</f>
        <v>1</v>
      </c>
      <c r="W34" s="4">
        <f>IF(Table1[[#This Row],[Rework_Flag]]="No",1,0)</f>
        <v>1</v>
      </c>
      <c r="X34" s="4">
        <f>IF(Table1[[#This Row],[Rework_Flag]]="Yes",1,0)</f>
        <v>0</v>
      </c>
      <c r="Y34" s="4">
        <v>1</v>
      </c>
      <c r="Z34" s="4" t="str">
        <f>IF(Table1[[#This Row],[TAT_Days]]&gt;Table1[[#This Row],[SLA_TAT]],"Yes","No")</f>
        <v>Yes</v>
      </c>
      <c r="AA34" s="4" t="str" cm="1">
        <f t="array" ref="AA34">_xlfn.IFS(Table1[[#This Row],[Customer_Satisfaction]]&lt;=2,"Poor",Table1[[#This Row],[Customer_Satisfaction]]=3,"Neutral",Table1[[#This Row],[Customer_Satisfaction]]=4,"Good",Table1[[#This Row],[Customer_Satisfaction]]=5,"Good")</f>
        <v>Poor</v>
      </c>
    </row>
    <row r="35" spans="1:27" x14ac:dyDescent="0.35">
      <c r="A35">
        <v>20033</v>
      </c>
      <c r="B35" s="1">
        <v>45424</v>
      </c>
      <c r="C35" t="s">
        <v>30</v>
      </c>
      <c r="D35" t="s">
        <v>59</v>
      </c>
      <c r="E35" t="s">
        <v>69</v>
      </c>
      <c r="F35" t="s">
        <v>53</v>
      </c>
      <c r="G35" t="s">
        <v>54</v>
      </c>
      <c r="H35" t="s">
        <v>42</v>
      </c>
      <c r="I35" t="s">
        <v>25</v>
      </c>
      <c r="J35" t="s">
        <v>67</v>
      </c>
      <c r="K35" t="s">
        <v>44</v>
      </c>
      <c r="L35" t="s">
        <v>28</v>
      </c>
      <c r="M35" s="4">
        <v>25</v>
      </c>
      <c r="N35" s="4">
        <v>7</v>
      </c>
      <c r="O35" t="s">
        <v>29</v>
      </c>
      <c r="P35" t="s">
        <v>36</v>
      </c>
      <c r="Q35" s="4">
        <v>259040</v>
      </c>
      <c r="R35" s="4">
        <v>134294</v>
      </c>
      <c r="S35" s="4">
        <f>Table1[[#This Row],[Service_Revenue]]-Table1[[#This Row],[Service_Cost]]</f>
        <v>124746</v>
      </c>
      <c r="T35" s="4">
        <v>1</v>
      </c>
      <c r="U35" s="4">
        <f>IF(AND(Table1[[#This Row],[Rework_Flag]]="Yes",Table1[[#This Row],[Warranty_Claim]]="No"),Table1[[#This Row],[Service_Revenue]],0)</f>
        <v>259040</v>
      </c>
      <c r="V35" s="4">
        <f>IF(Table1[[#This Row],[Warranty_Claim]]="Yes",1,0)</f>
        <v>0</v>
      </c>
      <c r="W35" s="4">
        <f>IF(Table1[[#This Row],[Rework_Flag]]="No",1,0)</f>
        <v>0</v>
      </c>
      <c r="X35" s="4">
        <f>IF(Table1[[#This Row],[Rework_Flag]]="Yes",1,0)</f>
        <v>1</v>
      </c>
      <c r="Y35" s="4">
        <v>1</v>
      </c>
      <c r="Z35" s="4" t="str">
        <f>IF(Table1[[#This Row],[TAT_Days]]&gt;Table1[[#This Row],[SLA_TAT]],"Yes","No")</f>
        <v>Yes</v>
      </c>
      <c r="AA35" s="4" t="str" cm="1">
        <f t="array" ref="AA35">_xlfn.IFS(Table1[[#This Row],[Customer_Satisfaction]]&lt;=2,"Poor",Table1[[#This Row],[Customer_Satisfaction]]=3,"Neutral",Table1[[#This Row],[Customer_Satisfaction]]=4,"Good",Table1[[#This Row],[Customer_Satisfaction]]=5,"Good")</f>
        <v>Poor</v>
      </c>
    </row>
    <row r="36" spans="1:27" x14ac:dyDescent="0.35">
      <c r="A36">
        <v>20034</v>
      </c>
      <c r="B36" s="1">
        <v>45356</v>
      </c>
      <c r="C36" t="s">
        <v>50</v>
      </c>
      <c r="D36" t="s">
        <v>56</v>
      </c>
      <c r="E36" t="s">
        <v>88</v>
      </c>
      <c r="F36" t="s">
        <v>22</v>
      </c>
      <c r="G36" t="s">
        <v>41</v>
      </c>
      <c r="H36" t="s">
        <v>42</v>
      </c>
      <c r="I36" t="s">
        <v>55</v>
      </c>
      <c r="J36" t="s">
        <v>43</v>
      </c>
      <c r="K36" t="s">
        <v>61</v>
      </c>
      <c r="L36" t="s">
        <v>49</v>
      </c>
      <c r="M36" s="4">
        <v>24</v>
      </c>
      <c r="N36" s="4">
        <v>7</v>
      </c>
      <c r="O36" t="s">
        <v>29</v>
      </c>
      <c r="P36" t="s">
        <v>29</v>
      </c>
      <c r="Q36" s="4">
        <v>572835</v>
      </c>
      <c r="R36" s="4">
        <v>474900</v>
      </c>
      <c r="S36" s="4">
        <f>Table1[[#This Row],[Service_Revenue]]-Table1[[#This Row],[Service_Cost]]</f>
        <v>97935</v>
      </c>
      <c r="T36" s="4">
        <v>1</v>
      </c>
      <c r="U36" s="4">
        <f>IF(AND(Table1[[#This Row],[Rework_Flag]]="Yes",Table1[[#This Row],[Warranty_Claim]]="No"),Table1[[#This Row],[Service_Revenue]],0)</f>
        <v>0</v>
      </c>
      <c r="V36" s="4">
        <f>IF(Table1[[#This Row],[Warranty_Claim]]="Yes",1,0)</f>
        <v>1</v>
      </c>
      <c r="W36" s="4">
        <f>IF(Table1[[#This Row],[Rework_Flag]]="No",1,0)</f>
        <v>0</v>
      </c>
      <c r="X36" s="4">
        <f>IF(Table1[[#This Row],[Rework_Flag]]="Yes",1,0)</f>
        <v>1</v>
      </c>
      <c r="Y36" s="4">
        <v>1</v>
      </c>
      <c r="Z36" s="4" t="str">
        <f>IF(Table1[[#This Row],[TAT_Days]]&gt;Table1[[#This Row],[SLA_TAT]],"Yes","No")</f>
        <v>Yes</v>
      </c>
      <c r="AA36" s="4" t="str" cm="1">
        <f t="array" ref="AA36">_xlfn.IFS(Table1[[#This Row],[Customer_Satisfaction]]&lt;=2,"Poor",Table1[[#This Row],[Customer_Satisfaction]]=3,"Neutral",Table1[[#This Row],[Customer_Satisfaction]]=4,"Good",Table1[[#This Row],[Customer_Satisfaction]]=5,"Good")</f>
        <v>Poor</v>
      </c>
    </row>
    <row r="37" spans="1:27" x14ac:dyDescent="0.35">
      <c r="A37">
        <v>20035</v>
      </c>
      <c r="B37" s="1">
        <v>45420</v>
      </c>
      <c r="C37" t="s">
        <v>30</v>
      </c>
      <c r="D37" t="s">
        <v>31</v>
      </c>
      <c r="E37" t="s">
        <v>32</v>
      </c>
      <c r="F37" t="s">
        <v>40</v>
      </c>
      <c r="G37" t="s">
        <v>54</v>
      </c>
      <c r="H37" t="s">
        <v>42</v>
      </c>
      <c r="I37" t="s">
        <v>25</v>
      </c>
      <c r="J37" t="s">
        <v>35</v>
      </c>
      <c r="K37" t="s">
        <v>27</v>
      </c>
      <c r="L37" t="s">
        <v>49</v>
      </c>
      <c r="M37" s="4">
        <v>18</v>
      </c>
      <c r="N37" s="4">
        <v>7</v>
      </c>
      <c r="O37" t="s">
        <v>29</v>
      </c>
      <c r="P37" t="s">
        <v>29</v>
      </c>
      <c r="Q37" s="4">
        <v>287229</v>
      </c>
      <c r="R37" s="4">
        <v>180929</v>
      </c>
      <c r="S37" s="4">
        <f>Table1[[#This Row],[Service_Revenue]]-Table1[[#This Row],[Service_Cost]]</f>
        <v>106300</v>
      </c>
      <c r="T37" s="4">
        <v>1</v>
      </c>
      <c r="U37" s="4">
        <f>IF(AND(Table1[[#This Row],[Rework_Flag]]="Yes",Table1[[#This Row],[Warranty_Claim]]="No"),Table1[[#This Row],[Service_Revenue]],0)</f>
        <v>0</v>
      </c>
      <c r="V37" s="4">
        <f>IF(Table1[[#This Row],[Warranty_Claim]]="Yes",1,0)</f>
        <v>1</v>
      </c>
      <c r="W37" s="4">
        <f>IF(Table1[[#This Row],[Rework_Flag]]="No",1,0)</f>
        <v>0</v>
      </c>
      <c r="X37" s="4">
        <f>IF(Table1[[#This Row],[Rework_Flag]]="Yes",1,0)</f>
        <v>1</v>
      </c>
      <c r="Y37" s="4">
        <v>1</v>
      </c>
      <c r="Z37" s="4" t="str">
        <f>IF(Table1[[#This Row],[TAT_Days]]&gt;Table1[[#This Row],[SLA_TAT]],"Yes","No")</f>
        <v>Yes</v>
      </c>
      <c r="AA37" s="4" t="str" cm="1">
        <f t="array" ref="AA37">_xlfn.IFS(Table1[[#This Row],[Customer_Satisfaction]]&lt;=2,"Poor",Table1[[#This Row],[Customer_Satisfaction]]=3,"Neutral",Table1[[#This Row],[Customer_Satisfaction]]=4,"Good",Table1[[#This Row],[Customer_Satisfaction]]=5,"Good")</f>
        <v>Poor</v>
      </c>
    </row>
    <row r="38" spans="1:27" x14ac:dyDescent="0.35">
      <c r="A38">
        <v>20036</v>
      </c>
      <c r="B38" s="1">
        <v>45321</v>
      </c>
      <c r="C38" t="s">
        <v>19</v>
      </c>
      <c r="D38" t="s">
        <v>20</v>
      </c>
      <c r="E38" t="s">
        <v>89</v>
      </c>
      <c r="F38" t="s">
        <v>40</v>
      </c>
      <c r="G38" t="s">
        <v>74</v>
      </c>
      <c r="H38" t="s">
        <v>34</v>
      </c>
      <c r="I38" t="s">
        <v>55</v>
      </c>
      <c r="J38" t="s">
        <v>67</v>
      </c>
      <c r="K38" t="s">
        <v>61</v>
      </c>
      <c r="L38" t="s">
        <v>28</v>
      </c>
      <c r="M38" s="4">
        <v>18</v>
      </c>
      <c r="N38" s="4">
        <v>7</v>
      </c>
      <c r="O38" t="s">
        <v>29</v>
      </c>
      <c r="P38" t="s">
        <v>36</v>
      </c>
      <c r="Q38" s="4">
        <v>327851</v>
      </c>
      <c r="R38" s="4">
        <v>277284</v>
      </c>
      <c r="S38" s="4">
        <f>Table1[[#This Row],[Service_Revenue]]-Table1[[#This Row],[Service_Cost]]</f>
        <v>50567</v>
      </c>
      <c r="T38" s="4">
        <v>1</v>
      </c>
      <c r="U38" s="4">
        <f>IF(AND(Table1[[#This Row],[Rework_Flag]]="Yes",Table1[[#This Row],[Warranty_Claim]]="No"),Table1[[#This Row],[Service_Revenue]],0)</f>
        <v>327851</v>
      </c>
      <c r="V38" s="4">
        <f>IF(Table1[[#This Row],[Warranty_Claim]]="Yes",1,0)</f>
        <v>0</v>
      </c>
      <c r="W38" s="4">
        <f>IF(Table1[[#This Row],[Rework_Flag]]="No",1,0)</f>
        <v>0</v>
      </c>
      <c r="X38" s="4">
        <f>IF(Table1[[#This Row],[Rework_Flag]]="Yes",1,0)</f>
        <v>1</v>
      </c>
      <c r="Y38" s="4">
        <v>1</v>
      </c>
      <c r="Z38" s="4" t="str">
        <f>IF(Table1[[#This Row],[TAT_Days]]&gt;Table1[[#This Row],[SLA_TAT]],"Yes","No")</f>
        <v>Yes</v>
      </c>
      <c r="AA38" s="4" t="str" cm="1">
        <f t="array" ref="AA38">_xlfn.IFS(Table1[[#This Row],[Customer_Satisfaction]]&lt;=2,"Poor",Table1[[#This Row],[Customer_Satisfaction]]=3,"Neutral",Table1[[#This Row],[Customer_Satisfaction]]=4,"Good",Table1[[#This Row],[Customer_Satisfaction]]=5,"Good")</f>
        <v>Poor</v>
      </c>
    </row>
    <row r="39" spans="1:27" x14ac:dyDescent="0.35">
      <c r="A39">
        <v>20037</v>
      </c>
      <c r="B39" s="1">
        <v>45323</v>
      </c>
      <c r="C39" t="s">
        <v>30</v>
      </c>
      <c r="D39" t="s">
        <v>83</v>
      </c>
      <c r="E39" t="s">
        <v>90</v>
      </c>
      <c r="F39" t="s">
        <v>40</v>
      </c>
      <c r="G39" t="s">
        <v>47</v>
      </c>
      <c r="H39" t="s">
        <v>48</v>
      </c>
      <c r="I39" t="s">
        <v>25</v>
      </c>
      <c r="J39" t="s">
        <v>26</v>
      </c>
      <c r="K39" t="s">
        <v>27</v>
      </c>
      <c r="L39" t="s">
        <v>28</v>
      </c>
      <c r="M39" s="4">
        <v>5</v>
      </c>
      <c r="N39" s="4">
        <v>7</v>
      </c>
      <c r="O39" t="s">
        <v>29</v>
      </c>
      <c r="P39" t="s">
        <v>36</v>
      </c>
      <c r="Q39" s="4">
        <v>562183</v>
      </c>
      <c r="R39" s="4">
        <v>461957</v>
      </c>
      <c r="S39" s="4">
        <f>Table1[[#This Row],[Service_Revenue]]-Table1[[#This Row],[Service_Cost]]</f>
        <v>100226</v>
      </c>
      <c r="T39" s="4">
        <v>3</v>
      </c>
      <c r="U39" s="4">
        <f>IF(AND(Table1[[#This Row],[Rework_Flag]]="Yes",Table1[[#This Row],[Warranty_Claim]]="No"),Table1[[#This Row],[Service_Revenue]],0)</f>
        <v>562183</v>
      </c>
      <c r="V39" s="4">
        <f>IF(Table1[[#This Row],[Warranty_Claim]]="Yes",1,0)</f>
        <v>0</v>
      </c>
      <c r="W39" s="4">
        <f>IF(Table1[[#This Row],[Rework_Flag]]="No",1,0)</f>
        <v>0</v>
      </c>
      <c r="X39" s="4">
        <f>IF(Table1[[#This Row],[Rework_Flag]]="Yes",1,0)</f>
        <v>1</v>
      </c>
      <c r="Y39" s="4">
        <v>1</v>
      </c>
      <c r="Z39" s="4" t="str">
        <f>IF(Table1[[#This Row],[TAT_Days]]&gt;Table1[[#This Row],[SLA_TAT]],"Yes","No")</f>
        <v>No</v>
      </c>
      <c r="AA39" s="4" t="str" cm="1">
        <f t="array" ref="AA39">_xlfn.IFS(Table1[[#This Row],[Customer_Satisfaction]]&lt;=2,"Poor",Table1[[#This Row],[Customer_Satisfaction]]=3,"Neutral",Table1[[#This Row],[Customer_Satisfaction]]=4,"Good",Table1[[#This Row],[Customer_Satisfaction]]=5,"Good")</f>
        <v>Neutral</v>
      </c>
    </row>
    <row r="40" spans="1:27" x14ac:dyDescent="0.35">
      <c r="A40">
        <v>20038</v>
      </c>
      <c r="B40" s="1">
        <v>45433</v>
      </c>
      <c r="C40" t="s">
        <v>37</v>
      </c>
      <c r="D40" t="s">
        <v>70</v>
      </c>
      <c r="E40" t="s">
        <v>91</v>
      </c>
      <c r="F40" t="s">
        <v>53</v>
      </c>
      <c r="G40" t="s">
        <v>41</v>
      </c>
      <c r="H40" t="s">
        <v>42</v>
      </c>
      <c r="I40" t="s">
        <v>25</v>
      </c>
      <c r="J40" t="s">
        <v>43</v>
      </c>
      <c r="K40" t="s">
        <v>44</v>
      </c>
      <c r="L40" t="s">
        <v>49</v>
      </c>
      <c r="M40" s="4">
        <v>19</v>
      </c>
      <c r="N40" s="4">
        <v>7</v>
      </c>
      <c r="O40" t="s">
        <v>29</v>
      </c>
      <c r="P40" t="s">
        <v>36</v>
      </c>
      <c r="Q40" s="4">
        <v>133711</v>
      </c>
      <c r="R40" s="4">
        <v>76716</v>
      </c>
      <c r="S40" s="4">
        <f>Table1[[#This Row],[Service_Revenue]]-Table1[[#This Row],[Service_Cost]]</f>
        <v>56995</v>
      </c>
      <c r="T40" s="4">
        <v>1</v>
      </c>
      <c r="U40" s="4">
        <f>IF(AND(Table1[[#This Row],[Rework_Flag]]="Yes",Table1[[#This Row],[Warranty_Claim]]="No"),Table1[[#This Row],[Service_Revenue]],0)</f>
        <v>133711</v>
      </c>
      <c r="V40" s="4">
        <f>IF(Table1[[#This Row],[Warranty_Claim]]="Yes",1,0)</f>
        <v>0</v>
      </c>
      <c r="W40" s="4">
        <f>IF(Table1[[#This Row],[Rework_Flag]]="No",1,0)</f>
        <v>0</v>
      </c>
      <c r="X40" s="4">
        <f>IF(Table1[[#This Row],[Rework_Flag]]="Yes",1,0)</f>
        <v>1</v>
      </c>
      <c r="Y40" s="4">
        <v>1</v>
      </c>
      <c r="Z40" s="4" t="str">
        <f>IF(Table1[[#This Row],[TAT_Days]]&gt;Table1[[#This Row],[SLA_TAT]],"Yes","No")</f>
        <v>Yes</v>
      </c>
      <c r="AA40" s="4" t="str" cm="1">
        <f t="array" ref="AA40">_xlfn.IFS(Table1[[#This Row],[Customer_Satisfaction]]&lt;=2,"Poor",Table1[[#This Row],[Customer_Satisfaction]]=3,"Neutral",Table1[[#This Row],[Customer_Satisfaction]]=4,"Good",Table1[[#This Row],[Customer_Satisfaction]]=5,"Good")</f>
        <v>Poor</v>
      </c>
    </row>
    <row r="41" spans="1:27" x14ac:dyDescent="0.35">
      <c r="A41">
        <v>20039</v>
      </c>
      <c r="B41" s="1">
        <v>45377</v>
      </c>
      <c r="C41" t="s">
        <v>30</v>
      </c>
      <c r="D41" t="s">
        <v>83</v>
      </c>
      <c r="E41" t="s">
        <v>92</v>
      </c>
      <c r="F41" t="s">
        <v>53</v>
      </c>
      <c r="G41" t="s">
        <v>54</v>
      </c>
      <c r="H41" t="s">
        <v>42</v>
      </c>
      <c r="I41" t="s">
        <v>25</v>
      </c>
      <c r="J41" t="s">
        <v>43</v>
      </c>
      <c r="K41" t="s">
        <v>61</v>
      </c>
      <c r="L41" t="s">
        <v>49</v>
      </c>
      <c r="M41" s="4">
        <v>24</v>
      </c>
      <c r="N41" s="4">
        <v>7</v>
      </c>
      <c r="O41" t="s">
        <v>29</v>
      </c>
      <c r="P41" t="s">
        <v>36</v>
      </c>
      <c r="Q41" s="4">
        <v>224855</v>
      </c>
      <c r="R41" s="4">
        <v>140955</v>
      </c>
      <c r="S41" s="4">
        <f>Table1[[#This Row],[Service_Revenue]]-Table1[[#This Row],[Service_Cost]]</f>
        <v>83900</v>
      </c>
      <c r="T41" s="4">
        <v>1</v>
      </c>
      <c r="U41" s="4">
        <f>IF(AND(Table1[[#This Row],[Rework_Flag]]="Yes",Table1[[#This Row],[Warranty_Claim]]="No"),Table1[[#This Row],[Service_Revenue]],0)</f>
        <v>224855</v>
      </c>
      <c r="V41" s="4">
        <f>IF(Table1[[#This Row],[Warranty_Claim]]="Yes",1,0)</f>
        <v>0</v>
      </c>
      <c r="W41" s="4">
        <f>IF(Table1[[#This Row],[Rework_Flag]]="No",1,0)</f>
        <v>0</v>
      </c>
      <c r="X41" s="4">
        <f>IF(Table1[[#This Row],[Rework_Flag]]="Yes",1,0)</f>
        <v>1</v>
      </c>
      <c r="Y41" s="4">
        <v>1</v>
      </c>
      <c r="Z41" s="4" t="str">
        <f>IF(Table1[[#This Row],[TAT_Days]]&gt;Table1[[#This Row],[SLA_TAT]],"Yes","No")</f>
        <v>Yes</v>
      </c>
      <c r="AA41" s="4" t="str" cm="1">
        <f t="array" ref="AA41">_xlfn.IFS(Table1[[#This Row],[Customer_Satisfaction]]&lt;=2,"Poor",Table1[[#This Row],[Customer_Satisfaction]]=3,"Neutral",Table1[[#This Row],[Customer_Satisfaction]]=4,"Good",Table1[[#This Row],[Customer_Satisfaction]]=5,"Good")</f>
        <v>Poor</v>
      </c>
    </row>
    <row r="42" spans="1:27" x14ac:dyDescent="0.35">
      <c r="A42">
        <v>20040</v>
      </c>
      <c r="B42" s="1">
        <v>45342</v>
      </c>
      <c r="C42" t="s">
        <v>30</v>
      </c>
      <c r="D42" t="s">
        <v>59</v>
      </c>
      <c r="E42" t="s">
        <v>69</v>
      </c>
      <c r="F42" t="s">
        <v>53</v>
      </c>
      <c r="G42" t="s">
        <v>41</v>
      </c>
      <c r="H42" t="s">
        <v>42</v>
      </c>
      <c r="I42" t="s">
        <v>55</v>
      </c>
      <c r="J42" t="s">
        <v>35</v>
      </c>
      <c r="K42" t="s">
        <v>44</v>
      </c>
      <c r="L42" t="s">
        <v>28</v>
      </c>
      <c r="M42" s="4">
        <v>17</v>
      </c>
      <c r="N42" s="4">
        <v>7</v>
      </c>
      <c r="O42" t="s">
        <v>29</v>
      </c>
      <c r="P42" t="s">
        <v>29</v>
      </c>
      <c r="Q42" s="4">
        <v>179590</v>
      </c>
      <c r="R42" s="4">
        <v>137398</v>
      </c>
      <c r="S42" s="4">
        <f>Table1[[#This Row],[Service_Revenue]]-Table1[[#This Row],[Service_Cost]]</f>
        <v>42192</v>
      </c>
      <c r="T42" s="4">
        <v>1</v>
      </c>
      <c r="U42" s="4">
        <f>IF(AND(Table1[[#This Row],[Rework_Flag]]="Yes",Table1[[#This Row],[Warranty_Claim]]="No"),Table1[[#This Row],[Service_Revenue]],0)</f>
        <v>0</v>
      </c>
      <c r="V42" s="4">
        <f>IF(Table1[[#This Row],[Warranty_Claim]]="Yes",1,0)</f>
        <v>1</v>
      </c>
      <c r="W42" s="4">
        <f>IF(Table1[[#This Row],[Rework_Flag]]="No",1,0)</f>
        <v>0</v>
      </c>
      <c r="X42" s="4">
        <f>IF(Table1[[#This Row],[Rework_Flag]]="Yes",1,0)</f>
        <v>1</v>
      </c>
      <c r="Y42" s="4">
        <v>1</v>
      </c>
      <c r="Z42" s="4" t="str">
        <f>IF(Table1[[#This Row],[TAT_Days]]&gt;Table1[[#This Row],[SLA_TAT]],"Yes","No")</f>
        <v>Yes</v>
      </c>
      <c r="AA42" s="4" t="str" cm="1">
        <f t="array" ref="AA42">_xlfn.IFS(Table1[[#This Row],[Customer_Satisfaction]]&lt;=2,"Poor",Table1[[#This Row],[Customer_Satisfaction]]=3,"Neutral",Table1[[#This Row],[Customer_Satisfaction]]=4,"Good",Table1[[#This Row],[Customer_Satisfaction]]=5,"Good")</f>
        <v>Poor</v>
      </c>
    </row>
    <row r="43" spans="1:27" x14ac:dyDescent="0.35">
      <c r="A43">
        <v>20041</v>
      </c>
      <c r="B43" s="1">
        <v>45361</v>
      </c>
      <c r="C43" t="s">
        <v>19</v>
      </c>
      <c r="D43" t="s">
        <v>20</v>
      </c>
      <c r="E43" t="s">
        <v>21</v>
      </c>
      <c r="F43" t="s">
        <v>53</v>
      </c>
      <c r="G43" t="s">
        <v>41</v>
      </c>
      <c r="H43" t="s">
        <v>42</v>
      </c>
      <c r="I43" t="s">
        <v>25</v>
      </c>
      <c r="J43" t="s">
        <v>43</v>
      </c>
      <c r="K43" t="s">
        <v>27</v>
      </c>
      <c r="L43" t="s">
        <v>49</v>
      </c>
      <c r="M43" s="4">
        <v>23</v>
      </c>
      <c r="N43" s="4">
        <v>7</v>
      </c>
      <c r="O43" t="s">
        <v>29</v>
      </c>
      <c r="P43" t="s">
        <v>29</v>
      </c>
      <c r="Q43" s="4">
        <v>528219</v>
      </c>
      <c r="R43" s="4">
        <v>323937</v>
      </c>
      <c r="S43" s="4">
        <f>Table1[[#This Row],[Service_Revenue]]-Table1[[#This Row],[Service_Cost]]</f>
        <v>204282</v>
      </c>
      <c r="T43" s="4">
        <v>1</v>
      </c>
      <c r="U43" s="4">
        <f>IF(AND(Table1[[#This Row],[Rework_Flag]]="Yes",Table1[[#This Row],[Warranty_Claim]]="No"),Table1[[#This Row],[Service_Revenue]],0)</f>
        <v>0</v>
      </c>
      <c r="V43" s="4">
        <f>IF(Table1[[#This Row],[Warranty_Claim]]="Yes",1,0)</f>
        <v>1</v>
      </c>
      <c r="W43" s="4">
        <f>IF(Table1[[#This Row],[Rework_Flag]]="No",1,0)</f>
        <v>0</v>
      </c>
      <c r="X43" s="4">
        <f>IF(Table1[[#This Row],[Rework_Flag]]="Yes",1,0)</f>
        <v>1</v>
      </c>
      <c r="Y43" s="4">
        <v>1</v>
      </c>
      <c r="Z43" s="4" t="str">
        <f>IF(Table1[[#This Row],[TAT_Days]]&gt;Table1[[#This Row],[SLA_TAT]],"Yes","No")</f>
        <v>Yes</v>
      </c>
      <c r="AA43" s="4" t="str" cm="1">
        <f t="array" ref="AA43">_xlfn.IFS(Table1[[#This Row],[Customer_Satisfaction]]&lt;=2,"Poor",Table1[[#This Row],[Customer_Satisfaction]]=3,"Neutral",Table1[[#This Row],[Customer_Satisfaction]]=4,"Good",Table1[[#This Row],[Customer_Satisfaction]]=5,"Good")</f>
        <v>Poor</v>
      </c>
    </row>
    <row r="44" spans="1:27" x14ac:dyDescent="0.35">
      <c r="A44">
        <v>20042</v>
      </c>
      <c r="B44" s="1">
        <v>45321</v>
      </c>
      <c r="C44" t="s">
        <v>37</v>
      </c>
      <c r="D44" t="s">
        <v>38</v>
      </c>
      <c r="E44" t="s">
        <v>93</v>
      </c>
      <c r="F44" t="s">
        <v>22</v>
      </c>
      <c r="G44" t="s">
        <v>74</v>
      </c>
      <c r="H44" t="s">
        <v>34</v>
      </c>
      <c r="I44" t="s">
        <v>55</v>
      </c>
      <c r="J44" t="s">
        <v>35</v>
      </c>
      <c r="K44" t="s">
        <v>61</v>
      </c>
      <c r="L44" t="s">
        <v>28</v>
      </c>
      <c r="M44" s="4">
        <v>7</v>
      </c>
      <c r="N44" s="4">
        <v>7</v>
      </c>
      <c r="O44" t="s">
        <v>36</v>
      </c>
      <c r="P44" t="s">
        <v>36</v>
      </c>
      <c r="Q44" s="4">
        <v>227614</v>
      </c>
      <c r="R44" s="4">
        <v>193383</v>
      </c>
      <c r="S44" s="4">
        <f>Table1[[#This Row],[Service_Revenue]]-Table1[[#This Row],[Service_Cost]]</f>
        <v>34231</v>
      </c>
      <c r="T44" s="4">
        <v>4</v>
      </c>
      <c r="U44" s="4">
        <f>IF(AND(Table1[[#This Row],[Rework_Flag]]="Yes",Table1[[#This Row],[Warranty_Claim]]="No"),Table1[[#This Row],[Service_Revenue]],0)</f>
        <v>0</v>
      </c>
      <c r="V44" s="4">
        <f>IF(Table1[[#This Row],[Warranty_Claim]]="Yes",1,0)</f>
        <v>0</v>
      </c>
      <c r="W44" s="4">
        <f>IF(Table1[[#This Row],[Rework_Flag]]="No",1,0)</f>
        <v>1</v>
      </c>
      <c r="X44" s="4">
        <f>IF(Table1[[#This Row],[Rework_Flag]]="Yes",1,0)</f>
        <v>0</v>
      </c>
      <c r="Y44" s="4">
        <v>1</v>
      </c>
      <c r="Z44" s="4" t="str">
        <f>IF(Table1[[#This Row],[TAT_Days]]&gt;Table1[[#This Row],[SLA_TAT]],"Yes","No")</f>
        <v>No</v>
      </c>
      <c r="AA44" s="4" t="str" cm="1">
        <f t="array" ref="AA44">_xlfn.IFS(Table1[[#This Row],[Customer_Satisfaction]]&lt;=2,"Poor",Table1[[#This Row],[Customer_Satisfaction]]=3,"Neutral",Table1[[#This Row],[Customer_Satisfaction]]=4,"Good",Table1[[#This Row],[Customer_Satisfaction]]=5,"Good")</f>
        <v>Good</v>
      </c>
    </row>
    <row r="45" spans="1:27" x14ac:dyDescent="0.35">
      <c r="A45">
        <v>20043</v>
      </c>
      <c r="B45" s="1">
        <v>45415</v>
      </c>
      <c r="C45" t="s">
        <v>30</v>
      </c>
      <c r="D45" t="s">
        <v>59</v>
      </c>
      <c r="E45" t="s">
        <v>94</v>
      </c>
      <c r="F45" t="s">
        <v>22</v>
      </c>
      <c r="G45" t="s">
        <v>41</v>
      </c>
      <c r="H45" t="s">
        <v>42</v>
      </c>
      <c r="I45" t="s">
        <v>55</v>
      </c>
      <c r="J45" t="s">
        <v>35</v>
      </c>
      <c r="K45" t="s">
        <v>44</v>
      </c>
      <c r="L45" t="s">
        <v>28</v>
      </c>
      <c r="M45" s="4">
        <v>25</v>
      </c>
      <c r="N45" s="4">
        <v>7</v>
      </c>
      <c r="O45" t="s">
        <v>29</v>
      </c>
      <c r="P45" t="s">
        <v>36</v>
      </c>
      <c r="Q45" s="4">
        <v>370499</v>
      </c>
      <c r="R45" s="4">
        <v>229679</v>
      </c>
      <c r="S45" s="4">
        <f>Table1[[#This Row],[Service_Revenue]]-Table1[[#This Row],[Service_Cost]]</f>
        <v>140820</v>
      </c>
      <c r="T45" s="4">
        <v>1</v>
      </c>
      <c r="U45" s="4">
        <f>IF(AND(Table1[[#This Row],[Rework_Flag]]="Yes",Table1[[#This Row],[Warranty_Claim]]="No"),Table1[[#This Row],[Service_Revenue]],0)</f>
        <v>370499</v>
      </c>
      <c r="V45" s="4">
        <f>IF(Table1[[#This Row],[Warranty_Claim]]="Yes",1,0)</f>
        <v>0</v>
      </c>
      <c r="W45" s="4">
        <f>IF(Table1[[#This Row],[Rework_Flag]]="No",1,0)</f>
        <v>0</v>
      </c>
      <c r="X45" s="4">
        <f>IF(Table1[[#This Row],[Rework_Flag]]="Yes",1,0)</f>
        <v>1</v>
      </c>
      <c r="Y45" s="4">
        <v>1</v>
      </c>
      <c r="Z45" s="4" t="str">
        <f>IF(Table1[[#This Row],[TAT_Days]]&gt;Table1[[#This Row],[SLA_TAT]],"Yes","No")</f>
        <v>Yes</v>
      </c>
      <c r="AA45" s="4" t="str" cm="1">
        <f t="array" ref="AA45">_xlfn.IFS(Table1[[#This Row],[Customer_Satisfaction]]&lt;=2,"Poor",Table1[[#This Row],[Customer_Satisfaction]]=3,"Neutral",Table1[[#This Row],[Customer_Satisfaction]]=4,"Good",Table1[[#This Row],[Customer_Satisfaction]]=5,"Good")</f>
        <v>Poor</v>
      </c>
    </row>
    <row r="46" spans="1:27" x14ac:dyDescent="0.35">
      <c r="A46">
        <v>20044</v>
      </c>
      <c r="B46" s="1">
        <v>45420</v>
      </c>
      <c r="C46" t="s">
        <v>37</v>
      </c>
      <c r="D46" t="s">
        <v>38</v>
      </c>
      <c r="E46" t="s">
        <v>93</v>
      </c>
      <c r="F46" t="s">
        <v>53</v>
      </c>
      <c r="G46" t="s">
        <v>63</v>
      </c>
      <c r="H46" t="s">
        <v>24</v>
      </c>
      <c r="I46" t="s">
        <v>55</v>
      </c>
      <c r="J46" t="s">
        <v>67</v>
      </c>
      <c r="K46" t="s">
        <v>61</v>
      </c>
      <c r="L46" t="s">
        <v>49</v>
      </c>
      <c r="M46" s="4">
        <v>24</v>
      </c>
      <c r="N46" s="4">
        <v>7</v>
      </c>
      <c r="O46" t="s">
        <v>29</v>
      </c>
      <c r="P46" t="s">
        <v>36</v>
      </c>
      <c r="Q46" s="4">
        <v>310518</v>
      </c>
      <c r="R46" s="4">
        <v>212331</v>
      </c>
      <c r="S46" s="4">
        <f>Table1[[#This Row],[Service_Revenue]]-Table1[[#This Row],[Service_Cost]]</f>
        <v>98187</v>
      </c>
      <c r="T46" s="4">
        <v>1</v>
      </c>
      <c r="U46" s="4">
        <f>IF(AND(Table1[[#This Row],[Rework_Flag]]="Yes",Table1[[#This Row],[Warranty_Claim]]="No"),Table1[[#This Row],[Service_Revenue]],0)</f>
        <v>310518</v>
      </c>
      <c r="V46" s="4">
        <f>IF(Table1[[#This Row],[Warranty_Claim]]="Yes",1,0)</f>
        <v>0</v>
      </c>
      <c r="W46" s="4">
        <f>IF(Table1[[#This Row],[Rework_Flag]]="No",1,0)</f>
        <v>0</v>
      </c>
      <c r="X46" s="4">
        <f>IF(Table1[[#This Row],[Rework_Flag]]="Yes",1,0)</f>
        <v>1</v>
      </c>
      <c r="Y46" s="4">
        <v>1</v>
      </c>
      <c r="Z46" s="4" t="str">
        <f>IF(Table1[[#This Row],[TAT_Days]]&gt;Table1[[#This Row],[SLA_TAT]],"Yes","No")</f>
        <v>Yes</v>
      </c>
      <c r="AA46" s="4" t="str" cm="1">
        <f t="array" ref="AA46">_xlfn.IFS(Table1[[#This Row],[Customer_Satisfaction]]&lt;=2,"Poor",Table1[[#This Row],[Customer_Satisfaction]]=3,"Neutral",Table1[[#This Row],[Customer_Satisfaction]]=4,"Good",Table1[[#This Row],[Customer_Satisfaction]]=5,"Good")</f>
        <v>Poor</v>
      </c>
    </row>
    <row r="47" spans="1:27" x14ac:dyDescent="0.35">
      <c r="A47">
        <v>20045</v>
      </c>
      <c r="B47" s="1">
        <v>45373</v>
      </c>
      <c r="C47" t="s">
        <v>30</v>
      </c>
      <c r="D47" t="s">
        <v>83</v>
      </c>
      <c r="E47" t="s">
        <v>95</v>
      </c>
      <c r="F47" t="s">
        <v>40</v>
      </c>
      <c r="G47" t="s">
        <v>47</v>
      </c>
      <c r="H47" t="s">
        <v>48</v>
      </c>
      <c r="I47" t="s">
        <v>25</v>
      </c>
      <c r="J47" t="s">
        <v>35</v>
      </c>
      <c r="K47" t="s">
        <v>27</v>
      </c>
      <c r="L47" t="s">
        <v>49</v>
      </c>
      <c r="M47" s="4">
        <v>16</v>
      </c>
      <c r="N47" s="4">
        <v>7</v>
      </c>
      <c r="O47" t="s">
        <v>29</v>
      </c>
      <c r="P47" t="s">
        <v>29</v>
      </c>
      <c r="Q47" s="4">
        <v>214036</v>
      </c>
      <c r="R47" s="4">
        <v>123539</v>
      </c>
      <c r="S47" s="4">
        <f>Table1[[#This Row],[Service_Revenue]]-Table1[[#This Row],[Service_Cost]]</f>
        <v>90497</v>
      </c>
      <c r="T47" s="4">
        <v>1</v>
      </c>
      <c r="U47" s="4">
        <f>IF(AND(Table1[[#This Row],[Rework_Flag]]="Yes",Table1[[#This Row],[Warranty_Claim]]="No"),Table1[[#This Row],[Service_Revenue]],0)</f>
        <v>0</v>
      </c>
      <c r="V47" s="4">
        <f>IF(Table1[[#This Row],[Warranty_Claim]]="Yes",1,0)</f>
        <v>1</v>
      </c>
      <c r="W47" s="4">
        <f>IF(Table1[[#This Row],[Rework_Flag]]="No",1,0)</f>
        <v>0</v>
      </c>
      <c r="X47" s="4">
        <f>IF(Table1[[#This Row],[Rework_Flag]]="Yes",1,0)</f>
        <v>1</v>
      </c>
      <c r="Y47" s="4">
        <v>1</v>
      </c>
      <c r="Z47" s="4" t="str">
        <f>IF(Table1[[#This Row],[TAT_Days]]&gt;Table1[[#This Row],[SLA_TAT]],"Yes","No")</f>
        <v>Yes</v>
      </c>
      <c r="AA47" s="4" t="str" cm="1">
        <f t="array" ref="AA47">_xlfn.IFS(Table1[[#This Row],[Customer_Satisfaction]]&lt;=2,"Poor",Table1[[#This Row],[Customer_Satisfaction]]=3,"Neutral",Table1[[#This Row],[Customer_Satisfaction]]=4,"Good",Table1[[#This Row],[Customer_Satisfaction]]=5,"Good")</f>
        <v>Poor</v>
      </c>
    </row>
    <row r="48" spans="1:27" x14ac:dyDescent="0.35">
      <c r="A48">
        <v>20046</v>
      </c>
      <c r="B48" s="1">
        <v>45304</v>
      </c>
      <c r="C48" t="s">
        <v>19</v>
      </c>
      <c r="D48" t="s">
        <v>96</v>
      </c>
      <c r="E48" t="s">
        <v>97</v>
      </c>
      <c r="F48" t="s">
        <v>40</v>
      </c>
      <c r="G48" t="s">
        <v>47</v>
      </c>
      <c r="H48" t="s">
        <v>48</v>
      </c>
      <c r="I48" t="s">
        <v>55</v>
      </c>
      <c r="J48" t="s">
        <v>35</v>
      </c>
      <c r="K48" t="s">
        <v>61</v>
      </c>
      <c r="L48" t="s">
        <v>49</v>
      </c>
      <c r="M48" s="4">
        <v>2</v>
      </c>
      <c r="N48" s="4">
        <v>7</v>
      </c>
      <c r="O48" t="s">
        <v>36</v>
      </c>
      <c r="P48" t="s">
        <v>36</v>
      </c>
      <c r="Q48" s="4">
        <v>191674</v>
      </c>
      <c r="R48" s="4">
        <v>115553</v>
      </c>
      <c r="S48" s="4">
        <f>Table1[[#This Row],[Service_Revenue]]-Table1[[#This Row],[Service_Cost]]</f>
        <v>76121</v>
      </c>
      <c r="T48" s="4">
        <v>5</v>
      </c>
      <c r="U48" s="4">
        <f>IF(AND(Table1[[#This Row],[Rework_Flag]]="Yes",Table1[[#This Row],[Warranty_Claim]]="No"),Table1[[#This Row],[Service_Revenue]],0)</f>
        <v>0</v>
      </c>
      <c r="V48" s="4">
        <f>IF(Table1[[#This Row],[Warranty_Claim]]="Yes",1,0)</f>
        <v>0</v>
      </c>
      <c r="W48" s="4">
        <f>IF(Table1[[#This Row],[Rework_Flag]]="No",1,0)</f>
        <v>1</v>
      </c>
      <c r="X48" s="4">
        <f>IF(Table1[[#This Row],[Rework_Flag]]="Yes",1,0)</f>
        <v>0</v>
      </c>
      <c r="Y48" s="4">
        <v>1</v>
      </c>
      <c r="Z48" s="4" t="str">
        <f>IF(Table1[[#This Row],[TAT_Days]]&gt;Table1[[#This Row],[SLA_TAT]],"Yes","No")</f>
        <v>No</v>
      </c>
      <c r="AA48" s="4" t="str" cm="1">
        <f t="array" ref="AA48">_xlfn.IFS(Table1[[#This Row],[Customer_Satisfaction]]&lt;=2,"Poor",Table1[[#This Row],[Customer_Satisfaction]]=3,"Neutral",Table1[[#This Row],[Customer_Satisfaction]]=4,"Good",Table1[[#This Row],[Customer_Satisfaction]]=5,"Good")</f>
        <v>Good</v>
      </c>
    </row>
    <row r="49" spans="1:27" x14ac:dyDescent="0.35">
      <c r="A49">
        <v>20047</v>
      </c>
      <c r="B49" s="1">
        <v>45313</v>
      </c>
      <c r="C49" t="s">
        <v>19</v>
      </c>
      <c r="D49" t="s">
        <v>20</v>
      </c>
      <c r="E49" t="s">
        <v>89</v>
      </c>
      <c r="F49" t="s">
        <v>53</v>
      </c>
      <c r="G49" t="s">
        <v>33</v>
      </c>
      <c r="H49" t="s">
        <v>34</v>
      </c>
      <c r="I49" t="s">
        <v>55</v>
      </c>
      <c r="J49" t="s">
        <v>67</v>
      </c>
      <c r="K49" t="s">
        <v>61</v>
      </c>
      <c r="L49" t="s">
        <v>49</v>
      </c>
      <c r="M49" s="4">
        <v>21</v>
      </c>
      <c r="N49" s="4">
        <v>7</v>
      </c>
      <c r="O49" t="s">
        <v>36</v>
      </c>
      <c r="P49" t="s">
        <v>29</v>
      </c>
      <c r="Q49" s="4">
        <v>264051</v>
      </c>
      <c r="R49" s="4">
        <v>165155</v>
      </c>
      <c r="S49" s="4">
        <f>Table1[[#This Row],[Service_Revenue]]-Table1[[#This Row],[Service_Cost]]</f>
        <v>98896</v>
      </c>
      <c r="T49" s="4">
        <v>1</v>
      </c>
      <c r="U49" s="4">
        <f>IF(AND(Table1[[#This Row],[Rework_Flag]]="Yes",Table1[[#This Row],[Warranty_Claim]]="No"),Table1[[#This Row],[Service_Revenue]],0)</f>
        <v>0</v>
      </c>
      <c r="V49" s="4">
        <f>IF(Table1[[#This Row],[Warranty_Claim]]="Yes",1,0)</f>
        <v>1</v>
      </c>
      <c r="W49" s="4">
        <f>IF(Table1[[#This Row],[Rework_Flag]]="No",1,0)</f>
        <v>1</v>
      </c>
      <c r="X49" s="4">
        <f>IF(Table1[[#This Row],[Rework_Flag]]="Yes",1,0)</f>
        <v>0</v>
      </c>
      <c r="Y49" s="4">
        <v>1</v>
      </c>
      <c r="Z49" s="4" t="str">
        <f>IF(Table1[[#This Row],[TAT_Days]]&gt;Table1[[#This Row],[SLA_TAT]],"Yes","No")</f>
        <v>Yes</v>
      </c>
      <c r="AA49" s="4" t="str" cm="1">
        <f t="array" ref="AA49">_xlfn.IFS(Table1[[#This Row],[Customer_Satisfaction]]&lt;=2,"Poor",Table1[[#This Row],[Customer_Satisfaction]]=3,"Neutral",Table1[[#This Row],[Customer_Satisfaction]]=4,"Good",Table1[[#This Row],[Customer_Satisfaction]]=5,"Good")</f>
        <v>Poor</v>
      </c>
    </row>
    <row r="50" spans="1:27" x14ac:dyDescent="0.35">
      <c r="A50">
        <v>20048</v>
      </c>
      <c r="B50" s="1">
        <v>45297</v>
      </c>
      <c r="C50" t="s">
        <v>37</v>
      </c>
      <c r="D50" t="s">
        <v>70</v>
      </c>
      <c r="E50" t="s">
        <v>91</v>
      </c>
      <c r="F50" t="s">
        <v>40</v>
      </c>
      <c r="G50" t="s">
        <v>33</v>
      </c>
      <c r="H50" t="s">
        <v>34</v>
      </c>
      <c r="I50" t="s">
        <v>25</v>
      </c>
      <c r="J50" t="s">
        <v>35</v>
      </c>
      <c r="K50" t="s">
        <v>27</v>
      </c>
      <c r="L50" t="s">
        <v>28</v>
      </c>
      <c r="M50" s="4">
        <v>23</v>
      </c>
      <c r="N50" s="4">
        <v>7</v>
      </c>
      <c r="O50" t="s">
        <v>29</v>
      </c>
      <c r="P50" t="s">
        <v>36</v>
      </c>
      <c r="Q50" s="4">
        <v>349891</v>
      </c>
      <c r="R50" s="4">
        <v>270340</v>
      </c>
      <c r="S50" s="4">
        <f>Table1[[#This Row],[Service_Revenue]]-Table1[[#This Row],[Service_Cost]]</f>
        <v>79551</v>
      </c>
      <c r="T50" s="4">
        <v>1</v>
      </c>
      <c r="U50" s="4">
        <f>IF(AND(Table1[[#This Row],[Rework_Flag]]="Yes",Table1[[#This Row],[Warranty_Claim]]="No"),Table1[[#This Row],[Service_Revenue]],0)</f>
        <v>349891</v>
      </c>
      <c r="V50" s="4">
        <f>IF(Table1[[#This Row],[Warranty_Claim]]="Yes",1,0)</f>
        <v>0</v>
      </c>
      <c r="W50" s="4">
        <f>IF(Table1[[#This Row],[Rework_Flag]]="No",1,0)</f>
        <v>0</v>
      </c>
      <c r="X50" s="4">
        <f>IF(Table1[[#This Row],[Rework_Flag]]="Yes",1,0)</f>
        <v>1</v>
      </c>
      <c r="Y50" s="4">
        <v>1</v>
      </c>
      <c r="Z50" s="4" t="str">
        <f>IF(Table1[[#This Row],[TAT_Days]]&gt;Table1[[#This Row],[SLA_TAT]],"Yes","No")</f>
        <v>Yes</v>
      </c>
      <c r="AA50" s="4" t="str" cm="1">
        <f t="array" ref="AA50">_xlfn.IFS(Table1[[#This Row],[Customer_Satisfaction]]&lt;=2,"Poor",Table1[[#This Row],[Customer_Satisfaction]]=3,"Neutral",Table1[[#This Row],[Customer_Satisfaction]]=4,"Good",Table1[[#This Row],[Customer_Satisfaction]]=5,"Good")</f>
        <v>Poor</v>
      </c>
    </row>
    <row r="51" spans="1:27" x14ac:dyDescent="0.35">
      <c r="A51">
        <v>20049</v>
      </c>
      <c r="B51" s="1">
        <v>45358</v>
      </c>
      <c r="C51" t="s">
        <v>30</v>
      </c>
      <c r="D51" t="s">
        <v>83</v>
      </c>
      <c r="E51" t="s">
        <v>92</v>
      </c>
      <c r="F51" t="s">
        <v>22</v>
      </c>
      <c r="G51" t="s">
        <v>63</v>
      </c>
      <c r="H51" t="s">
        <v>24</v>
      </c>
      <c r="I51" t="s">
        <v>25</v>
      </c>
      <c r="J51" t="s">
        <v>58</v>
      </c>
      <c r="K51" t="s">
        <v>27</v>
      </c>
      <c r="L51" t="s">
        <v>49</v>
      </c>
      <c r="M51" s="4">
        <v>18</v>
      </c>
      <c r="N51" s="4">
        <v>7</v>
      </c>
      <c r="O51" t="s">
        <v>29</v>
      </c>
      <c r="P51" t="s">
        <v>36</v>
      </c>
      <c r="Q51" s="4">
        <v>114723</v>
      </c>
      <c r="R51" s="4">
        <v>68521</v>
      </c>
      <c r="S51" s="4">
        <f>Table1[[#This Row],[Service_Revenue]]-Table1[[#This Row],[Service_Cost]]</f>
        <v>46202</v>
      </c>
      <c r="T51" s="4">
        <v>1</v>
      </c>
      <c r="U51" s="4">
        <f>IF(AND(Table1[[#This Row],[Rework_Flag]]="Yes",Table1[[#This Row],[Warranty_Claim]]="No"),Table1[[#This Row],[Service_Revenue]],0)</f>
        <v>114723</v>
      </c>
      <c r="V51" s="4">
        <f>IF(Table1[[#This Row],[Warranty_Claim]]="Yes",1,0)</f>
        <v>0</v>
      </c>
      <c r="W51" s="4">
        <f>IF(Table1[[#This Row],[Rework_Flag]]="No",1,0)</f>
        <v>0</v>
      </c>
      <c r="X51" s="4">
        <f>IF(Table1[[#This Row],[Rework_Flag]]="Yes",1,0)</f>
        <v>1</v>
      </c>
      <c r="Y51" s="4">
        <v>1</v>
      </c>
      <c r="Z51" s="4" t="str">
        <f>IF(Table1[[#This Row],[TAT_Days]]&gt;Table1[[#This Row],[SLA_TAT]],"Yes","No")</f>
        <v>Yes</v>
      </c>
      <c r="AA51" s="4" t="str" cm="1">
        <f t="array" ref="AA51">_xlfn.IFS(Table1[[#This Row],[Customer_Satisfaction]]&lt;=2,"Poor",Table1[[#This Row],[Customer_Satisfaction]]=3,"Neutral",Table1[[#This Row],[Customer_Satisfaction]]=4,"Good",Table1[[#This Row],[Customer_Satisfaction]]=5,"Good")</f>
        <v>Poor</v>
      </c>
    </row>
    <row r="52" spans="1:27" x14ac:dyDescent="0.35">
      <c r="A52">
        <v>20050</v>
      </c>
      <c r="B52" s="1">
        <v>45437</v>
      </c>
      <c r="C52" t="s">
        <v>19</v>
      </c>
      <c r="D52" t="s">
        <v>96</v>
      </c>
      <c r="E52" t="s">
        <v>98</v>
      </c>
      <c r="F52" t="s">
        <v>40</v>
      </c>
      <c r="G52" t="s">
        <v>63</v>
      </c>
      <c r="H52" t="s">
        <v>24</v>
      </c>
      <c r="I52" t="s">
        <v>25</v>
      </c>
      <c r="J52" t="s">
        <v>67</v>
      </c>
      <c r="K52" t="s">
        <v>27</v>
      </c>
      <c r="L52" t="s">
        <v>28</v>
      </c>
      <c r="M52" s="4">
        <v>6</v>
      </c>
      <c r="N52" s="4">
        <v>7</v>
      </c>
      <c r="O52" t="s">
        <v>29</v>
      </c>
      <c r="P52" t="s">
        <v>36</v>
      </c>
      <c r="Q52" s="4">
        <v>320596</v>
      </c>
      <c r="R52" s="4">
        <v>188627</v>
      </c>
      <c r="S52" s="4">
        <f>Table1[[#This Row],[Service_Revenue]]-Table1[[#This Row],[Service_Cost]]</f>
        <v>131969</v>
      </c>
      <c r="T52" s="4">
        <v>3</v>
      </c>
      <c r="U52" s="4">
        <f>IF(AND(Table1[[#This Row],[Rework_Flag]]="Yes",Table1[[#This Row],[Warranty_Claim]]="No"),Table1[[#This Row],[Service_Revenue]],0)</f>
        <v>320596</v>
      </c>
      <c r="V52" s="4">
        <f>IF(Table1[[#This Row],[Warranty_Claim]]="Yes",1,0)</f>
        <v>0</v>
      </c>
      <c r="W52" s="4">
        <f>IF(Table1[[#This Row],[Rework_Flag]]="No",1,0)</f>
        <v>0</v>
      </c>
      <c r="X52" s="4">
        <f>IF(Table1[[#This Row],[Rework_Flag]]="Yes",1,0)</f>
        <v>1</v>
      </c>
      <c r="Y52" s="4">
        <v>1</v>
      </c>
      <c r="Z52" s="4" t="str">
        <f>IF(Table1[[#This Row],[TAT_Days]]&gt;Table1[[#This Row],[SLA_TAT]],"Yes","No")</f>
        <v>No</v>
      </c>
      <c r="AA52" s="4" t="str" cm="1">
        <f t="array" ref="AA52">_xlfn.IFS(Table1[[#This Row],[Customer_Satisfaction]]&lt;=2,"Poor",Table1[[#This Row],[Customer_Satisfaction]]=3,"Neutral",Table1[[#This Row],[Customer_Satisfaction]]=4,"Good",Table1[[#This Row],[Customer_Satisfaction]]=5,"Good")</f>
        <v>Neutral</v>
      </c>
    </row>
    <row r="53" spans="1:27" x14ac:dyDescent="0.35">
      <c r="A53">
        <v>20051</v>
      </c>
      <c r="B53" s="1">
        <v>45329</v>
      </c>
      <c r="C53" t="s">
        <v>19</v>
      </c>
      <c r="D53" t="s">
        <v>45</v>
      </c>
      <c r="E53" t="s">
        <v>99</v>
      </c>
      <c r="F53" t="s">
        <v>53</v>
      </c>
      <c r="G53" t="s">
        <v>63</v>
      </c>
      <c r="H53" t="s">
        <v>24</v>
      </c>
      <c r="I53" t="s">
        <v>25</v>
      </c>
      <c r="J53" t="s">
        <v>67</v>
      </c>
      <c r="K53" t="s">
        <v>44</v>
      </c>
      <c r="L53" t="s">
        <v>28</v>
      </c>
      <c r="M53" s="4">
        <v>12</v>
      </c>
      <c r="N53" s="4">
        <v>7</v>
      </c>
      <c r="O53" t="s">
        <v>29</v>
      </c>
      <c r="P53" t="s">
        <v>29</v>
      </c>
      <c r="Q53" s="4">
        <v>585523</v>
      </c>
      <c r="R53" s="4">
        <v>350614</v>
      </c>
      <c r="S53" s="4">
        <f>Table1[[#This Row],[Service_Revenue]]-Table1[[#This Row],[Service_Cost]]</f>
        <v>234909</v>
      </c>
      <c r="T53" s="4">
        <v>2</v>
      </c>
      <c r="U53" s="4">
        <f>IF(AND(Table1[[#This Row],[Rework_Flag]]="Yes",Table1[[#This Row],[Warranty_Claim]]="No"),Table1[[#This Row],[Service_Revenue]],0)</f>
        <v>0</v>
      </c>
      <c r="V53" s="4">
        <f>IF(Table1[[#This Row],[Warranty_Claim]]="Yes",1,0)</f>
        <v>1</v>
      </c>
      <c r="W53" s="4">
        <f>IF(Table1[[#This Row],[Rework_Flag]]="No",1,0)</f>
        <v>0</v>
      </c>
      <c r="X53" s="4">
        <f>IF(Table1[[#This Row],[Rework_Flag]]="Yes",1,0)</f>
        <v>1</v>
      </c>
      <c r="Y53" s="4">
        <v>1</v>
      </c>
      <c r="Z53" s="4" t="str">
        <f>IF(Table1[[#This Row],[TAT_Days]]&gt;Table1[[#This Row],[SLA_TAT]],"Yes","No")</f>
        <v>Yes</v>
      </c>
      <c r="AA53" s="4" t="str" cm="1">
        <f t="array" ref="AA53">_xlfn.IFS(Table1[[#This Row],[Customer_Satisfaction]]&lt;=2,"Poor",Table1[[#This Row],[Customer_Satisfaction]]=3,"Neutral",Table1[[#This Row],[Customer_Satisfaction]]=4,"Good",Table1[[#This Row],[Customer_Satisfaction]]=5,"Good")</f>
        <v>Poor</v>
      </c>
    </row>
    <row r="54" spans="1:27" x14ac:dyDescent="0.35">
      <c r="A54">
        <v>20052</v>
      </c>
      <c r="B54" s="1">
        <v>45441</v>
      </c>
      <c r="C54" t="s">
        <v>37</v>
      </c>
      <c r="D54" t="s">
        <v>70</v>
      </c>
      <c r="E54" t="s">
        <v>100</v>
      </c>
      <c r="F54" t="s">
        <v>53</v>
      </c>
      <c r="G54" t="s">
        <v>74</v>
      </c>
      <c r="H54" t="s">
        <v>34</v>
      </c>
      <c r="I54" t="s">
        <v>25</v>
      </c>
      <c r="J54" t="s">
        <v>26</v>
      </c>
      <c r="K54" t="s">
        <v>61</v>
      </c>
      <c r="L54" t="s">
        <v>49</v>
      </c>
      <c r="M54" s="4">
        <v>20</v>
      </c>
      <c r="N54" s="4">
        <v>7</v>
      </c>
      <c r="O54" t="s">
        <v>36</v>
      </c>
      <c r="P54" t="s">
        <v>36</v>
      </c>
      <c r="Q54" s="4">
        <v>278537</v>
      </c>
      <c r="R54" s="4">
        <v>225491</v>
      </c>
      <c r="S54" s="4">
        <f>Table1[[#This Row],[Service_Revenue]]-Table1[[#This Row],[Service_Cost]]</f>
        <v>53046</v>
      </c>
      <c r="T54" s="4">
        <v>1</v>
      </c>
      <c r="U54" s="4">
        <f>IF(AND(Table1[[#This Row],[Rework_Flag]]="Yes",Table1[[#This Row],[Warranty_Claim]]="No"),Table1[[#This Row],[Service_Revenue]],0)</f>
        <v>0</v>
      </c>
      <c r="V54" s="4">
        <f>IF(Table1[[#This Row],[Warranty_Claim]]="Yes",1,0)</f>
        <v>0</v>
      </c>
      <c r="W54" s="4">
        <f>IF(Table1[[#This Row],[Rework_Flag]]="No",1,0)</f>
        <v>1</v>
      </c>
      <c r="X54" s="4">
        <f>IF(Table1[[#This Row],[Rework_Flag]]="Yes",1,0)</f>
        <v>0</v>
      </c>
      <c r="Y54" s="4">
        <v>1</v>
      </c>
      <c r="Z54" s="4" t="str">
        <f>IF(Table1[[#This Row],[TAT_Days]]&gt;Table1[[#This Row],[SLA_TAT]],"Yes","No")</f>
        <v>Yes</v>
      </c>
      <c r="AA54" s="4" t="str" cm="1">
        <f t="array" ref="AA54">_xlfn.IFS(Table1[[#This Row],[Customer_Satisfaction]]&lt;=2,"Poor",Table1[[#This Row],[Customer_Satisfaction]]=3,"Neutral",Table1[[#This Row],[Customer_Satisfaction]]=4,"Good",Table1[[#This Row],[Customer_Satisfaction]]=5,"Good")</f>
        <v>Poor</v>
      </c>
    </row>
    <row r="55" spans="1:27" x14ac:dyDescent="0.35">
      <c r="A55">
        <v>20053</v>
      </c>
      <c r="B55" s="1">
        <v>45365</v>
      </c>
      <c r="C55" t="s">
        <v>50</v>
      </c>
      <c r="D55" t="s">
        <v>56</v>
      </c>
      <c r="E55" t="s">
        <v>101</v>
      </c>
      <c r="F55" t="s">
        <v>22</v>
      </c>
      <c r="G55" t="s">
        <v>63</v>
      </c>
      <c r="H55" t="s">
        <v>24</v>
      </c>
      <c r="I55" t="s">
        <v>25</v>
      </c>
      <c r="J55" t="s">
        <v>35</v>
      </c>
      <c r="K55" t="s">
        <v>61</v>
      </c>
      <c r="L55" t="s">
        <v>28</v>
      </c>
      <c r="M55" s="4">
        <v>16</v>
      </c>
      <c r="N55" s="4">
        <v>7</v>
      </c>
      <c r="O55" t="s">
        <v>36</v>
      </c>
      <c r="P55" t="s">
        <v>29</v>
      </c>
      <c r="Q55" s="4">
        <v>591177</v>
      </c>
      <c r="R55" s="4">
        <v>361855</v>
      </c>
      <c r="S55" s="4">
        <f>Table1[[#This Row],[Service_Revenue]]-Table1[[#This Row],[Service_Cost]]</f>
        <v>229322</v>
      </c>
      <c r="T55" s="4">
        <v>2</v>
      </c>
      <c r="U55" s="4">
        <f>IF(AND(Table1[[#This Row],[Rework_Flag]]="Yes",Table1[[#This Row],[Warranty_Claim]]="No"),Table1[[#This Row],[Service_Revenue]],0)</f>
        <v>0</v>
      </c>
      <c r="V55" s="4">
        <f>IF(Table1[[#This Row],[Warranty_Claim]]="Yes",1,0)</f>
        <v>1</v>
      </c>
      <c r="W55" s="4">
        <f>IF(Table1[[#This Row],[Rework_Flag]]="No",1,0)</f>
        <v>1</v>
      </c>
      <c r="X55" s="4">
        <f>IF(Table1[[#This Row],[Rework_Flag]]="Yes",1,0)</f>
        <v>0</v>
      </c>
      <c r="Y55" s="4">
        <v>1</v>
      </c>
      <c r="Z55" s="4" t="str">
        <f>IF(Table1[[#This Row],[TAT_Days]]&gt;Table1[[#This Row],[SLA_TAT]],"Yes","No")</f>
        <v>Yes</v>
      </c>
      <c r="AA55" s="4" t="str" cm="1">
        <f t="array" ref="AA55">_xlfn.IFS(Table1[[#This Row],[Customer_Satisfaction]]&lt;=2,"Poor",Table1[[#This Row],[Customer_Satisfaction]]=3,"Neutral",Table1[[#This Row],[Customer_Satisfaction]]=4,"Good",Table1[[#This Row],[Customer_Satisfaction]]=5,"Good")</f>
        <v>Poor</v>
      </c>
    </row>
    <row r="56" spans="1:27" x14ac:dyDescent="0.35">
      <c r="A56">
        <v>20054</v>
      </c>
      <c r="B56" s="1">
        <v>45468</v>
      </c>
      <c r="C56" t="s">
        <v>37</v>
      </c>
      <c r="D56" t="s">
        <v>38</v>
      </c>
      <c r="E56" t="s">
        <v>39</v>
      </c>
      <c r="F56" t="s">
        <v>22</v>
      </c>
      <c r="G56" t="s">
        <v>63</v>
      </c>
      <c r="H56" t="s">
        <v>24</v>
      </c>
      <c r="I56" t="s">
        <v>55</v>
      </c>
      <c r="J56" t="s">
        <v>35</v>
      </c>
      <c r="K56" t="s">
        <v>61</v>
      </c>
      <c r="L56" t="s">
        <v>28</v>
      </c>
      <c r="M56" s="4">
        <v>7</v>
      </c>
      <c r="N56" s="4">
        <v>7</v>
      </c>
      <c r="O56" t="s">
        <v>29</v>
      </c>
      <c r="P56" t="s">
        <v>29</v>
      </c>
      <c r="Q56" s="4">
        <v>297493</v>
      </c>
      <c r="R56" s="4">
        <v>171986</v>
      </c>
      <c r="S56" s="4">
        <f>Table1[[#This Row],[Service_Revenue]]-Table1[[#This Row],[Service_Cost]]</f>
        <v>125507</v>
      </c>
      <c r="T56" s="4">
        <v>3</v>
      </c>
      <c r="U56" s="4">
        <f>IF(AND(Table1[[#This Row],[Rework_Flag]]="Yes",Table1[[#This Row],[Warranty_Claim]]="No"),Table1[[#This Row],[Service_Revenue]],0)</f>
        <v>0</v>
      </c>
      <c r="V56" s="4">
        <f>IF(Table1[[#This Row],[Warranty_Claim]]="Yes",1,0)</f>
        <v>1</v>
      </c>
      <c r="W56" s="4">
        <f>IF(Table1[[#This Row],[Rework_Flag]]="No",1,0)</f>
        <v>0</v>
      </c>
      <c r="X56" s="4">
        <f>IF(Table1[[#This Row],[Rework_Flag]]="Yes",1,0)</f>
        <v>1</v>
      </c>
      <c r="Y56" s="4">
        <v>1</v>
      </c>
      <c r="Z56" s="4" t="str">
        <f>IF(Table1[[#This Row],[TAT_Days]]&gt;Table1[[#This Row],[SLA_TAT]],"Yes","No")</f>
        <v>No</v>
      </c>
      <c r="AA56" s="4" t="str" cm="1">
        <f t="array" ref="AA56">_xlfn.IFS(Table1[[#This Row],[Customer_Satisfaction]]&lt;=2,"Poor",Table1[[#This Row],[Customer_Satisfaction]]=3,"Neutral",Table1[[#This Row],[Customer_Satisfaction]]=4,"Good",Table1[[#This Row],[Customer_Satisfaction]]=5,"Good")</f>
        <v>Neutral</v>
      </c>
    </row>
    <row r="57" spans="1:27" x14ac:dyDescent="0.35">
      <c r="A57">
        <v>20055</v>
      </c>
      <c r="B57" s="1">
        <v>45415</v>
      </c>
      <c r="C57" t="s">
        <v>30</v>
      </c>
      <c r="D57" t="s">
        <v>31</v>
      </c>
      <c r="E57" t="s">
        <v>79</v>
      </c>
      <c r="F57" t="s">
        <v>53</v>
      </c>
      <c r="G57" t="s">
        <v>47</v>
      </c>
      <c r="H57" t="s">
        <v>48</v>
      </c>
      <c r="I57" t="s">
        <v>55</v>
      </c>
      <c r="J57" t="s">
        <v>58</v>
      </c>
      <c r="K57" t="s">
        <v>44</v>
      </c>
      <c r="L57" t="s">
        <v>49</v>
      </c>
      <c r="M57" s="4">
        <v>10</v>
      </c>
      <c r="N57" s="4">
        <v>7</v>
      </c>
      <c r="O57" t="s">
        <v>36</v>
      </c>
      <c r="P57" t="s">
        <v>36</v>
      </c>
      <c r="Q57" s="4">
        <v>404066</v>
      </c>
      <c r="R57" s="4">
        <v>231472</v>
      </c>
      <c r="S57" s="4">
        <f>Table1[[#This Row],[Service_Revenue]]-Table1[[#This Row],[Service_Cost]]</f>
        <v>172594</v>
      </c>
      <c r="T57" s="4">
        <v>3</v>
      </c>
      <c r="U57" s="4">
        <f>IF(AND(Table1[[#This Row],[Rework_Flag]]="Yes",Table1[[#This Row],[Warranty_Claim]]="No"),Table1[[#This Row],[Service_Revenue]],0)</f>
        <v>0</v>
      </c>
      <c r="V57" s="4">
        <f>IF(Table1[[#This Row],[Warranty_Claim]]="Yes",1,0)</f>
        <v>0</v>
      </c>
      <c r="W57" s="4">
        <f>IF(Table1[[#This Row],[Rework_Flag]]="No",1,0)</f>
        <v>1</v>
      </c>
      <c r="X57" s="4">
        <f>IF(Table1[[#This Row],[Rework_Flag]]="Yes",1,0)</f>
        <v>0</v>
      </c>
      <c r="Y57" s="4">
        <v>1</v>
      </c>
      <c r="Z57" s="4" t="str">
        <f>IF(Table1[[#This Row],[TAT_Days]]&gt;Table1[[#This Row],[SLA_TAT]],"Yes","No")</f>
        <v>Yes</v>
      </c>
      <c r="AA57" s="4" t="str" cm="1">
        <f t="array" ref="AA57">_xlfn.IFS(Table1[[#This Row],[Customer_Satisfaction]]&lt;=2,"Poor",Table1[[#This Row],[Customer_Satisfaction]]=3,"Neutral",Table1[[#This Row],[Customer_Satisfaction]]=4,"Good",Table1[[#This Row],[Customer_Satisfaction]]=5,"Good")</f>
        <v>Neutral</v>
      </c>
    </row>
    <row r="58" spans="1:27" x14ac:dyDescent="0.35">
      <c r="A58">
        <v>20056</v>
      </c>
      <c r="B58" s="1">
        <v>45328</v>
      </c>
      <c r="C58" t="s">
        <v>37</v>
      </c>
      <c r="D58" t="s">
        <v>38</v>
      </c>
      <c r="E58" t="s">
        <v>102</v>
      </c>
      <c r="F58" t="s">
        <v>22</v>
      </c>
      <c r="G58" t="s">
        <v>74</v>
      </c>
      <c r="H58" t="s">
        <v>34</v>
      </c>
      <c r="I58" t="s">
        <v>55</v>
      </c>
      <c r="J58" t="s">
        <v>43</v>
      </c>
      <c r="K58" t="s">
        <v>44</v>
      </c>
      <c r="L58" t="s">
        <v>49</v>
      </c>
      <c r="M58" s="4">
        <v>16</v>
      </c>
      <c r="N58" s="4">
        <v>7</v>
      </c>
      <c r="O58" t="s">
        <v>29</v>
      </c>
      <c r="P58" t="s">
        <v>36</v>
      </c>
      <c r="Q58" s="4">
        <v>295600</v>
      </c>
      <c r="R58" s="4">
        <v>225636</v>
      </c>
      <c r="S58" s="4">
        <f>Table1[[#This Row],[Service_Revenue]]-Table1[[#This Row],[Service_Cost]]</f>
        <v>69964</v>
      </c>
      <c r="T58" s="4">
        <v>1</v>
      </c>
      <c r="U58" s="4">
        <f>IF(AND(Table1[[#This Row],[Rework_Flag]]="Yes",Table1[[#This Row],[Warranty_Claim]]="No"),Table1[[#This Row],[Service_Revenue]],0)</f>
        <v>295600</v>
      </c>
      <c r="V58" s="4">
        <f>IF(Table1[[#This Row],[Warranty_Claim]]="Yes",1,0)</f>
        <v>0</v>
      </c>
      <c r="W58" s="4">
        <f>IF(Table1[[#This Row],[Rework_Flag]]="No",1,0)</f>
        <v>0</v>
      </c>
      <c r="X58" s="4">
        <f>IF(Table1[[#This Row],[Rework_Flag]]="Yes",1,0)</f>
        <v>1</v>
      </c>
      <c r="Y58" s="4">
        <v>1</v>
      </c>
      <c r="Z58" s="4" t="str">
        <f>IF(Table1[[#This Row],[TAT_Days]]&gt;Table1[[#This Row],[SLA_TAT]],"Yes","No")</f>
        <v>Yes</v>
      </c>
      <c r="AA58" s="4" t="str" cm="1">
        <f t="array" ref="AA58">_xlfn.IFS(Table1[[#This Row],[Customer_Satisfaction]]&lt;=2,"Poor",Table1[[#This Row],[Customer_Satisfaction]]=3,"Neutral",Table1[[#This Row],[Customer_Satisfaction]]=4,"Good",Table1[[#This Row],[Customer_Satisfaction]]=5,"Good")</f>
        <v>Poor</v>
      </c>
    </row>
    <row r="59" spans="1:27" x14ac:dyDescent="0.35">
      <c r="A59">
        <v>20057</v>
      </c>
      <c r="B59" s="1">
        <v>45382</v>
      </c>
      <c r="C59" t="s">
        <v>37</v>
      </c>
      <c r="D59" t="s">
        <v>64</v>
      </c>
      <c r="E59" t="s">
        <v>103</v>
      </c>
      <c r="F59" t="s">
        <v>40</v>
      </c>
      <c r="G59" t="s">
        <v>74</v>
      </c>
      <c r="H59" t="s">
        <v>34</v>
      </c>
      <c r="I59" t="s">
        <v>55</v>
      </c>
      <c r="J59" t="s">
        <v>58</v>
      </c>
      <c r="K59" t="s">
        <v>44</v>
      </c>
      <c r="L59" t="s">
        <v>28</v>
      </c>
      <c r="M59" s="4">
        <v>12</v>
      </c>
      <c r="N59" s="4">
        <v>7</v>
      </c>
      <c r="O59" t="s">
        <v>29</v>
      </c>
      <c r="P59" t="s">
        <v>36</v>
      </c>
      <c r="Q59" s="4">
        <v>103964</v>
      </c>
      <c r="R59" s="4">
        <v>64912</v>
      </c>
      <c r="S59" s="4">
        <f>Table1[[#This Row],[Service_Revenue]]-Table1[[#This Row],[Service_Cost]]</f>
        <v>39052</v>
      </c>
      <c r="T59" s="4">
        <v>2</v>
      </c>
      <c r="U59" s="4">
        <f>IF(AND(Table1[[#This Row],[Rework_Flag]]="Yes",Table1[[#This Row],[Warranty_Claim]]="No"),Table1[[#This Row],[Service_Revenue]],0)</f>
        <v>103964</v>
      </c>
      <c r="V59" s="4">
        <f>IF(Table1[[#This Row],[Warranty_Claim]]="Yes",1,0)</f>
        <v>0</v>
      </c>
      <c r="W59" s="4">
        <f>IF(Table1[[#This Row],[Rework_Flag]]="No",1,0)</f>
        <v>0</v>
      </c>
      <c r="X59" s="4">
        <f>IF(Table1[[#This Row],[Rework_Flag]]="Yes",1,0)</f>
        <v>1</v>
      </c>
      <c r="Y59" s="4">
        <v>1</v>
      </c>
      <c r="Z59" s="4" t="str">
        <f>IF(Table1[[#This Row],[TAT_Days]]&gt;Table1[[#This Row],[SLA_TAT]],"Yes","No")</f>
        <v>Yes</v>
      </c>
      <c r="AA59" s="4" t="str" cm="1">
        <f t="array" ref="AA59">_xlfn.IFS(Table1[[#This Row],[Customer_Satisfaction]]&lt;=2,"Poor",Table1[[#This Row],[Customer_Satisfaction]]=3,"Neutral",Table1[[#This Row],[Customer_Satisfaction]]=4,"Good",Table1[[#This Row],[Customer_Satisfaction]]=5,"Good")</f>
        <v>Poor</v>
      </c>
    </row>
    <row r="60" spans="1:27" x14ac:dyDescent="0.35">
      <c r="A60">
        <v>20058</v>
      </c>
      <c r="B60" s="1">
        <v>45396</v>
      </c>
      <c r="C60" t="s">
        <v>50</v>
      </c>
      <c r="D60" t="s">
        <v>80</v>
      </c>
      <c r="E60" t="s">
        <v>104</v>
      </c>
      <c r="F60" t="s">
        <v>53</v>
      </c>
      <c r="G60" t="s">
        <v>54</v>
      </c>
      <c r="H60" t="s">
        <v>42</v>
      </c>
      <c r="I60" t="s">
        <v>55</v>
      </c>
      <c r="J60" t="s">
        <v>35</v>
      </c>
      <c r="K60" t="s">
        <v>27</v>
      </c>
      <c r="L60" t="s">
        <v>28</v>
      </c>
      <c r="M60" s="4">
        <v>23</v>
      </c>
      <c r="N60" s="4">
        <v>7</v>
      </c>
      <c r="O60" t="s">
        <v>29</v>
      </c>
      <c r="P60" t="s">
        <v>29</v>
      </c>
      <c r="Q60" s="4">
        <v>310108</v>
      </c>
      <c r="R60" s="4">
        <v>247918</v>
      </c>
      <c r="S60" s="4">
        <f>Table1[[#This Row],[Service_Revenue]]-Table1[[#This Row],[Service_Cost]]</f>
        <v>62190</v>
      </c>
      <c r="T60" s="4">
        <v>1</v>
      </c>
      <c r="U60" s="4">
        <f>IF(AND(Table1[[#This Row],[Rework_Flag]]="Yes",Table1[[#This Row],[Warranty_Claim]]="No"),Table1[[#This Row],[Service_Revenue]],0)</f>
        <v>0</v>
      </c>
      <c r="V60" s="4">
        <f>IF(Table1[[#This Row],[Warranty_Claim]]="Yes",1,0)</f>
        <v>1</v>
      </c>
      <c r="W60" s="4">
        <f>IF(Table1[[#This Row],[Rework_Flag]]="No",1,0)</f>
        <v>0</v>
      </c>
      <c r="X60" s="4">
        <f>IF(Table1[[#This Row],[Rework_Flag]]="Yes",1,0)</f>
        <v>1</v>
      </c>
      <c r="Y60" s="4">
        <v>1</v>
      </c>
      <c r="Z60" s="4" t="str">
        <f>IF(Table1[[#This Row],[TAT_Days]]&gt;Table1[[#This Row],[SLA_TAT]],"Yes","No")</f>
        <v>Yes</v>
      </c>
      <c r="AA60" s="4" t="str" cm="1">
        <f t="array" ref="AA60">_xlfn.IFS(Table1[[#This Row],[Customer_Satisfaction]]&lt;=2,"Poor",Table1[[#This Row],[Customer_Satisfaction]]=3,"Neutral",Table1[[#This Row],[Customer_Satisfaction]]=4,"Good",Table1[[#This Row],[Customer_Satisfaction]]=5,"Good")</f>
        <v>Poor</v>
      </c>
    </row>
    <row r="61" spans="1:27" x14ac:dyDescent="0.35">
      <c r="A61">
        <v>20059</v>
      </c>
      <c r="B61" s="1">
        <v>45409</v>
      </c>
      <c r="C61" t="s">
        <v>19</v>
      </c>
      <c r="D61" t="s">
        <v>20</v>
      </c>
      <c r="E61" t="s">
        <v>86</v>
      </c>
      <c r="F61" t="s">
        <v>40</v>
      </c>
      <c r="G61" t="s">
        <v>23</v>
      </c>
      <c r="H61" t="s">
        <v>24</v>
      </c>
      <c r="I61" t="s">
        <v>25</v>
      </c>
      <c r="J61" t="s">
        <v>58</v>
      </c>
      <c r="K61" t="s">
        <v>27</v>
      </c>
      <c r="L61" t="s">
        <v>49</v>
      </c>
      <c r="M61" s="4">
        <v>19</v>
      </c>
      <c r="N61" s="4">
        <v>7</v>
      </c>
      <c r="O61" t="s">
        <v>29</v>
      </c>
      <c r="P61" t="s">
        <v>36</v>
      </c>
      <c r="Q61" s="4">
        <v>179225</v>
      </c>
      <c r="R61" s="4">
        <v>107557</v>
      </c>
      <c r="S61" s="4">
        <f>Table1[[#This Row],[Service_Revenue]]-Table1[[#This Row],[Service_Cost]]</f>
        <v>71668</v>
      </c>
      <c r="T61" s="4">
        <v>1</v>
      </c>
      <c r="U61" s="4">
        <f>IF(AND(Table1[[#This Row],[Rework_Flag]]="Yes",Table1[[#This Row],[Warranty_Claim]]="No"),Table1[[#This Row],[Service_Revenue]],0)</f>
        <v>179225</v>
      </c>
      <c r="V61" s="4">
        <f>IF(Table1[[#This Row],[Warranty_Claim]]="Yes",1,0)</f>
        <v>0</v>
      </c>
      <c r="W61" s="4">
        <f>IF(Table1[[#This Row],[Rework_Flag]]="No",1,0)</f>
        <v>0</v>
      </c>
      <c r="X61" s="4">
        <f>IF(Table1[[#This Row],[Rework_Flag]]="Yes",1,0)</f>
        <v>1</v>
      </c>
      <c r="Y61" s="4">
        <v>1</v>
      </c>
      <c r="Z61" s="4" t="str">
        <f>IF(Table1[[#This Row],[TAT_Days]]&gt;Table1[[#This Row],[SLA_TAT]],"Yes","No")</f>
        <v>Yes</v>
      </c>
      <c r="AA61" s="4" t="str" cm="1">
        <f t="array" ref="AA61">_xlfn.IFS(Table1[[#This Row],[Customer_Satisfaction]]&lt;=2,"Poor",Table1[[#This Row],[Customer_Satisfaction]]=3,"Neutral",Table1[[#This Row],[Customer_Satisfaction]]=4,"Good",Table1[[#This Row],[Customer_Satisfaction]]=5,"Good")</f>
        <v>Poor</v>
      </c>
    </row>
    <row r="62" spans="1:27" x14ac:dyDescent="0.35">
      <c r="A62">
        <v>20060</v>
      </c>
      <c r="B62" s="1">
        <v>45333</v>
      </c>
      <c r="C62" t="s">
        <v>37</v>
      </c>
      <c r="D62" t="s">
        <v>64</v>
      </c>
      <c r="E62" t="s">
        <v>103</v>
      </c>
      <c r="F62" t="s">
        <v>40</v>
      </c>
      <c r="G62" t="s">
        <v>23</v>
      </c>
      <c r="H62" t="s">
        <v>24</v>
      </c>
      <c r="I62" t="s">
        <v>55</v>
      </c>
      <c r="J62" t="s">
        <v>67</v>
      </c>
      <c r="K62" t="s">
        <v>27</v>
      </c>
      <c r="L62" t="s">
        <v>49</v>
      </c>
      <c r="M62" s="4">
        <v>4</v>
      </c>
      <c r="N62" s="4">
        <v>7</v>
      </c>
      <c r="O62" t="s">
        <v>29</v>
      </c>
      <c r="P62" t="s">
        <v>36</v>
      </c>
      <c r="Q62" s="4">
        <v>560150</v>
      </c>
      <c r="R62" s="4">
        <v>383029</v>
      </c>
      <c r="S62" s="4">
        <f>Table1[[#This Row],[Service_Revenue]]-Table1[[#This Row],[Service_Cost]]</f>
        <v>177121</v>
      </c>
      <c r="T62" s="4">
        <v>4</v>
      </c>
      <c r="U62" s="4">
        <f>IF(AND(Table1[[#This Row],[Rework_Flag]]="Yes",Table1[[#This Row],[Warranty_Claim]]="No"),Table1[[#This Row],[Service_Revenue]],0)</f>
        <v>560150</v>
      </c>
      <c r="V62" s="4">
        <f>IF(Table1[[#This Row],[Warranty_Claim]]="Yes",1,0)</f>
        <v>0</v>
      </c>
      <c r="W62" s="4">
        <f>IF(Table1[[#This Row],[Rework_Flag]]="No",1,0)</f>
        <v>0</v>
      </c>
      <c r="X62" s="4">
        <f>IF(Table1[[#This Row],[Rework_Flag]]="Yes",1,0)</f>
        <v>1</v>
      </c>
      <c r="Y62" s="4">
        <v>1</v>
      </c>
      <c r="Z62" s="4" t="str">
        <f>IF(Table1[[#This Row],[TAT_Days]]&gt;Table1[[#This Row],[SLA_TAT]],"Yes","No")</f>
        <v>No</v>
      </c>
      <c r="AA62" s="4" t="str" cm="1">
        <f t="array" ref="AA62">_xlfn.IFS(Table1[[#This Row],[Customer_Satisfaction]]&lt;=2,"Poor",Table1[[#This Row],[Customer_Satisfaction]]=3,"Neutral",Table1[[#This Row],[Customer_Satisfaction]]=4,"Good",Table1[[#This Row],[Customer_Satisfaction]]=5,"Good")</f>
        <v>Good</v>
      </c>
    </row>
    <row r="63" spans="1:27" x14ac:dyDescent="0.35">
      <c r="A63">
        <v>20061</v>
      </c>
      <c r="B63" s="1">
        <v>45411</v>
      </c>
      <c r="C63" t="s">
        <v>19</v>
      </c>
      <c r="D63" t="s">
        <v>96</v>
      </c>
      <c r="E63" t="s">
        <v>105</v>
      </c>
      <c r="F63" t="s">
        <v>22</v>
      </c>
      <c r="G63" t="s">
        <v>54</v>
      </c>
      <c r="H63" t="s">
        <v>42</v>
      </c>
      <c r="I63" t="s">
        <v>25</v>
      </c>
      <c r="J63" t="s">
        <v>35</v>
      </c>
      <c r="K63" t="s">
        <v>27</v>
      </c>
      <c r="L63" t="s">
        <v>28</v>
      </c>
      <c r="M63" s="4">
        <v>15</v>
      </c>
      <c r="N63" s="4">
        <v>7</v>
      </c>
      <c r="O63" t="s">
        <v>29</v>
      </c>
      <c r="P63" t="s">
        <v>36</v>
      </c>
      <c r="Q63" s="4">
        <v>250809</v>
      </c>
      <c r="R63" s="4">
        <v>173928</v>
      </c>
      <c r="S63" s="4">
        <f>Table1[[#This Row],[Service_Revenue]]-Table1[[#This Row],[Service_Cost]]</f>
        <v>76881</v>
      </c>
      <c r="T63" s="4">
        <v>1</v>
      </c>
      <c r="U63" s="4">
        <f>IF(AND(Table1[[#This Row],[Rework_Flag]]="Yes",Table1[[#This Row],[Warranty_Claim]]="No"),Table1[[#This Row],[Service_Revenue]],0)</f>
        <v>250809</v>
      </c>
      <c r="V63" s="4">
        <f>IF(Table1[[#This Row],[Warranty_Claim]]="Yes",1,0)</f>
        <v>0</v>
      </c>
      <c r="W63" s="4">
        <f>IF(Table1[[#This Row],[Rework_Flag]]="No",1,0)</f>
        <v>0</v>
      </c>
      <c r="X63" s="4">
        <f>IF(Table1[[#This Row],[Rework_Flag]]="Yes",1,0)</f>
        <v>1</v>
      </c>
      <c r="Y63" s="4">
        <v>1</v>
      </c>
      <c r="Z63" s="4" t="str">
        <f>IF(Table1[[#This Row],[TAT_Days]]&gt;Table1[[#This Row],[SLA_TAT]],"Yes","No")</f>
        <v>Yes</v>
      </c>
      <c r="AA63" s="4" t="str" cm="1">
        <f t="array" ref="AA63">_xlfn.IFS(Table1[[#This Row],[Customer_Satisfaction]]&lt;=2,"Poor",Table1[[#This Row],[Customer_Satisfaction]]=3,"Neutral",Table1[[#This Row],[Customer_Satisfaction]]=4,"Good",Table1[[#This Row],[Customer_Satisfaction]]=5,"Good")</f>
        <v>Poor</v>
      </c>
    </row>
    <row r="64" spans="1:27" x14ac:dyDescent="0.35">
      <c r="A64">
        <v>20062</v>
      </c>
      <c r="B64" s="1">
        <v>45345</v>
      </c>
      <c r="C64" t="s">
        <v>30</v>
      </c>
      <c r="D64" t="s">
        <v>31</v>
      </c>
      <c r="E64" t="s">
        <v>106</v>
      </c>
      <c r="F64" t="s">
        <v>53</v>
      </c>
      <c r="G64" t="s">
        <v>54</v>
      </c>
      <c r="H64" t="s">
        <v>42</v>
      </c>
      <c r="I64" t="s">
        <v>55</v>
      </c>
      <c r="J64" t="s">
        <v>43</v>
      </c>
      <c r="K64" t="s">
        <v>44</v>
      </c>
      <c r="L64" t="s">
        <v>49</v>
      </c>
      <c r="M64" s="4">
        <v>18</v>
      </c>
      <c r="N64" s="4">
        <v>7</v>
      </c>
      <c r="O64" t="s">
        <v>29</v>
      </c>
      <c r="P64" t="s">
        <v>36</v>
      </c>
      <c r="Q64" s="4">
        <v>252633</v>
      </c>
      <c r="R64" s="4">
        <v>179980</v>
      </c>
      <c r="S64" s="4">
        <f>Table1[[#This Row],[Service_Revenue]]-Table1[[#This Row],[Service_Cost]]</f>
        <v>72653</v>
      </c>
      <c r="T64" s="4">
        <v>1</v>
      </c>
      <c r="U64" s="4">
        <f>IF(AND(Table1[[#This Row],[Rework_Flag]]="Yes",Table1[[#This Row],[Warranty_Claim]]="No"),Table1[[#This Row],[Service_Revenue]],0)</f>
        <v>252633</v>
      </c>
      <c r="V64" s="4">
        <f>IF(Table1[[#This Row],[Warranty_Claim]]="Yes",1,0)</f>
        <v>0</v>
      </c>
      <c r="W64" s="4">
        <f>IF(Table1[[#This Row],[Rework_Flag]]="No",1,0)</f>
        <v>0</v>
      </c>
      <c r="X64" s="4">
        <f>IF(Table1[[#This Row],[Rework_Flag]]="Yes",1,0)</f>
        <v>1</v>
      </c>
      <c r="Y64" s="4">
        <v>1</v>
      </c>
      <c r="Z64" s="4" t="str">
        <f>IF(Table1[[#This Row],[TAT_Days]]&gt;Table1[[#This Row],[SLA_TAT]],"Yes","No")</f>
        <v>Yes</v>
      </c>
      <c r="AA64" s="4" t="str" cm="1">
        <f t="array" ref="AA64">_xlfn.IFS(Table1[[#This Row],[Customer_Satisfaction]]&lt;=2,"Poor",Table1[[#This Row],[Customer_Satisfaction]]=3,"Neutral",Table1[[#This Row],[Customer_Satisfaction]]=4,"Good",Table1[[#This Row],[Customer_Satisfaction]]=5,"Good")</f>
        <v>Poor</v>
      </c>
    </row>
    <row r="65" spans="1:27" x14ac:dyDescent="0.35">
      <c r="A65">
        <v>20063</v>
      </c>
      <c r="B65" s="1">
        <v>45346</v>
      </c>
      <c r="C65" t="s">
        <v>37</v>
      </c>
      <c r="D65" t="s">
        <v>64</v>
      </c>
      <c r="E65" t="s">
        <v>103</v>
      </c>
      <c r="F65" t="s">
        <v>22</v>
      </c>
      <c r="G65" t="s">
        <v>33</v>
      </c>
      <c r="H65" t="s">
        <v>34</v>
      </c>
      <c r="I65" t="s">
        <v>55</v>
      </c>
      <c r="J65" t="s">
        <v>26</v>
      </c>
      <c r="K65" t="s">
        <v>44</v>
      </c>
      <c r="L65" t="s">
        <v>28</v>
      </c>
      <c r="M65" s="4">
        <v>8</v>
      </c>
      <c r="N65" s="4">
        <v>7</v>
      </c>
      <c r="O65" t="s">
        <v>36</v>
      </c>
      <c r="P65" t="s">
        <v>29</v>
      </c>
      <c r="Q65" s="4">
        <v>573693</v>
      </c>
      <c r="R65" s="4">
        <v>464762</v>
      </c>
      <c r="S65" s="4">
        <f>Table1[[#This Row],[Service_Revenue]]-Table1[[#This Row],[Service_Cost]]</f>
        <v>108931</v>
      </c>
      <c r="T65" s="4">
        <v>4</v>
      </c>
      <c r="U65" s="4">
        <f>IF(AND(Table1[[#This Row],[Rework_Flag]]="Yes",Table1[[#This Row],[Warranty_Claim]]="No"),Table1[[#This Row],[Service_Revenue]],0)</f>
        <v>0</v>
      </c>
      <c r="V65" s="4">
        <f>IF(Table1[[#This Row],[Warranty_Claim]]="Yes",1,0)</f>
        <v>1</v>
      </c>
      <c r="W65" s="4">
        <f>IF(Table1[[#This Row],[Rework_Flag]]="No",1,0)</f>
        <v>1</v>
      </c>
      <c r="X65" s="4">
        <f>IF(Table1[[#This Row],[Rework_Flag]]="Yes",1,0)</f>
        <v>0</v>
      </c>
      <c r="Y65" s="4">
        <v>1</v>
      </c>
      <c r="Z65" s="4" t="str">
        <f>IF(Table1[[#This Row],[TAT_Days]]&gt;Table1[[#This Row],[SLA_TAT]],"Yes","No")</f>
        <v>Yes</v>
      </c>
      <c r="AA65" s="4" t="str" cm="1">
        <f t="array" ref="AA65">_xlfn.IFS(Table1[[#This Row],[Customer_Satisfaction]]&lt;=2,"Poor",Table1[[#This Row],[Customer_Satisfaction]]=3,"Neutral",Table1[[#This Row],[Customer_Satisfaction]]=4,"Good",Table1[[#This Row],[Customer_Satisfaction]]=5,"Good")</f>
        <v>Good</v>
      </c>
    </row>
    <row r="66" spans="1:27" x14ac:dyDescent="0.35">
      <c r="A66">
        <v>20064</v>
      </c>
      <c r="B66" s="1">
        <v>45382</v>
      </c>
      <c r="C66" t="s">
        <v>37</v>
      </c>
      <c r="D66" t="s">
        <v>70</v>
      </c>
      <c r="E66" t="s">
        <v>100</v>
      </c>
      <c r="F66" t="s">
        <v>40</v>
      </c>
      <c r="G66" t="s">
        <v>33</v>
      </c>
      <c r="H66" t="s">
        <v>34</v>
      </c>
      <c r="I66" t="s">
        <v>55</v>
      </c>
      <c r="J66" t="s">
        <v>43</v>
      </c>
      <c r="K66" t="s">
        <v>27</v>
      </c>
      <c r="L66" t="s">
        <v>49</v>
      </c>
      <c r="M66" s="4">
        <v>11</v>
      </c>
      <c r="N66" s="4">
        <v>7</v>
      </c>
      <c r="O66" t="s">
        <v>29</v>
      </c>
      <c r="P66" t="s">
        <v>36</v>
      </c>
      <c r="Q66" s="4">
        <v>217731</v>
      </c>
      <c r="R66" s="4">
        <v>112277</v>
      </c>
      <c r="S66" s="4">
        <f>Table1[[#This Row],[Service_Revenue]]-Table1[[#This Row],[Service_Cost]]</f>
        <v>105454</v>
      </c>
      <c r="T66" s="4">
        <v>2</v>
      </c>
      <c r="U66" s="4">
        <f>IF(AND(Table1[[#This Row],[Rework_Flag]]="Yes",Table1[[#This Row],[Warranty_Claim]]="No"),Table1[[#This Row],[Service_Revenue]],0)</f>
        <v>217731</v>
      </c>
      <c r="V66" s="4">
        <f>IF(Table1[[#This Row],[Warranty_Claim]]="Yes",1,0)</f>
        <v>0</v>
      </c>
      <c r="W66" s="4">
        <f>IF(Table1[[#This Row],[Rework_Flag]]="No",1,0)</f>
        <v>0</v>
      </c>
      <c r="X66" s="4">
        <f>IF(Table1[[#This Row],[Rework_Flag]]="Yes",1,0)</f>
        <v>1</v>
      </c>
      <c r="Y66" s="4">
        <v>1</v>
      </c>
      <c r="Z66" s="4" t="str">
        <f>IF(Table1[[#This Row],[TAT_Days]]&gt;Table1[[#This Row],[SLA_TAT]],"Yes","No")</f>
        <v>Yes</v>
      </c>
      <c r="AA66" s="4" t="str" cm="1">
        <f t="array" ref="AA66">_xlfn.IFS(Table1[[#This Row],[Customer_Satisfaction]]&lt;=2,"Poor",Table1[[#This Row],[Customer_Satisfaction]]=3,"Neutral",Table1[[#This Row],[Customer_Satisfaction]]=4,"Good",Table1[[#This Row],[Customer_Satisfaction]]=5,"Good")</f>
        <v>Poor</v>
      </c>
    </row>
    <row r="67" spans="1:27" x14ac:dyDescent="0.35">
      <c r="A67">
        <v>20065</v>
      </c>
      <c r="B67" s="1">
        <v>45428</v>
      </c>
      <c r="C67" t="s">
        <v>50</v>
      </c>
      <c r="D67" t="s">
        <v>56</v>
      </c>
      <c r="E67" t="s">
        <v>101</v>
      </c>
      <c r="F67" t="s">
        <v>40</v>
      </c>
      <c r="G67" t="s">
        <v>23</v>
      </c>
      <c r="H67" t="s">
        <v>24</v>
      </c>
      <c r="I67" t="s">
        <v>55</v>
      </c>
      <c r="J67" t="s">
        <v>58</v>
      </c>
      <c r="K67" t="s">
        <v>61</v>
      </c>
      <c r="L67" t="s">
        <v>49</v>
      </c>
      <c r="M67" s="4">
        <v>20</v>
      </c>
      <c r="N67" s="4">
        <v>7</v>
      </c>
      <c r="O67" t="s">
        <v>36</v>
      </c>
      <c r="P67" t="s">
        <v>29</v>
      </c>
      <c r="Q67" s="4">
        <v>251654</v>
      </c>
      <c r="R67" s="4">
        <v>199284</v>
      </c>
      <c r="S67" s="4">
        <f>Table1[[#This Row],[Service_Revenue]]-Table1[[#This Row],[Service_Cost]]</f>
        <v>52370</v>
      </c>
      <c r="T67" s="4">
        <v>1</v>
      </c>
      <c r="U67" s="4">
        <f>IF(AND(Table1[[#This Row],[Rework_Flag]]="Yes",Table1[[#This Row],[Warranty_Claim]]="No"),Table1[[#This Row],[Service_Revenue]],0)</f>
        <v>0</v>
      </c>
      <c r="V67" s="4">
        <f>IF(Table1[[#This Row],[Warranty_Claim]]="Yes",1,0)</f>
        <v>1</v>
      </c>
      <c r="W67" s="4">
        <f>IF(Table1[[#This Row],[Rework_Flag]]="No",1,0)</f>
        <v>1</v>
      </c>
      <c r="X67" s="4">
        <f>IF(Table1[[#This Row],[Rework_Flag]]="Yes",1,0)</f>
        <v>0</v>
      </c>
      <c r="Y67" s="4">
        <v>1</v>
      </c>
      <c r="Z67" s="4" t="str">
        <f>IF(Table1[[#This Row],[TAT_Days]]&gt;Table1[[#This Row],[SLA_TAT]],"Yes","No")</f>
        <v>Yes</v>
      </c>
      <c r="AA67" s="4" t="str" cm="1">
        <f t="array" ref="AA67">_xlfn.IFS(Table1[[#This Row],[Customer_Satisfaction]]&lt;=2,"Poor",Table1[[#This Row],[Customer_Satisfaction]]=3,"Neutral",Table1[[#This Row],[Customer_Satisfaction]]=4,"Good",Table1[[#This Row],[Customer_Satisfaction]]=5,"Good")</f>
        <v>Poor</v>
      </c>
    </row>
    <row r="68" spans="1:27" x14ac:dyDescent="0.35">
      <c r="A68">
        <v>20066</v>
      </c>
      <c r="B68" s="1">
        <v>45416</v>
      </c>
      <c r="C68" t="s">
        <v>50</v>
      </c>
      <c r="D68" t="s">
        <v>51</v>
      </c>
      <c r="E68" t="s">
        <v>52</v>
      </c>
      <c r="F68" t="s">
        <v>22</v>
      </c>
      <c r="G68" t="s">
        <v>33</v>
      </c>
      <c r="H68" t="s">
        <v>34</v>
      </c>
      <c r="I68" t="s">
        <v>25</v>
      </c>
      <c r="J68" t="s">
        <v>43</v>
      </c>
      <c r="K68" t="s">
        <v>27</v>
      </c>
      <c r="L68" t="s">
        <v>28</v>
      </c>
      <c r="M68" s="4">
        <v>5</v>
      </c>
      <c r="N68" s="4">
        <v>7</v>
      </c>
      <c r="O68" t="s">
        <v>29</v>
      </c>
      <c r="P68" t="s">
        <v>36</v>
      </c>
      <c r="Q68" s="4">
        <v>359939</v>
      </c>
      <c r="R68" s="4">
        <v>184025</v>
      </c>
      <c r="S68" s="4">
        <f>Table1[[#This Row],[Service_Revenue]]-Table1[[#This Row],[Service_Cost]]</f>
        <v>175914</v>
      </c>
      <c r="T68" s="4">
        <v>3</v>
      </c>
      <c r="U68" s="4">
        <f>IF(AND(Table1[[#This Row],[Rework_Flag]]="Yes",Table1[[#This Row],[Warranty_Claim]]="No"),Table1[[#This Row],[Service_Revenue]],0)</f>
        <v>359939</v>
      </c>
      <c r="V68" s="4">
        <f>IF(Table1[[#This Row],[Warranty_Claim]]="Yes",1,0)</f>
        <v>0</v>
      </c>
      <c r="W68" s="4">
        <f>IF(Table1[[#This Row],[Rework_Flag]]="No",1,0)</f>
        <v>0</v>
      </c>
      <c r="X68" s="4">
        <f>IF(Table1[[#This Row],[Rework_Flag]]="Yes",1,0)</f>
        <v>1</v>
      </c>
      <c r="Y68" s="4">
        <v>1</v>
      </c>
      <c r="Z68" s="4" t="str">
        <f>IF(Table1[[#This Row],[TAT_Days]]&gt;Table1[[#This Row],[SLA_TAT]],"Yes","No")</f>
        <v>No</v>
      </c>
      <c r="AA68" s="4" t="str" cm="1">
        <f t="array" ref="AA68">_xlfn.IFS(Table1[[#This Row],[Customer_Satisfaction]]&lt;=2,"Poor",Table1[[#This Row],[Customer_Satisfaction]]=3,"Neutral",Table1[[#This Row],[Customer_Satisfaction]]=4,"Good",Table1[[#This Row],[Customer_Satisfaction]]=5,"Good")</f>
        <v>Neutral</v>
      </c>
    </row>
    <row r="69" spans="1:27" x14ac:dyDescent="0.35">
      <c r="A69">
        <v>20067</v>
      </c>
      <c r="B69" s="1">
        <v>45310</v>
      </c>
      <c r="C69" t="s">
        <v>30</v>
      </c>
      <c r="D69" t="s">
        <v>59</v>
      </c>
      <c r="E69" t="s">
        <v>66</v>
      </c>
      <c r="F69" t="s">
        <v>53</v>
      </c>
      <c r="G69" t="s">
        <v>33</v>
      </c>
      <c r="H69" t="s">
        <v>34</v>
      </c>
      <c r="I69" t="s">
        <v>55</v>
      </c>
      <c r="J69" t="s">
        <v>43</v>
      </c>
      <c r="K69" t="s">
        <v>44</v>
      </c>
      <c r="L69" t="s">
        <v>49</v>
      </c>
      <c r="M69" s="4">
        <v>4</v>
      </c>
      <c r="N69" s="4">
        <v>7</v>
      </c>
      <c r="O69" t="s">
        <v>29</v>
      </c>
      <c r="P69" t="s">
        <v>36</v>
      </c>
      <c r="Q69" s="4">
        <v>531222</v>
      </c>
      <c r="R69" s="4">
        <v>348521</v>
      </c>
      <c r="S69" s="4">
        <f>Table1[[#This Row],[Service_Revenue]]-Table1[[#This Row],[Service_Cost]]</f>
        <v>182701</v>
      </c>
      <c r="T69" s="4">
        <v>4</v>
      </c>
      <c r="U69" s="4">
        <f>IF(AND(Table1[[#This Row],[Rework_Flag]]="Yes",Table1[[#This Row],[Warranty_Claim]]="No"),Table1[[#This Row],[Service_Revenue]],0)</f>
        <v>531222</v>
      </c>
      <c r="V69" s="4">
        <f>IF(Table1[[#This Row],[Warranty_Claim]]="Yes",1,0)</f>
        <v>0</v>
      </c>
      <c r="W69" s="4">
        <f>IF(Table1[[#This Row],[Rework_Flag]]="No",1,0)</f>
        <v>0</v>
      </c>
      <c r="X69" s="4">
        <f>IF(Table1[[#This Row],[Rework_Flag]]="Yes",1,0)</f>
        <v>1</v>
      </c>
      <c r="Y69" s="4">
        <v>1</v>
      </c>
      <c r="Z69" s="4" t="str">
        <f>IF(Table1[[#This Row],[TAT_Days]]&gt;Table1[[#This Row],[SLA_TAT]],"Yes","No")</f>
        <v>No</v>
      </c>
      <c r="AA69" s="4" t="str" cm="1">
        <f t="array" ref="AA69">_xlfn.IFS(Table1[[#This Row],[Customer_Satisfaction]]&lt;=2,"Poor",Table1[[#This Row],[Customer_Satisfaction]]=3,"Neutral",Table1[[#This Row],[Customer_Satisfaction]]=4,"Good",Table1[[#This Row],[Customer_Satisfaction]]=5,"Good")</f>
        <v>Good</v>
      </c>
    </row>
    <row r="70" spans="1:27" x14ac:dyDescent="0.35">
      <c r="A70">
        <v>20068</v>
      </c>
      <c r="B70" s="1">
        <v>45437</v>
      </c>
      <c r="C70" t="s">
        <v>50</v>
      </c>
      <c r="D70" t="s">
        <v>56</v>
      </c>
      <c r="E70" t="s">
        <v>57</v>
      </c>
      <c r="F70" t="s">
        <v>22</v>
      </c>
      <c r="G70" t="s">
        <v>63</v>
      </c>
      <c r="H70" t="s">
        <v>24</v>
      </c>
      <c r="I70" t="s">
        <v>55</v>
      </c>
      <c r="J70" t="s">
        <v>35</v>
      </c>
      <c r="K70" t="s">
        <v>27</v>
      </c>
      <c r="L70" t="s">
        <v>28</v>
      </c>
      <c r="M70" s="4">
        <v>6</v>
      </c>
      <c r="N70" s="4">
        <v>7</v>
      </c>
      <c r="O70" t="s">
        <v>29</v>
      </c>
      <c r="P70" t="s">
        <v>29</v>
      </c>
      <c r="Q70" s="4">
        <v>436196</v>
      </c>
      <c r="R70" s="4">
        <v>315455</v>
      </c>
      <c r="S70" s="4">
        <f>Table1[[#This Row],[Service_Revenue]]-Table1[[#This Row],[Service_Cost]]</f>
        <v>120741</v>
      </c>
      <c r="T70" s="4">
        <v>3</v>
      </c>
      <c r="U70" s="4">
        <f>IF(AND(Table1[[#This Row],[Rework_Flag]]="Yes",Table1[[#This Row],[Warranty_Claim]]="No"),Table1[[#This Row],[Service_Revenue]],0)</f>
        <v>0</v>
      </c>
      <c r="V70" s="4">
        <f>IF(Table1[[#This Row],[Warranty_Claim]]="Yes",1,0)</f>
        <v>1</v>
      </c>
      <c r="W70" s="4">
        <f>IF(Table1[[#This Row],[Rework_Flag]]="No",1,0)</f>
        <v>0</v>
      </c>
      <c r="X70" s="4">
        <f>IF(Table1[[#This Row],[Rework_Flag]]="Yes",1,0)</f>
        <v>1</v>
      </c>
      <c r="Y70" s="4">
        <v>1</v>
      </c>
      <c r="Z70" s="4" t="str">
        <f>IF(Table1[[#This Row],[TAT_Days]]&gt;Table1[[#This Row],[SLA_TAT]],"Yes","No")</f>
        <v>No</v>
      </c>
      <c r="AA70" s="4" t="str" cm="1">
        <f t="array" ref="AA70">_xlfn.IFS(Table1[[#This Row],[Customer_Satisfaction]]&lt;=2,"Poor",Table1[[#This Row],[Customer_Satisfaction]]=3,"Neutral",Table1[[#This Row],[Customer_Satisfaction]]=4,"Good",Table1[[#This Row],[Customer_Satisfaction]]=5,"Good")</f>
        <v>Neutral</v>
      </c>
    </row>
    <row r="71" spans="1:27" x14ac:dyDescent="0.35">
      <c r="A71">
        <v>20069</v>
      </c>
      <c r="B71" s="1">
        <v>45331</v>
      </c>
      <c r="C71" t="s">
        <v>30</v>
      </c>
      <c r="D71" t="s">
        <v>59</v>
      </c>
      <c r="E71" t="s">
        <v>78</v>
      </c>
      <c r="F71" t="s">
        <v>53</v>
      </c>
      <c r="G71" t="s">
        <v>74</v>
      </c>
      <c r="H71" t="s">
        <v>34</v>
      </c>
      <c r="I71" t="s">
        <v>55</v>
      </c>
      <c r="J71" t="s">
        <v>58</v>
      </c>
      <c r="K71" t="s">
        <v>61</v>
      </c>
      <c r="L71" t="s">
        <v>28</v>
      </c>
      <c r="M71" s="4">
        <v>12</v>
      </c>
      <c r="N71" s="4">
        <v>7</v>
      </c>
      <c r="O71" t="s">
        <v>36</v>
      </c>
      <c r="P71" t="s">
        <v>36</v>
      </c>
      <c r="Q71" s="4">
        <v>192043</v>
      </c>
      <c r="R71" s="4">
        <v>143380</v>
      </c>
      <c r="S71" s="4">
        <f>Table1[[#This Row],[Service_Revenue]]-Table1[[#This Row],[Service_Cost]]</f>
        <v>48663</v>
      </c>
      <c r="T71" s="4">
        <v>3</v>
      </c>
      <c r="U71" s="4">
        <f>IF(AND(Table1[[#This Row],[Rework_Flag]]="Yes",Table1[[#This Row],[Warranty_Claim]]="No"),Table1[[#This Row],[Service_Revenue]],0)</f>
        <v>0</v>
      </c>
      <c r="V71" s="4">
        <f>IF(Table1[[#This Row],[Warranty_Claim]]="Yes",1,0)</f>
        <v>0</v>
      </c>
      <c r="W71" s="4">
        <f>IF(Table1[[#This Row],[Rework_Flag]]="No",1,0)</f>
        <v>1</v>
      </c>
      <c r="X71" s="4">
        <f>IF(Table1[[#This Row],[Rework_Flag]]="Yes",1,0)</f>
        <v>0</v>
      </c>
      <c r="Y71" s="4">
        <v>1</v>
      </c>
      <c r="Z71" s="4" t="str">
        <f>IF(Table1[[#This Row],[TAT_Days]]&gt;Table1[[#This Row],[SLA_TAT]],"Yes","No")</f>
        <v>Yes</v>
      </c>
      <c r="AA71" s="4" t="str" cm="1">
        <f t="array" ref="AA71">_xlfn.IFS(Table1[[#This Row],[Customer_Satisfaction]]&lt;=2,"Poor",Table1[[#This Row],[Customer_Satisfaction]]=3,"Neutral",Table1[[#This Row],[Customer_Satisfaction]]=4,"Good",Table1[[#This Row],[Customer_Satisfaction]]=5,"Good")</f>
        <v>Neutral</v>
      </c>
    </row>
    <row r="72" spans="1:27" x14ac:dyDescent="0.35">
      <c r="A72">
        <v>20070</v>
      </c>
      <c r="B72" s="1">
        <v>45423</v>
      </c>
      <c r="C72" t="s">
        <v>19</v>
      </c>
      <c r="D72" t="s">
        <v>20</v>
      </c>
      <c r="E72" t="s">
        <v>86</v>
      </c>
      <c r="F72" t="s">
        <v>40</v>
      </c>
      <c r="G72" t="s">
        <v>33</v>
      </c>
      <c r="H72" t="s">
        <v>34</v>
      </c>
      <c r="I72" t="s">
        <v>55</v>
      </c>
      <c r="J72" t="s">
        <v>67</v>
      </c>
      <c r="K72" t="s">
        <v>44</v>
      </c>
      <c r="L72" t="s">
        <v>49</v>
      </c>
      <c r="M72" s="4">
        <v>16</v>
      </c>
      <c r="N72" s="4">
        <v>7</v>
      </c>
      <c r="O72" t="s">
        <v>36</v>
      </c>
      <c r="P72" t="s">
        <v>36</v>
      </c>
      <c r="Q72" s="4">
        <v>509775</v>
      </c>
      <c r="R72" s="4">
        <v>317899</v>
      </c>
      <c r="S72" s="4">
        <f>Table1[[#This Row],[Service_Revenue]]-Table1[[#This Row],[Service_Cost]]</f>
        <v>191876</v>
      </c>
      <c r="T72" s="4">
        <v>2</v>
      </c>
      <c r="U72" s="4">
        <f>IF(AND(Table1[[#This Row],[Rework_Flag]]="Yes",Table1[[#This Row],[Warranty_Claim]]="No"),Table1[[#This Row],[Service_Revenue]],0)</f>
        <v>0</v>
      </c>
      <c r="V72" s="4">
        <f>IF(Table1[[#This Row],[Warranty_Claim]]="Yes",1,0)</f>
        <v>0</v>
      </c>
      <c r="W72" s="4">
        <f>IF(Table1[[#This Row],[Rework_Flag]]="No",1,0)</f>
        <v>1</v>
      </c>
      <c r="X72" s="4">
        <f>IF(Table1[[#This Row],[Rework_Flag]]="Yes",1,0)</f>
        <v>0</v>
      </c>
      <c r="Y72" s="4">
        <v>1</v>
      </c>
      <c r="Z72" s="4" t="str">
        <f>IF(Table1[[#This Row],[TAT_Days]]&gt;Table1[[#This Row],[SLA_TAT]],"Yes","No")</f>
        <v>Yes</v>
      </c>
      <c r="AA72" s="4" t="str" cm="1">
        <f t="array" ref="AA72">_xlfn.IFS(Table1[[#This Row],[Customer_Satisfaction]]&lt;=2,"Poor",Table1[[#This Row],[Customer_Satisfaction]]=3,"Neutral",Table1[[#This Row],[Customer_Satisfaction]]=4,"Good",Table1[[#This Row],[Customer_Satisfaction]]=5,"Good")</f>
        <v>Poor</v>
      </c>
    </row>
    <row r="73" spans="1:27" x14ac:dyDescent="0.35">
      <c r="A73">
        <v>20071</v>
      </c>
      <c r="B73" s="1">
        <v>45352</v>
      </c>
      <c r="C73" t="s">
        <v>30</v>
      </c>
      <c r="D73" t="s">
        <v>83</v>
      </c>
      <c r="E73" t="s">
        <v>92</v>
      </c>
      <c r="F73" t="s">
        <v>22</v>
      </c>
      <c r="G73" t="s">
        <v>74</v>
      </c>
      <c r="H73" t="s">
        <v>34</v>
      </c>
      <c r="I73" t="s">
        <v>25</v>
      </c>
      <c r="J73" t="s">
        <v>58</v>
      </c>
      <c r="K73" t="s">
        <v>61</v>
      </c>
      <c r="L73" t="s">
        <v>28</v>
      </c>
      <c r="M73" s="4">
        <v>3</v>
      </c>
      <c r="N73" s="4">
        <v>7</v>
      </c>
      <c r="O73" t="s">
        <v>36</v>
      </c>
      <c r="P73" t="s">
        <v>36</v>
      </c>
      <c r="Q73" s="4">
        <v>370090</v>
      </c>
      <c r="R73" s="4">
        <v>190954</v>
      </c>
      <c r="S73" s="4">
        <f>Table1[[#This Row],[Service_Revenue]]-Table1[[#This Row],[Service_Cost]]</f>
        <v>179136</v>
      </c>
      <c r="T73" s="4">
        <v>5</v>
      </c>
      <c r="U73" s="4">
        <f>IF(AND(Table1[[#This Row],[Rework_Flag]]="Yes",Table1[[#This Row],[Warranty_Claim]]="No"),Table1[[#This Row],[Service_Revenue]],0)</f>
        <v>0</v>
      </c>
      <c r="V73" s="4">
        <f>IF(Table1[[#This Row],[Warranty_Claim]]="Yes",1,0)</f>
        <v>0</v>
      </c>
      <c r="W73" s="4">
        <f>IF(Table1[[#This Row],[Rework_Flag]]="No",1,0)</f>
        <v>1</v>
      </c>
      <c r="X73" s="4">
        <f>IF(Table1[[#This Row],[Rework_Flag]]="Yes",1,0)</f>
        <v>0</v>
      </c>
      <c r="Y73" s="4">
        <v>1</v>
      </c>
      <c r="Z73" s="4" t="str">
        <f>IF(Table1[[#This Row],[TAT_Days]]&gt;Table1[[#This Row],[SLA_TAT]],"Yes","No")</f>
        <v>No</v>
      </c>
      <c r="AA73" s="4" t="str" cm="1">
        <f t="array" ref="AA73">_xlfn.IFS(Table1[[#This Row],[Customer_Satisfaction]]&lt;=2,"Poor",Table1[[#This Row],[Customer_Satisfaction]]=3,"Neutral",Table1[[#This Row],[Customer_Satisfaction]]=4,"Good",Table1[[#This Row],[Customer_Satisfaction]]=5,"Good")</f>
        <v>Good</v>
      </c>
    </row>
    <row r="74" spans="1:27" x14ac:dyDescent="0.35">
      <c r="A74">
        <v>20072</v>
      </c>
      <c r="B74" s="1">
        <v>45367</v>
      </c>
      <c r="C74" t="s">
        <v>19</v>
      </c>
      <c r="D74" t="s">
        <v>45</v>
      </c>
      <c r="E74" t="s">
        <v>99</v>
      </c>
      <c r="F74" t="s">
        <v>53</v>
      </c>
      <c r="G74" t="s">
        <v>54</v>
      </c>
      <c r="H74" t="s">
        <v>42</v>
      </c>
      <c r="I74" t="s">
        <v>25</v>
      </c>
      <c r="J74" t="s">
        <v>58</v>
      </c>
      <c r="K74" t="s">
        <v>61</v>
      </c>
      <c r="L74" t="s">
        <v>28</v>
      </c>
      <c r="M74" s="4">
        <v>16</v>
      </c>
      <c r="N74" s="4">
        <v>7</v>
      </c>
      <c r="O74" t="s">
        <v>36</v>
      </c>
      <c r="P74" t="s">
        <v>36</v>
      </c>
      <c r="Q74" s="4">
        <v>598472</v>
      </c>
      <c r="R74" s="4">
        <v>493846</v>
      </c>
      <c r="S74" s="4">
        <f>Table1[[#This Row],[Service_Revenue]]-Table1[[#This Row],[Service_Cost]]</f>
        <v>104626</v>
      </c>
      <c r="T74" s="4">
        <v>2</v>
      </c>
      <c r="U74" s="4">
        <f>IF(AND(Table1[[#This Row],[Rework_Flag]]="Yes",Table1[[#This Row],[Warranty_Claim]]="No"),Table1[[#This Row],[Service_Revenue]],0)</f>
        <v>0</v>
      </c>
      <c r="V74" s="4">
        <f>IF(Table1[[#This Row],[Warranty_Claim]]="Yes",1,0)</f>
        <v>0</v>
      </c>
      <c r="W74" s="4">
        <f>IF(Table1[[#This Row],[Rework_Flag]]="No",1,0)</f>
        <v>1</v>
      </c>
      <c r="X74" s="4">
        <f>IF(Table1[[#This Row],[Rework_Flag]]="Yes",1,0)</f>
        <v>0</v>
      </c>
      <c r="Y74" s="4">
        <v>1</v>
      </c>
      <c r="Z74" s="4" t="str">
        <f>IF(Table1[[#This Row],[TAT_Days]]&gt;Table1[[#This Row],[SLA_TAT]],"Yes","No")</f>
        <v>Yes</v>
      </c>
      <c r="AA74" s="4" t="str" cm="1">
        <f t="array" ref="AA74">_xlfn.IFS(Table1[[#This Row],[Customer_Satisfaction]]&lt;=2,"Poor",Table1[[#This Row],[Customer_Satisfaction]]=3,"Neutral",Table1[[#This Row],[Customer_Satisfaction]]=4,"Good",Table1[[#This Row],[Customer_Satisfaction]]=5,"Good")</f>
        <v>Poor</v>
      </c>
    </row>
    <row r="75" spans="1:27" x14ac:dyDescent="0.35">
      <c r="A75">
        <v>20073</v>
      </c>
      <c r="B75" s="1">
        <v>45433</v>
      </c>
      <c r="C75" t="s">
        <v>37</v>
      </c>
      <c r="D75" t="s">
        <v>38</v>
      </c>
      <c r="E75" t="s">
        <v>93</v>
      </c>
      <c r="F75" t="s">
        <v>53</v>
      </c>
      <c r="G75" t="s">
        <v>63</v>
      </c>
      <c r="H75" t="s">
        <v>24</v>
      </c>
      <c r="I75" t="s">
        <v>55</v>
      </c>
      <c r="J75" t="s">
        <v>58</v>
      </c>
      <c r="K75" t="s">
        <v>61</v>
      </c>
      <c r="L75" t="s">
        <v>28</v>
      </c>
      <c r="M75" s="4">
        <v>24</v>
      </c>
      <c r="N75" s="4">
        <v>7</v>
      </c>
      <c r="O75" t="s">
        <v>29</v>
      </c>
      <c r="P75" t="s">
        <v>36</v>
      </c>
      <c r="Q75" s="4">
        <v>578565</v>
      </c>
      <c r="R75" s="4">
        <v>481100</v>
      </c>
      <c r="S75" s="4">
        <f>Table1[[#This Row],[Service_Revenue]]-Table1[[#This Row],[Service_Cost]]</f>
        <v>97465</v>
      </c>
      <c r="T75" s="4">
        <v>1</v>
      </c>
      <c r="U75" s="4">
        <f>IF(AND(Table1[[#This Row],[Rework_Flag]]="Yes",Table1[[#This Row],[Warranty_Claim]]="No"),Table1[[#This Row],[Service_Revenue]],0)</f>
        <v>578565</v>
      </c>
      <c r="V75" s="4">
        <f>IF(Table1[[#This Row],[Warranty_Claim]]="Yes",1,0)</f>
        <v>0</v>
      </c>
      <c r="W75" s="4">
        <f>IF(Table1[[#This Row],[Rework_Flag]]="No",1,0)</f>
        <v>0</v>
      </c>
      <c r="X75" s="4">
        <f>IF(Table1[[#This Row],[Rework_Flag]]="Yes",1,0)</f>
        <v>1</v>
      </c>
      <c r="Y75" s="4">
        <v>1</v>
      </c>
      <c r="Z75" s="4" t="str">
        <f>IF(Table1[[#This Row],[TAT_Days]]&gt;Table1[[#This Row],[SLA_TAT]],"Yes","No")</f>
        <v>Yes</v>
      </c>
      <c r="AA75" s="4" t="str" cm="1">
        <f t="array" ref="AA75">_xlfn.IFS(Table1[[#This Row],[Customer_Satisfaction]]&lt;=2,"Poor",Table1[[#This Row],[Customer_Satisfaction]]=3,"Neutral",Table1[[#This Row],[Customer_Satisfaction]]=4,"Good",Table1[[#This Row],[Customer_Satisfaction]]=5,"Good")</f>
        <v>Poor</v>
      </c>
    </row>
    <row r="76" spans="1:27" x14ac:dyDescent="0.35">
      <c r="A76">
        <v>20074</v>
      </c>
      <c r="B76" s="1">
        <v>45409</v>
      </c>
      <c r="C76" t="s">
        <v>50</v>
      </c>
      <c r="D76" t="s">
        <v>80</v>
      </c>
      <c r="E76" t="s">
        <v>81</v>
      </c>
      <c r="F76" t="s">
        <v>22</v>
      </c>
      <c r="G76" t="s">
        <v>33</v>
      </c>
      <c r="H76" t="s">
        <v>34</v>
      </c>
      <c r="I76" t="s">
        <v>55</v>
      </c>
      <c r="J76" t="s">
        <v>35</v>
      </c>
      <c r="K76" t="s">
        <v>44</v>
      </c>
      <c r="L76" t="s">
        <v>28</v>
      </c>
      <c r="M76" s="4">
        <v>17</v>
      </c>
      <c r="N76" s="4">
        <v>7</v>
      </c>
      <c r="O76" t="s">
        <v>29</v>
      </c>
      <c r="P76" t="s">
        <v>36</v>
      </c>
      <c r="Q76" s="4">
        <v>522491</v>
      </c>
      <c r="R76" s="4">
        <v>332088</v>
      </c>
      <c r="S76" s="4">
        <f>Table1[[#This Row],[Service_Revenue]]-Table1[[#This Row],[Service_Cost]]</f>
        <v>190403</v>
      </c>
      <c r="T76" s="4">
        <v>1</v>
      </c>
      <c r="U76" s="4">
        <f>IF(AND(Table1[[#This Row],[Rework_Flag]]="Yes",Table1[[#This Row],[Warranty_Claim]]="No"),Table1[[#This Row],[Service_Revenue]],0)</f>
        <v>522491</v>
      </c>
      <c r="V76" s="4">
        <f>IF(Table1[[#This Row],[Warranty_Claim]]="Yes",1,0)</f>
        <v>0</v>
      </c>
      <c r="W76" s="4">
        <f>IF(Table1[[#This Row],[Rework_Flag]]="No",1,0)</f>
        <v>0</v>
      </c>
      <c r="X76" s="4">
        <f>IF(Table1[[#This Row],[Rework_Flag]]="Yes",1,0)</f>
        <v>1</v>
      </c>
      <c r="Y76" s="4">
        <v>1</v>
      </c>
      <c r="Z76" s="4" t="str">
        <f>IF(Table1[[#This Row],[TAT_Days]]&gt;Table1[[#This Row],[SLA_TAT]],"Yes","No")</f>
        <v>Yes</v>
      </c>
      <c r="AA76" s="4" t="str" cm="1">
        <f t="array" ref="AA76">_xlfn.IFS(Table1[[#This Row],[Customer_Satisfaction]]&lt;=2,"Poor",Table1[[#This Row],[Customer_Satisfaction]]=3,"Neutral",Table1[[#This Row],[Customer_Satisfaction]]=4,"Good",Table1[[#This Row],[Customer_Satisfaction]]=5,"Good")</f>
        <v>Poor</v>
      </c>
    </row>
    <row r="77" spans="1:27" x14ac:dyDescent="0.35">
      <c r="A77">
        <v>20075</v>
      </c>
      <c r="B77" s="1">
        <v>45358</v>
      </c>
      <c r="C77" t="s">
        <v>37</v>
      </c>
      <c r="D77" t="s">
        <v>70</v>
      </c>
      <c r="E77" t="s">
        <v>82</v>
      </c>
      <c r="F77" t="s">
        <v>53</v>
      </c>
      <c r="G77" t="s">
        <v>47</v>
      </c>
      <c r="H77" t="s">
        <v>48</v>
      </c>
      <c r="I77" t="s">
        <v>55</v>
      </c>
      <c r="J77" t="s">
        <v>43</v>
      </c>
      <c r="K77" t="s">
        <v>61</v>
      </c>
      <c r="L77" t="s">
        <v>28</v>
      </c>
      <c r="M77" s="4">
        <v>5</v>
      </c>
      <c r="N77" s="4">
        <v>7</v>
      </c>
      <c r="O77" t="s">
        <v>29</v>
      </c>
      <c r="P77" t="s">
        <v>36</v>
      </c>
      <c r="Q77" s="4">
        <v>475749</v>
      </c>
      <c r="R77" s="4">
        <v>338775</v>
      </c>
      <c r="S77" s="4">
        <f>Table1[[#This Row],[Service_Revenue]]-Table1[[#This Row],[Service_Cost]]</f>
        <v>136974</v>
      </c>
      <c r="T77" s="4">
        <v>3</v>
      </c>
      <c r="U77" s="4">
        <f>IF(AND(Table1[[#This Row],[Rework_Flag]]="Yes",Table1[[#This Row],[Warranty_Claim]]="No"),Table1[[#This Row],[Service_Revenue]],0)</f>
        <v>475749</v>
      </c>
      <c r="V77" s="4">
        <f>IF(Table1[[#This Row],[Warranty_Claim]]="Yes",1,0)</f>
        <v>0</v>
      </c>
      <c r="W77" s="4">
        <f>IF(Table1[[#This Row],[Rework_Flag]]="No",1,0)</f>
        <v>0</v>
      </c>
      <c r="X77" s="4">
        <f>IF(Table1[[#This Row],[Rework_Flag]]="Yes",1,0)</f>
        <v>1</v>
      </c>
      <c r="Y77" s="4">
        <v>1</v>
      </c>
      <c r="Z77" s="4" t="str">
        <f>IF(Table1[[#This Row],[TAT_Days]]&gt;Table1[[#This Row],[SLA_TAT]],"Yes","No")</f>
        <v>No</v>
      </c>
      <c r="AA77" s="4" t="str" cm="1">
        <f t="array" ref="AA77">_xlfn.IFS(Table1[[#This Row],[Customer_Satisfaction]]&lt;=2,"Poor",Table1[[#This Row],[Customer_Satisfaction]]=3,"Neutral",Table1[[#This Row],[Customer_Satisfaction]]=4,"Good",Table1[[#This Row],[Customer_Satisfaction]]=5,"Good")</f>
        <v>Neutral</v>
      </c>
    </row>
    <row r="78" spans="1:27" x14ac:dyDescent="0.35">
      <c r="A78">
        <v>20076</v>
      </c>
      <c r="B78" s="1">
        <v>45408</v>
      </c>
      <c r="C78" t="s">
        <v>30</v>
      </c>
      <c r="D78" t="s">
        <v>59</v>
      </c>
      <c r="E78" t="s">
        <v>60</v>
      </c>
      <c r="F78" t="s">
        <v>53</v>
      </c>
      <c r="G78" t="s">
        <v>33</v>
      </c>
      <c r="H78" t="s">
        <v>34</v>
      </c>
      <c r="I78" t="s">
        <v>55</v>
      </c>
      <c r="J78" t="s">
        <v>43</v>
      </c>
      <c r="K78" t="s">
        <v>61</v>
      </c>
      <c r="L78" t="s">
        <v>49</v>
      </c>
      <c r="M78" s="4">
        <v>9</v>
      </c>
      <c r="N78" s="4">
        <v>7</v>
      </c>
      <c r="O78" t="s">
        <v>29</v>
      </c>
      <c r="P78" t="s">
        <v>36</v>
      </c>
      <c r="Q78" s="4">
        <v>392112</v>
      </c>
      <c r="R78" s="4">
        <v>258441</v>
      </c>
      <c r="S78" s="4">
        <f>Table1[[#This Row],[Service_Revenue]]-Table1[[#This Row],[Service_Cost]]</f>
        <v>133671</v>
      </c>
      <c r="T78" s="4">
        <v>3</v>
      </c>
      <c r="U78" s="4">
        <f>IF(AND(Table1[[#This Row],[Rework_Flag]]="Yes",Table1[[#This Row],[Warranty_Claim]]="No"),Table1[[#This Row],[Service_Revenue]],0)</f>
        <v>392112</v>
      </c>
      <c r="V78" s="4">
        <f>IF(Table1[[#This Row],[Warranty_Claim]]="Yes",1,0)</f>
        <v>0</v>
      </c>
      <c r="W78" s="4">
        <f>IF(Table1[[#This Row],[Rework_Flag]]="No",1,0)</f>
        <v>0</v>
      </c>
      <c r="X78" s="4">
        <f>IF(Table1[[#This Row],[Rework_Flag]]="Yes",1,0)</f>
        <v>1</v>
      </c>
      <c r="Y78" s="4">
        <v>1</v>
      </c>
      <c r="Z78" s="4" t="str">
        <f>IF(Table1[[#This Row],[TAT_Days]]&gt;Table1[[#This Row],[SLA_TAT]],"Yes","No")</f>
        <v>Yes</v>
      </c>
      <c r="AA78" s="4" t="str" cm="1">
        <f t="array" ref="AA78">_xlfn.IFS(Table1[[#This Row],[Customer_Satisfaction]]&lt;=2,"Poor",Table1[[#This Row],[Customer_Satisfaction]]=3,"Neutral",Table1[[#This Row],[Customer_Satisfaction]]=4,"Good",Table1[[#This Row],[Customer_Satisfaction]]=5,"Good")</f>
        <v>Neutral</v>
      </c>
    </row>
    <row r="79" spans="1:27" x14ac:dyDescent="0.35">
      <c r="A79">
        <v>20077</v>
      </c>
      <c r="B79" s="1">
        <v>45383</v>
      </c>
      <c r="C79" t="s">
        <v>37</v>
      </c>
      <c r="D79" t="s">
        <v>64</v>
      </c>
      <c r="E79" t="s">
        <v>103</v>
      </c>
      <c r="F79" t="s">
        <v>22</v>
      </c>
      <c r="G79" t="s">
        <v>74</v>
      </c>
      <c r="H79" t="s">
        <v>34</v>
      </c>
      <c r="I79" t="s">
        <v>55</v>
      </c>
      <c r="J79" t="s">
        <v>35</v>
      </c>
      <c r="K79" t="s">
        <v>44</v>
      </c>
      <c r="L79" t="s">
        <v>49</v>
      </c>
      <c r="M79" s="4">
        <v>18</v>
      </c>
      <c r="N79" s="4">
        <v>7</v>
      </c>
      <c r="O79" t="s">
        <v>36</v>
      </c>
      <c r="P79" t="s">
        <v>36</v>
      </c>
      <c r="Q79" s="4">
        <v>352427</v>
      </c>
      <c r="R79" s="4">
        <v>194787</v>
      </c>
      <c r="S79" s="4">
        <f>Table1[[#This Row],[Service_Revenue]]-Table1[[#This Row],[Service_Cost]]</f>
        <v>157640</v>
      </c>
      <c r="T79" s="4">
        <v>2</v>
      </c>
      <c r="U79" s="4">
        <f>IF(AND(Table1[[#This Row],[Rework_Flag]]="Yes",Table1[[#This Row],[Warranty_Claim]]="No"),Table1[[#This Row],[Service_Revenue]],0)</f>
        <v>0</v>
      </c>
      <c r="V79" s="4">
        <f>IF(Table1[[#This Row],[Warranty_Claim]]="Yes",1,0)</f>
        <v>0</v>
      </c>
      <c r="W79" s="4">
        <f>IF(Table1[[#This Row],[Rework_Flag]]="No",1,0)</f>
        <v>1</v>
      </c>
      <c r="X79" s="4">
        <f>IF(Table1[[#This Row],[Rework_Flag]]="Yes",1,0)</f>
        <v>0</v>
      </c>
      <c r="Y79" s="4">
        <v>1</v>
      </c>
      <c r="Z79" s="4" t="str">
        <f>IF(Table1[[#This Row],[TAT_Days]]&gt;Table1[[#This Row],[SLA_TAT]],"Yes","No")</f>
        <v>Yes</v>
      </c>
      <c r="AA79" s="4" t="str" cm="1">
        <f t="array" ref="AA79">_xlfn.IFS(Table1[[#This Row],[Customer_Satisfaction]]&lt;=2,"Poor",Table1[[#This Row],[Customer_Satisfaction]]=3,"Neutral",Table1[[#This Row],[Customer_Satisfaction]]=4,"Good",Table1[[#This Row],[Customer_Satisfaction]]=5,"Good")</f>
        <v>Poor</v>
      </c>
    </row>
    <row r="80" spans="1:27" x14ac:dyDescent="0.35">
      <c r="A80">
        <v>20078</v>
      </c>
      <c r="B80" s="1">
        <v>45309</v>
      </c>
      <c r="C80" t="s">
        <v>30</v>
      </c>
      <c r="D80" t="s">
        <v>83</v>
      </c>
      <c r="E80" t="s">
        <v>95</v>
      </c>
      <c r="F80" t="s">
        <v>22</v>
      </c>
      <c r="G80" t="s">
        <v>41</v>
      </c>
      <c r="H80" t="s">
        <v>42</v>
      </c>
      <c r="I80" t="s">
        <v>25</v>
      </c>
      <c r="J80" t="s">
        <v>43</v>
      </c>
      <c r="K80" t="s">
        <v>44</v>
      </c>
      <c r="L80" t="s">
        <v>28</v>
      </c>
      <c r="M80" s="4">
        <v>11</v>
      </c>
      <c r="N80" s="4">
        <v>7</v>
      </c>
      <c r="O80" t="s">
        <v>36</v>
      </c>
      <c r="P80" t="s">
        <v>29</v>
      </c>
      <c r="Q80" s="4">
        <v>125778</v>
      </c>
      <c r="R80" s="4">
        <v>94973</v>
      </c>
      <c r="S80" s="4">
        <f>Table1[[#This Row],[Service_Revenue]]-Table1[[#This Row],[Service_Cost]]</f>
        <v>30805</v>
      </c>
      <c r="T80" s="4">
        <v>3</v>
      </c>
      <c r="U80" s="4">
        <f>IF(AND(Table1[[#This Row],[Rework_Flag]]="Yes",Table1[[#This Row],[Warranty_Claim]]="No"),Table1[[#This Row],[Service_Revenue]],0)</f>
        <v>0</v>
      </c>
      <c r="V80" s="4">
        <f>IF(Table1[[#This Row],[Warranty_Claim]]="Yes",1,0)</f>
        <v>1</v>
      </c>
      <c r="W80" s="4">
        <f>IF(Table1[[#This Row],[Rework_Flag]]="No",1,0)</f>
        <v>1</v>
      </c>
      <c r="X80" s="4">
        <f>IF(Table1[[#This Row],[Rework_Flag]]="Yes",1,0)</f>
        <v>0</v>
      </c>
      <c r="Y80" s="4">
        <v>1</v>
      </c>
      <c r="Z80" s="4" t="str">
        <f>IF(Table1[[#This Row],[TAT_Days]]&gt;Table1[[#This Row],[SLA_TAT]],"Yes","No")</f>
        <v>Yes</v>
      </c>
      <c r="AA80" s="4" t="str" cm="1">
        <f t="array" ref="AA80">_xlfn.IFS(Table1[[#This Row],[Customer_Satisfaction]]&lt;=2,"Poor",Table1[[#This Row],[Customer_Satisfaction]]=3,"Neutral",Table1[[#This Row],[Customer_Satisfaction]]=4,"Good",Table1[[#This Row],[Customer_Satisfaction]]=5,"Good")</f>
        <v>Neutral</v>
      </c>
    </row>
    <row r="81" spans="1:27" x14ac:dyDescent="0.35">
      <c r="A81">
        <v>20079</v>
      </c>
      <c r="B81" s="1">
        <v>45344</v>
      </c>
      <c r="C81" t="s">
        <v>37</v>
      </c>
      <c r="D81" t="s">
        <v>64</v>
      </c>
      <c r="E81" t="s">
        <v>72</v>
      </c>
      <c r="F81" t="s">
        <v>53</v>
      </c>
      <c r="G81" t="s">
        <v>33</v>
      </c>
      <c r="H81" t="s">
        <v>34</v>
      </c>
      <c r="I81" t="s">
        <v>55</v>
      </c>
      <c r="J81" t="s">
        <v>35</v>
      </c>
      <c r="K81" t="s">
        <v>44</v>
      </c>
      <c r="L81" t="s">
        <v>28</v>
      </c>
      <c r="M81" s="4">
        <v>11</v>
      </c>
      <c r="N81" s="4">
        <v>7</v>
      </c>
      <c r="O81" t="s">
        <v>36</v>
      </c>
      <c r="P81" t="s">
        <v>36</v>
      </c>
      <c r="Q81" s="4">
        <v>418746</v>
      </c>
      <c r="R81" s="4">
        <v>220855</v>
      </c>
      <c r="S81" s="4">
        <f>Table1[[#This Row],[Service_Revenue]]-Table1[[#This Row],[Service_Cost]]</f>
        <v>197891</v>
      </c>
      <c r="T81" s="4">
        <v>3</v>
      </c>
      <c r="U81" s="4">
        <f>IF(AND(Table1[[#This Row],[Rework_Flag]]="Yes",Table1[[#This Row],[Warranty_Claim]]="No"),Table1[[#This Row],[Service_Revenue]],0)</f>
        <v>0</v>
      </c>
      <c r="V81" s="4">
        <f>IF(Table1[[#This Row],[Warranty_Claim]]="Yes",1,0)</f>
        <v>0</v>
      </c>
      <c r="W81" s="4">
        <f>IF(Table1[[#This Row],[Rework_Flag]]="No",1,0)</f>
        <v>1</v>
      </c>
      <c r="X81" s="4">
        <f>IF(Table1[[#This Row],[Rework_Flag]]="Yes",1,0)</f>
        <v>0</v>
      </c>
      <c r="Y81" s="4">
        <v>1</v>
      </c>
      <c r="Z81" s="4" t="str">
        <f>IF(Table1[[#This Row],[TAT_Days]]&gt;Table1[[#This Row],[SLA_TAT]],"Yes","No")</f>
        <v>Yes</v>
      </c>
      <c r="AA81" s="4" t="str" cm="1">
        <f t="array" ref="AA81">_xlfn.IFS(Table1[[#This Row],[Customer_Satisfaction]]&lt;=2,"Poor",Table1[[#This Row],[Customer_Satisfaction]]=3,"Neutral",Table1[[#This Row],[Customer_Satisfaction]]=4,"Good",Table1[[#This Row],[Customer_Satisfaction]]=5,"Good")</f>
        <v>Neutral</v>
      </c>
    </row>
    <row r="82" spans="1:27" x14ac:dyDescent="0.35">
      <c r="A82">
        <v>20080</v>
      </c>
      <c r="B82" s="1">
        <v>45439</v>
      </c>
      <c r="C82" t="s">
        <v>37</v>
      </c>
      <c r="D82" t="s">
        <v>38</v>
      </c>
      <c r="E82" t="s">
        <v>107</v>
      </c>
      <c r="F82" t="s">
        <v>40</v>
      </c>
      <c r="G82" t="s">
        <v>23</v>
      </c>
      <c r="H82" t="s">
        <v>24</v>
      </c>
      <c r="I82" t="s">
        <v>55</v>
      </c>
      <c r="J82" t="s">
        <v>35</v>
      </c>
      <c r="K82" t="s">
        <v>27</v>
      </c>
      <c r="L82" t="s">
        <v>28</v>
      </c>
      <c r="M82" s="4">
        <v>13</v>
      </c>
      <c r="N82" s="4">
        <v>7</v>
      </c>
      <c r="O82" t="s">
        <v>29</v>
      </c>
      <c r="P82" t="s">
        <v>29</v>
      </c>
      <c r="Q82" s="4">
        <v>415932</v>
      </c>
      <c r="R82" s="4">
        <v>326655</v>
      </c>
      <c r="S82" s="4">
        <f>Table1[[#This Row],[Service_Revenue]]-Table1[[#This Row],[Service_Cost]]</f>
        <v>89277</v>
      </c>
      <c r="T82" s="4">
        <v>2</v>
      </c>
      <c r="U82" s="4">
        <f>IF(AND(Table1[[#This Row],[Rework_Flag]]="Yes",Table1[[#This Row],[Warranty_Claim]]="No"),Table1[[#This Row],[Service_Revenue]],0)</f>
        <v>0</v>
      </c>
      <c r="V82" s="4">
        <f>IF(Table1[[#This Row],[Warranty_Claim]]="Yes",1,0)</f>
        <v>1</v>
      </c>
      <c r="W82" s="4">
        <f>IF(Table1[[#This Row],[Rework_Flag]]="No",1,0)</f>
        <v>0</v>
      </c>
      <c r="X82" s="4">
        <f>IF(Table1[[#This Row],[Rework_Flag]]="Yes",1,0)</f>
        <v>1</v>
      </c>
      <c r="Y82" s="4">
        <v>1</v>
      </c>
      <c r="Z82" s="4" t="str">
        <f>IF(Table1[[#This Row],[TAT_Days]]&gt;Table1[[#This Row],[SLA_TAT]],"Yes","No")</f>
        <v>Yes</v>
      </c>
      <c r="AA82" s="4" t="str" cm="1">
        <f t="array" ref="AA82">_xlfn.IFS(Table1[[#This Row],[Customer_Satisfaction]]&lt;=2,"Poor",Table1[[#This Row],[Customer_Satisfaction]]=3,"Neutral",Table1[[#This Row],[Customer_Satisfaction]]=4,"Good",Table1[[#This Row],[Customer_Satisfaction]]=5,"Good")</f>
        <v>Poor</v>
      </c>
    </row>
    <row r="83" spans="1:27" x14ac:dyDescent="0.35">
      <c r="A83">
        <v>20081</v>
      </c>
      <c r="B83" s="1">
        <v>45329</v>
      </c>
      <c r="C83" t="s">
        <v>30</v>
      </c>
      <c r="D83" t="s">
        <v>59</v>
      </c>
      <c r="E83" t="s">
        <v>60</v>
      </c>
      <c r="F83" t="s">
        <v>22</v>
      </c>
      <c r="G83" t="s">
        <v>23</v>
      </c>
      <c r="H83" t="s">
        <v>24</v>
      </c>
      <c r="I83" t="s">
        <v>25</v>
      </c>
      <c r="J83" t="s">
        <v>58</v>
      </c>
      <c r="K83" t="s">
        <v>44</v>
      </c>
      <c r="L83" t="s">
        <v>28</v>
      </c>
      <c r="M83" s="4">
        <v>6</v>
      </c>
      <c r="N83" s="4">
        <v>7</v>
      </c>
      <c r="O83" t="s">
        <v>36</v>
      </c>
      <c r="P83" t="s">
        <v>36</v>
      </c>
      <c r="Q83" s="4">
        <v>539049</v>
      </c>
      <c r="R83" s="4">
        <v>322288</v>
      </c>
      <c r="S83" s="4">
        <f>Table1[[#This Row],[Service_Revenue]]-Table1[[#This Row],[Service_Cost]]</f>
        <v>216761</v>
      </c>
      <c r="T83" s="4">
        <v>4</v>
      </c>
      <c r="U83" s="4">
        <f>IF(AND(Table1[[#This Row],[Rework_Flag]]="Yes",Table1[[#This Row],[Warranty_Claim]]="No"),Table1[[#This Row],[Service_Revenue]],0)</f>
        <v>0</v>
      </c>
      <c r="V83" s="4">
        <f>IF(Table1[[#This Row],[Warranty_Claim]]="Yes",1,0)</f>
        <v>0</v>
      </c>
      <c r="W83" s="4">
        <f>IF(Table1[[#This Row],[Rework_Flag]]="No",1,0)</f>
        <v>1</v>
      </c>
      <c r="X83" s="4">
        <f>IF(Table1[[#This Row],[Rework_Flag]]="Yes",1,0)</f>
        <v>0</v>
      </c>
      <c r="Y83" s="4">
        <v>1</v>
      </c>
      <c r="Z83" s="4" t="str">
        <f>IF(Table1[[#This Row],[TAT_Days]]&gt;Table1[[#This Row],[SLA_TAT]],"Yes","No")</f>
        <v>No</v>
      </c>
      <c r="AA83" s="4" t="str" cm="1">
        <f t="array" ref="AA83">_xlfn.IFS(Table1[[#This Row],[Customer_Satisfaction]]&lt;=2,"Poor",Table1[[#This Row],[Customer_Satisfaction]]=3,"Neutral",Table1[[#This Row],[Customer_Satisfaction]]=4,"Good",Table1[[#This Row],[Customer_Satisfaction]]=5,"Good")</f>
        <v>Good</v>
      </c>
    </row>
    <row r="84" spans="1:27" x14ac:dyDescent="0.35">
      <c r="A84">
        <v>20082</v>
      </c>
      <c r="B84" s="1">
        <v>45328</v>
      </c>
      <c r="C84" t="s">
        <v>37</v>
      </c>
      <c r="D84" t="s">
        <v>64</v>
      </c>
      <c r="E84" t="s">
        <v>72</v>
      </c>
      <c r="F84" t="s">
        <v>40</v>
      </c>
      <c r="G84" t="s">
        <v>41</v>
      </c>
      <c r="H84" t="s">
        <v>42</v>
      </c>
      <c r="I84" t="s">
        <v>55</v>
      </c>
      <c r="J84" t="s">
        <v>58</v>
      </c>
      <c r="K84" t="s">
        <v>27</v>
      </c>
      <c r="L84" t="s">
        <v>49</v>
      </c>
      <c r="M84" s="4">
        <v>19</v>
      </c>
      <c r="N84" s="4">
        <v>7</v>
      </c>
      <c r="O84" t="s">
        <v>29</v>
      </c>
      <c r="P84" t="s">
        <v>36</v>
      </c>
      <c r="Q84" s="4">
        <v>485965</v>
      </c>
      <c r="R84" s="4">
        <v>378097</v>
      </c>
      <c r="S84" s="4">
        <f>Table1[[#This Row],[Service_Revenue]]-Table1[[#This Row],[Service_Cost]]</f>
        <v>107868</v>
      </c>
      <c r="T84" s="4">
        <v>1</v>
      </c>
      <c r="U84" s="4">
        <f>IF(AND(Table1[[#This Row],[Rework_Flag]]="Yes",Table1[[#This Row],[Warranty_Claim]]="No"),Table1[[#This Row],[Service_Revenue]],0)</f>
        <v>485965</v>
      </c>
      <c r="V84" s="4">
        <f>IF(Table1[[#This Row],[Warranty_Claim]]="Yes",1,0)</f>
        <v>0</v>
      </c>
      <c r="W84" s="4">
        <f>IF(Table1[[#This Row],[Rework_Flag]]="No",1,0)</f>
        <v>0</v>
      </c>
      <c r="X84" s="4">
        <f>IF(Table1[[#This Row],[Rework_Flag]]="Yes",1,0)</f>
        <v>1</v>
      </c>
      <c r="Y84" s="4">
        <v>1</v>
      </c>
      <c r="Z84" s="4" t="str">
        <f>IF(Table1[[#This Row],[TAT_Days]]&gt;Table1[[#This Row],[SLA_TAT]],"Yes","No")</f>
        <v>Yes</v>
      </c>
      <c r="AA84" s="4" t="str" cm="1">
        <f t="array" ref="AA84">_xlfn.IFS(Table1[[#This Row],[Customer_Satisfaction]]&lt;=2,"Poor",Table1[[#This Row],[Customer_Satisfaction]]=3,"Neutral",Table1[[#This Row],[Customer_Satisfaction]]=4,"Good",Table1[[#This Row],[Customer_Satisfaction]]=5,"Good")</f>
        <v>Poor</v>
      </c>
    </row>
    <row r="85" spans="1:27" x14ac:dyDescent="0.35">
      <c r="A85">
        <v>20083</v>
      </c>
      <c r="B85" s="1">
        <v>45353</v>
      </c>
      <c r="C85" t="s">
        <v>30</v>
      </c>
      <c r="D85" t="s">
        <v>83</v>
      </c>
      <c r="E85" t="s">
        <v>95</v>
      </c>
      <c r="F85" t="s">
        <v>53</v>
      </c>
      <c r="G85" t="s">
        <v>33</v>
      </c>
      <c r="H85" t="s">
        <v>34</v>
      </c>
      <c r="I85" t="s">
        <v>55</v>
      </c>
      <c r="J85" t="s">
        <v>67</v>
      </c>
      <c r="K85" t="s">
        <v>27</v>
      </c>
      <c r="L85" t="s">
        <v>28</v>
      </c>
      <c r="M85" s="4">
        <v>21</v>
      </c>
      <c r="N85" s="4">
        <v>7</v>
      </c>
      <c r="O85" t="s">
        <v>29</v>
      </c>
      <c r="P85" t="s">
        <v>36</v>
      </c>
      <c r="Q85" s="4">
        <v>485915</v>
      </c>
      <c r="R85" s="4">
        <v>392971</v>
      </c>
      <c r="S85" s="4">
        <f>Table1[[#This Row],[Service_Revenue]]-Table1[[#This Row],[Service_Cost]]</f>
        <v>92944</v>
      </c>
      <c r="T85" s="4">
        <v>1</v>
      </c>
      <c r="U85" s="4">
        <f>IF(AND(Table1[[#This Row],[Rework_Flag]]="Yes",Table1[[#This Row],[Warranty_Claim]]="No"),Table1[[#This Row],[Service_Revenue]],0)</f>
        <v>485915</v>
      </c>
      <c r="V85" s="4">
        <f>IF(Table1[[#This Row],[Warranty_Claim]]="Yes",1,0)</f>
        <v>0</v>
      </c>
      <c r="W85" s="4">
        <f>IF(Table1[[#This Row],[Rework_Flag]]="No",1,0)</f>
        <v>0</v>
      </c>
      <c r="X85" s="4">
        <f>IF(Table1[[#This Row],[Rework_Flag]]="Yes",1,0)</f>
        <v>1</v>
      </c>
      <c r="Y85" s="4">
        <v>1</v>
      </c>
      <c r="Z85" s="4" t="str">
        <f>IF(Table1[[#This Row],[TAT_Days]]&gt;Table1[[#This Row],[SLA_TAT]],"Yes","No")</f>
        <v>Yes</v>
      </c>
      <c r="AA85" s="4" t="str" cm="1">
        <f t="array" ref="AA85">_xlfn.IFS(Table1[[#This Row],[Customer_Satisfaction]]&lt;=2,"Poor",Table1[[#This Row],[Customer_Satisfaction]]=3,"Neutral",Table1[[#This Row],[Customer_Satisfaction]]=4,"Good",Table1[[#This Row],[Customer_Satisfaction]]=5,"Good")</f>
        <v>Poor</v>
      </c>
    </row>
    <row r="86" spans="1:27" x14ac:dyDescent="0.35">
      <c r="A86">
        <v>20084</v>
      </c>
      <c r="B86" s="1">
        <v>45304</v>
      </c>
      <c r="C86" t="s">
        <v>19</v>
      </c>
      <c r="D86" t="s">
        <v>96</v>
      </c>
      <c r="E86" t="s">
        <v>108</v>
      </c>
      <c r="F86" t="s">
        <v>53</v>
      </c>
      <c r="G86" t="s">
        <v>54</v>
      </c>
      <c r="H86" t="s">
        <v>42</v>
      </c>
      <c r="I86" t="s">
        <v>55</v>
      </c>
      <c r="J86" t="s">
        <v>26</v>
      </c>
      <c r="K86" t="s">
        <v>27</v>
      </c>
      <c r="L86" t="s">
        <v>28</v>
      </c>
      <c r="M86" s="4">
        <v>21</v>
      </c>
      <c r="N86" s="4">
        <v>7</v>
      </c>
      <c r="O86" t="s">
        <v>29</v>
      </c>
      <c r="P86" t="s">
        <v>36</v>
      </c>
      <c r="Q86" s="4">
        <v>508064</v>
      </c>
      <c r="R86" s="4">
        <v>353554</v>
      </c>
      <c r="S86" s="4">
        <f>Table1[[#This Row],[Service_Revenue]]-Table1[[#This Row],[Service_Cost]]</f>
        <v>154510</v>
      </c>
      <c r="T86" s="4">
        <v>1</v>
      </c>
      <c r="U86" s="4">
        <f>IF(AND(Table1[[#This Row],[Rework_Flag]]="Yes",Table1[[#This Row],[Warranty_Claim]]="No"),Table1[[#This Row],[Service_Revenue]],0)</f>
        <v>508064</v>
      </c>
      <c r="V86" s="4">
        <f>IF(Table1[[#This Row],[Warranty_Claim]]="Yes",1,0)</f>
        <v>0</v>
      </c>
      <c r="W86" s="4">
        <f>IF(Table1[[#This Row],[Rework_Flag]]="No",1,0)</f>
        <v>0</v>
      </c>
      <c r="X86" s="4">
        <f>IF(Table1[[#This Row],[Rework_Flag]]="Yes",1,0)</f>
        <v>1</v>
      </c>
      <c r="Y86" s="4">
        <v>1</v>
      </c>
      <c r="Z86" s="4" t="str">
        <f>IF(Table1[[#This Row],[TAT_Days]]&gt;Table1[[#This Row],[SLA_TAT]],"Yes","No")</f>
        <v>Yes</v>
      </c>
      <c r="AA86" s="4" t="str" cm="1">
        <f t="array" ref="AA86">_xlfn.IFS(Table1[[#This Row],[Customer_Satisfaction]]&lt;=2,"Poor",Table1[[#This Row],[Customer_Satisfaction]]=3,"Neutral",Table1[[#This Row],[Customer_Satisfaction]]=4,"Good",Table1[[#This Row],[Customer_Satisfaction]]=5,"Good")</f>
        <v>Poor</v>
      </c>
    </row>
    <row r="87" spans="1:27" x14ac:dyDescent="0.35">
      <c r="A87">
        <v>20085</v>
      </c>
      <c r="B87" s="1">
        <v>45304</v>
      </c>
      <c r="C87" t="s">
        <v>50</v>
      </c>
      <c r="D87" t="s">
        <v>56</v>
      </c>
      <c r="E87" t="s">
        <v>88</v>
      </c>
      <c r="F87" t="s">
        <v>22</v>
      </c>
      <c r="G87" t="s">
        <v>63</v>
      </c>
      <c r="H87" t="s">
        <v>24</v>
      </c>
      <c r="I87" t="s">
        <v>25</v>
      </c>
      <c r="J87" t="s">
        <v>67</v>
      </c>
      <c r="K87" t="s">
        <v>61</v>
      </c>
      <c r="L87" t="s">
        <v>28</v>
      </c>
      <c r="M87" s="4">
        <v>23</v>
      </c>
      <c r="N87" s="4">
        <v>7</v>
      </c>
      <c r="O87" t="s">
        <v>36</v>
      </c>
      <c r="P87" t="s">
        <v>36</v>
      </c>
      <c r="Q87" s="4">
        <v>129587</v>
      </c>
      <c r="R87" s="4">
        <v>78356</v>
      </c>
      <c r="S87" s="4">
        <f>Table1[[#This Row],[Service_Revenue]]-Table1[[#This Row],[Service_Cost]]</f>
        <v>51231</v>
      </c>
      <c r="T87" s="4">
        <v>1</v>
      </c>
      <c r="U87" s="4">
        <f>IF(AND(Table1[[#This Row],[Rework_Flag]]="Yes",Table1[[#This Row],[Warranty_Claim]]="No"),Table1[[#This Row],[Service_Revenue]],0)</f>
        <v>0</v>
      </c>
      <c r="V87" s="4">
        <f>IF(Table1[[#This Row],[Warranty_Claim]]="Yes",1,0)</f>
        <v>0</v>
      </c>
      <c r="W87" s="4">
        <f>IF(Table1[[#This Row],[Rework_Flag]]="No",1,0)</f>
        <v>1</v>
      </c>
      <c r="X87" s="4">
        <f>IF(Table1[[#This Row],[Rework_Flag]]="Yes",1,0)</f>
        <v>0</v>
      </c>
      <c r="Y87" s="4">
        <v>1</v>
      </c>
      <c r="Z87" s="4" t="str">
        <f>IF(Table1[[#This Row],[TAT_Days]]&gt;Table1[[#This Row],[SLA_TAT]],"Yes","No")</f>
        <v>Yes</v>
      </c>
      <c r="AA87" s="4" t="str" cm="1">
        <f t="array" ref="AA87">_xlfn.IFS(Table1[[#This Row],[Customer_Satisfaction]]&lt;=2,"Poor",Table1[[#This Row],[Customer_Satisfaction]]=3,"Neutral",Table1[[#This Row],[Customer_Satisfaction]]=4,"Good",Table1[[#This Row],[Customer_Satisfaction]]=5,"Good")</f>
        <v>Poor</v>
      </c>
    </row>
    <row r="88" spans="1:27" x14ac:dyDescent="0.35">
      <c r="A88">
        <v>20086</v>
      </c>
      <c r="B88" s="1">
        <v>45380</v>
      </c>
      <c r="C88" t="s">
        <v>50</v>
      </c>
      <c r="D88" t="s">
        <v>51</v>
      </c>
      <c r="E88" t="s">
        <v>52</v>
      </c>
      <c r="F88" t="s">
        <v>53</v>
      </c>
      <c r="G88" t="s">
        <v>74</v>
      </c>
      <c r="H88" t="s">
        <v>34</v>
      </c>
      <c r="I88" t="s">
        <v>25</v>
      </c>
      <c r="J88" t="s">
        <v>26</v>
      </c>
      <c r="K88" t="s">
        <v>27</v>
      </c>
      <c r="L88" t="s">
        <v>49</v>
      </c>
      <c r="M88" s="4">
        <v>17</v>
      </c>
      <c r="N88" s="4">
        <v>7</v>
      </c>
      <c r="O88" t="s">
        <v>29</v>
      </c>
      <c r="P88" t="s">
        <v>36</v>
      </c>
      <c r="Q88" s="4">
        <v>476988</v>
      </c>
      <c r="R88" s="4">
        <v>251328</v>
      </c>
      <c r="S88" s="4">
        <f>Table1[[#This Row],[Service_Revenue]]-Table1[[#This Row],[Service_Cost]]</f>
        <v>225660</v>
      </c>
      <c r="T88" s="4">
        <v>1</v>
      </c>
      <c r="U88" s="4">
        <f>IF(AND(Table1[[#This Row],[Rework_Flag]]="Yes",Table1[[#This Row],[Warranty_Claim]]="No"),Table1[[#This Row],[Service_Revenue]],0)</f>
        <v>476988</v>
      </c>
      <c r="V88" s="4">
        <f>IF(Table1[[#This Row],[Warranty_Claim]]="Yes",1,0)</f>
        <v>0</v>
      </c>
      <c r="W88" s="4">
        <f>IF(Table1[[#This Row],[Rework_Flag]]="No",1,0)</f>
        <v>0</v>
      </c>
      <c r="X88" s="4">
        <f>IF(Table1[[#This Row],[Rework_Flag]]="Yes",1,0)</f>
        <v>1</v>
      </c>
      <c r="Y88" s="4">
        <v>1</v>
      </c>
      <c r="Z88" s="4" t="str">
        <f>IF(Table1[[#This Row],[TAT_Days]]&gt;Table1[[#This Row],[SLA_TAT]],"Yes","No")</f>
        <v>Yes</v>
      </c>
      <c r="AA88" s="4" t="str" cm="1">
        <f t="array" ref="AA88">_xlfn.IFS(Table1[[#This Row],[Customer_Satisfaction]]&lt;=2,"Poor",Table1[[#This Row],[Customer_Satisfaction]]=3,"Neutral",Table1[[#This Row],[Customer_Satisfaction]]=4,"Good",Table1[[#This Row],[Customer_Satisfaction]]=5,"Good")</f>
        <v>Poor</v>
      </c>
    </row>
    <row r="89" spans="1:27" x14ac:dyDescent="0.35">
      <c r="A89">
        <v>20087</v>
      </c>
      <c r="B89" s="1">
        <v>45327</v>
      </c>
      <c r="C89" t="s">
        <v>30</v>
      </c>
      <c r="D89" t="s">
        <v>31</v>
      </c>
      <c r="E89" t="s">
        <v>32</v>
      </c>
      <c r="F89" t="s">
        <v>22</v>
      </c>
      <c r="G89" t="s">
        <v>23</v>
      </c>
      <c r="H89" t="s">
        <v>24</v>
      </c>
      <c r="I89" t="s">
        <v>55</v>
      </c>
      <c r="J89" t="s">
        <v>67</v>
      </c>
      <c r="K89" t="s">
        <v>27</v>
      </c>
      <c r="L89" t="s">
        <v>28</v>
      </c>
      <c r="M89" s="4">
        <v>5</v>
      </c>
      <c r="N89" s="4">
        <v>7</v>
      </c>
      <c r="O89" t="s">
        <v>36</v>
      </c>
      <c r="P89" t="s">
        <v>36</v>
      </c>
      <c r="Q89" s="4">
        <v>385029</v>
      </c>
      <c r="R89" s="4">
        <v>259853</v>
      </c>
      <c r="S89" s="4">
        <f>Table1[[#This Row],[Service_Revenue]]-Table1[[#This Row],[Service_Cost]]</f>
        <v>125176</v>
      </c>
      <c r="T89" s="4">
        <v>4</v>
      </c>
      <c r="U89" s="4">
        <f>IF(AND(Table1[[#This Row],[Rework_Flag]]="Yes",Table1[[#This Row],[Warranty_Claim]]="No"),Table1[[#This Row],[Service_Revenue]],0)</f>
        <v>0</v>
      </c>
      <c r="V89" s="4">
        <f>IF(Table1[[#This Row],[Warranty_Claim]]="Yes",1,0)</f>
        <v>0</v>
      </c>
      <c r="W89" s="4">
        <f>IF(Table1[[#This Row],[Rework_Flag]]="No",1,0)</f>
        <v>1</v>
      </c>
      <c r="X89" s="4">
        <f>IF(Table1[[#This Row],[Rework_Flag]]="Yes",1,0)</f>
        <v>0</v>
      </c>
      <c r="Y89" s="4">
        <v>1</v>
      </c>
      <c r="Z89" s="4" t="str">
        <f>IF(Table1[[#This Row],[TAT_Days]]&gt;Table1[[#This Row],[SLA_TAT]],"Yes","No")</f>
        <v>No</v>
      </c>
      <c r="AA89" s="4" t="str" cm="1">
        <f t="array" ref="AA89">_xlfn.IFS(Table1[[#This Row],[Customer_Satisfaction]]&lt;=2,"Poor",Table1[[#This Row],[Customer_Satisfaction]]=3,"Neutral",Table1[[#This Row],[Customer_Satisfaction]]=4,"Good",Table1[[#This Row],[Customer_Satisfaction]]=5,"Good")</f>
        <v>Good</v>
      </c>
    </row>
    <row r="90" spans="1:27" x14ac:dyDescent="0.35">
      <c r="A90">
        <v>20088</v>
      </c>
      <c r="B90" s="1">
        <v>45388</v>
      </c>
      <c r="C90" t="s">
        <v>30</v>
      </c>
      <c r="D90" t="s">
        <v>31</v>
      </c>
      <c r="E90" t="s">
        <v>106</v>
      </c>
      <c r="F90" t="s">
        <v>53</v>
      </c>
      <c r="G90" t="s">
        <v>54</v>
      </c>
      <c r="H90" t="s">
        <v>42</v>
      </c>
      <c r="I90" t="s">
        <v>25</v>
      </c>
      <c r="J90" t="s">
        <v>35</v>
      </c>
      <c r="K90" t="s">
        <v>44</v>
      </c>
      <c r="L90" t="s">
        <v>49</v>
      </c>
      <c r="M90" s="4">
        <v>5</v>
      </c>
      <c r="N90" s="4">
        <v>7</v>
      </c>
      <c r="O90" t="s">
        <v>29</v>
      </c>
      <c r="P90" t="s">
        <v>36</v>
      </c>
      <c r="Q90" s="4">
        <v>563610</v>
      </c>
      <c r="R90" s="4">
        <v>451449</v>
      </c>
      <c r="S90" s="4">
        <f>Table1[[#This Row],[Service_Revenue]]-Table1[[#This Row],[Service_Cost]]</f>
        <v>112161</v>
      </c>
      <c r="T90" s="4">
        <v>3</v>
      </c>
      <c r="U90" s="4">
        <f>IF(AND(Table1[[#This Row],[Rework_Flag]]="Yes",Table1[[#This Row],[Warranty_Claim]]="No"),Table1[[#This Row],[Service_Revenue]],0)</f>
        <v>563610</v>
      </c>
      <c r="V90" s="4">
        <f>IF(Table1[[#This Row],[Warranty_Claim]]="Yes",1,0)</f>
        <v>0</v>
      </c>
      <c r="W90" s="4">
        <f>IF(Table1[[#This Row],[Rework_Flag]]="No",1,0)</f>
        <v>0</v>
      </c>
      <c r="X90" s="4">
        <f>IF(Table1[[#This Row],[Rework_Flag]]="Yes",1,0)</f>
        <v>1</v>
      </c>
      <c r="Y90" s="4">
        <v>1</v>
      </c>
      <c r="Z90" s="4" t="str">
        <f>IF(Table1[[#This Row],[TAT_Days]]&gt;Table1[[#This Row],[SLA_TAT]],"Yes","No")</f>
        <v>No</v>
      </c>
      <c r="AA90" s="4" t="str" cm="1">
        <f t="array" ref="AA90">_xlfn.IFS(Table1[[#This Row],[Customer_Satisfaction]]&lt;=2,"Poor",Table1[[#This Row],[Customer_Satisfaction]]=3,"Neutral",Table1[[#This Row],[Customer_Satisfaction]]=4,"Good",Table1[[#This Row],[Customer_Satisfaction]]=5,"Good")</f>
        <v>Neutral</v>
      </c>
    </row>
    <row r="91" spans="1:27" x14ac:dyDescent="0.35">
      <c r="A91">
        <v>20089</v>
      </c>
      <c r="B91" s="1">
        <v>45452</v>
      </c>
      <c r="C91" t="s">
        <v>19</v>
      </c>
      <c r="D91" t="s">
        <v>96</v>
      </c>
      <c r="E91" t="s">
        <v>109</v>
      </c>
      <c r="F91" t="s">
        <v>40</v>
      </c>
      <c r="G91" t="s">
        <v>33</v>
      </c>
      <c r="H91" t="s">
        <v>34</v>
      </c>
      <c r="I91" t="s">
        <v>55</v>
      </c>
      <c r="J91" t="s">
        <v>58</v>
      </c>
      <c r="K91" t="s">
        <v>44</v>
      </c>
      <c r="L91" t="s">
        <v>49</v>
      </c>
      <c r="M91" s="4">
        <v>17</v>
      </c>
      <c r="N91" s="4">
        <v>7</v>
      </c>
      <c r="O91" t="s">
        <v>29</v>
      </c>
      <c r="P91" t="s">
        <v>29</v>
      </c>
      <c r="Q91" s="4">
        <v>278414</v>
      </c>
      <c r="R91" s="4">
        <v>193492</v>
      </c>
      <c r="S91" s="4">
        <f>Table1[[#This Row],[Service_Revenue]]-Table1[[#This Row],[Service_Cost]]</f>
        <v>84922</v>
      </c>
      <c r="T91" s="4">
        <v>1</v>
      </c>
      <c r="U91" s="4">
        <f>IF(AND(Table1[[#This Row],[Rework_Flag]]="Yes",Table1[[#This Row],[Warranty_Claim]]="No"),Table1[[#This Row],[Service_Revenue]],0)</f>
        <v>0</v>
      </c>
      <c r="V91" s="4">
        <f>IF(Table1[[#This Row],[Warranty_Claim]]="Yes",1,0)</f>
        <v>1</v>
      </c>
      <c r="W91" s="4">
        <f>IF(Table1[[#This Row],[Rework_Flag]]="No",1,0)</f>
        <v>0</v>
      </c>
      <c r="X91" s="4">
        <f>IF(Table1[[#This Row],[Rework_Flag]]="Yes",1,0)</f>
        <v>1</v>
      </c>
      <c r="Y91" s="4">
        <v>1</v>
      </c>
      <c r="Z91" s="4" t="str">
        <f>IF(Table1[[#This Row],[TAT_Days]]&gt;Table1[[#This Row],[SLA_TAT]],"Yes","No")</f>
        <v>Yes</v>
      </c>
      <c r="AA91" s="4" t="str" cm="1">
        <f t="array" ref="AA91">_xlfn.IFS(Table1[[#This Row],[Customer_Satisfaction]]&lt;=2,"Poor",Table1[[#This Row],[Customer_Satisfaction]]=3,"Neutral",Table1[[#This Row],[Customer_Satisfaction]]=4,"Good",Table1[[#This Row],[Customer_Satisfaction]]=5,"Good")</f>
        <v>Poor</v>
      </c>
    </row>
    <row r="92" spans="1:27" x14ac:dyDescent="0.35">
      <c r="A92">
        <v>20090</v>
      </c>
      <c r="B92" s="1">
        <v>45424</v>
      </c>
      <c r="C92" t="s">
        <v>19</v>
      </c>
      <c r="D92" t="s">
        <v>20</v>
      </c>
      <c r="E92" t="s">
        <v>21</v>
      </c>
      <c r="F92" t="s">
        <v>22</v>
      </c>
      <c r="G92" t="s">
        <v>41</v>
      </c>
      <c r="H92" t="s">
        <v>42</v>
      </c>
      <c r="I92" t="s">
        <v>55</v>
      </c>
      <c r="J92" t="s">
        <v>67</v>
      </c>
      <c r="K92" t="s">
        <v>61</v>
      </c>
      <c r="L92" t="s">
        <v>28</v>
      </c>
      <c r="M92" s="4">
        <v>5</v>
      </c>
      <c r="N92" s="4">
        <v>7</v>
      </c>
      <c r="O92" t="s">
        <v>29</v>
      </c>
      <c r="P92" t="s">
        <v>36</v>
      </c>
      <c r="Q92" s="4">
        <v>582392</v>
      </c>
      <c r="R92" s="4">
        <v>382840</v>
      </c>
      <c r="S92" s="4">
        <f>Table1[[#This Row],[Service_Revenue]]-Table1[[#This Row],[Service_Cost]]</f>
        <v>199552</v>
      </c>
      <c r="T92" s="4">
        <v>3</v>
      </c>
      <c r="U92" s="4">
        <f>IF(AND(Table1[[#This Row],[Rework_Flag]]="Yes",Table1[[#This Row],[Warranty_Claim]]="No"),Table1[[#This Row],[Service_Revenue]],0)</f>
        <v>582392</v>
      </c>
      <c r="V92" s="4">
        <f>IF(Table1[[#This Row],[Warranty_Claim]]="Yes",1,0)</f>
        <v>0</v>
      </c>
      <c r="W92" s="4">
        <f>IF(Table1[[#This Row],[Rework_Flag]]="No",1,0)</f>
        <v>0</v>
      </c>
      <c r="X92" s="4">
        <f>IF(Table1[[#This Row],[Rework_Flag]]="Yes",1,0)</f>
        <v>1</v>
      </c>
      <c r="Y92" s="4">
        <v>1</v>
      </c>
      <c r="Z92" s="4" t="str">
        <f>IF(Table1[[#This Row],[TAT_Days]]&gt;Table1[[#This Row],[SLA_TAT]],"Yes","No")</f>
        <v>No</v>
      </c>
      <c r="AA92" s="4" t="str" cm="1">
        <f t="array" ref="AA92">_xlfn.IFS(Table1[[#This Row],[Customer_Satisfaction]]&lt;=2,"Poor",Table1[[#This Row],[Customer_Satisfaction]]=3,"Neutral",Table1[[#This Row],[Customer_Satisfaction]]=4,"Good",Table1[[#This Row],[Customer_Satisfaction]]=5,"Good")</f>
        <v>Neutral</v>
      </c>
    </row>
    <row r="93" spans="1:27" x14ac:dyDescent="0.35">
      <c r="A93">
        <v>20091</v>
      </c>
      <c r="B93" s="1">
        <v>45377</v>
      </c>
      <c r="C93" t="s">
        <v>30</v>
      </c>
      <c r="D93" t="s">
        <v>31</v>
      </c>
      <c r="E93" t="s">
        <v>62</v>
      </c>
      <c r="F93" t="s">
        <v>40</v>
      </c>
      <c r="G93" t="s">
        <v>23</v>
      </c>
      <c r="H93" t="s">
        <v>24</v>
      </c>
      <c r="I93" t="s">
        <v>25</v>
      </c>
      <c r="J93" t="s">
        <v>58</v>
      </c>
      <c r="K93" t="s">
        <v>44</v>
      </c>
      <c r="L93" t="s">
        <v>49</v>
      </c>
      <c r="M93" s="4">
        <v>6</v>
      </c>
      <c r="N93" s="4">
        <v>7</v>
      </c>
      <c r="O93" t="s">
        <v>29</v>
      </c>
      <c r="P93" t="s">
        <v>29</v>
      </c>
      <c r="Q93" s="4">
        <v>271077</v>
      </c>
      <c r="R93" s="4">
        <v>162292</v>
      </c>
      <c r="S93" s="4">
        <f>Table1[[#This Row],[Service_Revenue]]-Table1[[#This Row],[Service_Cost]]</f>
        <v>108785</v>
      </c>
      <c r="T93" s="4">
        <v>3</v>
      </c>
      <c r="U93" s="4">
        <f>IF(AND(Table1[[#This Row],[Rework_Flag]]="Yes",Table1[[#This Row],[Warranty_Claim]]="No"),Table1[[#This Row],[Service_Revenue]],0)</f>
        <v>0</v>
      </c>
      <c r="V93" s="4">
        <f>IF(Table1[[#This Row],[Warranty_Claim]]="Yes",1,0)</f>
        <v>1</v>
      </c>
      <c r="W93" s="4">
        <f>IF(Table1[[#This Row],[Rework_Flag]]="No",1,0)</f>
        <v>0</v>
      </c>
      <c r="X93" s="4">
        <f>IF(Table1[[#This Row],[Rework_Flag]]="Yes",1,0)</f>
        <v>1</v>
      </c>
      <c r="Y93" s="4">
        <v>1</v>
      </c>
      <c r="Z93" s="4" t="str">
        <f>IF(Table1[[#This Row],[TAT_Days]]&gt;Table1[[#This Row],[SLA_TAT]],"Yes","No")</f>
        <v>No</v>
      </c>
      <c r="AA93" s="4" t="str" cm="1">
        <f t="array" ref="AA93">_xlfn.IFS(Table1[[#This Row],[Customer_Satisfaction]]&lt;=2,"Poor",Table1[[#This Row],[Customer_Satisfaction]]=3,"Neutral",Table1[[#This Row],[Customer_Satisfaction]]=4,"Good",Table1[[#This Row],[Customer_Satisfaction]]=5,"Good")</f>
        <v>Neutral</v>
      </c>
    </row>
    <row r="94" spans="1:27" x14ac:dyDescent="0.35">
      <c r="A94">
        <v>20092</v>
      </c>
      <c r="B94" s="1">
        <v>45443</v>
      </c>
      <c r="C94" t="s">
        <v>50</v>
      </c>
      <c r="D94" t="s">
        <v>80</v>
      </c>
      <c r="E94" t="s">
        <v>104</v>
      </c>
      <c r="F94" t="s">
        <v>53</v>
      </c>
      <c r="G94" t="s">
        <v>33</v>
      </c>
      <c r="H94" t="s">
        <v>34</v>
      </c>
      <c r="I94" t="s">
        <v>25</v>
      </c>
      <c r="J94" t="s">
        <v>35</v>
      </c>
      <c r="K94" t="s">
        <v>61</v>
      </c>
      <c r="L94" t="s">
        <v>49</v>
      </c>
      <c r="M94" s="4">
        <v>8</v>
      </c>
      <c r="N94" s="4">
        <v>7</v>
      </c>
      <c r="O94" t="s">
        <v>36</v>
      </c>
      <c r="P94" t="s">
        <v>36</v>
      </c>
      <c r="Q94" s="4">
        <v>486654</v>
      </c>
      <c r="R94" s="4">
        <v>383210</v>
      </c>
      <c r="S94" s="4">
        <f>Table1[[#This Row],[Service_Revenue]]-Table1[[#This Row],[Service_Cost]]</f>
        <v>103444</v>
      </c>
      <c r="T94" s="4">
        <v>4</v>
      </c>
      <c r="U94" s="4">
        <f>IF(AND(Table1[[#This Row],[Rework_Flag]]="Yes",Table1[[#This Row],[Warranty_Claim]]="No"),Table1[[#This Row],[Service_Revenue]],0)</f>
        <v>0</v>
      </c>
      <c r="V94" s="4">
        <f>IF(Table1[[#This Row],[Warranty_Claim]]="Yes",1,0)</f>
        <v>0</v>
      </c>
      <c r="W94" s="4">
        <f>IF(Table1[[#This Row],[Rework_Flag]]="No",1,0)</f>
        <v>1</v>
      </c>
      <c r="X94" s="4">
        <f>IF(Table1[[#This Row],[Rework_Flag]]="Yes",1,0)</f>
        <v>0</v>
      </c>
      <c r="Y94" s="4">
        <v>1</v>
      </c>
      <c r="Z94" s="4" t="str">
        <f>IF(Table1[[#This Row],[TAT_Days]]&gt;Table1[[#This Row],[SLA_TAT]],"Yes","No")</f>
        <v>Yes</v>
      </c>
      <c r="AA94" s="4" t="str" cm="1">
        <f t="array" ref="AA94">_xlfn.IFS(Table1[[#This Row],[Customer_Satisfaction]]&lt;=2,"Poor",Table1[[#This Row],[Customer_Satisfaction]]=3,"Neutral",Table1[[#This Row],[Customer_Satisfaction]]=4,"Good",Table1[[#This Row],[Customer_Satisfaction]]=5,"Good")</f>
        <v>Good</v>
      </c>
    </row>
    <row r="95" spans="1:27" x14ac:dyDescent="0.35">
      <c r="A95">
        <v>20093</v>
      </c>
      <c r="B95" s="1">
        <v>45388</v>
      </c>
      <c r="C95" t="s">
        <v>19</v>
      </c>
      <c r="D95" t="s">
        <v>20</v>
      </c>
      <c r="E95" t="s">
        <v>110</v>
      </c>
      <c r="F95" t="s">
        <v>53</v>
      </c>
      <c r="G95" t="s">
        <v>23</v>
      </c>
      <c r="H95" t="s">
        <v>24</v>
      </c>
      <c r="I95" t="s">
        <v>25</v>
      </c>
      <c r="J95" t="s">
        <v>26</v>
      </c>
      <c r="K95" t="s">
        <v>61</v>
      </c>
      <c r="L95" t="s">
        <v>28</v>
      </c>
      <c r="M95" s="4">
        <v>24</v>
      </c>
      <c r="N95" s="4">
        <v>7</v>
      </c>
      <c r="O95" t="s">
        <v>36</v>
      </c>
      <c r="P95" t="s">
        <v>36</v>
      </c>
      <c r="Q95" s="4">
        <v>581385</v>
      </c>
      <c r="R95" s="4">
        <v>353930</v>
      </c>
      <c r="S95" s="4">
        <f>Table1[[#This Row],[Service_Revenue]]-Table1[[#This Row],[Service_Cost]]</f>
        <v>227455</v>
      </c>
      <c r="T95" s="4">
        <v>1</v>
      </c>
      <c r="U95" s="4">
        <f>IF(AND(Table1[[#This Row],[Rework_Flag]]="Yes",Table1[[#This Row],[Warranty_Claim]]="No"),Table1[[#This Row],[Service_Revenue]],0)</f>
        <v>0</v>
      </c>
      <c r="V95" s="4">
        <f>IF(Table1[[#This Row],[Warranty_Claim]]="Yes",1,0)</f>
        <v>0</v>
      </c>
      <c r="W95" s="4">
        <f>IF(Table1[[#This Row],[Rework_Flag]]="No",1,0)</f>
        <v>1</v>
      </c>
      <c r="X95" s="4">
        <f>IF(Table1[[#This Row],[Rework_Flag]]="Yes",1,0)</f>
        <v>0</v>
      </c>
      <c r="Y95" s="4">
        <v>1</v>
      </c>
      <c r="Z95" s="4" t="str">
        <f>IF(Table1[[#This Row],[TAT_Days]]&gt;Table1[[#This Row],[SLA_TAT]],"Yes","No")</f>
        <v>Yes</v>
      </c>
      <c r="AA95" s="4" t="str" cm="1">
        <f t="array" ref="AA95">_xlfn.IFS(Table1[[#This Row],[Customer_Satisfaction]]&lt;=2,"Poor",Table1[[#This Row],[Customer_Satisfaction]]=3,"Neutral",Table1[[#This Row],[Customer_Satisfaction]]=4,"Good",Table1[[#This Row],[Customer_Satisfaction]]=5,"Good")</f>
        <v>Poor</v>
      </c>
    </row>
    <row r="96" spans="1:27" x14ac:dyDescent="0.35">
      <c r="A96">
        <v>20094</v>
      </c>
      <c r="B96" s="1">
        <v>45297</v>
      </c>
      <c r="C96" t="s">
        <v>19</v>
      </c>
      <c r="D96" t="s">
        <v>96</v>
      </c>
      <c r="E96" t="s">
        <v>98</v>
      </c>
      <c r="F96" t="s">
        <v>40</v>
      </c>
      <c r="G96" t="s">
        <v>41</v>
      </c>
      <c r="H96" t="s">
        <v>42</v>
      </c>
      <c r="I96" t="s">
        <v>25</v>
      </c>
      <c r="J96" t="s">
        <v>58</v>
      </c>
      <c r="K96" t="s">
        <v>44</v>
      </c>
      <c r="L96" t="s">
        <v>28</v>
      </c>
      <c r="M96" s="4">
        <v>9</v>
      </c>
      <c r="N96" s="4">
        <v>7</v>
      </c>
      <c r="O96" t="s">
        <v>29</v>
      </c>
      <c r="P96" t="s">
        <v>36</v>
      </c>
      <c r="Q96" s="4">
        <v>250844</v>
      </c>
      <c r="R96" s="4">
        <v>163022</v>
      </c>
      <c r="S96" s="4">
        <f>Table1[[#This Row],[Service_Revenue]]-Table1[[#This Row],[Service_Cost]]</f>
        <v>87822</v>
      </c>
      <c r="T96" s="4">
        <v>3</v>
      </c>
      <c r="U96" s="4">
        <f>IF(AND(Table1[[#This Row],[Rework_Flag]]="Yes",Table1[[#This Row],[Warranty_Claim]]="No"),Table1[[#This Row],[Service_Revenue]],0)</f>
        <v>250844</v>
      </c>
      <c r="V96" s="4">
        <f>IF(Table1[[#This Row],[Warranty_Claim]]="Yes",1,0)</f>
        <v>0</v>
      </c>
      <c r="W96" s="4">
        <f>IF(Table1[[#This Row],[Rework_Flag]]="No",1,0)</f>
        <v>0</v>
      </c>
      <c r="X96" s="4">
        <f>IF(Table1[[#This Row],[Rework_Flag]]="Yes",1,0)</f>
        <v>1</v>
      </c>
      <c r="Y96" s="4">
        <v>1</v>
      </c>
      <c r="Z96" s="4" t="str">
        <f>IF(Table1[[#This Row],[TAT_Days]]&gt;Table1[[#This Row],[SLA_TAT]],"Yes","No")</f>
        <v>Yes</v>
      </c>
      <c r="AA96" s="4" t="str" cm="1">
        <f t="array" ref="AA96">_xlfn.IFS(Table1[[#This Row],[Customer_Satisfaction]]&lt;=2,"Poor",Table1[[#This Row],[Customer_Satisfaction]]=3,"Neutral",Table1[[#This Row],[Customer_Satisfaction]]=4,"Good",Table1[[#This Row],[Customer_Satisfaction]]=5,"Good")</f>
        <v>Neutral</v>
      </c>
    </row>
    <row r="97" spans="1:27" x14ac:dyDescent="0.35">
      <c r="A97">
        <v>20095</v>
      </c>
      <c r="B97" s="1">
        <v>45381</v>
      </c>
      <c r="C97" t="s">
        <v>30</v>
      </c>
      <c r="D97" t="s">
        <v>31</v>
      </c>
      <c r="E97" t="s">
        <v>79</v>
      </c>
      <c r="F97" t="s">
        <v>53</v>
      </c>
      <c r="G97" t="s">
        <v>63</v>
      </c>
      <c r="H97" t="s">
        <v>24</v>
      </c>
      <c r="I97" t="s">
        <v>25</v>
      </c>
      <c r="J97" t="s">
        <v>26</v>
      </c>
      <c r="K97" t="s">
        <v>44</v>
      </c>
      <c r="L97" t="s">
        <v>28</v>
      </c>
      <c r="M97" s="4">
        <v>13</v>
      </c>
      <c r="N97" s="4">
        <v>7</v>
      </c>
      <c r="O97" t="s">
        <v>29</v>
      </c>
      <c r="P97" t="s">
        <v>36</v>
      </c>
      <c r="Q97" s="4">
        <v>530472</v>
      </c>
      <c r="R97" s="4">
        <v>428862</v>
      </c>
      <c r="S97" s="4">
        <f>Table1[[#This Row],[Service_Revenue]]-Table1[[#This Row],[Service_Cost]]</f>
        <v>101610</v>
      </c>
      <c r="T97" s="4">
        <v>2</v>
      </c>
      <c r="U97" s="4">
        <f>IF(AND(Table1[[#This Row],[Rework_Flag]]="Yes",Table1[[#This Row],[Warranty_Claim]]="No"),Table1[[#This Row],[Service_Revenue]],0)</f>
        <v>530472</v>
      </c>
      <c r="V97" s="4">
        <f>IF(Table1[[#This Row],[Warranty_Claim]]="Yes",1,0)</f>
        <v>0</v>
      </c>
      <c r="W97" s="4">
        <f>IF(Table1[[#This Row],[Rework_Flag]]="No",1,0)</f>
        <v>0</v>
      </c>
      <c r="X97" s="4">
        <f>IF(Table1[[#This Row],[Rework_Flag]]="Yes",1,0)</f>
        <v>1</v>
      </c>
      <c r="Y97" s="4">
        <v>1</v>
      </c>
      <c r="Z97" s="4" t="str">
        <f>IF(Table1[[#This Row],[TAT_Days]]&gt;Table1[[#This Row],[SLA_TAT]],"Yes","No")</f>
        <v>Yes</v>
      </c>
      <c r="AA97" s="4" t="str" cm="1">
        <f t="array" ref="AA97">_xlfn.IFS(Table1[[#This Row],[Customer_Satisfaction]]&lt;=2,"Poor",Table1[[#This Row],[Customer_Satisfaction]]=3,"Neutral",Table1[[#This Row],[Customer_Satisfaction]]=4,"Good",Table1[[#This Row],[Customer_Satisfaction]]=5,"Good")</f>
        <v>Poor</v>
      </c>
    </row>
    <row r="98" spans="1:27" x14ac:dyDescent="0.35">
      <c r="A98">
        <v>20096</v>
      </c>
      <c r="B98" s="1">
        <v>45455</v>
      </c>
      <c r="C98" t="s">
        <v>19</v>
      </c>
      <c r="D98" t="s">
        <v>45</v>
      </c>
      <c r="E98" t="s">
        <v>111</v>
      </c>
      <c r="F98" t="s">
        <v>22</v>
      </c>
      <c r="G98" t="s">
        <v>23</v>
      </c>
      <c r="H98" t="s">
        <v>24</v>
      </c>
      <c r="I98" t="s">
        <v>55</v>
      </c>
      <c r="J98" t="s">
        <v>26</v>
      </c>
      <c r="K98" t="s">
        <v>61</v>
      </c>
      <c r="L98" t="s">
        <v>49</v>
      </c>
      <c r="M98" s="4">
        <v>15</v>
      </c>
      <c r="N98" s="4">
        <v>7</v>
      </c>
      <c r="O98" t="s">
        <v>29</v>
      </c>
      <c r="P98" t="s">
        <v>36</v>
      </c>
      <c r="Q98" s="4">
        <v>296234</v>
      </c>
      <c r="R98" s="4">
        <v>224123</v>
      </c>
      <c r="S98" s="4">
        <f>Table1[[#This Row],[Service_Revenue]]-Table1[[#This Row],[Service_Cost]]</f>
        <v>72111</v>
      </c>
      <c r="T98" s="4">
        <v>1</v>
      </c>
      <c r="U98" s="4">
        <f>IF(AND(Table1[[#This Row],[Rework_Flag]]="Yes",Table1[[#This Row],[Warranty_Claim]]="No"),Table1[[#This Row],[Service_Revenue]],0)</f>
        <v>296234</v>
      </c>
      <c r="V98" s="4">
        <f>IF(Table1[[#This Row],[Warranty_Claim]]="Yes",1,0)</f>
        <v>0</v>
      </c>
      <c r="W98" s="4">
        <f>IF(Table1[[#This Row],[Rework_Flag]]="No",1,0)</f>
        <v>0</v>
      </c>
      <c r="X98" s="4">
        <f>IF(Table1[[#This Row],[Rework_Flag]]="Yes",1,0)</f>
        <v>1</v>
      </c>
      <c r="Y98" s="4">
        <v>1</v>
      </c>
      <c r="Z98" s="4" t="str">
        <f>IF(Table1[[#This Row],[TAT_Days]]&gt;Table1[[#This Row],[SLA_TAT]],"Yes","No")</f>
        <v>Yes</v>
      </c>
      <c r="AA98" s="4" t="str" cm="1">
        <f t="array" ref="AA98">_xlfn.IFS(Table1[[#This Row],[Customer_Satisfaction]]&lt;=2,"Poor",Table1[[#This Row],[Customer_Satisfaction]]=3,"Neutral",Table1[[#This Row],[Customer_Satisfaction]]=4,"Good",Table1[[#This Row],[Customer_Satisfaction]]=5,"Good")</f>
        <v>Poor</v>
      </c>
    </row>
    <row r="99" spans="1:27" x14ac:dyDescent="0.35">
      <c r="A99">
        <v>20097</v>
      </c>
      <c r="B99" s="1">
        <v>45360</v>
      </c>
      <c r="C99" t="s">
        <v>30</v>
      </c>
      <c r="D99" t="s">
        <v>31</v>
      </c>
      <c r="E99" t="s">
        <v>106</v>
      </c>
      <c r="F99" t="s">
        <v>40</v>
      </c>
      <c r="G99" t="s">
        <v>41</v>
      </c>
      <c r="H99" t="s">
        <v>42</v>
      </c>
      <c r="I99" t="s">
        <v>25</v>
      </c>
      <c r="J99" t="s">
        <v>26</v>
      </c>
      <c r="K99" t="s">
        <v>27</v>
      </c>
      <c r="L99" t="s">
        <v>49</v>
      </c>
      <c r="M99" s="4">
        <v>9</v>
      </c>
      <c r="N99" s="4">
        <v>7</v>
      </c>
      <c r="O99" t="s">
        <v>29</v>
      </c>
      <c r="P99" t="s">
        <v>36</v>
      </c>
      <c r="Q99" s="4">
        <v>99493</v>
      </c>
      <c r="R99" s="4">
        <v>79376</v>
      </c>
      <c r="S99" s="4">
        <f>Table1[[#This Row],[Service_Revenue]]-Table1[[#This Row],[Service_Cost]]</f>
        <v>20117</v>
      </c>
      <c r="T99" s="4">
        <v>3</v>
      </c>
      <c r="U99" s="4">
        <f>IF(AND(Table1[[#This Row],[Rework_Flag]]="Yes",Table1[[#This Row],[Warranty_Claim]]="No"),Table1[[#This Row],[Service_Revenue]],0)</f>
        <v>99493</v>
      </c>
      <c r="V99" s="4">
        <f>IF(Table1[[#This Row],[Warranty_Claim]]="Yes",1,0)</f>
        <v>0</v>
      </c>
      <c r="W99" s="4">
        <f>IF(Table1[[#This Row],[Rework_Flag]]="No",1,0)</f>
        <v>0</v>
      </c>
      <c r="X99" s="4">
        <f>IF(Table1[[#This Row],[Rework_Flag]]="Yes",1,0)</f>
        <v>1</v>
      </c>
      <c r="Y99" s="4">
        <v>1</v>
      </c>
      <c r="Z99" s="4" t="str">
        <f>IF(Table1[[#This Row],[TAT_Days]]&gt;Table1[[#This Row],[SLA_TAT]],"Yes","No")</f>
        <v>Yes</v>
      </c>
      <c r="AA99" s="4" t="str" cm="1">
        <f t="array" ref="AA99">_xlfn.IFS(Table1[[#This Row],[Customer_Satisfaction]]&lt;=2,"Poor",Table1[[#This Row],[Customer_Satisfaction]]=3,"Neutral",Table1[[#This Row],[Customer_Satisfaction]]=4,"Good",Table1[[#This Row],[Customer_Satisfaction]]=5,"Good")</f>
        <v>Neutral</v>
      </c>
    </row>
    <row r="100" spans="1:27" x14ac:dyDescent="0.35">
      <c r="A100">
        <v>20098</v>
      </c>
      <c r="B100" s="1">
        <v>45467</v>
      </c>
      <c r="C100" t="s">
        <v>37</v>
      </c>
      <c r="D100" t="s">
        <v>38</v>
      </c>
      <c r="E100" t="s">
        <v>102</v>
      </c>
      <c r="F100" t="s">
        <v>53</v>
      </c>
      <c r="G100" t="s">
        <v>41</v>
      </c>
      <c r="H100" t="s">
        <v>42</v>
      </c>
      <c r="I100" t="s">
        <v>25</v>
      </c>
      <c r="J100" t="s">
        <v>35</v>
      </c>
      <c r="K100" t="s">
        <v>27</v>
      </c>
      <c r="L100" t="s">
        <v>49</v>
      </c>
      <c r="M100" s="4">
        <v>16</v>
      </c>
      <c r="N100" s="4">
        <v>7</v>
      </c>
      <c r="O100" t="s">
        <v>29</v>
      </c>
      <c r="P100" t="s">
        <v>29</v>
      </c>
      <c r="Q100" s="4">
        <v>120652</v>
      </c>
      <c r="R100" s="4">
        <v>72002</v>
      </c>
      <c r="S100" s="4">
        <f>Table1[[#This Row],[Service_Revenue]]-Table1[[#This Row],[Service_Cost]]</f>
        <v>48650</v>
      </c>
      <c r="T100" s="4">
        <v>1</v>
      </c>
      <c r="U100" s="4">
        <f>IF(AND(Table1[[#This Row],[Rework_Flag]]="Yes",Table1[[#This Row],[Warranty_Claim]]="No"),Table1[[#This Row],[Service_Revenue]],0)</f>
        <v>0</v>
      </c>
      <c r="V100" s="4">
        <f>IF(Table1[[#This Row],[Warranty_Claim]]="Yes",1,0)</f>
        <v>1</v>
      </c>
      <c r="W100" s="4">
        <f>IF(Table1[[#This Row],[Rework_Flag]]="No",1,0)</f>
        <v>0</v>
      </c>
      <c r="X100" s="4">
        <f>IF(Table1[[#This Row],[Rework_Flag]]="Yes",1,0)</f>
        <v>1</v>
      </c>
      <c r="Y100" s="4">
        <v>1</v>
      </c>
      <c r="Z100" s="4" t="str">
        <f>IF(Table1[[#This Row],[TAT_Days]]&gt;Table1[[#This Row],[SLA_TAT]],"Yes","No")</f>
        <v>Yes</v>
      </c>
      <c r="AA100" s="4" t="str" cm="1">
        <f t="array" ref="AA100">_xlfn.IFS(Table1[[#This Row],[Customer_Satisfaction]]&lt;=2,"Poor",Table1[[#This Row],[Customer_Satisfaction]]=3,"Neutral",Table1[[#This Row],[Customer_Satisfaction]]=4,"Good",Table1[[#This Row],[Customer_Satisfaction]]=5,"Good")</f>
        <v>Poor</v>
      </c>
    </row>
    <row r="101" spans="1:27" x14ac:dyDescent="0.35">
      <c r="A101">
        <v>20099</v>
      </c>
      <c r="B101" s="1">
        <v>45428</v>
      </c>
      <c r="C101" t="s">
        <v>19</v>
      </c>
      <c r="D101" t="s">
        <v>20</v>
      </c>
      <c r="E101" t="s">
        <v>21</v>
      </c>
      <c r="F101" t="s">
        <v>40</v>
      </c>
      <c r="G101" t="s">
        <v>41</v>
      </c>
      <c r="H101" t="s">
        <v>42</v>
      </c>
      <c r="I101" t="s">
        <v>25</v>
      </c>
      <c r="J101" t="s">
        <v>43</v>
      </c>
      <c r="K101" t="s">
        <v>27</v>
      </c>
      <c r="L101" t="s">
        <v>28</v>
      </c>
      <c r="M101" s="4">
        <v>23</v>
      </c>
      <c r="N101" s="4">
        <v>7</v>
      </c>
      <c r="O101" t="s">
        <v>29</v>
      </c>
      <c r="P101" t="s">
        <v>29</v>
      </c>
      <c r="Q101" s="4">
        <v>198403</v>
      </c>
      <c r="R101" s="4">
        <v>134244</v>
      </c>
      <c r="S101" s="4">
        <f>Table1[[#This Row],[Service_Revenue]]-Table1[[#This Row],[Service_Cost]]</f>
        <v>64159</v>
      </c>
      <c r="T101" s="4">
        <v>1</v>
      </c>
      <c r="U101" s="4">
        <f>IF(AND(Table1[[#This Row],[Rework_Flag]]="Yes",Table1[[#This Row],[Warranty_Claim]]="No"),Table1[[#This Row],[Service_Revenue]],0)</f>
        <v>0</v>
      </c>
      <c r="V101" s="4">
        <f>IF(Table1[[#This Row],[Warranty_Claim]]="Yes",1,0)</f>
        <v>1</v>
      </c>
      <c r="W101" s="4">
        <f>IF(Table1[[#This Row],[Rework_Flag]]="No",1,0)</f>
        <v>0</v>
      </c>
      <c r="X101" s="4">
        <f>IF(Table1[[#This Row],[Rework_Flag]]="Yes",1,0)</f>
        <v>1</v>
      </c>
      <c r="Y101" s="4">
        <v>1</v>
      </c>
      <c r="Z101" s="4" t="str">
        <f>IF(Table1[[#This Row],[TAT_Days]]&gt;Table1[[#This Row],[SLA_TAT]],"Yes","No")</f>
        <v>Yes</v>
      </c>
      <c r="AA101" s="4" t="str" cm="1">
        <f t="array" ref="AA101">_xlfn.IFS(Table1[[#This Row],[Customer_Satisfaction]]&lt;=2,"Poor",Table1[[#This Row],[Customer_Satisfaction]]=3,"Neutral",Table1[[#This Row],[Customer_Satisfaction]]=4,"Good",Table1[[#This Row],[Customer_Satisfaction]]=5,"Good")</f>
        <v>Poor</v>
      </c>
    </row>
    <row r="102" spans="1:27" x14ac:dyDescent="0.35">
      <c r="A102">
        <v>20100</v>
      </c>
      <c r="B102" s="1">
        <v>45448</v>
      </c>
      <c r="C102" t="s">
        <v>30</v>
      </c>
      <c r="D102" t="s">
        <v>83</v>
      </c>
      <c r="E102" t="s">
        <v>95</v>
      </c>
      <c r="F102" t="s">
        <v>40</v>
      </c>
      <c r="G102" t="s">
        <v>41</v>
      </c>
      <c r="H102" t="s">
        <v>42</v>
      </c>
      <c r="I102" t="s">
        <v>55</v>
      </c>
      <c r="J102" t="s">
        <v>35</v>
      </c>
      <c r="K102" t="s">
        <v>61</v>
      </c>
      <c r="L102" t="s">
        <v>28</v>
      </c>
      <c r="M102" s="4">
        <v>21</v>
      </c>
      <c r="N102" s="4">
        <v>7</v>
      </c>
      <c r="O102" t="s">
        <v>29</v>
      </c>
      <c r="P102" t="s">
        <v>29</v>
      </c>
      <c r="Q102" s="4">
        <v>510257</v>
      </c>
      <c r="R102" s="4">
        <v>432482</v>
      </c>
      <c r="S102" s="4">
        <f>Table1[[#This Row],[Service_Revenue]]-Table1[[#This Row],[Service_Cost]]</f>
        <v>77775</v>
      </c>
      <c r="T102" s="4">
        <v>1</v>
      </c>
      <c r="U102" s="4">
        <f>IF(AND(Table1[[#This Row],[Rework_Flag]]="Yes",Table1[[#This Row],[Warranty_Claim]]="No"),Table1[[#This Row],[Service_Revenue]],0)</f>
        <v>0</v>
      </c>
      <c r="V102" s="4">
        <f>IF(Table1[[#This Row],[Warranty_Claim]]="Yes",1,0)</f>
        <v>1</v>
      </c>
      <c r="W102" s="4">
        <f>IF(Table1[[#This Row],[Rework_Flag]]="No",1,0)</f>
        <v>0</v>
      </c>
      <c r="X102" s="4">
        <f>IF(Table1[[#This Row],[Rework_Flag]]="Yes",1,0)</f>
        <v>1</v>
      </c>
      <c r="Y102" s="4">
        <v>1</v>
      </c>
      <c r="Z102" s="4" t="str">
        <f>IF(Table1[[#This Row],[TAT_Days]]&gt;Table1[[#This Row],[SLA_TAT]],"Yes","No")</f>
        <v>Yes</v>
      </c>
      <c r="AA102" s="4" t="str" cm="1">
        <f t="array" ref="AA102">_xlfn.IFS(Table1[[#This Row],[Customer_Satisfaction]]&lt;=2,"Poor",Table1[[#This Row],[Customer_Satisfaction]]=3,"Neutral",Table1[[#This Row],[Customer_Satisfaction]]=4,"Good",Table1[[#This Row],[Customer_Satisfaction]]=5,"Good")</f>
        <v>Poor</v>
      </c>
    </row>
    <row r="103" spans="1:27" x14ac:dyDescent="0.35">
      <c r="A103">
        <v>20101</v>
      </c>
      <c r="B103" s="1">
        <v>45445</v>
      </c>
      <c r="C103" t="s">
        <v>37</v>
      </c>
      <c r="D103" t="s">
        <v>70</v>
      </c>
      <c r="E103" t="s">
        <v>100</v>
      </c>
      <c r="F103" t="s">
        <v>22</v>
      </c>
      <c r="G103" t="s">
        <v>54</v>
      </c>
      <c r="H103" t="s">
        <v>42</v>
      </c>
      <c r="I103" t="s">
        <v>55</v>
      </c>
      <c r="J103" t="s">
        <v>26</v>
      </c>
      <c r="K103" t="s">
        <v>61</v>
      </c>
      <c r="L103" t="s">
        <v>28</v>
      </c>
      <c r="M103" s="4">
        <v>12</v>
      </c>
      <c r="N103" s="4">
        <v>7</v>
      </c>
      <c r="O103" t="s">
        <v>29</v>
      </c>
      <c r="P103" t="s">
        <v>29</v>
      </c>
      <c r="Q103" s="4">
        <v>355447</v>
      </c>
      <c r="R103" s="4">
        <v>238710</v>
      </c>
      <c r="S103" s="4">
        <f>Table1[[#This Row],[Service_Revenue]]-Table1[[#This Row],[Service_Cost]]</f>
        <v>116737</v>
      </c>
      <c r="T103" s="4">
        <v>2</v>
      </c>
      <c r="U103" s="4">
        <f>IF(AND(Table1[[#This Row],[Rework_Flag]]="Yes",Table1[[#This Row],[Warranty_Claim]]="No"),Table1[[#This Row],[Service_Revenue]],0)</f>
        <v>0</v>
      </c>
      <c r="V103" s="4">
        <f>IF(Table1[[#This Row],[Warranty_Claim]]="Yes",1,0)</f>
        <v>1</v>
      </c>
      <c r="W103" s="4">
        <f>IF(Table1[[#This Row],[Rework_Flag]]="No",1,0)</f>
        <v>0</v>
      </c>
      <c r="X103" s="4">
        <f>IF(Table1[[#This Row],[Rework_Flag]]="Yes",1,0)</f>
        <v>1</v>
      </c>
      <c r="Y103" s="4">
        <v>1</v>
      </c>
      <c r="Z103" s="4" t="str">
        <f>IF(Table1[[#This Row],[TAT_Days]]&gt;Table1[[#This Row],[SLA_TAT]],"Yes","No")</f>
        <v>Yes</v>
      </c>
      <c r="AA103" s="4" t="str" cm="1">
        <f t="array" ref="AA103">_xlfn.IFS(Table1[[#This Row],[Customer_Satisfaction]]&lt;=2,"Poor",Table1[[#This Row],[Customer_Satisfaction]]=3,"Neutral",Table1[[#This Row],[Customer_Satisfaction]]=4,"Good",Table1[[#This Row],[Customer_Satisfaction]]=5,"Good")</f>
        <v>Poor</v>
      </c>
    </row>
    <row r="104" spans="1:27" x14ac:dyDescent="0.35">
      <c r="A104">
        <v>20102</v>
      </c>
      <c r="B104" s="1">
        <v>45449</v>
      </c>
      <c r="C104" t="s">
        <v>37</v>
      </c>
      <c r="D104" t="s">
        <v>38</v>
      </c>
      <c r="E104" t="s">
        <v>112</v>
      </c>
      <c r="F104" t="s">
        <v>40</v>
      </c>
      <c r="G104" t="s">
        <v>54</v>
      </c>
      <c r="H104" t="s">
        <v>42</v>
      </c>
      <c r="I104" t="s">
        <v>55</v>
      </c>
      <c r="J104" t="s">
        <v>35</v>
      </c>
      <c r="K104" t="s">
        <v>27</v>
      </c>
      <c r="L104" t="s">
        <v>49</v>
      </c>
      <c r="M104" s="4">
        <v>16</v>
      </c>
      <c r="N104" s="4">
        <v>7</v>
      </c>
      <c r="O104" t="s">
        <v>29</v>
      </c>
      <c r="P104" t="s">
        <v>36</v>
      </c>
      <c r="Q104" s="4">
        <v>587621</v>
      </c>
      <c r="R104" s="4">
        <v>417798</v>
      </c>
      <c r="S104" s="4">
        <f>Table1[[#This Row],[Service_Revenue]]-Table1[[#This Row],[Service_Cost]]</f>
        <v>169823</v>
      </c>
      <c r="T104" s="4">
        <v>1</v>
      </c>
      <c r="U104" s="4">
        <f>IF(AND(Table1[[#This Row],[Rework_Flag]]="Yes",Table1[[#This Row],[Warranty_Claim]]="No"),Table1[[#This Row],[Service_Revenue]],0)</f>
        <v>587621</v>
      </c>
      <c r="V104" s="4">
        <f>IF(Table1[[#This Row],[Warranty_Claim]]="Yes",1,0)</f>
        <v>0</v>
      </c>
      <c r="W104" s="4">
        <f>IF(Table1[[#This Row],[Rework_Flag]]="No",1,0)</f>
        <v>0</v>
      </c>
      <c r="X104" s="4">
        <f>IF(Table1[[#This Row],[Rework_Flag]]="Yes",1,0)</f>
        <v>1</v>
      </c>
      <c r="Y104" s="4">
        <v>1</v>
      </c>
      <c r="Z104" s="4" t="str">
        <f>IF(Table1[[#This Row],[TAT_Days]]&gt;Table1[[#This Row],[SLA_TAT]],"Yes","No")</f>
        <v>Yes</v>
      </c>
      <c r="AA104" s="4" t="str" cm="1">
        <f t="array" ref="AA104">_xlfn.IFS(Table1[[#This Row],[Customer_Satisfaction]]&lt;=2,"Poor",Table1[[#This Row],[Customer_Satisfaction]]=3,"Neutral",Table1[[#This Row],[Customer_Satisfaction]]=4,"Good",Table1[[#This Row],[Customer_Satisfaction]]=5,"Good")</f>
        <v>Poor</v>
      </c>
    </row>
    <row r="105" spans="1:27" x14ac:dyDescent="0.35">
      <c r="A105">
        <v>20103</v>
      </c>
      <c r="B105" s="1">
        <v>45318</v>
      </c>
      <c r="C105" t="s">
        <v>37</v>
      </c>
      <c r="D105" t="s">
        <v>38</v>
      </c>
      <c r="E105" t="s">
        <v>93</v>
      </c>
      <c r="F105" t="s">
        <v>40</v>
      </c>
      <c r="G105" t="s">
        <v>74</v>
      </c>
      <c r="H105" t="s">
        <v>34</v>
      </c>
      <c r="I105" t="s">
        <v>55</v>
      </c>
      <c r="J105" t="s">
        <v>67</v>
      </c>
      <c r="K105" t="s">
        <v>44</v>
      </c>
      <c r="L105" t="s">
        <v>49</v>
      </c>
      <c r="M105" s="4">
        <v>5</v>
      </c>
      <c r="N105" s="4">
        <v>7</v>
      </c>
      <c r="O105" t="s">
        <v>36</v>
      </c>
      <c r="P105" t="s">
        <v>36</v>
      </c>
      <c r="Q105" s="4">
        <v>458338</v>
      </c>
      <c r="R105" s="4">
        <v>332808</v>
      </c>
      <c r="S105" s="4">
        <f>Table1[[#This Row],[Service_Revenue]]-Table1[[#This Row],[Service_Cost]]</f>
        <v>125530</v>
      </c>
      <c r="T105" s="4">
        <v>4</v>
      </c>
      <c r="U105" s="4">
        <f>IF(AND(Table1[[#This Row],[Rework_Flag]]="Yes",Table1[[#This Row],[Warranty_Claim]]="No"),Table1[[#This Row],[Service_Revenue]],0)</f>
        <v>0</v>
      </c>
      <c r="V105" s="4">
        <f>IF(Table1[[#This Row],[Warranty_Claim]]="Yes",1,0)</f>
        <v>0</v>
      </c>
      <c r="W105" s="4">
        <f>IF(Table1[[#This Row],[Rework_Flag]]="No",1,0)</f>
        <v>1</v>
      </c>
      <c r="X105" s="4">
        <f>IF(Table1[[#This Row],[Rework_Flag]]="Yes",1,0)</f>
        <v>0</v>
      </c>
      <c r="Y105" s="4">
        <v>1</v>
      </c>
      <c r="Z105" s="4" t="str">
        <f>IF(Table1[[#This Row],[TAT_Days]]&gt;Table1[[#This Row],[SLA_TAT]],"Yes","No")</f>
        <v>No</v>
      </c>
      <c r="AA105" s="4" t="str" cm="1">
        <f t="array" ref="AA105">_xlfn.IFS(Table1[[#This Row],[Customer_Satisfaction]]&lt;=2,"Poor",Table1[[#This Row],[Customer_Satisfaction]]=3,"Neutral",Table1[[#This Row],[Customer_Satisfaction]]=4,"Good",Table1[[#This Row],[Customer_Satisfaction]]=5,"Good")</f>
        <v>Good</v>
      </c>
    </row>
    <row r="106" spans="1:27" x14ac:dyDescent="0.35">
      <c r="A106">
        <v>20104</v>
      </c>
      <c r="B106" s="1">
        <v>45387</v>
      </c>
      <c r="C106" t="s">
        <v>37</v>
      </c>
      <c r="D106" t="s">
        <v>70</v>
      </c>
      <c r="E106" t="s">
        <v>82</v>
      </c>
      <c r="F106" t="s">
        <v>22</v>
      </c>
      <c r="G106" t="s">
        <v>74</v>
      </c>
      <c r="H106" t="s">
        <v>34</v>
      </c>
      <c r="I106" t="s">
        <v>25</v>
      </c>
      <c r="J106" t="s">
        <v>26</v>
      </c>
      <c r="K106" t="s">
        <v>27</v>
      </c>
      <c r="L106" t="s">
        <v>49</v>
      </c>
      <c r="M106" s="4">
        <v>16</v>
      </c>
      <c r="N106" s="4">
        <v>7</v>
      </c>
      <c r="O106" t="s">
        <v>29</v>
      </c>
      <c r="P106" t="s">
        <v>36</v>
      </c>
      <c r="Q106" s="4">
        <v>122363</v>
      </c>
      <c r="R106" s="4">
        <v>63842</v>
      </c>
      <c r="S106" s="4">
        <f>Table1[[#This Row],[Service_Revenue]]-Table1[[#This Row],[Service_Cost]]</f>
        <v>58521</v>
      </c>
      <c r="T106" s="4">
        <v>1</v>
      </c>
      <c r="U106" s="4">
        <f>IF(AND(Table1[[#This Row],[Rework_Flag]]="Yes",Table1[[#This Row],[Warranty_Claim]]="No"),Table1[[#This Row],[Service_Revenue]],0)</f>
        <v>122363</v>
      </c>
      <c r="V106" s="4">
        <f>IF(Table1[[#This Row],[Warranty_Claim]]="Yes",1,0)</f>
        <v>0</v>
      </c>
      <c r="W106" s="4">
        <f>IF(Table1[[#This Row],[Rework_Flag]]="No",1,0)</f>
        <v>0</v>
      </c>
      <c r="X106" s="4">
        <f>IF(Table1[[#This Row],[Rework_Flag]]="Yes",1,0)</f>
        <v>1</v>
      </c>
      <c r="Y106" s="4">
        <v>1</v>
      </c>
      <c r="Z106" s="4" t="str">
        <f>IF(Table1[[#This Row],[TAT_Days]]&gt;Table1[[#This Row],[SLA_TAT]],"Yes","No")</f>
        <v>Yes</v>
      </c>
      <c r="AA106" s="4" t="str" cm="1">
        <f t="array" ref="AA106">_xlfn.IFS(Table1[[#This Row],[Customer_Satisfaction]]&lt;=2,"Poor",Table1[[#This Row],[Customer_Satisfaction]]=3,"Neutral",Table1[[#This Row],[Customer_Satisfaction]]=4,"Good",Table1[[#This Row],[Customer_Satisfaction]]=5,"Good")</f>
        <v>Poor</v>
      </c>
    </row>
    <row r="107" spans="1:27" x14ac:dyDescent="0.35">
      <c r="A107">
        <v>20105</v>
      </c>
      <c r="B107" s="1">
        <v>45367</v>
      </c>
      <c r="C107" t="s">
        <v>37</v>
      </c>
      <c r="D107" t="s">
        <v>38</v>
      </c>
      <c r="E107" t="s">
        <v>112</v>
      </c>
      <c r="F107" t="s">
        <v>22</v>
      </c>
      <c r="G107" t="s">
        <v>47</v>
      </c>
      <c r="H107" t="s">
        <v>48</v>
      </c>
      <c r="I107" t="s">
        <v>25</v>
      </c>
      <c r="J107" t="s">
        <v>43</v>
      </c>
      <c r="K107" t="s">
        <v>44</v>
      </c>
      <c r="L107" t="s">
        <v>49</v>
      </c>
      <c r="M107" s="4">
        <v>8</v>
      </c>
      <c r="N107" s="4">
        <v>7</v>
      </c>
      <c r="O107" t="s">
        <v>29</v>
      </c>
      <c r="P107" t="s">
        <v>29</v>
      </c>
      <c r="Q107" s="4">
        <v>231532</v>
      </c>
      <c r="R107" s="4">
        <v>171208</v>
      </c>
      <c r="S107" s="4">
        <f>Table1[[#This Row],[Service_Revenue]]-Table1[[#This Row],[Service_Cost]]</f>
        <v>60324</v>
      </c>
      <c r="T107" s="4">
        <v>3</v>
      </c>
      <c r="U107" s="4">
        <f>IF(AND(Table1[[#This Row],[Rework_Flag]]="Yes",Table1[[#This Row],[Warranty_Claim]]="No"),Table1[[#This Row],[Service_Revenue]],0)</f>
        <v>0</v>
      </c>
      <c r="V107" s="4">
        <f>IF(Table1[[#This Row],[Warranty_Claim]]="Yes",1,0)</f>
        <v>1</v>
      </c>
      <c r="W107" s="4">
        <f>IF(Table1[[#This Row],[Rework_Flag]]="No",1,0)</f>
        <v>0</v>
      </c>
      <c r="X107" s="4">
        <f>IF(Table1[[#This Row],[Rework_Flag]]="Yes",1,0)</f>
        <v>1</v>
      </c>
      <c r="Y107" s="4">
        <v>1</v>
      </c>
      <c r="Z107" s="4" t="str">
        <f>IF(Table1[[#This Row],[TAT_Days]]&gt;Table1[[#This Row],[SLA_TAT]],"Yes","No")</f>
        <v>Yes</v>
      </c>
      <c r="AA107" s="4" t="str" cm="1">
        <f t="array" ref="AA107">_xlfn.IFS(Table1[[#This Row],[Customer_Satisfaction]]&lt;=2,"Poor",Table1[[#This Row],[Customer_Satisfaction]]=3,"Neutral",Table1[[#This Row],[Customer_Satisfaction]]=4,"Good",Table1[[#This Row],[Customer_Satisfaction]]=5,"Good")</f>
        <v>Neutral</v>
      </c>
    </row>
    <row r="108" spans="1:27" x14ac:dyDescent="0.35">
      <c r="A108">
        <v>20106</v>
      </c>
      <c r="B108" s="1">
        <v>45319</v>
      </c>
      <c r="C108" t="s">
        <v>19</v>
      </c>
      <c r="D108" t="s">
        <v>20</v>
      </c>
      <c r="E108" t="s">
        <v>110</v>
      </c>
      <c r="F108" t="s">
        <v>53</v>
      </c>
      <c r="G108" t="s">
        <v>47</v>
      </c>
      <c r="H108" t="s">
        <v>48</v>
      </c>
      <c r="I108" t="s">
        <v>55</v>
      </c>
      <c r="J108" t="s">
        <v>67</v>
      </c>
      <c r="K108" t="s">
        <v>61</v>
      </c>
      <c r="L108" t="s">
        <v>49</v>
      </c>
      <c r="M108" s="4">
        <v>11</v>
      </c>
      <c r="N108" s="4">
        <v>7</v>
      </c>
      <c r="O108" t="s">
        <v>29</v>
      </c>
      <c r="P108" t="s">
        <v>36</v>
      </c>
      <c r="Q108" s="4">
        <v>505432</v>
      </c>
      <c r="R108" s="4">
        <v>307264</v>
      </c>
      <c r="S108" s="4">
        <f>Table1[[#This Row],[Service_Revenue]]-Table1[[#This Row],[Service_Cost]]</f>
        <v>198168</v>
      </c>
      <c r="T108" s="4">
        <v>2</v>
      </c>
      <c r="U108" s="4">
        <f>IF(AND(Table1[[#This Row],[Rework_Flag]]="Yes",Table1[[#This Row],[Warranty_Claim]]="No"),Table1[[#This Row],[Service_Revenue]],0)</f>
        <v>505432</v>
      </c>
      <c r="V108" s="4">
        <f>IF(Table1[[#This Row],[Warranty_Claim]]="Yes",1,0)</f>
        <v>0</v>
      </c>
      <c r="W108" s="4">
        <f>IF(Table1[[#This Row],[Rework_Flag]]="No",1,0)</f>
        <v>0</v>
      </c>
      <c r="X108" s="4">
        <f>IF(Table1[[#This Row],[Rework_Flag]]="Yes",1,0)</f>
        <v>1</v>
      </c>
      <c r="Y108" s="4">
        <v>1</v>
      </c>
      <c r="Z108" s="4" t="str">
        <f>IF(Table1[[#This Row],[TAT_Days]]&gt;Table1[[#This Row],[SLA_TAT]],"Yes","No")</f>
        <v>Yes</v>
      </c>
      <c r="AA108" s="4" t="str" cm="1">
        <f t="array" ref="AA108">_xlfn.IFS(Table1[[#This Row],[Customer_Satisfaction]]&lt;=2,"Poor",Table1[[#This Row],[Customer_Satisfaction]]=3,"Neutral",Table1[[#This Row],[Customer_Satisfaction]]=4,"Good",Table1[[#This Row],[Customer_Satisfaction]]=5,"Good")</f>
        <v>Poor</v>
      </c>
    </row>
    <row r="109" spans="1:27" x14ac:dyDescent="0.35">
      <c r="A109">
        <v>20107</v>
      </c>
      <c r="B109" s="1">
        <v>45406</v>
      </c>
      <c r="C109" t="s">
        <v>50</v>
      </c>
      <c r="D109" t="s">
        <v>56</v>
      </c>
      <c r="E109" t="s">
        <v>57</v>
      </c>
      <c r="F109" t="s">
        <v>40</v>
      </c>
      <c r="G109" t="s">
        <v>41</v>
      </c>
      <c r="H109" t="s">
        <v>42</v>
      </c>
      <c r="I109" t="s">
        <v>55</v>
      </c>
      <c r="J109" t="s">
        <v>43</v>
      </c>
      <c r="K109" t="s">
        <v>44</v>
      </c>
      <c r="L109" t="s">
        <v>28</v>
      </c>
      <c r="M109" s="4">
        <v>22</v>
      </c>
      <c r="N109" s="4">
        <v>7</v>
      </c>
      <c r="O109" t="s">
        <v>36</v>
      </c>
      <c r="P109" t="s">
        <v>29</v>
      </c>
      <c r="Q109" s="4">
        <v>516801</v>
      </c>
      <c r="R109" s="4">
        <v>390794</v>
      </c>
      <c r="S109" s="4">
        <f>Table1[[#This Row],[Service_Revenue]]-Table1[[#This Row],[Service_Cost]]</f>
        <v>126007</v>
      </c>
      <c r="T109" s="4">
        <v>1</v>
      </c>
      <c r="U109" s="4">
        <f>IF(AND(Table1[[#This Row],[Rework_Flag]]="Yes",Table1[[#This Row],[Warranty_Claim]]="No"),Table1[[#This Row],[Service_Revenue]],0)</f>
        <v>0</v>
      </c>
      <c r="V109" s="4">
        <f>IF(Table1[[#This Row],[Warranty_Claim]]="Yes",1,0)</f>
        <v>1</v>
      </c>
      <c r="W109" s="4">
        <f>IF(Table1[[#This Row],[Rework_Flag]]="No",1,0)</f>
        <v>1</v>
      </c>
      <c r="X109" s="4">
        <f>IF(Table1[[#This Row],[Rework_Flag]]="Yes",1,0)</f>
        <v>0</v>
      </c>
      <c r="Y109" s="4">
        <v>1</v>
      </c>
      <c r="Z109" s="4" t="str">
        <f>IF(Table1[[#This Row],[TAT_Days]]&gt;Table1[[#This Row],[SLA_TAT]],"Yes","No")</f>
        <v>Yes</v>
      </c>
      <c r="AA109" s="4" t="str" cm="1">
        <f t="array" ref="AA109">_xlfn.IFS(Table1[[#This Row],[Customer_Satisfaction]]&lt;=2,"Poor",Table1[[#This Row],[Customer_Satisfaction]]=3,"Neutral",Table1[[#This Row],[Customer_Satisfaction]]=4,"Good",Table1[[#This Row],[Customer_Satisfaction]]=5,"Good")</f>
        <v>Poor</v>
      </c>
    </row>
    <row r="110" spans="1:27" x14ac:dyDescent="0.35">
      <c r="A110">
        <v>20108</v>
      </c>
      <c r="B110" s="1">
        <v>45419</v>
      </c>
      <c r="C110" t="s">
        <v>30</v>
      </c>
      <c r="D110" t="s">
        <v>83</v>
      </c>
      <c r="E110" t="s">
        <v>92</v>
      </c>
      <c r="F110" t="s">
        <v>53</v>
      </c>
      <c r="G110" t="s">
        <v>23</v>
      </c>
      <c r="H110" t="s">
        <v>24</v>
      </c>
      <c r="I110" t="s">
        <v>25</v>
      </c>
      <c r="J110" t="s">
        <v>26</v>
      </c>
      <c r="K110" t="s">
        <v>27</v>
      </c>
      <c r="L110" t="s">
        <v>28</v>
      </c>
      <c r="M110" s="4">
        <v>9</v>
      </c>
      <c r="N110" s="4">
        <v>7</v>
      </c>
      <c r="O110" t="s">
        <v>29</v>
      </c>
      <c r="P110" t="s">
        <v>36</v>
      </c>
      <c r="Q110" s="4">
        <v>546513</v>
      </c>
      <c r="R110" s="4">
        <v>314164</v>
      </c>
      <c r="S110" s="4">
        <f>Table1[[#This Row],[Service_Revenue]]-Table1[[#This Row],[Service_Cost]]</f>
        <v>232349</v>
      </c>
      <c r="T110" s="4">
        <v>3</v>
      </c>
      <c r="U110" s="4">
        <f>IF(AND(Table1[[#This Row],[Rework_Flag]]="Yes",Table1[[#This Row],[Warranty_Claim]]="No"),Table1[[#This Row],[Service_Revenue]],0)</f>
        <v>546513</v>
      </c>
      <c r="V110" s="4">
        <f>IF(Table1[[#This Row],[Warranty_Claim]]="Yes",1,0)</f>
        <v>0</v>
      </c>
      <c r="W110" s="4">
        <f>IF(Table1[[#This Row],[Rework_Flag]]="No",1,0)</f>
        <v>0</v>
      </c>
      <c r="X110" s="4">
        <f>IF(Table1[[#This Row],[Rework_Flag]]="Yes",1,0)</f>
        <v>1</v>
      </c>
      <c r="Y110" s="4">
        <v>1</v>
      </c>
      <c r="Z110" s="4" t="str">
        <f>IF(Table1[[#This Row],[TAT_Days]]&gt;Table1[[#This Row],[SLA_TAT]],"Yes","No")</f>
        <v>Yes</v>
      </c>
      <c r="AA110" s="4" t="str" cm="1">
        <f t="array" ref="AA110">_xlfn.IFS(Table1[[#This Row],[Customer_Satisfaction]]&lt;=2,"Poor",Table1[[#This Row],[Customer_Satisfaction]]=3,"Neutral",Table1[[#This Row],[Customer_Satisfaction]]=4,"Good",Table1[[#This Row],[Customer_Satisfaction]]=5,"Good")</f>
        <v>Neutral</v>
      </c>
    </row>
    <row r="111" spans="1:27" x14ac:dyDescent="0.35">
      <c r="A111">
        <v>20109</v>
      </c>
      <c r="B111" s="1">
        <v>45359</v>
      </c>
      <c r="C111" t="s">
        <v>19</v>
      </c>
      <c r="D111" t="s">
        <v>96</v>
      </c>
      <c r="E111" t="s">
        <v>105</v>
      </c>
      <c r="F111" t="s">
        <v>22</v>
      </c>
      <c r="G111" t="s">
        <v>63</v>
      </c>
      <c r="H111" t="s">
        <v>24</v>
      </c>
      <c r="I111" t="s">
        <v>25</v>
      </c>
      <c r="J111" t="s">
        <v>26</v>
      </c>
      <c r="K111" t="s">
        <v>27</v>
      </c>
      <c r="L111" t="s">
        <v>28</v>
      </c>
      <c r="M111" s="4">
        <v>5</v>
      </c>
      <c r="N111" s="4">
        <v>7</v>
      </c>
      <c r="O111" t="s">
        <v>36</v>
      </c>
      <c r="P111" t="s">
        <v>36</v>
      </c>
      <c r="Q111" s="4">
        <v>108454</v>
      </c>
      <c r="R111" s="4">
        <v>67951</v>
      </c>
      <c r="S111" s="4">
        <f>Table1[[#This Row],[Service_Revenue]]-Table1[[#This Row],[Service_Cost]]</f>
        <v>40503</v>
      </c>
      <c r="T111" s="4">
        <v>4</v>
      </c>
      <c r="U111" s="4">
        <f>IF(AND(Table1[[#This Row],[Rework_Flag]]="Yes",Table1[[#This Row],[Warranty_Claim]]="No"),Table1[[#This Row],[Service_Revenue]],0)</f>
        <v>0</v>
      </c>
      <c r="V111" s="4">
        <f>IF(Table1[[#This Row],[Warranty_Claim]]="Yes",1,0)</f>
        <v>0</v>
      </c>
      <c r="W111" s="4">
        <f>IF(Table1[[#This Row],[Rework_Flag]]="No",1,0)</f>
        <v>1</v>
      </c>
      <c r="X111" s="4">
        <f>IF(Table1[[#This Row],[Rework_Flag]]="Yes",1,0)</f>
        <v>0</v>
      </c>
      <c r="Y111" s="4">
        <v>1</v>
      </c>
      <c r="Z111" s="4" t="str">
        <f>IF(Table1[[#This Row],[TAT_Days]]&gt;Table1[[#This Row],[SLA_TAT]],"Yes","No")</f>
        <v>No</v>
      </c>
      <c r="AA111" s="4" t="str" cm="1">
        <f t="array" ref="AA111">_xlfn.IFS(Table1[[#This Row],[Customer_Satisfaction]]&lt;=2,"Poor",Table1[[#This Row],[Customer_Satisfaction]]=3,"Neutral",Table1[[#This Row],[Customer_Satisfaction]]=4,"Good",Table1[[#This Row],[Customer_Satisfaction]]=5,"Good")</f>
        <v>Good</v>
      </c>
    </row>
    <row r="112" spans="1:27" x14ac:dyDescent="0.35">
      <c r="A112">
        <v>20110</v>
      </c>
      <c r="B112" s="1">
        <v>45382</v>
      </c>
      <c r="C112" t="s">
        <v>30</v>
      </c>
      <c r="D112" t="s">
        <v>31</v>
      </c>
      <c r="E112" t="s">
        <v>106</v>
      </c>
      <c r="F112" t="s">
        <v>40</v>
      </c>
      <c r="G112" t="s">
        <v>23</v>
      </c>
      <c r="H112" t="s">
        <v>24</v>
      </c>
      <c r="I112" t="s">
        <v>55</v>
      </c>
      <c r="J112" t="s">
        <v>67</v>
      </c>
      <c r="K112" t="s">
        <v>44</v>
      </c>
      <c r="L112" t="s">
        <v>28</v>
      </c>
      <c r="M112" s="4">
        <v>2</v>
      </c>
      <c r="N112" s="4">
        <v>7</v>
      </c>
      <c r="O112" t="s">
        <v>36</v>
      </c>
      <c r="P112" t="s">
        <v>29</v>
      </c>
      <c r="Q112" s="4">
        <v>534028</v>
      </c>
      <c r="R112" s="4">
        <v>294343</v>
      </c>
      <c r="S112" s="4">
        <f>Table1[[#This Row],[Service_Revenue]]-Table1[[#This Row],[Service_Cost]]</f>
        <v>239685</v>
      </c>
      <c r="T112" s="4">
        <v>5</v>
      </c>
      <c r="U112" s="4">
        <f>IF(AND(Table1[[#This Row],[Rework_Flag]]="Yes",Table1[[#This Row],[Warranty_Claim]]="No"),Table1[[#This Row],[Service_Revenue]],0)</f>
        <v>0</v>
      </c>
      <c r="V112" s="4">
        <f>IF(Table1[[#This Row],[Warranty_Claim]]="Yes",1,0)</f>
        <v>1</v>
      </c>
      <c r="W112" s="4">
        <f>IF(Table1[[#This Row],[Rework_Flag]]="No",1,0)</f>
        <v>1</v>
      </c>
      <c r="X112" s="4">
        <f>IF(Table1[[#This Row],[Rework_Flag]]="Yes",1,0)</f>
        <v>0</v>
      </c>
      <c r="Y112" s="4">
        <v>1</v>
      </c>
      <c r="Z112" s="4" t="str">
        <f>IF(Table1[[#This Row],[TAT_Days]]&gt;Table1[[#This Row],[SLA_TAT]],"Yes","No")</f>
        <v>No</v>
      </c>
      <c r="AA112" s="4" t="str" cm="1">
        <f t="array" ref="AA112">_xlfn.IFS(Table1[[#This Row],[Customer_Satisfaction]]&lt;=2,"Poor",Table1[[#This Row],[Customer_Satisfaction]]=3,"Neutral",Table1[[#This Row],[Customer_Satisfaction]]=4,"Good",Table1[[#This Row],[Customer_Satisfaction]]=5,"Good")</f>
        <v>Good</v>
      </c>
    </row>
    <row r="113" spans="1:27" x14ac:dyDescent="0.35">
      <c r="A113">
        <v>20111</v>
      </c>
      <c r="B113" s="1">
        <v>45418</v>
      </c>
      <c r="C113" t="s">
        <v>50</v>
      </c>
      <c r="D113" t="s">
        <v>56</v>
      </c>
      <c r="E113" t="s">
        <v>88</v>
      </c>
      <c r="F113" t="s">
        <v>53</v>
      </c>
      <c r="G113" t="s">
        <v>41</v>
      </c>
      <c r="H113" t="s">
        <v>42</v>
      </c>
      <c r="I113" t="s">
        <v>25</v>
      </c>
      <c r="J113" t="s">
        <v>58</v>
      </c>
      <c r="K113" t="s">
        <v>44</v>
      </c>
      <c r="L113" t="s">
        <v>49</v>
      </c>
      <c r="M113" s="4">
        <v>7</v>
      </c>
      <c r="N113" s="4">
        <v>7</v>
      </c>
      <c r="O113" t="s">
        <v>29</v>
      </c>
      <c r="P113" t="s">
        <v>36</v>
      </c>
      <c r="Q113" s="4">
        <v>516128</v>
      </c>
      <c r="R113" s="4">
        <v>425738</v>
      </c>
      <c r="S113" s="4">
        <f>Table1[[#This Row],[Service_Revenue]]-Table1[[#This Row],[Service_Cost]]</f>
        <v>90390</v>
      </c>
      <c r="T113" s="4">
        <v>3</v>
      </c>
      <c r="U113" s="4">
        <f>IF(AND(Table1[[#This Row],[Rework_Flag]]="Yes",Table1[[#This Row],[Warranty_Claim]]="No"),Table1[[#This Row],[Service_Revenue]],0)</f>
        <v>516128</v>
      </c>
      <c r="V113" s="4">
        <f>IF(Table1[[#This Row],[Warranty_Claim]]="Yes",1,0)</f>
        <v>0</v>
      </c>
      <c r="W113" s="4">
        <f>IF(Table1[[#This Row],[Rework_Flag]]="No",1,0)</f>
        <v>0</v>
      </c>
      <c r="X113" s="4">
        <f>IF(Table1[[#This Row],[Rework_Flag]]="Yes",1,0)</f>
        <v>1</v>
      </c>
      <c r="Y113" s="4">
        <v>1</v>
      </c>
      <c r="Z113" s="4" t="str">
        <f>IF(Table1[[#This Row],[TAT_Days]]&gt;Table1[[#This Row],[SLA_TAT]],"Yes","No")</f>
        <v>No</v>
      </c>
      <c r="AA113" s="4" t="str" cm="1">
        <f t="array" ref="AA113">_xlfn.IFS(Table1[[#This Row],[Customer_Satisfaction]]&lt;=2,"Poor",Table1[[#This Row],[Customer_Satisfaction]]=3,"Neutral",Table1[[#This Row],[Customer_Satisfaction]]=4,"Good",Table1[[#This Row],[Customer_Satisfaction]]=5,"Good")</f>
        <v>Neutral</v>
      </c>
    </row>
    <row r="114" spans="1:27" x14ac:dyDescent="0.35">
      <c r="A114">
        <v>20112</v>
      </c>
      <c r="B114" s="1">
        <v>45313</v>
      </c>
      <c r="C114" t="s">
        <v>19</v>
      </c>
      <c r="D114" t="s">
        <v>20</v>
      </c>
      <c r="E114" t="s">
        <v>110</v>
      </c>
      <c r="F114" t="s">
        <v>40</v>
      </c>
      <c r="G114" t="s">
        <v>54</v>
      </c>
      <c r="H114" t="s">
        <v>42</v>
      </c>
      <c r="I114" t="s">
        <v>55</v>
      </c>
      <c r="J114" t="s">
        <v>35</v>
      </c>
      <c r="K114" t="s">
        <v>27</v>
      </c>
      <c r="L114" t="s">
        <v>28</v>
      </c>
      <c r="M114" s="4">
        <v>22</v>
      </c>
      <c r="N114" s="4">
        <v>7</v>
      </c>
      <c r="O114" t="s">
        <v>29</v>
      </c>
      <c r="P114" t="s">
        <v>29</v>
      </c>
      <c r="Q114" s="4">
        <v>512931</v>
      </c>
      <c r="R114" s="4">
        <v>316794</v>
      </c>
      <c r="S114" s="4">
        <f>Table1[[#This Row],[Service_Revenue]]-Table1[[#This Row],[Service_Cost]]</f>
        <v>196137</v>
      </c>
      <c r="T114" s="4">
        <v>1</v>
      </c>
      <c r="U114" s="4">
        <f>IF(AND(Table1[[#This Row],[Rework_Flag]]="Yes",Table1[[#This Row],[Warranty_Claim]]="No"),Table1[[#This Row],[Service_Revenue]],0)</f>
        <v>0</v>
      </c>
      <c r="V114" s="4">
        <f>IF(Table1[[#This Row],[Warranty_Claim]]="Yes",1,0)</f>
        <v>1</v>
      </c>
      <c r="W114" s="4">
        <f>IF(Table1[[#This Row],[Rework_Flag]]="No",1,0)</f>
        <v>0</v>
      </c>
      <c r="X114" s="4">
        <f>IF(Table1[[#This Row],[Rework_Flag]]="Yes",1,0)</f>
        <v>1</v>
      </c>
      <c r="Y114" s="4">
        <v>1</v>
      </c>
      <c r="Z114" s="4" t="str">
        <f>IF(Table1[[#This Row],[TAT_Days]]&gt;Table1[[#This Row],[SLA_TAT]],"Yes","No")</f>
        <v>Yes</v>
      </c>
      <c r="AA114" s="4" t="str" cm="1">
        <f t="array" ref="AA114">_xlfn.IFS(Table1[[#This Row],[Customer_Satisfaction]]&lt;=2,"Poor",Table1[[#This Row],[Customer_Satisfaction]]=3,"Neutral",Table1[[#This Row],[Customer_Satisfaction]]=4,"Good",Table1[[#This Row],[Customer_Satisfaction]]=5,"Good")</f>
        <v>Poor</v>
      </c>
    </row>
    <row r="115" spans="1:27" x14ac:dyDescent="0.35">
      <c r="A115">
        <v>20113</v>
      </c>
      <c r="B115" s="1">
        <v>45399</v>
      </c>
      <c r="C115" t="s">
        <v>50</v>
      </c>
      <c r="D115" t="s">
        <v>80</v>
      </c>
      <c r="E115" t="s">
        <v>104</v>
      </c>
      <c r="F115" t="s">
        <v>53</v>
      </c>
      <c r="G115" t="s">
        <v>74</v>
      </c>
      <c r="H115" t="s">
        <v>34</v>
      </c>
      <c r="I115" t="s">
        <v>25</v>
      </c>
      <c r="J115" t="s">
        <v>35</v>
      </c>
      <c r="K115" t="s">
        <v>61</v>
      </c>
      <c r="L115" t="s">
        <v>49</v>
      </c>
      <c r="M115" s="4">
        <v>15</v>
      </c>
      <c r="N115" s="4">
        <v>7</v>
      </c>
      <c r="O115" t="s">
        <v>36</v>
      </c>
      <c r="P115" t="s">
        <v>36</v>
      </c>
      <c r="Q115" s="4">
        <v>426607</v>
      </c>
      <c r="R115" s="4">
        <v>360543</v>
      </c>
      <c r="S115" s="4">
        <f>Table1[[#This Row],[Service_Revenue]]-Table1[[#This Row],[Service_Cost]]</f>
        <v>66064</v>
      </c>
      <c r="T115" s="4">
        <v>2</v>
      </c>
      <c r="U115" s="4">
        <f>IF(AND(Table1[[#This Row],[Rework_Flag]]="Yes",Table1[[#This Row],[Warranty_Claim]]="No"),Table1[[#This Row],[Service_Revenue]],0)</f>
        <v>0</v>
      </c>
      <c r="V115" s="4">
        <f>IF(Table1[[#This Row],[Warranty_Claim]]="Yes",1,0)</f>
        <v>0</v>
      </c>
      <c r="W115" s="4">
        <f>IF(Table1[[#This Row],[Rework_Flag]]="No",1,0)</f>
        <v>1</v>
      </c>
      <c r="X115" s="4">
        <f>IF(Table1[[#This Row],[Rework_Flag]]="Yes",1,0)</f>
        <v>0</v>
      </c>
      <c r="Y115" s="4">
        <v>1</v>
      </c>
      <c r="Z115" s="4" t="str">
        <f>IF(Table1[[#This Row],[TAT_Days]]&gt;Table1[[#This Row],[SLA_TAT]],"Yes","No")</f>
        <v>Yes</v>
      </c>
      <c r="AA115" s="4" t="str" cm="1">
        <f t="array" ref="AA115">_xlfn.IFS(Table1[[#This Row],[Customer_Satisfaction]]&lt;=2,"Poor",Table1[[#This Row],[Customer_Satisfaction]]=3,"Neutral",Table1[[#This Row],[Customer_Satisfaction]]=4,"Good",Table1[[#This Row],[Customer_Satisfaction]]=5,"Good")</f>
        <v>Poor</v>
      </c>
    </row>
    <row r="116" spans="1:27" x14ac:dyDescent="0.35">
      <c r="A116">
        <v>20114</v>
      </c>
      <c r="B116" s="1">
        <v>45456</v>
      </c>
      <c r="C116" t="s">
        <v>30</v>
      </c>
      <c r="D116" t="s">
        <v>59</v>
      </c>
      <c r="E116" t="s">
        <v>60</v>
      </c>
      <c r="F116" t="s">
        <v>22</v>
      </c>
      <c r="G116" t="s">
        <v>47</v>
      </c>
      <c r="H116" t="s">
        <v>48</v>
      </c>
      <c r="I116" t="s">
        <v>55</v>
      </c>
      <c r="J116" t="s">
        <v>35</v>
      </c>
      <c r="K116" t="s">
        <v>44</v>
      </c>
      <c r="L116" t="s">
        <v>49</v>
      </c>
      <c r="M116" s="4">
        <v>5</v>
      </c>
      <c r="N116" s="4">
        <v>7</v>
      </c>
      <c r="O116" t="s">
        <v>29</v>
      </c>
      <c r="P116" t="s">
        <v>36</v>
      </c>
      <c r="Q116" s="4">
        <v>507969</v>
      </c>
      <c r="R116" s="4">
        <v>402640</v>
      </c>
      <c r="S116" s="4">
        <f>Table1[[#This Row],[Service_Revenue]]-Table1[[#This Row],[Service_Cost]]</f>
        <v>105329</v>
      </c>
      <c r="T116" s="4">
        <v>3</v>
      </c>
      <c r="U116" s="4">
        <f>IF(AND(Table1[[#This Row],[Rework_Flag]]="Yes",Table1[[#This Row],[Warranty_Claim]]="No"),Table1[[#This Row],[Service_Revenue]],0)</f>
        <v>507969</v>
      </c>
      <c r="V116" s="4">
        <f>IF(Table1[[#This Row],[Warranty_Claim]]="Yes",1,0)</f>
        <v>0</v>
      </c>
      <c r="W116" s="4">
        <f>IF(Table1[[#This Row],[Rework_Flag]]="No",1,0)</f>
        <v>0</v>
      </c>
      <c r="X116" s="4">
        <f>IF(Table1[[#This Row],[Rework_Flag]]="Yes",1,0)</f>
        <v>1</v>
      </c>
      <c r="Y116" s="4">
        <v>1</v>
      </c>
      <c r="Z116" s="4" t="str">
        <f>IF(Table1[[#This Row],[TAT_Days]]&gt;Table1[[#This Row],[SLA_TAT]],"Yes","No")</f>
        <v>No</v>
      </c>
      <c r="AA116" s="4" t="str" cm="1">
        <f t="array" ref="AA116">_xlfn.IFS(Table1[[#This Row],[Customer_Satisfaction]]&lt;=2,"Poor",Table1[[#This Row],[Customer_Satisfaction]]=3,"Neutral",Table1[[#This Row],[Customer_Satisfaction]]=4,"Good",Table1[[#This Row],[Customer_Satisfaction]]=5,"Good")</f>
        <v>Neutral</v>
      </c>
    </row>
    <row r="117" spans="1:27" x14ac:dyDescent="0.35">
      <c r="A117">
        <v>20115</v>
      </c>
      <c r="B117" s="1">
        <v>45304</v>
      </c>
      <c r="C117" t="s">
        <v>37</v>
      </c>
      <c r="D117" t="s">
        <v>70</v>
      </c>
      <c r="E117" t="s">
        <v>100</v>
      </c>
      <c r="F117" t="s">
        <v>53</v>
      </c>
      <c r="G117" t="s">
        <v>41</v>
      </c>
      <c r="H117" t="s">
        <v>42</v>
      </c>
      <c r="I117" t="s">
        <v>55</v>
      </c>
      <c r="J117" t="s">
        <v>26</v>
      </c>
      <c r="K117" t="s">
        <v>44</v>
      </c>
      <c r="L117" t="s">
        <v>28</v>
      </c>
      <c r="M117" s="4">
        <v>21</v>
      </c>
      <c r="N117" s="4">
        <v>7</v>
      </c>
      <c r="O117" t="s">
        <v>29</v>
      </c>
      <c r="P117" t="s">
        <v>36</v>
      </c>
      <c r="Q117" s="4">
        <v>318359</v>
      </c>
      <c r="R117" s="4">
        <v>252576</v>
      </c>
      <c r="S117" s="4">
        <f>Table1[[#This Row],[Service_Revenue]]-Table1[[#This Row],[Service_Cost]]</f>
        <v>65783</v>
      </c>
      <c r="T117" s="4">
        <v>1</v>
      </c>
      <c r="U117" s="4">
        <f>IF(AND(Table1[[#This Row],[Rework_Flag]]="Yes",Table1[[#This Row],[Warranty_Claim]]="No"),Table1[[#This Row],[Service_Revenue]],0)</f>
        <v>318359</v>
      </c>
      <c r="V117" s="4">
        <f>IF(Table1[[#This Row],[Warranty_Claim]]="Yes",1,0)</f>
        <v>0</v>
      </c>
      <c r="W117" s="4">
        <f>IF(Table1[[#This Row],[Rework_Flag]]="No",1,0)</f>
        <v>0</v>
      </c>
      <c r="X117" s="4">
        <f>IF(Table1[[#This Row],[Rework_Flag]]="Yes",1,0)</f>
        <v>1</v>
      </c>
      <c r="Y117" s="4">
        <v>1</v>
      </c>
      <c r="Z117" s="4" t="str">
        <f>IF(Table1[[#This Row],[TAT_Days]]&gt;Table1[[#This Row],[SLA_TAT]],"Yes","No")</f>
        <v>Yes</v>
      </c>
      <c r="AA117" s="4" t="str" cm="1">
        <f t="array" ref="AA117">_xlfn.IFS(Table1[[#This Row],[Customer_Satisfaction]]&lt;=2,"Poor",Table1[[#This Row],[Customer_Satisfaction]]=3,"Neutral",Table1[[#This Row],[Customer_Satisfaction]]=4,"Good",Table1[[#This Row],[Customer_Satisfaction]]=5,"Good")</f>
        <v>Poor</v>
      </c>
    </row>
    <row r="118" spans="1:27" x14ac:dyDescent="0.35">
      <c r="A118">
        <v>20116</v>
      </c>
      <c r="B118" s="1">
        <v>45453</v>
      </c>
      <c r="C118" t="s">
        <v>50</v>
      </c>
      <c r="D118" t="s">
        <v>51</v>
      </c>
      <c r="E118" t="s">
        <v>113</v>
      </c>
      <c r="F118" t="s">
        <v>40</v>
      </c>
      <c r="G118" t="s">
        <v>63</v>
      </c>
      <c r="H118" t="s">
        <v>24</v>
      </c>
      <c r="I118" t="s">
        <v>25</v>
      </c>
      <c r="J118" t="s">
        <v>35</v>
      </c>
      <c r="K118" t="s">
        <v>44</v>
      </c>
      <c r="L118" t="s">
        <v>49</v>
      </c>
      <c r="M118" s="4">
        <v>15</v>
      </c>
      <c r="N118" s="4">
        <v>7</v>
      </c>
      <c r="O118" t="s">
        <v>36</v>
      </c>
      <c r="P118" t="s">
        <v>36</v>
      </c>
      <c r="Q118" s="4">
        <v>233905</v>
      </c>
      <c r="R118" s="4">
        <v>163891</v>
      </c>
      <c r="S118" s="4">
        <f>Table1[[#This Row],[Service_Revenue]]-Table1[[#This Row],[Service_Cost]]</f>
        <v>70014</v>
      </c>
      <c r="T118" s="4">
        <v>2</v>
      </c>
      <c r="U118" s="4">
        <f>IF(AND(Table1[[#This Row],[Rework_Flag]]="Yes",Table1[[#This Row],[Warranty_Claim]]="No"),Table1[[#This Row],[Service_Revenue]],0)</f>
        <v>0</v>
      </c>
      <c r="V118" s="4">
        <f>IF(Table1[[#This Row],[Warranty_Claim]]="Yes",1,0)</f>
        <v>0</v>
      </c>
      <c r="W118" s="4">
        <f>IF(Table1[[#This Row],[Rework_Flag]]="No",1,0)</f>
        <v>1</v>
      </c>
      <c r="X118" s="4">
        <f>IF(Table1[[#This Row],[Rework_Flag]]="Yes",1,0)</f>
        <v>0</v>
      </c>
      <c r="Y118" s="4">
        <v>1</v>
      </c>
      <c r="Z118" s="4" t="str">
        <f>IF(Table1[[#This Row],[TAT_Days]]&gt;Table1[[#This Row],[SLA_TAT]],"Yes","No")</f>
        <v>Yes</v>
      </c>
      <c r="AA118" s="4" t="str" cm="1">
        <f t="array" ref="AA118">_xlfn.IFS(Table1[[#This Row],[Customer_Satisfaction]]&lt;=2,"Poor",Table1[[#This Row],[Customer_Satisfaction]]=3,"Neutral",Table1[[#This Row],[Customer_Satisfaction]]=4,"Good",Table1[[#This Row],[Customer_Satisfaction]]=5,"Good")</f>
        <v>Poor</v>
      </c>
    </row>
    <row r="119" spans="1:27" x14ac:dyDescent="0.35">
      <c r="A119">
        <v>20117</v>
      </c>
      <c r="B119" s="1">
        <v>45464</v>
      </c>
      <c r="C119" t="s">
        <v>50</v>
      </c>
      <c r="D119" t="s">
        <v>56</v>
      </c>
      <c r="E119" t="s">
        <v>77</v>
      </c>
      <c r="F119" t="s">
        <v>53</v>
      </c>
      <c r="G119" t="s">
        <v>23</v>
      </c>
      <c r="H119" t="s">
        <v>24</v>
      </c>
      <c r="I119" t="s">
        <v>25</v>
      </c>
      <c r="J119" t="s">
        <v>58</v>
      </c>
      <c r="K119" t="s">
        <v>61</v>
      </c>
      <c r="L119" t="s">
        <v>28</v>
      </c>
      <c r="M119" s="4">
        <v>18</v>
      </c>
      <c r="N119" s="4">
        <v>7</v>
      </c>
      <c r="O119" t="s">
        <v>29</v>
      </c>
      <c r="P119" t="s">
        <v>29</v>
      </c>
      <c r="Q119" s="4">
        <v>225728</v>
      </c>
      <c r="R119" s="4">
        <v>120108</v>
      </c>
      <c r="S119" s="4">
        <f>Table1[[#This Row],[Service_Revenue]]-Table1[[#This Row],[Service_Cost]]</f>
        <v>105620</v>
      </c>
      <c r="T119" s="4">
        <v>1</v>
      </c>
      <c r="U119" s="4">
        <f>IF(AND(Table1[[#This Row],[Rework_Flag]]="Yes",Table1[[#This Row],[Warranty_Claim]]="No"),Table1[[#This Row],[Service_Revenue]],0)</f>
        <v>0</v>
      </c>
      <c r="V119" s="4">
        <f>IF(Table1[[#This Row],[Warranty_Claim]]="Yes",1,0)</f>
        <v>1</v>
      </c>
      <c r="W119" s="4">
        <f>IF(Table1[[#This Row],[Rework_Flag]]="No",1,0)</f>
        <v>0</v>
      </c>
      <c r="X119" s="4">
        <f>IF(Table1[[#This Row],[Rework_Flag]]="Yes",1,0)</f>
        <v>1</v>
      </c>
      <c r="Y119" s="4">
        <v>1</v>
      </c>
      <c r="Z119" s="4" t="str">
        <f>IF(Table1[[#This Row],[TAT_Days]]&gt;Table1[[#This Row],[SLA_TAT]],"Yes","No")</f>
        <v>Yes</v>
      </c>
      <c r="AA119" s="4" t="str" cm="1">
        <f t="array" ref="AA119">_xlfn.IFS(Table1[[#This Row],[Customer_Satisfaction]]&lt;=2,"Poor",Table1[[#This Row],[Customer_Satisfaction]]=3,"Neutral",Table1[[#This Row],[Customer_Satisfaction]]=4,"Good",Table1[[#This Row],[Customer_Satisfaction]]=5,"Good")</f>
        <v>Poor</v>
      </c>
    </row>
    <row r="120" spans="1:27" x14ac:dyDescent="0.35">
      <c r="A120">
        <v>20118</v>
      </c>
      <c r="B120" s="1">
        <v>45297</v>
      </c>
      <c r="C120" t="s">
        <v>30</v>
      </c>
      <c r="D120" t="s">
        <v>59</v>
      </c>
      <c r="E120" t="s">
        <v>66</v>
      </c>
      <c r="F120" t="s">
        <v>22</v>
      </c>
      <c r="G120" t="s">
        <v>33</v>
      </c>
      <c r="H120" t="s">
        <v>34</v>
      </c>
      <c r="I120" t="s">
        <v>25</v>
      </c>
      <c r="J120" t="s">
        <v>67</v>
      </c>
      <c r="K120" t="s">
        <v>27</v>
      </c>
      <c r="L120" t="s">
        <v>28</v>
      </c>
      <c r="M120" s="4">
        <v>11</v>
      </c>
      <c r="N120" s="4">
        <v>7</v>
      </c>
      <c r="O120" t="s">
        <v>29</v>
      </c>
      <c r="P120" t="s">
        <v>36</v>
      </c>
      <c r="Q120" s="4">
        <v>229086</v>
      </c>
      <c r="R120" s="4">
        <v>134235</v>
      </c>
      <c r="S120" s="4">
        <f>Table1[[#This Row],[Service_Revenue]]-Table1[[#This Row],[Service_Cost]]</f>
        <v>94851</v>
      </c>
      <c r="T120" s="4">
        <v>2</v>
      </c>
      <c r="U120" s="4">
        <f>IF(AND(Table1[[#This Row],[Rework_Flag]]="Yes",Table1[[#This Row],[Warranty_Claim]]="No"),Table1[[#This Row],[Service_Revenue]],0)</f>
        <v>229086</v>
      </c>
      <c r="V120" s="4">
        <f>IF(Table1[[#This Row],[Warranty_Claim]]="Yes",1,0)</f>
        <v>0</v>
      </c>
      <c r="W120" s="4">
        <f>IF(Table1[[#This Row],[Rework_Flag]]="No",1,0)</f>
        <v>0</v>
      </c>
      <c r="X120" s="4">
        <f>IF(Table1[[#This Row],[Rework_Flag]]="Yes",1,0)</f>
        <v>1</v>
      </c>
      <c r="Y120" s="4">
        <v>1</v>
      </c>
      <c r="Z120" s="4" t="str">
        <f>IF(Table1[[#This Row],[TAT_Days]]&gt;Table1[[#This Row],[SLA_TAT]],"Yes","No")</f>
        <v>Yes</v>
      </c>
      <c r="AA120" s="4" t="str" cm="1">
        <f t="array" ref="AA120">_xlfn.IFS(Table1[[#This Row],[Customer_Satisfaction]]&lt;=2,"Poor",Table1[[#This Row],[Customer_Satisfaction]]=3,"Neutral",Table1[[#This Row],[Customer_Satisfaction]]=4,"Good",Table1[[#This Row],[Customer_Satisfaction]]=5,"Good")</f>
        <v>Poor</v>
      </c>
    </row>
    <row r="121" spans="1:27" x14ac:dyDescent="0.35">
      <c r="A121">
        <v>20119</v>
      </c>
      <c r="B121" s="1">
        <v>45410</v>
      </c>
      <c r="C121" t="s">
        <v>37</v>
      </c>
      <c r="D121" t="s">
        <v>64</v>
      </c>
      <c r="E121" t="s">
        <v>65</v>
      </c>
      <c r="F121" t="s">
        <v>53</v>
      </c>
      <c r="G121" t="s">
        <v>23</v>
      </c>
      <c r="H121" t="s">
        <v>24</v>
      </c>
      <c r="I121" t="s">
        <v>55</v>
      </c>
      <c r="J121" t="s">
        <v>26</v>
      </c>
      <c r="K121" t="s">
        <v>27</v>
      </c>
      <c r="L121" t="s">
        <v>49</v>
      </c>
      <c r="M121" s="4">
        <v>9</v>
      </c>
      <c r="N121" s="4">
        <v>7</v>
      </c>
      <c r="O121" t="s">
        <v>29</v>
      </c>
      <c r="P121" t="s">
        <v>36</v>
      </c>
      <c r="Q121" s="4">
        <v>504972</v>
      </c>
      <c r="R121" s="4">
        <v>310326</v>
      </c>
      <c r="S121" s="4">
        <f>Table1[[#This Row],[Service_Revenue]]-Table1[[#This Row],[Service_Cost]]</f>
        <v>194646</v>
      </c>
      <c r="T121" s="4">
        <v>3</v>
      </c>
      <c r="U121" s="4">
        <f>IF(AND(Table1[[#This Row],[Rework_Flag]]="Yes",Table1[[#This Row],[Warranty_Claim]]="No"),Table1[[#This Row],[Service_Revenue]],0)</f>
        <v>504972</v>
      </c>
      <c r="V121" s="4">
        <f>IF(Table1[[#This Row],[Warranty_Claim]]="Yes",1,0)</f>
        <v>0</v>
      </c>
      <c r="W121" s="4">
        <f>IF(Table1[[#This Row],[Rework_Flag]]="No",1,0)</f>
        <v>0</v>
      </c>
      <c r="X121" s="4">
        <f>IF(Table1[[#This Row],[Rework_Flag]]="Yes",1,0)</f>
        <v>1</v>
      </c>
      <c r="Y121" s="4">
        <v>1</v>
      </c>
      <c r="Z121" s="4" t="str">
        <f>IF(Table1[[#This Row],[TAT_Days]]&gt;Table1[[#This Row],[SLA_TAT]],"Yes","No")</f>
        <v>Yes</v>
      </c>
      <c r="AA121" s="4" t="str" cm="1">
        <f t="array" ref="AA121">_xlfn.IFS(Table1[[#This Row],[Customer_Satisfaction]]&lt;=2,"Poor",Table1[[#This Row],[Customer_Satisfaction]]=3,"Neutral",Table1[[#This Row],[Customer_Satisfaction]]=4,"Good",Table1[[#This Row],[Customer_Satisfaction]]=5,"Good")</f>
        <v>Neutral</v>
      </c>
    </row>
    <row r="122" spans="1:27" x14ac:dyDescent="0.35">
      <c r="A122">
        <v>20120</v>
      </c>
      <c r="B122" s="1">
        <v>45374</v>
      </c>
      <c r="C122" t="s">
        <v>30</v>
      </c>
      <c r="D122" t="s">
        <v>59</v>
      </c>
      <c r="E122" t="s">
        <v>94</v>
      </c>
      <c r="F122" t="s">
        <v>53</v>
      </c>
      <c r="G122" t="s">
        <v>47</v>
      </c>
      <c r="H122" t="s">
        <v>48</v>
      </c>
      <c r="I122" t="s">
        <v>55</v>
      </c>
      <c r="J122" t="s">
        <v>58</v>
      </c>
      <c r="K122" t="s">
        <v>27</v>
      </c>
      <c r="L122" t="s">
        <v>28</v>
      </c>
      <c r="M122" s="4">
        <v>15</v>
      </c>
      <c r="N122" s="4">
        <v>7</v>
      </c>
      <c r="O122" t="s">
        <v>29</v>
      </c>
      <c r="P122" t="s">
        <v>36</v>
      </c>
      <c r="Q122" s="4">
        <v>165516</v>
      </c>
      <c r="R122" s="4">
        <v>102550</v>
      </c>
      <c r="S122" s="4">
        <f>Table1[[#This Row],[Service_Revenue]]-Table1[[#This Row],[Service_Cost]]</f>
        <v>62966</v>
      </c>
      <c r="T122" s="4">
        <v>1</v>
      </c>
      <c r="U122" s="4">
        <f>IF(AND(Table1[[#This Row],[Rework_Flag]]="Yes",Table1[[#This Row],[Warranty_Claim]]="No"),Table1[[#This Row],[Service_Revenue]],0)</f>
        <v>165516</v>
      </c>
      <c r="V122" s="4">
        <f>IF(Table1[[#This Row],[Warranty_Claim]]="Yes",1,0)</f>
        <v>0</v>
      </c>
      <c r="W122" s="4">
        <f>IF(Table1[[#This Row],[Rework_Flag]]="No",1,0)</f>
        <v>0</v>
      </c>
      <c r="X122" s="4">
        <f>IF(Table1[[#This Row],[Rework_Flag]]="Yes",1,0)</f>
        <v>1</v>
      </c>
      <c r="Y122" s="4">
        <v>1</v>
      </c>
      <c r="Z122" s="4" t="str">
        <f>IF(Table1[[#This Row],[TAT_Days]]&gt;Table1[[#This Row],[SLA_TAT]],"Yes","No")</f>
        <v>Yes</v>
      </c>
      <c r="AA122" s="4" t="str" cm="1">
        <f t="array" ref="AA122">_xlfn.IFS(Table1[[#This Row],[Customer_Satisfaction]]&lt;=2,"Poor",Table1[[#This Row],[Customer_Satisfaction]]=3,"Neutral",Table1[[#This Row],[Customer_Satisfaction]]=4,"Good",Table1[[#This Row],[Customer_Satisfaction]]=5,"Good")</f>
        <v>Poor</v>
      </c>
    </row>
    <row r="123" spans="1:27" x14ac:dyDescent="0.35">
      <c r="A123">
        <v>20121</v>
      </c>
      <c r="B123" s="1">
        <v>45348</v>
      </c>
      <c r="C123" t="s">
        <v>50</v>
      </c>
      <c r="D123" t="s">
        <v>80</v>
      </c>
      <c r="E123" t="s">
        <v>85</v>
      </c>
      <c r="F123" t="s">
        <v>53</v>
      </c>
      <c r="G123" t="s">
        <v>41</v>
      </c>
      <c r="H123" t="s">
        <v>42</v>
      </c>
      <c r="I123" t="s">
        <v>25</v>
      </c>
      <c r="J123" t="s">
        <v>43</v>
      </c>
      <c r="K123" t="s">
        <v>44</v>
      </c>
      <c r="L123" t="s">
        <v>49</v>
      </c>
      <c r="M123" s="4">
        <v>7</v>
      </c>
      <c r="N123" s="4">
        <v>7</v>
      </c>
      <c r="O123" t="s">
        <v>29</v>
      </c>
      <c r="P123" t="s">
        <v>36</v>
      </c>
      <c r="Q123" s="4">
        <v>293423</v>
      </c>
      <c r="R123" s="4">
        <v>154451</v>
      </c>
      <c r="S123" s="4">
        <f>Table1[[#This Row],[Service_Revenue]]-Table1[[#This Row],[Service_Cost]]</f>
        <v>138972</v>
      </c>
      <c r="T123" s="4">
        <v>3</v>
      </c>
      <c r="U123" s="4">
        <f>IF(AND(Table1[[#This Row],[Rework_Flag]]="Yes",Table1[[#This Row],[Warranty_Claim]]="No"),Table1[[#This Row],[Service_Revenue]],0)</f>
        <v>293423</v>
      </c>
      <c r="V123" s="4">
        <f>IF(Table1[[#This Row],[Warranty_Claim]]="Yes",1,0)</f>
        <v>0</v>
      </c>
      <c r="W123" s="4">
        <f>IF(Table1[[#This Row],[Rework_Flag]]="No",1,0)</f>
        <v>0</v>
      </c>
      <c r="X123" s="4">
        <f>IF(Table1[[#This Row],[Rework_Flag]]="Yes",1,0)</f>
        <v>1</v>
      </c>
      <c r="Y123" s="4">
        <v>1</v>
      </c>
      <c r="Z123" s="4" t="str">
        <f>IF(Table1[[#This Row],[TAT_Days]]&gt;Table1[[#This Row],[SLA_TAT]],"Yes","No")</f>
        <v>No</v>
      </c>
      <c r="AA123" s="4" t="str" cm="1">
        <f t="array" ref="AA123">_xlfn.IFS(Table1[[#This Row],[Customer_Satisfaction]]&lt;=2,"Poor",Table1[[#This Row],[Customer_Satisfaction]]=3,"Neutral",Table1[[#This Row],[Customer_Satisfaction]]=4,"Good",Table1[[#This Row],[Customer_Satisfaction]]=5,"Good")</f>
        <v>Neutral</v>
      </c>
    </row>
    <row r="124" spans="1:27" x14ac:dyDescent="0.35">
      <c r="A124">
        <v>20122</v>
      </c>
      <c r="B124" s="1">
        <v>45373</v>
      </c>
      <c r="C124" t="s">
        <v>30</v>
      </c>
      <c r="D124" t="s">
        <v>83</v>
      </c>
      <c r="E124" t="s">
        <v>84</v>
      </c>
      <c r="F124" t="s">
        <v>40</v>
      </c>
      <c r="G124" t="s">
        <v>33</v>
      </c>
      <c r="H124" t="s">
        <v>34</v>
      </c>
      <c r="I124" t="s">
        <v>55</v>
      </c>
      <c r="J124" t="s">
        <v>35</v>
      </c>
      <c r="K124" t="s">
        <v>44</v>
      </c>
      <c r="L124" t="s">
        <v>28</v>
      </c>
      <c r="M124" s="4">
        <v>20</v>
      </c>
      <c r="N124" s="4">
        <v>7</v>
      </c>
      <c r="O124" t="s">
        <v>36</v>
      </c>
      <c r="P124" t="s">
        <v>36</v>
      </c>
      <c r="Q124" s="4">
        <v>138268</v>
      </c>
      <c r="R124" s="4">
        <v>110294</v>
      </c>
      <c r="S124" s="4">
        <f>Table1[[#This Row],[Service_Revenue]]-Table1[[#This Row],[Service_Cost]]</f>
        <v>27974</v>
      </c>
      <c r="T124" s="4">
        <v>1</v>
      </c>
      <c r="U124" s="4">
        <f>IF(AND(Table1[[#This Row],[Rework_Flag]]="Yes",Table1[[#This Row],[Warranty_Claim]]="No"),Table1[[#This Row],[Service_Revenue]],0)</f>
        <v>0</v>
      </c>
      <c r="V124" s="4">
        <f>IF(Table1[[#This Row],[Warranty_Claim]]="Yes",1,0)</f>
        <v>0</v>
      </c>
      <c r="W124" s="4">
        <f>IF(Table1[[#This Row],[Rework_Flag]]="No",1,0)</f>
        <v>1</v>
      </c>
      <c r="X124" s="4">
        <f>IF(Table1[[#This Row],[Rework_Flag]]="Yes",1,0)</f>
        <v>0</v>
      </c>
      <c r="Y124" s="4">
        <v>1</v>
      </c>
      <c r="Z124" s="4" t="str">
        <f>IF(Table1[[#This Row],[TAT_Days]]&gt;Table1[[#This Row],[SLA_TAT]],"Yes","No")</f>
        <v>Yes</v>
      </c>
      <c r="AA124" s="4" t="str" cm="1">
        <f t="array" ref="AA124">_xlfn.IFS(Table1[[#This Row],[Customer_Satisfaction]]&lt;=2,"Poor",Table1[[#This Row],[Customer_Satisfaction]]=3,"Neutral",Table1[[#This Row],[Customer_Satisfaction]]=4,"Good",Table1[[#This Row],[Customer_Satisfaction]]=5,"Good")</f>
        <v>Poor</v>
      </c>
    </row>
    <row r="125" spans="1:27" x14ac:dyDescent="0.35">
      <c r="A125">
        <v>20123</v>
      </c>
      <c r="B125" s="1">
        <v>45379</v>
      </c>
      <c r="C125" t="s">
        <v>30</v>
      </c>
      <c r="D125" t="s">
        <v>31</v>
      </c>
      <c r="E125" t="s">
        <v>62</v>
      </c>
      <c r="F125" t="s">
        <v>53</v>
      </c>
      <c r="G125" t="s">
        <v>23</v>
      </c>
      <c r="H125" t="s">
        <v>24</v>
      </c>
      <c r="I125" t="s">
        <v>25</v>
      </c>
      <c r="J125" t="s">
        <v>26</v>
      </c>
      <c r="K125" t="s">
        <v>44</v>
      </c>
      <c r="L125" t="s">
        <v>49</v>
      </c>
      <c r="M125" s="4">
        <v>24</v>
      </c>
      <c r="N125" s="4">
        <v>7</v>
      </c>
      <c r="O125" t="s">
        <v>29</v>
      </c>
      <c r="P125" t="s">
        <v>36</v>
      </c>
      <c r="Q125" s="4">
        <v>344663</v>
      </c>
      <c r="R125" s="4">
        <v>209137</v>
      </c>
      <c r="S125" s="4">
        <f>Table1[[#This Row],[Service_Revenue]]-Table1[[#This Row],[Service_Cost]]</f>
        <v>135526</v>
      </c>
      <c r="T125" s="4">
        <v>1</v>
      </c>
      <c r="U125" s="4">
        <f>IF(AND(Table1[[#This Row],[Rework_Flag]]="Yes",Table1[[#This Row],[Warranty_Claim]]="No"),Table1[[#This Row],[Service_Revenue]],0)</f>
        <v>344663</v>
      </c>
      <c r="V125" s="4">
        <f>IF(Table1[[#This Row],[Warranty_Claim]]="Yes",1,0)</f>
        <v>0</v>
      </c>
      <c r="W125" s="4">
        <f>IF(Table1[[#This Row],[Rework_Flag]]="No",1,0)</f>
        <v>0</v>
      </c>
      <c r="X125" s="4">
        <f>IF(Table1[[#This Row],[Rework_Flag]]="Yes",1,0)</f>
        <v>1</v>
      </c>
      <c r="Y125" s="4">
        <v>1</v>
      </c>
      <c r="Z125" s="4" t="str">
        <f>IF(Table1[[#This Row],[TAT_Days]]&gt;Table1[[#This Row],[SLA_TAT]],"Yes","No")</f>
        <v>Yes</v>
      </c>
      <c r="AA125" s="4" t="str" cm="1">
        <f t="array" ref="AA125">_xlfn.IFS(Table1[[#This Row],[Customer_Satisfaction]]&lt;=2,"Poor",Table1[[#This Row],[Customer_Satisfaction]]=3,"Neutral",Table1[[#This Row],[Customer_Satisfaction]]=4,"Good",Table1[[#This Row],[Customer_Satisfaction]]=5,"Good")</f>
        <v>Poor</v>
      </c>
    </row>
    <row r="126" spans="1:27" x14ac:dyDescent="0.35">
      <c r="A126">
        <v>20124</v>
      </c>
      <c r="B126" s="1">
        <v>45387</v>
      </c>
      <c r="C126" t="s">
        <v>50</v>
      </c>
      <c r="D126" t="s">
        <v>56</v>
      </c>
      <c r="E126" t="s">
        <v>88</v>
      </c>
      <c r="F126" t="s">
        <v>22</v>
      </c>
      <c r="G126" t="s">
        <v>74</v>
      </c>
      <c r="H126" t="s">
        <v>34</v>
      </c>
      <c r="I126" t="s">
        <v>55</v>
      </c>
      <c r="J126" t="s">
        <v>35</v>
      </c>
      <c r="K126" t="s">
        <v>61</v>
      </c>
      <c r="L126" t="s">
        <v>28</v>
      </c>
      <c r="M126" s="4">
        <v>19</v>
      </c>
      <c r="N126" s="4">
        <v>7</v>
      </c>
      <c r="O126" t="s">
        <v>36</v>
      </c>
      <c r="P126" t="s">
        <v>29</v>
      </c>
      <c r="Q126" s="4">
        <v>168168</v>
      </c>
      <c r="R126" s="4">
        <v>106285</v>
      </c>
      <c r="S126" s="4">
        <f>Table1[[#This Row],[Service_Revenue]]-Table1[[#This Row],[Service_Cost]]</f>
        <v>61883</v>
      </c>
      <c r="T126" s="4">
        <v>2</v>
      </c>
      <c r="U126" s="4">
        <f>IF(AND(Table1[[#This Row],[Rework_Flag]]="Yes",Table1[[#This Row],[Warranty_Claim]]="No"),Table1[[#This Row],[Service_Revenue]],0)</f>
        <v>0</v>
      </c>
      <c r="V126" s="4">
        <f>IF(Table1[[#This Row],[Warranty_Claim]]="Yes",1,0)</f>
        <v>1</v>
      </c>
      <c r="W126" s="4">
        <f>IF(Table1[[#This Row],[Rework_Flag]]="No",1,0)</f>
        <v>1</v>
      </c>
      <c r="X126" s="4">
        <f>IF(Table1[[#This Row],[Rework_Flag]]="Yes",1,0)</f>
        <v>0</v>
      </c>
      <c r="Y126" s="4">
        <v>1</v>
      </c>
      <c r="Z126" s="4" t="str">
        <f>IF(Table1[[#This Row],[TAT_Days]]&gt;Table1[[#This Row],[SLA_TAT]],"Yes","No")</f>
        <v>Yes</v>
      </c>
      <c r="AA126" s="4" t="str" cm="1">
        <f t="array" ref="AA126">_xlfn.IFS(Table1[[#This Row],[Customer_Satisfaction]]&lt;=2,"Poor",Table1[[#This Row],[Customer_Satisfaction]]=3,"Neutral",Table1[[#This Row],[Customer_Satisfaction]]=4,"Good",Table1[[#This Row],[Customer_Satisfaction]]=5,"Good")</f>
        <v>Poor</v>
      </c>
    </row>
    <row r="127" spans="1:27" x14ac:dyDescent="0.35">
      <c r="A127">
        <v>20125</v>
      </c>
      <c r="B127" s="1">
        <v>45337</v>
      </c>
      <c r="C127" t="s">
        <v>37</v>
      </c>
      <c r="D127" t="s">
        <v>38</v>
      </c>
      <c r="E127" t="s">
        <v>107</v>
      </c>
      <c r="F127" t="s">
        <v>40</v>
      </c>
      <c r="G127" t="s">
        <v>41</v>
      </c>
      <c r="H127" t="s">
        <v>42</v>
      </c>
      <c r="I127" t="s">
        <v>25</v>
      </c>
      <c r="J127" t="s">
        <v>67</v>
      </c>
      <c r="K127" t="s">
        <v>44</v>
      </c>
      <c r="L127" t="s">
        <v>28</v>
      </c>
      <c r="M127" s="4">
        <v>3</v>
      </c>
      <c r="N127" s="4">
        <v>7</v>
      </c>
      <c r="O127" t="s">
        <v>29</v>
      </c>
      <c r="P127" t="s">
        <v>36</v>
      </c>
      <c r="Q127" s="4">
        <v>212937</v>
      </c>
      <c r="R127" s="4">
        <v>180099</v>
      </c>
      <c r="S127" s="4">
        <f>Table1[[#This Row],[Service_Revenue]]-Table1[[#This Row],[Service_Cost]]</f>
        <v>32838</v>
      </c>
      <c r="T127" s="4">
        <v>4</v>
      </c>
      <c r="U127" s="4">
        <f>IF(AND(Table1[[#This Row],[Rework_Flag]]="Yes",Table1[[#This Row],[Warranty_Claim]]="No"),Table1[[#This Row],[Service_Revenue]],0)</f>
        <v>212937</v>
      </c>
      <c r="V127" s="4">
        <f>IF(Table1[[#This Row],[Warranty_Claim]]="Yes",1,0)</f>
        <v>0</v>
      </c>
      <c r="W127" s="4">
        <f>IF(Table1[[#This Row],[Rework_Flag]]="No",1,0)</f>
        <v>0</v>
      </c>
      <c r="X127" s="4">
        <f>IF(Table1[[#This Row],[Rework_Flag]]="Yes",1,0)</f>
        <v>1</v>
      </c>
      <c r="Y127" s="4">
        <v>1</v>
      </c>
      <c r="Z127" s="4" t="str">
        <f>IF(Table1[[#This Row],[TAT_Days]]&gt;Table1[[#This Row],[SLA_TAT]],"Yes","No")</f>
        <v>No</v>
      </c>
      <c r="AA127" s="4" t="str" cm="1">
        <f t="array" ref="AA127">_xlfn.IFS(Table1[[#This Row],[Customer_Satisfaction]]&lt;=2,"Poor",Table1[[#This Row],[Customer_Satisfaction]]=3,"Neutral",Table1[[#This Row],[Customer_Satisfaction]]=4,"Good",Table1[[#This Row],[Customer_Satisfaction]]=5,"Good")</f>
        <v>Good</v>
      </c>
    </row>
    <row r="128" spans="1:27" x14ac:dyDescent="0.35">
      <c r="A128">
        <v>20126</v>
      </c>
      <c r="B128" s="1">
        <v>45357</v>
      </c>
      <c r="C128" t="s">
        <v>37</v>
      </c>
      <c r="D128" t="s">
        <v>64</v>
      </c>
      <c r="E128" t="s">
        <v>87</v>
      </c>
      <c r="F128" t="s">
        <v>40</v>
      </c>
      <c r="G128" t="s">
        <v>47</v>
      </c>
      <c r="H128" t="s">
        <v>48</v>
      </c>
      <c r="I128" t="s">
        <v>55</v>
      </c>
      <c r="J128" t="s">
        <v>35</v>
      </c>
      <c r="K128" t="s">
        <v>61</v>
      </c>
      <c r="L128" t="s">
        <v>28</v>
      </c>
      <c r="M128" s="4">
        <v>21</v>
      </c>
      <c r="N128" s="4">
        <v>7</v>
      </c>
      <c r="O128" t="s">
        <v>36</v>
      </c>
      <c r="P128" t="s">
        <v>36</v>
      </c>
      <c r="Q128" s="4">
        <v>497439</v>
      </c>
      <c r="R128" s="4">
        <v>413712</v>
      </c>
      <c r="S128" s="4">
        <f>Table1[[#This Row],[Service_Revenue]]-Table1[[#This Row],[Service_Cost]]</f>
        <v>83727</v>
      </c>
      <c r="T128" s="4">
        <v>1</v>
      </c>
      <c r="U128" s="4">
        <f>IF(AND(Table1[[#This Row],[Rework_Flag]]="Yes",Table1[[#This Row],[Warranty_Claim]]="No"),Table1[[#This Row],[Service_Revenue]],0)</f>
        <v>0</v>
      </c>
      <c r="V128" s="4">
        <f>IF(Table1[[#This Row],[Warranty_Claim]]="Yes",1,0)</f>
        <v>0</v>
      </c>
      <c r="W128" s="4">
        <f>IF(Table1[[#This Row],[Rework_Flag]]="No",1,0)</f>
        <v>1</v>
      </c>
      <c r="X128" s="4">
        <f>IF(Table1[[#This Row],[Rework_Flag]]="Yes",1,0)</f>
        <v>0</v>
      </c>
      <c r="Y128" s="4">
        <v>1</v>
      </c>
      <c r="Z128" s="4" t="str">
        <f>IF(Table1[[#This Row],[TAT_Days]]&gt;Table1[[#This Row],[SLA_TAT]],"Yes","No")</f>
        <v>Yes</v>
      </c>
      <c r="AA128" s="4" t="str" cm="1">
        <f t="array" ref="AA128">_xlfn.IFS(Table1[[#This Row],[Customer_Satisfaction]]&lt;=2,"Poor",Table1[[#This Row],[Customer_Satisfaction]]=3,"Neutral",Table1[[#This Row],[Customer_Satisfaction]]=4,"Good",Table1[[#This Row],[Customer_Satisfaction]]=5,"Good")</f>
        <v>Poor</v>
      </c>
    </row>
    <row r="129" spans="1:27" x14ac:dyDescent="0.35">
      <c r="A129">
        <v>20127</v>
      </c>
      <c r="B129" s="1">
        <v>45345</v>
      </c>
      <c r="C129" t="s">
        <v>50</v>
      </c>
      <c r="D129" t="s">
        <v>56</v>
      </c>
      <c r="E129" t="s">
        <v>68</v>
      </c>
      <c r="F129" t="s">
        <v>22</v>
      </c>
      <c r="G129" t="s">
        <v>54</v>
      </c>
      <c r="H129" t="s">
        <v>42</v>
      </c>
      <c r="I129" t="s">
        <v>25</v>
      </c>
      <c r="J129" t="s">
        <v>67</v>
      </c>
      <c r="K129" t="s">
        <v>61</v>
      </c>
      <c r="L129" t="s">
        <v>28</v>
      </c>
      <c r="M129" s="4">
        <v>18</v>
      </c>
      <c r="N129" s="4">
        <v>7</v>
      </c>
      <c r="O129" t="s">
        <v>36</v>
      </c>
      <c r="P129" t="s">
        <v>36</v>
      </c>
      <c r="Q129" s="4">
        <v>429018</v>
      </c>
      <c r="R129" s="4">
        <v>267268</v>
      </c>
      <c r="S129" s="4">
        <f>Table1[[#This Row],[Service_Revenue]]-Table1[[#This Row],[Service_Cost]]</f>
        <v>161750</v>
      </c>
      <c r="T129" s="4">
        <v>2</v>
      </c>
      <c r="U129" s="4">
        <f>IF(AND(Table1[[#This Row],[Rework_Flag]]="Yes",Table1[[#This Row],[Warranty_Claim]]="No"),Table1[[#This Row],[Service_Revenue]],0)</f>
        <v>0</v>
      </c>
      <c r="V129" s="4">
        <f>IF(Table1[[#This Row],[Warranty_Claim]]="Yes",1,0)</f>
        <v>0</v>
      </c>
      <c r="W129" s="4">
        <f>IF(Table1[[#This Row],[Rework_Flag]]="No",1,0)</f>
        <v>1</v>
      </c>
      <c r="X129" s="4">
        <f>IF(Table1[[#This Row],[Rework_Flag]]="Yes",1,0)</f>
        <v>0</v>
      </c>
      <c r="Y129" s="4">
        <v>1</v>
      </c>
      <c r="Z129" s="4" t="str">
        <f>IF(Table1[[#This Row],[TAT_Days]]&gt;Table1[[#This Row],[SLA_TAT]],"Yes","No")</f>
        <v>Yes</v>
      </c>
      <c r="AA129" s="4" t="str" cm="1">
        <f t="array" ref="AA129">_xlfn.IFS(Table1[[#This Row],[Customer_Satisfaction]]&lt;=2,"Poor",Table1[[#This Row],[Customer_Satisfaction]]=3,"Neutral",Table1[[#This Row],[Customer_Satisfaction]]=4,"Good",Table1[[#This Row],[Customer_Satisfaction]]=5,"Good")</f>
        <v>Poor</v>
      </c>
    </row>
    <row r="130" spans="1:27" x14ac:dyDescent="0.35">
      <c r="A130">
        <v>20128</v>
      </c>
      <c r="B130" s="1">
        <v>45314</v>
      </c>
      <c r="C130" t="s">
        <v>37</v>
      </c>
      <c r="D130" t="s">
        <v>38</v>
      </c>
      <c r="E130" t="s">
        <v>107</v>
      </c>
      <c r="F130" t="s">
        <v>53</v>
      </c>
      <c r="G130" t="s">
        <v>23</v>
      </c>
      <c r="H130" t="s">
        <v>24</v>
      </c>
      <c r="I130" t="s">
        <v>25</v>
      </c>
      <c r="J130" t="s">
        <v>58</v>
      </c>
      <c r="K130" t="s">
        <v>61</v>
      </c>
      <c r="L130" t="s">
        <v>49</v>
      </c>
      <c r="M130" s="4">
        <v>2</v>
      </c>
      <c r="N130" s="4">
        <v>7</v>
      </c>
      <c r="O130" t="s">
        <v>36</v>
      </c>
      <c r="P130" t="s">
        <v>36</v>
      </c>
      <c r="Q130" s="4">
        <v>378734</v>
      </c>
      <c r="R130" s="4">
        <v>215905</v>
      </c>
      <c r="S130" s="4">
        <f>Table1[[#This Row],[Service_Revenue]]-Table1[[#This Row],[Service_Cost]]</f>
        <v>162829</v>
      </c>
      <c r="T130" s="4">
        <v>5</v>
      </c>
      <c r="U130" s="4">
        <f>IF(AND(Table1[[#This Row],[Rework_Flag]]="Yes",Table1[[#This Row],[Warranty_Claim]]="No"),Table1[[#This Row],[Service_Revenue]],0)</f>
        <v>0</v>
      </c>
      <c r="V130" s="4">
        <f>IF(Table1[[#This Row],[Warranty_Claim]]="Yes",1,0)</f>
        <v>0</v>
      </c>
      <c r="W130" s="4">
        <f>IF(Table1[[#This Row],[Rework_Flag]]="No",1,0)</f>
        <v>1</v>
      </c>
      <c r="X130" s="4">
        <f>IF(Table1[[#This Row],[Rework_Flag]]="Yes",1,0)</f>
        <v>0</v>
      </c>
      <c r="Y130" s="4">
        <v>1</v>
      </c>
      <c r="Z130" s="4" t="str">
        <f>IF(Table1[[#This Row],[TAT_Days]]&gt;Table1[[#This Row],[SLA_TAT]],"Yes","No")</f>
        <v>No</v>
      </c>
      <c r="AA130" s="4" t="str" cm="1">
        <f t="array" ref="AA130">_xlfn.IFS(Table1[[#This Row],[Customer_Satisfaction]]&lt;=2,"Poor",Table1[[#This Row],[Customer_Satisfaction]]=3,"Neutral",Table1[[#This Row],[Customer_Satisfaction]]=4,"Good",Table1[[#This Row],[Customer_Satisfaction]]=5,"Good")</f>
        <v>Good</v>
      </c>
    </row>
    <row r="131" spans="1:27" x14ac:dyDescent="0.35">
      <c r="A131">
        <v>20129</v>
      </c>
      <c r="B131" s="1">
        <v>45452</v>
      </c>
      <c r="C131" t="s">
        <v>30</v>
      </c>
      <c r="D131" t="s">
        <v>31</v>
      </c>
      <c r="E131" t="s">
        <v>106</v>
      </c>
      <c r="F131" t="s">
        <v>22</v>
      </c>
      <c r="G131" t="s">
        <v>74</v>
      </c>
      <c r="H131" t="s">
        <v>34</v>
      </c>
      <c r="I131" t="s">
        <v>25</v>
      </c>
      <c r="J131" t="s">
        <v>67</v>
      </c>
      <c r="K131" t="s">
        <v>44</v>
      </c>
      <c r="L131" t="s">
        <v>49</v>
      </c>
      <c r="M131" s="4">
        <v>2</v>
      </c>
      <c r="N131" s="4">
        <v>7</v>
      </c>
      <c r="O131" t="s">
        <v>29</v>
      </c>
      <c r="P131" t="s">
        <v>36</v>
      </c>
      <c r="Q131" s="4">
        <v>338626</v>
      </c>
      <c r="R131" s="4">
        <v>171575</v>
      </c>
      <c r="S131" s="4">
        <f>Table1[[#This Row],[Service_Revenue]]-Table1[[#This Row],[Service_Cost]]</f>
        <v>167051</v>
      </c>
      <c r="T131" s="4">
        <v>4</v>
      </c>
      <c r="U131" s="4">
        <f>IF(AND(Table1[[#This Row],[Rework_Flag]]="Yes",Table1[[#This Row],[Warranty_Claim]]="No"),Table1[[#This Row],[Service_Revenue]],0)</f>
        <v>338626</v>
      </c>
      <c r="V131" s="4">
        <f>IF(Table1[[#This Row],[Warranty_Claim]]="Yes",1,0)</f>
        <v>0</v>
      </c>
      <c r="W131" s="4">
        <f>IF(Table1[[#This Row],[Rework_Flag]]="No",1,0)</f>
        <v>0</v>
      </c>
      <c r="X131" s="4">
        <f>IF(Table1[[#This Row],[Rework_Flag]]="Yes",1,0)</f>
        <v>1</v>
      </c>
      <c r="Y131" s="4">
        <v>1</v>
      </c>
      <c r="Z131" s="4" t="str">
        <f>IF(Table1[[#This Row],[TAT_Days]]&gt;Table1[[#This Row],[SLA_TAT]],"Yes","No")</f>
        <v>No</v>
      </c>
      <c r="AA131" s="4" t="str" cm="1">
        <f t="array" ref="AA131">_xlfn.IFS(Table1[[#This Row],[Customer_Satisfaction]]&lt;=2,"Poor",Table1[[#This Row],[Customer_Satisfaction]]=3,"Neutral",Table1[[#This Row],[Customer_Satisfaction]]=4,"Good",Table1[[#This Row],[Customer_Satisfaction]]=5,"Good")</f>
        <v>Good</v>
      </c>
    </row>
    <row r="132" spans="1:27" x14ac:dyDescent="0.35">
      <c r="A132">
        <v>20130</v>
      </c>
      <c r="B132" s="1">
        <v>45418</v>
      </c>
      <c r="C132" t="s">
        <v>50</v>
      </c>
      <c r="D132" t="s">
        <v>56</v>
      </c>
      <c r="E132" t="s">
        <v>57</v>
      </c>
      <c r="F132" t="s">
        <v>22</v>
      </c>
      <c r="G132" t="s">
        <v>33</v>
      </c>
      <c r="H132" t="s">
        <v>34</v>
      </c>
      <c r="I132" t="s">
        <v>25</v>
      </c>
      <c r="J132" t="s">
        <v>58</v>
      </c>
      <c r="K132" t="s">
        <v>27</v>
      </c>
      <c r="L132" t="s">
        <v>49</v>
      </c>
      <c r="M132" s="4">
        <v>18</v>
      </c>
      <c r="N132" s="4">
        <v>7</v>
      </c>
      <c r="O132" t="s">
        <v>29</v>
      </c>
      <c r="P132" t="s">
        <v>29</v>
      </c>
      <c r="Q132" s="4">
        <v>281367</v>
      </c>
      <c r="R132" s="4">
        <v>167085</v>
      </c>
      <c r="S132" s="4">
        <f>Table1[[#This Row],[Service_Revenue]]-Table1[[#This Row],[Service_Cost]]</f>
        <v>114282</v>
      </c>
      <c r="T132" s="4">
        <v>1</v>
      </c>
      <c r="U132" s="4">
        <f>IF(AND(Table1[[#This Row],[Rework_Flag]]="Yes",Table1[[#This Row],[Warranty_Claim]]="No"),Table1[[#This Row],[Service_Revenue]],0)</f>
        <v>0</v>
      </c>
      <c r="V132" s="4">
        <f>IF(Table1[[#This Row],[Warranty_Claim]]="Yes",1,0)</f>
        <v>1</v>
      </c>
      <c r="W132" s="4">
        <f>IF(Table1[[#This Row],[Rework_Flag]]="No",1,0)</f>
        <v>0</v>
      </c>
      <c r="X132" s="4">
        <f>IF(Table1[[#This Row],[Rework_Flag]]="Yes",1,0)</f>
        <v>1</v>
      </c>
      <c r="Y132" s="4">
        <v>1</v>
      </c>
      <c r="Z132" s="4" t="str">
        <f>IF(Table1[[#This Row],[TAT_Days]]&gt;Table1[[#This Row],[SLA_TAT]],"Yes","No")</f>
        <v>Yes</v>
      </c>
      <c r="AA132" s="4" t="str" cm="1">
        <f t="array" ref="AA132">_xlfn.IFS(Table1[[#This Row],[Customer_Satisfaction]]&lt;=2,"Poor",Table1[[#This Row],[Customer_Satisfaction]]=3,"Neutral",Table1[[#This Row],[Customer_Satisfaction]]=4,"Good",Table1[[#This Row],[Customer_Satisfaction]]=5,"Good")</f>
        <v>Poor</v>
      </c>
    </row>
    <row r="133" spans="1:27" x14ac:dyDescent="0.35">
      <c r="A133">
        <v>20131</v>
      </c>
      <c r="B133" s="1">
        <v>45352</v>
      </c>
      <c r="C133" t="s">
        <v>19</v>
      </c>
      <c r="D133" t="s">
        <v>20</v>
      </c>
      <c r="E133" t="s">
        <v>89</v>
      </c>
      <c r="F133" t="s">
        <v>40</v>
      </c>
      <c r="G133" t="s">
        <v>63</v>
      </c>
      <c r="H133" t="s">
        <v>24</v>
      </c>
      <c r="I133" t="s">
        <v>55</v>
      </c>
      <c r="J133" t="s">
        <v>67</v>
      </c>
      <c r="K133" t="s">
        <v>61</v>
      </c>
      <c r="L133" t="s">
        <v>49</v>
      </c>
      <c r="M133" s="4">
        <v>20</v>
      </c>
      <c r="N133" s="4">
        <v>7</v>
      </c>
      <c r="O133" t="s">
        <v>36</v>
      </c>
      <c r="P133" t="s">
        <v>29</v>
      </c>
      <c r="Q133" s="4">
        <v>138627</v>
      </c>
      <c r="R133" s="4">
        <v>95392</v>
      </c>
      <c r="S133" s="4">
        <f>Table1[[#This Row],[Service_Revenue]]-Table1[[#This Row],[Service_Cost]]</f>
        <v>43235</v>
      </c>
      <c r="T133" s="4">
        <v>1</v>
      </c>
      <c r="U133" s="4">
        <f>IF(AND(Table1[[#This Row],[Rework_Flag]]="Yes",Table1[[#This Row],[Warranty_Claim]]="No"),Table1[[#This Row],[Service_Revenue]],0)</f>
        <v>0</v>
      </c>
      <c r="V133" s="4">
        <f>IF(Table1[[#This Row],[Warranty_Claim]]="Yes",1,0)</f>
        <v>1</v>
      </c>
      <c r="W133" s="4">
        <f>IF(Table1[[#This Row],[Rework_Flag]]="No",1,0)</f>
        <v>1</v>
      </c>
      <c r="X133" s="4">
        <f>IF(Table1[[#This Row],[Rework_Flag]]="Yes",1,0)</f>
        <v>0</v>
      </c>
      <c r="Y133" s="4">
        <v>1</v>
      </c>
      <c r="Z133" s="4" t="str">
        <f>IF(Table1[[#This Row],[TAT_Days]]&gt;Table1[[#This Row],[SLA_TAT]],"Yes","No")</f>
        <v>Yes</v>
      </c>
      <c r="AA133" s="4" t="str" cm="1">
        <f t="array" ref="AA133">_xlfn.IFS(Table1[[#This Row],[Customer_Satisfaction]]&lt;=2,"Poor",Table1[[#This Row],[Customer_Satisfaction]]=3,"Neutral",Table1[[#This Row],[Customer_Satisfaction]]=4,"Good",Table1[[#This Row],[Customer_Satisfaction]]=5,"Good")</f>
        <v>Poor</v>
      </c>
    </row>
    <row r="134" spans="1:27" x14ac:dyDescent="0.35">
      <c r="A134">
        <v>20132</v>
      </c>
      <c r="B134" s="1">
        <v>45457</v>
      </c>
      <c r="C134" t="s">
        <v>50</v>
      </c>
      <c r="D134" t="s">
        <v>56</v>
      </c>
      <c r="E134" t="s">
        <v>88</v>
      </c>
      <c r="F134" t="s">
        <v>53</v>
      </c>
      <c r="G134" t="s">
        <v>63</v>
      </c>
      <c r="H134" t="s">
        <v>24</v>
      </c>
      <c r="I134" t="s">
        <v>55</v>
      </c>
      <c r="J134" t="s">
        <v>67</v>
      </c>
      <c r="K134" t="s">
        <v>27</v>
      </c>
      <c r="L134" t="s">
        <v>28</v>
      </c>
      <c r="M134" s="4">
        <v>14</v>
      </c>
      <c r="N134" s="4">
        <v>7</v>
      </c>
      <c r="O134" t="s">
        <v>29</v>
      </c>
      <c r="P134" t="s">
        <v>36</v>
      </c>
      <c r="Q134" s="4">
        <v>364837</v>
      </c>
      <c r="R134" s="4">
        <v>277813</v>
      </c>
      <c r="S134" s="4">
        <f>Table1[[#This Row],[Service_Revenue]]-Table1[[#This Row],[Service_Cost]]</f>
        <v>87024</v>
      </c>
      <c r="T134" s="4">
        <v>2</v>
      </c>
      <c r="U134" s="4">
        <f>IF(AND(Table1[[#This Row],[Rework_Flag]]="Yes",Table1[[#This Row],[Warranty_Claim]]="No"),Table1[[#This Row],[Service_Revenue]],0)</f>
        <v>364837</v>
      </c>
      <c r="V134" s="4">
        <f>IF(Table1[[#This Row],[Warranty_Claim]]="Yes",1,0)</f>
        <v>0</v>
      </c>
      <c r="W134" s="4">
        <f>IF(Table1[[#This Row],[Rework_Flag]]="No",1,0)</f>
        <v>0</v>
      </c>
      <c r="X134" s="4">
        <f>IF(Table1[[#This Row],[Rework_Flag]]="Yes",1,0)</f>
        <v>1</v>
      </c>
      <c r="Y134" s="4">
        <v>1</v>
      </c>
      <c r="Z134" s="4" t="str">
        <f>IF(Table1[[#This Row],[TAT_Days]]&gt;Table1[[#This Row],[SLA_TAT]],"Yes","No")</f>
        <v>Yes</v>
      </c>
      <c r="AA134" s="4" t="str" cm="1">
        <f t="array" ref="AA134">_xlfn.IFS(Table1[[#This Row],[Customer_Satisfaction]]&lt;=2,"Poor",Table1[[#This Row],[Customer_Satisfaction]]=3,"Neutral",Table1[[#This Row],[Customer_Satisfaction]]=4,"Good",Table1[[#This Row],[Customer_Satisfaction]]=5,"Good")</f>
        <v>Poor</v>
      </c>
    </row>
    <row r="135" spans="1:27" x14ac:dyDescent="0.35">
      <c r="A135">
        <v>20133</v>
      </c>
      <c r="B135" s="1">
        <v>45310</v>
      </c>
      <c r="C135" t="s">
        <v>19</v>
      </c>
      <c r="D135" t="s">
        <v>45</v>
      </c>
      <c r="E135" t="s">
        <v>114</v>
      </c>
      <c r="F135" t="s">
        <v>53</v>
      </c>
      <c r="G135" t="s">
        <v>54</v>
      </c>
      <c r="H135" t="s">
        <v>42</v>
      </c>
      <c r="I135" t="s">
        <v>55</v>
      </c>
      <c r="J135" t="s">
        <v>35</v>
      </c>
      <c r="K135" t="s">
        <v>61</v>
      </c>
      <c r="L135" t="s">
        <v>28</v>
      </c>
      <c r="M135" s="4">
        <v>14</v>
      </c>
      <c r="N135" s="4">
        <v>7</v>
      </c>
      <c r="O135" t="s">
        <v>29</v>
      </c>
      <c r="P135" t="s">
        <v>36</v>
      </c>
      <c r="Q135" s="4">
        <v>541609</v>
      </c>
      <c r="R135" s="4">
        <v>455442</v>
      </c>
      <c r="S135" s="4">
        <f>Table1[[#This Row],[Service_Revenue]]-Table1[[#This Row],[Service_Cost]]</f>
        <v>86167</v>
      </c>
      <c r="T135" s="4">
        <v>2</v>
      </c>
      <c r="U135" s="4">
        <f>IF(AND(Table1[[#This Row],[Rework_Flag]]="Yes",Table1[[#This Row],[Warranty_Claim]]="No"),Table1[[#This Row],[Service_Revenue]],0)</f>
        <v>541609</v>
      </c>
      <c r="V135" s="4">
        <f>IF(Table1[[#This Row],[Warranty_Claim]]="Yes",1,0)</f>
        <v>0</v>
      </c>
      <c r="W135" s="4">
        <f>IF(Table1[[#This Row],[Rework_Flag]]="No",1,0)</f>
        <v>0</v>
      </c>
      <c r="X135" s="4">
        <f>IF(Table1[[#This Row],[Rework_Flag]]="Yes",1,0)</f>
        <v>1</v>
      </c>
      <c r="Y135" s="4">
        <v>1</v>
      </c>
      <c r="Z135" s="4" t="str">
        <f>IF(Table1[[#This Row],[TAT_Days]]&gt;Table1[[#This Row],[SLA_TAT]],"Yes","No")</f>
        <v>Yes</v>
      </c>
      <c r="AA135" s="4" t="str" cm="1">
        <f t="array" ref="AA135">_xlfn.IFS(Table1[[#This Row],[Customer_Satisfaction]]&lt;=2,"Poor",Table1[[#This Row],[Customer_Satisfaction]]=3,"Neutral",Table1[[#This Row],[Customer_Satisfaction]]=4,"Good",Table1[[#This Row],[Customer_Satisfaction]]=5,"Good")</f>
        <v>Poor</v>
      </c>
    </row>
    <row r="136" spans="1:27" x14ac:dyDescent="0.35">
      <c r="A136">
        <v>20134</v>
      </c>
      <c r="B136" s="1">
        <v>45439</v>
      </c>
      <c r="C136" t="s">
        <v>30</v>
      </c>
      <c r="D136" t="s">
        <v>83</v>
      </c>
      <c r="E136" t="s">
        <v>95</v>
      </c>
      <c r="F136" t="s">
        <v>22</v>
      </c>
      <c r="G136" t="s">
        <v>47</v>
      </c>
      <c r="H136" t="s">
        <v>48</v>
      </c>
      <c r="I136" t="s">
        <v>55</v>
      </c>
      <c r="J136" t="s">
        <v>43</v>
      </c>
      <c r="K136" t="s">
        <v>61</v>
      </c>
      <c r="L136" t="s">
        <v>28</v>
      </c>
      <c r="M136" s="4">
        <v>9</v>
      </c>
      <c r="N136" s="4">
        <v>7</v>
      </c>
      <c r="O136" t="s">
        <v>36</v>
      </c>
      <c r="P136" t="s">
        <v>29</v>
      </c>
      <c r="Q136" s="4">
        <v>540019</v>
      </c>
      <c r="R136" s="4">
        <v>446404</v>
      </c>
      <c r="S136" s="4">
        <f>Table1[[#This Row],[Service_Revenue]]-Table1[[#This Row],[Service_Cost]]</f>
        <v>93615</v>
      </c>
      <c r="T136" s="4">
        <v>4</v>
      </c>
      <c r="U136" s="4">
        <f>IF(AND(Table1[[#This Row],[Rework_Flag]]="Yes",Table1[[#This Row],[Warranty_Claim]]="No"),Table1[[#This Row],[Service_Revenue]],0)</f>
        <v>0</v>
      </c>
      <c r="V136" s="4">
        <f>IF(Table1[[#This Row],[Warranty_Claim]]="Yes",1,0)</f>
        <v>1</v>
      </c>
      <c r="W136" s="4">
        <f>IF(Table1[[#This Row],[Rework_Flag]]="No",1,0)</f>
        <v>1</v>
      </c>
      <c r="X136" s="4">
        <f>IF(Table1[[#This Row],[Rework_Flag]]="Yes",1,0)</f>
        <v>0</v>
      </c>
      <c r="Y136" s="4">
        <v>1</v>
      </c>
      <c r="Z136" s="4" t="str">
        <f>IF(Table1[[#This Row],[TAT_Days]]&gt;Table1[[#This Row],[SLA_TAT]],"Yes","No")</f>
        <v>Yes</v>
      </c>
      <c r="AA136" s="4" t="str" cm="1">
        <f t="array" ref="AA136">_xlfn.IFS(Table1[[#This Row],[Customer_Satisfaction]]&lt;=2,"Poor",Table1[[#This Row],[Customer_Satisfaction]]=3,"Neutral",Table1[[#This Row],[Customer_Satisfaction]]=4,"Good",Table1[[#This Row],[Customer_Satisfaction]]=5,"Good")</f>
        <v>Good</v>
      </c>
    </row>
    <row r="137" spans="1:27" x14ac:dyDescent="0.35">
      <c r="A137">
        <v>20135</v>
      </c>
      <c r="B137" s="1">
        <v>45416</v>
      </c>
      <c r="C137" t="s">
        <v>19</v>
      </c>
      <c r="D137" t="s">
        <v>20</v>
      </c>
      <c r="E137" t="s">
        <v>21</v>
      </c>
      <c r="F137" t="s">
        <v>22</v>
      </c>
      <c r="G137" t="s">
        <v>54</v>
      </c>
      <c r="H137" t="s">
        <v>42</v>
      </c>
      <c r="I137" t="s">
        <v>25</v>
      </c>
      <c r="J137" t="s">
        <v>35</v>
      </c>
      <c r="K137" t="s">
        <v>27</v>
      </c>
      <c r="L137" t="s">
        <v>49</v>
      </c>
      <c r="M137" s="4">
        <v>13</v>
      </c>
      <c r="N137" s="4">
        <v>7</v>
      </c>
      <c r="O137" t="s">
        <v>29</v>
      </c>
      <c r="P137" t="s">
        <v>36</v>
      </c>
      <c r="Q137" s="4">
        <v>239116</v>
      </c>
      <c r="R137" s="4">
        <v>132217</v>
      </c>
      <c r="S137" s="4">
        <f>Table1[[#This Row],[Service_Revenue]]-Table1[[#This Row],[Service_Cost]]</f>
        <v>106899</v>
      </c>
      <c r="T137" s="4">
        <v>2</v>
      </c>
      <c r="U137" s="4">
        <f>IF(AND(Table1[[#This Row],[Rework_Flag]]="Yes",Table1[[#This Row],[Warranty_Claim]]="No"),Table1[[#This Row],[Service_Revenue]],0)</f>
        <v>239116</v>
      </c>
      <c r="V137" s="4">
        <f>IF(Table1[[#This Row],[Warranty_Claim]]="Yes",1,0)</f>
        <v>0</v>
      </c>
      <c r="W137" s="4">
        <f>IF(Table1[[#This Row],[Rework_Flag]]="No",1,0)</f>
        <v>0</v>
      </c>
      <c r="X137" s="4">
        <f>IF(Table1[[#This Row],[Rework_Flag]]="Yes",1,0)</f>
        <v>1</v>
      </c>
      <c r="Y137" s="4">
        <v>1</v>
      </c>
      <c r="Z137" s="4" t="str">
        <f>IF(Table1[[#This Row],[TAT_Days]]&gt;Table1[[#This Row],[SLA_TAT]],"Yes","No")</f>
        <v>Yes</v>
      </c>
      <c r="AA137" s="4" t="str" cm="1">
        <f t="array" ref="AA137">_xlfn.IFS(Table1[[#This Row],[Customer_Satisfaction]]&lt;=2,"Poor",Table1[[#This Row],[Customer_Satisfaction]]=3,"Neutral",Table1[[#This Row],[Customer_Satisfaction]]=4,"Good",Table1[[#This Row],[Customer_Satisfaction]]=5,"Good")</f>
        <v>Poor</v>
      </c>
    </row>
    <row r="138" spans="1:27" x14ac:dyDescent="0.35">
      <c r="A138">
        <v>20136</v>
      </c>
      <c r="B138" s="1">
        <v>45419</v>
      </c>
      <c r="C138" t="s">
        <v>37</v>
      </c>
      <c r="D138" t="s">
        <v>64</v>
      </c>
      <c r="E138" t="s">
        <v>72</v>
      </c>
      <c r="F138" t="s">
        <v>22</v>
      </c>
      <c r="G138" t="s">
        <v>74</v>
      </c>
      <c r="H138" t="s">
        <v>34</v>
      </c>
      <c r="I138" t="s">
        <v>55</v>
      </c>
      <c r="J138" t="s">
        <v>35</v>
      </c>
      <c r="K138" t="s">
        <v>44</v>
      </c>
      <c r="L138" t="s">
        <v>49</v>
      </c>
      <c r="M138" s="4">
        <v>14</v>
      </c>
      <c r="N138" s="4">
        <v>7</v>
      </c>
      <c r="O138" t="s">
        <v>29</v>
      </c>
      <c r="P138" t="s">
        <v>36</v>
      </c>
      <c r="Q138" s="4">
        <v>497771</v>
      </c>
      <c r="R138" s="4">
        <v>300465</v>
      </c>
      <c r="S138" s="4">
        <f>Table1[[#This Row],[Service_Revenue]]-Table1[[#This Row],[Service_Cost]]</f>
        <v>197306</v>
      </c>
      <c r="T138" s="4">
        <v>2</v>
      </c>
      <c r="U138" s="4">
        <f>IF(AND(Table1[[#This Row],[Rework_Flag]]="Yes",Table1[[#This Row],[Warranty_Claim]]="No"),Table1[[#This Row],[Service_Revenue]],0)</f>
        <v>497771</v>
      </c>
      <c r="V138" s="4">
        <f>IF(Table1[[#This Row],[Warranty_Claim]]="Yes",1,0)</f>
        <v>0</v>
      </c>
      <c r="W138" s="4">
        <f>IF(Table1[[#This Row],[Rework_Flag]]="No",1,0)</f>
        <v>0</v>
      </c>
      <c r="X138" s="4">
        <f>IF(Table1[[#This Row],[Rework_Flag]]="Yes",1,0)</f>
        <v>1</v>
      </c>
      <c r="Y138" s="4">
        <v>1</v>
      </c>
      <c r="Z138" s="4" t="str">
        <f>IF(Table1[[#This Row],[TAT_Days]]&gt;Table1[[#This Row],[SLA_TAT]],"Yes","No")</f>
        <v>Yes</v>
      </c>
      <c r="AA138" s="4" t="str" cm="1">
        <f t="array" ref="AA138">_xlfn.IFS(Table1[[#This Row],[Customer_Satisfaction]]&lt;=2,"Poor",Table1[[#This Row],[Customer_Satisfaction]]=3,"Neutral",Table1[[#This Row],[Customer_Satisfaction]]=4,"Good",Table1[[#This Row],[Customer_Satisfaction]]=5,"Good")</f>
        <v>Poor</v>
      </c>
    </row>
    <row r="139" spans="1:27" x14ac:dyDescent="0.35">
      <c r="A139">
        <v>20137</v>
      </c>
      <c r="B139" s="1">
        <v>45307</v>
      </c>
      <c r="C139" t="s">
        <v>37</v>
      </c>
      <c r="D139" t="s">
        <v>38</v>
      </c>
      <c r="E139" t="s">
        <v>39</v>
      </c>
      <c r="F139" t="s">
        <v>53</v>
      </c>
      <c r="G139" t="s">
        <v>33</v>
      </c>
      <c r="H139" t="s">
        <v>34</v>
      </c>
      <c r="I139" t="s">
        <v>25</v>
      </c>
      <c r="J139" t="s">
        <v>26</v>
      </c>
      <c r="K139" t="s">
        <v>27</v>
      </c>
      <c r="L139" t="s">
        <v>49</v>
      </c>
      <c r="M139" s="4">
        <v>8</v>
      </c>
      <c r="N139" s="4">
        <v>7</v>
      </c>
      <c r="O139" t="s">
        <v>36</v>
      </c>
      <c r="P139" t="s">
        <v>36</v>
      </c>
      <c r="Q139" s="4">
        <v>302356</v>
      </c>
      <c r="R139" s="4">
        <v>255039</v>
      </c>
      <c r="S139" s="4">
        <f>Table1[[#This Row],[Service_Revenue]]-Table1[[#This Row],[Service_Cost]]</f>
        <v>47317</v>
      </c>
      <c r="T139" s="4">
        <v>4</v>
      </c>
      <c r="U139" s="4">
        <f>IF(AND(Table1[[#This Row],[Rework_Flag]]="Yes",Table1[[#This Row],[Warranty_Claim]]="No"),Table1[[#This Row],[Service_Revenue]],0)</f>
        <v>0</v>
      </c>
      <c r="V139" s="4">
        <f>IF(Table1[[#This Row],[Warranty_Claim]]="Yes",1,0)</f>
        <v>0</v>
      </c>
      <c r="W139" s="4">
        <f>IF(Table1[[#This Row],[Rework_Flag]]="No",1,0)</f>
        <v>1</v>
      </c>
      <c r="X139" s="4">
        <f>IF(Table1[[#This Row],[Rework_Flag]]="Yes",1,0)</f>
        <v>0</v>
      </c>
      <c r="Y139" s="4">
        <v>1</v>
      </c>
      <c r="Z139" s="4" t="str">
        <f>IF(Table1[[#This Row],[TAT_Days]]&gt;Table1[[#This Row],[SLA_TAT]],"Yes","No")</f>
        <v>Yes</v>
      </c>
      <c r="AA139" s="4" t="str" cm="1">
        <f t="array" ref="AA139">_xlfn.IFS(Table1[[#This Row],[Customer_Satisfaction]]&lt;=2,"Poor",Table1[[#This Row],[Customer_Satisfaction]]=3,"Neutral",Table1[[#This Row],[Customer_Satisfaction]]=4,"Good",Table1[[#This Row],[Customer_Satisfaction]]=5,"Good")</f>
        <v>Good</v>
      </c>
    </row>
    <row r="140" spans="1:27" x14ac:dyDescent="0.35">
      <c r="A140">
        <v>20138</v>
      </c>
      <c r="B140" s="1">
        <v>45378</v>
      </c>
      <c r="C140" t="s">
        <v>37</v>
      </c>
      <c r="D140" t="s">
        <v>38</v>
      </c>
      <c r="E140" t="s">
        <v>107</v>
      </c>
      <c r="F140" t="s">
        <v>53</v>
      </c>
      <c r="G140" t="s">
        <v>54</v>
      </c>
      <c r="H140" t="s">
        <v>42</v>
      </c>
      <c r="I140" t="s">
        <v>55</v>
      </c>
      <c r="J140" t="s">
        <v>43</v>
      </c>
      <c r="K140" t="s">
        <v>44</v>
      </c>
      <c r="L140" t="s">
        <v>49</v>
      </c>
      <c r="M140" s="4">
        <v>3</v>
      </c>
      <c r="N140" s="4">
        <v>7</v>
      </c>
      <c r="O140" t="s">
        <v>29</v>
      </c>
      <c r="P140" t="s">
        <v>29</v>
      </c>
      <c r="Q140" s="4">
        <v>501973</v>
      </c>
      <c r="R140" s="4">
        <v>252112</v>
      </c>
      <c r="S140" s="4">
        <f>Table1[[#This Row],[Service_Revenue]]-Table1[[#This Row],[Service_Cost]]</f>
        <v>249861</v>
      </c>
      <c r="T140" s="4">
        <v>4</v>
      </c>
      <c r="U140" s="4">
        <f>IF(AND(Table1[[#This Row],[Rework_Flag]]="Yes",Table1[[#This Row],[Warranty_Claim]]="No"),Table1[[#This Row],[Service_Revenue]],0)</f>
        <v>0</v>
      </c>
      <c r="V140" s="4">
        <f>IF(Table1[[#This Row],[Warranty_Claim]]="Yes",1,0)</f>
        <v>1</v>
      </c>
      <c r="W140" s="4">
        <f>IF(Table1[[#This Row],[Rework_Flag]]="No",1,0)</f>
        <v>0</v>
      </c>
      <c r="X140" s="4">
        <f>IF(Table1[[#This Row],[Rework_Flag]]="Yes",1,0)</f>
        <v>1</v>
      </c>
      <c r="Y140" s="4">
        <v>1</v>
      </c>
      <c r="Z140" s="4" t="str">
        <f>IF(Table1[[#This Row],[TAT_Days]]&gt;Table1[[#This Row],[SLA_TAT]],"Yes","No")</f>
        <v>No</v>
      </c>
      <c r="AA140" s="4" t="str" cm="1">
        <f t="array" ref="AA140">_xlfn.IFS(Table1[[#This Row],[Customer_Satisfaction]]&lt;=2,"Poor",Table1[[#This Row],[Customer_Satisfaction]]=3,"Neutral",Table1[[#This Row],[Customer_Satisfaction]]=4,"Good",Table1[[#This Row],[Customer_Satisfaction]]=5,"Good")</f>
        <v>Good</v>
      </c>
    </row>
    <row r="141" spans="1:27" x14ac:dyDescent="0.35">
      <c r="A141">
        <v>20139</v>
      </c>
      <c r="B141" s="1">
        <v>45406</v>
      </c>
      <c r="C141" t="s">
        <v>19</v>
      </c>
      <c r="D141" t="s">
        <v>96</v>
      </c>
      <c r="E141" t="s">
        <v>108</v>
      </c>
      <c r="F141" t="s">
        <v>40</v>
      </c>
      <c r="G141" t="s">
        <v>33</v>
      </c>
      <c r="H141" t="s">
        <v>34</v>
      </c>
      <c r="I141" t="s">
        <v>55</v>
      </c>
      <c r="J141" t="s">
        <v>58</v>
      </c>
      <c r="K141" t="s">
        <v>44</v>
      </c>
      <c r="L141" t="s">
        <v>28</v>
      </c>
      <c r="M141" s="4">
        <v>21</v>
      </c>
      <c r="N141" s="4">
        <v>7</v>
      </c>
      <c r="O141" t="s">
        <v>36</v>
      </c>
      <c r="P141" t="s">
        <v>29</v>
      </c>
      <c r="Q141" s="4">
        <v>421654</v>
      </c>
      <c r="R141" s="4">
        <v>232086</v>
      </c>
      <c r="S141" s="4">
        <f>Table1[[#This Row],[Service_Revenue]]-Table1[[#This Row],[Service_Cost]]</f>
        <v>189568</v>
      </c>
      <c r="T141" s="4">
        <v>1</v>
      </c>
      <c r="U141" s="4">
        <f>IF(AND(Table1[[#This Row],[Rework_Flag]]="Yes",Table1[[#This Row],[Warranty_Claim]]="No"),Table1[[#This Row],[Service_Revenue]],0)</f>
        <v>0</v>
      </c>
      <c r="V141" s="4">
        <f>IF(Table1[[#This Row],[Warranty_Claim]]="Yes",1,0)</f>
        <v>1</v>
      </c>
      <c r="W141" s="4">
        <f>IF(Table1[[#This Row],[Rework_Flag]]="No",1,0)</f>
        <v>1</v>
      </c>
      <c r="X141" s="4">
        <f>IF(Table1[[#This Row],[Rework_Flag]]="Yes",1,0)</f>
        <v>0</v>
      </c>
      <c r="Y141" s="4">
        <v>1</v>
      </c>
      <c r="Z141" s="4" t="str">
        <f>IF(Table1[[#This Row],[TAT_Days]]&gt;Table1[[#This Row],[SLA_TAT]],"Yes","No")</f>
        <v>Yes</v>
      </c>
      <c r="AA141" s="4" t="str" cm="1">
        <f t="array" ref="AA141">_xlfn.IFS(Table1[[#This Row],[Customer_Satisfaction]]&lt;=2,"Poor",Table1[[#This Row],[Customer_Satisfaction]]=3,"Neutral",Table1[[#This Row],[Customer_Satisfaction]]=4,"Good",Table1[[#This Row],[Customer_Satisfaction]]=5,"Good")</f>
        <v>Poor</v>
      </c>
    </row>
    <row r="142" spans="1:27" x14ac:dyDescent="0.35">
      <c r="A142">
        <v>20140</v>
      </c>
      <c r="B142" s="1">
        <v>45376</v>
      </c>
      <c r="C142" t="s">
        <v>37</v>
      </c>
      <c r="D142" t="s">
        <v>38</v>
      </c>
      <c r="E142" t="s">
        <v>112</v>
      </c>
      <c r="F142" t="s">
        <v>53</v>
      </c>
      <c r="G142" t="s">
        <v>23</v>
      </c>
      <c r="H142" t="s">
        <v>24</v>
      </c>
      <c r="I142" t="s">
        <v>25</v>
      </c>
      <c r="J142" t="s">
        <v>26</v>
      </c>
      <c r="K142" t="s">
        <v>44</v>
      </c>
      <c r="L142" t="s">
        <v>49</v>
      </c>
      <c r="M142" s="4">
        <v>18</v>
      </c>
      <c r="N142" s="4">
        <v>7</v>
      </c>
      <c r="O142" t="s">
        <v>29</v>
      </c>
      <c r="P142" t="s">
        <v>36</v>
      </c>
      <c r="Q142" s="4">
        <v>228102</v>
      </c>
      <c r="R142" s="4">
        <v>138024</v>
      </c>
      <c r="S142" s="4">
        <f>Table1[[#This Row],[Service_Revenue]]-Table1[[#This Row],[Service_Cost]]</f>
        <v>90078</v>
      </c>
      <c r="T142" s="4">
        <v>1</v>
      </c>
      <c r="U142" s="4">
        <f>IF(AND(Table1[[#This Row],[Rework_Flag]]="Yes",Table1[[#This Row],[Warranty_Claim]]="No"),Table1[[#This Row],[Service_Revenue]],0)</f>
        <v>228102</v>
      </c>
      <c r="V142" s="4">
        <f>IF(Table1[[#This Row],[Warranty_Claim]]="Yes",1,0)</f>
        <v>0</v>
      </c>
      <c r="W142" s="4">
        <f>IF(Table1[[#This Row],[Rework_Flag]]="No",1,0)</f>
        <v>0</v>
      </c>
      <c r="X142" s="4">
        <f>IF(Table1[[#This Row],[Rework_Flag]]="Yes",1,0)</f>
        <v>1</v>
      </c>
      <c r="Y142" s="4">
        <v>1</v>
      </c>
      <c r="Z142" s="4" t="str">
        <f>IF(Table1[[#This Row],[TAT_Days]]&gt;Table1[[#This Row],[SLA_TAT]],"Yes","No")</f>
        <v>Yes</v>
      </c>
      <c r="AA142" s="4" t="str" cm="1">
        <f t="array" ref="AA142">_xlfn.IFS(Table1[[#This Row],[Customer_Satisfaction]]&lt;=2,"Poor",Table1[[#This Row],[Customer_Satisfaction]]=3,"Neutral",Table1[[#This Row],[Customer_Satisfaction]]=4,"Good",Table1[[#This Row],[Customer_Satisfaction]]=5,"Good")</f>
        <v>Poor</v>
      </c>
    </row>
    <row r="143" spans="1:27" x14ac:dyDescent="0.35">
      <c r="A143">
        <v>20141</v>
      </c>
      <c r="B143" s="1">
        <v>45369</v>
      </c>
      <c r="C143" t="s">
        <v>37</v>
      </c>
      <c r="D143" t="s">
        <v>70</v>
      </c>
      <c r="E143" t="s">
        <v>82</v>
      </c>
      <c r="F143" t="s">
        <v>22</v>
      </c>
      <c r="G143" t="s">
        <v>33</v>
      </c>
      <c r="H143" t="s">
        <v>34</v>
      </c>
      <c r="I143" t="s">
        <v>55</v>
      </c>
      <c r="J143" t="s">
        <v>67</v>
      </c>
      <c r="K143" t="s">
        <v>44</v>
      </c>
      <c r="L143" t="s">
        <v>49</v>
      </c>
      <c r="M143" s="4">
        <v>20</v>
      </c>
      <c r="N143" s="4">
        <v>7</v>
      </c>
      <c r="O143" t="s">
        <v>36</v>
      </c>
      <c r="P143" t="s">
        <v>29</v>
      </c>
      <c r="Q143" s="4">
        <v>432366</v>
      </c>
      <c r="R143" s="4">
        <v>311640</v>
      </c>
      <c r="S143" s="4">
        <f>Table1[[#This Row],[Service_Revenue]]-Table1[[#This Row],[Service_Cost]]</f>
        <v>120726</v>
      </c>
      <c r="T143" s="4">
        <v>1</v>
      </c>
      <c r="U143" s="4">
        <f>IF(AND(Table1[[#This Row],[Rework_Flag]]="Yes",Table1[[#This Row],[Warranty_Claim]]="No"),Table1[[#This Row],[Service_Revenue]],0)</f>
        <v>0</v>
      </c>
      <c r="V143" s="4">
        <f>IF(Table1[[#This Row],[Warranty_Claim]]="Yes",1,0)</f>
        <v>1</v>
      </c>
      <c r="W143" s="4">
        <f>IF(Table1[[#This Row],[Rework_Flag]]="No",1,0)</f>
        <v>1</v>
      </c>
      <c r="X143" s="4">
        <f>IF(Table1[[#This Row],[Rework_Flag]]="Yes",1,0)</f>
        <v>0</v>
      </c>
      <c r="Y143" s="4">
        <v>1</v>
      </c>
      <c r="Z143" s="4" t="str">
        <f>IF(Table1[[#This Row],[TAT_Days]]&gt;Table1[[#This Row],[SLA_TAT]],"Yes","No")</f>
        <v>Yes</v>
      </c>
      <c r="AA143" s="4" t="str" cm="1">
        <f t="array" ref="AA143">_xlfn.IFS(Table1[[#This Row],[Customer_Satisfaction]]&lt;=2,"Poor",Table1[[#This Row],[Customer_Satisfaction]]=3,"Neutral",Table1[[#This Row],[Customer_Satisfaction]]=4,"Good",Table1[[#This Row],[Customer_Satisfaction]]=5,"Good")</f>
        <v>Poor</v>
      </c>
    </row>
    <row r="144" spans="1:27" x14ac:dyDescent="0.35">
      <c r="A144">
        <v>20142</v>
      </c>
      <c r="B144" s="1">
        <v>45307</v>
      </c>
      <c r="C144" t="s">
        <v>37</v>
      </c>
      <c r="D144" t="s">
        <v>64</v>
      </c>
      <c r="E144" t="s">
        <v>72</v>
      </c>
      <c r="F144" t="s">
        <v>22</v>
      </c>
      <c r="G144" t="s">
        <v>47</v>
      </c>
      <c r="H144" t="s">
        <v>48</v>
      </c>
      <c r="I144" t="s">
        <v>25</v>
      </c>
      <c r="J144" t="s">
        <v>67</v>
      </c>
      <c r="K144" t="s">
        <v>61</v>
      </c>
      <c r="L144" t="s">
        <v>49</v>
      </c>
      <c r="M144" s="4">
        <v>14</v>
      </c>
      <c r="N144" s="4">
        <v>7</v>
      </c>
      <c r="O144" t="s">
        <v>36</v>
      </c>
      <c r="P144" t="s">
        <v>29</v>
      </c>
      <c r="Q144" s="4">
        <v>270932</v>
      </c>
      <c r="R144" s="4">
        <v>204953</v>
      </c>
      <c r="S144" s="4">
        <f>Table1[[#This Row],[Service_Revenue]]-Table1[[#This Row],[Service_Cost]]</f>
        <v>65979</v>
      </c>
      <c r="T144" s="4">
        <v>3</v>
      </c>
      <c r="U144" s="4">
        <f>IF(AND(Table1[[#This Row],[Rework_Flag]]="Yes",Table1[[#This Row],[Warranty_Claim]]="No"),Table1[[#This Row],[Service_Revenue]],0)</f>
        <v>0</v>
      </c>
      <c r="V144" s="4">
        <f>IF(Table1[[#This Row],[Warranty_Claim]]="Yes",1,0)</f>
        <v>1</v>
      </c>
      <c r="W144" s="4">
        <f>IF(Table1[[#This Row],[Rework_Flag]]="No",1,0)</f>
        <v>1</v>
      </c>
      <c r="X144" s="4">
        <f>IF(Table1[[#This Row],[Rework_Flag]]="Yes",1,0)</f>
        <v>0</v>
      </c>
      <c r="Y144" s="4">
        <v>1</v>
      </c>
      <c r="Z144" s="4" t="str">
        <f>IF(Table1[[#This Row],[TAT_Days]]&gt;Table1[[#This Row],[SLA_TAT]],"Yes","No")</f>
        <v>Yes</v>
      </c>
      <c r="AA144" s="4" t="str" cm="1">
        <f t="array" ref="AA144">_xlfn.IFS(Table1[[#This Row],[Customer_Satisfaction]]&lt;=2,"Poor",Table1[[#This Row],[Customer_Satisfaction]]=3,"Neutral",Table1[[#This Row],[Customer_Satisfaction]]=4,"Good",Table1[[#This Row],[Customer_Satisfaction]]=5,"Good")</f>
        <v>Neutral</v>
      </c>
    </row>
    <row r="145" spans="1:27" x14ac:dyDescent="0.35">
      <c r="A145">
        <v>20143</v>
      </c>
      <c r="B145" s="1">
        <v>45353</v>
      </c>
      <c r="C145" t="s">
        <v>50</v>
      </c>
      <c r="D145" t="s">
        <v>56</v>
      </c>
      <c r="E145" t="s">
        <v>68</v>
      </c>
      <c r="F145" t="s">
        <v>40</v>
      </c>
      <c r="G145" t="s">
        <v>63</v>
      </c>
      <c r="H145" t="s">
        <v>24</v>
      </c>
      <c r="I145" t="s">
        <v>25</v>
      </c>
      <c r="J145" t="s">
        <v>26</v>
      </c>
      <c r="K145" t="s">
        <v>44</v>
      </c>
      <c r="L145" t="s">
        <v>28</v>
      </c>
      <c r="M145" s="4">
        <v>16</v>
      </c>
      <c r="N145" s="4">
        <v>7</v>
      </c>
      <c r="O145" t="s">
        <v>36</v>
      </c>
      <c r="P145" t="s">
        <v>29</v>
      </c>
      <c r="Q145" s="4">
        <v>593780</v>
      </c>
      <c r="R145" s="4">
        <v>449624</v>
      </c>
      <c r="S145" s="4">
        <f>Table1[[#This Row],[Service_Revenue]]-Table1[[#This Row],[Service_Cost]]</f>
        <v>144156</v>
      </c>
      <c r="T145" s="4">
        <v>2</v>
      </c>
      <c r="U145" s="4">
        <f>IF(AND(Table1[[#This Row],[Rework_Flag]]="Yes",Table1[[#This Row],[Warranty_Claim]]="No"),Table1[[#This Row],[Service_Revenue]],0)</f>
        <v>0</v>
      </c>
      <c r="V145" s="4">
        <f>IF(Table1[[#This Row],[Warranty_Claim]]="Yes",1,0)</f>
        <v>1</v>
      </c>
      <c r="W145" s="4">
        <f>IF(Table1[[#This Row],[Rework_Flag]]="No",1,0)</f>
        <v>1</v>
      </c>
      <c r="X145" s="4">
        <f>IF(Table1[[#This Row],[Rework_Flag]]="Yes",1,0)</f>
        <v>0</v>
      </c>
      <c r="Y145" s="4">
        <v>1</v>
      </c>
      <c r="Z145" s="4" t="str">
        <f>IF(Table1[[#This Row],[TAT_Days]]&gt;Table1[[#This Row],[SLA_TAT]],"Yes","No")</f>
        <v>Yes</v>
      </c>
      <c r="AA145" s="4" t="str" cm="1">
        <f t="array" ref="AA145">_xlfn.IFS(Table1[[#This Row],[Customer_Satisfaction]]&lt;=2,"Poor",Table1[[#This Row],[Customer_Satisfaction]]=3,"Neutral",Table1[[#This Row],[Customer_Satisfaction]]=4,"Good",Table1[[#This Row],[Customer_Satisfaction]]=5,"Good")</f>
        <v>Poor</v>
      </c>
    </row>
    <row r="146" spans="1:27" x14ac:dyDescent="0.35">
      <c r="A146">
        <v>20144</v>
      </c>
      <c r="B146" s="1">
        <v>45458</v>
      </c>
      <c r="C146" t="s">
        <v>37</v>
      </c>
      <c r="D146" t="s">
        <v>38</v>
      </c>
      <c r="E146" t="s">
        <v>107</v>
      </c>
      <c r="F146" t="s">
        <v>22</v>
      </c>
      <c r="G146" t="s">
        <v>41</v>
      </c>
      <c r="H146" t="s">
        <v>42</v>
      </c>
      <c r="I146" t="s">
        <v>55</v>
      </c>
      <c r="J146" t="s">
        <v>58</v>
      </c>
      <c r="K146" t="s">
        <v>44</v>
      </c>
      <c r="L146" t="s">
        <v>49</v>
      </c>
      <c r="M146" s="4">
        <v>13</v>
      </c>
      <c r="N146" s="4">
        <v>7</v>
      </c>
      <c r="O146" t="s">
        <v>36</v>
      </c>
      <c r="P146" t="s">
        <v>29</v>
      </c>
      <c r="Q146" s="4">
        <v>476538</v>
      </c>
      <c r="R146" s="4">
        <v>365495</v>
      </c>
      <c r="S146" s="4">
        <f>Table1[[#This Row],[Service_Revenue]]-Table1[[#This Row],[Service_Cost]]</f>
        <v>111043</v>
      </c>
      <c r="T146" s="4">
        <v>3</v>
      </c>
      <c r="U146" s="4">
        <f>IF(AND(Table1[[#This Row],[Rework_Flag]]="Yes",Table1[[#This Row],[Warranty_Claim]]="No"),Table1[[#This Row],[Service_Revenue]],0)</f>
        <v>0</v>
      </c>
      <c r="V146" s="4">
        <f>IF(Table1[[#This Row],[Warranty_Claim]]="Yes",1,0)</f>
        <v>1</v>
      </c>
      <c r="W146" s="4">
        <f>IF(Table1[[#This Row],[Rework_Flag]]="No",1,0)</f>
        <v>1</v>
      </c>
      <c r="X146" s="4">
        <f>IF(Table1[[#This Row],[Rework_Flag]]="Yes",1,0)</f>
        <v>0</v>
      </c>
      <c r="Y146" s="4">
        <v>1</v>
      </c>
      <c r="Z146" s="4" t="str">
        <f>IF(Table1[[#This Row],[TAT_Days]]&gt;Table1[[#This Row],[SLA_TAT]],"Yes","No")</f>
        <v>Yes</v>
      </c>
      <c r="AA146" s="4" t="str" cm="1">
        <f t="array" ref="AA146">_xlfn.IFS(Table1[[#This Row],[Customer_Satisfaction]]&lt;=2,"Poor",Table1[[#This Row],[Customer_Satisfaction]]=3,"Neutral",Table1[[#This Row],[Customer_Satisfaction]]=4,"Good",Table1[[#This Row],[Customer_Satisfaction]]=5,"Good")</f>
        <v>Neutral</v>
      </c>
    </row>
    <row r="147" spans="1:27" x14ac:dyDescent="0.35">
      <c r="A147">
        <v>20145</v>
      </c>
      <c r="B147" s="1">
        <v>45322</v>
      </c>
      <c r="C147" t="s">
        <v>37</v>
      </c>
      <c r="D147" t="s">
        <v>64</v>
      </c>
      <c r="E147" t="s">
        <v>115</v>
      </c>
      <c r="F147" t="s">
        <v>53</v>
      </c>
      <c r="G147" t="s">
        <v>33</v>
      </c>
      <c r="H147" t="s">
        <v>34</v>
      </c>
      <c r="I147" t="s">
        <v>55</v>
      </c>
      <c r="J147" t="s">
        <v>43</v>
      </c>
      <c r="K147" t="s">
        <v>61</v>
      </c>
      <c r="L147" t="s">
        <v>28</v>
      </c>
      <c r="M147" s="4">
        <v>6</v>
      </c>
      <c r="N147" s="4">
        <v>7</v>
      </c>
      <c r="O147" t="s">
        <v>29</v>
      </c>
      <c r="P147" t="s">
        <v>29</v>
      </c>
      <c r="Q147" s="4">
        <v>97143</v>
      </c>
      <c r="R147" s="4">
        <v>81461</v>
      </c>
      <c r="S147" s="4">
        <f>Table1[[#This Row],[Service_Revenue]]-Table1[[#This Row],[Service_Cost]]</f>
        <v>15682</v>
      </c>
      <c r="T147" s="4">
        <v>3</v>
      </c>
      <c r="U147" s="4">
        <f>IF(AND(Table1[[#This Row],[Rework_Flag]]="Yes",Table1[[#This Row],[Warranty_Claim]]="No"),Table1[[#This Row],[Service_Revenue]],0)</f>
        <v>0</v>
      </c>
      <c r="V147" s="4">
        <f>IF(Table1[[#This Row],[Warranty_Claim]]="Yes",1,0)</f>
        <v>1</v>
      </c>
      <c r="W147" s="4">
        <f>IF(Table1[[#This Row],[Rework_Flag]]="No",1,0)</f>
        <v>0</v>
      </c>
      <c r="X147" s="4">
        <f>IF(Table1[[#This Row],[Rework_Flag]]="Yes",1,0)</f>
        <v>1</v>
      </c>
      <c r="Y147" s="4">
        <v>1</v>
      </c>
      <c r="Z147" s="4" t="str">
        <f>IF(Table1[[#This Row],[TAT_Days]]&gt;Table1[[#This Row],[SLA_TAT]],"Yes","No")</f>
        <v>No</v>
      </c>
      <c r="AA147" s="4" t="str" cm="1">
        <f t="array" ref="AA147">_xlfn.IFS(Table1[[#This Row],[Customer_Satisfaction]]&lt;=2,"Poor",Table1[[#This Row],[Customer_Satisfaction]]=3,"Neutral",Table1[[#This Row],[Customer_Satisfaction]]=4,"Good",Table1[[#This Row],[Customer_Satisfaction]]=5,"Good")</f>
        <v>Neutral</v>
      </c>
    </row>
    <row r="148" spans="1:27" x14ac:dyDescent="0.35">
      <c r="A148">
        <v>20146</v>
      </c>
      <c r="B148" s="1">
        <v>45396</v>
      </c>
      <c r="C148" t="s">
        <v>50</v>
      </c>
      <c r="D148" t="s">
        <v>51</v>
      </c>
      <c r="E148" t="s">
        <v>52</v>
      </c>
      <c r="F148" t="s">
        <v>53</v>
      </c>
      <c r="G148" t="s">
        <v>23</v>
      </c>
      <c r="H148" t="s">
        <v>24</v>
      </c>
      <c r="I148" t="s">
        <v>25</v>
      </c>
      <c r="J148" t="s">
        <v>26</v>
      </c>
      <c r="K148" t="s">
        <v>27</v>
      </c>
      <c r="L148" t="s">
        <v>28</v>
      </c>
      <c r="M148" s="4">
        <v>19</v>
      </c>
      <c r="N148" s="4">
        <v>7</v>
      </c>
      <c r="O148" t="s">
        <v>29</v>
      </c>
      <c r="P148" t="s">
        <v>36</v>
      </c>
      <c r="Q148" s="4">
        <v>452481</v>
      </c>
      <c r="R148" s="4">
        <v>296343</v>
      </c>
      <c r="S148" s="4">
        <f>Table1[[#This Row],[Service_Revenue]]-Table1[[#This Row],[Service_Cost]]</f>
        <v>156138</v>
      </c>
      <c r="T148" s="4">
        <v>1</v>
      </c>
      <c r="U148" s="4">
        <f>IF(AND(Table1[[#This Row],[Rework_Flag]]="Yes",Table1[[#This Row],[Warranty_Claim]]="No"),Table1[[#This Row],[Service_Revenue]],0)</f>
        <v>452481</v>
      </c>
      <c r="V148" s="4">
        <f>IF(Table1[[#This Row],[Warranty_Claim]]="Yes",1,0)</f>
        <v>0</v>
      </c>
      <c r="W148" s="4">
        <f>IF(Table1[[#This Row],[Rework_Flag]]="No",1,0)</f>
        <v>0</v>
      </c>
      <c r="X148" s="4">
        <f>IF(Table1[[#This Row],[Rework_Flag]]="Yes",1,0)</f>
        <v>1</v>
      </c>
      <c r="Y148" s="4">
        <v>1</v>
      </c>
      <c r="Z148" s="4" t="str">
        <f>IF(Table1[[#This Row],[TAT_Days]]&gt;Table1[[#This Row],[SLA_TAT]],"Yes","No")</f>
        <v>Yes</v>
      </c>
      <c r="AA148" s="4" t="str" cm="1">
        <f t="array" ref="AA148">_xlfn.IFS(Table1[[#This Row],[Customer_Satisfaction]]&lt;=2,"Poor",Table1[[#This Row],[Customer_Satisfaction]]=3,"Neutral",Table1[[#This Row],[Customer_Satisfaction]]=4,"Good",Table1[[#This Row],[Customer_Satisfaction]]=5,"Good")</f>
        <v>Poor</v>
      </c>
    </row>
    <row r="149" spans="1:27" x14ac:dyDescent="0.35">
      <c r="A149">
        <v>20147</v>
      </c>
      <c r="B149" s="1">
        <v>45454</v>
      </c>
      <c r="C149" t="s">
        <v>37</v>
      </c>
      <c r="D149" t="s">
        <v>64</v>
      </c>
      <c r="E149" t="s">
        <v>103</v>
      </c>
      <c r="F149" t="s">
        <v>40</v>
      </c>
      <c r="G149" t="s">
        <v>63</v>
      </c>
      <c r="H149" t="s">
        <v>24</v>
      </c>
      <c r="I149" t="s">
        <v>25</v>
      </c>
      <c r="J149" t="s">
        <v>26</v>
      </c>
      <c r="K149" t="s">
        <v>61</v>
      </c>
      <c r="L149" t="s">
        <v>28</v>
      </c>
      <c r="M149" s="4">
        <v>23</v>
      </c>
      <c r="N149" s="4">
        <v>7</v>
      </c>
      <c r="O149" t="s">
        <v>36</v>
      </c>
      <c r="P149" t="s">
        <v>36</v>
      </c>
      <c r="Q149" s="4">
        <v>118894</v>
      </c>
      <c r="R149" s="4">
        <v>95109</v>
      </c>
      <c r="S149" s="4">
        <f>Table1[[#This Row],[Service_Revenue]]-Table1[[#This Row],[Service_Cost]]</f>
        <v>23785</v>
      </c>
      <c r="T149" s="4">
        <v>1</v>
      </c>
      <c r="U149" s="4">
        <f>IF(AND(Table1[[#This Row],[Rework_Flag]]="Yes",Table1[[#This Row],[Warranty_Claim]]="No"),Table1[[#This Row],[Service_Revenue]],0)</f>
        <v>0</v>
      </c>
      <c r="V149" s="4">
        <f>IF(Table1[[#This Row],[Warranty_Claim]]="Yes",1,0)</f>
        <v>0</v>
      </c>
      <c r="W149" s="4">
        <f>IF(Table1[[#This Row],[Rework_Flag]]="No",1,0)</f>
        <v>1</v>
      </c>
      <c r="X149" s="4">
        <f>IF(Table1[[#This Row],[Rework_Flag]]="Yes",1,0)</f>
        <v>0</v>
      </c>
      <c r="Y149" s="4">
        <v>1</v>
      </c>
      <c r="Z149" s="4" t="str">
        <f>IF(Table1[[#This Row],[TAT_Days]]&gt;Table1[[#This Row],[SLA_TAT]],"Yes","No")</f>
        <v>Yes</v>
      </c>
      <c r="AA149" s="4" t="str" cm="1">
        <f t="array" ref="AA149">_xlfn.IFS(Table1[[#This Row],[Customer_Satisfaction]]&lt;=2,"Poor",Table1[[#This Row],[Customer_Satisfaction]]=3,"Neutral",Table1[[#This Row],[Customer_Satisfaction]]=4,"Good",Table1[[#This Row],[Customer_Satisfaction]]=5,"Good")</f>
        <v>Poor</v>
      </c>
    </row>
    <row r="150" spans="1:27" x14ac:dyDescent="0.35">
      <c r="A150">
        <v>20148</v>
      </c>
      <c r="B150" s="1">
        <v>45467</v>
      </c>
      <c r="C150" t="s">
        <v>37</v>
      </c>
      <c r="D150" t="s">
        <v>38</v>
      </c>
      <c r="E150" t="s">
        <v>107</v>
      </c>
      <c r="F150" t="s">
        <v>40</v>
      </c>
      <c r="G150" t="s">
        <v>54</v>
      </c>
      <c r="H150" t="s">
        <v>42</v>
      </c>
      <c r="I150" t="s">
        <v>25</v>
      </c>
      <c r="J150" t="s">
        <v>58</v>
      </c>
      <c r="K150" t="s">
        <v>27</v>
      </c>
      <c r="L150" t="s">
        <v>49</v>
      </c>
      <c r="M150" s="4">
        <v>15</v>
      </c>
      <c r="N150" s="4">
        <v>7</v>
      </c>
      <c r="O150" t="s">
        <v>29</v>
      </c>
      <c r="P150" t="s">
        <v>36</v>
      </c>
      <c r="Q150" s="4">
        <v>305979</v>
      </c>
      <c r="R150" s="4">
        <v>166342</v>
      </c>
      <c r="S150" s="4">
        <f>Table1[[#This Row],[Service_Revenue]]-Table1[[#This Row],[Service_Cost]]</f>
        <v>139637</v>
      </c>
      <c r="T150" s="4">
        <v>1</v>
      </c>
      <c r="U150" s="4">
        <f>IF(AND(Table1[[#This Row],[Rework_Flag]]="Yes",Table1[[#This Row],[Warranty_Claim]]="No"),Table1[[#This Row],[Service_Revenue]],0)</f>
        <v>305979</v>
      </c>
      <c r="V150" s="4">
        <f>IF(Table1[[#This Row],[Warranty_Claim]]="Yes",1,0)</f>
        <v>0</v>
      </c>
      <c r="W150" s="4">
        <f>IF(Table1[[#This Row],[Rework_Flag]]="No",1,0)</f>
        <v>0</v>
      </c>
      <c r="X150" s="4">
        <f>IF(Table1[[#This Row],[Rework_Flag]]="Yes",1,0)</f>
        <v>1</v>
      </c>
      <c r="Y150" s="4">
        <v>1</v>
      </c>
      <c r="Z150" s="4" t="str">
        <f>IF(Table1[[#This Row],[TAT_Days]]&gt;Table1[[#This Row],[SLA_TAT]],"Yes","No")</f>
        <v>Yes</v>
      </c>
      <c r="AA150" s="4" t="str" cm="1">
        <f t="array" ref="AA150">_xlfn.IFS(Table1[[#This Row],[Customer_Satisfaction]]&lt;=2,"Poor",Table1[[#This Row],[Customer_Satisfaction]]=3,"Neutral",Table1[[#This Row],[Customer_Satisfaction]]=4,"Good",Table1[[#This Row],[Customer_Satisfaction]]=5,"Good")</f>
        <v>Poor</v>
      </c>
    </row>
    <row r="151" spans="1:27" x14ac:dyDescent="0.35">
      <c r="A151">
        <v>20149</v>
      </c>
      <c r="B151" s="1">
        <v>45451</v>
      </c>
      <c r="C151" t="s">
        <v>30</v>
      </c>
      <c r="D151" t="s">
        <v>59</v>
      </c>
      <c r="E151" t="s">
        <v>60</v>
      </c>
      <c r="F151" t="s">
        <v>53</v>
      </c>
      <c r="G151" t="s">
        <v>33</v>
      </c>
      <c r="H151" t="s">
        <v>34</v>
      </c>
      <c r="I151" t="s">
        <v>55</v>
      </c>
      <c r="J151" t="s">
        <v>26</v>
      </c>
      <c r="K151" t="s">
        <v>61</v>
      </c>
      <c r="L151" t="s">
        <v>28</v>
      </c>
      <c r="M151" s="4">
        <v>10</v>
      </c>
      <c r="N151" s="4">
        <v>7</v>
      </c>
      <c r="O151" t="s">
        <v>36</v>
      </c>
      <c r="P151" t="s">
        <v>29</v>
      </c>
      <c r="Q151" s="4">
        <v>410402</v>
      </c>
      <c r="R151" s="4">
        <v>216844</v>
      </c>
      <c r="S151" s="4">
        <f>Table1[[#This Row],[Service_Revenue]]-Table1[[#This Row],[Service_Cost]]</f>
        <v>193558</v>
      </c>
      <c r="T151" s="4">
        <v>3</v>
      </c>
      <c r="U151" s="4">
        <f>IF(AND(Table1[[#This Row],[Rework_Flag]]="Yes",Table1[[#This Row],[Warranty_Claim]]="No"),Table1[[#This Row],[Service_Revenue]],0)</f>
        <v>0</v>
      </c>
      <c r="V151" s="4">
        <f>IF(Table1[[#This Row],[Warranty_Claim]]="Yes",1,0)</f>
        <v>1</v>
      </c>
      <c r="W151" s="4">
        <f>IF(Table1[[#This Row],[Rework_Flag]]="No",1,0)</f>
        <v>1</v>
      </c>
      <c r="X151" s="4">
        <f>IF(Table1[[#This Row],[Rework_Flag]]="Yes",1,0)</f>
        <v>0</v>
      </c>
      <c r="Y151" s="4">
        <v>1</v>
      </c>
      <c r="Z151" s="4" t="str">
        <f>IF(Table1[[#This Row],[TAT_Days]]&gt;Table1[[#This Row],[SLA_TAT]],"Yes","No")</f>
        <v>Yes</v>
      </c>
      <c r="AA151" s="4" t="str" cm="1">
        <f t="array" ref="AA151">_xlfn.IFS(Table1[[#This Row],[Customer_Satisfaction]]&lt;=2,"Poor",Table1[[#This Row],[Customer_Satisfaction]]=3,"Neutral",Table1[[#This Row],[Customer_Satisfaction]]=4,"Good",Table1[[#This Row],[Customer_Satisfaction]]=5,"Good")</f>
        <v>Neutral</v>
      </c>
    </row>
    <row r="152" spans="1:27" x14ac:dyDescent="0.35">
      <c r="A152">
        <v>20150</v>
      </c>
      <c r="B152" s="1">
        <v>45399</v>
      </c>
      <c r="C152" t="s">
        <v>50</v>
      </c>
      <c r="D152" t="s">
        <v>56</v>
      </c>
      <c r="E152" t="s">
        <v>57</v>
      </c>
      <c r="F152" t="s">
        <v>22</v>
      </c>
      <c r="G152" t="s">
        <v>33</v>
      </c>
      <c r="H152" t="s">
        <v>34</v>
      </c>
      <c r="I152" t="s">
        <v>25</v>
      </c>
      <c r="J152" t="s">
        <v>58</v>
      </c>
      <c r="K152" t="s">
        <v>44</v>
      </c>
      <c r="L152" t="s">
        <v>49</v>
      </c>
      <c r="M152" s="4">
        <v>12</v>
      </c>
      <c r="N152" s="4">
        <v>7</v>
      </c>
      <c r="O152" t="s">
        <v>36</v>
      </c>
      <c r="P152" t="s">
        <v>29</v>
      </c>
      <c r="Q152" s="4">
        <v>164629</v>
      </c>
      <c r="R152" s="4">
        <v>101210</v>
      </c>
      <c r="S152" s="4">
        <f>Table1[[#This Row],[Service_Revenue]]-Table1[[#This Row],[Service_Cost]]</f>
        <v>63419</v>
      </c>
      <c r="T152" s="4">
        <v>3</v>
      </c>
      <c r="U152" s="4">
        <f>IF(AND(Table1[[#This Row],[Rework_Flag]]="Yes",Table1[[#This Row],[Warranty_Claim]]="No"),Table1[[#This Row],[Service_Revenue]],0)</f>
        <v>0</v>
      </c>
      <c r="V152" s="4">
        <f>IF(Table1[[#This Row],[Warranty_Claim]]="Yes",1,0)</f>
        <v>1</v>
      </c>
      <c r="W152" s="4">
        <f>IF(Table1[[#This Row],[Rework_Flag]]="No",1,0)</f>
        <v>1</v>
      </c>
      <c r="X152" s="4">
        <f>IF(Table1[[#This Row],[Rework_Flag]]="Yes",1,0)</f>
        <v>0</v>
      </c>
      <c r="Y152" s="4">
        <v>1</v>
      </c>
      <c r="Z152" s="4" t="str">
        <f>IF(Table1[[#This Row],[TAT_Days]]&gt;Table1[[#This Row],[SLA_TAT]],"Yes","No")</f>
        <v>Yes</v>
      </c>
      <c r="AA152" s="4" t="str" cm="1">
        <f t="array" ref="AA152">_xlfn.IFS(Table1[[#This Row],[Customer_Satisfaction]]&lt;=2,"Poor",Table1[[#This Row],[Customer_Satisfaction]]=3,"Neutral",Table1[[#This Row],[Customer_Satisfaction]]=4,"Good",Table1[[#This Row],[Customer_Satisfaction]]=5,"Good")</f>
        <v>Neutral</v>
      </c>
    </row>
    <row r="153" spans="1:27" x14ac:dyDescent="0.35">
      <c r="A153">
        <v>20151</v>
      </c>
      <c r="B153" s="1">
        <v>45434</v>
      </c>
      <c r="C153" t="s">
        <v>30</v>
      </c>
      <c r="D153" t="s">
        <v>83</v>
      </c>
      <c r="E153" t="s">
        <v>90</v>
      </c>
      <c r="F153" t="s">
        <v>53</v>
      </c>
      <c r="G153" t="s">
        <v>33</v>
      </c>
      <c r="H153" t="s">
        <v>34</v>
      </c>
      <c r="I153" t="s">
        <v>55</v>
      </c>
      <c r="J153" t="s">
        <v>43</v>
      </c>
      <c r="K153" t="s">
        <v>61</v>
      </c>
      <c r="L153" t="s">
        <v>28</v>
      </c>
      <c r="M153" s="4">
        <v>3</v>
      </c>
      <c r="N153" s="4">
        <v>7</v>
      </c>
      <c r="O153" t="s">
        <v>29</v>
      </c>
      <c r="P153" t="s">
        <v>29</v>
      </c>
      <c r="Q153" s="4">
        <v>421414</v>
      </c>
      <c r="R153" s="4">
        <v>229735</v>
      </c>
      <c r="S153" s="4">
        <f>Table1[[#This Row],[Service_Revenue]]-Table1[[#This Row],[Service_Cost]]</f>
        <v>191679</v>
      </c>
      <c r="T153" s="4">
        <v>4</v>
      </c>
      <c r="U153" s="4">
        <f>IF(AND(Table1[[#This Row],[Rework_Flag]]="Yes",Table1[[#This Row],[Warranty_Claim]]="No"),Table1[[#This Row],[Service_Revenue]],0)</f>
        <v>0</v>
      </c>
      <c r="V153" s="4">
        <f>IF(Table1[[#This Row],[Warranty_Claim]]="Yes",1,0)</f>
        <v>1</v>
      </c>
      <c r="W153" s="4">
        <f>IF(Table1[[#This Row],[Rework_Flag]]="No",1,0)</f>
        <v>0</v>
      </c>
      <c r="X153" s="4">
        <f>IF(Table1[[#This Row],[Rework_Flag]]="Yes",1,0)</f>
        <v>1</v>
      </c>
      <c r="Y153" s="4">
        <v>1</v>
      </c>
      <c r="Z153" s="4" t="str">
        <f>IF(Table1[[#This Row],[TAT_Days]]&gt;Table1[[#This Row],[SLA_TAT]],"Yes","No")</f>
        <v>No</v>
      </c>
      <c r="AA153" s="4" t="str" cm="1">
        <f t="array" ref="AA153">_xlfn.IFS(Table1[[#This Row],[Customer_Satisfaction]]&lt;=2,"Poor",Table1[[#This Row],[Customer_Satisfaction]]=3,"Neutral",Table1[[#This Row],[Customer_Satisfaction]]=4,"Good",Table1[[#This Row],[Customer_Satisfaction]]=5,"Good")</f>
        <v>Good</v>
      </c>
    </row>
    <row r="154" spans="1:27" x14ac:dyDescent="0.35">
      <c r="A154">
        <v>20152</v>
      </c>
      <c r="B154" s="1">
        <v>45331</v>
      </c>
      <c r="C154" t="s">
        <v>19</v>
      </c>
      <c r="D154" t="s">
        <v>96</v>
      </c>
      <c r="E154" t="s">
        <v>97</v>
      </c>
      <c r="F154" t="s">
        <v>40</v>
      </c>
      <c r="G154" t="s">
        <v>33</v>
      </c>
      <c r="H154" t="s">
        <v>34</v>
      </c>
      <c r="I154" t="s">
        <v>25</v>
      </c>
      <c r="J154" t="s">
        <v>26</v>
      </c>
      <c r="K154" t="s">
        <v>27</v>
      </c>
      <c r="L154" t="s">
        <v>49</v>
      </c>
      <c r="M154" s="4">
        <v>21</v>
      </c>
      <c r="N154" s="4">
        <v>7</v>
      </c>
      <c r="O154" t="s">
        <v>29</v>
      </c>
      <c r="P154" t="s">
        <v>29</v>
      </c>
      <c r="Q154" s="4">
        <v>236062</v>
      </c>
      <c r="R154" s="4">
        <v>195736</v>
      </c>
      <c r="S154" s="4">
        <f>Table1[[#This Row],[Service_Revenue]]-Table1[[#This Row],[Service_Cost]]</f>
        <v>40326</v>
      </c>
      <c r="T154" s="4">
        <v>1</v>
      </c>
      <c r="U154" s="4">
        <f>IF(AND(Table1[[#This Row],[Rework_Flag]]="Yes",Table1[[#This Row],[Warranty_Claim]]="No"),Table1[[#This Row],[Service_Revenue]],0)</f>
        <v>0</v>
      </c>
      <c r="V154" s="4">
        <f>IF(Table1[[#This Row],[Warranty_Claim]]="Yes",1,0)</f>
        <v>1</v>
      </c>
      <c r="W154" s="4">
        <f>IF(Table1[[#This Row],[Rework_Flag]]="No",1,0)</f>
        <v>0</v>
      </c>
      <c r="X154" s="4">
        <f>IF(Table1[[#This Row],[Rework_Flag]]="Yes",1,0)</f>
        <v>1</v>
      </c>
      <c r="Y154" s="4">
        <v>1</v>
      </c>
      <c r="Z154" s="4" t="str">
        <f>IF(Table1[[#This Row],[TAT_Days]]&gt;Table1[[#This Row],[SLA_TAT]],"Yes","No")</f>
        <v>Yes</v>
      </c>
      <c r="AA154" s="4" t="str" cm="1">
        <f t="array" ref="AA154">_xlfn.IFS(Table1[[#This Row],[Customer_Satisfaction]]&lt;=2,"Poor",Table1[[#This Row],[Customer_Satisfaction]]=3,"Neutral",Table1[[#This Row],[Customer_Satisfaction]]=4,"Good",Table1[[#This Row],[Customer_Satisfaction]]=5,"Good")</f>
        <v>Poor</v>
      </c>
    </row>
    <row r="155" spans="1:27" x14ac:dyDescent="0.35">
      <c r="A155">
        <v>20153</v>
      </c>
      <c r="B155" s="1">
        <v>45376</v>
      </c>
      <c r="C155" t="s">
        <v>19</v>
      </c>
      <c r="D155" t="s">
        <v>96</v>
      </c>
      <c r="E155" t="s">
        <v>98</v>
      </c>
      <c r="F155" t="s">
        <v>22</v>
      </c>
      <c r="G155" t="s">
        <v>33</v>
      </c>
      <c r="H155" t="s">
        <v>34</v>
      </c>
      <c r="I155" t="s">
        <v>25</v>
      </c>
      <c r="J155" t="s">
        <v>67</v>
      </c>
      <c r="K155" t="s">
        <v>27</v>
      </c>
      <c r="L155" t="s">
        <v>49</v>
      </c>
      <c r="M155" s="4">
        <v>13</v>
      </c>
      <c r="N155" s="4">
        <v>7</v>
      </c>
      <c r="O155" t="s">
        <v>29</v>
      </c>
      <c r="P155" t="s">
        <v>29</v>
      </c>
      <c r="Q155" s="4">
        <v>295712</v>
      </c>
      <c r="R155" s="4">
        <v>176624</v>
      </c>
      <c r="S155" s="4">
        <f>Table1[[#This Row],[Service_Revenue]]-Table1[[#This Row],[Service_Cost]]</f>
        <v>119088</v>
      </c>
      <c r="T155" s="4">
        <v>2</v>
      </c>
      <c r="U155" s="4">
        <f>IF(AND(Table1[[#This Row],[Rework_Flag]]="Yes",Table1[[#This Row],[Warranty_Claim]]="No"),Table1[[#This Row],[Service_Revenue]],0)</f>
        <v>0</v>
      </c>
      <c r="V155" s="4">
        <f>IF(Table1[[#This Row],[Warranty_Claim]]="Yes",1,0)</f>
        <v>1</v>
      </c>
      <c r="W155" s="4">
        <f>IF(Table1[[#This Row],[Rework_Flag]]="No",1,0)</f>
        <v>0</v>
      </c>
      <c r="X155" s="4">
        <f>IF(Table1[[#This Row],[Rework_Flag]]="Yes",1,0)</f>
        <v>1</v>
      </c>
      <c r="Y155" s="4">
        <v>1</v>
      </c>
      <c r="Z155" s="4" t="str">
        <f>IF(Table1[[#This Row],[TAT_Days]]&gt;Table1[[#This Row],[SLA_TAT]],"Yes","No")</f>
        <v>Yes</v>
      </c>
      <c r="AA155" s="4" t="str" cm="1">
        <f t="array" ref="AA155">_xlfn.IFS(Table1[[#This Row],[Customer_Satisfaction]]&lt;=2,"Poor",Table1[[#This Row],[Customer_Satisfaction]]=3,"Neutral",Table1[[#This Row],[Customer_Satisfaction]]=4,"Good",Table1[[#This Row],[Customer_Satisfaction]]=5,"Good")</f>
        <v>Poor</v>
      </c>
    </row>
    <row r="156" spans="1:27" x14ac:dyDescent="0.35">
      <c r="A156">
        <v>20154</v>
      </c>
      <c r="B156" s="1">
        <v>45302</v>
      </c>
      <c r="C156" t="s">
        <v>19</v>
      </c>
      <c r="D156" t="s">
        <v>96</v>
      </c>
      <c r="E156" t="s">
        <v>109</v>
      </c>
      <c r="F156" t="s">
        <v>22</v>
      </c>
      <c r="G156" t="s">
        <v>74</v>
      </c>
      <c r="H156" t="s">
        <v>34</v>
      </c>
      <c r="I156" t="s">
        <v>25</v>
      </c>
      <c r="J156" t="s">
        <v>58</v>
      </c>
      <c r="K156" t="s">
        <v>44</v>
      </c>
      <c r="L156" t="s">
        <v>49</v>
      </c>
      <c r="M156" s="4">
        <v>14</v>
      </c>
      <c r="N156" s="4">
        <v>7</v>
      </c>
      <c r="O156" t="s">
        <v>36</v>
      </c>
      <c r="P156" t="s">
        <v>36</v>
      </c>
      <c r="Q156" s="4">
        <v>199349</v>
      </c>
      <c r="R156" s="4">
        <v>134103</v>
      </c>
      <c r="S156" s="4">
        <f>Table1[[#This Row],[Service_Revenue]]-Table1[[#This Row],[Service_Cost]]</f>
        <v>65246</v>
      </c>
      <c r="T156" s="4">
        <v>3</v>
      </c>
      <c r="U156" s="4">
        <f>IF(AND(Table1[[#This Row],[Rework_Flag]]="Yes",Table1[[#This Row],[Warranty_Claim]]="No"),Table1[[#This Row],[Service_Revenue]],0)</f>
        <v>0</v>
      </c>
      <c r="V156" s="4">
        <f>IF(Table1[[#This Row],[Warranty_Claim]]="Yes",1,0)</f>
        <v>0</v>
      </c>
      <c r="W156" s="4">
        <f>IF(Table1[[#This Row],[Rework_Flag]]="No",1,0)</f>
        <v>1</v>
      </c>
      <c r="X156" s="4">
        <f>IF(Table1[[#This Row],[Rework_Flag]]="Yes",1,0)</f>
        <v>0</v>
      </c>
      <c r="Y156" s="4">
        <v>1</v>
      </c>
      <c r="Z156" s="4" t="str">
        <f>IF(Table1[[#This Row],[TAT_Days]]&gt;Table1[[#This Row],[SLA_TAT]],"Yes","No")</f>
        <v>Yes</v>
      </c>
      <c r="AA156" s="4" t="str" cm="1">
        <f t="array" ref="AA156">_xlfn.IFS(Table1[[#This Row],[Customer_Satisfaction]]&lt;=2,"Poor",Table1[[#This Row],[Customer_Satisfaction]]=3,"Neutral",Table1[[#This Row],[Customer_Satisfaction]]=4,"Good",Table1[[#This Row],[Customer_Satisfaction]]=5,"Good")</f>
        <v>Neutral</v>
      </c>
    </row>
    <row r="157" spans="1:27" x14ac:dyDescent="0.35">
      <c r="A157">
        <v>20155</v>
      </c>
      <c r="B157" s="1">
        <v>45440</v>
      </c>
      <c r="C157" t="s">
        <v>30</v>
      </c>
      <c r="D157" t="s">
        <v>83</v>
      </c>
      <c r="E157" t="s">
        <v>95</v>
      </c>
      <c r="F157" t="s">
        <v>22</v>
      </c>
      <c r="G157" t="s">
        <v>41</v>
      </c>
      <c r="H157" t="s">
        <v>42</v>
      </c>
      <c r="I157" t="s">
        <v>25</v>
      </c>
      <c r="J157" t="s">
        <v>43</v>
      </c>
      <c r="K157" t="s">
        <v>61</v>
      </c>
      <c r="L157" t="s">
        <v>28</v>
      </c>
      <c r="M157" s="4">
        <v>14</v>
      </c>
      <c r="N157" s="4">
        <v>7</v>
      </c>
      <c r="O157" t="s">
        <v>29</v>
      </c>
      <c r="P157" t="s">
        <v>29</v>
      </c>
      <c r="Q157" s="4">
        <v>536038</v>
      </c>
      <c r="R157" s="4">
        <v>321113</v>
      </c>
      <c r="S157" s="4">
        <f>Table1[[#This Row],[Service_Revenue]]-Table1[[#This Row],[Service_Cost]]</f>
        <v>214925</v>
      </c>
      <c r="T157" s="4">
        <v>2</v>
      </c>
      <c r="U157" s="4">
        <f>IF(AND(Table1[[#This Row],[Rework_Flag]]="Yes",Table1[[#This Row],[Warranty_Claim]]="No"),Table1[[#This Row],[Service_Revenue]],0)</f>
        <v>0</v>
      </c>
      <c r="V157" s="4">
        <f>IF(Table1[[#This Row],[Warranty_Claim]]="Yes",1,0)</f>
        <v>1</v>
      </c>
      <c r="W157" s="4">
        <f>IF(Table1[[#This Row],[Rework_Flag]]="No",1,0)</f>
        <v>0</v>
      </c>
      <c r="X157" s="4">
        <f>IF(Table1[[#This Row],[Rework_Flag]]="Yes",1,0)</f>
        <v>1</v>
      </c>
      <c r="Y157" s="4">
        <v>1</v>
      </c>
      <c r="Z157" s="4" t="str">
        <f>IF(Table1[[#This Row],[TAT_Days]]&gt;Table1[[#This Row],[SLA_TAT]],"Yes","No")</f>
        <v>Yes</v>
      </c>
      <c r="AA157" s="4" t="str" cm="1">
        <f t="array" ref="AA157">_xlfn.IFS(Table1[[#This Row],[Customer_Satisfaction]]&lt;=2,"Poor",Table1[[#This Row],[Customer_Satisfaction]]=3,"Neutral",Table1[[#This Row],[Customer_Satisfaction]]=4,"Good",Table1[[#This Row],[Customer_Satisfaction]]=5,"Good")</f>
        <v>Poor</v>
      </c>
    </row>
    <row r="158" spans="1:27" x14ac:dyDescent="0.35">
      <c r="A158">
        <v>20156</v>
      </c>
      <c r="B158" s="1">
        <v>45431</v>
      </c>
      <c r="C158" t="s">
        <v>37</v>
      </c>
      <c r="D158" t="s">
        <v>70</v>
      </c>
      <c r="E158" t="s">
        <v>71</v>
      </c>
      <c r="F158" t="s">
        <v>40</v>
      </c>
      <c r="G158" t="s">
        <v>63</v>
      </c>
      <c r="H158" t="s">
        <v>24</v>
      </c>
      <c r="I158" t="s">
        <v>55</v>
      </c>
      <c r="J158" t="s">
        <v>35</v>
      </c>
      <c r="K158" t="s">
        <v>61</v>
      </c>
      <c r="L158" t="s">
        <v>28</v>
      </c>
      <c r="M158" s="4">
        <v>15</v>
      </c>
      <c r="N158" s="4">
        <v>7</v>
      </c>
      <c r="O158" t="s">
        <v>29</v>
      </c>
      <c r="P158" t="s">
        <v>29</v>
      </c>
      <c r="Q158" s="4">
        <v>212431</v>
      </c>
      <c r="R158" s="4">
        <v>140418</v>
      </c>
      <c r="S158" s="4">
        <f>Table1[[#This Row],[Service_Revenue]]-Table1[[#This Row],[Service_Cost]]</f>
        <v>72013</v>
      </c>
      <c r="T158" s="4">
        <v>1</v>
      </c>
      <c r="U158" s="4">
        <f>IF(AND(Table1[[#This Row],[Rework_Flag]]="Yes",Table1[[#This Row],[Warranty_Claim]]="No"),Table1[[#This Row],[Service_Revenue]],0)</f>
        <v>0</v>
      </c>
      <c r="V158" s="4">
        <f>IF(Table1[[#This Row],[Warranty_Claim]]="Yes",1,0)</f>
        <v>1</v>
      </c>
      <c r="W158" s="4">
        <f>IF(Table1[[#This Row],[Rework_Flag]]="No",1,0)</f>
        <v>0</v>
      </c>
      <c r="X158" s="4">
        <f>IF(Table1[[#This Row],[Rework_Flag]]="Yes",1,0)</f>
        <v>1</v>
      </c>
      <c r="Y158" s="4">
        <v>1</v>
      </c>
      <c r="Z158" s="4" t="str">
        <f>IF(Table1[[#This Row],[TAT_Days]]&gt;Table1[[#This Row],[SLA_TAT]],"Yes","No")</f>
        <v>Yes</v>
      </c>
      <c r="AA158" s="4" t="str" cm="1">
        <f t="array" ref="AA158">_xlfn.IFS(Table1[[#This Row],[Customer_Satisfaction]]&lt;=2,"Poor",Table1[[#This Row],[Customer_Satisfaction]]=3,"Neutral",Table1[[#This Row],[Customer_Satisfaction]]=4,"Good",Table1[[#This Row],[Customer_Satisfaction]]=5,"Good")</f>
        <v>Poor</v>
      </c>
    </row>
    <row r="159" spans="1:27" x14ac:dyDescent="0.35">
      <c r="A159">
        <v>20157</v>
      </c>
      <c r="B159" s="1">
        <v>45298</v>
      </c>
      <c r="C159" t="s">
        <v>50</v>
      </c>
      <c r="D159" t="s">
        <v>56</v>
      </c>
      <c r="E159" t="s">
        <v>57</v>
      </c>
      <c r="F159" t="s">
        <v>22</v>
      </c>
      <c r="G159" t="s">
        <v>33</v>
      </c>
      <c r="H159" t="s">
        <v>34</v>
      </c>
      <c r="I159" t="s">
        <v>55</v>
      </c>
      <c r="J159" t="s">
        <v>58</v>
      </c>
      <c r="K159" t="s">
        <v>44</v>
      </c>
      <c r="L159" t="s">
        <v>28</v>
      </c>
      <c r="M159" s="4">
        <v>15</v>
      </c>
      <c r="N159" s="4">
        <v>7</v>
      </c>
      <c r="O159" t="s">
        <v>29</v>
      </c>
      <c r="P159" t="s">
        <v>36</v>
      </c>
      <c r="Q159" s="4">
        <v>558518</v>
      </c>
      <c r="R159" s="4">
        <v>408380</v>
      </c>
      <c r="S159" s="4">
        <f>Table1[[#This Row],[Service_Revenue]]-Table1[[#This Row],[Service_Cost]]</f>
        <v>150138</v>
      </c>
      <c r="T159" s="4">
        <v>1</v>
      </c>
      <c r="U159" s="4">
        <f>IF(AND(Table1[[#This Row],[Rework_Flag]]="Yes",Table1[[#This Row],[Warranty_Claim]]="No"),Table1[[#This Row],[Service_Revenue]],0)</f>
        <v>558518</v>
      </c>
      <c r="V159" s="4">
        <f>IF(Table1[[#This Row],[Warranty_Claim]]="Yes",1,0)</f>
        <v>0</v>
      </c>
      <c r="W159" s="4">
        <f>IF(Table1[[#This Row],[Rework_Flag]]="No",1,0)</f>
        <v>0</v>
      </c>
      <c r="X159" s="4">
        <f>IF(Table1[[#This Row],[Rework_Flag]]="Yes",1,0)</f>
        <v>1</v>
      </c>
      <c r="Y159" s="4">
        <v>1</v>
      </c>
      <c r="Z159" s="4" t="str">
        <f>IF(Table1[[#This Row],[TAT_Days]]&gt;Table1[[#This Row],[SLA_TAT]],"Yes","No")</f>
        <v>Yes</v>
      </c>
      <c r="AA159" s="4" t="str" cm="1">
        <f t="array" ref="AA159">_xlfn.IFS(Table1[[#This Row],[Customer_Satisfaction]]&lt;=2,"Poor",Table1[[#This Row],[Customer_Satisfaction]]=3,"Neutral",Table1[[#This Row],[Customer_Satisfaction]]=4,"Good",Table1[[#This Row],[Customer_Satisfaction]]=5,"Good")</f>
        <v>Poor</v>
      </c>
    </row>
    <row r="160" spans="1:27" x14ac:dyDescent="0.35">
      <c r="A160">
        <v>20158</v>
      </c>
      <c r="B160" s="1">
        <v>45354</v>
      </c>
      <c r="C160" t="s">
        <v>30</v>
      </c>
      <c r="D160" t="s">
        <v>83</v>
      </c>
      <c r="E160" t="s">
        <v>92</v>
      </c>
      <c r="F160" t="s">
        <v>22</v>
      </c>
      <c r="G160" t="s">
        <v>41</v>
      </c>
      <c r="H160" t="s">
        <v>42</v>
      </c>
      <c r="I160" t="s">
        <v>25</v>
      </c>
      <c r="J160" t="s">
        <v>43</v>
      </c>
      <c r="K160" t="s">
        <v>27</v>
      </c>
      <c r="L160" t="s">
        <v>28</v>
      </c>
      <c r="M160" s="4">
        <v>11</v>
      </c>
      <c r="N160" s="4">
        <v>7</v>
      </c>
      <c r="O160" t="s">
        <v>29</v>
      </c>
      <c r="P160" t="s">
        <v>29</v>
      </c>
      <c r="Q160" s="4">
        <v>336262</v>
      </c>
      <c r="R160" s="4">
        <v>169109</v>
      </c>
      <c r="S160" s="4">
        <f>Table1[[#This Row],[Service_Revenue]]-Table1[[#This Row],[Service_Cost]]</f>
        <v>167153</v>
      </c>
      <c r="T160" s="4">
        <v>2</v>
      </c>
      <c r="U160" s="4">
        <f>IF(AND(Table1[[#This Row],[Rework_Flag]]="Yes",Table1[[#This Row],[Warranty_Claim]]="No"),Table1[[#This Row],[Service_Revenue]],0)</f>
        <v>0</v>
      </c>
      <c r="V160" s="4">
        <f>IF(Table1[[#This Row],[Warranty_Claim]]="Yes",1,0)</f>
        <v>1</v>
      </c>
      <c r="W160" s="4">
        <f>IF(Table1[[#This Row],[Rework_Flag]]="No",1,0)</f>
        <v>0</v>
      </c>
      <c r="X160" s="4">
        <f>IF(Table1[[#This Row],[Rework_Flag]]="Yes",1,0)</f>
        <v>1</v>
      </c>
      <c r="Y160" s="4">
        <v>1</v>
      </c>
      <c r="Z160" s="4" t="str">
        <f>IF(Table1[[#This Row],[TAT_Days]]&gt;Table1[[#This Row],[SLA_TAT]],"Yes","No")</f>
        <v>Yes</v>
      </c>
      <c r="AA160" s="4" t="str" cm="1">
        <f t="array" ref="AA160">_xlfn.IFS(Table1[[#This Row],[Customer_Satisfaction]]&lt;=2,"Poor",Table1[[#This Row],[Customer_Satisfaction]]=3,"Neutral",Table1[[#This Row],[Customer_Satisfaction]]=4,"Good",Table1[[#This Row],[Customer_Satisfaction]]=5,"Good")</f>
        <v>Poor</v>
      </c>
    </row>
    <row r="161" spans="1:27" x14ac:dyDescent="0.35">
      <c r="A161">
        <v>20159</v>
      </c>
      <c r="B161" s="1">
        <v>45337</v>
      </c>
      <c r="C161" t="s">
        <v>30</v>
      </c>
      <c r="D161" t="s">
        <v>83</v>
      </c>
      <c r="E161" t="s">
        <v>90</v>
      </c>
      <c r="F161" t="s">
        <v>22</v>
      </c>
      <c r="G161" t="s">
        <v>41</v>
      </c>
      <c r="H161" t="s">
        <v>42</v>
      </c>
      <c r="I161" t="s">
        <v>25</v>
      </c>
      <c r="J161" t="s">
        <v>35</v>
      </c>
      <c r="K161" t="s">
        <v>44</v>
      </c>
      <c r="L161" t="s">
        <v>49</v>
      </c>
      <c r="M161" s="4">
        <v>3</v>
      </c>
      <c r="N161" s="4">
        <v>7</v>
      </c>
      <c r="O161" t="s">
        <v>29</v>
      </c>
      <c r="P161" t="s">
        <v>29</v>
      </c>
      <c r="Q161" s="4">
        <v>269934</v>
      </c>
      <c r="R161" s="4">
        <v>180435</v>
      </c>
      <c r="S161" s="4">
        <f>Table1[[#This Row],[Service_Revenue]]-Table1[[#This Row],[Service_Cost]]</f>
        <v>89499</v>
      </c>
      <c r="T161" s="4">
        <v>4</v>
      </c>
      <c r="U161" s="4">
        <f>IF(AND(Table1[[#This Row],[Rework_Flag]]="Yes",Table1[[#This Row],[Warranty_Claim]]="No"),Table1[[#This Row],[Service_Revenue]],0)</f>
        <v>0</v>
      </c>
      <c r="V161" s="4">
        <f>IF(Table1[[#This Row],[Warranty_Claim]]="Yes",1,0)</f>
        <v>1</v>
      </c>
      <c r="W161" s="4">
        <f>IF(Table1[[#This Row],[Rework_Flag]]="No",1,0)</f>
        <v>0</v>
      </c>
      <c r="X161" s="4">
        <f>IF(Table1[[#This Row],[Rework_Flag]]="Yes",1,0)</f>
        <v>1</v>
      </c>
      <c r="Y161" s="4">
        <v>1</v>
      </c>
      <c r="Z161" s="4" t="str">
        <f>IF(Table1[[#This Row],[TAT_Days]]&gt;Table1[[#This Row],[SLA_TAT]],"Yes","No")</f>
        <v>No</v>
      </c>
      <c r="AA161" s="4" t="str" cm="1">
        <f t="array" ref="AA161">_xlfn.IFS(Table1[[#This Row],[Customer_Satisfaction]]&lt;=2,"Poor",Table1[[#This Row],[Customer_Satisfaction]]=3,"Neutral",Table1[[#This Row],[Customer_Satisfaction]]=4,"Good",Table1[[#This Row],[Customer_Satisfaction]]=5,"Good")</f>
        <v>Good</v>
      </c>
    </row>
    <row r="162" spans="1:27" x14ac:dyDescent="0.35">
      <c r="A162">
        <v>20160</v>
      </c>
      <c r="B162" s="1">
        <v>45423</v>
      </c>
      <c r="C162" t="s">
        <v>19</v>
      </c>
      <c r="D162" t="s">
        <v>45</v>
      </c>
      <c r="E162" t="s">
        <v>76</v>
      </c>
      <c r="F162" t="s">
        <v>22</v>
      </c>
      <c r="G162" t="s">
        <v>63</v>
      </c>
      <c r="H162" t="s">
        <v>24</v>
      </c>
      <c r="I162" t="s">
        <v>55</v>
      </c>
      <c r="J162" t="s">
        <v>43</v>
      </c>
      <c r="K162" t="s">
        <v>61</v>
      </c>
      <c r="L162" t="s">
        <v>28</v>
      </c>
      <c r="M162" s="4">
        <v>14</v>
      </c>
      <c r="N162" s="4">
        <v>7</v>
      </c>
      <c r="O162" t="s">
        <v>29</v>
      </c>
      <c r="P162" t="s">
        <v>36</v>
      </c>
      <c r="Q162" s="4">
        <v>440308</v>
      </c>
      <c r="R162" s="4">
        <v>338514</v>
      </c>
      <c r="S162" s="4">
        <f>Table1[[#This Row],[Service_Revenue]]-Table1[[#This Row],[Service_Cost]]</f>
        <v>101794</v>
      </c>
      <c r="T162" s="4">
        <v>2</v>
      </c>
      <c r="U162" s="4">
        <f>IF(AND(Table1[[#This Row],[Rework_Flag]]="Yes",Table1[[#This Row],[Warranty_Claim]]="No"),Table1[[#This Row],[Service_Revenue]],0)</f>
        <v>440308</v>
      </c>
      <c r="V162" s="4">
        <f>IF(Table1[[#This Row],[Warranty_Claim]]="Yes",1,0)</f>
        <v>0</v>
      </c>
      <c r="W162" s="4">
        <f>IF(Table1[[#This Row],[Rework_Flag]]="No",1,0)</f>
        <v>0</v>
      </c>
      <c r="X162" s="4">
        <f>IF(Table1[[#This Row],[Rework_Flag]]="Yes",1,0)</f>
        <v>1</v>
      </c>
      <c r="Y162" s="4">
        <v>1</v>
      </c>
      <c r="Z162" s="4" t="str">
        <f>IF(Table1[[#This Row],[TAT_Days]]&gt;Table1[[#This Row],[SLA_TAT]],"Yes","No")</f>
        <v>Yes</v>
      </c>
      <c r="AA162" s="4" t="str" cm="1">
        <f t="array" ref="AA162">_xlfn.IFS(Table1[[#This Row],[Customer_Satisfaction]]&lt;=2,"Poor",Table1[[#This Row],[Customer_Satisfaction]]=3,"Neutral",Table1[[#This Row],[Customer_Satisfaction]]=4,"Good",Table1[[#This Row],[Customer_Satisfaction]]=5,"Good")</f>
        <v>Poor</v>
      </c>
    </row>
    <row r="163" spans="1:27" x14ac:dyDescent="0.35">
      <c r="A163">
        <v>20161</v>
      </c>
      <c r="B163" s="1">
        <v>45341</v>
      </c>
      <c r="C163" t="s">
        <v>37</v>
      </c>
      <c r="D163" t="s">
        <v>64</v>
      </c>
      <c r="E163" t="s">
        <v>103</v>
      </c>
      <c r="F163" t="s">
        <v>53</v>
      </c>
      <c r="G163" t="s">
        <v>41</v>
      </c>
      <c r="H163" t="s">
        <v>42</v>
      </c>
      <c r="I163" t="s">
        <v>25</v>
      </c>
      <c r="J163" t="s">
        <v>35</v>
      </c>
      <c r="K163" t="s">
        <v>27</v>
      </c>
      <c r="L163" t="s">
        <v>49</v>
      </c>
      <c r="M163" s="4">
        <v>23</v>
      </c>
      <c r="N163" s="4">
        <v>7</v>
      </c>
      <c r="O163" t="s">
        <v>29</v>
      </c>
      <c r="P163" t="s">
        <v>36</v>
      </c>
      <c r="Q163" s="4">
        <v>334314</v>
      </c>
      <c r="R163" s="4">
        <v>203989</v>
      </c>
      <c r="S163" s="4">
        <f>Table1[[#This Row],[Service_Revenue]]-Table1[[#This Row],[Service_Cost]]</f>
        <v>130325</v>
      </c>
      <c r="T163" s="4">
        <v>1</v>
      </c>
      <c r="U163" s="4">
        <f>IF(AND(Table1[[#This Row],[Rework_Flag]]="Yes",Table1[[#This Row],[Warranty_Claim]]="No"),Table1[[#This Row],[Service_Revenue]],0)</f>
        <v>334314</v>
      </c>
      <c r="V163" s="4">
        <f>IF(Table1[[#This Row],[Warranty_Claim]]="Yes",1,0)</f>
        <v>0</v>
      </c>
      <c r="W163" s="4">
        <f>IF(Table1[[#This Row],[Rework_Flag]]="No",1,0)</f>
        <v>0</v>
      </c>
      <c r="X163" s="4">
        <f>IF(Table1[[#This Row],[Rework_Flag]]="Yes",1,0)</f>
        <v>1</v>
      </c>
      <c r="Y163" s="4">
        <v>1</v>
      </c>
      <c r="Z163" s="4" t="str">
        <f>IF(Table1[[#This Row],[TAT_Days]]&gt;Table1[[#This Row],[SLA_TAT]],"Yes","No")</f>
        <v>Yes</v>
      </c>
      <c r="AA163" s="4" t="str" cm="1">
        <f t="array" ref="AA163">_xlfn.IFS(Table1[[#This Row],[Customer_Satisfaction]]&lt;=2,"Poor",Table1[[#This Row],[Customer_Satisfaction]]=3,"Neutral",Table1[[#This Row],[Customer_Satisfaction]]=4,"Good",Table1[[#This Row],[Customer_Satisfaction]]=5,"Good")</f>
        <v>Poor</v>
      </c>
    </row>
    <row r="164" spans="1:27" x14ac:dyDescent="0.35">
      <c r="A164">
        <v>20162</v>
      </c>
      <c r="B164" s="1">
        <v>45429</v>
      </c>
      <c r="C164" t="s">
        <v>50</v>
      </c>
      <c r="D164" t="s">
        <v>80</v>
      </c>
      <c r="E164" t="s">
        <v>81</v>
      </c>
      <c r="F164" t="s">
        <v>40</v>
      </c>
      <c r="G164" t="s">
        <v>54</v>
      </c>
      <c r="H164" t="s">
        <v>42</v>
      </c>
      <c r="I164" t="s">
        <v>25</v>
      </c>
      <c r="J164" t="s">
        <v>67</v>
      </c>
      <c r="K164" t="s">
        <v>61</v>
      </c>
      <c r="L164" t="s">
        <v>28</v>
      </c>
      <c r="M164" s="4">
        <v>15</v>
      </c>
      <c r="N164" s="4">
        <v>7</v>
      </c>
      <c r="O164" t="s">
        <v>36</v>
      </c>
      <c r="P164" t="s">
        <v>36</v>
      </c>
      <c r="Q164" s="4">
        <v>466465</v>
      </c>
      <c r="R164" s="4">
        <v>234452</v>
      </c>
      <c r="S164" s="4">
        <f>Table1[[#This Row],[Service_Revenue]]-Table1[[#This Row],[Service_Cost]]</f>
        <v>232013</v>
      </c>
      <c r="T164" s="4">
        <v>2</v>
      </c>
      <c r="U164" s="4">
        <f>IF(AND(Table1[[#This Row],[Rework_Flag]]="Yes",Table1[[#This Row],[Warranty_Claim]]="No"),Table1[[#This Row],[Service_Revenue]],0)</f>
        <v>0</v>
      </c>
      <c r="V164" s="4">
        <f>IF(Table1[[#This Row],[Warranty_Claim]]="Yes",1,0)</f>
        <v>0</v>
      </c>
      <c r="W164" s="4">
        <f>IF(Table1[[#This Row],[Rework_Flag]]="No",1,0)</f>
        <v>1</v>
      </c>
      <c r="X164" s="4">
        <f>IF(Table1[[#This Row],[Rework_Flag]]="Yes",1,0)</f>
        <v>0</v>
      </c>
      <c r="Y164" s="4">
        <v>1</v>
      </c>
      <c r="Z164" s="4" t="str">
        <f>IF(Table1[[#This Row],[TAT_Days]]&gt;Table1[[#This Row],[SLA_TAT]],"Yes","No")</f>
        <v>Yes</v>
      </c>
      <c r="AA164" s="4" t="str" cm="1">
        <f t="array" ref="AA164">_xlfn.IFS(Table1[[#This Row],[Customer_Satisfaction]]&lt;=2,"Poor",Table1[[#This Row],[Customer_Satisfaction]]=3,"Neutral",Table1[[#This Row],[Customer_Satisfaction]]=4,"Good",Table1[[#This Row],[Customer_Satisfaction]]=5,"Good")</f>
        <v>Poor</v>
      </c>
    </row>
    <row r="165" spans="1:27" x14ac:dyDescent="0.35">
      <c r="A165">
        <v>20163</v>
      </c>
      <c r="B165" s="1">
        <v>45471</v>
      </c>
      <c r="C165" t="s">
        <v>50</v>
      </c>
      <c r="D165" t="s">
        <v>51</v>
      </c>
      <c r="E165" t="s">
        <v>52</v>
      </c>
      <c r="F165" t="s">
        <v>22</v>
      </c>
      <c r="G165" t="s">
        <v>74</v>
      </c>
      <c r="H165" t="s">
        <v>34</v>
      </c>
      <c r="I165" t="s">
        <v>25</v>
      </c>
      <c r="J165" t="s">
        <v>67</v>
      </c>
      <c r="K165" t="s">
        <v>61</v>
      </c>
      <c r="L165" t="s">
        <v>28</v>
      </c>
      <c r="M165" s="4">
        <v>21</v>
      </c>
      <c r="N165" s="4">
        <v>7</v>
      </c>
      <c r="O165" t="s">
        <v>36</v>
      </c>
      <c r="P165" t="s">
        <v>36</v>
      </c>
      <c r="Q165" s="4">
        <v>584420</v>
      </c>
      <c r="R165" s="4">
        <v>370520</v>
      </c>
      <c r="S165" s="4">
        <f>Table1[[#This Row],[Service_Revenue]]-Table1[[#This Row],[Service_Cost]]</f>
        <v>213900</v>
      </c>
      <c r="T165" s="4">
        <v>1</v>
      </c>
      <c r="U165" s="4">
        <f>IF(AND(Table1[[#This Row],[Rework_Flag]]="Yes",Table1[[#This Row],[Warranty_Claim]]="No"),Table1[[#This Row],[Service_Revenue]],0)</f>
        <v>0</v>
      </c>
      <c r="V165" s="4">
        <f>IF(Table1[[#This Row],[Warranty_Claim]]="Yes",1,0)</f>
        <v>0</v>
      </c>
      <c r="W165" s="4">
        <f>IF(Table1[[#This Row],[Rework_Flag]]="No",1,0)</f>
        <v>1</v>
      </c>
      <c r="X165" s="4">
        <f>IF(Table1[[#This Row],[Rework_Flag]]="Yes",1,0)</f>
        <v>0</v>
      </c>
      <c r="Y165" s="4">
        <v>1</v>
      </c>
      <c r="Z165" s="4" t="str">
        <f>IF(Table1[[#This Row],[TAT_Days]]&gt;Table1[[#This Row],[SLA_TAT]],"Yes","No")</f>
        <v>Yes</v>
      </c>
      <c r="AA165" s="4" t="str" cm="1">
        <f t="array" ref="AA165">_xlfn.IFS(Table1[[#This Row],[Customer_Satisfaction]]&lt;=2,"Poor",Table1[[#This Row],[Customer_Satisfaction]]=3,"Neutral",Table1[[#This Row],[Customer_Satisfaction]]=4,"Good",Table1[[#This Row],[Customer_Satisfaction]]=5,"Good")</f>
        <v>Poor</v>
      </c>
    </row>
    <row r="166" spans="1:27" x14ac:dyDescent="0.35">
      <c r="A166">
        <v>20164</v>
      </c>
      <c r="B166" s="1">
        <v>45462</v>
      </c>
      <c r="C166" t="s">
        <v>19</v>
      </c>
      <c r="D166" t="s">
        <v>20</v>
      </c>
      <c r="E166" t="s">
        <v>86</v>
      </c>
      <c r="F166" t="s">
        <v>53</v>
      </c>
      <c r="G166" t="s">
        <v>41</v>
      </c>
      <c r="H166" t="s">
        <v>42</v>
      </c>
      <c r="I166" t="s">
        <v>25</v>
      </c>
      <c r="J166" t="s">
        <v>35</v>
      </c>
      <c r="K166" t="s">
        <v>61</v>
      </c>
      <c r="L166" t="s">
        <v>49</v>
      </c>
      <c r="M166" s="4">
        <v>17</v>
      </c>
      <c r="N166" s="4">
        <v>7</v>
      </c>
      <c r="O166" t="s">
        <v>29</v>
      </c>
      <c r="P166" t="s">
        <v>29</v>
      </c>
      <c r="Q166" s="4">
        <v>110554</v>
      </c>
      <c r="R166" s="4">
        <v>55684</v>
      </c>
      <c r="S166" s="4">
        <f>Table1[[#This Row],[Service_Revenue]]-Table1[[#This Row],[Service_Cost]]</f>
        <v>54870</v>
      </c>
      <c r="T166" s="4">
        <v>1</v>
      </c>
      <c r="U166" s="4">
        <f>IF(AND(Table1[[#This Row],[Rework_Flag]]="Yes",Table1[[#This Row],[Warranty_Claim]]="No"),Table1[[#This Row],[Service_Revenue]],0)</f>
        <v>0</v>
      </c>
      <c r="V166" s="4">
        <f>IF(Table1[[#This Row],[Warranty_Claim]]="Yes",1,0)</f>
        <v>1</v>
      </c>
      <c r="W166" s="4">
        <f>IF(Table1[[#This Row],[Rework_Flag]]="No",1,0)</f>
        <v>0</v>
      </c>
      <c r="X166" s="4">
        <f>IF(Table1[[#This Row],[Rework_Flag]]="Yes",1,0)</f>
        <v>1</v>
      </c>
      <c r="Y166" s="4">
        <v>1</v>
      </c>
      <c r="Z166" s="4" t="str">
        <f>IF(Table1[[#This Row],[TAT_Days]]&gt;Table1[[#This Row],[SLA_TAT]],"Yes","No")</f>
        <v>Yes</v>
      </c>
      <c r="AA166" s="4" t="str" cm="1">
        <f t="array" ref="AA166">_xlfn.IFS(Table1[[#This Row],[Customer_Satisfaction]]&lt;=2,"Poor",Table1[[#This Row],[Customer_Satisfaction]]=3,"Neutral",Table1[[#This Row],[Customer_Satisfaction]]=4,"Good",Table1[[#This Row],[Customer_Satisfaction]]=5,"Good")</f>
        <v>Poor</v>
      </c>
    </row>
    <row r="167" spans="1:27" x14ac:dyDescent="0.35">
      <c r="A167">
        <v>20165</v>
      </c>
      <c r="B167" s="1">
        <v>45309</v>
      </c>
      <c r="C167" t="s">
        <v>37</v>
      </c>
      <c r="D167" t="s">
        <v>70</v>
      </c>
      <c r="E167" t="s">
        <v>116</v>
      </c>
      <c r="F167" t="s">
        <v>22</v>
      </c>
      <c r="G167" t="s">
        <v>41</v>
      </c>
      <c r="H167" t="s">
        <v>42</v>
      </c>
      <c r="I167" t="s">
        <v>25</v>
      </c>
      <c r="J167" t="s">
        <v>43</v>
      </c>
      <c r="K167" t="s">
        <v>44</v>
      </c>
      <c r="L167" t="s">
        <v>28</v>
      </c>
      <c r="M167" s="4">
        <v>10</v>
      </c>
      <c r="N167" s="4">
        <v>7</v>
      </c>
      <c r="O167" t="s">
        <v>29</v>
      </c>
      <c r="P167" t="s">
        <v>36</v>
      </c>
      <c r="Q167" s="4">
        <v>195476</v>
      </c>
      <c r="R167" s="4">
        <v>149943</v>
      </c>
      <c r="S167" s="4">
        <f>Table1[[#This Row],[Service_Revenue]]-Table1[[#This Row],[Service_Cost]]</f>
        <v>45533</v>
      </c>
      <c r="T167" s="4">
        <v>2</v>
      </c>
      <c r="U167" s="4">
        <f>IF(AND(Table1[[#This Row],[Rework_Flag]]="Yes",Table1[[#This Row],[Warranty_Claim]]="No"),Table1[[#This Row],[Service_Revenue]],0)</f>
        <v>195476</v>
      </c>
      <c r="V167" s="4">
        <f>IF(Table1[[#This Row],[Warranty_Claim]]="Yes",1,0)</f>
        <v>0</v>
      </c>
      <c r="W167" s="4">
        <f>IF(Table1[[#This Row],[Rework_Flag]]="No",1,0)</f>
        <v>0</v>
      </c>
      <c r="X167" s="4">
        <f>IF(Table1[[#This Row],[Rework_Flag]]="Yes",1,0)</f>
        <v>1</v>
      </c>
      <c r="Y167" s="4">
        <v>1</v>
      </c>
      <c r="Z167" s="4" t="str">
        <f>IF(Table1[[#This Row],[TAT_Days]]&gt;Table1[[#This Row],[SLA_TAT]],"Yes","No")</f>
        <v>Yes</v>
      </c>
      <c r="AA167" s="4" t="str" cm="1">
        <f t="array" ref="AA167">_xlfn.IFS(Table1[[#This Row],[Customer_Satisfaction]]&lt;=2,"Poor",Table1[[#This Row],[Customer_Satisfaction]]=3,"Neutral",Table1[[#This Row],[Customer_Satisfaction]]=4,"Good",Table1[[#This Row],[Customer_Satisfaction]]=5,"Good")</f>
        <v>Poor</v>
      </c>
    </row>
    <row r="168" spans="1:27" x14ac:dyDescent="0.35">
      <c r="A168">
        <v>20166</v>
      </c>
      <c r="B168" s="1">
        <v>45328</v>
      </c>
      <c r="C168" t="s">
        <v>50</v>
      </c>
      <c r="D168" t="s">
        <v>56</v>
      </c>
      <c r="E168" t="s">
        <v>101</v>
      </c>
      <c r="F168" t="s">
        <v>22</v>
      </c>
      <c r="G168" t="s">
        <v>63</v>
      </c>
      <c r="H168" t="s">
        <v>24</v>
      </c>
      <c r="I168" t="s">
        <v>55</v>
      </c>
      <c r="J168" t="s">
        <v>35</v>
      </c>
      <c r="K168" t="s">
        <v>44</v>
      </c>
      <c r="L168" t="s">
        <v>49</v>
      </c>
      <c r="M168" s="4">
        <v>21</v>
      </c>
      <c r="N168" s="4">
        <v>7</v>
      </c>
      <c r="O168" t="s">
        <v>29</v>
      </c>
      <c r="P168" t="s">
        <v>36</v>
      </c>
      <c r="Q168" s="4">
        <v>447817</v>
      </c>
      <c r="R168" s="4">
        <v>367158</v>
      </c>
      <c r="S168" s="4">
        <f>Table1[[#This Row],[Service_Revenue]]-Table1[[#This Row],[Service_Cost]]</f>
        <v>80659</v>
      </c>
      <c r="T168" s="4">
        <v>1</v>
      </c>
      <c r="U168" s="4">
        <f>IF(AND(Table1[[#This Row],[Rework_Flag]]="Yes",Table1[[#This Row],[Warranty_Claim]]="No"),Table1[[#This Row],[Service_Revenue]],0)</f>
        <v>447817</v>
      </c>
      <c r="V168" s="4">
        <f>IF(Table1[[#This Row],[Warranty_Claim]]="Yes",1,0)</f>
        <v>0</v>
      </c>
      <c r="W168" s="4">
        <f>IF(Table1[[#This Row],[Rework_Flag]]="No",1,0)</f>
        <v>0</v>
      </c>
      <c r="X168" s="4">
        <f>IF(Table1[[#This Row],[Rework_Flag]]="Yes",1,0)</f>
        <v>1</v>
      </c>
      <c r="Y168" s="4">
        <v>1</v>
      </c>
      <c r="Z168" s="4" t="str">
        <f>IF(Table1[[#This Row],[TAT_Days]]&gt;Table1[[#This Row],[SLA_TAT]],"Yes","No")</f>
        <v>Yes</v>
      </c>
      <c r="AA168" s="4" t="str" cm="1">
        <f t="array" ref="AA168">_xlfn.IFS(Table1[[#This Row],[Customer_Satisfaction]]&lt;=2,"Poor",Table1[[#This Row],[Customer_Satisfaction]]=3,"Neutral",Table1[[#This Row],[Customer_Satisfaction]]=4,"Good",Table1[[#This Row],[Customer_Satisfaction]]=5,"Good")</f>
        <v>Poor</v>
      </c>
    </row>
    <row r="169" spans="1:27" x14ac:dyDescent="0.35">
      <c r="A169">
        <v>20167</v>
      </c>
      <c r="B169" s="1">
        <v>45381</v>
      </c>
      <c r="C169" t="s">
        <v>50</v>
      </c>
      <c r="D169" t="s">
        <v>51</v>
      </c>
      <c r="E169" t="s">
        <v>113</v>
      </c>
      <c r="F169" t="s">
        <v>40</v>
      </c>
      <c r="G169" t="s">
        <v>47</v>
      </c>
      <c r="H169" t="s">
        <v>48</v>
      </c>
      <c r="I169" t="s">
        <v>25</v>
      </c>
      <c r="J169" t="s">
        <v>43</v>
      </c>
      <c r="K169" t="s">
        <v>61</v>
      </c>
      <c r="L169" t="s">
        <v>49</v>
      </c>
      <c r="M169" s="4">
        <v>23</v>
      </c>
      <c r="N169" s="4">
        <v>7</v>
      </c>
      <c r="O169" t="s">
        <v>36</v>
      </c>
      <c r="P169" t="s">
        <v>36</v>
      </c>
      <c r="Q169" s="4">
        <v>174511</v>
      </c>
      <c r="R169" s="4">
        <v>102266</v>
      </c>
      <c r="S169" s="4">
        <f>Table1[[#This Row],[Service_Revenue]]-Table1[[#This Row],[Service_Cost]]</f>
        <v>72245</v>
      </c>
      <c r="T169" s="4">
        <v>1</v>
      </c>
      <c r="U169" s="4">
        <f>IF(AND(Table1[[#This Row],[Rework_Flag]]="Yes",Table1[[#This Row],[Warranty_Claim]]="No"),Table1[[#This Row],[Service_Revenue]],0)</f>
        <v>0</v>
      </c>
      <c r="V169" s="4">
        <f>IF(Table1[[#This Row],[Warranty_Claim]]="Yes",1,0)</f>
        <v>0</v>
      </c>
      <c r="W169" s="4">
        <f>IF(Table1[[#This Row],[Rework_Flag]]="No",1,0)</f>
        <v>1</v>
      </c>
      <c r="X169" s="4">
        <f>IF(Table1[[#This Row],[Rework_Flag]]="Yes",1,0)</f>
        <v>0</v>
      </c>
      <c r="Y169" s="4">
        <v>1</v>
      </c>
      <c r="Z169" s="4" t="str">
        <f>IF(Table1[[#This Row],[TAT_Days]]&gt;Table1[[#This Row],[SLA_TAT]],"Yes","No")</f>
        <v>Yes</v>
      </c>
      <c r="AA169" s="4" t="str" cm="1">
        <f t="array" ref="AA169">_xlfn.IFS(Table1[[#This Row],[Customer_Satisfaction]]&lt;=2,"Poor",Table1[[#This Row],[Customer_Satisfaction]]=3,"Neutral",Table1[[#This Row],[Customer_Satisfaction]]=4,"Good",Table1[[#This Row],[Customer_Satisfaction]]=5,"Good")</f>
        <v>Poor</v>
      </c>
    </row>
    <row r="170" spans="1:27" x14ac:dyDescent="0.35">
      <c r="A170">
        <v>20168</v>
      </c>
      <c r="B170" s="1">
        <v>45450</v>
      </c>
      <c r="C170" t="s">
        <v>37</v>
      </c>
      <c r="D170" t="s">
        <v>38</v>
      </c>
      <c r="E170" t="s">
        <v>39</v>
      </c>
      <c r="F170" t="s">
        <v>53</v>
      </c>
      <c r="G170" t="s">
        <v>33</v>
      </c>
      <c r="H170" t="s">
        <v>34</v>
      </c>
      <c r="I170" t="s">
        <v>25</v>
      </c>
      <c r="J170" t="s">
        <v>43</v>
      </c>
      <c r="K170" t="s">
        <v>61</v>
      </c>
      <c r="L170" t="s">
        <v>28</v>
      </c>
      <c r="M170" s="4">
        <v>24</v>
      </c>
      <c r="N170" s="4">
        <v>7</v>
      </c>
      <c r="O170" t="s">
        <v>29</v>
      </c>
      <c r="P170" t="s">
        <v>36</v>
      </c>
      <c r="Q170" s="4">
        <v>174815</v>
      </c>
      <c r="R170" s="4">
        <v>146609</v>
      </c>
      <c r="S170" s="4">
        <f>Table1[[#This Row],[Service_Revenue]]-Table1[[#This Row],[Service_Cost]]</f>
        <v>28206</v>
      </c>
      <c r="T170" s="4">
        <v>1</v>
      </c>
      <c r="U170" s="4">
        <f>IF(AND(Table1[[#This Row],[Rework_Flag]]="Yes",Table1[[#This Row],[Warranty_Claim]]="No"),Table1[[#This Row],[Service_Revenue]],0)</f>
        <v>174815</v>
      </c>
      <c r="V170" s="4">
        <f>IF(Table1[[#This Row],[Warranty_Claim]]="Yes",1,0)</f>
        <v>0</v>
      </c>
      <c r="W170" s="4">
        <f>IF(Table1[[#This Row],[Rework_Flag]]="No",1,0)</f>
        <v>0</v>
      </c>
      <c r="X170" s="4">
        <f>IF(Table1[[#This Row],[Rework_Flag]]="Yes",1,0)</f>
        <v>1</v>
      </c>
      <c r="Y170" s="4">
        <v>1</v>
      </c>
      <c r="Z170" s="4" t="str">
        <f>IF(Table1[[#This Row],[TAT_Days]]&gt;Table1[[#This Row],[SLA_TAT]],"Yes","No")</f>
        <v>Yes</v>
      </c>
      <c r="AA170" s="4" t="str" cm="1">
        <f t="array" ref="AA170">_xlfn.IFS(Table1[[#This Row],[Customer_Satisfaction]]&lt;=2,"Poor",Table1[[#This Row],[Customer_Satisfaction]]=3,"Neutral",Table1[[#This Row],[Customer_Satisfaction]]=4,"Good",Table1[[#This Row],[Customer_Satisfaction]]=5,"Good")</f>
        <v>Poor</v>
      </c>
    </row>
    <row r="171" spans="1:27" x14ac:dyDescent="0.35">
      <c r="A171">
        <v>20169</v>
      </c>
      <c r="B171" s="1">
        <v>45439</v>
      </c>
      <c r="C171" t="s">
        <v>37</v>
      </c>
      <c r="D171" t="s">
        <v>70</v>
      </c>
      <c r="E171" t="s">
        <v>82</v>
      </c>
      <c r="F171" t="s">
        <v>40</v>
      </c>
      <c r="G171" t="s">
        <v>33</v>
      </c>
      <c r="H171" t="s">
        <v>34</v>
      </c>
      <c r="I171" t="s">
        <v>25</v>
      </c>
      <c r="J171" t="s">
        <v>35</v>
      </c>
      <c r="K171" t="s">
        <v>61</v>
      </c>
      <c r="L171" t="s">
        <v>49</v>
      </c>
      <c r="M171" s="4">
        <v>21</v>
      </c>
      <c r="N171" s="4">
        <v>7</v>
      </c>
      <c r="O171" t="s">
        <v>29</v>
      </c>
      <c r="P171" t="s">
        <v>29</v>
      </c>
      <c r="Q171" s="4">
        <v>487592</v>
      </c>
      <c r="R171" s="4">
        <v>394853</v>
      </c>
      <c r="S171" s="4">
        <f>Table1[[#This Row],[Service_Revenue]]-Table1[[#This Row],[Service_Cost]]</f>
        <v>92739</v>
      </c>
      <c r="T171" s="4">
        <v>1</v>
      </c>
      <c r="U171" s="4">
        <f>IF(AND(Table1[[#This Row],[Rework_Flag]]="Yes",Table1[[#This Row],[Warranty_Claim]]="No"),Table1[[#This Row],[Service_Revenue]],0)</f>
        <v>0</v>
      </c>
      <c r="V171" s="4">
        <f>IF(Table1[[#This Row],[Warranty_Claim]]="Yes",1,0)</f>
        <v>1</v>
      </c>
      <c r="W171" s="4">
        <f>IF(Table1[[#This Row],[Rework_Flag]]="No",1,0)</f>
        <v>0</v>
      </c>
      <c r="X171" s="4">
        <f>IF(Table1[[#This Row],[Rework_Flag]]="Yes",1,0)</f>
        <v>1</v>
      </c>
      <c r="Y171" s="4">
        <v>1</v>
      </c>
      <c r="Z171" s="4" t="str">
        <f>IF(Table1[[#This Row],[TAT_Days]]&gt;Table1[[#This Row],[SLA_TAT]],"Yes","No")</f>
        <v>Yes</v>
      </c>
      <c r="AA171" s="4" t="str" cm="1">
        <f t="array" ref="AA171">_xlfn.IFS(Table1[[#This Row],[Customer_Satisfaction]]&lt;=2,"Poor",Table1[[#This Row],[Customer_Satisfaction]]=3,"Neutral",Table1[[#This Row],[Customer_Satisfaction]]=4,"Good",Table1[[#This Row],[Customer_Satisfaction]]=5,"Good")</f>
        <v>Poor</v>
      </c>
    </row>
    <row r="172" spans="1:27" x14ac:dyDescent="0.35">
      <c r="A172">
        <v>20170</v>
      </c>
      <c r="B172" s="1">
        <v>45419</v>
      </c>
      <c r="C172" t="s">
        <v>19</v>
      </c>
      <c r="D172" t="s">
        <v>20</v>
      </c>
      <c r="E172" t="s">
        <v>117</v>
      </c>
      <c r="F172" t="s">
        <v>22</v>
      </c>
      <c r="G172" t="s">
        <v>54</v>
      </c>
      <c r="H172" t="s">
        <v>42</v>
      </c>
      <c r="I172" t="s">
        <v>55</v>
      </c>
      <c r="J172" t="s">
        <v>43</v>
      </c>
      <c r="K172" t="s">
        <v>44</v>
      </c>
      <c r="L172" t="s">
        <v>28</v>
      </c>
      <c r="M172" s="4">
        <v>19</v>
      </c>
      <c r="N172" s="4">
        <v>7</v>
      </c>
      <c r="O172" t="s">
        <v>36</v>
      </c>
      <c r="P172" t="s">
        <v>36</v>
      </c>
      <c r="Q172" s="4">
        <v>598626</v>
      </c>
      <c r="R172" s="4">
        <v>309354</v>
      </c>
      <c r="S172" s="4">
        <f>Table1[[#This Row],[Service_Revenue]]-Table1[[#This Row],[Service_Cost]]</f>
        <v>289272</v>
      </c>
      <c r="T172" s="4">
        <v>2</v>
      </c>
      <c r="U172" s="4">
        <f>IF(AND(Table1[[#This Row],[Rework_Flag]]="Yes",Table1[[#This Row],[Warranty_Claim]]="No"),Table1[[#This Row],[Service_Revenue]],0)</f>
        <v>0</v>
      </c>
      <c r="V172" s="4">
        <f>IF(Table1[[#This Row],[Warranty_Claim]]="Yes",1,0)</f>
        <v>0</v>
      </c>
      <c r="W172" s="4">
        <f>IF(Table1[[#This Row],[Rework_Flag]]="No",1,0)</f>
        <v>1</v>
      </c>
      <c r="X172" s="4">
        <f>IF(Table1[[#This Row],[Rework_Flag]]="Yes",1,0)</f>
        <v>0</v>
      </c>
      <c r="Y172" s="4">
        <v>1</v>
      </c>
      <c r="Z172" s="4" t="str">
        <f>IF(Table1[[#This Row],[TAT_Days]]&gt;Table1[[#This Row],[SLA_TAT]],"Yes","No")</f>
        <v>Yes</v>
      </c>
      <c r="AA172" s="4" t="str" cm="1">
        <f t="array" ref="AA172">_xlfn.IFS(Table1[[#This Row],[Customer_Satisfaction]]&lt;=2,"Poor",Table1[[#This Row],[Customer_Satisfaction]]=3,"Neutral",Table1[[#This Row],[Customer_Satisfaction]]=4,"Good",Table1[[#This Row],[Customer_Satisfaction]]=5,"Good")</f>
        <v>Poor</v>
      </c>
    </row>
    <row r="173" spans="1:27" x14ac:dyDescent="0.35">
      <c r="A173">
        <v>20171</v>
      </c>
      <c r="B173" s="1">
        <v>45368</v>
      </c>
      <c r="C173" t="s">
        <v>30</v>
      </c>
      <c r="D173" t="s">
        <v>59</v>
      </c>
      <c r="E173" t="s">
        <v>69</v>
      </c>
      <c r="F173" t="s">
        <v>40</v>
      </c>
      <c r="G173" t="s">
        <v>47</v>
      </c>
      <c r="H173" t="s">
        <v>48</v>
      </c>
      <c r="I173" t="s">
        <v>25</v>
      </c>
      <c r="J173" t="s">
        <v>58</v>
      </c>
      <c r="K173" t="s">
        <v>27</v>
      </c>
      <c r="L173" t="s">
        <v>28</v>
      </c>
      <c r="M173" s="4">
        <v>4</v>
      </c>
      <c r="N173" s="4">
        <v>7</v>
      </c>
      <c r="O173" t="s">
        <v>36</v>
      </c>
      <c r="P173" t="s">
        <v>29</v>
      </c>
      <c r="Q173" s="4">
        <v>533147</v>
      </c>
      <c r="R173" s="4">
        <v>440729</v>
      </c>
      <c r="S173" s="4">
        <f>Table1[[#This Row],[Service_Revenue]]-Table1[[#This Row],[Service_Cost]]</f>
        <v>92418</v>
      </c>
      <c r="T173" s="4">
        <v>5</v>
      </c>
      <c r="U173" s="4">
        <f>IF(AND(Table1[[#This Row],[Rework_Flag]]="Yes",Table1[[#This Row],[Warranty_Claim]]="No"),Table1[[#This Row],[Service_Revenue]],0)</f>
        <v>0</v>
      </c>
      <c r="V173" s="4">
        <f>IF(Table1[[#This Row],[Warranty_Claim]]="Yes",1,0)</f>
        <v>1</v>
      </c>
      <c r="W173" s="4">
        <f>IF(Table1[[#This Row],[Rework_Flag]]="No",1,0)</f>
        <v>1</v>
      </c>
      <c r="X173" s="4">
        <f>IF(Table1[[#This Row],[Rework_Flag]]="Yes",1,0)</f>
        <v>0</v>
      </c>
      <c r="Y173" s="4">
        <v>1</v>
      </c>
      <c r="Z173" s="4" t="str">
        <f>IF(Table1[[#This Row],[TAT_Days]]&gt;Table1[[#This Row],[SLA_TAT]],"Yes","No")</f>
        <v>No</v>
      </c>
      <c r="AA173" s="4" t="str" cm="1">
        <f t="array" ref="AA173">_xlfn.IFS(Table1[[#This Row],[Customer_Satisfaction]]&lt;=2,"Poor",Table1[[#This Row],[Customer_Satisfaction]]=3,"Neutral",Table1[[#This Row],[Customer_Satisfaction]]=4,"Good",Table1[[#This Row],[Customer_Satisfaction]]=5,"Good")</f>
        <v>Good</v>
      </c>
    </row>
    <row r="174" spans="1:27" x14ac:dyDescent="0.35">
      <c r="A174">
        <v>20172</v>
      </c>
      <c r="B174" s="1">
        <v>45388</v>
      </c>
      <c r="C174" t="s">
        <v>19</v>
      </c>
      <c r="D174" t="s">
        <v>20</v>
      </c>
      <c r="E174" t="s">
        <v>110</v>
      </c>
      <c r="F174" t="s">
        <v>40</v>
      </c>
      <c r="G174" t="s">
        <v>63</v>
      </c>
      <c r="H174" t="s">
        <v>24</v>
      </c>
      <c r="I174" t="s">
        <v>55</v>
      </c>
      <c r="J174" t="s">
        <v>35</v>
      </c>
      <c r="K174" t="s">
        <v>61</v>
      </c>
      <c r="L174" t="s">
        <v>49</v>
      </c>
      <c r="M174" s="4">
        <v>4</v>
      </c>
      <c r="N174" s="4">
        <v>7</v>
      </c>
      <c r="O174" t="s">
        <v>29</v>
      </c>
      <c r="P174" t="s">
        <v>29</v>
      </c>
      <c r="Q174" s="4">
        <v>302373</v>
      </c>
      <c r="R174" s="4">
        <v>227469</v>
      </c>
      <c r="S174" s="4">
        <f>Table1[[#This Row],[Service_Revenue]]-Table1[[#This Row],[Service_Cost]]</f>
        <v>74904</v>
      </c>
      <c r="T174" s="4">
        <v>4</v>
      </c>
      <c r="U174" s="4">
        <f>IF(AND(Table1[[#This Row],[Rework_Flag]]="Yes",Table1[[#This Row],[Warranty_Claim]]="No"),Table1[[#This Row],[Service_Revenue]],0)</f>
        <v>0</v>
      </c>
      <c r="V174" s="4">
        <f>IF(Table1[[#This Row],[Warranty_Claim]]="Yes",1,0)</f>
        <v>1</v>
      </c>
      <c r="W174" s="4">
        <f>IF(Table1[[#This Row],[Rework_Flag]]="No",1,0)</f>
        <v>0</v>
      </c>
      <c r="X174" s="4">
        <f>IF(Table1[[#This Row],[Rework_Flag]]="Yes",1,0)</f>
        <v>1</v>
      </c>
      <c r="Y174" s="4">
        <v>1</v>
      </c>
      <c r="Z174" s="4" t="str">
        <f>IF(Table1[[#This Row],[TAT_Days]]&gt;Table1[[#This Row],[SLA_TAT]],"Yes","No")</f>
        <v>No</v>
      </c>
      <c r="AA174" s="4" t="str" cm="1">
        <f t="array" ref="AA174">_xlfn.IFS(Table1[[#This Row],[Customer_Satisfaction]]&lt;=2,"Poor",Table1[[#This Row],[Customer_Satisfaction]]=3,"Neutral",Table1[[#This Row],[Customer_Satisfaction]]=4,"Good",Table1[[#This Row],[Customer_Satisfaction]]=5,"Good")</f>
        <v>Good</v>
      </c>
    </row>
    <row r="175" spans="1:27" x14ac:dyDescent="0.35">
      <c r="A175">
        <v>20173</v>
      </c>
      <c r="B175" s="1">
        <v>45355</v>
      </c>
      <c r="C175" t="s">
        <v>30</v>
      </c>
      <c r="D175" t="s">
        <v>31</v>
      </c>
      <c r="E175" t="s">
        <v>79</v>
      </c>
      <c r="F175" t="s">
        <v>53</v>
      </c>
      <c r="G175" t="s">
        <v>23</v>
      </c>
      <c r="H175" t="s">
        <v>24</v>
      </c>
      <c r="I175" t="s">
        <v>55</v>
      </c>
      <c r="J175" t="s">
        <v>67</v>
      </c>
      <c r="K175" t="s">
        <v>27</v>
      </c>
      <c r="L175" t="s">
        <v>49</v>
      </c>
      <c r="M175" s="4">
        <v>8</v>
      </c>
      <c r="N175" s="4">
        <v>7</v>
      </c>
      <c r="O175" t="s">
        <v>36</v>
      </c>
      <c r="P175" t="s">
        <v>29</v>
      </c>
      <c r="Q175" s="4">
        <v>275720</v>
      </c>
      <c r="R175" s="4">
        <v>198545</v>
      </c>
      <c r="S175" s="4">
        <f>Table1[[#This Row],[Service_Revenue]]-Table1[[#This Row],[Service_Cost]]</f>
        <v>77175</v>
      </c>
      <c r="T175" s="4">
        <v>4</v>
      </c>
      <c r="U175" s="4">
        <f>IF(AND(Table1[[#This Row],[Rework_Flag]]="Yes",Table1[[#This Row],[Warranty_Claim]]="No"),Table1[[#This Row],[Service_Revenue]],0)</f>
        <v>0</v>
      </c>
      <c r="V175" s="4">
        <f>IF(Table1[[#This Row],[Warranty_Claim]]="Yes",1,0)</f>
        <v>1</v>
      </c>
      <c r="W175" s="4">
        <f>IF(Table1[[#This Row],[Rework_Flag]]="No",1,0)</f>
        <v>1</v>
      </c>
      <c r="X175" s="4">
        <f>IF(Table1[[#This Row],[Rework_Flag]]="Yes",1,0)</f>
        <v>0</v>
      </c>
      <c r="Y175" s="4">
        <v>1</v>
      </c>
      <c r="Z175" s="4" t="str">
        <f>IF(Table1[[#This Row],[TAT_Days]]&gt;Table1[[#This Row],[SLA_TAT]],"Yes","No")</f>
        <v>Yes</v>
      </c>
      <c r="AA175" s="4" t="str" cm="1">
        <f t="array" ref="AA175">_xlfn.IFS(Table1[[#This Row],[Customer_Satisfaction]]&lt;=2,"Poor",Table1[[#This Row],[Customer_Satisfaction]]=3,"Neutral",Table1[[#This Row],[Customer_Satisfaction]]=4,"Good",Table1[[#This Row],[Customer_Satisfaction]]=5,"Good")</f>
        <v>Good</v>
      </c>
    </row>
    <row r="176" spans="1:27" x14ac:dyDescent="0.35">
      <c r="A176">
        <v>20174</v>
      </c>
      <c r="B176" s="1">
        <v>45377</v>
      </c>
      <c r="C176" t="s">
        <v>30</v>
      </c>
      <c r="D176" t="s">
        <v>83</v>
      </c>
      <c r="E176" t="s">
        <v>84</v>
      </c>
      <c r="F176" t="s">
        <v>22</v>
      </c>
      <c r="G176" t="s">
        <v>23</v>
      </c>
      <c r="H176" t="s">
        <v>24</v>
      </c>
      <c r="I176" t="s">
        <v>25</v>
      </c>
      <c r="J176" t="s">
        <v>67</v>
      </c>
      <c r="K176" t="s">
        <v>61</v>
      </c>
      <c r="L176" t="s">
        <v>28</v>
      </c>
      <c r="M176" s="4">
        <v>23</v>
      </c>
      <c r="N176" s="4">
        <v>7</v>
      </c>
      <c r="O176" t="s">
        <v>36</v>
      </c>
      <c r="P176" t="s">
        <v>36</v>
      </c>
      <c r="Q176" s="4">
        <v>393311</v>
      </c>
      <c r="R176" s="4">
        <v>327695</v>
      </c>
      <c r="S176" s="4">
        <f>Table1[[#This Row],[Service_Revenue]]-Table1[[#This Row],[Service_Cost]]</f>
        <v>65616</v>
      </c>
      <c r="T176" s="4">
        <v>1</v>
      </c>
      <c r="U176" s="4">
        <f>IF(AND(Table1[[#This Row],[Rework_Flag]]="Yes",Table1[[#This Row],[Warranty_Claim]]="No"),Table1[[#This Row],[Service_Revenue]],0)</f>
        <v>0</v>
      </c>
      <c r="V176" s="4">
        <f>IF(Table1[[#This Row],[Warranty_Claim]]="Yes",1,0)</f>
        <v>0</v>
      </c>
      <c r="W176" s="4">
        <f>IF(Table1[[#This Row],[Rework_Flag]]="No",1,0)</f>
        <v>1</v>
      </c>
      <c r="X176" s="4">
        <f>IF(Table1[[#This Row],[Rework_Flag]]="Yes",1,0)</f>
        <v>0</v>
      </c>
      <c r="Y176" s="4">
        <v>1</v>
      </c>
      <c r="Z176" s="4" t="str">
        <f>IF(Table1[[#This Row],[TAT_Days]]&gt;Table1[[#This Row],[SLA_TAT]],"Yes","No")</f>
        <v>Yes</v>
      </c>
      <c r="AA176" s="4" t="str" cm="1">
        <f t="array" ref="AA176">_xlfn.IFS(Table1[[#This Row],[Customer_Satisfaction]]&lt;=2,"Poor",Table1[[#This Row],[Customer_Satisfaction]]=3,"Neutral",Table1[[#This Row],[Customer_Satisfaction]]=4,"Good",Table1[[#This Row],[Customer_Satisfaction]]=5,"Good")</f>
        <v>Poor</v>
      </c>
    </row>
    <row r="177" spans="1:27" x14ac:dyDescent="0.35">
      <c r="A177">
        <v>20175</v>
      </c>
      <c r="B177" s="1">
        <v>45345</v>
      </c>
      <c r="C177" t="s">
        <v>19</v>
      </c>
      <c r="D177" t="s">
        <v>96</v>
      </c>
      <c r="E177" t="s">
        <v>108</v>
      </c>
      <c r="F177" t="s">
        <v>22</v>
      </c>
      <c r="G177" t="s">
        <v>41</v>
      </c>
      <c r="H177" t="s">
        <v>42</v>
      </c>
      <c r="I177" t="s">
        <v>55</v>
      </c>
      <c r="J177" t="s">
        <v>67</v>
      </c>
      <c r="K177" t="s">
        <v>61</v>
      </c>
      <c r="L177" t="s">
        <v>28</v>
      </c>
      <c r="M177" s="4">
        <v>17</v>
      </c>
      <c r="N177" s="4">
        <v>7</v>
      </c>
      <c r="O177" t="s">
        <v>29</v>
      </c>
      <c r="P177" t="s">
        <v>29</v>
      </c>
      <c r="Q177" s="4">
        <v>129224</v>
      </c>
      <c r="R177" s="4">
        <v>102105</v>
      </c>
      <c r="S177" s="4">
        <f>Table1[[#This Row],[Service_Revenue]]-Table1[[#This Row],[Service_Cost]]</f>
        <v>27119</v>
      </c>
      <c r="T177" s="4">
        <v>1</v>
      </c>
      <c r="U177" s="4">
        <f>IF(AND(Table1[[#This Row],[Rework_Flag]]="Yes",Table1[[#This Row],[Warranty_Claim]]="No"),Table1[[#This Row],[Service_Revenue]],0)</f>
        <v>0</v>
      </c>
      <c r="V177" s="4">
        <f>IF(Table1[[#This Row],[Warranty_Claim]]="Yes",1,0)</f>
        <v>1</v>
      </c>
      <c r="W177" s="4">
        <f>IF(Table1[[#This Row],[Rework_Flag]]="No",1,0)</f>
        <v>0</v>
      </c>
      <c r="X177" s="4">
        <f>IF(Table1[[#This Row],[Rework_Flag]]="Yes",1,0)</f>
        <v>1</v>
      </c>
      <c r="Y177" s="4">
        <v>1</v>
      </c>
      <c r="Z177" s="4" t="str">
        <f>IF(Table1[[#This Row],[TAT_Days]]&gt;Table1[[#This Row],[SLA_TAT]],"Yes","No")</f>
        <v>Yes</v>
      </c>
      <c r="AA177" s="4" t="str" cm="1">
        <f t="array" ref="AA177">_xlfn.IFS(Table1[[#This Row],[Customer_Satisfaction]]&lt;=2,"Poor",Table1[[#This Row],[Customer_Satisfaction]]=3,"Neutral",Table1[[#This Row],[Customer_Satisfaction]]=4,"Good",Table1[[#This Row],[Customer_Satisfaction]]=5,"Good")</f>
        <v>Poor</v>
      </c>
    </row>
    <row r="178" spans="1:27" x14ac:dyDescent="0.35">
      <c r="A178">
        <v>20176</v>
      </c>
      <c r="B178" s="1">
        <v>45397</v>
      </c>
      <c r="C178" t="s">
        <v>30</v>
      </c>
      <c r="D178" t="s">
        <v>83</v>
      </c>
      <c r="E178" t="s">
        <v>92</v>
      </c>
      <c r="F178" t="s">
        <v>40</v>
      </c>
      <c r="G178" t="s">
        <v>63</v>
      </c>
      <c r="H178" t="s">
        <v>24</v>
      </c>
      <c r="I178" t="s">
        <v>25</v>
      </c>
      <c r="J178" t="s">
        <v>58</v>
      </c>
      <c r="K178" t="s">
        <v>61</v>
      </c>
      <c r="L178" t="s">
        <v>28</v>
      </c>
      <c r="M178" s="4">
        <v>9</v>
      </c>
      <c r="N178" s="4">
        <v>7</v>
      </c>
      <c r="O178" t="s">
        <v>29</v>
      </c>
      <c r="P178" t="s">
        <v>29</v>
      </c>
      <c r="Q178" s="4">
        <v>564255</v>
      </c>
      <c r="R178" s="4">
        <v>411319</v>
      </c>
      <c r="S178" s="4">
        <f>Table1[[#This Row],[Service_Revenue]]-Table1[[#This Row],[Service_Cost]]</f>
        <v>152936</v>
      </c>
      <c r="T178" s="4">
        <v>3</v>
      </c>
      <c r="U178" s="4">
        <f>IF(AND(Table1[[#This Row],[Rework_Flag]]="Yes",Table1[[#This Row],[Warranty_Claim]]="No"),Table1[[#This Row],[Service_Revenue]],0)</f>
        <v>0</v>
      </c>
      <c r="V178" s="4">
        <f>IF(Table1[[#This Row],[Warranty_Claim]]="Yes",1,0)</f>
        <v>1</v>
      </c>
      <c r="W178" s="4">
        <f>IF(Table1[[#This Row],[Rework_Flag]]="No",1,0)</f>
        <v>0</v>
      </c>
      <c r="X178" s="4">
        <f>IF(Table1[[#This Row],[Rework_Flag]]="Yes",1,0)</f>
        <v>1</v>
      </c>
      <c r="Y178" s="4">
        <v>1</v>
      </c>
      <c r="Z178" s="4" t="str">
        <f>IF(Table1[[#This Row],[TAT_Days]]&gt;Table1[[#This Row],[SLA_TAT]],"Yes","No")</f>
        <v>Yes</v>
      </c>
      <c r="AA178" s="4" t="str" cm="1">
        <f t="array" ref="AA178">_xlfn.IFS(Table1[[#This Row],[Customer_Satisfaction]]&lt;=2,"Poor",Table1[[#This Row],[Customer_Satisfaction]]=3,"Neutral",Table1[[#This Row],[Customer_Satisfaction]]=4,"Good",Table1[[#This Row],[Customer_Satisfaction]]=5,"Good")</f>
        <v>Neutral</v>
      </c>
    </row>
    <row r="179" spans="1:27" x14ac:dyDescent="0.35">
      <c r="A179">
        <v>20177</v>
      </c>
      <c r="B179" s="1">
        <v>45348</v>
      </c>
      <c r="C179" t="s">
        <v>19</v>
      </c>
      <c r="D179" t="s">
        <v>45</v>
      </c>
      <c r="E179" t="s">
        <v>46</v>
      </c>
      <c r="F179" t="s">
        <v>22</v>
      </c>
      <c r="G179" t="s">
        <v>63</v>
      </c>
      <c r="H179" t="s">
        <v>24</v>
      </c>
      <c r="I179" t="s">
        <v>25</v>
      </c>
      <c r="J179" t="s">
        <v>67</v>
      </c>
      <c r="K179" t="s">
        <v>44</v>
      </c>
      <c r="L179" t="s">
        <v>28</v>
      </c>
      <c r="M179" s="4">
        <v>25</v>
      </c>
      <c r="N179" s="4">
        <v>7</v>
      </c>
      <c r="O179" t="s">
        <v>29</v>
      </c>
      <c r="P179" t="s">
        <v>36</v>
      </c>
      <c r="Q179" s="4">
        <v>305509</v>
      </c>
      <c r="R179" s="4">
        <v>169491</v>
      </c>
      <c r="S179" s="4">
        <f>Table1[[#This Row],[Service_Revenue]]-Table1[[#This Row],[Service_Cost]]</f>
        <v>136018</v>
      </c>
      <c r="T179" s="4">
        <v>1</v>
      </c>
      <c r="U179" s="4">
        <f>IF(AND(Table1[[#This Row],[Rework_Flag]]="Yes",Table1[[#This Row],[Warranty_Claim]]="No"),Table1[[#This Row],[Service_Revenue]],0)</f>
        <v>305509</v>
      </c>
      <c r="V179" s="4">
        <f>IF(Table1[[#This Row],[Warranty_Claim]]="Yes",1,0)</f>
        <v>0</v>
      </c>
      <c r="W179" s="4">
        <f>IF(Table1[[#This Row],[Rework_Flag]]="No",1,0)</f>
        <v>0</v>
      </c>
      <c r="X179" s="4">
        <f>IF(Table1[[#This Row],[Rework_Flag]]="Yes",1,0)</f>
        <v>1</v>
      </c>
      <c r="Y179" s="4">
        <v>1</v>
      </c>
      <c r="Z179" s="4" t="str">
        <f>IF(Table1[[#This Row],[TAT_Days]]&gt;Table1[[#This Row],[SLA_TAT]],"Yes","No")</f>
        <v>Yes</v>
      </c>
      <c r="AA179" s="4" t="str" cm="1">
        <f t="array" ref="AA179">_xlfn.IFS(Table1[[#This Row],[Customer_Satisfaction]]&lt;=2,"Poor",Table1[[#This Row],[Customer_Satisfaction]]=3,"Neutral",Table1[[#This Row],[Customer_Satisfaction]]=4,"Good",Table1[[#This Row],[Customer_Satisfaction]]=5,"Good")</f>
        <v>Poor</v>
      </c>
    </row>
    <row r="180" spans="1:27" x14ac:dyDescent="0.35">
      <c r="A180">
        <v>20178</v>
      </c>
      <c r="B180" s="1">
        <v>45456</v>
      </c>
      <c r="C180" t="s">
        <v>19</v>
      </c>
      <c r="D180" t="s">
        <v>96</v>
      </c>
      <c r="E180" t="s">
        <v>105</v>
      </c>
      <c r="F180" t="s">
        <v>53</v>
      </c>
      <c r="G180" t="s">
        <v>33</v>
      </c>
      <c r="H180" t="s">
        <v>34</v>
      </c>
      <c r="I180" t="s">
        <v>55</v>
      </c>
      <c r="J180" t="s">
        <v>67</v>
      </c>
      <c r="K180" t="s">
        <v>27</v>
      </c>
      <c r="L180" t="s">
        <v>28</v>
      </c>
      <c r="M180" s="4">
        <v>5</v>
      </c>
      <c r="N180" s="4">
        <v>7</v>
      </c>
      <c r="O180" t="s">
        <v>29</v>
      </c>
      <c r="P180" t="s">
        <v>29</v>
      </c>
      <c r="Q180" s="4">
        <v>537484</v>
      </c>
      <c r="R180" s="4">
        <v>454610</v>
      </c>
      <c r="S180" s="4">
        <f>Table1[[#This Row],[Service_Revenue]]-Table1[[#This Row],[Service_Cost]]</f>
        <v>82874</v>
      </c>
      <c r="T180" s="4">
        <v>3</v>
      </c>
      <c r="U180" s="4">
        <f>IF(AND(Table1[[#This Row],[Rework_Flag]]="Yes",Table1[[#This Row],[Warranty_Claim]]="No"),Table1[[#This Row],[Service_Revenue]],0)</f>
        <v>0</v>
      </c>
      <c r="V180" s="4">
        <f>IF(Table1[[#This Row],[Warranty_Claim]]="Yes",1,0)</f>
        <v>1</v>
      </c>
      <c r="W180" s="4">
        <f>IF(Table1[[#This Row],[Rework_Flag]]="No",1,0)</f>
        <v>0</v>
      </c>
      <c r="X180" s="4">
        <f>IF(Table1[[#This Row],[Rework_Flag]]="Yes",1,0)</f>
        <v>1</v>
      </c>
      <c r="Y180" s="4">
        <v>1</v>
      </c>
      <c r="Z180" s="4" t="str">
        <f>IF(Table1[[#This Row],[TAT_Days]]&gt;Table1[[#This Row],[SLA_TAT]],"Yes","No")</f>
        <v>No</v>
      </c>
      <c r="AA180" s="4" t="str" cm="1">
        <f t="array" ref="AA180">_xlfn.IFS(Table1[[#This Row],[Customer_Satisfaction]]&lt;=2,"Poor",Table1[[#This Row],[Customer_Satisfaction]]=3,"Neutral",Table1[[#This Row],[Customer_Satisfaction]]=4,"Good",Table1[[#This Row],[Customer_Satisfaction]]=5,"Good")</f>
        <v>Neutral</v>
      </c>
    </row>
    <row r="181" spans="1:27" x14ac:dyDescent="0.35">
      <c r="A181">
        <v>20179</v>
      </c>
      <c r="B181" s="1">
        <v>45362</v>
      </c>
      <c r="C181" t="s">
        <v>37</v>
      </c>
      <c r="D181" t="s">
        <v>38</v>
      </c>
      <c r="E181" t="s">
        <v>93</v>
      </c>
      <c r="F181" t="s">
        <v>22</v>
      </c>
      <c r="G181" t="s">
        <v>41</v>
      </c>
      <c r="H181" t="s">
        <v>42</v>
      </c>
      <c r="I181" t="s">
        <v>55</v>
      </c>
      <c r="J181" t="s">
        <v>58</v>
      </c>
      <c r="K181" t="s">
        <v>27</v>
      </c>
      <c r="L181" t="s">
        <v>49</v>
      </c>
      <c r="M181" s="4">
        <v>13</v>
      </c>
      <c r="N181" s="4">
        <v>7</v>
      </c>
      <c r="O181" t="s">
        <v>29</v>
      </c>
      <c r="P181" t="s">
        <v>36</v>
      </c>
      <c r="Q181" s="4">
        <v>274313</v>
      </c>
      <c r="R181" s="4">
        <v>197103</v>
      </c>
      <c r="S181" s="4">
        <f>Table1[[#This Row],[Service_Revenue]]-Table1[[#This Row],[Service_Cost]]</f>
        <v>77210</v>
      </c>
      <c r="T181" s="4">
        <v>2</v>
      </c>
      <c r="U181" s="4">
        <f>IF(AND(Table1[[#This Row],[Rework_Flag]]="Yes",Table1[[#This Row],[Warranty_Claim]]="No"),Table1[[#This Row],[Service_Revenue]],0)</f>
        <v>274313</v>
      </c>
      <c r="V181" s="4">
        <f>IF(Table1[[#This Row],[Warranty_Claim]]="Yes",1,0)</f>
        <v>0</v>
      </c>
      <c r="W181" s="4">
        <f>IF(Table1[[#This Row],[Rework_Flag]]="No",1,0)</f>
        <v>0</v>
      </c>
      <c r="X181" s="4">
        <f>IF(Table1[[#This Row],[Rework_Flag]]="Yes",1,0)</f>
        <v>1</v>
      </c>
      <c r="Y181" s="4">
        <v>1</v>
      </c>
      <c r="Z181" s="4" t="str">
        <f>IF(Table1[[#This Row],[TAT_Days]]&gt;Table1[[#This Row],[SLA_TAT]],"Yes","No")</f>
        <v>Yes</v>
      </c>
      <c r="AA181" s="4" t="str" cm="1">
        <f t="array" ref="AA181">_xlfn.IFS(Table1[[#This Row],[Customer_Satisfaction]]&lt;=2,"Poor",Table1[[#This Row],[Customer_Satisfaction]]=3,"Neutral",Table1[[#This Row],[Customer_Satisfaction]]=4,"Good",Table1[[#This Row],[Customer_Satisfaction]]=5,"Good")</f>
        <v>Poor</v>
      </c>
    </row>
    <row r="182" spans="1:27" x14ac:dyDescent="0.35">
      <c r="A182">
        <v>20180</v>
      </c>
      <c r="B182" s="1">
        <v>45463</v>
      </c>
      <c r="C182" t="s">
        <v>19</v>
      </c>
      <c r="D182" t="s">
        <v>96</v>
      </c>
      <c r="E182" t="s">
        <v>108</v>
      </c>
      <c r="F182" t="s">
        <v>53</v>
      </c>
      <c r="G182" t="s">
        <v>74</v>
      </c>
      <c r="H182" t="s">
        <v>34</v>
      </c>
      <c r="I182" t="s">
        <v>25</v>
      </c>
      <c r="J182" t="s">
        <v>43</v>
      </c>
      <c r="K182" t="s">
        <v>61</v>
      </c>
      <c r="L182" t="s">
        <v>49</v>
      </c>
      <c r="M182" s="4">
        <v>12</v>
      </c>
      <c r="N182" s="4">
        <v>7</v>
      </c>
      <c r="O182" t="s">
        <v>36</v>
      </c>
      <c r="P182" t="s">
        <v>29</v>
      </c>
      <c r="Q182" s="4">
        <v>134730</v>
      </c>
      <c r="R182" s="4">
        <v>73570</v>
      </c>
      <c r="S182" s="4">
        <f>Table1[[#This Row],[Service_Revenue]]-Table1[[#This Row],[Service_Cost]]</f>
        <v>61160</v>
      </c>
      <c r="T182" s="4">
        <v>3</v>
      </c>
      <c r="U182" s="4">
        <f>IF(AND(Table1[[#This Row],[Rework_Flag]]="Yes",Table1[[#This Row],[Warranty_Claim]]="No"),Table1[[#This Row],[Service_Revenue]],0)</f>
        <v>0</v>
      </c>
      <c r="V182" s="4">
        <f>IF(Table1[[#This Row],[Warranty_Claim]]="Yes",1,0)</f>
        <v>1</v>
      </c>
      <c r="W182" s="4">
        <f>IF(Table1[[#This Row],[Rework_Flag]]="No",1,0)</f>
        <v>1</v>
      </c>
      <c r="X182" s="4">
        <f>IF(Table1[[#This Row],[Rework_Flag]]="Yes",1,0)</f>
        <v>0</v>
      </c>
      <c r="Y182" s="4">
        <v>1</v>
      </c>
      <c r="Z182" s="4" t="str">
        <f>IF(Table1[[#This Row],[TAT_Days]]&gt;Table1[[#This Row],[SLA_TAT]],"Yes","No")</f>
        <v>Yes</v>
      </c>
      <c r="AA182" s="4" t="str" cm="1">
        <f t="array" ref="AA182">_xlfn.IFS(Table1[[#This Row],[Customer_Satisfaction]]&lt;=2,"Poor",Table1[[#This Row],[Customer_Satisfaction]]=3,"Neutral",Table1[[#This Row],[Customer_Satisfaction]]=4,"Good",Table1[[#This Row],[Customer_Satisfaction]]=5,"Good")</f>
        <v>Neutral</v>
      </c>
    </row>
    <row r="183" spans="1:27" x14ac:dyDescent="0.35">
      <c r="A183">
        <v>20181</v>
      </c>
      <c r="B183" s="1">
        <v>45470</v>
      </c>
      <c r="C183" t="s">
        <v>37</v>
      </c>
      <c r="D183" t="s">
        <v>38</v>
      </c>
      <c r="E183" t="s">
        <v>102</v>
      </c>
      <c r="F183" t="s">
        <v>40</v>
      </c>
      <c r="G183" t="s">
        <v>23</v>
      </c>
      <c r="H183" t="s">
        <v>24</v>
      </c>
      <c r="I183" t="s">
        <v>55</v>
      </c>
      <c r="J183" t="s">
        <v>35</v>
      </c>
      <c r="K183" t="s">
        <v>44</v>
      </c>
      <c r="L183" t="s">
        <v>28</v>
      </c>
      <c r="M183" s="4">
        <v>9</v>
      </c>
      <c r="N183" s="4">
        <v>7</v>
      </c>
      <c r="O183" t="s">
        <v>29</v>
      </c>
      <c r="P183" t="s">
        <v>36</v>
      </c>
      <c r="Q183" s="4">
        <v>118625</v>
      </c>
      <c r="R183" s="4">
        <v>83916</v>
      </c>
      <c r="S183" s="4">
        <f>Table1[[#This Row],[Service_Revenue]]-Table1[[#This Row],[Service_Cost]]</f>
        <v>34709</v>
      </c>
      <c r="T183" s="4">
        <v>3</v>
      </c>
      <c r="U183" s="4">
        <f>IF(AND(Table1[[#This Row],[Rework_Flag]]="Yes",Table1[[#This Row],[Warranty_Claim]]="No"),Table1[[#This Row],[Service_Revenue]],0)</f>
        <v>118625</v>
      </c>
      <c r="V183" s="4">
        <f>IF(Table1[[#This Row],[Warranty_Claim]]="Yes",1,0)</f>
        <v>0</v>
      </c>
      <c r="W183" s="4">
        <f>IF(Table1[[#This Row],[Rework_Flag]]="No",1,0)</f>
        <v>0</v>
      </c>
      <c r="X183" s="4">
        <f>IF(Table1[[#This Row],[Rework_Flag]]="Yes",1,0)</f>
        <v>1</v>
      </c>
      <c r="Y183" s="4">
        <v>1</v>
      </c>
      <c r="Z183" s="4" t="str">
        <f>IF(Table1[[#This Row],[TAT_Days]]&gt;Table1[[#This Row],[SLA_TAT]],"Yes","No")</f>
        <v>Yes</v>
      </c>
      <c r="AA183" s="4" t="str" cm="1">
        <f t="array" ref="AA183">_xlfn.IFS(Table1[[#This Row],[Customer_Satisfaction]]&lt;=2,"Poor",Table1[[#This Row],[Customer_Satisfaction]]=3,"Neutral",Table1[[#This Row],[Customer_Satisfaction]]=4,"Good",Table1[[#This Row],[Customer_Satisfaction]]=5,"Good")</f>
        <v>Neutral</v>
      </c>
    </row>
    <row r="184" spans="1:27" x14ac:dyDescent="0.35">
      <c r="A184">
        <v>20182</v>
      </c>
      <c r="B184" s="1">
        <v>45351</v>
      </c>
      <c r="C184" t="s">
        <v>30</v>
      </c>
      <c r="D184" t="s">
        <v>31</v>
      </c>
      <c r="E184" t="s">
        <v>32</v>
      </c>
      <c r="F184" t="s">
        <v>53</v>
      </c>
      <c r="G184" t="s">
        <v>74</v>
      </c>
      <c r="H184" t="s">
        <v>34</v>
      </c>
      <c r="I184" t="s">
        <v>55</v>
      </c>
      <c r="J184" t="s">
        <v>58</v>
      </c>
      <c r="K184" t="s">
        <v>27</v>
      </c>
      <c r="L184" t="s">
        <v>28</v>
      </c>
      <c r="M184" s="4">
        <v>9</v>
      </c>
      <c r="N184" s="4">
        <v>7</v>
      </c>
      <c r="O184" t="s">
        <v>36</v>
      </c>
      <c r="P184" t="s">
        <v>36</v>
      </c>
      <c r="Q184" s="4">
        <v>187493</v>
      </c>
      <c r="R184" s="4">
        <v>95485</v>
      </c>
      <c r="S184" s="4">
        <f>Table1[[#This Row],[Service_Revenue]]-Table1[[#This Row],[Service_Cost]]</f>
        <v>92008</v>
      </c>
      <c r="T184" s="4">
        <v>4</v>
      </c>
      <c r="U184" s="4">
        <f>IF(AND(Table1[[#This Row],[Rework_Flag]]="Yes",Table1[[#This Row],[Warranty_Claim]]="No"),Table1[[#This Row],[Service_Revenue]],0)</f>
        <v>0</v>
      </c>
      <c r="V184" s="4">
        <f>IF(Table1[[#This Row],[Warranty_Claim]]="Yes",1,0)</f>
        <v>0</v>
      </c>
      <c r="W184" s="4">
        <f>IF(Table1[[#This Row],[Rework_Flag]]="No",1,0)</f>
        <v>1</v>
      </c>
      <c r="X184" s="4">
        <f>IF(Table1[[#This Row],[Rework_Flag]]="Yes",1,0)</f>
        <v>0</v>
      </c>
      <c r="Y184" s="4">
        <v>1</v>
      </c>
      <c r="Z184" s="4" t="str">
        <f>IF(Table1[[#This Row],[TAT_Days]]&gt;Table1[[#This Row],[SLA_TAT]],"Yes","No")</f>
        <v>Yes</v>
      </c>
      <c r="AA184" s="4" t="str" cm="1">
        <f t="array" ref="AA184">_xlfn.IFS(Table1[[#This Row],[Customer_Satisfaction]]&lt;=2,"Poor",Table1[[#This Row],[Customer_Satisfaction]]=3,"Neutral",Table1[[#This Row],[Customer_Satisfaction]]=4,"Good",Table1[[#This Row],[Customer_Satisfaction]]=5,"Good")</f>
        <v>Good</v>
      </c>
    </row>
    <row r="185" spans="1:27" x14ac:dyDescent="0.35">
      <c r="A185">
        <v>20183</v>
      </c>
      <c r="B185" s="1">
        <v>45416</v>
      </c>
      <c r="C185" t="s">
        <v>30</v>
      </c>
      <c r="D185" t="s">
        <v>59</v>
      </c>
      <c r="E185" t="s">
        <v>94</v>
      </c>
      <c r="F185" t="s">
        <v>22</v>
      </c>
      <c r="G185" t="s">
        <v>47</v>
      </c>
      <c r="H185" t="s">
        <v>48</v>
      </c>
      <c r="I185" t="s">
        <v>55</v>
      </c>
      <c r="J185" t="s">
        <v>26</v>
      </c>
      <c r="K185" t="s">
        <v>27</v>
      </c>
      <c r="L185" t="s">
        <v>49</v>
      </c>
      <c r="M185" s="4">
        <v>10</v>
      </c>
      <c r="N185" s="4">
        <v>7</v>
      </c>
      <c r="O185" t="s">
        <v>36</v>
      </c>
      <c r="P185" t="s">
        <v>29</v>
      </c>
      <c r="Q185" s="4">
        <v>412533</v>
      </c>
      <c r="R185" s="4">
        <v>257519</v>
      </c>
      <c r="S185" s="4">
        <f>Table1[[#This Row],[Service_Revenue]]-Table1[[#This Row],[Service_Cost]]</f>
        <v>155014</v>
      </c>
      <c r="T185" s="4">
        <v>3</v>
      </c>
      <c r="U185" s="4">
        <f>IF(AND(Table1[[#This Row],[Rework_Flag]]="Yes",Table1[[#This Row],[Warranty_Claim]]="No"),Table1[[#This Row],[Service_Revenue]],0)</f>
        <v>0</v>
      </c>
      <c r="V185" s="4">
        <f>IF(Table1[[#This Row],[Warranty_Claim]]="Yes",1,0)</f>
        <v>1</v>
      </c>
      <c r="W185" s="4">
        <f>IF(Table1[[#This Row],[Rework_Flag]]="No",1,0)</f>
        <v>1</v>
      </c>
      <c r="X185" s="4">
        <f>IF(Table1[[#This Row],[Rework_Flag]]="Yes",1,0)</f>
        <v>0</v>
      </c>
      <c r="Y185" s="4">
        <v>1</v>
      </c>
      <c r="Z185" s="4" t="str">
        <f>IF(Table1[[#This Row],[TAT_Days]]&gt;Table1[[#This Row],[SLA_TAT]],"Yes","No")</f>
        <v>Yes</v>
      </c>
      <c r="AA185" s="4" t="str" cm="1">
        <f t="array" ref="AA185">_xlfn.IFS(Table1[[#This Row],[Customer_Satisfaction]]&lt;=2,"Poor",Table1[[#This Row],[Customer_Satisfaction]]=3,"Neutral",Table1[[#This Row],[Customer_Satisfaction]]=4,"Good",Table1[[#This Row],[Customer_Satisfaction]]=5,"Good")</f>
        <v>Neutral</v>
      </c>
    </row>
    <row r="186" spans="1:27" x14ac:dyDescent="0.35">
      <c r="A186">
        <v>20184</v>
      </c>
      <c r="B186" s="1">
        <v>45372</v>
      </c>
      <c r="C186" t="s">
        <v>19</v>
      </c>
      <c r="D186" t="s">
        <v>20</v>
      </c>
      <c r="E186" t="s">
        <v>86</v>
      </c>
      <c r="F186" t="s">
        <v>40</v>
      </c>
      <c r="G186" t="s">
        <v>63</v>
      </c>
      <c r="H186" t="s">
        <v>24</v>
      </c>
      <c r="I186" t="s">
        <v>55</v>
      </c>
      <c r="J186" t="s">
        <v>67</v>
      </c>
      <c r="K186" t="s">
        <v>61</v>
      </c>
      <c r="L186" t="s">
        <v>49</v>
      </c>
      <c r="M186" s="4">
        <v>4</v>
      </c>
      <c r="N186" s="4">
        <v>7</v>
      </c>
      <c r="O186" t="s">
        <v>29</v>
      </c>
      <c r="P186" t="s">
        <v>29</v>
      </c>
      <c r="Q186" s="4">
        <v>342195</v>
      </c>
      <c r="R186" s="4">
        <v>253002</v>
      </c>
      <c r="S186" s="4">
        <f>Table1[[#This Row],[Service_Revenue]]-Table1[[#This Row],[Service_Cost]]</f>
        <v>89193</v>
      </c>
      <c r="T186" s="4">
        <v>4</v>
      </c>
      <c r="U186" s="4">
        <f>IF(AND(Table1[[#This Row],[Rework_Flag]]="Yes",Table1[[#This Row],[Warranty_Claim]]="No"),Table1[[#This Row],[Service_Revenue]],0)</f>
        <v>0</v>
      </c>
      <c r="V186" s="4">
        <f>IF(Table1[[#This Row],[Warranty_Claim]]="Yes",1,0)</f>
        <v>1</v>
      </c>
      <c r="W186" s="4">
        <f>IF(Table1[[#This Row],[Rework_Flag]]="No",1,0)</f>
        <v>0</v>
      </c>
      <c r="X186" s="4">
        <f>IF(Table1[[#This Row],[Rework_Flag]]="Yes",1,0)</f>
        <v>1</v>
      </c>
      <c r="Y186" s="4">
        <v>1</v>
      </c>
      <c r="Z186" s="4" t="str">
        <f>IF(Table1[[#This Row],[TAT_Days]]&gt;Table1[[#This Row],[SLA_TAT]],"Yes","No")</f>
        <v>No</v>
      </c>
      <c r="AA186" s="4" t="str" cm="1">
        <f t="array" ref="AA186">_xlfn.IFS(Table1[[#This Row],[Customer_Satisfaction]]&lt;=2,"Poor",Table1[[#This Row],[Customer_Satisfaction]]=3,"Neutral",Table1[[#This Row],[Customer_Satisfaction]]=4,"Good",Table1[[#This Row],[Customer_Satisfaction]]=5,"Good")</f>
        <v>Good</v>
      </c>
    </row>
    <row r="187" spans="1:27" x14ac:dyDescent="0.35">
      <c r="A187">
        <v>20185</v>
      </c>
      <c r="B187" s="1">
        <v>45453</v>
      </c>
      <c r="C187" t="s">
        <v>50</v>
      </c>
      <c r="D187" t="s">
        <v>56</v>
      </c>
      <c r="E187" t="s">
        <v>88</v>
      </c>
      <c r="F187" t="s">
        <v>53</v>
      </c>
      <c r="G187" t="s">
        <v>47</v>
      </c>
      <c r="H187" t="s">
        <v>48</v>
      </c>
      <c r="I187" t="s">
        <v>25</v>
      </c>
      <c r="J187" t="s">
        <v>26</v>
      </c>
      <c r="K187" t="s">
        <v>61</v>
      </c>
      <c r="L187" t="s">
        <v>28</v>
      </c>
      <c r="M187" s="4">
        <v>25</v>
      </c>
      <c r="N187" s="4">
        <v>7</v>
      </c>
      <c r="O187" t="s">
        <v>36</v>
      </c>
      <c r="P187" t="s">
        <v>36</v>
      </c>
      <c r="Q187" s="4">
        <v>115790</v>
      </c>
      <c r="R187" s="4">
        <v>89804</v>
      </c>
      <c r="S187" s="4">
        <f>Table1[[#This Row],[Service_Revenue]]-Table1[[#This Row],[Service_Cost]]</f>
        <v>25986</v>
      </c>
      <c r="T187" s="4">
        <v>1</v>
      </c>
      <c r="U187" s="4">
        <f>IF(AND(Table1[[#This Row],[Rework_Flag]]="Yes",Table1[[#This Row],[Warranty_Claim]]="No"),Table1[[#This Row],[Service_Revenue]],0)</f>
        <v>0</v>
      </c>
      <c r="V187" s="4">
        <f>IF(Table1[[#This Row],[Warranty_Claim]]="Yes",1,0)</f>
        <v>0</v>
      </c>
      <c r="W187" s="4">
        <f>IF(Table1[[#This Row],[Rework_Flag]]="No",1,0)</f>
        <v>1</v>
      </c>
      <c r="X187" s="4">
        <f>IF(Table1[[#This Row],[Rework_Flag]]="Yes",1,0)</f>
        <v>0</v>
      </c>
      <c r="Y187" s="4">
        <v>1</v>
      </c>
      <c r="Z187" s="4" t="str">
        <f>IF(Table1[[#This Row],[TAT_Days]]&gt;Table1[[#This Row],[SLA_TAT]],"Yes","No")</f>
        <v>Yes</v>
      </c>
      <c r="AA187" s="4" t="str" cm="1">
        <f t="array" ref="AA187">_xlfn.IFS(Table1[[#This Row],[Customer_Satisfaction]]&lt;=2,"Poor",Table1[[#This Row],[Customer_Satisfaction]]=3,"Neutral",Table1[[#This Row],[Customer_Satisfaction]]=4,"Good",Table1[[#This Row],[Customer_Satisfaction]]=5,"Good")</f>
        <v>Poor</v>
      </c>
    </row>
    <row r="188" spans="1:27" x14ac:dyDescent="0.35">
      <c r="A188">
        <v>20186</v>
      </c>
      <c r="B188" s="1">
        <v>45340</v>
      </c>
      <c r="C188" t="s">
        <v>50</v>
      </c>
      <c r="D188" t="s">
        <v>80</v>
      </c>
      <c r="E188" t="s">
        <v>104</v>
      </c>
      <c r="F188" t="s">
        <v>22</v>
      </c>
      <c r="G188" t="s">
        <v>41</v>
      </c>
      <c r="H188" t="s">
        <v>42</v>
      </c>
      <c r="I188" t="s">
        <v>25</v>
      </c>
      <c r="J188" t="s">
        <v>43</v>
      </c>
      <c r="K188" t="s">
        <v>61</v>
      </c>
      <c r="L188" t="s">
        <v>49</v>
      </c>
      <c r="M188" s="4">
        <v>6</v>
      </c>
      <c r="N188" s="4">
        <v>7</v>
      </c>
      <c r="O188" t="s">
        <v>36</v>
      </c>
      <c r="P188" t="s">
        <v>36</v>
      </c>
      <c r="Q188" s="4">
        <v>136573</v>
      </c>
      <c r="R188" s="4">
        <v>111456</v>
      </c>
      <c r="S188" s="4">
        <f>Table1[[#This Row],[Service_Revenue]]-Table1[[#This Row],[Service_Cost]]</f>
        <v>25117</v>
      </c>
      <c r="T188" s="4">
        <v>4</v>
      </c>
      <c r="U188" s="4">
        <f>IF(AND(Table1[[#This Row],[Rework_Flag]]="Yes",Table1[[#This Row],[Warranty_Claim]]="No"),Table1[[#This Row],[Service_Revenue]],0)</f>
        <v>0</v>
      </c>
      <c r="V188" s="4">
        <f>IF(Table1[[#This Row],[Warranty_Claim]]="Yes",1,0)</f>
        <v>0</v>
      </c>
      <c r="W188" s="4">
        <f>IF(Table1[[#This Row],[Rework_Flag]]="No",1,0)</f>
        <v>1</v>
      </c>
      <c r="X188" s="4">
        <f>IF(Table1[[#This Row],[Rework_Flag]]="Yes",1,0)</f>
        <v>0</v>
      </c>
      <c r="Y188" s="4">
        <v>1</v>
      </c>
      <c r="Z188" s="4" t="str">
        <f>IF(Table1[[#This Row],[TAT_Days]]&gt;Table1[[#This Row],[SLA_TAT]],"Yes","No")</f>
        <v>No</v>
      </c>
      <c r="AA188" s="4" t="str" cm="1">
        <f t="array" ref="AA188">_xlfn.IFS(Table1[[#This Row],[Customer_Satisfaction]]&lt;=2,"Poor",Table1[[#This Row],[Customer_Satisfaction]]=3,"Neutral",Table1[[#This Row],[Customer_Satisfaction]]=4,"Good",Table1[[#This Row],[Customer_Satisfaction]]=5,"Good")</f>
        <v>Good</v>
      </c>
    </row>
    <row r="189" spans="1:27" x14ac:dyDescent="0.35">
      <c r="A189">
        <v>20187</v>
      </c>
      <c r="B189" s="1">
        <v>45308</v>
      </c>
      <c r="C189" t="s">
        <v>19</v>
      </c>
      <c r="D189" t="s">
        <v>20</v>
      </c>
      <c r="E189" t="s">
        <v>86</v>
      </c>
      <c r="F189" t="s">
        <v>40</v>
      </c>
      <c r="G189" t="s">
        <v>23</v>
      </c>
      <c r="H189" t="s">
        <v>24</v>
      </c>
      <c r="I189" t="s">
        <v>25</v>
      </c>
      <c r="J189" t="s">
        <v>35</v>
      </c>
      <c r="K189" t="s">
        <v>61</v>
      </c>
      <c r="L189" t="s">
        <v>49</v>
      </c>
      <c r="M189" s="4">
        <v>8</v>
      </c>
      <c r="N189" s="4">
        <v>7</v>
      </c>
      <c r="O189" t="s">
        <v>29</v>
      </c>
      <c r="P189" t="s">
        <v>36</v>
      </c>
      <c r="Q189" s="4">
        <v>179779</v>
      </c>
      <c r="R189" s="4">
        <v>107206</v>
      </c>
      <c r="S189" s="4">
        <f>Table1[[#This Row],[Service_Revenue]]-Table1[[#This Row],[Service_Cost]]</f>
        <v>72573</v>
      </c>
      <c r="T189" s="4">
        <v>3</v>
      </c>
      <c r="U189" s="4">
        <f>IF(AND(Table1[[#This Row],[Rework_Flag]]="Yes",Table1[[#This Row],[Warranty_Claim]]="No"),Table1[[#This Row],[Service_Revenue]],0)</f>
        <v>179779</v>
      </c>
      <c r="V189" s="4">
        <f>IF(Table1[[#This Row],[Warranty_Claim]]="Yes",1,0)</f>
        <v>0</v>
      </c>
      <c r="W189" s="4">
        <f>IF(Table1[[#This Row],[Rework_Flag]]="No",1,0)</f>
        <v>0</v>
      </c>
      <c r="X189" s="4">
        <f>IF(Table1[[#This Row],[Rework_Flag]]="Yes",1,0)</f>
        <v>1</v>
      </c>
      <c r="Y189" s="4">
        <v>1</v>
      </c>
      <c r="Z189" s="4" t="str">
        <f>IF(Table1[[#This Row],[TAT_Days]]&gt;Table1[[#This Row],[SLA_TAT]],"Yes","No")</f>
        <v>Yes</v>
      </c>
      <c r="AA189" s="4" t="str" cm="1">
        <f t="array" ref="AA189">_xlfn.IFS(Table1[[#This Row],[Customer_Satisfaction]]&lt;=2,"Poor",Table1[[#This Row],[Customer_Satisfaction]]=3,"Neutral",Table1[[#This Row],[Customer_Satisfaction]]=4,"Good",Table1[[#This Row],[Customer_Satisfaction]]=5,"Good")</f>
        <v>Neutral</v>
      </c>
    </row>
    <row r="190" spans="1:27" x14ac:dyDescent="0.35">
      <c r="A190">
        <v>20188</v>
      </c>
      <c r="B190" s="1">
        <v>45390</v>
      </c>
      <c r="C190" t="s">
        <v>37</v>
      </c>
      <c r="D190" t="s">
        <v>38</v>
      </c>
      <c r="E190" t="s">
        <v>39</v>
      </c>
      <c r="F190" t="s">
        <v>22</v>
      </c>
      <c r="G190" t="s">
        <v>33</v>
      </c>
      <c r="H190" t="s">
        <v>34</v>
      </c>
      <c r="I190" t="s">
        <v>25</v>
      </c>
      <c r="J190" t="s">
        <v>43</v>
      </c>
      <c r="K190" t="s">
        <v>44</v>
      </c>
      <c r="L190" t="s">
        <v>28</v>
      </c>
      <c r="M190" s="4">
        <v>4</v>
      </c>
      <c r="N190" s="4">
        <v>7</v>
      </c>
      <c r="O190" t="s">
        <v>29</v>
      </c>
      <c r="P190" t="s">
        <v>29</v>
      </c>
      <c r="Q190" s="4">
        <v>250410</v>
      </c>
      <c r="R190" s="4">
        <v>160615</v>
      </c>
      <c r="S190" s="4">
        <f>Table1[[#This Row],[Service_Revenue]]-Table1[[#This Row],[Service_Cost]]</f>
        <v>89795</v>
      </c>
      <c r="T190" s="4">
        <v>4</v>
      </c>
      <c r="U190" s="4">
        <f>IF(AND(Table1[[#This Row],[Rework_Flag]]="Yes",Table1[[#This Row],[Warranty_Claim]]="No"),Table1[[#This Row],[Service_Revenue]],0)</f>
        <v>0</v>
      </c>
      <c r="V190" s="4">
        <f>IF(Table1[[#This Row],[Warranty_Claim]]="Yes",1,0)</f>
        <v>1</v>
      </c>
      <c r="W190" s="4">
        <f>IF(Table1[[#This Row],[Rework_Flag]]="No",1,0)</f>
        <v>0</v>
      </c>
      <c r="X190" s="4">
        <f>IF(Table1[[#This Row],[Rework_Flag]]="Yes",1,0)</f>
        <v>1</v>
      </c>
      <c r="Y190" s="4">
        <v>1</v>
      </c>
      <c r="Z190" s="4" t="str">
        <f>IF(Table1[[#This Row],[TAT_Days]]&gt;Table1[[#This Row],[SLA_TAT]],"Yes","No")</f>
        <v>No</v>
      </c>
      <c r="AA190" s="4" t="str" cm="1">
        <f t="array" ref="AA190">_xlfn.IFS(Table1[[#This Row],[Customer_Satisfaction]]&lt;=2,"Poor",Table1[[#This Row],[Customer_Satisfaction]]=3,"Neutral",Table1[[#This Row],[Customer_Satisfaction]]=4,"Good",Table1[[#This Row],[Customer_Satisfaction]]=5,"Good")</f>
        <v>Good</v>
      </c>
    </row>
    <row r="191" spans="1:27" x14ac:dyDescent="0.35">
      <c r="A191">
        <v>20189</v>
      </c>
      <c r="B191" s="1">
        <v>45380</v>
      </c>
      <c r="C191" t="s">
        <v>50</v>
      </c>
      <c r="D191" t="s">
        <v>80</v>
      </c>
      <c r="E191" t="s">
        <v>118</v>
      </c>
      <c r="F191" t="s">
        <v>22</v>
      </c>
      <c r="G191" t="s">
        <v>47</v>
      </c>
      <c r="H191" t="s">
        <v>48</v>
      </c>
      <c r="I191" t="s">
        <v>25</v>
      </c>
      <c r="J191" t="s">
        <v>43</v>
      </c>
      <c r="K191" t="s">
        <v>61</v>
      </c>
      <c r="L191" t="s">
        <v>49</v>
      </c>
      <c r="M191" s="4">
        <v>24</v>
      </c>
      <c r="N191" s="4">
        <v>7</v>
      </c>
      <c r="O191" t="s">
        <v>29</v>
      </c>
      <c r="P191" t="s">
        <v>36</v>
      </c>
      <c r="Q191" s="4">
        <v>176635</v>
      </c>
      <c r="R191" s="4">
        <v>137641</v>
      </c>
      <c r="S191" s="4">
        <f>Table1[[#This Row],[Service_Revenue]]-Table1[[#This Row],[Service_Cost]]</f>
        <v>38994</v>
      </c>
      <c r="T191" s="4">
        <v>1</v>
      </c>
      <c r="U191" s="4">
        <f>IF(AND(Table1[[#This Row],[Rework_Flag]]="Yes",Table1[[#This Row],[Warranty_Claim]]="No"),Table1[[#This Row],[Service_Revenue]],0)</f>
        <v>176635</v>
      </c>
      <c r="V191" s="4">
        <f>IF(Table1[[#This Row],[Warranty_Claim]]="Yes",1,0)</f>
        <v>0</v>
      </c>
      <c r="W191" s="4">
        <f>IF(Table1[[#This Row],[Rework_Flag]]="No",1,0)</f>
        <v>0</v>
      </c>
      <c r="X191" s="4">
        <f>IF(Table1[[#This Row],[Rework_Flag]]="Yes",1,0)</f>
        <v>1</v>
      </c>
      <c r="Y191" s="4">
        <v>1</v>
      </c>
      <c r="Z191" s="4" t="str">
        <f>IF(Table1[[#This Row],[TAT_Days]]&gt;Table1[[#This Row],[SLA_TAT]],"Yes","No")</f>
        <v>Yes</v>
      </c>
      <c r="AA191" s="4" t="str" cm="1">
        <f t="array" ref="AA191">_xlfn.IFS(Table1[[#This Row],[Customer_Satisfaction]]&lt;=2,"Poor",Table1[[#This Row],[Customer_Satisfaction]]=3,"Neutral",Table1[[#This Row],[Customer_Satisfaction]]=4,"Good",Table1[[#This Row],[Customer_Satisfaction]]=5,"Good")</f>
        <v>Poor</v>
      </c>
    </row>
    <row r="192" spans="1:27" x14ac:dyDescent="0.35">
      <c r="A192">
        <v>20190</v>
      </c>
      <c r="B192" s="1">
        <v>45466</v>
      </c>
      <c r="C192" t="s">
        <v>19</v>
      </c>
      <c r="D192" t="s">
        <v>45</v>
      </c>
      <c r="E192" t="s">
        <v>46</v>
      </c>
      <c r="F192" t="s">
        <v>22</v>
      </c>
      <c r="G192" t="s">
        <v>63</v>
      </c>
      <c r="H192" t="s">
        <v>24</v>
      </c>
      <c r="I192" t="s">
        <v>55</v>
      </c>
      <c r="J192" t="s">
        <v>35</v>
      </c>
      <c r="K192" t="s">
        <v>44</v>
      </c>
      <c r="L192" t="s">
        <v>49</v>
      </c>
      <c r="M192" s="4">
        <v>21</v>
      </c>
      <c r="N192" s="4">
        <v>7</v>
      </c>
      <c r="O192" t="s">
        <v>29</v>
      </c>
      <c r="P192" t="s">
        <v>36</v>
      </c>
      <c r="Q192" s="4">
        <v>252633</v>
      </c>
      <c r="R192" s="4">
        <v>193260</v>
      </c>
      <c r="S192" s="4">
        <f>Table1[[#This Row],[Service_Revenue]]-Table1[[#This Row],[Service_Cost]]</f>
        <v>59373</v>
      </c>
      <c r="T192" s="4">
        <v>1</v>
      </c>
      <c r="U192" s="4">
        <f>IF(AND(Table1[[#This Row],[Rework_Flag]]="Yes",Table1[[#This Row],[Warranty_Claim]]="No"),Table1[[#This Row],[Service_Revenue]],0)</f>
        <v>252633</v>
      </c>
      <c r="V192" s="4">
        <f>IF(Table1[[#This Row],[Warranty_Claim]]="Yes",1,0)</f>
        <v>0</v>
      </c>
      <c r="W192" s="4">
        <f>IF(Table1[[#This Row],[Rework_Flag]]="No",1,0)</f>
        <v>0</v>
      </c>
      <c r="X192" s="4">
        <f>IF(Table1[[#This Row],[Rework_Flag]]="Yes",1,0)</f>
        <v>1</v>
      </c>
      <c r="Y192" s="4">
        <v>1</v>
      </c>
      <c r="Z192" s="4" t="str">
        <f>IF(Table1[[#This Row],[TAT_Days]]&gt;Table1[[#This Row],[SLA_TAT]],"Yes","No")</f>
        <v>Yes</v>
      </c>
      <c r="AA192" s="4" t="str" cm="1">
        <f t="array" ref="AA192">_xlfn.IFS(Table1[[#This Row],[Customer_Satisfaction]]&lt;=2,"Poor",Table1[[#This Row],[Customer_Satisfaction]]=3,"Neutral",Table1[[#This Row],[Customer_Satisfaction]]=4,"Good",Table1[[#This Row],[Customer_Satisfaction]]=5,"Good")</f>
        <v>Poor</v>
      </c>
    </row>
    <row r="193" spans="1:27" x14ac:dyDescent="0.35">
      <c r="A193">
        <v>20191</v>
      </c>
      <c r="B193" s="1">
        <v>45362</v>
      </c>
      <c r="C193" t="s">
        <v>37</v>
      </c>
      <c r="D193" t="s">
        <v>38</v>
      </c>
      <c r="E193" t="s">
        <v>93</v>
      </c>
      <c r="F193" t="s">
        <v>40</v>
      </c>
      <c r="G193" t="s">
        <v>47</v>
      </c>
      <c r="H193" t="s">
        <v>48</v>
      </c>
      <c r="I193" t="s">
        <v>25</v>
      </c>
      <c r="J193" t="s">
        <v>35</v>
      </c>
      <c r="K193" t="s">
        <v>44</v>
      </c>
      <c r="L193" t="s">
        <v>49</v>
      </c>
      <c r="M193" s="4">
        <v>7</v>
      </c>
      <c r="N193" s="4">
        <v>7</v>
      </c>
      <c r="O193" t="s">
        <v>29</v>
      </c>
      <c r="P193" t="s">
        <v>36</v>
      </c>
      <c r="Q193" s="4">
        <v>547813</v>
      </c>
      <c r="R193" s="4">
        <v>450216</v>
      </c>
      <c r="S193" s="4">
        <f>Table1[[#This Row],[Service_Revenue]]-Table1[[#This Row],[Service_Cost]]</f>
        <v>97597</v>
      </c>
      <c r="T193" s="4">
        <v>3</v>
      </c>
      <c r="U193" s="4">
        <f>IF(AND(Table1[[#This Row],[Rework_Flag]]="Yes",Table1[[#This Row],[Warranty_Claim]]="No"),Table1[[#This Row],[Service_Revenue]],0)</f>
        <v>547813</v>
      </c>
      <c r="V193" s="4">
        <f>IF(Table1[[#This Row],[Warranty_Claim]]="Yes",1,0)</f>
        <v>0</v>
      </c>
      <c r="W193" s="4">
        <f>IF(Table1[[#This Row],[Rework_Flag]]="No",1,0)</f>
        <v>0</v>
      </c>
      <c r="X193" s="4">
        <f>IF(Table1[[#This Row],[Rework_Flag]]="Yes",1,0)</f>
        <v>1</v>
      </c>
      <c r="Y193" s="4">
        <v>1</v>
      </c>
      <c r="Z193" s="4" t="str">
        <f>IF(Table1[[#This Row],[TAT_Days]]&gt;Table1[[#This Row],[SLA_TAT]],"Yes","No")</f>
        <v>No</v>
      </c>
      <c r="AA193" s="4" t="str" cm="1">
        <f t="array" ref="AA193">_xlfn.IFS(Table1[[#This Row],[Customer_Satisfaction]]&lt;=2,"Poor",Table1[[#This Row],[Customer_Satisfaction]]=3,"Neutral",Table1[[#This Row],[Customer_Satisfaction]]=4,"Good",Table1[[#This Row],[Customer_Satisfaction]]=5,"Good")</f>
        <v>Neutral</v>
      </c>
    </row>
    <row r="194" spans="1:27" x14ac:dyDescent="0.35">
      <c r="A194">
        <v>20192</v>
      </c>
      <c r="B194" s="1">
        <v>45345</v>
      </c>
      <c r="C194" t="s">
        <v>50</v>
      </c>
      <c r="D194" t="s">
        <v>56</v>
      </c>
      <c r="E194" t="s">
        <v>101</v>
      </c>
      <c r="F194" t="s">
        <v>53</v>
      </c>
      <c r="G194" t="s">
        <v>23</v>
      </c>
      <c r="H194" t="s">
        <v>24</v>
      </c>
      <c r="I194" t="s">
        <v>55</v>
      </c>
      <c r="J194" t="s">
        <v>67</v>
      </c>
      <c r="K194" t="s">
        <v>61</v>
      </c>
      <c r="L194" t="s">
        <v>28</v>
      </c>
      <c r="M194" s="4">
        <v>11</v>
      </c>
      <c r="N194" s="4">
        <v>7</v>
      </c>
      <c r="O194" t="s">
        <v>36</v>
      </c>
      <c r="P194" t="s">
        <v>36</v>
      </c>
      <c r="Q194" s="4">
        <v>163832</v>
      </c>
      <c r="R194" s="4">
        <v>131599</v>
      </c>
      <c r="S194" s="4">
        <f>Table1[[#This Row],[Service_Revenue]]-Table1[[#This Row],[Service_Cost]]</f>
        <v>32233</v>
      </c>
      <c r="T194" s="4">
        <v>3</v>
      </c>
      <c r="U194" s="4">
        <f>IF(AND(Table1[[#This Row],[Rework_Flag]]="Yes",Table1[[#This Row],[Warranty_Claim]]="No"),Table1[[#This Row],[Service_Revenue]],0)</f>
        <v>0</v>
      </c>
      <c r="V194" s="4">
        <f>IF(Table1[[#This Row],[Warranty_Claim]]="Yes",1,0)</f>
        <v>0</v>
      </c>
      <c r="W194" s="4">
        <f>IF(Table1[[#This Row],[Rework_Flag]]="No",1,0)</f>
        <v>1</v>
      </c>
      <c r="X194" s="4">
        <f>IF(Table1[[#This Row],[Rework_Flag]]="Yes",1,0)</f>
        <v>0</v>
      </c>
      <c r="Y194" s="4">
        <v>1</v>
      </c>
      <c r="Z194" s="4" t="str">
        <f>IF(Table1[[#This Row],[TAT_Days]]&gt;Table1[[#This Row],[SLA_TAT]],"Yes","No")</f>
        <v>Yes</v>
      </c>
      <c r="AA194" s="4" t="str" cm="1">
        <f t="array" ref="AA194">_xlfn.IFS(Table1[[#This Row],[Customer_Satisfaction]]&lt;=2,"Poor",Table1[[#This Row],[Customer_Satisfaction]]=3,"Neutral",Table1[[#This Row],[Customer_Satisfaction]]=4,"Good",Table1[[#This Row],[Customer_Satisfaction]]=5,"Good")</f>
        <v>Neutral</v>
      </c>
    </row>
    <row r="195" spans="1:27" x14ac:dyDescent="0.35">
      <c r="A195">
        <v>20193</v>
      </c>
      <c r="B195" s="1">
        <v>45387</v>
      </c>
      <c r="C195" t="s">
        <v>50</v>
      </c>
      <c r="D195" t="s">
        <v>51</v>
      </c>
      <c r="E195" t="s">
        <v>113</v>
      </c>
      <c r="F195" t="s">
        <v>40</v>
      </c>
      <c r="G195" t="s">
        <v>74</v>
      </c>
      <c r="H195" t="s">
        <v>34</v>
      </c>
      <c r="I195" t="s">
        <v>25</v>
      </c>
      <c r="J195" t="s">
        <v>26</v>
      </c>
      <c r="K195" t="s">
        <v>44</v>
      </c>
      <c r="L195" t="s">
        <v>28</v>
      </c>
      <c r="M195" s="4">
        <v>14</v>
      </c>
      <c r="N195" s="4">
        <v>7</v>
      </c>
      <c r="O195" t="s">
        <v>36</v>
      </c>
      <c r="P195" t="s">
        <v>36</v>
      </c>
      <c r="Q195" s="4">
        <v>214958</v>
      </c>
      <c r="R195" s="4">
        <v>164306</v>
      </c>
      <c r="S195" s="4">
        <f>Table1[[#This Row],[Service_Revenue]]-Table1[[#This Row],[Service_Cost]]</f>
        <v>50652</v>
      </c>
      <c r="T195" s="4">
        <v>3</v>
      </c>
      <c r="U195" s="4">
        <f>IF(AND(Table1[[#This Row],[Rework_Flag]]="Yes",Table1[[#This Row],[Warranty_Claim]]="No"),Table1[[#This Row],[Service_Revenue]],0)</f>
        <v>0</v>
      </c>
      <c r="V195" s="4">
        <f>IF(Table1[[#This Row],[Warranty_Claim]]="Yes",1,0)</f>
        <v>0</v>
      </c>
      <c r="W195" s="4">
        <f>IF(Table1[[#This Row],[Rework_Flag]]="No",1,0)</f>
        <v>1</v>
      </c>
      <c r="X195" s="4">
        <f>IF(Table1[[#This Row],[Rework_Flag]]="Yes",1,0)</f>
        <v>0</v>
      </c>
      <c r="Y195" s="4">
        <v>1</v>
      </c>
      <c r="Z195" s="4" t="str">
        <f>IF(Table1[[#This Row],[TAT_Days]]&gt;Table1[[#This Row],[SLA_TAT]],"Yes","No")</f>
        <v>Yes</v>
      </c>
      <c r="AA195" s="4" t="str" cm="1">
        <f t="array" ref="AA195">_xlfn.IFS(Table1[[#This Row],[Customer_Satisfaction]]&lt;=2,"Poor",Table1[[#This Row],[Customer_Satisfaction]]=3,"Neutral",Table1[[#This Row],[Customer_Satisfaction]]=4,"Good",Table1[[#This Row],[Customer_Satisfaction]]=5,"Good")</f>
        <v>Neutral</v>
      </c>
    </row>
    <row r="196" spans="1:27" x14ac:dyDescent="0.35">
      <c r="A196">
        <v>20194</v>
      </c>
      <c r="B196" s="1">
        <v>45406</v>
      </c>
      <c r="C196" t="s">
        <v>37</v>
      </c>
      <c r="D196" t="s">
        <v>38</v>
      </c>
      <c r="E196" t="s">
        <v>102</v>
      </c>
      <c r="F196" t="s">
        <v>53</v>
      </c>
      <c r="G196" t="s">
        <v>41</v>
      </c>
      <c r="H196" t="s">
        <v>42</v>
      </c>
      <c r="I196" t="s">
        <v>55</v>
      </c>
      <c r="J196" t="s">
        <v>67</v>
      </c>
      <c r="K196" t="s">
        <v>44</v>
      </c>
      <c r="L196" t="s">
        <v>28</v>
      </c>
      <c r="M196" s="4">
        <v>19</v>
      </c>
      <c r="N196" s="4">
        <v>7</v>
      </c>
      <c r="O196" t="s">
        <v>29</v>
      </c>
      <c r="P196" t="s">
        <v>29</v>
      </c>
      <c r="Q196" s="4">
        <v>390994</v>
      </c>
      <c r="R196" s="4">
        <v>262073</v>
      </c>
      <c r="S196" s="4">
        <f>Table1[[#This Row],[Service_Revenue]]-Table1[[#This Row],[Service_Cost]]</f>
        <v>128921</v>
      </c>
      <c r="T196" s="4">
        <v>1</v>
      </c>
      <c r="U196" s="4">
        <f>IF(AND(Table1[[#This Row],[Rework_Flag]]="Yes",Table1[[#This Row],[Warranty_Claim]]="No"),Table1[[#This Row],[Service_Revenue]],0)</f>
        <v>0</v>
      </c>
      <c r="V196" s="4">
        <f>IF(Table1[[#This Row],[Warranty_Claim]]="Yes",1,0)</f>
        <v>1</v>
      </c>
      <c r="W196" s="4">
        <f>IF(Table1[[#This Row],[Rework_Flag]]="No",1,0)</f>
        <v>0</v>
      </c>
      <c r="X196" s="4">
        <f>IF(Table1[[#This Row],[Rework_Flag]]="Yes",1,0)</f>
        <v>1</v>
      </c>
      <c r="Y196" s="4">
        <v>1</v>
      </c>
      <c r="Z196" s="4" t="str">
        <f>IF(Table1[[#This Row],[TAT_Days]]&gt;Table1[[#This Row],[SLA_TAT]],"Yes","No")</f>
        <v>Yes</v>
      </c>
      <c r="AA196" s="4" t="str" cm="1">
        <f t="array" ref="AA196">_xlfn.IFS(Table1[[#This Row],[Customer_Satisfaction]]&lt;=2,"Poor",Table1[[#This Row],[Customer_Satisfaction]]=3,"Neutral",Table1[[#This Row],[Customer_Satisfaction]]=4,"Good",Table1[[#This Row],[Customer_Satisfaction]]=5,"Good")</f>
        <v>Poor</v>
      </c>
    </row>
    <row r="197" spans="1:27" x14ac:dyDescent="0.35">
      <c r="A197">
        <v>20195</v>
      </c>
      <c r="B197" s="1">
        <v>45441</v>
      </c>
      <c r="C197" t="s">
        <v>19</v>
      </c>
      <c r="D197" t="s">
        <v>20</v>
      </c>
      <c r="E197" t="s">
        <v>117</v>
      </c>
      <c r="F197" t="s">
        <v>40</v>
      </c>
      <c r="G197" t="s">
        <v>33</v>
      </c>
      <c r="H197" t="s">
        <v>34</v>
      </c>
      <c r="I197" t="s">
        <v>25</v>
      </c>
      <c r="J197" t="s">
        <v>35</v>
      </c>
      <c r="K197" t="s">
        <v>44</v>
      </c>
      <c r="L197" t="s">
        <v>28</v>
      </c>
      <c r="M197" s="4">
        <v>23</v>
      </c>
      <c r="N197" s="4">
        <v>7</v>
      </c>
      <c r="O197" t="s">
        <v>36</v>
      </c>
      <c r="P197" t="s">
        <v>36</v>
      </c>
      <c r="Q197" s="4">
        <v>541869</v>
      </c>
      <c r="R197" s="4">
        <v>359237</v>
      </c>
      <c r="S197" s="4">
        <f>Table1[[#This Row],[Service_Revenue]]-Table1[[#This Row],[Service_Cost]]</f>
        <v>182632</v>
      </c>
      <c r="T197" s="4">
        <v>1</v>
      </c>
      <c r="U197" s="4">
        <f>IF(AND(Table1[[#This Row],[Rework_Flag]]="Yes",Table1[[#This Row],[Warranty_Claim]]="No"),Table1[[#This Row],[Service_Revenue]],0)</f>
        <v>0</v>
      </c>
      <c r="V197" s="4">
        <f>IF(Table1[[#This Row],[Warranty_Claim]]="Yes",1,0)</f>
        <v>0</v>
      </c>
      <c r="W197" s="4">
        <f>IF(Table1[[#This Row],[Rework_Flag]]="No",1,0)</f>
        <v>1</v>
      </c>
      <c r="X197" s="4">
        <f>IF(Table1[[#This Row],[Rework_Flag]]="Yes",1,0)</f>
        <v>0</v>
      </c>
      <c r="Y197" s="4">
        <v>1</v>
      </c>
      <c r="Z197" s="4" t="str">
        <f>IF(Table1[[#This Row],[TAT_Days]]&gt;Table1[[#This Row],[SLA_TAT]],"Yes","No")</f>
        <v>Yes</v>
      </c>
      <c r="AA197" s="4" t="str" cm="1">
        <f t="array" ref="AA197">_xlfn.IFS(Table1[[#This Row],[Customer_Satisfaction]]&lt;=2,"Poor",Table1[[#This Row],[Customer_Satisfaction]]=3,"Neutral",Table1[[#This Row],[Customer_Satisfaction]]=4,"Good",Table1[[#This Row],[Customer_Satisfaction]]=5,"Good")</f>
        <v>Poor</v>
      </c>
    </row>
    <row r="198" spans="1:27" x14ac:dyDescent="0.35">
      <c r="A198">
        <v>20196</v>
      </c>
      <c r="B198" s="1">
        <v>45378</v>
      </c>
      <c r="C198" t="s">
        <v>50</v>
      </c>
      <c r="D198" t="s">
        <v>51</v>
      </c>
      <c r="E198" t="s">
        <v>52</v>
      </c>
      <c r="F198" t="s">
        <v>22</v>
      </c>
      <c r="G198" t="s">
        <v>33</v>
      </c>
      <c r="H198" t="s">
        <v>34</v>
      </c>
      <c r="I198" t="s">
        <v>25</v>
      </c>
      <c r="J198" t="s">
        <v>58</v>
      </c>
      <c r="K198" t="s">
        <v>44</v>
      </c>
      <c r="L198" t="s">
        <v>49</v>
      </c>
      <c r="M198" s="4">
        <v>15</v>
      </c>
      <c r="N198" s="4">
        <v>7</v>
      </c>
      <c r="O198" t="s">
        <v>29</v>
      </c>
      <c r="P198" t="s">
        <v>36</v>
      </c>
      <c r="Q198" s="4">
        <v>176426</v>
      </c>
      <c r="R198" s="4">
        <v>116649</v>
      </c>
      <c r="S198" s="4">
        <f>Table1[[#This Row],[Service_Revenue]]-Table1[[#This Row],[Service_Cost]]</f>
        <v>59777</v>
      </c>
      <c r="T198" s="4">
        <v>1</v>
      </c>
      <c r="U198" s="4">
        <f>IF(AND(Table1[[#This Row],[Rework_Flag]]="Yes",Table1[[#This Row],[Warranty_Claim]]="No"),Table1[[#This Row],[Service_Revenue]],0)</f>
        <v>176426</v>
      </c>
      <c r="V198" s="4">
        <f>IF(Table1[[#This Row],[Warranty_Claim]]="Yes",1,0)</f>
        <v>0</v>
      </c>
      <c r="W198" s="4">
        <f>IF(Table1[[#This Row],[Rework_Flag]]="No",1,0)</f>
        <v>0</v>
      </c>
      <c r="X198" s="4">
        <f>IF(Table1[[#This Row],[Rework_Flag]]="Yes",1,0)</f>
        <v>1</v>
      </c>
      <c r="Y198" s="4">
        <v>1</v>
      </c>
      <c r="Z198" s="4" t="str">
        <f>IF(Table1[[#This Row],[TAT_Days]]&gt;Table1[[#This Row],[SLA_TAT]],"Yes","No")</f>
        <v>Yes</v>
      </c>
      <c r="AA198" s="4" t="str" cm="1">
        <f t="array" ref="AA198">_xlfn.IFS(Table1[[#This Row],[Customer_Satisfaction]]&lt;=2,"Poor",Table1[[#This Row],[Customer_Satisfaction]]=3,"Neutral",Table1[[#This Row],[Customer_Satisfaction]]=4,"Good",Table1[[#This Row],[Customer_Satisfaction]]=5,"Good")</f>
        <v>Poor</v>
      </c>
    </row>
    <row r="199" spans="1:27" x14ac:dyDescent="0.35">
      <c r="A199">
        <v>20197</v>
      </c>
      <c r="B199" s="1">
        <v>45377</v>
      </c>
      <c r="C199" t="s">
        <v>37</v>
      </c>
      <c r="D199" t="s">
        <v>38</v>
      </c>
      <c r="E199" t="s">
        <v>39</v>
      </c>
      <c r="F199" t="s">
        <v>22</v>
      </c>
      <c r="G199" t="s">
        <v>33</v>
      </c>
      <c r="H199" t="s">
        <v>34</v>
      </c>
      <c r="I199" t="s">
        <v>25</v>
      </c>
      <c r="J199" t="s">
        <v>35</v>
      </c>
      <c r="K199" t="s">
        <v>27</v>
      </c>
      <c r="L199" t="s">
        <v>49</v>
      </c>
      <c r="M199" s="4">
        <v>19</v>
      </c>
      <c r="N199" s="4">
        <v>7</v>
      </c>
      <c r="O199" t="s">
        <v>29</v>
      </c>
      <c r="P199" t="s">
        <v>36</v>
      </c>
      <c r="Q199" s="4">
        <v>201058</v>
      </c>
      <c r="R199" s="4">
        <v>129365</v>
      </c>
      <c r="S199" s="4">
        <f>Table1[[#This Row],[Service_Revenue]]-Table1[[#This Row],[Service_Cost]]</f>
        <v>71693</v>
      </c>
      <c r="T199" s="4">
        <v>1</v>
      </c>
      <c r="U199" s="4">
        <f>IF(AND(Table1[[#This Row],[Rework_Flag]]="Yes",Table1[[#This Row],[Warranty_Claim]]="No"),Table1[[#This Row],[Service_Revenue]],0)</f>
        <v>201058</v>
      </c>
      <c r="V199" s="4">
        <f>IF(Table1[[#This Row],[Warranty_Claim]]="Yes",1,0)</f>
        <v>0</v>
      </c>
      <c r="W199" s="4">
        <f>IF(Table1[[#This Row],[Rework_Flag]]="No",1,0)</f>
        <v>0</v>
      </c>
      <c r="X199" s="4">
        <f>IF(Table1[[#This Row],[Rework_Flag]]="Yes",1,0)</f>
        <v>1</v>
      </c>
      <c r="Y199" s="4">
        <v>1</v>
      </c>
      <c r="Z199" s="4" t="str">
        <f>IF(Table1[[#This Row],[TAT_Days]]&gt;Table1[[#This Row],[SLA_TAT]],"Yes","No")</f>
        <v>Yes</v>
      </c>
      <c r="AA199" s="4" t="str" cm="1">
        <f t="array" ref="AA199">_xlfn.IFS(Table1[[#This Row],[Customer_Satisfaction]]&lt;=2,"Poor",Table1[[#This Row],[Customer_Satisfaction]]=3,"Neutral",Table1[[#This Row],[Customer_Satisfaction]]=4,"Good",Table1[[#This Row],[Customer_Satisfaction]]=5,"Good")</f>
        <v>Poor</v>
      </c>
    </row>
    <row r="200" spans="1:27" x14ac:dyDescent="0.35">
      <c r="A200">
        <v>20198</v>
      </c>
      <c r="B200" s="1">
        <v>45396</v>
      </c>
      <c r="C200" t="s">
        <v>50</v>
      </c>
      <c r="D200" t="s">
        <v>51</v>
      </c>
      <c r="E200" t="s">
        <v>73</v>
      </c>
      <c r="F200" t="s">
        <v>22</v>
      </c>
      <c r="G200" t="s">
        <v>47</v>
      </c>
      <c r="H200" t="s">
        <v>48</v>
      </c>
      <c r="I200" t="s">
        <v>55</v>
      </c>
      <c r="J200" t="s">
        <v>35</v>
      </c>
      <c r="K200" t="s">
        <v>61</v>
      </c>
      <c r="L200" t="s">
        <v>28</v>
      </c>
      <c r="M200" s="4">
        <v>3</v>
      </c>
      <c r="N200" s="4">
        <v>7</v>
      </c>
      <c r="O200" t="s">
        <v>29</v>
      </c>
      <c r="P200" t="s">
        <v>29</v>
      </c>
      <c r="Q200" s="4">
        <v>252709</v>
      </c>
      <c r="R200" s="4">
        <v>167509</v>
      </c>
      <c r="S200" s="4">
        <f>Table1[[#This Row],[Service_Revenue]]-Table1[[#This Row],[Service_Cost]]</f>
        <v>85200</v>
      </c>
      <c r="T200" s="4">
        <v>4</v>
      </c>
      <c r="U200" s="4">
        <f>IF(AND(Table1[[#This Row],[Rework_Flag]]="Yes",Table1[[#This Row],[Warranty_Claim]]="No"),Table1[[#This Row],[Service_Revenue]],0)</f>
        <v>0</v>
      </c>
      <c r="V200" s="4">
        <f>IF(Table1[[#This Row],[Warranty_Claim]]="Yes",1,0)</f>
        <v>1</v>
      </c>
      <c r="W200" s="4">
        <f>IF(Table1[[#This Row],[Rework_Flag]]="No",1,0)</f>
        <v>0</v>
      </c>
      <c r="X200" s="4">
        <f>IF(Table1[[#This Row],[Rework_Flag]]="Yes",1,0)</f>
        <v>1</v>
      </c>
      <c r="Y200" s="4">
        <v>1</v>
      </c>
      <c r="Z200" s="4" t="str">
        <f>IF(Table1[[#This Row],[TAT_Days]]&gt;Table1[[#This Row],[SLA_TAT]],"Yes","No")</f>
        <v>No</v>
      </c>
      <c r="AA200" s="4" t="str" cm="1">
        <f t="array" ref="AA200">_xlfn.IFS(Table1[[#This Row],[Customer_Satisfaction]]&lt;=2,"Poor",Table1[[#This Row],[Customer_Satisfaction]]=3,"Neutral",Table1[[#This Row],[Customer_Satisfaction]]=4,"Good",Table1[[#This Row],[Customer_Satisfaction]]=5,"Good")</f>
        <v>Good</v>
      </c>
    </row>
    <row r="201" spans="1:27" x14ac:dyDescent="0.35">
      <c r="A201">
        <v>20199</v>
      </c>
      <c r="B201" s="1">
        <v>45293</v>
      </c>
      <c r="C201" t="s">
        <v>50</v>
      </c>
      <c r="D201" t="s">
        <v>51</v>
      </c>
      <c r="E201" t="s">
        <v>52</v>
      </c>
      <c r="F201" t="s">
        <v>53</v>
      </c>
      <c r="G201" t="s">
        <v>33</v>
      </c>
      <c r="H201" t="s">
        <v>34</v>
      </c>
      <c r="I201" t="s">
        <v>25</v>
      </c>
      <c r="J201" t="s">
        <v>35</v>
      </c>
      <c r="K201" t="s">
        <v>61</v>
      </c>
      <c r="L201" t="s">
        <v>49</v>
      </c>
      <c r="M201" s="4">
        <v>11</v>
      </c>
      <c r="N201" s="4">
        <v>7</v>
      </c>
      <c r="O201" t="s">
        <v>29</v>
      </c>
      <c r="P201" t="s">
        <v>29</v>
      </c>
      <c r="Q201" s="4">
        <v>194187</v>
      </c>
      <c r="R201" s="4">
        <v>137080</v>
      </c>
      <c r="S201" s="4">
        <f>Table1[[#This Row],[Service_Revenue]]-Table1[[#This Row],[Service_Cost]]</f>
        <v>57107</v>
      </c>
      <c r="T201" s="4">
        <v>2</v>
      </c>
      <c r="U201" s="4">
        <f>IF(AND(Table1[[#This Row],[Rework_Flag]]="Yes",Table1[[#This Row],[Warranty_Claim]]="No"),Table1[[#This Row],[Service_Revenue]],0)</f>
        <v>0</v>
      </c>
      <c r="V201" s="4">
        <f>IF(Table1[[#This Row],[Warranty_Claim]]="Yes",1,0)</f>
        <v>1</v>
      </c>
      <c r="W201" s="4">
        <f>IF(Table1[[#This Row],[Rework_Flag]]="No",1,0)</f>
        <v>0</v>
      </c>
      <c r="X201" s="4">
        <f>IF(Table1[[#This Row],[Rework_Flag]]="Yes",1,0)</f>
        <v>1</v>
      </c>
      <c r="Y201" s="4">
        <v>1</v>
      </c>
      <c r="Z201" s="4" t="str">
        <f>IF(Table1[[#This Row],[TAT_Days]]&gt;Table1[[#This Row],[SLA_TAT]],"Yes","No")</f>
        <v>Yes</v>
      </c>
      <c r="AA201" s="4" t="str" cm="1">
        <f t="array" ref="AA201">_xlfn.IFS(Table1[[#This Row],[Customer_Satisfaction]]&lt;=2,"Poor",Table1[[#This Row],[Customer_Satisfaction]]=3,"Neutral",Table1[[#This Row],[Customer_Satisfaction]]=4,"Good",Table1[[#This Row],[Customer_Satisfaction]]=5,"Good")</f>
        <v>Poor</v>
      </c>
    </row>
    <row r="202" spans="1:27" x14ac:dyDescent="0.35">
      <c r="A202">
        <v>20200</v>
      </c>
      <c r="B202" s="1">
        <v>45349</v>
      </c>
      <c r="C202" t="s">
        <v>30</v>
      </c>
      <c r="D202" t="s">
        <v>83</v>
      </c>
      <c r="E202" t="s">
        <v>84</v>
      </c>
      <c r="F202" t="s">
        <v>53</v>
      </c>
      <c r="G202" t="s">
        <v>54</v>
      </c>
      <c r="H202" t="s">
        <v>42</v>
      </c>
      <c r="I202" t="s">
        <v>55</v>
      </c>
      <c r="J202" t="s">
        <v>35</v>
      </c>
      <c r="K202" t="s">
        <v>44</v>
      </c>
      <c r="L202" t="s">
        <v>28</v>
      </c>
      <c r="M202" s="4">
        <v>21</v>
      </c>
      <c r="N202" s="4">
        <v>7</v>
      </c>
      <c r="O202" t="s">
        <v>29</v>
      </c>
      <c r="P202" t="s">
        <v>29</v>
      </c>
      <c r="Q202" s="4">
        <v>408225</v>
      </c>
      <c r="R202" s="4">
        <v>213623</v>
      </c>
      <c r="S202" s="4">
        <f>Table1[[#This Row],[Service_Revenue]]-Table1[[#This Row],[Service_Cost]]</f>
        <v>194602</v>
      </c>
      <c r="T202" s="4">
        <v>1</v>
      </c>
      <c r="U202" s="4">
        <f>IF(AND(Table1[[#This Row],[Rework_Flag]]="Yes",Table1[[#This Row],[Warranty_Claim]]="No"),Table1[[#This Row],[Service_Revenue]],0)</f>
        <v>0</v>
      </c>
      <c r="V202" s="4">
        <f>IF(Table1[[#This Row],[Warranty_Claim]]="Yes",1,0)</f>
        <v>1</v>
      </c>
      <c r="W202" s="4">
        <f>IF(Table1[[#This Row],[Rework_Flag]]="No",1,0)</f>
        <v>0</v>
      </c>
      <c r="X202" s="4">
        <f>IF(Table1[[#This Row],[Rework_Flag]]="Yes",1,0)</f>
        <v>1</v>
      </c>
      <c r="Y202" s="4">
        <v>1</v>
      </c>
      <c r="Z202" s="4" t="str">
        <f>IF(Table1[[#This Row],[TAT_Days]]&gt;Table1[[#This Row],[SLA_TAT]],"Yes","No")</f>
        <v>Yes</v>
      </c>
      <c r="AA202" s="4" t="str" cm="1">
        <f t="array" ref="AA202">_xlfn.IFS(Table1[[#This Row],[Customer_Satisfaction]]&lt;=2,"Poor",Table1[[#This Row],[Customer_Satisfaction]]=3,"Neutral",Table1[[#This Row],[Customer_Satisfaction]]=4,"Good",Table1[[#This Row],[Customer_Satisfaction]]=5,"Good")</f>
        <v>Poor</v>
      </c>
    </row>
    <row r="203" spans="1:27" x14ac:dyDescent="0.35">
      <c r="A203">
        <v>20201</v>
      </c>
      <c r="B203" s="1">
        <v>45354</v>
      </c>
      <c r="C203" t="s">
        <v>19</v>
      </c>
      <c r="D203" t="s">
        <v>45</v>
      </c>
      <c r="E203" t="s">
        <v>114</v>
      </c>
      <c r="F203" t="s">
        <v>22</v>
      </c>
      <c r="G203" t="s">
        <v>74</v>
      </c>
      <c r="H203" t="s">
        <v>34</v>
      </c>
      <c r="I203" t="s">
        <v>55</v>
      </c>
      <c r="J203" t="s">
        <v>67</v>
      </c>
      <c r="K203" t="s">
        <v>61</v>
      </c>
      <c r="L203" t="s">
        <v>49</v>
      </c>
      <c r="M203" s="4">
        <v>24</v>
      </c>
      <c r="N203" s="4">
        <v>7</v>
      </c>
      <c r="O203" t="s">
        <v>36</v>
      </c>
      <c r="P203" t="s">
        <v>36</v>
      </c>
      <c r="Q203" s="4">
        <v>541404</v>
      </c>
      <c r="R203" s="4">
        <v>376309</v>
      </c>
      <c r="S203" s="4">
        <f>Table1[[#This Row],[Service_Revenue]]-Table1[[#This Row],[Service_Cost]]</f>
        <v>165095</v>
      </c>
      <c r="T203" s="4">
        <v>1</v>
      </c>
      <c r="U203" s="4">
        <f>IF(AND(Table1[[#This Row],[Rework_Flag]]="Yes",Table1[[#This Row],[Warranty_Claim]]="No"),Table1[[#This Row],[Service_Revenue]],0)</f>
        <v>0</v>
      </c>
      <c r="V203" s="4">
        <f>IF(Table1[[#This Row],[Warranty_Claim]]="Yes",1,0)</f>
        <v>0</v>
      </c>
      <c r="W203" s="4">
        <f>IF(Table1[[#This Row],[Rework_Flag]]="No",1,0)</f>
        <v>1</v>
      </c>
      <c r="X203" s="4">
        <f>IF(Table1[[#This Row],[Rework_Flag]]="Yes",1,0)</f>
        <v>0</v>
      </c>
      <c r="Y203" s="4">
        <v>1</v>
      </c>
      <c r="Z203" s="4" t="str">
        <f>IF(Table1[[#This Row],[TAT_Days]]&gt;Table1[[#This Row],[SLA_TAT]],"Yes","No")</f>
        <v>Yes</v>
      </c>
      <c r="AA203" s="4" t="str" cm="1">
        <f t="array" ref="AA203">_xlfn.IFS(Table1[[#This Row],[Customer_Satisfaction]]&lt;=2,"Poor",Table1[[#This Row],[Customer_Satisfaction]]=3,"Neutral",Table1[[#This Row],[Customer_Satisfaction]]=4,"Good",Table1[[#This Row],[Customer_Satisfaction]]=5,"Good")</f>
        <v>Poor</v>
      </c>
    </row>
    <row r="204" spans="1:27" x14ac:dyDescent="0.35">
      <c r="A204">
        <v>20202</v>
      </c>
      <c r="B204" s="1">
        <v>45310</v>
      </c>
      <c r="C204" t="s">
        <v>30</v>
      </c>
      <c r="D204" t="s">
        <v>59</v>
      </c>
      <c r="E204" t="s">
        <v>66</v>
      </c>
      <c r="F204" t="s">
        <v>53</v>
      </c>
      <c r="G204" t="s">
        <v>47</v>
      </c>
      <c r="H204" t="s">
        <v>48</v>
      </c>
      <c r="I204" t="s">
        <v>55</v>
      </c>
      <c r="J204" t="s">
        <v>35</v>
      </c>
      <c r="K204" t="s">
        <v>27</v>
      </c>
      <c r="L204" t="s">
        <v>49</v>
      </c>
      <c r="M204" s="4">
        <v>7</v>
      </c>
      <c r="N204" s="4">
        <v>7</v>
      </c>
      <c r="O204" t="s">
        <v>36</v>
      </c>
      <c r="P204" t="s">
        <v>36</v>
      </c>
      <c r="Q204" s="4">
        <v>184885</v>
      </c>
      <c r="R204" s="4">
        <v>112546</v>
      </c>
      <c r="S204" s="4">
        <f>Table1[[#This Row],[Service_Revenue]]-Table1[[#This Row],[Service_Cost]]</f>
        <v>72339</v>
      </c>
      <c r="T204" s="4">
        <v>4</v>
      </c>
      <c r="U204" s="4">
        <f>IF(AND(Table1[[#This Row],[Rework_Flag]]="Yes",Table1[[#This Row],[Warranty_Claim]]="No"),Table1[[#This Row],[Service_Revenue]],0)</f>
        <v>0</v>
      </c>
      <c r="V204" s="4">
        <f>IF(Table1[[#This Row],[Warranty_Claim]]="Yes",1,0)</f>
        <v>0</v>
      </c>
      <c r="W204" s="4">
        <f>IF(Table1[[#This Row],[Rework_Flag]]="No",1,0)</f>
        <v>1</v>
      </c>
      <c r="X204" s="4">
        <f>IF(Table1[[#This Row],[Rework_Flag]]="Yes",1,0)</f>
        <v>0</v>
      </c>
      <c r="Y204" s="4">
        <v>1</v>
      </c>
      <c r="Z204" s="4" t="str">
        <f>IF(Table1[[#This Row],[TAT_Days]]&gt;Table1[[#This Row],[SLA_TAT]],"Yes","No")</f>
        <v>No</v>
      </c>
      <c r="AA204" s="4" t="str" cm="1">
        <f t="array" ref="AA204">_xlfn.IFS(Table1[[#This Row],[Customer_Satisfaction]]&lt;=2,"Poor",Table1[[#This Row],[Customer_Satisfaction]]=3,"Neutral",Table1[[#This Row],[Customer_Satisfaction]]=4,"Good",Table1[[#This Row],[Customer_Satisfaction]]=5,"Good")</f>
        <v>Good</v>
      </c>
    </row>
    <row r="205" spans="1:27" x14ac:dyDescent="0.35">
      <c r="A205">
        <v>20203</v>
      </c>
      <c r="B205" s="1">
        <v>45424</v>
      </c>
      <c r="C205" t="s">
        <v>37</v>
      </c>
      <c r="D205" t="s">
        <v>38</v>
      </c>
      <c r="E205" t="s">
        <v>112</v>
      </c>
      <c r="F205" t="s">
        <v>40</v>
      </c>
      <c r="G205" t="s">
        <v>33</v>
      </c>
      <c r="H205" t="s">
        <v>34</v>
      </c>
      <c r="I205" t="s">
        <v>25</v>
      </c>
      <c r="J205" t="s">
        <v>35</v>
      </c>
      <c r="K205" t="s">
        <v>27</v>
      </c>
      <c r="L205" t="s">
        <v>28</v>
      </c>
      <c r="M205" s="4">
        <v>20</v>
      </c>
      <c r="N205" s="4">
        <v>7</v>
      </c>
      <c r="O205" t="s">
        <v>29</v>
      </c>
      <c r="P205" t="s">
        <v>36</v>
      </c>
      <c r="Q205" s="4">
        <v>378609</v>
      </c>
      <c r="R205" s="4">
        <v>225697</v>
      </c>
      <c r="S205" s="4">
        <f>Table1[[#This Row],[Service_Revenue]]-Table1[[#This Row],[Service_Cost]]</f>
        <v>152912</v>
      </c>
      <c r="T205" s="4">
        <v>1</v>
      </c>
      <c r="U205" s="4">
        <f>IF(AND(Table1[[#This Row],[Rework_Flag]]="Yes",Table1[[#This Row],[Warranty_Claim]]="No"),Table1[[#This Row],[Service_Revenue]],0)</f>
        <v>378609</v>
      </c>
      <c r="V205" s="4">
        <f>IF(Table1[[#This Row],[Warranty_Claim]]="Yes",1,0)</f>
        <v>0</v>
      </c>
      <c r="W205" s="4">
        <f>IF(Table1[[#This Row],[Rework_Flag]]="No",1,0)</f>
        <v>0</v>
      </c>
      <c r="X205" s="4">
        <f>IF(Table1[[#This Row],[Rework_Flag]]="Yes",1,0)</f>
        <v>1</v>
      </c>
      <c r="Y205" s="4">
        <v>1</v>
      </c>
      <c r="Z205" s="4" t="str">
        <f>IF(Table1[[#This Row],[TAT_Days]]&gt;Table1[[#This Row],[SLA_TAT]],"Yes","No")</f>
        <v>Yes</v>
      </c>
      <c r="AA205" s="4" t="str" cm="1">
        <f t="array" ref="AA205">_xlfn.IFS(Table1[[#This Row],[Customer_Satisfaction]]&lt;=2,"Poor",Table1[[#This Row],[Customer_Satisfaction]]=3,"Neutral",Table1[[#This Row],[Customer_Satisfaction]]=4,"Good",Table1[[#This Row],[Customer_Satisfaction]]=5,"Good")</f>
        <v>Poor</v>
      </c>
    </row>
    <row r="206" spans="1:27" x14ac:dyDescent="0.35">
      <c r="A206">
        <v>20204</v>
      </c>
      <c r="B206" s="1">
        <v>45448</v>
      </c>
      <c r="C206" t="s">
        <v>50</v>
      </c>
      <c r="D206" t="s">
        <v>80</v>
      </c>
      <c r="E206" t="s">
        <v>118</v>
      </c>
      <c r="F206" t="s">
        <v>22</v>
      </c>
      <c r="G206" t="s">
        <v>41</v>
      </c>
      <c r="H206" t="s">
        <v>42</v>
      </c>
      <c r="I206" t="s">
        <v>55</v>
      </c>
      <c r="J206" t="s">
        <v>43</v>
      </c>
      <c r="K206" t="s">
        <v>27</v>
      </c>
      <c r="L206" t="s">
        <v>28</v>
      </c>
      <c r="M206" s="4">
        <v>3</v>
      </c>
      <c r="N206" s="4">
        <v>7</v>
      </c>
      <c r="O206" t="s">
        <v>29</v>
      </c>
      <c r="P206" t="s">
        <v>29</v>
      </c>
      <c r="Q206" s="4">
        <v>125336</v>
      </c>
      <c r="R206" s="4">
        <v>78240</v>
      </c>
      <c r="S206" s="4">
        <f>Table1[[#This Row],[Service_Revenue]]-Table1[[#This Row],[Service_Cost]]</f>
        <v>47096</v>
      </c>
      <c r="T206" s="4">
        <v>4</v>
      </c>
      <c r="U206" s="4">
        <f>IF(AND(Table1[[#This Row],[Rework_Flag]]="Yes",Table1[[#This Row],[Warranty_Claim]]="No"),Table1[[#This Row],[Service_Revenue]],0)</f>
        <v>0</v>
      </c>
      <c r="V206" s="4">
        <f>IF(Table1[[#This Row],[Warranty_Claim]]="Yes",1,0)</f>
        <v>1</v>
      </c>
      <c r="W206" s="4">
        <f>IF(Table1[[#This Row],[Rework_Flag]]="No",1,0)</f>
        <v>0</v>
      </c>
      <c r="X206" s="4">
        <f>IF(Table1[[#This Row],[Rework_Flag]]="Yes",1,0)</f>
        <v>1</v>
      </c>
      <c r="Y206" s="4">
        <v>1</v>
      </c>
      <c r="Z206" s="4" t="str">
        <f>IF(Table1[[#This Row],[TAT_Days]]&gt;Table1[[#This Row],[SLA_TAT]],"Yes","No")</f>
        <v>No</v>
      </c>
      <c r="AA206" s="4" t="str" cm="1">
        <f t="array" ref="AA206">_xlfn.IFS(Table1[[#This Row],[Customer_Satisfaction]]&lt;=2,"Poor",Table1[[#This Row],[Customer_Satisfaction]]=3,"Neutral",Table1[[#This Row],[Customer_Satisfaction]]=4,"Good",Table1[[#This Row],[Customer_Satisfaction]]=5,"Good")</f>
        <v>Good</v>
      </c>
    </row>
    <row r="207" spans="1:27" x14ac:dyDescent="0.35">
      <c r="A207">
        <v>20205</v>
      </c>
      <c r="B207" s="1">
        <v>45457</v>
      </c>
      <c r="C207" t="s">
        <v>50</v>
      </c>
      <c r="D207" t="s">
        <v>56</v>
      </c>
      <c r="E207" t="s">
        <v>101</v>
      </c>
      <c r="F207" t="s">
        <v>22</v>
      </c>
      <c r="G207" t="s">
        <v>23</v>
      </c>
      <c r="H207" t="s">
        <v>24</v>
      </c>
      <c r="I207" t="s">
        <v>25</v>
      </c>
      <c r="J207" t="s">
        <v>26</v>
      </c>
      <c r="K207" t="s">
        <v>61</v>
      </c>
      <c r="L207" t="s">
        <v>28</v>
      </c>
      <c r="M207" s="4">
        <v>20</v>
      </c>
      <c r="N207" s="4">
        <v>7</v>
      </c>
      <c r="O207" t="s">
        <v>29</v>
      </c>
      <c r="P207" t="s">
        <v>36</v>
      </c>
      <c r="Q207" s="4">
        <v>105569</v>
      </c>
      <c r="R207" s="4">
        <v>67024</v>
      </c>
      <c r="S207" s="4">
        <f>Table1[[#This Row],[Service_Revenue]]-Table1[[#This Row],[Service_Cost]]</f>
        <v>38545</v>
      </c>
      <c r="T207" s="4">
        <v>1</v>
      </c>
      <c r="U207" s="4">
        <f>IF(AND(Table1[[#This Row],[Rework_Flag]]="Yes",Table1[[#This Row],[Warranty_Claim]]="No"),Table1[[#This Row],[Service_Revenue]],0)</f>
        <v>105569</v>
      </c>
      <c r="V207" s="4">
        <f>IF(Table1[[#This Row],[Warranty_Claim]]="Yes",1,0)</f>
        <v>0</v>
      </c>
      <c r="W207" s="4">
        <f>IF(Table1[[#This Row],[Rework_Flag]]="No",1,0)</f>
        <v>0</v>
      </c>
      <c r="X207" s="4">
        <f>IF(Table1[[#This Row],[Rework_Flag]]="Yes",1,0)</f>
        <v>1</v>
      </c>
      <c r="Y207" s="4">
        <v>1</v>
      </c>
      <c r="Z207" s="4" t="str">
        <f>IF(Table1[[#This Row],[TAT_Days]]&gt;Table1[[#This Row],[SLA_TAT]],"Yes","No")</f>
        <v>Yes</v>
      </c>
      <c r="AA207" s="4" t="str" cm="1">
        <f t="array" ref="AA207">_xlfn.IFS(Table1[[#This Row],[Customer_Satisfaction]]&lt;=2,"Poor",Table1[[#This Row],[Customer_Satisfaction]]=3,"Neutral",Table1[[#This Row],[Customer_Satisfaction]]=4,"Good",Table1[[#This Row],[Customer_Satisfaction]]=5,"Good")</f>
        <v>Poor</v>
      </c>
    </row>
    <row r="208" spans="1:27" x14ac:dyDescent="0.35">
      <c r="A208">
        <v>20206</v>
      </c>
      <c r="B208" s="1">
        <v>45335</v>
      </c>
      <c r="C208" t="s">
        <v>19</v>
      </c>
      <c r="D208" t="s">
        <v>45</v>
      </c>
      <c r="E208" t="s">
        <v>111</v>
      </c>
      <c r="F208" t="s">
        <v>53</v>
      </c>
      <c r="G208" t="s">
        <v>41</v>
      </c>
      <c r="H208" t="s">
        <v>42</v>
      </c>
      <c r="I208" t="s">
        <v>55</v>
      </c>
      <c r="J208" t="s">
        <v>67</v>
      </c>
      <c r="K208" t="s">
        <v>61</v>
      </c>
      <c r="L208" t="s">
        <v>28</v>
      </c>
      <c r="M208" s="4">
        <v>14</v>
      </c>
      <c r="N208" s="4">
        <v>7</v>
      </c>
      <c r="O208" t="s">
        <v>29</v>
      </c>
      <c r="P208" t="s">
        <v>36</v>
      </c>
      <c r="Q208" s="4">
        <v>115440</v>
      </c>
      <c r="R208" s="4">
        <v>90197</v>
      </c>
      <c r="S208" s="4">
        <f>Table1[[#This Row],[Service_Revenue]]-Table1[[#This Row],[Service_Cost]]</f>
        <v>25243</v>
      </c>
      <c r="T208" s="4">
        <v>2</v>
      </c>
      <c r="U208" s="4">
        <f>IF(AND(Table1[[#This Row],[Rework_Flag]]="Yes",Table1[[#This Row],[Warranty_Claim]]="No"),Table1[[#This Row],[Service_Revenue]],0)</f>
        <v>115440</v>
      </c>
      <c r="V208" s="4">
        <f>IF(Table1[[#This Row],[Warranty_Claim]]="Yes",1,0)</f>
        <v>0</v>
      </c>
      <c r="W208" s="4">
        <f>IF(Table1[[#This Row],[Rework_Flag]]="No",1,0)</f>
        <v>0</v>
      </c>
      <c r="X208" s="4">
        <f>IF(Table1[[#This Row],[Rework_Flag]]="Yes",1,0)</f>
        <v>1</v>
      </c>
      <c r="Y208" s="4">
        <v>1</v>
      </c>
      <c r="Z208" s="4" t="str">
        <f>IF(Table1[[#This Row],[TAT_Days]]&gt;Table1[[#This Row],[SLA_TAT]],"Yes","No")</f>
        <v>Yes</v>
      </c>
      <c r="AA208" s="4" t="str" cm="1">
        <f t="array" ref="AA208">_xlfn.IFS(Table1[[#This Row],[Customer_Satisfaction]]&lt;=2,"Poor",Table1[[#This Row],[Customer_Satisfaction]]=3,"Neutral",Table1[[#This Row],[Customer_Satisfaction]]=4,"Good",Table1[[#This Row],[Customer_Satisfaction]]=5,"Good")</f>
        <v>Poor</v>
      </c>
    </row>
    <row r="209" spans="1:27" x14ac:dyDescent="0.35">
      <c r="A209">
        <v>20207</v>
      </c>
      <c r="B209" s="1">
        <v>45367</v>
      </c>
      <c r="C209" t="s">
        <v>30</v>
      </c>
      <c r="D209" t="s">
        <v>83</v>
      </c>
      <c r="E209" t="s">
        <v>119</v>
      </c>
      <c r="F209" t="s">
        <v>22</v>
      </c>
      <c r="G209" t="s">
        <v>74</v>
      </c>
      <c r="H209" t="s">
        <v>34</v>
      </c>
      <c r="I209" t="s">
        <v>25</v>
      </c>
      <c r="J209" t="s">
        <v>26</v>
      </c>
      <c r="K209" t="s">
        <v>27</v>
      </c>
      <c r="L209" t="s">
        <v>28</v>
      </c>
      <c r="M209" s="4">
        <v>22</v>
      </c>
      <c r="N209" s="4">
        <v>7</v>
      </c>
      <c r="O209" t="s">
        <v>29</v>
      </c>
      <c r="P209" t="s">
        <v>29</v>
      </c>
      <c r="Q209" s="4">
        <v>108990</v>
      </c>
      <c r="R209" s="4">
        <v>85417</v>
      </c>
      <c r="S209" s="4">
        <f>Table1[[#This Row],[Service_Revenue]]-Table1[[#This Row],[Service_Cost]]</f>
        <v>23573</v>
      </c>
      <c r="T209" s="4">
        <v>1</v>
      </c>
      <c r="U209" s="4">
        <f>IF(AND(Table1[[#This Row],[Rework_Flag]]="Yes",Table1[[#This Row],[Warranty_Claim]]="No"),Table1[[#This Row],[Service_Revenue]],0)</f>
        <v>0</v>
      </c>
      <c r="V209" s="4">
        <f>IF(Table1[[#This Row],[Warranty_Claim]]="Yes",1,0)</f>
        <v>1</v>
      </c>
      <c r="W209" s="4">
        <f>IF(Table1[[#This Row],[Rework_Flag]]="No",1,0)</f>
        <v>0</v>
      </c>
      <c r="X209" s="4">
        <f>IF(Table1[[#This Row],[Rework_Flag]]="Yes",1,0)</f>
        <v>1</v>
      </c>
      <c r="Y209" s="4">
        <v>1</v>
      </c>
      <c r="Z209" s="4" t="str">
        <f>IF(Table1[[#This Row],[TAT_Days]]&gt;Table1[[#This Row],[SLA_TAT]],"Yes","No")</f>
        <v>Yes</v>
      </c>
      <c r="AA209" s="4" t="str" cm="1">
        <f t="array" ref="AA209">_xlfn.IFS(Table1[[#This Row],[Customer_Satisfaction]]&lt;=2,"Poor",Table1[[#This Row],[Customer_Satisfaction]]=3,"Neutral",Table1[[#This Row],[Customer_Satisfaction]]=4,"Good",Table1[[#This Row],[Customer_Satisfaction]]=5,"Good")</f>
        <v>Poor</v>
      </c>
    </row>
    <row r="210" spans="1:27" x14ac:dyDescent="0.35">
      <c r="A210">
        <v>20208</v>
      </c>
      <c r="B210" s="1">
        <v>45318</v>
      </c>
      <c r="C210" t="s">
        <v>37</v>
      </c>
      <c r="D210" t="s">
        <v>38</v>
      </c>
      <c r="E210" t="s">
        <v>107</v>
      </c>
      <c r="F210" t="s">
        <v>22</v>
      </c>
      <c r="G210" t="s">
        <v>33</v>
      </c>
      <c r="H210" t="s">
        <v>34</v>
      </c>
      <c r="I210" t="s">
        <v>55</v>
      </c>
      <c r="J210" t="s">
        <v>67</v>
      </c>
      <c r="K210" t="s">
        <v>27</v>
      </c>
      <c r="L210" t="s">
        <v>28</v>
      </c>
      <c r="M210" s="4">
        <v>10</v>
      </c>
      <c r="N210" s="4">
        <v>7</v>
      </c>
      <c r="O210" t="s">
        <v>29</v>
      </c>
      <c r="P210" t="s">
        <v>36</v>
      </c>
      <c r="Q210" s="4">
        <v>360494</v>
      </c>
      <c r="R210" s="4">
        <v>181256</v>
      </c>
      <c r="S210" s="4">
        <f>Table1[[#This Row],[Service_Revenue]]-Table1[[#This Row],[Service_Cost]]</f>
        <v>179238</v>
      </c>
      <c r="T210" s="4">
        <v>2</v>
      </c>
      <c r="U210" s="4">
        <f>IF(AND(Table1[[#This Row],[Rework_Flag]]="Yes",Table1[[#This Row],[Warranty_Claim]]="No"),Table1[[#This Row],[Service_Revenue]],0)</f>
        <v>360494</v>
      </c>
      <c r="V210" s="4">
        <f>IF(Table1[[#This Row],[Warranty_Claim]]="Yes",1,0)</f>
        <v>0</v>
      </c>
      <c r="W210" s="4">
        <f>IF(Table1[[#This Row],[Rework_Flag]]="No",1,0)</f>
        <v>0</v>
      </c>
      <c r="X210" s="4">
        <f>IF(Table1[[#This Row],[Rework_Flag]]="Yes",1,0)</f>
        <v>1</v>
      </c>
      <c r="Y210" s="4">
        <v>1</v>
      </c>
      <c r="Z210" s="4" t="str">
        <f>IF(Table1[[#This Row],[TAT_Days]]&gt;Table1[[#This Row],[SLA_TAT]],"Yes","No")</f>
        <v>Yes</v>
      </c>
      <c r="AA210" s="4" t="str" cm="1">
        <f t="array" ref="AA210">_xlfn.IFS(Table1[[#This Row],[Customer_Satisfaction]]&lt;=2,"Poor",Table1[[#This Row],[Customer_Satisfaction]]=3,"Neutral",Table1[[#This Row],[Customer_Satisfaction]]=4,"Good",Table1[[#This Row],[Customer_Satisfaction]]=5,"Good")</f>
        <v>Poor</v>
      </c>
    </row>
    <row r="211" spans="1:27" x14ac:dyDescent="0.35">
      <c r="A211">
        <v>20209</v>
      </c>
      <c r="B211" s="1">
        <v>45403</v>
      </c>
      <c r="C211" t="s">
        <v>50</v>
      </c>
      <c r="D211" t="s">
        <v>56</v>
      </c>
      <c r="E211" t="s">
        <v>68</v>
      </c>
      <c r="F211" t="s">
        <v>40</v>
      </c>
      <c r="G211" t="s">
        <v>33</v>
      </c>
      <c r="H211" t="s">
        <v>34</v>
      </c>
      <c r="I211" t="s">
        <v>55</v>
      </c>
      <c r="J211" t="s">
        <v>58</v>
      </c>
      <c r="K211" t="s">
        <v>61</v>
      </c>
      <c r="L211" t="s">
        <v>28</v>
      </c>
      <c r="M211" s="4">
        <v>10</v>
      </c>
      <c r="N211" s="4">
        <v>7</v>
      </c>
      <c r="O211" t="s">
        <v>36</v>
      </c>
      <c r="P211" t="s">
        <v>36</v>
      </c>
      <c r="Q211" s="4">
        <v>302817</v>
      </c>
      <c r="R211" s="4">
        <v>235628</v>
      </c>
      <c r="S211" s="4">
        <f>Table1[[#This Row],[Service_Revenue]]-Table1[[#This Row],[Service_Cost]]</f>
        <v>67189</v>
      </c>
      <c r="T211" s="4">
        <v>3</v>
      </c>
      <c r="U211" s="4">
        <f>IF(AND(Table1[[#This Row],[Rework_Flag]]="Yes",Table1[[#This Row],[Warranty_Claim]]="No"),Table1[[#This Row],[Service_Revenue]],0)</f>
        <v>0</v>
      </c>
      <c r="V211" s="4">
        <f>IF(Table1[[#This Row],[Warranty_Claim]]="Yes",1,0)</f>
        <v>0</v>
      </c>
      <c r="W211" s="4">
        <f>IF(Table1[[#This Row],[Rework_Flag]]="No",1,0)</f>
        <v>1</v>
      </c>
      <c r="X211" s="4">
        <f>IF(Table1[[#This Row],[Rework_Flag]]="Yes",1,0)</f>
        <v>0</v>
      </c>
      <c r="Y211" s="4">
        <v>1</v>
      </c>
      <c r="Z211" s="4" t="str">
        <f>IF(Table1[[#This Row],[TAT_Days]]&gt;Table1[[#This Row],[SLA_TAT]],"Yes","No")</f>
        <v>Yes</v>
      </c>
      <c r="AA211" s="4" t="str" cm="1">
        <f t="array" ref="AA211">_xlfn.IFS(Table1[[#This Row],[Customer_Satisfaction]]&lt;=2,"Poor",Table1[[#This Row],[Customer_Satisfaction]]=3,"Neutral",Table1[[#This Row],[Customer_Satisfaction]]=4,"Good",Table1[[#This Row],[Customer_Satisfaction]]=5,"Good")</f>
        <v>Neutral</v>
      </c>
    </row>
    <row r="212" spans="1:27" x14ac:dyDescent="0.35">
      <c r="A212">
        <v>20210</v>
      </c>
      <c r="B212" s="1">
        <v>45360</v>
      </c>
      <c r="C212" t="s">
        <v>37</v>
      </c>
      <c r="D212" t="s">
        <v>70</v>
      </c>
      <c r="E212" t="s">
        <v>91</v>
      </c>
      <c r="F212" t="s">
        <v>53</v>
      </c>
      <c r="G212" t="s">
        <v>33</v>
      </c>
      <c r="H212" t="s">
        <v>34</v>
      </c>
      <c r="I212" t="s">
        <v>25</v>
      </c>
      <c r="J212" t="s">
        <v>35</v>
      </c>
      <c r="K212" t="s">
        <v>61</v>
      </c>
      <c r="L212" t="s">
        <v>28</v>
      </c>
      <c r="M212" s="4">
        <v>13</v>
      </c>
      <c r="N212" s="4">
        <v>7</v>
      </c>
      <c r="O212" t="s">
        <v>36</v>
      </c>
      <c r="P212" t="s">
        <v>36</v>
      </c>
      <c r="Q212" s="4">
        <v>502247</v>
      </c>
      <c r="R212" s="4">
        <v>336826</v>
      </c>
      <c r="S212" s="4">
        <f>Table1[[#This Row],[Service_Revenue]]-Table1[[#This Row],[Service_Cost]]</f>
        <v>165421</v>
      </c>
      <c r="T212" s="4">
        <v>3</v>
      </c>
      <c r="U212" s="4">
        <f>IF(AND(Table1[[#This Row],[Rework_Flag]]="Yes",Table1[[#This Row],[Warranty_Claim]]="No"),Table1[[#This Row],[Service_Revenue]],0)</f>
        <v>0</v>
      </c>
      <c r="V212" s="4">
        <f>IF(Table1[[#This Row],[Warranty_Claim]]="Yes",1,0)</f>
        <v>0</v>
      </c>
      <c r="W212" s="4">
        <f>IF(Table1[[#This Row],[Rework_Flag]]="No",1,0)</f>
        <v>1</v>
      </c>
      <c r="X212" s="4">
        <f>IF(Table1[[#This Row],[Rework_Flag]]="Yes",1,0)</f>
        <v>0</v>
      </c>
      <c r="Y212" s="4">
        <v>1</v>
      </c>
      <c r="Z212" s="4" t="str">
        <f>IF(Table1[[#This Row],[TAT_Days]]&gt;Table1[[#This Row],[SLA_TAT]],"Yes","No")</f>
        <v>Yes</v>
      </c>
      <c r="AA212" s="4" t="str" cm="1">
        <f t="array" ref="AA212">_xlfn.IFS(Table1[[#This Row],[Customer_Satisfaction]]&lt;=2,"Poor",Table1[[#This Row],[Customer_Satisfaction]]=3,"Neutral",Table1[[#This Row],[Customer_Satisfaction]]=4,"Good",Table1[[#This Row],[Customer_Satisfaction]]=5,"Good")</f>
        <v>Neutral</v>
      </c>
    </row>
    <row r="213" spans="1:27" x14ac:dyDescent="0.35">
      <c r="A213">
        <v>20211</v>
      </c>
      <c r="B213" s="1">
        <v>45413</v>
      </c>
      <c r="C213" t="s">
        <v>50</v>
      </c>
      <c r="D213" t="s">
        <v>51</v>
      </c>
      <c r="E213" t="s">
        <v>120</v>
      </c>
      <c r="F213" t="s">
        <v>53</v>
      </c>
      <c r="G213" t="s">
        <v>41</v>
      </c>
      <c r="H213" t="s">
        <v>42</v>
      </c>
      <c r="I213" t="s">
        <v>55</v>
      </c>
      <c r="J213" t="s">
        <v>35</v>
      </c>
      <c r="K213" t="s">
        <v>27</v>
      </c>
      <c r="L213" t="s">
        <v>28</v>
      </c>
      <c r="M213" s="4">
        <v>17</v>
      </c>
      <c r="N213" s="4">
        <v>7</v>
      </c>
      <c r="O213" t="s">
        <v>29</v>
      </c>
      <c r="P213" t="s">
        <v>36</v>
      </c>
      <c r="Q213" s="4">
        <v>205664</v>
      </c>
      <c r="R213" s="4">
        <v>121919</v>
      </c>
      <c r="S213" s="4">
        <f>Table1[[#This Row],[Service_Revenue]]-Table1[[#This Row],[Service_Cost]]</f>
        <v>83745</v>
      </c>
      <c r="T213" s="4">
        <v>1</v>
      </c>
      <c r="U213" s="4">
        <f>IF(AND(Table1[[#This Row],[Rework_Flag]]="Yes",Table1[[#This Row],[Warranty_Claim]]="No"),Table1[[#This Row],[Service_Revenue]],0)</f>
        <v>205664</v>
      </c>
      <c r="V213" s="4">
        <f>IF(Table1[[#This Row],[Warranty_Claim]]="Yes",1,0)</f>
        <v>0</v>
      </c>
      <c r="W213" s="4">
        <f>IF(Table1[[#This Row],[Rework_Flag]]="No",1,0)</f>
        <v>0</v>
      </c>
      <c r="X213" s="4">
        <f>IF(Table1[[#This Row],[Rework_Flag]]="Yes",1,0)</f>
        <v>1</v>
      </c>
      <c r="Y213" s="4">
        <v>1</v>
      </c>
      <c r="Z213" s="4" t="str">
        <f>IF(Table1[[#This Row],[TAT_Days]]&gt;Table1[[#This Row],[SLA_TAT]],"Yes","No")</f>
        <v>Yes</v>
      </c>
      <c r="AA213" s="4" t="str" cm="1">
        <f t="array" ref="AA213">_xlfn.IFS(Table1[[#This Row],[Customer_Satisfaction]]&lt;=2,"Poor",Table1[[#This Row],[Customer_Satisfaction]]=3,"Neutral",Table1[[#This Row],[Customer_Satisfaction]]=4,"Good",Table1[[#This Row],[Customer_Satisfaction]]=5,"Good")</f>
        <v>Poor</v>
      </c>
    </row>
    <row r="214" spans="1:27" x14ac:dyDescent="0.35">
      <c r="A214">
        <v>20212</v>
      </c>
      <c r="B214" s="1">
        <v>45420</v>
      </c>
      <c r="C214" t="s">
        <v>30</v>
      </c>
      <c r="D214" t="s">
        <v>83</v>
      </c>
      <c r="E214" t="s">
        <v>84</v>
      </c>
      <c r="F214" t="s">
        <v>22</v>
      </c>
      <c r="G214" t="s">
        <v>54</v>
      </c>
      <c r="H214" t="s">
        <v>42</v>
      </c>
      <c r="I214" t="s">
        <v>55</v>
      </c>
      <c r="J214" t="s">
        <v>26</v>
      </c>
      <c r="K214" t="s">
        <v>61</v>
      </c>
      <c r="L214" t="s">
        <v>28</v>
      </c>
      <c r="M214" s="4">
        <v>6</v>
      </c>
      <c r="N214" s="4">
        <v>7</v>
      </c>
      <c r="O214" t="s">
        <v>29</v>
      </c>
      <c r="P214" t="s">
        <v>29</v>
      </c>
      <c r="Q214" s="4">
        <v>168542</v>
      </c>
      <c r="R214" s="4">
        <v>127768</v>
      </c>
      <c r="S214" s="4">
        <f>Table1[[#This Row],[Service_Revenue]]-Table1[[#This Row],[Service_Cost]]</f>
        <v>40774</v>
      </c>
      <c r="T214" s="4">
        <v>3</v>
      </c>
      <c r="U214" s="4">
        <f>IF(AND(Table1[[#This Row],[Rework_Flag]]="Yes",Table1[[#This Row],[Warranty_Claim]]="No"),Table1[[#This Row],[Service_Revenue]],0)</f>
        <v>0</v>
      </c>
      <c r="V214" s="4">
        <f>IF(Table1[[#This Row],[Warranty_Claim]]="Yes",1,0)</f>
        <v>1</v>
      </c>
      <c r="W214" s="4">
        <f>IF(Table1[[#This Row],[Rework_Flag]]="No",1,0)</f>
        <v>0</v>
      </c>
      <c r="X214" s="4">
        <f>IF(Table1[[#This Row],[Rework_Flag]]="Yes",1,0)</f>
        <v>1</v>
      </c>
      <c r="Y214" s="4">
        <v>1</v>
      </c>
      <c r="Z214" s="4" t="str">
        <f>IF(Table1[[#This Row],[TAT_Days]]&gt;Table1[[#This Row],[SLA_TAT]],"Yes","No")</f>
        <v>No</v>
      </c>
      <c r="AA214" s="4" t="str" cm="1">
        <f t="array" ref="AA214">_xlfn.IFS(Table1[[#This Row],[Customer_Satisfaction]]&lt;=2,"Poor",Table1[[#This Row],[Customer_Satisfaction]]=3,"Neutral",Table1[[#This Row],[Customer_Satisfaction]]=4,"Good",Table1[[#This Row],[Customer_Satisfaction]]=5,"Good")</f>
        <v>Neutral</v>
      </c>
    </row>
    <row r="215" spans="1:27" x14ac:dyDescent="0.35">
      <c r="A215">
        <v>20213</v>
      </c>
      <c r="B215" s="1">
        <v>45361</v>
      </c>
      <c r="C215" t="s">
        <v>30</v>
      </c>
      <c r="D215" t="s">
        <v>59</v>
      </c>
      <c r="E215" t="s">
        <v>69</v>
      </c>
      <c r="F215" t="s">
        <v>40</v>
      </c>
      <c r="G215" t="s">
        <v>47</v>
      </c>
      <c r="H215" t="s">
        <v>48</v>
      </c>
      <c r="I215" t="s">
        <v>25</v>
      </c>
      <c r="J215" t="s">
        <v>67</v>
      </c>
      <c r="K215" t="s">
        <v>44</v>
      </c>
      <c r="L215" t="s">
        <v>49</v>
      </c>
      <c r="M215" s="4">
        <v>14</v>
      </c>
      <c r="N215" s="4">
        <v>7</v>
      </c>
      <c r="O215" t="s">
        <v>36</v>
      </c>
      <c r="P215" t="s">
        <v>36</v>
      </c>
      <c r="Q215" s="4">
        <v>547201</v>
      </c>
      <c r="R215" s="4">
        <v>461655</v>
      </c>
      <c r="S215" s="4">
        <f>Table1[[#This Row],[Service_Revenue]]-Table1[[#This Row],[Service_Cost]]</f>
        <v>85546</v>
      </c>
      <c r="T215" s="4">
        <v>3</v>
      </c>
      <c r="U215" s="4">
        <f>IF(AND(Table1[[#This Row],[Rework_Flag]]="Yes",Table1[[#This Row],[Warranty_Claim]]="No"),Table1[[#This Row],[Service_Revenue]],0)</f>
        <v>0</v>
      </c>
      <c r="V215" s="4">
        <f>IF(Table1[[#This Row],[Warranty_Claim]]="Yes",1,0)</f>
        <v>0</v>
      </c>
      <c r="W215" s="4">
        <f>IF(Table1[[#This Row],[Rework_Flag]]="No",1,0)</f>
        <v>1</v>
      </c>
      <c r="X215" s="4">
        <f>IF(Table1[[#This Row],[Rework_Flag]]="Yes",1,0)</f>
        <v>0</v>
      </c>
      <c r="Y215" s="4">
        <v>1</v>
      </c>
      <c r="Z215" s="4" t="str">
        <f>IF(Table1[[#This Row],[TAT_Days]]&gt;Table1[[#This Row],[SLA_TAT]],"Yes","No")</f>
        <v>Yes</v>
      </c>
      <c r="AA215" s="4" t="str" cm="1">
        <f t="array" ref="AA215">_xlfn.IFS(Table1[[#This Row],[Customer_Satisfaction]]&lt;=2,"Poor",Table1[[#This Row],[Customer_Satisfaction]]=3,"Neutral",Table1[[#This Row],[Customer_Satisfaction]]=4,"Good",Table1[[#This Row],[Customer_Satisfaction]]=5,"Good")</f>
        <v>Neutral</v>
      </c>
    </row>
    <row r="216" spans="1:27" x14ac:dyDescent="0.35">
      <c r="A216">
        <v>20214</v>
      </c>
      <c r="B216" s="1">
        <v>45301</v>
      </c>
      <c r="C216" t="s">
        <v>50</v>
      </c>
      <c r="D216" t="s">
        <v>56</v>
      </c>
      <c r="E216" t="s">
        <v>77</v>
      </c>
      <c r="F216" t="s">
        <v>40</v>
      </c>
      <c r="G216" t="s">
        <v>74</v>
      </c>
      <c r="H216" t="s">
        <v>34</v>
      </c>
      <c r="I216" t="s">
        <v>25</v>
      </c>
      <c r="J216" t="s">
        <v>67</v>
      </c>
      <c r="K216" t="s">
        <v>44</v>
      </c>
      <c r="L216" t="s">
        <v>28</v>
      </c>
      <c r="M216" s="4">
        <v>14</v>
      </c>
      <c r="N216" s="4">
        <v>7</v>
      </c>
      <c r="O216" t="s">
        <v>36</v>
      </c>
      <c r="P216" t="s">
        <v>36</v>
      </c>
      <c r="Q216" s="4">
        <v>399090</v>
      </c>
      <c r="R216" s="4">
        <v>323323</v>
      </c>
      <c r="S216" s="4">
        <f>Table1[[#This Row],[Service_Revenue]]-Table1[[#This Row],[Service_Cost]]</f>
        <v>75767</v>
      </c>
      <c r="T216" s="4">
        <v>3</v>
      </c>
      <c r="U216" s="4">
        <f>IF(AND(Table1[[#This Row],[Rework_Flag]]="Yes",Table1[[#This Row],[Warranty_Claim]]="No"),Table1[[#This Row],[Service_Revenue]],0)</f>
        <v>0</v>
      </c>
      <c r="V216" s="4">
        <f>IF(Table1[[#This Row],[Warranty_Claim]]="Yes",1,0)</f>
        <v>0</v>
      </c>
      <c r="W216" s="4">
        <f>IF(Table1[[#This Row],[Rework_Flag]]="No",1,0)</f>
        <v>1</v>
      </c>
      <c r="X216" s="4">
        <f>IF(Table1[[#This Row],[Rework_Flag]]="Yes",1,0)</f>
        <v>0</v>
      </c>
      <c r="Y216" s="4">
        <v>1</v>
      </c>
      <c r="Z216" s="4" t="str">
        <f>IF(Table1[[#This Row],[TAT_Days]]&gt;Table1[[#This Row],[SLA_TAT]],"Yes","No")</f>
        <v>Yes</v>
      </c>
      <c r="AA216" s="4" t="str" cm="1">
        <f t="array" ref="AA216">_xlfn.IFS(Table1[[#This Row],[Customer_Satisfaction]]&lt;=2,"Poor",Table1[[#This Row],[Customer_Satisfaction]]=3,"Neutral",Table1[[#This Row],[Customer_Satisfaction]]=4,"Good",Table1[[#This Row],[Customer_Satisfaction]]=5,"Good")</f>
        <v>Neutral</v>
      </c>
    </row>
    <row r="217" spans="1:27" x14ac:dyDescent="0.35">
      <c r="A217">
        <v>20215</v>
      </c>
      <c r="B217" s="1">
        <v>45388</v>
      </c>
      <c r="C217" t="s">
        <v>30</v>
      </c>
      <c r="D217" t="s">
        <v>83</v>
      </c>
      <c r="E217" t="s">
        <v>84</v>
      </c>
      <c r="F217" t="s">
        <v>40</v>
      </c>
      <c r="G217" t="s">
        <v>74</v>
      </c>
      <c r="H217" t="s">
        <v>34</v>
      </c>
      <c r="I217" t="s">
        <v>25</v>
      </c>
      <c r="J217" t="s">
        <v>67</v>
      </c>
      <c r="K217" t="s">
        <v>44</v>
      </c>
      <c r="L217" t="s">
        <v>28</v>
      </c>
      <c r="M217" s="4">
        <v>6</v>
      </c>
      <c r="N217" s="4">
        <v>7</v>
      </c>
      <c r="O217" t="s">
        <v>36</v>
      </c>
      <c r="P217" t="s">
        <v>29</v>
      </c>
      <c r="Q217" s="4">
        <v>272339</v>
      </c>
      <c r="R217" s="4">
        <v>213321</v>
      </c>
      <c r="S217" s="4">
        <f>Table1[[#This Row],[Service_Revenue]]-Table1[[#This Row],[Service_Cost]]</f>
        <v>59018</v>
      </c>
      <c r="T217" s="4">
        <v>4</v>
      </c>
      <c r="U217" s="4">
        <f>IF(AND(Table1[[#This Row],[Rework_Flag]]="Yes",Table1[[#This Row],[Warranty_Claim]]="No"),Table1[[#This Row],[Service_Revenue]],0)</f>
        <v>0</v>
      </c>
      <c r="V217" s="4">
        <f>IF(Table1[[#This Row],[Warranty_Claim]]="Yes",1,0)</f>
        <v>1</v>
      </c>
      <c r="W217" s="4">
        <f>IF(Table1[[#This Row],[Rework_Flag]]="No",1,0)</f>
        <v>1</v>
      </c>
      <c r="X217" s="4">
        <f>IF(Table1[[#This Row],[Rework_Flag]]="Yes",1,0)</f>
        <v>0</v>
      </c>
      <c r="Y217" s="4">
        <v>1</v>
      </c>
      <c r="Z217" s="4" t="str">
        <f>IF(Table1[[#This Row],[TAT_Days]]&gt;Table1[[#This Row],[SLA_TAT]],"Yes","No")</f>
        <v>No</v>
      </c>
      <c r="AA217" s="4" t="str" cm="1">
        <f t="array" ref="AA217">_xlfn.IFS(Table1[[#This Row],[Customer_Satisfaction]]&lt;=2,"Poor",Table1[[#This Row],[Customer_Satisfaction]]=3,"Neutral",Table1[[#This Row],[Customer_Satisfaction]]=4,"Good",Table1[[#This Row],[Customer_Satisfaction]]=5,"Good")</f>
        <v>Good</v>
      </c>
    </row>
    <row r="218" spans="1:27" x14ac:dyDescent="0.35">
      <c r="A218">
        <v>20216</v>
      </c>
      <c r="B218" s="1">
        <v>45469</v>
      </c>
      <c r="C218" t="s">
        <v>19</v>
      </c>
      <c r="D218" t="s">
        <v>45</v>
      </c>
      <c r="E218" t="s">
        <v>99</v>
      </c>
      <c r="F218" t="s">
        <v>40</v>
      </c>
      <c r="G218" t="s">
        <v>47</v>
      </c>
      <c r="H218" t="s">
        <v>48</v>
      </c>
      <c r="I218" t="s">
        <v>25</v>
      </c>
      <c r="J218" t="s">
        <v>35</v>
      </c>
      <c r="K218" t="s">
        <v>27</v>
      </c>
      <c r="L218" t="s">
        <v>28</v>
      </c>
      <c r="M218" s="4">
        <v>3</v>
      </c>
      <c r="N218" s="4">
        <v>7</v>
      </c>
      <c r="O218" t="s">
        <v>36</v>
      </c>
      <c r="P218" t="s">
        <v>29</v>
      </c>
      <c r="Q218" s="4">
        <v>427445</v>
      </c>
      <c r="R218" s="4">
        <v>269821</v>
      </c>
      <c r="S218" s="4">
        <f>Table1[[#This Row],[Service_Revenue]]-Table1[[#This Row],[Service_Cost]]</f>
        <v>157624</v>
      </c>
      <c r="T218" s="4">
        <v>5</v>
      </c>
      <c r="U218" s="4">
        <f>IF(AND(Table1[[#This Row],[Rework_Flag]]="Yes",Table1[[#This Row],[Warranty_Claim]]="No"),Table1[[#This Row],[Service_Revenue]],0)</f>
        <v>0</v>
      </c>
      <c r="V218" s="4">
        <f>IF(Table1[[#This Row],[Warranty_Claim]]="Yes",1,0)</f>
        <v>1</v>
      </c>
      <c r="W218" s="4">
        <f>IF(Table1[[#This Row],[Rework_Flag]]="No",1,0)</f>
        <v>1</v>
      </c>
      <c r="X218" s="4">
        <f>IF(Table1[[#This Row],[Rework_Flag]]="Yes",1,0)</f>
        <v>0</v>
      </c>
      <c r="Y218" s="4">
        <v>1</v>
      </c>
      <c r="Z218" s="4" t="str">
        <f>IF(Table1[[#This Row],[TAT_Days]]&gt;Table1[[#This Row],[SLA_TAT]],"Yes","No")</f>
        <v>No</v>
      </c>
      <c r="AA218" s="4" t="str" cm="1">
        <f t="array" ref="AA218">_xlfn.IFS(Table1[[#This Row],[Customer_Satisfaction]]&lt;=2,"Poor",Table1[[#This Row],[Customer_Satisfaction]]=3,"Neutral",Table1[[#This Row],[Customer_Satisfaction]]=4,"Good",Table1[[#This Row],[Customer_Satisfaction]]=5,"Good")</f>
        <v>Good</v>
      </c>
    </row>
    <row r="219" spans="1:27" x14ac:dyDescent="0.35">
      <c r="A219">
        <v>20217</v>
      </c>
      <c r="B219" s="1">
        <v>45314</v>
      </c>
      <c r="C219" t="s">
        <v>37</v>
      </c>
      <c r="D219" t="s">
        <v>70</v>
      </c>
      <c r="E219" t="s">
        <v>100</v>
      </c>
      <c r="F219" t="s">
        <v>53</v>
      </c>
      <c r="G219" t="s">
        <v>41</v>
      </c>
      <c r="H219" t="s">
        <v>42</v>
      </c>
      <c r="I219" t="s">
        <v>55</v>
      </c>
      <c r="J219" t="s">
        <v>67</v>
      </c>
      <c r="K219" t="s">
        <v>27</v>
      </c>
      <c r="L219" t="s">
        <v>28</v>
      </c>
      <c r="M219" s="4">
        <v>15</v>
      </c>
      <c r="N219" s="4">
        <v>7</v>
      </c>
      <c r="O219" t="s">
        <v>29</v>
      </c>
      <c r="P219" t="s">
        <v>36</v>
      </c>
      <c r="Q219" s="4">
        <v>213662</v>
      </c>
      <c r="R219" s="4">
        <v>109752</v>
      </c>
      <c r="S219" s="4">
        <f>Table1[[#This Row],[Service_Revenue]]-Table1[[#This Row],[Service_Cost]]</f>
        <v>103910</v>
      </c>
      <c r="T219" s="4">
        <v>1</v>
      </c>
      <c r="U219" s="4">
        <f>IF(AND(Table1[[#This Row],[Rework_Flag]]="Yes",Table1[[#This Row],[Warranty_Claim]]="No"),Table1[[#This Row],[Service_Revenue]],0)</f>
        <v>213662</v>
      </c>
      <c r="V219" s="4">
        <f>IF(Table1[[#This Row],[Warranty_Claim]]="Yes",1,0)</f>
        <v>0</v>
      </c>
      <c r="W219" s="4">
        <f>IF(Table1[[#This Row],[Rework_Flag]]="No",1,0)</f>
        <v>0</v>
      </c>
      <c r="X219" s="4">
        <f>IF(Table1[[#This Row],[Rework_Flag]]="Yes",1,0)</f>
        <v>1</v>
      </c>
      <c r="Y219" s="4">
        <v>1</v>
      </c>
      <c r="Z219" s="4" t="str">
        <f>IF(Table1[[#This Row],[TAT_Days]]&gt;Table1[[#This Row],[SLA_TAT]],"Yes","No")</f>
        <v>Yes</v>
      </c>
      <c r="AA219" s="4" t="str" cm="1">
        <f t="array" ref="AA219">_xlfn.IFS(Table1[[#This Row],[Customer_Satisfaction]]&lt;=2,"Poor",Table1[[#This Row],[Customer_Satisfaction]]=3,"Neutral",Table1[[#This Row],[Customer_Satisfaction]]=4,"Good",Table1[[#This Row],[Customer_Satisfaction]]=5,"Good")</f>
        <v>Poor</v>
      </c>
    </row>
    <row r="220" spans="1:27" x14ac:dyDescent="0.35">
      <c r="A220">
        <v>20218</v>
      </c>
      <c r="B220" s="1">
        <v>45427</v>
      </c>
      <c r="C220" t="s">
        <v>30</v>
      </c>
      <c r="D220" t="s">
        <v>83</v>
      </c>
      <c r="E220" t="s">
        <v>90</v>
      </c>
      <c r="F220" t="s">
        <v>53</v>
      </c>
      <c r="G220" t="s">
        <v>47</v>
      </c>
      <c r="H220" t="s">
        <v>48</v>
      </c>
      <c r="I220" t="s">
        <v>55</v>
      </c>
      <c r="J220" t="s">
        <v>67</v>
      </c>
      <c r="K220" t="s">
        <v>27</v>
      </c>
      <c r="L220" t="s">
        <v>28</v>
      </c>
      <c r="M220" s="4">
        <v>6</v>
      </c>
      <c r="N220" s="4">
        <v>7</v>
      </c>
      <c r="O220" t="s">
        <v>36</v>
      </c>
      <c r="P220" t="s">
        <v>29</v>
      </c>
      <c r="Q220" s="4">
        <v>594126</v>
      </c>
      <c r="R220" s="4">
        <v>442607</v>
      </c>
      <c r="S220" s="4">
        <f>Table1[[#This Row],[Service_Revenue]]-Table1[[#This Row],[Service_Cost]]</f>
        <v>151519</v>
      </c>
      <c r="T220" s="4">
        <v>4</v>
      </c>
      <c r="U220" s="4">
        <f>IF(AND(Table1[[#This Row],[Rework_Flag]]="Yes",Table1[[#This Row],[Warranty_Claim]]="No"),Table1[[#This Row],[Service_Revenue]],0)</f>
        <v>0</v>
      </c>
      <c r="V220" s="4">
        <f>IF(Table1[[#This Row],[Warranty_Claim]]="Yes",1,0)</f>
        <v>1</v>
      </c>
      <c r="W220" s="4">
        <f>IF(Table1[[#This Row],[Rework_Flag]]="No",1,0)</f>
        <v>1</v>
      </c>
      <c r="X220" s="4">
        <f>IF(Table1[[#This Row],[Rework_Flag]]="Yes",1,0)</f>
        <v>0</v>
      </c>
      <c r="Y220" s="4">
        <v>1</v>
      </c>
      <c r="Z220" s="4" t="str">
        <f>IF(Table1[[#This Row],[TAT_Days]]&gt;Table1[[#This Row],[SLA_TAT]],"Yes","No")</f>
        <v>No</v>
      </c>
      <c r="AA220" s="4" t="str" cm="1">
        <f t="array" ref="AA220">_xlfn.IFS(Table1[[#This Row],[Customer_Satisfaction]]&lt;=2,"Poor",Table1[[#This Row],[Customer_Satisfaction]]=3,"Neutral",Table1[[#This Row],[Customer_Satisfaction]]=4,"Good",Table1[[#This Row],[Customer_Satisfaction]]=5,"Good")</f>
        <v>Good</v>
      </c>
    </row>
    <row r="221" spans="1:27" x14ac:dyDescent="0.35">
      <c r="A221">
        <v>20219</v>
      </c>
      <c r="B221" s="1">
        <v>45435</v>
      </c>
      <c r="C221" t="s">
        <v>50</v>
      </c>
      <c r="D221" t="s">
        <v>80</v>
      </c>
      <c r="E221" t="s">
        <v>121</v>
      </c>
      <c r="F221" t="s">
        <v>40</v>
      </c>
      <c r="G221" t="s">
        <v>54</v>
      </c>
      <c r="H221" t="s">
        <v>42</v>
      </c>
      <c r="I221" t="s">
        <v>55</v>
      </c>
      <c r="J221" t="s">
        <v>67</v>
      </c>
      <c r="K221" t="s">
        <v>27</v>
      </c>
      <c r="L221" t="s">
        <v>28</v>
      </c>
      <c r="M221" s="4">
        <v>15</v>
      </c>
      <c r="N221" s="4">
        <v>7</v>
      </c>
      <c r="O221" t="s">
        <v>29</v>
      </c>
      <c r="P221" t="s">
        <v>36</v>
      </c>
      <c r="Q221" s="4">
        <v>498304</v>
      </c>
      <c r="R221" s="4">
        <v>381731</v>
      </c>
      <c r="S221" s="4">
        <f>Table1[[#This Row],[Service_Revenue]]-Table1[[#This Row],[Service_Cost]]</f>
        <v>116573</v>
      </c>
      <c r="T221" s="4">
        <v>1</v>
      </c>
      <c r="U221" s="4">
        <f>IF(AND(Table1[[#This Row],[Rework_Flag]]="Yes",Table1[[#This Row],[Warranty_Claim]]="No"),Table1[[#This Row],[Service_Revenue]],0)</f>
        <v>498304</v>
      </c>
      <c r="V221" s="4">
        <f>IF(Table1[[#This Row],[Warranty_Claim]]="Yes",1,0)</f>
        <v>0</v>
      </c>
      <c r="W221" s="4">
        <f>IF(Table1[[#This Row],[Rework_Flag]]="No",1,0)</f>
        <v>0</v>
      </c>
      <c r="X221" s="4">
        <f>IF(Table1[[#This Row],[Rework_Flag]]="Yes",1,0)</f>
        <v>1</v>
      </c>
      <c r="Y221" s="4">
        <v>1</v>
      </c>
      <c r="Z221" s="4" t="str">
        <f>IF(Table1[[#This Row],[TAT_Days]]&gt;Table1[[#This Row],[SLA_TAT]],"Yes","No")</f>
        <v>Yes</v>
      </c>
      <c r="AA221" s="4" t="str" cm="1">
        <f t="array" ref="AA221">_xlfn.IFS(Table1[[#This Row],[Customer_Satisfaction]]&lt;=2,"Poor",Table1[[#This Row],[Customer_Satisfaction]]=3,"Neutral",Table1[[#This Row],[Customer_Satisfaction]]=4,"Good",Table1[[#This Row],[Customer_Satisfaction]]=5,"Good")</f>
        <v>Poor</v>
      </c>
    </row>
    <row r="222" spans="1:27" x14ac:dyDescent="0.35">
      <c r="A222">
        <v>20220</v>
      </c>
      <c r="B222" s="1">
        <v>45319</v>
      </c>
      <c r="C222" t="s">
        <v>19</v>
      </c>
      <c r="D222" t="s">
        <v>20</v>
      </c>
      <c r="E222" t="s">
        <v>86</v>
      </c>
      <c r="F222" t="s">
        <v>22</v>
      </c>
      <c r="G222" t="s">
        <v>47</v>
      </c>
      <c r="H222" t="s">
        <v>48</v>
      </c>
      <c r="I222" t="s">
        <v>55</v>
      </c>
      <c r="J222" t="s">
        <v>35</v>
      </c>
      <c r="K222" t="s">
        <v>27</v>
      </c>
      <c r="L222" t="s">
        <v>49</v>
      </c>
      <c r="M222" s="4">
        <v>24</v>
      </c>
      <c r="N222" s="4">
        <v>7</v>
      </c>
      <c r="O222" t="s">
        <v>29</v>
      </c>
      <c r="P222" t="s">
        <v>29</v>
      </c>
      <c r="Q222" s="4">
        <v>396280</v>
      </c>
      <c r="R222" s="4">
        <v>223230</v>
      </c>
      <c r="S222" s="4">
        <f>Table1[[#This Row],[Service_Revenue]]-Table1[[#This Row],[Service_Cost]]</f>
        <v>173050</v>
      </c>
      <c r="T222" s="4">
        <v>1</v>
      </c>
      <c r="U222" s="4">
        <f>IF(AND(Table1[[#This Row],[Rework_Flag]]="Yes",Table1[[#This Row],[Warranty_Claim]]="No"),Table1[[#This Row],[Service_Revenue]],0)</f>
        <v>0</v>
      </c>
      <c r="V222" s="4">
        <f>IF(Table1[[#This Row],[Warranty_Claim]]="Yes",1,0)</f>
        <v>1</v>
      </c>
      <c r="W222" s="4">
        <f>IF(Table1[[#This Row],[Rework_Flag]]="No",1,0)</f>
        <v>0</v>
      </c>
      <c r="X222" s="4">
        <f>IF(Table1[[#This Row],[Rework_Flag]]="Yes",1,0)</f>
        <v>1</v>
      </c>
      <c r="Y222" s="4">
        <v>1</v>
      </c>
      <c r="Z222" s="4" t="str">
        <f>IF(Table1[[#This Row],[TAT_Days]]&gt;Table1[[#This Row],[SLA_TAT]],"Yes","No")</f>
        <v>Yes</v>
      </c>
      <c r="AA222" s="4" t="str" cm="1">
        <f t="array" ref="AA222">_xlfn.IFS(Table1[[#This Row],[Customer_Satisfaction]]&lt;=2,"Poor",Table1[[#This Row],[Customer_Satisfaction]]=3,"Neutral",Table1[[#This Row],[Customer_Satisfaction]]=4,"Good",Table1[[#This Row],[Customer_Satisfaction]]=5,"Good")</f>
        <v>Poor</v>
      </c>
    </row>
    <row r="223" spans="1:27" x14ac:dyDescent="0.35">
      <c r="A223">
        <v>20221</v>
      </c>
      <c r="B223" s="1">
        <v>45385</v>
      </c>
      <c r="C223" t="s">
        <v>30</v>
      </c>
      <c r="D223" t="s">
        <v>31</v>
      </c>
      <c r="E223" t="s">
        <v>79</v>
      </c>
      <c r="F223" t="s">
        <v>22</v>
      </c>
      <c r="G223" t="s">
        <v>33</v>
      </c>
      <c r="H223" t="s">
        <v>34</v>
      </c>
      <c r="I223" t="s">
        <v>55</v>
      </c>
      <c r="J223" t="s">
        <v>58</v>
      </c>
      <c r="K223" t="s">
        <v>61</v>
      </c>
      <c r="L223" t="s">
        <v>28</v>
      </c>
      <c r="M223" s="4">
        <v>24</v>
      </c>
      <c r="N223" s="4">
        <v>7</v>
      </c>
      <c r="O223" t="s">
        <v>29</v>
      </c>
      <c r="P223" t="s">
        <v>29</v>
      </c>
      <c r="Q223" s="4">
        <v>118016</v>
      </c>
      <c r="R223" s="4">
        <v>89322</v>
      </c>
      <c r="S223" s="4">
        <f>Table1[[#This Row],[Service_Revenue]]-Table1[[#This Row],[Service_Cost]]</f>
        <v>28694</v>
      </c>
      <c r="T223" s="4">
        <v>1</v>
      </c>
      <c r="U223" s="4">
        <f>IF(AND(Table1[[#This Row],[Rework_Flag]]="Yes",Table1[[#This Row],[Warranty_Claim]]="No"),Table1[[#This Row],[Service_Revenue]],0)</f>
        <v>0</v>
      </c>
      <c r="V223" s="4">
        <f>IF(Table1[[#This Row],[Warranty_Claim]]="Yes",1,0)</f>
        <v>1</v>
      </c>
      <c r="W223" s="4">
        <f>IF(Table1[[#This Row],[Rework_Flag]]="No",1,0)</f>
        <v>0</v>
      </c>
      <c r="X223" s="4">
        <f>IF(Table1[[#This Row],[Rework_Flag]]="Yes",1,0)</f>
        <v>1</v>
      </c>
      <c r="Y223" s="4">
        <v>1</v>
      </c>
      <c r="Z223" s="4" t="str">
        <f>IF(Table1[[#This Row],[TAT_Days]]&gt;Table1[[#This Row],[SLA_TAT]],"Yes","No")</f>
        <v>Yes</v>
      </c>
      <c r="AA223" s="4" t="str" cm="1">
        <f t="array" ref="AA223">_xlfn.IFS(Table1[[#This Row],[Customer_Satisfaction]]&lt;=2,"Poor",Table1[[#This Row],[Customer_Satisfaction]]=3,"Neutral",Table1[[#This Row],[Customer_Satisfaction]]=4,"Good",Table1[[#This Row],[Customer_Satisfaction]]=5,"Good")</f>
        <v>Poor</v>
      </c>
    </row>
    <row r="224" spans="1:27" x14ac:dyDescent="0.35">
      <c r="A224">
        <v>20222</v>
      </c>
      <c r="B224" s="1">
        <v>45353</v>
      </c>
      <c r="C224" t="s">
        <v>50</v>
      </c>
      <c r="D224" t="s">
        <v>51</v>
      </c>
      <c r="E224" t="s">
        <v>75</v>
      </c>
      <c r="F224" t="s">
        <v>40</v>
      </c>
      <c r="G224" t="s">
        <v>63</v>
      </c>
      <c r="H224" t="s">
        <v>24</v>
      </c>
      <c r="I224" t="s">
        <v>25</v>
      </c>
      <c r="J224" t="s">
        <v>35</v>
      </c>
      <c r="K224" t="s">
        <v>61</v>
      </c>
      <c r="L224" t="s">
        <v>28</v>
      </c>
      <c r="M224" s="4">
        <v>5</v>
      </c>
      <c r="N224" s="4">
        <v>7</v>
      </c>
      <c r="O224" t="s">
        <v>29</v>
      </c>
      <c r="P224" t="s">
        <v>36</v>
      </c>
      <c r="Q224" s="4">
        <v>598742</v>
      </c>
      <c r="R224" s="4">
        <v>456555</v>
      </c>
      <c r="S224" s="4">
        <f>Table1[[#This Row],[Service_Revenue]]-Table1[[#This Row],[Service_Cost]]</f>
        <v>142187</v>
      </c>
      <c r="T224" s="4">
        <v>3</v>
      </c>
      <c r="U224" s="4">
        <f>IF(AND(Table1[[#This Row],[Rework_Flag]]="Yes",Table1[[#This Row],[Warranty_Claim]]="No"),Table1[[#This Row],[Service_Revenue]],0)</f>
        <v>598742</v>
      </c>
      <c r="V224" s="4">
        <f>IF(Table1[[#This Row],[Warranty_Claim]]="Yes",1,0)</f>
        <v>0</v>
      </c>
      <c r="W224" s="4">
        <f>IF(Table1[[#This Row],[Rework_Flag]]="No",1,0)</f>
        <v>0</v>
      </c>
      <c r="X224" s="4">
        <f>IF(Table1[[#This Row],[Rework_Flag]]="Yes",1,0)</f>
        <v>1</v>
      </c>
      <c r="Y224" s="4">
        <v>1</v>
      </c>
      <c r="Z224" s="4" t="str">
        <f>IF(Table1[[#This Row],[TAT_Days]]&gt;Table1[[#This Row],[SLA_TAT]],"Yes","No")</f>
        <v>No</v>
      </c>
      <c r="AA224" s="4" t="str" cm="1">
        <f t="array" ref="AA224">_xlfn.IFS(Table1[[#This Row],[Customer_Satisfaction]]&lt;=2,"Poor",Table1[[#This Row],[Customer_Satisfaction]]=3,"Neutral",Table1[[#This Row],[Customer_Satisfaction]]=4,"Good",Table1[[#This Row],[Customer_Satisfaction]]=5,"Good")</f>
        <v>Neutral</v>
      </c>
    </row>
    <row r="225" spans="1:27" x14ac:dyDescent="0.35">
      <c r="A225">
        <v>20223</v>
      </c>
      <c r="B225" s="1">
        <v>45327</v>
      </c>
      <c r="C225" t="s">
        <v>37</v>
      </c>
      <c r="D225" t="s">
        <v>38</v>
      </c>
      <c r="E225" t="s">
        <v>93</v>
      </c>
      <c r="F225" t="s">
        <v>40</v>
      </c>
      <c r="G225" t="s">
        <v>47</v>
      </c>
      <c r="H225" t="s">
        <v>48</v>
      </c>
      <c r="I225" t="s">
        <v>55</v>
      </c>
      <c r="J225" t="s">
        <v>43</v>
      </c>
      <c r="K225" t="s">
        <v>27</v>
      </c>
      <c r="L225" t="s">
        <v>49</v>
      </c>
      <c r="M225" s="4">
        <v>2</v>
      </c>
      <c r="N225" s="4">
        <v>7</v>
      </c>
      <c r="O225" t="s">
        <v>29</v>
      </c>
      <c r="P225" t="s">
        <v>29</v>
      </c>
      <c r="Q225" s="4">
        <v>235981</v>
      </c>
      <c r="R225" s="4">
        <v>122488</v>
      </c>
      <c r="S225" s="4">
        <f>Table1[[#This Row],[Service_Revenue]]-Table1[[#This Row],[Service_Cost]]</f>
        <v>113493</v>
      </c>
      <c r="T225" s="4">
        <v>4</v>
      </c>
      <c r="U225" s="4">
        <f>IF(AND(Table1[[#This Row],[Rework_Flag]]="Yes",Table1[[#This Row],[Warranty_Claim]]="No"),Table1[[#This Row],[Service_Revenue]],0)</f>
        <v>0</v>
      </c>
      <c r="V225" s="4">
        <f>IF(Table1[[#This Row],[Warranty_Claim]]="Yes",1,0)</f>
        <v>1</v>
      </c>
      <c r="W225" s="4">
        <f>IF(Table1[[#This Row],[Rework_Flag]]="No",1,0)</f>
        <v>0</v>
      </c>
      <c r="X225" s="4">
        <f>IF(Table1[[#This Row],[Rework_Flag]]="Yes",1,0)</f>
        <v>1</v>
      </c>
      <c r="Y225" s="4">
        <v>1</v>
      </c>
      <c r="Z225" s="4" t="str">
        <f>IF(Table1[[#This Row],[TAT_Days]]&gt;Table1[[#This Row],[SLA_TAT]],"Yes","No")</f>
        <v>No</v>
      </c>
      <c r="AA225" s="4" t="str" cm="1">
        <f t="array" ref="AA225">_xlfn.IFS(Table1[[#This Row],[Customer_Satisfaction]]&lt;=2,"Poor",Table1[[#This Row],[Customer_Satisfaction]]=3,"Neutral",Table1[[#This Row],[Customer_Satisfaction]]=4,"Good",Table1[[#This Row],[Customer_Satisfaction]]=5,"Good")</f>
        <v>Good</v>
      </c>
    </row>
    <row r="226" spans="1:27" x14ac:dyDescent="0.35">
      <c r="A226">
        <v>20224</v>
      </c>
      <c r="B226" s="1">
        <v>45365</v>
      </c>
      <c r="C226" t="s">
        <v>37</v>
      </c>
      <c r="D226" t="s">
        <v>64</v>
      </c>
      <c r="E226" t="s">
        <v>103</v>
      </c>
      <c r="F226" t="s">
        <v>53</v>
      </c>
      <c r="G226" t="s">
        <v>54</v>
      </c>
      <c r="H226" t="s">
        <v>42</v>
      </c>
      <c r="I226" t="s">
        <v>25</v>
      </c>
      <c r="J226" t="s">
        <v>43</v>
      </c>
      <c r="K226" t="s">
        <v>44</v>
      </c>
      <c r="L226" t="s">
        <v>28</v>
      </c>
      <c r="M226" s="4">
        <v>18</v>
      </c>
      <c r="N226" s="4">
        <v>7</v>
      </c>
      <c r="O226" t="s">
        <v>29</v>
      </c>
      <c r="P226" t="s">
        <v>29</v>
      </c>
      <c r="Q226" s="4">
        <v>494009</v>
      </c>
      <c r="R226" s="4">
        <v>271988</v>
      </c>
      <c r="S226" s="4">
        <f>Table1[[#This Row],[Service_Revenue]]-Table1[[#This Row],[Service_Cost]]</f>
        <v>222021</v>
      </c>
      <c r="T226" s="4">
        <v>1</v>
      </c>
      <c r="U226" s="4">
        <f>IF(AND(Table1[[#This Row],[Rework_Flag]]="Yes",Table1[[#This Row],[Warranty_Claim]]="No"),Table1[[#This Row],[Service_Revenue]],0)</f>
        <v>0</v>
      </c>
      <c r="V226" s="4">
        <f>IF(Table1[[#This Row],[Warranty_Claim]]="Yes",1,0)</f>
        <v>1</v>
      </c>
      <c r="W226" s="4">
        <f>IF(Table1[[#This Row],[Rework_Flag]]="No",1,0)</f>
        <v>0</v>
      </c>
      <c r="X226" s="4">
        <f>IF(Table1[[#This Row],[Rework_Flag]]="Yes",1,0)</f>
        <v>1</v>
      </c>
      <c r="Y226" s="4">
        <v>1</v>
      </c>
      <c r="Z226" s="4" t="str">
        <f>IF(Table1[[#This Row],[TAT_Days]]&gt;Table1[[#This Row],[SLA_TAT]],"Yes","No")</f>
        <v>Yes</v>
      </c>
      <c r="AA226" s="4" t="str" cm="1">
        <f t="array" ref="AA226">_xlfn.IFS(Table1[[#This Row],[Customer_Satisfaction]]&lt;=2,"Poor",Table1[[#This Row],[Customer_Satisfaction]]=3,"Neutral",Table1[[#This Row],[Customer_Satisfaction]]=4,"Good",Table1[[#This Row],[Customer_Satisfaction]]=5,"Good")</f>
        <v>Poor</v>
      </c>
    </row>
    <row r="227" spans="1:27" x14ac:dyDescent="0.35">
      <c r="A227">
        <v>20225</v>
      </c>
      <c r="B227" s="1">
        <v>45380</v>
      </c>
      <c r="C227" t="s">
        <v>30</v>
      </c>
      <c r="D227" t="s">
        <v>31</v>
      </c>
      <c r="E227" t="s">
        <v>62</v>
      </c>
      <c r="F227" t="s">
        <v>22</v>
      </c>
      <c r="G227" t="s">
        <v>74</v>
      </c>
      <c r="H227" t="s">
        <v>34</v>
      </c>
      <c r="I227" t="s">
        <v>25</v>
      </c>
      <c r="J227" t="s">
        <v>67</v>
      </c>
      <c r="K227" t="s">
        <v>27</v>
      </c>
      <c r="L227" t="s">
        <v>28</v>
      </c>
      <c r="M227" s="4">
        <v>18</v>
      </c>
      <c r="N227" s="4">
        <v>7</v>
      </c>
      <c r="O227" t="s">
        <v>29</v>
      </c>
      <c r="P227" t="s">
        <v>36</v>
      </c>
      <c r="Q227" s="4">
        <v>93234</v>
      </c>
      <c r="R227" s="4">
        <v>56975</v>
      </c>
      <c r="S227" s="4">
        <f>Table1[[#This Row],[Service_Revenue]]-Table1[[#This Row],[Service_Cost]]</f>
        <v>36259</v>
      </c>
      <c r="T227" s="4">
        <v>1</v>
      </c>
      <c r="U227" s="4">
        <f>IF(AND(Table1[[#This Row],[Rework_Flag]]="Yes",Table1[[#This Row],[Warranty_Claim]]="No"),Table1[[#This Row],[Service_Revenue]],0)</f>
        <v>93234</v>
      </c>
      <c r="V227" s="4">
        <f>IF(Table1[[#This Row],[Warranty_Claim]]="Yes",1,0)</f>
        <v>0</v>
      </c>
      <c r="W227" s="4">
        <f>IF(Table1[[#This Row],[Rework_Flag]]="No",1,0)</f>
        <v>0</v>
      </c>
      <c r="X227" s="4">
        <f>IF(Table1[[#This Row],[Rework_Flag]]="Yes",1,0)</f>
        <v>1</v>
      </c>
      <c r="Y227" s="4">
        <v>1</v>
      </c>
      <c r="Z227" s="4" t="str">
        <f>IF(Table1[[#This Row],[TAT_Days]]&gt;Table1[[#This Row],[SLA_TAT]],"Yes","No")</f>
        <v>Yes</v>
      </c>
      <c r="AA227" s="4" t="str" cm="1">
        <f t="array" ref="AA227">_xlfn.IFS(Table1[[#This Row],[Customer_Satisfaction]]&lt;=2,"Poor",Table1[[#This Row],[Customer_Satisfaction]]=3,"Neutral",Table1[[#This Row],[Customer_Satisfaction]]=4,"Good",Table1[[#This Row],[Customer_Satisfaction]]=5,"Good")</f>
        <v>Poor</v>
      </c>
    </row>
    <row r="228" spans="1:27" x14ac:dyDescent="0.35">
      <c r="A228">
        <v>20226</v>
      </c>
      <c r="B228" s="1">
        <v>45465</v>
      </c>
      <c r="C228" t="s">
        <v>37</v>
      </c>
      <c r="D228" t="s">
        <v>38</v>
      </c>
      <c r="E228" t="s">
        <v>107</v>
      </c>
      <c r="F228" t="s">
        <v>53</v>
      </c>
      <c r="G228" t="s">
        <v>74</v>
      </c>
      <c r="H228" t="s">
        <v>34</v>
      </c>
      <c r="I228" t="s">
        <v>25</v>
      </c>
      <c r="J228" t="s">
        <v>58</v>
      </c>
      <c r="K228" t="s">
        <v>44</v>
      </c>
      <c r="L228" t="s">
        <v>28</v>
      </c>
      <c r="M228" s="4">
        <v>16</v>
      </c>
      <c r="N228" s="4">
        <v>7</v>
      </c>
      <c r="O228" t="s">
        <v>36</v>
      </c>
      <c r="P228" t="s">
        <v>29</v>
      </c>
      <c r="Q228" s="4">
        <v>228462</v>
      </c>
      <c r="R228" s="4">
        <v>153973</v>
      </c>
      <c r="S228" s="4">
        <f>Table1[[#This Row],[Service_Revenue]]-Table1[[#This Row],[Service_Cost]]</f>
        <v>74489</v>
      </c>
      <c r="T228" s="4">
        <v>2</v>
      </c>
      <c r="U228" s="4">
        <f>IF(AND(Table1[[#This Row],[Rework_Flag]]="Yes",Table1[[#This Row],[Warranty_Claim]]="No"),Table1[[#This Row],[Service_Revenue]],0)</f>
        <v>0</v>
      </c>
      <c r="V228" s="4">
        <f>IF(Table1[[#This Row],[Warranty_Claim]]="Yes",1,0)</f>
        <v>1</v>
      </c>
      <c r="W228" s="4">
        <f>IF(Table1[[#This Row],[Rework_Flag]]="No",1,0)</f>
        <v>1</v>
      </c>
      <c r="X228" s="4">
        <f>IF(Table1[[#This Row],[Rework_Flag]]="Yes",1,0)</f>
        <v>0</v>
      </c>
      <c r="Y228" s="4">
        <v>1</v>
      </c>
      <c r="Z228" s="4" t="str">
        <f>IF(Table1[[#This Row],[TAT_Days]]&gt;Table1[[#This Row],[SLA_TAT]],"Yes","No")</f>
        <v>Yes</v>
      </c>
      <c r="AA228" s="4" t="str" cm="1">
        <f t="array" ref="AA228">_xlfn.IFS(Table1[[#This Row],[Customer_Satisfaction]]&lt;=2,"Poor",Table1[[#This Row],[Customer_Satisfaction]]=3,"Neutral",Table1[[#This Row],[Customer_Satisfaction]]=4,"Good",Table1[[#This Row],[Customer_Satisfaction]]=5,"Good")</f>
        <v>Poor</v>
      </c>
    </row>
    <row r="229" spans="1:27" x14ac:dyDescent="0.35">
      <c r="A229">
        <v>20227</v>
      </c>
      <c r="B229" s="1">
        <v>45311</v>
      </c>
      <c r="C229" t="s">
        <v>30</v>
      </c>
      <c r="D229" t="s">
        <v>59</v>
      </c>
      <c r="E229" t="s">
        <v>94</v>
      </c>
      <c r="F229" t="s">
        <v>22</v>
      </c>
      <c r="G229" t="s">
        <v>23</v>
      </c>
      <c r="H229" t="s">
        <v>24</v>
      </c>
      <c r="I229" t="s">
        <v>25</v>
      </c>
      <c r="J229" t="s">
        <v>58</v>
      </c>
      <c r="K229" t="s">
        <v>61</v>
      </c>
      <c r="L229" t="s">
        <v>28</v>
      </c>
      <c r="M229" s="4">
        <v>2</v>
      </c>
      <c r="N229" s="4">
        <v>7</v>
      </c>
      <c r="O229" t="s">
        <v>36</v>
      </c>
      <c r="P229" t="s">
        <v>29</v>
      </c>
      <c r="Q229" s="4">
        <v>225371</v>
      </c>
      <c r="R229" s="4">
        <v>186417</v>
      </c>
      <c r="S229" s="4">
        <f>Table1[[#This Row],[Service_Revenue]]-Table1[[#This Row],[Service_Cost]]</f>
        <v>38954</v>
      </c>
      <c r="T229" s="4">
        <v>5</v>
      </c>
      <c r="U229" s="4">
        <f>IF(AND(Table1[[#This Row],[Rework_Flag]]="Yes",Table1[[#This Row],[Warranty_Claim]]="No"),Table1[[#This Row],[Service_Revenue]],0)</f>
        <v>0</v>
      </c>
      <c r="V229" s="4">
        <f>IF(Table1[[#This Row],[Warranty_Claim]]="Yes",1,0)</f>
        <v>1</v>
      </c>
      <c r="W229" s="4">
        <f>IF(Table1[[#This Row],[Rework_Flag]]="No",1,0)</f>
        <v>1</v>
      </c>
      <c r="X229" s="4">
        <f>IF(Table1[[#This Row],[Rework_Flag]]="Yes",1,0)</f>
        <v>0</v>
      </c>
      <c r="Y229" s="4">
        <v>1</v>
      </c>
      <c r="Z229" s="4" t="str">
        <f>IF(Table1[[#This Row],[TAT_Days]]&gt;Table1[[#This Row],[SLA_TAT]],"Yes","No")</f>
        <v>No</v>
      </c>
      <c r="AA229" s="4" t="str" cm="1">
        <f t="array" ref="AA229">_xlfn.IFS(Table1[[#This Row],[Customer_Satisfaction]]&lt;=2,"Poor",Table1[[#This Row],[Customer_Satisfaction]]=3,"Neutral",Table1[[#This Row],[Customer_Satisfaction]]=4,"Good",Table1[[#This Row],[Customer_Satisfaction]]=5,"Good")</f>
        <v>Good</v>
      </c>
    </row>
    <row r="230" spans="1:27" x14ac:dyDescent="0.35">
      <c r="A230">
        <v>20228</v>
      </c>
      <c r="B230" s="1">
        <v>45461</v>
      </c>
      <c r="C230" t="s">
        <v>19</v>
      </c>
      <c r="D230" t="s">
        <v>45</v>
      </c>
      <c r="E230" t="s">
        <v>111</v>
      </c>
      <c r="F230" t="s">
        <v>40</v>
      </c>
      <c r="G230" t="s">
        <v>74</v>
      </c>
      <c r="H230" t="s">
        <v>34</v>
      </c>
      <c r="I230" t="s">
        <v>55</v>
      </c>
      <c r="J230" t="s">
        <v>35</v>
      </c>
      <c r="K230" t="s">
        <v>44</v>
      </c>
      <c r="L230" t="s">
        <v>49</v>
      </c>
      <c r="M230" s="4">
        <v>3</v>
      </c>
      <c r="N230" s="4">
        <v>7</v>
      </c>
      <c r="O230" t="s">
        <v>29</v>
      </c>
      <c r="P230" t="s">
        <v>36</v>
      </c>
      <c r="Q230" s="4">
        <v>120012</v>
      </c>
      <c r="R230" s="4">
        <v>62270</v>
      </c>
      <c r="S230" s="4">
        <f>Table1[[#This Row],[Service_Revenue]]-Table1[[#This Row],[Service_Cost]]</f>
        <v>57742</v>
      </c>
      <c r="T230" s="4">
        <v>4</v>
      </c>
      <c r="U230" s="4">
        <f>IF(AND(Table1[[#This Row],[Rework_Flag]]="Yes",Table1[[#This Row],[Warranty_Claim]]="No"),Table1[[#This Row],[Service_Revenue]],0)</f>
        <v>120012</v>
      </c>
      <c r="V230" s="4">
        <f>IF(Table1[[#This Row],[Warranty_Claim]]="Yes",1,0)</f>
        <v>0</v>
      </c>
      <c r="W230" s="4">
        <f>IF(Table1[[#This Row],[Rework_Flag]]="No",1,0)</f>
        <v>0</v>
      </c>
      <c r="X230" s="4">
        <f>IF(Table1[[#This Row],[Rework_Flag]]="Yes",1,0)</f>
        <v>1</v>
      </c>
      <c r="Y230" s="4">
        <v>1</v>
      </c>
      <c r="Z230" s="4" t="str">
        <f>IF(Table1[[#This Row],[TAT_Days]]&gt;Table1[[#This Row],[SLA_TAT]],"Yes","No")</f>
        <v>No</v>
      </c>
      <c r="AA230" s="4" t="str" cm="1">
        <f t="array" ref="AA230">_xlfn.IFS(Table1[[#This Row],[Customer_Satisfaction]]&lt;=2,"Poor",Table1[[#This Row],[Customer_Satisfaction]]=3,"Neutral",Table1[[#This Row],[Customer_Satisfaction]]=4,"Good",Table1[[#This Row],[Customer_Satisfaction]]=5,"Good")</f>
        <v>Good</v>
      </c>
    </row>
    <row r="231" spans="1:27" x14ac:dyDescent="0.35">
      <c r="A231">
        <v>20229</v>
      </c>
      <c r="B231" s="1">
        <v>45450</v>
      </c>
      <c r="C231" t="s">
        <v>30</v>
      </c>
      <c r="D231" t="s">
        <v>83</v>
      </c>
      <c r="E231" t="s">
        <v>95</v>
      </c>
      <c r="F231" t="s">
        <v>53</v>
      </c>
      <c r="G231" t="s">
        <v>47</v>
      </c>
      <c r="H231" t="s">
        <v>48</v>
      </c>
      <c r="I231" t="s">
        <v>25</v>
      </c>
      <c r="J231" t="s">
        <v>26</v>
      </c>
      <c r="K231" t="s">
        <v>27</v>
      </c>
      <c r="L231" t="s">
        <v>28</v>
      </c>
      <c r="M231" s="4">
        <v>2</v>
      </c>
      <c r="N231" s="4">
        <v>7</v>
      </c>
      <c r="O231" t="s">
        <v>36</v>
      </c>
      <c r="P231" t="s">
        <v>29</v>
      </c>
      <c r="Q231" s="4">
        <v>170006</v>
      </c>
      <c r="R231" s="4">
        <v>128924</v>
      </c>
      <c r="S231" s="4">
        <f>Table1[[#This Row],[Service_Revenue]]-Table1[[#This Row],[Service_Cost]]</f>
        <v>41082</v>
      </c>
      <c r="T231" s="4">
        <v>5</v>
      </c>
      <c r="U231" s="4">
        <f>IF(AND(Table1[[#This Row],[Rework_Flag]]="Yes",Table1[[#This Row],[Warranty_Claim]]="No"),Table1[[#This Row],[Service_Revenue]],0)</f>
        <v>0</v>
      </c>
      <c r="V231" s="4">
        <f>IF(Table1[[#This Row],[Warranty_Claim]]="Yes",1,0)</f>
        <v>1</v>
      </c>
      <c r="W231" s="4">
        <f>IF(Table1[[#This Row],[Rework_Flag]]="No",1,0)</f>
        <v>1</v>
      </c>
      <c r="X231" s="4">
        <f>IF(Table1[[#This Row],[Rework_Flag]]="Yes",1,0)</f>
        <v>0</v>
      </c>
      <c r="Y231" s="4">
        <v>1</v>
      </c>
      <c r="Z231" s="4" t="str">
        <f>IF(Table1[[#This Row],[TAT_Days]]&gt;Table1[[#This Row],[SLA_TAT]],"Yes","No")</f>
        <v>No</v>
      </c>
      <c r="AA231" s="4" t="str" cm="1">
        <f t="array" ref="AA231">_xlfn.IFS(Table1[[#This Row],[Customer_Satisfaction]]&lt;=2,"Poor",Table1[[#This Row],[Customer_Satisfaction]]=3,"Neutral",Table1[[#This Row],[Customer_Satisfaction]]=4,"Good",Table1[[#This Row],[Customer_Satisfaction]]=5,"Good")</f>
        <v>Good</v>
      </c>
    </row>
    <row r="232" spans="1:27" x14ac:dyDescent="0.35">
      <c r="A232">
        <v>20230</v>
      </c>
      <c r="B232" s="1">
        <v>45467</v>
      </c>
      <c r="C232" t="s">
        <v>19</v>
      </c>
      <c r="D232" t="s">
        <v>96</v>
      </c>
      <c r="E232" t="s">
        <v>109</v>
      </c>
      <c r="F232" t="s">
        <v>53</v>
      </c>
      <c r="G232" t="s">
        <v>63</v>
      </c>
      <c r="H232" t="s">
        <v>24</v>
      </c>
      <c r="I232" t="s">
        <v>25</v>
      </c>
      <c r="J232" t="s">
        <v>26</v>
      </c>
      <c r="K232" t="s">
        <v>44</v>
      </c>
      <c r="L232" t="s">
        <v>49</v>
      </c>
      <c r="M232" s="4">
        <v>17</v>
      </c>
      <c r="N232" s="4">
        <v>7</v>
      </c>
      <c r="O232" t="s">
        <v>36</v>
      </c>
      <c r="P232" t="s">
        <v>36</v>
      </c>
      <c r="Q232" s="4">
        <v>297161</v>
      </c>
      <c r="R232" s="4">
        <v>160988</v>
      </c>
      <c r="S232" s="4">
        <f>Table1[[#This Row],[Service_Revenue]]-Table1[[#This Row],[Service_Cost]]</f>
        <v>136173</v>
      </c>
      <c r="T232" s="4">
        <v>2</v>
      </c>
      <c r="U232" s="4">
        <f>IF(AND(Table1[[#This Row],[Rework_Flag]]="Yes",Table1[[#This Row],[Warranty_Claim]]="No"),Table1[[#This Row],[Service_Revenue]],0)</f>
        <v>0</v>
      </c>
      <c r="V232" s="4">
        <f>IF(Table1[[#This Row],[Warranty_Claim]]="Yes",1,0)</f>
        <v>0</v>
      </c>
      <c r="W232" s="4">
        <f>IF(Table1[[#This Row],[Rework_Flag]]="No",1,0)</f>
        <v>1</v>
      </c>
      <c r="X232" s="4">
        <f>IF(Table1[[#This Row],[Rework_Flag]]="Yes",1,0)</f>
        <v>0</v>
      </c>
      <c r="Y232" s="4">
        <v>1</v>
      </c>
      <c r="Z232" s="4" t="str">
        <f>IF(Table1[[#This Row],[TAT_Days]]&gt;Table1[[#This Row],[SLA_TAT]],"Yes","No")</f>
        <v>Yes</v>
      </c>
      <c r="AA232" s="4" t="str" cm="1">
        <f t="array" ref="AA232">_xlfn.IFS(Table1[[#This Row],[Customer_Satisfaction]]&lt;=2,"Poor",Table1[[#This Row],[Customer_Satisfaction]]=3,"Neutral",Table1[[#This Row],[Customer_Satisfaction]]=4,"Good",Table1[[#This Row],[Customer_Satisfaction]]=5,"Good")</f>
        <v>Poor</v>
      </c>
    </row>
    <row r="233" spans="1:27" x14ac:dyDescent="0.35">
      <c r="A233">
        <v>20231</v>
      </c>
      <c r="B233" s="1">
        <v>45389</v>
      </c>
      <c r="C233" t="s">
        <v>30</v>
      </c>
      <c r="D233" t="s">
        <v>83</v>
      </c>
      <c r="E233" t="s">
        <v>90</v>
      </c>
      <c r="F233" t="s">
        <v>40</v>
      </c>
      <c r="G233" t="s">
        <v>63</v>
      </c>
      <c r="H233" t="s">
        <v>24</v>
      </c>
      <c r="I233" t="s">
        <v>55</v>
      </c>
      <c r="J233" t="s">
        <v>67</v>
      </c>
      <c r="K233" t="s">
        <v>44</v>
      </c>
      <c r="L233" t="s">
        <v>28</v>
      </c>
      <c r="M233" s="4">
        <v>8</v>
      </c>
      <c r="N233" s="4">
        <v>7</v>
      </c>
      <c r="O233" t="s">
        <v>29</v>
      </c>
      <c r="P233" t="s">
        <v>29</v>
      </c>
      <c r="Q233" s="4">
        <v>145685</v>
      </c>
      <c r="R233" s="4">
        <v>94364</v>
      </c>
      <c r="S233" s="4">
        <f>Table1[[#This Row],[Service_Revenue]]-Table1[[#This Row],[Service_Cost]]</f>
        <v>51321</v>
      </c>
      <c r="T233" s="4">
        <v>3</v>
      </c>
      <c r="U233" s="4">
        <f>IF(AND(Table1[[#This Row],[Rework_Flag]]="Yes",Table1[[#This Row],[Warranty_Claim]]="No"),Table1[[#This Row],[Service_Revenue]],0)</f>
        <v>0</v>
      </c>
      <c r="V233" s="4">
        <f>IF(Table1[[#This Row],[Warranty_Claim]]="Yes",1,0)</f>
        <v>1</v>
      </c>
      <c r="W233" s="4">
        <f>IF(Table1[[#This Row],[Rework_Flag]]="No",1,0)</f>
        <v>0</v>
      </c>
      <c r="X233" s="4">
        <f>IF(Table1[[#This Row],[Rework_Flag]]="Yes",1,0)</f>
        <v>1</v>
      </c>
      <c r="Y233" s="4">
        <v>1</v>
      </c>
      <c r="Z233" s="4" t="str">
        <f>IF(Table1[[#This Row],[TAT_Days]]&gt;Table1[[#This Row],[SLA_TAT]],"Yes","No")</f>
        <v>Yes</v>
      </c>
      <c r="AA233" s="4" t="str" cm="1">
        <f t="array" ref="AA233">_xlfn.IFS(Table1[[#This Row],[Customer_Satisfaction]]&lt;=2,"Poor",Table1[[#This Row],[Customer_Satisfaction]]=3,"Neutral",Table1[[#This Row],[Customer_Satisfaction]]=4,"Good",Table1[[#This Row],[Customer_Satisfaction]]=5,"Good")</f>
        <v>Neutral</v>
      </c>
    </row>
    <row r="234" spans="1:27" x14ac:dyDescent="0.35">
      <c r="A234">
        <v>20232</v>
      </c>
      <c r="B234" s="1">
        <v>45315</v>
      </c>
      <c r="C234" t="s">
        <v>50</v>
      </c>
      <c r="D234" t="s">
        <v>51</v>
      </c>
      <c r="E234" t="s">
        <v>75</v>
      </c>
      <c r="F234" t="s">
        <v>22</v>
      </c>
      <c r="G234" t="s">
        <v>23</v>
      </c>
      <c r="H234" t="s">
        <v>24</v>
      </c>
      <c r="I234" t="s">
        <v>55</v>
      </c>
      <c r="J234" t="s">
        <v>67</v>
      </c>
      <c r="K234" t="s">
        <v>27</v>
      </c>
      <c r="L234" t="s">
        <v>28</v>
      </c>
      <c r="M234" s="4">
        <v>19</v>
      </c>
      <c r="N234" s="4">
        <v>7</v>
      </c>
      <c r="O234" t="s">
        <v>29</v>
      </c>
      <c r="P234" t="s">
        <v>36</v>
      </c>
      <c r="Q234" s="4">
        <v>578548</v>
      </c>
      <c r="R234" s="4">
        <v>393543</v>
      </c>
      <c r="S234" s="4">
        <f>Table1[[#This Row],[Service_Revenue]]-Table1[[#This Row],[Service_Cost]]</f>
        <v>185005</v>
      </c>
      <c r="T234" s="4">
        <v>1</v>
      </c>
      <c r="U234" s="4">
        <f>IF(AND(Table1[[#This Row],[Rework_Flag]]="Yes",Table1[[#This Row],[Warranty_Claim]]="No"),Table1[[#This Row],[Service_Revenue]],0)</f>
        <v>578548</v>
      </c>
      <c r="V234" s="4">
        <f>IF(Table1[[#This Row],[Warranty_Claim]]="Yes",1,0)</f>
        <v>0</v>
      </c>
      <c r="W234" s="4">
        <f>IF(Table1[[#This Row],[Rework_Flag]]="No",1,0)</f>
        <v>0</v>
      </c>
      <c r="X234" s="4">
        <f>IF(Table1[[#This Row],[Rework_Flag]]="Yes",1,0)</f>
        <v>1</v>
      </c>
      <c r="Y234" s="4">
        <v>1</v>
      </c>
      <c r="Z234" s="4" t="str">
        <f>IF(Table1[[#This Row],[TAT_Days]]&gt;Table1[[#This Row],[SLA_TAT]],"Yes","No")</f>
        <v>Yes</v>
      </c>
      <c r="AA234" s="4" t="str" cm="1">
        <f t="array" ref="AA234">_xlfn.IFS(Table1[[#This Row],[Customer_Satisfaction]]&lt;=2,"Poor",Table1[[#This Row],[Customer_Satisfaction]]=3,"Neutral",Table1[[#This Row],[Customer_Satisfaction]]=4,"Good",Table1[[#This Row],[Customer_Satisfaction]]=5,"Good")</f>
        <v>Poor</v>
      </c>
    </row>
    <row r="235" spans="1:27" x14ac:dyDescent="0.35">
      <c r="A235">
        <v>20233</v>
      </c>
      <c r="B235" s="1">
        <v>45341</v>
      </c>
      <c r="C235" t="s">
        <v>37</v>
      </c>
      <c r="D235" t="s">
        <v>70</v>
      </c>
      <c r="E235" t="s">
        <v>82</v>
      </c>
      <c r="F235" t="s">
        <v>22</v>
      </c>
      <c r="G235" t="s">
        <v>54</v>
      </c>
      <c r="H235" t="s">
        <v>42</v>
      </c>
      <c r="I235" t="s">
        <v>25</v>
      </c>
      <c r="J235" t="s">
        <v>26</v>
      </c>
      <c r="K235" t="s">
        <v>27</v>
      </c>
      <c r="L235" t="s">
        <v>28</v>
      </c>
      <c r="M235" s="4">
        <v>24</v>
      </c>
      <c r="N235" s="4">
        <v>7</v>
      </c>
      <c r="O235" t="s">
        <v>29</v>
      </c>
      <c r="P235" t="s">
        <v>36</v>
      </c>
      <c r="Q235" s="4">
        <v>277456</v>
      </c>
      <c r="R235" s="4">
        <v>212586</v>
      </c>
      <c r="S235" s="4">
        <f>Table1[[#This Row],[Service_Revenue]]-Table1[[#This Row],[Service_Cost]]</f>
        <v>64870</v>
      </c>
      <c r="T235" s="4">
        <v>1</v>
      </c>
      <c r="U235" s="4">
        <f>IF(AND(Table1[[#This Row],[Rework_Flag]]="Yes",Table1[[#This Row],[Warranty_Claim]]="No"),Table1[[#This Row],[Service_Revenue]],0)</f>
        <v>277456</v>
      </c>
      <c r="V235" s="4">
        <f>IF(Table1[[#This Row],[Warranty_Claim]]="Yes",1,0)</f>
        <v>0</v>
      </c>
      <c r="W235" s="4">
        <f>IF(Table1[[#This Row],[Rework_Flag]]="No",1,0)</f>
        <v>0</v>
      </c>
      <c r="X235" s="4">
        <f>IF(Table1[[#This Row],[Rework_Flag]]="Yes",1,0)</f>
        <v>1</v>
      </c>
      <c r="Y235" s="4">
        <v>1</v>
      </c>
      <c r="Z235" s="4" t="str">
        <f>IF(Table1[[#This Row],[TAT_Days]]&gt;Table1[[#This Row],[SLA_TAT]],"Yes","No")</f>
        <v>Yes</v>
      </c>
      <c r="AA235" s="4" t="str" cm="1">
        <f t="array" ref="AA235">_xlfn.IFS(Table1[[#This Row],[Customer_Satisfaction]]&lt;=2,"Poor",Table1[[#This Row],[Customer_Satisfaction]]=3,"Neutral",Table1[[#This Row],[Customer_Satisfaction]]=4,"Good",Table1[[#This Row],[Customer_Satisfaction]]=5,"Good")</f>
        <v>Poor</v>
      </c>
    </row>
    <row r="236" spans="1:27" x14ac:dyDescent="0.35">
      <c r="A236">
        <v>20234</v>
      </c>
      <c r="B236" s="1">
        <v>45383</v>
      </c>
      <c r="C236" t="s">
        <v>37</v>
      </c>
      <c r="D236" t="s">
        <v>70</v>
      </c>
      <c r="E236" t="s">
        <v>82</v>
      </c>
      <c r="F236" t="s">
        <v>22</v>
      </c>
      <c r="G236" t="s">
        <v>41</v>
      </c>
      <c r="H236" t="s">
        <v>42</v>
      </c>
      <c r="I236" t="s">
        <v>55</v>
      </c>
      <c r="J236" t="s">
        <v>58</v>
      </c>
      <c r="K236" t="s">
        <v>44</v>
      </c>
      <c r="L236" t="s">
        <v>28</v>
      </c>
      <c r="M236" s="4">
        <v>19</v>
      </c>
      <c r="N236" s="4">
        <v>7</v>
      </c>
      <c r="O236" t="s">
        <v>36</v>
      </c>
      <c r="P236" t="s">
        <v>29</v>
      </c>
      <c r="Q236" s="4">
        <v>335460</v>
      </c>
      <c r="R236" s="4">
        <v>251727</v>
      </c>
      <c r="S236" s="4">
        <f>Table1[[#This Row],[Service_Revenue]]-Table1[[#This Row],[Service_Cost]]</f>
        <v>83733</v>
      </c>
      <c r="T236" s="4">
        <v>2</v>
      </c>
      <c r="U236" s="4">
        <f>IF(AND(Table1[[#This Row],[Rework_Flag]]="Yes",Table1[[#This Row],[Warranty_Claim]]="No"),Table1[[#This Row],[Service_Revenue]],0)</f>
        <v>0</v>
      </c>
      <c r="V236" s="4">
        <f>IF(Table1[[#This Row],[Warranty_Claim]]="Yes",1,0)</f>
        <v>1</v>
      </c>
      <c r="W236" s="4">
        <f>IF(Table1[[#This Row],[Rework_Flag]]="No",1,0)</f>
        <v>1</v>
      </c>
      <c r="X236" s="4">
        <f>IF(Table1[[#This Row],[Rework_Flag]]="Yes",1,0)</f>
        <v>0</v>
      </c>
      <c r="Y236" s="4">
        <v>1</v>
      </c>
      <c r="Z236" s="4" t="str">
        <f>IF(Table1[[#This Row],[TAT_Days]]&gt;Table1[[#This Row],[SLA_TAT]],"Yes","No")</f>
        <v>Yes</v>
      </c>
      <c r="AA236" s="4" t="str" cm="1">
        <f t="array" ref="AA236">_xlfn.IFS(Table1[[#This Row],[Customer_Satisfaction]]&lt;=2,"Poor",Table1[[#This Row],[Customer_Satisfaction]]=3,"Neutral",Table1[[#This Row],[Customer_Satisfaction]]=4,"Good",Table1[[#This Row],[Customer_Satisfaction]]=5,"Good")</f>
        <v>Poor</v>
      </c>
    </row>
    <row r="237" spans="1:27" x14ac:dyDescent="0.35">
      <c r="A237">
        <v>20235</v>
      </c>
      <c r="B237" s="1">
        <v>45315</v>
      </c>
      <c r="C237" t="s">
        <v>37</v>
      </c>
      <c r="D237" t="s">
        <v>70</v>
      </c>
      <c r="E237" t="s">
        <v>100</v>
      </c>
      <c r="F237" t="s">
        <v>22</v>
      </c>
      <c r="G237" t="s">
        <v>23</v>
      </c>
      <c r="H237" t="s">
        <v>24</v>
      </c>
      <c r="I237" t="s">
        <v>25</v>
      </c>
      <c r="J237" t="s">
        <v>26</v>
      </c>
      <c r="K237" t="s">
        <v>61</v>
      </c>
      <c r="L237" t="s">
        <v>49</v>
      </c>
      <c r="M237" s="4">
        <v>3</v>
      </c>
      <c r="N237" s="4">
        <v>7</v>
      </c>
      <c r="O237" t="s">
        <v>36</v>
      </c>
      <c r="P237" t="s">
        <v>29</v>
      </c>
      <c r="Q237" s="4">
        <v>154539</v>
      </c>
      <c r="R237" s="4">
        <v>81039</v>
      </c>
      <c r="S237" s="4">
        <f>Table1[[#This Row],[Service_Revenue]]-Table1[[#This Row],[Service_Cost]]</f>
        <v>73500</v>
      </c>
      <c r="T237" s="4">
        <v>5</v>
      </c>
      <c r="U237" s="4">
        <f>IF(AND(Table1[[#This Row],[Rework_Flag]]="Yes",Table1[[#This Row],[Warranty_Claim]]="No"),Table1[[#This Row],[Service_Revenue]],0)</f>
        <v>0</v>
      </c>
      <c r="V237" s="4">
        <f>IF(Table1[[#This Row],[Warranty_Claim]]="Yes",1,0)</f>
        <v>1</v>
      </c>
      <c r="W237" s="4">
        <f>IF(Table1[[#This Row],[Rework_Flag]]="No",1,0)</f>
        <v>1</v>
      </c>
      <c r="X237" s="4">
        <f>IF(Table1[[#This Row],[Rework_Flag]]="Yes",1,0)</f>
        <v>0</v>
      </c>
      <c r="Y237" s="4">
        <v>1</v>
      </c>
      <c r="Z237" s="4" t="str">
        <f>IF(Table1[[#This Row],[TAT_Days]]&gt;Table1[[#This Row],[SLA_TAT]],"Yes","No")</f>
        <v>No</v>
      </c>
      <c r="AA237" s="4" t="str" cm="1">
        <f t="array" ref="AA237">_xlfn.IFS(Table1[[#This Row],[Customer_Satisfaction]]&lt;=2,"Poor",Table1[[#This Row],[Customer_Satisfaction]]=3,"Neutral",Table1[[#This Row],[Customer_Satisfaction]]=4,"Good",Table1[[#This Row],[Customer_Satisfaction]]=5,"Good")</f>
        <v>Good</v>
      </c>
    </row>
    <row r="238" spans="1:27" x14ac:dyDescent="0.35">
      <c r="A238">
        <v>20236</v>
      </c>
      <c r="B238" s="1">
        <v>45370</v>
      </c>
      <c r="C238" t="s">
        <v>50</v>
      </c>
      <c r="D238" t="s">
        <v>56</v>
      </c>
      <c r="E238" t="s">
        <v>101</v>
      </c>
      <c r="F238" t="s">
        <v>22</v>
      </c>
      <c r="G238" t="s">
        <v>41</v>
      </c>
      <c r="H238" t="s">
        <v>42</v>
      </c>
      <c r="I238" t="s">
        <v>55</v>
      </c>
      <c r="J238" t="s">
        <v>26</v>
      </c>
      <c r="K238" t="s">
        <v>44</v>
      </c>
      <c r="L238" t="s">
        <v>28</v>
      </c>
      <c r="M238" s="4">
        <v>7</v>
      </c>
      <c r="N238" s="4">
        <v>7</v>
      </c>
      <c r="O238" t="s">
        <v>36</v>
      </c>
      <c r="P238" t="s">
        <v>29</v>
      </c>
      <c r="Q238" s="4">
        <v>216184</v>
      </c>
      <c r="R238" s="4">
        <v>166968</v>
      </c>
      <c r="S238" s="4">
        <f>Table1[[#This Row],[Service_Revenue]]-Table1[[#This Row],[Service_Cost]]</f>
        <v>49216</v>
      </c>
      <c r="T238" s="4">
        <v>4</v>
      </c>
      <c r="U238" s="4">
        <f>IF(AND(Table1[[#This Row],[Rework_Flag]]="Yes",Table1[[#This Row],[Warranty_Claim]]="No"),Table1[[#This Row],[Service_Revenue]],0)</f>
        <v>0</v>
      </c>
      <c r="V238" s="4">
        <f>IF(Table1[[#This Row],[Warranty_Claim]]="Yes",1,0)</f>
        <v>1</v>
      </c>
      <c r="W238" s="4">
        <f>IF(Table1[[#This Row],[Rework_Flag]]="No",1,0)</f>
        <v>1</v>
      </c>
      <c r="X238" s="4">
        <f>IF(Table1[[#This Row],[Rework_Flag]]="Yes",1,0)</f>
        <v>0</v>
      </c>
      <c r="Y238" s="4">
        <v>1</v>
      </c>
      <c r="Z238" s="4" t="str">
        <f>IF(Table1[[#This Row],[TAT_Days]]&gt;Table1[[#This Row],[SLA_TAT]],"Yes","No")</f>
        <v>No</v>
      </c>
      <c r="AA238" s="4" t="str" cm="1">
        <f t="array" ref="AA238">_xlfn.IFS(Table1[[#This Row],[Customer_Satisfaction]]&lt;=2,"Poor",Table1[[#This Row],[Customer_Satisfaction]]=3,"Neutral",Table1[[#This Row],[Customer_Satisfaction]]=4,"Good",Table1[[#This Row],[Customer_Satisfaction]]=5,"Good")</f>
        <v>Good</v>
      </c>
    </row>
    <row r="239" spans="1:27" x14ac:dyDescent="0.35">
      <c r="A239">
        <v>20237</v>
      </c>
      <c r="B239" s="1">
        <v>45319</v>
      </c>
      <c r="C239" t="s">
        <v>50</v>
      </c>
      <c r="D239" t="s">
        <v>80</v>
      </c>
      <c r="E239" t="s">
        <v>104</v>
      </c>
      <c r="F239" t="s">
        <v>40</v>
      </c>
      <c r="G239" t="s">
        <v>63</v>
      </c>
      <c r="H239" t="s">
        <v>24</v>
      </c>
      <c r="I239" t="s">
        <v>55</v>
      </c>
      <c r="J239" t="s">
        <v>26</v>
      </c>
      <c r="K239" t="s">
        <v>61</v>
      </c>
      <c r="L239" t="s">
        <v>28</v>
      </c>
      <c r="M239" s="4">
        <v>4</v>
      </c>
      <c r="N239" s="4">
        <v>7</v>
      </c>
      <c r="O239" t="s">
        <v>36</v>
      </c>
      <c r="P239" t="s">
        <v>29</v>
      </c>
      <c r="Q239" s="4">
        <v>266020</v>
      </c>
      <c r="R239" s="4">
        <v>167992</v>
      </c>
      <c r="S239" s="4">
        <f>Table1[[#This Row],[Service_Revenue]]-Table1[[#This Row],[Service_Cost]]</f>
        <v>98028</v>
      </c>
      <c r="T239" s="4">
        <v>5</v>
      </c>
      <c r="U239" s="4">
        <f>IF(AND(Table1[[#This Row],[Rework_Flag]]="Yes",Table1[[#This Row],[Warranty_Claim]]="No"),Table1[[#This Row],[Service_Revenue]],0)</f>
        <v>0</v>
      </c>
      <c r="V239" s="4">
        <f>IF(Table1[[#This Row],[Warranty_Claim]]="Yes",1,0)</f>
        <v>1</v>
      </c>
      <c r="W239" s="4">
        <f>IF(Table1[[#This Row],[Rework_Flag]]="No",1,0)</f>
        <v>1</v>
      </c>
      <c r="X239" s="4">
        <f>IF(Table1[[#This Row],[Rework_Flag]]="Yes",1,0)</f>
        <v>0</v>
      </c>
      <c r="Y239" s="4">
        <v>1</v>
      </c>
      <c r="Z239" s="4" t="str">
        <f>IF(Table1[[#This Row],[TAT_Days]]&gt;Table1[[#This Row],[SLA_TAT]],"Yes","No")</f>
        <v>No</v>
      </c>
      <c r="AA239" s="4" t="str" cm="1">
        <f t="array" ref="AA239">_xlfn.IFS(Table1[[#This Row],[Customer_Satisfaction]]&lt;=2,"Poor",Table1[[#This Row],[Customer_Satisfaction]]=3,"Neutral",Table1[[#This Row],[Customer_Satisfaction]]=4,"Good",Table1[[#This Row],[Customer_Satisfaction]]=5,"Good")</f>
        <v>Good</v>
      </c>
    </row>
    <row r="240" spans="1:27" x14ac:dyDescent="0.35">
      <c r="A240">
        <v>20238</v>
      </c>
      <c r="B240" s="1">
        <v>45458</v>
      </c>
      <c r="C240" t="s">
        <v>19</v>
      </c>
      <c r="D240" t="s">
        <v>45</v>
      </c>
      <c r="E240" t="s">
        <v>99</v>
      </c>
      <c r="F240" t="s">
        <v>40</v>
      </c>
      <c r="G240" t="s">
        <v>41</v>
      </c>
      <c r="H240" t="s">
        <v>42</v>
      </c>
      <c r="I240" t="s">
        <v>25</v>
      </c>
      <c r="J240" t="s">
        <v>26</v>
      </c>
      <c r="K240" t="s">
        <v>44</v>
      </c>
      <c r="L240" t="s">
        <v>49</v>
      </c>
      <c r="M240" s="4">
        <v>5</v>
      </c>
      <c r="N240" s="4">
        <v>7</v>
      </c>
      <c r="O240" t="s">
        <v>36</v>
      </c>
      <c r="P240" t="s">
        <v>29</v>
      </c>
      <c r="Q240" s="4">
        <v>549863</v>
      </c>
      <c r="R240" s="4">
        <v>407557</v>
      </c>
      <c r="S240" s="4">
        <f>Table1[[#This Row],[Service_Revenue]]-Table1[[#This Row],[Service_Cost]]</f>
        <v>142306</v>
      </c>
      <c r="T240" s="4">
        <v>4</v>
      </c>
      <c r="U240" s="4">
        <f>IF(AND(Table1[[#This Row],[Rework_Flag]]="Yes",Table1[[#This Row],[Warranty_Claim]]="No"),Table1[[#This Row],[Service_Revenue]],0)</f>
        <v>0</v>
      </c>
      <c r="V240" s="4">
        <f>IF(Table1[[#This Row],[Warranty_Claim]]="Yes",1,0)</f>
        <v>1</v>
      </c>
      <c r="W240" s="4">
        <f>IF(Table1[[#This Row],[Rework_Flag]]="No",1,0)</f>
        <v>1</v>
      </c>
      <c r="X240" s="4">
        <f>IF(Table1[[#This Row],[Rework_Flag]]="Yes",1,0)</f>
        <v>0</v>
      </c>
      <c r="Y240" s="4">
        <v>1</v>
      </c>
      <c r="Z240" s="4" t="str">
        <f>IF(Table1[[#This Row],[TAT_Days]]&gt;Table1[[#This Row],[SLA_TAT]],"Yes","No")</f>
        <v>No</v>
      </c>
      <c r="AA240" s="4" t="str" cm="1">
        <f t="array" ref="AA240">_xlfn.IFS(Table1[[#This Row],[Customer_Satisfaction]]&lt;=2,"Poor",Table1[[#This Row],[Customer_Satisfaction]]=3,"Neutral",Table1[[#This Row],[Customer_Satisfaction]]=4,"Good",Table1[[#This Row],[Customer_Satisfaction]]=5,"Good")</f>
        <v>Good</v>
      </c>
    </row>
    <row r="241" spans="1:27" x14ac:dyDescent="0.35">
      <c r="A241">
        <v>20239</v>
      </c>
      <c r="B241" s="1">
        <v>45329</v>
      </c>
      <c r="C241" t="s">
        <v>19</v>
      </c>
      <c r="D241" t="s">
        <v>45</v>
      </c>
      <c r="E241" t="s">
        <v>114</v>
      </c>
      <c r="F241" t="s">
        <v>22</v>
      </c>
      <c r="G241" t="s">
        <v>33</v>
      </c>
      <c r="H241" t="s">
        <v>34</v>
      </c>
      <c r="I241" t="s">
        <v>55</v>
      </c>
      <c r="J241" t="s">
        <v>67</v>
      </c>
      <c r="K241" t="s">
        <v>61</v>
      </c>
      <c r="L241" t="s">
        <v>28</v>
      </c>
      <c r="M241" s="4">
        <v>25</v>
      </c>
      <c r="N241" s="4">
        <v>7</v>
      </c>
      <c r="O241" t="s">
        <v>29</v>
      </c>
      <c r="P241" t="s">
        <v>36</v>
      </c>
      <c r="Q241" s="4">
        <v>139639</v>
      </c>
      <c r="R241" s="4">
        <v>117615</v>
      </c>
      <c r="S241" s="4">
        <f>Table1[[#This Row],[Service_Revenue]]-Table1[[#This Row],[Service_Cost]]</f>
        <v>22024</v>
      </c>
      <c r="T241" s="4">
        <v>1</v>
      </c>
      <c r="U241" s="4">
        <f>IF(AND(Table1[[#This Row],[Rework_Flag]]="Yes",Table1[[#This Row],[Warranty_Claim]]="No"),Table1[[#This Row],[Service_Revenue]],0)</f>
        <v>139639</v>
      </c>
      <c r="V241" s="4">
        <f>IF(Table1[[#This Row],[Warranty_Claim]]="Yes",1,0)</f>
        <v>0</v>
      </c>
      <c r="W241" s="4">
        <f>IF(Table1[[#This Row],[Rework_Flag]]="No",1,0)</f>
        <v>0</v>
      </c>
      <c r="X241" s="4">
        <f>IF(Table1[[#This Row],[Rework_Flag]]="Yes",1,0)</f>
        <v>1</v>
      </c>
      <c r="Y241" s="4">
        <v>1</v>
      </c>
      <c r="Z241" s="4" t="str">
        <f>IF(Table1[[#This Row],[TAT_Days]]&gt;Table1[[#This Row],[SLA_TAT]],"Yes","No")</f>
        <v>Yes</v>
      </c>
      <c r="AA241" s="4" t="str" cm="1">
        <f t="array" ref="AA241">_xlfn.IFS(Table1[[#This Row],[Customer_Satisfaction]]&lt;=2,"Poor",Table1[[#This Row],[Customer_Satisfaction]]=3,"Neutral",Table1[[#This Row],[Customer_Satisfaction]]=4,"Good",Table1[[#This Row],[Customer_Satisfaction]]=5,"Good")</f>
        <v>Poor</v>
      </c>
    </row>
    <row r="242" spans="1:27" x14ac:dyDescent="0.35">
      <c r="A242">
        <v>20240</v>
      </c>
      <c r="B242" s="1">
        <v>45306</v>
      </c>
      <c r="C242" t="s">
        <v>37</v>
      </c>
      <c r="D242" t="s">
        <v>64</v>
      </c>
      <c r="E242" t="s">
        <v>65</v>
      </c>
      <c r="F242" t="s">
        <v>40</v>
      </c>
      <c r="G242" t="s">
        <v>63</v>
      </c>
      <c r="H242" t="s">
        <v>24</v>
      </c>
      <c r="I242" t="s">
        <v>55</v>
      </c>
      <c r="J242" t="s">
        <v>43</v>
      </c>
      <c r="K242" t="s">
        <v>27</v>
      </c>
      <c r="L242" t="s">
        <v>49</v>
      </c>
      <c r="M242" s="4">
        <v>11</v>
      </c>
      <c r="N242" s="4">
        <v>7</v>
      </c>
      <c r="O242" t="s">
        <v>29</v>
      </c>
      <c r="P242" t="s">
        <v>36</v>
      </c>
      <c r="Q242" s="4">
        <v>405829</v>
      </c>
      <c r="R242" s="4">
        <v>331776</v>
      </c>
      <c r="S242" s="4">
        <f>Table1[[#This Row],[Service_Revenue]]-Table1[[#This Row],[Service_Cost]]</f>
        <v>74053</v>
      </c>
      <c r="T242" s="4">
        <v>2</v>
      </c>
      <c r="U242" s="4">
        <f>IF(AND(Table1[[#This Row],[Rework_Flag]]="Yes",Table1[[#This Row],[Warranty_Claim]]="No"),Table1[[#This Row],[Service_Revenue]],0)</f>
        <v>405829</v>
      </c>
      <c r="V242" s="4">
        <f>IF(Table1[[#This Row],[Warranty_Claim]]="Yes",1,0)</f>
        <v>0</v>
      </c>
      <c r="W242" s="4">
        <f>IF(Table1[[#This Row],[Rework_Flag]]="No",1,0)</f>
        <v>0</v>
      </c>
      <c r="X242" s="4">
        <f>IF(Table1[[#This Row],[Rework_Flag]]="Yes",1,0)</f>
        <v>1</v>
      </c>
      <c r="Y242" s="4">
        <v>1</v>
      </c>
      <c r="Z242" s="4" t="str">
        <f>IF(Table1[[#This Row],[TAT_Days]]&gt;Table1[[#This Row],[SLA_TAT]],"Yes","No")</f>
        <v>Yes</v>
      </c>
      <c r="AA242" s="4" t="str" cm="1">
        <f t="array" ref="AA242">_xlfn.IFS(Table1[[#This Row],[Customer_Satisfaction]]&lt;=2,"Poor",Table1[[#This Row],[Customer_Satisfaction]]=3,"Neutral",Table1[[#This Row],[Customer_Satisfaction]]=4,"Good",Table1[[#This Row],[Customer_Satisfaction]]=5,"Good")</f>
        <v>Poor</v>
      </c>
    </row>
    <row r="243" spans="1:27" x14ac:dyDescent="0.35">
      <c r="A243">
        <v>20241</v>
      </c>
      <c r="B243" s="1">
        <v>45454</v>
      </c>
      <c r="C243" t="s">
        <v>37</v>
      </c>
      <c r="D243" t="s">
        <v>64</v>
      </c>
      <c r="E243" t="s">
        <v>103</v>
      </c>
      <c r="F243" t="s">
        <v>22</v>
      </c>
      <c r="G243" t="s">
        <v>74</v>
      </c>
      <c r="H243" t="s">
        <v>34</v>
      </c>
      <c r="I243" t="s">
        <v>55</v>
      </c>
      <c r="J243" t="s">
        <v>58</v>
      </c>
      <c r="K243" t="s">
        <v>44</v>
      </c>
      <c r="L243" t="s">
        <v>49</v>
      </c>
      <c r="M243" s="4">
        <v>15</v>
      </c>
      <c r="N243" s="4">
        <v>7</v>
      </c>
      <c r="O243" t="s">
        <v>29</v>
      </c>
      <c r="P243" t="s">
        <v>36</v>
      </c>
      <c r="Q243" s="4">
        <v>314049</v>
      </c>
      <c r="R243" s="4">
        <v>202266</v>
      </c>
      <c r="S243" s="4">
        <f>Table1[[#This Row],[Service_Revenue]]-Table1[[#This Row],[Service_Cost]]</f>
        <v>111783</v>
      </c>
      <c r="T243" s="4">
        <v>1</v>
      </c>
      <c r="U243" s="4">
        <f>IF(AND(Table1[[#This Row],[Rework_Flag]]="Yes",Table1[[#This Row],[Warranty_Claim]]="No"),Table1[[#This Row],[Service_Revenue]],0)</f>
        <v>314049</v>
      </c>
      <c r="V243" s="4">
        <f>IF(Table1[[#This Row],[Warranty_Claim]]="Yes",1,0)</f>
        <v>0</v>
      </c>
      <c r="W243" s="4">
        <f>IF(Table1[[#This Row],[Rework_Flag]]="No",1,0)</f>
        <v>0</v>
      </c>
      <c r="X243" s="4">
        <f>IF(Table1[[#This Row],[Rework_Flag]]="Yes",1,0)</f>
        <v>1</v>
      </c>
      <c r="Y243" s="4">
        <v>1</v>
      </c>
      <c r="Z243" s="4" t="str">
        <f>IF(Table1[[#This Row],[TAT_Days]]&gt;Table1[[#This Row],[SLA_TAT]],"Yes","No")</f>
        <v>Yes</v>
      </c>
      <c r="AA243" s="4" t="str" cm="1">
        <f t="array" ref="AA243">_xlfn.IFS(Table1[[#This Row],[Customer_Satisfaction]]&lt;=2,"Poor",Table1[[#This Row],[Customer_Satisfaction]]=3,"Neutral",Table1[[#This Row],[Customer_Satisfaction]]=4,"Good",Table1[[#This Row],[Customer_Satisfaction]]=5,"Good")</f>
        <v>Poor</v>
      </c>
    </row>
    <row r="244" spans="1:27" x14ac:dyDescent="0.35">
      <c r="A244">
        <v>20242</v>
      </c>
      <c r="B244" s="1">
        <v>45374</v>
      </c>
      <c r="C244" t="s">
        <v>50</v>
      </c>
      <c r="D244" t="s">
        <v>56</v>
      </c>
      <c r="E244" t="s">
        <v>101</v>
      </c>
      <c r="F244" t="s">
        <v>53</v>
      </c>
      <c r="G244" t="s">
        <v>33</v>
      </c>
      <c r="H244" t="s">
        <v>34</v>
      </c>
      <c r="I244" t="s">
        <v>55</v>
      </c>
      <c r="J244" t="s">
        <v>35</v>
      </c>
      <c r="K244" t="s">
        <v>61</v>
      </c>
      <c r="L244" t="s">
        <v>49</v>
      </c>
      <c r="M244" s="4">
        <v>19</v>
      </c>
      <c r="N244" s="4">
        <v>7</v>
      </c>
      <c r="O244" t="s">
        <v>36</v>
      </c>
      <c r="P244" t="s">
        <v>29</v>
      </c>
      <c r="Q244" s="4">
        <v>576527</v>
      </c>
      <c r="R244" s="4">
        <v>485215</v>
      </c>
      <c r="S244" s="4">
        <f>Table1[[#This Row],[Service_Revenue]]-Table1[[#This Row],[Service_Cost]]</f>
        <v>91312</v>
      </c>
      <c r="T244" s="4">
        <v>2</v>
      </c>
      <c r="U244" s="4">
        <f>IF(AND(Table1[[#This Row],[Rework_Flag]]="Yes",Table1[[#This Row],[Warranty_Claim]]="No"),Table1[[#This Row],[Service_Revenue]],0)</f>
        <v>0</v>
      </c>
      <c r="V244" s="4">
        <f>IF(Table1[[#This Row],[Warranty_Claim]]="Yes",1,0)</f>
        <v>1</v>
      </c>
      <c r="W244" s="4">
        <f>IF(Table1[[#This Row],[Rework_Flag]]="No",1,0)</f>
        <v>1</v>
      </c>
      <c r="X244" s="4">
        <f>IF(Table1[[#This Row],[Rework_Flag]]="Yes",1,0)</f>
        <v>0</v>
      </c>
      <c r="Y244" s="4">
        <v>1</v>
      </c>
      <c r="Z244" s="4" t="str">
        <f>IF(Table1[[#This Row],[TAT_Days]]&gt;Table1[[#This Row],[SLA_TAT]],"Yes","No")</f>
        <v>Yes</v>
      </c>
      <c r="AA244" s="4" t="str" cm="1">
        <f t="array" ref="AA244">_xlfn.IFS(Table1[[#This Row],[Customer_Satisfaction]]&lt;=2,"Poor",Table1[[#This Row],[Customer_Satisfaction]]=3,"Neutral",Table1[[#This Row],[Customer_Satisfaction]]=4,"Good",Table1[[#This Row],[Customer_Satisfaction]]=5,"Good")</f>
        <v>Poor</v>
      </c>
    </row>
    <row r="245" spans="1:27" x14ac:dyDescent="0.35">
      <c r="A245">
        <v>20243</v>
      </c>
      <c r="B245" s="1">
        <v>45346</v>
      </c>
      <c r="C245" t="s">
        <v>37</v>
      </c>
      <c r="D245" t="s">
        <v>64</v>
      </c>
      <c r="E245" t="s">
        <v>87</v>
      </c>
      <c r="F245" t="s">
        <v>40</v>
      </c>
      <c r="G245" t="s">
        <v>33</v>
      </c>
      <c r="H245" t="s">
        <v>34</v>
      </c>
      <c r="I245" t="s">
        <v>55</v>
      </c>
      <c r="J245" t="s">
        <v>35</v>
      </c>
      <c r="K245" t="s">
        <v>44</v>
      </c>
      <c r="L245" t="s">
        <v>28</v>
      </c>
      <c r="M245" s="4">
        <v>7</v>
      </c>
      <c r="N245" s="4">
        <v>7</v>
      </c>
      <c r="O245" t="s">
        <v>36</v>
      </c>
      <c r="P245" t="s">
        <v>36</v>
      </c>
      <c r="Q245" s="4">
        <v>423540</v>
      </c>
      <c r="R245" s="4">
        <v>333776</v>
      </c>
      <c r="S245" s="4">
        <f>Table1[[#This Row],[Service_Revenue]]-Table1[[#This Row],[Service_Cost]]</f>
        <v>89764</v>
      </c>
      <c r="T245" s="4">
        <v>4</v>
      </c>
      <c r="U245" s="4">
        <f>IF(AND(Table1[[#This Row],[Rework_Flag]]="Yes",Table1[[#This Row],[Warranty_Claim]]="No"),Table1[[#This Row],[Service_Revenue]],0)</f>
        <v>0</v>
      </c>
      <c r="V245" s="4">
        <f>IF(Table1[[#This Row],[Warranty_Claim]]="Yes",1,0)</f>
        <v>0</v>
      </c>
      <c r="W245" s="4">
        <f>IF(Table1[[#This Row],[Rework_Flag]]="No",1,0)</f>
        <v>1</v>
      </c>
      <c r="X245" s="4">
        <f>IF(Table1[[#This Row],[Rework_Flag]]="Yes",1,0)</f>
        <v>0</v>
      </c>
      <c r="Y245" s="4">
        <v>1</v>
      </c>
      <c r="Z245" s="4" t="str">
        <f>IF(Table1[[#This Row],[TAT_Days]]&gt;Table1[[#This Row],[SLA_TAT]],"Yes","No")</f>
        <v>No</v>
      </c>
      <c r="AA245" s="4" t="str" cm="1">
        <f t="array" ref="AA245">_xlfn.IFS(Table1[[#This Row],[Customer_Satisfaction]]&lt;=2,"Poor",Table1[[#This Row],[Customer_Satisfaction]]=3,"Neutral",Table1[[#This Row],[Customer_Satisfaction]]=4,"Good",Table1[[#This Row],[Customer_Satisfaction]]=5,"Good")</f>
        <v>Good</v>
      </c>
    </row>
    <row r="246" spans="1:27" x14ac:dyDescent="0.35">
      <c r="A246">
        <v>20244</v>
      </c>
      <c r="B246" s="1">
        <v>45439</v>
      </c>
      <c r="C246" t="s">
        <v>30</v>
      </c>
      <c r="D246" t="s">
        <v>31</v>
      </c>
      <c r="E246" t="s">
        <v>79</v>
      </c>
      <c r="F246" t="s">
        <v>22</v>
      </c>
      <c r="G246" t="s">
        <v>74</v>
      </c>
      <c r="H246" t="s">
        <v>34</v>
      </c>
      <c r="I246" t="s">
        <v>25</v>
      </c>
      <c r="J246" t="s">
        <v>43</v>
      </c>
      <c r="K246" t="s">
        <v>61</v>
      </c>
      <c r="L246" t="s">
        <v>28</v>
      </c>
      <c r="M246" s="4">
        <v>11</v>
      </c>
      <c r="N246" s="4">
        <v>7</v>
      </c>
      <c r="O246" t="s">
        <v>36</v>
      </c>
      <c r="P246" t="s">
        <v>36</v>
      </c>
      <c r="Q246" s="4">
        <v>263726</v>
      </c>
      <c r="R246" s="4">
        <v>170746</v>
      </c>
      <c r="S246" s="4">
        <f>Table1[[#This Row],[Service_Revenue]]-Table1[[#This Row],[Service_Cost]]</f>
        <v>92980</v>
      </c>
      <c r="T246" s="4">
        <v>3</v>
      </c>
      <c r="U246" s="4">
        <f>IF(AND(Table1[[#This Row],[Rework_Flag]]="Yes",Table1[[#This Row],[Warranty_Claim]]="No"),Table1[[#This Row],[Service_Revenue]],0)</f>
        <v>0</v>
      </c>
      <c r="V246" s="4">
        <f>IF(Table1[[#This Row],[Warranty_Claim]]="Yes",1,0)</f>
        <v>0</v>
      </c>
      <c r="W246" s="4">
        <f>IF(Table1[[#This Row],[Rework_Flag]]="No",1,0)</f>
        <v>1</v>
      </c>
      <c r="X246" s="4">
        <f>IF(Table1[[#This Row],[Rework_Flag]]="Yes",1,0)</f>
        <v>0</v>
      </c>
      <c r="Y246" s="4">
        <v>1</v>
      </c>
      <c r="Z246" s="4" t="str">
        <f>IF(Table1[[#This Row],[TAT_Days]]&gt;Table1[[#This Row],[SLA_TAT]],"Yes","No")</f>
        <v>Yes</v>
      </c>
      <c r="AA246" s="4" t="str" cm="1">
        <f t="array" ref="AA246">_xlfn.IFS(Table1[[#This Row],[Customer_Satisfaction]]&lt;=2,"Poor",Table1[[#This Row],[Customer_Satisfaction]]=3,"Neutral",Table1[[#This Row],[Customer_Satisfaction]]=4,"Good",Table1[[#This Row],[Customer_Satisfaction]]=5,"Good")</f>
        <v>Neutral</v>
      </c>
    </row>
    <row r="247" spans="1:27" x14ac:dyDescent="0.35">
      <c r="A247">
        <v>20245</v>
      </c>
      <c r="B247" s="1">
        <v>45427</v>
      </c>
      <c r="C247" t="s">
        <v>19</v>
      </c>
      <c r="D247" t="s">
        <v>45</v>
      </c>
      <c r="E247" t="s">
        <v>46</v>
      </c>
      <c r="F247" t="s">
        <v>22</v>
      </c>
      <c r="G247" t="s">
        <v>74</v>
      </c>
      <c r="H247" t="s">
        <v>34</v>
      </c>
      <c r="I247" t="s">
        <v>25</v>
      </c>
      <c r="J247" t="s">
        <v>35</v>
      </c>
      <c r="K247" t="s">
        <v>44</v>
      </c>
      <c r="L247" t="s">
        <v>49</v>
      </c>
      <c r="M247" s="4">
        <v>10</v>
      </c>
      <c r="N247" s="4">
        <v>7</v>
      </c>
      <c r="O247" t="s">
        <v>29</v>
      </c>
      <c r="P247" t="s">
        <v>36</v>
      </c>
      <c r="Q247" s="4">
        <v>122103</v>
      </c>
      <c r="R247" s="4">
        <v>84129</v>
      </c>
      <c r="S247" s="4">
        <f>Table1[[#This Row],[Service_Revenue]]-Table1[[#This Row],[Service_Cost]]</f>
        <v>37974</v>
      </c>
      <c r="T247" s="4">
        <v>2</v>
      </c>
      <c r="U247" s="4">
        <f>IF(AND(Table1[[#This Row],[Rework_Flag]]="Yes",Table1[[#This Row],[Warranty_Claim]]="No"),Table1[[#This Row],[Service_Revenue]],0)</f>
        <v>122103</v>
      </c>
      <c r="V247" s="4">
        <f>IF(Table1[[#This Row],[Warranty_Claim]]="Yes",1,0)</f>
        <v>0</v>
      </c>
      <c r="W247" s="4">
        <f>IF(Table1[[#This Row],[Rework_Flag]]="No",1,0)</f>
        <v>0</v>
      </c>
      <c r="X247" s="4">
        <f>IF(Table1[[#This Row],[Rework_Flag]]="Yes",1,0)</f>
        <v>1</v>
      </c>
      <c r="Y247" s="4">
        <v>1</v>
      </c>
      <c r="Z247" s="4" t="str">
        <f>IF(Table1[[#This Row],[TAT_Days]]&gt;Table1[[#This Row],[SLA_TAT]],"Yes","No")</f>
        <v>Yes</v>
      </c>
      <c r="AA247" s="4" t="str" cm="1">
        <f t="array" ref="AA247">_xlfn.IFS(Table1[[#This Row],[Customer_Satisfaction]]&lt;=2,"Poor",Table1[[#This Row],[Customer_Satisfaction]]=3,"Neutral",Table1[[#This Row],[Customer_Satisfaction]]=4,"Good",Table1[[#This Row],[Customer_Satisfaction]]=5,"Good")</f>
        <v>Poor</v>
      </c>
    </row>
    <row r="248" spans="1:27" x14ac:dyDescent="0.35">
      <c r="A248">
        <v>20246</v>
      </c>
      <c r="B248" s="1">
        <v>45457</v>
      </c>
      <c r="C248" t="s">
        <v>30</v>
      </c>
      <c r="D248" t="s">
        <v>59</v>
      </c>
      <c r="E248" t="s">
        <v>66</v>
      </c>
      <c r="F248" t="s">
        <v>53</v>
      </c>
      <c r="G248" t="s">
        <v>23</v>
      </c>
      <c r="H248" t="s">
        <v>24</v>
      </c>
      <c r="I248" t="s">
        <v>55</v>
      </c>
      <c r="J248" t="s">
        <v>58</v>
      </c>
      <c r="K248" t="s">
        <v>44</v>
      </c>
      <c r="L248" t="s">
        <v>49</v>
      </c>
      <c r="M248" s="4">
        <v>21</v>
      </c>
      <c r="N248" s="4">
        <v>7</v>
      </c>
      <c r="O248" t="s">
        <v>29</v>
      </c>
      <c r="P248" t="s">
        <v>36</v>
      </c>
      <c r="Q248" s="4">
        <v>393707</v>
      </c>
      <c r="R248" s="4">
        <v>239465</v>
      </c>
      <c r="S248" s="4">
        <f>Table1[[#This Row],[Service_Revenue]]-Table1[[#This Row],[Service_Cost]]</f>
        <v>154242</v>
      </c>
      <c r="T248" s="4">
        <v>1</v>
      </c>
      <c r="U248" s="4">
        <f>IF(AND(Table1[[#This Row],[Rework_Flag]]="Yes",Table1[[#This Row],[Warranty_Claim]]="No"),Table1[[#This Row],[Service_Revenue]],0)</f>
        <v>393707</v>
      </c>
      <c r="V248" s="4">
        <f>IF(Table1[[#This Row],[Warranty_Claim]]="Yes",1,0)</f>
        <v>0</v>
      </c>
      <c r="W248" s="4">
        <f>IF(Table1[[#This Row],[Rework_Flag]]="No",1,0)</f>
        <v>0</v>
      </c>
      <c r="X248" s="4">
        <f>IF(Table1[[#This Row],[Rework_Flag]]="Yes",1,0)</f>
        <v>1</v>
      </c>
      <c r="Y248" s="4">
        <v>1</v>
      </c>
      <c r="Z248" s="4" t="str">
        <f>IF(Table1[[#This Row],[TAT_Days]]&gt;Table1[[#This Row],[SLA_TAT]],"Yes","No")</f>
        <v>Yes</v>
      </c>
      <c r="AA248" s="4" t="str" cm="1">
        <f t="array" ref="AA248">_xlfn.IFS(Table1[[#This Row],[Customer_Satisfaction]]&lt;=2,"Poor",Table1[[#This Row],[Customer_Satisfaction]]=3,"Neutral",Table1[[#This Row],[Customer_Satisfaction]]=4,"Good",Table1[[#This Row],[Customer_Satisfaction]]=5,"Good")</f>
        <v>Poor</v>
      </c>
    </row>
    <row r="249" spans="1:27" x14ac:dyDescent="0.35">
      <c r="A249">
        <v>20247</v>
      </c>
      <c r="B249" s="1">
        <v>45468</v>
      </c>
      <c r="C249" t="s">
        <v>50</v>
      </c>
      <c r="D249" t="s">
        <v>56</v>
      </c>
      <c r="E249" t="s">
        <v>101</v>
      </c>
      <c r="F249" t="s">
        <v>22</v>
      </c>
      <c r="G249" t="s">
        <v>54</v>
      </c>
      <c r="H249" t="s">
        <v>42</v>
      </c>
      <c r="I249" t="s">
        <v>55</v>
      </c>
      <c r="J249" t="s">
        <v>67</v>
      </c>
      <c r="K249" t="s">
        <v>44</v>
      </c>
      <c r="L249" t="s">
        <v>49</v>
      </c>
      <c r="M249" s="4">
        <v>5</v>
      </c>
      <c r="N249" s="4">
        <v>7</v>
      </c>
      <c r="O249" t="s">
        <v>36</v>
      </c>
      <c r="P249" t="s">
        <v>36</v>
      </c>
      <c r="Q249" s="4">
        <v>446341</v>
      </c>
      <c r="R249" s="4">
        <v>226392</v>
      </c>
      <c r="S249" s="4">
        <f>Table1[[#This Row],[Service_Revenue]]-Table1[[#This Row],[Service_Cost]]</f>
        <v>219949</v>
      </c>
      <c r="T249" s="4">
        <v>4</v>
      </c>
      <c r="U249" s="4">
        <f>IF(AND(Table1[[#This Row],[Rework_Flag]]="Yes",Table1[[#This Row],[Warranty_Claim]]="No"),Table1[[#This Row],[Service_Revenue]],0)</f>
        <v>0</v>
      </c>
      <c r="V249" s="4">
        <f>IF(Table1[[#This Row],[Warranty_Claim]]="Yes",1,0)</f>
        <v>0</v>
      </c>
      <c r="W249" s="4">
        <f>IF(Table1[[#This Row],[Rework_Flag]]="No",1,0)</f>
        <v>1</v>
      </c>
      <c r="X249" s="4">
        <f>IF(Table1[[#This Row],[Rework_Flag]]="Yes",1,0)</f>
        <v>0</v>
      </c>
      <c r="Y249" s="4">
        <v>1</v>
      </c>
      <c r="Z249" s="4" t="str">
        <f>IF(Table1[[#This Row],[TAT_Days]]&gt;Table1[[#This Row],[SLA_TAT]],"Yes","No")</f>
        <v>No</v>
      </c>
      <c r="AA249" s="4" t="str" cm="1">
        <f t="array" ref="AA249">_xlfn.IFS(Table1[[#This Row],[Customer_Satisfaction]]&lt;=2,"Poor",Table1[[#This Row],[Customer_Satisfaction]]=3,"Neutral",Table1[[#This Row],[Customer_Satisfaction]]=4,"Good",Table1[[#This Row],[Customer_Satisfaction]]=5,"Good")</f>
        <v>Good</v>
      </c>
    </row>
    <row r="250" spans="1:27" x14ac:dyDescent="0.35">
      <c r="A250">
        <v>20248</v>
      </c>
      <c r="B250" s="1">
        <v>45355</v>
      </c>
      <c r="C250" t="s">
        <v>19</v>
      </c>
      <c r="D250" t="s">
        <v>96</v>
      </c>
      <c r="E250" t="s">
        <v>98</v>
      </c>
      <c r="F250" t="s">
        <v>40</v>
      </c>
      <c r="G250" t="s">
        <v>23</v>
      </c>
      <c r="H250" t="s">
        <v>24</v>
      </c>
      <c r="I250" t="s">
        <v>25</v>
      </c>
      <c r="J250" t="s">
        <v>35</v>
      </c>
      <c r="K250" t="s">
        <v>27</v>
      </c>
      <c r="L250" t="s">
        <v>28</v>
      </c>
      <c r="M250" s="4">
        <v>2</v>
      </c>
      <c r="N250" s="4">
        <v>7</v>
      </c>
      <c r="O250" t="s">
        <v>36</v>
      </c>
      <c r="P250" t="s">
        <v>36</v>
      </c>
      <c r="Q250" s="4">
        <v>184614</v>
      </c>
      <c r="R250" s="4">
        <v>132360</v>
      </c>
      <c r="S250" s="4">
        <f>Table1[[#This Row],[Service_Revenue]]-Table1[[#This Row],[Service_Cost]]</f>
        <v>52254</v>
      </c>
      <c r="T250" s="4">
        <v>5</v>
      </c>
      <c r="U250" s="4">
        <f>IF(AND(Table1[[#This Row],[Rework_Flag]]="Yes",Table1[[#This Row],[Warranty_Claim]]="No"),Table1[[#This Row],[Service_Revenue]],0)</f>
        <v>0</v>
      </c>
      <c r="V250" s="4">
        <f>IF(Table1[[#This Row],[Warranty_Claim]]="Yes",1,0)</f>
        <v>0</v>
      </c>
      <c r="W250" s="4">
        <f>IF(Table1[[#This Row],[Rework_Flag]]="No",1,0)</f>
        <v>1</v>
      </c>
      <c r="X250" s="4">
        <f>IF(Table1[[#This Row],[Rework_Flag]]="Yes",1,0)</f>
        <v>0</v>
      </c>
      <c r="Y250" s="4">
        <v>1</v>
      </c>
      <c r="Z250" s="4" t="str">
        <f>IF(Table1[[#This Row],[TAT_Days]]&gt;Table1[[#This Row],[SLA_TAT]],"Yes","No")</f>
        <v>No</v>
      </c>
      <c r="AA250" s="4" t="str" cm="1">
        <f t="array" ref="AA250">_xlfn.IFS(Table1[[#This Row],[Customer_Satisfaction]]&lt;=2,"Poor",Table1[[#This Row],[Customer_Satisfaction]]=3,"Neutral",Table1[[#This Row],[Customer_Satisfaction]]=4,"Good",Table1[[#This Row],[Customer_Satisfaction]]=5,"Good")</f>
        <v>Good</v>
      </c>
    </row>
    <row r="251" spans="1:27" x14ac:dyDescent="0.35">
      <c r="A251">
        <v>20249</v>
      </c>
      <c r="B251" s="1">
        <v>45360</v>
      </c>
      <c r="C251" t="s">
        <v>19</v>
      </c>
      <c r="D251" t="s">
        <v>45</v>
      </c>
      <c r="E251" t="s">
        <v>99</v>
      </c>
      <c r="F251" t="s">
        <v>22</v>
      </c>
      <c r="G251" t="s">
        <v>33</v>
      </c>
      <c r="H251" t="s">
        <v>34</v>
      </c>
      <c r="I251" t="s">
        <v>55</v>
      </c>
      <c r="J251" t="s">
        <v>58</v>
      </c>
      <c r="K251" t="s">
        <v>61</v>
      </c>
      <c r="L251" t="s">
        <v>28</v>
      </c>
      <c r="M251" s="4">
        <v>12</v>
      </c>
      <c r="N251" s="4">
        <v>7</v>
      </c>
      <c r="O251" t="s">
        <v>29</v>
      </c>
      <c r="P251" t="s">
        <v>29</v>
      </c>
      <c r="Q251" s="4">
        <v>103973</v>
      </c>
      <c r="R251" s="4">
        <v>67917</v>
      </c>
      <c r="S251" s="4">
        <f>Table1[[#This Row],[Service_Revenue]]-Table1[[#This Row],[Service_Cost]]</f>
        <v>36056</v>
      </c>
      <c r="T251" s="4">
        <v>2</v>
      </c>
      <c r="U251" s="4">
        <f>IF(AND(Table1[[#This Row],[Rework_Flag]]="Yes",Table1[[#This Row],[Warranty_Claim]]="No"),Table1[[#This Row],[Service_Revenue]],0)</f>
        <v>0</v>
      </c>
      <c r="V251" s="4">
        <f>IF(Table1[[#This Row],[Warranty_Claim]]="Yes",1,0)</f>
        <v>1</v>
      </c>
      <c r="W251" s="4">
        <f>IF(Table1[[#This Row],[Rework_Flag]]="No",1,0)</f>
        <v>0</v>
      </c>
      <c r="X251" s="4">
        <f>IF(Table1[[#This Row],[Rework_Flag]]="Yes",1,0)</f>
        <v>1</v>
      </c>
      <c r="Y251" s="4">
        <v>1</v>
      </c>
      <c r="Z251" s="4" t="str">
        <f>IF(Table1[[#This Row],[TAT_Days]]&gt;Table1[[#This Row],[SLA_TAT]],"Yes","No")</f>
        <v>Yes</v>
      </c>
      <c r="AA251" s="4" t="str" cm="1">
        <f t="array" ref="AA251">_xlfn.IFS(Table1[[#This Row],[Customer_Satisfaction]]&lt;=2,"Poor",Table1[[#This Row],[Customer_Satisfaction]]=3,"Neutral",Table1[[#This Row],[Customer_Satisfaction]]=4,"Good",Table1[[#This Row],[Customer_Satisfaction]]=5,"Good")</f>
        <v>Poor</v>
      </c>
    </row>
    <row r="252" spans="1:27" x14ac:dyDescent="0.35">
      <c r="A252">
        <v>20250</v>
      </c>
      <c r="B252" s="1">
        <v>45445</v>
      </c>
      <c r="C252" t="s">
        <v>50</v>
      </c>
      <c r="D252" t="s">
        <v>51</v>
      </c>
      <c r="E252" t="s">
        <v>52</v>
      </c>
      <c r="F252" t="s">
        <v>53</v>
      </c>
      <c r="G252" t="s">
        <v>63</v>
      </c>
      <c r="H252" t="s">
        <v>24</v>
      </c>
      <c r="I252" t="s">
        <v>25</v>
      </c>
      <c r="J252" t="s">
        <v>58</v>
      </c>
      <c r="K252" t="s">
        <v>27</v>
      </c>
      <c r="L252" t="s">
        <v>49</v>
      </c>
      <c r="M252" s="4">
        <v>3</v>
      </c>
      <c r="N252" s="4">
        <v>7</v>
      </c>
      <c r="O252" t="s">
        <v>29</v>
      </c>
      <c r="P252" t="s">
        <v>36</v>
      </c>
      <c r="Q252" s="4">
        <v>166660</v>
      </c>
      <c r="R252" s="4">
        <v>99865</v>
      </c>
      <c r="S252" s="4">
        <f>Table1[[#This Row],[Service_Revenue]]-Table1[[#This Row],[Service_Cost]]</f>
        <v>66795</v>
      </c>
      <c r="T252" s="4">
        <v>4</v>
      </c>
      <c r="U252" s="4">
        <f>IF(AND(Table1[[#This Row],[Rework_Flag]]="Yes",Table1[[#This Row],[Warranty_Claim]]="No"),Table1[[#This Row],[Service_Revenue]],0)</f>
        <v>166660</v>
      </c>
      <c r="V252" s="4">
        <f>IF(Table1[[#This Row],[Warranty_Claim]]="Yes",1,0)</f>
        <v>0</v>
      </c>
      <c r="W252" s="4">
        <f>IF(Table1[[#This Row],[Rework_Flag]]="No",1,0)</f>
        <v>0</v>
      </c>
      <c r="X252" s="4">
        <f>IF(Table1[[#This Row],[Rework_Flag]]="Yes",1,0)</f>
        <v>1</v>
      </c>
      <c r="Y252" s="4">
        <v>1</v>
      </c>
      <c r="Z252" s="4" t="str">
        <f>IF(Table1[[#This Row],[TAT_Days]]&gt;Table1[[#This Row],[SLA_TAT]],"Yes","No")</f>
        <v>No</v>
      </c>
      <c r="AA252" s="4" t="str" cm="1">
        <f t="array" ref="AA252">_xlfn.IFS(Table1[[#This Row],[Customer_Satisfaction]]&lt;=2,"Poor",Table1[[#This Row],[Customer_Satisfaction]]=3,"Neutral",Table1[[#This Row],[Customer_Satisfaction]]=4,"Good",Table1[[#This Row],[Customer_Satisfaction]]=5,"Good")</f>
        <v>Good</v>
      </c>
    </row>
    <row r="253" spans="1:27" x14ac:dyDescent="0.35">
      <c r="A253">
        <v>20251</v>
      </c>
      <c r="B253" s="1">
        <v>45344</v>
      </c>
      <c r="C253" t="s">
        <v>50</v>
      </c>
      <c r="D253" t="s">
        <v>56</v>
      </c>
      <c r="E253" t="s">
        <v>57</v>
      </c>
      <c r="F253" t="s">
        <v>40</v>
      </c>
      <c r="G253" t="s">
        <v>47</v>
      </c>
      <c r="H253" t="s">
        <v>48</v>
      </c>
      <c r="I253" t="s">
        <v>55</v>
      </c>
      <c r="J253" t="s">
        <v>35</v>
      </c>
      <c r="K253" t="s">
        <v>61</v>
      </c>
      <c r="L253" t="s">
        <v>49</v>
      </c>
      <c r="M253" s="4">
        <v>2</v>
      </c>
      <c r="N253" s="4">
        <v>7</v>
      </c>
      <c r="O253" t="s">
        <v>36</v>
      </c>
      <c r="P253" t="s">
        <v>36</v>
      </c>
      <c r="Q253" s="4">
        <v>415707</v>
      </c>
      <c r="R253" s="4">
        <v>220541</v>
      </c>
      <c r="S253" s="4">
        <f>Table1[[#This Row],[Service_Revenue]]-Table1[[#This Row],[Service_Cost]]</f>
        <v>195166</v>
      </c>
      <c r="T253" s="4">
        <v>5</v>
      </c>
      <c r="U253" s="4">
        <f>IF(AND(Table1[[#This Row],[Rework_Flag]]="Yes",Table1[[#This Row],[Warranty_Claim]]="No"),Table1[[#This Row],[Service_Revenue]],0)</f>
        <v>0</v>
      </c>
      <c r="V253" s="4">
        <f>IF(Table1[[#This Row],[Warranty_Claim]]="Yes",1,0)</f>
        <v>0</v>
      </c>
      <c r="W253" s="4">
        <f>IF(Table1[[#This Row],[Rework_Flag]]="No",1,0)</f>
        <v>1</v>
      </c>
      <c r="X253" s="4">
        <f>IF(Table1[[#This Row],[Rework_Flag]]="Yes",1,0)</f>
        <v>0</v>
      </c>
      <c r="Y253" s="4">
        <v>1</v>
      </c>
      <c r="Z253" s="4" t="str">
        <f>IF(Table1[[#This Row],[TAT_Days]]&gt;Table1[[#This Row],[SLA_TAT]],"Yes","No")</f>
        <v>No</v>
      </c>
      <c r="AA253" s="4" t="str" cm="1">
        <f t="array" ref="AA253">_xlfn.IFS(Table1[[#This Row],[Customer_Satisfaction]]&lt;=2,"Poor",Table1[[#This Row],[Customer_Satisfaction]]=3,"Neutral",Table1[[#This Row],[Customer_Satisfaction]]=4,"Good",Table1[[#This Row],[Customer_Satisfaction]]=5,"Good")</f>
        <v>Good</v>
      </c>
    </row>
    <row r="254" spans="1:27" x14ac:dyDescent="0.35">
      <c r="A254">
        <v>20252</v>
      </c>
      <c r="B254" s="1">
        <v>45333</v>
      </c>
      <c r="C254" t="s">
        <v>19</v>
      </c>
      <c r="D254" t="s">
        <v>20</v>
      </c>
      <c r="E254" t="s">
        <v>110</v>
      </c>
      <c r="F254" t="s">
        <v>53</v>
      </c>
      <c r="G254" t="s">
        <v>54</v>
      </c>
      <c r="H254" t="s">
        <v>42</v>
      </c>
      <c r="I254" t="s">
        <v>25</v>
      </c>
      <c r="J254" t="s">
        <v>35</v>
      </c>
      <c r="K254" t="s">
        <v>61</v>
      </c>
      <c r="L254" t="s">
        <v>28</v>
      </c>
      <c r="M254" s="4">
        <v>22</v>
      </c>
      <c r="N254" s="4">
        <v>7</v>
      </c>
      <c r="O254" t="s">
        <v>36</v>
      </c>
      <c r="P254" t="s">
        <v>36</v>
      </c>
      <c r="Q254" s="4">
        <v>368314</v>
      </c>
      <c r="R254" s="4">
        <v>212739</v>
      </c>
      <c r="S254" s="4">
        <f>Table1[[#This Row],[Service_Revenue]]-Table1[[#This Row],[Service_Cost]]</f>
        <v>155575</v>
      </c>
      <c r="T254" s="4">
        <v>1</v>
      </c>
      <c r="U254" s="4">
        <f>IF(AND(Table1[[#This Row],[Rework_Flag]]="Yes",Table1[[#This Row],[Warranty_Claim]]="No"),Table1[[#This Row],[Service_Revenue]],0)</f>
        <v>0</v>
      </c>
      <c r="V254" s="4">
        <f>IF(Table1[[#This Row],[Warranty_Claim]]="Yes",1,0)</f>
        <v>0</v>
      </c>
      <c r="W254" s="4">
        <f>IF(Table1[[#This Row],[Rework_Flag]]="No",1,0)</f>
        <v>1</v>
      </c>
      <c r="X254" s="4">
        <f>IF(Table1[[#This Row],[Rework_Flag]]="Yes",1,0)</f>
        <v>0</v>
      </c>
      <c r="Y254" s="4">
        <v>1</v>
      </c>
      <c r="Z254" s="4" t="str">
        <f>IF(Table1[[#This Row],[TAT_Days]]&gt;Table1[[#This Row],[SLA_TAT]],"Yes","No")</f>
        <v>Yes</v>
      </c>
      <c r="AA254" s="4" t="str" cm="1">
        <f t="array" ref="AA254">_xlfn.IFS(Table1[[#This Row],[Customer_Satisfaction]]&lt;=2,"Poor",Table1[[#This Row],[Customer_Satisfaction]]=3,"Neutral",Table1[[#This Row],[Customer_Satisfaction]]=4,"Good",Table1[[#This Row],[Customer_Satisfaction]]=5,"Good")</f>
        <v>Poor</v>
      </c>
    </row>
    <row r="255" spans="1:27" x14ac:dyDescent="0.35">
      <c r="A255">
        <v>20253</v>
      </c>
      <c r="B255" s="1">
        <v>45400</v>
      </c>
      <c r="C255" t="s">
        <v>30</v>
      </c>
      <c r="D255" t="s">
        <v>31</v>
      </c>
      <c r="E255" t="s">
        <v>62</v>
      </c>
      <c r="F255" t="s">
        <v>53</v>
      </c>
      <c r="G255" t="s">
        <v>63</v>
      </c>
      <c r="H255" t="s">
        <v>24</v>
      </c>
      <c r="I255" t="s">
        <v>25</v>
      </c>
      <c r="J255" t="s">
        <v>26</v>
      </c>
      <c r="K255" t="s">
        <v>61</v>
      </c>
      <c r="L255" t="s">
        <v>49</v>
      </c>
      <c r="M255" s="4">
        <v>12</v>
      </c>
      <c r="N255" s="4">
        <v>7</v>
      </c>
      <c r="O255" t="s">
        <v>29</v>
      </c>
      <c r="P255" t="s">
        <v>36</v>
      </c>
      <c r="Q255" s="4">
        <v>241936</v>
      </c>
      <c r="R255" s="4">
        <v>204661</v>
      </c>
      <c r="S255" s="4">
        <f>Table1[[#This Row],[Service_Revenue]]-Table1[[#This Row],[Service_Cost]]</f>
        <v>37275</v>
      </c>
      <c r="T255" s="4">
        <v>2</v>
      </c>
      <c r="U255" s="4">
        <f>IF(AND(Table1[[#This Row],[Rework_Flag]]="Yes",Table1[[#This Row],[Warranty_Claim]]="No"),Table1[[#This Row],[Service_Revenue]],0)</f>
        <v>241936</v>
      </c>
      <c r="V255" s="4">
        <f>IF(Table1[[#This Row],[Warranty_Claim]]="Yes",1,0)</f>
        <v>0</v>
      </c>
      <c r="W255" s="4">
        <f>IF(Table1[[#This Row],[Rework_Flag]]="No",1,0)</f>
        <v>0</v>
      </c>
      <c r="X255" s="4">
        <f>IF(Table1[[#This Row],[Rework_Flag]]="Yes",1,0)</f>
        <v>1</v>
      </c>
      <c r="Y255" s="4">
        <v>1</v>
      </c>
      <c r="Z255" s="4" t="str">
        <f>IF(Table1[[#This Row],[TAT_Days]]&gt;Table1[[#This Row],[SLA_TAT]],"Yes","No")</f>
        <v>Yes</v>
      </c>
      <c r="AA255" s="4" t="str" cm="1">
        <f t="array" ref="AA255">_xlfn.IFS(Table1[[#This Row],[Customer_Satisfaction]]&lt;=2,"Poor",Table1[[#This Row],[Customer_Satisfaction]]=3,"Neutral",Table1[[#This Row],[Customer_Satisfaction]]=4,"Good",Table1[[#This Row],[Customer_Satisfaction]]=5,"Good")</f>
        <v>Poor</v>
      </c>
    </row>
    <row r="256" spans="1:27" x14ac:dyDescent="0.35">
      <c r="A256">
        <v>20254</v>
      </c>
      <c r="B256" s="1">
        <v>45323</v>
      </c>
      <c r="C256" t="s">
        <v>50</v>
      </c>
      <c r="D256" t="s">
        <v>51</v>
      </c>
      <c r="E256" t="s">
        <v>75</v>
      </c>
      <c r="F256" t="s">
        <v>40</v>
      </c>
      <c r="G256" t="s">
        <v>41</v>
      </c>
      <c r="H256" t="s">
        <v>42</v>
      </c>
      <c r="I256" t="s">
        <v>25</v>
      </c>
      <c r="J256" t="s">
        <v>67</v>
      </c>
      <c r="K256" t="s">
        <v>44</v>
      </c>
      <c r="L256" t="s">
        <v>28</v>
      </c>
      <c r="M256" s="4">
        <v>2</v>
      </c>
      <c r="N256" s="4">
        <v>7</v>
      </c>
      <c r="O256" t="s">
        <v>29</v>
      </c>
      <c r="P256" t="s">
        <v>36</v>
      </c>
      <c r="Q256" s="4">
        <v>184062</v>
      </c>
      <c r="R256" s="4">
        <v>149100</v>
      </c>
      <c r="S256" s="4">
        <f>Table1[[#This Row],[Service_Revenue]]-Table1[[#This Row],[Service_Cost]]</f>
        <v>34962</v>
      </c>
      <c r="T256" s="4">
        <v>4</v>
      </c>
      <c r="U256" s="4">
        <f>IF(AND(Table1[[#This Row],[Rework_Flag]]="Yes",Table1[[#This Row],[Warranty_Claim]]="No"),Table1[[#This Row],[Service_Revenue]],0)</f>
        <v>184062</v>
      </c>
      <c r="V256" s="4">
        <f>IF(Table1[[#This Row],[Warranty_Claim]]="Yes",1,0)</f>
        <v>0</v>
      </c>
      <c r="W256" s="4">
        <f>IF(Table1[[#This Row],[Rework_Flag]]="No",1,0)</f>
        <v>0</v>
      </c>
      <c r="X256" s="4">
        <f>IF(Table1[[#This Row],[Rework_Flag]]="Yes",1,0)</f>
        <v>1</v>
      </c>
      <c r="Y256" s="4">
        <v>1</v>
      </c>
      <c r="Z256" s="4" t="str">
        <f>IF(Table1[[#This Row],[TAT_Days]]&gt;Table1[[#This Row],[SLA_TAT]],"Yes","No")</f>
        <v>No</v>
      </c>
      <c r="AA256" s="4" t="str" cm="1">
        <f t="array" ref="AA256">_xlfn.IFS(Table1[[#This Row],[Customer_Satisfaction]]&lt;=2,"Poor",Table1[[#This Row],[Customer_Satisfaction]]=3,"Neutral",Table1[[#This Row],[Customer_Satisfaction]]=4,"Good",Table1[[#This Row],[Customer_Satisfaction]]=5,"Good")</f>
        <v>Good</v>
      </c>
    </row>
    <row r="257" spans="1:27" x14ac:dyDescent="0.35">
      <c r="A257">
        <v>20255</v>
      </c>
      <c r="B257" s="1">
        <v>45331</v>
      </c>
      <c r="C257" t="s">
        <v>19</v>
      </c>
      <c r="D257" t="s">
        <v>96</v>
      </c>
      <c r="E257" t="s">
        <v>105</v>
      </c>
      <c r="F257" t="s">
        <v>22</v>
      </c>
      <c r="G257" t="s">
        <v>74</v>
      </c>
      <c r="H257" t="s">
        <v>34</v>
      </c>
      <c r="I257" t="s">
        <v>55</v>
      </c>
      <c r="J257" t="s">
        <v>58</v>
      </c>
      <c r="K257" t="s">
        <v>44</v>
      </c>
      <c r="L257" t="s">
        <v>49</v>
      </c>
      <c r="M257" s="4">
        <v>4</v>
      </c>
      <c r="N257" s="4">
        <v>7</v>
      </c>
      <c r="O257" t="s">
        <v>29</v>
      </c>
      <c r="P257" t="s">
        <v>36</v>
      </c>
      <c r="Q257" s="4">
        <v>280191</v>
      </c>
      <c r="R257" s="4">
        <v>147637</v>
      </c>
      <c r="S257" s="4">
        <f>Table1[[#This Row],[Service_Revenue]]-Table1[[#This Row],[Service_Cost]]</f>
        <v>132554</v>
      </c>
      <c r="T257" s="4">
        <v>4</v>
      </c>
      <c r="U257" s="4">
        <f>IF(AND(Table1[[#This Row],[Rework_Flag]]="Yes",Table1[[#This Row],[Warranty_Claim]]="No"),Table1[[#This Row],[Service_Revenue]],0)</f>
        <v>280191</v>
      </c>
      <c r="V257" s="4">
        <f>IF(Table1[[#This Row],[Warranty_Claim]]="Yes",1,0)</f>
        <v>0</v>
      </c>
      <c r="W257" s="4">
        <f>IF(Table1[[#This Row],[Rework_Flag]]="No",1,0)</f>
        <v>0</v>
      </c>
      <c r="X257" s="4">
        <f>IF(Table1[[#This Row],[Rework_Flag]]="Yes",1,0)</f>
        <v>1</v>
      </c>
      <c r="Y257" s="4">
        <v>1</v>
      </c>
      <c r="Z257" s="4" t="str">
        <f>IF(Table1[[#This Row],[TAT_Days]]&gt;Table1[[#This Row],[SLA_TAT]],"Yes","No")</f>
        <v>No</v>
      </c>
      <c r="AA257" s="4" t="str" cm="1">
        <f t="array" ref="AA257">_xlfn.IFS(Table1[[#This Row],[Customer_Satisfaction]]&lt;=2,"Poor",Table1[[#This Row],[Customer_Satisfaction]]=3,"Neutral",Table1[[#This Row],[Customer_Satisfaction]]=4,"Good",Table1[[#This Row],[Customer_Satisfaction]]=5,"Good")</f>
        <v>Good</v>
      </c>
    </row>
    <row r="258" spans="1:27" x14ac:dyDescent="0.35">
      <c r="A258">
        <v>20256</v>
      </c>
      <c r="B258" s="1">
        <v>45320</v>
      </c>
      <c r="C258" t="s">
        <v>37</v>
      </c>
      <c r="D258" t="s">
        <v>64</v>
      </c>
      <c r="E258" t="s">
        <v>103</v>
      </c>
      <c r="F258" t="s">
        <v>22</v>
      </c>
      <c r="G258" t="s">
        <v>63</v>
      </c>
      <c r="H258" t="s">
        <v>24</v>
      </c>
      <c r="I258" t="s">
        <v>55</v>
      </c>
      <c r="J258" t="s">
        <v>67</v>
      </c>
      <c r="K258" t="s">
        <v>61</v>
      </c>
      <c r="L258" t="s">
        <v>49</v>
      </c>
      <c r="M258" s="4">
        <v>8</v>
      </c>
      <c r="N258" s="4">
        <v>7</v>
      </c>
      <c r="O258" t="s">
        <v>36</v>
      </c>
      <c r="P258" t="s">
        <v>36</v>
      </c>
      <c r="Q258" s="4">
        <v>110256</v>
      </c>
      <c r="R258" s="4">
        <v>73837</v>
      </c>
      <c r="S258" s="4">
        <f>Table1[[#This Row],[Service_Revenue]]-Table1[[#This Row],[Service_Cost]]</f>
        <v>36419</v>
      </c>
      <c r="T258" s="4">
        <v>4</v>
      </c>
      <c r="U258" s="4">
        <f>IF(AND(Table1[[#This Row],[Rework_Flag]]="Yes",Table1[[#This Row],[Warranty_Claim]]="No"),Table1[[#This Row],[Service_Revenue]],0)</f>
        <v>0</v>
      </c>
      <c r="V258" s="4">
        <f>IF(Table1[[#This Row],[Warranty_Claim]]="Yes",1,0)</f>
        <v>0</v>
      </c>
      <c r="W258" s="4">
        <f>IF(Table1[[#This Row],[Rework_Flag]]="No",1,0)</f>
        <v>1</v>
      </c>
      <c r="X258" s="4">
        <f>IF(Table1[[#This Row],[Rework_Flag]]="Yes",1,0)</f>
        <v>0</v>
      </c>
      <c r="Y258" s="4">
        <v>1</v>
      </c>
      <c r="Z258" s="4" t="str">
        <f>IF(Table1[[#This Row],[TAT_Days]]&gt;Table1[[#This Row],[SLA_TAT]],"Yes","No")</f>
        <v>Yes</v>
      </c>
      <c r="AA258" s="4" t="str" cm="1">
        <f t="array" ref="AA258">_xlfn.IFS(Table1[[#This Row],[Customer_Satisfaction]]&lt;=2,"Poor",Table1[[#This Row],[Customer_Satisfaction]]=3,"Neutral",Table1[[#This Row],[Customer_Satisfaction]]=4,"Good",Table1[[#This Row],[Customer_Satisfaction]]=5,"Good")</f>
        <v>Good</v>
      </c>
    </row>
    <row r="259" spans="1:27" x14ac:dyDescent="0.35">
      <c r="A259">
        <v>20257</v>
      </c>
      <c r="B259" s="1">
        <v>45419</v>
      </c>
      <c r="C259" t="s">
        <v>19</v>
      </c>
      <c r="D259" t="s">
        <v>45</v>
      </c>
      <c r="E259" t="s">
        <v>99</v>
      </c>
      <c r="F259" t="s">
        <v>53</v>
      </c>
      <c r="G259" t="s">
        <v>23</v>
      </c>
      <c r="H259" t="s">
        <v>24</v>
      </c>
      <c r="I259" t="s">
        <v>25</v>
      </c>
      <c r="J259" t="s">
        <v>26</v>
      </c>
      <c r="K259" t="s">
        <v>61</v>
      </c>
      <c r="L259" t="s">
        <v>28</v>
      </c>
      <c r="M259" s="4">
        <v>19</v>
      </c>
      <c r="N259" s="4">
        <v>7</v>
      </c>
      <c r="O259" t="s">
        <v>29</v>
      </c>
      <c r="P259" t="s">
        <v>36</v>
      </c>
      <c r="Q259" s="4">
        <v>585554</v>
      </c>
      <c r="R259" s="4">
        <v>351076</v>
      </c>
      <c r="S259" s="4">
        <f>Table1[[#This Row],[Service_Revenue]]-Table1[[#This Row],[Service_Cost]]</f>
        <v>234478</v>
      </c>
      <c r="T259" s="4">
        <v>1</v>
      </c>
      <c r="U259" s="4">
        <f>IF(AND(Table1[[#This Row],[Rework_Flag]]="Yes",Table1[[#This Row],[Warranty_Claim]]="No"),Table1[[#This Row],[Service_Revenue]],0)</f>
        <v>585554</v>
      </c>
      <c r="V259" s="4">
        <f>IF(Table1[[#This Row],[Warranty_Claim]]="Yes",1,0)</f>
        <v>0</v>
      </c>
      <c r="W259" s="4">
        <f>IF(Table1[[#This Row],[Rework_Flag]]="No",1,0)</f>
        <v>0</v>
      </c>
      <c r="X259" s="4">
        <f>IF(Table1[[#This Row],[Rework_Flag]]="Yes",1,0)</f>
        <v>1</v>
      </c>
      <c r="Y259" s="4">
        <v>1</v>
      </c>
      <c r="Z259" s="4" t="str">
        <f>IF(Table1[[#This Row],[TAT_Days]]&gt;Table1[[#This Row],[SLA_TAT]],"Yes","No")</f>
        <v>Yes</v>
      </c>
      <c r="AA259" s="4" t="str" cm="1">
        <f t="array" ref="AA259">_xlfn.IFS(Table1[[#This Row],[Customer_Satisfaction]]&lt;=2,"Poor",Table1[[#This Row],[Customer_Satisfaction]]=3,"Neutral",Table1[[#This Row],[Customer_Satisfaction]]=4,"Good",Table1[[#This Row],[Customer_Satisfaction]]=5,"Good")</f>
        <v>Poor</v>
      </c>
    </row>
    <row r="260" spans="1:27" x14ac:dyDescent="0.35">
      <c r="A260">
        <v>20258</v>
      </c>
      <c r="B260" s="1">
        <v>45362</v>
      </c>
      <c r="C260" t="s">
        <v>19</v>
      </c>
      <c r="D260" t="s">
        <v>45</v>
      </c>
      <c r="E260" t="s">
        <v>111</v>
      </c>
      <c r="F260" t="s">
        <v>40</v>
      </c>
      <c r="G260" t="s">
        <v>54</v>
      </c>
      <c r="H260" t="s">
        <v>42</v>
      </c>
      <c r="I260" t="s">
        <v>55</v>
      </c>
      <c r="J260" t="s">
        <v>58</v>
      </c>
      <c r="K260" t="s">
        <v>44</v>
      </c>
      <c r="L260" t="s">
        <v>28</v>
      </c>
      <c r="M260" s="4">
        <v>14</v>
      </c>
      <c r="N260" s="4">
        <v>7</v>
      </c>
      <c r="O260" t="s">
        <v>36</v>
      </c>
      <c r="P260" t="s">
        <v>29</v>
      </c>
      <c r="Q260" s="4">
        <v>323566</v>
      </c>
      <c r="R260" s="4">
        <v>242601</v>
      </c>
      <c r="S260" s="4">
        <f>Table1[[#This Row],[Service_Revenue]]-Table1[[#This Row],[Service_Cost]]</f>
        <v>80965</v>
      </c>
      <c r="T260" s="4">
        <v>3</v>
      </c>
      <c r="U260" s="4">
        <f>IF(AND(Table1[[#This Row],[Rework_Flag]]="Yes",Table1[[#This Row],[Warranty_Claim]]="No"),Table1[[#This Row],[Service_Revenue]],0)</f>
        <v>0</v>
      </c>
      <c r="V260" s="4">
        <f>IF(Table1[[#This Row],[Warranty_Claim]]="Yes",1,0)</f>
        <v>1</v>
      </c>
      <c r="W260" s="4">
        <f>IF(Table1[[#This Row],[Rework_Flag]]="No",1,0)</f>
        <v>1</v>
      </c>
      <c r="X260" s="4">
        <f>IF(Table1[[#This Row],[Rework_Flag]]="Yes",1,0)</f>
        <v>0</v>
      </c>
      <c r="Y260" s="4">
        <v>1</v>
      </c>
      <c r="Z260" s="4" t="str">
        <f>IF(Table1[[#This Row],[TAT_Days]]&gt;Table1[[#This Row],[SLA_TAT]],"Yes","No")</f>
        <v>Yes</v>
      </c>
      <c r="AA260" s="4" t="str" cm="1">
        <f t="array" ref="AA260">_xlfn.IFS(Table1[[#This Row],[Customer_Satisfaction]]&lt;=2,"Poor",Table1[[#This Row],[Customer_Satisfaction]]=3,"Neutral",Table1[[#This Row],[Customer_Satisfaction]]=4,"Good",Table1[[#This Row],[Customer_Satisfaction]]=5,"Good")</f>
        <v>Neutral</v>
      </c>
    </row>
    <row r="261" spans="1:27" x14ac:dyDescent="0.35">
      <c r="A261">
        <v>20259</v>
      </c>
      <c r="B261" s="1">
        <v>45431</v>
      </c>
      <c r="C261" t="s">
        <v>50</v>
      </c>
      <c r="D261" t="s">
        <v>56</v>
      </c>
      <c r="E261" t="s">
        <v>88</v>
      </c>
      <c r="F261" t="s">
        <v>22</v>
      </c>
      <c r="G261" t="s">
        <v>41</v>
      </c>
      <c r="H261" t="s">
        <v>42</v>
      </c>
      <c r="I261" t="s">
        <v>55</v>
      </c>
      <c r="J261" t="s">
        <v>35</v>
      </c>
      <c r="K261" t="s">
        <v>44</v>
      </c>
      <c r="L261" t="s">
        <v>28</v>
      </c>
      <c r="M261" s="4">
        <v>12</v>
      </c>
      <c r="N261" s="4">
        <v>7</v>
      </c>
      <c r="O261" t="s">
        <v>29</v>
      </c>
      <c r="P261" t="s">
        <v>36</v>
      </c>
      <c r="Q261" s="4">
        <v>139630</v>
      </c>
      <c r="R261" s="4">
        <v>80936</v>
      </c>
      <c r="S261" s="4">
        <f>Table1[[#This Row],[Service_Revenue]]-Table1[[#This Row],[Service_Cost]]</f>
        <v>58694</v>
      </c>
      <c r="T261" s="4">
        <v>2</v>
      </c>
      <c r="U261" s="4">
        <f>IF(AND(Table1[[#This Row],[Rework_Flag]]="Yes",Table1[[#This Row],[Warranty_Claim]]="No"),Table1[[#This Row],[Service_Revenue]],0)</f>
        <v>139630</v>
      </c>
      <c r="V261" s="4">
        <f>IF(Table1[[#This Row],[Warranty_Claim]]="Yes",1,0)</f>
        <v>0</v>
      </c>
      <c r="W261" s="4">
        <f>IF(Table1[[#This Row],[Rework_Flag]]="No",1,0)</f>
        <v>0</v>
      </c>
      <c r="X261" s="4">
        <f>IF(Table1[[#This Row],[Rework_Flag]]="Yes",1,0)</f>
        <v>1</v>
      </c>
      <c r="Y261" s="4">
        <v>1</v>
      </c>
      <c r="Z261" s="4" t="str">
        <f>IF(Table1[[#This Row],[TAT_Days]]&gt;Table1[[#This Row],[SLA_TAT]],"Yes","No")</f>
        <v>Yes</v>
      </c>
      <c r="AA261" s="4" t="str" cm="1">
        <f t="array" ref="AA261">_xlfn.IFS(Table1[[#This Row],[Customer_Satisfaction]]&lt;=2,"Poor",Table1[[#This Row],[Customer_Satisfaction]]=3,"Neutral",Table1[[#This Row],[Customer_Satisfaction]]=4,"Good",Table1[[#This Row],[Customer_Satisfaction]]=5,"Good")</f>
        <v>Poor</v>
      </c>
    </row>
    <row r="262" spans="1:27" x14ac:dyDescent="0.35">
      <c r="A262">
        <v>20260</v>
      </c>
      <c r="B262" s="1">
        <v>45364</v>
      </c>
      <c r="C262" t="s">
        <v>37</v>
      </c>
      <c r="D262" t="s">
        <v>38</v>
      </c>
      <c r="E262" t="s">
        <v>107</v>
      </c>
      <c r="F262" t="s">
        <v>22</v>
      </c>
      <c r="G262" t="s">
        <v>74</v>
      </c>
      <c r="H262" t="s">
        <v>34</v>
      </c>
      <c r="I262" t="s">
        <v>25</v>
      </c>
      <c r="J262" t="s">
        <v>35</v>
      </c>
      <c r="K262" t="s">
        <v>44</v>
      </c>
      <c r="L262" t="s">
        <v>28</v>
      </c>
      <c r="M262" s="4">
        <v>19</v>
      </c>
      <c r="N262" s="4">
        <v>7</v>
      </c>
      <c r="O262" t="s">
        <v>36</v>
      </c>
      <c r="P262" t="s">
        <v>36</v>
      </c>
      <c r="Q262" s="4">
        <v>361842</v>
      </c>
      <c r="R262" s="4">
        <v>230131</v>
      </c>
      <c r="S262" s="4">
        <f>Table1[[#This Row],[Service_Revenue]]-Table1[[#This Row],[Service_Cost]]</f>
        <v>131711</v>
      </c>
      <c r="T262" s="4">
        <v>2</v>
      </c>
      <c r="U262" s="4">
        <f>IF(AND(Table1[[#This Row],[Rework_Flag]]="Yes",Table1[[#This Row],[Warranty_Claim]]="No"),Table1[[#This Row],[Service_Revenue]],0)</f>
        <v>0</v>
      </c>
      <c r="V262" s="4">
        <f>IF(Table1[[#This Row],[Warranty_Claim]]="Yes",1,0)</f>
        <v>0</v>
      </c>
      <c r="W262" s="4">
        <f>IF(Table1[[#This Row],[Rework_Flag]]="No",1,0)</f>
        <v>1</v>
      </c>
      <c r="X262" s="4">
        <f>IF(Table1[[#This Row],[Rework_Flag]]="Yes",1,0)</f>
        <v>0</v>
      </c>
      <c r="Y262" s="4">
        <v>1</v>
      </c>
      <c r="Z262" s="4" t="str">
        <f>IF(Table1[[#This Row],[TAT_Days]]&gt;Table1[[#This Row],[SLA_TAT]],"Yes","No")</f>
        <v>Yes</v>
      </c>
      <c r="AA262" s="4" t="str" cm="1">
        <f t="array" ref="AA262">_xlfn.IFS(Table1[[#This Row],[Customer_Satisfaction]]&lt;=2,"Poor",Table1[[#This Row],[Customer_Satisfaction]]=3,"Neutral",Table1[[#This Row],[Customer_Satisfaction]]=4,"Good",Table1[[#This Row],[Customer_Satisfaction]]=5,"Good")</f>
        <v>Poor</v>
      </c>
    </row>
    <row r="263" spans="1:27" x14ac:dyDescent="0.35">
      <c r="A263">
        <v>20261</v>
      </c>
      <c r="B263" s="1">
        <v>45408</v>
      </c>
      <c r="C263" t="s">
        <v>37</v>
      </c>
      <c r="D263" t="s">
        <v>38</v>
      </c>
      <c r="E263" t="s">
        <v>93</v>
      </c>
      <c r="F263" t="s">
        <v>40</v>
      </c>
      <c r="G263" t="s">
        <v>54</v>
      </c>
      <c r="H263" t="s">
        <v>42</v>
      </c>
      <c r="I263" t="s">
        <v>25</v>
      </c>
      <c r="J263" t="s">
        <v>43</v>
      </c>
      <c r="K263" t="s">
        <v>27</v>
      </c>
      <c r="L263" t="s">
        <v>28</v>
      </c>
      <c r="M263" s="4">
        <v>9</v>
      </c>
      <c r="N263" s="4">
        <v>7</v>
      </c>
      <c r="O263" t="s">
        <v>29</v>
      </c>
      <c r="P263" t="s">
        <v>29</v>
      </c>
      <c r="Q263" s="4">
        <v>429020</v>
      </c>
      <c r="R263" s="4">
        <v>288028</v>
      </c>
      <c r="S263" s="4">
        <f>Table1[[#This Row],[Service_Revenue]]-Table1[[#This Row],[Service_Cost]]</f>
        <v>140992</v>
      </c>
      <c r="T263" s="4">
        <v>3</v>
      </c>
      <c r="U263" s="4">
        <f>IF(AND(Table1[[#This Row],[Rework_Flag]]="Yes",Table1[[#This Row],[Warranty_Claim]]="No"),Table1[[#This Row],[Service_Revenue]],0)</f>
        <v>0</v>
      </c>
      <c r="V263" s="4">
        <f>IF(Table1[[#This Row],[Warranty_Claim]]="Yes",1,0)</f>
        <v>1</v>
      </c>
      <c r="W263" s="4">
        <f>IF(Table1[[#This Row],[Rework_Flag]]="No",1,0)</f>
        <v>0</v>
      </c>
      <c r="X263" s="4">
        <f>IF(Table1[[#This Row],[Rework_Flag]]="Yes",1,0)</f>
        <v>1</v>
      </c>
      <c r="Y263" s="4">
        <v>1</v>
      </c>
      <c r="Z263" s="4" t="str">
        <f>IF(Table1[[#This Row],[TAT_Days]]&gt;Table1[[#This Row],[SLA_TAT]],"Yes","No")</f>
        <v>Yes</v>
      </c>
      <c r="AA263" s="4" t="str" cm="1">
        <f t="array" ref="AA263">_xlfn.IFS(Table1[[#This Row],[Customer_Satisfaction]]&lt;=2,"Poor",Table1[[#This Row],[Customer_Satisfaction]]=3,"Neutral",Table1[[#This Row],[Customer_Satisfaction]]=4,"Good",Table1[[#This Row],[Customer_Satisfaction]]=5,"Good")</f>
        <v>Neutral</v>
      </c>
    </row>
    <row r="264" spans="1:27" x14ac:dyDescent="0.35">
      <c r="A264">
        <v>20262</v>
      </c>
      <c r="B264" s="1">
        <v>45375</v>
      </c>
      <c r="C264" t="s">
        <v>37</v>
      </c>
      <c r="D264" t="s">
        <v>64</v>
      </c>
      <c r="E264" t="s">
        <v>103</v>
      </c>
      <c r="F264" t="s">
        <v>22</v>
      </c>
      <c r="G264" t="s">
        <v>54</v>
      </c>
      <c r="H264" t="s">
        <v>42</v>
      </c>
      <c r="I264" t="s">
        <v>55</v>
      </c>
      <c r="J264" t="s">
        <v>67</v>
      </c>
      <c r="K264" t="s">
        <v>61</v>
      </c>
      <c r="L264" t="s">
        <v>28</v>
      </c>
      <c r="M264" s="4">
        <v>18</v>
      </c>
      <c r="N264" s="4">
        <v>7</v>
      </c>
      <c r="O264" t="s">
        <v>29</v>
      </c>
      <c r="P264" t="s">
        <v>36</v>
      </c>
      <c r="Q264" s="4">
        <v>130787</v>
      </c>
      <c r="R264" s="4">
        <v>70431</v>
      </c>
      <c r="S264" s="4">
        <f>Table1[[#This Row],[Service_Revenue]]-Table1[[#This Row],[Service_Cost]]</f>
        <v>60356</v>
      </c>
      <c r="T264" s="4">
        <v>1</v>
      </c>
      <c r="U264" s="4">
        <f>IF(AND(Table1[[#This Row],[Rework_Flag]]="Yes",Table1[[#This Row],[Warranty_Claim]]="No"),Table1[[#This Row],[Service_Revenue]],0)</f>
        <v>130787</v>
      </c>
      <c r="V264" s="4">
        <f>IF(Table1[[#This Row],[Warranty_Claim]]="Yes",1,0)</f>
        <v>0</v>
      </c>
      <c r="W264" s="4">
        <f>IF(Table1[[#This Row],[Rework_Flag]]="No",1,0)</f>
        <v>0</v>
      </c>
      <c r="X264" s="4">
        <f>IF(Table1[[#This Row],[Rework_Flag]]="Yes",1,0)</f>
        <v>1</v>
      </c>
      <c r="Y264" s="4">
        <v>1</v>
      </c>
      <c r="Z264" s="4" t="str">
        <f>IF(Table1[[#This Row],[TAT_Days]]&gt;Table1[[#This Row],[SLA_TAT]],"Yes","No")</f>
        <v>Yes</v>
      </c>
      <c r="AA264" s="4" t="str" cm="1">
        <f t="array" ref="AA264">_xlfn.IFS(Table1[[#This Row],[Customer_Satisfaction]]&lt;=2,"Poor",Table1[[#This Row],[Customer_Satisfaction]]=3,"Neutral",Table1[[#This Row],[Customer_Satisfaction]]=4,"Good",Table1[[#This Row],[Customer_Satisfaction]]=5,"Good")</f>
        <v>Poor</v>
      </c>
    </row>
    <row r="265" spans="1:27" x14ac:dyDescent="0.35">
      <c r="A265">
        <v>20263</v>
      </c>
      <c r="B265" s="1">
        <v>45349</v>
      </c>
      <c r="C265" t="s">
        <v>50</v>
      </c>
      <c r="D265" t="s">
        <v>80</v>
      </c>
      <c r="E265" t="s">
        <v>121</v>
      </c>
      <c r="F265" t="s">
        <v>22</v>
      </c>
      <c r="G265" t="s">
        <v>47</v>
      </c>
      <c r="H265" t="s">
        <v>48</v>
      </c>
      <c r="I265" t="s">
        <v>25</v>
      </c>
      <c r="J265" t="s">
        <v>67</v>
      </c>
      <c r="K265" t="s">
        <v>61</v>
      </c>
      <c r="L265" t="s">
        <v>49</v>
      </c>
      <c r="M265" s="4">
        <v>21</v>
      </c>
      <c r="N265" s="4">
        <v>7</v>
      </c>
      <c r="O265" t="s">
        <v>29</v>
      </c>
      <c r="P265" t="s">
        <v>36</v>
      </c>
      <c r="Q265" s="4">
        <v>435164</v>
      </c>
      <c r="R265" s="4">
        <v>297887</v>
      </c>
      <c r="S265" s="4">
        <f>Table1[[#This Row],[Service_Revenue]]-Table1[[#This Row],[Service_Cost]]</f>
        <v>137277</v>
      </c>
      <c r="T265" s="4">
        <v>1</v>
      </c>
      <c r="U265" s="4">
        <f>IF(AND(Table1[[#This Row],[Rework_Flag]]="Yes",Table1[[#This Row],[Warranty_Claim]]="No"),Table1[[#This Row],[Service_Revenue]],0)</f>
        <v>435164</v>
      </c>
      <c r="V265" s="4">
        <f>IF(Table1[[#This Row],[Warranty_Claim]]="Yes",1,0)</f>
        <v>0</v>
      </c>
      <c r="W265" s="4">
        <f>IF(Table1[[#This Row],[Rework_Flag]]="No",1,0)</f>
        <v>0</v>
      </c>
      <c r="X265" s="4">
        <f>IF(Table1[[#This Row],[Rework_Flag]]="Yes",1,0)</f>
        <v>1</v>
      </c>
      <c r="Y265" s="4">
        <v>1</v>
      </c>
      <c r="Z265" s="4" t="str">
        <f>IF(Table1[[#This Row],[TAT_Days]]&gt;Table1[[#This Row],[SLA_TAT]],"Yes","No")</f>
        <v>Yes</v>
      </c>
      <c r="AA265" s="4" t="str" cm="1">
        <f t="array" ref="AA265">_xlfn.IFS(Table1[[#This Row],[Customer_Satisfaction]]&lt;=2,"Poor",Table1[[#This Row],[Customer_Satisfaction]]=3,"Neutral",Table1[[#This Row],[Customer_Satisfaction]]=4,"Good",Table1[[#This Row],[Customer_Satisfaction]]=5,"Good")</f>
        <v>Poor</v>
      </c>
    </row>
    <row r="266" spans="1:27" x14ac:dyDescent="0.35">
      <c r="A266">
        <v>20264</v>
      </c>
      <c r="B266" s="1">
        <v>45371</v>
      </c>
      <c r="C266" t="s">
        <v>30</v>
      </c>
      <c r="D266" t="s">
        <v>83</v>
      </c>
      <c r="E266" t="s">
        <v>84</v>
      </c>
      <c r="F266" t="s">
        <v>40</v>
      </c>
      <c r="G266" t="s">
        <v>54</v>
      </c>
      <c r="H266" t="s">
        <v>42</v>
      </c>
      <c r="I266" t="s">
        <v>25</v>
      </c>
      <c r="J266" t="s">
        <v>26</v>
      </c>
      <c r="K266" t="s">
        <v>61</v>
      </c>
      <c r="L266" t="s">
        <v>28</v>
      </c>
      <c r="M266" s="4">
        <v>5</v>
      </c>
      <c r="N266" s="4">
        <v>7</v>
      </c>
      <c r="O266" t="s">
        <v>36</v>
      </c>
      <c r="P266" t="s">
        <v>29</v>
      </c>
      <c r="Q266" s="4">
        <v>434633</v>
      </c>
      <c r="R266" s="4">
        <v>231883</v>
      </c>
      <c r="S266" s="4">
        <f>Table1[[#This Row],[Service_Revenue]]-Table1[[#This Row],[Service_Cost]]</f>
        <v>202750</v>
      </c>
      <c r="T266" s="4">
        <v>4</v>
      </c>
      <c r="U266" s="4">
        <f>IF(AND(Table1[[#This Row],[Rework_Flag]]="Yes",Table1[[#This Row],[Warranty_Claim]]="No"),Table1[[#This Row],[Service_Revenue]],0)</f>
        <v>0</v>
      </c>
      <c r="V266" s="4">
        <f>IF(Table1[[#This Row],[Warranty_Claim]]="Yes",1,0)</f>
        <v>1</v>
      </c>
      <c r="W266" s="4">
        <f>IF(Table1[[#This Row],[Rework_Flag]]="No",1,0)</f>
        <v>1</v>
      </c>
      <c r="X266" s="4">
        <f>IF(Table1[[#This Row],[Rework_Flag]]="Yes",1,0)</f>
        <v>0</v>
      </c>
      <c r="Y266" s="4">
        <v>1</v>
      </c>
      <c r="Z266" s="4" t="str">
        <f>IF(Table1[[#This Row],[TAT_Days]]&gt;Table1[[#This Row],[SLA_TAT]],"Yes","No")</f>
        <v>No</v>
      </c>
      <c r="AA266" s="4" t="str" cm="1">
        <f t="array" ref="AA266">_xlfn.IFS(Table1[[#This Row],[Customer_Satisfaction]]&lt;=2,"Poor",Table1[[#This Row],[Customer_Satisfaction]]=3,"Neutral",Table1[[#This Row],[Customer_Satisfaction]]=4,"Good",Table1[[#This Row],[Customer_Satisfaction]]=5,"Good")</f>
        <v>Good</v>
      </c>
    </row>
    <row r="267" spans="1:27" x14ac:dyDescent="0.35">
      <c r="A267">
        <v>20265</v>
      </c>
      <c r="B267" s="1">
        <v>45398</v>
      </c>
      <c r="C267" t="s">
        <v>50</v>
      </c>
      <c r="D267" t="s">
        <v>80</v>
      </c>
      <c r="E267" t="s">
        <v>121</v>
      </c>
      <c r="F267" t="s">
        <v>40</v>
      </c>
      <c r="G267" t="s">
        <v>63</v>
      </c>
      <c r="H267" t="s">
        <v>24</v>
      </c>
      <c r="I267" t="s">
        <v>55</v>
      </c>
      <c r="J267" t="s">
        <v>26</v>
      </c>
      <c r="K267" t="s">
        <v>61</v>
      </c>
      <c r="L267" t="s">
        <v>49</v>
      </c>
      <c r="M267" s="4">
        <v>13</v>
      </c>
      <c r="N267" s="4">
        <v>7</v>
      </c>
      <c r="O267" t="s">
        <v>29</v>
      </c>
      <c r="P267" t="s">
        <v>36</v>
      </c>
      <c r="Q267" s="4">
        <v>339963</v>
      </c>
      <c r="R267" s="4">
        <v>281436</v>
      </c>
      <c r="S267" s="4">
        <f>Table1[[#This Row],[Service_Revenue]]-Table1[[#This Row],[Service_Cost]]</f>
        <v>58527</v>
      </c>
      <c r="T267" s="4">
        <v>2</v>
      </c>
      <c r="U267" s="4">
        <f>IF(AND(Table1[[#This Row],[Rework_Flag]]="Yes",Table1[[#This Row],[Warranty_Claim]]="No"),Table1[[#This Row],[Service_Revenue]],0)</f>
        <v>339963</v>
      </c>
      <c r="V267" s="4">
        <f>IF(Table1[[#This Row],[Warranty_Claim]]="Yes",1,0)</f>
        <v>0</v>
      </c>
      <c r="W267" s="4">
        <f>IF(Table1[[#This Row],[Rework_Flag]]="No",1,0)</f>
        <v>0</v>
      </c>
      <c r="X267" s="4">
        <f>IF(Table1[[#This Row],[Rework_Flag]]="Yes",1,0)</f>
        <v>1</v>
      </c>
      <c r="Y267" s="4">
        <v>1</v>
      </c>
      <c r="Z267" s="4" t="str">
        <f>IF(Table1[[#This Row],[TAT_Days]]&gt;Table1[[#This Row],[SLA_TAT]],"Yes","No")</f>
        <v>Yes</v>
      </c>
      <c r="AA267" s="4" t="str" cm="1">
        <f t="array" ref="AA267">_xlfn.IFS(Table1[[#This Row],[Customer_Satisfaction]]&lt;=2,"Poor",Table1[[#This Row],[Customer_Satisfaction]]=3,"Neutral",Table1[[#This Row],[Customer_Satisfaction]]=4,"Good",Table1[[#This Row],[Customer_Satisfaction]]=5,"Good")</f>
        <v>Poor</v>
      </c>
    </row>
    <row r="268" spans="1:27" x14ac:dyDescent="0.35">
      <c r="A268">
        <v>20266</v>
      </c>
      <c r="B268" s="1">
        <v>45354</v>
      </c>
      <c r="C268" t="s">
        <v>19</v>
      </c>
      <c r="D268" t="s">
        <v>96</v>
      </c>
      <c r="E268" t="s">
        <v>105</v>
      </c>
      <c r="F268" t="s">
        <v>22</v>
      </c>
      <c r="G268" t="s">
        <v>74</v>
      </c>
      <c r="H268" t="s">
        <v>34</v>
      </c>
      <c r="I268" t="s">
        <v>55</v>
      </c>
      <c r="J268" t="s">
        <v>58</v>
      </c>
      <c r="K268" t="s">
        <v>61</v>
      </c>
      <c r="L268" t="s">
        <v>28</v>
      </c>
      <c r="M268" s="4">
        <v>11</v>
      </c>
      <c r="N268" s="4">
        <v>7</v>
      </c>
      <c r="O268" t="s">
        <v>29</v>
      </c>
      <c r="P268" t="s">
        <v>36</v>
      </c>
      <c r="Q268" s="4">
        <v>251380</v>
      </c>
      <c r="R268" s="4">
        <v>178484</v>
      </c>
      <c r="S268" s="4">
        <f>Table1[[#This Row],[Service_Revenue]]-Table1[[#This Row],[Service_Cost]]</f>
        <v>72896</v>
      </c>
      <c r="T268" s="4">
        <v>2</v>
      </c>
      <c r="U268" s="4">
        <f>IF(AND(Table1[[#This Row],[Rework_Flag]]="Yes",Table1[[#This Row],[Warranty_Claim]]="No"),Table1[[#This Row],[Service_Revenue]],0)</f>
        <v>251380</v>
      </c>
      <c r="V268" s="4">
        <f>IF(Table1[[#This Row],[Warranty_Claim]]="Yes",1,0)</f>
        <v>0</v>
      </c>
      <c r="W268" s="4">
        <f>IF(Table1[[#This Row],[Rework_Flag]]="No",1,0)</f>
        <v>0</v>
      </c>
      <c r="X268" s="4">
        <f>IF(Table1[[#This Row],[Rework_Flag]]="Yes",1,0)</f>
        <v>1</v>
      </c>
      <c r="Y268" s="4">
        <v>1</v>
      </c>
      <c r="Z268" s="4" t="str">
        <f>IF(Table1[[#This Row],[TAT_Days]]&gt;Table1[[#This Row],[SLA_TAT]],"Yes","No")</f>
        <v>Yes</v>
      </c>
      <c r="AA268" s="4" t="str" cm="1">
        <f t="array" ref="AA268">_xlfn.IFS(Table1[[#This Row],[Customer_Satisfaction]]&lt;=2,"Poor",Table1[[#This Row],[Customer_Satisfaction]]=3,"Neutral",Table1[[#This Row],[Customer_Satisfaction]]=4,"Good",Table1[[#This Row],[Customer_Satisfaction]]=5,"Good")</f>
        <v>Poor</v>
      </c>
    </row>
    <row r="269" spans="1:27" x14ac:dyDescent="0.35">
      <c r="A269">
        <v>20267</v>
      </c>
      <c r="B269" s="1">
        <v>45411</v>
      </c>
      <c r="C269" t="s">
        <v>30</v>
      </c>
      <c r="D269" t="s">
        <v>83</v>
      </c>
      <c r="E269" t="s">
        <v>90</v>
      </c>
      <c r="F269" t="s">
        <v>22</v>
      </c>
      <c r="G269" t="s">
        <v>33</v>
      </c>
      <c r="H269" t="s">
        <v>34</v>
      </c>
      <c r="I269" t="s">
        <v>25</v>
      </c>
      <c r="J269" t="s">
        <v>43</v>
      </c>
      <c r="K269" t="s">
        <v>27</v>
      </c>
      <c r="L269" t="s">
        <v>28</v>
      </c>
      <c r="M269" s="4">
        <v>23</v>
      </c>
      <c r="N269" s="4">
        <v>7</v>
      </c>
      <c r="O269" t="s">
        <v>29</v>
      </c>
      <c r="P269" t="s">
        <v>36</v>
      </c>
      <c r="Q269" s="4">
        <v>371885</v>
      </c>
      <c r="R269" s="4">
        <v>287329</v>
      </c>
      <c r="S269" s="4">
        <f>Table1[[#This Row],[Service_Revenue]]-Table1[[#This Row],[Service_Cost]]</f>
        <v>84556</v>
      </c>
      <c r="T269" s="4">
        <v>1</v>
      </c>
      <c r="U269" s="4">
        <f>IF(AND(Table1[[#This Row],[Rework_Flag]]="Yes",Table1[[#This Row],[Warranty_Claim]]="No"),Table1[[#This Row],[Service_Revenue]],0)</f>
        <v>371885</v>
      </c>
      <c r="V269" s="4">
        <f>IF(Table1[[#This Row],[Warranty_Claim]]="Yes",1,0)</f>
        <v>0</v>
      </c>
      <c r="W269" s="4">
        <f>IF(Table1[[#This Row],[Rework_Flag]]="No",1,0)</f>
        <v>0</v>
      </c>
      <c r="X269" s="4">
        <f>IF(Table1[[#This Row],[Rework_Flag]]="Yes",1,0)</f>
        <v>1</v>
      </c>
      <c r="Y269" s="4">
        <v>1</v>
      </c>
      <c r="Z269" s="4" t="str">
        <f>IF(Table1[[#This Row],[TAT_Days]]&gt;Table1[[#This Row],[SLA_TAT]],"Yes","No")</f>
        <v>Yes</v>
      </c>
      <c r="AA269" s="4" t="str" cm="1">
        <f t="array" ref="AA269">_xlfn.IFS(Table1[[#This Row],[Customer_Satisfaction]]&lt;=2,"Poor",Table1[[#This Row],[Customer_Satisfaction]]=3,"Neutral",Table1[[#This Row],[Customer_Satisfaction]]=4,"Good",Table1[[#This Row],[Customer_Satisfaction]]=5,"Good")</f>
        <v>Poor</v>
      </c>
    </row>
    <row r="270" spans="1:27" x14ac:dyDescent="0.35">
      <c r="A270">
        <v>20268</v>
      </c>
      <c r="B270" s="1">
        <v>45304</v>
      </c>
      <c r="C270" t="s">
        <v>19</v>
      </c>
      <c r="D270" t="s">
        <v>96</v>
      </c>
      <c r="E270" t="s">
        <v>98</v>
      </c>
      <c r="F270" t="s">
        <v>22</v>
      </c>
      <c r="G270" t="s">
        <v>23</v>
      </c>
      <c r="H270" t="s">
        <v>24</v>
      </c>
      <c r="I270" t="s">
        <v>25</v>
      </c>
      <c r="J270" t="s">
        <v>35</v>
      </c>
      <c r="K270" t="s">
        <v>27</v>
      </c>
      <c r="L270" t="s">
        <v>28</v>
      </c>
      <c r="M270" s="4">
        <v>23</v>
      </c>
      <c r="N270" s="4">
        <v>7</v>
      </c>
      <c r="O270" t="s">
        <v>29</v>
      </c>
      <c r="P270" t="s">
        <v>36</v>
      </c>
      <c r="Q270" s="4">
        <v>490392</v>
      </c>
      <c r="R270" s="4">
        <v>411430</v>
      </c>
      <c r="S270" s="4">
        <f>Table1[[#This Row],[Service_Revenue]]-Table1[[#This Row],[Service_Cost]]</f>
        <v>78962</v>
      </c>
      <c r="T270" s="4">
        <v>1</v>
      </c>
      <c r="U270" s="4">
        <f>IF(AND(Table1[[#This Row],[Rework_Flag]]="Yes",Table1[[#This Row],[Warranty_Claim]]="No"),Table1[[#This Row],[Service_Revenue]],0)</f>
        <v>490392</v>
      </c>
      <c r="V270" s="4">
        <f>IF(Table1[[#This Row],[Warranty_Claim]]="Yes",1,0)</f>
        <v>0</v>
      </c>
      <c r="W270" s="4">
        <f>IF(Table1[[#This Row],[Rework_Flag]]="No",1,0)</f>
        <v>0</v>
      </c>
      <c r="X270" s="4">
        <f>IF(Table1[[#This Row],[Rework_Flag]]="Yes",1,0)</f>
        <v>1</v>
      </c>
      <c r="Y270" s="4">
        <v>1</v>
      </c>
      <c r="Z270" s="4" t="str">
        <f>IF(Table1[[#This Row],[TAT_Days]]&gt;Table1[[#This Row],[SLA_TAT]],"Yes","No")</f>
        <v>Yes</v>
      </c>
      <c r="AA270" s="4" t="str" cm="1">
        <f t="array" ref="AA270">_xlfn.IFS(Table1[[#This Row],[Customer_Satisfaction]]&lt;=2,"Poor",Table1[[#This Row],[Customer_Satisfaction]]=3,"Neutral",Table1[[#This Row],[Customer_Satisfaction]]=4,"Good",Table1[[#This Row],[Customer_Satisfaction]]=5,"Good")</f>
        <v>Poor</v>
      </c>
    </row>
    <row r="271" spans="1:27" x14ac:dyDescent="0.35">
      <c r="A271">
        <v>20269</v>
      </c>
      <c r="B271" s="1">
        <v>45412</v>
      </c>
      <c r="C271" t="s">
        <v>30</v>
      </c>
      <c r="D271" t="s">
        <v>31</v>
      </c>
      <c r="E271" t="s">
        <v>79</v>
      </c>
      <c r="F271" t="s">
        <v>22</v>
      </c>
      <c r="G271" t="s">
        <v>47</v>
      </c>
      <c r="H271" t="s">
        <v>48</v>
      </c>
      <c r="I271" t="s">
        <v>55</v>
      </c>
      <c r="J271" t="s">
        <v>43</v>
      </c>
      <c r="K271" t="s">
        <v>61</v>
      </c>
      <c r="L271" t="s">
        <v>49</v>
      </c>
      <c r="M271" s="4">
        <v>13</v>
      </c>
      <c r="N271" s="4">
        <v>7</v>
      </c>
      <c r="O271" t="s">
        <v>36</v>
      </c>
      <c r="P271" t="s">
        <v>36</v>
      </c>
      <c r="Q271" s="4">
        <v>154442</v>
      </c>
      <c r="R271" s="4">
        <v>96427</v>
      </c>
      <c r="S271" s="4">
        <f>Table1[[#This Row],[Service_Revenue]]-Table1[[#This Row],[Service_Cost]]</f>
        <v>58015</v>
      </c>
      <c r="T271" s="4">
        <v>3</v>
      </c>
      <c r="U271" s="4">
        <f>IF(AND(Table1[[#This Row],[Rework_Flag]]="Yes",Table1[[#This Row],[Warranty_Claim]]="No"),Table1[[#This Row],[Service_Revenue]],0)</f>
        <v>0</v>
      </c>
      <c r="V271" s="4">
        <f>IF(Table1[[#This Row],[Warranty_Claim]]="Yes",1,0)</f>
        <v>0</v>
      </c>
      <c r="W271" s="4">
        <f>IF(Table1[[#This Row],[Rework_Flag]]="No",1,0)</f>
        <v>1</v>
      </c>
      <c r="X271" s="4">
        <f>IF(Table1[[#This Row],[Rework_Flag]]="Yes",1,0)</f>
        <v>0</v>
      </c>
      <c r="Y271" s="4">
        <v>1</v>
      </c>
      <c r="Z271" s="4" t="str">
        <f>IF(Table1[[#This Row],[TAT_Days]]&gt;Table1[[#This Row],[SLA_TAT]],"Yes","No")</f>
        <v>Yes</v>
      </c>
      <c r="AA271" s="4" t="str" cm="1">
        <f t="array" ref="AA271">_xlfn.IFS(Table1[[#This Row],[Customer_Satisfaction]]&lt;=2,"Poor",Table1[[#This Row],[Customer_Satisfaction]]=3,"Neutral",Table1[[#This Row],[Customer_Satisfaction]]=4,"Good",Table1[[#This Row],[Customer_Satisfaction]]=5,"Good")</f>
        <v>Neutral</v>
      </c>
    </row>
    <row r="272" spans="1:27" x14ac:dyDescent="0.35">
      <c r="A272">
        <v>20270</v>
      </c>
      <c r="B272" s="1">
        <v>45468</v>
      </c>
      <c r="C272" t="s">
        <v>50</v>
      </c>
      <c r="D272" t="s">
        <v>80</v>
      </c>
      <c r="E272" t="s">
        <v>85</v>
      </c>
      <c r="F272" t="s">
        <v>53</v>
      </c>
      <c r="G272" t="s">
        <v>63</v>
      </c>
      <c r="H272" t="s">
        <v>24</v>
      </c>
      <c r="I272" t="s">
        <v>55</v>
      </c>
      <c r="J272" t="s">
        <v>43</v>
      </c>
      <c r="K272" t="s">
        <v>44</v>
      </c>
      <c r="L272" t="s">
        <v>28</v>
      </c>
      <c r="M272" s="4">
        <v>3</v>
      </c>
      <c r="N272" s="4">
        <v>7</v>
      </c>
      <c r="O272" t="s">
        <v>36</v>
      </c>
      <c r="P272" t="s">
        <v>36</v>
      </c>
      <c r="Q272" s="4">
        <v>439512</v>
      </c>
      <c r="R272" s="4">
        <v>264624</v>
      </c>
      <c r="S272" s="4">
        <f>Table1[[#This Row],[Service_Revenue]]-Table1[[#This Row],[Service_Cost]]</f>
        <v>174888</v>
      </c>
      <c r="T272" s="4">
        <v>5</v>
      </c>
      <c r="U272" s="4">
        <f>IF(AND(Table1[[#This Row],[Rework_Flag]]="Yes",Table1[[#This Row],[Warranty_Claim]]="No"),Table1[[#This Row],[Service_Revenue]],0)</f>
        <v>0</v>
      </c>
      <c r="V272" s="4">
        <f>IF(Table1[[#This Row],[Warranty_Claim]]="Yes",1,0)</f>
        <v>0</v>
      </c>
      <c r="W272" s="4">
        <f>IF(Table1[[#This Row],[Rework_Flag]]="No",1,0)</f>
        <v>1</v>
      </c>
      <c r="X272" s="4">
        <f>IF(Table1[[#This Row],[Rework_Flag]]="Yes",1,0)</f>
        <v>0</v>
      </c>
      <c r="Y272" s="4">
        <v>1</v>
      </c>
      <c r="Z272" s="4" t="str">
        <f>IF(Table1[[#This Row],[TAT_Days]]&gt;Table1[[#This Row],[SLA_TAT]],"Yes","No")</f>
        <v>No</v>
      </c>
      <c r="AA272" s="4" t="str" cm="1">
        <f t="array" ref="AA272">_xlfn.IFS(Table1[[#This Row],[Customer_Satisfaction]]&lt;=2,"Poor",Table1[[#This Row],[Customer_Satisfaction]]=3,"Neutral",Table1[[#This Row],[Customer_Satisfaction]]=4,"Good",Table1[[#This Row],[Customer_Satisfaction]]=5,"Good")</f>
        <v>Good</v>
      </c>
    </row>
    <row r="273" spans="1:27" x14ac:dyDescent="0.35">
      <c r="A273">
        <v>20271</v>
      </c>
      <c r="B273" s="1">
        <v>45326</v>
      </c>
      <c r="C273" t="s">
        <v>37</v>
      </c>
      <c r="D273" t="s">
        <v>70</v>
      </c>
      <c r="E273" t="s">
        <v>82</v>
      </c>
      <c r="F273" t="s">
        <v>40</v>
      </c>
      <c r="G273" t="s">
        <v>63</v>
      </c>
      <c r="H273" t="s">
        <v>24</v>
      </c>
      <c r="I273" t="s">
        <v>25</v>
      </c>
      <c r="J273" t="s">
        <v>67</v>
      </c>
      <c r="K273" t="s">
        <v>27</v>
      </c>
      <c r="L273" t="s">
        <v>28</v>
      </c>
      <c r="M273" s="4">
        <v>2</v>
      </c>
      <c r="N273" s="4">
        <v>7</v>
      </c>
      <c r="O273" t="s">
        <v>29</v>
      </c>
      <c r="P273" t="s">
        <v>36</v>
      </c>
      <c r="Q273" s="4">
        <v>143524</v>
      </c>
      <c r="R273" s="4">
        <v>114883</v>
      </c>
      <c r="S273" s="4">
        <f>Table1[[#This Row],[Service_Revenue]]-Table1[[#This Row],[Service_Cost]]</f>
        <v>28641</v>
      </c>
      <c r="T273" s="4">
        <v>4</v>
      </c>
      <c r="U273" s="4">
        <f>IF(AND(Table1[[#This Row],[Rework_Flag]]="Yes",Table1[[#This Row],[Warranty_Claim]]="No"),Table1[[#This Row],[Service_Revenue]],0)</f>
        <v>143524</v>
      </c>
      <c r="V273" s="4">
        <f>IF(Table1[[#This Row],[Warranty_Claim]]="Yes",1,0)</f>
        <v>0</v>
      </c>
      <c r="W273" s="4">
        <f>IF(Table1[[#This Row],[Rework_Flag]]="No",1,0)</f>
        <v>0</v>
      </c>
      <c r="X273" s="4">
        <f>IF(Table1[[#This Row],[Rework_Flag]]="Yes",1,0)</f>
        <v>1</v>
      </c>
      <c r="Y273" s="4">
        <v>1</v>
      </c>
      <c r="Z273" s="4" t="str">
        <f>IF(Table1[[#This Row],[TAT_Days]]&gt;Table1[[#This Row],[SLA_TAT]],"Yes","No")</f>
        <v>No</v>
      </c>
      <c r="AA273" s="4" t="str" cm="1">
        <f t="array" ref="AA273">_xlfn.IFS(Table1[[#This Row],[Customer_Satisfaction]]&lt;=2,"Poor",Table1[[#This Row],[Customer_Satisfaction]]=3,"Neutral",Table1[[#This Row],[Customer_Satisfaction]]=4,"Good",Table1[[#This Row],[Customer_Satisfaction]]=5,"Good")</f>
        <v>Good</v>
      </c>
    </row>
    <row r="274" spans="1:27" x14ac:dyDescent="0.35">
      <c r="A274">
        <v>20272</v>
      </c>
      <c r="B274" s="1">
        <v>45400</v>
      </c>
      <c r="C274" t="s">
        <v>37</v>
      </c>
      <c r="D274" t="s">
        <v>38</v>
      </c>
      <c r="E274" t="s">
        <v>112</v>
      </c>
      <c r="F274" t="s">
        <v>22</v>
      </c>
      <c r="G274" t="s">
        <v>74</v>
      </c>
      <c r="H274" t="s">
        <v>34</v>
      </c>
      <c r="I274" t="s">
        <v>25</v>
      </c>
      <c r="J274" t="s">
        <v>43</v>
      </c>
      <c r="K274" t="s">
        <v>27</v>
      </c>
      <c r="L274" t="s">
        <v>28</v>
      </c>
      <c r="M274" s="4">
        <v>24</v>
      </c>
      <c r="N274" s="4">
        <v>7</v>
      </c>
      <c r="O274" t="s">
        <v>29</v>
      </c>
      <c r="P274" t="s">
        <v>36</v>
      </c>
      <c r="Q274" s="4">
        <v>177198</v>
      </c>
      <c r="R274" s="4">
        <v>92390</v>
      </c>
      <c r="S274" s="4">
        <f>Table1[[#This Row],[Service_Revenue]]-Table1[[#This Row],[Service_Cost]]</f>
        <v>84808</v>
      </c>
      <c r="T274" s="4">
        <v>1</v>
      </c>
      <c r="U274" s="4">
        <f>IF(AND(Table1[[#This Row],[Rework_Flag]]="Yes",Table1[[#This Row],[Warranty_Claim]]="No"),Table1[[#This Row],[Service_Revenue]],0)</f>
        <v>177198</v>
      </c>
      <c r="V274" s="4">
        <f>IF(Table1[[#This Row],[Warranty_Claim]]="Yes",1,0)</f>
        <v>0</v>
      </c>
      <c r="W274" s="4">
        <f>IF(Table1[[#This Row],[Rework_Flag]]="No",1,0)</f>
        <v>0</v>
      </c>
      <c r="X274" s="4">
        <f>IF(Table1[[#This Row],[Rework_Flag]]="Yes",1,0)</f>
        <v>1</v>
      </c>
      <c r="Y274" s="4">
        <v>1</v>
      </c>
      <c r="Z274" s="4" t="str">
        <f>IF(Table1[[#This Row],[TAT_Days]]&gt;Table1[[#This Row],[SLA_TAT]],"Yes","No")</f>
        <v>Yes</v>
      </c>
      <c r="AA274" s="4" t="str" cm="1">
        <f t="array" ref="AA274">_xlfn.IFS(Table1[[#This Row],[Customer_Satisfaction]]&lt;=2,"Poor",Table1[[#This Row],[Customer_Satisfaction]]=3,"Neutral",Table1[[#This Row],[Customer_Satisfaction]]=4,"Good",Table1[[#This Row],[Customer_Satisfaction]]=5,"Good")</f>
        <v>Poor</v>
      </c>
    </row>
    <row r="275" spans="1:27" x14ac:dyDescent="0.35">
      <c r="A275">
        <v>20273</v>
      </c>
      <c r="B275" s="1">
        <v>45423</v>
      </c>
      <c r="C275" t="s">
        <v>19</v>
      </c>
      <c r="D275" t="s">
        <v>45</v>
      </c>
      <c r="E275" t="s">
        <v>76</v>
      </c>
      <c r="F275" t="s">
        <v>22</v>
      </c>
      <c r="G275" t="s">
        <v>54</v>
      </c>
      <c r="H275" t="s">
        <v>42</v>
      </c>
      <c r="I275" t="s">
        <v>25</v>
      </c>
      <c r="J275" t="s">
        <v>26</v>
      </c>
      <c r="K275" t="s">
        <v>44</v>
      </c>
      <c r="L275" t="s">
        <v>49</v>
      </c>
      <c r="M275" s="4">
        <v>11</v>
      </c>
      <c r="N275" s="4">
        <v>7</v>
      </c>
      <c r="O275" t="s">
        <v>29</v>
      </c>
      <c r="P275" t="s">
        <v>29</v>
      </c>
      <c r="Q275" s="4">
        <v>122215</v>
      </c>
      <c r="R275" s="4">
        <v>91420</v>
      </c>
      <c r="S275" s="4">
        <f>Table1[[#This Row],[Service_Revenue]]-Table1[[#This Row],[Service_Cost]]</f>
        <v>30795</v>
      </c>
      <c r="T275" s="4">
        <v>2</v>
      </c>
      <c r="U275" s="4">
        <f>IF(AND(Table1[[#This Row],[Rework_Flag]]="Yes",Table1[[#This Row],[Warranty_Claim]]="No"),Table1[[#This Row],[Service_Revenue]],0)</f>
        <v>0</v>
      </c>
      <c r="V275" s="4">
        <f>IF(Table1[[#This Row],[Warranty_Claim]]="Yes",1,0)</f>
        <v>1</v>
      </c>
      <c r="W275" s="4">
        <f>IF(Table1[[#This Row],[Rework_Flag]]="No",1,0)</f>
        <v>0</v>
      </c>
      <c r="X275" s="4">
        <f>IF(Table1[[#This Row],[Rework_Flag]]="Yes",1,0)</f>
        <v>1</v>
      </c>
      <c r="Y275" s="4">
        <v>1</v>
      </c>
      <c r="Z275" s="4" t="str">
        <f>IF(Table1[[#This Row],[TAT_Days]]&gt;Table1[[#This Row],[SLA_TAT]],"Yes","No")</f>
        <v>Yes</v>
      </c>
      <c r="AA275" s="4" t="str" cm="1">
        <f t="array" ref="AA275">_xlfn.IFS(Table1[[#This Row],[Customer_Satisfaction]]&lt;=2,"Poor",Table1[[#This Row],[Customer_Satisfaction]]=3,"Neutral",Table1[[#This Row],[Customer_Satisfaction]]=4,"Good",Table1[[#This Row],[Customer_Satisfaction]]=5,"Good")</f>
        <v>Poor</v>
      </c>
    </row>
    <row r="276" spans="1:27" x14ac:dyDescent="0.35">
      <c r="A276">
        <v>20274</v>
      </c>
      <c r="B276" s="1">
        <v>45389</v>
      </c>
      <c r="C276" t="s">
        <v>19</v>
      </c>
      <c r="D276" t="s">
        <v>20</v>
      </c>
      <c r="E276" t="s">
        <v>117</v>
      </c>
      <c r="F276" t="s">
        <v>22</v>
      </c>
      <c r="G276" t="s">
        <v>41</v>
      </c>
      <c r="H276" t="s">
        <v>42</v>
      </c>
      <c r="I276" t="s">
        <v>25</v>
      </c>
      <c r="J276" t="s">
        <v>67</v>
      </c>
      <c r="K276" t="s">
        <v>61</v>
      </c>
      <c r="L276" t="s">
        <v>49</v>
      </c>
      <c r="M276" s="4">
        <v>24</v>
      </c>
      <c r="N276" s="4">
        <v>7</v>
      </c>
      <c r="O276" t="s">
        <v>36</v>
      </c>
      <c r="P276" t="s">
        <v>29</v>
      </c>
      <c r="Q276" s="4">
        <v>353897</v>
      </c>
      <c r="R276" s="4">
        <v>264922</v>
      </c>
      <c r="S276" s="4">
        <f>Table1[[#This Row],[Service_Revenue]]-Table1[[#This Row],[Service_Cost]]</f>
        <v>88975</v>
      </c>
      <c r="T276" s="4">
        <v>1</v>
      </c>
      <c r="U276" s="4">
        <f>IF(AND(Table1[[#This Row],[Rework_Flag]]="Yes",Table1[[#This Row],[Warranty_Claim]]="No"),Table1[[#This Row],[Service_Revenue]],0)</f>
        <v>0</v>
      </c>
      <c r="V276" s="4">
        <f>IF(Table1[[#This Row],[Warranty_Claim]]="Yes",1,0)</f>
        <v>1</v>
      </c>
      <c r="W276" s="4">
        <f>IF(Table1[[#This Row],[Rework_Flag]]="No",1,0)</f>
        <v>1</v>
      </c>
      <c r="X276" s="4">
        <f>IF(Table1[[#This Row],[Rework_Flag]]="Yes",1,0)</f>
        <v>0</v>
      </c>
      <c r="Y276" s="4">
        <v>1</v>
      </c>
      <c r="Z276" s="4" t="str">
        <f>IF(Table1[[#This Row],[TAT_Days]]&gt;Table1[[#This Row],[SLA_TAT]],"Yes","No")</f>
        <v>Yes</v>
      </c>
      <c r="AA276" s="4" t="str" cm="1">
        <f t="array" ref="AA276">_xlfn.IFS(Table1[[#This Row],[Customer_Satisfaction]]&lt;=2,"Poor",Table1[[#This Row],[Customer_Satisfaction]]=3,"Neutral",Table1[[#This Row],[Customer_Satisfaction]]=4,"Good",Table1[[#This Row],[Customer_Satisfaction]]=5,"Good")</f>
        <v>Poor</v>
      </c>
    </row>
    <row r="277" spans="1:27" x14ac:dyDescent="0.35">
      <c r="A277">
        <v>20275</v>
      </c>
      <c r="B277" s="1">
        <v>45371</v>
      </c>
      <c r="C277" t="s">
        <v>19</v>
      </c>
      <c r="D277" t="s">
        <v>96</v>
      </c>
      <c r="E277" t="s">
        <v>109</v>
      </c>
      <c r="F277" t="s">
        <v>40</v>
      </c>
      <c r="G277" t="s">
        <v>23</v>
      </c>
      <c r="H277" t="s">
        <v>24</v>
      </c>
      <c r="I277" t="s">
        <v>55</v>
      </c>
      <c r="J277" t="s">
        <v>58</v>
      </c>
      <c r="K277" t="s">
        <v>61</v>
      </c>
      <c r="L277" t="s">
        <v>49</v>
      </c>
      <c r="M277" s="4">
        <v>13</v>
      </c>
      <c r="N277" s="4">
        <v>7</v>
      </c>
      <c r="O277" t="s">
        <v>29</v>
      </c>
      <c r="P277" t="s">
        <v>29</v>
      </c>
      <c r="Q277" s="4">
        <v>525868</v>
      </c>
      <c r="R277" s="4">
        <v>303959</v>
      </c>
      <c r="S277" s="4">
        <f>Table1[[#This Row],[Service_Revenue]]-Table1[[#This Row],[Service_Cost]]</f>
        <v>221909</v>
      </c>
      <c r="T277" s="4">
        <v>2</v>
      </c>
      <c r="U277" s="4">
        <f>IF(AND(Table1[[#This Row],[Rework_Flag]]="Yes",Table1[[#This Row],[Warranty_Claim]]="No"),Table1[[#This Row],[Service_Revenue]],0)</f>
        <v>0</v>
      </c>
      <c r="V277" s="4">
        <f>IF(Table1[[#This Row],[Warranty_Claim]]="Yes",1,0)</f>
        <v>1</v>
      </c>
      <c r="W277" s="4">
        <f>IF(Table1[[#This Row],[Rework_Flag]]="No",1,0)</f>
        <v>0</v>
      </c>
      <c r="X277" s="4">
        <f>IF(Table1[[#This Row],[Rework_Flag]]="Yes",1,0)</f>
        <v>1</v>
      </c>
      <c r="Y277" s="4">
        <v>1</v>
      </c>
      <c r="Z277" s="4" t="str">
        <f>IF(Table1[[#This Row],[TAT_Days]]&gt;Table1[[#This Row],[SLA_TAT]],"Yes","No")</f>
        <v>Yes</v>
      </c>
      <c r="AA277" s="4" t="str" cm="1">
        <f t="array" ref="AA277">_xlfn.IFS(Table1[[#This Row],[Customer_Satisfaction]]&lt;=2,"Poor",Table1[[#This Row],[Customer_Satisfaction]]=3,"Neutral",Table1[[#This Row],[Customer_Satisfaction]]=4,"Good",Table1[[#This Row],[Customer_Satisfaction]]=5,"Good")</f>
        <v>Poor</v>
      </c>
    </row>
    <row r="278" spans="1:27" x14ac:dyDescent="0.35">
      <c r="A278">
        <v>20276</v>
      </c>
      <c r="B278" s="1">
        <v>45387</v>
      </c>
      <c r="C278" t="s">
        <v>19</v>
      </c>
      <c r="D278" t="s">
        <v>20</v>
      </c>
      <c r="E278" t="s">
        <v>89</v>
      </c>
      <c r="F278" t="s">
        <v>22</v>
      </c>
      <c r="G278" t="s">
        <v>54</v>
      </c>
      <c r="H278" t="s">
        <v>42</v>
      </c>
      <c r="I278" t="s">
        <v>25</v>
      </c>
      <c r="J278" t="s">
        <v>43</v>
      </c>
      <c r="K278" t="s">
        <v>44</v>
      </c>
      <c r="L278" t="s">
        <v>28</v>
      </c>
      <c r="M278" s="4">
        <v>13</v>
      </c>
      <c r="N278" s="4">
        <v>7</v>
      </c>
      <c r="O278" t="s">
        <v>36</v>
      </c>
      <c r="P278" t="s">
        <v>36</v>
      </c>
      <c r="Q278" s="4">
        <v>357143</v>
      </c>
      <c r="R278" s="4">
        <v>180297</v>
      </c>
      <c r="S278" s="4">
        <f>Table1[[#This Row],[Service_Revenue]]-Table1[[#This Row],[Service_Cost]]</f>
        <v>176846</v>
      </c>
      <c r="T278" s="4">
        <v>3</v>
      </c>
      <c r="U278" s="4">
        <f>IF(AND(Table1[[#This Row],[Rework_Flag]]="Yes",Table1[[#This Row],[Warranty_Claim]]="No"),Table1[[#This Row],[Service_Revenue]],0)</f>
        <v>0</v>
      </c>
      <c r="V278" s="4">
        <f>IF(Table1[[#This Row],[Warranty_Claim]]="Yes",1,0)</f>
        <v>0</v>
      </c>
      <c r="W278" s="4">
        <f>IF(Table1[[#This Row],[Rework_Flag]]="No",1,0)</f>
        <v>1</v>
      </c>
      <c r="X278" s="4">
        <f>IF(Table1[[#This Row],[Rework_Flag]]="Yes",1,0)</f>
        <v>0</v>
      </c>
      <c r="Y278" s="4">
        <v>1</v>
      </c>
      <c r="Z278" s="4" t="str">
        <f>IF(Table1[[#This Row],[TAT_Days]]&gt;Table1[[#This Row],[SLA_TAT]],"Yes","No")</f>
        <v>Yes</v>
      </c>
      <c r="AA278" s="4" t="str" cm="1">
        <f t="array" ref="AA278">_xlfn.IFS(Table1[[#This Row],[Customer_Satisfaction]]&lt;=2,"Poor",Table1[[#This Row],[Customer_Satisfaction]]=3,"Neutral",Table1[[#This Row],[Customer_Satisfaction]]=4,"Good",Table1[[#This Row],[Customer_Satisfaction]]=5,"Good")</f>
        <v>Neutral</v>
      </c>
    </row>
    <row r="279" spans="1:27" x14ac:dyDescent="0.35">
      <c r="A279">
        <v>20277</v>
      </c>
      <c r="B279" s="1">
        <v>45451</v>
      </c>
      <c r="C279" t="s">
        <v>30</v>
      </c>
      <c r="D279" t="s">
        <v>31</v>
      </c>
      <c r="E279" t="s">
        <v>32</v>
      </c>
      <c r="F279" t="s">
        <v>53</v>
      </c>
      <c r="G279" t="s">
        <v>41</v>
      </c>
      <c r="H279" t="s">
        <v>42</v>
      </c>
      <c r="I279" t="s">
        <v>25</v>
      </c>
      <c r="J279" t="s">
        <v>26</v>
      </c>
      <c r="K279" t="s">
        <v>44</v>
      </c>
      <c r="L279" t="s">
        <v>28</v>
      </c>
      <c r="M279" s="4">
        <v>14</v>
      </c>
      <c r="N279" s="4">
        <v>7</v>
      </c>
      <c r="O279" t="s">
        <v>36</v>
      </c>
      <c r="P279" t="s">
        <v>36</v>
      </c>
      <c r="Q279" s="4">
        <v>90891</v>
      </c>
      <c r="R279" s="4">
        <v>49671</v>
      </c>
      <c r="S279" s="4">
        <f>Table1[[#This Row],[Service_Revenue]]-Table1[[#This Row],[Service_Cost]]</f>
        <v>41220</v>
      </c>
      <c r="T279" s="4">
        <v>3</v>
      </c>
      <c r="U279" s="4">
        <f>IF(AND(Table1[[#This Row],[Rework_Flag]]="Yes",Table1[[#This Row],[Warranty_Claim]]="No"),Table1[[#This Row],[Service_Revenue]],0)</f>
        <v>0</v>
      </c>
      <c r="V279" s="4">
        <f>IF(Table1[[#This Row],[Warranty_Claim]]="Yes",1,0)</f>
        <v>0</v>
      </c>
      <c r="W279" s="4">
        <f>IF(Table1[[#This Row],[Rework_Flag]]="No",1,0)</f>
        <v>1</v>
      </c>
      <c r="X279" s="4">
        <f>IF(Table1[[#This Row],[Rework_Flag]]="Yes",1,0)</f>
        <v>0</v>
      </c>
      <c r="Y279" s="4">
        <v>1</v>
      </c>
      <c r="Z279" s="4" t="str">
        <f>IF(Table1[[#This Row],[TAT_Days]]&gt;Table1[[#This Row],[SLA_TAT]],"Yes","No")</f>
        <v>Yes</v>
      </c>
      <c r="AA279" s="4" t="str" cm="1">
        <f t="array" ref="AA279">_xlfn.IFS(Table1[[#This Row],[Customer_Satisfaction]]&lt;=2,"Poor",Table1[[#This Row],[Customer_Satisfaction]]=3,"Neutral",Table1[[#This Row],[Customer_Satisfaction]]=4,"Good",Table1[[#This Row],[Customer_Satisfaction]]=5,"Good")</f>
        <v>Neutral</v>
      </c>
    </row>
    <row r="280" spans="1:27" x14ac:dyDescent="0.35">
      <c r="A280">
        <v>20278</v>
      </c>
      <c r="B280" s="1">
        <v>45334</v>
      </c>
      <c r="C280" t="s">
        <v>37</v>
      </c>
      <c r="D280" t="s">
        <v>70</v>
      </c>
      <c r="E280" t="s">
        <v>71</v>
      </c>
      <c r="F280" t="s">
        <v>22</v>
      </c>
      <c r="G280" t="s">
        <v>74</v>
      </c>
      <c r="H280" t="s">
        <v>34</v>
      </c>
      <c r="I280" t="s">
        <v>55</v>
      </c>
      <c r="J280" t="s">
        <v>58</v>
      </c>
      <c r="K280" t="s">
        <v>61</v>
      </c>
      <c r="L280" t="s">
        <v>49</v>
      </c>
      <c r="M280" s="4">
        <v>7</v>
      </c>
      <c r="N280" s="4">
        <v>7</v>
      </c>
      <c r="O280" t="s">
        <v>36</v>
      </c>
      <c r="P280" t="s">
        <v>36</v>
      </c>
      <c r="Q280" s="4">
        <v>581860</v>
      </c>
      <c r="R280" s="4">
        <v>483206</v>
      </c>
      <c r="S280" s="4">
        <f>Table1[[#This Row],[Service_Revenue]]-Table1[[#This Row],[Service_Cost]]</f>
        <v>98654</v>
      </c>
      <c r="T280" s="4">
        <v>4</v>
      </c>
      <c r="U280" s="4">
        <f>IF(AND(Table1[[#This Row],[Rework_Flag]]="Yes",Table1[[#This Row],[Warranty_Claim]]="No"),Table1[[#This Row],[Service_Revenue]],0)</f>
        <v>0</v>
      </c>
      <c r="V280" s="4">
        <f>IF(Table1[[#This Row],[Warranty_Claim]]="Yes",1,0)</f>
        <v>0</v>
      </c>
      <c r="W280" s="4">
        <f>IF(Table1[[#This Row],[Rework_Flag]]="No",1,0)</f>
        <v>1</v>
      </c>
      <c r="X280" s="4">
        <f>IF(Table1[[#This Row],[Rework_Flag]]="Yes",1,0)</f>
        <v>0</v>
      </c>
      <c r="Y280" s="4">
        <v>1</v>
      </c>
      <c r="Z280" s="4" t="str">
        <f>IF(Table1[[#This Row],[TAT_Days]]&gt;Table1[[#This Row],[SLA_TAT]],"Yes","No")</f>
        <v>No</v>
      </c>
      <c r="AA280" s="4" t="str" cm="1">
        <f t="array" ref="AA280">_xlfn.IFS(Table1[[#This Row],[Customer_Satisfaction]]&lt;=2,"Poor",Table1[[#This Row],[Customer_Satisfaction]]=3,"Neutral",Table1[[#This Row],[Customer_Satisfaction]]=4,"Good",Table1[[#This Row],[Customer_Satisfaction]]=5,"Good")</f>
        <v>Good</v>
      </c>
    </row>
    <row r="281" spans="1:27" x14ac:dyDescent="0.35">
      <c r="A281">
        <v>20279</v>
      </c>
      <c r="B281" s="1">
        <v>45302</v>
      </c>
      <c r="C281" t="s">
        <v>50</v>
      </c>
      <c r="D281" t="s">
        <v>51</v>
      </c>
      <c r="E281" t="s">
        <v>52</v>
      </c>
      <c r="F281" t="s">
        <v>22</v>
      </c>
      <c r="G281" t="s">
        <v>23</v>
      </c>
      <c r="H281" t="s">
        <v>24</v>
      </c>
      <c r="I281" t="s">
        <v>55</v>
      </c>
      <c r="J281" t="s">
        <v>67</v>
      </c>
      <c r="K281" t="s">
        <v>44</v>
      </c>
      <c r="L281" t="s">
        <v>49</v>
      </c>
      <c r="M281" s="4">
        <v>3</v>
      </c>
      <c r="N281" s="4">
        <v>7</v>
      </c>
      <c r="O281" t="s">
        <v>29</v>
      </c>
      <c r="P281" t="s">
        <v>36</v>
      </c>
      <c r="Q281" s="4">
        <v>375781</v>
      </c>
      <c r="R281" s="4">
        <v>226099</v>
      </c>
      <c r="S281" s="4">
        <f>Table1[[#This Row],[Service_Revenue]]-Table1[[#This Row],[Service_Cost]]</f>
        <v>149682</v>
      </c>
      <c r="T281" s="4">
        <v>4</v>
      </c>
      <c r="U281" s="4">
        <f>IF(AND(Table1[[#This Row],[Rework_Flag]]="Yes",Table1[[#This Row],[Warranty_Claim]]="No"),Table1[[#This Row],[Service_Revenue]],0)</f>
        <v>375781</v>
      </c>
      <c r="V281" s="4">
        <f>IF(Table1[[#This Row],[Warranty_Claim]]="Yes",1,0)</f>
        <v>0</v>
      </c>
      <c r="W281" s="4">
        <f>IF(Table1[[#This Row],[Rework_Flag]]="No",1,0)</f>
        <v>0</v>
      </c>
      <c r="X281" s="4">
        <f>IF(Table1[[#This Row],[Rework_Flag]]="Yes",1,0)</f>
        <v>1</v>
      </c>
      <c r="Y281" s="4">
        <v>1</v>
      </c>
      <c r="Z281" s="4" t="str">
        <f>IF(Table1[[#This Row],[TAT_Days]]&gt;Table1[[#This Row],[SLA_TAT]],"Yes","No")</f>
        <v>No</v>
      </c>
      <c r="AA281" s="4" t="str" cm="1">
        <f t="array" ref="AA281">_xlfn.IFS(Table1[[#This Row],[Customer_Satisfaction]]&lt;=2,"Poor",Table1[[#This Row],[Customer_Satisfaction]]=3,"Neutral",Table1[[#This Row],[Customer_Satisfaction]]=4,"Good",Table1[[#This Row],[Customer_Satisfaction]]=5,"Good")</f>
        <v>Good</v>
      </c>
    </row>
    <row r="282" spans="1:27" x14ac:dyDescent="0.35">
      <c r="A282">
        <v>20280</v>
      </c>
      <c r="B282" s="1">
        <v>45337</v>
      </c>
      <c r="C282" t="s">
        <v>30</v>
      </c>
      <c r="D282" t="s">
        <v>59</v>
      </c>
      <c r="E282" t="s">
        <v>60</v>
      </c>
      <c r="F282" t="s">
        <v>22</v>
      </c>
      <c r="G282" t="s">
        <v>41</v>
      </c>
      <c r="H282" t="s">
        <v>42</v>
      </c>
      <c r="I282" t="s">
        <v>55</v>
      </c>
      <c r="J282" t="s">
        <v>26</v>
      </c>
      <c r="K282" t="s">
        <v>61</v>
      </c>
      <c r="L282" t="s">
        <v>49</v>
      </c>
      <c r="M282" s="4">
        <v>19</v>
      </c>
      <c r="N282" s="4">
        <v>7</v>
      </c>
      <c r="O282" t="s">
        <v>36</v>
      </c>
      <c r="P282" t="s">
        <v>29</v>
      </c>
      <c r="Q282" s="4">
        <v>201237</v>
      </c>
      <c r="R282" s="4">
        <v>112618</v>
      </c>
      <c r="S282" s="4">
        <f>Table1[[#This Row],[Service_Revenue]]-Table1[[#This Row],[Service_Cost]]</f>
        <v>88619</v>
      </c>
      <c r="T282" s="4">
        <v>2</v>
      </c>
      <c r="U282" s="4">
        <f>IF(AND(Table1[[#This Row],[Rework_Flag]]="Yes",Table1[[#This Row],[Warranty_Claim]]="No"),Table1[[#This Row],[Service_Revenue]],0)</f>
        <v>0</v>
      </c>
      <c r="V282" s="4">
        <f>IF(Table1[[#This Row],[Warranty_Claim]]="Yes",1,0)</f>
        <v>1</v>
      </c>
      <c r="W282" s="4">
        <f>IF(Table1[[#This Row],[Rework_Flag]]="No",1,0)</f>
        <v>1</v>
      </c>
      <c r="X282" s="4">
        <f>IF(Table1[[#This Row],[Rework_Flag]]="Yes",1,0)</f>
        <v>0</v>
      </c>
      <c r="Y282" s="4">
        <v>1</v>
      </c>
      <c r="Z282" s="4" t="str">
        <f>IF(Table1[[#This Row],[TAT_Days]]&gt;Table1[[#This Row],[SLA_TAT]],"Yes","No")</f>
        <v>Yes</v>
      </c>
      <c r="AA282" s="4" t="str" cm="1">
        <f t="array" ref="AA282">_xlfn.IFS(Table1[[#This Row],[Customer_Satisfaction]]&lt;=2,"Poor",Table1[[#This Row],[Customer_Satisfaction]]=3,"Neutral",Table1[[#This Row],[Customer_Satisfaction]]=4,"Good",Table1[[#This Row],[Customer_Satisfaction]]=5,"Good")</f>
        <v>Poor</v>
      </c>
    </row>
    <row r="283" spans="1:27" x14ac:dyDescent="0.35">
      <c r="A283">
        <v>20281</v>
      </c>
      <c r="B283" s="1">
        <v>45455</v>
      </c>
      <c r="C283" t="s">
        <v>19</v>
      </c>
      <c r="D283" t="s">
        <v>96</v>
      </c>
      <c r="E283" t="s">
        <v>98</v>
      </c>
      <c r="F283" t="s">
        <v>53</v>
      </c>
      <c r="G283" t="s">
        <v>47</v>
      </c>
      <c r="H283" t="s">
        <v>48</v>
      </c>
      <c r="I283" t="s">
        <v>55</v>
      </c>
      <c r="J283" t="s">
        <v>67</v>
      </c>
      <c r="K283" t="s">
        <v>44</v>
      </c>
      <c r="L283" t="s">
        <v>28</v>
      </c>
      <c r="M283" s="4">
        <v>6</v>
      </c>
      <c r="N283" s="4">
        <v>7</v>
      </c>
      <c r="O283" t="s">
        <v>36</v>
      </c>
      <c r="P283" t="s">
        <v>29</v>
      </c>
      <c r="Q283" s="4">
        <v>541506</v>
      </c>
      <c r="R283" s="4">
        <v>303843</v>
      </c>
      <c r="S283" s="4">
        <f>Table1[[#This Row],[Service_Revenue]]-Table1[[#This Row],[Service_Cost]]</f>
        <v>237663</v>
      </c>
      <c r="T283" s="4">
        <v>4</v>
      </c>
      <c r="U283" s="4">
        <f>IF(AND(Table1[[#This Row],[Rework_Flag]]="Yes",Table1[[#This Row],[Warranty_Claim]]="No"),Table1[[#This Row],[Service_Revenue]],0)</f>
        <v>0</v>
      </c>
      <c r="V283" s="4">
        <f>IF(Table1[[#This Row],[Warranty_Claim]]="Yes",1,0)</f>
        <v>1</v>
      </c>
      <c r="W283" s="4">
        <f>IF(Table1[[#This Row],[Rework_Flag]]="No",1,0)</f>
        <v>1</v>
      </c>
      <c r="X283" s="4">
        <f>IF(Table1[[#This Row],[Rework_Flag]]="Yes",1,0)</f>
        <v>0</v>
      </c>
      <c r="Y283" s="4">
        <v>1</v>
      </c>
      <c r="Z283" s="4" t="str">
        <f>IF(Table1[[#This Row],[TAT_Days]]&gt;Table1[[#This Row],[SLA_TAT]],"Yes","No")</f>
        <v>No</v>
      </c>
      <c r="AA283" s="4" t="str" cm="1">
        <f t="array" ref="AA283">_xlfn.IFS(Table1[[#This Row],[Customer_Satisfaction]]&lt;=2,"Poor",Table1[[#This Row],[Customer_Satisfaction]]=3,"Neutral",Table1[[#This Row],[Customer_Satisfaction]]=4,"Good",Table1[[#This Row],[Customer_Satisfaction]]=5,"Good")</f>
        <v>Good</v>
      </c>
    </row>
    <row r="284" spans="1:27" x14ac:dyDescent="0.35">
      <c r="A284">
        <v>20282</v>
      </c>
      <c r="B284" s="1">
        <v>45444</v>
      </c>
      <c r="C284" t="s">
        <v>37</v>
      </c>
      <c r="D284" t="s">
        <v>64</v>
      </c>
      <c r="E284" t="s">
        <v>65</v>
      </c>
      <c r="F284" t="s">
        <v>22</v>
      </c>
      <c r="G284" t="s">
        <v>33</v>
      </c>
      <c r="H284" t="s">
        <v>34</v>
      </c>
      <c r="I284" t="s">
        <v>25</v>
      </c>
      <c r="J284" t="s">
        <v>35</v>
      </c>
      <c r="K284" t="s">
        <v>27</v>
      </c>
      <c r="L284" t="s">
        <v>49</v>
      </c>
      <c r="M284" s="4">
        <v>8</v>
      </c>
      <c r="N284" s="4">
        <v>7</v>
      </c>
      <c r="O284" t="s">
        <v>36</v>
      </c>
      <c r="P284" t="s">
        <v>36</v>
      </c>
      <c r="Q284" s="4">
        <v>248246</v>
      </c>
      <c r="R284" s="4">
        <v>175372</v>
      </c>
      <c r="S284" s="4">
        <f>Table1[[#This Row],[Service_Revenue]]-Table1[[#This Row],[Service_Cost]]</f>
        <v>72874</v>
      </c>
      <c r="T284" s="4">
        <v>4</v>
      </c>
      <c r="U284" s="4">
        <f>IF(AND(Table1[[#This Row],[Rework_Flag]]="Yes",Table1[[#This Row],[Warranty_Claim]]="No"),Table1[[#This Row],[Service_Revenue]],0)</f>
        <v>0</v>
      </c>
      <c r="V284" s="4">
        <f>IF(Table1[[#This Row],[Warranty_Claim]]="Yes",1,0)</f>
        <v>0</v>
      </c>
      <c r="W284" s="4">
        <f>IF(Table1[[#This Row],[Rework_Flag]]="No",1,0)</f>
        <v>1</v>
      </c>
      <c r="X284" s="4">
        <f>IF(Table1[[#This Row],[Rework_Flag]]="Yes",1,0)</f>
        <v>0</v>
      </c>
      <c r="Y284" s="4">
        <v>1</v>
      </c>
      <c r="Z284" s="4" t="str">
        <f>IF(Table1[[#This Row],[TAT_Days]]&gt;Table1[[#This Row],[SLA_TAT]],"Yes","No")</f>
        <v>Yes</v>
      </c>
      <c r="AA284" s="4" t="str" cm="1">
        <f t="array" ref="AA284">_xlfn.IFS(Table1[[#This Row],[Customer_Satisfaction]]&lt;=2,"Poor",Table1[[#This Row],[Customer_Satisfaction]]=3,"Neutral",Table1[[#This Row],[Customer_Satisfaction]]=4,"Good",Table1[[#This Row],[Customer_Satisfaction]]=5,"Good")</f>
        <v>Good</v>
      </c>
    </row>
    <row r="285" spans="1:27" x14ac:dyDescent="0.35">
      <c r="A285">
        <v>20283</v>
      </c>
      <c r="B285" s="1">
        <v>45364</v>
      </c>
      <c r="C285" t="s">
        <v>37</v>
      </c>
      <c r="D285" t="s">
        <v>64</v>
      </c>
      <c r="E285" t="s">
        <v>87</v>
      </c>
      <c r="F285" t="s">
        <v>40</v>
      </c>
      <c r="G285" t="s">
        <v>54</v>
      </c>
      <c r="H285" t="s">
        <v>42</v>
      </c>
      <c r="I285" t="s">
        <v>55</v>
      </c>
      <c r="J285" t="s">
        <v>58</v>
      </c>
      <c r="K285" t="s">
        <v>27</v>
      </c>
      <c r="L285" t="s">
        <v>28</v>
      </c>
      <c r="M285" s="4">
        <v>16</v>
      </c>
      <c r="N285" s="4">
        <v>7</v>
      </c>
      <c r="O285" t="s">
        <v>29</v>
      </c>
      <c r="P285" t="s">
        <v>36</v>
      </c>
      <c r="Q285" s="4">
        <v>279250</v>
      </c>
      <c r="R285" s="4">
        <v>227672</v>
      </c>
      <c r="S285" s="4">
        <f>Table1[[#This Row],[Service_Revenue]]-Table1[[#This Row],[Service_Cost]]</f>
        <v>51578</v>
      </c>
      <c r="T285" s="4">
        <v>1</v>
      </c>
      <c r="U285" s="4">
        <f>IF(AND(Table1[[#This Row],[Rework_Flag]]="Yes",Table1[[#This Row],[Warranty_Claim]]="No"),Table1[[#This Row],[Service_Revenue]],0)</f>
        <v>279250</v>
      </c>
      <c r="V285" s="4">
        <f>IF(Table1[[#This Row],[Warranty_Claim]]="Yes",1,0)</f>
        <v>0</v>
      </c>
      <c r="W285" s="4">
        <f>IF(Table1[[#This Row],[Rework_Flag]]="No",1,0)</f>
        <v>0</v>
      </c>
      <c r="X285" s="4">
        <f>IF(Table1[[#This Row],[Rework_Flag]]="Yes",1,0)</f>
        <v>1</v>
      </c>
      <c r="Y285" s="4">
        <v>1</v>
      </c>
      <c r="Z285" s="4" t="str">
        <f>IF(Table1[[#This Row],[TAT_Days]]&gt;Table1[[#This Row],[SLA_TAT]],"Yes","No")</f>
        <v>Yes</v>
      </c>
      <c r="AA285" s="4" t="str" cm="1">
        <f t="array" ref="AA285">_xlfn.IFS(Table1[[#This Row],[Customer_Satisfaction]]&lt;=2,"Poor",Table1[[#This Row],[Customer_Satisfaction]]=3,"Neutral",Table1[[#This Row],[Customer_Satisfaction]]=4,"Good",Table1[[#This Row],[Customer_Satisfaction]]=5,"Good")</f>
        <v>Poor</v>
      </c>
    </row>
    <row r="286" spans="1:27" x14ac:dyDescent="0.35">
      <c r="A286">
        <v>20284</v>
      </c>
      <c r="B286" s="1">
        <v>45294</v>
      </c>
      <c r="C286" t="s">
        <v>37</v>
      </c>
      <c r="D286" t="s">
        <v>38</v>
      </c>
      <c r="E286" t="s">
        <v>93</v>
      </c>
      <c r="F286" t="s">
        <v>22</v>
      </c>
      <c r="G286" t="s">
        <v>54</v>
      </c>
      <c r="H286" t="s">
        <v>42</v>
      </c>
      <c r="I286" t="s">
        <v>25</v>
      </c>
      <c r="J286" t="s">
        <v>26</v>
      </c>
      <c r="K286" t="s">
        <v>44</v>
      </c>
      <c r="L286" t="s">
        <v>28</v>
      </c>
      <c r="M286" s="4">
        <v>4</v>
      </c>
      <c r="N286" s="4">
        <v>7</v>
      </c>
      <c r="O286" t="s">
        <v>29</v>
      </c>
      <c r="P286" t="s">
        <v>36</v>
      </c>
      <c r="Q286" s="4">
        <v>568096</v>
      </c>
      <c r="R286" s="4">
        <v>393663</v>
      </c>
      <c r="S286" s="4">
        <f>Table1[[#This Row],[Service_Revenue]]-Table1[[#This Row],[Service_Cost]]</f>
        <v>174433</v>
      </c>
      <c r="T286" s="4">
        <v>4</v>
      </c>
      <c r="U286" s="4">
        <f>IF(AND(Table1[[#This Row],[Rework_Flag]]="Yes",Table1[[#This Row],[Warranty_Claim]]="No"),Table1[[#This Row],[Service_Revenue]],0)</f>
        <v>568096</v>
      </c>
      <c r="V286" s="4">
        <f>IF(Table1[[#This Row],[Warranty_Claim]]="Yes",1,0)</f>
        <v>0</v>
      </c>
      <c r="W286" s="4">
        <f>IF(Table1[[#This Row],[Rework_Flag]]="No",1,0)</f>
        <v>0</v>
      </c>
      <c r="X286" s="4">
        <f>IF(Table1[[#This Row],[Rework_Flag]]="Yes",1,0)</f>
        <v>1</v>
      </c>
      <c r="Y286" s="4">
        <v>1</v>
      </c>
      <c r="Z286" s="4" t="str">
        <f>IF(Table1[[#This Row],[TAT_Days]]&gt;Table1[[#This Row],[SLA_TAT]],"Yes","No")</f>
        <v>No</v>
      </c>
      <c r="AA286" s="4" t="str" cm="1">
        <f t="array" ref="AA286">_xlfn.IFS(Table1[[#This Row],[Customer_Satisfaction]]&lt;=2,"Poor",Table1[[#This Row],[Customer_Satisfaction]]=3,"Neutral",Table1[[#This Row],[Customer_Satisfaction]]=4,"Good",Table1[[#This Row],[Customer_Satisfaction]]=5,"Good")</f>
        <v>Good</v>
      </c>
    </row>
    <row r="287" spans="1:27" x14ac:dyDescent="0.35">
      <c r="A287">
        <v>20285</v>
      </c>
      <c r="B287" s="1">
        <v>45405</v>
      </c>
      <c r="C287" t="s">
        <v>30</v>
      </c>
      <c r="D287" t="s">
        <v>83</v>
      </c>
      <c r="E287" t="s">
        <v>95</v>
      </c>
      <c r="F287" t="s">
        <v>40</v>
      </c>
      <c r="G287" t="s">
        <v>74</v>
      </c>
      <c r="H287" t="s">
        <v>34</v>
      </c>
      <c r="I287" t="s">
        <v>55</v>
      </c>
      <c r="J287" t="s">
        <v>67</v>
      </c>
      <c r="K287" t="s">
        <v>61</v>
      </c>
      <c r="L287" t="s">
        <v>28</v>
      </c>
      <c r="M287" s="4">
        <v>8</v>
      </c>
      <c r="N287" s="4">
        <v>7</v>
      </c>
      <c r="O287" t="s">
        <v>36</v>
      </c>
      <c r="P287" t="s">
        <v>36</v>
      </c>
      <c r="Q287" s="4">
        <v>490638</v>
      </c>
      <c r="R287" s="4">
        <v>413705</v>
      </c>
      <c r="S287" s="4">
        <f>Table1[[#This Row],[Service_Revenue]]-Table1[[#This Row],[Service_Cost]]</f>
        <v>76933</v>
      </c>
      <c r="T287" s="4">
        <v>4</v>
      </c>
      <c r="U287" s="4">
        <f>IF(AND(Table1[[#This Row],[Rework_Flag]]="Yes",Table1[[#This Row],[Warranty_Claim]]="No"),Table1[[#This Row],[Service_Revenue]],0)</f>
        <v>0</v>
      </c>
      <c r="V287" s="4">
        <f>IF(Table1[[#This Row],[Warranty_Claim]]="Yes",1,0)</f>
        <v>0</v>
      </c>
      <c r="W287" s="4">
        <f>IF(Table1[[#This Row],[Rework_Flag]]="No",1,0)</f>
        <v>1</v>
      </c>
      <c r="X287" s="4">
        <f>IF(Table1[[#This Row],[Rework_Flag]]="Yes",1,0)</f>
        <v>0</v>
      </c>
      <c r="Y287" s="4">
        <v>1</v>
      </c>
      <c r="Z287" s="4" t="str">
        <f>IF(Table1[[#This Row],[TAT_Days]]&gt;Table1[[#This Row],[SLA_TAT]],"Yes","No")</f>
        <v>Yes</v>
      </c>
      <c r="AA287" s="4" t="str" cm="1">
        <f t="array" ref="AA287">_xlfn.IFS(Table1[[#This Row],[Customer_Satisfaction]]&lt;=2,"Poor",Table1[[#This Row],[Customer_Satisfaction]]=3,"Neutral",Table1[[#This Row],[Customer_Satisfaction]]=4,"Good",Table1[[#This Row],[Customer_Satisfaction]]=5,"Good")</f>
        <v>Good</v>
      </c>
    </row>
    <row r="288" spans="1:27" x14ac:dyDescent="0.35">
      <c r="A288">
        <v>20286</v>
      </c>
      <c r="B288" s="1">
        <v>45430</v>
      </c>
      <c r="C288" t="s">
        <v>50</v>
      </c>
      <c r="D288" t="s">
        <v>51</v>
      </c>
      <c r="E288" t="s">
        <v>120</v>
      </c>
      <c r="F288" t="s">
        <v>22</v>
      </c>
      <c r="G288" t="s">
        <v>33</v>
      </c>
      <c r="H288" t="s">
        <v>34</v>
      </c>
      <c r="I288" t="s">
        <v>25</v>
      </c>
      <c r="J288" t="s">
        <v>58</v>
      </c>
      <c r="K288" t="s">
        <v>61</v>
      </c>
      <c r="L288" t="s">
        <v>49</v>
      </c>
      <c r="M288" s="4">
        <v>15</v>
      </c>
      <c r="N288" s="4">
        <v>7</v>
      </c>
      <c r="O288" t="s">
        <v>29</v>
      </c>
      <c r="P288" t="s">
        <v>36</v>
      </c>
      <c r="Q288" s="4">
        <v>371773</v>
      </c>
      <c r="R288" s="4">
        <v>277534</v>
      </c>
      <c r="S288" s="4">
        <f>Table1[[#This Row],[Service_Revenue]]-Table1[[#This Row],[Service_Cost]]</f>
        <v>94239</v>
      </c>
      <c r="T288" s="4">
        <v>1</v>
      </c>
      <c r="U288" s="4">
        <f>IF(AND(Table1[[#This Row],[Rework_Flag]]="Yes",Table1[[#This Row],[Warranty_Claim]]="No"),Table1[[#This Row],[Service_Revenue]],0)</f>
        <v>371773</v>
      </c>
      <c r="V288" s="4">
        <f>IF(Table1[[#This Row],[Warranty_Claim]]="Yes",1,0)</f>
        <v>0</v>
      </c>
      <c r="W288" s="4">
        <f>IF(Table1[[#This Row],[Rework_Flag]]="No",1,0)</f>
        <v>0</v>
      </c>
      <c r="X288" s="4">
        <f>IF(Table1[[#This Row],[Rework_Flag]]="Yes",1,0)</f>
        <v>1</v>
      </c>
      <c r="Y288" s="4">
        <v>1</v>
      </c>
      <c r="Z288" s="4" t="str">
        <f>IF(Table1[[#This Row],[TAT_Days]]&gt;Table1[[#This Row],[SLA_TAT]],"Yes","No")</f>
        <v>Yes</v>
      </c>
      <c r="AA288" s="4" t="str" cm="1">
        <f t="array" ref="AA288">_xlfn.IFS(Table1[[#This Row],[Customer_Satisfaction]]&lt;=2,"Poor",Table1[[#This Row],[Customer_Satisfaction]]=3,"Neutral",Table1[[#This Row],[Customer_Satisfaction]]=4,"Good",Table1[[#This Row],[Customer_Satisfaction]]=5,"Good")</f>
        <v>Poor</v>
      </c>
    </row>
    <row r="289" spans="1:27" x14ac:dyDescent="0.35">
      <c r="A289">
        <v>20287</v>
      </c>
      <c r="B289" s="1">
        <v>45304</v>
      </c>
      <c r="C289" t="s">
        <v>19</v>
      </c>
      <c r="D289" t="s">
        <v>96</v>
      </c>
      <c r="E289" t="s">
        <v>109</v>
      </c>
      <c r="F289" t="s">
        <v>53</v>
      </c>
      <c r="G289" t="s">
        <v>41</v>
      </c>
      <c r="H289" t="s">
        <v>42</v>
      </c>
      <c r="I289" t="s">
        <v>25</v>
      </c>
      <c r="J289" t="s">
        <v>43</v>
      </c>
      <c r="K289" t="s">
        <v>61</v>
      </c>
      <c r="L289" t="s">
        <v>49</v>
      </c>
      <c r="M289" s="4">
        <v>25</v>
      </c>
      <c r="N289" s="4">
        <v>7</v>
      </c>
      <c r="O289" t="s">
        <v>36</v>
      </c>
      <c r="P289" t="s">
        <v>36</v>
      </c>
      <c r="Q289" s="4">
        <v>186035</v>
      </c>
      <c r="R289" s="4">
        <v>148870</v>
      </c>
      <c r="S289" s="4">
        <f>Table1[[#This Row],[Service_Revenue]]-Table1[[#This Row],[Service_Cost]]</f>
        <v>37165</v>
      </c>
      <c r="T289" s="4">
        <v>1</v>
      </c>
      <c r="U289" s="4">
        <f>IF(AND(Table1[[#This Row],[Rework_Flag]]="Yes",Table1[[#This Row],[Warranty_Claim]]="No"),Table1[[#This Row],[Service_Revenue]],0)</f>
        <v>0</v>
      </c>
      <c r="V289" s="4">
        <f>IF(Table1[[#This Row],[Warranty_Claim]]="Yes",1,0)</f>
        <v>0</v>
      </c>
      <c r="W289" s="4">
        <f>IF(Table1[[#This Row],[Rework_Flag]]="No",1,0)</f>
        <v>1</v>
      </c>
      <c r="X289" s="4">
        <f>IF(Table1[[#This Row],[Rework_Flag]]="Yes",1,0)</f>
        <v>0</v>
      </c>
      <c r="Y289" s="4">
        <v>1</v>
      </c>
      <c r="Z289" s="4" t="str">
        <f>IF(Table1[[#This Row],[TAT_Days]]&gt;Table1[[#This Row],[SLA_TAT]],"Yes","No")</f>
        <v>Yes</v>
      </c>
      <c r="AA289" s="4" t="str" cm="1">
        <f t="array" ref="AA289">_xlfn.IFS(Table1[[#This Row],[Customer_Satisfaction]]&lt;=2,"Poor",Table1[[#This Row],[Customer_Satisfaction]]=3,"Neutral",Table1[[#This Row],[Customer_Satisfaction]]=4,"Good",Table1[[#This Row],[Customer_Satisfaction]]=5,"Good")</f>
        <v>Poor</v>
      </c>
    </row>
    <row r="290" spans="1:27" x14ac:dyDescent="0.35">
      <c r="A290">
        <v>20288</v>
      </c>
      <c r="B290" s="1">
        <v>45437</v>
      </c>
      <c r="C290" t="s">
        <v>19</v>
      </c>
      <c r="D290" t="s">
        <v>20</v>
      </c>
      <c r="E290" t="s">
        <v>117</v>
      </c>
      <c r="F290" t="s">
        <v>22</v>
      </c>
      <c r="G290" t="s">
        <v>23</v>
      </c>
      <c r="H290" t="s">
        <v>24</v>
      </c>
      <c r="I290" t="s">
        <v>55</v>
      </c>
      <c r="J290" t="s">
        <v>35</v>
      </c>
      <c r="K290" t="s">
        <v>61</v>
      </c>
      <c r="L290" t="s">
        <v>49</v>
      </c>
      <c r="M290" s="4">
        <v>14</v>
      </c>
      <c r="N290" s="4">
        <v>7</v>
      </c>
      <c r="O290" t="s">
        <v>36</v>
      </c>
      <c r="P290" t="s">
        <v>29</v>
      </c>
      <c r="Q290" s="4">
        <v>467832</v>
      </c>
      <c r="R290" s="4">
        <v>396673</v>
      </c>
      <c r="S290" s="4">
        <f>Table1[[#This Row],[Service_Revenue]]-Table1[[#This Row],[Service_Cost]]</f>
        <v>71159</v>
      </c>
      <c r="T290" s="4">
        <v>3</v>
      </c>
      <c r="U290" s="4">
        <f>IF(AND(Table1[[#This Row],[Rework_Flag]]="Yes",Table1[[#This Row],[Warranty_Claim]]="No"),Table1[[#This Row],[Service_Revenue]],0)</f>
        <v>0</v>
      </c>
      <c r="V290" s="4">
        <f>IF(Table1[[#This Row],[Warranty_Claim]]="Yes",1,0)</f>
        <v>1</v>
      </c>
      <c r="W290" s="4">
        <f>IF(Table1[[#This Row],[Rework_Flag]]="No",1,0)</f>
        <v>1</v>
      </c>
      <c r="X290" s="4">
        <f>IF(Table1[[#This Row],[Rework_Flag]]="Yes",1,0)</f>
        <v>0</v>
      </c>
      <c r="Y290" s="4">
        <v>1</v>
      </c>
      <c r="Z290" s="4" t="str">
        <f>IF(Table1[[#This Row],[TAT_Days]]&gt;Table1[[#This Row],[SLA_TAT]],"Yes","No")</f>
        <v>Yes</v>
      </c>
      <c r="AA290" s="4" t="str" cm="1">
        <f t="array" ref="AA290">_xlfn.IFS(Table1[[#This Row],[Customer_Satisfaction]]&lt;=2,"Poor",Table1[[#This Row],[Customer_Satisfaction]]=3,"Neutral",Table1[[#This Row],[Customer_Satisfaction]]=4,"Good",Table1[[#This Row],[Customer_Satisfaction]]=5,"Good")</f>
        <v>Neutral</v>
      </c>
    </row>
    <row r="291" spans="1:27" x14ac:dyDescent="0.35">
      <c r="A291">
        <v>20289</v>
      </c>
      <c r="B291" s="1">
        <v>45399</v>
      </c>
      <c r="C291" t="s">
        <v>37</v>
      </c>
      <c r="D291" t="s">
        <v>64</v>
      </c>
      <c r="E291" t="s">
        <v>115</v>
      </c>
      <c r="F291" t="s">
        <v>53</v>
      </c>
      <c r="G291" t="s">
        <v>47</v>
      </c>
      <c r="H291" t="s">
        <v>48</v>
      </c>
      <c r="I291" t="s">
        <v>25</v>
      </c>
      <c r="J291" t="s">
        <v>26</v>
      </c>
      <c r="K291" t="s">
        <v>61</v>
      </c>
      <c r="L291" t="s">
        <v>28</v>
      </c>
      <c r="M291" s="4">
        <v>20</v>
      </c>
      <c r="N291" s="4">
        <v>7</v>
      </c>
      <c r="O291" t="s">
        <v>29</v>
      </c>
      <c r="P291" t="s">
        <v>36</v>
      </c>
      <c r="Q291" s="4">
        <v>489201</v>
      </c>
      <c r="R291" s="4">
        <v>314503</v>
      </c>
      <c r="S291" s="4">
        <f>Table1[[#This Row],[Service_Revenue]]-Table1[[#This Row],[Service_Cost]]</f>
        <v>174698</v>
      </c>
      <c r="T291" s="4">
        <v>1</v>
      </c>
      <c r="U291" s="4">
        <f>IF(AND(Table1[[#This Row],[Rework_Flag]]="Yes",Table1[[#This Row],[Warranty_Claim]]="No"),Table1[[#This Row],[Service_Revenue]],0)</f>
        <v>489201</v>
      </c>
      <c r="V291" s="4">
        <f>IF(Table1[[#This Row],[Warranty_Claim]]="Yes",1,0)</f>
        <v>0</v>
      </c>
      <c r="W291" s="4">
        <f>IF(Table1[[#This Row],[Rework_Flag]]="No",1,0)</f>
        <v>0</v>
      </c>
      <c r="X291" s="4">
        <f>IF(Table1[[#This Row],[Rework_Flag]]="Yes",1,0)</f>
        <v>1</v>
      </c>
      <c r="Y291" s="4">
        <v>1</v>
      </c>
      <c r="Z291" s="4" t="str">
        <f>IF(Table1[[#This Row],[TAT_Days]]&gt;Table1[[#This Row],[SLA_TAT]],"Yes","No")</f>
        <v>Yes</v>
      </c>
      <c r="AA291" s="4" t="str" cm="1">
        <f t="array" ref="AA291">_xlfn.IFS(Table1[[#This Row],[Customer_Satisfaction]]&lt;=2,"Poor",Table1[[#This Row],[Customer_Satisfaction]]=3,"Neutral",Table1[[#This Row],[Customer_Satisfaction]]=4,"Good",Table1[[#This Row],[Customer_Satisfaction]]=5,"Good")</f>
        <v>Poor</v>
      </c>
    </row>
    <row r="292" spans="1:27" x14ac:dyDescent="0.35">
      <c r="A292">
        <v>20290</v>
      </c>
      <c r="B292" s="1">
        <v>45361</v>
      </c>
      <c r="C292" t="s">
        <v>50</v>
      </c>
      <c r="D292" t="s">
        <v>56</v>
      </c>
      <c r="E292" t="s">
        <v>77</v>
      </c>
      <c r="F292" t="s">
        <v>22</v>
      </c>
      <c r="G292" t="s">
        <v>41</v>
      </c>
      <c r="H292" t="s">
        <v>42</v>
      </c>
      <c r="I292" t="s">
        <v>55</v>
      </c>
      <c r="J292" t="s">
        <v>35</v>
      </c>
      <c r="K292" t="s">
        <v>27</v>
      </c>
      <c r="L292" t="s">
        <v>28</v>
      </c>
      <c r="M292" s="4">
        <v>9</v>
      </c>
      <c r="N292" s="4">
        <v>7</v>
      </c>
      <c r="O292" t="s">
        <v>29</v>
      </c>
      <c r="P292" t="s">
        <v>29</v>
      </c>
      <c r="Q292" s="4">
        <v>305009</v>
      </c>
      <c r="R292" s="4">
        <v>172940</v>
      </c>
      <c r="S292" s="4">
        <f>Table1[[#This Row],[Service_Revenue]]-Table1[[#This Row],[Service_Cost]]</f>
        <v>132069</v>
      </c>
      <c r="T292" s="4">
        <v>3</v>
      </c>
      <c r="U292" s="4">
        <f>IF(AND(Table1[[#This Row],[Rework_Flag]]="Yes",Table1[[#This Row],[Warranty_Claim]]="No"),Table1[[#This Row],[Service_Revenue]],0)</f>
        <v>0</v>
      </c>
      <c r="V292" s="4">
        <f>IF(Table1[[#This Row],[Warranty_Claim]]="Yes",1,0)</f>
        <v>1</v>
      </c>
      <c r="W292" s="4">
        <f>IF(Table1[[#This Row],[Rework_Flag]]="No",1,0)</f>
        <v>0</v>
      </c>
      <c r="X292" s="4">
        <f>IF(Table1[[#This Row],[Rework_Flag]]="Yes",1,0)</f>
        <v>1</v>
      </c>
      <c r="Y292" s="4">
        <v>1</v>
      </c>
      <c r="Z292" s="4" t="str">
        <f>IF(Table1[[#This Row],[TAT_Days]]&gt;Table1[[#This Row],[SLA_TAT]],"Yes","No")</f>
        <v>Yes</v>
      </c>
      <c r="AA292" s="4" t="str" cm="1">
        <f t="array" ref="AA292">_xlfn.IFS(Table1[[#This Row],[Customer_Satisfaction]]&lt;=2,"Poor",Table1[[#This Row],[Customer_Satisfaction]]=3,"Neutral",Table1[[#This Row],[Customer_Satisfaction]]=4,"Good",Table1[[#This Row],[Customer_Satisfaction]]=5,"Good")</f>
        <v>Neutral</v>
      </c>
    </row>
    <row r="293" spans="1:27" x14ac:dyDescent="0.35">
      <c r="A293">
        <v>20291</v>
      </c>
      <c r="B293" s="1">
        <v>45456</v>
      </c>
      <c r="C293" t="s">
        <v>50</v>
      </c>
      <c r="D293" t="s">
        <v>51</v>
      </c>
      <c r="E293" t="s">
        <v>73</v>
      </c>
      <c r="F293" t="s">
        <v>53</v>
      </c>
      <c r="G293" t="s">
        <v>41</v>
      </c>
      <c r="H293" t="s">
        <v>42</v>
      </c>
      <c r="I293" t="s">
        <v>25</v>
      </c>
      <c r="J293" t="s">
        <v>26</v>
      </c>
      <c r="K293" t="s">
        <v>27</v>
      </c>
      <c r="L293" t="s">
        <v>49</v>
      </c>
      <c r="M293" s="4">
        <v>9</v>
      </c>
      <c r="N293" s="4">
        <v>7</v>
      </c>
      <c r="O293" t="s">
        <v>36</v>
      </c>
      <c r="P293" t="s">
        <v>36</v>
      </c>
      <c r="Q293" s="4">
        <v>94373</v>
      </c>
      <c r="R293" s="4">
        <v>60084</v>
      </c>
      <c r="S293" s="4">
        <f>Table1[[#This Row],[Service_Revenue]]-Table1[[#This Row],[Service_Cost]]</f>
        <v>34289</v>
      </c>
      <c r="T293" s="4">
        <v>4</v>
      </c>
      <c r="U293" s="4">
        <f>IF(AND(Table1[[#This Row],[Rework_Flag]]="Yes",Table1[[#This Row],[Warranty_Claim]]="No"),Table1[[#This Row],[Service_Revenue]],0)</f>
        <v>0</v>
      </c>
      <c r="V293" s="4">
        <f>IF(Table1[[#This Row],[Warranty_Claim]]="Yes",1,0)</f>
        <v>0</v>
      </c>
      <c r="W293" s="4">
        <f>IF(Table1[[#This Row],[Rework_Flag]]="No",1,0)</f>
        <v>1</v>
      </c>
      <c r="X293" s="4">
        <f>IF(Table1[[#This Row],[Rework_Flag]]="Yes",1,0)</f>
        <v>0</v>
      </c>
      <c r="Y293" s="4">
        <v>1</v>
      </c>
      <c r="Z293" s="4" t="str">
        <f>IF(Table1[[#This Row],[TAT_Days]]&gt;Table1[[#This Row],[SLA_TAT]],"Yes","No")</f>
        <v>Yes</v>
      </c>
      <c r="AA293" s="4" t="str" cm="1">
        <f t="array" ref="AA293">_xlfn.IFS(Table1[[#This Row],[Customer_Satisfaction]]&lt;=2,"Poor",Table1[[#This Row],[Customer_Satisfaction]]=3,"Neutral",Table1[[#This Row],[Customer_Satisfaction]]=4,"Good",Table1[[#This Row],[Customer_Satisfaction]]=5,"Good")</f>
        <v>Good</v>
      </c>
    </row>
    <row r="294" spans="1:27" x14ac:dyDescent="0.35">
      <c r="A294">
        <v>20292</v>
      </c>
      <c r="B294" s="1">
        <v>45340</v>
      </c>
      <c r="C294" t="s">
        <v>37</v>
      </c>
      <c r="D294" t="s">
        <v>64</v>
      </c>
      <c r="E294" t="s">
        <v>87</v>
      </c>
      <c r="F294" t="s">
        <v>53</v>
      </c>
      <c r="G294" t="s">
        <v>54</v>
      </c>
      <c r="H294" t="s">
        <v>42</v>
      </c>
      <c r="I294" t="s">
        <v>55</v>
      </c>
      <c r="J294" t="s">
        <v>58</v>
      </c>
      <c r="K294" t="s">
        <v>61</v>
      </c>
      <c r="L294" t="s">
        <v>49</v>
      </c>
      <c r="M294" s="4">
        <v>21</v>
      </c>
      <c r="N294" s="4">
        <v>7</v>
      </c>
      <c r="O294" t="s">
        <v>36</v>
      </c>
      <c r="P294" t="s">
        <v>36</v>
      </c>
      <c r="Q294" s="4">
        <v>381939</v>
      </c>
      <c r="R294" s="4">
        <v>314374</v>
      </c>
      <c r="S294" s="4">
        <f>Table1[[#This Row],[Service_Revenue]]-Table1[[#This Row],[Service_Cost]]</f>
        <v>67565</v>
      </c>
      <c r="T294" s="4">
        <v>1</v>
      </c>
      <c r="U294" s="4">
        <f>IF(AND(Table1[[#This Row],[Rework_Flag]]="Yes",Table1[[#This Row],[Warranty_Claim]]="No"),Table1[[#This Row],[Service_Revenue]],0)</f>
        <v>0</v>
      </c>
      <c r="V294" s="4">
        <f>IF(Table1[[#This Row],[Warranty_Claim]]="Yes",1,0)</f>
        <v>0</v>
      </c>
      <c r="W294" s="4">
        <f>IF(Table1[[#This Row],[Rework_Flag]]="No",1,0)</f>
        <v>1</v>
      </c>
      <c r="X294" s="4">
        <f>IF(Table1[[#This Row],[Rework_Flag]]="Yes",1,0)</f>
        <v>0</v>
      </c>
      <c r="Y294" s="4">
        <v>1</v>
      </c>
      <c r="Z294" s="4" t="str">
        <f>IF(Table1[[#This Row],[TAT_Days]]&gt;Table1[[#This Row],[SLA_TAT]],"Yes","No")</f>
        <v>Yes</v>
      </c>
      <c r="AA294" s="4" t="str" cm="1">
        <f t="array" ref="AA294">_xlfn.IFS(Table1[[#This Row],[Customer_Satisfaction]]&lt;=2,"Poor",Table1[[#This Row],[Customer_Satisfaction]]=3,"Neutral",Table1[[#This Row],[Customer_Satisfaction]]=4,"Good",Table1[[#This Row],[Customer_Satisfaction]]=5,"Good")</f>
        <v>Poor</v>
      </c>
    </row>
    <row r="295" spans="1:27" x14ac:dyDescent="0.35">
      <c r="A295">
        <v>20293</v>
      </c>
      <c r="B295" s="1">
        <v>45331</v>
      </c>
      <c r="C295" t="s">
        <v>37</v>
      </c>
      <c r="D295" t="s">
        <v>38</v>
      </c>
      <c r="E295" t="s">
        <v>107</v>
      </c>
      <c r="F295" t="s">
        <v>40</v>
      </c>
      <c r="G295" t="s">
        <v>41</v>
      </c>
      <c r="H295" t="s">
        <v>42</v>
      </c>
      <c r="I295" t="s">
        <v>55</v>
      </c>
      <c r="J295" t="s">
        <v>26</v>
      </c>
      <c r="K295" t="s">
        <v>61</v>
      </c>
      <c r="L295" t="s">
        <v>49</v>
      </c>
      <c r="M295" s="4">
        <v>20</v>
      </c>
      <c r="N295" s="4">
        <v>7</v>
      </c>
      <c r="O295" t="s">
        <v>29</v>
      </c>
      <c r="P295" t="s">
        <v>29</v>
      </c>
      <c r="Q295" s="4">
        <v>390524</v>
      </c>
      <c r="R295" s="4">
        <v>217227</v>
      </c>
      <c r="S295" s="4">
        <f>Table1[[#This Row],[Service_Revenue]]-Table1[[#This Row],[Service_Cost]]</f>
        <v>173297</v>
      </c>
      <c r="T295" s="4">
        <v>1</v>
      </c>
      <c r="U295" s="4">
        <f>IF(AND(Table1[[#This Row],[Rework_Flag]]="Yes",Table1[[#This Row],[Warranty_Claim]]="No"),Table1[[#This Row],[Service_Revenue]],0)</f>
        <v>0</v>
      </c>
      <c r="V295" s="4">
        <f>IF(Table1[[#This Row],[Warranty_Claim]]="Yes",1,0)</f>
        <v>1</v>
      </c>
      <c r="W295" s="4">
        <f>IF(Table1[[#This Row],[Rework_Flag]]="No",1,0)</f>
        <v>0</v>
      </c>
      <c r="X295" s="4">
        <f>IF(Table1[[#This Row],[Rework_Flag]]="Yes",1,0)</f>
        <v>1</v>
      </c>
      <c r="Y295" s="4">
        <v>1</v>
      </c>
      <c r="Z295" s="4" t="str">
        <f>IF(Table1[[#This Row],[TAT_Days]]&gt;Table1[[#This Row],[SLA_TAT]],"Yes","No")</f>
        <v>Yes</v>
      </c>
      <c r="AA295" s="4" t="str" cm="1">
        <f t="array" ref="AA295">_xlfn.IFS(Table1[[#This Row],[Customer_Satisfaction]]&lt;=2,"Poor",Table1[[#This Row],[Customer_Satisfaction]]=3,"Neutral",Table1[[#This Row],[Customer_Satisfaction]]=4,"Good",Table1[[#This Row],[Customer_Satisfaction]]=5,"Good")</f>
        <v>Poor</v>
      </c>
    </row>
    <row r="296" spans="1:27" x14ac:dyDescent="0.35">
      <c r="A296">
        <v>20294</v>
      </c>
      <c r="B296" s="1">
        <v>45444</v>
      </c>
      <c r="C296" t="s">
        <v>50</v>
      </c>
      <c r="D296" t="s">
        <v>80</v>
      </c>
      <c r="E296" t="s">
        <v>118</v>
      </c>
      <c r="F296" t="s">
        <v>22</v>
      </c>
      <c r="G296" t="s">
        <v>33</v>
      </c>
      <c r="H296" t="s">
        <v>34</v>
      </c>
      <c r="I296" t="s">
        <v>55</v>
      </c>
      <c r="J296" t="s">
        <v>58</v>
      </c>
      <c r="K296" t="s">
        <v>61</v>
      </c>
      <c r="L296" t="s">
        <v>28</v>
      </c>
      <c r="M296" s="4">
        <v>15</v>
      </c>
      <c r="N296" s="4">
        <v>7</v>
      </c>
      <c r="O296" t="s">
        <v>36</v>
      </c>
      <c r="P296" t="s">
        <v>29</v>
      </c>
      <c r="Q296" s="4">
        <v>581931</v>
      </c>
      <c r="R296" s="4">
        <v>460226</v>
      </c>
      <c r="S296" s="4">
        <f>Table1[[#This Row],[Service_Revenue]]-Table1[[#This Row],[Service_Cost]]</f>
        <v>121705</v>
      </c>
      <c r="T296" s="4">
        <v>2</v>
      </c>
      <c r="U296" s="4">
        <f>IF(AND(Table1[[#This Row],[Rework_Flag]]="Yes",Table1[[#This Row],[Warranty_Claim]]="No"),Table1[[#This Row],[Service_Revenue]],0)</f>
        <v>0</v>
      </c>
      <c r="V296" s="4">
        <f>IF(Table1[[#This Row],[Warranty_Claim]]="Yes",1,0)</f>
        <v>1</v>
      </c>
      <c r="W296" s="4">
        <f>IF(Table1[[#This Row],[Rework_Flag]]="No",1,0)</f>
        <v>1</v>
      </c>
      <c r="X296" s="4">
        <f>IF(Table1[[#This Row],[Rework_Flag]]="Yes",1,0)</f>
        <v>0</v>
      </c>
      <c r="Y296" s="4">
        <v>1</v>
      </c>
      <c r="Z296" s="4" t="str">
        <f>IF(Table1[[#This Row],[TAT_Days]]&gt;Table1[[#This Row],[SLA_TAT]],"Yes","No")</f>
        <v>Yes</v>
      </c>
      <c r="AA296" s="4" t="str" cm="1">
        <f t="array" ref="AA296">_xlfn.IFS(Table1[[#This Row],[Customer_Satisfaction]]&lt;=2,"Poor",Table1[[#This Row],[Customer_Satisfaction]]=3,"Neutral",Table1[[#This Row],[Customer_Satisfaction]]=4,"Good",Table1[[#This Row],[Customer_Satisfaction]]=5,"Good")</f>
        <v>Poor</v>
      </c>
    </row>
    <row r="297" spans="1:27" x14ac:dyDescent="0.35">
      <c r="A297">
        <v>20295</v>
      </c>
      <c r="B297" s="1">
        <v>45392</v>
      </c>
      <c r="C297" t="s">
        <v>19</v>
      </c>
      <c r="D297" t="s">
        <v>45</v>
      </c>
      <c r="E297" t="s">
        <v>76</v>
      </c>
      <c r="F297" t="s">
        <v>22</v>
      </c>
      <c r="G297" t="s">
        <v>74</v>
      </c>
      <c r="H297" t="s">
        <v>34</v>
      </c>
      <c r="I297" t="s">
        <v>25</v>
      </c>
      <c r="J297" t="s">
        <v>26</v>
      </c>
      <c r="K297" t="s">
        <v>61</v>
      </c>
      <c r="L297" t="s">
        <v>49</v>
      </c>
      <c r="M297" s="4">
        <v>2</v>
      </c>
      <c r="N297" s="4">
        <v>7</v>
      </c>
      <c r="O297" t="s">
        <v>29</v>
      </c>
      <c r="P297" t="s">
        <v>29</v>
      </c>
      <c r="Q297" s="4">
        <v>521587</v>
      </c>
      <c r="R297" s="4">
        <v>283185</v>
      </c>
      <c r="S297" s="4">
        <f>Table1[[#This Row],[Service_Revenue]]-Table1[[#This Row],[Service_Cost]]</f>
        <v>238402</v>
      </c>
      <c r="T297" s="4">
        <v>4</v>
      </c>
      <c r="U297" s="4">
        <f>IF(AND(Table1[[#This Row],[Rework_Flag]]="Yes",Table1[[#This Row],[Warranty_Claim]]="No"),Table1[[#This Row],[Service_Revenue]],0)</f>
        <v>0</v>
      </c>
      <c r="V297" s="4">
        <f>IF(Table1[[#This Row],[Warranty_Claim]]="Yes",1,0)</f>
        <v>1</v>
      </c>
      <c r="W297" s="4">
        <f>IF(Table1[[#This Row],[Rework_Flag]]="No",1,0)</f>
        <v>0</v>
      </c>
      <c r="X297" s="4">
        <f>IF(Table1[[#This Row],[Rework_Flag]]="Yes",1,0)</f>
        <v>1</v>
      </c>
      <c r="Y297" s="4">
        <v>1</v>
      </c>
      <c r="Z297" s="4" t="str">
        <f>IF(Table1[[#This Row],[TAT_Days]]&gt;Table1[[#This Row],[SLA_TAT]],"Yes","No")</f>
        <v>No</v>
      </c>
      <c r="AA297" s="4" t="str" cm="1">
        <f t="array" ref="AA297">_xlfn.IFS(Table1[[#This Row],[Customer_Satisfaction]]&lt;=2,"Poor",Table1[[#This Row],[Customer_Satisfaction]]=3,"Neutral",Table1[[#This Row],[Customer_Satisfaction]]=4,"Good",Table1[[#This Row],[Customer_Satisfaction]]=5,"Good")</f>
        <v>Good</v>
      </c>
    </row>
    <row r="298" spans="1:27" x14ac:dyDescent="0.35">
      <c r="A298">
        <v>20296</v>
      </c>
      <c r="B298" s="1">
        <v>45463</v>
      </c>
      <c r="C298" t="s">
        <v>30</v>
      </c>
      <c r="D298" t="s">
        <v>31</v>
      </c>
      <c r="E298" t="s">
        <v>62</v>
      </c>
      <c r="F298" t="s">
        <v>40</v>
      </c>
      <c r="G298" t="s">
        <v>23</v>
      </c>
      <c r="H298" t="s">
        <v>24</v>
      </c>
      <c r="I298" t="s">
        <v>55</v>
      </c>
      <c r="J298" t="s">
        <v>58</v>
      </c>
      <c r="K298" t="s">
        <v>44</v>
      </c>
      <c r="L298" t="s">
        <v>49</v>
      </c>
      <c r="M298" s="4">
        <v>9</v>
      </c>
      <c r="N298" s="4">
        <v>7</v>
      </c>
      <c r="O298" t="s">
        <v>29</v>
      </c>
      <c r="P298" t="s">
        <v>29</v>
      </c>
      <c r="Q298" s="4">
        <v>247953</v>
      </c>
      <c r="R298" s="4">
        <v>148690</v>
      </c>
      <c r="S298" s="4">
        <f>Table1[[#This Row],[Service_Revenue]]-Table1[[#This Row],[Service_Cost]]</f>
        <v>99263</v>
      </c>
      <c r="T298" s="4">
        <v>3</v>
      </c>
      <c r="U298" s="4">
        <f>IF(AND(Table1[[#This Row],[Rework_Flag]]="Yes",Table1[[#This Row],[Warranty_Claim]]="No"),Table1[[#This Row],[Service_Revenue]],0)</f>
        <v>0</v>
      </c>
      <c r="V298" s="4">
        <f>IF(Table1[[#This Row],[Warranty_Claim]]="Yes",1,0)</f>
        <v>1</v>
      </c>
      <c r="W298" s="4">
        <f>IF(Table1[[#This Row],[Rework_Flag]]="No",1,0)</f>
        <v>0</v>
      </c>
      <c r="X298" s="4">
        <f>IF(Table1[[#This Row],[Rework_Flag]]="Yes",1,0)</f>
        <v>1</v>
      </c>
      <c r="Y298" s="4">
        <v>1</v>
      </c>
      <c r="Z298" s="4" t="str">
        <f>IF(Table1[[#This Row],[TAT_Days]]&gt;Table1[[#This Row],[SLA_TAT]],"Yes","No")</f>
        <v>Yes</v>
      </c>
      <c r="AA298" s="4" t="str" cm="1">
        <f t="array" ref="AA298">_xlfn.IFS(Table1[[#This Row],[Customer_Satisfaction]]&lt;=2,"Poor",Table1[[#This Row],[Customer_Satisfaction]]=3,"Neutral",Table1[[#This Row],[Customer_Satisfaction]]=4,"Good",Table1[[#This Row],[Customer_Satisfaction]]=5,"Good")</f>
        <v>Neutral</v>
      </c>
    </row>
    <row r="299" spans="1:27" x14ac:dyDescent="0.35">
      <c r="A299">
        <v>20297</v>
      </c>
      <c r="B299" s="1">
        <v>45339</v>
      </c>
      <c r="C299" t="s">
        <v>50</v>
      </c>
      <c r="D299" t="s">
        <v>56</v>
      </c>
      <c r="E299" t="s">
        <v>88</v>
      </c>
      <c r="F299" t="s">
        <v>53</v>
      </c>
      <c r="G299" t="s">
        <v>74</v>
      </c>
      <c r="H299" t="s">
        <v>34</v>
      </c>
      <c r="I299" t="s">
        <v>25</v>
      </c>
      <c r="J299" t="s">
        <v>58</v>
      </c>
      <c r="K299" t="s">
        <v>44</v>
      </c>
      <c r="L299" t="s">
        <v>49</v>
      </c>
      <c r="M299" s="4">
        <v>11</v>
      </c>
      <c r="N299" s="4">
        <v>7</v>
      </c>
      <c r="O299" t="s">
        <v>36</v>
      </c>
      <c r="P299" t="s">
        <v>36</v>
      </c>
      <c r="Q299" s="4">
        <v>540048</v>
      </c>
      <c r="R299" s="4">
        <v>302958</v>
      </c>
      <c r="S299" s="4">
        <f>Table1[[#This Row],[Service_Revenue]]-Table1[[#This Row],[Service_Cost]]</f>
        <v>237090</v>
      </c>
      <c r="T299" s="4">
        <v>3</v>
      </c>
      <c r="U299" s="4">
        <f>IF(AND(Table1[[#This Row],[Rework_Flag]]="Yes",Table1[[#This Row],[Warranty_Claim]]="No"),Table1[[#This Row],[Service_Revenue]],0)</f>
        <v>0</v>
      </c>
      <c r="V299" s="4">
        <f>IF(Table1[[#This Row],[Warranty_Claim]]="Yes",1,0)</f>
        <v>0</v>
      </c>
      <c r="W299" s="4">
        <f>IF(Table1[[#This Row],[Rework_Flag]]="No",1,0)</f>
        <v>1</v>
      </c>
      <c r="X299" s="4">
        <f>IF(Table1[[#This Row],[Rework_Flag]]="Yes",1,0)</f>
        <v>0</v>
      </c>
      <c r="Y299" s="4">
        <v>1</v>
      </c>
      <c r="Z299" s="4" t="str">
        <f>IF(Table1[[#This Row],[TAT_Days]]&gt;Table1[[#This Row],[SLA_TAT]],"Yes","No")</f>
        <v>Yes</v>
      </c>
      <c r="AA299" s="4" t="str" cm="1">
        <f t="array" ref="AA299">_xlfn.IFS(Table1[[#This Row],[Customer_Satisfaction]]&lt;=2,"Poor",Table1[[#This Row],[Customer_Satisfaction]]=3,"Neutral",Table1[[#This Row],[Customer_Satisfaction]]=4,"Good",Table1[[#This Row],[Customer_Satisfaction]]=5,"Good")</f>
        <v>Neutral</v>
      </c>
    </row>
    <row r="300" spans="1:27" x14ac:dyDescent="0.35">
      <c r="A300">
        <v>20298</v>
      </c>
      <c r="B300" s="1">
        <v>45311</v>
      </c>
      <c r="C300" t="s">
        <v>30</v>
      </c>
      <c r="D300" t="s">
        <v>59</v>
      </c>
      <c r="E300" t="s">
        <v>60</v>
      </c>
      <c r="F300" t="s">
        <v>40</v>
      </c>
      <c r="G300" t="s">
        <v>74</v>
      </c>
      <c r="H300" t="s">
        <v>34</v>
      </c>
      <c r="I300" t="s">
        <v>55</v>
      </c>
      <c r="J300" t="s">
        <v>26</v>
      </c>
      <c r="K300" t="s">
        <v>61</v>
      </c>
      <c r="L300" t="s">
        <v>28</v>
      </c>
      <c r="M300" s="4">
        <v>5</v>
      </c>
      <c r="N300" s="4">
        <v>7</v>
      </c>
      <c r="O300" t="s">
        <v>36</v>
      </c>
      <c r="P300" t="s">
        <v>29</v>
      </c>
      <c r="Q300" s="4">
        <v>224589</v>
      </c>
      <c r="R300" s="4">
        <v>186557</v>
      </c>
      <c r="S300" s="4">
        <f>Table1[[#This Row],[Service_Revenue]]-Table1[[#This Row],[Service_Cost]]</f>
        <v>38032</v>
      </c>
      <c r="T300" s="4">
        <v>4</v>
      </c>
      <c r="U300" s="4">
        <f>IF(AND(Table1[[#This Row],[Rework_Flag]]="Yes",Table1[[#This Row],[Warranty_Claim]]="No"),Table1[[#This Row],[Service_Revenue]],0)</f>
        <v>0</v>
      </c>
      <c r="V300" s="4">
        <f>IF(Table1[[#This Row],[Warranty_Claim]]="Yes",1,0)</f>
        <v>1</v>
      </c>
      <c r="W300" s="4">
        <f>IF(Table1[[#This Row],[Rework_Flag]]="No",1,0)</f>
        <v>1</v>
      </c>
      <c r="X300" s="4">
        <f>IF(Table1[[#This Row],[Rework_Flag]]="Yes",1,0)</f>
        <v>0</v>
      </c>
      <c r="Y300" s="4">
        <v>1</v>
      </c>
      <c r="Z300" s="4" t="str">
        <f>IF(Table1[[#This Row],[TAT_Days]]&gt;Table1[[#This Row],[SLA_TAT]],"Yes","No")</f>
        <v>No</v>
      </c>
      <c r="AA300" s="4" t="str" cm="1">
        <f t="array" ref="AA300">_xlfn.IFS(Table1[[#This Row],[Customer_Satisfaction]]&lt;=2,"Poor",Table1[[#This Row],[Customer_Satisfaction]]=3,"Neutral",Table1[[#This Row],[Customer_Satisfaction]]=4,"Good",Table1[[#This Row],[Customer_Satisfaction]]=5,"Good")</f>
        <v>Good</v>
      </c>
    </row>
    <row r="301" spans="1:27" x14ac:dyDescent="0.35">
      <c r="A301">
        <v>20299</v>
      </c>
      <c r="B301" s="1">
        <v>45292</v>
      </c>
      <c r="C301" t="s">
        <v>37</v>
      </c>
      <c r="D301" t="s">
        <v>64</v>
      </c>
      <c r="E301" t="s">
        <v>115</v>
      </c>
      <c r="F301" t="s">
        <v>40</v>
      </c>
      <c r="G301" t="s">
        <v>23</v>
      </c>
      <c r="H301" t="s">
        <v>24</v>
      </c>
      <c r="I301" t="s">
        <v>55</v>
      </c>
      <c r="J301" t="s">
        <v>67</v>
      </c>
      <c r="K301" t="s">
        <v>61</v>
      </c>
      <c r="L301" t="s">
        <v>28</v>
      </c>
      <c r="M301" s="4">
        <v>4</v>
      </c>
      <c r="N301" s="4">
        <v>7</v>
      </c>
      <c r="O301" t="s">
        <v>29</v>
      </c>
      <c r="P301" t="s">
        <v>29</v>
      </c>
      <c r="Q301" s="4">
        <v>399902</v>
      </c>
      <c r="R301" s="4">
        <v>282894</v>
      </c>
      <c r="S301" s="4">
        <f>Table1[[#This Row],[Service_Revenue]]-Table1[[#This Row],[Service_Cost]]</f>
        <v>117008</v>
      </c>
      <c r="T301" s="4">
        <v>4</v>
      </c>
      <c r="U301" s="4">
        <f>IF(AND(Table1[[#This Row],[Rework_Flag]]="Yes",Table1[[#This Row],[Warranty_Claim]]="No"),Table1[[#This Row],[Service_Revenue]],0)</f>
        <v>0</v>
      </c>
      <c r="V301" s="4">
        <f>IF(Table1[[#This Row],[Warranty_Claim]]="Yes",1,0)</f>
        <v>1</v>
      </c>
      <c r="W301" s="4">
        <f>IF(Table1[[#This Row],[Rework_Flag]]="No",1,0)</f>
        <v>0</v>
      </c>
      <c r="X301" s="4">
        <f>IF(Table1[[#This Row],[Rework_Flag]]="Yes",1,0)</f>
        <v>1</v>
      </c>
      <c r="Y301" s="4">
        <v>1</v>
      </c>
      <c r="Z301" s="4" t="str">
        <f>IF(Table1[[#This Row],[TAT_Days]]&gt;Table1[[#This Row],[SLA_TAT]],"Yes","No")</f>
        <v>No</v>
      </c>
      <c r="AA301" s="4" t="str" cm="1">
        <f t="array" ref="AA301">_xlfn.IFS(Table1[[#This Row],[Customer_Satisfaction]]&lt;=2,"Poor",Table1[[#This Row],[Customer_Satisfaction]]=3,"Neutral",Table1[[#This Row],[Customer_Satisfaction]]=4,"Good",Table1[[#This Row],[Customer_Satisfaction]]=5,"Good")</f>
        <v>Good</v>
      </c>
    </row>
    <row r="302" spans="1:27" x14ac:dyDescent="0.35">
      <c r="A302">
        <v>20300</v>
      </c>
      <c r="B302" s="1">
        <v>45327</v>
      </c>
      <c r="C302" t="s">
        <v>19</v>
      </c>
      <c r="D302" t="s">
        <v>96</v>
      </c>
      <c r="E302" t="s">
        <v>98</v>
      </c>
      <c r="F302" t="s">
        <v>53</v>
      </c>
      <c r="G302" t="s">
        <v>47</v>
      </c>
      <c r="H302" t="s">
        <v>48</v>
      </c>
      <c r="I302" t="s">
        <v>25</v>
      </c>
      <c r="J302" t="s">
        <v>26</v>
      </c>
      <c r="K302" t="s">
        <v>61</v>
      </c>
      <c r="L302" t="s">
        <v>49</v>
      </c>
      <c r="M302" s="4">
        <v>13</v>
      </c>
      <c r="N302" s="4">
        <v>7</v>
      </c>
      <c r="O302" t="s">
        <v>36</v>
      </c>
      <c r="P302" t="s">
        <v>29</v>
      </c>
      <c r="Q302" s="4">
        <v>348438</v>
      </c>
      <c r="R302" s="4">
        <v>261557</v>
      </c>
      <c r="S302" s="4">
        <f>Table1[[#This Row],[Service_Revenue]]-Table1[[#This Row],[Service_Cost]]</f>
        <v>86881</v>
      </c>
      <c r="T302" s="4">
        <v>3</v>
      </c>
      <c r="U302" s="4">
        <f>IF(AND(Table1[[#This Row],[Rework_Flag]]="Yes",Table1[[#This Row],[Warranty_Claim]]="No"),Table1[[#This Row],[Service_Revenue]],0)</f>
        <v>0</v>
      </c>
      <c r="V302" s="4">
        <f>IF(Table1[[#This Row],[Warranty_Claim]]="Yes",1,0)</f>
        <v>1</v>
      </c>
      <c r="W302" s="4">
        <f>IF(Table1[[#This Row],[Rework_Flag]]="No",1,0)</f>
        <v>1</v>
      </c>
      <c r="X302" s="4">
        <f>IF(Table1[[#This Row],[Rework_Flag]]="Yes",1,0)</f>
        <v>0</v>
      </c>
      <c r="Y302" s="4">
        <v>1</v>
      </c>
      <c r="Z302" s="4" t="str">
        <f>IF(Table1[[#This Row],[TAT_Days]]&gt;Table1[[#This Row],[SLA_TAT]],"Yes","No")</f>
        <v>Yes</v>
      </c>
      <c r="AA302" s="4" t="str" cm="1">
        <f t="array" ref="AA302">_xlfn.IFS(Table1[[#This Row],[Customer_Satisfaction]]&lt;=2,"Poor",Table1[[#This Row],[Customer_Satisfaction]]=3,"Neutral",Table1[[#This Row],[Customer_Satisfaction]]=4,"Good",Table1[[#This Row],[Customer_Satisfaction]]=5,"Good")</f>
        <v>Neutral</v>
      </c>
    </row>
    <row r="303" spans="1:27" x14ac:dyDescent="0.35">
      <c r="A303">
        <v>20301</v>
      </c>
      <c r="B303" s="1">
        <v>45333</v>
      </c>
      <c r="C303" t="s">
        <v>37</v>
      </c>
      <c r="D303" t="s">
        <v>38</v>
      </c>
      <c r="E303" t="s">
        <v>102</v>
      </c>
      <c r="F303" t="s">
        <v>22</v>
      </c>
      <c r="G303" t="s">
        <v>63</v>
      </c>
      <c r="H303" t="s">
        <v>24</v>
      </c>
      <c r="I303" t="s">
        <v>25</v>
      </c>
      <c r="J303" t="s">
        <v>35</v>
      </c>
      <c r="K303" t="s">
        <v>61</v>
      </c>
      <c r="L303" t="s">
        <v>28</v>
      </c>
      <c r="M303" s="4">
        <v>8</v>
      </c>
      <c r="N303" s="4">
        <v>7</v>
      </c>
      <c r="O303" t="s">
        <v>29</v>
      </c>
      <c r="P303" t="s">
        <v>36</v>
      </c>
      <c r="Q303" s="4">
        <v>166622</v>
      </c>
      <c r="R303" s="4">
        <v>101729</v>
      </c>
      <c r="S303" s="4">
        <f>Table1[[#This Row],[Service_Revenue]]-Table1[[#This Row],[Service_Cost]]</f>
        <v>64893</v>
      </c>
      <c r="T303" s="4">
        <v>3</v>
      </c>
      <c r="U303" s="4">
        <f>IF(AND(Table1[[#This Row],[Rework_Flag]]="Yes",Table1[[#This Row],[Warranty_Claim]]="No"),Table1[[#This Row],[Service_Revenue]],0)</f>
        <v>166622</v>
      </c>
      <c r="V303" s="4">
        <f>IF(Table1[[#This Row],[Warranty_Claim]]="Yes",1,0)</f>
        <v>0</v>
      </c>
      <c r="W303" s="4">
        <f>IF(Table1[[#This Row],[Rework_Flag]]="No",1,0)</f>
        <v>0</v>
      </c>
      <c r="X303" s="4">
        <f>IF(Table1[[#This Row],[Rework_Flag]]="Yes",1,0)</f>
        <v>1</v>
      </c>
      <c r="Y303" s="4">
        <v>1</v>
      </c>
      <c r="Z303" s="4" t="str">
        <f>IF(Table1[[#This Row],[TAT_Days]]&gt;Table1[[#This Row],[SLA_TAT]],"Yes","No")</f>
        <v>Yes</v>
      </c>
      <c r="AA303" s="4" t="str" cm="1">
        <f t="array" ref="AA303">_xlfn.IFS(Table1[[#This Row],[Customer_Satisfaction]]&lt;=2,"Poor",Table1[[#This Row],[Customer_Satisfaction]]=3,"Neutral",Table1[[#This Row],[Customer_Satisfaction]]=4,"Good",Table1[[#This Row],[Customer_Satisfaction]]=5,"Good")</f>
        <v>Neutral</v>
      </c>
    </row>
    <row r="304" spans="1:27" x14ac:dyDescent="0.35">
      <c r="A304">
        <v>20302</v>
      </c>
      <c r="B304" s="1">
        <v>45446</v>
      </c>
      <c r="C304" t="s">
        <v>50</v>
      </c>
      <c r="D304" t="s">
        <v>56</v>
      </c>
      <c r="E304" t="s">
        <v>88</v>
      </c>
      <c r="F304" t="s">
        <v>40</v>
      </c>
      <c r="G304" t="s">
        <v>74</v>
      </c>
      <c r="H304" t="s">
        <v>34</v>
      </c>
      <c r="I304" t="s">
        <v>25</v>
      </c>
      <c r="J304" t="s">
        <v>26</v>
      </c>
      <c r="K304" t="s">
        <v>27</v>
      </c>
      <c r="L304" t="s">
        <v>49</v>
      </c>
      <c r="M304" s="4">
        <v>25</v>
      </c>
      <c r="N304" s="4">
        <v>7</v>
      </c>
      <c r="O304" t="s">
        <v>29</v>
      </c>
      <c r="P304" t="s">
        <v>29</v>
      </c>
      <c r="Q304" s="4">
        <v>151652</v>
      </c>
      <c r="R304" s="4">
        <v>127272</v>
      </c>
      <c r="S304" s="4">
        <f>Table1[[#This Row],[Service_Revenue]]-Table1[[#This Row],[Service_Cost]]</f>
        <v>24380</v>
      </c>
      <c r="T304" s="4">
        <v>1</v>
      </c>
      <c r="U304" s="4">
        <f>IF(AND(Table1[[#This Row],[Rework_Flag]]="Yes",Table1[[#This Row],[Warranty_Claim]]="No"),Table1[[#This Row],[Service_Revenue]],0)</f>
        <v>0</v>
      </c>
      <c r="V304" s="4">
        <f>IF(Table1[[#This Row],[Warranty_Claim]]="Yes",1,0)</f>
        <v>1</v>
      </c>
      <c r="W304" s="4">
        <f>IF(Table1[[#This Row],[Rework_Flag]]="No",1,0)</f>
        <v>0</v>
      </c>
      <c r="X304" s="4">
        <f>IF(Table1[[#This Row],[Rework_Flag]]="Yes",1,0)</f>
        <v>1</v>
      </c>
      <c r="Y304" s="4">
        <v>1</v>
      </c>
      <c r="Z304" s="4" t="str">
        <f>IF(Table1[[#This Row],[TAT_Days]]&gt;Table1[[#This Row],[SLA_TAT]],"Yes","No")</f>
        <v>Yes</v>
      </c>
      <c r="AA304" s="4" t="str" cm="1">
        <f t="array" ref="AA304">_xlfn.IFS(Table1[[#This Row],[Customer_Satisfaction]]&lt;=2,"Poor",Table1[[#This Row],[Customer_Satisfaction]]=3,"Neutral",Table1[[#This Row],[Customer_Satisfaction]]=4,"Good",Table1[[#This Row],[Customer_Satisfaction]]=5,"Good")</f>
        <v>Poor</v>
      </c>
    </row>
    <row r="305" spans="1:27" x14ac:dyDescent="0.35">
      <c r="A305">
        <v>20303</v>
      </c>
      <c r="B305" s="1">
        <v>45359</v>
      </c>
      <c r="C305" t="s">
        <v>30</v>
      </c>
      <c r="D305" t="s">
        <v>59</v>
      </c>
      <c r="E305" t="s">
        <v>78</v>
      </c>
      <c r="F305" t="s">
        <v>40</v>
      </c>
      <c r="G305" t="s">
        <v>23</v>
      </c>
      <c r="H305" t="s">
        <v>24</v>
      </c>
      <c r="I305" t="s">
        <v>55</v>
      </c>
      <c r="J305" t="s">
        <v>35</v>
      </c>
      <c r="K305" t="s">
        <v>27</v>
      </c>
      <c r="L305" t="s">
        <v>49</v>
      </c>
      <c r="M305" s="4">
        <v>7</v>
      </c>
      <c r="N305" s="4">
        <v>7</v>
      </c>
      <c r="O305" t="s">
        <v>29</v>
      </c>
      <c r="P305" t="s">
        <v>36</v>
      </c>
      <c r="Q305" s="4">
        <v>221434</v>
      </c>
      <c r="R305" s="4">
        <v>151293</v>
      </c>
      <c r="S305" s="4">
        <f>Table1[[#This Row],[Service_Revenue]]-Table1[[#This Row],[Service_Cost]]</f>
        <v>70141</v>
      </c>
      <c r="T305" s="4">
        <v>3</v>
      </c>
      <c r="U305" s="4">
        <f>IF(AND(Table1[[#This Row],[Rework_Flag]]="Yes",Table1[[#This Row],[Warranty_Claim]]="No"),Table1[[#This Row],[Service_Revenue]],0)</f>
        <v>221434</v>
      </c>
      <c r="V305" s="4">
        <f>IF(Table1[[#This Row],[Warranty_Claim]]="Yes",1,0)</f>
        <v>0</v>
      </c>
      <c r="W305" s="4">
        <f>IF(Table1[[#This Row],[Rework_Flag]]="No",1,0)</f>
        <v>0</v>
      </c>
      <c r="X305" s="4">
        <f>IF(Table1[[#This Row],[Rework_Flag]]="Yes",1,0)</f>
        <v>1</v>
      </c>
      <c r="Y305" s="4">
        <v>1</v>
      </c>
      <c r="Z305" s="4" t="str">
        <f>IF(Table1[[#This Row],[TAT_Days]]&gt;Table1[[#This Row],[SLA_TAT]],"Yes","No")</f>
        <v>No</v>
      </c>
      <c r="AA305" s="4" t="str" cm="1">
        <f t="array" ref="AA305">_xlfn.IFS(Table1[[#This Row],[Customer_Satisfaction]]&lt;=2,"Poor",Table1[[#This Row],[Customer_Satisfaction]]=3,"Neutral",Table1[[#This Row],[Customer_Satisfaction]]=4,"Good",Table1[[#This Row],[Customer_Satisfaction]]=5,"Good")</f>
        <v>Neutral</v>
      </c>
    </row>
    <row r="306" spans="1:27" x14ac:dyDescent="0.35">
      <c r="A306">
        <v>20304</v>
      </c>
      <c r="B306" s="1">
        <v>45294</v>
      </c>
      <c r="C306" t="s">
        <v>30</v>
      </c>
      <c r="D306" t="s">
        <v>59</v>
      </c>
      <c r="E306" t="s">
        <v>60</v>
      </c>
      <c r="F306" t="s">
        <v>22</v>
      </c>
      <c r="G306" t="s">
        <v>23</v>
      </c>
      <c r="H306" t="s">
        <v>24</v>
      </c>
      <c r="I306" t="s">
        <v>25</v>
      </c>
      <c r="J306" t="s">
        <v>67</v>
      </c>
      <c r="K306" t="s">
        <v>44</v>
      </c>
      <c r="L306" t="s">
        <v>49</v>
      </c>
      <c r="M306" s="4">
        <v>12</v>
      </c>
      <c r="N306" s="4">
        <v>7</v>
      </c>
      <c r="O306" t="s">
        <v>29</v>
      </c>
      <c r="P306" t="s">
        <v>29</v>
      </c>
      <c r="Q306" s="4">
        <v>288807</v>
      </c>
      <c r="R306" s="4">
        <v>215073</v>
      </c>
      <c r="S306" s="4">
        <f>Table1[[#This Row],[Service_Revenue]]-Table1[[#This Row],[Service_Cost]]</f>
        <v>73734</v>
      </c>
      <c r="T306" s="4">
        <v>2</v>
      </c>
      <c r="U306" s="4">
        <f>IF(AND(Table1[[#This Row],[Rework_Flag]]="Yes",Table1[[#This Row],[Warranty_Claim]]="No"),Table1[[#This Row],[Service_Revenue]],0)</f>
        <v>0</v>
      </c>
      <c r="V306" s="4">
        <f>IF(Table1[[#This Row],[Warranty_Claim]]="Yes",1,0)</f>
        <v>1</v>
      </c>
      <c r="W306" s="4">
        <f>IF(Table1[[#This Row],[Rework_Flag]]="No",1,0)</f>
        <v>0</v>
      </c>
      <c r="X306" s="4">
        <f>IF(Table1[[#This Row],[Rework_Flag]]="Yes",1,0)</f>
        <v>1</v>
      </c>
      <c r="Y306" s="4">
        <v>1</v>
      </c>
      <c r="Z306" s="4" t="str">
        <f>IF(Table1[[#This Row],[TAT_Days]]&gt;Table1[[#This Row],[SLA_TAT]],"Yes","No")</f>
        <v>Yes</v>
      </c>
      <c r="AA306" s="4" t="str" cm="1">
        <f t="array" ref="AA306">_xlfn.IFS(Table1[[#This Row],[Customer_Satisfaction]]&lt;=2,"Poor",Table1[[#This Row],[Customer_Satisfaction]]=3,"Neutral",Table1[[#This Row],[Customer_Satisfaction]]=4,"Good",Table1[[#This Row],[Customer_Satisfaction]]=5,"Good")</f>
        <v>Poor</v>
      </c>
    </row>
    <row r="307" spans="1:27" x14ac:dyDescent="0.35">
      <c r="A307">
        <v>20305</v>
      </c>
      <c r="B307" s="1">
        <v>45362</v>
      </c>
      <c r="C307" t="s">
        <v>50</v>
      </c>
      <c r="D307" t="s">
        <v>51</v>
      </c>
      <c r="E307" t="s">
        <v>120</v>
      </c>
      <c r="F307" t="s">
        <v>22</v>
      </c>
      <c r="G307" t="s">
        <v>41</v>
      </c>
      <c r="H307" t="s">
        <v>42</v>
      </c>
      <c r="I307" t="s">
        <v>25</v>
      </c>
      <c r="J307" t="s">
        <v>43</v>
      </c>
      <c r="K307" t="s">
        <v>61</v>
      </c>
      <c r="L307" t="s">
        <v>28</v>
      </c>
      <c r="M307" s="4">
        <v>18</v>
      </c>
      <c r="N307" s="4">
        <v>7</v>
      </c>
      <c r="O307" t="s">
        <v>29</v>
      </c>
      <c r="P307" t="s">
        <v>29</v>
      </c>
      <c r="Q307" s="4">
        <v>110714</v>
      </c>
      <c r="R307" s="4">
        <v>56879</v>
      </c>
      <c r="S307" s="4">
        <f>Table1[[#This Row],[Service_Revenue]]-Table1[[#This Row],[Service_Cost]]</f>
        <v>53835</v>
      </c>
      <c r="T307" s="4">
        <v>1</v>
      </c>
      <c r="U307" s="4">
        <f>IF(AND(Table1[[#This Row],[Rework_Flag]]="Yes",Table1[[#This Row],[Warranty_Claim]]="No"),Table1[[#This Row],[Service_Revenue]],0)</f>
        <v>0</v>
      </c>
      <c r="V307" s="4">
        <f>IF(Table1[[#This Row],[Warranty_Claim]]="Yes",1,0)</f>
        <v>1</v>
      </c>
      <c r="W307" s="4">
        <f>IF(Table1[[#This Row],[Rework_Flag]]="No",1,0)</f>
        <v>0</v>
      </c>
      <c r="X307" s="4">
        <f>IF(Table1[[#This Row],[Rework_Flag]]="Yes",1,0)</f>
        <v>1</v>
      </c>
      <c r="Y307" s="4">
        <v>1</v>
      </c>
      <c r="Z307" s="4" t="str">
        <f>IF(Table1[[#This Row],[TAT_Days]]&gt;Table1[[#This Row],[SLA_TAT]],"Yes","No")</f>
        <v>Yes</v>
      </c>
      <c r="AA307" s="4" t="str" cm="1">
        <f t="array" ref="AA307">_xlfn.IFS(Table1[[#This Row],[Customer_Satisfaction]]&lt;=2,"Poor",Table1[[#This Row],[Customer_Satisfaction]]=3,"Neutral",Table1[[#This Row],[Customer_Satisfaction]]=4,"Good",Table1[[#This Row],[Customer_Satisfaction]]=5,"Good")</f>
        <v>Poor</v>
      </c>
    </row>
    <row r="308" spans="1:27" x14ac:dyDescent="0.35">
      <c r="A308">
        <v>20306</v>
      </c>
      <c r="B308" s="1">
        <v>45441</v>
      </c>
      <c r="C308" t="s">
        <v>30</v>
      </c>
      <c r="D308" t="s">
        <v>31</v>
      </c>
      <c r="E308" t="s">
        <v>122</v>
      </c>
      <c r="F308" t="s">
        <v>22</v>
      </c>
      <c r="G308" t="s">
        <v>74</v>
      </c>
      <c r="H308" t="s">
        <v>34</v>
      </c>
      <c r="I308" t="s">
        <v>25</v>
      </c>
      <c r="J308" t="s">
        <v>35</v>
      </c>
      <c r="K308" t="s">
        <v>61</v>
      </c>
      <c r="L308" t="s">
        <v>49</v>
      </c>
      <c r="M308" s="4">
        <v>23</v>
      </c>
      <c r="N308" s="4">
        <v>7</v>
      </c>
      <c r="O308" t="s">
        <v>36</v>
      </c>
      <c r="P308" t="s">
        <v>36</v>
      </c>
      <c r="Q308" s="4">
        <v>132415</v>
      </c>
      <c r="R308" s="4">
        <v>87542</v>
      </c>
      <c r="S308" s="4">
        <f>Table1[[#This Row],[Service_Revenue]]-Table1[[#This Row],[Service_Cost]]</f>
        <v>44873</v>
      </c>
      <c r="T308" s="4">
        <v>1</v>
      </c>
      <c r="U308" s="4">
        <f>IF(AND(Table1[[#This Row],[Rework_Flag]]="Yes",Table1[[#This Row],[Warranty_Claim]]="No"),Table1[[#This Row],[Service_Revenue]],0)</f>
        <v>0</v>
      </c>
      <c r="V308" s="4">
        <f>IF(Table1[[#This Row],[Warranty_Claim]]="Yes",1,0)</f>
        <v>0</v>
      </c>
      <c r="W308" s="4">
        <f>IF(Table1[[#This Row],[Rework_Flag]]="No",1,0)</f>
        <v>1</v>
      </c>
      <c r="X308" s="4">
        <f>IF(Table1[[#This Row],[Rework_Flag]]="Yes",1,0)</f>
        <v>0</v>
      </c>
      <c r="Y308" s="4">
        <v>1</v>
      </c>
      <c r="Z308" s="4" t="str">
        <f>IF(Table1[[#This Row],[TAT_Days]]&gt;Table1[[#This Row],[SLA_TAT]],"Yes","No")</f>
        <v>Yes</v>
      </c>
      <c r="AA308" s="4" t="str" cm="1">
        <f t="array" ref="AA308">_xlfn.IFS(Table1[[#This Row],[Customer_Satisfaction]]&lt;=2,"Poor",Table1[[#This Row],[Customer_Satisfaction]]=3,"Neutral",Table1[[#This Row],[Customer_Satisfaction]]=4,"Good",Table1[[#This Row],[Customer_Satisfaction]]=5,"Good")</f>
        <v>Poor</v>
      </c>
    </row>
    <row r="309" spans="1:27" x14ac:dyDescent="0.35">
      <c r="A309">
        <v>20307</v>
      </c>
      <c r="B309" s="1">
        <v>45414</v>
      </c>
      <c r="C309" t="s">
        <v>50</v>
      </c>
      <c r="D309" t="s">
        <v>56</v>
      </c>
      <c r="E309" t="s">
        <v>101</v>
      </c>
      <c r="F309" t="s">
        <v>40</v>
      </c>
      <c r="G309" t="s">
        <v>47</v>
      </c>
      <c r="H309" t="s">
        <v>48</v>
      </c>
      <c r="I309" t="s">
        <v>25</v>
      </c>
      <c r="J309" t="s">
        <v>26</v>
      </c>
      <c r="K309" t="s">
        <v>44</v>
      </c>
      <c r="L309" t="s">
        <v>49</v>
      </c>
      <c r="M309" s="4">
        <v>4</v>
      </c>
      <c r="N309" s="4">
        <v>7</v>
      </c>
      <c r="O309" t="s">
        <v>36</v>
      </c>
      <c r="P309" t="s">
        <v>29</v>
      </c>
      <c r="Q309" s="4">
        <v>129991</v>
      </c>
      <c r="R309" s="4">
        <v>101387</v>
      </c>
      <c r="S309" s="4">
        <f>Table1[[#This Row],[Service_Revenue]]-Table1[[#This Row],[Service_Cost]]</f>
        <v>28604</v>
      </c>
      <c r="T309" s="4">
        <v>5</v>
      </c>
      <c r="U309" s="4">
        <f>IF(AND(Table1[[#This Row],[Rework_Flag]]="Yes",Table1[[#This Row],[Warranty_Claim]]="No"),Table1[[#This Row],[Service_Revenue]],0)</f>
        <v>0</v>
      </c>
      <c r="V309" s="4">
        <f>IF(Table1[[#This Row],[Warranty_Claim]]="Yes",1,0)</f>
        <v>1</v>
      </c>
      <c r="W309" s="4">
        <f>IF(Table1[[#This Row],[Rework_Flag]]="No",1,0)</f>
        <v>1</v>
      </c>
      <c r="X309" s="4">
        <f>IF(Table1[[#This Row],[Rework_Flag]]="Yes",1,0)</f>
        <v>0</v>
      </c>
      <c r="Y309" s="4">
        <v>1</v>
      </c>
      <c r="Z309" s="4" t="str">
        <f>IF(Table1[[#This Row],[TAT_Days]]&gt;Table1[[#This Row],[SLA_TAT]],"Yes","No")</f>
        <v>No</v>
      </c>
      <c r="AA309" s="4" t="str" cm="1">
        <f t="array" ref="AA309">_xlfn.IFS(Table1[[#This Row],[Customer_Satisfaction]]&lt;=2,"Poor",Table1[[#This Row],[Customer_Satisfaction]]=3,"Neutral",Table1[[#This Row],[Customer_Satisfaction]]=4,"Good",Table1[[#This Row],[Customer_Satisfaction]]=5,"Good")</f>
        <v>Good</v>
      </c>
    </row>
    <row r="310" spans="1:27" x14ac:dyDescent="0.35">
      <c r="A310">
        <v>20308</v>
      </c>
      <c r="B310" s="1">
        <v>45314</v>
      </c>
      <c r="C310" t="s">
        <v>37</v>
      </c>
      <c r="D310" t="s">
        <v>64</v>
      </c>
      <c r="E310" t="s">
        <v>72</v>
      </c>
      <c r="F310" t="s">
        <v>40</v>
      </c>
      <c r="G310" t="s">
        <v>41</v>
      </c>
      <c r="H310" t="s">
        <v>42</v>
      </c>
      <c r="I310" t="s">
        <v>55</v>
      </c>
      <c r="J310" t="s">
        <v>58</v>
      </c>
      <c r="K310" t="s">
        <v>44</v>
      </c>
      <c r="L310" t="s">
        <v>28</v>
      </c>
      <c r="M310" s="4">
        <v>6</v>
      </c>
      <c r="N310" s="4">
        <v>7</v>
      </c>
      <c r="O310" t="s">
        <v>29</v>
      </c>
      <c r="P310" t="s">
        <v>36</v>
      </c>
      <c r="Q310" s="4">
        <v>195275</v>
      </c>
      <c r="R310" s="4">
        <v>145978</v>
      </c>
      <c r="S310" s="4">
        <f>Table1[[#This Row],[Service_Revenue]]-Table1[[#This Row],[Service_Cost]]</f>
        <v>49297</v>
      </c>
      <c r="T310" s="4">
        <v>3</v>
      </c>
      <c r="U310" s="4">
        <f>IF(AND(Table1[[#This Row],[Rework_Flag]]="Yes",Table1[[#This Row],[Warranty_Claim]]="No"),Table1[[#This Row],[Service_Revenue]],0)</f>
        <v>195275</v>
      </c>
      <c r="V310" s="4">
        <f>IF(Table1[[#This Row],[Warranty_Claim]]="Yes",1,0)</f>
        <v>0</v>
      </c>
      <c r="W310" s="4">
        <f>IF(Table1[[#This Row],[Rework_Flag]]="No",1,0)</f>
        <v>0</v>
      </c>
      <c r="X310" s="4">
        <f>IF(Table1[[#This Row],[Rework_Flag]]="Yes",1,0)</f>
        <v>1</v>
      </c>
      <c r="Y310" s="4">
        <v>1</v>
      </c>
      <c r="Z310" s="4" t="str">
        <f>IF(Table1[[#This Row],[TAT_Days]]&gt;Table1[[#This Row],[SLA_TAT]],"Yes","No")</f>
        <v>No</v>
      </c>
      <c r="AA310" s="4" t="str" cm="1">
        <f t="array" ref="AA310">_xlfn.IFS(Table1[[#This Row],[Customer_Satisfaction]]&lt;=2,"Poor",Table1[[#This Row],[Customer_Satisfaction]]=3,"Neutral",Table1[[#This Row],[Customer_Satisfaction]]=4,"Good",Table1[[#This Row],[Customer_Satisfaction]]=5,"Good")</f>
        <v>Neutral</v>
      </c>
    </row>
    <row r="311" spans="1:27" x14ac:dyDescent="0.35">
      <c r="A311">
        <v>20309</v>
      </c>
      <c r="B311" s="1">
        <v>45302</v>
      </c>
      <c r="C311" t="s">
        <v>50</v>
      </c>
      <c r="D311" t="s">
        <v>80</v>
      </c>
      <c r="E311" t="s">
        <v>118</v>
      </c>
      <c r="F311" t="s">
        <v>53</v>
      </c>
      <c r="G311" t="s">
        <v>33</v>
      </c>
      <c r="H311" t="s">
        <v>34</v>
      </c>
      <c r="I311" t="s">
        <v>25</v>
      </c>
      <c r="J311" t="s">
        <v>58</v>
      </c>
      <c r="K311" t="s">
        <v>61</v>
      </c>
      <c r="L311" t="s">
        <v>28</v>
      </c>
      <c r="M311" s="4">
        <v>2</v>
      </c>
      <c r="N311" s="4">
        <v>7</v>
      </c>
      <c r="O311" t="s">
        <v>36</v>
      </c>
      <c r="P311" t="s">
        <v>29</v>
      </c>
      <c r="Q311" s="4">
        <v>553865</v>
      </c>
      <c r="R311" s="4">
        <v>452700</v>
      </c>
      <c r="S311" s="4">
        <f>Table1[[#This Row],[Service_Revenue]]-Table1[[#This Row],[Service_Cost]]</f>
        <v>101165</v>
      </c>
      <c r="T311" s="4">
        <v>5</v>
      </c>
      <c r="U311" s="4">
        <f>IF(AND(Table1[[#This Row],[Rework_Flag]]="Yes",Table1[[#This Row],[Warranty_Claim]]="No"),Table1[[#This Row],[Service_Revenue]],0)</f>
        <v>0</v>
      </c>
      <c r="V311" s="4">
        <f>IF(Table1[[#This Row],[Warranty_Claim]]="Yes",1,0)</f>
        <v>1</v>
      </c>
      <c r="W311" s="4">
        <f>IF(Table1[[#This Row],[Rework_Flag]]="No",1,0)</f>
        <v>1</v>
      </c>
      <c r="X311" s="4">
        <f>IF(Table1[[#This Row],[Rework_Flag]]="Yes",1,0)</f>
        <v>0</v>
      </c>
      <c r="Y311" s="4">
        <v>1</v>
      </c>
      <c r="Z311" s="4" t="str">
        <f>IF(Table1[[#This Row],[TAT_Days]]&gt;Table1[[#This Row],[SLA_TAT]],"Yes","No")</f>
        <v>No</v>
      </c>
      <c r="AA311" s="4" t="str" cm="1">
        <f t="array" ref="AA311">_xlfn.IFS(Table1[[#This Row],[Customer_Satisfaction]]&lt;=2,"Poor",Table1[[#This Row],[Customer_Satisfaction]]=3,"Neutral",Table1[[#This Row],[Customer_Satisfaction]]=4,"Good",Table1[[#This Row],[Customer_Satisfaction]]=5,"Good")</f>
        <v>Good</v>
      </c>
    </row>
    <row r="312" spans="1:27" x14ac:dyDescent="0.35">
      <c r="A312">
        <v>20310</v>
      </c>
      <c r="B312" s="1">
        <v>45444</v>
      </c>
      <c r="C312" t="s">
        <v>30</v>
      </c>
      <c r="D312" t="s">
        <v>59</v>
      </c>
      <c r="E312" t="s">
        <v>78</v>
      </c>
      <c r="F312" t="s">
        <v>40</v>
      </c>
      <c r="G312" t="s">
        <v>41</v>
      </c>
      <c r="H312" t="s">
        <v>42</v>
      </c>
      <c r="I312" t="s">
        <v>25</v>
      </c>
      <c r="J312" t="s">
        <v>35</v>
      </c>
      <c r="K312" t="s">
        <v>61</v>
      </c>
      <c r="L312" t="s">
        <v>49</v>
      </c>
      <c r="M312" s="4">
        <v>9</v>
      </c>
      <c r="N312" s="4">
        <v>7</v>
      </c>
      <c r="O312" t="s">
        <v>29</v>
      </c>
      <c r="P312" t="s">
        <v>29</v>
      </c>
      <c r="Q312" s="4">
        <v>355631</v>
      </c>
      <c r="R312" s="4">
        <v>251970</v>
      </c>
      <c r="S312" s="4">
        <f>Table1[[#This Row],[Service_Revenue]]-Table1[[#This Row],[Service_Cost]]</f>
        <v>103661</v>
      </c>
      <c r="T312" s="4">
        <v>3</v>
      </c>
      <c r="U312" s="4">
        <f>IF(AND(Table1[[#This Row],[Rework_Flag]]="Yes",Table1[[#This Row],[Warranty_Claim]]="No"),Table1[[#This Row],[Service_Revenue]],0)</f>
        <v>0</v>
      </c>
      <c r="V312" s="4">
        <f>IF(Table1[[#This Row],[Warranty_Claim]]="Yes",1,0)</f>
        <v>1</v>
      </c>
      <c r="W312" s="4">
        <f>IF(Table1[[#This Row],[Rework_Flag]]="No",1,0)</f>
        <v>0</v>
      </c>
      <c r="X312" s="4">
        <f>IF(Table1[[#This Row],[Rework_Flag]]="Yes",1,0)</f>
        <v>1</v>
      </c>
      <c r="Y312" s="4">
        <v>1</v>
      </c>
      <c r="Z312" s="4" t="str">
        <f>IF(Table1[[#This Row],[TAT_Days]]&gt;Table1[[#This Row],[SLA_TAT]],"Yes","No")</f>
        <v>Yes</v>
      </c>
      <c r="AA312" s="4" t="str" cm="1">
        <f t="array" ref="AA312">_xlfn.IFS(Table1[[#This Row],[Customer_Satisfaction]]&lt;=2,"Poor",Table1[[#This Row],[Customer_Satisfaction]]=3,"Neutral",Table1[[#This Row],[Customer_Satisfaction]]=4,"Good",Table1[[#This Row],[Customer_Satisfaction]]=5,"Good")</f>
        <v>Neutral</v>
      </c>
    </row>
    <row r="313" spans="1:27" x14ac:dyDescent="0.35">
      <c r="A313">
        <v>20311</v>
      </c>
      <c r="B313" s="1">
        <v>45311</v>
      </c>
      <c r="C313" t="s">
        <v>30</v>
      </c>
      <c r="D313" t="s">
        <v>31</v>
      </c>
      <c r="E313" t="s">
        <v>106</v>
      </c>
      <c r="F313" t="s">
        <v>40</v>
      </c>
      <c r="G313" t="s">
        <v>74</v>
      </c>
      <c r="H313" t="s">
        <v>34</v>
      </c>
      <c r="I313" t="s">
        <v>25</v>
      </c>
      <c r="J313" t="s">
        <v>67</v>
      </c>
      <c r="K313" t="s">
        <v>27</v>
      </c>
      <c r="L313" t="s">
        <v>28</v>
      </c>
      <c r="M313" s="4">
        <v>22</v>
      </c>
      <c r="N313" s="4">
        <v>7</v>
      </c>
      <c r="O313" t="s">
        <v>29</v>
      </c>
      <c r="P313" t="s">
        <v>36</v>
      </c>
      <c r="Q313" s="4">
        <v>428066</v>
      </c>
      <c r="R313" s="4">
        <v>261035</v>
      </c>
      <c r="S313" s="4">
        <f>Table1[[#This Row],[Service_Revenue]]-Table1[[#This Row],[Service_Cost]]</f>
        <v>167031</v>
      </c>
      <c r="T313" s="4">
        <v>1</v>
      </c>
      <c r="U313" s="4">
        <f>IF(AND(Table1[[#This Row],[Rework_Flag]]="Yes",Table1[[#This Row],[Warranty_Claim]]="No"),Table1[[#This Row],[Service_Revenue]],0)</f>
        <v>428066</v>
      </c>
      <c r="V313" s="4">
        <f>IF(Table1[[#This Row],[Warranty_Claim]]="Yes",1,0)</f>
        <v>0</v>
      </c>
      <c r="W313" s="4">
        <f>IF(Table1[[#This Row],[Rework_Flag]]="No",1,0)</f>
        <v>0</v>
      </c>
      <c r="X313" s="4">
        <f>IF(Table1[[#This Row],[Rework_Flag]]="Yes",1,0)</f>
        <v>1</v>
      </c>
      <c r="Y313" s="4">
        <v>1</v>
      </c>
      <c r="Z313" s="4" t="str">
        <f>IF(Table1[[#This Row],[TAT_Days]]&gt;Table1[[#This Row],[SLA_TAT]],"Yes","No")</f>
        <v>Yes</v>
      </c>
      <c r="AA313" s="4" t="str" cm="1">
        <f t="array" ref="AA313">_xlfn.IFS(Table1[[#This Row],[Customer_Satisfaction]]&lt;=2,"Poor",Table1[[#This Row],[Customer_Satisfaction]]=3,"Neutral",Table1[[#This Row],[Customer_Satisfaction]]=4,"Good",Table1[[#This Row],[Customer_Satisfaction]]=5,"Good")</f>
        <v>Poor</v>
      </c>
    </row>
    <row r="314" spans="1:27" x14ac:dyDescent="0.35">
      <c r="A314">
        <v>20312</v>
      </c>
      <c r="B314" s="1">
        <v>45330</v>
      </c>
      <c r="C314" t="s">
        <v>50</v>
      </c>
      <c r="D314" t="s">
        <v>80</v>
      </c>
      <c r="E314" t="s">
        <v>121</v>
      </c>
      <c r="F314" t="s">
        <v>22</v>
      </c>
      <c r="G314" t="s">
        <v>74</v>
      </c>
      <c r="H314" t="s">
        <v>34</v>
      </c>
      <c r="I314" t="s">
        <v>55</v>
      </c>
      <c r="J314" t="s">
        <v>67</v>
      </c>
      <c r="K314" t="s">
        <v>44</v>
      </c>
      <c r="L314" t="s">
        <v>28</v>
      </c>
      <c r="M314" s="4">
        <v>5</v>
      </c>
      <c r="N314" s="4">
        <v>7</v>
      </c>
      <c r="O314" t="s">
        <v>36</v>
      </c>
      <c r="P314" t="s">
        <v>36</v>
      </c>
      <c r="Q314" s="4">
        <v>114030</v>
      </c>
      <c r="R314" s="4">
        <v>69673</v>
      </c>
      <c r="S314" s="4">
        <f>Table1[[#This Row],[Service_Revenue]]-Table1[[#This Row],[Service_Cost]]</f>
        <v>44357</v>
      </c>
      <c r="T314" s="4">
        <v>4</v>
      </c>
      <c r="U314" s="4">
        <f>IF(AND(Table1[[#This Row],[Rework_Flag]]="Yes",Table1[[#This Row],[Warranty_Claim]]="No"),Table1[[#This Row],[Service_Revenue]],0)</f>
        <v>0</v>
      </c>
      <c r="V314" s="4">
        <f>IF(Table1[[#This Row],[Warranty_Claim]]="Yes",1,0)</f>
        <v>0</v>
      </c>
      <c r="W314" s="4">
        <f>IF(Table1[[#This Row],[Rework_Flag]]="No",1,0)</f>
        <v>1</v>
      </c>
      <c r="X314" s="4">
        <f>IF(Table1[[#This Row],[Rework_Flag]]="Yes",1,0)</f>
        <v>0</v>
      </c>
      <c r="Y314" s="4">
        <v>1</v>
      </c>
      <c r="Z314" s="4" t="str">
        <f>IF(Table1[[#This Row],[TAT_Days]]&gt;Table1[[#This Row],[SLA_TAT]],"Yes","No")</f>
        <v>No</v>
      </c>
      <c r="AA314" s="4" t="str" cm="1">
        <f t="array" ref="AA314">_xlfn.IFS(Table1[[#This Row],[Customer_Satisfaction]]&lt;=2,"Poor",Table1[[#This Row],[Customer_Satisfaction]]=3,"Neutral",Table1[[#This Row],[Customer_Satisfaction]]=4,"Good",Table1[[#This Row],[Customer_Satisfaction]]=5,"Good")</f>
        <v>Good</v>
      </c>
    </row>
    <row r="315" spans="1:27" x14ac:dyDescent="0.35">
      <c r="A315">
        <v>20313</v>
      </c>
      <c r="B315" s="1">
        <v>45395</v>
      </c>
      <c r="C315" t="s">
        <v>30</v>
      </c>
      <c r="D315" t="s">
        <v>31</v>
      </c>
      <c r="E315" t="s">
        <v>106</v>
      </c>
      <c r="F315" t="s">
        <v>40</v>
      </c>
      <c r="G315" t="s">
        <v>41</v>
      </c>
      <c r="H315" t="s">
        <v>42</v>
      </c>
      <c r="I315" t="s">
        <v>25</v>
      </c>
      <c r="J315" t="s">
        <v>58</v>
      </c>
      <c r="K315" t="s">
        <v>44</v>
      </c>
      <c r="L315" t="s">
        <v>28</v>
      </c>
      <c r="M315" s="4">
        <v>12</v>
      </c>
      <c r="N315" s="4">
        <v>7</v>
      </c>
      <c r="O315" t="s">
        <v>36</v>
      </c>
      <c r="P315" t="s">
        <v>36</v>
      </c>
      <c r="Q315" s="4">
        <v>278384</v>
      </c>
      <c r="R315" s="4">
        <v>167466</v>
      </c>
      <c r="S315" s="4">
        <f>Table1[[#This Row],[Service_Revenue]]-Table1[[#This Row],[Service_Cost]]</f>
        <v>110918</v>
      </c>
      <c r="T315" s="4">
        <v>3</v>
      </c>
      <c r="U315" s="4">
        <f>IF(AND(Table1[[#This Row],[Rework_Flag]]="Yes",Table1[[#This Row],[Warranty_Claim]]="No"),Table1[[#This Row],[Service_Revenue]],0)</f>
        <v>0</v>
      </c>
      <c r="V315" s="4">
        <f>IF(Table1[[#This Row],[Warranty_Claim]]="Yes",1,0)</f>
        <v>0</v>
      </c>
      <c r="W315" s="4">
        <f>IF(Table1[[#This Row],[Rework_Flag]]="No",1,0)</f>
        <v>1</v>
      </c>
      <c r="X315" s="4">
        <f>IF(Table1[[#This Row],[Rework_Flag]]="Yes",1,0)</f>
        <v>0</v>
      </c>
      <c r="Y315" s="4">
        <v>1</v>
      </c>
      <c r="Z315" s="4" t="str">
        <f>IF(Table1[[#This Row],[TAT_Days]]&gt;Table1[[#This Row],[SLA_TAT]],"Yes","No")</f>
        <v>Yes</v>
      </c>
      <c r="AA315" s="4" t="str" cm="1">
        <f t="array" ref="AA315">_xlfn.IFS(Table1[[#This Row],[Customer_Satisfaction]]&lt;=2,"Poor",Table1[[#This Row],[Customer_Satisfaction]]=3,"Neutral",Table1[[#This Row],[Customer_Satisfaction]]=4,"Good",Table1[[#This Row],[Customer_Satisfaction]]=5,"Good")</f>
        <v>Neutral</v>
      </c>
    </row>
    <row r="316" spans="1:27" x14ac:dyDescent="0.35">
      <c r="A316">
        <v>20314</v>
      </c>
      <c r="B316" s="1">
        <v>45447</v>
      </c>
      <c r="C316" t="s">
        <v>37</v>
      </c>
      <c r="D316" t="s">
        <v>70</v>
      </c>
      <c r="E316" t="s">
        <v>91</v>
      </c>
      <c r="F316" t="s">
        <v>40</v>
      </c>
      <c r="G316" t="s">
        <v>41</v>
      </c>
      <c r="H316" t="s">
        <v>42</v>
      </c>
      <c r="I316" t="s">
        <v>25</v>
      </c>
      <c r="J316" t="s">
        <v>43</v>
      </c>
      <c r="K316" t="s">
        <v>61</v>
      </c>
      <c r="L316" t="s">
        <v>49</v>
      </c>
      <c r="M316" s="4">
        <v>6</v>
      </c>
      <c r="N316" s="4">
        <v>7</v>
      </c>
      <c r="O316" t="s">
        <v>36</v>
      </c>
      <c r="P316" t="s">
        <v>36</v>
      </c>
      <c r="Q316" s="4">
        <v>182212</v>
      </c>
      <c r="R316" s="4">
        <v>148955</v>
      </c>
      <c r="S316" s="4">
        <f>Table1[[#This Row],[Service_Revenue]]-Table1[[#This Row],[Service_Cost]]</f>
        <v>33257</v>
      </c>
      <c r="T316" s="4">
        <v>4</v>
      </c>
      <c r="U316" s="4">
        <f>IF(AND(Table1[[#This Row],[Rework_Flag]]="Yes",Table1[[#This Row],[Warranty_Claim]]="No"),Table1[[#This Row],[Service_Revenue]],0)</f>
        <v>0</v>
      </c>
      <c r="V316" s="4">
        <f>IF(Table1[[#This Row],[Warranty_Claim]]="Yes",1,0)</f>
        <v>0</v>
      </c>
      <c r="W316" s="4">
        <f>IF(Table1[[#This Row],[Rework_Flag]]="No",1,0)</f>
        <v>1</v>
      </c>
      <c r="X316" s="4">
        <f>IF(Table1[[#This Row],[Rework_Flag]]="Yes",1,0)</f>
        <v>0</v>
      </c>
      <c r="Y316" s="4">
        <v>1</v>
      </c>
      <c r="Z316" s="4" t="str">
        <f>IF(Table1[[#This Row],[TAT_Days]]&gt;Table1[[#This Row],[SLA_TAT]],"Yes","No")</f>
        <v>No</v>
      </c>
      <c r="AA316" s="4" t="str" cm="1">
        <f t="array" ref="AA316">_xlfn.IFS(Table1[[#This Row],[Customer_Satisfaction]]&lt;=2,"Poor",Table1[[#This Row],[Customer_Satisfaction]]=3,"Neutral",Table1[[#This Row],[Customer_Satisfaction]]=4,"Good",Table1[[#This Row],[Customer_Satisfaction]]=5,"Good")</f>
        <v>Good</v>
      </c>
    </row>
    <row r="317" spans="1:27" x14ac:dyDescent="0.35">
      <c r="A317">
        <v>20315</v>
      </c>
      <c r="B317" s="1">
        <v>45453</v>
      </c>
      <c r="C317" t="s">
        <v>37</v>
      </c>
      <c r="D317" t="s">
        <v>38</v>
      </c>
      <c r="E317" t="s">
        <v>112</v>
      </c>
      <c r="F317" t="s">
        <v>40</v>
      </c>
      <c r="G317" t="s">
        <v>23</v>
      </c>
      <c r="H317" t="s">
        <v>24</v>
      </c>
      <c r="I317" t="s">
        <v>55</v>
      </c>
      <c r="J317" t="s">
        <v>58</v>
      </c>
      <c r="K317" t="s">
        <v>27</v>
      </c>
      <c r="L317" t="s">
        <v>49</v>
      </c>
      <c r="M317" s="4">
        <v>8</v>
      </c>
      <c r="N317" s="4">
        <v>7</v>
      </c>
      <c r="O317" t="s">
        <v>36</v>
      </c>
      <c r="P317" t="s">
        <v>36</v>
      </c>
      <c r="Q317" s="4">
        <v>174924</v>
      </c>
      <c r="R317" s="4">
        <v>96201</v>
      </c>
      <c r="S317" s="4">
        <f>Table1[[#This Row],[Service_Revenue]]-Table1[[#This Row],[Service_Cost]]</f>
        <v>78723</v>
      </c>
      <c r="T317" s="4">
        <v>4</v>
      </c>
      <c r="U317" s="4">
        <f>IF(AND(Table1[[#This Row],[Rework_Flag]]="Yes",Table1[[#This Row],[Warranty_Claim]]="No"),Table1[[#This Row],[Service_Revenue]],0)</f>
        <v>0</v>
      </c>
      <c r="V317" s="4">
        <f>IF(Table1[[#This Row],[Warranty_Claim]]="Yes",1,0)</f>
        <v>0</v>
      </c>
      <c r="W317" s="4">
        <f>IF(Table1[[#This Row],[Rework_Flag]]="No",1,0)</f>
        <v>1</v>
      </c>
      <c r="X317" s="4">
        <f>IF(Table1[[#This Row],[Rework_Flag]]="Yes",1,0)</f>
        <v>0</v>
      </c>
      <c r="Y317" s="4">
        <v>1</v>
      </c>
      <c r="Z317" s="4" t="str">
        <f>IF(Table1[[#This Row],[TAT_Days]]&gt;Table1[[#This Row],[SLA_TAT]],"Yes","No")</f>
        <v>Yes</v>
      </c>
      <c r="AA317" s="4" t="str" cm="1">
        <f t="array" ref="AA317">_xlfn.IFS(Table1[[#This Row],[Customer_Satisfaction]]&lt;=2,"Poor",Table1[[#This Row],[Customer_Satisfaction]]=3,"Neutral",Table1[[#This Row],[Customer_Satisfaction]]=4,"Good",Table1[[#This Row],[Customer_Satisfaction]]=5,"Good")</f>
        <v>Good</v>
      </c>
    </row>
    <row r="318" spans="1:27" x14ac:dyDescent="0.35">
      <c r="A318">
        <v>20316</v>
      </c>
      <c r="B318" s="1">
        <v>45307</v>
      </c>
      <c r="C318" t="s">
        <v>50</v>
      </c>
      <c r="D318" t="s">
        <v>56</v>
      </c>
      <c r="E318" t="s">
        <v>57</v>
      </c>
      <c r="F318" t="s">
        <v>22</v>
      </c>
      <c r="G318" t="s">
        <v>47</v>
      </c>
      <c r="H318" t="s">
        <v>48</v>
      </c>
      <c r="I318" t="s">
        <v>25</v>
      </c>
      <c r="J318" t="s">
        <v>58</v>
      </c>
      <c r="K318" t="s">
        <v>44</v>
      </c>
      <c r="L318" t="s">
        <v>28</v>
      </c>
      <c r="M318" s="4">
        <v>13</v>
      </c>
      <c r="N318" s="4">
        <v>7</v>
      </c>
      <c r="O318" t="s">
        <v>29</v>
      </c>
      <c r="P318" t="s">
        <v>36</v>
      </c>
      <c r="Q318" s="4">
        <v>441613</v>
      </c>
      <c r="R318" s="4">
        <v>326429</v>
      </c>
      <c r="S318" s="4">
        <f>Table1[[#This Row],[Service_Revenue]]-Table1[[#This Row],[Service_Cost]]</f>
        <v>115184</v>
      </c>
      <c r="T318" s="4">
        <v>2</v>
      </c>
      <c r="U318" s="4">
        <f>IF(AND(Table1[[#This Row],[Rework_Flag]]="Yes",Table1[[#This Row],[Warranty_Claim]]="No"),Table1[[#This Row],[Service_Revenue]],0)</f>
        <v>441613</v>
      </c>
      <c r="V318" s="4">
        <f>IF(Table1[[#This Row],[Warranty_Claim]]="Yes",1,0)</f>
        <v>0</v>
      </c>
      <c r="W318" s="4">
        <f>IF(Table1[[#This Row],[Rework_Flag]]="No",1,0)</f>
        <v>0</v>
      </c>
      <c r="X318" s="4">
        <f>IF(Table1[[#This Row],[Rework_Flag]]="Yes",1,0)</f>
        <v>1</v>
      </c>
      <c r="Y318" s="4">
        <v>1</v>
      </c>
      <c r="Z318" s="4" t="str">
        <f>IF(Table1[[#This Row],[TAT_Days]]&gt;Table1[[#This Row],[SLA_TAT]],"Yes","No")</f>
        <v>Yes</v>
      </c>
      <c r="AA318" s="4" t="str" cm="1">
        <f t="array" ref="AA318">_xlfn.IFS(Table1[[#This Row],[Customer_Satisfaction]]&lt;=2,"Poor",Table1[[#This Row],[Customer_Satisfaction]]=3,"Neutral",Table1[[#This Row],[Customer_Satisfaction]]=4,"Good",Table1[[#This Row],[Customer_Satisfaction]]=5,"Good")</f>
        <v>Poor</v>
      </c>
    </row>
    <row r="319" spans="1:27" x14ac:dyDescent="0.35">
      <c r="A319">
        <v>20317</v>
      </c>
      <c r="B319" s="1">
        <v>45381</v>
      </c>
      <c r="C319" t="s">
        <v>30</v>
      </c>
      <c r="D319" t="s">
        <v>31</v>
      </c>
      <c r="E319" t="s">
        <v>122</v>
      </c>
      <c r="F319" t="s">
        <v>22</v>
      </c>
      <c r="G319" t="s">
        <v>47</v>
      </c>
      <c r="H319" t="s">
        <v>48</v>
      </c>
      <c r="I319" t="s">
        <v>25</v>
      </c>
      <c r="J319" t="s">
        <v>58</v>
      </c>
      <c r="K319" t="s">
        <v>61</v>
      </c>
      <c r="L319" t="s">
        <v>49</v>
      </c>
      <c r="M319" s="4">
        <v>11</v>
      </c>
      <c r="N319" s="4">
        <v>7</v>
      </c>
      <c r="O319" t="s">
        <v>29</v>
      </c>
      <c r="P319" t="s">
        <v>36</v>
      </c>
      <c r="Q319" s="4">
        <v>530786</v>
      </c>
      <c r="R319" s="4">
        <v>337112</v>
      </c>
      <c r="S319" s="4">
        <f>Table1[[#This Row],[Service_Revenue]]-Table1[[#This Row],[Service_Cost]]</f>
        <v>193674</v>
      </c>
      <c r="T319" s="4">
        <v>2</v>
      </c>
      <c r="U319" s="4">
        <f>IF(AND(Table1[[#This Row],[Rework_Flag]]="Yes",Table1[[#This Row],[Warranty_Claim]]="No"),Table1[[#This Row],[Service_Revenue]],0)</f>
        <v>530786</v>
      </c>
      <c r="V319" s="4">
        <f>IF(Table1[[#This Row],[Warranty_Claim]]="Yes",1,0)</f>
        <v>0</v>
      </c>
      <c r="W319" s="4">
        <f>IF(Table1[[#This Row],[Rework_Flag]]="No",1,0)</f>
        <v>0</v>
      </c>
      <c r="X319" s="4">
        <f>IF(Table1[[#This Row],[Rework_Flag]]="Yes",1,0)</f>
        <v>1</v>
      </c>
      <c r="Y319" s="4">
        <v>1</v>
      </c>
      <c r="Z319" s="4" t="str">
        <f>IF(Table1[[#This Row],[TAT_Days]]&gt;Table1[[#This Row],[SLA_TAT]],"Yes","No")</f>
        <v>Yes</v>
      </c>
      <c r="AA319" s="4" t="str" cm="1">
        <f t="array" ref="AA319">_xlfn.IFS(Table1[[#This Row],[Customer_Satisfaction]]&lt;=2,"Poor",Table1[[#This Row],[Customer_Satisfaction]]=3,"Neutral",Table1[[#This Row],[Customer_Satisfaction]]=4,"Good",Table1[[#This Row],[Customer_Satisfaction]]=5,"Good")</f>
        <v>Poor</v>
      </c>
    </row>
    <row r="320" spans="1:27" x14ac:dyDescent="0.35">
      <c r="A320">
        <v>20318</v>
      </c>
      <c r="B320" s="1">
        <v>45424</v>
      </c>
      <c r="C320" t="s">
        <v>50</v>
      </c>
      <c r="D320" t="s">
        <v>51</v>
      </c>
      <c r="E320" t="s">
        <v>52</v>
      </c>
      <c r="F320" t="s">
        <v>40</v>
      </c>
      <c r="G320" t="s">
        <v>63</v>
      </c>
      <c r="H320" t="s">
        <v>24</v>
      </c>
      <c r="I320" t="s">
        <v>55</v>
      </c>
      <c r="J320" t="s">
        <v>58</v>
      </c>
      <c r="K320" t="s">
        <v>61</v>
      </c>
      <c r="L320" t="s">
        <v>49</v>
      </c>
      <c r="M320" s="4">
        <v>21</v>
      </c>
      <c r="N320" s="4">
        <v>7</v>
      </c>
      <c r="O320" t="s">
        <v>36</v>
      </c>
      <c r="P320" t="s">
        <v>36</v>
      </c>
      <c r="Q320" s="4">
        <v>449937</v>
      </c>
      <c r="R320" s="4">
        <v>257753</v>
      </c>
      <c r="S320" s="4">
        <f>Table1[[#This Row],[Service_Revenue]]-Table1[[#This Row],[Service_Cost]]</f>
        <v>192184</v>
      </c>
      <c r="T320" s="4">
        <v>1</v>
      </c>
      <c r="U320" s="4">
        <f>IF(AND(Table1[[#This Row],[Rework_Flag]]="Yes",Table1[[#This Row],[Warranty_Claim]]="No"),Table1[[#This Row],[Service_Revenue]],0)</f>
        <v>0</v>
      </c>
      <c r="V320" s="4">
        <f>IF(Table1[[#This Row],[Warranty_Claim]]="Yes",1,0)</f>
        <v>0</v>
      </c>
      <c r="W320" s="4">
        <f>IF(Table1[[#This Row],[Rework_Flag]]="No",1,0)</f>
        <v>1</v>
      </c>
      <c r="X320" s="4">
        <f>IF(Table1[[#This Row],[Rework_Flag]]="Yes",1,0)</f>
        <v>0</v>
      </c>
      <c r="Y320" s="4">
        <v>1</v>
      </c>
      <c r="Z320" s="4" t="str">
        <f>IF(Table1[[#This Row],[TAT_Days]]&gt;Table1[[#This Row],[SLA_TAT]],"Yes","No")</f>
        <v>Yes</v>
      </c>
      <c r="AA320" s="4" t="str" cm="1">
        <f t="array" ref="AA320">_xlfn.IFS(Table1[[#This Row],[Customer_Satisfaction]]&lt;=2,"Poor",Table1[[#This Row],[Customer_Satisfaction]]=3,"Neutral",Table1[[#This Row],[Customer_Satisfaction]]=4,"Good",Table1[[#This Row],[Customer_Satisfaction]]=5,"Good")</f>
        <v>Poor</v>
      </c>
    </row>
    <row r="321" spans="1:27" x14ac:dyDescent="0.35">
      <c r="A321">
        <v>20319</v>
      </c>
      <c r="B321" s="1">
        <v>45413</v>
      </c>
      <c r="C321" t="s">
        <v>19</v>
      </c>
      <c r="D321" t="s">
        <v>96</v>
      </c>
      <c r="E321" t="s">
        <v>98</v>
      </c>
      <c r="F321" t="s">
        <v>22</v>
      </c>
      <c r="G321" t="s">
        <v>63</v>
      </c>
      <c r="H321" t="s">
        <v>24</v>
      </c>
      <c r="I321" t="s">
        <v>55</v>
      </c>
      <c r="J321" t="s">
        <v>26</v>
      </c>
      <c r="K321" t="s">
        <v>27</v>
      </c>
      <c r="L321" t="s">
        <v>49</v>
      </c>
      <c r="M321" s="4">
        <v>4</v>
      </c>
      <c r="N321" s="4">
        <v>7</v>
      </c>
      <c r="O321" t="s">
        <v>36</v>
      </c>
      <c r="P321" t="s">
        <v>36</v>
      </c>
      <c r="Q321" s="4">
        <v>306610</v>
      </c>
      <c r="R321" s="4">
        <v>176830</v>
      </c>
      <c r="S321" s="4">
        <f>Table1[[#This Row],[Service_Revenue]]-Table1[[#This Row],[Service_Cost]]</f>
        <v>129780</v>
      </c>
      <c r="T321" s="4">
        <v>5</v>
      </c>
      <c r="U321" s="4">
        <f>IF(AND(Table1[[#This Row],[Rework_Flag]]="Yes",Table1[[#This Row],[Warranty_Claim]]="No"),Table1[[#This Row],[Service_Revenue]],0)</f>
        <v>0</v>
      </c>
      <c r="V321" s="4">
        <f>IF(Table1[[#This Row],[Warranty_Claim]]="Yes",1,0)</f>
        <v>0</v>
      </c>
      <c r="W321" s="4">
        <f>IF(Table1[[#This Row],[Rework_Flag]]="No",1,0)</f>
        <v>1</v>
      </c>
      <c r="X321" s="4">
        <f>IF(Table1[[#This Row],[Rework_Flag]]="Yes",1,0)</f>
        <v>0</v>
      </c>
      <c r="Y321" s="4">
        <v>1</v>
      </c>
      <c r="Z321" s="4" t="str">
        <f>IF(Table1[[#This Row],[TAT_Days]]&gt;Table1[[#This Row],[SLA_TAT]],"Yes","No")</f>
        <v>No</v>
      </c>
      <c r="AA321" s="4" t="str" cm="1">
        <f t="array" ref="AA321">_xlfn.IFS(Table1[[#This Row],[Customer_Satisfaction]]&lt;=2,"Poor",Table1[[#This Row],[Customer_Satisfaction]]=3,"Neutral",Table1[[#This Row],[Customer_Satisfaction]]=4,"Good",Table1[[#This Row],[Customer_Satisfaction]]=5,"Good")</f>
        <v>Good</v>
      </c>
    </row>
    <row r="322" spans="1:27" x14ac:dyDescent="0.35">
      <c r="A322">
        <v>20320</v>
      </c>
      <c r="B322" s="1">
        <v>45448</v>
      </c>
      <c r="C322" t="s">
        <v>50</v>
      </c>
      <c r="D322" t="s">
        <v>56</v>
      </c>
      <c r="E322" t="s">
        <v>57</v>
      </c>
      <c r="F322" t="s">
        <v>40</v>
      </c>
      <c r="G322" t="s">
        <v>63</v>
      </c>
      <c r="H322" t="s">
        <v>24</v>
      </c>
      <c r="I322" t="s">
        <v>25</v>
      </c>
      <c r="J322" t="s">
        <v>26</v>
      </c>
      <c r="K322" t="s">
        <v>27</v>
      </c>
      <c r="L322" t="s">
        <v>49</v>
      </c>
      <c r="M322" s="4">
        <v>24</v>
      </c>
      <c r="N322" s="4">
        <v>7</v>
      </c>
      <c r="O322" t="s">
        <v>29</v>
      </c>
      <c r="P322" t="s">
        <v>36</v>
      </c>
      <c r="Q322" s="4">
        <v>246644</v>
      </c>
      <c r="R322" s="4">
        <v>142191</v>
      </c>
      <c r="S322" s="4">
        <f>Table1[[#This Row],[Service_Revenue]]-Table1[[#This Row],[Service_Cost]]</f>
        <v>104453</v>
      </c>
      <c r="T322" s="4">
        <v>1</v>
      </c>
      <c r="U322" s="4">
        <f>IF(AND(Table1[[#This Row],[Rework_Flag]]="Yes",Table1[[#This Row],[Warranty_Claim]]="No"),Table1[[#This Row],[Service_Revenue]],0)</f>
        <v>246644</v>
      </c>
      <c r="V322" s="4">
        <f>IF(Table1[[#This Row],[Warranty_Claim]]="Yes",1,0)</f>
        <v>0</v>
      </c>
      <c r="W322" s="4">
        <f>IF(Table1[[#This Row],[Rework_Flag]]="No",1,0)</f>
        <v>0</v>
      </c>
      <c r="X322" s="4">
        <f>IF(Table1[[#This Row],[Rework_Flag]]="Yes",1,0)</f>
        <v>1</v>
      </c>
      <c r="Y322" s="4">
        <v>1</v>
      </c>
      <c r="Z322" s="4" t="str">
        <f>IF(Table1[[#This Row],[TAT_Days]]&gt;Table1[[#This Row],[SLA_TAT]],"Yes","No")</f>
        <v>Yes</v>
      </c>
      <c r="AA322" s="4" t="str" cm="1">
        <f t="array" ref="AA322">_xlfn.IFS(Table1[[#This Row],[Customer_Satisfaction]]&lt;=2,"Poor",Table1[[#This Row],[Customer_Satisfaction]]=3,"Neutral",Table1[[#This Row],[Customer_Satisfaction]]=4,"Good",Table1[[#This Row],[Customer_Satisfaction]]=5,"Good")</f>
        <v>Poor</v>
      </c>
    </row>
    <row r="323" spans="1:27" x14ac:dyDescent="0.35">
      <c r="A323">
        <v>20321</v>
      </c>
      <c r="B323" s="1">
        <v>45442</v>
      </c>
      <c r="C323" t="s">
        <v>37</v>
      </c>
      <c r="D323" t="s">
        <v>38</v>
      </c>
      <c r="E323" t="s">
        <v>39</v>
      </c>
      <c r="F323" t="s">
        <v>40</v>
      </c>
      <c r="G323" t="s">
        <v>33</v>
      </c>
      <c r="H323" t="s">
        <v>34</v>
      </c>
      <c r="I323" t="s">
        <v>25</v>
      </c>
      <c r="J323" t="s">
        <v>67</v>
      </c>
      <c r="K323" t="s">
        <v>61</v>
      </c>
      <c r="L323" t="s">
        <v>49</v>
      </c>
      <c r="M323" s="4">
        <v>15</v>
      </c>
      <c r="N323" s="4">
        <v>7</v>
      </c>
      <c r="O323" t="s">
        <v>36</v>
      </c>
      <c r="P323" t="s">
        <v>36</v>
      </c>
      <c r="Q323" s="4">
        <v>413744</v>
      </c>
      <c r="R323" s="4">
        <v>267806</v>
      </c>
      <c r="S323" s="4">
        <f>Table1[[#This Row],[Service_Revenue]]-Table1[[#This Row],[Service_Cost]]</f>
        <v>145938</v>
      </c>
      <c r="T323" s="4">
        <v>2</v>
      </c>
      <c r="U323" s="4">
        <f>IF(AND(Table1[[#This Row],[Rework_Flag]]="Yes",Table1[[#This Row],[Warranty_Claim]]="No"),Table1[[#This Row],[Service_Revenue]],0)</f>
        <v>0</v>
      </c>
      <c r="V323" s="4">
        <f>IF(Table1[[#This Row],[Warranty_Claim]]="Yes",1,0)</f>
        <v>0</v>
      </c>
      <c r="W323" s="4">
        <f>IF(Table1[[#This Row],[Rework_Flag]]="No",1,0)</f>
        <v>1</v>
      </c>
      <c r="X323" s="4">
        <f>IF(Table1[[#This Row],[Rework_Flag]]="Yes",1,0)</f>
        <v>0</v>
      </c>
      <c r="Y323" s="4">
        <v>1</v>
      </c>
      <c r="Z323" s="4" t="str">
        <f>IF(Table1[[#This Row],[TAT_Days]]&gt;Table1[[#This Row],[SLA_TAT]],"Yes","No")</f>
        <v>Yes</v>
      </c>
      <c r="AA323" s="4" t="str" cm="1">
        <f t="array" ref="AA323">_xlfn.IFS(Table1[[#This Row],[Customer_Satisfaction]]&lt;=2,"Poor",Table1[[#This Row],[Customer_Satisfaction]]=3,"Neutral",Table1[[#This Row],[Customer_Satisfaction]]=4,"Good",Table1[[#This Row],[Customer_Satisfaction]]=5,"Good")</f>
        <v>Poor</v>
      </c>
    </row>
    <row r="324" spans="1:27" x14ac:dyDescent="0.35">
      <c r="A324">
        <v>20322</v>
      </c>
      <c r="B324" s="1">
        <v>45367</v>
      </c>
      <c r="C324" t="s">
        <v>50</v>
      </c>
      <c r="D324" t="s">
        <v>80</v>
      </c>
      <c r="E324" t="s">
        <v>81</v>
      </c>
      <c r="F324" t="s">
        <v>53</v>
      </c>
      <c r="G324" t="s">
        <v>63</v>
      </c>
      <c r="H324" t="s">
        <v>24</v>
      </c>
      <c r="I324" t="s">
        <v>55</v>
      </c>
      <c r="J324" t="s">
        <v>43</v>
      </c>
      <c r="K324" t="s">
        <v>27</v>
      </c>
      <c r="L324" t="s">
        <v>49</v>
      </c>
      <c r="M324" s="4">
        <v>17</v>
      </c>
      <c r="N324" s="4">
        <v>7</v>
      </c>
      <c r="O324" t="s">
        <v>29</v>
      </c>
      <c r="P324" t="s">
        <v>36</v>
      </c>
      <c r="Q324" s="4">
        <v>534969</v>
      </c>
      <c r="R324" s="4">
        <v>317161</v>
      </c>
      <c r="S324" s="4">
        <f>Table1[[#This Row],[Service_Revenue]]-Table1[[#This Row],[Service_Cost]]</f>
        <v>217808</v>
      </c>
      <c r="T324" s="4">
        <v>1</v>
      </c>
      <c r="U324" s="4">
        <f>IF(AND(Table1[[#This Row],[Rework_Flag]]="Yes",Table1[[#This Row],[Warranty_Claim]]="No"),Table1[[#This Row],[Service_Revenue]],0)</f>
        <v>534969</v>
      </c>
      <c r="V324" s="4">
        <f>IF(Table1[[#This Row],[Warranty_Claim]]="Yes",1,0)</f>
        <v>0</v>
      </c>
      <c r="W324" s="4">
        <f>IF(Table1[[#This Row],[Rework_Flag]]="No",1,0)</f>
        <v>0</v>
      </c>
      <c r="X324" s="4">
        <f>IF(Table1[[#This Row],[Rework_Flag]]="Yes",1,0)</f>
        <v>1</v>
      </c>
      <c r="Y324" s="4">
        <v>1</v>
      </c>
      <c r="Z324" s="4" t="str">
        <f>IF(Table1[[#This Row],[TAT_Days]]&gt;Table1[[#This Row],[SLA_TAT]],"Yes","No")</f>
        <v>Yes</v>
      </c>
      <c r="AA324" s="4" t="str" cm="1">
        <f t="array" ref="AA324">_xlfn.IFS(Table1[[#This Row],[Customer_Satisfaction]]&lt;=2,"Poor",Table1[[#This Row],[Customer_Satisfaction]]=3,"Neutral",Table1[[#This Row],[Customer_Satisfaction]]=4,"Good",Table1[[#This Row],[Customer_Satisfaction]]=5,"Good")</f>
        <v>Poor</v>
      </c>
    </row>
    <row r="325" spans="1:27" x14ac:dyDescent="0.35">
      <c r="A325">
        <v>20323</v>
      </c>
      <c r="B325" s="1">
        <v>45322</v>
      </c>
      <c r="C325" t="s">
        <v>19</v>
      </c>
      <c r="D325" t="s">
        <v>45</v>
      </c>
      <c r="E325" t="s">
        <v>76</v>
      </c>
      <c r="F325" t="s">
        <v>22</v>
      </c>
      <c r="G325" t="s">
        <v>47</v>
      </c>
      <c r="H325" t="s">
        <v>48</v>
      </c>
      <c r="I325" t="s">
        <v>25</v>
      </c>
      <c r="J325" t="s">
        <v>35</v>
      </c>
      <c r="K325" t="s">
        <v>27</v>
      </c>
      <c r="L325" t="s">
        <v>28</v>
      </c>
      <c r="M325" s="4">
        <v>3</v>
      </c>
      <c r="N325" s="4">
        <v>7</v>
      </c>
      <c r="O325" t="s">
        <v>29</v>
      </c>
      <c r="P325" t="s">
        <v>36</v>
      </c>
      <c r="Q325" s="4">
        <v>431397</v>
      </c>
      <c r="R325" s="4">
        <v>243811</v>
      </c>
      <c r="S325" s="4">
        <f>Table1[[#This Row],[Service_Revenue]]-Table1[[#This Row],[Service_Cost]]</f>
        <v>187586</v>
      </c>
      <c r="T325" s="4">
        <v>4</v>
      </c>
      <c r="U325" s="4">
        <f>IF(AND(Table1[[#This Row],[Rework_Flag]]="Yes",Table1[[#This Row],[Warranty_Claim]]="No"),Table1[[#This Row],[Service_Revenue]],0)</f>
        <v>431397</v>
      </c>
      <c r="V325" s="4">
        <f>IF(Table1[[#This Row],[Warranty_Claim]]="Yes",1,0)</f>
        <v>0</v>
      </c>
      <c r="W325" s="4">
        <f>IF(Table1[[#This Row],[Rework_Flag]]="No",1,0)</f>
        <v>0</v>
      </c>
      <c r="X325" s="4">
        <f>IF(Table1[[#This Row],[Rework_Flag]]="Yes",1,0)</f>
        <v>1</v>
      </c>
      <c r="Y325" s="4">
        <v>1</v>
      </c>
      <c r="Z325" s="4" t="str">
        <f>IF(Table1[[#This Row],[TAT_Days]]&gt;Table1[[#This Row],[SLA_TAT]],"Yes","No")</f>
        <v>No</v>
      </c>
      <c r="AA325" s="4" t="str" cm="1">
        <f t="array" ref="AA325">_xlfn.IFS(Table1[[#This Row],[Customer_Satisfaction]]&lt;=2,"Poor",Table1[[#This Row],[Customer_Satisfaction]]=3,"Neutral",Table1[[#This Row],[Customer_Satisfaction]]=4,"Good",Table1[[#This Row],[Customer_Satisfaction]]=5,"Good")</f>
        <v>Good</v>
      </c>
    </row>
    <row r="326" spans="1:27" x14ac:dyDescent="0.35">
      <c r="A326">
        <v>20324</v>
      </c>
      <c r="B326" s="1">
        <v>45470</v>
      </c>
      <c r="C326" t="s">
        <v>50</v>
      </c>
      <c r="D326" t="s">
        <v>51</v>
      </c>
      <c r="E326" t="s">
        <v>52</v>
      </c>
      <c r="F326" t="s">
        <v>22</v>
      </c>
      <c r="G326" t="s">
        <v>54</v>
      </c>
      <c r="H326" t="s">
        <v>42</v>
      </c>
      <c r="I326" t="s">
        <v>55</v>
      </c>
      <c r="J326" t="s">
        <v>43</v>
      </c>
      <c r="K326" t="s">
        <v>27</v>
      </c>
      <c r="L326" t="s">
        <v>28</v>
      </c>
      <c r="M326" s="4">
        <v>8</v>
      </c>
      <c r="N326" s="4">
        <v>7</v>
      </c>
      <c r="O326" t="s">
        <v>29</v>
      </c>
      <c r="P326" t="s">
        <v>36</v>
      </c>
      <c r="Q326" s="4">
        <v>578753</v>
      </c>
      <c r="R326" s="4">
        <v>308597</v>
      </c>
      <c r="S326" s="4">
        <f>Table1[[#This Row],[Service_Revenue]]-Table1[[#This Row],[Service_Cost]]</f>
        <v>270156</v>
      </c>
      <c r="T326" s="4">
        <v>3</v>
      </c>
      <c r="U326" s="4">
        <f>IF(AND(Table1[[#This Row],[Rework_Flag]]="Yes",Table1[[#This Row],[Warranty_Claim]]="No"),Table1[[#This Row],[Service_Revenue]],0)</f>
        <v>578753</v>
      </c>
      <c r="V326" s="4">
        <f>IF(Table1[[#This Row],[Warranty_Claim]]="Yes",1,0)</f>
        <v>0</v>
      </c>
      <c r="W326" s="4">
        <f>IF(Table1[[#This Row],[Rework_Flag]]="No",1,0)</f>
        <v>0</v>
      </c>
      <c r="X326" s="4">
        <f>IF(Table1[[#This Row],[Rework_Flag]]="Yes",1,0)</f>
        <v>1</v>
      </c>
      <c r="Y326" s="4">
        <v>1</v>
      </c>
      <c r="Z326" s="4" t="str">
        <f>IF(Table1[[#This Row],[TAT_Days]]&gt;Table1[[#This Row],[SLA_TAT]],"Yes","No")</f>
        <v>Yes</v>
      </c>
      <c r="AA326" s="4" t="str" cm="1">
        <f t="array" ref="AA326">_xlfn.IFS(Table1[[#This Row],[Customer_Satisfaction]]&lt;=2,"Poor",Table1[[#This Row],[Customer_Satisfaction]]=3,"Neutral",Table1[[#This Row],[Customer_Satisfaction]]=4,"Good",Table1[[#This Row],[Customer_Satisfaction]]=5,"Good")</f>
        <v>Neutral</v>
      </c>
    </row>
    <row r="327" spans="1:27" x14ac:dyDescent="0.35">
      <c r="A327">
        <v>20325</v>
      </c>
      <c r="B327" s="1">
        <v>45470</v>
      </c>
      <c r="C327" t="s">
        <v>19</v>
      </c>
      <c r="D327" t="s">
        <v>20</v>
      </c>
      <c r="E327" t="s">
        <v>117</v>
      </c>
      <c r="F327" t="s">
        <v>53</v>
      </c>
      <c r="G327" t="s">
        <v>54</v>
      </c>
      <c r="H327" t="s">
        <v>42</v>
      </c>
      <c r="I327" t="s">
        <v>55</v>
      </c>
      <c r="J327" t="s">
        <v>35</v>
      </c>
      <c r="K327" t="s">
        <v>61</v>
      </c>
      <c r="L327" t="s">
        <v>28</v>
      </c>
      <c r="M327" s="4">
        <v>3</v>
      </c>
      <c r="N327" s="4">
        <v>7</v>
      </c>
      <c r="O327" t="s">
        <v>29</v>
      </c>
      <c r="P327" t="s">
        <v>36</v>
      </c>
      <c r="Q327" s="4">
        <v>375996</v>
      </c>
      <c r="R327" s="4">
        <v>309788</v>
      </c>
      <c r="S327" s="4">
        <f>Table1[[#This Row],[Service_Revenue]]-Table1[[#This Row],[Service_Cost]]</f>
        <v>66208</v>
      </c>
      <c r="T327" s="4">
        <v>4</v>
      </c>
      <c r="U327" s="4">
        <f>IF(AND(Table1[[#This Row],[Rework_Flag]]="Yes",Table1[[#This Row],[Warranty_Claim]]="No"),Table1[[#This Row],[Service_Revenue]],0)</f>
        <v>375996</v>
      </c>
      <c r="V327" s="4">
        <f>IF(Table1[[#This Row],[Warranty_Claim]]="Yes",1,0)</f>
        <v>0</v>
      </c>
      <c r="W327" s="4">
        <f>IF(Table1[[#This Row],[Rework_Flag]]="No",1,0)</f>
        <v>0</v>
      </c>
      <c r="X327" s="4">
        <f>IF(Table1[[#This Row],[Rework_Flag]]="Yes",1,0)</f>
        <v>1</v>
      </c>
      <c r="Y327" s="4">
        <v>1</v>
      </c>
      <c r="Z327" s="4" t="str">
        <f>IF(Table1[[#This Row],[TAT_Days]]&gt;Table1[[#This Row],[SLA_TAT]],"Yes","No")</f>
        <v>No</v>
      </c>
      <c r="AA327" s="4" t="str" cm="1">
        <f t="array" ref="AA327">_xlfn.IFS(Table1[[#This Row],[Customer_Satisfaction]]&lt;=2,"Poor",Table1[[#This Row],[Customer_Satisfaction]]=3,"Neutral",Table1[[#This Row],[Customer_Satisfaction]]=4,"Good",Table1[[#This Row],[Customer_Satisfaction]]=5,"Good")</f>
        <v>Good</v>
      </c>
    </row>
    <row r="328" spans="1:27" x14ac:dyDescent="0.35">
      <c r="A328">
        <v>20326</v>
      </c>
      <c r="B328" s="1">
        <v>45436</v>
      </c>
      <c r="C328" t="s">
        <v>19</v>
      </c>
      <c r="D328" t="s">
        <v>20</v>
      </c>
      <c r="E328" t="s">
        <v>89</v>
      </c>
      <c r="F328" t="s">
        <v>40</v>
      </c>
      <c r="G328" t="s">
        <v>47</v>
      </c>
      <c r="H328" t="s">
        <v>48</v>
      </c>
      <c r="I328" t="s">
        <v>55</v>
      </c>
      <c r="J328" t="s">
        <v>43</v>
      </c>
      <c r="K328" t="s">
        <v>44</v>
      </c>
      <c r="L328" t="s">
        <v>49</v>
      </c>
      <c r="M328" s="4">
        <v>2</v>
      </c>
      <c r="N328" s="4">
        <v>7</v>
      </c>
      <c r="O328" t="s">
        <v>36</v>
      </c>
      <c r="P328" t="s">
        <v>29</v>
      </c>
      <c r="Q328" s="4">
        <v>523746</v>
      </c>
      <c r="R328" s="4">
        <v>442548</v>
      </c>
      <c r="S328" s="4">
        <f>Table1[[#This Row],[Service_Revenue]]-Table1[[#This Row],[Service_Cost]]</f>
        <v>81198</v>
      </c>
      <c r="T328" s="4">
        <v>5</v>
      </c>
      <c r="U328" s="4">
        <f>IF(AND(Table1[[#This Row],[Rework_Flag]]="Yes",Table1[[#This Row],[Warranty_Claim]]="No"),Table1[[#This Row],[Service_Revenue]],0)</f>
        <v>0</v>
      </c>
      <c r="V328" s="4">
        <f>IF(Table1[[#This Row],[Warranty_Claim]]="Yes",1,0)</f>
        <v>1</v>
      </c>
      <c r="W328" s="4">
        <f>IF(Table1[[#This Row],[Rework_Flag]]="No",1,0)</f>
        <v>1</v>
      </c>
      <c r="X328" s="4">
        <f>IF(Table1[[#This Row],[Rework_Flag]]="Yes",1,0)</f>
        <v>0</v>
      </c>
      <c r="Y328" s="4">
        <v>1</v>
      </c>
      <c r="Z328" s="4" t="str">
        <f>IF(Table1[[#This Row],[TAT_Days]]&gt;Table1[[#This Row],[SLA_TAT]],"Yes","No")</f>
        <v>No</v>
      </c>
      <c r="AA328" s="4" t="str" cm="1">
        <f t="array" ref="AA328">_xlfn.IFS(Table1[[#This Row],[Customer_Satisfaction]]&lt;=2,"Poor",Table1[[#This Row],[Customer_Satisfaction]]=3,"Neutral",Table1[[#This Row],[Customer_Satisfaction]]=4,"Good",Table1[[#This Row],[Customer_Satisfaction]]=5,"Good")</f>
        <v>Good</v>
      </c>
    </row>
    <row r="329" spans="1:27" x14ac:dyDescent="0.35">
      <c r="A329">
        <v>20327</v>
      </c>
      <c r="B329" s="1">
        <v>45451</v>
      </c>
      <c r="C329" t="s">
        <v>50</v>
      </c>
      <c r="D329" t="s">
        <v>80</v>
      </c>
      <c r="E329" t="s">
        <v>121</v>
      </c>
      <c r="F329" t="s">
        <v>53</v>
      </c>
      <c r="G329" t="s">
        <v>33</v>
      </c>
      <c r="H329" t="s">
        <v>34</v>
      </c>
      <c r="I329" t="s">
        <v>25</v>
      </c>
      <c r="J329" t="s">
        <v>35</v>
      </c>
      <c r="K329" t="s">
        <v>27</v>
      </c>
      <c r="L329" t="s">
        <v>49</v>
      </c>
      <c r="M329" s="4">
        <v>6</v>
      </c>
      <c r="N329" s="4">
        <v>7</v>
      </c>
      <c r="O329" t="s">
        <v>29</v>
      </c>
      <c r="P329" t="s">
        <v>29</v>
      </c>
      <c r="Q329" s="4">
        <v>292568</v>
      </c>
      <c r="R329" s="4">
        <v>165162</v>
      </c>
      <c r="S329" s="4">
        <f>Table1[[#This Row],[Service_Revenue]]-Table1[[#This Row],[Service_Cost]]</f>
        <v>127406</v>
      </c>
      <c r="T329" s="4">
        <v>3</v>
      </c>
      <c r="U329" s="4">
        <f>IF(AND(Table1[[#This Row],[Rework_Flag]]="Yes",Table1[[#This Row],[Warranty_Claim]]="No"),Table1[[#This Row],[Service_Revenue]],0)</f>
        <v>0</v>
      </c>
      <c r="V329" s="4">
        <f>IF(Table1[[#This Row],[Warranty_Claim]]="Yes",1,0)</f>
        <v>1</v>
      </c>
      <c r="W329" s="4">
        <f>IF(Table1[[#This Row],[Rework_Flag]]="No",1,0)</f>
        <v>0</v>
      </c>
      <c r="X329" s="4">
        <f>IF(Table1[[#This Row],[Rework_Flag]]="Yes",1,0)</f>
        <v>1</v>
      </c>
      <c r="Y329" s="4">
        <v>1</v>
      </c>
      <c r="Z329" s="4" t="str">
        <f>IF(Table1[[#This Row],[TAT_Days]]&gt;Table1[[#This Row],[SLA_TAT]],"Yes","No")</f>
        <v>No</v>
      </c>
      <c r="AA329" s="4" t="str" cm="1">
        <f t="array" ref="AA329">_xlfn.IFS(Table1[[#This Row],[Customer_Satisfaction]]&lt;=2,"Poor",Table1[[#This Row],[Customer_Satisfaction]]=3,"Neutral",Table1[[#This Row],[Customer_Satisfaction]]=4,"Good",Table1[[#This Row],[Customer_Satisfaction]]=5,"Good")</f>
        <v>Neutral</v>
      </c>
    </row>
    <row r="330" spans="1:27" x14ac:dyDescent="0.35">
      <c r="A330">
        <v>20328</v>
      </c>
      <c r="B330" s="1">
        <v>45359</v>
      </c>
      <c r="C330" t="s">
        <v>30</v>
      </c>
      <c r="D330" t="s">
        <v>83</v>
      </c>
      <c r="E330" t="s">
        <v>90</v>
      </c>
      <c r="F330" t="s">
        <v>22</v>
      </c>
      <c r="G330" t="s">
        <v>23</v>
      </c>
      <c r="H330" t="s">
        <v>24</v>
      </c>
      <c r="I330" t="s">
        <v>25</v>
      </c>
      <c r="J330" t="s">
        <v>43</v>
      </c>
      <c r="K330" t="s">
        <v>61</v>
      </c>
      <c r="L330" t="s">
        <v>28</v>
      </c>
      <c r="M330" s="4">
        <v>4</v>
      </c>
      <c r="N330" s="4">
        <v>7</v>
      </c>
      <c r="O330" t="s">
        <v>36</v>
      </c>
      <c r="P330" t="s">
        <v>36</v>
      </c>
      <c r="Q330" s="4">
        <v>212938</v>
      </c>
      <c r="R330" s="4">
        <v>139328</v>
      </c>
      <c r="S330" s="4">
        <f>Table1[[#This Row],[Service_Revenue]]-Table1[[#This Row],[Service_Cost]]</f>
        <v>73610</v>
      </c>
      <c r="T330" s="4">
        <v>5</v>
      </c>
      <c r="U330" s="4">
        <f>IF(AND(Table1[[#This Row],[Rework_Flag]]="Yes",Table1[[#This Row],[Warranty_Claim]]="No"),Table1[[#This Row],[Service_Revenue]],0)</f>
        <v>0</v>
      </c>
      <c r="V330" s="4">
        <f>IF(Table1[[#This Row],[Warranty_Claim]]="Yes",1,0)</f>
        <v>0</v>
      </c>
      <c r="W330" s="4">
        <f>IF(Table1[[#This Row],[Rework_Flag]]="No",1,0)</f>
        <v>1</v>
      </c>
      <c r="X330" s="4">
        <f>IF(Table1[[#This Row],[Rework_Flag]]="Yes",1,0)</f>
        <v>0</v>
      </c>
      <c r="Y330" s="4">
        <v>1</v>
      </c>
      <c r="Z330" s="4" t="str">
        <f>IF(Table1[[#This Row],[TAT_Days]]&gt;Table1[[#This Row],[SLA_TAT]],"Yes","No")</f>
        <v>No</v>
      </c>
      <c r="AA330" s="4" t="str" cm="1">
        <f t="array" ref="AA330">_xlfn.IFS(Table1[[#This Row],[Customer_Satisfaction]]&lt;=2,"Poor",Table1[[#This Row],[Customer_Satisfaction]]=3,"Neutral",Table1[[#This Row],[Customer_Satisfaction]]=4,"Good",Table1[[#This Row],[Customer_Satisfaction]]=5,"Good")</f>
        <v>Good</v>
      </c>
    </row>
    <row r="331" spans="1:27" x14ac:dyDescent="0.35">
      <c r="A331">
        <v>20329</v>
      </c>
      <c r="B331" s="1">
        <v>45322</v>
      </c>
      <c r="C331" t="s">
        <v>30</v>
      </c>
      <c r="D331" t="s">
        <v>83</v>
      </c>
      <c r="E331" t="s">
        <v>92</v>
      </c>
      <c r="F331" t="s">
        <v>22</v>
      </c>
      <c r="G331" t="s">
        <v>74</v>
      </c>
      <c r="H331" t="s">
        <v>34</v>
      </c>
      <c r="I331" t="s">
        <v>55</v>
      </c>
      <c r="J331" t="s">
        <v>35</v>
      </c>
      <c r="K331" t="s">
        <v>27</v>
      </c>
      <c r="L331" t="s">
        <v>28</v>
      </c>
      <c r="M331" s="4">
        <v>18</v>
      </c>
      <c r="N331" s="4">
        <v>7</v>
      </c>
      <c r="O331" t="s">
        <v>29</v>
      </c>
      <c r="P331" t="s">
        <v>36</v>
      </c>
      <c r="Q331" s="4">
        <v>584134</v>
      </c>
      <c r="R331" s="4">
        <v>411824</v>
      </c>
      <c r="S331" s="4">
        <f>Table1[[#This Row],[Service_Revenue]]-Table1[[#This Row],[Service_Cost]]</f>
        <v>172310</v>
      </c>
      <c r="T331" s="4">
        <v>1</v>
      </c>
      <c r="U331" s="4">
        <f>IF(AND(Table1[[#This Row],[Rework_Flag]]="Yes",Table1[[#This Row],[Warranty_Claim]]="No"),Table1[[#This Row],[Service_Revenue]],0)</f>
        <v>584134</v>
      </c>
      <c r="V331" s="4">
        <f>IF(Table1[[#This Row],[Warranty_Claim]]="Yes",1,0)</f>
        <v>0</v>
      </c>
      <c r="W331" s="4">
        <f>IF(Table1[[#This Row],[Rework_Flag]]="No",1,0)</f>
        <v>0</v>
      </c>
      <c r="X331" s="4">
        <f>IF(Table1[[#This Row],[Rework_Flag]]="Yes",1,0)</f>
        <v>1</v>
      </c>
      <c r="Y331" s="4">
        <v>1</v>
      </c>
      <c r="Z331" s="4" t="str">
        <f>IF(Table1[[#This Row],[TAT_Days]]&gt;Table1[[#This Row],[SLA_TAT]],"Yes","No")</f>
        <v>Yes</v>
      </c>
      <c r="AA331" s="4" t="str" cm="1">
        <f t="array" ref="AA331">_xlfn.IFS(Table1[[#This Row],[Customer_Satisfaction]]&lt;=2,"Poor",Table1[[#This Row],[Customer_Satisfaction]]=3,"Neutral",Table1[[#This Row],[Customer_Satisfaction]]=4,"Good",Table1[[#This Row],[Customer_Satisfaction]]=5,"Good")</f>
        <v>Poor</v>
      </c>
    </row>
    <row r="332" spans="1:27" x14ac:dyDescent="0.35">
      <c r="A332">
        <v>20330</v>
      </c>
      <c r="B332" s="1">
        <v>45351</v>
      </c>
      <c r="C332" t="s">
        <v>50</v>
      </c>
      <c r="D332" t="s">
        <v>56</v>
      </c>
      <c r="E332" t="s">
        <v>68</v>
      </c>
      <c r="F332" t="s">
        <v>22</v>
      </c>
      <c r="G332" t="s">
        <v>63</v>
      </c>
      <c r="H332" t="s">
        <v>24</v>
      </c>
      <c r="I332" t="s">
        <v>55</v>
      </c>
      <c r="J332" t="s">
        <v>43</v>
      </c>
      <c r="K332" t="s">
        <v>61</v>
      </c>
      <c r="L332" t="s">
        <v>28</v>
      </c>
      <c r="M332" s="4">
        <v>12</v>
      </c>
      <c r="N332" s="4">
        <v>7</v>
      </c>
      <c r="O332" t="s">
        <v>36</v>
      </c>
      <c r="P332" t="s">
        <v>29</v>
      </c>
      <c r="Q332" s="4">
        <v>198633</v>
      </c>
      <c r="R332" s="4">
        <v>144380</v>
      </c>
      <c r="S332" s="4">
        <f>Table1[[#This Row],[Service_Revenue]]-Table1[[#This Row],[Service_Cost]]</f>
        <v>54253</v>
      </c>
      <c r="T332" s="4">
        <v>3</v>
      </c>
      <c r="U332" s="4">
        <f>IF(AND(Table1[[#This Row],[Rework_Flag]]="Yes",Table1[[#This Row],[Warranty_Claim]]="No"),Table1[[#This Row],[Service_Revenue]],0)</f>
        <v>0</v>
      </c>
      <c r="V332" s="4">
        <f>IF(Table1[[#This Row],[Warranty_Claim]]="Yes",1,0)</f>
        <v>1</v>
      </c>
      <c r="W332" s="4">
        <f>IF(Table1[[#This Row],[Rework_Flag]]="No",1,0)</f>
        <v>1</v>
      </c>
      <c r="X332" s="4">
        <f>IF(Table1[[#This Row],[Rework_Flag]]="Yes",1,0)</f>
        <v>0</v>
      </c>
      <c r="Y332" s="4">
        <v>1</v>
      </c>
      <c r="Z332" s="4" t="str">
        <f>IF(Table1[[#This Row],[TAT_Days]]&gt;Table1[[#This Row],[SLA_TAT]],"Yes","No")</f>
        <v>Yes</v>
      </c>
      <c r="AA332" s="4" t="str" cm="1">
        <f t="array" ref="AA332">_xlfn.IFS(Table1[[#This Row],[Customer_Satisfaction]]&lt;=2,"Poor",Table1[[#This Row],[Customer_Satisfaction]]=3,"Neutral",Table1[[#This Row],[Customer_Satisfaction]]=4,"Good",Table1[[#This Row],[Customer_Satisfaction]]=5,"Good")</f>
        <v>Neutral</v>
      </c>
    </row>
    <row r="333" spans="1:27" x14ac:dyDescent="0.35">
      <c r="A333">
        <v>20331</v>
      </c>
      <c r="B333" s="1">
        <v>45361</v>
      </c>
      <c r="C333" t="s">
        <v>50</v>
      </c>
      <c r="D333" t="s">
        <v>56</v>
      </c>
      <c r="E333" t="s">
        <v>68</v>
      </c>
      <c r="F333" t="s">
        <v>53</v>
      </c>
      <c r="G333" t="s">
        <v>23</v>
      </c>
      <c r="H333" t="s">
        <v>24</v>
      </c>
      <c r="I333" t="s">
        <v>55</v>
      </c>
      <c r="J333" t="s">
        <v>35</v>
      </c>
      <c r="K333" t="s">
        <v>61</v>
      </c>
      <c r="L333" t="s">
        <v>28</v>
      </c>
      <c r="M333" s="4">
        <v>15</v>
      </c>
      <c r="N333" s="4">
        <v>7</v>
      </c>
      <c r="O333" t="s">
        <v>36</v>
      </c>
      <c r="P333" t="s">
        <v>36</v>
      </c>
      <c r="Q333" s="4">
        <v>376225</v>
      </c>
      <c r="R333" s="4">
        <v>287428</v>
      </c>
      <c r="S333" s="4">
        <f>Table1[[#This Row],[Service_Revenue]]-Table1[[#This Row],[Service_Cost]]</f>
        <v>88797</v>
      </c>
      <c r="T333" s="4">
        <v>2</v>
      </c>
      <c r="U333" s="4">
        <f>IF(AND(Table1[[#This Row],[Rework_Flag]]="Yes",Table1[[#This Row],[Warranty_Claim]]="No"),Table1[[#This Row],[Service_Revenue]],0)</f>
        <v>0</v>
      </c>
      <c r="V333" s="4">
        <f>IF(Table1[[#This Row],[Warranty_Claim]]="Yes",1,0)</f>
        <v>0</v>
      </c>
      <c r="W333" s="4">
        <f>IF(Table1[[#This Row],[Rework_Flag]]="No",1,0)</f>
        <v>1</v>
      </c>
      <c r="X333" s="4">
        <f>IF(Table1[[#This Row],[Rework_Flag]]="Yes",1,0)</f>
        <v>0</v>
      </c>
      <c r="Y333" s="4">
        <v>1</v>
      </c>
      <c r="Z333" s="4" t="str">
        <f>IF(Table1[[#This Row],[TAT_Days]]&gt;Table1[[#This Row],[SLA_TAT]],"Yes","No")</f>
        <v>Yes</v>
      </c>
      <c r="AA333" s="4" t="str" cm="1">
        <f t="array" ref="AA333">_xlfn.IFS(Table1[[#This Row],[Customer_Satisfaction]]&lt;=2,"Poor",Table1[[#This Row],[Customer_Satisfaction]]=3,"Neutral",Table1[[#This Row],[Customer_Satisfaction]]=4,"Good",Table1[[#This Row],[Customer_Satisfaction]]=5,"Good")</f>
        <v>Poor</v>
      </c>
    </row>
    <row r="334" spans="1:27" x14ac:dyDescent="0.35">
      <c r="A334">
        <v>20332</v>
      </c>
      <c r="B334" s="1">
        <v>45466</v>
      </c>
      <c r="C334" t="s">
        <v>30</v>
      </c>
      <c r="D334" t="s">
        <v>59</v>
      </c>
      <c r="E334" t="s">
        <v>60</v>
      </c>
      <c r="F334" t="s">
        <v>40</v>
      </c>
      <c r="G334" t="s">
        <v>74</v>
      </c>
      <c r="H334" t="s">
        <v>34</v>
      </c>
      <c r="I334" t="s">
        <v>55</v>
      </c>
      <c r="J334" t="s">
        <v>26</v>
      </c>
      <c r="K334" t="s">
        <v>61</v>
      </c>
      <c r="L334" t="s">
        <v>49</v>
      </c>
      <c r="M334" s="4">
        <v>2</v>
      </c>
      <c r="N334" s="4">
        <v>7</v>
      </c>
      <c r="O334" t="s">
        <v>29</v>
      </c>
      <c r="P334" t="s">
        <v>36</v>
      </c>
      <c r="Q334" s="4">
        <v>423681</v>
      </c>
      <c r="R334" s="4">
        <v>280911</v>
      </c>
      <c r="S334" s="4">
        <f>Table1[[#This Row],[Service_Revenue]]-Table1[[#This Row],[Service_Cost]]</f>
        <v>142770</v>
      </c>
      <c r="T334" s="4">
        <v>4</v>
      </c>
      <c r="U334" s="4">
        <f>IF(AND(Table1[[#This Row],[Rework_Flag]]="Yes",Table1[[#This Row],[Warranty_Claim]]="No"),Table1[[#This Row],[Service_Revenue]],0)</f>
        <v>423681</v>
      </c>
      <c r="V334" s="4">
        <f>IF(Table1[[#This Row],[Warranty_Claim]]="Yes",1,0)</f>
        <v>0</v>
      </c>
      <c r="W334" s="4">
        <f>IF(Table1[[#This Row],[Rework_Flag]]="No",1,0)</f>
        <v>0</v>
      </c>
      <c r="X334" s="4">
        <f>IF(Table1[[#This Row],[Rework_Flag]]="Yes",1,0)</f>
        <v>1</v>
      </c>
      <c r="Y334" s="4">
        <v>1</v>
      </c>
      <c r="Z334" s="4" t="str">
        <f>IF(Table1[[#This Row],[TAT_Days]]&gt;Table1[[#This Row],[SLA_TAT]],"Yes","No")</f>
        <v>No</v>
      </c>
      <c r="AA334" s="4" t="str" cm="1">
        <f t="array" ref="AA334">_xlfn.IFS(Table1[[#This Row],[Customer_Satisfaction]]&lt;=2,"Poor",Table1[[#This Row],[Customer_Satisfaction]]=3,"Neutral",Table1[[#This Row],[Customer_Satisfaction]]=4,"Good",Table1[[#This Row],[Customer_Satisfaction]]=5,"Good")</f>
        <v>Good</v>
      </c>
    </row>
    <row r="335" spans="1:27" x14ac:dyDescent="0.35">
      <c r="A335">
        <v>20333</v>
      </c>
      <c r="B335" s="1">
        <v>45368</v>
      </c>
      <c r="C335" t="s">
        <v>19</v>
      </c>
      <c r="D335" t="s">
        <v>45</v>
      </c>
      <c r="E335" t="s">
        <v>114</v>
      </c>
      <c r="F335" t="s">
        <v>53</v>
      </c>
      <c r="G335" t="s">
        <v>41</v>
      </c>
      <c r="H335" t="s">
        <v>42</v>
      </c>
      <c r="I335" t="s">
        <v>25</v>
      </c>
      <c r="J335" t="s">
        <v>67</v>
      </c>
      <c r="K335" t="s">
        <v>44</v>
      </c>
      <c r="L335" t="s">
        <v>28</v>
      </c>
      <c r="M335" s="4">
        <v>23</v>
      </c>
      <c r="N335" s="4">
        <v>7</v>
      </c>
      <c r="O335" t="s">
        <v>36</v>
      </c>
      <c r="P335" t="s">
        <v>36</v>
      </c>
      <c r="Q335" s="4">
        <v>534913</v>
      </c>
      <c r="R335" s="4">
        <v>391849</v>
      </c>
      <c r="S335" s="4">
        <f>Table1[[#This Row],[Service_Revenue]]-Table1[[#This Row],[Service_Cost]]</f>
        <v>143064</v>
      </c>
      <c r="T335" s="4">
        <v>1</v>
      </c>
      <c r="U335" s="4">
        <f>IF(AND(Table1[[#This Row],[Rework_Flag]]="Yes",Table1[[#This Row],[Warranty_Claim]]="No"),Table1[[#This Row],[Service_Revenue]],0)</f>
        <v>0</v>
      </c>
      <c r="V335" s="4">
        <f>IF(Table1[[#This Row],[Warranty_Claim]]="Yes",1,0)</f>
        <v>0</v>
      </c>
      <c r="W335" s="4">
        <f>IF(Table1[[#This Row],[Rework_Flag]]="No",1,0)</f>
        <v>1</v>
      </c>
      <c r="X335" s="4">
        <f>IF(Table1[[#This Row],[Rework_Flag]]="Yes",1,0)</f>
        <v>0</v>
      </c>
      <c r="Y335" s="4">
        <v>1</v>
      </c>
      <c r="Z335" s="4" t="str">
        <f>IF(Table1[[#This Row],[TAT_Days]]&gt;Table1[[#This Row],[SLA_TAT]],"Yes","No")</f>
        <v>Yes</v>
      </c>
      <c r="AA335" s="4" t="str" cm="1">
        <f t="array" ref="AA335">_xlfn.IFS(Table1[[#This Row],[Customer_Satisfaction]]&lt;=2,"Poor",Table1[[#This Row],[Customer_Satisfaction]]=3,"Neutral",Table1[[#This Row],[Customer_Satisfaction]]=4,"Good",Table1[[#This Row],[Customer_Satisfaction]]=5,"Good")</f>
        <v>Poor</v>
      </c>
    </row>
    <row r="336" spans="1:27" x14ac:dyDescent="0.35">
      <c r="A336">
        <v>20334</v>
      </c>
      <c r="B336" s="1">
        <v>45416</v>
      </c>
      <c r="C336" t="s">
        <v>19</v>
      </c>
      <c r="D336" t="s">
        <v>96</v>
      </c>
      <c r="E336" t="s">
        <v>97</v>
      </c>
      <c r="F336" t="s">
        <v>40</v>
      </c>
      <c r="G336" t="s">
        <v>47</v>
      </c>
      <c r="H336" t="s">
        <v>48</v>
      </c>
      <c r="I336" t="s">
        <v>55</v>
      </c>
      <c r="J336" t="s">
        <v>58</v>
      </c>
      <c r="K336" t="s">
        <v>27</v>
      </c>
      <c r="L336" t="s">
        <v>49</v>
      </c>
      <c r="M336" s="4">
        <v>8</v>
      </c>
      <c r="N336" s="4">
        <v>7</v>
      </c>
      <c r="O336" t="s">
        <v>36</v>
      </c>
      <c r="P336" t="s">
        <v>36</v>
      </c>
      <c r="Q336" s="4">
        <v>420083</v>
      </c>
      <c r="R336" s="4">
        <v>304104</v>
      </c>
      <c r="S336" s="4">
        <f>Table1[[#This Row],[Service_Revenue]]-Table1[[#This Row],[Service_Cost]]</f>
        <v>115979</v>
      </c>
      <c r="T336" s="4">
        <v>4</v>
      </c>
      <c r="U336" s="4">
        <f>IF(AND(Table1[[#This Row],[Rework_Flag]]="Yes",Table1[[#This Row],[Warranty_Claim]]="No"),Table1[[#This Row],[Service_Revenue]],0)</f>
        <v>0</v>
      </c>
      <c r="V336" s="4">
        <f>IF(Table1[[#This Row],[Warranty_Claim]]="Yes",1,0)</f>
        <v>0</v>
      </c>
      <c r="W336" s="4">
        <f>IF(Table1[[#This Row],[Rework_Flag]]="No",1,0)</f>
        <v>1</v>
      </c>
      <c r="X336" s="4">
        <f>IF(Table1[[#This Row],[Rework_Flag]]="Yes",1,0)</f>
        <v>0</v>
      </c>
      <c r="Y336" s="4">
        <v>1</v>
      </c>
      <c r="Z336" s="4" t="str">
        <f>IF(Table1[[#This Row],[TAT_Days]]&gt;Table1[[#This Row],[SLA_TAT]],"Yes","No")</f>
        <v>Yes</v>
      </c>
      <c r="AA336" s="4" t="str" cm="1">
        <f t="array" ref="AA336">_xlfn.IFS(Table1[[#This Row],[Customer_Satisfaction]]&lt;=2,"Poor",Table1[[#This Row],[Customer_Satisfaction]]=3,"Neutral",Table1[[#This Row],[Customer_Satisfaction]]=4,"Good",Table1[[#This Row],[Customer_Satisfaction]]=5,"Good")</f>
        <v>Good</v>
      </c>
    </row>
    <row r="337" spans="1:27" x14ac:dyDescent="0.35">
      <c r="A337">
        <v>20335</v>
      </c>
      <c r="B337" s="1">
        <v>45354</v>
      </c>
      <c r="C337" t="s">
        <v>50</v>
      </c>
      <c r="D337" t="s">
        <v>51</v>
      </c>
      <c r="E337" t="s">
        <v>52</v>
      </c>
      <c r="F337" t="s">
        <v>22</v>
      </c>
      <c r="G337" t="s">
        <v>41</v>
      </c>
      <c r="H337" t="s">
        <v>42</v>
      </c>
      <c r="I337" t="s">
        <v>55</v>
      </c>
      <c r="J337" t="s">
        <v>26</v>
      </c>
      <c r="K337" t="s">
        <v>61</v>
      </c>
      <c r="L337" t="s">
        <v>28</v>
      </c>
      <c r="M337" s="4">
        <v>4</v>
      </c>
      <c r="N337" s="4">
        <v>7</v>
      </c>
      <c r="O337" t="s">
        <v>29</v>
      </c>
      <c r="P337" t="s">
        <v>36</v>
      </c>
      <c r="Q337" s="4">
        <v>503882</v>
      </c>
      <c r="R337" s="4">
        <v>406558</v>
      </c>
      <c r="S337" s="4">
        <f>Table1[[#This Row],[Service_Revenue]]-Table1[[#This Row],[Service_Cost]]</f>
        <v>97324</v>
      </c>
      <c r="T337" s="4">
        <v>4</v>
      </c>
      <c r="U337" s="4">
        <f>IF(AND(Table1[[#This Row],[Rework_Flag]]="Yes",Table1[[#This Row],[Warranty_Claim]]="No"),Table1[[#This Row],[Service_Revenue]],0)</f>
        <v>503882</v>
      </c>
      <c r="V337" s="4">
        <f>IF(Table1[[#This Row],[Warranty_Claim]]="Yes",1,0)</f>
        <v>0</v>
      </c>
      <c r="W337" s="4">
        <f>IF(Table1[[#This Row],[Rework_Flag]]="No",1,0)</f>
        <v>0</v>
      </c>
      <c r="X337" s="4">
        <f>IF(Table1[[#This Row],[Rework_Flag]]="Yes",1,0)</f>
        <v>1</v>
      </c>
      <c r="Y337" s="4">
        <v>1</v>
      </c>
      <c r="Z337" s="4" t="str">
        <f>IF(Table1[[#This Row],[TAT_Days]]&gt;Table1[[#This Row],[SLA_TAT]],"Yes","No")</f>
        <v>No</v>
      </c>
      <c r="AA337" s="4" t="str" cm="1">
        <f t="array" ref="AA337">_xlfn.IFS(Table1[[#This Row],[Customer_Satisfaction]]&lt;=2,"Poor",Table1[[#This Row],[Customer_Satisfaction]]=3,"Neutral",Table1[[#This Row],[Customer_Satisfaction]]=4,"Good",Table1[[#This Row],[Customer_Satisfaction]]=5,"Good")</f>
        <v>Good</v>
      </c>
    </row>
    <row r="338" spans="1:27" x14ac:dyDescent="0.35">
      <c r="A338">
        <v>20336</v>
      </c>
      <c r="B338" s="1">
        <v>45464</v>
      </c>
      <c r="C338" t="s">
        <v>50</v>
      </c>
      <c r="D338" t="s">
        <v>56</v>
      </c>
      <c r="E338" t="s">
        <v>57</v>
      </c>
      <c r="F338" t="s">
        <v>22</v>
      </c>
      <c r="G338" t="s">
        <v>54</v>
      </c>
      <c r="H338" t="s">
        <v>42</v>
      </c>
      <c r="I338" t="s">
        <v>55</v>
      </c>
      <c r="J338" t="s">
        <v>35</v>
      </c>
      <c r="K338" t="s">
        <v>44</v>
      </c>
      <c r="L338" t="s">
        <v>49</v>
      </c>
      <c r="M338" s="4">
        <v>14</v>
      </c>
      <c r="N338" s="4">
        <v>7</v>
      </c>
      <c r="O338" t="s">
        <v>29</v>
      </c>
      <c r="P338" t="s">
        <v>36</v>
      </c>
      <c r="Q338" s="4">
        <v>443739</v>
      </c>
      <c r="R338" s="4">
        <v>237970</v>
      </c>
      <c r="S338" s="4">
        <f>Table1[[#This Row],[Service_Revenue]]-Table1[[#This Row],[Service_Cost]]</f>
        <v>205769</v>
      </c>
      <c r="T338" s="4">
        <v>2</v>
      </c>
      <c r="U338" s="4">
        <f>IF(AND(Table1[[#This Row],[Rework_Flag]]="Yes",Table1[[#This Row],[Warranty_Claim]]="No"),Table1[[#This Row],[Service_Revenue]],0)</f>
        <v>443739</v>
      </c>
      <c r="V338" s="4">
        <f>IF(Table1[[#This Row],[Warranty_Claim]]="Yes",1,0)</f>
        <v>0</v>
      </c>
      <c r="W338" s="4">
        <f>IF(Table1[[#This Row],[Rework_Flag]]="No",1,0)</f>
        <v>0</v>
      </c>
      <c r="X338" s="4">
        <f>IF(Table1[[#This Row],[Rework_Flag]]="Yes",1,0)</f>
        <v>1</v>
      </c>
      <c r="Y338" s="4">
        <v>1</v>
      </c>
      <c r="Z338" s="4" t="str">
        <f>IF(Table1[[#This Row],[TAT_Days]]&gt;Table1[[#This Row],[SLA_TAT]],"Yes","No")</f>
        <v>Yes</v>
      </c>
      <c r="AA338" s="4" t="str" cm="1">
        <f t="array" ref="AA338">_xlfn.IFS(Table1[[#This Row],[Customer_Satisfaction]]&lt;=2,"Poor",Table1[[#This Row],[Customer_Satisfaction]]=3,"Neutral",Table1[[#This Row],[Customer_Satisfaction]]=4,"Good",Table1[[#This Row],[Customer_Satisfaction]]=5,"Good")</f>
        <v>Poor</v>
      </c>
    </row>
    <row r="339" spans="1:27" x14ac:dyDescent="0.35">
      <c r="A339">
        <v>20337</v>
      </c>
      <c r="B339" s="1">
        <v>45420</v>
      </c>
      <c r="C339" t="s">
        <v>19</v>
      </c>
      <c r="D339" t="s">
        <v>20</v>
      </c>
      <c r="E339" t="s">
        <v>110</v>
      </c>
      <c r="F339" t="s">
        <v>22</v>
      </c>
      <c r="G339" t="s">
        <v>23</v>
      </c>
      <c r="H339" t="s">
        <v>24</v>
      </c>
      <c r="I339" t="s">
        <v>25</v>
      </c>
      <c r="J339" t="s">
        <v>58</v>
      </c>
      <c r="K339" t="s">
        <v>61</v>
      </c>
      <c r="L339" t="s">
        <v>49</v>
      </c>
      <c r="M339" s="4">
        <v>14</v>
      </c>
      <c r="N339" s="4">
        <v>7</v>
      </c>
      <c r="O339" t="s">
        <v>29</v>
      </c>
      <c r="P339" t="s">
        <v>36</v>
      </c>
      <c r="Q339" s="4">
        <v>366116</v>
      </c>
      <c r="R339" s="4">
        <v>208457</v>
      </c>
      <c r="S339" s="4">
        <f>Table1[[#This Row],[Service_Revenue]]-Table1[[#This Row],[Service_Cost]]</f>
        <v>157659</v>
      </c>
      <c r="T339" s="4">
        <v>2</v>
      </c>
      <c r="U339" s="4">
        <f>IF(AND(Table1[[#This Row],[Rework_Flag]]="Yes",Table1[[#This Row],[Warranty_Claim]]="No"),Table1[[#This Row],[Service_Revenue]],0)</f>
        <v>366116</v>
      </c>
      <c r="V339" s="4">
        <f>IF(Table1[[#This Row],[Warranty_Claim]]="Yes",1,0)</f>
        <v>0</v>
      </c>
      <c r="W339" s="4">
        <f>IF(Table1[[#This Row],[Rework_Flag]]="No",1,0)</f>
        <v>0</v>
      </c>
      <c r="X339" s="4">
        <f>IF(Table1[[#This Row],[Rework_Flag]]="Yes",1,0)</f>
        <v>1</v>
      </c>
      <c r="Y339" s="4">
        <v>1</v>
      </c>
      <c r="Z339" s="4" t="str">
        <f>IF(Table1[[#This Row],[TAT_Days]]&gt;Table1[[#This Row],[SLA_TAT]],"Yes","No")</f>
        <v>Yes</v>
      </c>
      <c r="AA339" s="4" t="str" cm="1">
        <f t="array" ref="AA339">_xlfn.IFS(Table1[[#This Row],[Customer_Satisfaction]]&lt;=2,"Poor",Table1[[#This Row],[Customer_Satisfaction]]=3,"Neutral",Table1[[#This Row],[Customer_Satisfaction]]=4,"Good",Table1[[#This Row],[Customer_Satisfaction]]=5,"Good")</f>
        <v>Poor</v>
      </c>
    </row>
    <row r="340" spans="1:27" x14ac:dyDescent="0.35">
      <c r="A340">
        <v>20338</v>
      </c>
      <c r="B340" s="1">
        <v>45325</v>
      </c>
      <c r="C340" t="s">
        <v>50</v>
      </c>
      <c r="D340" t="s">
        <v>51</v>
      </c>
      <c r="E340" t="s">
        <v>75</v>
      </c>
      <c r="F340" t="s">
        <v>22</v>
      </c>
      <c r="G340" t="s">
        <v>23</v>
      </c>
      <c r="H340" t="s">
        <v>24</v>
      </c>
      <c r="I340" t="s">
        <v>25</v>
      </c>
      <c r="J340" t="s">
        <v>58</v>
      </c>
      <c r="K340" t="s">
        <v>61</v>
      </c>
      <c r="L340" t="s">
        <v>28</v>
      </c>
      <c r="M340" s="4">
        <v>11</v>
      </c>
      <c r="N340" s="4">
        <v>7</v>
      </c>
      <c r="O340" t="s">
        <v>36</v>
      </c>
      <c r="P340" t="s">
        <v>29</v>
      </c>
      <c r="Q340" s="4">
        <v>556124</v>
      </c>
      <c r="R340" s="4">
        <v>350563</v>
      </c>
      <c r="S340" s="4">
        <f>Table1[[#This Row],[Service_Revenue]]-Table1[[#This Row],[Service_Cost]]</f>
        <v>205561</v>
      </c>
      <c r="T340" s="4">
        <v>3</v>
      </c>
      <c r="U340" s="4">
        <f>IF(AND(Table1[[#This Row],[Rework_Flag]]="Yes",Table1[[#This Row],[Warranty_Claim]]="No"),Table1[[#This Row],[Service_Revenue]],0)</f>
        <v>0</v>
      </c>
      <c r="V340" s="4">
        <f>IF(Table1[[#This Row],[Warranty_Claim]]="Yes",1,0)</f>
        <v>1</v>
      </c>
      <c r="W340" s="4">
        <f>IF(Table1[[#This Row],[Rework_Flag]]="No",1,0)</f>
        <v>1</v>
      </c>
      <c r="X340" s="4">
        <f>IF(Table1[[#This Row],[Rework_Flag]]="Yes",1,0)</f>
        <v>0</v>
      </c>
      <c r="Y340" s="4">
        <v>1</v>
      </c>
      <c r="Z340" s="4" t="str">
        <f>IF(Table1[[#This Row],[TAT_Days]]&gt;Table1[[#This Row],[SLA_TAT]],"Yes","No")</f>
        <v>Yes</v>
      </c>
      <c r="AA340" s="4" t="str" cm="1">
        <f t="array" ref="AA340">_xlfn.IFS(Table1[[#This Row],[Customer_Satisfaction]]&lt;=2,"Poor",Table1[[#This Row],[Customer_Satisfaction]]=3,"Neutral",Table1[[#This Row],[Customer_Satisfaction]]=4,"Good",Table1[[#This Row],[Customer_Satisfaction]]=5,"Good")</f>
        <v>Neutral</v>
      </c>
    </row>
    <row r="341" spans="1:27" x14ac:dyDescent="0.35">
      <c r="A341">
        <v>20339</v>
      </c>
      <c r="B341" s="1">
        <v>45319</v>
      </c>
      <c r="C341" t="s">
        <v>50</v>
      </c>
      <c r="D341" t="s">
        <v>56</v>
      </c>
      <c r="E341" t="s">
        <v>88</v>
      </c>
      <c r="F341" t="s">
        <v>53</v>
      </c>
      <c r="G341" t="s">
        <v>41</v>
      </c>
      <c r="H341" t="s">
        <v>42</v>
      </c>
      <c r="I341" t="s">
        <v>55</v>
      </c>
      <c r="J341" t="s">
        <v>35</v>
      </c>
      <c r="K341" t="s">
        <v>27</v>
      </c>
      <c r="L341" t="s">
        <v>28</v>
      </c>
      <c r="M341" s="4">
        <v>18</v>
      </c>
      <c r="N341" s="4">
        <v>7</v>
      </c>
      <c r="O341" t="s">
        <v>29</v>
      </c>
      <c r="P341" t="s">
        <v>36</v>
      </c>
      <c r="Q341" s="4">
        <v>158816</v>
      </c>
      <c r="R341" s="4">
        <v>130770</v>
      </c>
      <c r="S341" s="4">
        <f>Table1[[#This Row],[Service_Revenue]]-Table1[[#This Row],[Service_Cost]]</f>
        <v>28046</v>
      </c>
      <c r="T341" s="4">
        <v>1</v>
      </c>
      <c r="U341" s="4">
        <f>IF(AND(Table1[[#This Row],[Rework_Flag]]="Yes",Table1[[#This Row],[Warranty_Claim]]="No"),Table1[[#This Row],[Service_Revenue]],0)</f>
        <v>158816</v>
      </c>
      <c r="V341" s="4">
        <f>IF(Table1[[#This Row],[Warranty_Claim]]="Yes",1,0)</f>
        <v>0</v>
      </c>
      <c r="W341" s="4">
        <f>IF(Table1[[#This Row],[Rework_Flag]]="No",1,0)</f>
        <v>0</v>
      </c>
      <c r="X341" s="4">
        <f>IF(Table1[[#This Row],[Rework_Flag]]="Yes",1,0)</f>
        <v>1</v>
      </c>
      <c r="Y341" s="4">
        <v>1</v>
      </c>
      <c r="Z341" s="4" t="str">
        <f>IF(Table1[[#This Row],[TAT_Days]]&gt;Table1[[#This Row],[SLA_TAT]],"Yes","No")</f>
        <v>Yes</v>
      </c>
      <c r="AA341" s="4" t="str" cm="1">
        <f t="array" ref="AA341">_xlfn.IFS(Table1[[#This Row],[Customer_Satisfaction]]&lt;=2,"Poor",Table1[[#This Row],[Customer_Satisfaction]]=3,"Neutral",Table1[[#This Row],[Customer_Satisfaction]]=4,"Good",Table1[[#This Row],[Customer_Satisfaction]]=5,"Good")</f>
        <v>Poor</v>
      </c>
    </row>
    <row r="342" spans="1:27" x14ac:dyDescent="0.35">
      <c r="A342">
        <v>20340</v>
      </c>
      <c r="B342" s="1">
        <v>45390</v>
      </c>
      <c r="C342" t="s">
        <v>50</v>
      </c>
      <c r="D342" t="s">
        <v>56</v>
      </c>
      <c r="E342" t="s">
        <v>77</v>
      </c>
      <c r="F342" t="s">
        <v>53</v>
      </c>
      <c r="G342" t="s">
        <v>33</v>
      </c>
      <c r="H342" t="s">
        <v>34</v>
      </c>
      <c r="I342" t="s">
        <v>25</v>
      </c>
      <c r="J342" t="s">
        <v>58</v>
      </c>
      <c r="K342" t="s">
        <v>27</v>
      </c>
      <c r="L342" t="s">
        <v>28</v>
      </c>
      <c r="M342" s="4">
        <v>9</v>
      </c>
      <c r="N342" s="4">
        <v>7</v>
      </c>
      <c r="O342" t="s">
        <v>29</v>
      </c>
      <c r="P342" t="s">
        <v>36</v>
      </c>
      <c r="Q342" s="4">
        <v>276988</v>
      </c>
      <c r="R342" s="4">
        <v>175585</v>
      </c>
      <c r="S342" s="4">
        <f>Table1[[#This Row],[Service_Revenue]]-Table1[[#This Row],[Service_Cost]]</f>
        <v>101403</v>
      </c>
      <c r="T342" s="4">
        <v>3</v>
      </c>
      <c r="U342" s="4">
        <f>IF(AND(Table1[[#This Row],[Rework_Flag]]="Yes",Table1[[#This Row],[Warranty_Claim]]="No"),Table1[[#This Row],[Service_Revenue]],0)</f>
        <v>276988</v>
      </c>
      <c r="V342" s="4">
        <f>IF(Table1[[#This Row],[Warranty_Claim]]="Yes",1,0)</f>
        <v>0</v>
      </c>
      <c r="W342" s="4">
        <f>IF(Table1[[#This Row],[Rework_Flag]]="No",1,0)</f>
        <v>0</v>
      </c>
      <c r="X342" s="4">
        <f>IF(Table1[[#This Row],[Rework_Flag]]="Yes",1,0)</f>
        <v>1</v>
      </c>
      <c r="Y342" s="4">
        <v>1</v>
      </c>
      <c r="Z342" s="4" t="str">
        <f>IF(Table1[[#This Row],[TAT_Days]]&gt;Table1[[#This Row],[SLA_TAT]],"Yes","No")</f>
        <v>Yes</v>
      </c>
      <c r="AA342" s="4" t="str" cm="1">
        <f t="array" ref="AA342">_xlfn.IFS(Table1[[#This Row],[Customer_Satisfaction]]&lt;=2,"Poor",Table1[[#This Row],[Customer_Satisfaction]]=3,"Neutral",Table1[[#This Row],[Customer_Satisfaction]]=4,"Good",Table1[[#This Row],[Customer_Satisfaction]]=5,"Good")</f>
        <v>Neutral</v>
      </c>
    </row>
    <row r="343" spans="1:27" x14ac:dyDescent="0.35">
      <c r="A343">
        <v>20341</v>
      </c>
      <c r="B343" s="1">
        <v>45370</v>
      </c>
      <c r="C343" t="s">
        <v>30</v>
      </c>
      <c r="D343" t="s">
        <v>31</v>
      </c>
      <c r="E343" t="s">
        <v>122</v>
      </c>
      <c r="F343" t="s">
        <v>40</v>
      </c>
      <c r="G343" t="s">
        <v>41</v>
      </c>
      <c r="H343" t="s">
        <v>42</v>
      </c>
      <c r="I343" t="s">
        <v>25</v>
      </c>
      <c r="J343" t="s">
        <v>58</v>
      </c>
      <c r="K343" t="s">
        <v>27</v>
      </c>
      <c r="L343" t="s">
        <v>49</v>
      </c>
      <c r="M343" s="4">
        <v>10</v>
      </c>
      <c r="N343" s="4">
        <v>7</v>
      </c>
      <c r="O343" t="s">
        <v>29</v>
      </c>
      <c r="P343" t="s">
        <v>36</v>
      </c>
      <c r="Q343" s="4">
        <v>319405</v>
      </c>
      <c r="R343" s="4">
        <v>214424</v>
      </c>
      <c r="S343" s="4">
        <f>Table1[[#This Row],[Service_Revenue]]-Table1[[#This Row],[Service_Cost]]</f>
        <v>104981</v>
      </c>
      <c r="T343" s="4">
        <v>2</v>
      </c>
      <c r="U343" s="4">
        <f>IF(AND(Table1[[#This Row],[Rework_Flag]]="Yes",Table1[[#This Row],[Warranty_Claim]]="No"),Table1[[#This Row],[Service_Revenue]],0)</f>
        <v>319405</v>
      </c>
      <c r="V343" s="4">
        <f>IF(Table1[[#This Row],[Warranty_Claim]]="Yes",1,0)</f>
        <v>0</v>
      </c>
      <c r="W343" s="4">
        <f>IF(Table1[[#This Row],[Rework_Flag]]="No",1,0)</f>
        <v>0</v>
      </c>
      <c r="X343" s="4">
        <f>IF(Table1[[#This Row],[Rework_Flag]]="Yes",1,0)</f>
        <v>1</v>
      </c>
      <c r="Y343" s="4">
        <v>1</v>
      </c>
      <c r="Z343" s="4" t="str">
        <f>IF(Table1[[#This Row],[TAT_Days]]&gt;Table1[[#This Row],[SLA_TAT]],"Yes","No")</f>
        <v>Yes</v>
      </c>
      <c r="AA343" s="4" t="str" cm="1">
        <f t="array" ref="AA343">_xlfn.IFS(Table1[[#This Row],[Customer_Satisfaction]]&lt;=2,"Poor",Table1[[#This Row],[Customer_Satisfaction]]=3,"Neutral",Table1[[#This Row],[Customer_Satisfaction]]=4,"Good",Table1[[#This Row],[Customer_Satisfaction]]=5,"Good")</f>
        <v>Poor</v>
      </c>
    </row>
    <row r="344" spans="1:27" x14ac:dyDescent="0.35">
      <c r="A344">
        <v>20342</v>
      </c>
      <c r="B344" s="1">
        <v>45377</v>
      </c>
      <c r="C344" t="s">
        <v>30</v>
      </c>
      <c r="D344" t="s">
        <v>31</v>
      </c>
      <c r="E344" t="s">
        <v>79</v>
      </c>
      <c r="F344" t="s">
        <v>40</v>
      </c>
      <c r="G344" t="s">
        <v>74</v>
      </c>
      <c r="H344" t="s">
        <v>34</v>
      </c>
      <c r="I344" t="s">
        <v>25</v>
      </c>
      <c r="J344" t="s">
        <v>26</v>
      </c>
      <c r="K344" t="s">
        <v>44</v>
      </c>
      <c r="L344" t="s">
        <v>28</v>
      </c>
      <c r="M344" s="4">
        <v>16</v>
      </c>
      <c r="N344" s="4">
        <v>7</v>
      </c>
      <c r="O344" t="s">
        <v>36</v>
      </c>
      <c r="P344" t="s">
        <v>36</v>
      </c>
      <c r="Q344" s="4">
        <v>165975</v>
      </c>
      <c r="R344" s="4">
        <v>130010</v>
      </c>
      <c r="S344" s="4">
        <f>Table1[[#This Row],[Service_Revenue]]-Table1[[#This Row],[Service_Cost]]</f>
        <v>35965</v>
      </c>
      <c r="T344" s="4">
        <v>2</v>
      </c>
      <c r="U344" s="4">
        <f>IF(AND(Table1[[#This Row],[Rework_Flag]]="Yes",Table1[[#This Row],[Warranty_Claim]]="No"),Table1[[#This Row],[Service_Revenue]],0)</f>
        <v>0</v>
      </c>
      <c r="V344" s="4">
        <f>IF(Table1[[#This Row],[Warranty_Claim]]="Yes",1,0)</f>
        <v>0</v>
      </c>
      <c r="W344" s="4">
        <f>IF(Table1[[#This Row],[Rework_Flag]]="No",1,0)</f>
        <v>1</v>
      </c>
      <c r="X344" s="4">
        <f>IF(Table1[[#This Row],[Rework_Flag]]="Yes",1,0)</f>
        <v>0</v>
      </c>
      <c r="Y344" s="4">
        <v>1</v>
      </c>
      <c r="Z344" s="4" t="str">
        <f>IF(Table1[[#This Row],[TAT_Days]]&gt;Table1[[#This Row],[SLA_TAT]],"Yes","No")</f>
        <v>Yes</v>
      </c>
      <c r="AA344" s="4" t="str" cm="1">
        <f t="array" ref="AA344">_xlfn.IFS(Table1[[#This Row],[Customer_Satisfaction]]&lt;=2,"Poor",Table1[[#This Row],[Customer_Satisfaction]]=3,"Neutral",Table1[[#This Row],[Customer_Satisfaction]]=4,"Good",Table1[[#This Row],[Customer_Satisfaction]]=5,"Good")</f>
        <v>Poor</v>
      </c>
    </row>
    <row r="345" spans="1:27" x14ac:dyDescent="0.35">
      <c r="A345">
        <v>20343</v>
      </c>
      <c r="B345" s="1">
        <v>45306</v>
      </c>
      <c r="C345" t="s">
        <v>37</v>
      </c>
      <c r="D345" t="s">
        <v>64</v>
      </c>
      <c r="E345" t="s">
        <v>87</v>
      </c>
      <c r="F345" t="s">
        <v>22</v>
      </c>
      <c r="G345" t="s">
        <v>47</v>
      </c>
      <c r="H345" t="s">
        <v>48</v>
      </c>
      <c r="I345" t="s">
        <v>25</v>
      </c>
      <c r="J345" t="s">
        <v>26</v>
      </c>
      <c r="K345" t="s">
        <v>61</v>
      </c>
      <c r="L345" t="s">
        <v>28</v>
      </c>
      <c r="M345" s="4">
        <v>3</v>
      </c>
      <c r="N345" s="4">
        <v>7</v>
      </c>
      <c r="O345" t="s">
        <v>29</v>
      </c>
      <c r="P345" t="s">
        <v>29</v>
      </c>
      <c r="Q345" s="4">
        <v>229140</v>
      </c>
      <c r="R345" s="4">
        <v>174044</v>
      </c>
      <c r="S345" s="4">
        <f>Table1[[#This Row],[Service_Revenue]]-Table1[[#This Row],[Service_Cost]]</f>
        <v>55096</v>
      </c>
      <c r="T345" s="4">
        <v>4</v>
      </c>
      <c r="U345" s="4">
        <f>IF(AND(Table1[[#This Row],[Rework_Flag]]="Yes",Table1[[#This Row],[Warranty_Claim]]="No"),Table1[[#This Row],[Service_Revenue]],0)</f>
        <v>0</v>
      </c>
      <c r="V345" s="4">
        <f>IF(Table1[[#This Row],[Warranty_Claim]]="Yes",1,0)</f>
        <v>1</v>
      </c>
      <c r="W345" s="4">
        <f>IF(Table1[[#This Row],[Rework_Flag]]="No",1,0)</f>
        <v>0</v>
      </c>
      <c r="X345" s="4">
        <f>IF(Table1[[#This Row],[Rework_Flag]]="Yes",1,0)</f>
        <v>1</v>
      </c>
      <c r="Y345" s="4">
        <v>1</v>
      </c>
      <c r="Z345" s="4" t="str">
        <f>IF(Table1[[#This Row],[TAT_Days]]&gt;Table1[[#This Row],[SLA_TAT]],"Yes","No")</f>
        <v>No</v>
      </c>
      <c r="AA345" s="4" t="str" cm="1">
        <f t="array" ref="AA345">_xlfn.IFS(Table1[[#This Row],[Customer_Satisfaction]]&lt;=2,"Poor",Table1[[#This Row],[Customer_Satisfaction]]=3,"Neutral",Table1[[#This Row],[Customer_Satisfaction]]=4,"Good",Table1[[#This Row],[Customer_Satisfaction]]=5,"Good")</f>
        <v>Good</v>
      </c>
    </row>
    <row r="346" spans="1:27" x14ac:dyDescent="0.35">
      <c r="A346">
        <v>20344</v>
      </c>
      <c r="B346" s="1">
        <v>45356</v>
      </c>
      <c r="C346" t="s">
        <v>19</v>
      </c>
      <c r="D346" t="s">
        <v>45</v>
      </c>
      <c r="E346" t="s">
        <v>111</v>
      </c>
      <c r="F346" t="s">
        <v>40</v>
      </c>
      <c r="G346" t="s">
        <v>23</v>
      </c>
      <c r="H346" t="s">
        <v>24</v>
      </c>
      <c r="I346" t="s">
        <v>25</v>
      </c>
      <c r="J346" t="s">
        <v>26</v>
      </c>
      <c r="K346" t="s">
        <v>44</v>
      </c>
      <c r="L346" t="s">
        <v>49</v>
      </c>
      <c r="M346" s="4">
        <v>13</v>
      </c>
      <c r="N346" s="4">
        <v>7</v>
      </c>
      <c r="O346" t="s">
        <v>36</v>
      </c>
      <c r="P346" t="s">
        <v>29</v>
      </c>
      <c r="Q346" s="4">
        <v>139957</v>
      </c>
      <c r="R346" s="4">
        <v>108863</v>
      </c>
      <c r="S346" s="4">
        <f>Table1[[#This Row],[Service_Revenue]]-Table1[[#This Row],[Service_Cost]]</f>
        <v>31094</v>
      </c>
      <c r="T346" s="4">
        <v>3</v>
      </c>
      <c r="U346" s="4">
        <f>IF(AND(Table1[[#This Row],[Rework_Flag]]="Yes",Table1[[#This Row],[Warranty_Claim]]="No"),Table1[[#This Row],[Service_Revenue]],0)</f>
        <v>0</v>
      </c>
      <c r="V346" s="4">
        <f>IF(Table1[[#This Row],[Warranty_Claim]]="Yes",1,0)</f>
        <v>1</v>
      </c>
      <c r="W346" s="4">
        <f>IF(Table1[[#This Row],[Rework_Flag]]="No",1,0)</f>
        <v>1</v>
      </c>
      <c r="X346" s="4">
        <f>IF(Table1[[#This Row],[Rework_Flag]]="Yes",1,0)</f>
        <v>0</v>
      </c>
      <c r="Y346" s="4">
        <v>1</v>
      </c>
      <c r="Z346" s="4" t="str">
        <f>IF(Table1[[#This Row],[TAT_Days]]&gt;Table1[[#This Row],[SLA_TAT]],"Yes","No")</f>
        <v>Yes</v>
      </c>
      <c r="AA346" s="4" t="str" cm="1">
        <f t="array" ref="AA346">_xlfn.IFS(Table1[[#This Row],[Customer_Satisfaction]]&lt;=2,"Poor",Table1[[#This Row],[Customer_Satisfaction]]=3,"Neutral",Table1[[#This Row],[Customer_Satisfaction]]=4,"Good",Table1[[#This Row],[Customer_Satisfaction]]=5,"Good")</f>
        <v>Neutral</v>
      </c>
    </row>
    <row r="347" spans="1:27" x14ac:dyDescent="0.35">
      <c r="A347">
        <v>20345</v>
      </c>
      <c r="B347" s="1">
        <v>45471</v>
      </c>
      <c r="C347" t="s">
        <v>19</v>
      </c>
      <c r="D347" t="s">
        <v>45</v>
      </c>
      <c r="E347" t="s">
        <v>76</v>
      </c>
      <c r="F347" t="s">
        <v>40</v>
      </c>
      <c r="G347" t="s">
        <v>63</v>
      </c>
      <c r="H347" t="s">
        <v>24</v>
      </c>
      <c r="I347" t="s">
        <v>25</v>
      </c>
      <c r="J347" t="s">
        <v>26</v>
      </c>
      <c r="K347" t="s">
        <v>44</v>
      </c>
      <c r="L347" t="s">
        <v>28</v>
      </c>
      <c r="M347" s="4">
        <v>10</v>
      </c>
      <c r="N347" s="4">
        <v>7</v>
      </c>
      <c r="O347" t="s">
        <v>29</v>
      </c>
      <c r="P347" t="s">
        <v>36</v>
      </c>
      <c r="Q347" s="4">
        <v>507914</v>
      </c>
      <c r="R347" s="4">
        <v>422440</v>
      </c>
      <c r="S347" s="4">
        <f>Table1[[#This Row],[Service_Revenue]]-Table1[[#This Row],[Service_Cost]]</f>
        <v>85474</v>
      </c>
      <c r="T347" s="4">
        <v>2</v>
      </c>
      <c r="U347" s="4">
        <f>IF(AND(Table1[[#This Row],[Rework_Flag]]="Yes",Table1[[#This Row],[Warranty_Claim]]="No"),Table1[[#This Row],[Service_Revenue]],0)</f>
        <v>507914</v>
      </c>
      <c r="V347" s="4">
        <f>IF(Table1[[#This Row],[Warranty_Claim]]="Yes",1,0)</f>
        <v>0</v>
      </c>
      <c r="W347" s="4">
        <f>IF(Table1[[#This Row],[Rework_Flag]]="No",1,0)</f>
        <v>0</v>
      </c>
      <c r="X347" s="4">
        <f>IF(Table1[[#This Row],[Rework_Flag]]="Yes",1,0)</f>
        <v>1</v>
      </c>
      <c r="Y347" s="4">
        <v>1</v>
      </c>
      <c r="Z347" s="4" t="str">
        <f>IF(Table1[[#This Row],[TAT_Days]]&gt;Table1[[#This Row],[SLA_TAT]],"Yes","No")</f>
        <v>Yes</v>
      </c>
      <c r="AA347" s="4" t="str" cm="1">
        <f t="array" ref="AA347">_xlfn.IFS(Table1[[#This Row],[Customer_Satisfaction]]&lt;=2,"Poor",Table1[[#This Row],[Customer_Satisfaction]]=3,"Neutral",Table1[[#This Row],[Customer_Satisfaction]]=4,"Good",Table1[[#This Row],[Customer_Satisfaction]]=5,"Good")</f>
        <v>Poor</v>
      </c>
    </row>
    <row r="348" spans="1:27" x14ac:dyDescent="0.35">
      <c r="A348">
        <v>20346</v>
      </c>
      <c r="B348" s="1">
        <v>45395</v>
      </c>
      <c r="C348" t="s">
        <v>50</v>
      </c>
      <c r="D348" t="s">
        <v>51</v>
      </c>
      <c r="E348" t="s">
        <v>73</v>
      </c>
      <c r="F348" t="s">
        <v>40</v>
      </c>
      <c r="G348" t="s">
        <v>41</v>
      </c>
      <c r="H348" t="s">
        <v>42</v>
      </c>
      <c r="I348" t="s">
        <v>25</v>
      </c>
      <c r="J348" t="s">
        <v>67</v>
      </c>
      <c r="K348" t="s">
        <v>27</v>
      </c>
      <c r="L348" t="s">
        <v>28</v>
      </c>
      <c r="M348" s="4">
        <v>13</v>
      </c>
      <c r="N348" s="4">
        <v>7</v>
      </c>
      <c r="O348" t="s">
        <v>29</v>
      </c>
      <c r="P348" t="s">
        <v>29</v>
      </c>
      <c r="Q348" s="4">
        <v>265669</v>
      </c>
      <c r="R348" s="4">
        <v>144269</v>
      </c>
      <c r="S348" s="4">
        <f>Table1[[#This Row],[Service_Revenue]]-Table1[[#This Row],[Service_Cost]]</f>
        <v>121400</v>
      </c>
      <c r="T348" s="4">
        <v>2</v>
      </c>
      <c r="U348" s="4">
        <f>IF(AND(Table1[[#This Row],[Rework_Flag]]="Yes",Table1[[#This Row],[Warranty_Claim]]="No"),Table1[[#This Row],[Service_Revenue]],0)</f>
        <v>0</v>
      </c>
      <c r="V348" s="4">
        <f>IF(Table1[[#This Row],[Warranty_Claim]]="Yes",1,0)</f>
        <v>1</v>
      </c>
      <c r="W348" s="4">
        <f>IF(Table1[[#This Row],[Rework_Flag]]="No",1,0)</f>
        <v>0</v>
      </c>
      <c r="X348" s="4">
        <f>IF(Table1[[#This Row],[Rework_Flag]]="Yes",1,0)</f>
        <v>1</v>
      </c>
      <c r="Y348" s="4">
        <v>1</v>
      </c>
      <c r="Z348" s="4" t="str">
        <f>IF(Table1[[#This Row],[TAT_Days]]&gt;Table1[[#This Row],[SLA_TAT]],"Yes","No")</f>
        <v>Yes</v>
      </c>
      <c r="AA348" s="4" t="str" cm="1">
        <f t="array" ref="AA348">_xlfn.IFS(Table1[[#This Row],[Customer_Satisfaction]]&lt;=2,"Poor",Table1[[#This Row],[Customer_Satisfaction]]=3,"Neutral",Table1[[#This Row],[Customer_Satisfaction]]=4,"Good",Table1[[#This Row],[Customer_Satisfaction]]=5,"Good")</f>
        <v>Poor</v>
      </c>
    </row>
    <row r="349" spans="1:27" x14ac:dyDescent="0.35">
      <c r="A349">
        <v>20347</v>
      </c>
      <c r="B349" s="1">
        <v>45447</v>
      </c>
      <c r="C349" t="s">
        <v>30</v>
      </c>
      <c r="D349" t="s">
        <v>59</v>
      </c>
      <c r="E349" t="s">
        <v>60</v>
      </c>
      <c r="F349" t="s">
        <v>53</v>
      </c>
      <c r="G349" t="s">
        <v>41</v>
      </c>
      <c r="H349" t="s">
        <v>42</v>
      </c>
      <c r="I349" t="s">
        <v>25</v>
      </c>
      <c r="J349" t="s">
        <v>67</v>
      </c>
      <c r="K349" t="s">
        <v>61</v>
      </c>
      <c r="L349" t="s">
        <v>28</v>
      </c>
      <c r="M349" s="4">
        <v>11</v>
      </c>
      <c r="N349" s="4">
        <v>7</v>
      </c>
      <c r="O349" t="s">
        <v>36</v>
      </c>
      <c r="P349" t="s">
        <v>36</v>
      </c>
      <c r="Q349" s="4">
        <v>515723</v>
      </c>
      <c r="R349" s="4">
        <v>425348</v>
      </c>
      <c r="S349" s="4">
        <f>Table1[[#This Row],[Service_Revenue]]-Table1[[#This Row],[Service_Cost]]</f>
        <v>90375</v>
      </c>
      <c r="T349" s="4">
        <v>3</v>
      </c>
      <c r="U349" s="4">
        <f>IF(AND(Table1[[#This Row],[Rework_Flag]]="Yes",Table1[[#This Row],[Warranty_Claim]]="No"),Table1[[#This Row],[Service_Revenue]],0)</f>
        <v>0</v>
      </c>
      <c r="V349" s="4">
        <f>IF(Table1[[#This Row],[Warranty_Claim]]="Yes",1,0)</f>
        <v>0</v>
      </c>
      <c r="W349" s="4">
        <f>IF(Table1[[#This Row],[Rework_Flag]]="No",1,0)</f>
        <v>1</v>
      </c>
      <c r="X349" s="4">
        <f>IF(Table1[[#This Row],[Rework_Flag]]="Yes",1,0)</f>
        <v>0</v>
      </c>
      <c r="Y349" s="4">
        <v>1</v>
      </c>
      <c r="Z349" s="4" t="str">
        <f>IF(Table1[[#This Row],[TAT_Days]]&gt;Table1[[#This Row],[SLA_TAT]],"Yes","No")</f>
        <v>Yes</v>
      </c>
      <c r="AA349" s="4" t="str" cm="1">
        <f t="array" ref="AA349">_xlfn.IFS(Table1[[#This Row],[Customer_Satisfaction]]&lt;=2,"Poor",Table1[[#This Row],[Customer_Satisfaction]]=3,"Neutral",Table1[[#This Row],[Customer_Satisfaction]]=4,"Good",Table1[[#This Row],[Customer_Satisfaction]]=5,"Good")</f>
        <v>Neutral</v>
      </c>
    </row>
    <row r="350" spans="1:27" x14ac:dyDescent="0.35">
      <c r="A350">
        <v>20348</v>
      </c>
      <c r="B350" s="1">
        <v>45419</v>
      </c>
      <c r="C350" t="s">
        <v>37</v>
      </c>
      <c r="D350" t="s">
        <v>64</v>
      </c>
      <c r="E350" t="s">
        <v>115</v>
      </c>
      <c r="F350" t="s">
        <v>40</v>
      </c>
      <c r="G350" t="s">
        <v>74</v>
      </c>
      <c r="H350" t="s">
        <v>34</v>
      </c>
      <c r="I350" t="s">
        <v>55</v>
      </c>
      <c r="J350" t="s">
        <v>67</v>
      </c>
      <c r="K350" t="s">
        <v>27</v>
      </c>
      <c r="L350" t="s">
        <v>28</v>
      </c>
      <c r="M350" s="4">
        <v>21</v>
      </c>
      <c r="N350" s="4">
        <v>7</v>
      </c>
      <c r="O350" t="s">
        <v>29</v>
      </c>
      <c r="P350" t="s">
        <v>36</v>
      </c>
      <c r="Q350" s="4">
        <v>270668</v>
      </c>
      <c r="R350" s="4">
        <v>155742</v>
      </c>
      <c r="S350" s="4">
        <f>Table1[[#This Row],[Service_Revenue]]-Table1[[#This Row],[Service_Cost]]</f>
        <v>114926</v>
      </c>
      <c r="T350" s="4">
        <v>1</v>
      </c>
      <c r="U350" s="4">
        <f>IF(AND(Table1[[#This Row],[Rework_Flag]]="Yes",Table1[[#This Row],[Warranty_Claim]]="No"),Table1[[#This Row],[Service_Revenue]],0)</f>
        <v>270668</v>
      </c>
      <c r="V350" s="4">
        <f>IF(Table1[[#This Row],[Warranty_Claim]]="Yes",1,0)</f>
        <v>0</v>
      </c>
      <c r="W350" s="4">
        <f>IF(Table1[[#This Row],[Rework_Flag]]="No",1,0)</f>
        <v>0</v>
      </c>
      <c r="X350" s="4">
        <f>IF(Table1[[#This Row],[Rework_Flag]]="Yes",1,0)</f>
        <v>1</v>
      </c>
      <c r="Y350" s="4">
        <v>1</v>
      </c>
      <c r="Z350" s="4" t="str">
        <f>IF(Table1[[#This Row],[TAT_Days]]&gt;Table1[[#This Row],[SLA_TAT]],"Yes","No")</f>
        <v>Yes</v>
      </c>
      <c r="AA350" s="4" t="str" cm="1">
        <f t="array" ref="AA350">_xlfn.IFS(Table1[[#This Row],[Customer_Satisfaction]]&lt;=2,"Poor",Table1[[#This Row],[Customer_Satisfaction]]=3,"Neutral",Table1[[#This Row],[Customer_Satisfaction]]=4,"Good",Table1[[#This Row],[Customer_Satisfaction]]=5,"Good")</f>
        <v>Poor</v>
      </c>
    </row>
    <row r="351" spans="1:27" x14ac:dyDescent="0.35">
      <c r="A351">
        <v>20349</v>
      </c>
      <c r="B351" s="1">
        <v>45311</v>
      </c>
      <c r="C351" t="s">
        <v>19</v>
      </c>
      <c r="D351" t="s">
        <v>20</v>
      </c>
      <c r="E351" t="s">
        <v>117</v>
      </c>
      <c r="F351" t="s">
        <v>53</v>
      </c>
      <c r="G351" t="s">
        <v>54</v>
      </c>
      <c r="H351" t="s">
        <v>42</v>
      </c>
      <c r="I351" t="s">
        <v>55</v>
      </c>
      <c r="J351" t="s">
        <v>58</v>
      </c>
      <c r="K351" t="s">
        <v>44</v>
      </c>
      <c r="L351" t="s">
        <v>28</v>
      </c>
      <c r="M351" s="4">
        <v>10</v>
      </c>
      <c r="N351" s="4">
        <v>7</v>
      </c>
      <c r="O351" t="s">
        <v>29</v>
      </c>
      <c r="P351" t="s">
        <v>36</v>
      </c>
      <c r="Q351" s="4">
        <v>217578</v>
      </c>
      <c r="R351" s="4">
        <v>139395</v>
      </c>
      <c r="S351" s="4">
        <f>Table1[[#This Row],[Service_Revenue]]-Table1[[#This Row],[Service_Cost]]</f>
        <v>78183</v>
      </c>
      <c r="T351" s="4">
        <v>2</v>
      </c>
      <c r="U351" s="4">
        <f>IF(AND(Table1[[#This Row],[Rework_Flag]]="Yes",Table1[[#This Row],[Warranty_Claim]]="No"),Table1[[#This Row],[Service_Revenue]],0)</f>
        <v>217578</v>
      </c>
      <c r="V351" s="4">
        <f>IF(Table1[[#This Row],[Warranty_Claim]]="Yes",1,0)</f>
        <v>0</v>
      </c>
      <c r="W351" s="4">
        <f>IF(Table1[[#This Row],[Rework_Flag]]="No",1,0)</f>
        <v>0</v>
      </c>
      <c r="X351" s="4">
        <f>IF(Table1[[#This Row],[Rework_Flag]]="Yes",1,0)</f>
        <v>1</v>
      </c>
      <c r="Y351" s="4">
        <v>1</v>
      </c>
      <c r="Z351" s="4" t="str">
        <f>IF(Table1[[#This Row],[TAT_Days]]&gt;Table1[[#This Row],[SLA_TAT]],"Yes","No")</f>
        <v>Yes</v>
      </c>
      <c r="AA351" s="4" t="str" cm="1">
        <f t="array" ref="AA351">_xlfn.IFS(Table1[[#This Row],[Customer_Satisfaction]]&lt;=2,"Poor",Table1[[#This Row],[Customer_Satisfaction]]=3,"Neutral",Table1[[#This Row],[Customer_Satisfaction]]=4,"Good",Table1[[#This Row],[Customer_Satisfaction]]=5,"Good")</f>
        <v>Poor</v>
      </c>
    </row>
    <row r="352" spans="1:27" x14ac:dyDescent="0.35">
      <c r="A352">
        <v>20350</v>
      </c>
      <c r="B352" s="1">
        <v>45366</v>
      </c>
      <c r="C352" t="s">
        <v>19</v>
      </c>
      <c r="D352" t="s">
        <v>20</v>
      </c>
      <c r="E352" t="s">
        <v>21</v>
      </c>
      <c r="F352" t="s">
        <v>53</v>
      </c>
      <c r="G352" t="s">
        <v>33</v>
      </c>
      <c r="H352" t="s">
        <v>34</v>
      </c>
      <c r="I352" t="s">
        <v>25</v>
      </c>
      <c r="J352" t="s">
        <v>26</v>
      </c>
      <c r="K352" t="s">
        <v>61</v>
      </c>
      <c r="L352" t="s">
        <v>49</v>
      </c>
      <c r="M352" s="4">
        <v>25</v>
      </c>
      <c r="N352" s="4">
        <v>7</v>
      </c>
      <c r="O352" t="s">
        <v>36</v>
      </c>
      <c r="P352" t="s">
        <v>29</v>
      </c>
      <c r="Q352" s="4">
        <v>166032</v>
      </c>
      <c r="R352" s="4">
        <v>133141</v>
      </c>
      <c r="S352" s="4">
        <f>Table1[[#This Row],[Service_Revenue]]-Table1[[#This Row],[Service_Cost]]</f>
        <v>32891</v>
      </c>
      <c r="T352" s="4">
        <v>1</v>
      </c>
      <c r="U352" s="4">
        <f>IF(AND(Table1[[#This Row],[Rework_Flag]]="Yes",Table1[[#This Row],[Warranty_Claim]]="No"),Table1[[#This Row],[Service_Revenue]],0)</f>
        <v>0</v>
      </c>
      <c r="V352" s="4">
        <f>IF(Table1[[#This Row],[Warranty_Claim]]="Yes",1,0)</f>
        <v>1</v>
      </c>
      <c r="W352" s="4">
        <f>IF(Table1[[#This Row],[Rework_Flag]]="No",1,0)</f>
        <v>1</v>
      </c>
      <c r="X352" s="4">
        <f>IF(Table1[[#This Row],[Rework_Flag]]="Yes",1,0)</f>
        <v>0</v>
      </c>
      <c r="Y352" s="4">
        <v>1</v>
      </c>
      <c r="Z352" s="4" t="str">
        <f>IF(Table1[[#This Row],[TAT_Days]]&gt;Table1[[#This Row],[SLA_TAT]],"Yes","No")</f>
        <v>Yes</v>
      </c>
      <c r="AA352" s="4" t="str" cm="1">
        <f t="array" ref="AA352">_xlfn.IFS(Table1[[#This Row],[Customer_Satisfaction]]&lt;=2,"Poor",Table1[[#This Row],[Customer_Satisfaction]]=3,"Neutral",Table1[[#This Row],[Customer_Satisfaction]]=4,"Good",Table1[[#This Row],[Customer_Satisfaction]]=5,"Good")</f>
        <v>Poor</v>
      </c>
    </row>
    <row r="353" spans="1:27" x14ac:dyDescent="0.35">
      <c r="A353">
        <v>20351</v>
      </c>
      <c r="B353" s="1">
        <v>45391</v>
      </c>
      <c r="C353" t="s">
        <v>37</v>
      </c>
      <c r="D353" t="s">
        <v>70</v>
      </c>
      <c r="E353" t="s">
        <v>100</v>
      </c>
      <c r="F353" t="s">
        <v>53</v>
      </c>
      <c r="G353" t="s">
        <v>47</v>
      </c>
      <c r="H353" t="s">
        <v>48</v>
      </c>
      <c r="I353" t="s">
        <v>55</v>
      </c>
      <c r="J353" t="s">
        <v>35</v>
      </c>
      <c r="K353" t="s">
        <v>61</v>
      </c>
      <c r="L353" t="s">
        <v>49</v>
      </c>
      <c r="M353" s="4">
        <v>21</v>
      </c>
      <c r="N353" s="4">
        <v>7</v>
      </c>
      <c r="O353" t="s">
        <v>29</v>
      </c>
      <c r="P353" t="s">
        <v>36</v>
      </c>
      <c r="Q353" s="4">
        <v>209849</v>
      </c>
      <c r="R353" s="4">
        <v>111690</v>
      </c>
      <c r="S353" s="4">
        <f>Table1[[#This Row],[Service_Revenue]]-Table1[[#This Row],[Service_Cost]]</f>
        <v>98159</v>
      </c>
      <c r="T353" s="4">
        <v>1</v>
      </c>
      <c r="U353" s="4">
        <f>IF(AND(Table1[[#This Row],[Rework_Flag]]="Yes",Table1[[#This Row],[Warranty_Claim]]="No"),Table1[[#This Row],[Service_Revenue]],0)</f>
        <v>209849</v>
      </c>
      <c r="V353" s="4">
        <f>IF(Table1[[#This Row],[Warranty_Claim]]="Yes",1,0)</f>
        <v>0</v>
      </c>
      <c r="W353" s="4">
        <f>IF(Table1[[#This Row],[Rework_Flag]]="No",1,0)</f>
        <v>0</v>
      </c>
      <c r="X353" s="4">
        <f>IF(Table1[[#This Row],[Rework_Flag]]="Yes",1,0)</f>
        <v>1</v>
      </c>
      <c r="Y353" s="4">
        <v>1</v>
      </c>
      <c r="Z353" s="4" t="str">
        <f>IF(Table1[[#This Row],[TAT_Days]]&gt;Table1[[#This Row],[SLA_TAT]],"Yes","No")</f>
        <v>Yes</v>
      </c>
      <c r="AA353" s="4" t="str" cm="1">
        <f t="array" ref="AA353">_xlfn.IFS(Table1[[#This Row],[Customer_Satisfaction]]&lt;=2,"Poor",Table1[[#This Row],[Customer_Satisfaction]]=3,"Neutral",Table1[[#This Row],[Customer_Satisfaction]]=4,"Good",Table1[[#This Row],[Customer_Satisfaction]]=5,"Good")</f>
        <v>Poor</v>
      </c>
    </row>
    <row r="354" spans="1:27" x14ac:dyDescent="0.35">
      <c r="A354">
        <v>20352</v>
      </c>
      <c r="B354" s="1">
        <v>45320</v>
      </c>
      <c r="C354" t="s">
        <v>37</v>
      </c>
      <c r="D354" t="s">
        <v>38</v>
      </c>
      <c r="E354" t="s">
        <v>107</v>
      </c>
      <c r="F354" t="s">
        <v>40</v>
      </c>
      <c r="G354" t="s">
        <v>74</v>
      </c>
      <c r="H354" t="s">
        <v>34</v>
      </c>
      <c r="I354" t="s">
        <v>55</v>
      </c>
      <c r="J354" t="s">
        <v>58</v>
      </c>
      <c r="K354" t="s">
        <v>61</v>
      </c>
      <c r="L354" t="s">
        <v>49</v>
      </c>
      <c r="M354" s="4">
        <v>5</v>
      </c>
      <c r="N354" s="4">
        <v>7</v>
      </c>
      <c r="O354" t="s">
        <v>36</v>
      </c>
      <c r="P354" t="s">
        <v>29</v>
      </c>
      <c r="Q354" s="4">
        <v>556125</v>
      </c>
      <c r="R354" s="4">
        <v>434817</v>
      </c>
      <c r="S354" s="4">
        <f>Table1[[#This Row],[Service_Revenue]]-Table1[[#This Row],[Service_Cost]]</f>
        <v>121308</v>
      </c>
      <c r="T354" s="4">
        <v>4</v>
      </c>
      <c r="U354" s="4">
        <f>IF(AND(Table1[[#This Row],[Rework_Flag]]="Yes",Table1[[#This Row],[Warranty_Claim]]="No"),Table1[[#This Row],[Service_Revenue]],0)</f>
        <v>0</v>
      </c>
      <c r="V354" s="4">
        <f>IF(Table1[[#This Row],[Warranty_Claim]]="Yes",1,0)</f>
        <v>1</v>
      </c>
      <c r="W354" s="4">
        <f>IF(Table1[[#This Row],[Rework_Flag]]="No",1,0)</f>
        <v>1</v>
      </c>
      <c r="X354" s="4">
        <f>IF(Table1[[#This Row],[Rework_Flag]]="Yes",1,0)</f>
        <v>0</v>
      </c>
      <c r="Y354" s="4">
        <v>1</v>
      </c>
      <c r="Z354" s="4" t="str">
        <f>IF(Table1[[#This Row],[TAT_Days]]&gt;Table1[[#This Row],[SLA_TAT]],"Yes","No")</f>
        <v>No</v>
      </c>
      <c r="AA354" s="4" t="str" cm="1">
        <f t="array" ref="AA354">_xlfn.IFS(Table1[[#This Row],[Customer_Satisfaction]]&lt;=2,"Poor",Table1[[#This Row],[Customer_Satisfaction]]=3,"Neutral",Table1[[#This Row],[Customer_Satisfaction]]=4,"Good",Table1[[#This Row],[Customer_Satisfaction]]=5,"Good")</f>
        <v>Good</v>
      </c>
    </row>
    <row r="355" spans="1:27" x14ac:dyDescent="0.35">
      <c r="A355">
        <v>20353</v>
      </c>
      <c r="B355" s="1">
        <v>45346</v>
      </c>
      <c r="C355" t="s">
        <v>30</v>
      </c>
      <c r="D355" t="s">
        <v>31</v>
      </c>
      <c r="E355" t="s">
        <v>79</v>
      </c>
      <c r="F355" t="s">
        <v>40</v>
      </c>
      <c r="G355" t="s">
        <v>63</v>
      </c>
      <c r="H355" t="s">
        <v>24</v>
      </c>
      <c r="I355" t="s">
        <v>25</v>
      </c>
      <c r="J355" t="s">
        <v>26</v>
      </c>
      <c r="K355" t="s">
        <v>61</v>
      </c>
      <c r="L355" t="s">
        <v>28</v>
      </c>
      <c r="M355" s="4">
        <v>17</v>
      </c>
      <c r="N355" s="4">
        <v>7</v>
      </c>
      <c r="O355" t="s">
        <v>36</v>
      </c>
      <c r="P355" t="s">
        <v>29</v>
      </c>
      <c r="Q355" s="4">
        <v>327272</v>
      </c>
      <c r="R355" s="4">
        <v>165818</v>
      </c>
      <c r="S355" s="4">
        <f>Table1[[#This Row],[Service_Revenue]]-Table1[[#This Row],[Service_Cost]]</f>
        <v>161454</v>
      </c>
      <c r="T355" s="4">
        <v>2</v>
      </c>
      <c r="U355" s="4">
        <f>IF(AND(Table1[[#This Row],[Rework_Flag]]="Yes",Table1[[#This Row],[Warranty_Claim]]="No"),Table1[[#This Row],[Service_Revenue]],0)</f>
        <v>0</v>
      </c>
      <c r="V355" s="4">
        <f>IF(Table1[[#This Row],[Warranty_Claim]]="Yes",1,0)</f>
        <v>1</v>
      </c>
      <c r="W355" s="4">
        <f>IF(Table1[[#This Row],[Rework_Flag]]="No",1,0)</f>
        <v>1</v>
      </c>
      <c r="X355" s="4">
        <f>IF(Table1[[#This Row],[Rework_Flag]]="Yes",1,0)</f>
        <v>0</v>
      </c>
      <c r="Y355" s="4">
        <v>1</v>
      </c>
      <c r="Z355" s="4" t="str">
        <f>IF(Table1[[#This Row],[TAT_Days]]&gt;Table1[[#This Row],[SLA_TAT]],"Yes","No")</f>
        <v>Yes</v>
      </c>
      <c r="AA355" s="4" t="str" cm="1">
        <f t="array" ref="AA355">_xlfn.IFS(Table1[[#This Row],[Customer_Satisfaction]]&lt;=2,"Poor",Table1[[#This Row],[Customer_Satisfaction]]=3,"Neutral",Table1[[#This Row],[Customer_Satisfaction]]=4,"Good",Table1[[#This Row],[Customer_Satisfaction]]=5,"Good")</f>
        <v>Poor</v>
      </c>
    </row>
    <row r="356" spans="1:27" x14ac:dyDescent="0.35">
      <c r="A356">
        <v>20354</v>
      </c>
      <c r="B356" s="1">
        <v>45429</v>
      </c>
      <c r="C356" t="s">
        <v>50</v>
      </c>
      <c r="D356" t="s">
        <v>51</v>
      </c>
      <c r="E356" t="s">
        <v>52</v>
      </c>
      <c r="F356" t="s">
        <v>40</v>
      </c>
      <c r="G356" t="s">
        <v>54</v>
      </c>
      <c r="H356" t="s">
        <v>42</v>
      </c>
      <c r="I356" t="s">
        <v>55</v>
      </c>
      <c r="J356" t="s">
        <v>26</v>
      </c>
      <c r="K356" t="s">
        <v>27</v>
      </c>
      <c r="L356" t="s">
        <v>28</v>
      </c>
      <c r="M356" s="4">
        <v>25</v>
      </c>
      <c r="N356" s="4">
        <v>7</v>
      </c>
      <c r="O356" t="s">
        <v>29</v>
      </c>
      <c r="P356" t="s">
        <v>29</v>
      </c>
      <c r="Q356" s="4">
        <v>212221</v>
      </c>
      <c r="R356" s="4">
        <v>112179</v>
      </c>
      <c r="S356" s="4">
        <f>Table1[[#This Row],[Service_Revenue]]-Table1[[#This Row],[Service_Cost]]</f>
        <v>100042</v>
      </c>
      <c r="T356" s="4">
        <v>1</v>
      </c>
      <c r="U356" s="4">
        <f>IF(AND(Table1[[#This Row],[Rework_Flag]]="Yes",Table1[[#This Row],[Warranty_Claim]]="No"),Table1[[#This Row],[Service_Revenue]],0)</f>
        <v>0</v>
      </c>
      <c r="V356" s="4">
        <f>IF(Table1[[#This Row],[Warranty_Claim]]="Yes",1,0)</f>
        <v>1</v>
      </c>
      <c r="W356" s="4">
        <f>IF(Table1[[#This Row],[Rework_Flag]]="No",1,0)</f>
        <v>0</v>
      </c>
      <c r="X356" s="4">
        <f>IF(Table1[[#This Row],[Rework_Flag]]="Yes",1,0)</f>
        <v>1</v>
      </c>
      <c r="Y356" s="4">
        <v>1</v>
      </c>
      <c r="Z356" s="4" t="str">
        <f>IF(Table1[[#This Row],[TAT_Days]]&gt;Table1[[#This Row],[SLA_TAT]],"Yes","No")</f>
        <v>Yes</v>
      </c>
      <c r="AA356" s="4" t="str" cm="1">
        <f t="array" ref="AA356">_xlfn.IFS(Table1[[#This Row],[Customer_Satisfaction]]&lt;=2,"Poor",Table1[[#This Row],[Customer_Satisfaction]]=3,"Neutral",Table1[[#This Row],[Customer_Satisfaction]]=4,"Good",Table1[[#This Row],[Customer_Satisfaction]]=5,"Good")</f>
        <v>Poor</v>
      </c>
    </row>
    <row r="357" spans="1:27" x14ac:dyDescent="0.35">
      <c r="A357">
        <v>20355</v>
      </c>
      <c r="B357" s="1">
        <v>45459</v>
      </c>
      <c r="C357" t="s">
        <v>37</v>
      </c>
      <c r="D357" t="s">
        <v>38</v>
      </c>
      <c r="E357" t="s">
        <v>93</v>
      </c>
      <c r="F357" t="s">
        <v>40</v>
      </c>
      <c r="G357" t="s">
        <v>47</v>
      </c>
      <c r="H357" t="s">
        <v>48</v>
      </c>
      <c r="I357" t="s">
        <v>55</v>
      </c>
      <c r="J357" t="s">
        <v>43</v>
      </c>
      <c r="K357" t="s">
        <v>27</v>
      </c>
      <c r="L357" t="s">
        <v>28</v>
      </c>
      <c r="M357" s="4">
        <v>2</v>
      </c>
      <c r="N357" s="4">
        <v>7</v>
      </c>
      <c r="O357" t="s">
        <v>29</v>
      </c>
      <c r="P357" t="s">
        <v>36</v>
      </c>
      <c r="Q357" s="4">
        <v>104673</v>
      </c>
      <c r="R357" s="4">
        <v>70466</v>
      </c>
      <c r="S357" s="4">
        <f>Table1[[#This Row],[Service_Revenue]]-Table1[[#This Row],[Service_Cost]]</f>
        <v>34207</v>
      </c>
      <c r="T357" s="4">
        <v>4</v>
      </c>
      <c r="U357" s="4">
        <f>IF(AND(Table1[[#This Row],[Rework_Flag]]="Yes",Table1[[#This Row],[Warranty_Claim]]="No"),Table1[[#This Row],[Service_Revenue]],0)</f>
        <v>104673</v>
      </c>
      <c r="V357" s="4">
        <f>IF(Table1[[#This Row],[Warranty_Claim]]="Yes",1,0)</f>
        <v>0</v>
      </c>
      <c r="W357" s="4">
        <f>IF(Table1[[#This Row],[Rework_Flag]]="No",1,0)</f>
        <v>0</v>
      </c>
      <c r="X357" s="4">
        <f>IF(Table1[[#This Row],[Rework_Flag]]="Yes",1,0)</f>
        <v>1</v>
      </c>
      <c r="Y357" s="4">
        <v>1</v>
      </c>
      <c r="Z357" s="4" t="str">
        <f>IF(Table1[[#This Row],[TAT_Days]]&gt;Table1[[#This Row],[SLA_TAT]],"Yes","No")</f>
        <v>No</v>
      </c>
      <c r="AA357" s="4" t="str" cm="1">
        <f t="array" ref="AA357">_xlfn.IFS(Table1[[#This Row],[Customer_Satisfaction]]&lt;=2,"Poor",Table1[[#This Row],[Customer_Satisfaction]]=3,"Neutral",Table1[[#This Row],[Customer_Satisfaction]]=4,"Good",Table1[[#This Row],[Customer_Satisfaction]]=5,"Good")</f>
        <v>Good</v>
      </c>
    </row>
    <row r="358" spans="1:27" x14ac:dyDescent="0.35">
      <c r="A358">
        <v>20356</v>
      </c>
      <c r="B358" s="1">
        <v>45464</v>
      </c>
      <c r="C358" t="s">
        <v>19</v>
      </c>
      <c r="D358" t="s">
        <v>20</v>
      </c>
      <c r="E358" t="s">
        <v>110</v>
      </c>
      <c r="F358" t="s">
        <v>22</v>
      </c>
      <c r="G358" t="s">
        <v>47</v>
      </c>
      <c r="H358" t="s">
        <v>48</v>
      </c>
      <c r="I358" t="s">
        <v>55</v>
      </c>
      <c r="J358" t="s">
        <v>58</v>
      </c>
      <c r="K358" t="s">
        <v>27</v>
      </c>
      <c r="L358" t="s">
        <v>49</v>
      </c>
      <c r="M358" s="4">
        <v>21</v>
      </c>
      <c r="N358" s="4">
        <v>7</v>
      </c>
      <c r="O358" t="s">
        <v>29</v>
      </c>
      <c r="P358" t="s">
        <v>36</v>
      </c>
      <c r="Q358" s="4">
        <v>472878</v>
      </c>
      <c r="R358" s="4">
        <v>317235</v>
      </c>
      <c r="S358" s="4">
        <f>Table1[[#This Row],[Service_Revenue]]-Table1[[#This Row],[Service_Cost]]</f>
        <v>155643</v>
      </c>
      <c r="T358" s="4">
        <v>1</v>
      </c>
      <c r="U358" s="4">
        <f>IF(AND(Table1[[#This Row],[Rework_Flag]]="Yes",Table1[[#This Row],[Warranty_Claim]]="No"),Table1[[#This Row],[Service_Revenue]],0)</f>
        <v>472878</v>
      </c>
      <c r="V358" s="4">
        <f>IF(Table1[[#This Row],[Warranty_Claim]]="Yes",1,0)</f>
        <v>0</v>
      </c>
      <c r="W358" s="4">
        <f>IF(Table1[[#This Row],[Rework_Flag]]="No",1,0)</f>
        <v>0</v>
      </c>
      <c r="X358" s="4">
        <f>IF(Table1[[#This Row],[Rework_Flag]]="Yes",1,0)</f>
        <v>1</v>
      </c>
      <c r="Y358" s="4">
        <v>1</v>
      </c>
      <c r="Z358" s="4" t="str">
        <f>IF(Table1[[#This Row],[TAT_Days]]&gt;Table1[[#This Row],[SLA_TAT]],"Yes","No")</f>
        <v>Yes</v>
      </c>
      <c r="AA358" s="4" t="str" cm="1">
        <f t="array" ref="AA358">_xlfn.IFS(Table1[[#This Row],[Customer_Satisfaction]]&lt;=2,"Poor",Table1[[#This Row],[Customer_Satisfaction]]=3,"Neutral",Table1[[#This Row],[Customer_Satisfaction]]=4,"Good",Table1[[#This Row],[Customer_Satisfaction]]=5,"Good")</f>
        <v>Poor</v>
      </c>
    </row>
    <row r="359" spans="1:27" x14ac:dyDescent="0.35">
      <c r="A359">
        <v>20357</v>
      </c>
      <c r="B359" s="1">
        <v>45347</v>
      </c>
      <c r="C359" t="s">
        <v>19</v>
      </c>
      <c r="D359" t="s">
        <v>96</v>
      </c>
      <c r="E359" t="s">
        <v>109</v>
      </c>
      <c r="F359" t="s">
        <v>22</v>
      </c>
      <c r="G359" t="s">
        <v>74</v>
      </c>
      <c r="H359" t="s">
        <v>34</v>
      </c>
      <c r="I359" t="s">
        <v>55</v>
      </c>
      <c r="J359" t="s">
        <v>67</v>
      </c>
      <c r="K359" t="s">
        <v>44</v>
      </c>
      <c r="L359" t="s">
        <v>49</v>
      </c>
      <c r="M359" s="4">
        <v>18</v>
      </c>
      <c r="N359" s="4">
        <v>7</v>
      </c>
      <c r="O359" t="s">
        <v>29</v>
      </c>
      <c r="P359" t="s">
        <v>36</v>
      </c>
      <c r="Q359" s="4">
        <v>119756</v>
      </c>
      <c r="R359" s="4">
        <v>100606</v>
      </c>
      <c r="S359" s="4">
        <f>Table1[[#This Row],[Service_Revenue]]-Table1[[#This Row],[Service_Cost]]</f>
        <v>19150</v>
      </c>
      <c r="T359" s="4">
        <v>1</v>
      </c>
      <c r="U359" s="4">
        <f>IF(AND(Table1[[#This Row],[Rework_Flag]]="Yes",Table1[[#This Row],[Warranty_Claim]]="No"),Table1[[#This Row],[Service_Revenue]],0)</f>
        <v>119756</v>
      </c>
      <c r="V359" s="4">
        <f>IF(Table1[[#This Row],[Warranty_Claim]]="Yes",1,0)</f>
        <v>0</v>
      </c>
      <c r="W359" s="4">
        <f>IF(Table1[[#This Row],[Rework_Flag]]="No",1,0)</f>
        <v>0</v>
      </c>
      <c r="X359" s="4">
        <f>IF(Table1[[#This Row],[Rework_Flag]]="Yes",1,0)</f>
        <v>1</v>
      </c>
      <c r="Y359" s="4">
        <v>1</v>
      </c>
      <c r="Z359" s="4" t="str">
        <f>IF(Table1[[#This Row],[TAT_Days]]&gt;Table1[[#This Row],[SLA_TAT]],"Yes","No")</f>
        <v>Yes</v>
      </c>
      <c r="AA359" s="4" t="str" cm="1">
        <f t="array" ref="AA359">_xlfn.IFS(Table1[[#This Row],[Customer_Satisfaction]]&lt;=2,"Poor",Table1[[#This Row],[Customer_Satisfaction]]=3,"Neutral",Table1[[#This Row],[Customer_Satisfaction]]=4,"Good",Table1[[#This Row],[Customer_Satisfaction]]=5,"Good")</f>
        <v>Poor</v>
      </c>
    </row>
    <row r="360" spans="1:27" x14ac:dyDescent="0.35">
      <c r="A360">
        <v>20358</v>
      </c>
      <c r="B360" s="1">
        <v>45292</v>
      </c>
      <c r="C360" t="s">
        <v>50</v>
      </c>
      <c r="D360" t="s">
        <v>51</v>
      </c>
      <c r="E360" t="s">
        <v>73</v>
      </c>
      <c r="F360" t="s">
        <v>22</v>
      </c>
      <c r="G360" t="s">
        <v>33</v>
      </c>
      <c r="H360" t="s">
        <v>34</v>
      </c>
      <c r="I360" t="s">
        <v>55</v>
      </c>
      <c r="J360" t="s">
        <v>67</v>
      </c>
      <c r="K360" t="s">
        <v>27</v>
      </c>
      <c r="L360" t="s">
        <v>49</v>
      </c>
      <c r="M360" s="4">
        <v>24</v>
      </c>
      <c r="N360" s="4">
        <v>7</v>
      </c>
      <c r="O360" t="s">
        <v>29</v>
      </c>
      <c r="P360" t="s">
        <v>29</v>
      </c>
      <c r="Q360" s="4">
        <v>137647</v>
      </c>
      <c r="R360" s="4">
        <v>89784</v>
      </c>
      <c r="S360" s="4">
        <f>Table1[[#This Row],[Service_Revenue]]-Table1[[#This Row],[Service_Cost]]</f>
        <v>47863</v>
      </c>
      <c r="T360" s="4">
        <v>1</v>
      </c>
      <c r="U360" s="4">
        <f>IF(AND(Table1[[#This Row],[Rework_Flag]]="Yes",Table1[[#This Row],[Warranty_Claim]]="No"),Table1[[#This Row],[Service_Revenue]],0)</f>
        <v>0</v>
      </c>
      <c r="V360" s="4">
        <f>IF(Table1[[#This Row],[Warranty_Claim]]="Yes",1,0)</f>
        <v>1</v>
      </c>
      <c r="W360" s="4">
        <f>IF(Table1[[#This Row],[Rework_Flag]]="No",1,0)</f>
        <v>0</v>
      </c>
      <c r="X360" s="4">
        <f>IF(Table1[[#This Row],[Rework_Flag]]="Yes",1,0)</f>
        <v>1</v>
      </c>
      <c r="Y360" s="4">
        <v>1</v>
      </c>
      <c r="Z360" s="4" t="str">
        <f>IF(Table1[[#This Row],[TAT_Days]]&gt;Table1[[#This Row],[SLA_TAT]],"Yes","No")</f>
        <v>Yes</v>
      </c>
      <c r="AA360" s="4" t="str" cm="1">
        <f t="array" ref="AA360">_xlfn.IFS(Table1[[#This Row],[Customer_Satisfaction]]&lt;=2,"Poor",Table1[[#This Row],[Customer_Satisfaction]]=3,"Neutral",Table1[[#This Row],[Customer_Satisfaction]]=4,"Good",Table1[[#This Row],[Customer_Satisfaction]]=5,"Good")</f>
        <v>Poor</v>
      </c>
    </row>
    <row r="361" spans="1:27" x14ac:dyDescent="0.35">
      <c r="A361">
        <v>20359</v>
      </c>
      <c r="B361" s="1">
        <v>45417</v>
      </c>
      <c r="C361" t="s">
        <v>50</v>
      </c>
      <c r="D361" t="s">
        <v>80</v>
      </c>
      <c r="E361" t="s">
        <v>121</v>
      </c>
      <c r="F361" t="s">
        <v>53</v>
      </c>
      <c r="G361" t="s">
        <v>33</v>
      </c>
      <c r="H361" t="s">
        <v>34</v>
      </c>
      <c r="I361" t="s">
        <v>25</v>
      </c>
      <c r="J361" t="s">
        <v>67</v>
      </c>
      <c r="K361" t="s">
        <v>27</v>
      </c>
      <c r="L361" t="s">
        <v>49</v>
      </c>
      <c r="M361" s="4">
        <v>11</v>
      </c>
      <c r="N361" s="4">
        <v>7</v>
      </c>
      <c r="O361" t="s">
        <v>29</v>
      </c>
      <c r="P361" t="s">
        <v>36</v>
      </c>
      <c r="Q361" s="4">
        <v>273442</v>
      </c>
      <c r="R361" s="4">
        <v>209005</v>
      </c>
      <c r="S361" s="4">
        <f>Table1[[#This Row],[Service_Revenue]]-Table1[[#This Row],[Service_Cost]]</f>
        <v>64437</v>
      </c>
      <c r="T361" s="4">
        <v>2</v>
      </c>
      <c r="U361" s="4">
        <f>IF(AND(Table1[[#This Row],[Rework_Flag]]="Yes",Table1[[#This Row],[Warranty_Claim]]="No"),Table1[[#This Row],[Service_Revenue]],0)</f>
        <v>273442</v>
      </c>
      <c r="V361" s="4">
        <f>IF(Table1[[#This Row],[Warranty_Claim]]="Yes",1,0)</f>
        <v>0</v>
      </c>
      <c r="W361" s="4">
        <f>IF(Table1[[#This Row],[Rework_Flag]]="No",1,0)</f>
        <v>0</v>
      </c>
      <c r="X361" s="4">
        <f>IF(Table1[[#This Row],[Rework_Flag]]="Yes",1,0)</f>
        <v>1</v>
      </c>
      <c r="Y361" s="4">
        <v>1</v>
      </c>
      <c r="Z361" s="4" t="str">
        <f>IF(Table1[[#This Row],[TAT_Days]]&gt;Table1[[#This Row],[SLA_TAT]],"Yes","No")</f>
        <v>Yes</v>
      </c>
      <c r="AA361" s="4" t="str" cm="1">
        <f t="array" ref="AA361">_xlfn.IFS(Table1[[#This Row],[Customer_Satisfaction]]&lt;=2,"Poor",Table1[[#This Row],[Customer_Satisfaction]]=3,"Neutral",Table1[[#This Row],[Customer_Satisfaction]]=4,"Good",Table1[[#This Row],[Customer_Satisfaction]]=5,"Good")</f>
        <v>Poor</v>
      </c>
    </row>
    <row r="362" spans="1:27" x14ac:dyDescent="0.35">
      <c r="A362">
        <v>20360</v>
      </c>
      <c r="B362" s="1">
        <v>45351</v>
      </c>
      <c r="C362" t="s">
        <v>37</v>
      </c>
      <c r="D362" t="s">
        <v>70</v>
      </c>
      <c r="E362" t="s">
        <v>82</v>
      </c>
      <c r="F362" t="s">
        <v>22</v>
      </c>
      <c r="G362" t="s">
        <v>74</v>
      </c>
      <c r="H362" t="s">
        <v>34</v>
      </c>
      <c r="I362" t="s">
        <v>55</v>
      </c>
      <c r="J362" t="s">
        <v>67</v>
      </c>
      <c r="K362" t="s">
        <v>27</v>
      </c>
      <c r="L362" t="s">
        <v>49</v>
      </c>
      <c r="M362" s="4">
        <v>15</v>
      </c>
      <c r="N362" s="4">
        <v>7</v>
      </c>
      <c r="O362" t="s">
        <v>29</v>
      </c>
      <c r="P362" t="s">
        <v>36</v>
      </c>
      <c r="Q362" s="4">
        <v>138769</v>
      </c>
      <c r="R362" s="4">
        <v>79114</v>
      </c>
      <c r="S362" s="4">
        <f>Table1[[#This Row],[Service_Revenue]]-Table1[[#This Row],[Service_Cost]]</f>
        <v>59655</v>
      </c>
      <c r="T362" s="4">
        <v>1</v>
      </c>
      <c r="U362" s="4">
        <f>IF(AND(Table1[[#This Row],[Rework_Flag]]="Yes",Table1[[#This Row],[Warranty_Claim]]="No"),Table1[[#This Row],[Service_Revenue]],0)</f>
        <v>138769</v>
      </c>
      <c r="V362" s="4">
        <f>IF(Table1[[#This Row],[Warranty_Claim]]="Yes",1,0)</f>
        <v>0</v>
      </c>
      <c r="W362" s="4">
        <f>IF(Table1[[#This Row],[Rework_Flag]]="No",1,0)</f>
        <v>0</v>
      </c>
      <c r="X362" s="4">
        <f>IF(Table1[[#This Row],[Rework_Flag]]="Yes",1,0)</f>
        <v>1</v>
      </c>
      <c r="Y362" s="4">
        <v>1</v>
      </c>
      <c r="Z362" s="4" t="str">
        <f>IF(Table1[[#This Row],[TAT_Days]]&gt;Table1[[#This Row],[SLA_TAT]],"Yes","No")</f>
        <v>Yes</v>
      </c>
      <c r="AA362" s="4" t="str" cm="1">
        <f t="array" ref="AA362">_xlfn.IFS(Table1[[#This Row],[Customer_Satisfaction]]&lt;=2,"Poor",Table1[[#This Row],[Customer_Satisfaction]]=3,"Neutral",Table1[[#This Row],[Customer_Satisfaction]]=4,"Good",Table1[[#This Row],[Customer_Satisfaction]]=5,"Good")</f>
        <v>Poor</v>
      </c>
    </row>
    <row r="363" spans="1:27" x14ac:dyDescent="0.35">
      <c r="A363">
        <v>20361</v>
      </c>
      <c r="B363" s="1">
        <v>45417</v>
      </c>
      <c r="C363" t="s">
        <v>37</v>
      </c>
      <c r="D363" t="s">
        <v>38</v>
      </c>
      <c r="E363" t="s">
        <v>93</v>
      </c>
      <c r="F363" t="s">
        <v>53</v>
      </c>
      <c r="G363" t="s">
        <v>33</v>
      </c>
      <c r="H363" t="s">
        <v>34</v>
      </c>
      <c r="I363" t="s">
        <v>25</v>
      </c>
      <c r="J363" t="s">
        <v>58</v>
      </c>
      <c r="K363" t="s">
        <v>27</v>
      </c>
      <c r="L363" t="s">
        <v>28</v>
      </c>
      <c r="M363" s="4">
        <v>15</v>
      </c>
      <c r="N363" s="4">
        <v>7</v>
      </c>
      <c r="O363" t="s">
        <v>29</v>
      </c>
      <c r="P363" t="s">
        <v>29</v>
      </c>
      <c r="Q363" s="4">
        <v>322650</v>
      </c>
      <c r="R363" s="4">
        <v>172432</v>
      </c>
      <c r="S363" s="4">
        <f>Table1[[#This Row],[Service_Revenue]]-Table1[[#This Row],[Service_Cost]]</f>
        <v>150218</v>
      </c>
      <c r="T363" s="4">
        <v>1</v>
      </c>
      <c r="U363" s="4">
        <f>IF(AND(Table1[[#This Row],[Rework_Flag]]="Yes",Table1[[#This Row],[Warranty_Claim]]="No"),Table1[[#This Row],[Service_Revenue]],0)</f>
        <v>0</v>
      </c>
      <c r="V363" s="4">
        <f>IF(Table1[[#This Row],[Warranty_Claim]]="Yes",1,0)</f>
        <v>1</v>
      </c>
      <c r="W363" s="4">
        <f>IF(Table1[[#This Row],[Rework_Flag]]="No",1,0)</f>
        <v>0</v>
      </c>
      <c r="X363" s="4">
        <f>IF(Table1[[#This Row],[Rework_Flag]]="Yes",1,0)</f>
        <v>1</v>
      </c>
      <c r="Y363" s="4">
        <v>1</v>
      </c>
      <c r="Z363" s="4" t="str">
        <f>IF(Table1[[#This Row],[TAT_Days]]&gt;Table1[[#This Row],[SLA_TAT]],"Yes","No")</f>
        <v>Yes</v>
      </c>
      <c r="AA363" s="4" t="str" cm="1">
        <f t="array" ref="AA363">_xlfn.IFS(Table1[[#This Row],[Customer_Satisfaction]]&lt;=2,"Poor",Table1[[#This Row],[Customer_Satisfaction]]=3,"Neutral",Table1[[#This Row],[Customer_Satisfaction]]=4,"Good",Table1[[#This Row],[Customer_Satisfaction]]=5,"Good")</f>
        <v>Poor</v>
      </c>
    </row>
    <row r="364" spans="1:27" x14ac:dyDescent="0.35">
      <c r="A364">
        <v>20362</v>
      </c>
      <c r="B364" s="1">
        <v>45295</v>
      </c>
      <c r="C364" t="s">
        <v>50</v>
      </c>
      <c r="D364" t="s">
        <v>51</v>
      </c>
      <c r="E364" t="s">
        <v>120</v>
      </c>
      <c r="F364" t="s">
        <v>40</v>
      </c>
      <c r="G364" t="s">
        <v>41</v>
      </c>
      <c r="H364" t="s">
        <v>42</v>
      </c>
      <c r="I364" t="s">
        <v>25</v>
      </c>
      <c r="J364" t="s">
        <v>58</v>
      </c>
      <c r="K364" t="s">
        <v>61</v>
      </c>
      <c r="L364" t="s">
        <v>49</v>
      </c>
      <c r="M364" s="4">
        <v>9</v>
      </c>
      <c r="N364" s="4">
        <v>7</v>
      </c>
      <c r="O364" t="s">
        <v>36</v>
      </c>
      <c r="P364" t="s">
        <v>36</v>
      </c>
      <c r="Q364" s="4">
        <v>328557</v>
      </c>
      <c r="R364" s="4">
        <v>189934</v>
      </c>
      <c r="S364" s="4">
        <f>Table1[[#This Row],[Service_Revenue]]-Table1[[#This Row],[Service_Cost]]</f>
        <v>138623</v>
      </c>
      <c r="T364" s="4">
        <v>4</v>
      </c>
      <c r="U364" s="4">
        <f>IF(AND(Table1[[#This Row],[Rework_Flag]]="Yes",Table1[[#This Row],[Warranty_Claim]]="No"),Table1[[#This Row],[Service_Revenue]],0)</f>
        <v>0</v>
      </c>
      <c r="V364" s="4">
        <f>IF(Table1[[#This Row],[Warranty_Claim]]="Yes",1,0)</f>
        <v>0</v>
      </c>
      <c r="W364" s="4">
        <f>IF(Table1[[#This Row],[Rework_Flag]]="No",1,0)</f>
        <v>1</v>
      </c>
      <c r="X364" s="4">
        <f>IF(Table1[[#This Row],[Rework_Flag]]="Yes",1,0)</f>
        <v>0</v>
      </c>
      <c r="Y364" s="4">
        <v>1</v>
      </c>
      <c r="Z364" s="4" t="str">
        <f>IF(Table1[[#This Row],[TAT_Days]]&gt;Table1[[#This Row],[SLA_TAT]],"Yes","No")</f>
        <v>Yes</v>
      </c>
      <c r="AA364" s="4" t="str" cm="1">
        <f t="array" ref="AA364">_xlfn.IFS(Table1[[#This Row],[Customer_Satisfaction]]&lt;=2,"Poor",Table1[[#This Row],[Customer_Satisfaction]]=3,"Neutral",Table1[[#This Row],[Customer_Satisfaction]]=4,"Good",Table1[[#This Row],[Customer_Satisfaction]]=5,"Good")</f>
        <v>Good</v>
      </c>
    </row>
    <row r="365" spans="1:27" x14ac:dyDescent="0.35">
      <c r="A365">
        <v>20363</v>
      </c>
      <c r="B365" s="1">
        <v>45351</v>
      </c>
      <c r="C365" t="s">
        <v>50</v>
      </c>
      <c r="D365" t="s">
        <v>80</v>
      </c>
      <c r="E365" t="s">
        <v>81</v>
      </c>
      <c r="F365" t="s">
        <v>40</v>
      </c>
      <c r="G365" t="s">
        <v>33</v>
      </c>
      <c r="H365" t="s">
        <v>34</v>
      </c>
      <c r="I365" t="s">
        <v>25</v>
      </c>
      <c r="J365" t="s">
        <v>67</v>
      </c>
      <c r="K365" t="s">
        <v>61</v>
      </c>
      <c r="L365" t="s">
        <v>49</v>
      </c>
      <c r="M365" s="4">
        <v>3</v>
      </c>
      <c r="N365" s="4">
        <v>7</v>
      </c>
      <c r="O365" t="s">
        <v>36</v>
      </c>
      <c r="P365" t="s">
        <v>29</v>
      </c>
      <c r="Q365" s="4">
        <v>341624</v>
      </c>
      <c r="R365" s="4">
        <v>242937</v>
      </c>
      <c r="S365" s="4">
        <f>Table1[[#This Row],[Service_Revenue]]-Table1[[#This Row],[Service_Cost]]</f>
        <v>98687</v>
      </c>
      <c r="T365" s="4">
        <v>5</v>
      </c>
      <c r="U365" s="4">
        <f>IF(AND(Table1[[#This Row],[Rework_Flag]]="Yes",Table1[[#This Row],[Warranty_Claim]]="No"),Table1[[#This Row],[Service_Revenue]],0)</f>
        <v>0</v>
      </c>
      <c r="V365" s="4">
        <f>IF(Table1[[#This Row],[Warranty_Claim]]="Yes",1,0)</f>
        <v>1</v>
      </c>
      <c r="W365" s="4">
        <f>IF(Table1[[#This Row],[Rework_Flag]]="No",1,0)</f>
        <v>1</v>
      </c>
      <c r="X365" s="4">
        <f>IF(Table1[[#This Row],[Rework_Flag]]="Yes",1,0)</f>
        <v>0</v>
      </c>
      <c r="Y365" s="4">
        <v>1</v>
      </c>
      <c r="Z365" s="4" t="str">
        <f>IF(Table1[[#This Row],[TAT_Days]]&gt;Table1[[#This Row],[SLA_TAT]],"Yes","No")</f>
        <v>No</v>
      </c>
      <c r="AA365" s="4" t="str" cm="1">
        <f t="array" ref="AA365">_xlfn.IFS(Table1[[#This Row],[Customer_Satisfaction]]&lt;=2,"Poor",Table1[[#This Row],[Customer_Satisfaction]]=3,"Neutral",Table1[[#This Row],[Customer_Satisfaction]]=4,"Good",Table1[[#This Row],[Customer_Satisfaction]]=5,"Good")</f>
        <v>Good</v>
      </c>
    </row>
    <row r="366" spans="1:27" x14ac:dyDescent="0.35">
      <c r="A366">
        <v>20364</v>
      </c>
      <c r="B366" s="1">
        <v>45451</v>
      </c>
      <c r="C366" t="s">
        <v>30</v>
      </c>
      <c r="D366" t="s">
        <v>31</v>
      </c>
      <c r="E366" t="s">
        <v>106</v>
      </c>
      <c r="F366" t="s">
        <v>40</v>
      </c>
      <c r="G366" t="s">
        <v>63</v>
      </c>
      <c r="H366" t="s">
        <v>24</v>
      </c>
      <c r="I366" t="s">
        <v>55</v>
      </c>
      <c r="J366" t="s">
        <v>58</v>
      </c>
      <c r="K366" t="s">
        <v>61</v>
      </c>
      <c r="L366" t="s">
        <v>49</v>
      </c>
      <c r="M366" s="4">
        <v>11</v>
      </c>
      <c r="N366" s="4">
        <v>7</v>
      </c>
      <c r="O366" t="s">
        <v>36</v>
      </c>
      <c r="P366" t="s">
        <v>36</v>
      </c>
      <c r="Q366" s="4">
        <v>229878</v>
      </c>
      <c r="R366" s="4">
        <v>115952</v>
      </c>
      <c r="S366" s="4">
        <f>Table1[[#This Row],[Service_Revenue]]-Table1[[#This Row],[Service_Cost]]</f>
        <v>113926</v>
      </c>
      <c r="T366" s="4">
        <v>3</v>
      </c>
      <c r="U366" s="4">
        <f>IF(AND(Table1[[#This Row],[Rework_Flag]]="Yes",Table1[[#This Row],[Warranty_Claim]]="No"),Table1[[#This Row],[Service_Revenue]],0)</f>
        <v>0</v>
      </c>
      <c r="V366" s="4">
        <f>IF(Table1[[#This Row],[Warranty_Claim]]="Yes",1,0)</f>
        <v>0</v>
      </c>
      <c r="W366" s="4">
        <f>IF(Table1[[#This Row],[Rework_Flag]]="No",1,0)</f>
        <v>1</v>
      </c>
      <c r="X366" s="4">
        <f>IF(Table1[[#This Row],[Rework_Flag]]="Yes",1,0)</f>
        <v>0</v>
      </c>
      <c r="Y366" s="4">
        <v>1</v>
      </c>
      <c r="Z366" s="4" t="str">
        <f>IF(Table1[[#This Row],[TAT_Days]]&gt;Table1[[#This Row],[SLA_TAT]],"Yes","No")</f>
        <v>Yes</v>
      </c>
      <c r="AA366" s="4" t="str" cm="1">
        <f t="array" ref="AA366">_xlfn.IFS(Table1[[#This Row],[Customer_Satisfaction]]&lt;=2,"Poor",Table1[[#This Row],[Customer_Satisfaction]]=3,"Neutral",Table1[[#This Row],[Customer_Satisfaction]]=4,"Good",Table1[[#This Row],[Customer_Satisfaction]]=5,"Good")</f>
        <v>Neutral</v>
      </c>
    </row>
    <row r="367" spans="1:27" x14ac:dyDescent="0.35">
      <c r="A367">
        <v>20365</v>
      </c>
      <c r="B367" s="1">
        <v>45314</v>
      </c>
      <c r="C367" t="s">
        <v>37</v>
      </c>
      <c r="D367" t="s">
        <v>70</v>
      </c>
      <c r="E367" t="s">
        <v>91</v>
      </c>
      <c r="F367" t="s">
        <v>22</v>
      </c>
      <c r="G367" t="s">
        <v>33</v>
      </c>
      <c r="H367" t="s">
        <v>34</v>
      </c>
      <c r="I367" t="s">
        <v>55</v>
      </c>
      <c r="J367" t="s">
        <v>67</v>
      </c>
      <c r="K367" t="s">
        <v>61</v>
      </c>
      <c r="L367" t="s">
        <v>49</v>
      </c>
      <c r="M367" s="4">
        <v>13</v>
      </c>
      <c r="N367" s="4">
        <v>7</v>
      </c>
      <c r="O367" t="s">
        <v>29</v>
      </c>
      <c r="P367" t="s">
        <v>36</v>
      </c>
      <c r="Q367" s="4">
        <v>518640</v>
      </c>
      <c r="R367" s="4">
        <v>340897</v>
      </c>
      <c r="S367" s="4">
        <f>Table1[[#This Row],[Service_Revenue]]-Table1[[#This Row],[Service_Cost]]</f>
        <v>177743</v>
      </c>
      <c r="T367" s="4">
        <v>2</v>
      </c>
      <c r="U367" s="4">
        <f>IF(AND(Table1[[#This Row],[Rework_Flag]]="Yes",Table1[[#This Row],[Warranty_Claim]]="No"),Table1[[#This Row],[Service_Revenue]],0)</f>
        <v>518640</v>
      </c>
      <c r="V367" s="4">
        <f>IF(Table1[[#This Row],[Warranty_Claim]]="Yes",1,0)</f>
        <v>0</v>
      </c>
      <c r="W367" s="4">
        <f>IF(Table1[[#This Row],[Rework_Flag]]="No",1,0)</f>
        <v>0</v>
      </c>
      <c r="X367" s="4">
        <f>IF(Table1[[#This Row],[Rework_Flag]]="Yes",1,0)</f>
        <v>1</v>
      </c>
      <c r="Y367" s="4">
        <v>1</v>
      </c>
      <c r="Z367" s="4" t="str">
        <f>IF(Table1[[#This Row],[TAT_Days]]&gt;Table1[[#This Row],[SLA_TAT]],"Yes","No")</f>
        <v>Yes</v>
      </c>
      <c r="AA367" s="4" t="str" cm="1">
        <f t="array" ref="AA367">_xlfn.IFS(Table1[[#This Row],[Customer_Satisfaction]]&lt;=2,"Poor",Table1[[#This Row],[Customer_Satisfaction]]=3,"Neutral",Table1[[#This Row],[Customer_Satisfaction]]=4,"Good",Table1[[#This Row],[Customer_Satisfaction]]=5,"Good")</f>
        <v>Poor</v>
      </c>
    </row>
    <row r="368" spans="1:27" x14ac:dyDescent="0.35">
      <c r="A368">
        <v>20366</v>
      </c>
      <c r="B368" s="1">
        <v>45316</v>
      </c>
      <c r="C368" t="s">
        <v>50</v>
      </c>
      <c r="D368" t="s">
        <v>80</v>
      </c>
      <c r="E368" t="s">
        <v>85</v>
      </c>
      <c r="F368" t="s">
        <v>53</v>
      </c>
      <c r="G368" t="s">
        <v>33</v>
      </c>
      <c r="H368" t="s">
        <v>34</v>
      </c>
      <c r="I368" t="s">
        <v>55</v>
      </c>
      <c r="J368" t="s">
        <v>26</v>
      </c>
      <c r="K368" t="s">
        <v>44</v>
      </c>
      <c r="L368" t="s">
        <v>28</v>
      </c>
      <c r="M368" s="4">
        <v>5</v>
      </c>
      <c r="N368" s="4">
        <v>7</v>
      </c>
      <c r="O368" t="s">
        <v>29</v>
      </c>
      <c r="P368" t="s">
        <v>36</v>
      </c>
      <c r="Q368" s="4">
        <v>547279</v>
      </c>
      <c r="R368" s="4">
        <v>443913</v>
      </c>
      <c r="S368" s="4">
        <f>Table1[[#This Row],[Service_Revenue]]-Table1[[#This Row],[Service_Cost]]</f>
        <v>103366</v>
      </c>
      <c r="T368" s="4">
        <v>3</v>
      </c>
      <c r="U368" s="4">
        <f>IF(AND(Table1[[#This Row],[Rework_Flag]]="Yes",Table1[[#This Row],[Warranty_Claim]]="No"),Table1[[#This Row],[Service_Revenue]],0)</f>
        <v>547279</v>
      </c>
      <c r="V368" s="4">
        <f>IF(Table1[[#This Row],[Warranty_Claim]]="Yes",1,0)</f>
        <v>0</v>
      </c>
      <c r="W368" s="4">
        <f>IF(Table1[[#This Row],[Rework_Flag]]="No",1,0)</f>
        <v>0</v>
      </c>
      <c r="X368" s="4">
        <f>IF(Table1[[#This Row],[Rework_Flag]]="Yes",1,0)</f>
        <v>1</v>
      </c>
      <c r="Y368" s="4">
        <v>1</v>
      </c>
      <c r="Z368" s="4" t="str">
        <f>IF(Table1[[#This Row],[TAT_Days]]&gt;Table1[[#This Row],[SLA_TAT]],"Yes","No")</f>
        <v>No</v>
      </c>
      <c r="AA368" s="4" t="str" cm="1">
        <f t="array" ref="AA368">_xlfn.IFS(Table1[[#This Row],[Customer_Satisfaction]]&lt;=2,"Poor",Table1[[#This Row],[Customer_Satisfaction]]=3,"Neutral",Table1[[#This Row],[Customer_Satisfaction]]=4,"Good",Table1[[#This Row],[Customer_Satisfaction]]=5,"Good")</f>
        <v>Neutral</v>
      </c>
    </row>
    <row r="369" spans="1:27" x14ac:dyDescent="0.35">
      <c r="A369">
        <v>20367</v>
      </c>
      <c r="B369" s="1">
        <v>45330</v>
      </c>
      <c r="C369" t="s">
        <v>30</v>
      </c>
      <c r="D369" t="s">
        <v>59</v>
      </c>
      <c r="E369" t="s">
        <v>60</v>
      </c>
      <c r="F369" t="s">
        <v>40</v>
      </c>
      <c r="G369" t="s">
        <v>74</v>
      </c>
      <c r="H369" t="s">
        <v>34</v>
      </c>
      <c r="I369" t="s">
        <v>55</v>
      </c>
      <c r="J369" t="s">
        <v>43</v>
      </c>
      <c r="K369" t="s">
        <v>27</v>
      </c>
      <c r="L369" t="s">
        <v>49</v>
      </c>
      <c r="M369" s="4">
        <v>7</v>
      </c>
      <c r="N369" s="4">
        <v>7</v>
      </c>
      <c r="O369" t="s">
        <v>29</v>
      </c>
      <c r="P369" t="s">
        <v>36</v>
      </c>
      <c r="Q369" s="4">
        <v>216438</v>
      </c>
      <c r="R369" s="4">
        <v>121949</v>
      </c>
      <c r="S369" s="4">
        <f>Table1[[#This Row],[Service_Revenue]]-Table1[[#This Row],[Service_Cost]]</f>
        <v>94489</v>
      </c>
      <c r="T369" s="4">
        <v>3</v>
      </c>
      <c r="U369" s="4">
        <f>IF(AND(Table1[[#This Row],[Rework_Flag]]="Yes",Table1[[#This Row],[Warranty_Claim]]="No"),Table1[[#This Row],[Service_Revenue]],0)</f>
        <v>216438</v>
      </c>
      <c r="V369" s="4">
        <f>IF(Table1[[#This Row],[Warranty_Claim]]="Yes",1,0)</f>
        <v>0</v>
      </c>
      <c r="W369" s="4">
        <f>IF(Table1[[#This Row],[Rework_Flag]]="No",1,0)</f>
        <v>0</v>
      </c>
      <c r="X369" s="4">
        <f>IF(Table1[[#This Row],[Rework_Flag]]="Yes",1,0)</f>
        <v>1</v>
      </c>
      <c r="Y369" s="4">
        <v>1</v>
      </c>
      <c r="Z369" s="4" t="str">
        <f>IF(Table1[[#This Row],[TAT_Days]]&gt;Table1[[#This Row],[SLA_TAT]],"Yes","No")</f>
        <v>No</v>
      </c>
      <c r="AA369" s="4" t="str" cm="1">
        <f t="array" ref="AA369">_xlfn.IFS(Table1[[#This Row],[Customer_Satisfaction]]&lt;=2,"Poor",Table1[[#This Row],[Customer_Satisfaction]]=3,"Neutral",Table1[[#This Row],[Customer_Satisfaction]]=4,"Good",Table1[[#This Row],[Customer_Satisfaction]]=5,"Good")</f>
        <v>Neutral</v>
      </c>
    </row>
    <row r="370" spans="1:27" x14ac:dyDescent="0.35">
      <c r="A370">
        <v>20368</v>
      </c>
      <c r="B370" s="1">
        <v>45467</v>
      </c>
      <c r="C370" t="s">
        <v>37</v>
      </c>
      <c r="D370" t="s">
        <v>70</v>
      </c>
      <c r="E370" t="s">
        <v>71</v>
      </c>
      <c r="F370" t="s">
        <v>53</v>
      </c>
      <c r="G370" t="s">
        <v>23</v>
      </c>
      <c r="H370" t="s">
        <v>24</v>
      </c>
      <c r="I370" t="s">
        <v>25</v>
      </c>
      <c r="J370" t="s">
        <v>26</v>
      </c>
      <c r="K370" t="s">
        <v>44</v>
      </c>
      <c r="L370" t="s">
        <v>49</v>
      </c>
      <c r="M370" s="4">
        <v>11</v>
      </c>
      <c r="N370" s="4">
        <v>7</v>
      </c>
      <c r="O370" t="s">
        <v>29</v>
      </c>
      <c r="P370" t="s">
        <v>36</v>
      </c>
      <c r="Q370" s="4">
        <v>571212</v>
      </c>
      <c r="R370" s="4">
        <v>393648</v>
      </c>
      <c r="S370" s="4">
        <f>Table1[[#This Row],[Service_Revenue]]-Table1[[#This Row],[Service_Cost]]</f>
        <v>177564</v>
      </c>
      <c r="T370" s="4">
        <v>2</v>
      </c>
      <c r="U370" s="4">
        <f>IF(AND(Table1[[#This Row],[Rework_Flag]]="Yes",Table1[[#This Row],[Warranty_Claim]]="No"),Table1[[#This Row],[Service_Revenue]],0)</f>
        <v>571212</v>
      </c>
      <c r="V370" s="4">
        <f>IF(Table1[[#This Row],[Warranty_Claim]]="Yes",1,0)</f>
        <v>0</v>
      </c>
      <c r="W370" s="4">
        <f>IF(Table1[[#This Row],[Rework_Flag]]="No",1,0)</f>
        <v>0</v>
      </c>
      <c r="X370" s="4">
        <f>IF(Table1[[#This Row],[Rework_Flag]]="Yes",1,0)</f>
        <v>1</v>
      </c>
      <c r="Y370" s="4">
        <v>1</v>
      </c>
      <c r="Z370" s="4" t="str">
        <f>IF(Table1[[#This Row],[TAT_Days]]&gt;Table1[[#This Row],[SLA_TAT]],"Yes","No")</f>
        <v>Yes</v>
      </c>
      <c r="AA370" s="4" t="str" cm="1">
        <f t="array" ref="AA370">_xlfn.IFS(Table1[[#This Row],[Customer_Satisfaction]]&lt;=2,"Poor",Table1[[#This Row],[Customer_Satisfaction]]=3,"Neutral",Table1[[#This Row],[Customer_Satisfaction]]=4,"Good",Table1[[#This Row],[Customer_Satisfaction]]=5,"Good")</f>
        <v>Poor</v>
      </c>
    </row>
    <row r="371" spans="1:27" x14ac:dyDescent="0.35">
      <c r="A371">
        <v>20369</v>
      </c>
      <c r="B371" s="1">
        <v>45344</v>
      </c>
      <c r="C371" t="s">
        <v>37</v>
      </c>
      <c r="D371" t="s">
        <v>64</v>
      </c>
      <c r="E371" t="s">
        <v>115</v>
      </c>
      <c r="F371" t="s">
        <v>53</v>
      </c>
      <c r="G371" t="s">
        <v>54</v>
      </c>
      <c r="H371" t="s">
        <v>42</v>
      </c>
      <c r="I371" t="s">
        <v>55</v>
      </c>
      <c r="J371" t="s">
        <v>67</v>
      </c>
      <c r="K371" t="s">
        <v>61</v>
      </c>
      <c r="L371" t="s">
        <v>28</v>
      </c>
      <c r="M371" s="4">
        <v>15</v>
      </c>
      <c r="N371" s="4">
        <v>7</v>
      </c>
      <c r="O371" t="s">
        <v>36</v>
      </c>
      <c r="P371" t="s">
        <v>29</v>
      </c>
      <c r="Q371" s="4">
        <v>132805</v>
      </c>
      <c r="R371" s="4">
        <v>85351</v>
      </c>
      <c r="S371" s="4">
        <f>Table1[[#This Row],[Service_Revenue]]-Table1[[#This Row],[Service_Cost]]</f>
        <v>47454</v>
      </c>
      <c r="T371" s="4">
        <v>2</v>
      </c>
      <c r="U371" s="4">
        <f>IF(AND(Table1[[#This Row],[Rework_Flag]]="Yes",Table1[[#This Row],[Warranty_Claim]]="No"),Table1[[#This Row],[Service_Revenue]],0)</f>
        <v>0</v>
      </c>
      <c r="V371" s="4">
        <f>IF(Table1[[#This Row],[Warranty_Claim]]="Yes",1,0)</f>
        <v>1</v>
      </c>
      <c r="W371" s="4">
        <f>IF(Table1[[#This Row],[Rework_Flag]]="No",1,0)</f>
        <v>1</v>
      </c>
      <c r="X371" s="4">
        <f>IF(Table1[[#This Row],[Rework_Flag]]="Yes",1,0)</f>
        <v>0</v>
      </c>
      <c r="Y371" s="4">
        <v>1</v>
      </c>
      <c r="Z371" s="4" t="str">
        <f>IF(Table1[[#This Row],[TAT_Days]]&gt;Table1[[#This Row],[SLA_TAT]],"Yes","No")</f>
        <v>Yes</v>
      </c>
      <c r="AA371" s="4" t="str" cm="1">
        <f t="array" ref="AA371">_xlfn.IFS(Table1[[#This Row],[Customer_Satisfaction]]&lt;=2,"Poor",Table1[[#This Row],[Customer_Satisfaction]]=3,"Neutral",Table1[[#This Row],[Customer_Satisfaction]]=4,"Good",Table1[[#This Row],[Customer_Satisfaction]]=5,"Good")</f>
        <v>Poor</v>
      </c>
    </row>
    <row r="372" spans="1:27" x14ac:dyDescent="0.35">
      <c r="A372">
        <v>20370</v>
      </c>
      <c r="B372" s="1">
        <v>45293</v>
      </c>
      <c r="C372" t="s">
        <v>30</v>
      </c>
      <c r="D372" t="s">
        <v>31</v>
      </c>
      <c r="E372" t="s">
        <v>62</v>
      </c>
      <c r="F372" t="s">
        <v>40</v>
      </c>
      <c r="G372" t="s">
        <v>33</v>
      </c>
      <c r="H372" t="s">
        <v>34</v>
      </c>
      <c r="I372" t="s">
        <v>55</v>
      </c>
      <c r="J372" t="s">
        <v>26</v>
      </c>
      <c r="K372" t="s">
        <v>61</v>
      </c>
      <c r="L372" t="s">
        <v>49</v>
      </c>
      <c r="M372" s="4">
        <v>7</v>
      </c>
      <c r="N372" s="4">
        <v>7</v>
      </c>
      <c r="O372" t="s">
        <v>29</v>
      </c>
      <c r="P372" t="s">
        <v>29</v>
      </c>
      <c r="Q372" s="4">
        <v>448066</v>
      </c>
      <c r="R372" s="4">
        <v>269937</v>
      </c>
      <c r="S372" s="4">
        <f>Table1[[#This Row],[Service_Revenue]]-Table1[[#This Row],[Service_Cost]]</f>
        <v>178129</v>
      </c>
      <c r="T372" s="4">
        <v>3</v>
      </c>
      <c r="U372" s="4">
        <f>IF(AND(Table1[[#This Row],[Rework_Flag]]="Yes",Table1[[#This Row],[Warranty_Claim]]="No"),Table1[[#This Row],[Service_Revenue]],0)</f>
        <v>0</v>
      </c>
      <c r="V372" s="4">
        <f>IF(Table1[[#This Row],[Warranty_Claim]]="Yes",1,0)</f>
        <v>1</v>
      </c>
      <c r="W372" s="4">
        <f>IF(Table1[[#This Row],[Rework_Flag]]="No",1,0)</f>
        <v>0</v>
      </c>
      <c r="X372" s="4">
        <f>IF(Table1[[#This Row],[Rework_Flag]]="Yes",1,0)</f>
        <v>1</v>
      </c>
      <c r="Y372" s="4">
        <v>1</v>
      </c>
      <c r="Z372" s="4" t="str">
        <f>IF(Table1[[#This Row],[TAT_Days]]&gt;Table1[[#This Row],[SLA_TAT]],"Yes","No")</f>
        <v>No</v>
      </c>
      <c r="AA372" s="4" t="str" cm="1">
        <f t="array" ref="AA372">_xlfn.IFS(Table1[[#This Row],[Customer_Satisfaction]]&lt;=2,"Poor",Table1[[#This Row],[Customer_Satisfaction]]=3,"Neutral",Table1[[#This Row],[Customer_Satisfaction]]=4,"Good",Table1[[#This Row],[Customer_Satisfaction]]=5,"Good")</f>
        <v>Neutral</v>
      </c>
    </row>
    <row r="373" spans="1:27" x14ac:dyDescent="0.35">
      <c r="A373">
        <v>20371</v>
      </c>
      <c r="B373" s="1">
        <v>45402</v>
      </c>
      <c r="C373" t="s">
        <v>19</v>
      </c>
      <c r="D373" t="s">
        <v>45</v>
      </c>
      <c r="E373" t="s">
        <v>76</v>
      </c>
      <c r="F373" t="s">
        <v>22</v>
      </c>
      <c r="G373" t="s">
        <v>54</v>
      </c>
      <c r="H373" t="s">
        <v>42</v>
      </c>
      <c r="I373" t="s">
        <v>55</v>
      </c>
      <c r="J373" t="s">
        <v>67</v>
      </c>
      <c r="K373" t="s">
        <v>61</v>
      </c>
      <c r="L373" t="s">
        <v>49</v>
      </c>
      <c r="M373" s="4">
        <v>3</v>
      </c>
      <c r="N373" s="4">
        <v>7</v>
      </c>
      <c r="O373" t="s">
        <v>29</v>
      </c>
      <c r="P373" t="s">
        <v>29</v>
      </c>
      <c r="Q373" s="4">
        <v>580772</v>
      </c>
      <c r="R373" s="4">
        <v>393258</v>
      </c>
      <c r="S373" s="4">
        <f>Table1[[#This Row],[Service_Revenue]]-Table1[[#This Row],[Service_Cost]]</f>
        <v>187514</v>
      </c>
      <c r="T373" s="4">
        <v>4</v>
      </c>
      <c r="U373" s="4">
        <f>IF(AND(Table1[[#This Row],[Rework_Flag]]="Yes",Table1[[#This Row],[Warranty_Claim]]="No"),Table1[[#This Row],[Service_Revenue]],0)</f>
        <v>0</v>
      </c>
      <c r="V373" s="4">
        <f>IF(Table1[[#This Row],[Warranty_Claim]]="Yes",1,0)</f>
        <v>1</v>
      </c>
      <c r="W373" s="4">
        <f>IF(Table1[[#This Row],[Rework_Flag]]="No",1,0)</f>
        <v>0</v>
      </c>
      <c r="X373" s="4">
        <f>IF(Table1[[#This Row],[Rework_Flag]]="Yes",1,0)</f>
        <v>1</v>
      </c>
      <c r="Y373" s="4">
        <v>1</v>
      </c>
      <c r="Z373" s="4" t="str">
        <f>IF(Table1[[#This Row],[TAT_Days]]&gt;Table1[[#This Row],[SLA_TAT]],"Yes","No")</f>
        <v>No</v>
      </c>
      <c r="AA373" s="4" t="str" cm="1">
        <f t="array" ref="AA373">_xlfn.IFS(Table1[[#This Row],[Customer_Satisfaction]]&lt;=2,"Poor",Table1[[#This Row],[Customer_Satisfaction]]=3,"Neutral",Table1[[#This Row],[Customer_Satisfaction]]=4,"Good",Table1[[#This Row],[Customer_Satisfaction]]=5,"Good")</f>
        <v>Good</v>
      </c>
    </row>
    <row r="374" spans="1:27" x14ac:dyDescent="0.35">
      <c r="A374">
        <v>20372</v>
      </c>
      <c r="B374" s="1">
        <v>45331</v>
      </c>
      <c r="C374" t="s">
        <v>50</v>
      </c>
      <c r="D374" t="s">
        <v>56</v>
      </c>
      <c r="E374" t="s">
        <v>77</v>
      </c>
      <c r="F374" t="s">
        <v>40</v>
      </c>
      <c r="G374" t="s">
        <v>63</v>
      </c>
      <c r="H374" t="s">
        <v>24</v>
      </c>
      <c r="I374" t="s">
        <v>55</v>
      </c>
      <c r="J374" t="s">
        <v>26</v>
      </c>
      <c r="K374" t="s">
        <v>27</v>
      </c>
      <c r="L374" t="s">
        <v>28</v>
      </c>
      <c r="M374" s="4">
        <v>20</v>
      </c>
      <c r="N374" s="4">
        <v>7</v>
      </c>
      <c r="O374" t="s">
        <v>29</v>
      </c>
      <c r="P374" t="s">
        <v>29</v>
      </c>
      <c r="Q374" s="4">
        <v>150697</v>
      </c>
      <c r="R374" s="4">
        <v>100564</v>
      </c>
      <c r="S374" s="4">
        <f>Table1[[#This Row],[Service_Revenue]]-Table1[[#This Row],[Service_Cost]]</f>
        <v>50133</v>
      </c>
      <c r="T374" s="4">
        <v>1</v>
      </c>
      <c r="U374" s="4">
        <f>IF(AND(Table1[[#This Row],[Rework_Flag]]="Yes",Table1[[#This Row],[Warranty_Claim]]="No"),Table1[[#This Row],[Service_Revenue]],0)</f>
        <v>0</v>
      </c>
      <c r="V374" s="4">
        <f>IF(Table1[[#This Row],[Warranty_Claim]]="Yes",1,0)</f>
        <v>1</v>
      </c>
      <c r="W374" s="4">
        <f>IF(Table1[[#This Row],[Rework_Flag]]="No",1,0)</f>
        <v>0</v>
      </c>
      <c r="X374" s="4">
        <f>IF(Table1[[#This Row],[Rework_Flag]]="Yes",1,0)</f>
        <v>1</v>
      </c>
      <c r="Y374" s="4">
        <v>1</v>
      </c>
      <c r="Z374" s="4" t="str">
        <f>IF(Table1[[#This Row],[TAT_Days]]&gt;Table1[[#This Row],[SLA_TAT]],"Yes","No")</f>
        <v>Yes</v>
      </c>
      <c r="AA374" s="4" t="str" cm="1">
        <f t="array" ref="AA374">_xlfn.IFS(Table1[[#This Row],[Customer_Satisfaction]]&lt;=2,"Poor",Table1[[#This Row],[Customer_Satisfaction]]=3,"Neutral",Table1[[#This Row],[Customer_Satisfaction]]=4,"Good",Table1[[#This Row],[Customer_Satisfaction]]=5,"Good")</f>
        <v>Poor</v>
      </c>
    </row>
    <row r="375" spans="1:27" x14ac:dyDescent="0.35">
      <c r="A375">
        <v>20373</v>
      </c>
      <c r="B375" s="1">
        <v>45298</v>
      </c>
      <c r="C375" t="s">
        <v>37</v>
      </c>
      <c r="D375" t="s">
        <v>38</v>
      </c>
      <c r="E375" t="s">
        <v>39</v>
      </c>
      <c r="F375" t="s">
        <v>22</v>
      </c>
      <c r="G375" t="s">
        <v>74</v>
      </c>
      <c r="H375" t="s">
        <v>34</v>
      </c>
      <c r="I375" t="s">
        <v>55</v>
      </c>
      <c r="J375" t="s">
        <v>43</v>
      </c>
      <c r="K375" t="s">
        <v>27</v>
      </c>
      <c r="L375" t="s">
        <v>49</v>
      </c>
      <c r="M375" s="4">
        <v>12</v>
      </c>
      <c r="N375" s="4">
        <v>7</v>
      </c>
      <c r="O375" t="s">
        <v>29</v>
      </c>
      <c r="P375" t="s">
        <v>29</v>
      </c>
      <c r="Q375" s="4">
        <v>596009</v>
      </c>
      <c r="R375" s="4">
        <v>440135</v>
      </c>
      <c r="S375" s="4">
        <f>Table1[[#This Row],[Service_Revenue]]-Table1[[#This Row],[Service_Cost]]</f>
        <v>155874</v>
      </c>
      <c r="T375" s="4">
        <v>2</v>
      </c>
      <c r="U375" s="4">
        <f>IF(AND(Table1[[#This Row],[Rework_Flag]]="Yes",Table1[[#This Row],[Warranty_Claim]]="No"),Table1[[#This Row],[Service_Revenue]],0)</f>
        <v>0</v>
      </c>
      <c r="V375" s="4">
        <f>IF(Table1[[#This Row],[Warranty_Claim]]="Yes",1,0)</f>
        <v>1</v>
      </c>
      <c r="W375" s="4">
        <f>IF(Table1[[#This Row],[Rework_Flag]]="No",1,0)</f>
        <v>0</v>
      </c>
      <c r="X375" s="4">
        <f>IF(Table1[[#This Row],[Rework_Flag]]="Yes",1,0)</f>
        <v>1</v>
      </c>
      <c r="Y375" s="4">
        <v>1</v>
      </c>
      <c r="Z375" s="4" t="str">
        <f>IF(Table1[[#This Row],[TAT_Days]]&gt;Table1[[#This Row],[SLA_TAT]],"Yes","No")</f>
        <v>Yes</v>
      </c>
      <c r="AA375" s="4" t="str" cm="1">
        <f t="array" ref="AA375">_xlfn.IFS(Table1[[#This Row],[Customer_Satisfaction]]&lt;=2,"Poor",Table1[[#This Row],[Customer_Satisfaction]]=3,"Neutral",Table1[[#This Row],[Customer_Satisfaction]]=4,"Good",Table1[[#This Row],[Customer_Satisfaction]]=5,"Good")</f>
        <v>Poor</v>
      </c>
    </row>
    <row r="376" spans="1:27" x14ac:dyDescent="0.35">
      <c r="A376">
        <v>20374</v>
      </c>
      <c r="B376" s="1">
        <v>45323</v>
      </c>
      <c r="C376" t="s">
        <v>30</v>
      </c>
      <c r="D376" t="s">
        <v>59</v>
      </c>
      <c r="E376" t="s">
        <v>69</v>
      </c>
      <c r="F376" t="s">
        <v>22</v>
      </c>
      <c r="G376" t="s">
        <v>23</v>
      </c>
      <c r="H376" t="s">
        <v>24</v>
      </c>
      <c r="I376" t="s">
        <v>25</v>
      </c>
      <c r="J376" t="s">
        <v>43</v>
      </c>
      <c r="K376" t="s">
        <v>61</v>
      </c>
      <c r="L376" t="s">
        <v>28</v>
      </c>
      <c r="M376" s="4">
        <v>7</v>
      </c>
      <c r="N376" s="4">
        <v>7</v>
      </c>
      <c r="O376" t="s">
        <v>29</v>
      </c>
      <c r="P376" t="s">
        <v>36</v>
      </c>
      <c r="Q376" s="4">
        <v>521256</v>
      </c>
      <c r="R376" s="4">
        <v>425218</v>
      </c>
      <c r="S376" s="4">
        <f>Table1[[#This Row],[Service_Revenue]]-Table1[[#This Row],[Service_Cost]]</f>
        <v>96038</v>
      </c>
      <c r="T376" s="4">
        <v>3</v>
      </c>
      <c r="U376" s="4">
        <f>IF(AND(Table1[[#This Row],[Rework_Flag]]="Yes",Table1[[#This Row],[Warranty_Claim]]="No"),Table1[[#This Row],[Service_Revenue]],0)</f>
        <v>521256</v>
      </c>
      <c r="V376" s="4">
        <f>IF(Table1[[#This Row],[Warranty_Claim]]="Yes",1,0)</f>
        <v>0</v>
      </c>
      <c r="W376" s="4">
        <f>IF(Table1[[#This Row],[Rework_Flag]]="No",1,0)</f>
        <v>0</v>
      </c>
      <c r="X376" s="4">
        <f>IF(Table1[[#This Row],[Rework_Flag]]="Yes",1,0)</f>
        <v>1</v>
      </c>
      <c r="Y376" s="4">
        <v>1</v>
      </c>
      <c r="Z376" s="4" t="str">
        <f>IF(Table1[[#This Row],[TAT_Days]]&gt;Table1[[#This Row],[SLA_TAT]],"Yes","No")</f>
        <v>No</v>
      </c>
      <c r="AA376" s="4" t="str" cm="1">
        <f t="array" ref="AA376">_xlfn.IFS(Table1[[#This Row],[Customer_Satisfaction]]&lt;=2,"Poor",Table1[[#This Row],[Customer_Satisfaction]]=3,"Neutral",Table1[[#This Row],[Customer_Satisfaction]]=4,"Good",Table1[[#This Row],[Customer_Satisfaction]]=5,"Good")</f>
        <v>Neutral</v>
      </c>
    </row>
    <row r="377" spans="1:27" x14ac:dyDescent="0.35">
      <c r="A377">
        <v>20375</v>
      </c>
      <c r="B377" s="1">
        <v>45469</v>
      </c>
      <c r="C377" t="s">
        <v>30</v>
      </c>
      <c r="D377" t="s">
        <v>83</v>
      </c>
      <c r="E377" t="s">
        <v>92</v>
      </c>
      <c r="F377" t="s">
        <v>40</v>
      </c>
      <c r="G377" t="s">
        <v>63</v>
      </c>
      <c r="H377" t="s">
        <v>24</v>
      </c>
      <c r="I377" t="s">
        <v>25</v>
      </c>
      <c r="J377" t="s">
        <v>35</v>
      </c>
      <c r="K377" t="s">
        <v>27</v>
      </c>
      <c r="L377" t="s">
        <v>49</v>
      </c>
      <c r="M377" s="4">
        <v>24</v>
      </c>
      <c r="N377" s="4">
        <v>7</v>
      </c>
      <c r="O377" t="s">
        <v>29</v>
      </c>
      <c r="P377" t="s">
        <v>36</v>
      </c>
      <c r="Q377" s="4">
        <v>356863</v>
      </c>
      <c r="R377" s="4">
        <v>218956</v>
      </c>
      <c r="S377" s="4">
        <f>Table1[[#This Row],[Service_Revenue]]-Table1[[#This Row],[Service_Cost]]</f>
        <v>137907</v>
      </c>
      <c r="T377" s="4">
        <v>1</v>
      </c>
      <c r="U377" s="4">
        <f>IF(AND(Table1[[#This Row],[Rework_Flag]]="Yes",Table1[[#This Row],[Warranty_Claim]]="No"),Table1[[#This Row],[Service_Revenue]],0)</f>
        <v>356863</v>
      </c>
      <c r="V377" s="4">
        <f>IF(Table1[[#This Row],[Warranty_Claim]]="Yes",1,0)</f>
        <v>0</v>
      </c>
      <c r="W377" s="4">
        <f>IF(Table1[[#This Row],[Rework_Flag]]="No",1,0)</f>
        <v>0</v>
      </c>
      <c r="X377" s="4">
        <f>IF(Table1[[#This Row],[Rework_Flag]]="Yes",1,0)</f>
        <v>1</v>
      </c>
      <c r="Y377" s="4">
        <v>1</v>
      </c>
      <c r="Z377" s="4" t="str">
        <f>IF(Table1[[#This Row],[TAT_Days]]&gt;Table1[[#This Row],[SLA_TAT]],"Yes","No")</f>
        <v>Yes</v>
      </c>
      <c r="AA377" s="4" t="str" cm="1">
        <f t="array" ref="AA377">_xlfn.IFS(Table1[[#This Row],[Customer_Satisfaction]]&lt;=2,"Poor",Table1[[#This Row],[Customer_Satisfaction]]=3,"Neutral",Table1[[#This Row],[Customer_Satisfaction]]=4,"Good",Table1[[#This Row],[Customer_Satisfaction]]=5,"Good")</f>
        <v>Poor</v>
      </c>
    </row>
    <row r="378" spans="1:27" x14ac:dyDescent="0.35">
      <c r="A378">
        <v>20376</v>
      </c>
      <c r="B378" s="1">
        <v>45359</v>
      </c>
      <c r="C378" t="s">
        <v>50</v>
      </c>
      <c r="D378" t="s">
        <v>51</v>
      </c>
      <c r="E378" t="s">
        <v>75</v>
      </c>
      <c r="F378" t="s">
        <v>53</v>
      </c>
      <c r="G378" t="s">
        <v>54</v>
      </c>
      <c r="H378" t="s">
        <v>42</v>
      </c>
      <c r="I378" t="s">
        <v>25</v>
      </c>
      <c r="J378" t="s">
        <v>67</v>
      </c>
      <c r="K378" t="s">
        <v>61</v>
      </c>
      <c r="L378" t="s">
        <v>28</v>
      </c>
      <c r="M378" s="4">
        <v>21</v>
      </c>
      <c r="N378" s="4">
        <v>7</v>
      </c>
      <c r="O378" t="s">
        <v>36</v>
      </c>
      <c r="P378" t="s">
        <v>29</v>
      </c>
      <c r="Q378" s="4">
        <v>390021</v>
      </c>
      <c r="R378" s="4">
        <v>257094</v>
      </c>
      <c r="S378" s="4">
        <f>Table1[[#This Row],[Service_Revenue]]-Table1[[#This Row],[Service_Cost]]</f>
        <v>132927</v>
      </c>
      <c r="T378" s="4">
        <v>1</v>
      </c>
      <c r="U378" s="4">
        <f>IF(AND(Table1[[#This Row],[Rework_Flag]]="Yes",Table1[[#This Row],[Warranty_Claim]]="No"),Table1[[#This Row],[Service_Revenue]],0)</f>
        <v>0</v>
      </c>
      <c r="V378" s="4">
        <f>IF(Table1[[#This Row],[Warranty_Claim]]="Yes",1,0)</f>
        <v>1</v>
      </c>
      <c r="W378" s="4">
        <f>IF(Table1[[#This Row],[Rework_Flag]]="No",1,0)</f>
        <v>1</v>
      </c>
      <c r="X378" s="4">
        <f>IF(Table1[[#This Row],[Rework_Flag]]="Yes",1,0)</f>
        <v>0</v>
      </c>
      <c r="Y378" s="4">
        <v>1</v>
      </c>
      <c r="Z378" s="4" t="str">
        <f>IF(Table1[[#This Row],[TAT_Days]]&gt;Table1[[#This Row],[SLA_TAT]],"Yes","No")</f>
        <v>Yes</v>
      </c>
      <c r="AA378" s="4" t="str" cm="1">
        <f t="array" ref="AA378">_xlfn.IFS(Table1[[#This Row],[Customer_Satisfaction]]&lt;=2,"Poor",Table1[[#This Row],[Customer_Satisfaction]]=3,"Neutral",Table1[[#This Row],[Customer_Satisfaction]]=4,"Good",Table1[[#This Row],[Customer_Satisfaction]]=5,"Good")</f>
        <v>Poor</v>
      </c>
    </row>
    <row r="379" spans="1:27" x14ac:dyDescent="0.35">
      <c r="A379">
        <v>20377</v>
      </c>
      <c r="B379" s="1">
        <v>45355</v>
      </c>
      <c r="C379" t="s">
        <v>50</v>
      </c>
      <c r="D379" t="s">
        <v>56</v>
      </c>
      <c r="E379" t="s">
        <v>88</v>
      </c>
      <c r="F379" t="s">
        <v>40</v>
      </c>
      <c r="G379" t="s">
        <v>74</v>
      </c>
      <c r="H379" t="s">
        <v>34</v>
      </c>
      <c r="I379" t="s">
        <v>25</v>
      </c>
      <c r="J379" t="s">
        <v>67</v>
      </c>
      <c r="K379" t="s">
        <v>44</v>
      </c>
      <c r="L379" t="s">
        <v>28</v>
      </c>
      <c r="M379" s="4">
        <v>5</v>
      </c>
      <c r="N379" s="4">
        <v>7</v>
      </c>
      <c r="O379" t="s">
        <v>36</v>
      </c>
      <c r="P379" t="s">
        <v>29</v>
      </c>
      <c r="Q379" s="4">
        <v>421038</v>
      </c>
      <c r="R379" s="4">
        <v>312264</v>
      </c>
      <c r="S379" s="4">
        <f>Table1[[#This Row],[Service_Revenue]]-Table1[[#This Row],[Service_Cost]]</f>
        <v>108774</v>
      </c>
      <c r="T379" s="4">
        <v>4</v>
      </c>
      <c r="U379" s="4">
        <f>IF(AND(Table1[[#This Row],[Rework_Flag]]="Yes",Table1[[#This Row],[Warranty_Claim]]="No"),Table1[[#This Row],[Service_Revenue]],0)</f>
        <v>0</v>
      </c>
      <c r="V379" s="4">
        <f>IF(Table1[[#This Row],[Warranty_Claim]]="Yes",1,0)</f>
        <v>1</v>
      </c>
      <c r="W379" s="4">
        <f>IF(Table1[[#This Row],[Rework_Flag]]="No",1,0)</f>
        <v>1</v>
      </c>
      <c r="X379" s="4">
        <f>IF(Table1[[#This Row],[Rework_Flag]]="Yes",1,0)</f>
        <v>0</v>
      </c>
      <c r="Y379" s="4">
        <v>1</v>
      </c>
      <c r="Z379" s="4" t="str">
        <f>IF(Table1[[#This Row],[TAT_Days]]&gt;Table1[[#This Row],[SLA_TAT]],"Yes","No")</f>
        <v>No</v>
      </c>
      <c r="AA379" s="4" t="str" cm="1">
        <f t="array" ref="AA379">_xlfn.IFS(Table1[[#This Row],[Customer_Satisfaction]]&lt;=2,"Poor",Table1[[#This Row],[Customer_Satisfaction]]=3,"Neutral",Table1[[#This Row],[Customer_Satisfaction]]=4,"Good",Table1[[#This Row],[Customer_Satisfaction]]=5,"Good")</f>
        <v>Good</v>
      </c>
    </row>
    <row r="380" spans="1:27" x14ac:dyDescent="0.35">
      <c r="A380">
        <v>20378</v>
      </c>
      <c r="B380" s="1">
        <v>45302</v>
      </c>
      <c r="C380" t="s">
        <v>37</v>
      </c>
      <c r="D380" t="s">
        <v>38</v>
      </c>
      <c r="E380" t="s">
        <v>107</v>
      </c>
      <c r="F380" t="s">
        <v>22</v>
      </c>
      <c r="G380" t="s">
        <v>54</v>
      </c>
      <c r="H380" t="s">
        <v>42</v>
      </c>
      <c r="I380" t="s">
        <v>25</v>
      </c>
      <c r="J380" t="s">
        <v>58</v>
      </c>
      <c r="K380" t="s">
        <v>44</v>
      </c>
      <c r="L380" t="s">
        <v>28</v>
      </c>
      <c r="M380" s="4">
        <v>10</v>
      </c>
      <c r="N380" s="4">
        <v>7</v>
      </c>
      <c r="O380" t="s">
        <v>36</v>
      </c>
      <c r="P380" t="s">
        <v>36</v>
      </c>
      <c r="Q380" s="4">
        <v>510804</v>
      </c>
      <c r="R380" s="4">
        <v>345903</v>
      </c>
      <c r="S380" s="4">
        <f>Table1[[#This Row],[Service_Revenue]]-Table1[[#This Row],[Service_Cost]]</f>
        <v>164901</v>
      </c>
      <c r="T380" s="4">
        <v>3</v>
      </c>
      <c r="U380" s="4">
        <f>IF(AND(Table1[[#This Row],[Rework_Flag]]="Yes",Table1[[#This Row],[Warranty_Claim]]="No"),Table1[[#This Row],[Service_Revenue]],0)</f>
        <v>0</v>
      </c>
      <c r="V380" s="4">
        <f>IF(Table1[[#This Row],[Warranty_Claim]]="Yes",1,0)</f>
        <v>0</v>
      </c>
      <c r="W380" s="4">
        <f>IF(Table1[[#This Row],[Rework_Flag]]="No",1,0)</f>
        <v>1</v>
      </c>
      <c r="X380" s="4">
        <f>IF(Table1[[#This Row],[Rework_Flag]]="Yes",1,0)</f>
        <v>0</v>
      </c>
      <c r="Y380" s="4">
        <v>1</v>
      </c>
      <c r="Z380" s="4" t="str">
        <f>IF(Table1[[#This Row],[TAT_Days]]&gt;Table1[[#This Row],[SLA_TAT]],"Yes","No")</f>
        <v>Yes</v>
      </c>
      <c r="AA380" s="4" t="str" cm="1">
        <f t="array" ref="AA380">_xlfn.IFS(Table1[[#This Row],[Customer_Satisfaction]]&lt;=2,"Poor",Table1[[#This Row],[Customer_Satisfaction]]=3,"Neutral",Table1[[#This Row],[Customer_Satisfaction]]=4,"Good",Table1[[#This Row],[Customer_Satisfaction]]=5,"Good")</f>
        <v>Neutral</v>
      </c>
    </row>
    <row r="381" spans="1:27" x14ac:dyDescent="0.35">
      <c r="A381">
        <v>20379</v>
      </c>
      <c r="B381" s="1">
        <v>45387</v>
      </c>
      <c r="C381" t="s">
        <v>37</v>
      </c>
      <c r="D381" t="s">
        <v>64</v>
      </c>
      <c r="E381" t="s">
        <v>65</v>
      </c>
      <c r="F381" t="s">
        <v>40</v>
      </c>
      <c r="G381" t="s">
        <v>33</v>
      </c>
      <c r="H381" t="s">
        <v>34</v>
      </c>
      <c r="I381" t="s">
        <v>55</v>
      </c>
      <c r="J381" t="s">
        <v>26</v>
      </c>
      <c r="K381" t="s">
        <v>61</v>
      </c>
      <c r="L381" t="s">
        <v>28</v>
      </c>
      <c r="M381" s="4">
        <v>21</v>
      </c>
      <c r="N381" s="4">
        <v>7</v>
      </c>
      <c r="O381" t="s">
        <v>36</v>
      </c>
      <c r="P381" t="s">
        <v>36</v>
      </c>
      <c r="Q381" s="4">
        <v>210436</v>
      </c>
      <c r="R381" s="4">
        <v>150640</v>
      </c>
      <c r="S381" s="4">
        <f>Table1[[#This Row],[Service_Revenue]]-Table1[[#This Row],[Service_Cost]]</f>
        <v>59796</v>
      </c>
      <c r="T381" s="4">
        <v>1</v>
      </c>
      <c r="U381" s="4">
        <f>IF(AND(Table1[[#This Row],[Rework_Flag]]="Yes",Table1[[#This Row],[Warranty_Claim]]="No"),Table1[[#This Row],[Service_Revenue]],0)</f>
        <v>0</v>
      </c>
      <c r="V381" s="4">
        <f>IF(Table1[[#This Row],[Warranty_Claim]]="Yes",1,0)</f>
        <v>0</v>
      </c>
      <c r="W381" s="4">
        <f>IF(Table1[[#This Row],[Rework_Flag]]="No",1,0)</f>
        <v>1</v>
      </c>
      <c r="X381" s="4">
        <f>IF(Table1[[#This Row],[Rework_Flag]]="Yes",1,0)</f>
        <v>0</v>
      </c>
      <c r="Y381" s="4">
        <v>1</v>
      </c>
      <c r="Z381" s="4" t="str">
        <f>IF(Table1[[#This Row],[TAT_Days]]&gt;Table1[[#This Row],[SLA_TAT]],"Yes","No")</f>
        <v>Yes</v>
      </c>
      <c r="AA381" s="4" t="str" cm="1">
        <f t="array" ref="AA381">_xlfn.IFS(Table1[[#This Row],[Customer_Satisfaction]]&lt;=2,"Poor",Table1[[#This Row],[Customer_Satisfaction]]=3,"Neutral",Table1[[#This Row],[Customer_Satisfaction]]=4,"Good",Table1[[#This Row],[Customer_Satisfaction]]=5,"Good")</f>
        <v>Poor</v>
      </c>
    </row>
    <row r="382" spans="1:27" x14ac:dyDescent="0.35">
      <c r="A382">
        <v>20380</v>
      </c>
      <c r="B382" s="1">
        <v>45398</v>
      </c>
      <c r="C382" t="s">
        <v>30</v>
      </c>
      <c r="D382" t="s">
        <v>59</v>
      </c>
      <c r="E382" t="s">
        <v>60</v>
      </c>
      <c r="F382" t="s">
        <v>53</v>
      </c>
      <c r="G382" t="s">
        <v>41</v>
      </c>
      <c r="H382" t="s">
        <v>42</v>
      </c>
      <c r="I382" t="s">
        <v>55</v>
      </c>
      <c r="J382" t="s">
        <v>43</v>
      </c>
      <c r="K382" t="s">
        <v>61</v>
      </c>
      <c r="L382" t="s">
        <v>28</v>
      </c>
      <c r="M382" s="4">
        <v>13</v>
      </c>
      <c r="N382" s="4">
        <v>7</v>
      </c>
      <c r="O382" t="s">
        <v>29</v>
      </c>
      <c r="P382" t="s">
        <v>36</v>
      </c>
      <c r="Q382" s="4">
        <v>561414</v>
      </c>
      <c r="R382" s="4">
        <v>429890</v>
      </c>
      <c r="S382" s="4">
        <f>Table1[[#This Row],[Service_Revenue]]-Table1[[#This Row],[Service_Cost]]</f>
        <v>131524</v>
      </c>
      <c r="T382" s="4">
        <v>2</v>
      </c>
      <c r="U382" s="4">
        <f>IF(AND(Table1[[#This Row],[Rework_Flag]]="Yes",Table1[[#This Row],[Warranty_Claim]]="No"),Table1[[#This Row],[Service_Revenue]],0)</f>
        <v>561414</v>
      </c>
      <c r="V382" s="4">
        <f>IF(Table1[[#This Row],[Warranty_Claim]]="Yes",1,0)</f>
        <v>0</v>
      </c>
      <c r="W382" s="4">
        <f>IF(Table1[[#This Row],[Rework_Flag]]="No",1,0)</f>
        <v>0</v>
      </c>
      <c r="X382" s="4">
        <f>IF(Table1[[#This Row],[Rework_Flag]]="Yes",1,0)</f>
        <v>1</v>
      </c>
      <c r="Y382" s="4">
        <v>1</v>
      </c>
      <c r="Z382" s="4" t="str">
        <f>IF(Table1[[#This Row],[TAT_Days]]&gt;Table1[[#This Row],[SLA_TAT]],"Yes","No")</f>
        <v>Yes</v>
      </c>
      <c r="AA382" s="4" t="str" cm="1">
        <f t="array" ref="AA382">_xlfn.IFS(Table1[[#This Row],[Customer_Satisfaction]]&lt;=2,"Poor",Table1[[#This Row],[Customer_Satisfaction]]=3,"Neutral",Table1[[#This Row],[Customer_Satisfaction]]=4,"Good",Table1[[#This Row],[Customer_Satisfaction]]=5,"Good")</f>
        <v>Poor</v>
      </c>
    </row>
    <row r="383" spans="1:27" x14ac:dyDescent="0.35">
      <c r="A383">
        <v>20381</v>
      </c>
      <c r="B383" s="1">
        <v>45310</v>
      </c>
      <c r="C383" t="s">
        <v>37</v>
      </c>
      <c r="D383" t="s">
        <v>64</v>
      </c>
      <c r="E383" t="s">
        <v>72</v>
      </c>
      <c r="F383" t="s">
        <v>40</v>
      </c>
      <c r="G383" t="s">
        <v>41</v>
      </c>
      <c r="H383" t="s">
        <v>42</v>
      </c>
      <c r="I383" t="s">
        <v>55</v>
      </c>
      <c r="J383" t="s">
        <v>35</v>
      </c>
      <c r="K383" t="s">
        <v>61</v>
      </c>
      <c r="L383" t="s">
        <v>49</v>
      </c>
      <c r="M383" s="4">
        <v>13</v>
      </c>
      <c r="N383" s="4">
        <v>7</v>
      </c>
      <c r="O383" t="s">
        <v>36</v>
      </c>
      <c r="P383" t="s">
        <v>29</v>
      </c>
      <c r="Q383" s="4">
        <v>583165</v>
      </c>
      <c r="R383" s="4">
        <v>301367</v>
      </c>
      <c r="S383" s="4">
        <f>Table1[[#This Row],[Service_Revenue]]-Table1[[#This Row],[Service_Cost]]</f>
        <v>281798</v>
      </c>
      <c r="T383" s="4">
        <v>3</v>
      </c>
      <c r="U383" s="4">
        <f>IF(AND(Table1[[#This Row],[Rework_Flag]]="Yes",Table1[[#This Row],[Warranty_Claim]]="No"),Table1[[#This Row],[Service_Revenue]],0)</f>
        <v>0</v>
      </c>
      <c r="V383" s="4">
        <f>IF(Table1[[#This Row],[Warranty_Claim]]="Yes",1,0)</f>
        <v>1</v>
      </c>
      <c r="W383" s="4">
        <f>IF(Table1[[#This Row],[Rework_Flag]]="No",1,0)</f>
        <v>1</v>
      </c>
      <c r="X383" s="4">
        <f>IF(Table1[[#This Row],[Rework_Flag]]="Yes",1,0)</f>
        <v>0</v>
      </c>
      <c r="Y383" s="4">
        <v>1</v>
      </c>
      <c r="Z383" s="4" t="str">
        <f>IF(Table1[[#This Row],[TAT_Days]]&gt;Table1[[#This Row],[SLA_TAT]],"Yes","No")</f>
        <v>Yes</v>
      </c>
      <c r="AA383" s="4" t="str" cm="1">
        <f t="array" ref="AA383">_xlfn.IFS(Table1[[#This Row],[Customer_Satisfaction]]&lt;=2,"Poor",Table1[[#This Row],[Customer_Satisfaction]]=3,"Neutral",Table1[[#This Row],[Customer_Satisfaction]]=4,"Good",Table1[[#This Row],[Customer_Satisfaction]]=5,"Good")</f>
        <v>Neutral</v>
      </c>
    </row>
    <row r="384" spans="1:27" x14ac:dyDescent="0.35">
      <c r="A384">
        <v>20382</v>
      </c>
      <c r="B384" s="1">
        <v>45414</v>
      </c>
      <c r="C384" t="s">
        <v>19</v>
      </c>
      <c r="D384" t="s">
        <v>96</v>
      </c>
      <c r="E384" t="s">
        <v>98</v>
      </c>
      <c r="F384" t="s">
        <v>40</v>
      </c>
      <c r="G384" t="s">
        <v>41</v>
      </c>
      <c r="H384" t="s">
        <v>42</v>
      </c>
      <c r="I384" t="s">
        <v>25</v>
      </c>
      <c r="J384" t="s">
        <v>58</v>
      </c>
      <c r="K384" t="s">
        <v>27</v>
      </c>
      <c r="L384" t="s">
        <v>28</v>
      </c>
      <c r="M384" s="4">
        <v>16</v>
      </c>
      <c r="N384" s="4">
        <v>7</v>
      </c>
      <c r="O384" t="s">
        <v>29</v>
      </c>
      <c r="P384" t="s">
        <v>29</v>
      </c>
      <c r="Q384" s="4">
        <v>417693</v>
      </c>
      <c r="R384" s="4">
        <v>259746</v>
      </c>
      <c r="S384" s="4">
        <f>Table1[[#This Row],[Service_Revenue]]-Table1[[#This Row],[Service_Cost]]</f>
        <v>157947</v>
      </c>
      <c r="T384" s="4">
        <v>1</v>
      </c>
      <c r="U384" s="4">
        <f>IF(AND(Table1[[#This Row],[Rework_Flag]]="Yes",Table1[[#This Row],[Warranty_Claim]]="No"),Table1[[#This Row],[Service_Revenue]],0)</f>
        <v>0</v>
      </c>
      <c r="V384" s="4">
        <f>IF(Table1[[#This Row],[Warranty_Claim]]="Yes",1,0)</f>
        <v>1</v>
      </c>
      <c r="W384" s="4">
        <f>IF(Table1[[#This Row],[Rework_Flag]]="No",1,0)</f>
        <v>0</v>
      </c>
      <c r="X384" s="4">
        <f>IF(Table1[[#This Row],[Rework_Flag]]="Yes",1,0)</f>
        <v>1</v>
      </c>
      <c r="Y384" s="4">
        <v>1</v>
      </c>
      <c r="Z384" s="4" t="str">
        <f>IF(Table1[[#This Row],[TAT_Days]]&gt;Table1[[#This Row],[SLA_TAT]],"Yes","No")</f>
        <v>Yes</v>
      </c>
      <c r="AA384" s="4" t="str" cm="1">
        <f t="array" ref="AA384">_xlfn.IFS(Table1[[#This Row],[Customer_Satisfaction]]&lt;=2,"Poor",Table1[[#This Row],[Customer_Satisfaction]]=3,"Neutral",Table1[[#This Row],[Customer_Satisfaction]]=4,"Good",Table1[[#This Row],[Customer_Satisfaction]]=5,"Good")</f>
        <v>Poor</v>
      </c>
    </row>
    <row r="385" spans="1:27" x14ac:dyDescent="0.35">
      <c r="A385">
        <v>20383</v>
      </c>
      <c r="B385" s="1">
        <v>45438</v>
      </c>
      <c r="C385" t="s">
        <v>50</v>
      </c>
      <c r="D385" t="s">
        <v>51</v>
      </c>
      <c r="E385" t="s">
        <v>113</v>
      </c>
      <c r="F385" t="s">
        <v>40</v>
      </c>
      <c r="G385" t="s">
        <v>47</v>
      </c>
      <c r="H385" t="s">
        <v>48</v>
      </c>
      <c r="I385" t="s">
        <v>25</v>
      </c>
      <c r="J385" t="s">
        <v>43</v>
      </c>
      <c r="K385" t="s">
        <v>27</v>
      </c>
      <c r="L385" t="s">
        <v>28</v>
      </c>
      <c r="M385" s="4">
        <v>9</v>
      </c>
      <c r="N385" s="4">
        <v>7</v>
      </c>
      <c r="O385" t="s">
        <v>29</v>
      </c>
      <c r="P385" t="s">
        <v>29</v>
      </c>
      <c r="Q385" s="4">
        <v>563471</v>
      </c>
      <c r="R385" s="4">
        <v>467810</v>
      </c>
      <c r="S385" s="4">
        <f>Table1[[#This Row],[Service_Revenue]]-Table1[[#This Row],[Service_Cost]]</f>
        <v>95661</v>
      </c>
      <c r="T385" s="4">
        <v>3</v>
      </c>
      <c r="U385" s="4">
        <f>IF(AND(Table1[[#This Row],[Rework_Flag]]="Yes",Table1[[#This Row],[Warranty_Claim]]="No"),Table1[[#This Row],[Service_Revenue]],0)</f>
        <v>0</v>
      </c>
      <c r="V385" s="4">
        <f>IF(Table1[[#This Row],[Warranty_Claim]]="Yes",1,0)</f>
        <v>1</v>
      </c>
      <c r="W385" s="4">
        <f>IF(Table1[[#This Row],[Rework_Flag]]="No",1,0)</f>
        <v>0</v>
      </c>
      <c r="X385" s="4">
        <f>IF(Table1[[#This Row],[Rework_Flag]]="Yes",1,0)</f>
        <v>1</v>
      </c>
      <c r="Y385" s="4">
        <v>1</v>
      </c>
      <c r="Z385" s="4" t="str">
        <f>IF(Table1[[#This Row],[TAT_Days]]&gt;Table1[[#This Row],[SLA_TAT]],"Yes","No")</f>
        <v>Yes</v>
      </c>
      <c r="AA385" s="4" t="str" cm="1">
        <f t="array" ref="AA385">_xlfn.IFS(Table1[[#This Row],[Customer_Satisfaction]]&lt;=2,"Poor",Table1[[#This Row],[Customer_Satisfaction]]=3,"Neutral",Table1[[#This Row],[Customer_Satisfaction]]=4,"Good",Table1[[#This Row],[Customer_Satisfaction]]=5,"Good")</f>
        <v>Neutral</v>
      </c>
    </row>
    <row r="386" spans="1:27" x14ac:dyDescent="0.35">
      <c r="A386">
        <v>20384</v>
      </c>
      <c r="B386" s="1">
        <v>45341</v>
      </c>
      <c r="C386" t="s">
        <v>19</v>
      </c>
      <c r="D386" t="s">
        <v>20</v>
      </c>
      <c r="E386" t="s">
        <v>89</v>
      </c>
      <c r="F386" t="s">
        <v>22</v>
      </c>
      <c r="G386" t="s">
        <v>47</v>
      </c>
      <c r="H386" t="s">
        <v>48</v>
      </c>
      <c r="I386" t="s">
        <v>25</v>
      </c>
      <c r="J386" t="s">
        <v>43</v>
      </c>
      <c r="K386" t="s">
        <v>44</v>
      </c>
      <c r="L386" t="s">
        <v>28</v>
      </c>
      <c r="M386" s="4">
        <v>23</v>
      </c>
      <c r="N386" s="4">
        <v>7</v>
      </c>
      <c r="O386" t="s">
        <v>29</v>
      </c>
      <c r="P386" t="s">
        <v>36</v>
      </c>
      <c r="Q386" s="4">
        <v>590982</v>
      </c>
      <c r="R386" s="4">
        <v>316481</v>
      </c>
      <c r="S386" s="4">
        <f>Table1[[#This Row],[Service_Revenue]]-Table1[[#This Row],[Service_Cost]]</f>
        <v>274501</v>
      </c>
      <c r="T386" s="4">
        <v>1</v>
      </c>
      <c r="U386" s="4">
        <f>IF(AND(Table1[[#This Row],[Rework_Flag]]="Yes",Table1[[#This Row],[Warranty_Claim]]="No"),Table1[[#This Row],[Service_Revenue]],0)</f>
        <v>590982</v>
      </c>
      <c r="V386" s="4">
        <f>IF(Table1[[#This Row],[Warranty_Claim]]="Yes",1,0)</f>
        <v>0</v>
      </c>
      <c r="W386" s="4">
        <f>IF(Table1[[#This Row],[Rework_Flag]]="No",1,0)</f>
        <v>0</v>
      </c>
      <c r="X386" s="4">
        <f>IF(Table1[[#This Row],[Rework_Flag]]="Yes",1,0)</f>
        <v>1</v>
      </c>
      <c r="Y386" s="4">
        <v>1</v>
      </c>
      <c r="Z386" s="4" t="str">
        <f>IF(Table1[[#This Row],[TAT_Days]]&gt;Table1[[#This Row],[SLA_TAT]],"Yes","No")</f>
        <v>Yes</v>
      </c>
      <c r="AA386" s="4" t="str" cm="1">
        <f t="array" ref="AA386">_xlfn.IFS(Table1[[#This Row],[Customer_Satisfaction]]&lt;=2,"Poor",Table1[[#This Row],[Customer_Satisfaction]]=3,"Neutral",Table1[[#This Row],[Customer_Satisfaction]]=4,"Good",Table1[[#This Row],[Customer_Satisfaction]]=5,"Good")</f>
        <v>Poor</v>
      </c>
    </row>
    <row r="387" spans="1:27" x14ac:dyDescent="0.35">
      <c r="A387">
        <v>20385</v>
      </c>
      <c r="B387" s="1">
        <v>45424</v>
      </c>
      <c r="C387" t="s">
        <v>30</v>
      </c>
      <c r="D387" t="s">
        <v>31</v>
      </c>
      <c r="E387" t="s">
        <v>122</v>
      </c>
      <c r="F387" t="s">
        <v>40</v>
      </c>
      <c r="G387" t="s">
        <v>23</v>
      </c>
      <c r="H387" t="s">
        <v>24</v>
      </c>
      <c r="I387" t="s">
        <v>25</v>
      </c>
      <c r="J387" t="s">
        <v>58</v>
      </c>
      <c r="K387" t="s">
        <v>44</v>
      </c>
      <c r="L387" t="s">
        <v>49</v>
      </c>
      <c r="M387" s="4">
        <v>9</v>
      </c>
      <c r="N387" s="4">
        <v>7</v>
      </c>
      <c r="O387" t="s">
        <v>36</v>
      </c>
      <c r="P387" t="s">
        <v>36</v>
      </c>
      <c r="Q387" s="4">
        <v>142818</v>
      </c>
      <c r="R387" s="4">
        <v>102857</v>
      </c>
      <c r="S387" s="4">
        <f>Table1[[#This Row],[Service_Revenue]]-Table1[[#This Row],[Service_Cost]]</f>
        <v>39961</v>
      </c>
      <c r="T387" s="4">
        <v>4</v>
      </c>
      <c r="U387" s="4">
        <f>IF(AND(Table1[[#This Row],[Rework_Flag]]="Yes",Table1[[#This Row],[Warranty_Claim]]="No"),Table1[[#This Row],[Service_Revenue]],0)</f>
        <v>0</v>
      </c>
      <c r="V387" s="4">
        <f>IF(Table1[[#This Row],[Warranty_Claim]]="Yes",1,0)</f>
        <v>0</v>
      </c>
      <c r="W387" s="4">
        <f>IF(Table1[[#This Row],[Rework_Flag]]="No",1,0)</f>
        <v>1</v>
      </c>
      <c r="X387" s="4">
        <f>IF(Table1[[#This Row],[Rework_Flag]]="Yes",1,0)</f>
        <v>0</v>
      </c>
      <c r="Y387" s="4">
        <v>1</v>
      </c>
      <c r="Z387" s="4" t="str">
        <f>IF(Table1[[#This Row],[TAT_Days]]&gt;Table1[[#This Row],[SLA_TAT]],"Yes","No")</f>
        <v>Yes</v>
      </c>
      <c r="AA387" s="4" t="str" cm="1">
        <f t="array" ref="AA387">_xlfn.IFS(Table1[[#This Row],[Customer_Satisfaction]]&lt;=2,"Poor",Table1[[#This Row],[Customer_Satisfaction]]=3,"Neutral",Table1[[#This Row],[Customer_Satisfaction]]=4,"Good",Table1[[#This Row],[Customer_Satisfaction]]=5,"Good")</f>
        <v>Good</v>
      </c>
    </row>
    <row r="388" spans="1:27" x14ac:dyDescent="0.35">
      <c r="A388">
        <v>20386</v>
      </c>
      <c r="B388" s="1">
        <v>45339</v>
      </c>
      <c r="C388" t="s">
        <v>37</v>
      </c>
      <c r="D388" t="s">
        <v>64</v>
      </c>
      <c r="E388" t="s">
        <v>72</v>
      </c>
      <c r="F388" t="s">
        <v>40</v>
      </c>
      <c r="G388" t="s">
        <v>41</v>
      </c>
      <c r="H388" t="s">
        <v>42</v>
      </c>
      <c r="I388" t="s">
        <v>25</v>
      </c>
      <c r="J388" t="s">
        <v>67</v>
      </c>
      <c r="K388" t="s">
        <v>27</v>
      </c>
      <c r="L388" t="s">
        <v>49</v>
      </c>
      <c r="M388" s="4">
        <v>13</v>
      </c>
      <c r="N388" s="4">
        <v>7</v>
      </c>
      <c r="O388" t="s">
        <v>29</v>
      </c>
      <c r="P388" t="s">
        <v>36</v>
      </c>
      <c r="Q388" s="4">
        <v>430764</v>
      </c>
      <c r="R388" s="4">
        <v>262612</v>
      </c>
      <c r="S388" s="4">
        <f>Table1[[#This Row],[Service_Revenue]]-Table1[[#This Row],[Service_Cost]]</f>
        <v>168152</v>
      </c>
      <c r="T388" s="4">
        <v>2</v>
      </c>
      <c r="U388" s="4">
        <f>IF(AND(Table1[[#This Row],[Rework_Flag]]="Yes",Table1[[#This Row],[Warranty_Claim]]="No"),Table1[[#This Row],[Service_Revenue]],0)</f>
        <v>430764</v>
      </c>
      <c r="V388" s="4">
        <f>IF(Table1[[#This Row],[Warranty_Claim]]="Yes",1,0)</f>
        <v>0</v>
      </c>
      <c r="W388" s="4">
        <f>IF(Table1[[#This Row],[Rework_Flag]]="No",1,0)</f>
        <v>0</v>
      </c>
      <c r="X388" s="4">
        <f>IF(Table1[[#This Row],[Rework_Flag]]="Yes",1,0)</f>
        <v>1</v>
      </c>
      <c r="Y388" s="4">
        <v>1</v>
      </c>
      <c r="Z388" s="4" t="str">
        <f>IF(Table1[[#This Row],[TAT_Days]]&gt;Table1[[#This Row],[SLA_TAT]],"Yes","No")</f>
        <v>Yes</v>
      </c>
      <c r="AA388" s="4" t="str" cm="1">
        <f t="array" ref="AA388">_xlfn.IFS(Table1[[#This Row],[Customer_Satisfaction]]&lt;=2,"Poor",Table1[[#This Row],[Customer_Satisfaction]]=3,"Neutral",Table1[[#This Row],[Customer_Satisfaction]]=4,"Good",Table1[[#This Row],[Customer_Satisfaction]]=5,"Good")</f>
        <v>Poor</v>
      </c>
    </row>
    <row r="389" spans="1:27" x14ac:dyDescent="0.35">
      <c r="A389">
        <v>20387</v>
      </c>
      <c r="B389" s="1">
        <v>45419</v>
      </c>
      <c r="C389" t="s">
        <v>37</v>
      </c>
      <c r="D389" t="s">
        <v>38</v>
      </c>
      <c r="E389" t="s">
        <v>39</v>
      </c>
      <c r="F389" t="s">
        <v>22</v>
      </c>
      <c r="G389" t="s">
        <v>33</v>
      </c>
      <c r="H389" t="s">
        <v>34</v>
      </c>
      <c r="I389" t="s">
        <v>55</v>
      </c>
      <c r="J389" t="s">
        <v>67</v>
      </c>
      <c r="K389" t="s">
        <v>44</v>
      </c>
      <c r="L389" t="s">
        <v>49</v>
      </c>
      <c r="M389" s="4">
        <v>20</v>
      </c>
      <c r="N389" s="4">
        <v>7</v>
      </c>
      <c r="O389" t="s">
        <v>29</v>
      </c>
      <c r="P389" t="s">
        <v>36</v>
      </c>
      <c r="Q389" s="4">
        <v>463908</v>
      </c>
      <c r="R389" s="4">
        <v>356028</v>
      </c>
      <c r="S389" s="4">
        <f>Table1[[#This Row],[Service_Revenue]]-Table1[[#This Row],[Service_Cost]]</f>
        <v>107880</v>
      </c>
      <c r="T389" s="4">
        <v>1</v>
      </c>
      <c r="U389" s="4">
        <f>IF(AND(Table1[[#This Row],[Rework_Flag]]="Yes",Table1[[#This Row],[Warranty_Claim]]="No"),Table1[[#This Row],[Service_Revenue]],0)</f>
        <v>463908</v>
      </c>
      <c r="V389" s="4">
        <f>IF(Table1[[#This Row],[Warranty_Claim]]="Yes",1,0)</f>
        <v>0</v>
      </c>
      <c r="W389" s="4">
        <f>IF(Table1[[#This Row],[Rework_Flag]]="No",1,0)</f>
        <v>0</v>
      </c>
      <c r="X389" s="4">
        <f>IF(Table1[[#This Row],[Rework_Flag]]="Yes",1,0)</f>
        <v>1</v>
      </c>
      <c r="Y389" s="4">
        <v>1</v>
      </c>
      <c r="Z389" s="4" t="str">
        <f>IF(Table1[[#This Row],[TAT_Days]]&gt;Table1[[#This Row],[SLA_TAT]],"Yes","No")</f>
        <v>Yes</v>
      </c>
      <c r="AA389" s="4" t="str" cm="1">
        <f t="array" ref="AA389">_xlfn.IFS(Table1[[#This Row],[Customer_Satisfaction]]&lt;=2,"Poor",Table1[[#This Row],[Customer_Satisfaction]]=3,"Neutral",Table1[[#This Row],[Customer_Satisfaction]]=4,"Good",Table1[[#This Row],[Customer_Satisfaction]]=5,"Good")</f>
        <v>Poor</v>
      </c>
    </row>
    <row r="390" spans="1:27" x14ac:dyDescent="0.35">
      <c r="A390">
        <v>20388</v>
      </c>
      <c r="B390" s="1">
        <v>45295</v>
      </c>
      <c r="C390" t="s">
        <v>50</v>
      </c>
      <c r="D390" t="s">
        <v>80</v>
      </c>
      <c r="E390" t="s">
        <v>118</v>
      </c>
      <c r="F390" t="s">
        <v>40</v>
      </c>
      <c r="G390" t="s">
        <v>63</v>
      </c>
      <c r="H390" t="s">
        <v>24</v>
      </c>
      <c r="I390" t="s">
        <v>55</v>
      </c>
      <c r="J390" t="s">
        <v>43</v>
      </c>
      <c r="K390" t="s">
        <v>44</v>
      </c>
      <c r="L390" t="s">
        <v>28</v>
      </c>
      <c r="M390" s="4">
        <v>8</v>
      </c>
      <c r="N390" s="4">
        <v>7</v>
      </c>
      <c r="O390" t="s">
        <v>29</v>
      </c>
      <c r="P390" t="s">
        <v>36</v>
      </c>
      <c r="Q390" s="4">
        <v>541101</v>
      </c>
      <c r="R390" s="4">
        <v>402323</v>
      </c>
      <c r="S390" s="4">
        <f>Table1[[#This Row],[Service_Revenue]]-Table1[[#This Row],[Service_Cost]]</f>
        <v>138778</v>
      </c>
      <c r="T390" s="4">
        <v>3</v>
      </c>
      <c r="U390" s="4">
        <f>IF(AND(Table1[[#This Row],[Rework_Flag]]="Yes",Table1[[#This Row],[Warranty_Claim]]="No"),Table1[[#This Row],[Service_Revenue]],0)</f>
        <v>541101</v>
      </c>
      <c r="V390" s="4">
        <f>IF(Table1[[#This Row],[Warranty_Claim]]="Yes",1,0)</f>
        <v>0</v>
      </c>
      <c r="W390" s="4">
        <f>IF(Table1[[#This Row],[Rework_Flag]]="No",1,0)</f>
        <v>0</v>
      </c>
      <c r="X390" s="4">
        <f>IF(Table1[[#This Row],[Rework_Flag]]="Yes",1,0)</f>
        <v>1</v>
      </c>
      <c r="Y390" s="4">
        <v>1</v>
      </c>
      <c r="Z390" s="4" t="str">
        <f>IF(Table1[[#This Row],[TAT_Days]]&gt;Table1[[#This Row],[SLA_TAT]],"Yes","No")</f>
        <v>Yes</v>
      </c>
      <c r="AA390" s="4" t="str" cm="1">
        <f t="array" ref="AA390">_xlfn.IFS(Table1[[#This Row],[Customer_Satisfaction]]&lt;=2,"Poor",Table1[[#This Row],[Customer_Satisfaction]]=3,"Neutral",Table1[[#This Row],[Customer_Satisfaction]]=4,"Good",Table1[[#This Row],[Customer_Satisfaction]]=5,"Good")</f>
        <v>Neutral</v>
      </c>
    </row>
    <row r="391" spans="1:27" x14ac:dyDescent="0.35">
      <c r="A391">
        <v>20389</v>
      </c>
      <c r="B391" s="1">
        <v>45332</v>
      </c>
      <c r="C391" t="s">
        <v>30</v>
      </c>
      <c r="D391" t="s">
        <v>59</v>
      </c>
      <c r="E391" t="s">
        <v>60</v>
      </c>
      <c r="F391" t="s">
        <v>22</v>
      </c>
      <c r="G391" t="s">
        <v>23</v>
      </c>
      <c r="H391" t="s">
        <v>24</v>
      </c>
      <c r="I391" t="s">
        <v>55</v>
      </c>
      <c r="J391" t="s">
        <v>43</v>
      </c>
      <c r="K391" t="s">
        <v>27</v>
      </c>
      <c r="L391" t="s">
        <v>28</v>
      </c>
      <c r="M391" s="4">
        <v>8</v>
      </c>
      <c r="N391" s="4">
        <v>7</v>
      </c>
      <c r="O391" t="s">
        <v>36</v>
      </c>
      <c r="P391" t="s">
        <v>36</v>
      </c>
      <c r="Q391" s="4">
        <v>164724</v>
      </c>
      <c r="R391" s="4">
        <v>98444</v>
      </c>
      <c r="S391" s="4">
        <f>Table1[[#This Row],[Service_Revenue]]-Table1[[#This Row],[Service_Cost]]</f>
        <v>66280</v>
      </c>
      <c r="T391" s="4">
        <v>4</v>
      </c>
      <c r="U391" s="4">
        <f>IF(AND(Table1[[#This Row],[Rework_Flag]]="Yes",Table1[[#This Row],[Warranty_Claim]]="No"),Table1[[#This Row],[Service_Revenue]],0)</f>
        <v>0</v>
      </c>
      <c r="V391" s="4">
        <f>IF(Table1[[#This Row],[Warranty_Claim]]="Yes",1,0)</f>
        <v>0</v>
      </c>
      <c r="W391" s="4">
        <f>IF(Table1[[#This Row],[Rework_Flag]]="No",1,0)</f>
        <v>1</v>
      </c>
      <c r="X391" s="4">
        <f>IF(Table1[[#This Row],[Rework_Flag]]="Yes",1,0)</f>
        <v>0</v>
      </c>
      <c r="Y391" s="4">
        <v>1</v>
      </c>
      <c r="Z391" s="4" t="str">
        <f>IF(Table1[[#This Row],[TAT_Days]]&gt;Table1[[#This Row],[SLA_TAT]],"Yes","No")</f>
        <v>Yes</v>
      </c>
      <c r="AA391" s="4" t="str" cm="1">
        <f t="array" ref="AA391">_xlfn.IFS(Table1[[#This Row],[Customer_Satisfaction]]&lt;=2,"Poor",Table1[[#This Row],[Customer_Satisfaction]]=3,"Neutral",Table1[[#This Row],[Customer_Satisfaction]]=4,"Good",Table1[[#This Row],[Customer_Satisfaction]]=5,"Good")</f>
        <v>Good</v>
      </c>
    </row>
    <row r="392" spans="1:27" x14ac:dyDescent="0.35">
      <c r="A392">
        <v>20390</v>
      </c>
      <c r="B392" s="1">
        <v>45356</v>
      </c>
      <c r="C392" t="s">
        <v>19</v>
      </c>
      <c r="D392" t="s">
        <v>45</v>
      </c>
      <c r="E392" t="s">
        <v>46</v>
      </c>
      <c r="F392" t="s">
        <v>22</v>
      </c>
      <c r="G392" t="s">
        <v>33</v>
      </c>
      <c r="H392" t="s">
        <v>34</v>
      </c>
      <c r="I392" t="s">
        <v>25</v>
      </c>
      <c r="J392" t="s">
        <v>35</v>
      </c>
      <c r="K392" t="s">
        <v>61</v>
      </c>
      <c r="L392" t="s">
        <v>49</v>
      </c>
      <c r="M392" s="4">
        <v>20</v>
      </c>
      <c r="N392" s="4">
        <v>7</v>
      </c>
      <c r="O392" t="s">
        <v>29</v>
      </c>
      <c r="P392" t="s">
        <v>36</v>
      </c>
      <c r="Q392" s="4">
        <v>508250</v>
      </c>
      <c r="R392" s="4">
        <v>380130</v>
      </c>
      <c r="S392" s="4">
        <f>Table1[[#This Row],[Service_Revenue]]-Table1[[#This Row],[Service_Cost]]</f>
        <v>128120</v>
      </c>
      <c r="T392" s="4">
        <v>1</v>
      </c>
      <c r="U392" s="4">
        <f>IF(AND(Table1[[#This Row],[Rework_Flag]]="Yes",Table1[[#This Row],[Warranty_Claim]]="No"),Table1[[#This Row],[Service_Revenue]],0)</f>
        <v>508250</v>
      </c>
      <c r="V392" s="4">
        <f>IF(Table1[[#This Row],[Warranty_Claim]]="Yes",1,0)</f>
        <v>0</v>
      </c>
      <c r="W392" s="4">
        <f>IF(Table1[[#This Row],[Rework_Flag]]="No",1,0)</f>
        <v>0</v>
      </c>
      <c r="X392" s="4">
        <f>IF(Table1[[#This Row],[Rework_Flag]]="Yes",1,0)</f>
        <v>1</v>
      </c>
      <c r="Y392" s="4">
        <v>1</v>
      </c>
      <c r="Z392" s="4" t="str">
        <f>IF(Table1[[#This Row],[TAT_Days]]&gt;Table1[[#This Row],[SLA_TAT]],"Yes","No")</f>
        <v>Yes</v>
      </c>
      <c r="AA392" s="4" t="str" cm="1">
        <f t="array" ref="AA392">_xlfn.IFS(Table1[[#This Row],[Customer_Satisfaction]]&lt;=2,"Poor",Table1[[#This Row],[Customer_Satisfaction]]=3,"Neutral",Table1[[#This Row],[Customer_Satisfaction]]=4,"Good",Table1[[#This Row],[Customer_Satisfaction]]=5,"Good")</f>
        <v>Poor</v>
      </c>
    </row>
    <row r="393" spans="1:27" x14ac:dyDescent="0.35">
      <c r="A393">
        <v>20391</v>
      </c>
      <c r="B393" s="1">
        <v>45322</v>
      </c>
      <c r="C393" t="s">
        <v>50</v>
      </c>
      <c r="D393" t="s">
        <v>80</v>
      </c>
      <c r="E393" t="s">
        <v>118</v>
      </c>
      <c r="F393" t="s">
        <v>22</v>
      </c>
      <c r="G393" t="s">
        <v>74</v>
      </c>
      <c r="H393" t="s">
        <v>34</v>
      </c>
      <c r="I393" t="s">
        <v>55</v>
      </c>
      <c r="J393" t="s">
        <v>26</v>
      </c>
      <c r="K393" t="s">
        <v>61</v>
      </c>
      <c r="L393" t="s">
        <v>49</v>
      </c>
      <c r="M393" s="4">
        <v>22</v>
      </c>
      <c r="N393" s="4">
        <v>7</v>
      </c>
      <c r="O393" t="s">
        <v>36</v>
      </c>
      <c r="P393" t="s">
        <v>36</v>
      </c>
      <c r="Q393" s="4">
        <v>407331</v>
      </c>
      <c r="R393" s="4">
        <v>328894</v>
      </c>
      <c r="S393" s="4">
        <f>Table1[[#This Row],[Service_Revenue]]-Table1[[#This Row],[Service_Cost]]</f>
        <v>78437</v>
      </c>
      <c r="T393" s="4">
        <v>1</v>
      </c>
      <c r="U393" s="4">
        <f>IF(AND(Table1[[#This Row],[Rework_Flag]]="Yes",Table1[[#This Row],[Warranty_Claim]]="No"),Table1[[#This Row],[Service_Revenue]],0)</f>
        <v>0</v>
      </c>
      <c r="V393" s="4">
        <f>IF(Table1[[#This Row],[Warranty_Claim]]="Yes",1,0)</f>
        <v>0</v>
      </c>
      <c r="W393" s="4">
        <f>IF(Table1[[#This Row],[Rework_Flag]]="No",1,0)</f>
        <v>1</v>
      </c>
      <c r="X393" s="4">
        <f>IF(Table1[[#This Row],[Rework_Flag]]="Yes",1,0)</f>
        <v>0</v>
      </c>
      <c r="Y393" s="4">
        <v>1</v>
      </c>
      <c r="Z393" s="4" t="str">
        <f>IF(Table1[[#This Row],[TAT_Days]]&gt;Table1[[#This Row],[SLA_TAT]],"Yes","No")</f>
        <v>Yes</v>
      </c>
      <c r="AA393" s="4" t="str" cm="1">
        <f t="array" ref="AA393">_xlfn.IFS(Table1[[#This Row],[Customer_Satisfaction]]&lt;=2,"Poor",Table1[[#This Row],[Customer_Satisfaction]]=3,"Neutral",Table1[[#This Row],[Customer_Satisfaction]]=4,"Good",Table1[[#This Row],[Customer_Satisfaction]]=5,"Good")</f>
        <v>Poor</v>
      </c>
    </row>
    <row r="394" spans="1:27" x14ac:dyDescent="0.35">
      <c r="A394">
        <v>20392</v>
      </c>
      <c r="B394" s="1">
        <v>45339</v>
      </c>
      <c r="C394" t="s">
        <v>30</v>
      </c>
      <c r="D394" t="s">
        <v>31</v>
      </c>
      <c r="E394" t="s">
        <v>79</v>
      </c>
      <c r="F394" t="s">
        <v>40</v>
      </c>
      <c r="G394" t="s">
        <v>23</v>
      </c>
      <c r="H394" t="s">
        <v>24</v>
      </c>
      <c r="I394" t="s">
        <v>55</v>
      </c>
      <c r="J394" t="s">
        <v>26</v>
      </c>
      <c r="K394" t="s">
        <v>27</v>
      </c>
      <c r="L394" t="s">
        <v>28</v>
      </c>
      <c r="M394" s="4">
        <v>2</v>
      </c>
      <c r="N394" s="4">
        <v>7</v>
      </c>
      <c r="O394" t="s">
        <v>36</v>
      </c>
      <c r="P394" t="s">
        <v>36</v>
      </c>
      <c r="Q394" s="4">
        <v>426520</v>
      </c>
      <c r="R394" s="4">
        <v>293468</v>
      </c>
      <c r="S394" s="4">
        <f>Table1[[#This Row],[Service_Revenue]]-Table1[[#This Row],[Service_Cost]]</f>
        <v>133052</v>
      </c>
      <c r="T394" s="4">
        <v>5</v>
      </c>
      <c r="U394" s="4">
        <f>IF(AND(Table1[[#This Row],[Rework_Flag]]="Yes",Table1[[#This Row],[Warranty_Claim]]="No"),Table1[[#This Row],[Service_Revenue]],0)</f>
        <v>0</v>
      </c>
      <c r="V394" s="4">
        <f>IF(Table1[[#This Row],[Warranty_Claim]]="Yes",1,0)</f>
        <v>0</v>
      </c>
      <c r="W394" s="4">
        <f>IF(Table1[[#This Row],[Rework_Flag]]="No",1,0)</f>
        <v>1</v>
      </c>
      <c r="X394" s="4">
        <f>IF(Table1[[#This Row],[Rework_Flag]]="Yes",1,0)</f>
        <v>0</v>
      </c>
      <c r="Y394" s="4">
        <v>1</v>
      </c>
      <c r="Z394" s="4" t="str">
        <f>IF(Table1[[#This Row],[TAT_Days]]&gt;Table1[[#This Row],[SLA_TAT]],"Yes","No")</f>
        <v>No</v>
      </c>
      <c r="AA394" s="4" t="str" cm="1">
        <f t="array" ref="AA394">_xlfn.IFS(Table1[[#This Row],[Customer_Satisfaction]]&lt;=2,"Poor",Table1[[#This Row],[Customer_Satisfaction]]=3,"Neutral",Table1[[#This Row],[Customer_Satisfaction]]=4,"Good",Table1[[#This Row],[Customer_Satisfaction]]=5,"Good")</f>
        <v>Good</v>
      </c>
    </row>
    <row r="395" spans="1:27" x14ac:dyDescent="0.35">
      <c r="A395">
        <v>20393</v>
      </c>
      <c r="B395" s="1">
        <v>45454</v>
      </c>
      <c r="C395" t="s">
        <v>30</v>
      </c>
      <c r="D395" t="s">
        <v>59</v>
      </c>
      <c r="E395" t="s">
        <v>78</v>
      </c>
      <c r="F395" t="s">
        <v>53</v>
      </c>
      <c r="G395" t="s">
        <v>47</v>
      </c>
      <c r="H395" t="s">
        <v>48</v>
      </c>
      <c r="I395" t="s">
        <v>25</v>
      </c>
      <c r="J395" t="s">
        <v>43</v>
      </c>
      <c r="K395" t="s">
        <v>27</v>
      </c>
      <c r="L395" t="s">
        <v>49</v>
      </c>
      <c r="M395" s="4">
        <v>22</v>
      </c>
      <c r="N395" s="4">
        <v>7</v>
      </c>
      <c r="O395" t="s">
        <v>29</v>
      </c>
      <c r="P395" t="s">
        <v>36</v>
      </c>
      <c r="Q395" s="4">
        <v>411053</v>
      </c>
      <c r="R395" s="4">
        <v>264531</v>
      </c>
      <c r="S395" s="4">
        <f>Table1[[#This Row],[Service_Revenue]]-Table1[[#This Row],[Service_Cost]]</f>
        <v>146522</v>
      </c>
      <c r="T395" s="4">
        <v>1</v>
      </c>
      <c r="U395" s="4">
        <f>IF(AND(Table1[[#This Row],[Rework_Flag]]="Yes",Table1[[#This Row],[Warranty_Claim]]="No"),Table1[[#This Row],[Service_Revenue]],0)</f>
        <v>411053</v>
      </c>
      <c r="V395" s="4">
        <f>IF(Table1[[#This Row],[Warranty_Claim]]="Yes",1,0)</f>
        <v>0</v>
      </c>
      <c r="W395" s="4">
        <f>IF(Table1[[#This Row],[Rework_Flag]]="No",1,0)</f>
        <v>0</v>
      </c>
      <c r="X395" s="4">
        <f>IF(Table1[[#This Row],[Rework_Flag]]="Yes",1,0)</f>
        <v>1</v>
      </c>
      <c r="Y395" s="4">
        <v>1</v>
      </c>
      <c r="Z395" s="4" t="str">
        <f>IF(Table1[[#This Row],[TAT_Days]]&gt;Table1[[#This Row],[SLA_TAT]],"Yes","No")</f>
        <v>Yes</v>
      </c>
      <c r="AA395" s="4" t="str" cm="1">
        <f t="array" ref="AA395">_xlfn.IFS(Table1[[#This Row],[Customer_Satisfaction]]&lt;=2,"Poor",Table1[[#This Row],[Customer_Satisfaction]]=3,"Neutral",Table1[[#This Row],[Customer_Satisfaction]]=4,"Good",Table1[[#This Row],[Customer_Satisfaction]]=5,"Good")</f>
        <v>Poor</v>
      </c>
    </row>
    <row r="396" spans="1:27" x14ac:dyDescent="0.35">
      <c r="A396">
        <v>20394</v>
      </c>
      <c r="B396" s="1">
        <v>45453</v>
      </c>
      <c r="C396" t="s">
        <v>19</v>
      </c>
      <c r="D396" t="s">
        <v>45</v>
      </c>
      <c r="E396" t="s">
        <v>111</v>
      </c>
      <c r="F396" t="s">
        <v>53</v>
      </c>
      <c r="G396" t="s">
        <v>74</v>
      </c>
      <c r="H396" t="s">
        <v>34</v>
      </c>
      <c r="I396" t="s">
        <v>25</v>
      </c>
      <c r="J396" t="s">
        <v>67</v>
      </c>
      <c r="K396" t="s">
        <v>61</v>
      </c>
      <c r="L396" t="s">
        <v>49</v>
      </c>
      <c r="M396" s="4">
        <v>13</v>
      </c>
      <c r="N396" s="4">
        <v>7</v>
      </c>
      <c r="O396" t="s">
        <v>36</v>
      </c>
      <c r="P396" t="s">
        <v>36</v>
      </c>
      <c r="Q396" s="4">
        <v>229751</v>
      </c>
      <c r="R396" s="4">
        <v>156792</v>
      </c>
      <c r="S396" s="4">
        <f>Table1[[#This Row],[Service_Revenue]]-Table1[[#This Row],[Service_Cost]]</f>
        <v>72959</v>
      </c>
      <c r="T396" s="4">
        <v>3</v>
      </c>
      <c r="U396" s="4">
        <f>IF(AND(Table1[[#This Row],[Rework_Flag]]="Yes",Table1[[#This Row],[Warranty_Claim]]="No"),Table1[[#This Row],[Service_Revenue]],0)</f>
        <v>0</v>
      </c>
      <c r="V396" s="4">
        <f>IF(Table1[[#This Row],[Warranty_Claim]]="Yes",1,0)</f>
        <v>0</v>
      </c>
      <c r="W396" s="4">
        <f>IF(Table1[[#This Row],[Rework_Flag]]="No",1,0)</f>
        <v>1</v>
      </c>
      <c r="X396" s="4">
        <f>IF(Table1[[#This Row],[Rework_Flag]]="Yes",1,0)</f>
        <v>0</v>
      </c>
      <c r="Y396" s="4">
        <v>1</v>
      </c>
      <c r="Z396" s="4" t="str">
        <f>IF(Table1[[#This Row],[TAT_Days]]&gt;Table1[[#This Row],[SLA_TAT]],"Yes","No")</f>
        <v>Yes</v>
      </c>
      <c r="AA396" s="4" t="str" cm="1">
        <f t="array" ref="AA396">_xlfn.IFS(Table1[[#This Row],[Customer_Satisfaction]]&lt;=2,"Poor",Table1[[#This Row],[Customer_Satisfaction]]=3,"Neutral",Table1[[#This Row],[Customer_Satisfaction]]=4,"Good",Table1[[#This Row],[Customer_Satisfaction]]=5,"Good")</f>
        <v>Neutral</v>
      </c>
    </row>
    <row r="397" spans="1:27" x14ac:dyDescent="0.35">
      <c r="A397">
        <v>20395</v>
      </c>
      <c r="B397" s="1">
        <v>45313</v>
      </c>
      <c r="C397" t="s">
        <v>37</v>
      </c>
      <c r="D397" t="s">
        <v>64</v>
      </c>
      <c r="E397" t="s">
        <v>103</v>
      </c>
      <c r="F397" t="s">
        <v>40</v>
      </c>
      <c r="G397" t="s">
        <v>47</v>
      </c>
      <c r="H397" t="s">
        <v>48</v>
      </c>
      <c r="I397" t="s">
        <v>25</v>
      </c>
      <c r="J397" t="s">
        <v>35</v>
      </c>
      <c r="K397" t="s">
        <v>61</v>
      </c>
      <c r="L397" t="s">
        <v>28</v>
      </c>
      <c r="M397" s="4">
        <v>18</v>
      </c>
      <c r="N397" s="4">
        <v>7</v>
      </c>
      <c r="O397" t="s">
        <v>29</v>
      </c>
      <c r="P397" t="s">
        <v>36</v>
      </c>
      <c r="Q397" s="4">
        <v>359154</v>
      </c>
      <c r="R397" s="4">
        <v>296274</v>
      </c>
      <c r="S397" s="4">
        <f>Table1[[#This Row],[Service_Revenue]]-Table1[[#This Row],[Service_Cost]]</f>
        <v>62880</v>
      </c>
      <c r="T397" s="4">
        <v>1</v>
      </c>
      <c r="U397" s="4">
        <f>IF(AND(Table1[[#This Row],[Rework_Flag]]="Yes",Table1[[#This Row],[Warranty_Claim]]="No"),Table1[[#This Row],[Service_Revenue]],0)</f>
        <v>359154</v>
      </c>
      <c r="V397" s="4">
        <f>IF(Table1[[#This Row],[Warranty_Claim]]="Yes",1,0)</f>
        <v>0</v>
      </c>
      <c r="W397" s="4">
        <f>IF(Table1[[#This Row],[Rework_Flag]]="No",1,0)</f>
        <v>0</v>
      </c>
      <c r="X397" s="4">
        <f>IF(Table1[[#This Row],[Rework_Flag]]="Yes",1,0)</f>
        <v>1</v>
      </c>
      <c r="Y397" s="4">
        <v>1</v>
      </c>
      <c r="Z397" s="4" t="str">
        <f>IF(Table1[[#This Row],[TAT_Days]]&gt;Table1[[#This Row],[SLA_TAT]],"Yes","No")</f>
        <v>Yes</v>
      </c>
      <c r="AA397" s="4" t="str" cm="1">
        <f t="array" ref="AA397">_xlfn.IFS(Table1[[#This Row],[Customer_Satisfaction]]&lt;=2,"Poor",Table1[[#This Row],[Customer_Satisfaction]]=3,"Neutral",Table1[[#This Row],[Customer_Satisfaction]]=4,"Good",Table1[[#This Row],[Customer_Satisfaction]]=5,"Good")</f>
        <v>Poor</v>
      </c>
    </row>
    <row r="398" spans="1:27" x14ac:dyDescent="0.35">
      <c r="A398">
        <v>20396</v>
      </c>
      <c r="B398" s="1">
        <v>45349</v>
      </c>
      <c r="C398" t="s">
        <v>19</v>
      </c>
      <c r="D398" t="s">
        <v>20</v>
      </c>
      <c r="E398" t="s">
        <v>117</v>
      </c>
      <c r="F398" t="s">
        <v>53</v>
      </c>
      <c r="G398" t="s">
        <v>63</v>
      </c>
      <c r="H398" t="s">
        <v>24</v>
      </c>
      <c r="I398" t="s">
        <v>55</v>
      </c>
      <c r="J398" t="s">
        <v>43</v>
      </c>
      <c r="K398" t="s">
        <v>27</v>
      </c>
      <c r="L398" t="s">
        <v>28</v>
      </c>
      <c r="M398" s="4">
        <v>4</v>
      </c>
      <c r="N398" s="4">
        <v>7</v>
      </c>
      <c r="O398" t="s">
        <v>29</v>
      </c>
      <c r="P398" t="s">
        <v>36</v>
      </c>
      <c r="Q398" s="4">
        <v>108409</v>
      </c>
      <c r="R398" s="4">
        <v>89094</v>
      </c>
      <c r="S398" s="4">
        <f>Table1[[#This Row],[Service_Revenue]]-Table1[[#This Row],[Service_Cost]]</f>
        <v>19315</v>
      </c>
      <c r="T398" s="4">
        <v>4</v>
      </c>
      <c r="U398" s="4">
        <f>IF(AND(Table1[[#This Row],[Rework_Flag]]="Yes",Table1[[#This Row],[Warranty_Claim]]="No"),Table1[[#This Row],[Service_Revenue]],0)</f>
        <v>108409</v>
      </c>
      <c r="V398" s="4">
        <f>IF(Table1[[#This Row],[Warranty_Claim]]="Yes",1,0)</f>
        <v>0</v>
      </c>
      <c r="W398" s="4">
        <f>IF(Table1[[#This Row],[Rework_Flag]]="No",1,0)</f>
        <v>0</v>
      </c>
      <c r="X398" s="4">
        <f>IF(Table1[[#This Row],[Rework_Flag]]="Yes",1,0)</f>
        <v>1</v>
      </c>
      <c r="Y398" s="4">
        <v>1</v>
      </c>
      <c r="Z398" s="4" t="str">
        <f>IF(Table1[[#This Row],[TAT_Days]]&gt;Table1[[#This Row],[SLA_TAT]],"Yes","No")</f>
        <v>No</v>
      </c>
      <c r="AA398" s="4" t="str" cm="1">
        <f t="array" ref="AA398">_xlfn.IFS(Table1[[#This Row],[Customer_Satisfaction]]&lt;=2,"Poor",Table1[[#This Row],[Customer_Satisfaction]]=3,"Neutral",Table1[[#This Row],[Customer_Satisfaction]]=4,"Good",Table1[[#This Row],[Customer_Satisfaction]]=5,"Good")</f>
        <v>Good</v>
      </c>
    </row>
    <row r="399" spans="1:27" x14ac:dyDescent="0.35">
      <c r="A399">
        <v>20397</v>
      </c>
      <c r="B399" s="1">
        <v>45330</v>
      </c>
      <c r="C399" t="s">
        <v>50</v>
      </c>
      <c r="D399" t="s">
        <v>51</v>
      </c>
      <c r="E399" t="s">
        <v>52</v>
      </c>
      <c r="F399" t="s">
        <v>22</v>
      </c>
      <c r="G399" t="s">
        <v>54</v>
      </c>
      <c r="H399" t="s">
        <v>42</v>
      </c>
      <c r="I399" t="s">
        <v>25</v>
      </c>
      <c r="J399" t="s">
        <v>35</v>
      </c>
      <c r="K399" t="s">
        <v>27</v>
      </c>
      <c r="L399" t="s">
        <v>28</v>
      </c>
      <c r="M399" s="4">
        <v>15</v>
      </c>
      <c r="N399" s="4">
        <v>7</v>
      </c>
      <c r="O399" t="s">
        <v>29</v>
      </c>
      <c r="P399" t="s">
        <v>29</v>
      </c>
      <c r="Q399" s="4">
        <v>215161</v>
      </c>
      <c r="R399" s="4">
        <v>168877</v>
      </c>
      <c r="S399" s="4">
        <f>Table1[[#This Row],[Service_Revenue]]-Table1[[#This Row],[Service_Cost]]</f>
        <v>46284</v>
      </c>
      <c r="T399" s="4">
        <v>1</v>
      </c>
      <c r="U399" s="4">
        <f>IF(AND(Table1[[#This Row],[Rework_Flag]]="Yes",Table1[[#This Row],[Warranty_Claim]]="No"),Table1[[#This Row],[Service_Revenue]],0)</f>
        <v>0</v>
      </c>
      <c r="V399" s="4">
        <f>IF(Table1[[#This Row],[Warranty_Claim]]="Yes",1,0)</f>
        <v>1</v>
      </c>
      <c r="W399" s="4">
        <f>IF(Table1[[#This Row],[Rework_Flag]]="No",1,0)</f>
        <v>0</v>
      </c>
      <c r="X399" s="4">
        <f>IF(Table1[[#This Row],[Rework_Flag]]="Yes",1,0)</f>
        <v>1</v>
      </c>
      <c r="Y399" s="4">
        <v>1</v>
      </c>
      <c r="Z399" s="4" t="str">
        <f>IF(Table1[[#This Row],[TAT_Days]]&gt;Table1[[#This Row],[SLA_TAT]],"Yes","No")</f>
        <v>Yes</v>
      </c>
      <c r="AA399" s="4" t="str" cm="1">
        <f t="array" ref="AA399">_xlfn.IFS(Table1[[#This Row],[Customer_Satisfaction]]&lt;=2,"Poor",Table1[[#This Row],[Customer_Satisfaction]]=3,"Neutral",Table1[[#This Row],[Customer_Satisfaction]]=4,"Good",Table1[[#This Row],[Customer_Satisfaction]]=5,"Good")</f>
        <v>Poor</v>
      </c>
    </row>
    <row r="400" spans="1:27" x14ac:dyDescent="0.35">
      <c r="A400">
        <v>20398</v>
      </c>
      <c r="B400" s="1">
        <v>45347</v>
      </c>
      <c r="C400" t="s">
        <v>50</v>
      </c>
      <c r="D400" t="s">
        <v>56</v>
      </c>
      <c r="E400" t="s">
        <v>57</v>
      </c>
      <c r="F400" t="s">
        <v>53</v>
      </c>
      <c r="G400" t="s">
        <v>54</v>
      </c>
      <c r="H400" t="s">
        <v>42</v>
      </c>
      <c r="I400" t="s">
        <v>55</v>
      </c>
      <c r="J400" t="s">
        <v>58</v>
      </c>
      <c r="K400" t="s">
        <v>61</v>
      </c>
      <c r="L400" t="s">
        <v>28</v>
      </c>
      <c r="M400" s="4">
        <v>18</v>
      </c>
      <c r="N400" s="4">
        <v>7</v>
      </c>
      <c r="O400" t="s">
        <v>29</v>
      </c>
      <c r="P400" t="s">
        <v>36</v>
      </c>
      <c r="Q400" s="4">
        <v>150479</v>
      </c>
      <c r="R400" s="4">
        <v>98549</v>
      </c>
      <c r="S400" s="4">
        <f>Table1[[#This Row],[Service_Revenue]]-Table1[[#This Row],[Service_Cost]]</f>
        <v>51930</v>
      </c>
      <c r="T400" s="4">
        <v>1</v>
      </c>
      <c r="U400" s="4">
        <f>IF(AND(Table1[[#This Row],[Rework_Flag]]="Yes",Table1[[#This Row],[Warranty_Claim]]="No"),Table1[[#This Row],[Service_Revenue]],0)</f>
        <v>150479</v>
      </c>
      <c r="V400" s="4">
        <f>IF(Table1[[#This Row],[Warranty_Claim]]="Yes",1,0)</f>
        <v>0</v>
      </c>
      <c r="W400" s="4">
        <f>IF(Table1[[#This Row],[Rework_Flag]]="No",1,0)</f>
        <v>0</v>
      </c>
      <c r="X400" s="4">
        <f>IF(Table1[[#This Row],[Rework_Flag]]="Yes",1,0)</f>
        <v>1</v>
      </c>
      <c r="Y400" s="4">
        <v>1</v>
      </c>
      <c r="Z400" s="4" t="str">
        <f>IF(Table1[[#This Row],[TAT_Days]]&gt;Table1[[#This Row],[SLA_TAT]],"Yes","No")</f>
        <v>Yes</v>
      </c>
      <c r="AA400" s="4" t="str" cm="1">
        <f t="array" ref="AA400">_xlfn.IFS(Table1[[#This Row],[Customer_Satisfaction]]&lt;=2,"Poor",Table1[[#This Row],[Customer_Satisfaction]]=3,"Neutral",Table1[[#This Row],[Customer_Satisfaction]]=4,"Good",Table1[[#This Row],[Customer_Satisfaction]]=5,"Good")</f>
        <v>Poor</v>
      </c>
    </row>
    <row r="401" spans="1:27" x14ac:dyDescent="0.35">
      <c r="A401">
        <v>20399</v>
      </c>
      <c r="B401" s="1">
        <v>45371</v>
      </c>
      <c r="C401" t="s">
        <v>19</v>
      </c>
      <c r="D401" t="s">
        <v>20</v>
      </c>
      <c r="E401" t="s">
        <v>117</v>
      </c>
      <c r="F401" t="s">
        <v>40</v>
      </c>
      <c r="G401" t="s">
        <v>23</v>
      </c>
      <c r="H401" t="s">
        <v>24</v>
      </c>
      <c r="I401" t="s">
        <v>55</v>
      </c>
      <c r="J401" t="s">
        <v>43</v>
      </c>
      <c r="K401" t="s">
        <v>61</v>
      </c>
      <c r="L401" t="s">
        <v>49</v>
      </c>
      <c r="M401" s="4">
        <v>17</v>
      </c>
      <c r="N401" s="4">
        <v>7</v>
      </c>
      <c r="O401" t="s">
        <v>29</v>
      </c>
      <c r="P401" t="s">
        <v>36</v>
      </c>
      <c r="Q401" s="4">
        <v>530942</v>
      </c>
      <c r="R401" s="4">
        <v>325974</v>
      </c>
      <c r="S401" s="4">
        <f>Table1[[#This Row],[Service_Revenue]]-Table1[[#This Row],[Service_Cost]]</f>
        <v>204968</v>
      </c>
      <c r="T401" s="4">
        <v>1</v>
      </c>
      <c r="U401" s="4">
        <f>IF(AND(Table1[[#This Row],[Rework_Flag]]="Yes",Table1[[#This Row],[Warranty_Claim]]="No"),Table1[[#This Row],[Service_Revenue]],0)</f>
        <v>530942</v>
      </c>
      <c r="V401" s="4">
        <f>IF(Table1[[#This Row],[Warranty_Claim]]="Yes",1,0)</f>
        <v>0</v>
      </c>
      <c r="W401" s="4">
        <f>IF(Table1[[#This Row],[Rework_Flag]]="No",1,0)</f>
        <v>0</v>
      </c>
      <c r="X401" s="4">
        <f>IF(Table1[[#This Row],[Rework_Flag]]="Yes",1,0)</f>
        <v>1</v>
      </c>
      <c r="Y401" s="4">
        <v>1</v>
      </c>
      <c r="Z401" s="4" t="str">
        <f>IF(Table1[[#This Row],[TAT_Days]]&gt;Table1[[#This Row],[SLA_TAT]],"Yes","No")</f>
        <v>Yes</v>
      </c>
      <c r="AA401" s="4" t="str" cm="1">
        <f t="array" ref="AA401">_xlfn.IFS(Table1[[#This Row],[Customer_Satisfaction]]&lt;=2,"Poor",Table1[[#This Row],[Customer_Satisfaction]]=3,"Neutral",Table1[[#This Row],[Customer_Satisfaction]]=4,"Good",Table1[[#This Row],[Customer_Satisfaction]]=5,"Good")</f>
        <v>Poor</v>
      </c>
    </row>
    <row r="402" spans="1:27" x14ac:dyDescent="0.35">
      <c r="A402">
        <v>20400</v>
      </c>
      <c r="B402" s="1">
        <v>45436</v>
      </c>
      <c r="C402" t="s">
        <v>50</v>
      </c>
      <c r="D402" t="s">
        <v>51</v>
      </c>
      <c r="E402" t="s">
        <v>113</v>
      </c>
      <c r="F402" t="s">
        <v>53</v>
      </c>
      <c r="G402" t="s">
        <v>41</v>
      </c>
      <c r="H402" t="s">
        <v>42</v>
      </c>
      <c r="I402" t="s">
        <v>55</v>
      </c>
      <c r="J402" t="s">
        <v>67</v>
      </c>
      <c r="K402" t="s">
        <v>44</v>
      </c>
      <c r="L402" t="s">
        <v>49</v>
      </c>
      <c r="M402" s="4">
        <v>19</v>
      </c>
      <c r="N402" s="4">
        <v>7</v>
      </c>
      <c r="O402" t="s">
        <v>29</v>
      </c>
      <c r="P402" t="s">
        <v>36</v>
      </c>
      <c r="Q402" s="4">
        <v>258391</v>
      </c>
      <c r="R402" s="4">
        <v>165798</v>
      </c>
      <c r="S402" s="4">
        <f>Table1[[#This Row],[Service_Revenue]]-Table1[[#This Row],[Service_Cost]]</f>
        <v>92593</v>
      </c>
      <c r="T402" s="4">
        <v>1</v>
      </c>
      <c r="U402" s="4">
        <f>IF(AND(Table1[[#This Row],[Rework_Flag]]="Yes",Table1[[#This Row],[Warranty_Claim]]="No"),Table1[[#This Row],[Service_Revenue]],0)</f>
        <v>258391</v>
      </c>
      <c r="V402" s="4">
        <f>IF(Table1[[#This Row],[Warranty_Claim]]="Yes",1,0)</f>
        <v>0</v>
      </c>
      <c r="W402" s="4">
        <f>IF(Table1[[#This Row],[Rework_Flag]]="No",1,0)</f>
        <v>0</v>
      </c>
      <c r="X402" s="4">
        <f>IF(Table1[[#This Row],[Rework_Flag]]="Yes",1,0)</f>
        <v>1</v>
      </c>
      <c r="Y402" s="4">
        <v>1</v>
      </c>
      <c r="Z402" s="4" t="str">
        <f>IF(Table1[[#This Row],[TAT_Days]]&gt;Table1[[#This Row],[SLA_TAT]],"Yes","No")</f>
        <v>Yes</v>
      </c>
      <c r="AA402" s="4" t="str" cm="1">
        <f t="array" ref="AA402">_xlfn.IFS(Table1[[#This Row],[Customer_Satisfaction]]&lt;=2,"Poor",Table1[[#This Row],[Customer_Satisfaction]]=3,"Neutral",Table1[[#This Row],[Customer_Satisfaction]]=4,"Good",Table1[[#This Row],[Customer_Satisfaction]]=5,"Good")</f>
        <v>Poor</v>
      </c>
    </row>
    <row r="403" spans="1:27" x14ac:dyDescent="0.35">
      <c r="A403">
        <v>20401</v>
      </c>
      <c r="B403" s="1">
        <v>45379</v>
      </c>
      <c r="C403" t="s">
        <v>19</v>
      </c>
      <c r="D403" t="s">
        <v>45</v>
      </c>
      <c r="E403" t="s">
        <v>114</v>
      </c>
      <c r="F403" t="s">
        <v>53</v>
      </c>
      <c r="G403" t="s">
        <v>41</v>
      </c>
      <c r="H403" t="s">
        <v>42</v>
      </c>
      <c r="I403" t="s">
        <v>25</v>
      </c>
      <c r="J403" t="s">
        <v>67</v>
      </c>
      <c r="K403" t="s">
        <v>27</v>
      </c>
      <c r="L403" t="s">
        <v>49</v>
      </c>
      <c r="M403" s="4">
        <v>20</v>
      </c>
      <c r="N403" s="4">
        <v>7</v>
      </c>
      <c r="O403" t="s">
        <v>29</v>
      </c>
      <c r="P403" t="s">
        <v>36</v>
      </c>
      <c r="Q403" s="4">
        <v>187966</v>
      </c>
      <c r="R403" s="4">
        <v>114306</v>
      </c>
      <c r="S403" s="4">
        <f>Table1[[#This Row],[Service_Revenue]]-Table1[[#This Row],[Service_Cost]]</f>
        <v>73660</v>
      </c>
      <c r="T403" s="4">
        <v>1</v>
      </c>
      <c r="U403" s="4">
        <f>IF(AND(Table1[[#This Row],[Rework_Flag]]="Yes",Table1[[#This Row],[Warranty_Claim]]="No"),Table1[[#This Row],[Service_Revenue]],0)</f>
        <v>187966</v>
      </c>
      <c r="V403" s="4">
        <f>IF(Table1[[#This Row],[Warranty_Claim]]="Yes",1,0)</f>
        <v>0</v>
      </c>
      <c r="W403" s="4">
        <f>IF(Table1[[#This Row],[Rework_Flag]]="No",1,0)</f>
        <v>0</v>
      </c>
      <c r="X403" s="4">
        <f>IF(Table1[[#This Row],[Rework_Flag]]="Yes",1,0)</f>
        <v>1</v>
      </c>
      <c r="Y403" s="4">
        <v>1</v>
      </c>
      <c r="Z403" s="4" t="str">
        <f>IF(Table1[[#This Row],[TAT_Days]]&gt;Table1[[#This Row],[SLA_TAT]],"Yes","No")</f>
        <v>Yes</v>
      </c>
      <c r="AA403" s="4" t="str" cm="1">
        <f t="array" ref="AA403">_xlfn.IFS(Table1[[#This Row],[Customer_Satisfaction]]&lt;=2,"Poor",Table1[[#This Row],[Customer_Satisfaction]]=3,"Neutral",Table1[[#This Row],[Customer_Satisfaction]]=4,"Good",Table1[[#This Row],[Customer_Satisfaction]]=5,"Good")</f>
        <v>Poor</v>
      </c>
    </row>
    <row r="404" spans="1:27" x14ac:dyDescent="0.35">
      <c r="A404">
        <v>20402</v>
      </c>
      <c r="B404" s="1">
        <v>45388</v>
      </c>
      <c r="C404" t="s">
        <v>37</v>
      </c>
      <c r="D404" t="s">
        <v>70</v>
      </c>
      <c r="E404" t="s">
        <v>82</v>
      </c>
      <c r="F404" t="s">
        <v>40</v>
      </c>
      <c r="G404" t="s">
        <v>63</v>
      </c>
      <c r="H404" t="s">
        <v>24</v>
      </c>
      <c r="I404" t="s">
        <v>55</v>
      </c>
      <c r="J404" t="s">
        <v>35</v>
      </c>
      <c r="K404" t="s">
        <v>27</v>
      </c>
      <c r="L404" t="s">
        <v>49</v>
      </c>
      <c r="M404" s="4">
        <v>15</v>
      </c>
      <c r="N404" s="4">
        <v>7</v>
      </c>
      <c r="O404" t="s">
        <v>29</v>
      </c>
      <c r="P404" t="s">
        <v>36</v>
      </c>
      <c r="Q404" s="4">
        <v>284391</v>
      </c>
      <c r="R404" s="4">
        <v>237838</v>
      </c>
      <c r="S404" s="4">
        <f>Table1[[#This Row],[Service_Revenue]]-Table1[[#This Row],[Service_Cost]]</f>
        <v>46553</v>
      </c>
      <c r="T404" s="4">
        <v>1</v>
      </c>
      <c r="U404" s="4">
        <f>IF(AND(Table1[[#This Row],[Rework_Flag]]="Yes",Table1[[#This Row],[Warranty_Claim]]="No"),Table1[[#This Row],[Service_Revenue]],0)</f>
        <v>284391</v>
      </c>
      <c r="V404" s="4">
        <f>IF(Table1[[#This Row],[Warranty_Claim]]="Yes",1,0)</f>
        <v>0</v>
      </c>
      <c r="W404" s="4">
        <f>IF(Table1[[#This Row],[Rework_Flag]]="No",1,0)</f>
        <v>0</v>
      </c>
      <c r="X404" s="4">
        <f>IF(Table1[[#This Row],[Rework_Flag]]="Yes",1,0)</f>
        <v>1</v>
      </c>
      <c r="Y404" s="4">
        <v>1</v>
      </c>
      <c r="Z404" s="4" t="str">
        <f>IF(Table1[[#This Row],[TAT_Days]]&gt;Table1[[#This Row],[SLA_TAT]],"Yes","No")</f>
        <v>Yes</v>
      </c>
      <c r="AA404" s="4" t="str" cm="1">
        <f t="array" ref="AA404">_xlfn.IFS(Table1[[#This Row],[Customer_Satisfaction]]&lt;=2,"Poor",Table1[[#This Row],[Customer_Satisfaction]]=3,"Neutral",Table1[[#This Row],[Customer_Satisfaction]]=4,"Good",Table1[[#This Row],[Customer_Satisfaction]]=5,"Good")</f>
        <v>Poor</v>
      </c>
    </row>
    <row r="405" spans="1:27" x14ac:dyDescent="0.35">
      <c r="A405">
        <v>20403</v>
      </c>
      <c r="B405" s="1">
        <v>45325</v>
      </c>
      <c r="C405" t="s">
        <v>37</v>
      </c>
      <c r="D405" t="s">
        <v>38</v>
      </c>
      <c r="E405" t="s">
        <v>107</v>
      </c>
      <c r="F405" t="s">
        <v>40</v>
      </c>
      <c r="G405" t="s">
        <v>54</v>
      </c>
      <c r="H405" t="s">
        <v>42</v>
      </c>
      <c r="I405" t="s">
        <v>25</v>
      </c>
      <c r="J405" t="s">
        <v>43</v>
      </c>
      <c r="K405" t="s">
        <v>27</v>
      </c>
      <c r="L405" t="s">
        <v>49</v>
      </c>
      <c r="M405" s="4">
        <v>13</v>
      </c>
      <c r="N405" s="4">
        <v>7</v>
      </c>
      <c r="O405" t="s">
        <v>29</v>
      </c>
      <c r="P405" t="s">
        <v>36</v>
      </c>
      <c r="Q405" s="4">
        <v>547970</v>
      </c>
      <c r="R405" s="4">
        <v>324832</v>
      </c>
      <c r="S405" s="4">
        <f>Table1[[#This Row],[Service_Revenue]]-Table1[[#This Row],[Service_Cost]]</f>
        <v>223138</v>
      </c>
      <c r="T405" s="4">
        <v>2</v>
      </c>
      <c r="U405" s="4">
        <f>IF(AND(Table1[[#This Row],[Rework_Flag]]="Yes",Table1[[#This Row],[Warranty_Claim]]="No"),Table1[[#This Row],[Service_Revenue]],0)</f>
        <v>547970</v>
      </c>
      <c r="V405" s="4">
        <f>IF(Table1[[#This Row],[Warranty_Claim]]="Yes",1,0)</f>
        <v>0</v>
      </c>
      <c r="W405" s="4">
        <f>IF(Table1[[#This Row],[Rework_Flag]]="No",1,0)</f>
        <v>0</v>
      </c>
      <c r="X405" s="4">
        <f>IF(Table1[[#This Row],[Rework_Flag]]="Yes",1,0)</f>
        <v>1</v>
      </c>
      <c r="Y405" s="4">
        <v>1</v>
      </c>
      <c r="Z405" s="4" t="str">
        <f>IF(Table1[[#This Row],[TAT_Days]]&gt;Table1[[#This Row],[SLA_TAT]],"Yes","No")</f>
        <v>Yes</v>
      </c>
      <c r="AA405" s="4" t="str" cm="1">
        <f t="array" ref="AA405">_xlfn.IFS(Table1[[#This Row],[Customer_Satisfaction]]&lt;=2,"Poor",Table1[[#This Row],[Customer_Satisfaction]]=3,"Neutral",Table1[[#This Row],[Customer_Satisfaction]]=4,"Good",Table1[[#This Row],[Customer_Satisfaction]]=5,"Good")</f>
        <v>Poor</v>
      </c>
    </row>
    <row r="406" spans="1:27" x14ac:dyDescent="0.35">
      <c r="A406">
        <v>20404</v>
      </c>
      <c r="B406" s="1">
        <v>45416</v>
      </c>
      <c r="C406" t="s">
        <v>30</v>
      </c>
      <c r="D406" t="s">
        <v>59</v>
      </c>
      <c r="E406" t="s">
        <v>69</v>
      </c>
      <c r="F406" t="s">
        <v>40</v>
      </c>
      <c r="G406" t="s">
        <v>33</v>
      </c>
      <c r="H406" t="s">
        <v>34</v>
      </c>
      <c r="I406" t="s">
        <v>25</v>
      </c>
      <c r="J406" t="s">
        <v>58</v>
      </c>
      <c r="K406" t="s">
        <v>27</v>
      </c>
      <c r="L406" t="s">
        <v>49</v>
      </c>
      <c r="M406" s="4">
        <v>21</v>
      </c>
      <c r="N406" s="4">
        <v>7</v>
      </c>
      <c r="O406" t="s">
        <v>29</v>
      </c>
      <c r="P406" t="s">
        <v>29</v>
      </c>
      <c r="Q406" s="4">
        <v>282486</v>
      </c>
      <c r="R406" s="4">
        <v>183478</v>
      </c>
      <c r="S406" s="4">
        <f>Table1[[#This Row],[Service_Revenue]]-Table1[[#This Row],[Service_Cost]]</f>
        <v>99008</v>
      </c>
      <c r="T406" s="4">
        <v>1</v>
      </c>
      <c r="U406" s="4">
        <f>IF(AND(Table1[[#This Row],[Rework_Flag]]="Yes",Table1[[#This Row],[Warranty_Claim]]="No"),Table1[[#This Row],[Service_Revenue]],0)</f>
        <v>0</v>
      </c>
      <c r="V406" s="4">
        <f>IF(Table1[[#This Row],[Warranty_Claim]]="Yes",1,0)</f>
        <v>1</v>
      </c>
      <c r="W406" s="4">
        <f>IF(Table1[[#This Row],[Rework_Flag]]="No",1,0)</f>
        <v>0</v>
      </c>
      <c r="X406" s="4">
        <f>IF(Table1[[#This Row],[Rework_Flag]]="Yes",1,0)</f>
        <v>1</v>
      </c>
      <c r="Y406" s="4">
        <v>1</v>
      </c>
      <c r="Z406" s="4" t="str">
        <f>IF(Table1[[#This Row],[TAT_Days]]&gt;Table1[[#This Row],[SLA_TAT]],"Yes","No")</f>
        <v>Yes</v>
      </c>
      <c r="AA406" s="4" t="str" cm="1">
        <f t="array" ref="AA406">_xlfn.IFS(Table1[[#This Row],[Customer_Satisfaction]]&lt;=2,"Poor",Table1[[#This Row],[Customer_Satisfaction]]=3,"Neutral",Table1[[#This Row],[Customer_Satisfaction]]=4,"Good",Table1[[#This Row],[Customer_Satisfaction]]=5,"Good")</f>
        <v>Poor</v>
      </c>
    </row>
    <row r="407" spans="1:27" x14ac:dyDescent="0.35">
      <c r="A407">
        <v>20405</v>
      </c>
      <c r="B407" s="1">
        <v>45374</v>
      </c>
      <c r="C407" t="s">
        <v>30</v>
      </c>
      <c r="D407" t="s">
        <v>83</v>
      </c>
      <c r="E407" t="s">
        <v>90</v>
      </c>
      <c r="F407" t="s">
        <v>40</v>
      </c>
      <c r="G407" t="s">
        <v>54</v>
      </c>
      <c r="H407" t="s">
        <v>42</v>
      </c>
      <c r="I407" t="s">
        <v>25</v>
      </c>
      <c r="J407" t="s">
        <v>26</v>
      </c>
      <c r="K407" t="s">
        <v>61</v>
      </c>
      <c r="L407" t="s">
        <v>28</v>
      </c>
      <c r="M407" s="4">
        <v>11</v>
      </c>
      <c r="N407" s="4">
        <v>7</v>
      </c>
      <c r="O407" t="s">
        <v>29</v>
      </c>
      <c r="P407" t="s">
        <v>36</v>
      </c>
      <c r="Q407" s="4">
        <v>372188</v>
      </c>
      <c r="R407" s="4">
        <v>273679</v>
      </c>
      <c r="S407" s="4">
        <f>Table1[[#This Row],[Service_Revenue]]-Table1[[#This Row],[Service_Cost]]</f>
        <v>98509</v>
      </c>
      <c r="T407" s="4">
        <v>2</v>
      </c>
      <c r="U407" s="4">
        <f>IF(AND(Table1[[#This Row],[Rework_Flag]]="Yes",Table1[[#This Row],[Warranty_Claim]]="No"),Table1[[#This Row],[Service_Revenue]],0)</f>
        <v>372188</v>
      </c>
      <c r="V407" s="4">
        <f>IF(Table1[[#This Row],[Warranty_Claim]]="Yes",1,0)</f>
        <v>0</v>
      </c>
      <c r="W407" s="4">
        <f>IF(Table1[[#This Row],[Rework_Flag]]="No",1,0)</f>
        <v>0</v>
      </c>
      <c r="X407" s="4">
        <f>IF(Table1[[#This Row],[Rework_Flag]]="Yes",1,0)</f>
        <v>1</v>
      </c>
      <c r="Y407" s="4">
        <v>1</v>
      </c>
      <c r="Z407" s="4" t="str">
        <f>IF(Table1[[#This Row],[TAT_Days]]&gt;Table1[[#This Row],[SLA_TAT]],"Yes","No")</f>
        <v>Yes</v>
      </c>
      <c r="AA407" s="4" t="str" cm="1">
        <f t="array" ref="AA407">_xlfn.IFS(Table1[[#This Row],[Customer_Satisfaction]]&lt;=2,"Poor",Table1[[#This Row],[Customer_Satisfaction]]=3,"Neutral",Table1[[#This Row],[Customer_Satisfaction]]=4,"Good",Table1[[#This Row],[Customer_Satisfaction]]=5,"Good")</f>
        <v>Poor</v>
      </c>
    </row>
    <row r="408" spans="1:27" x14ac:dyDescent="0.35">
      <c r="A408">
        <v>20406</v>
      </c>
      <c r="B408" s="1">
        <v>45309</v>
      </c>
      <c r="C408" t="s">
        <v>30</v>
      </c>
      <c r="D408" t="s">
        <v>31</v>
      </c>
      <c r="E408" t="s">
        <v>79</v>
      </c>
      <c r="F408" t="s">
        <v>53</v>
      </c>
      <c r="G408" t="s">
        <v>23</v>
      </c>
      <c r="H408" t="s">
        <v>24</v>
      </c>
      <c r="I408" t="s">
        <v>25</v>
      </c>
      <c r="J408" t="s">
        <v>26</v>
      </c>
      <c r="K408" t="s">
        <v>27</v>
      </c>
      <c r="L408" t="s">
        <v>28</v>
      </c>
      <c r="M408" s="4">
        <v>8</v>
      </c>
      <c r="N408" s="4">
        <v>7</v>
      </c>
      <c r="O408" t="s">
        <v>29</v>
      </c>
      <c r="P408" t="s">
        <v>36</v>
      </c>
      <c r="Q408" s="4">
        <v>235140</v>
      </c>
      <c r="R408" s="4">
        <v>155536</v>
      </c>
      <c r="S408" s="4">
        <f>Table1[[#This Row],[Service_Revenue]]-Table1[[#This Row],[Service_Cost]]</f>
        <v>79604</v>
      </c>
      <c r="T408" s="4">
        <v>3</v>
      </c>
      <c r="U408" s="4">
        <f>IF(AND(Table1[[#This Row],[Rework_Flag]]="Yes",Table1[[#This Row],[Warranty_Claim]]="No"),Table1[[#This Row],[Service_Revenue]],0)</f>
        <v>235140</v>
      </c>
      <c r="V408" s="4">
        <f>IF(Table1[[#This Row],[Warranty_Claim]]="Yes",1,0)</f>
        <v>0</v>
      </c>
      <c r="W408" s="4">
        <f>IF(Table1[[#This Row],[Rework_Flag]]="No",1,0)</f>
        <v>0</v>
      </c>
      <c r="X408" s="4">
        <f>IF(Table1[[#This Row],[Rework_Flag]]="Yes",1,0)</f>
        <v>1</v>
      </c>
      <c r="Y408" s="4">
        <v>1</v>
      </c>
      <c r="Z408" s="4" t="str">
        <f>IF(Table1[[#This Row],[TAT_Days]]&gt;Table1[[#This Row],[SLA_TAT]],"Yes","No")</f>
        <v>Yes</v>
      </c>
      <c r="AA408" s="4" t="str" cm="1">
        <f t="array" ref="AA408">_xlfn.IFS(Table1[[#This Row],[Customer_Satisfaction]]&lt;=2,"Poor",Table1[[#This Row],[Customer_Satisfaction]]=3,"Neutral",Table1[[#This Row],[Customer_Satisfaction]]=4,"Good",Table1[[#This Row],[Customer_Satisfaction]]=5,"Good")</f>
        <v>Neutral</v>
      </c>
    </row>
    <row r="409" spans="1:27" x14ac:dyDescent="0.35">
      <c r="A409">
        <v>20407</v>
      </c>
      <c r="B409" s="1">
        <v>45356</v>
      </c>
      <c r="C409" t="s">
        <v>37</v>
      </c>
      <c r="D409" t="s">
        <v>64</v>
      </c>
      <c r="E409" t="s">
        <v>103</v>
      </c>
      <c r="F409" t="s">
        <v>53</v>
      </c>
      <c r="G409" t="s">
        <v>47</v>
      </c>
      <c r="H409" t="s">
        <v>48</v>
      </c>
      <c r="I409" t="s">
        <v>25</v>
      </c>
      <c r="J409" t="s">
        <v>26</v>
      </c>
      <c r="K409" t="s">
        <v>44</v>
      </c>
      <c r="L409" t="s">
        <v>49</v>
      </c>
      <c r="M409" s="4">
        <v>18</v>
      </c>
      <c r="N409" s="4">
        <v>7</v>
      </c>
      <c r="O409" t="s">
        <v>36</v>
      </c>
      <c r="P409" t="s">
        <v>29</v>
      </c>
      <c r="Q409" s="4">
        <v>196991</v>
      </c>
      <c r="R409" s="4">
        <v>103832</v>
      </c>
      <c r="S409" s="4">
        <f>Table1[[#This Row],[Service_Revenue]]-Table1[[#This Row],[Service_Cost]]</f>
        <v>93159</v>
      </c>
      <c r="T409" s="4">
        <v>2</v>
      </c>
      <c r="U409" s="4">
        <f>IF(AND(Table1[[#This Row],[Rework_Flag]]="Yes",Table1[[#This Row],[Warranty_Claim]]="No"),Table1[[#This Row],[Service_Revenue]],0)</f>
        <v>0</v>
      </c>
      <c r="V409" s="4">
        <f>IF(Table1[[#This Row],[Warranty_Claim]]="Yes",1,0)</f>
        <v>1</v>
      </c>
      <c r="W409" s="4">
        <f>IF(Table1[[#This Row],[Rework_Flag]]="No",1,0)</f>
        <v>1</v>
      </c>
      <c r="X409" s="4">
        <f>IF(Table1[[#This Row],[Rework_Flag]]="Yes",1,0)</f>
        <v>0</v>
      </c>
      <c r="Y409" s="4">
        <v>1</v>
      </c>
      <c r="Z409" s="4" t="str">
        <f>IF(Table1[[#This Row],[TAT_Days]]&gt;Table1[[#This Row],[SLA_TAT]],"Yes","No")</f>
        <v>Yes</v>
      </c>
      <c r="AA409" s="4" t="str" cm="1">
        <f t="array" ref="AA409">_xlfn.IFS(Table1[[#This Row],[Customer_Satisfaction]]&lt;=2,"Poor",Table1[[#This Row],[Customer_Satisfaction]]=3,"Neutral",Table1[[#This Row],[Customer_Satisfaction]]=4,"Good",Table1[[#This Row],[Customer_Satisfaction]]=5,"Good")</f>
        <v>Poor</v>
      </c>
    </row>
    <row r="410" spans="1:27" x14ac:dyDescent="0.35">
      <c r="A410">
        <v>20408</v>
      </c>
      <c r="B410" s="1">
        <v>45297</v>
      </c>
      <c r="C410" t="s">
        <v>50</v>
      </c>
      <c r="D410" t="s">
        <v>80</v>
      </c>
      <c r="E410" t="s">
        <v>85</v>
      </c>
      <c r="F410" t="s">
        <v>53</v>
      </c>
      <c r="G410" t="s">
        <v>41</v>
      </c>
      <c r="H410" t="s">
        <v>42</v>
      </c>
      <c r="I410" t="s">
        <v>55</v>
      </c>
      <c r="J410" t="s">
        <v>26</v>
      </c>
      <c r="K410" t="s">
        <v>44</v>
      </c>
      <c r="L410" t="s">
        <v>28</v>
      </c>
      <c r="M410" s="4">
        <v>5</v>
      </c>
      <c r="N410" s="4">
        <v>7</v>
      </c>
      <c r="O410" t="s">
        <v>29</v>
      </c>
      <c r="P410" t="s">
        <v>36</v>
      </c>
      <c r="Q410" s="4">
        <v>90736</v>
      </c>
      <c r="R410" s="4">
        <v>72470</v>
      </c>
      <c r="S410" s="4">
        <f>Table1[[#This Row],[Service_Revenue]]-Table1[[#This Row],[Service_Cost]]</f>
        <v>18266</v>
      </c>
      <c r="T410" s="4">
        <v>3</v>
      </c>
      <c r="U410" s="4">
        <f>IF(AND(Table1[[#This Row],[Rework_Flag]]="Yes",Table1[[#This Row],[Warranty_Claim]]="No"),Table1[[#This Row],[Service_Revenue]],0)</f>
        <v>90736</v>
      </c>
      <c r="V410" s="4">
        <f>IF(Table1[[#This Row],[Warranty_Claim]]="Yes",1,0)</f>
        <v>0</v>
      </c>
      <c r="W410" s="4">
        <f>IF(Table1[[#This Row],[Rework_Flag]]="No",1,0)</f>
        <v>0</v>
      </c>
      <c r="X410" s="4">
        <f>IF(Table1[[#This Row],[Rework_Flag]]="Yes",1,0)</f>
        <v>1</v>
      </c>
      <c r="Y410" s="4">
        <v>1</v>
      </c>
      <c r="Z410" s="4" t="str">
        <f>IF(Table1[[#This Row],[TAT_Days]]&gt;Table1[[#This Row],[SLA_TAT]],"Yes","No")</f>
        <v>No</v>
      </c>
      <c r="AA410" s="4" t="str" cm="1">
        <f t="array" ref="AA410">_xlfn.IFS(Table1[[#This Row],[Customer_Satisfaction]]&lt;=2,"Poor",Table1[[#This Row],[Customer_Satisfaction]]=3,"Neutral",Table1[[#This Row],[Customer_Satisfaction]]=4,"Good",Table1[[#This Row],[Customer_Satisfaction]]=5,"Good")</f>
        <v>Neutral</v>
      </c>
    </row>
    <row r="411" spans="1:27" x14ac:dyDescent="0.35">
      <c r="A411">
        <v>20409</v>
      </c>
      <c r="B411" s="1">
        <v>45394</v>
      </c>
      <c r="C411" t="s">
        <v>19</v>
      </c>
      <c r="D411" t="s">
        <v>45</v>
      </c>
      <c r="E411" t="s">
        <v>111</v>
      </c>
      <c r="F411" t="s">
        <v>22</v>
      </c>
      <c r="G411" t="s">
        <v>63</v>
      </c>
      <c r="H411" t="s">
        <v>24</v>
      </c>
      <c r="I411" t="s">
        <v>25</v>
      </c>
      <c r="J411" t="s">
        <v>35</v>
      </c>
      <c r="K411" t="s">
        <v>27</v>
      </c>
      <c r="L411" t="s">
        <v>28</v>
      </c>
      <c r="M411" s="4">
        <v>9</v>
      </c>
      <c r="N411" s="4">
        <v>7</v>
      </c>
      <c r="O411" t="s">
        <v>36</v>
      </c>
      <c r="P411" t="s">
        <v>36</v>
      </c>
      <c r="Q411" s="4">
        <v>400334</v>
      </c>
      <c r="R411" s="4">
        <v>240508</v>
      </c>
      <c r="S411" s="4">
        <f>Table1[[#This Row],[Service_Revenue]]-Table1[[#This Row],[Service_Cost]]</f>
        <v>159826</v>
      </c>
      <c r="T411" s="4">
        <v>4</v>
      </c>
      <c r="U411" s="4">
        <f>IF(AND(Table1[[#This Row],[Rework_Flag]]="Yes",Table1[[#This Row],[Warranty_Claim]]="No"),Table1[[#This Row],[Service_Revenue]],0)</f>
        <v>0</v>
      </c>
      <c r="V411" s="4">
        <f>IF(Table1[[#This Row],[Warranty_Claim]]="Yes",1,0)</f>
        <v>0</v>
      </c>
      <c r="W411" s="4">
        <f>IF(Table1[[#This Row],[Rework_Flag]]="No",1,0)</f>
        <v>1</v>
      </c>
      <c r="X411" s="4">
        <f>IF(Table1[[#This Row],[Rework_Flag]]="Yes",1,0)</f>
        <v>0</v>
      </c>
      <c r="Y411" s="4">
        <v>1</v>
      </c>
      <c r="Z411" s="4" t="str">
        <f>IF(Table1[[#This Row],[TAT_Days]]&gt;Table1[[#This Row],[SLA_TAT]],"Yes","No")</f>
        <v>Yes</v>
      </c>
      <c r="AA411" s="4" t="str" cm="1">
        <f t="array" ref="AA411">_xlfn.IFS(Table1[[#This Row],[Customer_Satisfaction]]&lt;=2,"Poor",Table1[[#This Row],[Customer_Satisfaction]]=3,"Neutral",Table1[[#This Row],[Customer_Satisfaction]]=4,"Good",Table1[[#This Row],[Customer_Satisfaction]]=5,"Good")</f>
        <v>Good</v>
      </c>
    </row>
    <row r="412" spans="1:27" x14ac:dyDescent="0.35">
      <c r="A412">
        <v>20410</v>
      </c>
      <c r="B412" s="1">
        <v>45407</v>
      </c>
      <c r="C412" t="s">
        <v>30</v>
      </c>
      <c r="D412" t="s">
        <v>31</v>
      </c>
      <c r="E412" t="s">
        <v>62</v>
      </c>
      <c r="F412" t="s">
        <v>40</v>
      </c>
      <c r="G412" t="s">
        <v>47</v>
      </c>
      <c r="H412" t="s">
        <v>48</v>
      </c>
      <c r="I412" t="s">
        <v>25</v>
      </c>
      <c r="J412" t="s">
        <v>43</v>
      </c>
      <c r="K412" t="s">
        <v>44</v>
      </c>
      <c r="L412" t="s">
        <v>28</v>
      </c>
      <c r="M412" s="4">
        <v>19</v>
      </c>
      <c r="N412" s="4">
        <v>7</v>
      </c>
      <c r="O412" t="s">
        <v>36</v>
      </c>
      <c r="P412" t="s">
        <v>36</v>
      </c>
      <c r="Q412" s="4">
        <v>558497</v>
      </c>
      <c r="R412" s="4">
        <v>463178</v>
      </c>
      <c r="S412" s="4">
        <f>Table1[[#This Row],[Service_Revenue]]-Table1[[#This Row],[Service_Cost]]</f>
        <v>95319</v>
      </c>
      <c r="T412" s="4">
        <v>2</v>
      </c>
      <c r="U412" s="4">
        <f>IF(AND(Table1[[#This Row],[Rework_Flag]]="Yes",Table1[[#This Row],[Warranty_Claim]]="No"),Table1[[#This Row],[Service_Revenue]],0)</f>
        <v>0</v>
      </c>
      <c r="V412" s="4">
        <f>IF(Table1[[#This Row],[Warranty_Claim]]="Yes",1,0)</f>
        <v>0</v>
      </c>
      <c r="W412" s="4">
        <f>IF(Table1[[#This Row],[Rework_Flag]]="No",1,0)</f>
        <v>1</v>
      </c>
      <c r="X412" s="4">
        <f>IF(Table1[[#This Row],[Rework_Flag]]="Yes",1,0)</f>
        <v>0</v>
      </c>
      <c r="Y412" s="4">
        <v>1</v>
      </c>
      <c r="Z412" s="4" t="str">
        <f>IF(Table1[[#This Row],[TAT_Days]]&gt;Table1[[#This Row],[SLA_TAT]],"Yes","No")</f>
        <v>Yes</v>
      </c>
      <c r="AA412" s="4" t="str" cm="1">
        <f t="array" ref="AA412">_xlfn.IFS(Table1[[#This Row],[Customer_Satisfaction]]&lt;=2,"Poor",Table1[[#This Row],[Customer_Satisfaction]]=3,"Neutral",Table1[[#This Row],[Customer_Satisfaction]]=4,"Good",Table1[[#This Row],[Customer_Satisfaction]]=5,"Good")</f>
        <v>Poor</v>
      </c>
    </row>
    <row r="413" spans="1:27" x14ac:dyDescent="0.35">
      <c r="A413">
        <v>20411</v>
      </c>
      <c r="B413" s="1">
        <v>45446</v>
      </c>
      <c r="C413" t="s">
        <v>30</v>
      </c>
      <c r="D413" t="s">
        <v>31</v>
      </c>
      <c r="E413" t="s">
        <v>79</v>
      </c>
      <c r="F413" t="s">
        <v>40</v>
      </c>
      <c r="G413" t="s">
        <v>41</v>
      </c>
      <c r="H413" t="s">
        <v>42</v>
      </c>
      <c r="I413" t="s">
        <v>55</v>
      </c>
      <c r="J413" t="s">
        <v>26</v>
      </c>
      <c r="K413" t="s">
        <v>61</v>
      </c>
      <c r="L413" t="s">
        <v>49</v>
      </c>
      <c r="M413" s="4">
        <v>8</v>
      </c>
      <c r="N413" s="4">
        <v>7</v>
      </c>
      <c r="O413" t="s">
        <v>29</v>
      </c>
      <c r="P413" t="s">
        <v>29</v>
      </c>
      <c r="Q413" s="4">
        <v>470325</v>
      </c>
      <c r="R413" s="4">
        <v>357812</v>
      </c>
      <c r="S413" s="4">
        <f>Table1[[#This Row],[Service_Revenue]]-Table1[[#This Row],[Service_Cost]]</f>
        <v>112513</v>
      </c>
      <c r="T413" s="4">
        <v>3</v>
      </c>
      <c r="U413" s="4">
        <f>IF(AND(Table1[[#This Row],[Rework_Flag]]="Yes",Table1[[#This Row],[Warranty_Claim]]="No"),Table1[[#This Row],[Service_Revenue]],0)</f>
        <v>0</v>
      </c>
      <c r="V413" s="4">
        <f>IF(Table1[[#This Row],[Warranty_Claim]]="Yes",1,0)</f>
        <v>1</v>
      </c>
      <c r="W413" s="4">
        <f>IF(Table1[[#This Row],[Rework_Flag]]="No",1,0)</f>
        <v>0</v>
      </c>
      <c r="X413" s="4">
        <f>IF(Table1[[#This Row],[Rework_Flag]]="Yes",1,0)</f>
        <v>1</v>
      </c>
      <c r="Y413" s="4">
        <v>1</v>
      </c>
      <c r="Z413" s="4" t="str">
        <f>IF(Table1[[#This Row],[TAT_Days]]&gt;Table1[[#This Row],[SLA_TAT]],"Yes","No")</f>
        <v>Yes</v>
      </c>
      <c r="AA413" s="4" t="str" cm="1">
        <f t="array" ref="AA413">_xlfn.IFS(Table1[[#This Row],[Customer_Satisfaction]]&lt;=2,"Poor",Table1[[#This Row],[Customer_Satisfaction]]=3,"Neutral",Table1[[#This Row],[Customer_Satisfaction]]=4,"Good",Table1[[#This Row],[Customer_Satisfaction]]=5,"Good")</f>
        <v>Neutral</v>
      </c>
    </row>
    <row r="414" spans="1:27" x14ac:dyDescent="0.35">
      <c r="A414">
        <v>20412</v>
      </c>
      <c r="B414" s="1">
        <v>45432</v>
      </c>
      <c r="C414" t="s">
        <v>37</v>
      </c>
      <c r="D414" t="s">
        <v>38</v>
      </c>
      <c r="E414" t="s">
        <v>112</v>
      </c>
      <c r="F414" t="s">
        <v>40</v>
      </c>
      <c r="G414" t="s">
        <v>47</v>
      </c>
      <c r="H414" t="s">
        <v>48</v>
      </c>
      <c r="I414" t="s">
        <v>55</v>
      </c>
      <c r="J414" t="s">
        <v>26</v>
      </c>
      <c r="K414" t="s">
        <v>61</v>
      </c>
      <c r="L414" t="s">
        <v>49</v>
      </c>
      <c r="M414" s="4">
        <v>15</v>
      </c>
      <c r="N414" s="4">
        <v>7</v>
      </c>
      <c r="O414" t="s">
        <v>29</v>
      </c>
      <c r="P414" t="s">
        <v>36</v>
      </c>
      <c r="Q414" s="4">
        <v>144637</v>
      </c>
      <c r="R414" s="4">
        <v>93460</v>
      </c>
      <c r="S414" s="4">
        <f>Table1[[#This Row],[Service_Revenue]]-Table1[[#This Row],[Service_Cost]]</f>
        <v>51177</v>
      </c>
      <c r="T414" s="4">
        <v>1</v>
      </c>
      <c r="U414" s="4">
        <f>IF(AND(Table1[[#This Row],[Rework_Flag]]="Yes",Table1[[#This Row],[Warranty_Claim]]="No"),Table1[[#This Row],[Service_Revenue]],0)</f>
        <v>144637</v>
      </c>
      <c r="V414" s="4">
        <f>IF(Table1[[#This Row],[Warranty_Claim]]="Yes",1,0)</f>
        <v>0</v>
      </c>
      <c r="W414" s="4">
        <f>IF(Table1[[#This Row],[Rework_Flag]]="No",1,0)</f>
        <v>0</v>
      </c>
      <c r="X414" s="4">
        <f>IF(Table1[[#This Row],[Rework_Flag]]="Yes",1,0)</f>
        <v>1</v>
      </c>
      <c r="Y414" s="4">
        <v>1</v>
      </c>
      <c r="Z414" s="4" t="str">
        <f>IF(Table1[[#This Row],[TAT_Days]]&gt;Table1[[#This Row],[SLA_TAT]],"Yes","No")</f>
        <v>Yes</v>
      </c>
      <c r="AA414" s="4" t="str" cm="1">
        <f t="array" ref="AA414">_xlfn.IFS(Table1[[#This Row],[Customer_Satisfaction]]&lt;=2,"Poor",Table1[[#This Row],[Customer_Satisfaction]]=3,"Neutral",Table1[[#This Row],[Customer_Satisfaction]]=4,"Good",Table1[[#This Row],[Customer_Satisfaction]]=5,"Good")</f>
        <v>Poor</v>
      </c>
    </row>
    <row r="415" spans="1:27" x14ac:dyDescent="0.35">
      <c r="A415">
        <v>20413</v>
      </c>
      <c r="B415" s="1">
        <v>45400</v>
      </c>
      <c r="C415" t="s">
        <v>30</v>
      </c>
      <c r="D415" t="s">
        <v>31</v>
      </c>
      <c r="E415" t="s">
        <v>62</v>
      </c>
      <c r="F415" t="s">
        <v>40</v>
      </c>
      <c r="G415" t="s">
        <v>54</v>
      </c>
      <c r="H415" t="s">
        <v>42</v>
      </c>
      <c r="I415" t="s">
        <v>25</v>
      </c>
      <c r="J415" t="s">
        <v>58</v>
      </c>
      <c r="K415" t="s">
        <v>44</v>
      </c>
      <c r="L415" t="s">
        <v>49</v>
      </c>
      <c r="M415" s="4">
        <v>18</v>
      </c>
      <c r="N415" s="4">
        <v>7</v>
      </c>
      <c r="O415" t="s">
        <v>36</v>
      </c>
      <c r="P415" t="s">
        <v>29</v>
      </c>
      <c r="Q415" s="4">
        <v>184904</v>
      </c>
      <c r="R415" s="4">
        <v>142291</v>
      </c>
      <c r="S415" s="4">
        <f>Table1[[#This Row],[Service_Revenue]]-Table1[[#This Row],[Service_Cost]]</f>
        <v>42613</v>
      </c>
      <c r="T415" s="4">
        <v>2</v>
      </c>
      <c r="U415" s="4">
        <f>IF(AND(Table1[[#This Row],[Rework_Flag]]="Yes",Table1[[#This Row],[Warranty_Claim]]="No"),Table1[[#This Row],[Service_Revenue]],0)</f>
        <v>0</v>
      </c>
      <c r="V415" s="4">
        <f>IF(Table1[[#This Row],[Warranty_Claim]]="Yes",1,0)</f>
        <v>1</v>
      </c>
      <c r="W415" s="4">
        <f>IF(Table1[[#This Row],[Rework_Flag]]="No",1,0)</f>
        <v>1</v>
      </c>
      <c r="X415" s="4">
        <f>IF(Table1[[#This Row],[Rework_Flag]]="Yes",1,0)</f>
        <v>0</v>
      </c>
      <c r="Y415" s="4">
        <v>1</v>
      </c>
      <c r="Z415" s="4" t="str">
        <f>IF(Table1[[#This Row],[TAT_Days]]&gt;Table1[[#This Row],[SLA_TAT]],"Yes","No")</f>
        <v>Yes</v>
      </c>
      <c r="AA415" s="4" t="str" cm="1">
        <f t="array" ref="AA415">_xlfn.IFS(Table1[[#This Row],[Customer_Satisfaction]]&lt;=2,"Poor",Table1[[#This Row],[Customer_Satisfaction]]=3,"Neutral",Table1[[#This Row],[Customer_Satisfaction]]=4,"Good",Table1[[#This Row],[Customer_Satisfaction]]=5,"Good")</f>
        <v>Poor</v>
      </c>
    </row>
    <row r="416" spans="1:27" x14ac:dyDescent="0.35">
      <c r="A416">
        <v>20414</v>
      </c>
      <c r="B416" s="1">
        <v>45325</v>
      </c>
      <c r="C416" t="s">
        <v>50</v>
      </c>
      <c r="D416" t="s">
        <v>51</v>
      </c>
      <c r="E416" t="s">
        <v>120</v>
      </c>
      <c r="F416" t="s">
        <v>40</v>
      </c>
      <c r="G416" t="s">
        <v>33</v>
      </c>
      <c r="H416" t="s">
        <v>34</v>
      </c>
      <c r="I416" t="s">
        <v>55</v>
      </c>
      <c r="J416" t="s">
        <v>67</v>
      </c>
      <c r="K416" t="s">
        <v>27</v>
      </c>
      <c r="L416" t="s">
        <v>28</v>
      </c>
      <c r="M416" s="4">
        <v>23</v>
      </c>
      <c r="N416" s="4">
        <v>7</v>
      </c>
      <c r="O416" t="s">
        <v>29</v>
      </c>
      <c r="P416" t="s">
        <v>29</v>
      </c>
      <c r="Q416" s="4">
        <v>469712</v>
      </c>
      <c r="R416" s="4">
        <v>323913</v>
      </c>
      <c r="S416" s="4">
        <f>Table1[[#This Row],[Service_Revenue]]-Table1[[#This Row],[Service_Cost]]</f>
        <v>145799</v>
      </c>
      <c r="T416" s="4">
        <v>1</v>
      </c>
      <c r="U416" s="4">
        <f>IF(AND(Table1[[#This Row],[Rework_Flag]]="Yes",Table1[[#This Row],[Warranty_Claim]]="No"),Table1[[#This Row],[Service_Revenue]],0)</f>
        <v>0</v>
      </c>
      <c r="V416" s="4">
        <f>IF(Table1[[#This Row],[Warranty_Claim]]="Yes",1,0)</f>
        <v>1</v>
      </c>
      <c r="W416" s="4">
        <f>IF(Table1[[#This Row],[Rework_Flag]]="No",1,0)</f>
        <v>0</v>
      </c>
      <c r="X416" s="4">
        <f>IF(Table1[[#This Row],[Rework_Flag]]="Yes",1,0)</f>
        <v>1</v>
      </c>
      <c r="Y416" s="4">
        <v>1</v>
      </c>
      <c r="Z416" s="4" t="str">
        <f>IF(Table1[[#This Row],[TAT_Days]]&gt;Table1[[#This Row],[SLA_TAT]],"Yes","No")</f>
        <v>Yes</v>
      </c>
      <c r="AA416" s="4" t="str" cm="1">
        <f t="array" ref="AA416">_xlfn.IFS(Table1[[#This Row],[Customer_Satisfaction]]&lt;=2,"Poor",Table1[[#This Row],[Customer_Satisfaction]]=3,"Neutral",Table1[[#This Row],[Customer_Satisfaction]]=4,"Good",Table1[[#This Row],[Customer_Satisfaction]]=5,"Good")</f>
        <v>Poor</v>
      </c>
    </row>
    <row r="417" spans="1:27" x14ac:dyDescent="0.35">
      <c r="A417">
        <v>20415</v>
      </c>
      <c r="B417" s="1">
        <v>45365</v>
      </c>
      <c r="C417" t="s">
        <v>37</v>
      </c>
      <c r="D417" t="s">
        <v>38</v>
      </c>
      <c r="E417" t="s">
        <v>102</v>
      </c>
      <c r="F417" t="s">
        <v>22</v>
      </c>
      <c r="G417" t="s">
        <v>63</v>
      </c>
      <c r="H417" t="s">
        <v>24</v>
      </c>
      <c r="I417" t="s">
        <v>25</v>
      </c>
      <c r="J417" t="s">
        <v>67</v>
      </c>
      <c r="K417" t="s">
        <v>27</v>
      </c>
      <c r="L417" t="s">
        <v>28</v>
      </c>
      <c r="M417" s="4">
        <v>25</v>
      </c>
      <c r="N417" s="4">
        <v>7</v>
      </c>
      <c r="O417" t="s">
        <v>29</v>
      </c>
      <c r="P417" t="s">
        <v>29</v>
      </c>
      <c r="Q417" s="4">
        <v>355465</v>
      </c>
      <c r="R417" s="4">
        <v>181970</v>
      </c>
      <c r="S417" s="4">
        <f>Table1[[#This Row],[Service_Revenue]]-Table1[[#This Row],[Service_Cost]]</f>
        <v>173495</v>
      </c>
      <c r="T417" s="4">
        <v>1</v>
      </c>
      <c r="U417" s="4">
        <f>IF(AND(Table1[[#This Row],[Rework_Flag]]="Yes",Table1[[#This Row],[Warranty_Claim]]="No"),Table1[[#This Row],[Service_Revenue]],0)</f>
        <v>0</v>
      </c>
      <c r="V417" s="4">
        <f>IF(Table1[[#This Row],[Warranty_Claim]]="Yes",1,0)</f>
        <v>1</v>
      </c>
      <c r="W417" s="4">
        <f>IF(Table1[[#This Row],[Rework_Flag]]="No",1,0)</f>
        <v>0</v>
      </c>
      <c r="X417" s="4">
        <f>IF(Table1[[#This Row],[Rework_Flag]]="Yes",1,0)</f>
        <v>1</v>
      </c>
      <c r="Y417" s="4">
        <v>1</v>
      </c>
      <c r="Z417" s="4" t="str">
        <f>IF(Table1[[#This Row],[TAT_Days]]&gt;Table1[[#This Row],[SLA_TAT]],"Yes","No")</f>
        <v>Yes</v>
      </c>
      <c r="AA417" s="4" t="str" cm="1">
        <f t="array" ref="AA417">_xlfn.IFS(Table1[[#This Row],[Customer_Satisfaction]]&lt;=2,"Poor",Table1[[#This Row],[Customer_Satisfaction]]=3,"Neutral",Table1[[#This Row],[Customer_Satisfaction]]=4,"Good",Table1[[#This Row],[Customer_Satisfaction]]=5,"Good")</f>
        <v>Poor</v>
      </c>
    </row>
    <row r="418" spans="1:27" x14ac:dyDescent="0.35">
      <c r="A418">
        <v>20416</v>
      </c>
      <c r="B418" s="1">
        <v>45303</v>
      </c>
      <c r="C418" t="s">
        <v>50</v>
      </c>
      <c r="D418" t="s">
        <v>80</v>
      </c>
      <c r="E418" t="s">
        <v>121</v>
      </c>
      <c r="F418" t="s">
        <v>53</v>
      </c>
      <c r="G418" t="s">
        <v>47</v>
      </c>
      <c r="H418" t="s">
        <v>48</v>
      </c>
      <c r="I418" t="s">
        <v>25</v>
      </c>
      <c r="J418" t="s">
        <v>67</v>
      </c>
      <c r="K418" t="s">
        <v>27</v>
      </c>
      <c r="L418" t="s">
        <v>49</v>
      </c>
      <c r="M418" s="4">
        <v>20</v>
      </c>
      <c r="N418" s="4">
        <v>7</v>
      </c>
      <c r="O418" t="s">
        <v>29</v>
      </c>
      <c r="P418" t="s">
        <v>36</v>
      </c>
      <c r="Q418" s="4">
        <v>292559</v>
      </c>
      <c r="R418" s="4">
        <v>178165</v>
      </c>
      <c r="S418" s="4">
        <f>Table1[[#This Row],[Service_Revenue]]-Table1[[#This Row],[Service_Cost]]</f>
        <v>114394</v>
      </c>
      <c r="T418" s="4">
        <v>1</v>
      </c>
      <c r="U418" s="4">
        <f>IF(AND(Table1[[#This Row],[Rework_Flag]]="Yes",Table1[[#This Row],[Warranty_Claim]]="No"),Table1[[#This Row],[Service_Revenue]],0)</f>
        <v>292559</v>
      </c>
      <c r="V418" s="4">
        <f>IF(Table1[[#This Row],[Warranty_Claim]]="Yes",1,0)</f>
        <v>0</v>
      </c>
      <c r="W418" s="4">
        <f>IF(Table1[[#This Row],[Rework_Flag]]="No",1,0)</f>
        <v>0</v>
      </c>
      <c r="X418" s="4">
        <f>IF(Table1[[#This Row],[Rework_Flag]]="Yes",1,0)</f>
        <v>1</v>
      </c>
      <c r="Y418" s="4">
        <v>1</v>
      </c>
      <c r="Z418" s="4" t="str">
        <f>IF(Table1[[#This Row],[TAT_Days]]&gt;Table1[[#This Row],[SLA_TAT]],"Yes","No")</f>
        <v>Yes</v>
      </c>
      <c r="AA418" s="4" t="str" cm="1">
        <f t="array" ref="AA418">_xlfn.IFS(Table1[[#This Row],[Customer_Satisfaction]]&lt;=2,"Poor",Table1[[#This Row],[Customer_Satisfaction]]=3,"Neutral",Table1[[#This Row],[Customer_Satisfaction]]=4,"Good",Table1[[#This Row],[Customer_Satisfaction]]=5,"Good")</f>
        <v>Poor</v>
      </c>
    </row>
    <row r="419" spans="1:27" x14ac:dyDescent="0.35">
      <c r="A419">
        <v>20417</v>
      </c>
      <c r="B419" s="1">
        <v>45393</v>
      </c>
      <c r="C419" t="s">
        <v>30</v>
      </c>
      <c r="D419" t="s">
        <v>31</v>
      </c>
      <c r="E419" t="s">
        <v>122</v>
      </c>
      <c r="F419" t="s">
        <v>40</v>
      </c>
      <c r="G419" t="s">
        <v>63</v>
      </c>
      <c r="H419" t="s">
        <v>24</v>
      </c>
      <c r="I419" t="s">
        <v>25</v>
      </c>
      <c r="J419" t="s">
        <v>67</v>
      </c>
      <c r="K419" t="s">
        <v>61</v>
      </c>
      <c r="L419" t="s">
        <v>49</v>
      </c>
      <c r="M419" s="4">
        <v>3</v>
      </c>
      <c r="N419" s="4">
        <v>7</v>
      </c>
      <c r="O419" t="s">
        <v>29</v>
      </c>
      <c r="P419" t="s">
        <v>36</v>
      </c>
      <c r="Q419" s="4">
        <v>186524</v>
      </c>
      <c r="R419" s="4">
        <v>156376</v>
      </c>
      <c r="S419" s="4">
        <f>Table1[[#This Row],[Service_Revenue]]-Table1[[#This Row],[Service_Cost]]</f>
        <v>30148</v>
      </c>
      <c r="T419" s="4">
        <v>4</v>
      </c>
      <c r="U419" s="4">
        <f>IF(AND(Table1[[#This Row],[Rework_Flag]]="Yes",Table1[[#This Row],[Warranty_Claim]]="No"),Table1[[#This Row],[Service_Revenue]],0)</f>
        <v>186524</v>
      </c>
      <c r="V419" s="4">
        <f>IF(Table1[[#This Row],[Warranty_Claim]]="Yes",1,0)</f>
        <v>0</v>
      </c>
      <c r="W419" s="4">
        <f>IF(Table1[[#This Row],[Rework_Flag]]="No",1,0)</f>
        <v>0</v>
      </c>
      <c r="X419" s="4">
        <f>IF(Table1[[#This Row],[Rework_Flag]]="Yes",1,0)</f>
        <v>1</v>
      </c>
      <c r="Y419" s="4">
        <v>1</v>
      </c>
      <c r="Z419" s="4" t="str">
        <f>IF(Table1[[#This Row],[TAT_Days]]&gt;Table1[[#This Row],[SLA_TAT]],"Yes","No")</f>
        <v>No</v>
      </c>
      <c r="AA419" s="4" t="str" cm="1">
        <f t="array" ref="AA419">_xlfn.IFS(Table1[[#This Row],[Customer_Satisfaction]]&lt;=2,"Poor",Table1[[#This Row],[Customer_Satisfaction]]=3,"Neutral",Table1[[#This Row],[Customer_Satisfaction]]=4,"Good",Table1[[#This Row],[Customer_Satisfaction]]=5,"Good")</f>
        <v>Good</v>
      </c>
    </row>
    <row r="420" spans="1:27" x14ac:dyDescent="0.35">
      <c r="A420">
        <v>20418</v>
      </c>
      <c r="B420" s="1">
        <v>45319</v>
      </c>
      <c r="C420" t="s">
        <v>19</v>
      </c>
      <c r="D420" t="s">
        <v>20</v>
      </c>
      <c r="E420" t="s">
        <v>21</v>
      </c>
      <c r="F420" t="s">
        <v>22</v>
      </c>
      <c r="G420" t="s">
        <v>54</v>
      </c>
      <c r="H420" t="s">
        <v>42</v>
      </c>
      <c r="I420" t="s">
        <v>25</v>
      </c>
      <c r="J420" t="s">
        <v>35</v>
      </c>
      <c r="K420" t="s">
        <v>61</v>
      </c>
      <c r="L420" t="s">
        <v>28</v>
      </c>
      <c r="M420" s="4">
        <v>8</v>
      </c>
      <c r="N420" s="4">
        <v>7</v>
      </c>
      <c r="O420" t="s">
        <v>36</v>
      </c>
      <c r="P420" t="s">
        <v>36</v>
      </c>
      <c r="Q420" s="4">
        <v>147098</v>
      </c>
      <c r="R420" s="4">
        <v>113019</v>
      </c>
      <c r="S420" s="4">
        <f>Table1[[#This Row],[Service_Revenue]]-Table1[[#This Row],[Service_Cost]]</f>
        <v>34079</v>
      </c>
      <c r="T420" s="4">
        <v>4</v>
      </c>
      <c r="U420" s="4">
        <f>IF(AND(Table1[[#This Row],[Rework_Flag]]="Yes",Table1[[#This Row],[Warranty_Claim]]="No"),Table1[[#This Row],[Service_Revenue]],0)</f>
        <v>0</v>
      </c>
      <c r="V420" s="4">
        <f>IF(Table1[[#This Row],[Warranty_Claim]]="Yes",1,0)</f>
        <v>0</v>
      </c>
      <c r="W420" s="4">
        <f>IF(Table1[[#This Row],[Rework_Flag]]="No",1,0)</f>
        <v>1</v>
      </c>
      <c r="X420" s="4">
        <f>IF(Table1[[#This Row],[Rework_Flag]]="Yes",1,0)</f>
        <v>0</v>
      </c>
      <c r="Y420" s="4">
        <v>1</v>
      </c>
      <c r="Z420" s="4" t="str">
        <f>IF(Table1[[#This Row],[TAT_Days]]&gt;Table1[[#This Row],[SLA_TAT]],"Yes","No")</f>
        <v>Yes</v>
      </c>
      <c r="AA420" s="4" t="str" cm="1">
        <f t="array" ref="AA420">_xlfn.IFS(Table1[[#This Row],[Customer_Satisfaction]]&lt;=2,"Poor",Table1[[#This Row],[Customer_Satisfaction]]=3,"Neutral",Table1[[#This Row],[Customer_Satisfaction]]=4,"Good",Table1[[#This Row],[Customer_Satisfaction]]=5,"Good")</f>
        <v>Good</v>
      </c>
    </row>
    <row r="421" spans="1:27" x14ac:dyDescent="0.35">
      <c r="A421">
        <v>20419</v>
      </c>
      <c r="B421" s="1">
        <v>45386</v>
      </c>
      <c r="C421" t="s">
        <v>37</v>
      </c>
      <c r="D421" t="s">
        <v>38</v>
      </c>
      <c r="E421" t="s">
        <v>112</v>
      </c>
      <c r="F421" t="s">
        <v>40</v>
      </c>
      <c r="G421" t="s">
        <v>33</v>
      </c>
      <c r="H421" t="s">
        <v>34</v>
      </c>
      <c r="I421" t="s">
        <v>55</v>
      </c>
      <c r="J421" t="s">
        <v>43</v>
      </c>
      <c r="K421" t="s">
        <v>27</v>
      </c>
      <c r="L421" t="s">
        <v>49</v>
      </c>
      <c r="M421" s="4">
        <v>13</v>
      </c>
      <c r="N421" s="4">
        <v>7</v>
      </c>
      <c r="O421" t="s">
        <v>29</v>
      </c>
      <c r="P421" t="s">
        <v>36</v>
      </c>
      <c r="Q421" s="4">
        <v>283800</v>
      </c>
      <c r="R421" s="4">
        <v>190462</v>
      </c>
      <c r="S421" s="4">
        <f>Table1[[#This Row],[Service_Revenue]]-Table1[[#This Row],[Service_Cost]]</f>
        <v>93338</v>
      </c>
      <c r="T421" s="4">
        <v>2</v>
      </c>
      <c r="U421" s="4">
        <f>IF(AND(Table1[[#This Row],[Rework_Flag]]="Yes",Table1[[#This Row],[Warranty_Claim]]="No"),Table1[[#This Row],[Service_Revenue]],0)</f>
        <v>283800</v>
      </c>
      <c r="V421" s="4">
        <f>IF(Table1[[#This Row],[Warranty_Claim]]="Yes",1,0)</f>
        <v>0</v>
      </c>
      <c r="W421" s="4">
        <f>IF(Table1[[#This Row],[Rework_Flag]]="No",1,0)</f>
        <v>0</v>
      </c>
      <c r="X421" s="4">
        <f>IF(Table1[[#This Row],[Rework_Flag]]="Yes",1,0)</f>
        <v>1</v>
      </c>
      <c r="Y421" s="4">
        <v>1</v>
      </c>
      <c r="Z421" s="4" t="str">
        <f>IF(Table1[[#This Row],[TAT_Days]]&gt;Table1[[#This Row],[SLA_TAT]],"Yes","No")</f>
        <v>Yes</v>
      </c>
      <c r="AA421" s="4" t="str" cm="1">
        <f t="array" ref="AA421">_xlfn.IFS(Table1[[#This Row],[Customer_Satisfaction]]&lt;=2,"Poor",Table1[[#This Row],[Customer_Satisfaction]]=3,"Neutral",Table1[[#This Row],[Customer_Satisfaction]]=4,"Good",Table1[[#This Row],[Customer_Satisfaction]]=5,"Good")</f>
        <v>Poor</v>
      </c>
    </row>
    <row r="422" spans="1:27" x14ac:dyDescent="0.35">
      <c r="A422">
        <v>20420</v>
      </c>
      <c r="B422" s="1">
        <v>45382</v>
      </c>
      <c r="C422" t="s">
        <v>50</v>
      </c>
      <c r="D422" t="s">
        <v>56</v>
      </c>
      <c r="E422" t="s">
        <v>77</v>
      </c>
      <c r="F422" t="s">
        <v>22</v>
      </c>
      <c r="G422" t="s">
        <v>54</v>
      </c>
      <c r="H422" t="s">
        <v>42</v>
      </c>
      <c r="I422" t="s">
        <v>55</v>
      </c>
      <c r="J422" t="s">
        <v>35</v>
      </c>
      <c r="K422" t="s">
        <v>27</v>
      </c>
      <c r="L422" t="s">
        <v>28</v>
      </c>
      <c r="M422" s="4">
        <v>23</v>
      </c>
      <c r="N422" s="4">
        <v>7</v>
      </c>
      <c r="O422" t="s">
        <v>29</v>
      </c>
      <c r="P422" t="s">
        <v>36</v>
      </c>
      <c r="Q422" s="4">
        <v>333697</v>
      </c>
      <c r="R422" s="4">
        <v>250898</v>
      </c>
      <c r="S422" s="4">
        <f>Table1[[#This Row],[Service_Revenue]]-Table1[[#This Row],[Service_Cost]]</f>
        <v>82799</v>
      </c>
      <c r="T422" s="4">
        <v>1</v>
      </c>
      <c r="U422" s="4">
        <f>IF(AND(Table1[[#This Row],[Rework_Flag]]="Yes",Table1[[#This Row],[Warranty_Claim]]="No"),Table1[[#This Row],[Service_Revenue]],0)</f>
        <v>333697</v>
      </c>
      <c r="V422" s="4">
        <f>IF(Table1[[#This Row],[Warranty_Claim]]="Yes",1,0)</f>
        <v>0</v>
      </c>
      <c r="W422" s="4">
        <f>IF(Table1[[#This Row],[Rework_Flag]]="No",1,0)</f>
        <v>0</v>
      </c>
      <c r="X422" s="4">
        <f>IF(Table1[[#This Row],[Rework_Flag]]="Yes",1,0)</f>
        <v>1</v>
      </c>
      <c r="Y422" s="4">
        <v>1</v>
      </c>
      <c r="Z422" s="4" t="str">
        <f>IF(Table1[[#This Row],[TAT_Days]]&gt;Table1[[#This Row],[SLA_TAT]],"Yes","No")</f>
        <v>Yes</v>
      </c>
      <c r="AA422" s="4" t="str" cm="1">
        <f t="array" ref="AA422">_xlfn.IFS(Table1[[#This Row],[Customer_Satisfaction]]&lt;=2,"Poor",Table1[[#This Row],[Customer_Satisfaction]]=3,"Neutral",Table1[[#This Row],[Customer_Satisfaction]]=4,"Good",Table1[[#This Row],[Customer_Satisfaction]]=5,"Good")</f>
        <v>Poor</v>
      </c>
    </row>
    <row r="423" spans="1:27" x14ac:dyDescent="0.35">
      <c r="A423">
        <v>20421</v>
      </c>
      <c r="B423" s="1">
        <v>45387</v>
      </c>
      <c r="C423" t="s">
        <v>50</v>
      </c>
      <c r="D423" t="s">
        <v>56</v>
      </c>
      <c r="E423" t="s">
        <v>77</v>
      </c>
      <c r="F423" t="s">
        <v>40</v>
      </c>
      <c r="G423" t="s">
        <v>63</v>
      </c>
      <c r="H423" t="s">
        <v>24</v>
      </c>
      <c r="I423" t="s">
        <v>25</v>
      </c>
      <c r="J423" t="s">
        <v>67</v>
      </c>
      <c r="K423" t="s">
        <v>61</v>
      </c>
      <c r="L423" t="s">
        <v>28</v>
      </c>
      <c r="M423" s="4">
        <v>6</v>
      </c>
      <c r="N423" s="4">
        <v>7</v>
      </c>
      <c r="O423" t="s">
        <v>36</v>
      </c>
      <c r="P423" t="s">
        <v>36</v>
      </c>
      <c r="Q423" s="4">
        <v>371861</v>
      </c>
      <c r="R423" s="4">
        <v>263945</v>
      </c>
      <c r="S423" s="4">
        <f>Table1[[#This Row],[Service_Revenue]]-Table1[[#This Row],[Service_Cost]]</f>
        <v>107916</v>
      </c>
      <c r="T423" s="4">
        <v>4</v>
      </c>
      <c r="U423" s="4">
        <f>IF(AND(Table1[[#This Row],[Rework_Flag]]="Yes",Table1[[#This Row],[Warranty_Claim]]="No"),Table1[[#This Row],[Service_Revenue]],0)</f>
        <v>0</v>
      </c>
      <c r="V423" s="4">
        <f>IF(Table1[[#This Row],[Warranty_Claim]]="Yes",1,0)</f>
        <v>0</v>
      </c>
      <c r="W423" s="4">
        <f>IF(Table1[[#This Row],[Rework_Flag]]="No",1,0)</f>
        <v>1</v>
      </c>
      <c r="X423" s="4">
        <f>IF(Table1[[#This Row],[Rework_Flag]]="Yes",1,0)</f>
        <v>0</v>
      </c>
      <c r="Y423" s="4">
        <v>1</v>
      </c>
      <c r="Z423" s="4" t="str">
        <f>IF(Table1[[#This Row],[TAT_Days]]&gt;Table1[[#This Row],[SLA_TAT]],"Yes","No")</f>
        <v>No</v>
      </c>
      <c r="AA423" s="4" t="str" cm="1">
        <f t="array" ref="AA423">_xlfn.IFS(Table1[[#This Row],[Customer_Satisfaction]]&lt;=2,"Poor",Table1[[#This Row],[Customer_Satisfaction]]=3,"Neutral",Table1[[#This Row],[Customer_Satisfaction]]=4,"Good",Table1[[#This Row],[Customer_Satisfaction]]=5,"Good")</f>
        <v>Good</v>
      </c>
    </row>
    <row r="424" spans="1:27" x14ac:dyDescent="0.35">
      <c r="A424">
        <v>20422</v>
      </c>
      <c r="B424" s="1">
        <v>45348</v>
      </c>
      <c r="C424" t="s">
        <v>37</v>
      </c>
      <c r="D424" t="s">
        <v>64</v>
      </c>
      <c r="E424" t="s">
        <v>72</v>
      </c>
      <c r="F424" t="s">
        <v>40</v>
      </c>
      <c r="G424" t="s">
        <v>54</v>
      </c>
      <c r="H424" t="s">
        <v>42</v>
      </c>
      <c r="I424" t="s">
        <v>55</v>
      </c>
      <c r="J424" t="s">
        <v>35</v>
      </c>
      <c r="K424" t="s">
        <v>44</v>
      </c>
      <c r="L424" t="s">
        <v>49</v>
      </c>
      <c r="M424" s="4">
        <v>4</v>
      </c>
      <c r="N424" s="4">
        <v>7</v>
      </c>
      <c r="O424" t="s">
        <v>36</v>
      </c>
      <c r="P424" t="s">
        <v>36</v>
      </c>
      <c r="Q424" s="4">
        <v>339563</v>
      </c>
      <c r="R424" s="4">
        <v>209550</v>
      </c>
      <c r="S424" s="4">
        <f>Table1[[#This Row],[Service_Revenue]]-Table1[[#This Row],[Service_Cost]]</f>
        <v>130013</v>
      </c>
      <c r="T424" s="4">
        <v>5</v>
      </c>
      <c r="U424" s="4">
        <f>IF(AND(Table1[[#This Row],[Rework_Flag]]="Yes",Table1[[#This Row],[Warranty_Claim]]="No"),Table1[[#This Row],[Service_Revenue]],0)</f>
        <v>0</v>
      </c>
      <c r="V424" s="4">
        <f>IF(Table1[[#This Row],[Warranty_Claim]]="Yes",1,0)</f>
        <v>0</v>
      </c>
      <c r="W424" s="4">
        <f>IF(Table1[[#This Row],[Rework_Flag]]="No",1,0)</f>
        <v>1</v>
      </c>
      <c r="X424" s="4">
        <f>IF(Table1[[#This Row],[Rework_Flag]]="Yes",1,0)</f>
        <v>0</v>
      </c>
      <c r="Y424" s="4">
        <v>1</v>
      </c>
      <c r="Z424" s="4" t="str">
        <f>IF(Table1[[#This Row],[TAT_Days]]&gt;Table1[[#This Row],[SLA_TAT]],"Yes","No")</f>
        <v>No</v>
      </c>
      <c r="AA424" s="4" t="str" cm="1">
        <f t="array" ref="AA424">_xlfn.IFS(Table1[[#This Row],[Customer_Satisfaction]]&lt;=2,"Poor",Table1[[#This Row],[Customer_Satisfaction]]=3,"Neutral",Table1[[#This Row],[Customer_Satisfaction]]=4,"Good",Table1[[#This Row],[Customer_Satisfaction]]=5,"Good")</f>
        <v>Good</v>
      </c>
    </row>
    <row r="425" spans="1:27" x14ac:dyDescent="0.35">
      <c r="A425">
        <v>20423</v>
      </c>
      <c r="B425" s="1">
        <v>45413</v>
      </c>
      <c r="C425" t="s">
        <v>19</v>
      </c>
      <c r="D425" t="s">
        <v>45</v>
      </c>
      <c r="E425" t="s">
        <v>114</v>
      </c>
      <c r="F425" t="s">
        <v>22</v>
      </c>
      <c r="G425" t="s">
        <v>47</v>
      </c>
      <c r="H425" t="s">
        <v>48</v>
      </c>
      <c r="I425" t="s">
        <v>55</v>
      </c>
      <c r="J425" t="s">
        <v>67</v>
      </c>
      <c r="K425" t="s">
        <v>44</v>
      </c>
      <c r="L425" t="s">
        <v>49</v>
      </c>
      <c r="M425" s="4">
        <v>4</v>
      </c>
      <c r="N425" s="4">
        <v>7</v>
      </c>
      <c r="O425" t="s">
        <v>29</v>
      </c>
      <c r="P425" t="s">
        <v>36</v>
      </c>
      <c r="Q425" s="4">
        <v>290115</v>
      </c>
      <c r="R425" s="4">
        <v>219810</v>
      </c>
      <c r="S425" s="4">
        <f>Table1[[#This Row],[Service_Revenue]]-Table1[[#This Row],[Service_Cost]]</f>
        <v>70305</v>
      </c>
      <c r="T425" s="4">
        <v>4</v>
      </c>
      <c r="U425" s="4">
        <f>IF(AND(Table1[[#This Row],[Rework_Flag]]="Yes",Table1[[#This Row],[Warranty_Claim]]="No"),Table1[[#This Row],[Service_Revenue]],0)</f>
        <v>290115</v>
      </c>
      <c r="V425" s="4">
        <f>IF(Table1[[#This Row],[Warranty_Claim]]="Yes",1,0)</f>
        <v>0</v>
      </c>
      <c r="W425" s="4">
        <f>IF(Table1[[#This Row],[Rework_Flag]]="No",1,0)</f>
        <v>0</v>
      </c>
      <c r="X425" s="4">
        <f>IF(Table1[[#This Row],[Rework_Flag]]="Yes",1,0)</f>
        <v>1</v>
      </c>
      <c r="Y425" s="4">
        <v>1</v>
      </c>
      <c r="Z425" s="4" t="str">
        <f>IF(Table1[[#This Row],[TAT_Days]]&gt;Table1[[#This Row],[SLA_TAT]],"Yes","No")</f>
        <v>No</v>
      </c>
      <c r="AA425" s="4" t="str" cm="1">
        <f t="array" ref="AA425">_xlfn.IFS(Table1[[#This Row],[Customer_Satisfaction]]&lt;=2,"Poor",Table1[[#This Row],[Customer_Satisfaction]]=3,"Neutral",Table1[[#This Row],[Customer_Satisfaction]]=4,"Good",Table1[[#This Row],[Customer_Satisfaction]]=5,"Good")</f>
        <v>Good</v>
      </c>
    </row>
    <row r="426" spans="1:27" x14ac:dyDescent="0.35">
      <c r="A426">
        <v>20424</v>
      </c>
      <c r="B426" s="1">
        <v>45425</v>
      </c>
      <c r="C426" t="s">
        <v>50</v>
      </c>
      <c r="D426" t="s">
        <v>56</v>
      </c>
      <c r="E426" t="s">
        <v>88</v>
      </c>
      <c r="F426" t="s">
        <v>53</v>
      </c>
      <c r="G426" t="s">
        <v>33</v>
      </c>
      <c r="H426" t="s">
        <v>34</v>
      </c>
      <c r="I426" t="s">
        <v>25</v>
      </c>
      <c r="J426" t="s">
        <v>67</v>
      </c>
      <c r="K426" t="s">
        <v>27</v>
      </c>
      <c r="L426" t="s">
        <v>28</v>
      </c>
      <c r="M426" s="4">
        <v>8</v>
      </c>
      <c r="N426" s="4">
        <v>7</v>
      </c>
      <c r="O426" t="s">
        <v>36</v>
      </c>
      <c r="P426" t="s">
        <v>36</v>
      </c>
      <c r="Q426" s="4">
        <v>597289</v>
      </c>
      <c r="R426" s="4">
        <v>428039</v>
      </c>
      <c r="S426" s="4">
        <f>Table1[[#This Row],[Service_Revenue]]-Table1[[#This Row],[Service_Cost]]</f>
        <v>169250</v>
      </c>
      <c r="T426" s="4">
        <v>4</v>
      </c>
      <c r="U426" s="4">
        <f>IF(AND(Table1[[#This Row],[Rework_Flag]]="Yes",Table1[[#This Row],[Warranty_Claim]]="No"),Table1[[#This Row],[Service_Revenue]],0)</f>
        <v>0</v>
      </c>
      <c r="V426" s="4">
        <f>IF(Table1[[#This Row],[Warranty_Claim]]="Yes",1,0)</f>
        <v>0</v>
      </c>
      <c r="W426" s="4">
        <f>IF(Table1[[#This Row],[Rework_Flag]]="No",1,0)</f>
        <v>1</v>
      </c>
      <c r="X426" s="4">
        <f>IF(Table1[[#This Row],[Rework_Flag]]="Yes",1,0)</f>
        <v>0</v>
      </c>
      <c r="Y426" s="4">
        <v>1</v>
      </c>
      <c r="Z426" s="4" t="str">
        <f>IF(Table1[[#This Row],[TAT_Days]]&gt;Table1[[#This Row],[SLA_TAT]],"Yes","No")</f>
        <v>Yes</v>
      </c>
      <c r="AA426" s="4" t="str" cm="1">
        <f t="array" ref="AA426">_xlfn.IFS(Table1[[#This Row],[Customer_Satisfaction]]&lt;=2,"Poor",Table1[[#This Row],[Customer_Satisfaction]]=3,"Neutral",Table1[[#This Row],[Customer_Satisfaction]]=4,"Good",Table1[[#This Row],[Customer_Satisfaction]]=5,"Good")</f>
        <v>Good</v>
      </c>
    </row>
    <row r="427" spans="1:27" x14ac:dyDescent="0.35">
      <c r="A427">
        <v>20425</v>
      </c>
      <c r="B427" s="1">
        <v>45298</v>
      </c>
      <c r="C427" t="s">
        <v>19</v>
      </c>
      <c r="D427" t="s">
        <v>96</v>
      </c>
      <c r="E427" t="s">
        <v>108</v>
      </c>
      <c r="F427" t="s">
        <v>53</v>
      </c>
      <c r="G427" t="s">
        <v>63</v>
      </c>
      <c r="H427" t="s">
        <v>24</v>
      </c>
      <c r="I427" t="s">
        <v>55</v>
      </c>
      <c r="J427" t="s">
        <v>26</v>
      </c>
      <c r="K427" t="s">
        <v>61</v>
      </c>
      <c r="L427" t="s">
        <v>28</v>
      </c>
      <c r="M427" s="4">
        <v>10</v>
      </c>
      <c r="N427" s="4">
        <v>7</v>
      </c>
      <c r="O427" t="s">
        <v>29</v>
      </c>
      <c r="P427" t="s">
        <v>36</v>
      </c>
      <c r="Q427" s="4">
        <v>224682</v>
      </c>
      <c r="R427" s="4">
        <v>160673</v>
      </c>
      <c r="S427" s="4">
        <f>Table1[[#This Row],[Service_Revenue]]-Table1[[#This Row],[Service_Cost]]</f>
        <v>64009</v>
      </c>
      <c r="T427" s="4">
        <v>2</v>
      </c>
      <c r="U427" s="4">
        <f>IF(AND(Table1[[#This Row],[Rework_Flag]]="Yes",Table1[[#This Row],[Warranty_Claim]]="No"),Table1[[#This Row],[Service_Revenue]],0)</f>
        <v>224682</v>
      </c>
      <c r="V427" s="4">
        <f>IF(Table1[[#This Row],[Warranty_Claim]]="Yes",1,0)</f>
        <v>0</v>
      </c>
      <c r="W427" s="4">
        <f>IF(Table1[[#This Row],[Rework_Flag]]="No",1,0)</f>
        <v>0</v>
      </c>
      <c r="X427" s="4">
        <f>IF(Table1[[#This Row],[Rework_Flag]]="Yes",1,0)</f>
        <v>1</v>
      </c>
      <c r="Y427" s="4">
        <v>1</v>
      </c>
      <c r="Z427" s="4" t="str">
        <f>IF(Table1[[#This Row],[TAT_Days]]&gt;Table1[[#This Row],[SLA_TAT]],"Yes","No")</f>
        <v>Yes</v>
      </c>
      <c r="AA427" s="4" t="str" cm="1">
        <f t="array" ref="AA427">_xlfn.IFS(Table1[[#This Row],[Customer_Satisfaction]]&lt;=2,"Poor",Table1[[#This Row],[Customer_Satisfaction]]=3,"Neutral",Table1[[#This Row],[Customer_Satisfaction]]=4,"Good",Table1[[#This Row],[Customer_Satisfaction]]=5,"Good")</f>
        <v>Poor</v>
      </c>
    </row>
    <row r="428" spans="1:27" x14ac:dyDescent="0.35">
      <c r="A428">
        <v>20426</v>
      </c>
      <c r="B428" s="1">
        <v>45442</v>
      </c>
      <c r="C428" t="s">
        <v>50</v>
      </c>
      <c r="D428" t="s">
        <v>51</v>
      </c>
      <c r="E428" t="s">
        <v>73</v>
      </c>
      <c r="F428" t="s">
        <v>22</v>
      </c>
      <c r="G428" t="s">
        <v>23</v>
      </c>
      <c r="H428" t="s">
        <v>24</v>
      </c>
      <c r="I428" t="s">
        <v>55</v>
      </c>
      <c r="J428" t="s">
        <v>58</v>
      </c>
      <c r="K428" t="s">
        <v>27</v>
      </c>
      <c r="L428" t="s">
        <v>49</v>
      </c>
      <c r="M428" s="4">
        <v>12</v>
      </c>
      <c r="N428" s="4">
        <v>7</v>
      </c>
      <c r="O428" t="s">
        <v>29</v>
      </c>
      <c r="P428" t="s">
        <v>36</v>
      </c>
      <c r="Q428" s="4">
        <v>253066</v>
      </c>
      <c r="R428" s="4">
        <v>139878</v>
      </c>
      <c r="S428" s="4">
        <f>Table1[[#This Row],[Service_Revenue]]-Table1[[#This Row],[Service_Cost]]</f>
        <v>113188</v>
      </c>
      <c r="T428" s="4">
        <v>2</v>
      </c>
      <c r="U428" s="4">
        <f>IF(AND(Table1[[#This Row],[Rework_Flag]]="Yes",Table1[[#This Row],[Warranty_Claim]]="No"),Table1[[#This Row],[Service_Revenue]],0)</f>
        <v>253066</v>
      </c>
      <c r="V428" s="4">
        <f>IF(Table1[[#This Row],[Warranty_Claim]]="Yes",1,0)</f>
        <v>0</v>
      </c>
      <c r="W428" s="4">
        <f>IF(Table1[[#This Row],[Rework_Flag]]="No",1,0)</f>
        <v>0</v>
      </c>
      <c r="X428" s="4">
        <f>IF(Table1[[#This Row],[Rework_Flag]]="Yes",1,0)</f>
        <v>1</v>
      </c>
      <c r="Y428" s="4">
        <v>1</v>
      </c>
      <c r="Z428" s="4" t="str">
        <f>IF(Table1[[#This Row],[TAT_Days]]&gt;Table1[[#This Row],[SLA_TAT]],"Yes","No")</f>
        <v>Yes</v>
      </c>
      <c r="AA428" s="4" t="str" cm="1">
        <f t="array" ref="AA428">_xlfn.IFS(Table1[[#This Row],[Customer_Satisfaction]]&lt;=2,"Poor",Table1[[#This Row],[Customer_Satisfaction]]=3,"Neutral",Table1[[#This Row],[Customer_Satisfaction]]=4,"Good",Table1[[#This Row],[Customer_Satisfaction]]=5,"Good")</f>
        <v>Poor</v>
      </c>
    </row>
    <row r="429" spans="1:27" x14ac:dyDescent="0.35">
      <c r="A429">
        <v>20427</v>
      </c>
      <c r="B429" s="1">
        <v>45391</v>
      </c>
      <c r="C429" t="s">
        <v>30</v>
      </c>
      <c r="D429" t="s">
        <v>59</v>
      </c>
      <c r="E429" t="s">
        <v>60</v>
      </c>
      <c r="F429" t="s">
        <v>53</v>
      </c>
      <c r="G429" t="s">
        <v>63</v>
      </c>
      <c r="H429" t="s">
        <v>24</v>
      </c>
      <c r="I429" t="s">
        <v>55</v>
      </c>
      <c r="J429" t="s">
        <v>58</v>
      </c>
      <c r="K429" t="s">
        <v>61</v>
      </c>
      <c r="L429" t="s">
        <v>28</v>
      </c>
      <c r="M429" s="4">
        <v>22</v>
      </c>
      <c r="N429" s="4">
        <v>7</v>
      </c>
      <c r="O429" t="s">
        <v>36</v>
      </c>
      <c r="P429" t="s">
        <v>36</v>
      </c>
      <c r="Q429" s="4">
        <v>200950</v>
      </c>
      <c r="R429" s="4">
        <v>143684</v>
      </c>
      <c r="S429" s="4">
        <f>Table1[[#This Row],[Service_Revenue]]-Table1[[#This Row],[Service_Cost]]</f>
        <v>57266</v>
      </c>
      <c r="T429" s="4">
        <v>1</v>
      </c>
      <c r="U429" s="4">
        <f>IF(AND(Table1[[#This Row],[Rework_Flag]]="Yes",Table1[[#This Row],[Warranty_Claim]]="No"),Table1[[#This Row],[Service_Revenue]],0)</f>
        <v>0</v>
      </c>
      <c r="V429" s="4">
        <f>IF(Table1[[#This Row],[Warranty_Claim]]="Yes",1,0)</f>
        <v>0</v>
      </c>
      <c r="W429" s="4">
        <f>IF(Table1[[#This Row],[Rework_Flag]]="No",1,0)</f>
        <v>1</v>
      </c>
      <c r="X429" s="4">
        <f>IF(Table1[[#This Row],[Rework_Flag]]="Yes",1,0)</f>
        <v>0</v>
      </c>
      <c r="Y429" s="4">
        <v>1</v>
      </c>
      <c r="Z429" s="4" t="str">
        <f>IF(Table1[[#This Row],[TAT_Days]]&gt;Table1[[#This Row],[SLA_TAT]],"Yes","No")</f>
        <v>Yes</v>
      </c>
      <c r="AA429" s="4" t="str" cm="1">
        <f t="array" ref="AA429">_xlfn.IFS(Table1[[#This Row],[Customer_Satisfaction]]&lt;=2,"Poor",Table1[[#This Row],[Customer_Satisfaction]]=3,"Neutral",Table1[[#This Row],[Customer_Satisfaction]]=4,"Good",Table1[[#This Row],[Customer_Satisfaction]]=5,"Good")</f>
        <v>Poor</v>
      </c>
    </row>
    <row r="430" spans="1:27" x14ac:dyDescent="0.35">
      <c r="A430">
        <v>20428</v>
      </c>
      <c r="B430" s="1">
        <v>45378</v>
      </c>
      <c r="C430" t="s">
        <v>30</v>
      </c>
      <c r="D430" t="s">
        <v>59</v>
      </c>
      <c r="E430" t="s">
        <v>60</v>
      </c>
      <c r="F430" t="s">
        <v>40</v>
      </c>
      <c r="G430" t="s">
        <v>54</v>
      </c>
      <c r="H430" t="s">
        <v>42</v>
      </c>
      <c r="I430" t="s">
        <v>55</v>
      </c>
      <c r="J430" t="s">
        <v>67</v>
      </c>
      <c r="K430" t="s">
        <v>44</v>
      </c>
      <c r="L430" t="s">
        <v>28</v>
      </c>
      <c r="M430" s="4">
        <v>20</v>
      </c>
      <c r="N430" s="4">
        <v>7</v>
      </c>
      <c r="O430" t="s">
        <v>36</v>
      </c>
      <c r="P430" t="s">
        <v>29</v>
      </c>
      <c r="Q430" s="4">
        <v>136606</v>
      </c>
      <c r="R430" s="4">
        <v>84623</v>
      </c>
      <c r="S430" s="4">
        <f>Table1[[#This Row],[Service_Revenue]]-Table1[[#This Row],[Service_Cost]]</f>
        <v>51983</v>
      </c>
      <c r="T430" s="4">
        <v>1</v>
      </c>
      <c r="U430" s="4">
        <f>IF(AND(Table1[[#This Row],[Rework_Flag]]="Yes",Table1[[#This Row],[Warranty_Claim]]="No"),Table1[[#This Row],[Service_Revenue]],0)</f>
        <v>0</v>
      </c>
      <c r="V430" s="4">
        <f>IF(Table1[[#This Row],[Warranty_Claim]]="Yes",1,0)</f>
        <v>1</v>
      </c>
      <c r="W430" s="4">
        <f>IF(Table1[[#This Row],[Rework_Flag]]="No",1,0)</f>
        <v>1</v>
      </c>
      <c r="X430" s="4">
        <f>IF(Table1[[#This Row],[Rework_Flag]]="Yes",1,0)</f>
        <v>0</v>
      </c>
      <c r="Y430" s="4">
        <v>1</v>
      </c>
      <c r="Z430" s="4" t="str">
        <f>IF(Table1[[#This Row],[TAT_Days]]&gt;Table1[[#This Row],[SLA_TAT]],"Yes","No")</f>
        <v>Yes</v>
      </c>
      <c r="AA430" s="4" t="str" cm="1">
        <f t="array" ref="AA430">_xlfn.IFS(Table1[[#This Row],[Customer_Satisfaction]]&lt;=2,"Poor",Table1[[#This Row],[Customer_Satisfaction]]=3,"Neutral",Table1[[#This Row],[Customer_Satisfaction]]=4,"Good",Table1[[#This Row],[Customer_Satisfaction]]=5,"Good")</f>
        <v>Poor</v>
      </c>
    </row>
    <row r="431" spans="1:27" x14ac:dyDescent="0.35">
      <c r="A431">
        <v>20429</v>
      </c>
      <c r="B431" s="1">
        <v>45386</v>
      </c>
      <c r="C431" t="s">
        <v>37</v>
      </c>
      <c r="D431" t="s">
        <v>64</v>
      </c>
      <c r="E431" t="s">
        <v>65</v>
      </c>
      <c r="F431" t="s">
        <v>53</v>
      </c>
      <c r="G431" t="s">
        <v>54</v>
      </c>
      <c r="H431" t="s">
        <v>42</v>
      </c>
      <c r="I431" t="s">
        <v>55</v>
      </c>
      <c r="J431" t="s">
        <v>58</v>
      </c>
      <c r="K431" t="s">
        <v>61</v>
      </c>
      <c r="L431" t="s">
        <v>49</v>
      </c>
      <c r="M431" s="4">
        <v>15</v>
      </c>
      <c r="N431" s="4">
        <v>7</v>
      </c>
      <c r="O431" t="s">
        <v>29</v>
      </c>
      <c r="P431" t="s">
        <v>36</v>
      </c>
      <c r="Q431" s="4">
        <v>280336</v>
      </c>
      <c r="R431" s="4">
        <v>142827</v>
      </c>
      <c r="S431" s="4">
        <f>Table1[[#This Row],[Service_Revenue]]-Table1[[#This Row],[Service_Cost]]</f>
        <v>137509</v>
      </c>
      <c r="T431" s="4">
        <v>1</v>
      </c>
      <c r="U431" s="4">
        <f>IF(AND(Table1[[#This Row],[Rework_Flag]]="Yes",Table1[[#This Row],[Warranty_Claim]]="No"),Table1[[#This Row],[Service_Revenue]],0)</f>
        <v>280336</v>
      </c>
      <c r="V431" s="4">
        <f>IF(Table1[[#This Row],[Warranty_Claim]]="Yes",1,0)</f>
        <v>0</v>
      </c>
      <c r="W431" s="4">
        <f>IF(Table1[[#This Row],[Rework_Flag]]="No",1,0)</f>
        <v>0</v>
      </c>
      <c r="X431" s="4">
        <f>IF(Table1[[#This Row],[Rework_Flag]]="Yes",1,0)</f>
        <v>1</v>
      </c>
      <c r="Y431" s="4">
        <v>1</v>
      </c>
      <c r="Z431" s="4" t="str">
        <f>IF(Table1[[#This Row],[TAT_Days]]&gt;Table1[[#This Row],[SLA_TAT]],"Yes","No")</f>
        <v>Yes</v>
      </c>
      <c r="AA431" s="4" t="str" cm="1">
        <f t="array" ref="AA431">_xlfn.IFS(Table1[[#This Row],[Customer_Satisfaction]]&lt;=2,"Poor",Table1[[#This Row],[Customer_Satisfaction]]=3,"Neutral",Table1[[#This Row],[Customer_Satisfaction]]=4,"Good",Table1[[#This Row],[Customer_Satisfaction]]=5,"Good")</f>
        <v>Poor</v>
      </c>
    </row>
    <row r="432" spans="1:27" x14ac:dyDescent="0.35">
      <c r="A432">
        <v>20430</v>
      </c>
      <c r="B432" s="1">
        <v>45387</v>
      </c>
      <c r="C432" t="s">
        <v>37</v>
      </c>
      <c r="D432" t="s">
        <v>70</v>
      </c>
      <c r="E432" t="s">
        <v>71</v>
      </c>
      <c r="F432" t="s">
        <v>22</v>
      </c>
      <c r="G432" t="s">
        <v>54</v>
      </c>
      <c r="H432" t="s">
        <v>42</v>
      </c>
      <c r="I432" t="s">
        <v>55</v>
      </c>
      <c r="J432" t="s">
        <v>26</v>
      </c>
      <c r="K432" t="s">
        <v>44</v>
      </c>
      <c r="L432" t="s">
        <v>49</v>
      </c>
      <c r="M432" s="4">
        <v>15</v>
      </c>
      <c r="N432" s="4">
        <v>7</v>
      </c>
      <c r="O432" t="s">
        <v>36</v>
      </c>
      <c r="P432" t="s">
        <v>36</v>
      </c>
      <c r="Q432" s="4">
        <v>303130</v>
      </c>
      <c r="R432" s="4">
        <v>248573</v>
      </c>
      <c r="S432" s="4">
        <f>Table1[[#This Row],[Service_Revenue]]-Table1[[#This Row],[Service_Cost]]</f>
        <v>54557</v>
      </c>
      <c r="T432" s="4">
        <v>2</v>
      </c>
      <c r="U432" s="4">
        <f>IF(AND(Table1[[#This Row],[Rework_Flag]]="Yes",Table1[[#This Row],[Warranty_Claim]]="No"),Table1[[#This Row],[Service_Revenue]],0)</f>
        <v>0</v>
      </c>
      <c r="V432" s="4">
        <f>IF(Table1[[#This Row],[Warranty_Claim]]="Yes",1,0)</f>
        <v>0</v>
      </c>
      <c r="W432" s="4">
        <f>IF(Table1[[#This Row],[Rework_Flag]]="No",1,0)</f>
        <v>1</v>
      </c>
      <c r="X432" s="4">
        <f>IF(Table1[[#This Row],[Rework_Flag]]="Yes",1,0)</f>
        <v>0</v>
      </c>
      <c r="Y432" s="4">
        <v>1</v>
      </c>
      <c r="Z432" s="4" t="str">
        <f>IF(Table1[[#This Row],[TAT_Days]]&gt;Table1[[#This Row],[SLA_TAT]],"Yes","No")</f>
        <v>Yes</v>
      </c>
      <c r="AA432" s="4" t="str" cm="1">
        <f t="array" ref="AA432">_xlfn.IFS(Table1[[#This Row],[Customer_Satisfaction]]&lt;=2,"Poor",Table1[[#This Row],[Customer_Satisfaction]]=3,"Neutral",Table1[[#This Row],[Customer_Satisfaction]]=4,"Good",Table1[[#This Row],[Customer_Satisfaction]]=5,"Good")</f>
        <v>Poor</v>
      </c>
    </row>
    <row r="433" spans="1:27" x14ac:dyDescent="0.35">
      <c r="A433">
        <v>20431</v>
      </c>
      <c r="B433" s="1">
        <v>45463</v>
      </c>
      <c r="C433" t="s">
        <v>19</v>
      </c>
      <c r="D433" t="s">
        <v>96</v>
      </c>
      <c r="E433" t="s">
        <v>109</v>
      </c>
      <c r="F433" t="s">
        <v>22</v>
      </c>
      <c r="G433" t="s">
        <v>54</v>
      </c>
      <c r="H433" t="s">
        <v>42</v>
      </c>
      <c r="I433" t="s">
        <v>25</v>
      </c>
      <c r="J433" t="s">
        <v>35</v>
      </c>
      <c r="K433" t="s">
        <v>61</v>
      </c>
      <c r="L433" t="s">
        <v>28</v>
      </c>
      <c r="M433" s="4">
        <v>12</v>
      </c>
      <c r="N433" s="4">
        <v>7</v>
      </c>
      <c r="O433" t="s">
        <v>36</v>
      </c>
      <c r="P433" t="s">
        <v>36</v>
      </c>
      <c r="Q433" s="4">
        <v>320615</v>
      </c>
      <c r="R433" s="4">
        <v>205619</v>
      </c>
      <c r="S433" s="4">
        <f>Table1[[#This Row],[Service_Revenue]]-Table1[[#This Row],[Service_Cost]]</f>
        <v>114996</v>
      </c>
      <c r="T433" s="4">
        <v>3</v>
      </c>
      <c r="U433" s="4">
        <f>IF(AND(Table1[[#This Row],[Rework_Flag]]="Yes",Table1[[#This Row],[Warranty_Claim]]="No"),Table1[[#This Row],[Service_Revenue]],0)</f>
        <v>0</v>
      </c>
      <c r="V433" s="4">
        <f>IF(Table1[[#This Row],[Warranty_Claim]]="Yes",1,0)</f>
        <v>0</v>
      </c>
      <c r="W433" s="4">
        <f>IF(Table1[[#This Row],[Rework_Flag]]="No",1,0)</f>
        <v>1</v>
      </c>
      <c r="X433" s="4">
        <f>IF(Table1[[#This Row],[Rework_Flag]]="Yes",1,0)</f>
        <v>0</v>
      </c>
      <c r="Y433" s="4">
        <v>1</v>
      </c>
      <c r="Z433" s="4" t="str">
        <f>IF(Table1[[#This Row],[TAT_Days]]&gt;Table1[[#This Row],[SLA_TAT]],"Yes","No")</f>
        <v>Yes</v>
      </c>
      <c r="AA433" s="4" t="str" cm="1">
        <f t="array" ref="AA433">_xlfn.IFS(Table1[[#This Row],[Customer_Satisfaction]]&lt;=2,"Poor",Table1[[#This Row],[Customer_Satisfaction]]=3,"Neutral",Table1[[#This Row],[Customer_Satisfaction]]=4,"Good",Table1[[#This Row],[Customer_Satisfaction]]=5,"Good")</f>
        <v>Neutral</v>
      </c>
    </row>
    <row r="434" spans="1:27" x14ac:dyDescent="0.35">
      <c r="A434">
        <v>20432</v>
      </c>
      <c r="B434" s="1">
        <v>45332</v>
      </c>
      <c r="C434" t="s">
        <v>50</v>
      </c>
      <c r="D434" t="s">
        <v>56</v>
      </c>
      <c r="E434" t="s">
        <v>101</v>
      </c>
      <c r="F434" t="s">
        <v>53</v>
      </c>
      <c r="G434" t="s">
        <v>74</v>
      </c>
      <c r="H434" t="s">
        <v>34</v>
      </c>
      <c r="I434" t="s">
        <v>25</v>
      </c>
      <c r="J434" t="s">
        <v>58</v>
      </c>
      <c r="K434" t="s">
        <v>27</v>
      </c>
      <c r="L434" t="s">
        <v>49</v>
      </c>
      <c r="M434" s="4">
        <v>3</v>
      </c>
      <c r="N434" s="4">
        <v>7</v>
      </c>
      <c r="O434" t="s">
        <v>36</v>
      </c>
      <c r="P434" t="s">
        <v>36</v>
      </c>
      <c r="Q434" s="4">
        <v>278860</v>
      </c>
      <c r="R434" s="4">
        <v>217437</v>
      </c>
      <c r="S434" s="4">
        <f>Table1[[#This Row],[Service_Revenue]]-Table1[[#This Row],[Service_Cost]]</f>
        <v>61423</v>
      </c>
      <c r="T434" s="4">
        <v>5</v>
      </c>
      <c r="U434" s="4">
        <f>IF(AND(Table1[[#This Row],[Rework_Flag]]="Yes",Table1[[#This Row],[Warranty_Claim]]="No"),Table1[[#This Row],[Service_Revenue]],0)</f>
        <v>0</v>
      </c>
      <c r="V434" s="4">
        <f>IF(Table1[[#This Row],[Warranty_Claim]]="Yes",1,0)</f>
        <v>0</v>
      </c>
      <c r="W434" s="4">
        <f>IF(Table1[[#This Row],[Rework_Flag]]="No",1,0)</f>
        <v>1</v>
      </c>
      <c r="X434" s="4">
        <f>IF(Table1[[#This Row],[Rework_Flag]]="Yes",1,0)</f>
        <v>0</v>
      </c>
      <c r="Y434" s="4">
        <v>1</v>
      </c>
      <c r="Z434" s="4" t="str">
        <f>IF(Table1[[#This Row],[TAT_Days]]&gt;Table1[[#This Row],[SLA_TAT]],"Yes","No")</f>
        <v>No</v>
      </c>
      <c r="AA434" s="4" t="str" cm="1">
        <f t="array" ref="AA434">_xlfn.IFS(Table1[[#This Row],[Customer_Satisfaction]]&lt;=2,"Poor",Table1[[#This Row],[Customer_Satisfaction]]=3,"Neutral",Table1[[#This Row],[Customer_Satisfaction]]=4,"Good",Table1[[#This Row],[Customer_Satisfaction]]=5,"Good")</f>
        <v>Good</v>
      </c>
    </row>
    <row r="435" spans="1:27" x14ac:dyDescent="0.35">
      <c r="A435">
        <v>20433</v>
      </c>
      <c r="B435" s="1">
        <v>45353</v>
      </c>
      <c r="C435" t="s">
        <v>37</v>
      </c>
      <c r="D435" t="s">
        <v>64</v>
      </c>
      <c r="E435" t="s">
        <v>72</v>
      </c>
      <c r="F435" t="s">
        <v>53</v>
      </c>
      <c r="G435" t="s">
        <v>63</v>
      </c>
      <c r="H435" t="s">
        <v>24</v>
      </c>
      <c r="I435" t="s">
        <v>25</v>
      </c>
      <c r="J435" t="s">
        <v>67</v>
      </c>
      <c r="K435" t="s">
        <v>44</v>
      </c>
      <c r="L435" t="s">
        <v>49</v>
      </c>
      <c r="M435" s="4">
        <v>13</v>
      </c>
      <c r="N435" s="4">
        <v>7</v>
      </c>
      <c r="O435" t="s">
        <v>29</v>
      </c>
      <c r="P435" t="s">
        <v>36</v>
      </c>
      <c r="Q435" s="4">
        <v>343479</v>
      </c>
      <c r="R435" s="4">
        <v>238869</v>
      </c>
      <c r="S435" s="4">
        <f>Table1[[#This Row],[Service_Revenue]]-Table1[[#This Row],[Service_Cost]]</f>
        <v>104610</v>
      </c>
      <c r="T435" s="4">
        <v>2</v>
      </c>
      <c r="U435" s="4">
        <f>IF(AND(Table1[[#This Row],[Rework_Flag]]="Yes",Table1[[#This Row],[Warranty_Claim]]="No"),Table1[[#This Row],[Service_Revenue]],0)</f>
        <v>343479</v>
      </c>
      <c r="V435" s="4">
        <f>IF(Table1[[#This Row],[Warranty_Claim]]="Yes",1,0)</f>
        <v>0</v>
      </c>
      <c r="W435" s="4">
        <f>IF(Table1[[#This Row],[Rework_Flag]]="No",1,0)</f>
        <v>0</v>
      </c>
      <c r="X435" s="4">
        <f>IF(Table1[[#This Row],[Rework_Flag]]="Yes",1,0)</f>
        <v>1</v>
      </c>
      <c r="Y435" s="4">
        <v>1</v>
      </c>
      <c r="Z435" s="4" t="str">
        <f>IF(Table1[[#This Row],[TAT_Days]]&gt;Table1[[#This Row],[SLA_TAT]],"Yes","No")</f>
        <v>Yes</v>
      </c>
      <c r="AA435" s="4" t="str" cm="1">
        <f t="array" ref="AA435">_xlfn.IFS(Table1[[#This Row],[Customer_Satisfaction]]&lt;=2,"Poor",Table1[[#This Row],[Customer_Satisfaction]]=3,"Neutral",Table1[[#This Row],[Customer_Satisfaction]]=4,"Good",Table1[[#This Row],[Customer_Satisfaction]]=5,"Good")</f>
        <v>Poor</v>
      </c>
    </row>
    <row r="436" spans="1:27" x14ac:dyDescent="0.35">
      <c r="A436">
        <v>20434</v>
      </c>
      <c r="B436" s="1">
        <v>45451</v>
      </c>
      <c r="C436" t="s">
        <v>37</v>
      </c>
      <c r="D436" t="s">
        <v>64</v>
      </c>
      <c r="E436" t="s">
        <v>87</v>
      </c>
      <c r="F436" t="s">
        <v>40</v>
      </c>
      <c r="G436" t="s">
        <v>33</v>
      </c>
      <c r="H436" t="s">
        <v>34</v>
      </c>
      <c r="I436" t="s">
        <v>55</v>
      </c>
      <c r="J436" t="s">
        <v>26</v>
      </c>
      <c r="K436" t="s">
        <v>61</v>
      </c>
      <c r="L436" t="s">
        <v>28</v>
      </c>
      <c r="M436" s="4">
        <v>11</v>
      </c>
      <c r="N436" s="4">
        <v>7</v>
      </c>
      <c r="O436" t="s">
        <v>29</v>
      </c>
      <c r="P436" t="s">
        <v>29</v>
      </c>
      <c r="Q436" s="4">
        <v>465504</v>
      </c>
      <c r="R436" s="4">
        <v>327939</v>
      </c>
      <c r="S436" s="4">
        <f>Table1[[#This Row],[Service_Revenue]]-Table1[[#This Row],[Service_Cost]]</f>
        <v>137565</v>
      </c>
      <c r="T436" s="4">
        <v>2</v>
      </c>
      <c r="U436" s="4">
        <f>IF(AND(Table1[[#This Row],[Rework_Flag]]="Yes",Table1[[#This Row],[Warranty_Claim]]="No"),Table1[[#This Row],[Service_Revenue]],0)</f>
        <v>0</v>
      </c>
      <c r="V436" s="4">
        <f>IF(Table1[[#This Row],[Warranty_Claim]]="Yes",1,0)</f>
        <v>1</v>
      </c>
      <c r="W436" s="4">
        <f>IF(Table1[[#This Row],[Rework_Flag]]="No",1,0)</f>
        <v>0</v>
      </c>
      <c r="X436" s="4">
        <f>IF(Table1[[#This Row],[Rework_Flag]]="Yes",1,0)</f>
        <v>1</v>
      </c>
      <c r="Y436" s="4">
        <v>1</v>
      </c>
      <c r="Z436" s="4" t="str">
        <f>IF(Table1[[#This Row],[TAT_Days]]&gt;Table1[[#This Row],[SLA_TAT]],"Yes","No")</f>
        <v>Yes</v>
      </c>
      <c r="AA436" s="4" t="str" cm="1">
        <f t="array" ref="AA436">_xlfn.IFS(Table1[[#This Row],[Customer_Satisfaction]]&lt;=2,"Poor",Table1[[#This Row],[Customer_Satisfaction]]=3,"Neutral",Table1[[#This Row],[Customer_Satisfaction]]=4,"Good",Table1[[#This Row],[Customer_Satisfaction]]=5,"Good")</f>
        <v>Poor</v>
      </c>
    </row>
    <row r="437" spans="1:27" x14ac:dyDescent="0.35">
      <c r="A437">
        <v>20435</v>
      </c>
      <c r="B437" s="1">
        <v>45398</v>
      </c>
      <c r="C437" t="s">
        <v>30</v>
      </c>
      <c r="D437" t="s">
        <v>59</v>
      </c>
      <c r="E437" t="s">
        <v>94</v>
      </c>
      <c r="F437" t="s">
        <v>40</v>
      </c>
      <c r="G437" t="s">
        <v>33</v>
      </c>
      <c r="H437" t="s">
        <v>34</v>
      </c>
      <c r="I437" t="s">
        <v>55</v>
      </c>
      <c r="J437" t="s">
        <v>43</v>
      </c>
      <c r="K437" t="s">
        <v>44</v>
      </c>
      <c r="L437" t="s">
        <v>49</v>
      </c>
      <c r="M437" s="4">
        <v>24</v>
      </c>
      <c r="N437" s="4">
        <v>7</v>
      </c>
      <c r="O437" t="s">
        <v>29</v>
      </c>
      <c r="P437" t="s">
        <v>29</v>
      </c>
      <c r="Q437" s="4">
        <v>260391</v>
      </c>
      <c r="R437" s="4">
        <v>179508</v>
      </c>
      <c r="S437" s="4">
        <f>Table1[[#This Row],[Service_Revenue]]-Table1[[#This Row],[Service_Cost]]</f>
        <v>80883</v>
      </c>
      <c r="T437" s="4">
        <v>1</v>
      </c>
      <c r="U437" s="4">
        <f>IF(AND(Table1[[#This Row],[Rework_Flag]]="Yes",Table1[[#This Row],[Warranty_Claim]]="No"),Table1[[#This Row],[Service_Revenue]],0)</f>
        <v>0</v>
      </c>
      <c r="V437" s="4">
        <f>IF(Table1[[#This Row],[Warranty_Claim]]="Yes",1,0)</f>
        <v>1</v>
      </c>
      <c r="W437" s="4">
        <f>IF(Table1[[#This Row],[Rework_Flag]]="No",1,0)</f>
        <v>0</v>
      </c>
      <c r="X437" s="4">
        <f>IF(Table1[[#This Row],[Rework_Flag]]="Yes",1,0)</f>
        <v>1</v>
      </c>
      <c r="Y437" s="4">
        <v>1</v>
      </c>
      <c r="Z437" s="4" t="str">
        <f>IF(Table1[[#This Row],[TAT_Days]]&gt;Table1[[#This Row],[SLA_TAT]],"Yes","No")</f>
        <v>Yes</v>
      </c>
      <c r="AA437" s="4" t="str" cm="1">
        <f t="array" ref="AA437">_xlfn.IFS(Table1[[#This Row],[Customer_Satisfaction]]&lt;=2,"Poor",Table1[[#This Row],[Customer_Satisfaction]]=3,"Neutral",Table1[[#This Row],[Customer_Satisfaction]]=4,"Good",Table1[[#This Row],[Customer_Satisfaction]]=5,"Good")</f>
        <v>Poor</v>
      </c>
    </row>
    <row r="438" spans="1:27" x14ac:dyDescent="0.35">
      <c r="A438">
        <v>20436</v>
      </c>
      <c r="B438" s="1">
        <v>45459</v>
      </c>
      <c r="C438" t="s">
        <v>50</v>
      </c>
      <c r="D438" t="s">
        <v>80</v>
      </c>
      <c r="E438" t="s">
        <v>121</v>
      </c>
      <c r="F438" t="s">
        <v>53</v>
      </c>
      <c r="G438" t="s">
        <v>63</v>
      </c>
      <c r="H438" t="s">
        <v>24</v>
      </c>
      <c r="I438" t="s">
        <v>55</v>
      </c>
      <c r="J438" t="s">
        <v>35</v>
      </c>
      <c r="K438" t="s">
        <v>27</v>
      </c>
      <c r="L438" t="s">
        <v>28</v>
      </c>
      <c r="M438" s="4">
        <v>19</v>
      </c>
      <c r="N438" s="4">
        <v>7</v>
      </c>
      <c r="O438" t="s">
        <v>29</v>
      </c>
      <c r="P438" t="s">
        <v>36</v>
      </c>
      <c r="Q438" s="4">
        <v>464533</v>
      </c>
      <c r="R438" s="4">
        <v>370444</v>
      </c>
      <c r="S438" s="4">
        <f>Table1[[#This Row],[Service_Revenue]]-Table1[[#This Row],[Service_Cost]]</f>
        <v>94089</v>
      </c>
      <c r="T438" s="4">
        <v>1</v>
      </c>
      <c r="U438" s="4">
        <f>IF(AND(Table1[[#This Row],[Rework_Flag]]="Yes",Table1[[#This Row],[Warranty_Claim]]="No"),Table1[[#This Row],[Service_Revenue]],0)</f>
        <v>464533</v>
      </c>
      <c r="V438" s="4">
        <f>IF(Table1[[#This Row],[Warranty_Claim]]="Yes",1,0)</f>
        <v>0</v>
      </c>
      <c r="W438" s="4">
        <f>IF(Table1[[#This Row],[Rework_Flag]]="No",1,0)</f>
        <v>0</v>
      </c>
      <c r="X438" s="4">
        <f>IF(Table1[[#This Row],[Rework_Flag]]="Yes",1,0)</f>
        <v>1</v>
      </c>
      <c r="Y438" s="4">
        <v>1</v>
      </c>
      <c r="Z438" s="4" t="str">
        <f>IF(Table1[[#This Row],[TAT_Days]]&gt;Table1[[#This Row],[SLA_TAT]],"Yes","No")</f>
        <v>Yes</v>
      </c>
      <c r="AA438" s="4" t="str" cm="1">
        <f t="array" ref="AA438">_xlfn.IFS(Table1[[#This Row],[Customer_Satisfaction]]&lt;=2,"Poor",Table1[[#This Row],[Customer_Satisfaction]]=3,"Neutral",Table1[[#This Row],[Customer_Satisfaction]]=4,"Good",Table1[[#This Row],[Customer_Satisfaction]]=5,"Good")</f>
        <v>Poor</v>
      </c>
    </row>
    <row r="439" spans="1:27" x14ac:dyDescent="0.35">
      <c r="A439">
        <v>20437</v>
      </c>
      <c r="B439" s="1">
        <v>45375</v>
      </c>
      <c r="C439" t="s">
        <v>19</v>
      </c>
      <c r="D439" t="s">
        <v>96</v>
      </c>
      <c r="E439" t="s">
        <v>97</v>
      </c>
      <c r="F439" t="s">
        <v>40</v>
      </c>
      <c r="G439" t="s">
        <v>23</v>
      </c>
      <c r="H439" t="s">
        <v>24</v>
      </c>
      <c r="I439" t="s">
        <v>25</v>
      </c>
      <c r="J439" t="s">
        <v>26</v>
      </c>
      <c r="K439" t="s">
        <v>44</v>
      </c>
      <c r="L439" t="s">
        <v>28</v>
      </c>
      <c r="M439" s="4">
        <v>14</v>
      </c>
      <c r="N439" s="4">
        <v>7</v>
      </c>
      <c r="O439" t="s">
        <v>36</v>
      </c>
      <c r="P439" t="s">
        <v>29</v>
      </c>
      <c r="Q439" s="4">
        <v>458538</v>
      </c>
      <c r="R439" s="4">
        <v>285629</v>
      </c>
      <c r="S439" s="4">
        <f>Table1[[#This Row],[Service_Revenue]]-Table1[[#This Row],[Service_Cost]]</f>
        <v>172909</v>
      </c>
      <c r="T439" s="4">
        <v>3</v>
      </c>
      <c r="U439" s="4">
        <f>IF(AND(Table1[[#This Row],[Rework_Flag]]="Yes",Table1[[#This Row],[Warranty_Claim]]="No"),Table1[[#This Row],[Service_Revenue]],0)</f>
        <v>0</v>
      </c>
      <c r="V439" s="4">
        <f>IF(Table1[[#This Row],[Warranty_Claim]]="Yes",1,0)</f>
        <v>1</v>
      </c>
      <c r="W439" s="4">
        <f>IF(Table1[[#This Row],[Rework_Flag]]="No",1,0)</f>
        <v>1</v>
      </c>
      <c r="X439" s="4">
        <f>IF(Table1[[#This Row],[Rework_Flag]]="Yes",1,0)</f>
        <v>0</v>
      </c>
      <c r="Y439" s="4">
        <v>1</v>
      </c>
      <c r="Z439" s="4" t="str">
        <f>IF(Table1[[#This Row],[TAT_Days]]&gt;Table1[[#This Row],[SLA_TAT]],"Yes","No")</f>
        <v>Yes</v>
      </c>
      <c r="AA439" s="4" t="str" cm="1">
        <f t="array" ref="AA439">_xlfn.IFS(Table1[[#This Row],[Customer_Satisfaction]]&lt;=2,"Poor",Table1[[#This Row],[Customer_Satisfaction]]=3,"Neutral",Table1[[#This Row],[Customer_Satisfaction]]=4,"Good",Table1[[#This Row],[Customer_Satisfaction]]=5,"Good")</f>
        <v>Neutral</v>
      </c>
    </row>
    <row r="440" spans="1:27" x14ac:dyDescent="0.35">
      <c r="A440">
        <v>20438</v>
      </c>
      <c r="B440" s="1">
        <v>45324</v>
      </c>
      <c r="C440" t="s">
        <v>19</v>
      </c>
      <c r="D440" t="s">
        <v>96</v>
      </c>
      <c r="E440" t="s">
        <v>97</v>
      </c>
      <c r="F440" t="s">
        <v>53</v>
      </c>
      <c r="G440" t="s">
        <v>33</v>
      </c>
      <c r="H440" t="s">
        <v>34</v>
      </c>
      <c r="I440" t="s">
        <v>25</v>
      </c>
      <c r="J440" t="s">
        <v>43</v>
      </c>
      <c r="K440" t="s">
        <v>44</v>
      </c>
      <c r="L440" t="s">
        <v>49</v>
      </c>
      <c r="M440" s="4">
        <v>4</v>
      </c>
      <c r="N440" s="4">
        <v>7</v>
      </c>
      <c r="O440" t="s">
        <v>29</v>
      </c>
      <c r="P440" t="s">
        <v>36</v>
      </c>
      <c r="Q440" s="4">
        <v>428781</v>
      </c>
      <c r="R440" s="4">
        <v>294758</v>
      </c>
      <c r="S440" s="4">
        <f>Table1[[#This Row],[Service_Revenue]]-Table1[[#This Row],[Service_Cost]]</f>
        <v>134023</v>
      </c>
      <c r="T440" s="4">
        <v>4</v>
      </c>
      <c r="U440" s="4">
        <f>IF(AND(Table1[[#This Row],[Rework_Flag]]="Yes",Table1[[#This Row],[Warranty_Claim]]="No"),Table1[[#This Row],[Service_Revenue]],0)</f>
        <v>428781</v>
      </c>
      <c r="V440" s="4">
        <f>IF(Table1[[#This Row],[Warranty_Claim]]="Yes",1,0)</f>
        <v>0</v>
      </c>
      <c r="W440" s="4">
        <f>IF(Table1[[#This Row],[Rework_Flag]]="No",1,0)</f>
        <v>0</v>
      </c>
      <c r="X440" s="4">
        <f>IF(Table1[[#This Row],[Rework_Flag]]="Yes",1,0)</f>
        <v>1</v>
      </c>
      <c r="Y440" s="4">
        <v>1</v>
      </c>
      <c r="Z440" s="4" t="str">
        <f>IF(Table1[[#This Row],[TAT_Days]]&gt;Table1[[#This Row],[SLA_TAT]],"Yes","No")</f>
        <v>No</v>
      </c>
      <c r="AA440" s="4" t="str" cm="1">
        <f t="array" ref="AA440">_xlfn.IFS(Table1[[#This Row],[Customer_Satisfaction]]&lt;=2,"Poor",Table1[[#This Row],[Customer_Satisfaction]]=3,"Neutral",Table1[[#This Row],[Customer_Satisfaction]]=4,"Good",Table1[[#This Row],[Customer_Satisfaction]]=5,"Good")</f>
        <v>Good</v>
      </c>
    </row>
    <row r="441" spans="1:27" x14ac:dyDescent="0.35">
      <c r="A441">
        <v>20439</v>
      </c>
      <c r="B441" s="1">
        <v>45359</v>
      </c>
      <c r="C441" t="s">
        <v>30</v>
      </c>
      <c r="D441" t="s">
        <v>59</v>
      </c>
      <c r="E441" t="s">
        <v>94</v>
      </c>
      <c r="F441" t="s">
        <v>53</v>
      </c>
      <c r="G441" t="s">
        <v>63</v>
      </c>
      <c r="H441" t="s">
        <v>24</v>
      </c>
      <c r="I441" t="s">
        <v>25</v>
      </c>
      <c r="J441" t="s">
        <v>67</v>
      </c>
      <c r="K441" t="s">
        <v>27</v>
      </c>
      <c r="L441" t="s">
        <v>49</v>
      </c>
      <c r="M441" s="4">
        <v>12</v>
      </c>
      <c r="N441" s="4">
        <v>7</v>
      </c>
      <c r="O441" t="s">
        <v>29</v>
      </c>
      <c r="P441" t="s">
        <v>36</v>
      </c>
      <c r="Q441" s="4">
        <v>213260</v>
      </c>
      <c r="R441" s="4">
        <v>137153</v>
      </c>
      <c r="S441" s="4">
        <f>Table1[[#This Row],[Service_Revenue]]-Table1[[#This Row],[Service_Cost]]</f>
        <v>76107</v>
      </c>
      <c r="T441" s="4">
        <v>2</v>
      </c>
      <c r="U441" s="4">
        <f>IF(AND(Table1[[#This Row],[Rework_Flag]]="Yes",Table1[[#This Row],[Warranty_Claim]]="No"),Table1[[#This Row],[Service_Revenue]],0)</f>
        <v>213260</v>
      </c>
      <c r="V441" s="4">
        <f>IF(Table1[[#This Row],[Warranty_Claim]]="Yes",1,0)</f>
        <v>0</v>
      </c>
      <c r="W441" s="4">
        <f>IF(Table1[[#This Row],[Rework_Flag]]="No",1,0)</f>
        <v>0</v>
      </c>
      <c r="X441" s="4">
        <f>IF(Table1[[#This Row],[Rework_Flag]]="Yes",1,0)</f>
        <v>1</v>
      </c>
      <c r="Y441" s="4">
        <v>1</v>
      </c>
      <c r="Z441" s="4" t="str">
        <f>IF(Table1[[#This Row],[TAT_Days]]&gt;Table1[[#This Row],[SLA_TAT]],"Yes","No")</f>
        <v>Yes</v>
      </c>
      <c r="AA441" s="4" t="str" cm="1">
        <f t="array" ref="AA441">_xlfn.IFS(Table1[[#This Row],[Customer_Satisfaction]]&lt;=2,"Poor",Table1[[#This Row],[Customer_Satisfaction]]=3,"Neutral",Table1[[#This Row],[Customer_Satisfaction]]=4,"Good",Table1[[#This Row],[Customer_Satisfaction]]=5,"Good")</f>
        <v>Poor</v>
      </c>
    </row>
    <row r="442" spans="1:27" x14ac:dyDescent="0.35">
      <c r="A442">
        <v>20440</v>
      </c>
      <c r="B442" s="1">
        <v>45463</v>
      </c>
      <c r="C442" t="s">
        <v>30</v>
      </c>
      <c r="D442" t="s">
        <v>59</v>
      </c>
      <c r="E442" t="s">
        <v>78</v>
      </c>
      <c r="F442" t="s">
        <v>40</v>
      </c>
      <c r="G442" t="s">
        <v>74</v>
      </c>
      <c r="H442" t="s">
        <v>34</v>
      </c>
      <c r="I442" t="s">
        <v>25</v>
      </c>
      <c r="J442" t="s">
        <v>43</v>
      </c>
      <c r="K442" t="s">
        <v>61</v>
      </c>
      <c r="L442" t="s">
        <v>28</v>
      </c>
      <c r="M442" s="4">
        <v>12</v>
      </c>
      <c r="N442" s="4">
        <v>7</v>
      </c>
      <c r="O442" t="s">
        <v>29</v>
      </c>
      <c r="P442" t="s">
        <v>36</v>
      </c>
      <c r="Q442" s="4">
        <v>486668</v>
      </c>
      <c r="R442" s="4">
        <v>388100</v>
      </c>
      <c r="S442" s="4">
        <f>Table1[[#This Row],[Service_Revenue]]-Table1[[#This Row],[Service_Cost]]</f>
        <v>98568</v>
      </c>
      <c r="T442" s="4">
        <v>2</v>
      </c>
      <c r="U442" s="4">
        <f>IF(AND(Table1[[#This Row],[Rework_Flag]]="Yes",Table1[[#This Row],[Warranty_Claim]]="No"),Table1[[#This Row],[Service_Revenue]],0)</f>
        <v>486668</v>
      </c>
      <c r="V442" s="4">
        <f>IF(Table1[[#This Row],[Warranty_Claim]]="Yes",1,0)</f>
        <v>0</v>
      </c>
      <c r="W442" s="4">
        <f>IF(Table1[[#This Row],[Rework_Flag]]="No",1,0)</f>
        <v>0</v>
      </c>
      <c r="X442" s="4">
        <f>IF(Table1[[#This Row],[Rework_Flag]]="Yes",1,0)</f>
        <v>1</v>
      </c>
      <c r="Y442" s="4">
        <v>1</v>
      </c>
      <c r="Z442" s="4" t="str">
        <f>IF(Table1[[#This Row],[TAT_Days]]&gt;Table1[[#This Row],[SLA_TAT]],"Yes","No")</f>
        <v>Yes</v>
      </c>
      <c r="AA442" s="4" t="str" cm="1">
        <f t="array" ref="AA442">_xlfn.IFS(Table1[[#This Row],[Customer_Satisfaction]]&lt;=2,"Poor",Table1[[#This Row],[Customer_Satisfaction]]=3,"Neutral",Table1[[#This Row],[Customer_Satisfaction]]=4,"Good",Table1[[#This Row],[Customer_Satisfaction]]=5,"Good")</f>
        <v>Poor</v>
      </c>
    </row>
    <row r="443" spans="1:27" x14ac:dyDescent="0.35">
      <c r="A443">
        <v>20441</v>
      </c>
      <c r="B443" s="1">
        <v>45335</v>
      </c>
      <c r="C443" t="s">
        <v>37</v>
      </c>
      <c r="D443" t="s">
        <v>38</v>
      </c>
      <c r="E443" t="s">
        <v>112</v>
      </c>
      <c r="F443" t="s">
        <v>40</v>
      </c>
      <c r="G443" t="s">
        <v>74</v>
      </c>
      <c r="H443" t="s">
        <v>34</v>
      </c>
      <c r="I443" t="s">
        <v>55</v>
      </c>
      <c r="J443" t="s">
        <v>58</v>
      </c>
      <c r="K443" t="s">
        <v>27</v>
      </c>
      <c r="L443" t="s">
        <v>49</v>
      </c>
      <c r="M443" s="4">
        <v>13</v>
      </c>
      <c r="N443" s="4">
        <v>7</v>
      </c>
      <c r="O443" t="s">
        <v>29</v>
      </c>
      <c r="P443" t="s">
        <v>36</v>
      </c>
      <c r="Q443" s="4">
        <v>559252</v>
      </c>
      <c r="R443" s="4">
        <v>302814</v>
      </c>
      <c r="S443" s="4">
        <f>Table1[[#This Row],[Service_Revenue]]-Table1[[#This Row],[Service_Cost]]</f>
        <v>256438</v>
      </c>
      <c r="T443" s="4">
        <v>2</v>
      </c>
      <c r="U443" s="4">
        <f>IF(AND(Table1[[#This Row],[Rework_Flag]]="Yes",Table1[[#This Row],[Warranty_Claim]]="No"),Table1[[#This Row],[Service_Revenue]],0)</f>
        <v>559252</v>
      </c>
      <c r="V443" s="4">
        <f>IF(Table1[[#This Row],[Warranty_Claim]]="Yes",1,0)</f>
        <v>0</v>
      </c>
      <c r="W443" s="4">
        <f>IF(Table1[[#This Row],[Rework_Flag]]="No",1,0)</f>
        <v>0</v>
      </c>
      <c r="X443" s="4">
        <f>IF(Table1[[#This Row],[Rework_Flag]]="Yes",1,0)</f>
        <v>1</v>
      </c>
      <c r="Y443" s="4">
        <v>1</v>
      </c>
      <c r="Z443" s="4" t="str">
        <f>IF(Table1[[#This Row],[TAT_Days]]&gt;Table1[[#This Row],[SLA_TAT]],"Yes","No")</f>
        <v>Yes</v>
      </c>
      <c r="AA443" s="4" t="str" cm="1">
        <f t="array" ref="AA443">_xlfn.IFS(Table1[[#This Row],[Customer_Satisfaction]]&lt;=2,"Poor",Table1[[#This Row],[Customer_Satisfaction]]=3,"Neutral",Table1[[#This Row],[Customer_Satisfaction]]=4,"Good",Table1[[#This Row],[Customer_Satisfaction]]=5,"Good")</f>
        <v>Poor</v>
      </c>
    </row>
    <row r="444" spans="1:27" x14ac:dyDescent="0.35">
      <c r="A444">
        <v>20442</v>
      </c>
      <c r="B444" s="1">
        <v>45400</v>
      </c>
      <c r="C444" t="s">
        <v>19</v>
      </c>
      <c r="D444" t="s">
        <v>96</v>
      </c>
      <c r="E444" t="s">
        <v>105</v>
      </c>
      <c r="F444" t="s">
        <v>22</v>
      </c>
      <c r="G444" t="s">
        <v>41</v>
      </c>
      <c r="H444" t="s">
        <v>42</v>
      </c>
      <c r="I444" t="s">
        <v>25</v>
      </c>
      <c r="J444" t="s">
        <v>67</v>
      </c>
      <c r="K444" t="s">
        <v>44</v>
      </c>
      <c r="L444" t="s">
        <v>28</v>
      </c>
      <c r="M444" s="4">
        <v>10</v>
      </c>
      <c r="N444" s="4">
        <v>7</v>
      </c>
      <c r="O444" t="s">
        <v>36</v>
      </c>
      <c r="P444" t="s">
        <v>36</v>
      </c>
      <c r="Q444" s="4">
        <v>207191</v>
      </c>
      <c r="R444" s="4">
        <v>130880</v>
      </c>
      <c r="S444" s="4">
        <f>Table1[[#This Row],[Service_Revenue]]-Table1[[#This Row],[Service_Cost]]</f>
        <v>76311</v>
      </c>
      <c r="T444" s="4">
        <v>3</v>
      </c>
      <c r="U444" s="4">
        <f>IF(AND(Table1[[#This Row],[Rework_Flag]]="Yes",Table1[[#This Row],[Warranty_Claim]]="No"),Table1[[#This Row],[Service_Revenue]],0)</f>
        <v>0</v>
      </c>
      <c r="V444" s="4">
        <f>IF(Table1[[#This Row],[Warranty_Claim]]="Yes",1,0)</f>
        <v>0</v>
      </c>
      <c r="W444" s="4">
        <f>IF(Table1[[#This Row],[Rework_Flag]]="No",1,0)</f>
        <v>1</v>
      </c>
      <c r="X444" s="4">
        <f>IF(Table1[[#This Row],[Rework_Flag]]="Yes",1,0)</f>
        <v>0</v>
      </c>
      <c r="Y444" s="4">
        <v>1</v>
      </c>
      <c r="Z444" s="4" t="str">
        <f>IF(Table1[[#This Row],[TAT_Days]]&gt;Table1[[#This Row],[SLA_TAT]],"Yes","No")</f>
        <v>Yes</v>
      </c>
      <c r="AA444" s="4" t="str" cm="1">
        <f t="array" ref="AA444">_xlfn.IFS(Table1[[#This Row],[Customer_Satisfaction]]&lt;=2,"Poor",Table1[[#This Row],[Customer_Satisfaction]]=3,"Neutral",Table1[[#This Row],[Customer_Satisfaction]]=4,"Good",Table1[[#This Row],[Customer_Satisfaction]]=5,"Good")</f>
        <v>Neutral</v>
      </c>
    </row>
    <row r="445" spans="1:27" x14ac:dyDescent="0.35">
      <c r="A445">
        <v>20443</v>
      </c>
      <c r="B445" s="1">
        <v>45301</v>
      </c>
      <c r="C445" t="s">
        <v>19</v>
      </c>
      <c r="D445" t="s">
        <v>96</v>
      </c>
      <c r="E445" t="s">
        <v>105</v>
      </c>
      <c r="F445" t="s">
        <v>53</v>
      </c>
      <c r="G445" t="s">
        <v>41</v>
      </c>
      <c r="H445" t="s">
        <v>42</v>
      </c>
      <c r="I445" t="s">
        <v>55</v>
      </c>
      <c r="J445" t="s">
        <v>58</v>
      </c>
      <c r="K445" t="s">
        <v>27</v>
      </c>
      <c r="L445" t="s">
        <v>28</v>
      </c>
      <c r="M445" s="4">
        <v>19</v>
      </c>
      <c r="N445" s="4">
        <v>7</v>
      </c>
      <c r="O445" t="s">
        <v>29</v>
      </c>
      <c r="P445" t="s">
        <v>36</v>
      </c>
      <c r="Q445" s="4">
        <v>494369</v>
      </c>
      <c r="R445" s="4">
        <v>408783</v>
      </c>
      <c r="S445" s="4">
        <f>Table1[[#This Row],[Service_Revenue]]-Table1[[#This Row],[Service_Cost]]</f>
        <v>85586</v>
      </c>
      <c r="T445" s="4">
        <v>1</v>
      </c>
      <c r="U445" s="4">
        <f>IF(AND(Table1[[#This Row],[Rework_Flag]]="Yes",Table1[[#This Row],[Warranty_Claim]]="No"),Table1[[#This Row],[Service_Revenue]],0)</f>
        <v>494369</v>
      </c>
      <c r="V445" s="4">
        <f>IF(Table1[[#This Row],[Warranty_Claim]]="Yes",1,0)</f>
        <v>0</v>
      </c>
      <c r="W445" s="4">
        <f>IF(Table1[[#This Row],[Rework_Flag]]="No",1,0)</f>
        <v>0</v>
      </c>
      <c r="X445" s="4">
        <f>IF(Table1[[#This Row],[Rework_Flag]]="Yes",1,0)</f>
        <v>1</v>
      </c>
      <c r="Y445" s="4">
        <v>1</v>
      </c>
      <c r="Z445" s="4" t="str">
        <f>IF(Table1[[#This Row],[TAT_Days]]&gt;Table1[[#This Row],[SLA_TAT]],"Yes","No")</f>
        <v>Yes</v>
      </c>
      <c r="AA445" s="4" t="str" cm="1">
        <f t="array" ref="AA445">_xlfn.IFS(Table1[[#This Row],[Customer_Satisfaction]]&lt;=2,"Poor",Table1[[#This Row],[Customer_Satisfaction]]=3,"Neutral",Table1[[#This Row],[Customer_Satisfaction]]=4,"Good",Table1[[#This Row],[Customer_Satisfaction]]=5,"Good")</f>
        <v>Poor</v>
      </c>
    </row>
    <row r="446" spans="1:27" x14ac:dyDescent="0.35">
      <c r="A446">
        <v>20444</v>
      </c>
      <c r="B446" s="1">
        <v>45428</v>
      </c>
      <c r="C446" t="s">
        <v>30</v>
      </c>
      <c r="D446" t="s">
        <v>83</v>
      </c>
      <c r="E446" t="s">
        <v>84</v>
      </c>
      <c r="F446" t="s">
        <v>22</v>
      </c>
      <c r="G446" t="s">
        <v>47</v>
      </c>
      <c r="H446" t="s">
        <v>48</v>
      </c>
      <c r="I446" t="s">
        <v>25</v>
      </c>
      <c r="J446" t="s">
        <v>58</v>
      </c>
      <c r="K446" t="s">
        <v>61</v>
      </c>
      <c r="L446" t="s">
        <v>28</v>
      </c>
      <c r="M446" s="4">
        <v>24</v>
      </c>
      <c r="N446" s="4">
        <v>7</v>
      </c>
      <c r="O446" t="s">
        <v>36</v>
      </c>
      <c r="P446" t="s">
        <v>36</v>
      </c>
      <c r="Q446" s="4">
        <v>379244</v>
      </c>
      <c r="R446" s="4">
        <v>283246</v>
      </c>
      <c r="S446" s="4">
        <f>Table1[[#This Row],[Service_Revenue]]-Table1[[#This Row],[Service_Cost]]</f>
        <v>95998</v>
      </c>
      <c r="T446" s="4">
        <v>1</v>
      </c>
      <c r="U446" s="4">
        <f>IF(AND(Table1[[#This Row],[Rework_Flag]]="Yes",Table1[[#This Row],[Warranty_Claim]]="No"),Table1[[#This Row],[Service_Revenue]],0)</f>
        <v>0</v>
      </c>
      <c r="V446" s="4">
        <f>IF(Table1[[#This Row],[Warranty_Claim]]="Yes",1,0)</f>
        <v>0</v>
      </c>
      <c r="W446" s="4">
        <f>IF(Table1[[#This Row],[Rework_Flag]]="No",1,0)</f>
        <v>1</v>
      </c>
      <c r="X446" s="4">
        <f>IF(Table1[[#This Row],[Rework_Flag]]="Yes",1,0)</f>
        <v>0</v>
      </c>
      <c r="Y446" s="4">
        <v>1</v>
      </c>
      <c r="Z446" s="4" t="str">
        <f>IF(Table1[[#This Row],[TAT_Days]]&gt;Table1[[#This Row],[SLA_TAT]],"Yes","No")</f>
        <v>Yes</v>
      </c>
      <c r="AA446" s="4" t="str" cm="1">
        <f t="array" ref="AA446">_xlfn.IFS(Table1[[#This Row],[Customer_Satisfaction]]&lt;=2,"Poor",Table1[[#This Row],[Customer_Satisfaction]]=3,"Neutral",Table1[[#This Row],[Customer_Satisfaction]]=4,"Good",Table1[[#This Row],[Customer_Satisfaction]]=5,"Good")</f>
        <v>Poor</v>
      </c>
    </row>
    <row r="447" spans="1:27" x14ac:dyDescent="0.35">
      <c r="A447">
        <v>20445</v>
      </c>
      <c r="B447" s="1">
        <v>45381</v>
      </c>
      <c r="C447" t="s">
        <v>37</v>
      </c>
      <c r="D447" t="s">
        <v>64</v>
      </c>
      <c r="E447" t="s">
        <v>103</v>
      </c>
      <c r="F447" t="s">
        <v>40</v>
      </c>
      <c r="G447" t="s">
        <v>74</v>
      </c>
      <c r="H447" t="s">
        <v>34</v>
      </c>
      <c r="I447" t="s">
        <v>25</v>
      </c>
      <c r="J447" t="s">
        <v>58</v>
      </c>
      <c r="K447" t="s">
        <v>61</v>
      </c>
      <c r="L447" t="s">
        <v>49</v>
      </c>
      <c r="M447" s="4">
        <v>22</v>
      </c>
      <c r="N447" s="4">
        <v>7</v>
      </c>
      <c r="O447" t="s">
        <v>29</v>
      </c>
      <c r="P447" t="s">
        <v>29</v>
      </c>
      <c r="Q447" s="4">
        <v>542578</v>
      </c>
      <c r="R447" s="4">
        <v>420110</v>
      </c>
      <c r="S447" s="4">
        <f>Table1[[#This Row],[Service_Revenue]]-Table1[[#This Row],[Service_Cost]]</f>
        <v>122468</v>
      </c>
      <c r="T447" s="4">
        <v>1</v>
      </c>
      <c r="U447" s="4">
        <f>IF(AND(Table1[[#This Row],[Rework_Flag]]="Yes",Table1[[#This Row],[Warranty_Claim]]="No"),Table1[[#This Row],[Service_Revenue]],0)</f>
        <v>0</v>
      </c>
      <c r="V447" s="4">
        <f>IF(Table1[[#This Row],[Warranty_Claim]]="Yes",1,0)</f>
        <v>1</v>
      </c>
      <c r="W447" s="4">
        <f>IF(Table1[[#This Row],[Rework_Flag]]="No",1,0)</f>
        <v>0</v>
      </c>
      <c r="X447" s="4">
        <f>IF(Table1[[#This Row],[Rework_Flag]]="Yes",1,0)</f>
        <v>1</v>
      </c>
      <c r="Y447" s="4">
        <v>1</v>
      </c>
      <c r="Z447" s="4" t="str">
        <f>IF(Table1[[#This Row],[TAT_Days]]&gt;Table1[[#This Row],[SLA_TAT]],"Yes","No")</f>
        <v>Yes</v>
      </c>
      <c r="AA447" s="4" t="str" cm="1">
        <f t="array" ref="AA447">_xlfn.IFS(Table1[[#This Row],[Customer_Satisfaction]]&lt;=2,"Poor",Table1[[#This Row],[Customer_Satisfaction]]=3,"Neutral",Table1[[#This Row],[Customer_Satisfaction]]=4,"Good",Table1[[#This Row],[Customer_Satisfaction]]=5,"Good")</f>
        <v>Poor</v>
      </c>
    </row>
    <row r="448" spans="1:27" x14ac:dyDescent="0.35">
      <c r="A448">
        <v>20446</v>
      </c>
      <c r="B448" s="1">
        <v>45312</v>
      </c>
      <c r="C448" t="s">
        <v>30</v>
      </c>
      <c r="D448" t="s">
        <v>31</v>
      </c>
      <c r="E448" t="s">
        <v>32</v>
      </c>
      <c r="F448" t="s">
        <v>53</v>
      </c>
      <c r="G448" t="s">
        <v>33</v>
      </c>
      <c r="H448" t="s">
        <v>34</v>
      </c>
      <c r="I448" t="s">
        <v>55</v>
      </c>
      <c r="J448" t="s">
        <v>67</v>
      </c>
      <c r="K448" t="s">
        <v>44</v>
      </c>
      <c r="L448" t="s">
        <v>49</v>
      </c>
      <c r="M448" s="4">
        <v>21</v>
      </c>
      <c r="N448" s="4">
        <v>7</v>
      </c>
      <c r="O448" t="s">
        <v>36</v>
      </c>
      <c r="P448" t="s">
        <v>36</v>
      </c>
      <c r="Q448" s="4">
        <v>322932</v>
      </c>
      <c r="R448" s="4">
        <v>258841</v>
      </c>
      <c r="S448" s="4">
        <f>Table1[[#This Row],[Service_Revenue]]-Table1[[#This Row],[Service_Cost]]</f>
        <v>64091</v>
      </c>
      <c r="T448" s="4">
        <v>1</v>
      </c>
      <c r="U448" s="4">
        <f>IF(AND(Table1[[#This Row],[Rework_Flag]]="Yes",Table1[[#This Row],[Warranty_Claim]]="No"),Table1[[#This Row],[Service_Revenue]],0)</f>
        <v>0</v>
      </c>
      <c r="V448" s="4">
        <f>IF(Table1[[#This Row],[Warranty_Claim]]="Yes",1,0)</f>
        <v>0</v>
      </c>
      <c r="W448" s="4">
        <f>IF(Table1[[#This Row],[Rework_Flag]]="No",1,0)</f>
        <v>1</v>
      </c>
      <c r="X448" s="4">
        <f>IF(Table1[[#This Row],[Rework_Flag]]="Yes",1,0)</f>
        <v>0</v>
      </c>
      <c r="Y448" s="4">
        <v>1</v>
      </c>
      <c r="Z448" s="4" t="str">
        <f>IF(Table1[[#This Row],[TAT_Days]]&gt;Table1[[#This Row],[SLA_TAT]],"Yes","No")</f>
        <v>Yes</v>
      </c>
      <c r="AA448" s="4" t="str" cm="1">
        <f t="array" ref="AA448">_xlfn.IFS(Table1[[#This Row],[Customer_Satisfaction]]&lt;=2,"Poor",Table1[[#This Row],[Customer_Satisfaction]]=3,"Neutral",Table1[[#This Row],[Customer_Satisfaction]]=4,"Good",Table1[[#This Row],[Customer_Satisfaction]]=5,"Good")</f>
        <v>Poor</v>
      </c>
    </row>
    <row r="449" spans="1:27" x14ac:dyDescent="0.35">
      <c r="A449">
        <v>20447</v>
      </c>
      <c r="B449" s="1">
        <v>45370</v>
      </c>
      <c r="C449" t="s">
        <v>50</v>
      </c>
      <c r="D449" t="s">
        <v>56</v>
      </c>
      <c r="E449" t="s">
        <v>101</v>
      </c>
      <c r="F449" t="s">
        <v>53</v>
      </c>
      <c r="G449" t="s">
        <v>41</v>
      </c>
      <c r="H449" t="s">
        <v>42</v>
      </c>
      <c r="I449" t="s">
        <v>55</v>
      </c>
      <c r="J449" t="s">
        <v>35</v>
      </c>
      <c r="K449" t="s">
        <v>61</v>
      </c>
      <c r="L449" t="s">
        <v>28</v>
      </c>
      <c r="M449" s="4">
        <v>20</v>
      </c>
      <c r="N449" s="4">
        <v>7</v>
      </c>
      <c r="O449" t="s">
        <v>29</v>
      </c>
      <c r="P449" t="s">
        <v>29</v>
      </c>
      <c r="Q449" s="4">
        <v>170146</v>
      </c>
      <c r="R449" s="4">
        <v>113436</v>
      </c>
      <c r="S449" s="4">
        <f>Table1[[#This Row],[Service_Revenue]]-Table1[[#This Row],[Service_Cost]]</f>
        <v>56710</v>
      </c>
      <c r="T449" s="4">
        <v>1</v>
      </c>
      <c r="U449" s="4">
        <f>IF(AND(Table1[[#This Row],[Rework_Flag]]="Yes",Table1[[#This Row],[Warranty_Claim]]="No"),Table1[[#This Row],[Service_Revenue]],0)</f>
        <v>0</v>
      </c>
      <c r="V449" s="4">
        <f>IF(Table1[[#This Row],[Warranty_Claim]]="Yes",1,0)</f>
        <v>1</v>
      </c>
      <c r="W449" s="4">
        <f>IF(Table1[[#This Row],[Rework_Flag]]="No",1,0)</f>
        <v>0</v>
      </c>
      <c r="X449" s="4">
        <f>IF(Table1[[#This Row],[Rework_Flag]]="Yes",1,0)</f>
        <v>1</v>
      </c>
      <c r="Y449" s="4">
        <v>1</v>
      </c>
      <c r="Z449" s="4" t="str">
        <f>IF(Table1[[#This Row],[TAT_Days]]&gt;Table1[[#This Row],[SLA_TAT]],"Yes","No")</f>
        <v>Yes</v>
      </c>
      <c r="AA449" s="4" t="str" cm="1">
        <f t="array" ref="AA449">_xlfn.IFS(Table1[[#This Row],[Customer_Satisfaction]]&lt;=2,"Poor",Table1[[#This Row],[Customer_Satisfaction]]=3,"Neutral",Table1[[#This Row],[Customer_Satisfaction]]=4,"Good",Table1[[#This Row],[Customer_Satisfaction]]=5,"Good")</f>
        <v>Poor</v>
      </c>
    </row>
    <row r="450" spans="1:27" x14ac:dyDescent="0.35">
      <c r="A450">
        <v>20448</v>
      </c>
      <c r="B450" s="1">
        <v>45448</v>
      </c>
      <c r="C450" t="s">
        <v>50</v>
      </c>
      <c r="D450" t="s">
        <v>51</v>
      </c>
      <c r="E450" t="s">
        <v>120</v>
      </c>
      <c r="F450" t="s">
        <v>22</v>
      </c>
      <c r="G450" t="s">
        <v>74</v>
      </c>
      <c r="H450" t="s">
        <v>34</v>
      </c>
      <c r="I450" t="s">
        <v>25</v>
      </c>
      <c r="J450" t="s">
        <v>67</v>
      </c>
      <c r="K450" t="s">
        <v>27</v>
      </c>
      <c r="L450" t="s">
        <v>28</v>
      </c>
      <c r="M450" s="4">
        <v>25</v>
      </c>
      <c r="N450" s="4">
        <v>7</v>
      </c>
      <c r="O450" t="s">
        <v>29</v>
      </c>
      <c r="P450" t="s">
        <v>36</v>
      </c>
      <c r="Q450" s="4">
        <v>469826</v>
      </c>
      <c r="R450" s="4">
        <v>375444</v>
      </c>
      <c r="S450" s="4">
        <f>Table1[[#This Row],[Service_Revenue]]-Table1[[#This Row],[Service_Cost]]</f>
        <v>94382</v>
      </c>
      <c r="T450" s="4">
        <v>1</v>
      </c>
      <c r="U450" s="4">
        <f>IF(AND(Table1[[#This Row],[Rework_Flag]]="Yes",Table1[[#This Row],[Warranty_Claim]]="No"),Table1[[#This Row],[Service_Revenue]],0)</f>
        <v>469826</v>
      </c>
      <c r="V450" s="4">
        <f>IF(Table1[[#This Row],[Warranty_Claim]]="Yes",1,0)</f>
        <v>0</v>
      </c>
      <c r="W450" s="4">
        <f>IF(Table1[[#This Row],[Rework_Flag]]="No",1,0)</f>
        <v>0</v>
      </c>
      <c r="X450" s="4">
        <f>IF(Table1[[#This Row],[Rework_Flag]]="Yes",1,0)</f>
        <v>1</v>
      </c>
      <c r="Y450" s="4">
        <v>1</v>
      </c>
      <c r="Z450" s="4" t="str">
        <f>IF(Table1[[#This Row],[TAT_Days]]&gt;Table1[[#This Row],[SLA_TAT]],"Yes","No")</f>
        <v>Yes</v>
      </c>
      <c r="AA450" s="4" t="str" cm="1">
        <f t="array" ref="AA450">_xlfn.IFS(Table1[[#This Row],[Customer_Satisfaction]]&lt;=2,"Poor",Table1[[#This Row],[Customer_Satisfaction]]=3,"Neutral",Table1[[#This Row],[Customer_Satisfaction]]=4,"Good",Table1[[#This Row],[Customer_Satisfaction]]=5,"Good")</f>
        <v>Poor</v>
      </c>
    </row>
    <row r="451" spans="1:27" x14ac:dyDescent="0.35">
      <c r="A451">
        <v>20449</v>
      </c>
      <c r="B451" s="1">
        <v>45325</v>
      </c>
      <c r="C451" t="s">
        <v>37</v>
      </c>
      <c r="D451" t="s">
        <v>64</v>
      </c>
      <c r="E451" t="s">
        <v>65</v>
      </c>
      <c r="F451" t="s">
        <v>22</v>
      </c>
      <c r="G451" t="s">
        <v>54</v>
      </c>
      <c r="H451" t="s">
        <v>42</v>
      </c>
      <c r="I451" t="s">
        <v>25</v>
      </c>
      <c r="J451" t="s">
        <v>35</v>
      </c>
      <c r="K451" t="s">
        <v>44</v>
      </c>
      <c r="L451" t="s">
        <v>49</v>
      </c>
      <c r="M451" s="4">
        <v>2</v>
      </c>
      <c r="N451" s="4">
        <v>7</v>
      </c>
      <c r="O451" t="s">
        <v>29</v>
      </c>
      <c r="P451" t="s">
        <v>29</v>
      </c>
      <c r="Q451" s="4">
        <v>343710</v>
      </c>
      <c r="R451" s="4">
        <v>242271</v>
      </c>
      <c r="S451" s="4">
        <f>Table1[[#This Row],[Service_Revenue]]-Table1[[#This Row],[Service_Cost]]</f>
        <v>101439</v>
      </c>
      <c r="T451" s="4">
        <v>4</v>
      </c>
      <c r="U451" s="4">
        <f>IF(AND(Table1[[#This Row],[Rework_Flag]]="Yes",Table1[[#This Row],[Warranty_Claim]]="No"),Table1[[#This Row],[Service_Revenue]],0)</f>
        <v>0</v>
      </c>
      <c r="V451" s="4">
        <f>IF(Table1[[#This Row],[Warranty_Claim]]="Yes",1,0)</f>
        <v>1</v>
      </c>
      <c r="W451" s="4">
        <f>IF(Table1[[#This Row],[Rework_Flag]]="No",1,0)</f>
        <v>0</v>
      </c>
      <c r="X451" s="4">
        <f>IF(Table1[[#This Row],[Rework_Flag]]="Yes",1,0)</f>
        <v>1</v>
      </c>
      <c r="Y451" s="4">
        <v>1</v>
      </c>
      <c r="Z451" s="4" t="str">
        <f>IF(Table1[[#This Row],[TAT_Days]]&gt;Table1[[#This Row],[SLA_TAT]],"Yes","No")</f>
        <v>No</v>
      </c>
      <c r="AA451" s="4" t="str" cm="1">
        <f t="array" ref="AA451">_xlfn.IFS(Table1[[#This Row],[Customer_Satisfaction]]&lt;=2,"Poor",Table1[[#This Row],[Customer_Satisfaction]]=3,"Neutral",Table1[[#This Row],[Customer_Satisfaction]]=4,"Good",Table1[[#This Row],[Customer_Satisfaction]]=5,"Good")</f>
        <v>Good</v>
      </c>
    </row>
    <row r="452" spans="1:27" x14ac:dyDescent="0.35">
      <c r="A452">
        <v>20450</v>
      </c>
      <c r="B452" s="1">
        <v>45344</v>
      </c>
      <c r="C452" t="s">
        <v>37</v>
      </c>
      <c r="D452" t="s">
        <v>64</v>
      </c>
      <c r="E452" t="s">
        <v>115</v>
      </c>
      <c r="F452" t="s">
        <v>53</v>
      </c>
      <c r="G452" t="s">
        <v>41</v>
      </c>
      <c r="H452" t="s">
        <v>42</v>
      </c>
      <c r="I452" t="s">
        <v>25</v>
      </c>
      <c r="J452" t="s">
        <v>43</v>
      </c>
      <c r="K452" t="s">
        <v>61</v>
      </c>
      <c r="L452" t="s">
        <v>49</v>
      </c>
      <c r="M452" s="4">
        <v>5</v>
      </c>
      <c r="N452" s="4">
        <v>7</v>
      </c>
      <c r="O452" t="s">
        <v>36</v>
      </c>
      <c r="P452" t="s">
        <v>36</v>
      </c>
      <c r="Q452" s="4">
        <v>266359</v>
      </c>
      <c r="R452" s="4">
        <v>213392</v>
      </c>
      <c r="S452" s="4">
        <f>Table1[[#This Row],[Service_Revenue]]-Table1[[#This Row],[Service_Cost]]</f>
        <v>52967</v>
      </c>
      <c r="T452" s="4">
        <v>4</v>
      </c>
      <c r="U452" s="4">
        <f>IF(AND(Table1[[#This Row],[Rework_Flag]]="Yes",Table1[[#This Row],[Warranty_Claim]]="No"),Table1[[#This Row],[Service_Revenue]],0)</f>
        <v>0</v>
      </c>
      <c r="V452" s="4">
        <f>IF(Table1[[#This Row],[Warranty_Claim]]="Yes",1,0)</f>
        <v>0</v>
      </c>
      <c r="W452" s="4">
        <f>IF(Table1[[#This Row],[Rework_Flag]]="No",1,0)</f>
        <v>1</v>
      </c>
      <c r="X452" s="4">
        <f>IF(Table1[[#This Row],[Rework_Flag]]="Yes",1,0)</f>
        <v>0</v>
      </c>
      <c r="Y452" s="4">
        <v>1</v>
      </c>
      <c r="Z452" s="4" t="str">
        <f>IF(Table1[[#This Row],[TAT_Days]]&gt;Table1[[#This Row],[SLA_TAT]],"Yes","No")</f>
        <v>No</v>
      </c>
      <c r="AA452" s="4" t="str" cm="1">
        <f t="array" ref="AA452">_xlfn.IFS(Table1[[#This Row],[Customer_Satisfaction]]&lt;=2,"Poor",Table1[[#This Row],[Customer_Satisfaction]]=3,"Neutral",Table1[[#This Row],[Customer_Satisfaction]]=4,"Good",Table1[[#This Row],[Customer_Satisfaction]]=5,"Good")</f>
        <v>Good</v>
      </c>
    </row>
    <row r="453" spans="1:27" x14ac:dyDescent="0.35">
      <c r="A453">
        <v>20451</v>
      </c>
      <c r="B453" s="1">
        <v>45324</v>
      </c>
      <c r="C453" t="s">
        <v>19</v>
      </c>
      <c r="D453" t="s">
        <v>45</v>
      </c>
      <c r="E453" t="s">
        <v>114</v>
      </c>
      <c r="F453" t="s">
        <v>40</v>
      </c>
      <c r="G453" t="s">
        <v>54</v>
      </c>
      <c r="H453" t="s">
        <v>42</v>
      </c>
      <c r="I453" t="s">
        <v>55</v>
      </c>
      <c r="J453" t="s">
        <v>26</v>
      </c>
      <c r="K453" t="s">
        <v>61</v>
      </c>
      <c r="L453" t="s">
        <v>28</v>
      </c>
      <c r="M453" s="4">
        <v>2</v>
      </c>
      <c r="N453" s="4">
        <v>7</v>
      </c>
      <c r="O453" t="s">
        <v>29</v>
      </c>
      <c r="P453" t="s">
        <v>36</v>
      </c>
      <c r="Q453" s="4">
        <v>409901</v>
      </c>
      <c r="R453" s="4">
        <v>295947</v>
      </c>
      <c r="S453" s="4">
        <f>Table1[[#This Row],[Service_Revenue]]-Table1[[#This Row],[Service_Cost]]</f>
        <v>113954</v>
      </c>
      <c r="T453" s="4">
        <v>4</v>
      </c>
      <c r="U453" s="4">
        <f>IF(AND(Table1[[#This Row],[Rework_Flag]]="Yes",Table1[[#This Row],[Warranty_Claim]]="No"),Table1[[#This Row],[Service_Revenue]],0)</f>
        <v>409901</v>
      </c>
      <c r="V453" s="4">
        <f>IF(Table1[[#This Row],[Warranty_Claim]]="Yes",1,0)</f>
        <v>0</v>
      </c>
      <c r="W453" s="4">
        <f>IF(Table1[[#This Row],[Rework_Flag]]="No",1,0)</f>
        <v>0</v>
      </c>
      <c r="X453" s="4">
        <f>IF(Table1[[#This Row],[Rework_Flag]]="Yes",1,0)</f>
        <v>1</v>
      </c>
      <c r="Y453" s="4">
        <v>1</v>
      </c>
      <c r="Z453" s="4" t="str">
        <f>IF(Table1[[#This Row],[TAT_Days]]&gt;Table1[[#This Row],[SLA_TAT]],"Yes","No")</f>
        <v>No</v>
      </c>
      <c r="AA453" s="4" t="str" cm="1">
        <f t="array" ref="AA453">_xlfn.IFS(Table1[[#This Row],[Customer_Satisfaction]]&lt;=2,"Poor",Table1[[#This Row],[Customer_Satisfaction]]=3,"Neutral",Table1[[#This Row],[Customer_Satisfaction]]=4,"Good",Table1[[#This Row],[Customer_Satisfaction]]=5,"Good")</f>
        <v>Good</v>
      </c>
    </row>
    <row r="454" spans="1:27" x14ac:dyDescent="0.35">
      <c r="A454">
        <v>20452</v>
      </c>
      <c r="B454" s="1">
        <v>45294</v>
      </c>
      <c r="C454" t="s">
        <v>30</v>
      </c>
      <c r="D454" t="s">
        <v>59</v>
      </c>
      <c r="E454" t="s">
        <v>94</v>
      </c>
      <c r="F454" t="s">
        <v>22</v>
      </c>
      <c r="G454" t="s">
        <v>23</v>
      </c>
      <c r="H454" t="s">
        <v>24</v>
      </c>
      <c r="I454" t="s">
        <v>55</v>
      </c>
      <c r="J454" t="s">
        <v>43</v>
      </c>
      <c r="K454" t="s">
        <v>61</v>
      </c>
      <c r="L454" t="s">
        <v>28</v>
      </c>
      <c r="M454" s="4">
        <v>13</v>
      </c>
      <c r="N454" s="4">
        <v>7</v>
      </c>
      <c r="O454" t="s">
        <v>36</v>
      </c>
      <c r="P454" t="s">
        <v>29</v>
      </c>
      <c r="Q454" s="4">
        <v>456626</v>
      </c>
      <c r="R454" s="4">
        <v>297932</v>
      </c>
      <c r="S454" s="4">
        <f>Table1[[#This Row],[Service_Revenue]]-Table1[[#This Row],[Service_Cost]]</f>
        <v>158694</v>
      </c>
      <c r="T454" s="4">
        <v>3</v>
      </c>
      <c r="U454" s="4">
        <f>IF(AND(Table1[[#This Row],[Rework_Flag]]="Yes",Table1[[#This Row],[Warranty_Claim]]="No"),Table1[[#This Row],[Service_Revenue]],0)</f>
        <v>0</v>
      </c>
      <c r="V454" s="4">
        <f>IF(Table1[[#This Row],[Warranty_Claim]]="Yes",1,0)</f>
        <v>1</v>
      </c>
      <c r="W454" s="4">
        <f>IF(Table1[[#This Row],[Rework_Flag]]="No",1,0)</f>
        <v>1</v>
      </c>
      <c r="X454" s="4">
        <f>IF(Table1[[#This Row],[Rework_Flag]]="Yes",1,0)</f>
        <v>0</v>
      </c>
      <c r="Y454" s="4">
        <v>1</v>
      </c>
      <c r="Z454" s="4" t="str">
        <f>IF(Table1[[#This Row],[TAT_Days]]&gt;Table1[[#This Row],[SLA_TAT]],"Yes","No")</f>
        <v>Yes</v>
      </c>
      <c r="AA454" s="4" t="str" cm="1">
        <f t="array" ref="AA454">_xlfn.IFS(Table1[[#This Row],[Customer_Satisfaction]]&lt;=2,"Poor",Table1[[#This Row],[Customer_Satisfaction]]=3,"Neutral",Table1[[#This Row],[Customer_Satisfaction]]=4,"Good",Table1[[#This Row],[Customer_Satisfaction]]=5,"Good")</f>
        <v>Neutral</v>
      </c>
    </row>
    <row r="455" spans="1:27" x14ac:dyDescent="0.35">
      <c r="A455">
        <v>20453</v>
      </c>
      <c r="B455" s="1">
        <v>45416</v>
      </c>
      <c r="C455" t="s">
        <v>50</v>
      </c>
      <c r="D455" t="s">
        <v>51</v>
      </c>
      <c r="E455" t="s">
        <v>52</v>
      </c>
      <c r="F455" t="s">
        <v>40</v>
      </c>
      <c r="G455" t="s">
        <v>74</v>
      </c>
      <c r="H455" t="s">
        <v>34</v>
      </c>
      <c r="I455" t="s">
        <v>25</v>
      </c>
      <c r="J455" t="s">
        <v>26</v>
      </c>
      <c r="K455" t="s">
        <v>61</v>
      </c>
      <c r="L455" t="s">
        <v>49</v>
      </c>
      <c r="M455" s="4">
        <v>10</v>
      </c>
      <c r="N455" s="4">
        <v>7</v>
      </c>
      <c r="O455" t="s">
        <v>29</v>
      </c>
      <c r="P455" t="s">
        <v>29</v>
      </c>
      <c r="Q455" s="4">
        <v>331848</v>
      </c>
      <c r="R455" s="4">
        <v>201447</v>
      </c>
      <c r="S455" s="4">
        <f>Table1[[#This Row],[Service_Revenue]]-Table1[[#This Row],[Service_Cost]]</f>
        <v>130401</v>
      </c>
      <c r="T455" s="4">
        <v>2</v>
      </c>
      <c r="U455" s="4">
        <f>IF(AND(Table1[[#This Row],[Rework_Flag]]="Yes",Table1[[#This Row],[Warranty_Claim]]="No"),Table1[[#This Row],[Service_Revenue]],0)</f>
        <v>0</v>
      </c>
      <c r="V455" s="4">
        <f>IF(Table1[[#This Row],[Warranty_Claim]]="Yes",1,0)</f>
        <v>1</v>
      </c>
      <c r="W455" s="4">
        <f>IF(Table1[[#This Row],[Rework_Flag]]="No",1,0)</f>
        <v>0</v>
      </c>
      <c r="X455" s="4">
        <f>IF(Table1[[#This Row],[Rework_Flag]]="Yes",1,0)</f>
        <v>1</v>
      </c>
      <c r="Y455" s="4">
        <v>1</v>
      </c>
      <c r="Z455" s="4" t="str">
        <f>IF(Table1[[#This Row],[TAT_Days]]&gt;Table1[[#This Row],[SLA_TAT]],"Yes","No")</f>
        <v>Yes</v>
      </c>
      <c r="AA455" s="4" t="str" cm="1">
        <f t="array" ref="AA455">_xlfn.IFS(Table1[[#This Row],[Customer_Satisfaction]]&lt;=2,"Poor",Table1[[#This Row],[Customer_Satisfaction]]=3,"Neutral",Table1[[#This Row],[Customer_Satisfaction]]=4,"Good",Table1[[#This Row],[Customer_Satisfaction]]=5,"Good")</f>
        <v>Poor</v>
      </c>
    </row>
    <row r="456" spans="1:27" x14ac:dyDescent="0.35">
      <c r="A456">
        <v>20454</v>
      </c>
      <c r="B456" s="1">
        <v>45315</v>
      </c>
      <c r="C456" t="s">
        <v>37</v>
      </c>
      <c r="D456" t="s">
        <v>38</v>
      </c>
      <c r="E456" t="s">
        <v>112</v>
      </c>
      <c r="F456" t="s">
        <v>22</v>
      </c>
      <c r="G456" t="s">
        <v>47</v>
      </c>
      <c r="H456" t="s">
        <v>48</v>
      </c>
      <c r="I456" t="s">
        <v>55</v>
      </c>
      <c r="J456" t="s">
        <v>58</v>
      </c>
      <c r="K456" t="s">
        <v>61</v>
      </c>
      <c r="L456" t="s">
        <v>28</v>
      </c>
      <c r="M456" s="4">
        <v>8</v>
      </c>
      <c r="N456" s="4">
        <v>7</v>
      </c>
      <c r="O456" t="s">
        <v>29</v>
      </c>
      <c r="P456" t="s">
        <v>36</v>
      </c>
      <c r="Q456" s="4">
        <v>370760</v>
      </c>
      <c r="R456" s="4">
        <v>188981</v>
      </c>
      <c r="S456" s="4">
        <f>Table1[[#This Row],[Service_Revenue]]-Table1[[#This Row],[Service_Cost]]</f>
        <v>181779</v>
      </c>
      <c r="T456" s="4">
        <v>3</v>
      </c>
      <c r="U456" s="4">
        <f>IF(AND(Table1[[#This Row],[Rework_Flag]]="Yes",Table1[[#This Row],[Warranty_Claim]]="No"),Table1[[#This Row],[Service_Revenue]],0)</f>
        <v>370760</v>
      </c>
      <c r="V456" s="4">
        <f>IF(Table1[[#This Row],[Warranty_Claim]]="Yes",1,0)</f>
        <v>0</v>
      </c>
      <c r="W456" s="4">
        <f>IF(Table1[[#This Row],[Rework_Flag]]="No",1,0)</f>
        <v>0</v>
      </c>
      <c r="X456" s="4">
        <f>IF(Table1[[#This Row],[Rework_Flag]]="Yes",1,0)</f>
        <v>1</v>
      </c>
      <c r="Y456" s="4">
        <v>1</v>
      </c>
      <c r="Z456" s="4" t="str">
        <f>IF(Table1[[#This Row],[TAT_Days]]&gt;Table1[[#This Row],[SLA_TAT]],"Yes","No")</f>
        <v>Yes</v>
      </c>
      <c r="AA456" s="4" t="str" cm="1">
        <f t="array" ref="AA456">_xlfn.IFS(Table1[[#This Row],[Customer_Satisfaction]]&lt;=2,"Poor",Table1[[#This Row],[Customer_Satisfaction]]=3,"Neutral",Table1[[#This Row],[Customer_Satisfaction]]=4,"Good",Table1[[#This Row],[Customer_Satisfaction]]=5,"Good")</f>
        <v>Neutral</v>
      </c>
    </row>
    <row r="457" spans="1:27" x14ac:dyDescent="0.35">
      <c r="A457">
        <v>20455</v>
      </c>
      <c r="B457" s="1">
        <v>45452</v>
      </c>
      <c r="C457" t="s">
        <v>50</v>
      </c>
      <c r="D457" t="s">
        <v>51</v>
      </c>
      <c r="E457" t="s">
        <v>75</v>
      </c>
      <c r="F457" t="s">
        <v>40</v>
      </c>
      <c r="G457" t="s">
        <v>41</v>
      </c>
      <c r="H457" t="s">
        <v>42</v>
      </c>
      <c r="I457" t="s">
        <v>55</v>
      </c>
      <c r="J457" t="s">
        <v>35</v>
      </c>
      <c r="K457" t="s">
        <v>27</v>
      </c>
      <c r="L457" t="s">
        <v>49</v>
      </c>
      <c r="M457" s="4">
        <v>11</v>
      </c>
      <c r="N457" s="4">
        <v>7</v>
      </c>
      <c r="O457" t="s">
        <v>29</v>
      </c>
      <c r="P457" t="s">
        <v>29</v>
      </c>
      <c r="Q457" s="4">
        <v>134722</v>
      </c>
      <c r="R457" s="4">
        <v>85534</v>
      </c>
      <c r="S457" s="4">
        <f>Table1[[#This Row],[Service_Revenue]]-Table1[[#This Row],[Service_Cost]]</f>
        <v>49188</v>
      </c>
      <c r="T457" s="4">
        <v>2</v>
      </c>
      <c r="U457" s="4">
        <f>IF(AND(Table1[[#This Row],[Rework_Flag]]="Yes",Table1[[#This Row],[Warranty_Claim]]="No"),Table1[[#This Row],[Service_Revenue]],0)</f>
        <v>0</v>
      </c>
      <c r="V457" s="4">
        <f>IF(Table1[[#This Row],[Warranty_Claim]]="Yes",1,0)</f>
        <v>1</v>
      </c>
      <c r="W457" s="4">
        <f>IF(Table1[[#This Row],[Rework_Flag]]="No",1,0)</f>
        <v>0</v>
      </c>
      <c r="X457" s="4">
        <f>IF(Table1[[#This Row],[Rework_Flag]]="Yes",1,0)</f>
        <v>1</v>
      </c>
      <c r="Y457" s="4">
        <v>1</v>
      </c>
      <c r="Z457" s="4" t="str">
        <f>IF(Table1[[#This Row],[TAT_Days]]&gt;Table1[[#This Row],[SLA_TAT]],"Yes","No")</f>
        <v>Yes</v>
      </c>
      <c r="AA457" s="4" t="str" cm="1">
        <f t="array" ref="AA457">_xlfn.IFS(Table1[[#This Row],[Customer_Satisfaction]]&lt;=2,"Poor",Table1[[#This Row],[Customer_Satisfaction]]=3,"Neutral",Table1[[#This Row],[Customer_Satisfaction]]=4,"Good",Table1[[#This Row],[Customer_Satisfaction]]=5,"Good")</f>
        <v>Poor</v>
      </c>
    </row>
    <row r="458" spans="1:27" x14ac:dyDescent="0.35">
      <c r="A458">
        <v>20456</v>
      </c>
      <c r="B458" s="1">
        <v>45454</v>
      </c>
      <c r="C458" t="s">
        <v>37</v>
      </c>
      <c r="D458" t="s">
        <v>38</v>
      </c>
      <c r="E458" t="s">
        <v>112</v>
      </c>
      <c r="F458" t="s">
        <v>22</v>
      </c>
      <c r="G458" t="s">
        <v>33</v>
      </c>
      <c r="H458" t="s">
        <v>34</v>
      </c>
      <c r="I458" t="s">
        <v>55</v>
      </c>
      <c r="J458" t="s">
        <v>67</v>
      </c>
      <c r="K458" t="s">
        <v>27</v>
      </c>
      <c r="L458" t="s">
        <v>49</v>
      </c>
      <c r="M458" s="4">
        <v>11</v>
      </c>
      <c r="N458" s="4">
        <v>7</v>
      </c>
      <c r="O458" t="s">
        <v>29</v>
      </c>
      <c r="P458" t="s">
        <v>36</v>
      </c>
      <c r="Q458" s="4">
        <v>344164</v>
      </c>
      <c r="R458" s="4">
        <v>195643</v>
      </c>
      <c r="S458" s="4">
        <f>Table1[[#This Row],[Service_Revenue]]-Table1[[#This Row],[Service_Cost]]</f>
        <v>148521</v>
      </c>
      <c r="T458" s="4">
        <v>2</v>
      </c>
      <c r="U458" s="4">
        <f>IF(AND(Table1[[#This Row],[Rework_Flag]]="Yes",Table1[[#This Row],[Warranty_Claim]]="No"),Table1[[#This Row],[Service_Revenue]],0)</f>
        <v>344164</v>
      </c>
      <c r="V458" s="4">
        <f>IF(Table1[[#This Row],[Warranty_Claim]]="Yes",1,0)</f>
        <v>0</v>
      </c>
      <c r="W458" s="4">
        <f>IF(Table1[[#This Row],[Rework_Flag]]="No",1,0)</f>
        <v>0</v>
      </c>
      <c r="X458" s="4">
        <f>IF(Table1[[#This Row],[Rework_Flag]]="Yes",1,0)</f>
        <v>1</v>
      </c>
      <c r="Y458" s="4">
        <v>1</v>
      </c>
      <c r="Z458" s="4" t="str">
        <f>IF(Table1[[#This Row],[TAT_Days]]&gt;Table1[[#This Row],[SLA_TAT]],"Yes","No")</f>
        <v>Yes</v>
      </c>
      <c r="AA458" s="4" t="str" cm="1">
        <f t="array" ref="AA458">_xlfn.IFS(Table1[[#This Row],[Customer_Satisfaction]]&lt;=2,"Poor",Table1[[#This Row],[Customer_Satisfaction]]=3,"Neutral",Table1[[#This Row],[Customer_Satisfaction]]=4,"Good",Table1[[#This Row],[Customer_Satisfaction]]=5,"Good")</f>
        <v>Poor</v>
      </c>
    </row>
    <row r="459" spans="1:27" x14ac:dyDescent="0.35">
      <c r="A459">
        <v>20457</v>
      </c>
      <c r="B459" s="1">
        <v>45325</v>
      </c>
      <c r="C459" t="s">
        <v>37</v>
      </c>
      <c r="D459" t="s">
        <v>64</v>
      </c>
      <c r="E459" t="s">
        <v>87</v>
      </c>
      <c r="F459" t="s">
        <v>40</v>
      </c>
      <c r="G459" t="s">
        <v>41</v>
      </c>
      <c r="H459" t="s">
        <v>42</v>
      </c>
      <c r="I459" t="s">
        <v>55</v>
      </c>
      <c r="J459" t="s">
        <v>58</v>
      </c>
      <c r="K459" t="s">
        <v>61</v>
      </c>
      <c r="L459" t="s">
        <v>28</v>
      </c>
      <c r="M459" s="4">
        <v>2</v>
      </c>
      <c r="N459" s="4">
        <v>7</v>
      </c>
      <c r="O459" t="s">
        <v>36</v>
      </c>
      <c r="P459" t="s">
        <v>36</v>
      </c>
      <c r="Q459" s="4">
        <v>318759</v>
      </c>
      <c r="R459" s="4">
        <v>252041</v>
      </c>
      <c r="S459" s="4">
        <f>Table1[[#This Row],[Service_Revenue]]-Table1[[#This Row],[Service_Cost]]</f>
        <v>66718</v>
      </c>
      <c r="T459" s="4">
        <v>5</v>
      </c>
      <c r="U459" s="4">
        <f>IF(AND(Table1[[#This Row],[Rework_Flag]]="Yes",Table1[[#This Row],[Warranty_Claim]]="No"),Table1[[#This Row],[Service_Revenue]],0)</f>
        <v>0</v>
      </c>
      <c r="V459" s="4">
        <f>IF(Table1[[#This Row],[Warranty_Claim]]="Yes",1,0)</f>
        <v>0</v>
      </c>
      <c r="W459" s="4">
        <f>IF(Table1[[#This Row],[Rework_Flag]]="No",1,0)</f>
        <v>1</v>
      </c>
      <c r="X459" s="4">
        <f>IF(Table1[[#This Row],[Rework_Flag]]="Yes",1,0)</f>
        <v>0</v>
      </c>
      <c r="Y459" s="4">
        <v>1</v>
      </c>
      <c r="Z459" s="4" t="str">
        <f>IF(Table1[[#This Row],[TAT_Days]]&gt;Table1[[#This Row],[SLA_TAT]],"Yes","No")</f>
        <v>No</v>
      </c>
      <c r="AA459" s="4" t="str" cm="1">
        <f t="array" ref="AA459">_xlfn.IFS(Table1[[#This Row],[Customer_Satisfaction]]&lt;=2,"Poor",Table1[[#This Row],[Customer_Satisfaction]]=3,"Neutral",Table1[[#This Row],[Customer_Satisfaction]]=4,"Good",Table1[[#This Row],[Customer_Satisfaction]]=5,"Good")</f>
        <v>Good</v>
      </c>
    </row>
    <row r="460" spans="1:27" x14ac:dyDescent="0.35">
      <c r="A460">
        <v>20458</v>
      </c>
      <c r="B460" s="1">
        <v>45446</v>
      </c>
      <c r="C460" t="s">
        <v>50</v>
      </c>
      <c r="D460" t="s">
        <v>56</v>
      </c>
      <c r="E460" t="s">
        <v>77</v>
      </c>
      <c r="F460" t="s">
        <v>53</v>
      </c>
      <c r="G460" t="s">
        <v>47</v>
      </c>
      <c r="H460" t="s">
        <v>48</v>
      </c>
      <c r="I460" t="s">
        <v>25</v>
      </c>
      <c r="J460" t="s">
        <v>58</v>
      </c>
      <c r="K460" t="s">
        <v>61</v>
      </c>
      <c r="L460" t="s">
        <v>28</v>
      </c>
      <c r="M460" s="4">
        <v>9</v>
      </c>
      <c r="N460" s="4">
        <v>7</v>
      </c>
      <c r="O460" t="s">
        <v>36</v>
      </c>
      <c r="P460" t="s">
        <v>36</v>
      </c>
      <c r="Q460" s="4">
        <v>363227</v>
      </c>
      <c r="R460" s="4">
        <v>223087</v>
      </c>
      <c r="S460" s="4">
        <f>Table1[[#This Row],[Service_Revenue]]-Table1[[#This Row],[Service_Cost]]</f>
        <v>140140</v>
      </c>
      <c r="T460" s="4">
        <v>4</v>
      </c>
      <c r="U460" s="4">
        <f>IF(AND(Table1[[#This Row],[Rework_Flag]]="Yes",Table1[[#This Row],[Warranty_Claim]]="No"),Table1[[#This Row],[Service_Revenue]],0)</f>
        <v>0</v>
      </c>
      <c r="V460" s="4">
        <f>IF(Table1[[#This Row],[Warranty_Claim]]="Yes",1,0)</f>
        <v>0</v>
      </c>
      <c r="W460" s="4">
        <f>IF(Table1[[#This Row],[Rework_Flag]]="No",1,0)</f>
        <v>1</v>
      </c>
      <c r="X460" s="4">
        <f>IF(Table1[[#This Row],[Rework_Flag]]="Yes",1,0)</f>
        <v>0</v>
      </c>
      <c r="Y460" s="4">
        <v>1</v>
      </c>
      <c r="Z460" s="4" t="str">
        <f>IF(Table1[[#This Row],[TAT_Days]]&gt;Table1[[#This Row],[SLA_TAT]],"Yes","No")</f>
        <v>Yes</v>
      </c>
      <c r="AA460" s="4" t="str" cm="1">
        <f t="array" ref="AA460">_xlfn.IFS(Table1[[#This Row],[Customer_Satisfaction]]&lt;=2,"Poor",Table1[[#This Row],[Customer_Satisfaction]]=3,"Neutral",Table1[[#This Row],[Customer_Satisfaction]]=4,"Good",Table1[[#This Row],[Customer_Satisfaction]]=5,"Good")</f>
        <v>Good</v>
      </c>
    </row>
    <row r="461" spans="1:27" x14ac:dyDescent="0.35">
      <c r="A461">
        <v>20459</v>
      </c>
      <c r="B461" s="1">
        <v>45366</v>
      </c>
      <c r="C461" t="s">
        <v>19</v>
      </c>
      <c r="D461" t="s">
        <v>96</v>
      </c>
      <c r="E461" t="s">
        <v>108</v>
      </c>
      <c r="F461" t="s">
        <v>40</v>
      </c>
      <c r="G461" t="s">
        <v>63</v>
      </c>
      <c r="H461" t="s">
        <v>24</v>
      </c>
      <c r="I461" t="s">
        <v>25</v>
      </c>
      <c r="J461" t="s">
        <v>43</v>
      </c>
      <c r="K461" t="s">
        <v>61</v>
      </c>
      <c r="L461" t="s">
        <v>28</v>
      </c>
      <c r="M461" s="4">
        <v>18</v>
      </c>
      <c r="N461" s="4">
        <v>7</v>
      </c>
      <c r="O461" t="s">
        <v>36</v>
      </c>
      <c r="P461" t="s">
        <v>29</v>
      </c>
      <c r="Q461" s="4">
        <v>278342</v>
      </c>
      <c r="R461" s="4">
        <v>179525</v>
      </c>
      <c r="S461" s="4">
        <f>Table1[[#This Row],[Service_Revenue]]-Table1[[#This Row],[Service_Cost]]</f>
        <v>98817</v>
      </c>
      <c r="T461" s="4">
        <v>2</v>
      </c>
      <c r="U461" s="4">
        <f>IF(AND(Table1[[#This Row],[Rework_Flag]]="Yes",Table1[[#This Row],[Warranty_Claim]]="No"),Table1[[#This Row],[Service_Revenue]],0)</f>
        <v>0</v>
      </c>
      <c r="V461" s="4">
        <f>IF(Table1[[#This Row],[Warranty_Claim]]="Yes",1,0)</f>
        <v>1</v>
      </c>
      <c r="W461" s="4">
        <f>IF(Table1[[#This Row],[Rework_Flag]]="No",1,0)</f>
        <v>1</v>
      </c>
      <c r="X461" s="4">
        <f>IF(Table1[[#This Row],[Rework_Flag]]="Yes",1,0)</f>
        <v>0</v>
      </c>
      <c r="Y461" s="4">
        <v>1</v>
      </c>
      <c r="Z461" s="4" t="str">
        <f>IF(Table1[[#This Row],[TAT_Days]]&gt;Table1[[#This Row],[SLA_TAT]],"Yes","No")</f>
        <v>Yes</v>
      </c>
      <c r="AA461" s="4" t="str" cm="1">
        <f t="array" ref="AA461">_xlfn.IFS(Table1[[#This Row],[Customer_Satisfaction]]&lt;=2,"Poor",Table1[[#This Row],[Customer_Satisfaction]]=3,"Neutral",Table1[[#This Row],[Customer_Satisfaction]]=4,"Good",Table1[[#This Row],[Customer_Satisfaction]]=5,"Good")</f>
        <v>Poor</v>
      </c>
    </row>
    <row r="462" spans="1:27" x14ac:dyDescent="0.35">
      <c r="A462">
        <v>20460</v>
      </c>
      <c r="B462" s="1">
        <v>45316</v>
      </c>
      <c r="C462" t="s">
        <v>50</v>
      </c>
      <c r="D462" t="s">
        <v>56</v>
      </c>
      <c r="E462" t="s">
        <v>57</v>
      </c>
      <c r="F462" t="s">
        <v>22</v>
      </c>
      <c r="G462" t="s">
        <v>41</v>
      </c>
      <c r="H462" t="s">
        <v>42</v>
      </c>
      <c r="I462" t="s">
        <v>55</v>
      </c>
      <c r="J462" t="s">
        <v>58</v>
      </c>
      <c r="K462" t="s">
        <v>44</v>
      </c>
      <c r="L462" t="s">
        <v>49</v>
      </c>
      <c r="M462" s="4">
        <v>21</v>
      </c>
      <c r="N462" s="4">
        <v>7</v>
      </c>
      <c r="O462" t="s">
        <v>36</v>
      </c>
      <c r="P462" t="s">
        <v>36</v>
      </c>
      <c r="Q462" s="4">
        <v>542562</v>
      </c>
      <c r="R462" s="4">
        <v>315946</v>
      </c>
      <c r="S462" s="4">
        <f>Table1[[#This Row],[Service_Revenue]]-Table1[[#This Row],[Service_Cost]]</f>
        <v>226616</v>
      </c>
      <c r="T462" s="4">
        <v>1</v>
      </c>
      <c r="U462" s="4">
        <f>IF(AND(Table1[[#This Row],[Rework_Flag]]="Yes",Table1[[#This Row],[Warranty_Claim]]="No"),Table1[[#This Row],[Service_Revenue]],0)</f>
        <v>0</v>
      </c>
      <c r="V462" s="4">
        <f>IF(Table1[[#This Row],[Warranty_Claim]]="Yes",1,0)</f>
        <v>0</v>
      </c>
      <c r="W462" s="4">
        <f>IF(Table1[[#This Row],[Rework_Flag]]="No",1,0)</f>
        <v>1</v>
      </c>
      <c r="X462" s="4">
        <f>IF(Table1[[#This Row],[Rework_Flag]]="Yes",1,0)</f>
        <v>0</v>
      </c>
      <c r="Y462" s="4">
        <v>1</v>
      </c>
      <c r="Z462" s="4" t="str">
        <f>IF(Table1[[#This Row],[TAT_Days]]&gt;Table1[[#This Row],[SLA_TAT]],"Yes","No")</f>
        <v>Yes</v>
      </c>
      <c r="AA462" s="4" t="str" cm="1">
        <f t="array" ref="AA462">_xlfn.IFS(Table1[[#This Row],[Customer_Satisfaction]]&lt;=2,"Poor",Table1[[#This Row],[Customer_Satisfaction]]=3,"Neutral",Table1[[#This Row],[Customer_Satisfaction]]=4,"Good",Table1[[#This Row],[Customer_Satisfaction]]=5,"Good")</f>
        <v>Poor</v>
      </c>
    </row>
    <row r="463" spans="1:27" x14ac:dyDescent="0.35">
      <c r="A463">
        <v>20461</v>
      </c>
      <c r="B463" s="1">
        <v>45387</v>
      </c>
      <c r="C463" t="s">
        <v>50</v>
      </c>
      <c r="D463" t="s">
        <v>51</v>
      </c>
      <c r="E463" t="s">
        <v>73</v>
      </c>
      <c r="F463" t="s">
        <v>53</v>
      </c>
      <c r="G463" t="s">
        <v>63</v>
      </c>
      <c r="H463" t="s">
        <v>24</v>
      </c>
      <c r="I463" t="s">
        <v>55</v>
      </c>
      <c r="J463" t="s">
        <v>43</v>
      </c>
      <c r="K463" t="s">
        <v>61</v>
      </c>
      <c r="L463" t="s">
        <v>28</v>
      </c>
      <c r="M463" s="4">
        <v>6</v>
      </c>
      <c r="N463" s="4">
        <v>7</v>
      </c>
      <c r="O463" t="s">
        <v>36</v>
      </c>
      <c r="P463" t="s">
        <v>36</v>
      </c>
      <c r="Q463" s="4">
        <v>267328</v>
      </c>
      <c r="R463" s="4">
        <v>199814</v>
      </c>
      <c r="S463" s="4">
        <f>Table1[[#This Row],[Service_Revenue]]-Table1[[#This Row],[Service_Cost]]</f>
        <v>67514</v>
      </c>
      <c r="T463" s="4">
        <v>4</v>
      </c>
      <c r="U463" s="4">
        <f>IF(AND(Table1[[#This Row],[Rework_Flag]]="Yes",Table1[[#This Row],[Warranty_Claim]]="No"),Table1[[#This Row],[Service_Revenue]],0)</f>
        <v>0</v>
      </c>
      <c r="V463" s="4">
        <f>IF(Table1[[#This Row],[Warranty_Claim]]="Yes",1,0)</f>
        <v>0</v>
      </c>
      <c r="W463" s="4">
        <f>IF(Table1[[#This Row],[Rework_Flag]]="No",1,0)</f>
        <v>1</v>
      </c>
      <c r="X463" s="4">
        <f>IF(Table1[[#This Row],[Rework_Flag]]="Yes",1,0)</f>
        <v>0</v>
      </c>
      <c r="Y463" s="4">
        <v>1</v>
      </c>
      <c r="Z463" s="4" t="str">
        <f>IF(Table1[[#This Row],[TAT_Days]]&gt;Table1[[#This Row],[SLA_TAT]],"Yes","No")</f>
        <v>No</v>
      </c>
      <c r="AA463" s="4" t="str" cm="1">
        <f t="array" ref="AA463">_xlfn.IFS(Table1[[#This Row],[Customer_Satisfaction]]&lt;=2,"Poor",Table1[[#This Row],[Customer_Satisfaction]]=3,"Neutral",Table1[[#This Row],[Customer_Satisfaction]]=4,"Good",Table1[[#This Row],[Customer_Satisfaction]]=5,"Good")</f>
        <v>Good</v>
      </c>
    </row>
    <row r="464" spans="1:27" x14ac:dyDescent="0.35">
      <c r="A464">
        <v>20462</v>
      </c>
      <c r="B464" s="1">
        <v>45323</v>
      </c>
      <c r="C464" t="s">
        <v>30</v>
      </c>
      <c r="D464" t="s">
        <v>83</v>
      </c>
      <c r="E464" t="s">
        <v>119</v>
      </c>
      <c r="F464" t="s">
        <v>40</v>
      </c>
      <c r="G464" t="s">
        <v>47</v>
      </c>
      <c r="H464" t="s">
        <v>48</v>
      </c>
      <c r="I464" t="s">
        <v>25</v>
      </c>
      <c r="J464" t="s">
        <v>43</v>
      </c>
      <c r="K464" t="s">
        <v>44</v>
      </c>
      <c r="L464" t="s">
        <v>49</v>
      </c>
      <c r="M464" s="4">
        <v>8</v>
      </c>
      <c r="N464" s="4">
        <v>7</v>
      </c>
      <c r="O464" t="s">
        <v>29</v>
      </c>
      <c r="P464" t="s">
        <v>36</v>
      </c>
      <c r="Q464" s="4">
        <v>455034</v>
      </c>
      <c r="R464" s="4">
        <v>247010</v>
      </c>
      <c r="S464" s="4">
        <f>Table1[[#This Row],[Service_Revenue]]-Table1[[#This Row],[Service_Cost]]</f>
        <v>208024</v>
      </c>
      <c r="T464" s="4">
        <v>3</v>
      </c>
      <c r="U464" s="4">
        <f>IF(AND(Table1[[#This Row],[Rework_Flag]]="Yes",Table1[[#This Row],[Warranty_Claim]]="No"),Table1[[#This Row],[Service_Revenue]],0)</f>
        <v>455034</v>
      </c>
      <c r="V464" s="4">
        <f>IF(Table1[[#This Row],[Warranty_Claim]]="Yes",1,0)</f>
        <v>0</v>
      </c>
      <c r="W464" s="4">
        <f>IF(Table1[[#This Row],[Rework_Flag]]="No",1,0)</f>
        <v>0</v>
      </c>
      <c r="X464" s="4">
        <f>IF(Table1[[#This Row],[Rework_Flag]]="Yes",1,0)</f>
        <v>1</v>
      </c>
      <c r="Y464" s="4">
        <v>1</v>
      </c>
      <c r="Z464" s="4" t="str">
        <f>IF(Table1[[#This Row],[TAT_Days]]&gt;Table1[[#This Row],[SLA_TAT]],"Yes","No")</f>
        <v>Yes</v>
      </c>
      <c r="AA464" s="4" t="str" cm="1">
        <f t="array" ref="AA464">_xlfn.IFS(Table1[[#This Row],[Customer_Satisfaction]]&lt;=2,"Poor",Table1[[#This Row],[Customer_Satisfaction]]=3,"Neutral",Table1[[#This Row],[Customer_Satisfaction]]=4,"Good",Table1[[#This Row],[Customer_Satisfaction]]=5,"Good")</f>
        <v>Neutral</v>
      </c>
    </row>
    <row r="465" spans="1:27" x14ac:dyDescent="0.35">
      <c r="A465">
        <v>20463</v>
      </c>
      <c r="B465" s="1">
        <v>45384</v>
      </c>
      <c r="C465" t="s">
        <v>30</v>
      </c>
      <c r="D465" t="s">
        <v>83</v>
      </c>
      <c r="E465" t="s">
        <v>84</v>
      </c>
      <c r="F465" t="s">
        <v>22</v>
      </c>
      <c r="G465" t="s">
        <v>54</v>
      </c>
      <c r="H465" t="s">
        <v>42</v>
      </c>
      <c r="I465" t="s">
        <v>25</v>
      </c>
      <c r="J465" t="s">
        <v>58</v>
      </c>
      <c r="K465" t="s">
        <v>27</v>
      </c>
      <c r="L465" t="s">
        <v>28</v>
      </c>
      <c r="M465" s="4">
        <v>14</v>
      </c>
      <c r="N465" s="4">
        <v>7</v>
      </c>
      <c r="O465" t="s">
        <v>29</v>
      </c>
      <c r="P465" t="s">
        <v>36</v>
      </c>
      <c r="Q465" s="4">
        <v>496140</v>
      </c>
      <c r="R465" s="4">
        <v>304013</v>
      </c>
      <c r="S465" s="4">
        <f>Table1[[#This Row],[Service_Revenue]]-Table1[[#This Row],[Service_Cost]]</f>
        <v>192127</v>
      </c>
      <c r="T465" s="4">
        <v>2</v>
      </c>
      <c r="U465" s="4">
        <f>IF(AND(Table1[[#This Row],[Rework_Flag]]="Yes",Table1[[#This Row],[Warranty_Claim]]="No"),Table1[[#This Row],[Service_Revenue]],0)</f>
        <v>496140</v>
      </c>
      <c r="V465" s="4">
        <f>IF(Table1[[#This Row],[Warranty_Claim]]="Yes",1,0)</f>
        <v>0</v>
      </c>
      <c r="W465" s="4">
        <f>IF(Table1[[#This Row],[Rework_Flag]]="No",1,0)</f>
        <v>0</v>
      </c>
      <c r="X465" s="4">
        <f>IF(Table1[[#This Row],[Rework_Flag]]="Yes",1,0)</f>
        <v>1</v>
      </c>
      <c r="Y465" s="4">
        <v>1</v>
      </c>
      <c r="Z465" s="4" t="str">
        <f>IF(Table1[[#This Row],[TAT_Days]]&gt;Table1[[#This Row],[SLA_TAT]],"Yes","No")</f>
        <v>Yes</v>
      </c>
      <c r="AA465" s="4" t="str" cm="1">
        <f t="array" ref="AA465">_xlfn.IFS(Table1[[#This Row],[Customer_Satisfaction]]&lt;=2,"Poor",Table1[[#This Row],[Customer_Satisfaction]]=3,"Neutral",Table1[[#This Row],[Customer_Satisfaction]]=4,"Good",Table1[[#This Row],[Customer_Satisfaction]]=5,"Good")</f>
        <v>Poor</v>
      </c>
    </row>
    <row r="466" spans="1:27" x14ac:dyDescent="0.35">
      <c r="A466">
        <v>20464</v>
      </c>
      <c r="B466" s="1">
        <v>45469</v>
      </c>
      <c r="C466" t="s">
        <v>50</v>
      </c>
      <c r="D466" t="s">
        <v>51</v>
      </c>
      <c r="E466" t="s">
        <v>75</v>
      </c>
      <c r="F466" t="s">
        <v>22</v>
      </c>
      <c r="G466" t="s">
        <v>23</v>
      </c>
      <c r="H466" t="s">
        <v>24</v>
      </c>
      <c r="I466" t="s">
        <v>55</v>
      </c>
      <c r="J466" t="s">
        <v>58</v>
      </c>
      <c r="K466" t="s">
        <v>44</v>
      </c>
      <c r="L466" t="s">
        <v>28</v>
      </c>
      <c r="M466" s="4">
        <v>8</v>
      </c>
      <c r="N466" s="4">
        <v>7</v>
      </c>
      <c r="O466" t="s">
        <v>29</v>
      </c>
      <c r="P466" t="s">
        <v>36</v>
      </c>
      <c r="Q466" s="4">
        <v>535533</v>
      </c>
      <c r="R466" s="4">
        <v>418760</v>
      </c>
      <c r="S466" s="4">
        <f>Table1[[#This Row],[Service_Revenue]]-Table1[[#This Row],[Service_Cost]]</f>
        <v>116773</v>
      </c>
      <c r="T466" s="4">
        <v>3</v>
      </c>
      <c r="U466" s="4">
        <f>IF(AND(Table1[[#This Row],[Rework_Flag]]="Yes",Table1[[#This Row],[Warranty_Claim]]="No"),Table1[[#This Row],[Service_Revenue]],0)</f>
        <v>535533</v>
      </c>
      <c r="V466" s="4">
        <f>IF(Table1[[#This Row],[Warranty_Claim]]="Yes",1,0)</f>
        <v>0</v>
      </c>
      <c r="W466" s="4">
        <f>IF(Table1[[#This Row],[Rework_Flag]]="No",1,0)</f>
        <v>0</v>
      </c>
      <c r="X466" s="4">
        <f>IF(Table1[[#This Row],[Rework_Flag]]="Yes",1,0)</f>
        <v>1</v>
      </c>
      <c r="Y466" s="4">
        <v>1</v>
      </c>
      <c r="Z466" s="4" t="str">
        <f>IF(Table1[[#This Row],[TAT_Days]]&gt;Table1[[#This Row],[SLA_TAT]],"Yes","No")</f>
        <v>Yes</v>
      </c>
      <c r="AA466" s="4" t="str" cm="1">
        <f t="array" ref="AA466">_xlfn.IFS(Table1[[#This Row],[Customer_Satisfaction]]&lt;=2,"Poor",Table1[[#This Row],[Customer_Satisfaction]]=3,"Neutral",Table1[[#This Row],[Customer_Satisfaction]]=4,"Good",Table1[[#This Row],[Customer_Satisfaction]]=5,"Good")</f>
        <v>Neutral</v>
      </c>
    </row>
    <row r="467" spans="1:27" x14ac:dyDescent="0.35">
      <c r="A467">
        <v>20465</v>
      </c>
      <c r="B467" s="1">
        <v>45433</v>
      </c>
      <c r="C467" t="s">
        <v>50</v>
      </c>
      <c r="D467" t="s">
        <v>80</v>
      </c>
      <c r="E467" t="s">
        <v>81</v>
      </c>
      <c r="F467" t="s">
        <v>53</v>
      </c>
      <c r="G467" t="s">
        <v>54</v>
      </c>
      <c r="H467" t="s">
        <v>42</v>
      </c>
      <c r="I467" t="s">
        <v>25</v>
      </c>
      <c r="J467" t="s">
        <v>26</v>
      </c>
      <c r="K467" t="s">
        <v>27</v>
      </c>
      <c r="L467" t="s">
        <v>28</v>
      </c>
      <c r="M467" s="4">
        <v>23</v>
      </c>
      <c r="N467" s="4">
        <v>7</v>
      </c>
      <c r="O467" t="s">
        <v>29</v>
      </c>
      <c r="P467" t="s">
        <v>36</v>
      </c>
      <c r="Q467" s="4">
        <v>118050</v>
      </c>
      <c r="R467" s="4">
        <v>78847</v>
      </c>
      <c r="S467" s="4">
        <f>Table1[[#This Row],[Service_Revenue]]-Table1[[#This Row],[Service_Cost]]</f>
        <v>39203</v>
      </c>
      <c r="T467" s="4">
        <v>1</v>
      </c>
      <c r="U467" s="4">
        <f>IF(AND(Table1[[#This Row],[Rework_Flag]]="Yes",Table1[[#This Row],[Warranty_Claim]]="No"),Table1[[#This Row],[Service_Revenue]],0)</f>
        <v>118050</v>
      </c>
      <c r="V467" s="4">
        <f>IF(Table1[[#This Row],[Warranty_Claim]]="Yes",1,0)</f>
        <v>0</v>
      </c>
      <c r="W467" s="4">
        <f>IF(Table1[[#This Row],[Rework_Flag]]="No",1,0)</f>
        <v>0</v>
      </c>
      <c r="X467" s="4">
        <f>IF(Table1[[#This Row],[Rework_Flag]]="Yes",1,0)</f>
        <v>1</v>
      </c>
      <c r="Y467" s="4">
        <v>1</v>
      </c>
      <c r="Z467" s="4" t="str">
        <f>IF(Table1[[#This Row],[TAT_Days]]&gt;Table1[[#This Row],[SLA_TAT]],"Yes","No")</f>
        <v>Yes</v>
      </c>
      <c r="AA467" s="4" t="str" cm="1">
        <f t="array" ref="AA467">_xlfn.IFS(Table1[[#This Row],[Customer_Satisfaction]]&lt;=2,"Poor",Table1[[#This Row],[Customer_Satisfaction]]=3,"Neutral",Table1[[#This Row],[Customer_Satisfaction]]=4,"Good",Table1[[#This Row],[Customer_Satisfaction]]=5,"Good")</f>
        <v>Poor</v>
      </c>
    </row>
    <row r="468" spans="1:27" x14ac:dyDescent="0.35">
      <c r="A468">
        <v>20466</v>
      </c>
      <c r="B468" s="1">
        <v>45307</v>
      </c>
      <c r="C468" t="s">
        <v>30</v>
      </c>
      <c r="D468" t="s">
        <v>83</v>
      </c>
      <c r="E468" t="s">
        <v>90</v>
      </c>
      <c r="F468" t="s">
        <v>40</v>
      </c>
      <c r="G468" t="s">
        <v>47</v>
      </c>
      <c r="H468" t="s">
        <v>48</v>
      </c>
      <c r="I468" t="s">
        <v>55</v>
      </c>
      <c r="J468" t="s">
        <v>26</v>
      </c>
      <c r="K468" t="s">
        <v>61</v>
      </c>
      <c r="L468" t="s">
        <v>28</v>
      </c>
      <c r="M468" s="4">
        <v>22</v>
      </c>
      <c r="N468" s="4">
        <v>7</v>
      </c>
      <c r="O468" t="s">
        <v>36</v>
      </c>
      <c r="P468" t="s">
        <v>29</v>
      </c>
      <c r="Q468" s="4">
        <v>297424</v>
      </c>
      <c r="R468" s="4">
        <v>177245</v>
      </c>
      <c r="S468" s="4">
        <f>Table1[[#This Row],[Service_Revenue]]-Table1[[#This Row],[Service_Cost]]</f>
        <v>120179</v>
      </c>
      <c r="T468" s="4">
        <v>1</v>
      </c>
      <c r="U468" s="4">
        <f>IF(AND(Table1[[#This Row],[Rework_Flag]]="Yes",Table1[[#This Row],[Warranty_Claim]]="No"),Table1[[#This Row],[Service_Revenue]],0)</f>
        <v>0</v>
      </c>
      <c r="V468" s="4">
        <f>IF(Table1[[#This Row],[Warranty_Claim]]="Yes",1,0)</f>
        <v>1</v>
      </c>
      <c r="W468" s="4">
        <f>IF(Table1[[#This Row],[Rework_Flag]]="No",1,0)</f>
        <v>1</v>
      </c>
      <c r="X468" s="4">
        <f>IF(Table1[[#This Row],[Rework_Flag]]="Yes",1,0)</f>
        <v>0</v>
      </c>
      <c r="Y468" s="4">
        <v>1</v>
      </c>
      <c r="Z468" s="4" t="str">
        <f>IF(Table1[[#This Row],[TAT_Days]]&gt;Table1[[#This Row],[SLA_TAT]],"Yes","No")</f>
        <v>Yes</v>
      </c>
      <c r="AA468" s="4" t="str" cm="1">
        <f t="array" ref="AA468">_xlfn.IFS(Table1[[#This Row],[Customer_Satisfaction]]&lt;=2,"Poor",Table1[[#This Row],[Customer_Satisfaction]]=3,"Neutral",Table1[[#This Row],[Customer_Satisfaction]]=4,"Good",Table1[[#This Row],[Customer_Satisfaction]]=5,"Good")</f>
        <v>Poor</v>
      </c>
    </row>
    <row r="469" spans="1:27" x14ac:dyDescent="0.35">
      <c r="A469">
        <v>20467</v>
      </c>
      <c r="B469" s="1">
        <v>45300</v>
      </c>
      <c r="C469" t="s">
        <v>37</v>
      </c>
      <c r="D469" t="s">
        <v>38</v>
      </c>
      <c r="E469" t="s">
        <v>107</v>
      </c>
      <c r="F469" t="s">
        <v>40</v>
      </c>
      <c r="G469" t="s">
        <v>33</v>
      </c>
      <c r="H469" t="s">
        <v>34</v>
      </c>
      <c r="I469" t="s">
        <v>25</v>
      </c>
      <c r="J469" t="s">
        <v>43</v>
      </c>
      <c r="K469" t="s">
        <v>61</v>
      </c>
      <c r="L469" t="s">
        <v>28</v>
      </c>
      <c r="M469" s="4">
        <v>15</v>
      </c>
      <c r="N469" s="4">
        <v>7</v>
      </c>
      <c r="O469" t="s">
        <v>36</v>
      </c>
      <c r="P469" t="s">
        <v>29</v>
      </c>
      <c r="Q469" s="4">
        <v>467282</v>
      </c>
      <c r="R469" s="4">
        <v>379372</v>
      </c>
      <c r="S469" s="4">
        <f>Table1[[#This Row],[Service_Revenue]]-Table1[[#This Row],[Service_Cost]]</f>
        <v>87910</v>
      </c>
      <c r="T469" s="4">
        <v>2</v>
      </c>
      <c r="U469" s="4">
        <f>IF(AND(Table1[[#This Row],[Rework_Flag]]="Yes",Table1[[#This Row],[Warranty_Claim]]="No"),Table1[[#This Row],[Service_Revenue]],0)</f>
        <v>0</v>
      </c>
      <c r="V469" s="4">
        <f>IF(Table1[[#This Row],[Warranty_Claim]]="Yes",1,0)</f>
        <v>1</v>
      </c>
      <c r="W469" s="4">
        <f>IF(Table1[[#This Row],[Rework_Flag]]="No",1,0)</f>
        <v>1</v>
      </c>
      <c r="X469" s="4">
        <f>IF(Table1[[#This Row],[Rework_Flag]]="Yes",1,0)</f>
        <v>0</v>
      </c>
      <c r="Y469" s="4">
        <v>1</v>
      </c>
      <c r="Z469" s="4" t="str">
        <f>IF(Table1[[#This Row],[TAT_Days]]&gt;Table1[[#This Row],[SLA_TAT]],"Yes","No")</f>
        <v>Yes</v>
      </c>
      <c r="AA469" s="4" t="str" cm="1">
        <f t="array" ref="AA469">_xlfn.IFS(Table1[[#This Row],[Customer_Satisfaction]]&lt;=2,"Poor",Table1[[#This Row],[Customer_Satisfaction]]=3,"Neutral",Table1[[#This Row],[Customer_Satisfaction]]=4,"Good",Table1[[#This Row],[Customer_Satisfaction]]=5,"Good")</f>
        <v>Poor</v>
      </c>
    </row>
    <row r="470" spans="1:27" x14ac:dyDescent="0.35">
      <c r="A470">
        <v>20468</v>
      </c>
      <c r="B470" s="1">
        <v>45366</v>
      </c>
      <c r="C470" t="s">
        <v>19</v>
      </c>
      <c r="D470" t="s">
        <v>45</v>
      </c>
      <c r="E470" t="s">
        <v>46</v>
      </c>
      <c r="F470" t="s">
        <v>22</v>
      </c>
      <c r="G470" t="s">
        <v>63</v>
      </c>
      <c r="H470" t="s">
        <v>24</v>
      </c>
      <c r="I470" t="s">
        <v>25</v>
      </c>
      <c r="J470" t="s">
        <v>58</v>
      </c>
      <c r="K470" t="s">
        <v>44</v>
      </c>
      <c r="L470" t="s">
        <v>49</v>
      </c>
      <c r="M470" s="4">
        <v>25</v>
      </c>
      <c r="N470" s="4">
        <v>7</v>
      </c>
      <c r="O470" t="s">
        <v>36</v>
      </c>
      <c r="P470" t="s">
        <v>36</v>
      </c>
      <c r="Q470" s="4">
        <v>334939</v>
      </c>
      <c r="R470" s="4">
        <v>253729</v>
      </c>
      <c r="S470" s="4">
        <f>Table1[[#This Row],[Service_Revenue]]-Table1[[#This Row],[Service_Cost]]</f>
        <v>81210</v>
      </c>
      <c r="T470" s="4">
        <v>1</v>
      </c>
      <c r="U470" s="4">
        <f>IF(AND(Table1[[#This Row],[Rework_Flag]]="Yes",Table1[[#This Row],[Warranty_Claim]]="No"),Table1[[#This Row],[Service_Revenue]],0)</f>
        <v>0</v>
      </c>
      <c r="V470" s="4">
        <f>IF(Table1[[#This Row],[Warranty_Claim]]="Yes",1,0)</f>
        <v>0</v>
      </c>
      <c r="W470" s="4">
        <f>IF(Table1[[#This Row],[Rework_Flag]]="No",1,0)</f>
        <v>1</v>
      </c>
      <c r="X470" s="4">
        <f>IF(Table1[[#This Row],[Rework_Flag]]="Yes",1,0)</f>
        <v>0</v>
      </c>
      <c r="Y470" s="4">
        <v>1</v>
      </c>
      <c r="Z470" s="4" t="str">
        <f>IF(Table1[[#This Row],[TAT_Days]]&gt;Table1[[#This Row],[SLA_TAT]],"Yes","No")</f>
        <v>Yes</v>
      </c>
      <c r="AA470" s="4" t="str" cm="1">
        <f t="array" ref="AA470">_xlfn.IFS(Table1[[#This Row],[Customer_Satisfaction]]&lt;=2,"Poor",Table1[[#This Row],[Customer_Satisfaction]]=3,"Neutral",Table1[[#This Row],[Customer_Satisfaction]]=4,"Good",Table1[[#This Row],[Customer_Satisfaction]]=5,"Good")</f>
        <v>Poor</v>
      </c>
    </row>
    <row r="471" spans="1:27" x14ac:dyDescent="0.35">
      <c r="A471">
        <v>20469</v>
      </c>
      <c r="B471" s="1">
        <v>45358</v>
      </c>
      <c r="C471" t="s">
        <v>30</v>
      </c>
      <c r="D471" t="s">
        <v>59</v>
      </c>
      <c r="E471" t="s">
        <v>94</v>
      </c>
      <c r="F471" t="s">
        <v>22</v>
      </c>
      <c r="G471" t="s">
        <v>41</v>
      </c>
      <c r="H471" t="s">
        <v>42</v>
      </c>
      <c r="I471" t="s">
        <v>25</v>
      </c>
      <c r="J471" t="s">
        <v>58</v>
      </c>
      <c r="K471" t="s">
        <v>27</v>
      </c>
      <c r="L471" t="s">
        <v>28</v>
      </c>
      <c r="M471" s="4">
        <v>5</v>
      </c>
      <c r="N471" s="4">
        <v>7</v>
      </c>
      <c r="O471" t="s">
        <v>36</v>
      </c>
      <c r="P471" t="s">
        <v>36</v>
      </c>
      <c r="Q471" s="4">
        <v>130728</v>
      </c>
      <c r="R471" s="4">
        <v>97456</v>
      </c>
      <c r="S471" s="4">
        <f>Table1[[#This Row],[Service_Revenue]]-Table1[[#This Row],[Service_Cost]]</f>
        <v>33272</v>
      </c>
      <c r="T471" s="4">
        <v>4</v>
      </c>
      <c r="U471" s="4">
        <f>IF(AND(Table1[[#This Row],[Rework_Flag]]="Yes",Table1[[#This Row],[Warranty_Claim]]="No"),Table1[[#This Row],[Service_Revenue]],0)</f>
        <v>0</v>
      </c>
      <c r="V471" s="4">
        <f>IF(Table1[[#This Row],[Warranty_Claim]]="Yes",1,0)</f>
        <v>0</v>
      </c>
      <c r="W471" s="4">
        <f>IF(Table1[[#This Row],[Rework_Flag]]="No",1,0)</f>
        <v>1</v>
      </c>
      <c r="X471" s="4">
        <f>IF(Table1[[#This Row],[Rework_Flag]]="Yes",1,0)</f>
        <v>0</v>
      </c>
      <c r="Y471" s="4">
        <v>1</v>
      </c>
      <c r="Z471" s="4" t="str">
        <f>IF(Table1[[#This Row],[TAT_Days]]&gt;Table1[[#This Row],[SLA_TAT]],"Yes","No")</f>
        <v>No</v>
      </c>
      <c r="AA471" s="4" t="str" cm="1">
        <f t="array" ref="AA471">_xlfn.IFS(Table1[[#This Row],[Customer_Satisfaction]]&lt;=2,"Poor",Table1[[#This Row],[Customer_Satisfaction]]=3,"Neutral",Table1[[#This Row],[Customer_Satisfaction]]=4,"Good",Table1[[#This Row],[Customer_Satisfaction]]=5,"Good")</f>
        <v>Good</v>
      </c>
    </row>
    <row r="472" spans="1:27" x14ac:dyDescent="0.35">
      <c r="A472">
        <v>20470</v>
      </c>
      <c r="B472" s="1">
        <v>45296</v>
      </c>
      <c r="C472" t="s">
        <v>19</v>
      </c>
      <c r="D472" t="s">
        <v>20</v>
      </c>
      <c r="E472" t="s">
        <v>89</v>
      </c>
      <c r="F472" t="s">
        <v>53</v>
      </c>
      <c r="G472" t="s">
        <v>23</v>
      </c>
      <c r="H472" t="s">
        <v>24</v>
      </c>
      <c r="I472" t="s">
        <v>25</v>
      </c>
      <c r="J472" t="s">
        <v>67</v>
      </c>
      <c r="K472" t="s">
        <v>44</v>
      </c>
      <c r="L472" t="s">
        <v>28</v>
      </c>
      <c r="M472" s="4">
        <v>6</v>
      </c>
      <c r="N472" s="4">
        <v>7</v>
      </c>
      <c r="O472" t="s">
        <v>29</v>
      </c>
      <c r="P472" t="s">
        <v>29</v>
      </c>
      <c r="Q472" s="4">
        <v>165274</v>
      </c>
      <c r="R472" s="4">
        <v>107500</v>
      </c>
      <c r="S472" s="4">
        <f>Table1[[#This Row],[Service_Revenue]]-Table1[[#This Row],[Service_Cost]]</f>
        <v>57774</v>
      </c>
      <c r="T472" s="4">
        <v>3</v>
      </c>
      <c r="U472" s="4">
        <f>IF(AND(Table1[[#This Row],[Rework_Flag]]="Yes",Table1[[#This Row],[Warranty_Claim]]="No"),Table1[[#This Row],[Service_Revenue]],0)</f>
        <v>0</v>
      </c>
      <c r="V472" s="4">
        <f>IF(Table1[[#This Row],[Warranty_Claim]]="Yes",1,0)</f>
        <v>1</v>
      </c>
      <c r="W472" s="4">
        <f>IF(Table1[[#This Row],[Rework_Flag]]="No",1,0)</f>
        <v>0</v>
      </c>
      <c r="X472" s="4">
        <f>IF(Table1[[#This Row],[Rework_Flag]]="Yes",1,0)</f>
        <v>1</v>
      </c>
      <c r="Y472" s="4">
        <v>1</v>
      </c>
      <c r="Z472" s="4" t="str">
        <f>IF(Table1[[#This Row],[TAT_Days]]&gt;Table1[[#This Row],[SLA_TAT]],"Yes","No")</f>
        <v>No</v>
      </c>
      <c r="AA472" s="4" t="str" cm="1">
        <f t="array" ref="AA472">_xlfn.IFS(Table1[[#This Row],[Customer_Satisfaction]]&lt;=2,"Poor",Table1[[#This Row],[Customer_Satisfaction]]=3,"Neutral",Table1[[#This Row],[Customer_Satisfaction]]=4,"Good",Table1[[#This Row],[Customer_Satisfaction]]=5,"Good")</f>
        <v>Neutral</v>
      </c>
    </row>
    <row r="473" spans="1:27" x14ac:dyDescent="0.35">
      <c r="A473">
        <v>20471</v>
      </c>
      <c r="B473" s="1">
        <v>45458</v>
      </c>
      <c r="C473" t="s">
        <v>19</v>
      </c>
      <c r="D473" t="s">
        <v>45</v>
      </c>
      <c r="E473" t="s">
        <v>99</v>
      </c>
      <c r="F473" t="s">
        <v>40</v>
      </c>
      <c r="G473" t="s">
        <v>47</v>
      </c>
      <c r="H473" t="s">
        <v>48</v>
      </c>
      <c r="I473" t="s">
        <v>55</v>
      </c>
      <c r="J473" t="s">
        <v>43</v>
      </c>
      <c r="K473" t="s">
        <v>61</v>
      </c>
      <c r="L473" t="s">
        <v>49</v>
      </c>
      <c r="M473" s="4">
        <v>13</v>
      </c>
      <c r="N473" s="4">
        <v>7</v>
      </c>
      <c r="O473" t="s">
        <v>36</v>
      </c>
      <c r="P473" t="s">
        <v>36</v>
      </c>
      <c r="Q473" s="4">
        <v>161738</v>
      </c>
      <c r="R473" s="4">
        <v>134088</v>
      </c>
      <c r="S473" s="4">
        <f>Table1[[#This Row],[Service_Revenue]]-Table1[[#This Row],[Service_Cost]]</f>
        <v>27650</v>
      </c>
      <c r="T473" s="4">
        <v>3</v>
      </c>
      <c r="U473" s="4">
        <f>IF(AND(Table1[[#This Row],[Rework_Flag]]="Yes",Table1[[#This Row],[Warranty_Claim]]="No"),Table1[[#This Row],[Service_Revenue]],0)</f>
        <v>0</v>
      </c>
      <c r="V473" s="4">
        <f>IF(Table1[[#This Row],[Warranty_Claim]]="Yes",1,0)</f>
        <v>0</v>
      </c>
      <c r="W473" s="4">
        <f>IF(Table1[[#This Row],[Rework_Flag]]="No",1,0)</f>
        <v>1</v>
      </c>
      <c r="X473" s="4">
        <f>IF(Table1[[#This Row],[Rework_Flag]]="Yes",1,0)</f>
        <v>0</v>
      </c>
      <c r="Y473" s="4">
        <v>1</v>
      </c>
      <c r="Z473" s="4" t="str">
        <f>IF(Table1[[#This Row],[TAT_Days]]&gt;Table1[[#This Row],[SLA_TAT]],"Yes","No")</f>
        <v>Yes</v>
      </c>
      <c r="AA473" s="4" t="str" cm="1">
        <f t="array" ref="AA473">_xlfn.IFS(Table1[[#This Row],[Customer_Satisfaction]]&lt;=2,"Poor",Table1[[#This Row],[Customer_Satisfaction]]=3,"Neutral",Table1[[#This Row],[Customer_Satisfaction]]=4,"Good",Table1[[#This Row],[Customer_Satisfaction]]=5,"Good")</f>
        <v>Neutral</v>
      </c>
    </row>
    <row r="474" spans="1:27" x14ac:dyDescent="0.35">
      <c r="A474">
        <v>20472</v>
      </c>
      <c r="B474" s="1">
        <v>45300</v>
      </c>
      <c r="C474" t="s">
        <v>30</v>
      </c>
      <c r="D474" t="s">
        <v>31</v>
      </c>
      <c r="E474" t="s">
        <v>122</v>
      </c>
      <c r="F474" t="s">
        <v>53</v>
      </c>
      <c r="G474" t="s">
        <v>41</v>
      </c>
      <c r="H474" t="s">
        <v>42</v>
      </c>
      <c r="I474" t="s">
        <v>55</v>
      </c>
      <c r="J474" t="s">
        <v>35</v>
      </c>
      <c r="K474" t="s">
        <v>44</v>
      </c>
      <c r="L474" t="s">
        <v>28</v>
      </c>
      <c r="M474" s="4">
        <v>15</v>
      </c>
      <c r="N474" s="4">
        <v>7</v>
      </c>
      <c r="O474" t="s">
        <v>36</v>
      </c>
      <c r="P474" t="s">
        <v>29</v>
      </c>
      <c r="Q474" s="4">
        <v>514611</v>
      </c>
      <c r="R474" s="4">
        <v>366035</v>
      </c>
      <c r="S474" s="4">
        <f>Table1[[#This Row],[Service_Revenue]]-Table1[[#This Row],[Service_Cost]]</f>
        <v>148576</v>
      </c>
      <c r="T474" s="4">
        <v>2</v>
      </c>
      <c r="U474" s="4">
        <f>IF(AND(Table1[[#This Row],[Rework_Flag]]="Yes",Table1[[#This Row],[Warranty_Claim]]="No"),Table1[[#This Row],[Service_Revenue]],0)</f>
        <v>0</v>
      </c>
      <c r="V474" s="4">
        <f>IF(Table1[[#This Row],[Warranty_Claim]]="Yes",1,0)</f>
        <v>1</v>
      </c>
      <c r="W474" s="4">
        <f>IF(Table1[[#This Row],[Rework_Flag]]="No",1,0)</f>
        <v>1</v>
      </c>
      <c r="X474" s="4">
        <f>IF(Table1[[#This Row],[Rework_Flag]]="Yes",1,0)</f>
        <v>0</v>
      </c>
      <c r="Y474" s="4">
        <v>1</v>
      </c>
      <c r="Z474" s="4" t="str">
        <f>IF(Table1[[#This Row],[TAT_Days]]&gt;Table1[[#This Row],[SLA_TAT]],"Yes","No")</f>
        <v>Yes</v>
      </c>
      <c r="AA474" s="4" t="str" cm="1">
        <f t="array" ref="AA474">_xlfn.IFS(Table1[[#This Row],[Customer_Satisfaction]]&lt;=2,"Poor",Table1[[#This Row],[Customer_Satisfaction]]=3,"Neutral",Table1[[#This Row],[Customer_Satisfaction]]=4,"Good",Table1[[#This Row],[Customer_Satisfaction]]=5,"Good")</f>
        <v>Poor</v>
      </c>
    </row>
    <row r="475" spans="1:27" x14ac:dyDescent="0.35">
      <c r="A475">
        <v>20473</v>
      </c>
      <c r="B475" s="1">
        <v>45472</v>
      </c>
      <c r="C475" t="s">
        <v>30</v>
      </c>
      <c r="D475" t="s">
        <v>83</v>
      </c>
      <c r="E475" t="s">
        <v>84</v>
      </c>
      <c r="F475" t="s">
        <v>53</v>
      </c>
      <c r="G475" t="s">
        <v>23</v>
      </c>
      <c r="H475" t="s">
        <v>24</v>
      </c>
      <c r="I475" t="s">
        <v>25</v>
      </c>
      <c r="J475" t="s">
        <v>35</v>
      </c>
      <c r="K475" t="s">
        <v>61</v>
      </c>
      <c r="L475" t="s">
        <v>28</v>
      </c>
      <c r="M475" s="4">
        <v>9</v>
      </c>
      <c r="N475" s="4">
        <v>7</v>
      </c>
      <c r="O475" t="s">
        <v>29</v>
      </c>
      <c r="P475" t="s">
        <v>36</v>
      </c>
      <c r="Q475" s="4">
        <v>558526</v>
      </c>
      <c r="R475" s="4">
        <v>340787</v>
      </c>
      <c r="S475" s="4">
        <f>Table1[[#This Row],[Service_Revenue]]-Table1[[#This Row],[Service_Cost]]</f>
        <v>217739</v>
      </c>
      <c r="T475" s="4">
        <v>3</v>
      </c>
      <c r="U475" s="4">
        <f>IF(AND(Table1[[#This Row],[Rework_Flag]]="Yes",Table1[[#This Row],[Warranty_Claim]]="No"),Table1[[#This Row],[Service_Revenue]],0)</f>
        <v>558526</v>
      </c>
      <c r="V475" s="4">
        <f>IF(Table1[[#This Row],[Warranty_Claim]]="Yes",1,0)</f>
        <v>0</v>
      </c>
      <c r="W475" s="4">
        <f>IF(Table1[[#This Row],[Rework_Flag]]="No",1,0)</f>
        <v>0</v>
      </c>
      <c r="X475" s="4">
        <f>IF(Table1[[#This Row],[Rework_Flag]]="Yes",1,0)</f>
        <v>1</v>
      </c>
      <c r="Y475" s="4">
        <v>1</v>
      </c>
      <c r="Z475" s="4" t="str">
        <f>IF(Table1[[#This Row],[TAT_Days]]&gt;Table1[[#This Row],[SLA_TAT]],"Yes","No")</f>
        <v>Yes</v>
      </c>
      <c r="AA475" s="4" t="str" cm="1">
        <f t="array" ref="AA475">_xlfn.IFS(Table1[[#This Row],[Customer_Satisfaction]]&lt;=2,"Poor",Table1[[#This Row],[Customer_Satisfaction]]=3,"Neutral",Table1[[#This Row],[Customer_Satisfaction]]=4,"Good",Table1[[#This Row],[Customer_Satisfaction]]=5,"Good")</f>
        <v>Neutral</v>
      </c>
    </row>
    <row r="476" spans="1:27" x14ac:dyDescent="0.35">
      <c r="A476">
        <v>20474</v>
      </c>
      <c r="B476" s="1">
        <v>45380</v>
      </c>
      <c r="C476" t="s">
        <v>37</v>
      </c>
      <c r="D476" t="s">
        <v>64</v>
      </c>
      <c r="E476" t="s">
        <v>72</v>
      </c>
      <c r="F476" t="s">
        <v>22</v>
      </c>
      <c r="G476" t="s">
        <v>33</v>
      </c>
      <c r="H476" t="s">
        <v>34</v>
      </c>
      <c r="I476" t="s">
        <v>55</v>
      </c>
      <c r="J476" t="s">
        <v>35</v>
      </c>
      <c r="K476" t="s">
        <v>44</v>
      </c>
      <c r="L476" t="s">
        <v>49</v>
      </c>
      <c r="M476" s="4">
        <v>18</v>
      </c>
      <c r="N476" s="4">
        <v>7</v>
      </c>
      <c r="O476" t="s">
        <v>29</v>
      </c>
      <c r="P476" t="s">
        <v>29</v>
      </c>
      <c r="Q476" s="4">
        <v>317289</v>
      </c>
      <c r="R476" s="4">
        <v>217065</v>
      </c>
      <c r="S476" s="4">
        <f>Table1[[#This Row],[Service_Revenue]]-Table1[[#This Row],[Service_Cost]]</f>
        <v>100224</v>
      </c>
      <c r="T476" s="4">
        <v>1</v>
      </c>
      <c r="U476" s="4">
        <f>IF(AND(Table1[[#This Row],[Rework_Flag]]="Yes",Table1[[#This Row],[Warranty_Claim]]="No"),Table1[[#This Row],[Service_Revenue]],0)</f>
        <v>0</v>
      </c>
      <c r="V476" s="4">
        <f>IF(Table1[[#This Row],[Warranty_Claim]]="Yes",1,0)</f>
        <v>1</v>
      </c>
      <c r="W476" s="4">
        <f>IF(Table1[[#This Row],[Rework_Flag]]="No",1,0)</f>
        <v>0</v>
      </c>
      <c r="X476" s="4">
        <f>IF(Table1[[#This Row],[Rework_Flag]]="Yes",1,0)</f>
        <v>1</v>
      </c>
      <c r="Y476" s="4">
        <v>1</v>
      </c>
      <c r="Z476" s="4" t="str">
        <f>IF(Table1[[#This Row],[TAT_Days]]&gt;Table1[[#This Row],[SLA_TAT]],"Yes","No")</f>
        <v>Yes</v>
      </c>
      <c r="AA476" s="4" t="str" cm="1">
        <f t="array" ref="AA476">_xlfn.IFS(Table1[[#This Row],[Customer_Satisfaction]]&lt;=2,"Poor",Table1[[#This Row],[Customer_Satisfaction]]=3,"Neutral",Table1[[#This Row],[Customer_Satisfaction]]=4,"Good",Table1[[#This Row],[Customer_Satisfaction]]=5,"Good")</f>
        <v>Poor</v>
      </c>
    </row>
    <row r="477" spans="1:27" x14ac:dyDescent="0.35">
      <c r="A477">
        <v>20475</v>
      </c>
      <c r="B477" s="1">
        <v>45341</v>
      </c>
      <c r="C477" t="s">
        <v>30</v>
      </c>
      <c r="D477" t="s">
        <v>83</v>
      </c>
      <c r="E477" t="s">
        <v>92</v>
      </c>
      <c r="F477" t="s">
        <v>22</v>
      </c>
      <c r="G477" t="s">
        <v>41</v>
      </c>
      <c r="H477" t="s">
        <v>42</v>
      </c>
      <c r="I477" t="s">
        <v>55</v>
      </c>
      <c r="J477" t="s">
        <v>35</v>
      </c>
      <c r="K477" t="s">
        <v>61</v>
      </c>
      <c r="L477" t="s">
        <v>28</v>
      </c>
      <c r="M477" s="4">
        <v>23</v>
      </c>
      <c r="N477" s="4">
        <v>7</v>
      </c>
      <c r="O477" t="s">
        <v>29</v>
      </c>
      <c r="P477" t="s">
        <v>29</v>
      </c>
      <c r="Q477" s="4">
        <v>189959</v>
      </c>
      <c r="R477" s="4">
        <v>150157</v>
      </c>
      <c r="S477" s="4">
        <f>Table1[[#This Row],[Service_Revenue]]-Table1[[#This Row],[Service_Cost]]</f>
        <v>39802</v>
      </c>
      <c r="T477" s="4">
        <v>1</v>
      </c>
      <c r="U477" s="4">
        <f>IF(AND(Table1[[#This Row],[Rework_Flag]]="Yes",Table1[[#This Row],[Warranty_Claim]]="No"),Table1[[#This Row],[Service_Revenue]],0)</f>
        <v>0</v>
      </c>
      <c r="V477" s="4">
        <f>IF(Table1[[#This Row],[Warranty_Claim]]="Yes",1,0)</f>
        <v>1</v>
      </c>
      <c r="W477" s="4">
        <f>IF(Table1[[#This Row],[Rework_Flag]]="No",1,0)</f>
        <v>0</v>
      </c>
      <c r="X477" s="4">
        <f>IF(Table1[[#This Row],[Rework_Flag]]="Yes",1,0)</f>
        <v>1</v>
      </c>
      <c r="Y477" s="4">
        <v>1</v>
      </c>
      <c r="Z477" s="4" t="str">
        <f>IF(Table1[[#This Row],[TAT_Days]]&gt;Table1[[#This Row],[SLA_TAT]],"Yes","No")</f>
        <v>Yes</v>
      </c>
      <c r="AA477" s="4" t="str" cm="1">
        <f t="array" ref="AA477">_xlfn.IFS(Table1[[#This Row],[Customer_Satisfaction]]&lt;=2,"Poor",Table1[[#This Row],[Customer_Satisfaction]]=3,"Neutral",Table1[[#This Row],[Customer_Satisfaction]]=4,"Good",Table1[[#This Row],[Customer_Satisfaction]]=5,"Good")</f>
        <v>Poor</v>
      </c>
    </row>
    <row r="478" spans="1:27" x14ac:dyDescent="0.35">
      <c r="A478">
        <v>20476</v>
      </c>
      <c r="B478" s="1">
        <v>45394</v>
      </c>
      <c r="C478" t="s">
        <v>19</v>
      </c>
      <c r="D478" t="s">
        <v>96</v>
      </c>
      <c r="E478" t="s">
        <v>97</v>
      </c>
      <c r="F478" t="s">
        <v>40</v>
      </c>
      <c r="G478" t="s">
        <v>54</v>
      </c>
      <c r="H478" t="s">
        <v>42</v>
      </c>
      <c r="I478" t="s">
        <v>55</v>
      </c>
      <c r="J478" t="s">
        <v>35</v>
      </c>
      <c r="K478" t="s">
        <v>44</v>
      </c>
      <c r="L478" t="s">
        <v>28</v>
      </c>
      <c r="M478" s="4">
        <v>21</v>
      </c>
      <c r="N478" s="4">
        <v>7</v>
      </c>
      <c r="O478" t="s">
        <v>36</v>
      </c>
      <c r="P478" t="s">
        <v>29</v>
      </c>
      <c r="Q478" s="4">
        <v>228946</v>
      </c>
      <c r="R478" s="4">
        <v>117499</v>
      </c>
      <c r="S478" s="4">
        <f>Table1[[#This Row],[Service_Revenue]]-Table1[[#This Row],[Service_Cost]]</f>
        <v>111447</v>
      </c>
      <c r="T478" s="4">
        <v>1</v>
      </c>
      <c r="U478" s="4">
        <f>IF(AND(Table1[[#This Row],[Rework_Flag]]="Yes",Table1[[#This Row],[Warranty_Claim]]="No"),Table1[[#This Row],[Service_Revenue]],0)</f>
        <v>0</v>
      </c>
      <c r="V478" s="4">
        <f>IF(Table1[[#This Row],[Warranty_Claim]]="Yes",1,0)</f>
        <v>1</v>
      </c>
      <c r="W478" s="4">
        <f>IF(Table1[[#This Row],[Rework_Flag]]="No",1,0)</f>
        <v>1</v>
      </c>
      <c r="X478" s="4">
        <f>IF(Table1[[#This Row],[Rework_Flag]]="Yes",1,0)</f>
        <v>0</v>
      </c>
      <c r="Y478" s="4">
        <v>1</v>
      </c>
      <c r="Z478" s="4" t="str">
        <f>IF(Table1[[#This Row],[TAT_Days]]&gt;Table1[[#This Row],[SLA_TAT]],"Yes","No")</f>
        <v>Yes</v>
      </c>
      <c r="AA478" s="4" t="str" cm="1">
        <f t="array" ref="AA478">_xlfn.IFS(Table1[[#This Row],[Customer_Satisfaction]]&lt;=2,"Poor",Table1[[#This Row],[Customer_Satisfaction]]=3,"Neutral",Table1[[#This Row],[Customer_Satisfaction]]=4,"Good",Table1[[#This Row],[Customer_Satisfaction]]=5,"Good")</f>
        <v>Poor</v>
      </c>
    </row>
    <row r="479" spans="1:27" x14ac:dyDescent="0.35">
      <c r="A479">
        <v>20477</v>
      </c>
      <c r="B479" s="1">
        <v>45413</v>
      </c>
      <c r="C479" t="s">
        <v>37</v>
      </c>
      <c r="D479" t="s">
        <v>38</v>
      </c>
      <c r="E479" t="s">
        <v>93</v>
      </c>
      <c r="F479" t="s">
        <v>53</v>
      </c>
      <c r="G479" t="s">
        <v>41</v>
      </c>
      <c r="H479" t="s">
        <v>42</v>
      </c>
      <c r="I479" t="s">
        <v>25</v>
      </c>
      <c r="J479" t="s">
        <v>67</v>
      </c>
      <c r="K479" t="s">
        <v>27</v>
      </c>
      <c r="L479" t="s">
        <v>28</v>
      </c>
      <c r="M479" s="4">
        <v>18</v>
      </c>
      <c r="N479" s="4">
        <v>7</v>
      </c>
      <c r="O479" t="s">
        <v>29</v>
      </c>
      <c r="P479" t="s">
        <v>36</v>
      </c>
      <c r="Q479" s="4">
        <v>288834</v>
      </c>
      <c r="R479" s="4">
        <v>179379</v>
      </c>
      <c r="S479" s="4">
        <f>Table1[[#This Row],[Service_Revenue]]-Table1[[#This Row],[Service_Cost]]</f>
        <v>109455</v>
      </c>
      <c r="T479" s="4">
        <v>1</v>
      </c>
      <c r="U479" s="4">
        <f>IF(AND(Table1[[#This Row],[Rework_Flag]]="Yes",Table1[[#This Row],[Warranty_Claim]]="No"),Table1[[#This Row],[Service_Revenue]],0)</f>
        <v>288834</v>
      </c>
      <c r="V479" s="4">
        <f>IF(Table1[[#This Row],[Warranty_Claim]]="Yes",1,0)</f>
        <v>0</v>
      </c>
      <c r="W479" s="4">
        <f>IF(Table1[[#This Row],[Rework_Flag]]="No",1,0)</f>
        <v>0</v>
      </c>
      <c r="X479" s="4">
        <f>IF(Table1[[#This Row],[Rework_Flag]]="Yes",1,0)</f>
        <v>1</v>
      </c>
      <c r="Y479" s="4">
        <v>1</v>
      </c>
      <c r="Z479" s="4" t="str">
        <f>IF(Table1[[#This Row],[TAT_Days]]&gt;Table1[[#This Row],[SLA_TAT]],"Yes","No")</f>
        <v>Yes</v>
      </c>
      <c r="AA479" s="4" t="str" cm="1">
        <f t="array" ref="AA479">_xlfn.IFS(Table1[[#This Row],[Customer_Satisfaction]]&lt;=2,"Poor",Table1[[#This Row],[Customer_Satisfaction]]=3,"Neutral",Table1[[#This Row],[Customer_Satisfaction]]=4,"Good",Table1[[#This Row],[Customer_Satisfaction]]=5,"Good")</f>
        <v>Poor</v>
      </c>
    </row>
    <row r="480" spans="1:27" x14ac:dyDescent="0.35">
      <c r="A480">
        <v>20478</v>
      </c>
      <c r="B480" s="1">
        <v>45304</v>
      </c>
      <c r="C480" t="s">
        <v>30</v>
      </c>
      <c r="D480" t="s">
        <v>31</v>
      </c>
      <c r="E480" t="s">
        <v>106</v>
      </c>
      <c r="F480" t="s">
        <v>53</v>
      </c>
      <c r="G480" t="s">
        <v>33</v>
      </c>
      <c r="H480" t="s">
        <v>34</v>
      </c>
      <c r="I480" t="s">
        <v>25</v>
      </c>
      <c r="J480" t="s">
        <v>67</v>
      </c>
      <c r="K480" t="s">
        <v>44</v>
      </c>
      <c r="L480" t="s">
        <v>49</v>
      </c>
      <c r="M480" s="4">
        <v>21</v>
      </c>
      <c r="N480" s="4">
        <v>7</v>
      </c>
      <c r="O480" t="s">
        <v>36</v>
      </c>
      <c r="P480" t="s">
        <v>29</v>
      </c>
      <c r="Q480" s="4">
        <v>398382</v>
      </c>
      <c r="R480" s="4">
        <v>207248</v>
      </c>
      <c r="S480" s="4">
        <f>Table1[[#This Row],[Service_Revenue]]-Table1[[#This Row],[Service_Cost]]</f>
        <v>191134</v>
      </c>
      <c r="T480" s="4">
        <v>1</v>
      </c>
      <c r="U480" s="4">
        <f>IF(AND(Table1[[#This Row],[Rework_Flag]]="Yes",Table1[[#This Row],[Warranty_Claim]]="No"),Table1[[#This Row],[Service_Revenue]],0)</f>
        <v>0</v>
      </c>
      <c r="V480" s="4">
        <f>IF(Table1[[#This Row],[Warranty_Claim]]="Yes",1,0)</f>
        <v>1</v>
      </c>
      <c r="W480" s="4">
        <f>IF(Table1[[#This Row],[Rework_Flag]]="No",1,0)</f>
        <v>1</v>
      </c>
      <c r="X480" s="4">
        <f>IF(Table1[[#This Row],[Rework_Flag]]="Yes",1,0)</f>
        <v>0</v>
      </c>
      <c r="Y480" s="4">
        <v>1</v>
      </c>
      <c r="Z480" s="4" t="str">
        <f>IF(Table1[[#This Row],[TAT_Days]]&gt;Table1[[#This Row],[SLA_TAT]],"Yes","No")</f>
        <v>Yes</v>
      </c>
      <c r="AA480" s="4" t="str" cm="1">
        <f t="array" ref="AA480">_xlfn.IFS(Table1[[#This Row],[Customer_Satisfaction]]&lt;=2,"Poor",Table1[[#This Row],[Customer_Satisfaction]]=3,"Neutral",Table1[[#This Row],[Customer_Satisfaction]]=4,"Good",Table1[[#This Row],[Customer_Satisfaction]]=5,"Good")</f>
        <v>Poor</v>
      </c>
    </row>
    <row r="481" spans="1:27" x14ac:dyDescent="0.35">
      <c r="A481">
        <v>20479</v>
      </c>
      <c r="B481" s="1">
        <v>45351</v>
      </c>
      <c r="C481" t="s">
        <v>30</v>
      </c>
      <c r="D481" t="s">
        <v>59</v>
      </c>
      <c r="E481" t="s">
        <v>66</v>
      </c>
      <c r="F481" t="s">
        <v>53</v>
      </c>
      <c r="G481" t="s">
        <v>54</v>
      </c>
      <c r="H481" t="s">
        <v>42</v>
      </c>
      <c r="I481" t="s">
        <v>55</v>
      </c>
      <c r="J481" t="s">
        <v>43</v>
      </c>
      <c r="K481" t="s">
        <v>61</v>
      </c>
      <c r="L481" t="s">
        <v>49</v>
      </c>
      <c r="M481" s="4">
        <v>24</v>
      </c>
      <c r="N481" s="4">
        <v>7</v>
      </c>
      <c r="O481" t="s">
        <v>36</v>
      </c>
      <c r="P481" t="s">
        <v>36</v>
      </c>
      <c r="Q481" s="4">
        <v>473858</v>
      </c>
      <c r="R481" s="4">
        <v>335536</v>
      </c>
      <c r="S481" s="4">
        <f>Table1[[#This Row],[Service_Revenue]]-Table1[[#This Row],[Service_Cost]]</f>
        <v>138322</v>
      </c>
      <c r="T481" s="4">
        <v>1</v>
      </c>
      <c r="U481" s="4">
        <f>IF(AND(Table1[[#This Row],[Rework_Flag]]="Yes",Table1[[#This Row],[Warranty_Claim]]="No"),Table1[[#This Row],[Service_Revenue]],0)</f>
        <v>0</v>
      </c>
      <c r="V481" s="4">
        <f>IF(Table1[[#This Row],[Warranty_Claim]]="Yes",1,0)</f>
        <v>0</v>
      </c>
      <c r="W481" s="4">
        <f>IF(Table1[[#This Row],[Rework_Flag]]="No",1,0)</f>
        <v>1</v>
      </c>
      <c r="X481" s="4">
        <f>IF(Table1[[#This Row],[Rework_Flag]]="Yes",1,0)</f>
        <v>0</v>
      </c>
      <c r="Y481" s="4">
        <v>1</v>
      </c>
      <c r="Z481" s="4" t="str">
        <f>IF(Table1[[#This Row],[TAT_Days]]&gt;Table1[[#This Row],[SLA_TAT]],"Yes","No")</f>
        <v>Yes</v>
      </c>
      <c r="AA481" s="4" t="str" cm="1">
        <f t="array" ref="AA481">_xlfn.IFS(Table1[[#This Row],[Customer_Satisfaction]]&lt;=2,"Poor",Table1[[#This Row],[Customer_Satisfaction]]=3,"Neutral",Table1[[#This Row],[Customer_Satisfaction]]=4,"Good",Table1[[#This Row],[Customer_Satisfaction]]=5,"Good")</f>
        <v>Poor</v>
      </c>
    </row>
    <row r="482" spans="1:27" x14ac:dyDescent="0.35">
      <c r="A482">
        <v>20480</v>
      </c>
      <c r="B482" s="1">
        <v>45376</v>
      </c>
      <c r="C482" t="s">
        <v>30</v>
      </c>
      <c r="D482" t="s">
        <v>59</v>
      </c>
      <c r="E482" t="s">
        <v>78</v>
      </c>
      <c r="F482" t="s">
        <v>40</v>
      </c>
      <c r="G482" t="s">
        <v>33</v>
      </c>
      <c r="H482" t="s">
        <v>34</v>
      </c>
      <c r="I482" t="s">
        <v>55</v>
      </c>
      <c r="J482" t="s">
        <v>35</v>
      </c>
      <c r="K482" t="s">
        <v>27</v>
      </c>
      <c r="L482" t="s">
        <v>49</v>
      </c>
      <c r="M482" s="4">
        <v>11</v>
      </c>
      <c r="N482" s="4">
        <v>7</v>
      </c>
      <c r="O482" t="s">
        <v>29</v>
      </c>
      <c r="P482" t="s">
        <v>29</v>
      </c>
      <c r="Q482" s="4">
        <v>491898</v>
      </c>
      <c r="R482" s="4">
        <v>303245</v>
      </c>
      <c r="S482" s="4">
        <f>Table1[[#This Row],[Service_Revenue]]-Table1[[#This Row],[Service_Cost]]</f>
        <v>188653</v>
      </c>
      <c r="T482" s="4">
        <v>2</v>
      </c>
      <c r="U482" s="4">
        <f>IF(AND(Table1[[#This Row],[Rework_Flag]]="Yes",Table1[[#This Row],[Warranty_Claim]]="No"),Table1[[#This Row],[Service_Revenue]],0)</f>
        <v>0</v>
      </c>
      <c r="V482" s="4">
        <f>IF(Table1[[#This Row],[Warranty_Claim]]="Yes",1,0)</f>
        <v>1</v>
      </c>
      <c r="W482" s="4">
        <f>IF(Table1[[#This Row],[Rework_Flag]]="No",1,0)</f>
        <v>0</v>
      </c>
      <c r="X482" s="4">
        <f>IF(Table1[[#This Row],[Rework_Flag]]="Yes",1,0)</f>
        <v>1</v>
      </c>
      <c r="Y482" s="4">
        <v>1</v>
      </c>
      <c r="Z482" s="4" t="str">
        <f>IF(Table1[[#This Row],[TAT_Days]]&gt;Table1[[#This Row],[SLA_TAT]],"Yes","No")</f>
        <v>Yes</v>
      </c>
      <c r="AA482" s="4" t="str" cm="1">
        <f t="array" ref="AA482">_xlfn.IFS(Table1[[#This Row],[Customer_Satisfaction]]&lt;=2,"Poor",Table1[[#This Row],[Customer_Satisfaction]]=3,"Neutral",Table1[[#This Row],[Customer_Satisfaction]]=4,"Good",Table1[[#This Row],[Customer_Satisfaction]]=5,"Good")</f>
        <v>Poor</v>
      </c>
    </row>
    <row r="483" spans="1:27" x14ac:dyDescent="0.35">
      <c r="A483">
        <v>20481</v>
      </c>
      <c r="B483" s="1">
        <v>45357</v>
      </c>
      <c r="C483" t="s">
        <v>30</v>
      </c>
      <c r="D483" t="s">
        <v>31</v>
      </c>
      <c r="E483" t="s">
        <v>106</v>
      </c>
      <c r="F483" t="s">
        <v>40</v>
      </c>
      <c r="G483" t="s">
        <v>41</v>
      </c>
      <c r="H483" t="s">
        <v>42</v>
      </c>
      <c r="I483" t="s">
        <v>55</v>
      </c>
      <c r="J483" t="s">
        <v>58</v>
      </c>
      <c r="K483" t="s">
        <v>27</v>
      </c>
      <c r="L483" t="s">
        <v>49</v>
      </c>
      <c r="M483" s="4">
        <v>22</v>
      </c>
      <c r="N483" s="4">
        <v>7</v>
      </c>
      <c r="O483" t="s">
        <v>29</v>
      </c>
      <c r="P483" t="s">
        <v>29</v>
      </c>
      <c r="Q483" s="4">
        <v>193479</v>
      </c>
      <c r="R483" s="4">
        <v>138395</v>
      </c>
      <c r="S483" s="4">
        <f>Table1[[#This Row],[Service_Revenue]]-Table1[[#This Row],[Service_Cost]]</f>
        <v>55084</v>
      </c>
      <c r="T483" s="4">
        <v>1</v>
      </c>
      <c r="U483" s="4">
        <f>IF(AND(Table1[[#This Row],[Rework_Flag]]="Yes",Table1[[#This Row],[Warranty_Claim]]="No"),Table1[[#This Row],[Service_Revenue]],0)</f>
        <v>0</v>
      </c>
      <c r="V483" s="4">
        <f>IF(Table1[[#This Row],[Warranty_Claim]]="Yes",1,0)</f>
        <v>1</v>
      </c>
      <c r="W483" s="4">
        <f>IF(Table1[[#This Row],[Rework_Flag]]="No",1,0)</f>
        <v>0</v>
      </c>
      <c r="X483" s="4">
        <f>IF(Table1[[#This Row],[Rework_Flag]]="Yes",1,0)</f>
        <v>1</v>
      </c>
      <c r="Y483" s="4">
        <v>1</v>
      </c>
      <c r="Z483" s="4" t="str">
        <f>IF(Table1[[#This Row],[TAT_Days]]&gt;Table1[[#This Row],[SLA_TAT]],"Yes","No")</f>
        <v>Yes</v>
      </c>
      <c r="AA483" s="4" t="str" cm="1">
        <f t="array" ref="AA483">_xlfn.IFS(Table1[[#This Row],[Customer_Satisfaction]]&lt;=2,"Poor",Table1[[#This Row],[Customer_Satisfaction]]=3,"Neutral",Table1[[#This Row],[Customer_Satisfaction]]=4,"Good",Table1[[#This Row],[Customer_Satisfaction]]=5,"Good")</f>
        <v>Poor</v>
      </c>
    </row>
    <row r="484" spans="1:27" x14ac:dyDescent="0.35">
      <c r="A484">
        <v>20482</v>
      </c>
      <c r="B484" s="1">
        <v>45398</v>
      </c>
      <c r="C484" t="s">
        <v>30</v>
      </c>
      <c r="D484" t="s">
        <v>59</v>
      </c>
      <c r="E484" t="s">
        <v>78</v>
      </c>
      <c r="F484" t="s">
        <v>22</v>
      </c>
      <c r="G484" t="s">
        <v>33</v>
      </c>
      <c r="H484" t="s">
        <v>34</v>
      </c>
      <c r="I484" t="s">
        <v>25</v>
      </c>
      <c r="J484" t="s">
        <v>35</v>
      </c>
      <c r="K484" t="s">
        <v>27</v>
      </c>
      <c r="L484" t="s">
        <v>28</v>
      </c>
      <c r="M484" s="4">
        <v>24</v>
      </c>
      <c r="N484" s="4">
        <v>7</v>
      </c>
      <c r="O484" t="s">
        <v>29</v>
      </c>
      <c r="P484" t="s">
        <v>36</v>
      </c>
      <c r="Q484" s="4">
        <v>201780</v>
      </c>
      <c r="R484" s="4">
        <v>159677</v>
      </c>
      <c r="S484" s="4">
        <f>Table1[[#This Row],[Service_Revenue]]-Table1[[#This Row],[Service_Cost]]</f>
        <v>42103</v>
      </c>
      <c r="T484" s="4">
        <v>1</v>
      </c>
      <c r="U484" s="4">
        <f>IF(AND(Table1[[#This Row],[Rework_Flag]]="Yes",Table1[[#This Row],[Warranty_Claim]]="No"),Table1[[#This Row],[Service_Revenue]],0)</f>
        <v>201780</v>
      </c>
      <c r="V484" s="4">
        <f>IF(Table1[[#This Row],[Warranty_Claim]]="Yes",1,0)</f>
        <v>0</v>
      </c>
      <c r="W484" s="4">
        <f>IF(Table1[[#This Row],[Rework_Flag]]="No",1,0)</f>
        <v>0</v>
      </c>
      <c r="X484" s="4">
        <f>IF(Table1[[#This Row],[Rework_Flag]]="Yes",1,0)</f>
        <v>1</v>
      </c>
      <c r="Y484" s="4">
        <v>1</v>
      </c>
      <c r="Z484" s="4" t="str">
        <f>IF(Table1[[#This Row],[TAT_Days]]&gt;Table1[[#This Row],[SLA_TAT]],"Yes","No")</f>
        <v>Yes</v>
      </c>
      <c r="AA484" s="4" t="str" cm="1">
        <f t="array" ref="AA484">_xlfn.IFS(Table1[[#This Row],[Customer_Satisfaction]]&lt;=2,"Poor",Table1[[#This Row],[Customer_Satisfaction]]=3,"Neutral",Table1[[#This Row],[Customer_Satisfaction]]=4,"Good",Table1[[#This Row],[Customer_Satisfaction]]=5,"Good")</f>
        <v>Poor</v>
      </c>
    </row>
    <row r="485" spans="1:27" x14ac:dyDescent="0.35">
      <c r="A485">
        <v>20483</v>
      </c>
      <c r="B485" s="1">
        <v>45299</v>
      </c>
      <c r="C485" t="s">
        <v>30</v>
      </c>
      <c r="D485" t="s">
        <v>83</v>
      </c>
      <c r="E485" t="s">
        <v>95</v>
      </c>
      <c r="F485" t="s">
        <v>22</v>
      </c>
      <c r="G485" t="s">
        <v>74</v>
      </c>
      <c r="H485" t="s">
        <v>34</v>
      </c>
      <c r="I485" t="s">
        <v>55</v>
      </c>
      <c r="J485" t="s">
        <v>26</v>
      </c>
      <c r="K485" t="s">
        <v>44</v>
      </c>
      <c r="L485" t="s">
        <v>49</v>
      </c>
      <c r="M485" s="4">
        <v>7</v>
      </c>
      <c r="N485" s="4">
        <v>7</v>
      </c>
      <c r="O485" t="s">
        <v>29</v>
      </c>
      <c r="P485" t="s">
        <v>36</v>
      </c>
      <c r="Q485" s="4">
        <v>188213</v>
      </c>
      <c r="R485" s="4">
        <v>126949</v>
      </c>
      <c r="S485" s="4">
        <f>Table1[[#This Row],[Service_Revenue]]-Table1[[#This Row],[Service_Cost]]</f>
        <v>61264</v>
      </c>
      <c r="T485" s="4">
        <v>3</v>
      </c>
      <c r="U485" s="4">
        <f>IF(AND(Table1[[#This Row],[Rework_Flag]]="Yes",Table1[[#This Row],[Warranty_Claim]]="No"),Table1[[#This Row],[Service_Revenue]],0)</f>
        <v>188213</v>
      </c>
      <c r="V485" s="4">
        <f>IF(Table1[[#This Row],[Warranty_Claim]]="Yes",1,0)</f>
        <v>0</v>
      </c>
      <c r="W485" s="4">
        <f>IF(Table1[[#This Row],[Rework_Flag]]="No",1,0)</f>
        <v>0</v>
      </c>
      <c r="X485" s="4">
        <f>IF(Table1[[#This Row],[Rework_Flag]]="Yes",1,0)</f>
        <v>1</v>
      </c>
      <c r="Y485" s="4">
        <v>1</v>
      </c>
      <c r="Z485" s="4" t="str">
        <f>IF(Table1[[#This Row],[TAT_Days]]&gt;Table1[[#This Row],[SLA_TAT]],"Yes","No")</f>
        <v>No</v>
      </c>
      <c r="AA485" s="4" t="str" cm="1">
        <f t="array" ref="AA485">_xlfn.IFS(Table1[[#This Row],[Customer_Satisfaction]]&lt;=2,"Poor",Table1[[#This Row],[Customer_Satisfaction]]=3,"Neutral",Table1[[#This Row],[Customer_Satisfaction]]=4,"Good",Table1[[#This Row],[Customer_Satisfaction]]=5,"Good")</f>
        <v>Neutral</v>
      </c>
    </row>
    <row r="486" spans="1:27" x14ac:dyDescent="0.35">
      <c r="A486">
        <v>20484</v>
      </c>
      <c r="B486" s="1">
        <v>45402</v>
      </c>
      <c r="C486" t="s">
        <v>50</v>
      </c>
      <c r="D486" t="s">
        <v>51</v>
      </c>
      <c r="E486" t="s">
        <v>120</v>
      </c>
      <c r="F486" t="s">
        <v>22</v>
      </c>
      <c r="G486" t="s">
        <v>33</v>
      </c>
      <c r="H486" t="s">
        <v>34</v>
      </c>
      <c r="I486" t="s">
        <v>25</v>
      </c>
      <c r="J486" t="s">
        <v>35</v>
      </c>
      <c r="K486" t="s">
        <v>44</v>
      </c>
      <c r="L486" t="s">
        <v>49</v>
      </c>
      <c r="M486" s="4">
        <v>2</v>
      </c>
      <c r="N486" s="4">
        <v>7</v>
      </c>
      <c r="O486" t="s">
        <v>29</v>
      </c>
      <c r="P486" t="s">
        <v>29</v>
      </c>
      <c r="Q486" s="4">
        <v>215766</v>
      </c>
      <c r="R486" s="4">
        <v>178080</v>
      </c>
      <c r="S486" s="4">
        <f>Table1[[#This Row],[Service_Revenue]]-Table1[[#This Row],[Service_Cost]]</f>
        <v>37686</v>
      </c>
      <c r="T486" s="4">
        <v>4</v>
      </c>
      <c r="U486" s="4">
        <f>IF(AND(Table1[[#This Row],[Rework_Flag]]="Yes",Table1[[#This Row],[Warranty_Claim]]="No"),Table1[[#This Row],[Service_Revenue]],0)</f>
        <v>0</v>
      </c>
      <c r="V486" s="4">
        <f>IF(Table1[[#This Row],[Warranty_Claim]]="Yes",1,0)</f>
        <v>1</v>
      </c>
      <c r="W486" s="4">
        <f>IF(Table1[[#This Row],[Rework_Flag]]="No",1,0)</f>
        <v>0</v>
      </c>
      <c r="X486" s="4">
        <f>IF(Table1[[#This Row],[Rework_Flag]]="Yes",1,0)</f>
        <v>1</v>
      </c>
      <c r="Y486" s="4">
        <v>1</v>
      </c>
      <c r="Z486" s="4" t="str">
        <f>IF(Table1[[#This Row],[TAT_Days]]&gt;Table1[[#This Row],[SLA_TAT]],"Yes","No")</f>
        <v>No</v>
      </c>
      <c r="AA486" s="4" t="str" cm="1">
        <f t="array" ref="AA486">_xlfn.IFS(Table1[[#This Row],[Customer_Satisfaction]]&lt;=2,"Poor",Table1[[#This Row],[Customer_Satisfaction]]=3,"Neutral",Table1[[#This Row],[Customer_Satisfaction]]=4,"Good",Table1[[#This Row],[Customer_Satisfaction]]=5,"Good")</f>
        <v>Good</v>
      </c>
    </row>
    <row r="487" spans="1:27" x14ac:dyDescent="0.35">
      <c r="A487">
        <v>20485</v>
      </c>
      <c r="B487" s="1">
        <v>45445</v>
      </c>
      <c r="C487" t="s">
        <v>37</v>
      </c>
      <c r="D487" t="s">
        <v>70</v>
      </c>
      <c r="E487" t="s">
        <v>82</v>
      </c>
      <c r="F487" t="s">
        <v>22</v>
      </c>
      <c r="G487" t="s">
        <v>63</v>
      </c>
      <c r="H487" t="s">
        <v>24</v>
      </c>
      <c r="I487" t="s">
        <v>55</v>
      </c>
      <c r="J487" t="s">
        <v>67</v>
      </c>
      <c r="K487" t="s">
        <v>27</v>
      </c>
      <c r="L487" t="s">
        <v>49</v>
      </c>
      <c r="M487" s="4">
        <v>21</v>
      </c>
      <c r="N487" s="4">
        <v>7</v>
      </c>
      <c r="O487" t="s">
        <v>29</v>
      </c>
      <c r="P487" t="s">
        <v>36</v>
      </c>
      <c r="Q487" s="4">
        <v>314064</v>
      </c>
      <c r="R487" s="4">
        <v>176302</v>
      </c>
      <c r="S487" s="4">
        <f>Table1[[#This Row],[Service_Revenue]]-Table1[[#This Row],[Service_Cost]]</f>
        <v>137762</v>
      </c>
      <c r="T487" s="4">
        <v>1</v>
      </c>
      <c r="U487" s="4">
        <f>IF(AND(Table1[[#This Row],[Rework_Flag]]="Yes",Table1[[#This Row],[Warranty_Claim]]="No"),Table1[[#This Row],[Service_Revenue]],0)</f>
        <v>314064</v>
      </c>
      <c r="V487" s="4">
        <f>IF(Table1[[#This Row],[Warranty_Claim]]="Yes",1,0)</f>
        <v>0</v>
      </c>
      <c r="W487" s="4">
        <f>IF(Table1[[#This Row],[Rework_Flag]]="No",1,0)</f>
        <v>0</v>
      </c>
      <c r="X487" s="4">
        <f>IF(Table1[[#This Row],[Rework_Flag]]="Yes",1,0)</f>
        <v>1</v>
      </c>
      <c r="Y487" s="4">
        <v>1</v>
      </c>
      <c r="Z487" s="4" t="str">
        <f>IF(Table1[[#This Row],[TAT_Days]]&gt;Table1[[#This Row],[SLA_TAT]],"Yes","No")</f>
        <v>Yes</v>
      </c>
      <c r="AA487" s="4" t="str" cm="1">
        <f t="array" ref="AA487">_xlfn.IFS(Table1[[#This Row],[Customer_Satisfaction]]&lt;=2,"Poor",Table1[[#This Row],[Customer_Satisfaction]]=3,"Neutral",Table1[[#This Row],[Customer_Satisfaction]]=4,"Good",Table1[[#This Row],[Customer_Satisfaction]]=5,"Good")</f>
        <v>Poor</v>
      </c>
    </row>
    <row r="488" spans="1:27" x14ac:dyDescent="0.35">
      <c r="A488">
        <v>20486</v>
      </c>
      <c r="B488" s="1">
        <v>45351</v>
      </c>
      <c r="C488" t="s">
        <v>50</v>
      </c>
      <c r="D488" t="s">
        <v>80</v>
      </c>
      <c r="E488" t="s">
        <v>85</v>
      </c>
      <c r="F488" t="s">
        <v>22</v>
      </c>
      <c r="G488" t="s">
        <v>47</v>
      </c>
      <c r="H488" t="s">
        <v>48</v>
      </c>
      <c r="I488" t="s">
        <v>55</v>
      </c>
      <c r="J488" t="s">
        <v>35</v>
      </c>
      <c r="K488" t="s">
        <v>27</v>
      </c>
      <c r="L488" t="s">
        <v>49</v>
      </c>
      <c r="M488" s="4">
        <v>10</v>
      </c>
      <c r="N488" s="4">
        <v>7</v>
      </c>
      <c r="O488" t="s">
        <v>36</v>
      </c>
      <c r="P488" t="s">
        <v>36</v>
      </c>
      <c r="Q488" s="4">
        <v>239241</v>
      </c>
      <c r="R488" s="4">
        <v>197968</v>
      </c>
      <c r="S488" s="4">
        <f>Table1[[#This Row],[Service_Revenue]]-Table1[[#This Row],[Service_Cost]]</f>
        <v>41273</v>
      </c>
      <c r="T488" s="4">
        <v>3</v>
      </c>
      <c r="U488" s="4">
        <f>IF(AND(Table1[[#This Row],[Rework_Flag]]="Yes",Table1[[#This Row],[Warranty_Claim]]="No"),Table1[[#This Row],[Service_Revenue]],0)</f>
        <v>0</v>
      </c>
      <c r="V488" s="4">
        <f>IF(Table1[[#This Row],[Warranty_Claim]]="Yes",1,0)</f>
        <v>0</v>
      </c>
      <c r="W488" s="4">
        <f>IF(Table1[[#This Row],[Rework_Flag]]="No",1,0)</f>
        <v>1</v>
      </c>
      <c r="X488" s="4">
        <f>IF(Table1[[#This Row],[Rework_Flag]]="Yes",1,0)</f>
        <v>0</v>
      </c>
      <c r="Y488" s="4">
        <v>1</v>
      </c>
      <c r="Z488" s="4" t="str">
        <f>IF(Table1[[#This Row],[TAT_Days]]&gt;Table1[[#This Row],[SLA_TAT]],"Yes","No")</f>
        <v>Yes</v>
      </c>
      <c r="AA488" s="4" t="str" cm="1">
        <f t="array" ref="AA488">_xlfn.IFS(Table1[[#This Row],[Customer_Satisfaction]]&lt;=2,"Poor",Table1[[#This Row],[Customer_Satisfaction]]=3,"Neutral",Table1[[#This Row],[Customer_Satisfaction]]=4,"Good",Table1[[#This Row],[Customer_Satisfaction]]=5,"Good")</f>
        <v>Neutral</v>
      </c>
    </row>
    <row r="489" spans="1:27" x14ac:dyDescent="0.35">
      <c r="A489">
        <v>20487</v>
      </c>
      <c r="B489" s="1">
        <v>45336</v>
      </c>
      <c r="C489" t="s">
        <v>37</v>
      </c>
      <c r="D489" t="s">
        <v>64</v>
      </c>
      <c r="E489" t="s">
        <v>87</v>
      </c>
      <c r="F489" t="s">
        <v>40</v>
      </c>
      <c r="G489" t="s">
        <v>23</v>
      </c>
      <c r="H489" t="s">
        <v>24</v>
      </c>
      <c r="I489" t="s">
        <v>25</v>
      </c>
      <c r="J489" t="s">
        <v>58</v>
      </c>
      <c r="K489" t="s">
        <v>61</v>
      </c>
      <c r="L489" t="s">
        <v>28</v>
      </c>
      <c r="M489" s="4">
        <v>9</v>
      </c>
      <c r="N489" s="4">
        <v>7</v>
      </c>
      <c r="O489" t="s">
        <v>29</v>
      </c>
      <c r="P489" t="s">
        <v>29</v>
      </c>
      <c r="Q489" s="4">
        <v>387082</v>
      </c>
      <c r="R489" s="4">
        <v>300416</v>
      </c>
      <c r="S489" s="4">
        <f>Table1[[#This Row],[Service_Revenue]]-Table1[[#This Row],[Service_Cost]]</f>
        <v>86666</v>
      </c>
      <c r="T489" s="4">
        <v>3</v>
      </c>
      <c r="U489" s="4">
        <f>IF(AND(Table1[[#This Row],[Rework_Flag]]="Yes",Table1[[#This Row],[Warranty_Claim]]="No"),Table1[[#This Row],[Service_Revenue]],0)</f>
        <v>0</v>
      </c>
      <c r="V489" s="4">
        <f>IF(Table1[[#This Row],[Warranty_Claim]]="Yes",1,0)</f>
        <v>1</v>
      </c>
      <c r="W489" s="4">
        <f>IF(Table1[[#This Row],[Rework_Flag]]="No",1,0)</f>
        <v>0</v>
      </c>
      <c r="X489" s="4">
        <f>IF(Table1[[#This Row],[Rework_Flag]]="Yes",1,0)</f>
        <v>1</v>
      </c>
      <c r="Y489" s="4">
        <v>1</v>
      </c>
      <c r="Z489" s="4" t="str">
        <f>IF(Table1[[#This Row],[TAT_Days]]&gt;Table1[[#This Row],[SLA_TAT]],"Yes","No")</f>
        <v>Yes</v>
      </c>
      <c r="AA489" s="4" t="str" cm="1">
        <f t="array" ref="AA489">_xlfn.IFS(Table1[[#This Row],[Customer_Satisfaction]]&lt;=2,"Poor",Table1[[#This Row],[Customer_Satisfaction]]=3,"Neutral",Table1[[#This Row],[Customer_Satisfaction]]=4,"Good",Table1[[#This Row],[Customer_Satisfaction]]=5,"Good")</f>
        <v>Neutral</v>
      </c>
    </row>
    <row r="490" spans="1:27" x14ac:dyDescent="0.35">
      <c r="A490">
        <v>20488</v>
      </c>
      <c r="B490" s="1">
        <v>45322</v>
      </c>
      <c r="C490" t="s">
        <v>19</v>
      </c>
      <c r="D490" t="s">
        <v>45</v>
      </c>
      <c r="E490" t="s">
        <v>99</v>
      </c>
      <c r="F490" t="s">
        <v>22</v>
      </c>
      <c r="G490" t="s">
        <v>47</v>
      </c>
      <c r="H490" t="s">
        <v>48</v>
      </c>
      <c r="I490" t="s">
        <v>25</v>
      </c>
      <c r="J490" t="s">
        <v>26</v>
      </c>
      <c r="K490" t="s">
        <v>61</v>
      </c>
      <c r="L490" t="s">
        <v>28</v>
      </c>
      <c r="M490" s="4">
        <v>10</v>
      </c>
      <c r="N490" s="4">
        <v>7</v>
      </c>
      <c r="O490" t="s">
        <v>36</v>
      </c>
      <c r="P490" t="s">
        <v>36</v>
      </c>
      <c r="Q490" s="4">
        <v>291718</v>
      </c>
      <c r="R490" s="4">
        <v>192482</v>
      </c>
      <c r="S490" s="4">
        <f>Table1[[#This Row],[Service_Revenue]]-Table1[[#This Row],[Service_Cost]]</f>
        <v>99236</v>
      </c>
      <c r="T490" s="4">
        <v>3</v>
      </c>
      <c r="U490" s="4">
        <f>IF(AND(Table1[[#This Row],[Rework_Flag]]="Yes",Table1[[#This Row],[Warranty_Claim]]="No"),Table1[[#This Row],[Service_Revenue]],0)</f>
        <v>0</v>
      </c>
      <c r="V490" s="4">
        <f>IF(Table1[[#This Row],[Warranty_Claim]]="Yes",1,0)</f>
        <v>0</v>
      </c>
      <c r="W490" s="4">
        <f>IF(Table1[[#This Row],[Rework_Flag]]="No",1,0)</f>
        <v>1</v>
      </c>
      <c r="X490" s="4">
        <f>IF(Table1[[#This Row],[Rework_Flag]]="Yes",1,0)</f>
        <v>0</v>
      </c>
      <c r="Y490" s="4">
        <v>1</v>
      </c>
      <c r="Z490" s="4" t="str">
        <f>IF(Table1[[#This Row],[TAT_Days]]&gt;Table1[[#This Row],[SLA_TAT]],"Yes","No")</f>
        <v>Yes</v>
      </c>
      <c r="AA490" s="4" t="str" cm="1">
        <f t="array" ref="AA490">_xlfn.IFS(Table1[[#This Row],[Customer_Satisfaction]]&lt;=2,"Poor",Table1[[#This Row],[Customer_Satisfaction]]=3,"Neutral",Table1[[#This Row],[Customer_Satisfaction]]=4,"Good",Table1[[#This Row],[Customer_Satisfaction]]=5,"Good")</f>
        <v>Neutral</v>
      </c>
    </row>
    <row r="491" spans="1:27" x14ac:dyDescent="0.35">
      <c r="A491">
        <v>20489</v>
      </c>
      <c r="B491" s="1">
        <v>45402</v>
      </c>
      <c r="C491" t="s">
        <v>50</v>
      </c>
      <c r="D491" t="s">
        <v>56</v>
      </c>
      <c r="E491" t="s">
        <v>68</v>
      </c>
      <c r="F491" t="s">
        <v>40</v>
      </c>
      <c r="G491" t="s">
        <v>63</v>
      </c>
      <c r="H491" t="s">
        <v>24</v>
      </c>
      <c r="I491" t="s">
        <v>25</v>
      </c>
      <c r="J491" t="s">
        <v>58</v>
      </c>
      <c r="K491" t="s">
        <v>27</v>
      </c>
      <c r="L491" t="s">
        <v>28</v>
      </c>
      <c r="M491" s="4">
        <v>8</v>
      </c>
      <c r="N491" s="4">
        <v>7</v>
      </c>
      <c r="O491" t="s">
        <v>29</v>
      </c>
      <c r="P491" t="s">
        <v>36</v>
      </c>
      <c r="Q491" s="4">
        <v>508678</v>
      </c>
      <c r="R491" s="4">
        <v>351732</v>
      </c>
      <c r="S491" s="4">
        <f>Table1[[#This Row],[Service_Revenue]]-Table1[[#This Row],[Service_Cost]]</f>
        <v>156946</v>
      </c>
      <c r="T491" s="4">
        <v>3</v>
      </c>
      <c r="U491" s="4">
        <f>IF(AND(Table1[[#This Row],[Rework_Flag]]="Yes",Table1[[#This Row],[Warranty_Claim]]="No"),Table1[[#This Row],[Service_Revenue]],0)</f>
        <v>508678</v>
      </c>
      <c r="V491" s="4">
        <f>IF(Table1[[#This Row],[Warranty_Claim]]="Yes",1,0)</f>
        <v>0</v>
      </c>
      <c r="W491" s="4">
        <f>IF(Table1[[#This Row],[Rework_Flag]]="No",1,0)</f>
        <v>0</v>
      </c>
      <c r="X491" s="4">
        <f>IF(Table1[[#This Row],[Rework_Flag]]="Yes",1,0)</f>
        <v>1</v>
      </c>
      <c r="Y491" s="4">
        <v>1</v>
      </c>
      <c r="Z491" s="4" t="str">
        <f>IF(Table1[[#This Row],[TAT_Days]]&gt;Table1[[#This Row],[SLA_TAT]],"Yes","No")</f>
        <v>Yes</v>
      </c>
      <c r="AA491" s="4" t="str" cm="1">
        <f t="array" ref="AA491">_xlfn.IFS(Table1[[#This Row],[Customer_Satisfaction]]&lt;=2,"Poor",Table1[[#This Row],[Customer_Satisfaction]]=3,"Neutral",Table1[[#This Row],[Customer_Satisfaction]]=4,"Good",Table1[[#This Row],[Customer_Satisfaction]]=5,"Good")</f>
        <v>Neutral</v>
      </c>
    </row>
    <row r="492" spans="1:27" x14ac:dyDescent="0.35">
      <c r="A492">
        <v>20490</v>
      </c>
      <c r="B492" s="1">
        <v>45419</v>
      </c>
      <c r="C492" t="s">
        <v>19</v>
      </c>
      <c r="D492" t="s">
        <v>96</v>
      </c>
      <c r="E492" t="s">
        <v>105</v>
      </c>
      <c r="F492" t="s">
        <v>40</v>
      </c>
      <c r="G492" t="s">
        <v>54</v>
      </c>
      <c r="H492" t="s">
        <v>42</v>
      </c>
      <c r="I492" t="s">
        <v>55</v>
      </c>
      <c r="J492" t="s">
        <v>35</v>
      </c>
      <c r="K492" t="s">
        <v>61</v>
      </c>
      <c r="L492" t="s">
        <v>49</v>
      </c>
      <c r="M492" s="4">
        <v>13</v>
      </c>
      <c r="N492" s="4">
        <v>7</v>
      </c>
      <c r="O492" t="s">
        <v>29</v>
      </c>
      <c r="P492" t="s">
        <v>36</v>
      </c>
      <c r="Q492" s="4">
        <v>206139</v>
      </c>
      <c r="R492" s="4">
        <v>136442</v>
      </c>
      <c r="S492" s="4">
        <f>Table1[[#This Row],[Service_Revenue]]-Table1[[#This Row],[Service_Cost]]</f>
        <v>69697</v>
      </c>
      <c r="T492" s="4">
        <v>2</v>
      </c>
      <c r="U492" s="4">
        <f>IF(AND(Table1[[#This Row],[Rework_Flag]]="Yes",Table1[[#This Row],[Warranty_Claim]]="No"),Table1[[#This Row],[Service_Revenue]],0)</f>
        <v>206139</v>
      </c>
      <c r="V492" s="4">
        <f>IF(Table1[[#This Row],[Warranty_Claim]]="Yes",1,0)</f>
        <v>0</v>
      </c>
      <c r="W492" s="4">
        <f>IF(Table1[[#This Row],[Rework_Flag]]="No",1,0)</f>
        <v>0</v>
      </c>
      <c r="X492" s="4">
        <f>IF(Table1[[#This Row],[Rework_Flag]]="Yes",1,0)</f>
        <v>1</v>
      </c>
      <c r="Y492" s="4">
        <v>1</v>
      </c>
      <c r="Z492" s="4" t="str">
        <f>IF(Table1[[#This Row],[TAT_Days]]&gt;Table1[[#This Row],[SLA_TAT]],"Yes","No")</f>
        <v>Yes</v>
      </c>
      <c r="AA492" s="4" t="str" cm="1">
        <f t="array" ref="AA492">_xlfn.IFS(Table1[[#This Row],[Customer_Satisfaction]]&lt;=2,"Poor",Table1[[#This Row],[Customer_Satisfaction]]=3,"Neutral",Table1[[#This Row],[Customer_Satisfaction]]=4,"Good",Table1[[#This Row],[Customer_Satisfaction]]=5,"Good")</f>
        <v>Poor</v>
      </c>
    </row>
    <row r="493" spans="1:27" x14ac:dyDescent="0.35">
      <c r="A493">
        <v>20491</v>
      </c>
      <c r="B493" s="1">
        <v>45390</v>
      </c>
      <c r="C493" t="s">
        <v>30</v>
      </c>
      <c r="D493" t="s">
        <v>31</v>
      </c>
      <c r="E493" t="s">
        <v>79</v>
      </c>
      <c r="F493" t="s">
        <v>53</v>
      </c>
      <c r="G493" t="s">
        <v>54</v>
      </c>
      <c r="H493" t="s">
        <v>42</v>
      </c>
      <c r="I493" t="s">
        <v>25</v>
      </c>
      <c r="J493" t="s">
        <v>67</v>
      </c>
      <c r="K493" t="s">
        <v>27</v>
      </c>
      <c r="L493" t="s">
        <v>28</v>
      </c>
      <c r="M493" s="4">
        <v>14</v>
      </c>
      <c r="N493" s="4">
        <v>7</v>
      </c>
      <c r="O493" t="s">
        <v>29</v>
      </c>
      <c r="P493" t="s">
        <v>36</v>
      </c>
      <c r="Q493" s="4">
        <v>232070</v>
      </c>
      <c r="R493" s="4">
        <v>171991</v>
      </c>
      <c r="S493" s="4">
        <f>Table1[[#This Row],[Service_Revenue]]-Table1[[#This Row],[Service_Cost]]</f>
        <v>60079</v>
      </c>
      <c r="T493" s="4">
        <v>2</v>
      </c>
      <c r="U493" s="4">
        <f>IF(AND(Table1[[#This Row],[Rework_Flag]]="Yes",Table1[[#This Row],[Warranty_Claim]]="No"),Table1[[#This Row],[Service_Revenue]],0)</f>
        <v>232070</v>
      </c>
      <c r="V493" s="4">
        <f>IF(Table1[[#This Row],[Warranty_Claim]]="Yes",1,0)</f>
        <v>0</v>
      </c>
      <c r="W493" s="4">
        <f>IF(Table1[[#This Row],[Rework_Flag]]="No",1,0)</f>
        <v>0</v>
      </c>
      <c r="X493" s="4">
        <f>IF(Table1[[#This Row],[Rework_Flag]]="Yes",1,0)</f>
        <v>1</v>
      </c>
      <c r="Y493" s="4">
        <v>1</v>
      </c>
      <c r="Z493" s="4" t="str">
        <f>IF(Table1[[#This Row],[TAT_Days]]&gt;Table1[[#This Row],[SLA_TAT]],"Yes","No")</f>
        <v>Yes</v>
      </c>
      <c r="AA493" s="4" t="str" cm="1">
        <f t="array" ref="AA493">_xlfn.IFS(Table1[[#This Row],[Customer_Satisfaction]]&lt;=2,"Poor",Table1[[#This Row],[Customer_Satisfaction]]=3,"Neutral",Table1[[#This Row],[Customer_Satisfaction]]=4,"Good",Table1[[#This Row],[Customer_Satisfaction]]=5,"Good")</f>
        <v>Poor</v>
      </c>
    </row>
    <row r="494" spans="1:27" x14ac:dyDescent="0.35">
      <c r="A494">
        <v>20492</v>
      </c>
      <c r="B494" s="1">
        <v>45427</v>
      </c>
      <c r="C494" t="s">
        <v>37</v>
      </c>
      <c r="D494" t="s">
        <v>64</v>
      </c>
      <c r="E494" t="s">
        <v>115</v>
      </c>
      <c r="F494" t="s">
        <v>53</v>
      </c>
      <c r="G494" t="s">
        <v>74</v>
      </c>
      <c r="H494" t="s">
        <v>34</v>
      </c>
      <c r="I494" t="s">
        <v>25</v>
      </c>
      <c r="J494" t="s">
        <v>43</v>
      </c>
      <c r="K494" t="s">
        <v>27</v>
      </c>
      <c r="L494" t="s">
        <v>28</v>
      </c>
      <c r="M494" s="4">
        <v>25</v>
      </c>
      <c r="N494" s="4">
        <v>7</v>
      </c>
      <c r="O494" t="s">
        <v>29</v>
      </c>
      <c r="P494" t="s">
        <v>36</v>
      </c>
      <c r="Q494" s="4">
        <v>419561</v>
      </c>
      <c r="R494" s="4">
        <v>264658</v>
      </c>
      <c r="S494" s="4">
        <f>Table1[[#This Row],[Service_Revenue]]-Table1[[#This Row],[Service_Cost]]</f>
        <v>154903</v>
      </c>
      <c r="T494" s="4">
        <v>1</v>
      </c>
      <c r="U494" s="4">
        <f>IF(AND(Table1[[#This Row],[Rework_Flag]]="Yes",Table1[[#This Row],[Warranty_Claim]]="No"),Table1[[#This Row],[Service_Revenue]],0)</f>
        <v>419561</v>
      </c>
      <c r="V494" s="4">
        <f>IF(Table1[[#This Row],[Warranty_Claim]]="Yes",1,0)</f>
        <v>0</v>
      </c>
      <c r="W494" s="4">
        <f>IF(Table1[[#This Row],[Rework_Flag]]="No",1,0)</f>
        <v>0</v>
      </c>
      <c r="X494" s="4">
        <f>IF(Table1[[#This Row],[Rework_Flag]]="Yes",1,0)</f>
        <v>1</v>
      </c>
      <c r="Y494" s="4">
        <v>1</v>
      </c>
      <c r="Z494" s="4" t="str">
        <f>IF(Table1[[#This Row],[TAT_Days]]&gt;Table1[[#This Row],[SLA_TAT]],"Yes","No")</f>
        <v>Yes</v>
      </c>
      <c r="AA494" s="4" t="str" cm="1">
        <f t="array" ref="AA494">_xlfn.IFS(Table1[[#This Row],[Customer_Satisfaction]]&lt;=2,"Poor",Table1[[#This Row],[Customer_Satisfaction]]=3,"Neutral",Table1[[#This Row],[Customer_Satisfaction]]=4,"Good",Table1[[#This Row],[Customer_Satisfaction]]=5,"Good")</f>
        <v>Poor</v>
      </c>
    </row>
    <row r="495" spans="1:27" x14ac:dyDescent="0.35">
      <c r="A495">
        <v>20493</v>
      </c>
      <c r="B495" s="1">
        <v>45433</v>
      </c>
      <c r="C495" t="s">
        <v>19</v>
      </c>
      <c r="D495" t="s">
        <v>96</v>
      </c>
      <c r="E495" t="s">
        <v>98</v>
      </c>
      <c r="F495" t="s">
        <v>22</v>
      </c>
      <c r="G495" t="s">
        <v>23</v>
      </c>
      <c r="H495" t="s">
        <v>24</v>
      </c>
      <c r="I495" t="s">
        <v>55</v>
      </c>
      <c r="J495" t="s">
        <v>43</v>
      </c>
      <c r="K495" t="s">
        <v>44</v>
      </c>
      <c r="L495" t="s">
        <v>28</v>
      </c>
      <c r="M495" s="4">
        <v>22</v>
      </c>
      <c r="N495" s="4">
        <v>7</v>
      </c>
      <c r="O495" t="s">
        <v>36</v>
      </c>
      <c r="P495" t="s">
        <v>29</v>
      </c>
      <c r="Q495" s="4">
        <v>274201</v>
      </c>
      <c r="R495" s="4">
        <v>220051</v>
      </c>
      <c r="S495" s="4">
        <f>Table1[[#This Row],[Service_Revenue]]-Table1[[#This Row],[Service_Cost]]</f>
        <v>54150</v>
      </c>
      <c r="T495" s="4">
        <v>1</v>
      </c>
      <c r="U495" s="4">
        <f>IF(AND(Table1[[#This Row],[Rework_Flag]]="Yes",Table1[[#This Row],[Warranty_Claim]]="No"),Table1[[#This Row],[Service_Revenue]],0)</f>
        <v>0</v>
      </c>
      <c r="V495" s="4">
        <f>IF(Table1[[#This Row],[Warranty_Claim]]="Yes",1,0)</f>
        <v>1</v>
      </c>
      <c r="W495" s="4">
        <f>IF(Table1[[#This Row],[Rework_Flag]]="No",1,0)</f>
        <v>1</v>
      </c>
      <c r="X495" s="4">
        <f>IF(Table1[[#This Row],[Rework_Flag]]="Yes",1,0)</f>
        <v>0</v>
      </c>
      <c r="Y495" s="4">
        <v>1</v>
      </c>
      <c r="Z495" s="4" t="str">
        <f>IF(Table1[[#This Row],[TAT_Days]]&gt;Table1[[#This Row],[SLA_TAT]],"Yes","No")</f>
        <v>Yes</v>
      </c>
      <c r="AA495" s="4" t="str" cm="1">
        <f t="array" ref="AA495">_xlfn.IFS(Table1[[#This Row],[Customer_Satisfaction]]&lt;=2,"Poor",Table1[[#This Row],[Customer_Satisfaction]]=3,"Neutral",Table1[[#This Row],[Customer_Satisfaction]]=4,"Good",Table1[[#This Row],[Customer_Satisfaction]]=5,"Good")</f>
        <v>Poor</v>
      </c>
    </row>
    <row r="496" spans="1:27" x14ac:dyDescent="0.35">
      <c r="A496">
        <v>20494</v>
      </c>
      <c r="B496" s="1">
        <v>45469</v>
      </c>
      <c r="C496" t="s">
        <v>19</v>
      </c>
      <c r="D496" t="s">
        <v>20</v>
      </c>
      <c r="E496" t="s">
        <v>117</v>
      </c>
      <c r="F496" t="s">
        <v>22</v>
      </c>
      <c r="G496" t="s">
        <v>47</v>
      </c>
      <c r="H496" t="s">
        <v>48</v>
      </c>
      <c r="I496" t="s">
        <v>55</v>
      </c>
      <c r="J496" t="s">
        <v>43</v>
      </c>
      <c r="K496" t="s">
        <v>44</v>
      </c>
      <c r="L496" t="s">
        <v>28</v>
      </c>
      <c r="M496" s="4">
        <v>12</v>
      </c>
      <c r="N496" s="4">
        <v>7</v>
      </c>
      <c r="O496" t="s">
        <v>29</v>
      </c>
      <c r="P496" t="s">
        <v>29</v>
      </c>
      <c r="Q496" s="4">
        <v>184072</v>
      </c>
      <c r="R496" s="4">
        <v>126291</v>
      </c>
      <c r="S496" s="4">
        <f>Table1[[#This Row],[Service_Revenue]]-Table1[[#This Row],[Service_Cost]]</f>
        <v>57781</v>
      </c>
      <c r="T496" s="4">
        <v>2</v>
      </c>
      <c r="U496" s="4">
        <f>IF(AND(Table1[[#This Row],[Rework_Flag]]="Yes",Table1[[#This Row],[Warranty_Claim]]="No"),Table1[[#This Row],[Service_Revenue]],0)</f>
        <v>0</v>
      </c>
      <c r="V496" s="4">
        <f>IF(Table1[[#This Row],[Warranty_Claim]]="Yes",1,0)</f>
        <v>1</v>
      </c>
      <c r="W496" s="4">
        <f>IF(Table1[[#This Row],[Rework_Flag]]="No",1,0)</f>
        <v>0</v>
      </c>
      <c r="X496" s="4">
        <f>IF(Table1[[#This Row],[Rework_Flag]]="Yes",1,0)</f>
        <v>1</v>
      </c>
      <c r="Y496" s="4">
        <v>1</v>
      </c>
      <c r="Z496" s="4" t="str">
        <f>IF(Table1[[#This Row],[TAT_Days]]&gt;Table1[[#This Row],[SLA_TAT]],"Yes","No")</f>
        <v>Yes</v>
      </c>
      <c r="AA496" s="4" t="str" cm="1">
        <f t="array" ref="AA496">_xlfn.IFS(Table1[[#This Row],[Customer_Satisfaction]]&lt;=2,"Poor",Table1[[#This Row],[Customer_Satisfaction]]=3,"Neutral",Table1[[#This Row],[Customer_Satisfaction]]=4,"Good",Table1[[#This Row],[Customer_Satisfaction]]=5,"Good")</f>
        <v>Poor</v>
      </c>
    </row>
    <row r="497" spans="1:27" x14ac:dyDescent="0.35">
      <c r="A497">
        <v>20495</v>
      </c>
      <c r="B497" s="1">
        <v>45445</v>
      </c>
      <c r="C497" t="s">
        <v>50</v>
      </c>
      <c r="D497" t="s">
        <v>80</v>
      </c>
      <c r="E497" t="s">
        <v>118</v>
      </c>
      <c r="F497" t="s">
        <v>22</v>
      </c>
      <c r="G497" t="s">
        <v>47</v>
      </c>
      <c r="H497" t="s">
        <v>48</v>
      </c>
      <c r="I497" t="s">
        <v>25</v>
      </c>
      <c r="J497" t="s">
        <v>67</v>
      </c>
      <c r="K497" t="s">
        <v>61</v>
      </c>
      <c r="L497" t="s">
        <v>28</v>
      </c>
      <c r="M497" s="4">
        <v>18</v>
      </c>
      <c r="N497" s="4">
        <v>7</v>
      </c>
      <c r="O497" t="s">
        <v>29</v>
      </c>
      <c r="P497" t="s">
        <v>36</v>
      </c>
      <c r="Q497" s="4">
        <v>370943</v>
      </c>
      <c r="R497" s="4">
        <v>192857</v>
      </c>
      <c r="S497" s="4">
        <f>Table1[[#This Row],[Service_Revenue]]-Table1[[#This Row],[Service_Cost]]</f>
        <v>178086</v>
      </c>
      <c r="T497" s="4">
        <v>1</v>
      </c>
      <c r="U497" s="4">
        <f>IF(AND(Table1[[#This Row],[Rework_Flag]]="Yes",Table1[[#This Row],[Warranty_Claim]]="No"),Table1[[#This Row],[Service_Revenue]],0)</f>
        <v>370943</v>
      </c>
      <c r="V497" s="4">
        <f>IF(Table1[[#This Row],[Warranty_Claim]]="Yes",1,0)</f>
        <v>0</v>
      </c>
      <c r="W497" s="4">
        <f>IF(Table1[[#This Row],[Rework_Flag]]="No",1,0)</f>
        <v>0</v>
      </c>
      <c r="X497" s="4">
        <f>IF(Table1[[#This Row],[Rework_Flag]]="Yes",1,0)</f>
        <v>1</v>
      </c>
      <c r="Y497" s="4">
        <v>1</v>
      </c>
      <c r="Z497" s="4" t="str">
        <f>IF(Table1[[#This Row],[TAT_Days]]&gt;Table1[[#This Row],[SLA_TAT]],"Yes","No")</f>
        <v>Yes</v>
      </c>
      <c r="AA497" s="4" t="str" cm="1">
        <f t="array" ref="AA497">_xlfn.IFS(Table1[[#This Row],[Customer_Satisfaction]]&lt;=2,"Poor",Table1[[#This Row],[Customer_Satisfaction]]=3,"Neutral",Table1[[#This Row],[Customer_Satisfaction]]=4,"Good",Table1[[#This Row],[Customer_Satisfaction]]=5,"Good")</f>
        <v>Poor</v>
      </c>
    </row>
    <row r="498" spans="1:27" x14ac:dyDescent="0.35">
      <c r="A498">
        <v>20496</v>
      </c>
      <c r="B498" s="1">
        <v>45459</v>
      </c>
      <c r="C498" t="s">
        <v>50</v>
      </c>
      <c r="D498" t="s">
        <v>80</v>
      </c>
      <c r="E498" t="s">
        <v>121</v>
      </c>
      <c r="F498" t="s">
        <v>22</v>
      </c>
      <c r="G498" t="s">
        <v>33</v>
      </c>
      <c r="H498" t="s">
        <v>34</v>
      </c>
      <c r="I498" t="s">
        <v>55</v>
      </c>
      <c r="J498" t="s">
        <v>67</v>
      </c>
      <c r="K498" t="s">
        <v>44</v>
      </c>
      <c r="L498" t="s">
        <v>49</v>
      </c>
      <c r="M498" s="4">
        <v>10</v>
      </c>
      <c r="N498" s="4">
        <v>7</v>
      </c>
      <c r="O498" t="s">
        <v>29</v>
      </c>
      <c r="P498" t="s">
        <v>36</v>
      </c>
      <c r="Q498" s="4">
        <v>485970</v>
      </c>
      <c r="R498" s="4">
        <v>329114</v>
      </c>
      <c r="S498" s="4">
        <f>Table1[[#This Row],[Service_Revenue]]-Table1[[#This Row],[Service_Cost]]</f>
        <v>156856</v>
      </c>
      <c r="T498" s="4">
        <v>2</v>
      </c>
      <c r="U498" s="4">
        <f>IF(AND(Table1[[#This Row],[Rework_Flag]]="Yes",Table1[[#This Row],[Warranty_Claim]]="No"),Table1[[#This Row],[Service_Revenue]],0)</f>
        <v>485970</v>
      </c>
      <c r="V498" s="4">
        <f>IF(Table1[[#This Row],[Warranty_Claim]]="Yes",1,0)</f>
        <v>0</v>
      </c>
      <c r="W498" s="4">
        <f>IF(Table1[[#This Row],[Rework_Flag]]="No",1,0)</f>
        <v>0</v>
      </c>
      <c r="X498" s="4">
        <f>IF(Table1[[#This Row],[Rework_Flag]]="Yes",1,0)</f>
        <v>1</v>
      </c>
      <c r="Y498" s="4">
        <v>1</v>
      </c>
      <c r="Z498" s="4" t="str">
        <f>IF(Table1[[#This Row],[TAT_Days]]&gt;Table1[[#This Row],[SLA_TAT]],"Yes","No")</f>
        <v>Yes</v>
      </c>
      <c r="AA498" s="4" t="str" cm="1">
        <f t="array" ref="AA498">_xlfn.IFS(Table1[[#This Row],[Customer_Satisfaction]]&lt;=2,"Poor",Table1[[#This Row],[Customer_Satisfaction]]=3,"Neutral",Table1[[#This Row],[Customer_Satisfaction]]=4,"Good",Table1[[#This Row],[Customer_Satisfaction]]=5,"Good")</f>
        <v>Poor</v>
      </c>
    </row>
    <row r="499" spans="1:27" x14ac:dyDescent="0.35">
      <c r="A499">
        <v>20497</v>
      </c>
      <c r="B499" s="1">
        <v>45292</v>
      </c>
      <c r="C499" t="s">
        <v>50</v>
      </c>
      <c r="D499" t="s">
        <v>51</v>
      </c>
      <c r="E499" t="s">
        <v>73</v>
      </c>
      <c r="F499" t="s">
        <v>22</v>
      </c>
      <c r="G499" t="s">
        <v>33</v>
      </c>
      <c r="H499" t="s">
        <v>34</v>
      </c>
      <c r="I499" t="s">
        <v>25</v>
      </c>
      <c r="J499" t="s">
        <v>58</v>
      </c>
      <c r="K499" t="s">
        <v>61</v>
      </c>
      <c r="L499" t="s">
        <v>49</v>
      </c>
      <c r="M499" s="4">
        <v>11</v>
      </c>
      <c r="N499" s="4">
        <v>7</v>
      </c>
      <c r="O499" t="s">
        <v>36</v>
      </c>
      <c r="P499" t="s">
        <v>36</v>
      </c>
      <c r="Q499" s="4">
        <v>376445</v>
      </c>
      <c r="R499" s="4">
        <v>229238</v>
      </c>
      <c r="S499" s="4">
        <f>Table1[[#This Row],[Service_Revenue]]-Table1[[#This Row],[Service_Cost]]</f>
        <v>147207</v>
      </c>
      <c r="T499" s="4">
        <v>3</v>
      </c>
      <c r="U499" s="4">
        <f>IF(AND(Table1[[#This Row],[Rework_Flag]]="Yes",Table1[[#This Row],[Warranty_Claim]]="No"),Table1[[#This Row],[Service_Revenue]],0)</f>
        <v>0</v>
      </c>
      <c r="V499" s="4">
        <f>IF(Table1[[#This Row],[Warranty_Claim]]="Yes",1,0)</f>
        <v>0</v>
      </c>
      <c r="W499" s="4">
        <f>IF(Table1[[#This Row],[Rework_Flag]]="No",1,0)</f>
        <v>1</v>
      </c>
      <c r="X499" s="4">
        <f>IF(Table1[[#This Row],[Rework_Flag]]="Yes",1,0)</f>
        <v>0</v>
      </c>
      <c r="Y499" s="4">
        <v>1</v>
      </c>
      <c r="Z499" s="4" t="str">
        <f>IF(Table1[[#This Row],[TAT_Days]]&gt;Table1[[#This Row],[SLA_TAT]],"Yes","No")</f>
        <v>Yes</v>
      </c>
      <c r="AA499" s="4" t="str" cm="1">
        <f t="array" ref="AA499">_xlfn.IFS(Table1[[#This Row],[Customer_Satisfaction]]&lt;=2,"Poor",Table1[[#This Row],[Customer_Satisfaction]]=3,"Neutral",Table1[[#This Row],[Customer_Satisfaction]]=4,"Good",Table1[[#This Row],[Customer_Satisfaction]]=5,"Good")</f>
        <v>Neutral</v>
      </c>
    </row>
    <row r="500" spans="1:27" x14ac:dyDescent="0.35">
      <c r="A500">
        <v>20498</v>
      </c>
      <c r="B500" s="1">
        <v>45323</v>
      </c>
      <c r="C500" t="s">
        <v>30</v>
      </c>
      <c r="D500" t="s">
        <v>83</v>
      </c>
      <c r="E500" t="s">
        <v>90</v>
      </c>
      <c r="F500" t="s">
        <v>40</v>
      </c>
      <c r="G500" t="s">
        <v>23</v>
      </c>
      <c r="H500" t="s">
        <v>24</v>
      </c>
      <c r="I500" t="s">
        <v>25</v>
      </c>
      <c r="J500" t="s">
        <v>67</v>
      </c>
      <c r="K500" t="s">
        <v>61</v>
      </c>
      <c r="L500" t="s">
        <v>28</v>
      </c>
      <c r="M500" s="4">
        <v>8</v>
      </c>
      <c r="N500" s="4">
        <v>7</v>
      </c>
      <c r="O500" t="s">
        <v>36</v>
      </c>
      <c r="P500" t="s">
        <v>29</v>
      </c>
      <c r="Q500" s="4">
        <v>559284</v>
      </c>
      <c r="R500" s="4">
        <v>394280</v>
      </c>
      <c r="S500" s="4">
        <f>Table1[[#This Row],[Service_Revenue]]-Table1[[#This Row],[Service_Cost]]</f>
        <v>165004</v>
      </c>
      <c r="T500" s="4">
        <v>4</v>
      </c>
      <c r="U500" s="4">
        <f>IF(AND(Table1[[#This Row],[Rework_Flag]]="Yes",Table1[[#This Row],[Warranty_Claim]]="No"),Table1[[#This Row],[Service_Revenue]],0)</f>
        <v>0</v>
      </c>
      <c r="V500" s="4">
        <f>IF(Table1[[#This Row],[Warranty_Claim]]="Yes",1,0)</f>
        <v>1</v>
      </c>
      <c r="W500" s="4">
        <f>IF(Table1[[#This Row],[Rework_Flag]]="No",1,0)</f>
        <v>1</v>
      </c>
      <c r="X500" s="4">
        <f>IF(Table1[[#This Row],[Rework_Flag]]="Yes",1,0)</f>
        <v>0</v>
      </c>
      <c r="Y500" s="4">
        <v>1</v>
      </c>
      <c r="Z500" s="4" t="str">
        <f>IF(Table1[[#This Row],[TAT_Days]]&gt;Table1[[#This Row],[SLA_TAT]],"Yes","No")</f>
        <v>Yes</v>
      </c>
      <c r="AA500" s="4" t="str" cm="1">
        <f t="array" ref="AA500">_xlfn.IFS(Table1[[#This Row],[Customer_Satisfaction]]&lt;=2,"Poor",Table1[[#This Row],[Customer_Satisfaction]]=3,"Neutral",Table1[[#This Row],[Customer_Satisfaction]]=4,"Good",Table1[[#This Row],[Customer_Satisfaction]]=5,"Good")</f>
        <v>Good</v>
      </c>
    </row>
    <row r="501" spans="1:27" x14ac:dyDescent="0.35">
      <c r="A501">
        <v>20499</v>
      </c>
      <c r="B501" s="1">
        <v>45456</v>
      </c>
      <c r="C501" t="s">
        <v>30</v>
      </c>
      <c r="D501" t="s">
        <v>83</v>
      </c>
      <c r="E501" t="s">
        <v>95</v>
      </c>
      <c r="F501" t="s">
        <v>40</v>
      </c>
      <c r="G501" t="s">
        <v>23</v>
      </c>
      <c r="H501" t="s">
        <v>24</v>
      </c>
      <c r="I501" t="s">
        <v>25</v>
      </c>
      <c r="J501" t="s">
        <v>26</v>
      </c>
      <c r="K501" t="s">
        <v>44</v>
      </c>
      <c r="L501" t="s">
        <v>49</v>
      </c>
      <c r="M501" s="4">
        <v>25</v>
      </c>
      <c r="N501" s="4">
        <v>7</v>
      </c>
      <c r="O501" t="s">
        <v>36</v>
      </c>
      <c r="P501" t="s">
        <v>36</v>
      </c>
      <c r="Q501" s="4">
        <v>318042</v>
      </c>
      <c r="R501" s="4">
        <v>170450</v>
      </c>
      <c r="S501" s="4">
        <f>Table1[[#This Row],[Service_Revenue]]-Table1[[#This Row],[Service_Cost]]</f>
        <v>147592</v>
      </c>
      <c r="T501" s="4">
        <v>1</v>
      </c>
      <c r="U501" s="4">
        <f>IF(AND(Table1[[#This Row],[Rework_Flag]]="Yes",Table1[[#This Row],[Warranty_Claim]]="No"),Table1[[#This Row],[Service_Revenue]],0)</f>
        <v>0</v>
      </c>
      <c r="V501" s="4">
        <f>IF(Table1[[#This Row],[Warranty_Claim]]="Yes",1,0)</f>
        <v>0</v>
      </c>
      <c r="W501" s="4">
        <f>IF(Table1[[#This Row],[Rework_Flag]]="No",1,0)</f>
        <v>1</v>
      </c>
      <c r="X501" s="4">
        <f>IF(Table1[[#This Row],[Rework_Flag]]="Yes",1,0)</f>
        <v>0</v>
      </c>
      <c r="Y501" s="4">
        <v>1</v>
      </c>
      <c r="Z501" s="4" t="str">
        <f>IF(Table1[[#This Row],[TAT_Days]]&gt;Table1[[#This Row],[SLA_TAT]],"Yes","No")</f>
        <v>Yes</v>
      </c>
      <c r="AA501" s="4" t="str" cm="1">
        <f t="array" ref="AA501">_xlfn.IFS(Table1[[#This Row],[Customer_Satisfaction]]&lt;=2,"Poor",Table1[[#This Row],[Customer_Satisfaction]]=3,"Neutral",Table1[[#This Row],[Customer_Satisfaction]]=4,"Good",Table1[[#This Row],[Customer_Satisfaction]]=5,"Good")</f>
        <v>Poor</v>
      </c>
    </row>
    <row r="502" spans="1:27" x14ac:dyDescent="0.35">
      <c r="A502">
        <v>20500</v>
      </c>
      <c r="B502" s="1">
        <v>45426</v>
      </c>
      <c r="C502" t="s">
        <v>19</v>
      </c>
      <c r="D502" t="s">
        <v>20</v>
      </c>
      <c r="E502" t="s">
        <v>110</v>
      </c>
      <c r="F502" t="s">
        <v>40</v>
      </c>
      <c r="G502" t="s">
        <v>33</v>
      </c>
      <c r="H502" t="s">
        <v>34</v>
      </c>
      <c r="I502" t="s">
        <v>25</v>
      </c>
      <c r="J502" t="s">
        <v>26</v>
      </c>
      <c r="K502" t="s">
        <v>44</v>
      </c>
      <c r="L502" t="s">
        <v>28</v>
      </c>
      <c r="M502" s="4">
        <v>15</v>
      </c>
      <c r="N502" s="4">
        <v>7</v>
      </c>
      <c r="O502" t="s">
        <v>36</v>
      </c>
      <c r="P502" t="s">
        <v>29</v>
      </c>
      <c r="Q502" s="4">
        <v>463107</v>
      </c>
      <c r="R502" s="4">
        <v>344811</v>
      </c>
      <c r="S502" s="4">
        <f>Table1[[#This Row],[Service_Revenue]]-Table1[[#This Row],[Service_Cost]]</f>
        <v>118296</v>
      </c>
      <c r="T502" s="4">
        <v>2</v>
      </c>
      <c r="U502" s="4">
        <f>IF(AND(Table1[[#This Row],[Rework_Flag]]="Yes",Table1[[#This Row],[Warranty_Claim]]="No"),Table1[[#This Row],[Service_Revenue]],0)</f>
        <v>0</v>
      </c>
      <c r="V502" s="4">
        <f>IF(Table1[[#This Row],[Warranty_Claim]]="Yes",1,0)</f>
        <v>1</v>
      </c>
      <c r="W502" s="4">
        <f>IF(Table1[[#This Row],[Rework_Flag]]="No",1,0)</f>
        <v>1</v>
      </c>
      <c r="X502" s="4">
        <f>IF(Table1[[#This Row],[Rework_Flag]]="Yes",1,0)</f>
        <v>0</v>
      </c>
      <c r="Y502" s="4">
        <v>1</v>
      </c>
      <c r="Z502" s="4" t="str">
        <f>IF(Table1[[#This Row],[TAT_Days]]&gt;Table1[[#This Row],[SLA_TAT]],"Yes","No")</f>
        <v>Yes</v>
      </c>
      <c r="AA502" s="4" t="str" cm="1">
        <f t="array" ref="AA502">_xlfn.IFS(Table1[[#This Row],[Customer_Satisfaction]]&lt;=2,"Poor",Table1[[#This Row],[Customer_Satisfaction]]=3,"Neutral",Table1[[#This Row],[Customer_Satisfaction]]=4,"Good",Table1[[#This Row],[Customer_Satisfaction]]=5,"Good")</f>
        <v>Poor</v>
      </c>
    </row>
    <row r="503" spans="1:27" x14ac:dyDescent="0.35">
      <c r="A503">
        <v>20501</v>
      </c>
      <c r="B503" s="1">
        <v>45391</v>
      </c>
      <c r="C503" t="s">
        <v>50</v>
      </c>
      <c r="D503" t="s">
        <v>56</v>
      </c>
      <c r="E503" t="s">
        <v>88</v>
      </c>
      <c r="F503" t="s">
        <v>40</v>
      </c>
      <c r="G503" t="s">
        <v>63</v>
      </c>
      <c r="H503" t="s">
        <v>24</v>
      </c>
      <c r="I503" t="s">
        <v>25</v>
      </c>
      <c r="J503" t="s">
        <v>35</v>
      </c>
      <c r="K503" t="s">
        <v>61</v>
      </c>
      <c r="L503" t="s">
        <v>28</v>
      </c>
      <c r="M503" s="4">
        <v>7</v>
      </c>
      <c r="N503" s="4">
        <v>7</v>
      </c>
      <c r="O503" t="s">
        <v>36</v>
      </c>
      <c r="P503" t="s">
        <v>36</v>
      </c>
      <c r="Q503" s="4">
        <v>562227</v>
      </c>
      <c r="R503" s="4">
        <v>401607</v>
      </c>
      <c r="S503" s="4">
        <f>Table1[[#This Row],[Service_Revenue]]-Table1[[#This Row],[Service_Cost]]</f>
        <v>160620</v>
      </c>
      <c r="T503" s="4">
        <v>4</v>
      </c>
      <c r="U503" s="4">
        <f>IF(AND(Table1[[#This Row],[Rework_Flag]]="Yes",Table1[[#This Row],[Warranty_Claim]]="No"),Table1[[#This Row],[Service_Revenue]],0)</f>
        <v>0</v>
      </c>
      <c r="V503" s="4">
        <f>IF(Table1[[#This Row],[Warranty_Claim]]="Yes",1,0)</f>
        <v>0</v>
      </c>
      <c r="W503" s="4">
        <f>IF(Table1[[#This Row],[Rework_Flag]]="No",1,0)</f>
        <v>1</v>
      </c>
      <c r="X503" s="4">
        <f>IF(Table1[[#This Row],[Rework_Flag]]="Yes",1,0)</f>
        <v>0</v>
      </c>
      <c r="Y503" s="4">
        <v>1</v>
      </c>
      <c r="Z503" s="4" t="str">
        <f>IF(Table1[[#This Row],[TAT_Days]]&gt;Table1[[#This Row],[SLA_TAT]],"Yes","No")</f>
        <v>No</v>
      </c>
      <c r="AA503" s="4" t="str" cm="1">
        <f t="array" ref="AA503">_xlfn.IFS(Table1[[#This Row],[Customer_Satisfaction]]&lt;=2,"Poor",Table1[[#This Row],[Customer_Satisfaction]]=3,"Neutral",Table1[[#This Row],[Customer_Satisfaction]]=4,"Good",Table1[[#This Row],[Customer_Satisfaction]]=5,"Good")</f>
        <v>Good</v>
      </c>
    </row>
    <row r="504" spans="1:27" x14ac:dyDescent="0.35">
      <c r="A504">
        <v>20502</v>
      </c>
      <c r="B504" s="1">
        <v>45307</v>
      </c>
      <c r="C504" t="s">
        <v>19</v>
      </c>
      <c r="D504" t="s">
        <v>96</v>
      </c>
      <c r="E504" t="s">
        <v>109</v>
      </c>
      <c r="F504" t="s">
        <v>53</v>
      </c>
      <c r="G504" t="s">
        <v>63</v>
      </c>
      <c r="H504" t="s">
        <v>24</v>
      </c>
      <c r="I504" t="s">
        <v>25</v>
      </c>
      <c r="J504" t="s">
        <v>26</v>
      </c>
      <c r="K504" t="s">
        <v>27</v>
      </c>
      <c r="L504" t="s">
        <v>49</v>
      </c>
      <c r="M504" s="4">
        <v>17</v>
      </c>
      <c r="N504" s="4">
        <v>7</v>
      </c>
      <c r="O504" t="s">
        <v>29</v>
      </c>
      <c r="P504" t="s">
        <v>36</v>
      </c>
      <c r="Q504" s="4">
        <v>459133</v>
      </c>
      <c r="R504" s="4">
        <v>252534</v>
      </c>
      <c r="S504" s="4">
        <f>Table1[[#This Row],[Service_Revenue]]-Table1[[#This Row],[Service_Cost]]</f>
        <v>206599</v>
      </c>
      <c r="T504" s="4">
        <v>1</v>
      </c>
      <c r="U504" s="4">
        <f>IF(AND(Table1[[#This Row],[Rework_Flag]]="Yes",Table1[[#This Row],[Warranty_Claim]]="No"),Table1[[#This Row],[Service_Revenue]],0)</f>
        <v>459133</v>
      </c>
      <c r="V504" s="4">
        <f>IF(Table1[[#This Row],[Warranty_Claim]]="Yes",1,0)</f>
        <v>0</v>
      </c>
      <c r="W504" s="4">
        <f>IF(Table1[[#This Row],[Rework_Flag]]="No",1,0)</f>
        <v>0</v>
      </c>
      <c r="X504" s="4">
        <f>IF(Table1[[#This Row],[Rework_Flag]]="Yes",1,0)</f>
        <v>1</v>
      </c>
      <c r="Y504" s="4">
        <v>1</v>
      </c>
      <c r="Z504" s="4" t="str">
        <f>IF(Table1[[#This Row],[TAT_Days]]&gt;Table1[[#This Row],[SLA_TAT]],"Yes","No")</f>
        <v>Yes</v>
      </c>
      <c r="AA504" s="4" t="str" cm="1">
        <f t="array" ref="AA504">_xlfn.IFS(Table1[[#This Row],[Customer_Satisfaction]]&lt;=2,"Poor",Table1[[#This Row],[Customer_Satisfaction]]=3,"Neutral",Table1[[#This Row],[Customer_Satisfaction]]=4,"Good",Table1[[#This Row],[Customer_Satisfaction]]=5,"Good")</f>
        <v>Poor</v>
      </c>
    </row>
    <row r="505" spans="1:27" x14ac:dyDescent="0.35">
      <c r="A505">
        <v>20503</v>
      </c>
      <c r="B505" s="1">
        <v>45418</v>
      </c>
      <c r="C505" t="s">
        <v>19</v>
      </c>
      <c r="D505" t="s">
        <v>45</v>
      </c>
      <c r="E505" t="s">
        <v>99</v>
      </c>
      <c r="F505" t="s">
        <v>53</v>
      </c>
      <c r="G505" t="s">
        <v>63</v>
      </c>
      <c r="H505" t="s">
        <v>24</v>
      </c>
      <c r="I505" t="s">
        <v>55</v>
      </c>
      <c r="J505" t="s">
        <v>35</v>
      </c>
      <c r="K505" t="s">
        <v>44</v>
      </c>
      <c r="L505" t="s">
        <v>49</v>
      </c>
      <c r="M505" s="4">
        <v>13</v>
      </c>
      <c r="N505" s="4">
        <v>7</v>
      </c>
      <c r="O505" t="s">
        <v>29</v>
      </c>
      <c r="P505" t="s">
        <v>36</v>
      </c>
      <c r="Q505" s="4">
        <v>324162</v>
      </c>
      <c r="R505" s="4">
        <v>253356</v>
      </c>
      <c r="S505" s="4">
        <f>Table1[[#This Row],[Service_Revenue]]-Table1[[#This Row],[Service_Cost]]</f>
        <v>70806</v>
      </c>
      <c r="T505" s="4">
        <v>2</v>
      </c>
      <c r="U505" s="4">
        <f>IF(AND(Table1[[#This Row],[Rework_Flag]]="Yes",Table1[[#This Row],[Warranty_Claim]]="No"),Table1[[#This Row],[Service_Revenue]],0)</f>
        <v>324162</v>
      </c>
      <c r="V505" s="4">
        <f>IF(Table1[[#This Row],[Warranty_Claim]]="Yes",1,0)</f>
        <v>0</v>
      </c>
      <c r="W505" s="4">
        <f>IF(Table1[[#This Row],[Rework_Flag]]="No",1,0)</f>
        <v>0</v>
      </c>
      <c r="X505" s="4">
        <f>IF(Table1[[#This Row],[Rework_Flag]]="Yes",1,0)</f>
        <v>1</v>
      </c>
      <c r="Y505" s="4">
        <v>1</v>
      </c>
      <c r="Z505" s="4" t="str">
        <f>IF(Table1[[#This Row],[TAT_Days]]&gt;Table1[[#This Row],[SLA_TAT]],"Yes","No")</f>
        <v>Yes</v>
      </c>
      <c r="AA505" s="4" t="str" cm="1">
        <f t="array" ref="AA505">_xlfn.IFS(Table1[[#This Row],[Customer_Satisfaction]]&lt;=2,"Poor",Table1[[#This Row],[Customer_Satisfaction]]=3,"Neutral",Table1[[#This Row],[Customer_Satisfaction]]=4,"Good",Table1[[#This Row],[Customer_Satisfaction]]=5,"Good")</f>
        <v>Poor</v>
      </c>
    </row>
    <row r="506" spans="1:27" x14ac:dyDescent="0.35">
      <c r="A506">
        <v>20504</v>
      </c>
      <c r="B506" s="1">
        <v>45312</v>
      </c>
      <c r="C506" t="s">
        <v>30</v>
      </c>
      <c r="D506" t="s">
        <v>31</v>
      </c>
      <c r="E506" t="s">
        <v>106</v>
      </c>
      <c r="F506" t="s">
        <v>22</v>
      </c>
      <c r="G506" t="s">
        <v>23</v>
      </c>
      <c r="H506" t="s">
        <v>24</v>
      </c>
      <c r="I506" t="s">
        <v>25</v>
      </c>
      <c r="J506" t="s">
        <v>35</v>
      </c>
      <c r="K506" t="s">
        <v>44</v>
      </c>
      <c r="L506" t="s">
        <v>49</v>
      </c>
      <c r="M506" s="4">
        <v>4</v>
      </c>
      <c r="N506" s="4">
        <v>7</v>
      </c>
      <c r="O506" t="s">
        <v>36</v>
      </c>
      <c r="P506" t="s">
        <v>36</v>
      </c>
      <c r="Q506" s="4">
        <v>244932</v>
      </c>
      <c r="R506" s="4">
        <v>174172</v>
      </c>
      <c r="S506" s="4">
        <f>Table1[[#This Row],[Service_Revenue]]-Table1[[#This Row],[Service_Cost]]</f>
        <v>70760</v>
      </c>
      <c r="T506" s="4">
        <v>5</v>
      </c>
      <c r="U506" s="4">
        <f>IF(AND(Table1[[#This Row],[Rework_Flag]]="Yes",Table1[[#This Row],[Warranty_Claim]]="No"),Table1[[#This Row],[Service_Revenue]],0)</f>
        <v>0</v>
      </c>
      <c r="V506" s="4">
        <f>IF(Table1[[#This Row],[Warranty_Claim]]="Yes",1,0)</f>
        <v>0</v>
      </c>
      <c r="W506" s="4">
        <f>IF(Table1[[#This Row],[Rework_Flag]]="No",1,0)</f>
        <v>1</v>
      </c>
      <c r="X506" s="4">
        <f>IF(Table1[[#This Row],[Rework_Flag]]="Yes",1,0)</f>
        <v>0</v>
      </c>
      <c r="Y506" s="4">
        <v>1</v>
      </c>
      <c r="Z506" s="4" t="str">
        <f>IF(Table1[[#This Row],[TAT_Days]]&gt;Table1[[#This Row],[SLA_TAT]],"Yes","No")</f>
        <v>No</v>
      </c>
      <c r="AA506" s="4" t="str" cm="1">
        <f t="array" ref="AA506">_xlfn.IFS(Table1[[#This Row],[Customer_Satisfaction]]&lt;=2,"Poor",Table1[[#This Row],[Customer_Satisfaction]]=3,"Neutral",Table1[[#This Row],[Customer_Satisfaction]]=4,"Good",Table1[[#This Row],[Customer_Satisfaction]]=5,"Good")</f>
        <v>Good</v>
      </c>
    </row>
    <row r="507" spans="1:27" x14ac:dyDescent="0.35">
      <c r="A507">
        <v>20505</v>
      </c>
      <c r="B507" s="1">
        <v>45305</v>
      </c>
      <c r="C507" t="s">
        <v>30</v>
      </c>
      <c r="D507" t="s">
        <v>59</v>
      </c>
      <c r="E507" t="s">
        <v>69</v>
      </c>
      <c r="F507" t="s">
        <v>53</v>
      </c>
      <c r="G507" t="s">
        <v>47</v>
      </c>
      <c r="H507" t="s">
        <v>48</v>
      </c>
      <c r="I507" t="s">
        <v>25</v>
      </c>
      <c r="J507" t="s">
        <v>35</v>
      </c>
      <c r="K507" t="s">
        <v>27</v>
      </c>
      <c r="L507" t="s">
        <v>28</v>
      </c>
      <c r="M507" s="4">
        <v>9</v>
      </c>
      <c r="N507" s="4">
        <v>7</v>
      </c>
      <c r="O507" t="s">
        <v>36</v>
      </c>
      <c r="P507" t="s">
        <v>29</v>
      </c>
      <c r="Q507" s="4">
        <v>492544</v>
      </c>
      <c r="R507" s="4">
        <v>273933</v>
      </c>
      <c r="S507" s="4">
        <f>Table1[[#This Row],[Service_Revenue]]-Table1[[#This Row],[Service_Cost]]</f>
        <v>218611</v>
      </c>
      <c r="T507" s="4">
        <v>4</v>
      </c>
      <c r="U507" s="4">
        <f>IF(AND(Table1[[#This Row],[Rework_Flag]]="Yes",Table1[[#This Row],[Warranty_Claim]]="No"),Table1[[#This Row],[Service_Revenue]],0)</f>
        <v>0</v>
      </c>
      <c r="V507" s="4">
        <f>IF(Table1[[#This Row],[Warranty_Claim]]="Yes",1,0)</f>
        <v>1</v>
      </c>
      <c r="W507" s="4">
        <f>IF(Table1[[#This Row],[Rework_Flag]]="No",1,0)</f>
        <v>1</v>
      </c>
      <c r="X507" s="4">
        <f>IF(Table1[[#This Row],[Rework_Flag]]="Yes",1,0)</f>
        <v>0</v>
      </c>
      <c r="Y507" s="4">
        <v>1</v>
      </c>
      <c r="Z507" s="4" t="str">
        <f>IF(Table1[[#This Row],[TAT_Days]]&gt;Table1[[#This Row],[SLA_TAT]],"Yes","No")</f>
        <v>Yes</v>
      </c>
      <c r="AA507" s="4" t="str" cm="1">
        <f t="array" ref="AA507">_xlfn.IFS(Table1[[#This Row],[Customer_Satisfaction]]&lt;=2,"Poor",Table1[[#This Row],[Customer_Satisfaction]]=3,"Neutral",Table1[[#This Row],[Customer_Satisfaction]]=4,"Good",Table1[[#This Row],[Customer_Satisfaction]]=5,"Good")</f>
        <v>Good</v>
      </c>
    </row>
    <row r="508" spans="1:27" x14ac:dyDescent="0.35">
      <c r="A508">
        <v>20506</v>
      </c>
      <c r="B508" s="1">
        <v>45364</v>
      </c>
      <c r="C508" t="s">
        <v>30</v>
      </c>
      <c r="D508" t="s">
        <v>83</v>
      </c>
      <c r="E508" t="s">
        <v>84</v>
      </c>
      <c r="F508" t="s">
        <v>22</v>
      </c>
      <c r="G508" t="s">
        <v>33</v>
      </c>
      <c r="H508" t="s">
        <v>34</v>
      </c>
      <c r="I508" t="s">
        <v>25</v>
      </c>
      <c r="J508" t="s">
        <v>67</v>
      </c>
      <c r="K508" t="s">
        <v>61</v>
      </c>
      <c r="L508" t="s">
        <v>28</v>
      </c>
      <c r="M508" s="4">
        <v>3</v>
      </c>
      <c r="N508" s="4">
        <v>7</v>
      </c>
      <c r="O508" t="s">
        <v>29</v>
      </c>
      <c r="P508" t="s">
        <v>36</v>
      </c>
      <c r="Q508" s="4">
        <v>158624</v>
      </c>
      <c r="R508" s="4">
        <v>79967</v>
      </c>
      <c r="S508" s="4">
        <f>Table1[[#This Row],[Service_Revenue]]-Table1[[#This Row],[Service_Cost]]</f>
        <v>78657</v>
      </c>
      <c r="T508" s="4">
        <v>4</v>
      </c>
      <c r="U508" s="4">
        <f>IF(AND(Table1[[#This Row],[Rework_Flag]]="Yes",Table1[[#This Row],[Warranty_Claim]]="No"),Table1[[#This Row],[Service_Revenue]],0)</f>
        <v>158624</v>
      </c>
      <c r="V508" s="4">
        <f>IF(Table1[[#This Row],[Warranty_Claim]]="Yes",1,0)</f>
        <v>0</v>
      </c>
      <c r="W508" s="4">
        <f>IF(Table1[[#This Row],[Rework_Flag]]="No",1,0)</f>
        <v>0</v>
      </c>
      <c r="X508" s="4">
        <f>IF(Table1[[#This Row],[Rework_Flag]]="Yes",1,0)</f>
        <v>1</v>
      </c>
      <c r="Y508" s="4">
        <v>1</v>
      </c>
      <c r="Z508" s="4" t="str">
        <f>IF(Table1[[#This Row],[TAT_Days]]&gt;Table1[[#This Row],[SLA_TAT]],"Yes","No")</f>
        <v>No</v>
      </c>
      <c r="AA508" s="4" t="str" cm="1">
        <f t="array" ref="AA508">_xlfn.IFS(Table1[[#This Row],[Customer_Satisfaction]]&lt;=2,"Poor",Table1[[#This Row],[Customer_Satisfaction]]=3,"Neutral",Table1[[#This Row],[Customer_Satisfaction]]=4,"Good",Table1[[#This Row],[Customer_Satisfaction]]=5,"Good")</f>
        <v>Good</v>
      </c>
    </row>
    <row r="509" spans="1:27" x14ac:dyDescent="0.35">
      <c r="A509">
        <v>20507</v>
      </c>
      <c r="B509" s="1">
        <v>45341</v>
      </c>
      <c r="C509" t="s">
        <v>37</v>
      </c>
      <c r="D509" t="s">
        <v>64</v>
      </c>
      <c r="E509" t="s">
        <v>87</v>
      </c>
      <c r="F509" t="s">
        <v>40</v>
      </c>
      <c r="G509" t="s">
        <v>47</v>
      </c>
      <c r="H509" t="s">
        <v>48</v>
      </c>
      <c r="I509" t="s">
        <v>25</v>
      </c>
      <c r="J509" t="s">
        <v>35</v>
      </c>
      <c r="K509" t="s">
        <v>61</v>
      </c>
      <c r="L509" t="s">
        <v>28</v>
      </c>
      <c r="M509" s="4">
        <v>22</v>
      </c>
      <c r="N509" s="4">
        <v>7</v>
      </c>
      <c r="O509" t="s">
        <v>29</v>
      </c>
      <c r="P509" t="s">
        <v>36</v>
      </c>
      <c r="Q509" s="4">
        <v>570226</v>
      </c>
      <c r="R509" s="4">
        <v>327818</v>
      </c>
      <c r="S509" s="4">
        <f>Table1[[#This Row],[Service_Revenue]]-Table1[[#This Row],[Service_Cost]]</f>
        <v>242408</v>
      </c>
      <c r="T509" s="4">
        <v>1</v>
      </c>
      <c r="U509" s="4">
        <f>IF(AND(Table1[[#This Row],[Rework_Flag]]="Yes",Table1[[#This Row],[Warranty_Claim]]="No"),Table1[[#This Row],[Service_Revenue]],0)</f>
        <v>570226</v>
      </c>
      <c r="V509" s="4">
        <f>IF(Table1[[#This Row],[Warranty_Claim]]="Yes",1,0)</f>
        <v>0</v>
      </c>
      <c r="W509" s="4">
        <f>IF(Table1[[#This Row],[Rework_Flag]]="No",1,0)</f>
        <v>0</v>
      </c>
      <c r="X509" s="4">
        <f>IF(Table1[[#This Row],[Rework_Flag]]="Yes",1,0)</f>
        <v>1</v>
      </c>
      <c r="Y509" s="4">
        <v>1</v>
      </c>
      <c r="Z509" s="4" t="str">
        <f>IF(Table1[[#This Row],[TAT_Days]]&gt;Table1[[#This Row],[SLA_TAT]],"Yes","No")</f>
        <v>Yes</v>
      </c>
      <c r="AA509" s="4" t="str" cm="1">
        <f t="array" ref="AA509">_xlfn.IFS(Table1[[#This Row],[Customer_Satisfaction]]&lt;=2,"Poor",Table1[[#This Row],[Customer_Satisfaction]]=3,"Neutral",Table1[[#This Row],[Customer_Satisfaction]]=4,"Good",Table1[[#This Row],[Customer_Satisfaction]]=5,"Good")</f>
        <v>Poor</v>
      </c>
    </row>
    <row r="510" spans="1:27" x14ac:dyDescent="0.35">
      <c r="A510">
        <v>20508</v>
      </c>
      <c r="B510" s="1">
        <v>45343</v>
      </c>
      <c r="C510" t="s">
        <v>30</v>
      </c>
      <c r="D510" t="s">
        <v>31</v>
      </c>
      <c r="E510" t="s">
        <v>122</v>
      </c>
      <c r="F510" t="s">
        <v>22</v>
      </c>
      <c r="G510" t="s">
        <v>23</v>
      </c>
      <c r="H510" t="s">
        <v>24</v>
      </c>
      <c r="I510" t="s">
        <v>55</v>
      </c>
      <c r="J510" t="s">
        <v>43</v>
      </c>
      <c r="K510" t="s">
        <v>44</v>
      </c>
      <c r="L510" t="s">
        <v>28</v>
      </c>
      <c r="M510" s="4">
        <v>14</v>
      </c>
      <c r="N510" s="4">
        <v>7</v>
      </c>
      <c r="O510" t="s">
        <v>29</v>
      </c>
      <c r="P510" t="s">
        <v>36</v>
      </c>
      <c r="Q510" s="4">
        <v>462225</v>
      </c>
      <c r="R510" s="4">
        <v>309434</v>
      </c>
      <c r="S510" s="4">
        <f>Table1[[#This Row],[Service_Revenue]]-Table1[[#This Row],[Service_Cost]]</f>
        <v>152791</v>
      </c>
      <c r="T510" s="4">
        <v>2</v>
      </c>
      <c r="U510" s="4">
        <f>IF(AND(Table1[[#This Row],[Rework_Flag]]="Yes",Table1[[#This Row],[Warranty_Claim]]="No"),Table1[[#This Row],[Service_Revenue]],0)</f>
        <v>462225</v>
      </c>
      <c r="V510" s="4">
        <f>IF(Table1[[#This Row],[Warranty_Claim]]="Yes",1,0)</f>
        <v>0</v>
      </c>
      <c r="W510" s="4">
        <f>IF(Table1[[#This Row],[Rework_Flag]]="No",1,0)</f>
        <v>0</v>
      </c>
      <c r="X510" s="4">
        <f>IF(Table1[[#This Row],[Rework_Flag]]="Yes",1,0)</f>
        <v>1</v>
      </c>
      <c r="Y510" s="4">
        <v>1</v>
      </c>
      <c r="Z510" s="4" t="str">
        <f>IF(Table1[[#This Row],[TAT_Days]]&gt;Table1[[#This Row],[SLA_TAT]],"Yes","No")</f>
        <v>Yes</v>
      </c>
      <c r="AA510" s="4" t="str" cm="1">
        <f t="array" ref="AA510">_xlfn.IFS(Table1[[#This Row],[Customer_Satisfaction]]&lt;=2,"Poor",Table1[[#This Row],[Customer_Satisfaction]]=3,"Neutral",Table1[[#This Row],[Customer_Satisfaction]]=4,"Good",Table1[[#This Row],[Customer_Satisfaction]]=5,"Good")</f>
        <v>Poor</v>
      </c>
    </row>
    <row r="511" spans="1:27" x14ac:dyDescent="0.35">
      <c r="A511">
        <v>20509</v>
      </c>
      <c r="B511" s="1">
        <v>45313</v>
      </c>
      <c r="C511" t="s">
        <v>30</v>
      </c>
      <c r="D511" t="s">
        <v>31</v>
      </c>
      <c r="E511" t="s">
        <v>32</v>
      </c>
      <c r="F511" t="s">
        <v>22</v>
      </c>
      <c r="G511" t="s">
        <v>23</v>
      </c>
      <c r="H511" t="s">
        <v>24</v>
      </c>
      <c r="I511" t="s">
        <v>25</v>
      </c>
      <c r="J511" t="s">
        <v>67</v>
      </c>
      <c r="K511" t="s">
        <v>44</v>
      </c>
      <c r="L511" t="s">
        <v>28</v>
      </c>
      <c r="M511" s="4">
        <v>7</v>
      </c>
      <c r="N511" s="4">
        <v>7</v>
      </c>
      <c r="O511" t="s">
        <v>29</v>
      </c>
      <c r="P511" t="s">
        <v>36</v>
      </c>
      <c r="Q511" s="4">
        <v>466221</v>
      </c>
      <c r="R511" s="4">
        <v>325499</v>
      </c>
      <c r="S511" s="4">
        <f>Table1[[#This Row],[Service_Revenue]]-Table1[[#This Row],[Service_Cost]]</f>
        <v>140722</v>
      </c>
      <c r="T511" s="4">
        <v>3</v>
      </c>
      <c r="U511" s="4">
        <f>IF(AND(Table1[[#This Row],[Rework_Flag]]="Yes",Table1[[#This Row],[Warranty_Claim]]="No"),Table1[[#This Row],[Service_Revenue]],0)</f>
        <v>466221</v>
      </c>
      <c r="V511" s="4">
        <f>IF(Table1[[#This Row],[Warranty_Claim]]="Yes",1,0)</f>
        <v>0</v>
      </c>
      <c r="W511" s="4">
        <f>IF(Table1[[#This Row],[Rework_Flag]]="No",1,0)</f>
        <v>0</v>
      </c>
      <c r="X511" s="4">
        <f>IF(Table1[[#This Row],[Rework_Flag]]="Yes",1,0)</f>
        <v>1</v>
      </c>
      <c r="Y511" s="4">
        <v>1</v>
      </c>
      <c r="Z511" s="4" t="str">
        <f>IF(Table1[[#This Row],[TAT_Days]]&gt;Table1[[#This Row],[SLA_TAT]],"Yes","No")</f>
        <v>No</v>
      </c>
      <c r="AA511" s="4" t="str" cm="1">
        <f t="array" ref="AA511">_xlfn.IFS(Table1[[#This Row],[Customer_Satisfaction]]&lt;=2,"Poor",Table1[[#This Row],[Customer_Satisfaction]]=3,"Neutral",Table1[[#This Row],[Customer_Satisfaction]]=4,"Good",Table1[[#This Row],[Customer_Satisfaction]]=5,"Good")</f>
        <v>Neutral</v>
      </c>
    </row>
    <row r="512" spans="1:27" x14ac:dyDescent="0.35">
      <c r="A512">
        <v>20510</v>
      </c>
      <c r="B512" s="1">
        <v>45308</v>
      </c>
      <c r="C512" t="s">
        <v>37</v>
      </c>
      <c r="D512" t="s">
        <v>70</v>
      </c>
      <c r="E512" t="s">
        <v>116</v>
      </c>
      <c r="F512" t="s">
        <v>40</v>
      </c>
      <c r="G512" t="s">
        <v>23</v>
      </c>
      <c r="H512" t="s">
        <v>24</v>
      </c>
      <c r="I512" t="s">
        <v>25</v>
      </c>
      <c r="J512" t="s">
        <v>67</v>
      </c>
      <c r="K512" t="s">
        <v>27</v>
      </c>
      <c r="L512" t="s">
        <v>28</v>
      </c>
      <c r="M512" s="4">
        <v>21</v>
      </c>
      <c r="N512" s="4">
        <v>7</v>
      </c>
      <c r="O512" t="s">
        <v>29</v>
      </c>
      <c r="P512" t="s">
        <v>29</v>
      </c>
      <c r="Q512" s="4">
        <v>165460</v>
      </c>
      <c r="R512" s="4">
        <v>94426</v>
      </c>
      <c r="S512" s="4">
        <f>Table1[[#This Row],[Service_Revenue]]-Table1[[#This Row],[Service_Cost]]</f>
        <v>71034</v>
      </c>
      <c r="T512" s="4">
        <v>1</v>
      </c>
      <c r="U512" s="4">
        <f>IF(AND(Table1[[#This Row],[Rework_Flag]]="Yes",Table1[[#This Row],[Warranty_Claim]]="No"),Table1[[#This Row],[Service_Revenue]],0)</f>
        <v>0</v>
      </c>
      <c r="V512" s="4">
        <f>IF(Table1[[#This Row],[Warranty_Claim]]="Yes",1,0)</f>
        <v>1</v>
      </c>
      <c r="W512" s="4">
        <f>IF(Table1[[#This Row],[Rework_Flag]]="No",1,0)</f>
        <v>0</v>
      </c>
      <c r="X512" s="4">
        <f>IF(Table1[[#This Row],[Rework_Flag]]="Yes",1,0)</f>
        <v>1</v>
      </c>
      <c r="Y512" s="4">
        <v>1</v>
      </c>
      <c r="Z512" s="4" t="str">
        <f>IF(Table1[[#This Row],[TAT_Days]]&gt;Table1[[#This Row],[SLA_TAT]],"Yes","No")</f>
        <v>Yes</v>
      </c>
      <c r="AA512" s="4" t="str" cm="1">
        <f t="array" ref="AA512">_xlfn.IFS(Table1[[#This Row],[Customer_Satisfaction]]&lt;=2,"Poor",Table1[[#This Row],[Customer_Satisfaction]]=3,"Neutral",Table1[[#This Row],[Customer_Satisfaction]]=4,"Good",Table1[[#This Row],[Customer_Satisfaction]]=5,"Good")</f>
        <v>Poor</v>
      </c>
    </row>
    <row r="513" spans="1:27" x14ac:dyDescent="0.35">
      <c r="A513">
        <v>20511</v>
      </c>
      <c r="B513" s="1">
        <v>45438</v>
      </c>
      <c r="C513" t="s">
        <v>50</v>
      </c>
      <c r="D513" t="s">
        <v>56</v>
      </c>
      <c r="E513" t="s">
        <v>77</v>
      </c>
      <c r="F513" t="s">
        <v>53</v>
      </c>
      <c r="G513" t="s">
        <v>23</v>
      </c>
      <c r="H513" t="s">
        <v>24</v>
      </c>
      <c r="I513" t="s">
        <v>25</v>
      </c>
      <c r="J513" t="s">
        <v>26</v>
      </c>
      <c r="K513" t="s">
        <v>61</v>
      </c>
      <c r="L513" t="s">
        <v>28</v>
      </c>
      <c r="M513" s="4">
        <v>8</v>
      </c>
      <c r="N513" s="4">
        <v>7</v>
      </c>
      <c r="O513" t="s">
        <v>36</v>
      </c>
      <c r="P513" t="s">
        <v>29</v>
      </c>
      <c r="Q513" s="4">
        <v>172037</v>
      </c>
      <c r="R513" s="4">
        <v>144813</v>
      </c>
      <c r="S513" s="4">
        <f>Table1[[#This Row],[Service_Revenue]]-Table1[[#This Row],[Service_Cost]]</f>
        <v>27224</v>
      </c>
      <c r="T513" s="4">
        <v>4</v>
      </c>
      <c r="U513" s="4">
        <f>IF(AND(Table1[[#This Row],[Rework_Flag]]="Yes",Table1[[#This Row],[Warranty_Claim]]="No"),Table1[[#This Row],[Service_Revenue]],0)</f>
        <v>0</v>
      </c>
      <c r="V513" s="4">
        <f>IF(Table1[[#This Row],[Warranty_Claim]]="Yes",1,0)</f>
        <v>1</v>
      </c>
      <c r="W513" s="4">
        <f>IF(Table1[[#This Row],[Rework_Flag]]="No",1,0)</f>
        <v>1</v>
      </c>
      <c r="X513" s="4">
        <f>IF(Table1[[#This Row],[Rework_Flag]]="Yes",1,0)</f>
        <v>0</v>
      </c>
      <c r="Y513" s="4">
        <v>1</v>
      </c>
      <c r="Z513" s="4" t="str">
        <f>IF(Table1[[#This Row],[TAT_Days]]&gt;Table1[[#This Row],[SLA_TAT]],"Yes","No")</f>
        <v>Yes</v>
      </c>
      <c r="AA513" s="4" t="str" cm="1">
        <f t="array" ref="AA513">_xlfn.IFS(Table1[[#This Row],[Customer_Satisfaction]]&lt;=2,"Poor",Table1[[#This Row],[Customer_Satisfaction]]=3,"Neutral",Table1[[#This Row],[Customer_Satisfaction]]=4,"Good",Table1[[#This Row],[Customer_Satisfaction]]=5,"Good")</f>
        <v>Good</v>
      </c>
    </row>
    <row r="514" spans="1:27" x14ac:dyDescent="0.35">
      <c r="A514">
        <v>20512</v>
      </c>
      <c r="B514" s="1">
        <v>45327</v>
      </c>
      <c r="C514" t="s">
        <v>50</v>
      </c>
      <c r="D514" t="s">
        <v>80</v>
      </c>
      <c r="E514" t="s">
        <v>85</v>
      </c>
      <c r="F514" t="s">
        <v>22</v>
      </c>
      <c r="G514" t="s">
        <v>33</v>
      </c>
      <c r="H514" t="s">
        <v>34</v>
      </c>
      <c r="I514" t="s">
        <v>25</v>
      </c>
      <c r="J514" t="s">
        <v>26</v>
      </c>
      <c r="K514" t="s">
        <v>44</v>
      </c>
      <c r="L514" t="s">
        <v>28</v>
      </c>
      <c r="M514" s="4">
        <v>3</v>
      </c>
      <c r="N514" s="4">
        <v>7</v>
      </c>
      <c r="O514" t="s">
        <v>29</v>
      </c>
      <c r="P514" t="s">
        <v>29</v>
      </c>
      <c r="Q514" s="4">
        <v>498347</v>
      </c>
      <c r="R514" s="4">
        <v>406808</v>
      </c>
      <c r="S514" s="4">
        <f>Table1[[#This Row],[Service_Revenue]]-Table1[[#This Row],[Service_Cost]]</f>
        <v>91539</v>
      </c>
      <c r="T514" s="4">
        <v>4</v>
      </c>
      <c r="U514" s="4">
        <f>IF(AND(Table1[[#This Row],[Rework_Flag]]="Yes",Table1[[#This Row],[Warranty_Claim]]="No"),Table1[[#This Row],[Service_Revenue]],0)</f>
        <v>0</v>
      </c>
      <c r="V514" s="4">
        <f>IF(Table1[[#This Row],[Warranty_Claim]]="Yes",1,0)</f>
        <v>1</v>
      </c>
      <c r="W514" s="4">
        <f>IF(Table1[[#This Row],[Rework_Flag]]="No",1,0)</f>
        <v>0</v>
      </c>
      <c r="X514" s="4">
        <f>IF(Table1[[#This Row],[Rework_Flag]]="Yes",1,0)</f>
        <v>1</v>
      </c>
      <c r="Y514" s="4">
        <v>1</v>
      </c>
      <c r="Z514" s="4" t="str">
        <f>IF(Table1[[#This Row],[TAT_Days]]&gt;Table1[[#This Row],[SLA_TAT]],"Yes","No")</f>
        <v>No</v>
      </c>
      <c r="AA514" s="4" t="str" cm="1">
        <f t="array" ref="AA514">_xlfn.IFS(Table1[[#This Row],[Customer_Satisfaction]]&lt;=2,"Poor",Table1[[#This Row],[Customer_Satisfaction]]=3,"Neutral",Table1[[#This Row],[Customer_Satisfaction]]=4,"Good",Table1[[#This Row],[Customer_Satisfaction]]=5,"Good")</f>
        <v>Good</v>
      </c>
    </row>
    <row r="515" spans="1:27" x14ac:dyDescent="0.35">
      <c r="A515">
        <v>20513</v>
      </c>
      <c r="B515" s="1">
        <v>45321</v>
      </c>
      <c r="C515" t="s">
        <v>37</v>
      </c>
      <c r="D515" t="s">
        <v>64</v>
      </c>
      <c r="E515" t="s">
        <v>103</v>
      </c>
      <c r="F515" t="s">
        <v>22</v>
      </c>
      <c r="G515" t="s">
        <v>63</v>
      </c>
      <c r="H515" t="s">
        <v>24</v>
      </c>
      <c r="I515" t="s">
        <v>25</v>
      </c>
      <c r="J515" t="s">
        <v>58</v>
      </c>
      <c r="K515" t="s">
        <v>44</v>
      </c>
      <c r="L515" t="s">
        <v>28</v>
      </c>
      <c r="M515" s="4">
        <v>16</v>
      </c>
      <c r="N515" s="4">
        <v>7</v>
      </c>
      <c r="O515" t="s">
        <v>36</v>
      </c>
      <c r="P515" t="s">
        <v>36</v>
      </c>
      <c r="Q515" s="4">
        <v>238595</v>
      </c>
      <c r="R515" s="4">
        <v>194099</v>
      </c>
      <c r="S515" s="4">
        <f>Table1[[#This Row],[Service_Revenue]]-Table1[[#This Row],[Service_Cost]]</f>
        <v>44496</v>
      </c>
      <c r="T515" s="4">
        <v>2</v>
      </c>
      <c r="U515" s="4">
        <f>IF(AND(Table1[[#This Row],[Rework_Flag]]="Yes",Table1[[#This Row],[Warranty_Claim]]="No"),Table1[[#This Row],[Service_Revenue]],0)</f>
        <v>0</v>
      </c>
      <c r="V515" s="4">
        <f>IF(Table1[[#This Row],[Warranty_Claim]]="Yes",1,0)</f>
        <v>0</v>
      </c>
      <c r="W515" s="4">
        <f>IF(Table1[[#This Row],[Rework_Flag]]="No",1,0)</f>
        <v>1</v>
      </c>
      <c r="X515" s="4">
        <f>IF(Table1[[#This Row],[Rework_Flag]]="Yes",1,0)</f>
        <v>0</v>
      </c>
      <c r="Y515" s="4">
        <v>1</v>
      </c>
      <c r="Z515" s="4" t="str">
        <f>IF(Table1[[#This Row],[TAT_Days]]&gt;Table1[[#This Row],[SLA_TAT]],"Yes","No")</f>
        <v>Yes</v>
      </c>
      <c r="AA515" s="4" t="str" cm="1">
        <f t="array" ref="AA515">_xlfn.IFS(Table1[[#This Row],[Customer_Satisfaction]]&lt;=2,"Poor",Table1[[#This Row],[Customer_Satisfaction]]=3,"Neutral",Table1[[#This Row],[Customer_Satisfaction]]=4,"Good",Table1[[#This Row],[Customer_Satisfaction]]=5,"Good")</f>
        <v>Poor</v>
      </c>
    </row>
    <row r="516" spans="1:27" x14ac:dyDescent="0.35">
      <c r="A516">
        <v>20514</v>
      </c>
      <c r="B516" s="1">
        <v>45341</v>
      </c>
      <c r="C516" t="s">
        <v>50</v>
      </c>
      <c r="D516" t="s">
        <v>56</v>
      </c>
      <c r="E516" t="s">
        <v>57</v>
      </c>
      <c r="F516" t="s">
        <v>53</v>
      </c>
      <c r="G516" t="s">
        <v>74</v>
      </c>
      <c r="H516" t="s">
        <v>34</v>
      </c>
      <c r="I516" t="s">
        <v>55</v>
      </c>
      <c r="J516" t="s">
        <v>43</v>
      </c>
      <c r="K516" t="s">
        <v>27</v>
      </c>
      <c r="L516" t="s">
        <v>28</v>
      </c>
      <c r="M516" s="4">
        <v>18</v>
      </c>
      <c r="N516" s="4">
        <v>7</v>
      </c>
      <c r="O516" t="s">
        <v>29</v>
      </c>
      <c r="P516" t="s">
        <v>29</v>
      </c>
      <c r="Q516" s="4">
        <v>544060</v>
      </c>
      <c r="R516" s="4">
        <v>457502</v>
      </c>
      <c r="S516" s="4">
        <f>Table1[[#This Row],[Service_Revenue]]-Table1[[#This Row],[Service_Cost]]</f>
        <v>86558</v>
      </c>
      <c r="T516" s="4">
        <v>1</v>
      </c>
      <c r="U516" s="4">
        <f>IF(AND(Table1[[#This Row],[Rework_Flag]]="Yes",Table1[[#This Row],[Warranty_Claim]]="No"),Table1[[#This Row],[Service_Revenue]],0)</f>
        <v>0</v>
      </c>
      <c r="V516" s="4">
        <f>IF(Table1[[#This Row],[Warranty_Claim]]="Yes",1,0)</f>
        <v>1</v>
      </c>
      <c r="W516" s="4">
        <f>IF(Table1[[#This Row],[Rework_Flag]]="No",1,0)</f>
        <v>0</v>
      </c>
      <c r="X516" s="4">
        <f>IF(Table1[[#This Row],[Rework_Flag]]="Yes",1,0)</f>
        <v>1</v>
      </c>
      <c r="Y516" s="4">
        <v>1</v>
      </c>
      <c r="Z516" s="4" t="str">
        <f>IF(Table1[[#This Row],[TAT_Days]]&gt;Table1[[#This Row],[SLA_TAT]],"Yes","No")</f>
        <v>Yes</v>
      </c>
      <c r="AA516" s="4" t="str" cm="1">
        <f t="array" ref="AA516">_xlfn.IFS(Table1[[#This Row],[Customer_Satisfaction]]&lt;=2,"Poor",Table1[[#This Row],[Customer_Satisfaction]]=3,"Neutral",Table1[[#This Row],[Customer_Satisfaction]]=4,"Good",Table1[[#This Row],[Customer_Satisfaction]]=5,"Good")</f>
        <v>Poor</v>
      </c>
    </row>
    <row r="517" spans="1:27" x14ac:dyDescent="0.35">
      <c r="A517">
        <v>20515</v>
      </c>
      <c r="B517" s="1">
        <v>45297</v>
      </c>
      <c r="C517" t="s">
        <v>50</v>
      </c>
      <c r="D517" t="s">
        <v>80</v>
      </c>
      <c r="E517" t="s">
        <v>104</v>
      </c>
      <c r="F517" t="s">
        <v>40</v>
      </c>
      <c r="G517" t="s">
        <v>54</v>
      </c>
      <c r="H517" t="s">
        <v>42</v>
      </c>
      <c r="I517" t="s">
        <v>55</v>
      </c>
      <c r="J517" t="s">
        <v>58</v>
      </c>
      <c r="K517" t="s">
        <v>27</v>
      </c>
      <c r="L517" t="s">
        <v>49</v>
      </c>
      <c r="M517" s="4">
        <v>8</v>
      </c>
      <c r="N517" s="4">
        <v>7</v>
      </c>
      <c r="O517" t="s">
        <v>29</v>
      </c>
      <c r="P517" t="s">
        <v>29</v>
      </c>
      <c r="Q517" s="4">
        <v>430736</v>
      </c>
      <c r="R517" s="4">
        <v>335094</v>
      </c>
      <c r="S517" s="4">
        <f>Table1[[#This Row],[Service_Revenue]]-Table1[[#This Row],[Service_Cost]]</f>
        <v>95642</v>
      </c>
      <c r="T517" s="4">
        <v>3</v>
      </c>
      <c r="U517" s="4">
        <f>IF(AND(Table1[[#This Row],[Rework_Flag]]="Yes",Table1[[#This Row],[Warranty_Claim]]="No"),Table1[[#This Row],[Service_Revenue]],0)</f>
        <v>0</v>
      </c>
      <c r="V517" s="4">
        <f>IF(Table1[[#This Row],[Warranty_Claim]]="Yes",1,0)</f>
        <v>1</v>
      </c>
      <c r="W517" s="4">
        <f>IF(Table1[[#This Row],[Rework_Flag]]="No",1,0)</f>
        <v>0</v>
      </c>
      <c r="X517" s="4">
        <f>IF(Table1[[#This Row],[Rework_Flag]]="Yes",1,0)</f>
        <v>1</v>
      </c>
      <c r="Y517" s="4">
        <v>1</v>
      </c>
      <c r="Z517" s="4" t="str">
        <f>IF(Table1[[#This Row],[TAT_Days]]&gt;Table1[[#This Row],[SLA_TAT]],"Yes","No")</f>
        <v>Yes</v>
      </c>
      <c r="AA517" s="4" t="str" cm="1">
        <f t="array" ref="AA517">_xlfn.IFS(Table1[[#This Row],[Customer_Satisfaction]]&lt;=2,"Poor",Table1[[#This Row],[Customer_Satisfaction]]=3,"Neutral",Table1[[#This Row],[Customer_Satisfaction]]=4,"Good",Table1[[#This Row],[Customer_Satisfaction]]=5,"Good")</f>
        <v>Neutral</v>
      </c>
    </row>
    <row r="518" spans="1:27" x14ac:dyDescent="0.35">
      <c r="A518">
        <v>20516</v>
      </c>
      <c r="B518" s="1">
        <v>45444</v>
      </c>
      <c r="C518" t="s">
        <v>30</v>
      </c>
      <c r="D518" t="s">
        <v>31</v>
      </c>
      <c r="E518" t="s">
        <v>62</v>
      </c>
      <c r="F518" t="s">
        <v>22</v>
      </c>
      <c r="G518" t="s">
        <v>33</v>
      </c>
      <c r="H518" t="s">
        <v>34</v>
      </c>
      <c r="I518" t="s">
        <v>25</v>
      </c>
      <c r="J518" t="s">
        <v>67</v>
      </c>
      <c r="K518" t="s">
        <v>27</v>
      </c>
      <c r="L518" t="s">
        <v>28</v>
      </c>
      <c r="M518" s="4">
        <v>21</v>
      </c>
      <c r="N518" s="4">
        <v>7</v>
      </c>
      <c r="O518" t="s">
        <v>29</v>
      </c>
      <c r="P518" t="s">
        <v>36</v>
      </c>
      <c r="Q518" s="4">
        <v>223794</v>
      </c>
      <c r="R518" s="4">
        <v>132968</v>
      </c>
      <c r="S518" s="4">
        <f>Table1[[#This Row],[Service_Revenue]]-Table1[[#This Row],[Service_Cost]]</f>
        <v>90826</v>
      </c>
      <c r="T518" s="4">
        <v>1</v>
      </c>
      <c r="U518" s="4">
        <f>IF(AND(Table1[[#This Row],[Rework_Flag]]="Yes",Table1[[#This Row],[Warranty_Claim]]="No"),Table1[[#This Row],[Service_Revenue]],0)</f>
        <v>223794</v>
      </c>
      <c r="V518" s="4">
        <f>IF(Table1[[#This Row],[Warranty_Claim]]="Yes",1,0)</f>
        <v>0</v>
      </c>
      <c r="W518" s="4">
        <f>IF(Table1[[#This Row],[Rework_Flag]]="No",1,0)</f>
        <v>0</v>
      </c>
      <c r="X518" s="4">
        <f>IF(Table1[[#This Row],[Rework_Flag]]="Yes",1,0)</f>
        <v>1</v>
      </c>
      <c r="Y518" s="4">
        <v>1</v>
      </c>
      <c r="Z518" s="4" t="str">
        <f>IF(Table1[[#This Row],[TAT_Days]]&gt;Table1[[#This Row],[SLA_TAT]],"Yes","No")</f>
        <v>Yes</v>
      </c>
      <c r="AA518" s="4" t="str" cm="1">
        <f t="array" ref="AA518">_xlfn.IFS(Table1[[#This Row],[Customer_Satisfaction]]&lt;=2,"Poor",Table1[[#This Row],[Customer_Satisfaction]]=3,"Neutral",Table1[[#This Row],[Customer_Satisfaction]]=4,"Good",Table1[[#This Row],[Customer_Satisfaction]]=5,"Good")</f>
        <v>Poor</v>
      </c>
    </row>
    <row r="519" spans="1:27" x14ac:dyDescent="0.35">
      <c r="A519">
        <v>20517</v>
      </c>
      <c r="B519" s="1">
        <v>45401</v>
      </c>
      <c r="C519" t="s">
        <v>30</v>
      </c>
      <c r="D519" t="s">
        <v>83</v>
      </c>
      <c r="E519" t="s">
        <v>90</v>
      </c>
      <c r="F519" t="s">
        <v>53</v>
      </c>
      <c r="G519" t="s">
        <v>33</v>
      </c>
      <c r="H519" t="s">
        <v>34</v>
      </c>
      <c r="I519" t="s">
        <v>25</v>
      </c>
      <c r="J519" t="s">
        <v>35</v>
      </c>
      <c r="K519" t="s">
        <v>27</v>
      </c>
      <c r="L519" t="s">
        <v>28</v>
      </c>
      <c r="M519" s="4">
        <v>17</v>
      </c>
      <c r="N519" s="4">
        <v>7</v>
      </c>
      <c r="O519" t="s">
        <v>29</v>
      </c>
      <c r="P519" t="s">
        <v>36</v>
      </c>
      <c r="Q519" s="4">
        <v>377854</v>
      </c>
      <c r="R519" s="4">
        <v>232413</v>
      </c>
      <c r="S519" s="4">
        <f>Table1[[#This Row],[Service_Revenue]]-Table1[[#This Row],[Service_Cost]]</f>
        <v>145441</v>
      </c>
      <c r="T519" s="4">
        <v>1</v>
      </c>
      <c r="U519" s="4">
        <f>IF(AND(Table1[[#This Row],[Rework_Flag]]="Yes",Table1[[#This Row],[Warranty_Claim]]="No"),Table1[[#This Row],[Service_Revenue]],0)</f>
        <v>377854</v>
      </c>
      <c r="V519" s="4">
        <f>IF(Table1[[#This Row],[Warranty_Claim]]="Yes",1,0)</f>
        <v>0</v>
      </c>
      <c r="W519" s="4">
        <f>IF(Table1[[#This Row],[Rework_Flag]]="No",1,0)</f>
        <v>0</v>
      </c>
      <c r="X519" s="4">
        <f>IF(Table1[[#This Row],[Rework_Flag]]="Yes",1,0)</f>
        <v>1</v>
      </c>
      <c r="Y519" s="4">
        <v>1</v>
      </c>
      <c r="Z519" s="4" t="str">
        <f>IF(Table1[[#This Row],[TAT_Days]]&gt;Table1[[#This Row],[SLA_TAT]],"Yes","No")</f>
        <v>Yes</v>
      </c>
      <c r="AA519" s="4" t="str" cm="1">
        <f t="array" ref="AA519">_xlfn.IFS(Table1[[#This Row],[Customer_Satisfaction]]&lt;=2,"Poor",Table1[[#This Row],[Customer_Satisfaction]]=3,"Neutral",Table1[[#This Row],[Customer_Satisfaction]]=4,"Good",Table1[[#This Row],[Customer_Satisfaction]]=5,"Good")</f>
        <v>Poor</v>
      </c>
    </row>
    <row r="520" spans="1:27" x14ac:dyDescent="0.35">
      <c r="A520">
        <v>20518</v>
      </c>
      <c r="B520" s="1">
        <v>45445</v>
      </c>
      <c r="C520" t="s">
        <v>30</v>
      </c>
      <c r="D520" t="s">
        <v>83</v>
      </c>
      <c r="E520" t="s">
        <v>84</v>
      </c>
      <c r="F520" t="s">
        <v>53</v>
      </c>
      <c r="G520" t="s">
        <v>47</v>
      </c>
      <c r="H520" t="s">
        <v>48</v>
      </c>
      <c r="I520" t="s">
        <v>25</v>
      </c>
      <c r="J520" t="s">
        <v>43</v>
      </c>
      <c r="K520" t="s">
        <v>61</v>
      </c>
      <c r="L520" t="s">
        <v>49</v>
      </c>
      <c r="M520" s="4">
        <v>12</v>
      </c>
      <c r="N520" s="4">
        <v>7</v>
      </c>
      <c r="O520" t="s">
        <v>36</v>
      </c>
      <c r="P520" t="s">
        <v>36</v>
      </c>
      <c r="Q520" s="4">
        <v>423646</v>
      </c>
      <c r="R520" s="4">
        <v>239644</v>
      </c>
      <c r="S520" s="4">
        <f>Table1[[#This Row],[Service_Revenue]]-Table1[[#This Row],[Service_Cost]]</f>
        <v>184002</v>
      </c>
      <c r="T520" s="4">
        <v>3</v>
      </c>
      <c r="U520" s="4">
        <f>IF(AND(Table1[[#This Row],[Rework_Flag]]="Yes",Table1[[#This Row],[Warranty_Claim]]="No"),Table1[[#This Row],[Service_Revenue]],0)</f>
        <v>0</v>
      </c>
      <c r="V520" s="4">
        <f>IF(Table1[[#This Row],[Warranty_Claim]]="Yes",1,0)</f>
        <v>0</v>
      </c>
      <c r="W520" s="4">
        <f>IF(Table1[[#This Row],[Rework_Flag]]="No",1,0)</f>
        <v>1</v>
      </c>
      <c r="X520" s="4">
        <f>IF(Table1[[#This Row],[Rework_Flag]]="Yes",1,0)</f>
        <v>0</v>
      </c>
      <c r="Y520" s="4">
        <v>1</v>
      </c>
      <c r="Z520" s="4" t="str">
        <f>IF(Table1[[#This Row],[TAT_Days]]&gt;Table1[[#This Row],[SLA_TAT]],"Yes","No")</f>
        <v>Yes</v>
      </c>
      <c r="AA520" s="4" t="str" cm="1">
        <f t="array" ref="AA520">_xlfn.IFS(Table1[[#This Row],[Customer_Satisfaction]]&lt;=2,"Poor",Table1[[#This Row],[Customer_Satisfaction]]=3,"Neutral",Table1[[#This Row],[Customer_Satisfaction]]=4,"Good",Table1[[#This Row],[Customer_Satisfaction]]=5,"Good")</f>
        <v>Neutral</v>
      </c>
    </row>
    <row r="521" spans="1:27" x14ac:dyDescent="0.35">
      <c r="A521">
        <v>20519</v>
      </c>
      <c r="B521" s="1">
        <v>45326</v>
      </c>
      <c r="C521" t="s">
        <v>37</v>
      </c>
      <c r="D521" t="s">
        <v>38</v>
      </c>
      <c r="E521" t="s">
        <v>102</v>
      </c>
      <c r="F521" t="s">
        <v>22</v>
      </c>
      <c r="G521" t="s">
        <v>33</v>
      </c>
      <c r="H521" t="s">
        <v>34</v>
      </c>
      <c r="I521" t="s">
        <v>25</v>
      </c>
      <c r="J521" t="s">
        <v>26</v>
      </c>
      <c r="K521" t="s">
        <v>27</v>
      </c>
      <c r="L521" t="s">
        <v>28</v>
      </c>
      <c r="M521" s="4">
        <v>17</v>
      </c>
      <c r="N521" s="4">
        <v>7</v>
      </c>
      <c r="O521" t="s">
        <v>29</v>
      </c>
      <c r="P521" t="s">
        <v>29</v>
      </c>
      <c r="Q521" s="4">
        <v>531278</v>
      </c>
      <c r="R521" s="4">
        <v>439249</v>
      </c>
      <c r="S521" s="4">
        <f>Table1[[#This Row],[Service_Revenue]]-Table1[[#This Row],[Service_Cost]]</f>
        <v>92029</v>
      </c>
      <c r="T521" s="4">
        <v>1</v>
      </c>
      <c r="U521" s="4">
        <f>IF(AND(Table1[[#This Row],[Rework_Flag]]="Yes",Table1[[#This Row],[Warranty_Claim]]="No"),Table1[[#This Row],[Service_Revenue]],0)</f>
        <v>0</v>
      </c>
      <c r="V521" s="4">
        <f>IF(Table1[[#This Row],[Warranty_Claim]]="Yes",1,0)</f>
        <v>1</v>
      </c>
      <c r="W521" s="4">
        <f>IF(Table1[[#This Row],[Rework_Flag]]="No",1,0)</f>
        <v>0</v>
      </c>
      <c r="X521" s="4">
        <f>IF(Table1[[#This Row],[Rework_Flag]]="Yes",1,0)</f>
        <v>1</v>
      </c>
      <c r="Y521" s="4">
        <v>1</v>
      </c>
      <c r="Z521" s="4" t="str">
        <f>IF(Table1[[#This Row],[TAT_Days]]&gt;Table1[[#This Row],[SLA_TAT]],"Yes","No")</f>
        <v>Yes</v>
      </c>
      <c r="AA521" s="4" t="str" cm="1">
        <f t="array" ref="AA521">_xlfn.IFS(Table1[[#This Row],[Customer_Satisfaction]]&lt;=2,"Poor",Table1[[#This Row],[Customer_Satisfaction]]=3,"Neutral",Table1[[#This Row],[Customer_Satisfaction]]=4,"Good",Table1[[#This Row],[Customer_Satisfaction]]=5,"Good")</f>
        <v>Poor</v>
      </c>
    </row>
    <row r="522" spans="1:27" x14ac:dyDescent="0.35">
      <c r="A522">
        <v>20520</v>
      </c>
      <c r="B522" s="1">
        <v>45460</v>
      </c>
      <c r="C522" t="s">
        <v>50</v>
      </c>
      <c r="D522" t="s">
        <v>56</v>
      </c>
      <c r="E522" t="s">
        <v>101</v>
      </c>
      <c r="F522" t="s">
        <v>22</v>
      </c>
      <c r="G522" t="s">
        <v>23</v>
      </c>
      <c r="H522" t="s">
        <v>24</v>
      </c>
      <c r="I522" t="s">
        <v>25</v>
      </c>
      <c r="J522" t="s">
        <v>58</v>
      </c>
      <c r="K522" t="s">
        <v>27</v>
      </c>
      <c r="L522" t="s">
        <v>28</v>
      </c>
      <c r="M522" s="4">
        <v>22</v>
      </c>
      <c r="N522" s="4">
        <v>7</v>
      </c>
      <c r="O522" t="s">
        <v>29</v>
      </c>
      <c r="P522" t="s">
        <v>29</v>
      </c>
      <c r="Q522" s="4">
        <v>444503</v>
      </c>
      <c r="R522" s="4">
        <v>287158</v>
      </c>
      <c r="S522" s="4">
        <f>Table1[[#This Row],[Service_Revenue]]-Table1[[#This Row],[Service_Cost]]</f>
        <v>157345</v>
      </c>
      <c r="T522" s="4">
        <v>1</v>
      </c>
      <c r="U522" s="4">
        <f>IF(AND(Table1[[#This Row],[Rework_Flag]]="Yes",Table1[[#This Row],[Warranty_Claim]]="No"),Table1[[#This Row],[Service_Revenue]],0)</f>
        <v>0</v>
      </c>
      <c r="V522" s="4">
        <f>IF(Table1[[#This Row],[Warranty_Claim]]="Yes",1,0)</f>
        <v>1</v>
      </c>
      <c r="W522" s="4">
        <f>IF(Table1[[#This Row],[Rework_Flag]]="No",1,0)</f>
        <v>0</v>
      </c>
      <c r="X522" s="4">
        <f>IF(Table1[[#This Row],[Rework_Flag]]="Yes",1,0)</f>
        <v>1</v>
      </c>
      <c r="Y522" s="4">
        <v>1</v>
      </c>
      <c r="Z522" s="4" t="str">
        <f>IF(Table1[[#This Row],[TAT_Days]]&gt;Table1[[#This Row],[SLA_TAT]],"Yes","No")</f>
        <v>Yes</v>
      </c>
      <c r="AA522" s="4" t="str" cm="1">
        <f t="array" ref="AA522">_xlfn.IFS(Table1[[#This Row],[Customer_Satisfaction]]&lt;=2,"Poor",Table1[[#This Row],[Customer_Satisfaction]]=3,"Neutral",Table1[[#This Row],[Customer_Satisfaction]]=4,"Good",Table1[[#This Row],[Customer_Satisfaction]]=5,"Good")</f>
        <v>Poor</v>
      </c>
    </row>
    <row r="523" spans="1:27" x14ac:dyDescent="0.35">
      <c r="A523">
        <v>20521</v>
      </c>
      <c r="B523" s="1">
        <v>45402</v>
      </c>
      <c r="C523" t="s">
        <v>30</v>
      </c>
      <c r="D523" t="s">
        <v>83</v>
      </c>
      <c r="E523" t="s">
        <v>90</v>
      </c>
      <c r="F523" t="s">
        <v>22</v>
      </c>
      <c r="G523" t="s">
        <v>41</v>
      </c>
      <c r="H523" t="s">
        <v>42</v>
      </c>
      <c r="I523" t="s">
        <v>25</v>
      </c>
      <c r="J523" t="s">
        <v>58</v>
      </c>
      <c r="K523" t="s">
        <v>61</v>
      </c>
      <c r="L523" t="s">
        <v>28</v>
      </c>
      <c r="M523" s="4">
        <v>19</v>
      </c>
      <c r="N523" s="4">
        <v>7</v>
      </c>
      <c r="O523" t="s">
        <v>36</v>
      </c>
      <c r="P523" t="s">
        <v>36</v>
      </c>
      <c r="Q523" s="4">
        <v>210523</v>
      </c>
      <c r="R523" s="4">
        <v>130296</v>
      </c>
      <c r="S523" s="4">
        <f>Table1[[#This Row],[Service_Revenue]]-Table1[[#This Row],[Service_Cost]]</f>
        <v>80227</v>
      </c>
      <c r="T523" s="4">
        <v>2</v>
      </c>
      <c r="U523" s="4">
        <f>IF(AND(Table1[[#This Row],[Rework_Flag]]="Yes",Table1[[#This Row],[Warranty_Claim]]="No"),Table1[[#This Row],[Service_Revenue]],0)</f>
        <v>0</v>
      </c>
      <c r="V523" s="4">
        <f>IF(Table1[[#This Row],[Warranty_Claim]]="Yes",1,0)</f>
        <v>0</v>
      </c>
      <c r="W523" s="4">
        <f>IF(Table1[[#This Row],[Rework_Flag]]="No",1,0)</f>
        <v>1</v>
      </c>
      <c r="X523" s="4">
        <f>IF(Table1[[#This Row],[Rework_Flag]]="Yes",1,0)</f>
        <v>0</v>
      </c>
      <c r="Y523" s="4">
        <v>1</v>
      </c>
      <c r="Z523" s="4" t="str">
        <f>IF(Table1[[#This Row],[TAT_Days]]&gt;Table1[[#This Row],[SLA_TAT]],"Yes","No")</f>
        <v>Yes</v>
      </c>
      <c r="AA523" s="4" t="str" cm="1">
        <f t="array" ref="AA523">_xlfn.IFS(Table1[[#This Row],[Customer_Satisfaction]]&lt;=2,"Poor",Table1[[#This Row],[Customer_Satisfaction]]=3,"Neutral",Table1[[#This Row],[Customer_Satisfaction]]=4,"Good",Table1[[#This Row],[Customer_Satisfaction]]=5,"Good")</f>
        <v>Poor</v>
      </c>
    </row>
    <row r="524" spans="1:27" x14ac:dyDescent="0.35">
      <c r="A524">
        <v>20522</v>
      </c>
      <c r="B524" s="1">
        <v>45301</v>
      </c>
      <c r="C524" t="s">
        <v>30</v>
      </c>
      <c r="D524" t="s">
        <v>31</v>
      </c>
      <c r="E524" t="s">
        <v>62</v>
      </c>
      <c r="F524" t="s">
        <v>53</v>
      </c>
      <c r="G524" t="s">
        <v>23</v>
      </c>
      <c r="H524" t="s">
        <v>24</v>
      </c>
      <c r="I524" t="s">
        <v>25</v>
      </c>
      <c r="J524" t="s">
        <v>43</v>
      </c>
      <c r="K524" t="s">
        <v>27</v>
      </c>
      <c r="L524" t="s">
        <v>28</v>
      </c>
      <c r="M524" s="4">
        <v>22</v>
      </c>
      <c r="N524" s="4">
        <v>7</v>
      </c>
      <c r="O524" t="s">
        <v>29</v>
      </c>
      <c r="P524" t="s">
        <v>29</v>
      </c>
      <c r="Q524" s="4">
        <v>269052</v>
      </c>
      <c r="R524" s="4">
        <v>159489</v>
      </c>
      <c r="S524" s="4">
        <f>Table1[[#This Row],[Service_Revenue]]-Table1[[#This Row],[Service_Cost]]</f>
        <v>109563</v>
      </c>
      <c r="T524" s="4">
        <v>1</v>
      </c>
      <c r="U524" s="4">
        <f>IF(AND(Table1[[#This Row],[Rework_Flag]]="Yes",Table1[[#This Row],[Warranty_Claim]]="No"),Table1[[#This Row],[Service_Revenue]],0)</f>
        <v>0</v>
      </c>
      <c r="V524" s="4">
        <f>IF(Table1[[#This Row],[Warranty_Claim]]="Yes",1,0)</f>
        <v>1</v>
      </c>
      <c r="W524" s="4">
        <f>IF(Table1[[#This Row],[Rework_Flag]]="No",1,0)</f>
        <v>0</v>
      </c>
      <c r="X524" s="4">
        <f>IF(Table1[[#This Row],[Rework_Flag]]="Yes",1,0)</f>
        <v>1</v>
      </c>
      <c r="Y524" s="4">
        <v>1</v>
      </c>
      <c r="Z524" s="4" t="str">
        <f>IF(Table1[[#This Row],[TAT_Days]]&gt;Table1[[#This Row],[SLA_TAT]],"Yes","No")</f>
        <v>Yes</v>
      </c>
      <c r="AA524" s="4" t="str" cm="1">
        <f t="array" ref="AA524">_xlfn.IFS(Table1[[#This Row],[Customer_Satisfaction]]&lt;=2,"Poor",Table1[[#This Row],[Customer_Satisfaction]]=3,"Neutral",Table1[[#This Row],[Customer_Satisfaction]]=4,"Good",Table1[[#This Row],[Customer_Satisfaction]]=5,"Good")</f>
        <v>Poor</v>
      </c>
    </row>
    <row r="525" spans="1:27" x14ac:dyDescent="0.35">
      <c r="A525">
        <v>20523</v>
      </c>
      <c r="B525" s="1">
        <v>45373</v>
      </c>
      <c r="C525" t="s">
        <v>30</v>
      </c>
      <c r="D525" t="s">
        <v>59</v>
      </c>
      <c r="E525" t="s">
        <v>78</v>
      </c>
      <c r="F525" t="s">
        <v>40</v>
      </c>
      <c r="G525" t="s">
        <v>41</v>
      </c>
      <c r="H525" t="s">
        <v>42</v>
      </c>
      <c r="I525" t="s">
        <v>55</v>
      </c>
      <c r="J525" t="s">
        <v>43</v>
      </c>
      <c r="K525" t="s">
        <v>61</v>
      </c>
      <c r="L525" t="s">
        <v>49</v>
      </c>
      <c r="M525" s="4">
        <v>24</v>
      </c>
      <c r="N525" s="4">
        <v>7</v>
      </c>
      <c r="O525" t="s">
        <v>36</v>
      </c>
      <c r="P525" t="s">
        <v>36</v>
      </c>
      <c r="Q525" s="4">
        <v>469040</v>
      </c>
      <c r="R525" s="4">
        <v>261242</v>
      </c>
      <c r="S525" s="4">
        <f>Table1[[#This Row],[Service_Revenue]]-Table1[[#This Row],[Service_Cost]]</f>
        <v>207798</v>
      </c>
      <c r="T525" s="4">
        <v>1</v>
      </c>
      <c r="U525" s="4">
        <f>IF(AND(Table1[[#This Row],[Rework_Flag]]="Yes",Table1[[#This Row],[Warranty_Claim]]="No"),Table1[[#This Row],[Service_Revenue]],0)</f>
        <v>0</v>
      </c>
      <c r="V525" s="4">
        <f>IF(Table1[[#This Row],[Warranty_Claim]]="Yes",1,0)</f>
        <v>0</v>
      </c>
      <c r="W525" s="4">
        <f>IF(Table1[[#This Row],[Rework_Flag]]="No",1,0)</f>
        <v>1</v>
      </c>
      <c r="X525" s="4">
        <f>IF(Table1[[#This Row],[Rework_Flag]]="Yes",1,0)</f>
        <v>0</v>
      </c>
      <c r="Y525" s="4">
        <v>1</v>
      </c>
      <c r="Z525" s="4" t="str">
        <f>IF(Table1[[#This Row],[TAT_Days]]&gt;Table1[[#This Row],[SLA_TAT]],"Yes","No")</f>
        <v>Yes</v>
      </c>
      <c r="AA525" s="4" t="str" cm="1">
        <f t="array" ref="AA525">_xlfn.IFS(Table1[[#This Row],[Customer_Satisfaction]]&lt;=2,"Poor",Table1[[#This Row],[Customer_Satisfaction]]=3,"Neutral",Table1[[#This Row],[Customer_Satisfaction]]=4,"Good",Table1[[#This Row],[Customer_Satisfaction]]=5,"Good")</f>
        <v>Poor</v>
      </c>
    </row>
    <row r="526" spans="1:27" x14ac:dyDescent="0.35">
      <c r="A526">
        <v>20524</v>
      </c>
      <c r="B526" s="1">
        <v>45299</v>
      </c>
      <c r="C526" t="s">
        <v>30</v>
      </c>
      <c r="D526" t="s">
        <v>59</v>
      </c>
      <c r="E526" t="s">
        <v>69</v>
      </c>
      <c r="F526" t="s">
        <v>53</v>
      </c>
      <c r="G526" t="s">
        <v>33</v>
      </c>
      <c r="H526" t="s">
        <v>34</v>
      </c>
      <c r="I526" t="s">
        <v>25</v>
      </c>
      <c r="J526" t="s">
        <v>58</v>
      </c>
      <c r="K526" t="s">
        <v>44</v>
      </c>
      <c r="L526" t="s">
        <v>49</v>
      </c>
      <c r="M526" s="4">
        <v>17</v>
      </c>
      <c r="N526" s="4">
        <v>7</v>
      </c>
      <c r="O526" t="s">
        <v>36</v>
      </c>
      <c r="P526" t="s">
        <v>36</v>
      </c>
      <c r="Q526" s="4">
        <v>164085</v>
      </c>
      <c r="R526" s="4">
        <v>85925</v>
      </c>
      <c r="S526" s="4">
        <f>Table1[[#This Row],[Service_Revenue]]-Table1[[#This Row],[Service_Cost]]</f>
        <v>78160</v>
      </c>
      <c r="T526" s="4">
        <v>2</v>
      </c>
      <c r="U526" s="4">
        <f>IF(AND(Table1[[#This Row],[Rework_Flag]]="Yes",Table1[[#This Row],[Warranty_Claim]]="No"),Table1[[#This Row],[Service_Revenue]],0)</f>
        <v>0</v>
      </c>
      <c r="V526" s="4">
        <f>IF(Table1[[#This Row],[Warranty_Claim]]="Yes",1,0)</f>
        <v>0</v>
      </c>
      <c r="W526" s="4">
        <f>IF(Table1[[#This Row],[Rework_Flag]]="No",1,0)</f>
        <v>1</v>
      </c>
      <c r="X526" s="4">
        <f>IF(Table1[[#This Row],[Rework_Flag]]="Yes",1,0)</f>
        <v>0</v>
      </c>
      <c r="Y526" s="4">
        <v>1</v>
      </c>
      <c r="Z526" s="4" t="str">
        <f>IF(Table1[[#This Row],[TAT_Days]]&gt;Table1[[#This Row],[SLA_TAT]],"Yes","No")</f>
        <v>Yes</v>
      </c>
      <c r="AA526" s="4" t="str" cm="1">
        <f t="array" ref="AA526">_xlfn.IFS(Table1[[#This Row],[Customer_Satisfaction]]&lt;=2,"Poor",Table1[[#This Row],[Customer_Satisfaction]]=3,"Neutral",Table1[[#This Row],[Customer_Satisfaction]]=4,"Good",Table1[[#This Row],[Customer_Satisfaction]]=5,"Good")</f>
        <v>Poor</v>
      </c>
    </row>
    <row r="527" spans="1:27" x14ac:dyDescent="0.35">
      <c r="A527">
        <v>20525</v>
      </c>
      <c r="B527" s="1">
        <v>45470</v>
      </c>
      <c r="C527" t="s">
        <v>19</v>
      </c>
      <c r="D527" t="s">
        <v>45</v>
      </c>
      <c r="E527" t="s">
        <v>46</v>
      </c>
      <c r="F527" t="s">
        <v>22</v>
      </c>
      <c r="G527" t="s">
        <v>23</v>
      </c>
      <c r="H527" t="s">
        <v>24</v>
      </c>
      <c r="I527" t="s">
        <v>25</v>
      </c>
      <c r="J527" t="s">
        <v>67</v>
      </c>
      <c r="K527" t="s">
        <v>44</v>
      </c>
      <c r="L527" t="s">
        <v>28</v>
      </c>
      <c r="M527" s="4">
        <v>13</v>
      </c>
      <c r="N527" s="4">
        <v>7</v>
      </c>
      <c r="O527" t="s">
        <v>29</v>
      </c>
      <c r="P527" t="s">
        <v>29</v>
      </c>
      <c r="Q527" s="4">
        <v>544516</v>
      </c>
      <c r="R527" s="4">
        <v>313406</v>
      </c>
      <c r="S527" s="4">
        <f>Table1[[#This Row],[Service_Revenue]]-Table1[[#This Row],[Service_Cost]]</f>
        <v>231110</v>
      </c>
      <c r="T527" s="4">
        <v>2</v>
      </c>
      <c r="U527" s="4">
        <f>IF(AND(Table1[[#This Row],[Rework_Flag]]="Yes",Table1[[#This Row],[Warranty_Claim]]="No"),Table1[[#This Row],[Service_Revenue]],0)</f>
        <v>0</v>
      </c>
      <c r="V527" s="4">
        <f>IF(Table1[[#This Row],[Warranty_Claim]]="Yes",1,0)</f>
        <v>1</v>
      </c>
      <c r="W527" s="4">
        <f>IF(Table1[[#This Row],[Rework_Flag]]="No",1,0)</f>
        <v>0</v>
      </c>
      <c r="X527" s="4">
        <f>IF(Table1[[#This Row],[Rework_Flag]]="Yes",1,0)</f>
        <v>1</v>
      </c>
      <c r="Y527" s="4">
        <v>1</v>
      </c>
      <c r="Z527" s="4" t="str">
        <f>IF(Table1[[#This Row],[TAT_Days]]&gt;Table1[[#This Row],[SLA_TAT]],"Yes","No")</f>
        <v>Yes</v>
      </c>
      <c r="AA527" s="4" t="str" cm="1">
        <f t="array" ref="AA527">_xlfn.IFS(Table1[[#This Row],[Customer_Satisfaction]]&lt;=2,"Poor",Table1[[#This Row],[Customer_Satisfaction]]=3,"Neutral",Table1[[#This Row],[Customer_Satisfaction]]=4,"Good",Table1[[#This Row],[Customer_Satisfaction]]=5,"Good")</f>
        <v>Poor</v>
      </c>
    </row>
    <row r="528" spans="1:27" x14ac:dyDescent="0.35">
      <c r="A528">
        <v>20526</v>
      </c>
      <c r="B528" s="1">
        <v>45414</v>
      </c>
      <c r="C528" t="s">
        <v>30</v>
      </c>
      <c r="D528" t="s">
        <v>83</v>
      </c>
      <c r="E528" t="s">
        <v>90</v>
      </c>
      <c r="F528" t="s">
        <v>40</v>
      </c>
      <c r="G528" t="s">
        <v>33</v>
      </c>
      <c r="H528" t="s">
        <v>34</v>
      </c>
      <c r="I528" t="s">
        <v>55</v>
      </c>
      <c r="J528" t="s">
        <v>43</v>
      </c>
      <c r="K528" t="s">
        <v>61</v>
      </c>
      <c r="L528" t="s">
        <v>28</v>
      </c>
      <c r="M528" s="4">
        <v>17</v>
      </c>
      <c r="N528" s="4">
        <v>7</v>
      </c>
      <c r="O528" t="s">
        <v>36</v>
      </c>
      <c r="P528" t="s">
        <v>29</v>
      </c>
      <c r="Q528" s="4">
        <v>491356</v>
      </c>
      <c r="R528" s="4">
        <v>373628</v>
      </c>
      <c r="S528" s="4">
        <f>Table1[[#This Row],[Service_Revenue]]-Table1[[#This Row],[Service_Cost]]</f>
        <v>117728</v>
      </c>
      <c r="T528" s="4">
        <v>2</v>
      </c>
      <c r="U528" s="4">
        <f>IF(AND(Table1[[#This Row],[Rework_Flag]]="Yes",Table1[[#This Row],[Warranty_Claim]]="No"),Table1[[#This Row],[Service_Revenue]],0)</f>
        <v>0</v>
      </c>
      <c r="V528" s="4">
        <f>IF(Table1[[#This Row],[Warranty_Claim]]="Yes",1,0)</f>
        <v>1</v>
      </c>
      <c r="W528" s="4">
        <f>IF(Table1[[#This Row],[Rework_Flag]]="No",1,0)</f>
        <v>1</v>
      </c>
      <c r="X528" s="4">
        <f>IF(Table1[[#This Row],[Rework_Flag]]="Yes",1,0)</f>
        <v>0</v>
      </c>
      <c r="Y528" s="4">
        <v>1</v>
      </c>
      <c r="Z528" s="4" t="str">
        <f>IF(Table1[[#This Row],[TAT_Days]]&gt;Table1[[#This Row],[SLA_TAT]],"Yes","No")</f>
        <v>Yes</v>
      </c>
      <c r="AA528" s="4" t="str" cm="1">
        <f t="array" ref="AA528">_xlfn.IFS(Table1[[#This Row],[Customer_Satisfaction]]&lt;=2,"Poor",Table1[[#This Row],[Customer_Satisfaction]]=3,"Neutral",Table1[[#This Row],[Customer_Satisfaction]]=4,"Good",Table1[[#This Row],[Customer_Satisfaction]]=5,"Good")</f>
        <v>Poor</v>
      </c>
    </row>
    <row r="529" spans="1:27" x14ac:dyDescent="0.35">
      <c r="A529">
        <v>20527</v>
      </c>
      <c r="B529" s="1">
        <v>45382</v>
      </c>
      <c r="C529" t="s">
        <v>19</v>
      </c>
      <c r="D529" t="s">
        <v>45</v>
      </c>
      <c r="E529" t="s">
        <v>76</v>
      </c>
      <c r="F529" t="s">
        <v>22</v>
      </c>
      <c r="G529" t="s">
        <v>41</v>
      </c>
      <c r="H529" t="s">
        <v>42</v>
      </c>
      <c r="I529" t="s">
        <v>55</v>
      </c>
      <c r="J529" t="s">
        <v>67</v>
      </c>
      <c r="K529" t="s">
        <v>61</v>
      </c>
      <c r="L529" t="s">
        <v>28</v>
      </c>
      <c r="M529" s="4">
        <v>24</v>
      </c>
      <c r="N529" s="4">
        <v>7</v>
      </c>
      <c r="O529" t="s">
        <v>29</v>
      </c>
      <c r="P529" t="s">
        <v>36</v>
      </c>
      <c r="Q529" s="4">
        <v>381840</v>
      </c>
      <c r="R529" s="4">
        <v>286394</v>
      </c>
      <c r="S529" s="4">
        <f>Table1[[#This Row],[Service_Revenue]]-Table1[[#This Row],[Service_Cost]]</f>
        <v>95446</v>
      </c>
      <c r="T529" s="4">
        <v>1</v>
      </c>
      <c r="U529" s="4">
        <f>IF(AND(Table1[[#This Row],[Rework_Flag]]="Yes",Table1[[#This Row],[Warranty_Claim]]="No"),Table1[[#This Row],[Service_Revenue]],0)</f>
        <v>381840</v>
      </c>
      <c r="V529" s="4">
        <f>IF(Table1[[#This Row],[Warranty_Claim]]="Yes",1,0)</f>
        <v>0</v>
      </c>
      <c r="W529" s="4">
        <f>IF(Table1[[#This Row],[Rework_Flag]]="No",1,0)</f>
        <v>0</v>
      </c>
      <c r="X529" s="4">
        <f>IF(Table1[[#This Row],[Rework_Flag]]="Yes",1,0)</f>
        <v>1</v>
      </c>
      <c r="Y529" s="4">
        <v>1</v>
      </c>
      <c r="Z529" s="4" t="str">
        <f>IF(Table1[[#This Row],[TAT_Days]]&gt;Table1[[#This Row],[SLA_TAT]],"Yes","No")</f>
        <v>Yes</v>
      </c>
      <c r="AA529" s="4" t="str" cm="1">
        <f t="array" ref="AA529">_xlfn.IFS(Table1[[#This Row],[Customer_Satisfaction]]&lt;=2,"Poor",Table1[[#This Row],[Customer_Satisfaction]]=3,"Neutral",Table1[[#This Row],[Customer_Satisfaction]]=4,"Good",Table1[[#This Row],[Customer_Satisfaction]]=5,"Good")</f>
        <v>Poor</v>
      </c>
    </row>
    <row r="530" spans="1:27" x14ac:dyDescent="0.35">
      <c r="A530">
        <v>20528</v>
      </c>
      <c r="B530" s="1">
        <v>45311</v>
      </c>
      <c r="C530" t="s">
        <v>50</v>
      </c>
      <c r="D530" t="s">
        <v>80</v>
      </c>
      <c r="E530" t="s">
        <v>104</v>
      </c>
      <c r="F530" t="s">
        <v>40</v>
      </c>
      <c r="G530" t="s">
        <v>54</v>
      </c>
      <c r="H530" t="s">
        <v>42</v>
      </c>
      <c r="I530" t="s">
        <v>25</v>
      </c>
      <c r="J530" t="s">
        <v>58</v>
      </c>
      <c r="K530" t="s">
        <v>27</v>
      </c>
      <c r="L530" t="s">
        <v>28</v>
      </c>
      <c r="M530" s="4">
        <v>8</v>
      </c>
      <c r="N530" s="4">
        <v>7</v>
      </c>
      <c r="O530" t="s">
        <v>36</v>
      </c>
      <c r="P530" t="s">
        <v>29</v>
      </c>
      <c r="Q530" s="4">
        <v>592634</v>
      </c>
      <c r="R530" s="4">
        <v>371233</v>
      </c>
      <c r="S530" s="4">
        <f>Table1[[#This Row],[Service_Revenue]]-Table1[[#This Row],[Service_Cost]]</f>
        <v>221401</v>
      </c>
      <c r="T530" s="4">
        <v>4</v>
      </c>
      <c r="U530" s="4">
        <f>IF(AND(Table1[[#This Row],[Rework_Flag]]="Yes",Table1[[#This Row],[Warranty_Claim]]="No"),Table1[[#This Row],[Service_Revenue]],0)</f>
        <v>0</v>
      </c>
      <c r="V530" s="4">
        <f>IF(Table1[[#This Row],[Warranty_Claim]]="Yes",1,0)</f>
        <v>1</v>
      </c>
      <c r="W530" s="4">
        <f>IF(Table1[[#This Row],[Rework_Flag]]="No",1,0)</f>
        <v>1</v>
      </c>
      <c r="X530" s="4">
        <f>IF(Table1[[#This Row],[Rework_Flag]]="Yes",1,0)</f>
        <v>0</v>
      </c>
      <c r="Y530" s="4">
        <v>1</v>
      </c>
      <c r="Z530" s="4" t="str">
        <f>IF(Table1[[#This Row],[TAT_Days]]&gt;Table1[[#This Row],[SLA_TAT]],"Yes","No")</f>
        <v>Yes</v>
      </c>
      <c r="AA530" s="4" t="str" cm="1">
        <f t="array" ref="AA530">_xlfn.IFS(Table1[[#This Row],[Customer_Satisfaction]]&lt;=2,"Poor",Table1[[#This Row],[Customer_Satisfaction]]=3,"Neutral",Table1[[#This Row],[Customer_Satisfaction]]=4,"Good",Table1[[#This Row],[Customer_Satisfaction]]=5,"Good")</f>
        <v>Good</v>
      </c>
    </row>
    <row r="531" spans="1:27" x14ac:dyDescent="0.35">
      <c r="A531">
        <v>20529</v>
      </c>
      <c r="B531" s="1">
        <v>45318</v>
      </c>
      <c r="C531" t="s">
        <v>19</v>
      </c>
      <c r="D531" t="s">
        <v>20</v>
      </c>
      <c r="E531" t="s">
        <v>86</v>
      </c>
      <c r="F531" t="s">
        <v>40</v>
      </c>
      <c r="G531" t="s">
        <v>23</v>
      </c>
      <c r="H531" t="s">
        <v>24</v>
      </c>
      <c r="I531" t="s">
        <v>25</v>
      </c>
      <c r="J531" t="s">
        <v>43</v>
      </c>
      <c r="K531" t="s">
        <v>44</v>
      </c>
      <c r="L531" t="s">
        <v>49</v>
      </c>
      <c r="M531" s="4">
        <v>5</v>
      </c>
      <c r="N531" s="4">
        <v>7</v>
      </c>
      <c r="O531" t="s">
        <v>36</v>
      </c>
      <c r="P531" t="s">
        <v>36</v>
      </c>
      <c r="Q531" s="4">
        <v>391933</v>
      </c>
      <c r="R531" s="4">
        <v>224608</v>
      </c>
      <c r="S531" s="4">
        <f>Table1[[#This Row],[Service_Revenue]]-Table1[[#This Row],[Service_Cost]]</f>
        <v>167325</v>
      </c>
      <c r="T531" s="4">
        <v>4</v>
      </c>
      <c r="U531" s="4">
        <f>IF(AND(Table1[[#This Row],[Rework_Flag]]="Yes",Table1[[#This Row],[Warranty_Claim]]="No"),Table1[[#This Row],[Service_Revenue]],0)</f>
        <v>0</v>
      </c>
      <c r="V531" s="4">
        <f>IF(Table1[[#This Row],[Warranty_Claim]]="Yes",1,0)</f>
        <v>0</v>
      </c>
      <c r="W531" s="4">
        <f>IF(Table1[[#This Row],[Rework_Flag]]="No",1,0)</f>
        <v>1</v>
      </c>
      <c r="X531" s="4">
        <f>IF(Table1[[#This Row],[Rework_Flag]]="Yes",1,0)</f>
        <v>0</v>
      </c>
      <c r="Y531" s="4">
        <v>1</v>
      </c>
      <c r="Z531" s="4" t="str">
        <f>IF(Table1[[#This Row],[TAT_Days]]&gt;Table1[[#This Row],[SLA_TAT]],"Yes","No")</f>
        <v>No</v>
      </c>
      <c r="AA531" s="4" t="str" cm="1">
        <f t="array" ref="AA531">_xlfn.IFS(Table1[[#This Row],[Customer_Satisfaction]]&lt;=2,"Poor",Table1[[#This Row],[Customer_Satisfaction]]=3,"Neutral",Table1[[#This Row],[Customer_Satisfaction]]=4,"Good",Table1[[#This Row],[Customer_Satisfaction]]=5,"Good")</f>
        <v>Good</v>
      </c>
    </row>
    <row r="532" spans="1:27" x14ac:dyDescent="0.35">
      <c r="A532">
        <v>20530</v>
      </c>
      <c r="B532" s="1">
        <v>45379</v>
      </c>
      <c r="C532" t="s">
        <v>19</v>
      </c>
      <c r="D532" t="s">
        <v>45</v>
      </c>
      <c r="E532" t="s">
        <v>114</v>
      </c>
      <c r="F532" t="s">
        <v>22</v>
      </c>
      <c r="G532" t="s">
        <v>54</v>
      </c>
      <c r="H532" t="s">
        <v>42</v>
      </c>
      <c r="I532" t="s">
        <v>55</v>
      </c>
      <c r="J532" t="s">
        <v>58</v>
      </c>
      <c r="K532" t="s">
        <v>61</v>
      </c>
      <c r="L532" t="s">
        <v>49</v>
      </c>
      <c r="M532" s="4">
        <v>6</v>
      </c>
      <c r="N532" s="4">
        <v>7</v>
      </c>
      <c r="O532" t="s">
        <v>36</v>
      </c>
      <c r="P532" t="s">
        <v>29</v>
      </c>
      <c r="Q532" s="4">
        <v>364699</v>
      </c>
      <c r="R532" s="4">
        <v>214799</v>
      </c>
      <c r="S532" s="4">
        <f>Table1[[#This Row],[Service_Revenue]]-Table1[[#This Row],[Service_Cost]]</f>
        <v>149900</v>
      </c>
      <c r="T532" s="4">
        <v>4</v>
      </c>
      <c r="U532" s="4">
        <f>IF(AND(Table1[[#This Row],[Rework_Flag]]="Yes",Table1[[#This Row],[Warranty_Claim]]="No"),Table1[[#This Row],[Service_Revenue]],0)</f>
        <v>0</v>
      </c>
      <c r="V532" s="4">
        <f>IF(Table1[[#This Row],[Warranty_Claim]]="Yes",1,0)</f>
        <v>1</v>
      </c>
      <c r="W532" s="4">
        <f>IF(Table1[[#This Row],[Rework_Flag]]="No",1,0)</f>
        <v>1</v>
      </c>
      <c r="X532" s="4">
        <f>IF(Table1[[#This Row],[Rework_Flag]]="Yes",1,0)</f>
        <v>0</v>
      </c>
      <c r="Y532" s="4">
        <v>1</v>
      </c>
      <c r="Z532" s="4" t="str">
        <f>IF(Table1[[#This Row],[TAT_Days]]&gt;Table1[[#This Row],[SLA_TAT]],"Yes","No")</f>
        <v>No</v>
      </c>
      <c r="AA532" s="4" t="str" cm="1">
        <f t="array" ref="AA532">_xlfn.IFS(Table1[[#This Row],[Customer_Satisfaction]]&lt;=2,"Poor",Table1[[#This Row],[Customer_Satisfaction]]=3,"Neutral",Table1[[#This Row],[Customer_Satisfaction]]=4,"Good",Table1[[#This Row],[Customer_Satisfaction]]=5,"Good")</f>
        <v>Good</v>
      </c>
    </row>
    <row r="533" spans="1:27" x14ac:dyDescent="0.35">
      <c r="A533">
        <v>20531</v>
      </c>
      <c r="B533" s="1">
        <v>45345</v>
      </c>
      <c r="C533" t="s">
        <v>37</v>
      </c>
      <c r="D533" t="s">
        <v>64</v>
      </c>
      <c r="E533" t="s">
        <v>87</v>
      </c>
      <c r="F533" t="s">
        <v>22</v>
      </c>
      <c r="G533" t="s">
        <v>33</v>
      </c>
      <c r="H533" t="s">
        <v>34</v>
      </c>
      <c r="I533" t="s">
        <v>25</v>
      </c>
      <c r="J533" t="s">
        <v>35</v>
      </c>
      <c r="K533" t="s">
        <v>44</v>
      </c>
      <c r="L533" t="s">
        <v>49</v>
      </c>
      <c r="M533" s="4">
        <v>3</v>
      </c>
      <c r="N533" s="4">
        <v>7</v>
      </c>
      <c r="O533" t="s">
        <v>29</v>
      </c>
      <c r="P533" t="s">
        <v>29</v>
      </c>
      <c r="Q533" s="4">
        <v>277049</v>
      </c>
      <c r="R533" s="4">
        <v>200664</v>
      </c>
      <c r="S533" s="4">
        <f>Table1[[#This Row],[Service_Revenue]]-Table1[[#This Row],[Service_Cost]]</f>
        <v>76385</v>
      </c>
      <c r="T533" s="4">
        <v>4</v>
      </c>
      <c r="U533" s="4">
        <f>IF(AND(Table1[[#This Row],[Rework_Flag]]="Yes",Table1[[#This Row],[Warranty_Claim]]="No"),Table1[[#This Row],[Service_Revenue]],0)</f>
        <v>0</v>
      </c>
      <c r="V533" s="4">
        <f>IF(Table1[[#This Row],[Warranty_Claim]]="Yes",1,0)</f>
        <v>1</v>
      </c>
      <c r="W533" s="4">
        <f>IF(Table1[[#This Row],[Rework_Flag]]="No",1,0)</f>
        <v>0</v>
      </c>
      <c r="X533" s="4">
        <f>IF(Table1[[#This Row],[Rework_Flag]]="Yes",1,0)</f>
        <v>1</v>
      </c>
      <c r="Y533" s="4">
        <v>1</v>
      </c>
      <c r="Z533" s="4" t="str">
        <f>IF(Table1[[#This Row],[TAT_Days]]&gt;Table1[[#This Row],[SLA_TAT]],"Yes","No")</f>
        <v>No</v>
      </c>
      <c r="AA533" s="4" t="str" cm="1">
        <f t="array" ref="AA533">_xlfn.IFS(Table1[[#This Row],[Customer_Satisfaction]]&lt;=2,"Poor",Table1[[#This Row],[Customer_Satisfaction]]=3,"Neutral",Table1[[#This Row],[Customer_Satisfaction]]=4,"Good",Table1[[#This Row],[Customer_Satisfaction]]=5,"Good")</f>
        <v>Good</v>
      </c>
    </row>
    <row r="534" spans="1:27" x14ac:dyDescent="0.35">
      <c r="A534">
        <v>20532</v>
      </c>
      <c r="B534" s="1">
        <v>45304</v>
      </c>
      <c r="C534" t="s">
        <v>30</v>
      </c>
      <c r="D534" t="s">
        <v>83</v>
      </c>
      <c r="E534" t="s">
        <v>119</v>
      </c>
      <c r="F534" t="s">
        <v>53</v>
      </c>
      <c r="G534" t="s">
        <v>63</v>
      </c>
      <c r="H534" t="s">
        <v>24</v>
      </c>
      <c r="I534" t="s">
        <v>25</v>
      </c>
      <c r="J534" t="s">
        <v>43</v>
      </c>
      <c r="K534" t="s">
        <v>61</v>
      </c>
      <c r="L534" t="s">
        <v>28</v>
      </c>
      <c r="M534" s="4">
        <v>11</v>
      </c>
      <c r="N534" s="4">
        <v>7</v>
      </c>
      <c r="O534" t="s">
        <v>29</v>
      </c>
      <c r="P534" t="s">
        <v>36</v>
      </c>
      <c r="Q534" s="4">
        <v>381336</v>
      </c>
      <c r="R534" s="4">
        <v>278827</v>
      </c>
      <c r="S534" s="4">
        <f>Table1[[#This Row],[Service_Revenue]]-Table1[[#This Row],[Service_Cost]]</f>
        <v>102509</v>
      </c>
      <c r="T534" s="4">
        <v>2</v>
      </c>
      <c r="U534" s="4">
        <f>IF(AND(Table1[[#This Row],[Rework_Flag]]="Yes",Table1[[#This Row],[Warranty_Claim]]="No"),Table1[[#This Row],[Service_Revenue]],0)</f>
        <v>381336</v>
      </c>
      <c r="V534" s="4">
        <f>IF(Table1[[#This Row],[Warranty_Claim]]="Yes",1,0)</f>
        <v>0</v>
      </c>
      <c r="W534" s="4">
        <f>IF(Table1[[#This Row],[Rework_Flag]]="No",1,0)</f>
        <v>0</v>
      </c>
      <c r="X534" s="4">
        <f>IF(Table1[[#This Row],[Rework_Flag]]="Yes",1,0)</f>
        <v>1</v>
      </c>
      <c r="Y534" s="4">
        <v>1</v>
      </c>
      <c r="Z534" s="4" t="str">
        <f>IF(Table1[[#This Row],[TAT_Days]]&gt;Table1[[#This Row],[SLA_TAT]],"Yes","No")</f>
        <v>Yes</v>
      </c>
      <c r="AA534" s="4" t="str" cm="1">
        <f t="array" ref="AA534">_xlfn.IFS(Table1[[#This Row],[Customer_Satisfaction]]&lt;=2,"Poor",Table1[[#This Row],[Customer_Satisfaction]]=3,"Neutral",Table1[[#This Row],[Customer_Satisfaction]]=4,"Good",Table1[[#This Row],[Customer_Satisfaction]]=5,"Good")</f>
        <v>Poor</v>
      </c>
    </row>
    <row r="535" spans="1:27" x14ac:dyDescent="0.35">
      <c r="A535">
        <v>20533</v>
      </c>
      <c r="B535" s="1">
        <v>45313</v>
      </c>
      <c r="C535" t="s">
        <v>50</v>
      </c>
      <c r="D535" t="s">
        <v>51</v>
      </c>
      <c r="E535" t="s">
        <v>52</v>
      </c>
      <c r="F535" t="s">
        <v>40</v>
      </c>
      <c r="G535" t="s">
        <v>23</v>
      </c>
      <c r="H535" t="s">
        <v>24</v>
      </c>
      <c r="I535" t="s">
        <v>55</v>
      </c>
      <c r="J535" t="s">
        <v>58</v>
      </c>
      <c r="K535" t="s">
        <v>61</v>
      </c>
      <c r="L535" t="s">
        <v>28</v>
      </c>
      <c r="M535" s="4">
        <v>2</v>
      </c>
      <c r="N535" s="4">
        <v>7</v>
      </c>
      <c r="O535" t="s">
        <v>29</v>
      </c>
      <c r="P535" t="s">
        <v>36</v>
      </c>
      <c r="Q535" s="4">
        <v>593006</v>
      </c>
      <c r="R535" s="4">
        <v>340738</v>
      </c>
      <c r="S535" s="4">
        <f>Table1[[#This Row],[Service_Revenue]]-Table1[[#This Row],[Service_Cost]]</f>
        <v>252268</v>
      </c>
      <c r="T535" s="4">
        <v>4</v>
      </c>
      <c r="U535" s="4">
        <f>IF(AND(Table1[[#This Row],[Rework_Flag]]="Yes",Table1[[#This Row],[Warranty_Claim]]="No"),Table1[[#This Row],[Service_Revenue]],0)</f>
        <v>593006</v>
      </c>
      <c r="V535" s="4">
        <f>IF(Table1[[#This Row],[Warranty_Claim]]="Yes",1,0)</f>
        <v>0</v>
      </c>
      <c r="W535" s="4">
        <f>IF(Table1[[#This Row],[Rework_Flag]]="No",1,0)</f>
        <v>0</v>
      </c>
      <c r="X535" s="4">
        <f>IF(Table1[[#This Row],[Rework_Flag]]="Yes",1,0)</f>
        <v>1</v>
      </c>
      <c r="Y535" s="4">
        <v>1</v>
      </c>
      <c r="Z535" s="4" t="str">
        <f>IF(Table1[[#This Row],[TAT_Days]]&gt;Table1[[#This Row],[SLA_TAT]],"Yes","No")</f>
        <v>No</v>
      </c>
      <c r="AA535" s="4" t="str" cm="1">
        <f t="array" ref="AA535">_xlfn.IFS(Table1[[#This Row],[Customer_Satisfaction]]&lt;=2,"Poor",Table1[[#This Row],[Customer_Satisfaction]]=3,"Neutral",Table1[[#This Row],[Customer_Satisfaction]]=4,"Good",Table1[[#This Row],[Customer_Satisfaction]]=5,"Good")</f>
        <v>Good</v>
      </c>
    </row>
    <row r="536" spans="1:27" x14ac:dyDescent="0.35">
      <c r="A536">
        <v>20534</v>
      </c>
      <c r="B536" s="1">
        <v>45316</v>
      </c>
      <c r="C536" t="s">
        <v>37</v>
      </c>
      <c r="D536" t="s">
        <v>70</v>
      </c>
      <c r="E536" t="s">
        <v>82</v>
      </c>
      <c r="F536" t="s">
        <v>40</v>
      </c>
      <c r="G536" t="s">
        <v>33</v>
      </c>
      <c r="H536" t="s">
        <v>34</v>
      </c>
      <c r="I536" t="s">
        <v>25</v>
      </c>
      <c r="J536" t="s">
        <v>58</v>
      </c>
      <c r="K536" t="s">
        <v>44</v>
      </c>
      <c r="L536" t="s">
        <v>49</v>
      </c>
      <c r="M536" s="4">
        <v>2</v>
      </c>
      <c r="N536" s="4">
        <v>7</v>
      </c>
      <c r="O536" t="s">
        <v>29</v>
      </c>
      <c r="P536" t="s">
        <v>29</v>
      </c>
      <c r="Q536" s="4">
        <v>100561</v>
      </c>
      <c r="R536" s="4">
        <v>85250</v>
      </c>
      <c r="S536" s="4">
        <f>Table1[[#This Row],[Service_Revenue]]-Table1[[#This Row],[Service_Cost]]</f>
        <v>15311</v>
      </c>
      <c r="T536" s="4">
        <v>4</v>
      </c>
      <c r="U536" s="4">
        <f>IF(AND(Table1[[#This Row],[Rework_Flag]]="Yes",Table1[[#This Row],[Warranty_Claim]]="No"),Table1[[#This Row],[Service_Revenue]],0)</f>
        <v>0</v>
      </c>
      <c r="V536" s="4">
        <f>IF(Table1[[#This Row],[Warranty_Claim]]="Yes",1,0)</f>
        <v>1</v>
      </c>
      <c r="W536" s="4">
        <f>IF(Table1[[#This Row],[Rework_Flag]]="No",1,0)</f>
        <v>0</v>
      </c>
      <c r="X536" s="4">
        <f>IF(Table1[[#This Row],[Rework_Flag]]="Yes",1,0)</f>
        <v>1</v>
      </c>
      <c r="Y536" s="4">
        <v>1</v>
      </c>
      <c r="Z536" s="4" t="str">
        <f>IF(Table1[[#This Row],[TAT_Days]]&gt;Table1[[#This Row],[SLA_TAT]],"Yes","No")</f>
        <v>No</v>
      </c>
      <c r="AA536" s="4" t="str" cm="1">
        <f t="array" ref="AA536">_xlfn.IFS(Table1[[#This Row],[Customer_Satisfaction]]&lt;=2,"Poor",Table1[[#This Row],[Customer_Satisfaction]]=3,"Neutral",Table1[[#This Row],[Customer_Satisfaction]]=4,"Good",Table1[[#This Row],[Customer_Satisfaction]]=5,"Good")</f>
        <v>Good</v>
      </c>
    </row>
    <row r="537" spans="1:27" x14ac:dyDescent="0.35">
      <c r="A537">
        <v>20535</v>
      </c>
      <c r="B537" s="1">
        <v>45311</v>
      </c>
      <c r="C537" t="s">
        <v>37</v>
      </c>
      <c r="D537" t="s">
        <v>64</v>
      </c>
      <c r="E537" t="s">
        <v>72</v>
      </c>
      <c r="F537" t="s">
        <v>22</v>
      </c>
      <c r="G537" t="s">
        <v>47</v>
      </c>
      <c r="H537" t="s">
        <v>48</v>
      </c>
      <c r="I537" t="s">
        <v>55</v>
      </c>
      <c r="J537" t="s">
        <v>26</v>
      </c>
      <c r="K537" t="s">
        <v>61</v>
      </c>
      <c r="L537" t="s">
        <v>49</v>
      </c>
      <c r="M537" s="4">
        <v>7</v>
      </c>
      <c r="N537" s="4">
        <v>7</v>
      </c>
      <c r="O537" t="s">
        <v>29</v>
      </c>
      <c r="P537" t="s">
        <v>36</v>
      </c>
      <c r="Q537" s="4">
        <v>148822</v>
      </c>
      <c r="R537" s="4">
        <v>92476</v>
      </c>
      <c r="S537" s="4">
        <f>Table1[[#This Row],[Service_Revenue]]-Table1[[#This Row],[Service_Cost]]</f>
        <v>56346</v>
      </c>
      <c r="T537" s="4">
        <v>3</v>
      </c>
      <c r="U537" s="4">
        <f>IF(AND(Table1[[#This Row],[Rework_Flag]]="Yes",Table1[[#This Row],[Warranty_Claim]]="No"),Table1[[#This Row],[Service_Revenue]],0)</f>
        <v>148822</v>
      </c>
      <c r="V537" s="4">
        <f>IF(Table1[[#This Row],[Warranty_Claim]]="Yes",1,0)</f>
        <v>0</v>
      </c>
      <c r="W537" s="4">
        <f>IF(Table1[[#This Row],[Rework_Flag]]="No",1,0)</f>
        <v>0</v>
      </c>
      <c r="X537" s="4">
        <f>IF(Table1[[#This Row],[Rework_Flag]]="Yes",1,0)</f>
        <v>1</v>
      </c>
      <c r="Y537" s="4">
        <v>1</v>
      </c>
      <c r="Z537" s="4" t="str">
        <f>IF(Table1[[#This Row],[TAT_Days]]&gt;Table1[[#This Row],[SLA_TAT]],"Yes","No")</f>
        <v>No</v>
      </c>
      <c r="AA537" s="4" t="str" cm="1">
        <f t="array" ref="AA537">_xlfn.IFS(Table1[[#This Row],[Customer_Satisfaction]]&lt;=2,"Poor",Table1[[#This Row],[Customer_Satisfaction]]=3,"Neutral",Table1[[#This Row],[Customer_Satisfaction]]=4,"Good",Table1[[#This Row],[Customer_Satisfaction]]=5,"Good")</f>
        <v>Neutral</v>
      </c>
    </row>
    <row r="538" spans="1:27" x14ac:dyDescent="0.35">
      <c r="A538">
        <v>20536</v>
      </c>
      <c r="B538" s="1">
        <v>45378</v>
      </c>
      <c r="C538" t="s">
        <v>19</v>
      </c>
      <c r="D538" t="s">
        <v>45</v>
      </c>
      <c r="E538" t="s">
        <v>99</v>
      </c>
      <c r="F538" t="s">
        <v>53</v>
      </c>
      <c r="G538" t="s">
        <v>47</v>
      </c>
      <c r="H538" t="s">
        <v>48</v>
      </c>
      <c r="I538" t="s">
        <v>25</v>
      </c>
      <c r="J538" t="s">
        <v>26</v>
      </c>
      <c r="K538" t="s">
        <v>44</v>
      </c>
      <c r="L538" t="s">
        <v>28</v>
      </c>
      <c r="M538" s="4">
        <v>23</v>
      </c>
      <c r="N538" s="4">
        <v>7</v>
      </c>
      <c r="O538" t="s">
        <v>36</v>
      </c>
      <c r="P538" t="s">
        <v>36</v>
      </c>
      <c r="Q538" s="4">
        <v>572853</v>
      </c>
      <c r="R538" s="4">
        <v>312976</v>
      </c>
      <c r="S538" s="4">
        <f>Table1[[#This Row],[Service_Revenue]]-Table1[[#This Row],[Service_Cost]]</f>
        <v>259877</v>
      </c>
      <c r="T538" s="4">
        <v>1</v>
      </c>
      <c r="U538" s="4">
        <f>IF(AND(Table1[[#This Row],[Rework_Flag]]="Yes",Table1[[#This Row],[Warranty_Claim]]="No"),Table1[[#This Row],[Service_Revenue]],0)</f>
        <v>0</v>
      </c>
      <c r="V538" s="4">
        <f>IF(Table1[[#This Row],[Warranty_Claim]]="Yes",1,0)</f>
        <v>0</v>
      </c>
      <c r="W538" s="4">
        <f>IF(Table1[[#This Row],[Rework_Flag]]="No",1,0)</f>
        <v>1</v>
      </c>
      <c r="X538" s="4">
        <f>IF(Table1[[#This Row],[Rework_Flag]]="Yes",1,0)</f>
        <v>0</v>
      </c>
      <c r="Y538" s="4">
        <v>1</v>
      </c>
      <c r="Z538" s="4" t="str">
        <f>IF(Table1[[#This Row],[TAT_Days]]&gt;Table1[[#This Row],[SLA_TAT]],"Yes","No")</f>
        <v>Yes</v>
      </c>
      <c r="AA538" s="4" t="str" cm="1">
        <f t="array" ref="AA538">_xlfn.IFS(Table1[[#This Row],[Customer_Satisfaction]]&lt;=2,"Poor",Table1[[#This Row],[Customer_Satisfaction]]=3,"Neutral",Table1[[#This Row],[Customer_Satisfaction]]=4,"Good",Table1[[#This Row],[Customer_Satisfaction]]=5,"Good")</f>
        <v>Poor</v>
      </c>
    </row>
    <row r="539" spans="1:27" x14ac:dyDescent="0.35">
      <c r="A539">
        <v>20537</v>
      </c>
      <c r="B539" s="1">
        <v>45313</v>
      </c>
      <c r="C539" t="s">
        <v>19</v>
      </c>
      <c r="D539" t="s">
        <v>96</v>
      </c>
      <c r="E539" t="s">
        <v>105</v>
      </c>
      <c r="F539" t="s">
        <v>22</v>
      </c>
      <c r="G539" t="s">
        <v>54</v>
      </c>
      <c r="H539" t="s">
        <v>42</v>
      </c>
      <c r="I539" t="s">
        <v>55</v>
      </c>
      <c r="J539" t="s">
        <v>26</v>
      </c>
      <c r="K539" t="s">
        <v>27</v>
      </c>
      <c r="L539" t="s">
        <v>28</v>
      </c>
      <c r="M539" s="4">
        <v>4</v>
      </c>
      <c r="N539" s="4">
        <v>7</v>
      </c>
      <c r="O539" t="s">
        <v>29</v>
      </c>
      <c r="P539" t="s">
        <v>29</v>
      </c>
      <c r="Q539" s="4">
        <v>379181</v>
      </c>
      <c r="R539" s="4">
        <v>218126</v>
      </c>
      <c r="S539" s="4">
        <f>Table1[[#This Row],[Service_Revenue]]-Table1[[#This Row],[Service_Cost]]</f>
        <v>161055</v>
      </c>
      <c r="T539" s="4">
        <v>4</v>
      </c>
      <c r="U539" s="4">
        <f>IF(AND(Table1[[#This Row],[Rework_Flag]]="Yes",Table1[[#This Row],[Warranty_Claim]]="No"),Table1[[#This Row],[Service_Revenue]],0)</f>
        <v>0</v>
      </c>
      <c r="V539" s="4">
        <f>IF(Table1[[#This Row],[Warranty_Claim]]="Yes",1,0)</f>
        <v>1</v>
      </c>
      <c r="W539" s="4">
        <f>IF(Table1[[#This Row],[Rework_Flag]]="No",1,0)</f>
        <v>0</v>
      </c>
      <c r="X539" s="4">
        <f>IF(Table1[[#This Row],[Rework_Flag]]="Yes",1,0)</f>
        <v>1</v>
      </c>
      <c r="Y539" s="4">
        <v>1</v>
      </c>
      <c r="Z539" s="4" t="str">
        <f>IF(Table1[[#This Row],[TAT_Days]]&gt;Table1[[#This Row],[SLA_TAT]],"Yes","No")</f>
        <v>No</v>
      </c>
      <c r="AA539" s="4" t="str" cm="1">
        <f t="array" ref="AA539">_xlfn.IFS(Table1[[#This Row],[Customer_Satisfaction]]&lt;=2,"Poor",Table1[[#This Row],[Customer_Satisfaction]]=3,"Neutral",Table1[[#This Row],[Customer_Satisfaction]]=4,"Good",Table1[[#This Row],[Customer_Satisfaction]]=5,"Good")</f>
        <v>Good</v>
      </c>
    </row>
    <row r="540" spans="1:27" x14ac:dyDescent="0.35">
      <c r="A540">
        <v>20538</v>
      </c>
      <c r="B540" s="1">
        <v>45356</v>
      </c>
      <c r="C540" t="s">
        <v>37</v>
      </c>
      <c r="D540" t="s">
        <v>64</v>
      </c>
      <c r="E540" t="s">
        <v>65</v>
      </c>
      <c r="F540" t="s">
        <v>53</v>
      </c>
      <c r="G540" t="s">
        <v>63</v>
      </c>
      <c r="H540" t="s">
        <v>24</v>
      </c>
      <c r="I540" t="s">
        <v>25</v>
      </c>
      <c r="J540" t="s">
        <v>43</v>
      </c>
      <c r="K540" t="s">
        <v>44</v>
      </c>
      <c r="L540" t="s">
        <v>49</v>
      </c>
      <c r="M540" s="4">
        <v>17</v>
      </c>
      <c r="N540" s="4">
        <v>7</v>
      </c>
      <c r="O540" t="s">
        <v>29</v>
      </c>
      <c r="P540" t="s">
        <v>36</v>
      </c>
      <c r="Q540" s="4">
        <v>428660</v>
      </c>
      <c r="R540" s="4">
        <v>335401</v>
      </c>
      <c r="S540" s="4">
        <f>Table1[[#This Row],[Service_Revenue]]-Table1[[#This Row],[Service_Cost]]</f>
        <v>93259</v>
      </c>
      <c r="T540" s="4">
        <v>1</v>
      </c>
      <c r="U540" s="4">
        <f>IF(AND(Table1[[#This Row],[Rework_Flag]]="Yes",Table1[[#This Row],[Warranty_Claim]]="No"),Table1[[#This Row],[Service_Revenue]],0)</f>
        <v>428660</v>
      </c>
      <c r="V540" s="4">
        <f>IF(Table1[[#This Row],[Warranty_Claim]]="Yes",1,0)</f>
        <v>0</v>
      </c>
      <c r="W540" s="4">
        <f>IF(Table1[[#This Row],[Rework_Flag]]="No",1,0)</f>
        <v>0</v>
      </c>
      <c r="X540" s="4">
        <f>IF(Table1[[#This Row],[Rework_Flag]]="Yes",1,0)</f>
        <v>1</v>
      </c>
      <c r="Y540" s="4">
        <v>1</v>
      </c>
      <c r="Z540" s="4" t="str">
        <f>IF(Table1[[#This Row],[TAT_Days]]&gt;Table1[[#This Row],[SLA_TAT]],"Yes","No")</f>
        <v>Yes</v>
      </c>
      <c r="AA540" s="4" t="str" cm="1">
        <f t="array" ref="AA540">_xlfn.IFS(Table1[[#This Row],[Customer_Satisfaction]]&lt;=2,"Poor",Table1[[#This Row],[Customer_Satisfaction]]=3,"Neutral",Table1[[#This Row],[Customer_Satisfaction]]=4,"Good",Table1[[#This Row],[Customer_Satisfaction]]=5,"Good")</f>
        <v>Poor</v>
      </c>
    </row>
    <row r="541" spans="1:27" x14ac:dyDescent="0.35">
      <c r="A541">
        <v>20539</v>
      </c>
      <c r="B541" s="1">
        <v>45397</v>
      </c>
      <c r="C541" t="s">
        <v>19</v>
      </c>
      <c r="D541" t="s">
        <v>20</v>
      </c>
      <c r="E541" t="s">
        <v>117</v>
      </c>
      <c r="F541" t="s">
        <v>40</v>
      </c>
      <c r="G541" t="s">
        <v>23</v>
      </c>
      <c r="H541" t="s">
        <v>24</v>
      </c>
      <c r="I541" t="s">
        <v>25</v>
      </c>
      <c r="J541" t="s">
        <v>26</v>
      </c>
      <c r="K541" t="s">
        <v>61</v>
      </c>
      <c r="L541" t="s">
        <v>49</v>
      </c>
      <c r="M541" s="4">
        <v>13</v>
      </c>
      <c r="N541" s="4">
        <v>7</v>
      </c>
      <c r="O541" t="s">
        <v>29</v>
      </c>
      <c r="P541" t="s">
        <v>36</v>
      </c>
      <c r="Q541" s="4">
        <v>583600</v>
      </c>
      <c r="R541" s="4">
        <v>423868</v>
      </c>
      <c r="S541" s="4">
        <f>Table1[[#This Row],[Service_Revenue]]-Table1[[#This Row],[Service_Cost]]</f>
        <v>159732</v>
      </c>
      <c r="T541" s="4">
        <v>2</v>
      </c>
      <c r="U541" s="4">
        <f>IF(AND(Table1[[#This Row],[Rework_Flag]]="Yes",Table1[[#This Row],[Warranty_Claim]]="No"),Table1[[#This Row],[Service_Revenue]],0)</f>
        <v>583600</v>
      </c>
      <c r="V541" s="4">
        <f>IF(Table1[[#This Row],[Warranty_Claim]]="Yes",1,0)</f>
        <v>0</v>
      </c>
      <c r="W541" s="4">
        <f>IF(Table1[[#This Row],[Rework_Flag]]="No",1,0)</f>
        <v>0</v>
      </c>
      <c r="X541" s="4">
        <f>IF(Table1[[#This Row],[Rework_Flag]]="Yes",1,0)</f>
        <v>1</v>
      </c>
      <c r="Y541" s="4">
        <v>1</v>
      </c>
      <c r="Z541" s="4" t="str">
        <f>IF(Table1[[#This Row],[TAT_Days]]&gt;Table1[[#This Row],[SLA_TAT]],"Yes","No")</f>
        <v>Yes</v>
      </c>
      <c r="AA541" s="4" t="str" cm="1">
        <f t="array" ref="AA541">_xlfn.IFS(Table1[[#This Row],[Customer_Satisfaction]]&lt;=2,"Poor",Table1[[#This Row],[Customer_Satisfaction]]=3,"Neutral",Table1[[#This Row],[Customer_Satisfaction]]=4,"Good",Table1[[#This Row],[Customer_Satisfaction]]=5,"Good")</f>
        <v>Poor</v>
      </c>
    </row>
    <row r="542" spans="1:27" x14ac:dyDescent="0.35">
      <c r="A542">
        <v>20540</v>
      </c>
      <c r="B542" s="1">
        <v>45463</v>
      </c>
      <c r="C542" t="s">
        <v>30</v>
      </c>
      <c r="D542" t="s">
        <v>59</v>
      </c>
      <c r="E542" t="s">
        <v>94</v>
      </c>
      <c r="F542" t="s">
        <v>22</v>
      </c>
      <c r="G542" t="s">
        <v>63</v>
      </c>
      <c r="H542" t="s">
        <v>24</v>
      </c>
      <c r="I542" t="s">
        <v>25</v>
      </c>
      <c r="J542" t="s">
        <v>43</v>
      </c>
      <c r="K542" t="s">
        <v>61</v>
      </c>
      <c r="L542" t="s">
        <v>28</v>
      </c>
      <c r="M542" s="4">
        <v>19</v>
      </c>
      <c r="N542" s="4">
        <v>7</v>
      </c>
      <c r="O542" t="s">
        <v>29</v>
      </c>
      <c r="P542" t="s">
        <v>36</v>
      </c>
      <c r="Q542" s="4">
        <v>392300</v>
      </c>
      <c r="R542" s="4">
        <v>302286</v>
      </c>
      <c r="S542" s="4">
        <f>Table1[[#This Row],[Service_Revenue]]-Table1[[#This Row],[Service_Cost]]</f>
        <v>90014</v>
      </c>
      <c r="T542" s="4">
        <v>1</v>
      </c>
      <c r="U542" s="4">
        <f>IF(AND(Table1[[#This Row],[Rework_Flag]]="Yes",Table1[[#This Row],[Warranty_Claim]]="No"),Table1[[#This Row],[Service_Revenue]],0)</f>
        <v>392300</v>
      </c>
      <c r="V542" s="4">
        <f>IF(Table1[[#This Row],[Warranty_Claim]]="Yes",1,0)</f>
        <v>0</v>
      </c>
      <c r="W542" s="4">
        <f>IF(Table1[[#This Row],[Rework_Flag]]="No",1,0)</f>
        <v>0</v>
      </c>
      <c r="X542" s="4">
        <f>IF(Table1[[#This Row],[Rework_Flag]]="Yes",1,0)</f>
        <v>1</v>
      </c>
      <c r="Y542" s="4">
        <v>1</v>
      </c>
      <c r="Z542" s="4" t="str">
        <f>IF(Table1[[#This Row],[TAT_Days]]&gt;Table1[[#This Row],[SLA_TAT]],"Yes","No")</f>
        <v>Yes</v>
      </c>
      <c r="AA542" s="4" t="str" cm="1">
        <f t="array" ref="AA542">_xlfn.IFS(Table1[[#This Row],[Customer_Satisfaction]]&lt;=2,"Poor",Table1[[#This Row],[Customer_Satisfaction]]=3,"Neutral",Table1[[#This Row],[Customer_Satisfaction]]=4,"Good",Table1[[#This Row],[Customer_Satisfaction]]=5,"Good")</f>
        <v>Poor</v>
      </c>
    </row>
    <row r="543" spans="1:27" x14ac:dyDescent="0.35">
      <c r="A543">
        <v>20541</v>
      </c>
      <c r="B543" s="1">
        <v>45319</v>
      </c>
      <c r="C543" t="s">
        <v>19</v>
      </c>
      <c r="D543" t="s">
        <v>45</v>
      </c>
      <c r="E543" t="s">
        <v>99</v>
      </c>
      <c r="F543" t="s">
        <v>22</v>
      </c>
      <c r="G543" t="s">
        <v>74</v>
      </c>
      <c r="H543" t="s">
        <v>34</v>
      </c>
      <c r="I543" t="s">
        <v>25</v>
      </c>
      <c r="J543" t="s">
        <v>35</v>
      </c>
      <c r="K543" t="s">
        <v>44</v>
      </c>
      <c r="L543" t="s">
        <v>49</v>
      </c>
      <c r="M543" s="4">
        <v>15</v>
      </c>
      <c r="N543" s="4">
        <v>7</v>
      </c>
      <c r="O543" t="s">
        <v>29</v>
      </c>
      <c r="P543" t="s">
        <v>29</v>
      </c>
      <c r="Q543" s="4">
        <v>144135</v>
      </c>
      <c r="R543" s="4">
        <v>92670</v>
      </c>
      <c r="S543" s="4">
        <f>Table1[[#This Row],[Service_Revenue]]-Table1[[#This Row],[Service_Cost]]</f>
        <v>51465</v>
      </c>
      <c r="T543" s="4">
        <v>1</v>
      </c>
      <c r="U543" s="4">
        <f>IF(AND(Table1[[#This Row],[Rework_Flag]]="Yes",Table1[[#This Row],[Warranty_Claim]]="No"),Table1[[#This Row],[Service_Revenue]],0)</f>
        <v>0</v>
      </c>
      <c r="V543" s="4">
        <f>IF(Table1[[#This Row],[Warranty_Claim]]="Yes",1,0)</f>
        <v>1</v>
      </c>
      <c r="W543" s="4">
        <f>IF(Table1[[#This Row],[Rework_Flag]]="No",1,0)</f>
        <v>0</v>
      </c>
      <c r="X543" s="4">
        <f>IF(Table1[[#This Row],[Rework_Flag]]="Yes",1,0)</f>
        <v>1</v>
      </c>
      <c r="Y543" s="4">
        <v>1</v>
      </c>
      <c r="Z543" s="4" t="str">
        <f>IF(Table1[[#This Row],[TAT_Days]]&gt;Table1[[#This Row],[SLA_TAT]],"Yes","No")</f>
        <v>Yes</v>
      </c>
      <c r="AA543" s="4" t="str" cm="1">
        <f t="array" ref="AA543">_xlfn.IFS(Table1[[#This Row],[Customer_Satisfaction]]&lt;=2,"Poor",Table1[[#This Row],[Customer_Satisfaction]]=3,"Neutral",Table1[[#This Row],[Customer_Satisfaction]]=4,"Good",Table1[[#This Row],[Customer_Satisfaction]]=5,"Good")</f>
        <v>Poor</v>
      </c>
    </row>
    <row r="544" spans="1:27" x14ac:dyDescent="0.35">
      <c r="A544">
        <v>20542</v>
      </c>
      <c r="B544" s="1">
        <v>45306</v>
      </c>
      <c r="C544" t="s">
        <v>19</v>
      </c>
      <c r="D544" t="s">
        <v>96</v>
      </c>
      <c r="E544" t="s">
        <v>105</v>
      </c>
      <c r="F544" t="s">
        <v>40</v>
      </c>
      <c r="G544" t="s">
        <v>41</v>
      </c>
      <c r="H544" t="s">
        <v>42</v>
      </c>
      <c r="I544" t="s">
        <v>25</v>
      </c>
      <c r="J544" t="s">
        <v>58</v>
      </c>
      <c r="K544" t="s">
        <v>61</v>
      </c>
      <c r="L544" t="s">
        <v>28</v>
      </c>
      <c r="M544" s="4">
        <v>9</v>
      </c>
      <c r="N544" s="4">
        <v>7</v>
      </c>
      <c r="O544" t="s">
        <v>29</v>
      </c>
      <c r="P544" t="s">
        <v>36</v>
      </c>
      <c r="Q544" s="4">
        <v>109757</v>
      </c>
      <c r="R544" s="4">
        <v>84246</v>
      </c>
      <c r="S544" s="4">
        <f>Table1[[#This Row],[Service_Revenue]]-Table1[[#This Row],[Service_Cost]]</f>
        <v>25511</v>
      </c>
      <c r="T544" s="4">
        <v>3</v>
      </c>
      <c r="U544" s="4">
        <f>IF(AND(Table1[[#This Row],[Rework_Flag]]="Yes",Table1[[#This Row],[Warranty_Claim]]="No"),Table1[[#This Row],[Service_Revenue]],0)</f>
        <v>109757</v>
      </c>
      <c r="V544" s="4">
        <f>IF(Table1[[#This Row],[Warranty_Claim]]="Yes",1,0)</f>
        <v>0</v>
      </c>
      <c r="W544" s="4">
        <f>IF(Table1[[#This Row],[Rework_Flag]]="No",1,0)</f>
        <v>0</v>
      </c>
      <c r="X544" s="4">
        <f>IF(Table1[[#This Row],[Rework_Flag]]="Yes",1,0)</f>
        <v>1</v>
      </c>
      <c r="Y544" s="4">
        <v>1</v>
      </c>
      <c r="Z544" s="4" t="str">
        <f>IF(Table1[[#This Row],[TAT_Days]]&gt;Table1[[#This Row],[SLA_TAT]],"Yes","No")</f>
        <v>Yes</v>
      </c>
      <c r="AA544" s="4" t="str" cm="1">
        <f t="array" ref="AA544">_xlfn.IFS(Table1[[#This Row],[Customer_Satisfaction]]&lt;=2,"Poor",Table1[[#This Row],[Customer_Satisfaction]]=3,"Neutral",Table1[[#This Row],[Customer_Satisfaction]]=4,"Good",Table1[[#This Row],[Customer_Satisfaction]]=5,"Good")</f>
        <v>Neutral</v>
      </c>
    </row>
    <row r="545" spans="1:27" x14ac:dyDescent="0.35">
      <c r="A545">
        <v>20543</v>
      </c>
      <c r="B545" s="1">
        <v>45411</v>
      </c>
      <c r="C545" t="s">
        <v>30</v>
      </c>
      <c r="D545" t="s">
        <v>59</v>
      </c>
      <c r="E545" t="s">
        <v>66</v>
      </c>
      <c r="F545" t="s">
        <v>53</v>
      </c>
      <c r="G545" t="s">
        <v>74</v>
      </c>
      <c r="H545" t="s">
        <v>34</v>
      </c>
      <c r="I545" t="s">
        <v>55</v>
      </c>
      <c r="J545" t="s">
        <v>67</v>
      </c>
      <c r="K545" t="s">
        <v>27</v>
      </c>
      <c r="L545" t="s">
        <v>49</v>
      </c>
      <c r="M545" s="4">
        <v>14</v>
      </c>
      <c r="N545" s="4">
        <v>7</v>
      </c>
      <c r="O545" t="s">
        <v>29</v>
      </c>
      <c r="P545" t="s">
        <v>36</v>
      </c>
      <c r="Q545" s="4">
        <v>371181</v>
      </c>
      <c r="R545" s="4">
        <v>288166</v>
      </c>
      <c r="S545" s="4">
        <f>Table1[[#This Row],[Service_Revenue]]-Table1[[#This Row],[Service_Cost]]</f>
        <v>83015</v>
      </c>
      <c r="T545" s="4">
        <v>2</v>
      </c>
      <c r="U545" s="4">
        <f>IF(AND(Table1[[#This Row],[Rework_Flag]]="Yes",Table1[[#This Row],[Warranty_Claim]]="No"),Table1[[#This Row],[Service_Revenue]],0)</f>
        <v>371181</v>
      </c>
      <c r="V545" s="4">
        <f>IF(Table1[[#This Row],[Warranty_Claim]]="Yes",1,0)</f>
        <v>0</v>
      </c>
      <c r="W545" s="4">
        <f>IF(Table1[[#This Row],[Rework_Flag]]="No",1,0)</f>
        <v>0</v>
      </c>
      <c r="X545" s="4">
        <f>IF(Table1[[#This Row],[Rework_Flag]]="Yes",1,0)</f>
        <v>1</v>
      </c>
      <c r="Y545" s="4">
        <v>1</v>
      </c>
      <c r="Z545" s="4" t="str">
        <f>IF(Table1[[#This Row],[TAT_Days]]&gt;Table1[[#This Row],[SLA_TAT]],"Yes","No")</f>
        <v>Yes</v>
      </c>
      <c r="AA545" s="4" t="str" cm="1">
        <f t="array" ref="AA545">_xlfn.IFS(Table1[[#This Row],[Customer_Satisfaction]]&lt;=2,"Poor",Table1[[#This Row],[Customer_Satisfaction]]=3,"Neutral",Table1[[#This Row],[Customer_Satisfaction]]=4,"Good",Table1[[#This Row],[Customer_Satisfaction]]=5,"Good")</f>
        <v>Poor</v>
      </c>
    </row>
    <row r="546" spans="1:27" x14ac:dyDescent="0.35">
      <c r="A546">
        <v>20544</v>
      </c>
      <c r="B546" s="1">
        <v>45431</v>
      </c>
      <c r="C546" t="s">
        <v>50</v>
      </c>
      <c r="D546" t="s">
        <v>51</v>
      </c>
      <c r="E546" t="s">
        <v>120</v>
      </c>
      <c r="F546" t="s">
        <v>40</v>
      </c>
      <c r="G546" t="s">
        <v>41</v>
      </c>
      <c r="H546" t="s">
        <v>42</v>
      </c>
      <c r="I546" t="s">
        <v>55</v>
      </c>
      <c r="J546" t="s">
        <v>43</v>
      </c>
      <c r="K546" t="s">
        <v>27</v>
      </c>
      <c r="L546" t="s">
        <v>28</v>
      </c>
      <c r="M546" s="4">
        <v>18</v>
      </c>
      <c r="N546" s="4">
        <v>7</v>
      </c>
      <c r="O546" t="s">
        <v>29</v>
      </c>
      <c r="P546" t="s">
        <v>29</v>
      </c>
      <c r="Q546" s="4">
        <v>141194</v>
      </c>
      <c r="R546" s="4">
        <v>107934</v>
      </c>
      <c r="S546" s="4">
        <f>Table1[[#This Row],[Service_Revenue]]-Table1[[#This Row],[Service_Cost]]</f>
        <v>33260</v>
      </c>
      <c r="T546" s="4">
        <v>1</v>
      </c>
      <c r="U546" s="4">
        <f>IF(AND(Table1[[#This Row],[Rework_Flag]]="Yes",Table1[[#This Row],[Warranty_Claim]]="No"),Table1[[#This Row],[Service_Revenue]],0)</f>
        <v>0</v>
      </c>
      <c r="V546" s="4">
        <f>IF(Table1[[#This Row],[Warranty_Claim]]="Yes",1,0)</f>
        <v>1</v>
      </c>
      <c r="W546" s="4">
        <f>IF(Table1[[#This Row],[Rework_Flag]]="No",1,0)</f>
        <v>0</v>
      </c>
      <c r="X546" s="4">
        <f>IF(Table1[[#This Row],[Rework_Flag]]="Yes",1,0)</f>
        <v>1</v>
      </c>
      <c r="Y546" s="4">
        <v>1</v>
      </c>
      <c r="Z546" s="4" t="str">
        <f>IF(Table1[[#This Row],[TAT_Days]]&gt;Table1[[#This Row],[SLA_TAT]],"Yes","No")</f>
        <v>Yes</v>
      </c>
      <c r="AA546" s="4" t="str" cm="1">
        <f t="array" ref="AA546">_xlfn.IFS(Table1[[#This Row],[Customer_Satisfaction]]&lt;=2,"Poor",Table1[[#This Row],[Customer_Satisfaction]]=3,"Neutral",Table1[[#This Row],[Customer_Satisfaction]]=4,"Good",Table1[[#This Row],[Customer_Satisfaction]]=5,"Good")</f>
        <v>Poor</v>
      </c>
    </row>
    <row r="547" spans="1:27" x14ac:dyDescent="0.35">
      <c r="A547">
        <v>20545</v>
      </c>
      <c r="B547" s="1">
        <v>45310</v>
      </c>
      <c r="C547" t="s">
        <v>19</v>
      </c>
      <c r="D547" t="s">
        <v>96</v>
      </c>
      <c r="E547" t="s">
        <v>97</v>
      </c>
      <c r="F547" t="s">
        <v>22</v>
      </c>
      <c r="G547" t="s">
        <v>63</v>
      </c>
      <c r="H547" t="s">
        <v>24</v>
      </c>
      <c r="I547" t="s">
        <v>55</v>
      </c>
      <c r="J547" t="s">
        <v>58</v>
      </c>
      <c r="K547" t="s">
        <v>61</v>
      </c>
      <c r="L547" t="s">
        <v>49</v>
      </c>
      <c r="M547" s="4">
        <v>19</v>
      </c>
      <c r="N547" s="4">
        <v>7</v>
      </c>
      <c r="O547" t="s">
        <v>36</v>
      </c>
      <c r="P547" t="s">
        <v>36</v>
      </c>
      <c r="Q547" s="4">
        <v>308938</v>
      </c>
      <c r="R547" s="4">
        <v>239752</v>
      </c>
      <c r="S547" s="4">
        <f>Table1[[#This Row],[Service_Revenue]]-Table1[[#This Row],[Service_Cost]]</f>
        <v>69186</v>
      </c>
      <c r="T547" s="4">
        <v>2</v>
      </c>
      <c r="U547" s="4">
        <f>IF(AND(Table1[[#This Row],[Rework_Flag]]="Yes",Table1[[#This Row],[Warranty_Claim]]="No"),Table1[[#This Row],[Service_Revenue]],0)</f>
        <v>0</v>
      </c>
      <c r="V547" s="4">
        <f>IF(Table1[[#This Row],[Warranty_Claim]]="Yes",1,0)</f>
        <v>0</v>
      </c>
      <c r="W547" s="4">
        <f>IF(Table1[[#This Row],[Rework_Flag]]="No",1,0)</f>
        <v>1</v>
      </c>
      <c r="X547" s="4">
        <f>IF(Table1[[#This Row],[Rework_Flag]]="Yes",1,0)</f>
        <v>0</v>
      </c>
      <c r="Y547" s="4">
        <v>1</v>
      </c>
      <c r="Z547" s="4" t="str">
        <f>IF(Table1[[#This Row],[TAT_Days]]&gt;Table1[[#This Row],[SLA_TAT]],"Yes","No")</f>
        <v>Yes</v>
      </c>
      <c r="AA547" s="4" t="str" cm="1">
        <f t="array" ref="AA547">_xlfn.IFS(Table1[[#This Row],[Customer_Satisfaction]]&lt;=2,"Poor",Table1[[#This Row],[Customer_Satisfaction]]=3,"Neutral",Table1[[#This Row],[Customer_Satisfaction]]=4,"Good",Table1[[#This Row],[Customer_Satisfaction]]=5,"Good")</f>
        <v>Poor</v>
      </c>
    </row>
    <row r="548" spans="1:27" x14ac:dyDescent="0.35">
      <c r="A548">
        <v>20546</v>
      </c>
      <c r="B548" s="1">
        <v>45407</v>
      </c>
      <c r="C548" t="s">
        <v>30</v>
      </c>
      <c r="D548" t="s">
        <v>59</v>
      </c>
      <c r="E548" t="s">
        <v>94</v>
      </c>
      <c r="F548" t="s">
        <v>40</v>
      </c>
      <c r="G548" t="s">
        <v>23</v>
      </c>
      <c r="H548" t="s">
        <v>24</v>
      </c>
      <c r="I548" t="s">
        <v>25</v>
      </c>
      <c r="J548" t="s">
        <v>43</v>
      </c>
      <c r="K548" t="s">
        <v>44</v>
      </c>
      <c r="L548" t="s">
        <v>28</v>
      </c>
      <c r="M548" s="4">
        <v>18</v>
      </c>
      <c r="N548" s="4">
        <v>7</v>
      </c>
      <c r="O548" t="s">
        <v>29</v>
      </c>
      <c r="P548" t="s">
        <v>36</v>
      </c>
      <c r="Q548" s="4">
        <v>347745</v>
      </c>
      <c r="R548" s="4">
        <v>229979</v>
      </c>
      <c r="S548" s="4">
        <f>Table1[[#This Row],[Service_Revenue]]-Table1[[#This Row],[Service_Cost]]</f>
        <v>117766</v>
      </c>
      <c r="T548" s="4">
        <v>1</v>
      </c>
      <c r="U548" s="4">
        <f>IF(AND(Table1[[#This Row],[Rework_Flag]]="Yes",Table1[[#This Row],[Warranty_Claim]]="No"),Table1[[#This Row],[Service_Revenue]],0)</f>
        <v>347745</v>
      </c>
      <c r="V548" s="4">
        <f>IF(Table1[[#This Row],[Warranty_Claim]]="Yes",1,0)</f>
        <v>0</v>
      </c>
      <c r="W548" s="4">
        <f>IF(Table1[[#This Row],[Rework_Flag]]="No",1,0)</f>
        <v>0</v>
      </c>
      <c r="X548" s="4">
        <f>IF(Table1[[#This Row],[Rework_Flag]]="Yes",1,0)</f>
        <v>1</v>
      </c>
      <c r="Y548" s="4">
        <v>1</v>
      </c>
      <c r="Z548" s="4" t="str">
        <f>IF(Table1[[#This Row],[TAT_Days]]&gt;Table1[[#This Row],[SLA_TAT]],"Yes","No")</f>
        <v>Yes</v>
      </c>
      <c r="AA548" s="4" t="str" cm="1">
        <f t="array" ref="AA548">_xlfn.IFS(Table1[[#This Row],[Customer_Satisfaction]]&lt;=2,"Poor",Table1[[#This Row],[Customer_Satisfaction]]=3,"Neutral",Table1[[#This Row],[Customer_Satisfaction]]=4,"Good",Table1[[#This Row],[Customer_Satisfaction]]=5,"Good")</f>
        <v>Poor</v>
      </c>
    </row>
    <row r="549" spans="1:27" x14ac:dyDescent="0.35">
      <c r="A549">
        <v>20547</v>
      </c>
      <c r="B549" s="1">
        <v>45375</v>
      </c>
      <c r="C549" t="s">
        <v>19</v>
      </c>
      <c r="D549" t="s">
        <v>20</v>
      </c>
      <c r="E549" t="s">
        <v>89</v>
      </c>
      <c r="F549" t="s">
        <v>40</v>
      </c>
      <c r="G549" t="s">
        <v>33</v>
      </c>
      <c r="H549" t="s">
        <v>34</v>
      </c>
      <c r="I549" t="s">
        <v>25</v>
      </c>
      <c r="J549" t="s">
        <v>43</v>
      </c>
      <c r="K549" t="s">
        <v>44</v>
      </c>
      <c r="L549" t="s">
        <v>28</v>
      </c>
      <c r="M549" s="4">
        <v>21</v>
      </c>
      <c r="N549" s="4">
        <v>7</v>
      </c>
      <c r="O549" t="s">
        <v>29</v>
      </c>
      <c r="P549" t="s">
        <v>36</v>
      </c>
      <c r="Q549" s="4">
        <v>489100</v>
      </c>
      <c r="R549" s="4">
        <v>256398</v>
      </c>
      <c r="S549" s="4">
        <f>Table1[[#This Row],[Service_Revenue]]-Table1[[#This Row],[Service_Cost]]</f>
        <v>232702</v>
      </c>
      <c r="T549" s="4">
        <v>1</v>
      </c>
      <c r="U549" s="4">
        <f>IF(AND(Table1[[#This Row],[Rework_Flag]]="Yes",Table1[[#This Row],[Warranty_Claim]]="No"),Table1[[#This Row],[Service_Revenue]],0)</f>
        <v>489100</v>
      </c>
      <c r="V549" s="4">
        <f>IF(Table1[[#This Row],[Warranty_Claim]]="Yes",1,0)</f>
        <v>0</v>
      </c>
      <c r="W549" s="4">
        <f>IF(Table1[[#This Row],[Rework_Flag]]="No",1,0)</f>
        <v>0</v>
      </c>
      <c r="X549" s="4">
        <f>IF(Table1[[#This Row],[Rework_Flag]]="Yes",1,0)</f>
        <v>1</v>
      </c>
      <c r="Y549" s="4">
        <v>1</v>
      </c>
      <c r="Z549" s="4" t="str">
        <f>IF(Table1[[#This Row],[TAT_Days]]&gt;Table1[[#This Row],[SLA_TAT]],"Yes","No")</f>
        <v>Yes</v>
      </c>
      <c r="AA549" s="4" t="str" cm="1">
        <f t="array" ref="AA549">_xlfn.IFS(Table1[[#This Row],[Customer_Satisfaction]]&lt;=2,"Poor",Table1[[#This Row],[Customer_Satisfaction]]=3,"Neutral",Table1[[#This Row],[Customer_Satisfaction]]=4,"Good",Table1[[#This Row],[Customer_Satisfaction]]=5,"Good")</f>
        <v>Poor</v>
      </c>
    </row>
    <row r="550" spans="1:27" x14ac:dyDescent="0.35">
      <c r="A550">
        <v>20548</v>
      </c>
      <c r="B550" s="1">
        <v>45369</v>
      </c>
      <c r="C550" t="s">
        <v>19</v>
      </c>
      <c r="D550" t="s">
        <v>96</v>
      </c>
      <c r="E550" t="s">
        <v>109</v>
      </c>
      <c r="F550" t="s">
        <v>22</v>
      </c>
      <c r="G550" t="s">
        <v>41</v>
      </c>
      <c r="H550" t="s">
        <v>42</v>
      </c>
      <c r="I550" t="s">
        <v>55</v>
      </c>
      <c r="J550" t="s">
        <v>58</v>
      </c>
      <c r="K550" t="s">
        <v>27</v>
      </c>
      <c r="L550" t="s">
        <v>28</v>
      </c>
      <c r="M550" s="4">
        <v>4</v>
      </c>
      <c r="N550" s="4">
        <v>7</v>
      </c>
      <c r="O550" t="s">
        <v>29</v>
      </c>
      <c r="P550" t="s">
        <v>36</v>
      </c>
      <c r="Q550" s="4">
        <v>529011</v>
      </c>
      <c r="R550" s="4">
        <v>341351</v>
      </c>
      <c r="S550" s="4">
        <f>Table1[[#This Row],[Service_Revenue]]-Table1[[#This Row],[Service_Cost]]</f>
        <v>187660</v>
      </c>
      <c r="T550" s="4">
        <v>4</v>
      </c>
      <c r="U550" s="4">
        <f>IF(AND(Table1[[#This Row],[Rework_Flag]]="Yes",Table1[[#This Row],[Warranty_Claim]]="No"),Table1[[#This Row],[Service_Revenue]],0)</f>
        <v>529011</v>
      </c>
      <c r="V550" s="4">
        <f>IF(Table1[[#This Row],[Warranty_Claim]]="Yes",1,0)</f>
        <v>0</v>
      </c>
      <c r="W550" s="4">
        <f>IF(Table1[[#This Row],[Rework_Flag]]="No",1,0)</f>
        <v>0</v>
      </c>
      <c r="X550" s="4">
        <f>IF(Table1[[#This Row],[Rework_Flag]]="Yes",1,0)</f>
        <v>1</v>
      </c>
      <c r="Y550" s="4">
        <v>1</v>
      </c>
      <c r="Z550" s="4" t="str">
        <f>IF(Table1[[#This Row],[TAT_Days]]&gt;Table1[[#This Row],[SLA_TAT]],"Yes","No")</f>
        <v>No</v>
      </c>
      <c r="AA550" s="4" t="str" cm="1">
        <f t="array" ref="AA550">_xlfn.IFS(Table1[[#This Row],[Customer_Satisfaction]]&lt;=2,"Poor",Table1[[#This Row],[Customer_Satisfaction]]=3,"Neutral",Table1[[#This Row],[Customer_Satisfaction]]=4,"Good",Table1[[#This Row],[Customer_Satisfaction]]=5,"Good")</f>
        <v>Good</v>
      </c>
    </row>
    <row r="551" spans="1:27" x14ac:dyDescent="0.35">
      <c r="A551">
        <v>20549</v>
      </c>
      <c r="B551" s="1">
        <v>45410</v>
      </c>
      <c r="C551" t="s">
        <v>37</v>
      </c>
      <c r="D551" t="s">
        <v>38</v>
      </c>
      <c r="E551" t="s">
        <v>102</v>
      </c>
      <c r="F551" t="s">
        <v>53</v>
      </c>
      <c r="G551" t="s">
        <v>54</v>
      </c>
      <c r="H551" t="s">
        <v>42</v>
      </c>
      <c r="I551" t="s">
        <v>25</v>
      </c>
      <c r="J551" t="s">
        <v>26</v>
      </c>
      <c r="K551" t="s">
        <v>27</v>
      </c>
      <c r="L551" t="s">
        <v>28</v>
      </c>
      <c r="M551" s="4">
        <v>7</v>
      </c>
      <c r="N551" s="4">
        <v>7</v>
      </c>
      <c r="O551" t="s">
        <v>36</v>
      </c>
      <c r="P551" t="s">
        <v>29</v>
      </c>
      <c r="Q551" s="4">
        <v>520397</v>
      </c>
      <c r="R551" s="4">
        <v>412563</v>
      </c>
      <c r="S551" s="4">
        <f>Table1[[#This Row],[Service_Revenue]]-Table1[[#This Row],[Service_Cost]]</f>
        <v>107834</v>
      </c>
      <c r="T551" s="4">
        <v>4</v>
      </c>
      <c r="U551" s="4">
        <f>IF(AND(Table1[[#This Row],[Rework_Flag]]="Yes",Table1[[#This Row],[Warranty_Claim]]="No"),Table1[[#This Row],[Service_Revenue]],0)</f>
        <v>0</v>
      </c>
      <c r="V551" s="4">
        <f>IF(Table1[[#This Row],[Warranty_Claim]]="Yes",1,0)</f>
        <v>1</v>
      </c>
      <c r="W551" s="4">
        <f>IF(Table1[[#This Row],[Rework_Flag]]="No",1,0)</f>
        <v>1</v>
      </c>
      <c r="X551" s="4">
        <f>IF(Table1[[#This Row],[Rework_Flag]]="Yes",1,0)</f>
        <v>0</v>
      </c>
      <c r="Y551" s="4">
        <v>1</v>
      </c>
      <c r="Z551" s="4" t="str">
        <f>IF(Table1[[#This Row],[TAT_Days]]&gt;Table1[[#This Row],[SLA_TAT]],"Yes","No")</f>
        <v>No</v>
      </c>
      <c r="AA551" s="4" t="str" cm="1">
        <f t="array" ref="AA551">_xlfn.IFS(Table1[[#This Row],[Customer_Satisfaction]]&lt;=2,"Poor",Table1[[#This Row],[Customer_Satisfaction]]=3,"Neutral",Table1[[#This Row],[Customer_Satisfaction]]=4,"Good",Table1[[#This Row],[Customer_Satisfaction]]=5,"Good")</f>
        <v>Good</v>
      </c>
    </row>
    <row r="552" spans="1:27" x14ac:dyDescent="0.35">
      <c r="A552">
        <v>20550</v>
      </c>
      <c r="B552" s="1">
        <v>45364</v>
      </c>
      <c r="C552" t="s">
        <v>37</v>
      </c>
      <c r="D552" t="s">
        <v>64</v>
      </c>
      <c r="E552" t="s">
        <v>103</v>
      </c>
      <c r="F552" t="s">
        <v>22</v>
      </c>
      <c r="G552" t="s">
        <v>74</v>
      </c>
      <c r="H552" t="s">
        <v>34</v>
      </c>
      <c r="I552" t="s">
        <v>55</v>
      </c>
      <c r="J552" t="s">
        <v>58</v>
      </c>
      <c r="K552" t="s">
        <v>27</v>
      </c>
      <c r="L552" t="s">
        <v>49</v>
      </c>
      <c r="M552" s="4">
        <v>19</v>
      </c>
      <c r="N552" s="4">
        <v>7</v>
      </c>
      <c r="O552" t="s">
        <v>29</v>
      </c>
      <c r="P552" t="s">
        <v>29</v>
      </c>
      <c r="Q552" s="4">
        <v>165934</v>
      </c>
      <c r="R552" s="4">
        <v>86293</v>
      </c>
      <c r="S552" s="4">
        <f>Table1[[#This Row],[Service_Revenue]]-Table1[[#This Row],[Service_Cost]]</f>
        <v>79641</v>
      </c>
      <c r="T552" s="4">
        <v>1</v>
      </c>
      <c r="U552" s="4">
        <f>IF(AND(Table1[[#This Row],[Rework_Flag]]="Yes",Table1[[#This Row],[Warranty_Claim]]="No"),Table1[[#This Row],[Service_Revenue]],0)</f>
        <v>0</v>
      </c>
      <c r="V552" s="4">
        <f>IF(Table1[[#This Row],[Warranty_Claim]]="Yes",1,0)</f>
        <v>1</v>
      </c>
      <c r="W552" s="4">
        <f>IF(Table1[[#This Row],[Rework_Flag]]="No",1,0)</f>
        <v>0</v>
      </c>
      <c r="X552" s="4">
        <f>IF(Table1[[#This Row],[Rework_Flag]]="Yes",1,0)</f>
        <v>1</v>
      </c>
      <c r="Y552" s="4">
        <v>1</v>
      </c>
      <c r="Z552" s="4" t="str">
        <f>IF(Table1[[#This Row],[TAT_Days]]&gt;Table1[[#This Row],[SLA_TAT]],"Yes","No")</f>
        <v>Yes</v>
      </c>
      <c r="AA552" s="4" t="str" cm="1">
        <f t="array" ref="AA552">_xlfn.IFS(Table1[[#This Row],[Customer_Satisfaction]]&lt;=2,"Poor",Table1[[#This Row],[Customer_Satisfaction]]=3,"Neutral",Table1[[#This Row],[Customer_Satisfaction]]=4,"Good",Table1[[#This Row],[Customer_Satisfaction]]=5,"Good")</f>
        <v>Poor</v>
      </c>
    </row>
    <row r="553" spans="1:27" x14ac:dyDescent="0.35">
      <c r="A553">
        <v>20551</v>
      </c>
      <c r="B553" s="1">
        <v>45423</v>
      </c>
      <c r="C553" t="s">
        <v>37</v>
      </c>
      <c r="D553" t="s">
        <v>64</v>
      </c>
      <c r="E553" t="s">
        <v>72</v>
      </c>
      <c r="F553" t="s">
        <v>40</v>
      </c>
      <c r="G553" t="s">
        <v>33</v>
      </c>
      <c r="H553" t="s">
        <v>34</v>
      </c>
      <c r="I553" t="s">
        <v>25</v>
      </c>
      <c r="J553" t="s">
        <v>58</v>
      </c>
      <c r="K553" t="s">
        <v>61</v>
      </c>
      <c r="L553" t="s">
        <v>28</v>
      </c>
      <c r="M553" s="4">
        <v>14</v>
      </c>
      <c r="N553" s="4">
        <v>7</v>
      </c>
      <c r="O553" t="s">
        <v>36</v>
      </c>
      <c r="P553" t="s">
        <v>36</v>
      </c>
      <c r="Q553" s="4">
        <v>325877</v>
      </c>
      <c r="R553" s="4">
        <v>187191</v>
      </c>
      <c r="S553" s="4">
        <f>Table1[[#This Row],[Service_Revenue]]-Table1[[#This Row],[Service_Cost]]</f>
        <v>138686</v>
      </c>
      <c r="T553" s="4">
        <v>3</v>
      </c>
      <c r="U553" s="4">
        <f>IF(AND(Table1[[#This Row],[Rework_Flag]]="Yes",Table1[[#This Row],[Warranty_Claim]]="No"),Table1[[#This Row],[Service_Revenue]],0)</f>
        <v>0</v>
      </c>
      <c r="V553" s="4">
        <f>IF(Table1[[#This Row],[Warranty_Claim]]="Yes",1,0)</f>
        <v>0</v>
      </c>
      <c r="W553" s="4">
        <f>IF(Table1[[#This Row],[Rework_Flag]]="No",1,0)</f>
        <v>1</v>
      </c>
      <c r="X553" s="4">
        <f>IF(Table1[[#This Row],[Rework_Flag]]="Yes",1,0)</f>
        <v>0</v>
      </c>
      <c r="Y553" s="4">
        <v>1</v>
      </c>
      <c r="Z553" s="4" t="str">
        <f>IF(Table1[[#This Row],[TAT_Days]]&gt;Table1[[#This Row],[SLA_TAT]],"Yes","No")</f>
        <v>Yes</v>
      </c>
      <c r="AA553" s="4" t="str" cm="1">
        <f t="array" ref="AA553">_xlfn.IFS(Table1[[#This Row],[Customer_Satisfaction]]&lt;=2,"Poor",Table1[[#This Row],[Customer_Satisfaction]]=3,"Neutral",Table1[[#This Row],[Customer_Satisfaction]]=4,"Good",Table1[[#This Row],[Customer_Satisfaction]]=5,"Good")</f>
        <v>Neutral</v>
      </c>
    </row>
    <row r="554" spans="1:27" x14ac:dyDescent="0.35">
      <c r="A554">
        <v>20552</v>
      </c>
      <c r="B554" s="1">
        <v>45399</v>
      </c>
      <c r="C554" t="s">
        <v>50</v>
      </c>
      <c r="D554" t="s">
        <v>80</v>
      </c>
      <c r="E554" t="s">
        <v>118</v>
      </c>
      <c r="F554" t="s">
        <v>53</v>
      </c>
      <c r="G554" t="s">
        <v>47</v>
      </c>
      <c r="H554" t="s">
        <v>48</v>
      </c>
      <c r="I554" t="s">
        <v>25</v>
      </c>
      <c r="J554" t="s">
        <v>26</v>
      </c>
      <c r="K554" t="s">
        <v>61</v>
      </c>
      <c r="L554" t="s">
        <v>28</v>
      </c>
      <c r="M554" s="4">
        <v>7</v>
      </c>
      <c r="N554" s="4">
        <v>7</v>
      </c>
      <c r="O554" t="s">
        <v>36</v>
      </c>
      <c r="P554" t="s">
        <v>36</v>
      </c>
      <c r="Q554" s="4">
        <v>270138</v>
      </c>
      <c r="R554" s="4">
        <v>157022</v>
      </c>
      <c r="S554" s="4">
        <f>Table1[[#This Row],[Service_Revenue]]-Table1[[#This Row],[Service_Cost]]</f>
        <v>113116</v>
      </c>
      <c r="T554" s="4">
        <v>4</v>
      </c>
      <c r="U554" s="4">
        <f>IF(AND(Table1[[#This Row],[Rework_Flag]]="Yes",Table1[[#This Row],[Warranty_Claim]]="No"),Table1[[#This Row],[Service_Revenue]],0)</f>
        <v>0</v>
      </c>
      <c r="V554" s="4">
        <f>IF(Table1[[#This Row],[Warranty_Claim]]="Yes",1,0)</f>
        <v>0</v>
      </c>
      <c r="W554" s="4">
        <f>IF(Table1[[#This Row],[Rework_Flag]]="No",1,0)</f>
        <v>1</v>
      </c>
      <c r="X554" s="4">
        <f>IF(Table1[[#This Row],[Rework_Flag]]="Yes",1,0)</f>
        <v>0</v>
      </c>
      <c r="Y554" s="4">
        <v>1</v>
      </c>
      <c r="Z554" s="4" t="str">
        <f>IF(Table1[[#This Row],[TAT_Days]]&gt;Table1[[#This Row],[SLA_TAT]],"Yes","No")</f>
        <v>No</v>
      </c>
      <c r="AA554" s="4" t="str" cm="1">
        <f t="array" ref="AA554">_xlfn.IFS(Table1[[#This Row],[Customer_Satisfaction]]&lt;=2,"Poor",Table1[[#This Row],[Customer_Satisfaction]]=3,"Neutral",Table1[[#This Row],[Customer_Satisfaction]]=4,"Good",Table1[[#This Row],[Customer_Satisfaction]]=5,"Good")</f>
        <v>Good</v>
      </c>
    </row>
    <row r="555" spans="1:27" x14ac:dyDescent="0.35">
      <c r="A555">
        <v>20553</v>
      </c>
      <c r="B555" s="1">
        <v>45447</v>
      </c>
      <c r="C555" t="s">
        <v>50</v>
      </c>
      <c r="D555" t="s">
        <v>80</v>
      </c>
      <c r="E555" t="s">
        <v>121</v>
      </c>
      <c r="F555" t="s">
        <v>53</v>
      </c>
      <c r="G555" t="s">
        <v>23</v>
      </c>
      <c r="H555" t="s">
        <v>24</v>
      </c>
      <c r="I555" t="s">
        <v>55</v>
      </c>
      <c r="J555" t="s">
        <v>58</v>
      </c>
      <c r="K555" t="s">
        <v>61</v>
      </c>
      <c r="L555" t="s">
        <v>49</v>
      </c>
      <c r="M555" s="4">
        <v>3</v>
      </c>
      <c r="N555" s="4">
        <v>7</v>
      </c>
      <c r="O555" t="s">
        <v>29</v>
      </c>
      <c r="P555" t="s">
        <v>36</v>
      </c>
      <c r="Q555" s="4">
        <v>313669</v>
      </c>
      <c r="R555" s="4">
        <v>157472</v>
      </c>
      <c r="S555" s="4">
        <f>Table1[[#This Row],[Service_Revenue]]-Table1[[#This Row],[Service_Cost]]</f>
        <v>156197</v>
      </c>
      <c r="T555" s="4">
        <v>4</v>
      </c>
      <c r="U555" s="4">
        <f>IF(AND(Table1[[#This Row],[Rework_Flag]]="Yes",Table1[[#This Row],[Warranty_Claim]]="No"),Table1[[#This Row],[Service_Revenue]],0)</f>
        <v>313669</v>
      </c>
      <c r="V555" s="4">
        <f>IF(Table1[[#This Row],[Warranty_Claim]]="Yes",1,0)</f>
        <v>0</v>
      </c>
      <c r="W555" s="4">
        <f>IF(Table1[[#This Row],[Rework_Flag]]="No",1,0)</f>
        <v>0</v>
      </c>
      <c r="X555" s="4">
        <f>IF(Table1[[#This Row],[Rework_Flag]]="Yes",1,0)</f>
        <v>1</v>
      </c>
      <c r="Y555" s="4">
        <v>1</v>
      </c>
      <c r="Z555" s="4" t="str">
        <f>IF(Table1[[#This Row],[TAT_Days]]&gt;Table1[[#This Row],[SLA_TAT]],"Yes","No")</f>
        <v>No</v>
      </c>
      <c r="AA555" s="4" t="str" cm="1">
        <f t="array" ref="AA555">_xlfn.IFS(Table1[[#This Row],[Customer_Satisfaction]]&lt;=2,"Poor",Table1[[#This Row],[Customer_Satisfaction]]=3,"Neutral",Table1[[#This Row],[Customer_Satisfaction]]=4,"Good",Table1[[#This Row],[Customer_Satisfaction]]=5,"Good")</f>
        <v>Good</v>
      </c>
    </row>
    <row r="556" spans="1:27" x14ac:dyDescent="0.35">
      <c r="A556">
        <v>20554</v>
      </c>
      <c r="B556" s="1">
        <v>45382</v>
      </c>
      <c r="C556" t="s">
        <v>50</v>
      </c>
      <c r="D556" t="s">
        <v>80</v>
      </c>
      <c r="E556" t="s">
        <v>121</v>
      </c>
      <c r="F556" t="s">
        <v>53</v>
      </c>
      <c r="G556" t="s">
        <v>33</v>
      </c>
      <c r="H556" t="s">
        <v>34</v>
      </c>
      <c r="I556" t="s">
        <v>55</v>
      </c>
      <c r="J556" t="s">
        <v>43</v>
      </c>
      <c r="K556" t="s">
        <v>61</v>
      </c>
      <c r="L556" t="s">
        <v>49</v>
      </c>
      <c r="M556" s="4">
        <v>2</v>
      </c>
      <c r="N556" s="4">
        <v>7</v>
      </c>
      <c r="O556" t="s">
        <v>29</v>
      </c>
      <c r="P556" t="s">
        <v>36</v>
      </c>
      <c r="Q556" s="4">
        <v>477427</v>
      </c>
      <c r="R556" s="4">
        <v>252098</v>
      </c>
      <c r="S556" s="4">
        <f>Table1[[#This Row],[Service_Revenue]]-Table1[[#This Row],[Service_Cost]]</f>
        <v>225329</v>
      </c>
      <c r="T556" s="4">
        <v>4</v>
      </c>
      <c r="U556" s="4">
        <f>IF(AND(Table1[[#This Row],[Rework_Flag]]="Yes",Table1[[#This Row],[Warranty_Claim]]="No"),Table1[[#This Row],[Service_Revenue]],0)</f>
        <v>477427</v>
      </c>
      <c r="V556" s="4">
        <f>IF(Table1[[#This Row],[Warranty_Claim]]="Yes",1,0)</f>
        <v>0</v>
      </c>
      <c r="W556" s="4">
        <f>IF(Table1[[#This Row],[Rework_Flag]]="No",1,0)</f>
        <v>0</v>
      </c>
      <c r="X556" s="4">
        <f>IF(Table1[[#This Row],[Rework_Flag]]="Yes",1,0)</f>
        <v>1</v>
      </c>
      <c r="Y556" s="4">
        <v>1</v>
      </c>
      <c r="Z556" s="4" t="str">
        <f>IF(Table1[[#This Row],[TAT_Days]]&gt;Table1[[#This Row],[SLA_TAT]],"Yes","No")</f>
        <v>No</v>
      </c>
      <c r="AA556" s="4" t="str" cm="1">
        <f t="array" ref="AA556">_xlfn.IFS(Table1[[#This Row],[Customer_Satisfaction]]&lt;=2,"Poor",Table1[[#This Row],[Customer_Satisfaction]]=3,"Neutral",Table1[[#This Row],[Customer_Satisfaction]]=4,"Good",Table1[[#This Row],[Customer_Satisfaction]]=5,"Good")</f>
        <v>Good</v>
      </c>
    </row>
    <row r="557" spans="1:27" x14ac:dyDescent="0.35">
      <c r="A557">
        <v>20555</v>
      </c>
      <c r="B557" s="1">
        <v>45368</v>
      </c>
      <c r="C557" t="s">
        <v>19</v>
      </c>
      <c r="D557" t="s">
        <v>20</v>
      </c>
      <c r="E557" t="s">
        <v>21</v>
      </c>
      <c r="F557" t="s">
        <v>53</v>
      </c>
      <c r="G557" t="s">
        <v>23</v>
      </c>
      <c r="H557" t="s">
        <v>24</v>
      </c>
      <c r="I557" t="s">
        <v>55</v>
      </c>
      <c r="J557" t="s">
        <v>35</v>
      </c>
      <c r="K557" t="s">
        <v>44</v>
      </c>
      <c r="L557" t="s">
        <v>49</v>
      </c>
      <c r="M557" s="4">
        <v>23</v>
      </c>
      <c r="N557" s="4">
        <v>7</v>
      </c>
      <c r="O557" t="s">
        <v>29</v>
      </c>
      <c r="P557" t="s">
        <v>29</v>
      </c>
      <c r="Q557" s="4">
        <v>166255</v>
      </c>
      <c r="R557" s="4">
        <v>127190</v>
      </c>
      <c r="S557" s="4">
        <f>Table1[[#This Row],[Service_Revenue]]-Table1[[#This Row],[Service_Cost]]</f>
        <v>39065</v>
      </c>
      <c r="T557" s="4">
        <v>1</v>
      </c>
      <c r="U557" s="4">
        <f>IF(AND(Table1[[#This Row],[Rework_Flag]]="Yes",Table1[[#This Row],[Warranty_Claim]]="No"),Table1[[#This Row],[Service_Revenue]],0)</f>
        <v>0</v>
      </c>
      <c r="V557" s="4">
        <f>IF(Table1[[#This Row],[Warranty_Claim]]="Yes",1,0)</f>
        <v>1</v>
      </c>
      <c r="W557" s="4">
        <f>IF(Table1[[#This Row],[Rework_Flag]]="No",1,0)</f>
        <v>0</v>
      </c>
      <c r="X557" s="4">
        <f>IF(Table1[[#This Row],[Rework_Flag]]="Yes",1,0)</f>
        <v>1</v>
      </c>
      <c r="Y557" s="4">
        <v>1</v>
      </c>
      <c r="Z557" s="4" t="str">
        <f>IF(Table1[[#This Row],[TAT_Days]]&gt;Table1[[#This Row],[SLA_TAT]],"Yes","No")</f>
        <v>Yes</v>
      </c>
      <c r="AA557" s="4" t="str" cm="1">
        <f t="array" ref="AA557">_xlfn.IFS(Table1[[#This Row],[Customer_Satisfaction]]&lt;=2,"Poor",Table1[[#This Row],[Customer_Satisfaction]]=3,"Neutral",Table1[[#This Row],[Customer_Satisfaction]]=4,"Good",Table1[[#This Row],[Customer_Satisfaction]]=5,"Good")</f>
        <v>Poor</v>
      </c>
    </row>
    <row r="558" spans="1:27" x14ac:dyDescent="0.35">
      <c r="A558">
        <v>20556</v>
      </c>
      <c r="B558" s="1">
        <v>45459</v>
      </c>
      <c r="C558" t="s">
        <v>30</v>
      </c>
      <c r="D558" t="s">
        <v>59</v>
      </c>
      <c r="E558" t="s">
        <v>66</v>
      </c>
      <c r="F558" t="s">
        <v>40</v>
      </c>
      <c r="G558" t="s">
        <v>74</v>
      </c>
      <c r="H558" t="s">
        <v>34</v>
      </c>
      <c r="I558" t="s">
        <v>55</v>
      </c>
      <c r="J558" t="s">
        <v>43</v>
      </c>
      <c r="K558" t="s">
        <v>61</v>
      </c>
      <c r="L558" t="s">
        <v>28</v>
      </c>
      <c r="M558" s="4">
        <v>8</v>
      </c>
      <c r="N558" s="4">
        <v>7</v>
      </c>
      <c r="O558" t="s">
        <v>29</v>
      </c>
      <c r="P558" t="s">
        <v>29</v>
      </c>
      <c r="Q558" s="4">
        <v>554852</v>
      </c>
      <c r="R558" s="4">
        <v>383889</v>
      </c>
      <c r="S558" s="4">
        <f>Table1[[#This Row],[Service_Revenue]]-Table1[[#This Row],[Service_Cost]]</f>
        <v>170963</v>
      </c>
      <c r="T558" s="4">
        <v>3</v>
      </c>
      <c r="U558" s="4">
        <f>IF(AND(Table1[[#This Row],[Rework_Flag]]="Yes",Table1[[#This Row],[Warranty_Claim]]="No"),Table1[[#This Row],[Service_Revenue]],0)</f>
        <v>0</v>
      </c>
      <c r="V558" s="4">
        <f>IF(Table1[[#This Row],[Warranty_Claim]]="Yes",1,0)</f>
        <v>1</v>
      </c>
      <c r="W558" s="4">
        <f>IF(Table1[[#This Row],[Rework_Flag]]="No",1,0)</f>
        <v>0</v>
      </c>
      <c r="X558" s="4">
        <f>IF(Table1[[#This Row],[Rework_Flag]]="Yes",1,0)</f>
        <v>1</v>
      </c>
      <c r="Y558" s="4">
        <v>1</v>
      </c>
      <c r="Z558" s="4" t="str">
        <f>IF(Table1[[#This Row],[TAT_Days]]&gt;Table1[[#This Row],[SLA_TAT]],"Yes","No")</f>
        <v>Yes</v>
      </c>
      <c r="AA558" s="4" t="str" cm="1">
        <f t="array" ref="AA558">_xlfn.IFS(Table1[[#This Row],[Customer_Satisfaction]]&lt;=2,"Poor",Table1[[#This Row],[Customer_Satisfaction]]=3,"Neutral",Table1[[#This Row],[Customer_Satisfaction]]=4,"Good",Table1[[#This Row],[Customer_Satisfaction]]=5,"Good")</f>
        <v>Neutral</v>
      </c>
    </row>
    <row r="559" spans="1:27" x14ac:dyDescent="0.35">
      <c r="A559">
        <v>20557</v>
      </c>
      <c r="B559" s="1">
        <v>45428</v>
      </c>
      <c r="C559" t="s">
        <v>30</v>
      </c>
      <c r="D559" t="s">
        <v>31</v>
      </c>
      <c r="E559" t="s">
        <v>106</v>
      </c>
      <c r="F559" t="s">
        <v>40</v>
      </c>
      <c r="G559" t="s">
        <v>33</v>
      </c>
      <c r="H559" t="s">
        <v>34</v>
      </c>
      <c r="I559" t="s">
        <v>25</v>
      </c>
      <c r="J559" t="s">
        <v>26</v>
      </c>
      <c r="K559" t="s">
        <v>61</v>
      </c>
      <c r="L559" t="s">
        <v>28</v>
      </c>
      <c r="M559" s="4">
        <v>21</v>
      </c>
      <c r="N559" s="4">
        <v>7</v>
      </c>
      <c r="O559" t="s">
        <v>36</v>
      </c>
      <c r="P559" t="s">
        <v>36</v>
      </c>
      <c r="Q559" s="4">
        <v>223121</v>
      </c>
      <c r="R559" s="4">
        <v>182348</v>
      </c>
      <c r="S559" s="4">
        <f>Table1[[#This Row],[Service_Revenue]]-Table1[[#This Row],[Service_Cost]]</f>
        <v>40773</v>
      </c>
      <c r="T559" s="4">
        <v>1</v>
      </c>
      <c r="U559" s="4">
        <f>IF(AND(Table1[[#This Row],[Rework_Flag]]="Yes",Table1[[#This Row],[Warranty_Claim]]="No"),Table1[[#This Row],[Service_Revenue]],0)</f>
        <v>0</v>
      </c>
      <c r="V559" s="4">
        <f>IF(Table1[[#This Row],[Warranty_Claim]]="Yes",1,0)</f>
        <v>0</v>
      </c>
      <c r="W559" s="4">
        <f>IF(Table1[[#This Row],[Rework_Flag]]="No",1,0)</f>
        <v>1</v>
      </c>
      <c r="X559" s="4">
        <f>IF(Table1[[#This Row],[Rework_Flag]]="Yes",1,0)</f>
        <v>0</v>
      </c>
      <c r="Y559" s="4">
        <v>1</v>
      </c>
      <c r="Z559" s="4" t="str">
        <f>IF(Table1[[#This Row],[TAT_Days]]&gt;Table1[[#This Row],[SLA_TAT]],"Yes","No")</f>
        <v>Yes</v>
      </c>
      <c r="AA559" s="4" t="str" cm="1">
        <f t="array" ref="AA559">_xlfn.IFS(Table1[[#This Row],[Customer_Satisfaction]]&lt;=2,"Poor",Table1[[#This Row],[Customer_Satisfaction]]=3,"Neutral",Table1[[#This Row],[Customer_Satisfaction]]=4,"Good",Table1[[#This Row],[Customer_Satisfaction]]=5,"Good")</f>
        <v>Poor</v>
      </c>
    </row>
    <row r="560" spans="1:27" x14ac:dyDescent="0.35">
      <c r="A560">
        <v>20558</v>
      </c>
      <c r="B560" s="1">
        <v>45391</v>
      </c>
      <c r="C560" t="s">
        <v>50</v>
      </c>
      <c r="D560" t="s">
        <v>80</v>
      </c>
      <c r="E560" t="s">
        <v>121</v>
      </c>
      <c r="F560" t="s">
        <v>53</v>
      </c>
      <c r="G560" t="s">
        <v>41</v>
      </c>
      <c r="H560" t="s">
        <v>42</v>
      </c>
      <c r="I560" t="s">
        <v>25</v>
      </c>
      <c r="J560" t="s">
        <v>43</v>
      </c>
      <c r="K560" t="s">
        <v>61</v>
      </c>
      <c r="L560" t="s">
        <v>49</v>
      </c>
      <c r="M560" s="4">
        <v>19</v>
      </c>
      <c r="N560" s="4">
        <v>7</v>
      </c>
      <c r="O560" t="s">
        <v>36</v>
      </c>
      <c r="P560" t="s">
        <v>29</v>
      </c>
      <c r="Q560" s="4">
        <v>379433</v>
      </c>
      <c r="R560" s="4">
        <v>259411</v>
      </c>
      <c r="S560" s="4">
        <f>Table1[[#This Row],[Service_Revenue]]-Table1[[#This Row],[Service_Cost]]</f>
        <v>120022</v>
      </c>
      <c r="T560" s="4">
        <v>2</v>
      </c>
      <c r="U560" s="4">
        <f>IF(AND(Table1[[#This Row],[Rework_Flag]]="Yes",Table1[[#This Row],[Warranty_Claim]]="No"),Table1[[#This Row],[Service_Revenue]],0)</f>
        <v>0</v>
      </c>
      <c r="V560" s="4">
        <f>IF(Table1[[#This Row],[Warranty_Claim]]="Yes",1,0)</f>
        <v>1</v>
      </c>
      <c r="W560" s="4">
        <f>IF(Table1[[#This Row],[Rework_Flag]]="No",1,0)</f>
        <v>1</v>
      </c>
      <c r="X560" s="4">
        <f>IF(Table1[[#This Row],[Rework_Flag]]="Yes",1,0)</f>
        <v>0</v>
      </c>
      <c r="Y560" s="4">
        <v>1</v>
      </c>
      <c r="Z560" s="4" t="str">
        <f>IF(Table1[[#This Row],[TAT_Days]]&gt;Table1[[#This Row],[SLA_TAT]],"Yes","No")</f>
        <v>Yes</v>
      </c>
      <c r="AA560" s="4" t="str" cm="1">
        <f t="array" ref="AA560">_xlfn.IFS(Table1[[#This Row],[Customer_Satisfaction]]&lt;=2,"Poor",Table1[[#This Row],[Customer_Satisfaction]]=3,"Neutral",Table1[[#This Row],[Customer_Satisfaction]]=4,"Good",Table1[[#This Row],[Customer_Satisfaction]]=5,"Good")</f>
        <v>Poor</v>
      </c>
    </row>
    <row r="561" spans="1:27" x14ac:dyDescent="0.35">
      <c r="A561">
        <v>20559</v>
      </c>
      <c r="B561" s="1">
        <v>45391</v>
      </c>
      <c r="C561" t="s">
        <v>19</v>
      </c>
      <c r="D561" t="s">
        <v>96</v>
      </c>
      <c r="E561" t="s">
        <v>98</v>
      </c>
      <c r="F561" t="s">
        <v>22</v>
      </c>
      <c r="G561" t="s">
        <v>41</v>
      </c>
      <c r="H561" t="s">
        <v>42</v>
      </c>
      <c r="I561" t="s">
        <v>55</v>
      </c>
      <c r="J561" t="s">
        <v>67</v>
      </c>
      <c r="K561" t="s">
        <v>61</v>
      </c>
      <c r="L561" t="s">
        <v>49</v>
      </c>
      <c r="M561" s="4">
        <v>11</v>
      </c>
      <c r="N561" s="4">
        <v>7</v>
      </c>
      <c r="O561" t="s">
        <v>36</v>
      </c>
      <c r="P561" t="s">
        <v>36</v>
      </c>
      <c r="Q561" s="4">
        <v>198158</v>
      </c>
      <c r="R561" s="4">
        <v>126137</v>
      </c>
      <c r="S561" s="4">
        <f>Table1[[#This Row],[Service_Revenue]]-Table1[[#This Row],[Service_Cost]]</f>
        <v>72021</v>
      </c>
      <c r="T561" s="4">
        <v>3</v>
      </c>
      <c r="U561" s="4">
        <f>IF(AND(Table1[[#This Row],[Rework_Flag]]="Yes",Table1[[#This Row],[Warranty_Claim]]="No"),Table1[[#This Row],[Service_Revenue]],0)</f>
        <v>0</v>
      </c>
      <c r="V561" s="4">
        <f>IF(Table1[[#This Row],[Warranty_Claim]]="Yes",1,0)</f>
        <v>0</v>
      </c>
      <c r="W561" s="4">
        <f>IF(Table1[[#This Row],[Rework_Flag]]="No",1,0)</f>
        <v>1</v>
      </c>
      <c r="X561" s="4">
        <f>IF(Table1[[#This Row],[Rework_Flag]]="Yes",1,0)</f>
        <v>0</v>
      </c>
      <c r="Y561" s="4">
        <v>1</v>
      </c>
      <c r="Z561" s="4" t="str">
        <f>IF(Table1[[#This Row],[TAT_Days]]&gt;Table1[[#This Row],[SLA_TAT]],"Yes","No")</f>
        <v>Yes</v>
      </c>
      <c r="AA561" s="4" t="str" cm="1">
        <f t="array" ref="AA561">_xlfn.IFS(Table1[[#This Row],[Customer_Satisfaction]]&lt;=2,"Poor",Table1[[#This Row],[Customer_Satisfaction]]=3,"Neutral",Table1[[#This Row],[Customer_Satisfaction]]=4,"Good",Table1[[#This Row],[Customer_Satisfaction]]=5,"Good")</f>
        <v>Neutral</v>
      </c>
    </row>
    <row r="562" spans="1:27" x14ac:dyDescent="0.35">
      <c r="A562">
        <v>20560</v>
      </c>
      <c r="B562" s="1">
        <v>45319</v>
      </c>
      <c r="C562" t="s">
        <v>30</v>
      </c>
      <c r="D562" t="s">
        <v>59</v>
      </c>
      <c r="E562" t="s">
        <v>78</v>
      </c>
      <c r="F562" t="s">
        <v>53</v>
      </c>
      <c r="G562" t="s">
        <v>47</v>
      </c>
      <c r="H562" t="s">
        <v>48</v>
      </c>
      <c r="I562" t="s">
        <v>25</v>
      </c>
      <c r="J562" t="s">
        <v>26</v>
      </c>
      <c r="K562" t="s">
        <v>61</v>
      </c>
      <c r="L562" t="s">
        <v>28</v>
      </c>
      <c r="M562" s="4">
        <v>21</v>
      </c>
      <c r="N562" s="4">
        <v>7</v>
      </c>
      <c r="O562" t="s">
        <v>29</v>
      </c>
      <c r="P562" t="s">
        <v>36</v>
      </c>
      <c r="Q562" s="4">
        <v>596542</v>
      </c>
      <c r="R562" s="4">
        <v>312440</v>
      </c>
      <c r="S562" s="4">
        <f>Table1[[#This Row],[Service_Revenue]]-Table1[[#This Row],[Service_Cost]]</f>
        <v>284102</v>
      </c>
      <c r="T562" s="4">
        <v>1</v>
      </c>
      <c r="U562" s="4">
        <f>IF(AND(Table1[[#This Row],[Rework_Flag]]="Yes",Table1[[#This Row],[Warranty_Claim]]="No"),Table1[[#This Row],[Service_Revenue]],0)</f>
        <v>596542</v>
      </c>
      <c r="V562" s="4">
        <f>IF(Table1[[#This Row],[Warranty_Claim]]="Yes",1,0)</f>
        <v>0</v>
      </c>
      <c r="W562" s="4">
        <f>IF(Table1[[#This Row],[Rework_Flag]]="No",1,0)</f>
        <v>0</v>
      </c>
      <c r="X562" s="4">
        <f>IF(Table1[[#This Row],[Rework_Flag]]="Yes",1,0)</f>
        <v>1</v>
      </c>
      <c r="Y562" s="4">
        <v>1</v>
      </c>
      <c r="Z562" s="4" t="str">
        <f>IF(Table1[[#This Row],[TAT_Days]]&gt;Table1[[#This Row],[SLA_TAT]],"Yes","No")</f>
        <v>Yes</v>
      </c>
      <c r="AA562" s="4" t="str" cm="1">
        <f t="array" ref="AA562">_xlfn.IFS(Table1[[#This Row],[Customer_Satisfaction]]&lt;=2,"Poor",Table1[[#This Row],[Customer_Satisfaction]]=3,"Neutral",Table1[[#This Row],[Customer_Satisfaction]]=4,"Good",Table1[[#This Row],[Customer_Satisfaction]]=5,"Good")</f>
        <v>Poor</v>
      </c>
    </row>
    <row r="563" spans="1:27" x14ac:dyDescent="0.35">
      <c r="A563">
        <v>20561</v>
      </c>
      <c r="B563" s="1">
        <v>45460</v>
      </c>
      <c r="C563" t="s">
        <v>50</v>
      </c>
      <c r="D563" t="s">
        <v>56</v>
      </c>
      <c r="E563" t="s">
        <v>68</v>
      </c>
      <c r="F563" t="s">
        <v>40</v>
      </c>
      <c r="G563" t="s">
        <v>63</v>
      </c>
      <c r="H563" t="s">
        <v>24</v>
      </c>
      <c r="I563" t="s">
        <v>25</v>
      </c>
      <c r="J563" t="s">
        <v>43</v>
      </c>
      <c r="K563" t="s">
        <v>44</v>
      </c>
      <c r="L563" t="s">
        <v>49</v>
      </c>
      <c r="M563" s="4">
        <v>7</v>
      </c>
      <c r="N563" s="4">
        <v>7</v>
      </c>
      <c r="O563" t="s">
        <v>29</v>
      </c>
      <c r="P563" t="s">
        <v>29</v>
      </c>
      <c r="Q563" s="4">
        <v>370769</v>
      </c>
      <c r="R563" s="4">
        <v>207410</v>
      </c>
      <c r="S563" s="4">
        <f>Table1[[#This Row],[Service_Revenue]]-Table1[[#This Row],[Service_Cost]]</f>
        <v>163359</v>
      </c>
      <c r="T563" s="4">
        <v>3</v>
      </c>
      <c r="U563" s="4">
        <f>IF(AND(Table1[[#This Row],[Rework_Flag]]="Yes",Table1[[#This Row],[Warranty_Claim]]="No"),Table1[[#This Row],[Service_Revenue]],0)</f>
        <v>0</v>
      </c>
      <c r="V563" s="4">
        <f>IF(Table1[[#This Row],[Warranty_Claim]]="Yes",1,0)</f>
        <v>1</v>
      </c>
      <c r="W563" s="4">
        <f>IF(Table1[[#This Row],[Rework_Flag]]="No",1,0)</f>
        <v>0</v>
      </c>
      <c r="X563" s="4">
        <f>IF(Table1[[#This Row],[Rework_Flag]]="Yes",1,0)</f>
        <v>1</v>
      </c>
      <c r="Y563" s="4">
        <v>1</v>
      </c>
      <c r="Z563" s="4" t="str">
        <f>IF(Table1[[#This Row],[TAT_Days]]&gt;Table1[[#This Row],[SLA_TAT]],"Yes","No")</f>
        <v>No</v>
      </c>
      <c r="AA563" s="4" t="str" cm="1">
        <f t="array" ref="AA563">_xlfn.IFS(Table1[[#This Row],[Customer_Satisfaction]]&lt;=2,"Poor",Table1[[#This Row],[Customer_Satisfaction]]=3,"Neutral",Table1[[#This Row],[Customer_Satisfaction]]=4,"Good",Table1[[#This Row],[Customer_Satisfaction]]=5,"Good")</f>
        <v>Neutral</v>
      </c>
    </row>
    <row r="564" spans="1:27" x14ac:dyDescent="0.35">
      <c r="A564">
        <v>20562</v>
      </c>
      <c r="B564" s="1">
        <v>45296</v>
      </c>
      <c r="C564" t="s">
        <v>50</v>
      </c>
      <c r="D564" t="s">
        <v>80</v>
      </c>
      <c r="E564" t="s">
        <v>121</v>
      </c>
      <c r="F564" t="s">
        <v>40</v>
      </c>
      <c r="G564" t="s">
        <v>41</v>
      </c>
      <c r="H564" t="s">
        <v>42</v>
      </c>
      <c r="I564" t="s">
        <v>55</v>
      </c>
      <c r="J564" t="s">
        <v>43</v>
      </c>
      <c r="K564" t="s">
        <v>44</v>
      </c>
      <c r="L564" t="s">
        <v>49</v>
      </c>
      <c r="M564" s="4">
        <v>25</v>
      </c>
      <c r="N564" s="4">
        <v>7</v>
      </c>
      <c r="O564" t="s">
        <v>36</v>
      </c>
      <c r="P564" t="s">
        <v>36</v>
      </c>
      <c r="Q564" s="4">
        <v>372740</v>
      </c>
      <c r="R564" s="4">
        <v>311265</v>
      </c>
      <c r="S564" s="4">
        <f>Table1[[#This Row],[Service_Revenue]]-Table1[[#This Row],[Service_Cost]]</f>
        <v>61475</v>
      </c>
      <c r="T564" s="4">
        <v>1</v>
      </c>
      <c r="U564" s="4">
        <f>IF(AND(Table1[[#This Row],[Rework_Flag]]="Yes",Table1[[#This Row],[Warranty_Claim]]="No"),Table1[[#This Row],[Service_Revenue]],0)</f>
        <v>0</v>
      </c>
      <c r="V564" s="4">
        <f>IF(Table1[[#This Row],[Warranty_Claim]]="Yes",1,0)</f>
        <v>0</v>
      </c>
      <c r="W564" s="4">
        <f>IF(Table1[[#This Row],[Rework_Flag]]="No",1,0)</f>
        <v>1</v>
      </c>
      <c r="X564" s="4">
        <f>IF(Table1[[#This Row],[Rework_Flag]]="Yes",1,0)</f>
        <v>0</v>
      </c>
      <c r="Y564" s="4">
        <v>1</v>
      </c>
      <c r="Z564" s="4" t="str">
        <f>IF(Table1[[#This Row],[TAT_Days]]&gt;Table1[[#This Row],[SLA_TAT]],"Yes","No")</f>
        <v>Yes</v>
      </c>
      <c r="AA564" s="4" t="str" cm="1">
        <f t="array" ref="AA564">_xlfn.IFS(Table1[[#This Row],[Customer_Satisfaction]]&lt;=2,"Poor",Table1[[#This Row],[Customer_Satisfaction]]=3,"Neutral",Table1[[#This Row],[Customer_Satisfaction]]=4,"Good",Table1[[#This Row],[Customer_Satisfaction]]=5,"Good")</f>
        <v>Poor</v>
      </c>
    </row>
    <row r="565" spans="1:27" x14ac:dyDescent="0.35">
      <c r="A565">
        <v>20563</v>
      </c>
      <c r="B565" s="1">
        <v>45333</v>
      </c>
      <c r="C565" t="s">
        <v>37</v>
      </c>
      <c r="D565" t="s">
        <v>64</v>
      </c>
      <c r="E565" t="s">
        <v>65</v>
      </c>
      <c r="F565" t="s">
        <v>40</v>
      </c>
      <c r="G565" t="s">
        <v>74</v>
      </c>
      <c r="H565" t="s">
        <v>34</v>
      </c>
      <c r="I565" t="s">
        <v>55</v>
      </c>
      <c r="J565" t="s">
        <v>67</v>
      </c>
      <c r="K565" t="s">
        <v>27</v>
      </c>
      <c r="L565" t="s">
        <v>49</v>
      </c>
      <c r="M565" s="4">
        <v>22</v>
      </c>
      <c r="N565" s="4">
        <v>7</v>
      </c>
      <c r="O565" t="s">
        <v>29</v>
      </c>
      <c r="P565" t="s">
        <v>36</v>
      </c>
      <c r="Q565" s="4">
        <v>91497</v>
      </c>
      <c r="R565" s="4">
        <v>62635</v>
      </c>
      <c r="S565" s="4">
        <f>Table1[[#This Row],[Service_Revenue]]-Table1[[#This Row],[Service_Cost]]</f>
        <v>28862</v>
      </c>
      <c r="T565" s="4">
        <v>1</v>
      </c>
      <c r="U565" s="4">
        <f>IF(AND(Table1[[#This Row],[Rework_Flag]]="Yes",Table1[[#This Row],[Warranty_Claim]]="No"),Table1[[#This Row],[Service_Revenue]],0)</f>
        <v>91497</v>
      </c>
      <c r="V565" s="4">
        <f>IF(Table1[[#This Row],[Warranty_Claim]]="Yes",1,0)</f>
        <v>0</v>
      </c>
      <c r="W565" s="4">
        <f>IF(Table1[[#This Row],[Rework_Flag]]="No",1,0)</f>
        <v>0</v>
      </c>
      <c r="X565" s="4">
        <f>IF(Table1[[#This Row],[Rework_Flag]]="Yes",1,0)</f>
        <v>1</v>
      </c>
      <c r="Y565" s="4">
        <v>1</v>
      </c>
      <c r="Z565" s="4" t="str">
        <f>IF(Table1[[#This Row],[TAT_Days]]&gt;Table1[[#This Row],[SLA_TAT]],"Yes","No")</f>
        <v>Yes</v>
      </c>
      <c r="AA565" s="4" t="str" cm="1">
        <f t="array" ref="AA565">_xlfn.IFS(Table1[[#This Row],[Customer_Satisfaction]]&lt;=2,"Poor",Table1[[#This Row],[Customer_Satisfaction]]=3,"Neutral",Table1[[#This Row],[Customer_Satisfaction]]=4,"Good",Table1[[#This Row],[Customer_Satisfaction]]=5,"Good")</f>
        <v>Poor</v>
      </c>
    </row>
    <row r="566" spans="1:27" x14ac:dyDescent="0.35">
      <c r="A566">
        <v>20564</v>
      </c>
      <c r="B566" s="1">
        <v>45372</v>
      </c>
      <c r="C566" t="s">
        <v>50</v>
      </c>
      <c r="D566" t="s">
        <v>80</v>
      </c>
      <c r="E566" t="s">
        <v>81</v>
      </c>
      <c r="F566" t="s">
        <v>40</v>
      </c>
      <c r="G566" t="s">
        <v>74</v>
      </c>
      <c r="H566" t="s">
        <v>34</v>
      </c>
      <c r="I566" t="s">
        <v>55</v>
      </c>
      <c r="J566" t="s">
        <v>26</v>
      </c>
      <c r="K566" t="s">
        <v>27</v>
      </c>
      <c r="L566" t="s">
        <v>28</v>
      </c>
      <c r="M566" s="4">
        <v>10</v>
      </c>
      <c r="N566" s="4">
        <v>7</v>
      </c>
      <c r="O566" t="s">
        <v>29</v>
      </c>
      <c r="P566" t="s">
        <v>29</v>
      </c>
      <c r="Q566" s="4">
        <v>423691</v>
      </c>
      <c r="R566" s="4">
        <v>335174</v>
      </c>
      <c r="S566" s="4">
        <f>Table1[[#This Row],[Service_Revenue]]-Table1[[#This Row],[Service_Cost]]</f>
        <v>88517</v>
      </c>
      <c r="T566" s="4">
        <v>2</v>
      </c>
      <c r="U566" s="4">
        <f>IF(AND(Table1[[#This Row],[Rework_Flag]]="Yes",Table1[[#This Row],[Warranty_Claim]]="No"),Table1[[#This Row],[Service_Revenue]],0)</f>
        <v>0</v>
      </c>
      <c r="V566" s="4">
        <f>IF(Table1[[#This Row],[Warranty_Claim]]="Yes",1,0)</f>
        <v>1</v>
      </c>
      <c r="W566" s="4">
        <f>IF(Table1[[#This Row],[Rework_Flag]]="No",1,0)</f>
        <v>0</v>
      </c>
      <c r="X566" s="4">
        <f>IF(Table1[[#This Row],[Rework_Flag]]="Yes",1,0)</f>
        <v>1</v>
      </c>
      <c r="Y566" s="4">
        <v>1</v>
      </c>
      <c r="Z566" s="4" t="str">
        <f>IF(Table1[[#This Row],[TAT_Days]]&gt;Table1[[#This Row],[SLA_TAT]],"Yes","No")</f>
        <v>Yes</v>
      </c>
      <c r="AA566" s="4" t="str" cm="1">
        <f t="array" ref="AA566">_xlfn.IFS(Table1[[#This Row],[Customer_Satisfaction]]&lt;=2,"Poor",Table1[[#This Row],[Customer_Satisfaction]]=3,"Neutral",Table1[[#This Row],[Customer_Satisfaction]]=4,"Good",Table1[[#This Row],[Customer_Satisfaction]]=5,"Good")</f>
        <v>Poor</v>
      </c>
    </row>
    <row r="567" spans="1:27" x14ac:dyDescent="0.35">
      <c r="A567">
        <v>20565</v>
      </c>
      <c r="B567" s="1">
        <v>45449</v>
      </c>
      <c r="C567" t="s">
        <v>30</v>
      </c>
      <c r="D567" t="s">
        <v>83</v>
      </c>
      <c r="E567" t="s">
        <v>92</v>
      </c>
      <c r="F567" t="s">
        <v>22</v>
      </c>
      <c r="G567" t="s">
        <v>33</v>
      </c>
      <c r="H567" t="s">
        <v>34</v>
      </c>
      <c r="I567" t="s">
        <v>55</v>
      </c>
      <c r="J567" t="s">
        <v>58</v>
      </c>
      <c r="K567" t="s">
        <v>27</v>
      </c>
      <c r="L567" t="s">
        <v>49</v>
      </c>
      <c r="M567" s="4">
        <v>23</v>
      </c>
      <c r="N567" s="4">
        <v>7</v>
      </c>
      <c r="O567" t="s">
        <v>29</v>
      </c>
      <c r="P567" t="s">
        <v>36</v>
      </c>
      <c r="Q567" s="4">
        <v>558314</v>
      </c>
      <c r="R567" s="4">
        <v>358814</v>
      </c>
      <c r="S567" s="4">
        <f>Table1[[#This Row],[Service_Revenue]]-Table1[[#This Row],[Service_Cost]]</f>
        <v>199500</v>
      </c>
      <c r="T567" s="4">
        <v>1</v>
      </c>
      <c r="U567" s="4">
        <f>IF(AND(Table1[[#This Row],[Rework_Flag]]="Yes",Table1[[#This Row],[Warranty_Claim]]="No"),Table1[[#This Row],[Service_Revenue]],0)</f>
        <v>558314</v>
      </c>
      <c r="V567" s="4">
        <f>IF(Table1[[#This Row],[Warranty_Claim]]="Yes",1,0)</f>
        <v>0</v>
      </c>
      <c r="W567" s="4">
        <f>IF(Table1[[#This Row],[Rework_Flag]]="No",1,0)</f>
        <v>0</v>
      </c>
      <c r="X567" s="4">
        <f>IF(Table1[[#This Row],[Rework_Flag]]="Yes",1,0)</f>
        <v>1</v>
      </c>
      <c r="Y567" s="4">
        <v>1</v>
      </c>
      <c r="Z567" s="4" t="str">
        <f>IF(Table1[[#This Row],[TAT_Days]]&gt;Table1[[#This Row],[SLA_TAT]],"Yes","No")</f>
        <v>Yes</v>
      </c>
      <c r="AA567" s="4" t="str" cm="1">
        <f t="array" ref="AA567">_xlfn.IFS(Table1[[#This Row],[Customer_Satisfaction]]&lt;=2,"Poor",Table1[[#This Row],[Customer_Satisfaction]]=3,"Neutral",Table1[[#This Row],[Customer_Satisfaction]]=4,"Good",Table1[[#This Row],[Customer_Satisfaction]]=5,"Good")</f>
        <v>Poor</v>
      </c>
    </row>
    <row r="568" spans="1:27" x14ac:dyDescent="0.35">
      <c r="A568">
        <v>20566</v>
      </c>
      <c r="B568" s="1">
        <v>45325</v>
      </c>
      <c r="C568" t="s">
        <v>19</v>
      </c>
      <c r="D568" t="s">
        <v>20</v>
      </c>
      <c r="E568" t="s">
        <v>110</v>
      </c>
      <c r="F568" t="s">
        <v>40</v>
      </c>
      <c r="G568" t="s">
        <v>47</v>
      </c>
      <c r="H568" t="s">
        <v>48</v>
      </c>
      <c r="I568" t="s">
        <v>55</v>
      </c>
      <c r="J568" t="s">
        <v>26</v>
      </c>
      <c r="K568" t="s">
        <v>27</v>
      </c>
      <c r="L568" t="s">
        <v>28</v>
      </c>
      <c r="M568" s="4">
        <v>6</v>
      </c>
      <c r="N568" s="4">
        <v>7</v>
      </c>
      <c r="O568" t="s">
        <v>36</v>
      </c>
      <c r="P568" t="s">
        <v>29</v>
      </c>
      <c r="Q568" s="4">
        <v>142715</v>
      </c>
      <c r="R568" s="4">
        <v>111065</v>
      </c>
      <c r="S568" s="4">
        <f>Table1[[#This Row],[Service_Revenue]]-Table1[[#This Row],[Service_Cost]]</f>
        <v>31650</v>
      </c>
      <c r="T568" s="4">
        <v>4</v>
      </c>
      <c r="U568" s="4">
        <f>IF(AND(Table1[[#This Row],[Rework_Flag]]="Yes",Table1[[#This Row],[Warranty_Claim]]="No"),Table1[[#This Row],[Service_Revenue]],0)</f>
        <v>0</v>
      </c>
      <c r="V568" s="4">
        <f>IF(Table1[[#This Row],[Warranty_Claim]]="Yes",1,0)</f>
        <v>1</v>
      </c>
      <c r="W568" s="4">
        <f>IF(Table1[[#This Row],[Rework_Flag]]="No",1,0)</f>
        <v>1</v>
      </c>
      <c r="X568" s="4">
        <f>IF(Table1[[#This Row],[Rework_Flag]]="Yes",1,0)</f>
        <v>0</v>
      </c>
      <c r="Y568" s="4">
        <v>1</v>
      </c>
      <c r="Z568" s="4" t="str">
        <f>IF(Table1[[#This Row],[TAT_Days]]&gt;Table1[[#This Row],[SLA_TAT]],"Yes","No")</f>
        <v>No</v>
      </c>
      <c r="AA568" s="4" t="str" cm="1">
        <f t="array" ref="AA568">_xlfn.IFS(Table1[[#This Row],[Customer_Satisfaction]]&lt;=2,"Poor",Table1[[#This Row],[Customer_Satisfaction]]=3,"Neutral",Table1[[#This Row],[Customer_Satisfaction]]=4,"Good",Table1[[#This Row],[Customer_Satisfaction]]=5,"Good")</f>
        <v>Good</v>
      </c>
    </row>
    <row r="569" spans="1:27" x14ac:dyDescent="0.35">
      <c r="A569">
        <v>20567</v>
      </c>
      <c r="B569" s="1">
        <v>45335</v>
      </c>
      <c r="C569" t="s">
        <v>30</v>
      </c>
      <c r="D569" t="s">
        <v>83</v>
      </c>
      <c r="E569" t="s">
        <v>119</v>
      </c>
      <c r="F569" t="s">
        <v>53</v>
      </c>
      <c r="G569" t="s">
        <v>74</v>
      </c>
      <c r="H569" t="s">
        <v>34</v>
      </c>
      <c r="I569" t="s">
        <v>55</v>
      </c>
      <c r="J569" t="s">
        <v>26</v>
      </c>
      <c r="K569" t="s">
        <v>61</v>
      </c>
      <c r="L569" t="s">
        <v>49</v>
      </c>
      <c r="M569" s="4">
        <v>11</v>
      </c>
      <c r="N569" s="4">
        <v>7</v>
      </c>
      <c r="O569" t="s">
        <v>29</v>
      </c>
      <c r="P569" t="s">
        <v>29</v>
      </c>
      <c r="Q569" s="4">
        <v>439016</v>
      </c>
      <c r="R569" s="4">
        <v>289542</v>
      </c>
      <c r="S569" s="4">
        <f>Table1[[#This Row],[Service_Revenue]]-Table1[[#This Row],[Service_Cost]]</f>
        <v>149474</v>
      </c>
      <c r="T569" s="4">
        <v>2</v>
      </c>
      <c r="U569" s="4">
        <f>IF(AND(Table1[[#This Row],[Rework_Flag]]="Yes",Table1[[#This Row],[Warranty_Claim]]="No"),Table1[[#This Row],[Service_Revenue]],0)</f>
        <v>0</v>
      </c>
      <c r="V569" s="4">
        <f>IF(Table1[[#This Row],[Warranty_Claim]]="Yes",1,0)</f>
        <v>1</v>
      </c>
      <c r="W569" s="4">
        <f>IF(Table1[[#This Row],[Rework_Flag]]="No",1,0)</f>
        <v>0</v>
      </c>
      <c r="X569" s="4">
        <f>IF(Table1[[#This Row],[Rework_Flag]]="Yes",1,0)</f>
        <v>1</v>
      </c>
      <c r="Y569" s="4">
        <v>1</v>
      </c>
      <c r="Z569" s="4" t="str">
        <f>IF(Table1[[#This Row],[TAT_Days]]&gt;Table1[[#This Row],[SLA_TAT]],"Yes","No")</f>
        <v>Yes</v>
      </c>
      <c r="AA569" s="4" t="str" cm="1">
        <f t="array" ref="AA569">_xlfn.IFS(Table1[[#This Row],[Customer_Satisfaction]]&lt;=2,"Poor",Table1[[#This Row],[Customer_Satisfaction]]=3,"Neutral",Table1[[#This Row],[Customer_Satisfaction]]=4,"Good",Table1[[#This Row],[Customer_Satisfaction]]=5,"Good")</f>
        <v>Poor</v>
      </c>
    </row>
    <row r="570" spans="1:27" x14ac:dyDescent="0.35">
      <c r="A570">
        <v>20568</v>
      </c>
      <c r="B570" s="1">
        <v>45442</v>
      </c>
      <c r="C570" t="s">
        <v>30</v>
      </c>
      <c r="D570" t="s">
        <v>83</v>
      </c>
      <c r="E570" t="s">
        <v>84</v>
      </c>
      <c r="F570" t="s">
        <v>22</v>
      </c>
      <c r="G570" t="s">
        <v>41</v>
      </c>
      <c r="H570" t="s">
        <v>42</v>
      </c>
      <c r="I570" t="s">
        <v>55</v>
      </c>
      <c r="J570" t="s">
        <v>67</v>
      </c>
      <c r="K570" t="s">
        <v>27</v>
      </c>
      <c r="L570" t="s">
        <v>28</v>
      </c>
      <c r="M570" s="4">
        <v>21</v>
      </c>
      <c r="N570" s="4">
        <v>7</v>
      </c>
      <c r="O570" t="s">
        <v>29</v>
      </c>
      <c r="P570" t="s">
        <v>36</v>
      </c>
      <c r="Q570" s="4">
        <v>196319</v>
      </c>
      <c r="R570" s="4">
        <v>127193</v>
      </c>
      <c r="S570" s="4">
        <f>Table1[[#This Row],[Service_Revenue]]-Table1[[#This Row],[Service_Cost]]</f>
        <v>69126</v>
      </c>
      <c r="T570" s="4">
        <v>1</v>
      </c>
      <c r="U570" s="4">
        <f>IF(AND(Table1[[#This Row],[Rework_Flag]]="Yes",Table1[[#This Row],[Warranty_Claim]]="No"),Table1[[#This Row],[Service_Revenue]],0)</f>
        <v>196319</v>
      </c>
      <c r="V570" s="4">
        <f>IF(Table1[[#This Row],[Warranty_Claim]]="Yes",1,0)</f>
        <v>0</v>
      </c>
      <c r="W570" s="4">
        <f>IF(Table1[[#This Row],[Rework_Flag]]="No",1,0)</f>
        <v>0</v>
      </c>
      <c r="X570" s="4">
        <f>IF(Table1[[#This Row],[Rework_Flag]]="Yes",1,0)</f>
        <v>1</v>
      </c>
      <c r="Y570" s="4">
        <v>1</v>
      </c>
      <c r="Z570" s="4" t="str">
        <f>IF(Table1[[#This Row],[TAT_Days]]&gt;Table1[[#This Row],[SLA_TAT]],"Yes","No")</f>
        <v>Yes</v>
      </c>
      <c r="AA570" s="4" t="str" cm="1">
        <f t="array" ref="AA570">_xlfn.IFS(Table1[[#This Row],[Customer_Satisfaction]]&lt;=2,"Poor",Table1[[#This Row],[Customer_Satisfaction]]=3,"Neutral",Table1[[#This Row],[Customer_Satisfaction]]=4,"Good",Table1[[#This Row],[Customer_Satisfaction]]=5,"Good")</f>
        <v>Poor</v>
      </c>
    </row>
    <row r="571" spans="1:27" x14ac:dyDescent="0.35">
      <c r="A571">
        <v>20569</v>
      </c>
      <c r="B571" s="1">
        <v>45377</v>
      </c>
      <c r="C571" t="s">
        <v>30</v>
      </c>
      <c r="D571" t="s">
        <v>31</v>
      </c>
      <c r="E571" t="s">
        <v>122</v>
      </c>
      <c r="F571" t="s">
        <v>53</v>
      </c>
      <c r="G571" t="s">
        <v>33</v>
      </c>
      <c r="H571" t="s">
        <v>34</v>
      </c>
      <c r="I571" t="s">
        <v>55</v>
      </c>
      <c r="J571" t="s">
        <v>43</v>
      </c>
      <c r="K571" t="s">
        <v>44</v>
      </c>
      <c r="L571" t="s">
        <v>28</v>
      </c>
      <c r="M571" s="4">
        <v>17</v>
      </c>
      <c r="N571" s="4">
        <v>7</v>
      </c>
      <c r="O571" t="s">
        <v>36</v>
      </c>
      <c r="P571" t="s">
        <v>36</v>
      </c>
      <c r="Q571" s="4">
        <v>595041</v>
      </c>
      <c r="R571" s="4">
        <v>375301</v>
      </c>
      <c r="S571" s="4">
        <f>Table1[[#This Row],[Service_Revenue]]-Table1[[#This Row],[Service_Cost]]</f>
        <v>219740</v>
      </c>
      <c r="T571" s="4">
        <v>2</v>
      </c>
      <c r="U571" s="4">
        <f>IF(AND(Table1[[#This Row],[Rework_Flag]]="Yes",Table1[[#This Row],[Warranty_Claim]]="No"),Table1[[#This Row],[Service_Revenue]],0)</f>
        <v>0</v>
      </c>
      <c r="V571" s="4">
        <f>IF(Table1[[#This Row],[Warranty_Claim]]="Yes",1,0)</f>
        <v>0</v>
      </c>
      <c r="W571" s="4">
        <f>IF(Table1[[#This Row],[Rework_Flag]]="No",1,0)</f>
        <v>1</v>
      </c>
      <c r="X571" s="4">
        <f>IF(Table1[[#This Row],[Rework_Flag]]="Yes",1,0)</f>
        <v>0</v>
      </c>
      <c r="Y571" s="4">
        <v>1</v>
      </c>
      <c r="Z571" s="4" t="str">
        <f>IF(Table1[[#This Row],[TAT_Days]]&gt;Table1[[#This Row],[SLA_TAT]],"Yes","No")</f>
        <v>Yes</v>
      </c>
      <c r="AA571" s="4" t="str" cm="1">
        <f t="array" ref="AA571">_xlfn.IFS(Table1[[#This Row],[Customer_Satisfaction]]&lt;=2,"Poor",Table1[[#This Row],[Customer_Satisfaction]]=3,"Neutral",Table1[[#This Row],[Customer_Satisfaction]]=4,"Good",Table1[[#This Row],[Customer_Satisfaction]]=5,"Good")</f>
        <v>Poor</v>
      </c>
    </row>
    <row r="572" spans="1:27" x14ac:dyDescent="0.35">
      <c r="A572">
        <v>20570</v>
      </c>
      <c r="B572" s="1">
        <v>45409</v>
      </c>
      <c r="C572" t="s">
        <v>37</v>
      </c>
      <c r="D572" t="s">
        <v>70</v>
      </c>
      <c r="E572" t="s">
        <v>91</v>
      </c>
      <c r="F572" t="s">
        <v>40</v>
      </c>
      <c r="G572" t="s">
        <v>41</v>
      </c>
      <c r="H572" t="s">
        <v>42</v>
      </c>
      <c r="I572" t="s">
        <v>55</v>
      </c>
      <c r="J572" t="s">
        <v>58</v>
      </c>
      <c r="K572" t="s">
        <v>27</v>
      </c>
      <c r="L572" t="s">
        <v>49</v>
      </c>
      <c r="M572" s="4">
        <v>16</v>
      </c>
      <c r="N572" s="4">
        <v>7</v>
      </c>
      <c r="O572" t="s">
        <v>29</v>
      </c>
      <c r="P572" t="s">
        <v>29</v>
      </c>
      <c r="Q572" s="4">
        <v>501703</v>
      </c>
      <c r="R572" s="4">
        <v>261768</v>
      </c>
      <c r="S572" s="4">
        <f>Table1[[#This Row],[Service_Revenue]]-Table1[[#This Row],[Service_Cost]]</f>
        <v>239935</v>
      </c>
      <c r="T572" s="4">
        <v>1</v>
      </c>
      <c r="U572" s="4">
        <f>IF(AND(Table1[[#This Row],[Rework_Flag]]="Yes",Table1[[#This Row],[Warranty_Claim]]="No"),Table1[[#This Row],[Service_Revenue]],0)</f>
        <v>0</v>
      </c>
      <c r="V572" s="4">
        <f>IF(Table1[[#This Row],[Warranty_Claim]]="Yes",1,0)</f>
        <v>1</v>
      </c>
      <c r="W572" s="4">
        <f>IF(Table1[[#This Row],[Rework_Flag]]="No",1,0)</f>
        <v>0</v>
      </c>
      <c r="X572" s="4">
        <f>IF(Table1[[#This Row],[Rework_Flag]]="Yes",1,0)</f>
        <v>1</v>
      </c>
      <c r="Y572" s="4">
        <v>1</v>
      </c>
      <c r="Z572" s="4" t="str">
        <f>IF(Table1[[#This Row],[TAT_Days]]&gt;Table1[[#This Row],[SLA_TAT]],"Yes","No")</f>
        <v>Yes</v>
      </c>
      <c r="AA572" s="4" t="str" cm="1">
        <f t="array" ref="AA572">_xlfn.IFS(Table1[[#This Row],[Customer_Satisfaction]]&lt;=2,"Poor",Table1[[#This Row],[Customer_Satisfaction]]=3,"Neutral",Table1[[#This Row],[Customer_Satisfaction]]=4,"Good",Table1[[#This Row],[Customer_Satisfaction]]=5,"Good")</f>
        <v>Poor</v>
      </c>
    </row>
    <row r="573" spans="1:27" x14ac:dyDescent="0.35">
      <c r="A573">
        <v>20571</v>
      </c>
      <c r="B573" s="1">
        <v>45302</v>
      </c>
      <c r="C573" t="s">
        <v>19</v>
      </c>
      <c r="D573" t="s">
        <v>45</v>
      </c>
      <c r="E573" t="s">
        <v>76</v>
      </c>
      <c r="F573" t="s">
        <v>22</v>
      </c>
      <c r="G573" t="s">
        <v>33</v>
      </c>
      <c r="H573" t="s">
        <v>34</v>
      </c>
      <c r="I573" t="s">
        <v>55</v>
      </c>
      <c r="J573" t="s">
        <v>26</v>
      </c>
      <c r="K573" t="s">
        <v>44</v>
      </c>
      <c r="L573" t="s">
        <v>28</v>
      </c>
      <c r="M573" s="4">
        <v>13</v>
      </c>
      <c r="N573" s="4">
        <v>7</v>
      </c>
      <c r="O573" t="s">
        <v>36</v>
      </c>
      <c r="P573" t="s">
        <v>36</v>
      </c>
      <c r="Q573" s="4">
        <v>222177</v>
      </c>
      <c r="R573" s="4">
        <v>164907</v>
      </c>
      <c r="S573" s="4">
        <f>Table1[[#This Row],[Service_Revenue]]-Table1[[#This Row],[Service_Cost]]</f>
        <v>57270</v>
      </c>
      <c r="T573" s="4">
        <v>3</v>
      </c>
      <c r="U573" s="4">
        <f>IF(AND(Table1[[#This Row],[Rework_Flag]]="Yes",Table1[[#This Row],[Warranty_Claim]]="No"),Table1[[#This Row],[Service_Revenue]],0)</f>
        <v>0</v>
      </c>
      <c r="V573" s="4">
        <f>IF(Table1[[#This Row],[Warranty_Claim]]="Yes",1,0)</f>
        <v>0</v>
      </c>
      <c r="W573" s="4">
        <f>IF(Table1[[#This Row],[Rework_Flag]]="No",1,0)</f>
        <v>1</v>
      </c>
      <c r="X573" s="4">
        <f>IF(Table1[[#This Row],[Rework_Flag]]="Yes",1,0)</f>
        <v>0</v>
      </c>
      <c r="Y573" s="4">
        <v>1</v>
      </c>
      <c r="Z573" s="4" t="str">
        <f>IF(Table1[[#This Row],[TAT_Days]]&gt;Table1[[#This Row],[SLA_TAT]],"Yes","No")</f>
        <v>Yes</v>
      </c>
      <c r="AA573" s="4" t="str" cm="1">
        <f t="array" ref="AA573">_xlfn.IFS(Table1[[#This Row],[Customer_Satisfaction]]&lt;=2,"Poor",Table1[[#This Row],[Customer_Satisfaction]]=3,"Neutral",Table1[[#This Row],[Customer_Satisfaction]]=4,"Good",Table1[[#This Row],[Customer_Satisfaction]]=5,"Good")</f>
        <v>Neutral</v>
      </c>
    </row>
    <row r="574" spans="1:27" x14ac:dyDescent="0.35">
      <c r="A574">
        <v>20572</v>
      </c>
      <c r="B574" s="1">
        <v>45370</v>
      </c>
      <c r="C574" t="s">
        <v>50</v>
      </c>
      <c r="D574" t="s">
        <v>80</v>
      </c>
      <c r="E574" t="s">
        <v>85</v>
      </c>
      <c r="F574" t="s">
        <v>40</v>
      </c>
      <c r="G574" t="s">
        <v>63</v>
      </c>
      <c r="H574" t="s">
        <v>24</v>
      </c>
      <c r="I574" t="s">
        <v>25</v>
      </c>
      <c r="J574" t="s">
        <v>26</v>
      </c>
      <c r="K574" t="s">
        <v>44</v>
      </c>
      <c r="L574" t="s">
        <v>28</v>
      </c>
      <c r="M574" s="4">
        <v>23</v>
      </c>
      <c r="N574" s="4">
        <v>7</v>
      </c>
      <c r="O574" t="s">
        <v>29</v>
      </c>
      <c r="P574" t="s">
        <v>29</v>
      </c>
      <c r="Q574" s="4">
        <v>328396</v>
      </c>
      <c r="R574" s="4">
        <v>249065</v>
      </c>
      <c r="S574" s="4">
        <f>Table1[[#This Row],[Service_Revenue]]-Table1[[#This Row],[Service_Cost]]</f>
        <v>79331</v>
      </c>
      <c r="T574" s="4">
        <v>1</v>
      </c>
      <c r="U574" s="4">
        <f>IF(AND(Table1[[#This Row],[Rework_Flag]]="Yes",Table1[[#This Row],[Warranty_Claim]]="No"),Table1[[#This Row],[Service_Revenue]],0)</f>
        <v>0</v>
      </c>
      <c r="V574" s="4">
        <f>IF(Table1[[#This Row],[Warranty_Claim]]="Yes",1,0)</f>
        <v>1</v>
      </c>
      <c r="W574" s="4">
        <f>IF(Table1[[#This Row],[Rework_Flag]]="No",1,0)</f>
        <v>0</v>
      </c>
      <c r="X574" s="4">
        <f>IF(Table1[[#This Row],[Rework_Flag]]="Yes",1,0)</f>
        <v>1</v>
      </c>
      <c r="Y574" s="4">
        <v>1</v>
      </c>
      <c r="Z574" s="4" t="str">
        <f>IF(Table1[[#This Row],[TAT_Days]]&gt;Table1[[#This Row],[SLA_TAT]],"Yes","No")</f>
        <v>Yes</v>
      </c>
      <c r="AA574" s="4" t="str" cm="1">
        <f t="array" ref="AA574">_xlfn.IFS(Table1[[#This Row],[Customer_Satisfaction]]&lt;=2,"Poor",Table1[[#This Row],[Customer_Satisfaction]]=3,"Neutral",Table1[[#This Row],[Customer_Satisfaction]]=4,"Good",Table1[[#This Row],[Customer_Satisfaction]]=5,"Good")</f>
        <v>Poor</v>
      </c>
    </row>
    <row r="575" spans="1:27" x14ac:dyDescent="0.35">
      <c r="A575">
        <v>20573</v>
      </c>
      <c r="B575" s="1">
        <v>45315</v>
      </c>
      <c r="C575" t="s">
        <v>30</v>
      </c>
      <c r="D575" t="s">
        <v>83</v>
      </c>
      <c r="E575" t="s">
        <v>119</v>
      </c>
      <c r="F575" t="s">
        <v>40</v>
      </c>
      <c r="G575" t="s">
        <v>74</v>
      </c>
      <c r="H575" t="s">
        <v>34</v>
      </c>
      <c r="I575" t="s">
        <v>25</v>
      </c>
      <c r="J575" t="s">
        <v>35</v>
      </c>
      <c r="K575" t="s">
        <v>61</v>
      </c>
      <c r="L575" t="s">
        <v>28</v>
      </c>
      <c r="M575" s="4">
        <v>13</v>
      </c>
      <c r="N575" s="4">
        <v>7</v>
      </c>
      <c r="O575" t="s">
        <v>36</v>
      </c>
      <c r="P575" t="s">
        <v>36</v>
      </c>
      <c r="Q575" s="4">
        <v>237653</v>
      </c>
      <c r="R575" s="4">
        <v>128581</v>
      </c>
      <c r="S575" s="4">
        <f>Table1[[#This Row],[Service_Revenue]]-Table1[[#This Row],[Service_Cost]]</f>
        <v>109072</v>
      </c>
      <c r="T575" s="4">
        <v>3</v>
      </c>
      <c r="U575" s="4">
        <f>IF(AND(Table1[[#This Row],[Rework_Flag]]="Yes",Table1[[#This Row],[Warranty_Claim]]="No"),Table1[[#This Row],[Service_Revenue]],0)</f>
        <v>0</v>
      </c>
      <c r="V575" s="4">
        <f>IF(Table1[[#This Row],[Warranty_Claim]]="Yes",1,0)</f>
        <v>0</v>
      </c>
      <c r="W575" s="4">
        <f>IF(Table1[[#This Row],[Rework_Flag]]="No",1,0)</f>
        <v>1</v>
      </c>
      <c r="X575" s="4">
        <f>IF(Table1[[#This Row],[Rework_Flag]]="Yes",1,0)</f>
        <v>0</v>
      </c>
      <c r="Y575" s="4">
        <v>1</v>
      </c>
      <c r="Z575" s="4" t="str">
        <f>IF(Table1[[#This Row],[TAT_Days]]&gt;Table1[[#This Row],[SLA_TAT]],"Yes","No")</f>
        <v>Yes</v>
      </c>
      <c r="AA575" s="4" t="str" cm="1">
        <f t="array" ref="AA575">_xlfn.IFS(Table1[[#This Row],[Customer_Satisfaction]]&lt;=2,"Poor",Table1[[#This Row],[Customer_Satisfaction]]=3,"Neutral",Table1[[#This Row],[Customer_Satisfaction]]=4,"Good",Table1[[#This Row],[Customer_Satisfaction]]=5,"Good")</f>
        <v>Neutral</v>
      </c>
    </row>
    <row r="576" spans="1:27" x14ac:dyDescent="0.35">
      <c r="A576">
        <v>20574</v>
      </c>
      <c r="B576" s="1">
        <v>45467</v>
      </c>
      <c r="C576" t="s">
        <v>50</v>
      </c>
      <c r="D576" t="s">
        <v>80</v>
      </c>
      <c r="E576" t="s">
        <v>118</v>
      </c>
      <c r="F576" t="s">
        <v>40</v>
      </c>
      <c r="G576" t="s">
        <v>74</v>
      </c>
      <c r="H576" t="s">
        <v>34</v>
      </c>
      <c r="I576" t="s">
        <v>55</v>
      </c>
      <c r="J576" t="s">
        <v>35</v>
      </c>
      <c r="K576" t="s">
        <v>61</v>
      </c>
      <c r="L576" t="s">
        <v>28</v>
      </c>
      <c r="M576" s="4">
        <v>4</v>
      </c>
      <c r="N576" s="4">
        <v>7</v>
      </c>
      <c r="O576" t="s">
        <v>36</v>
      </c>
      <c r="P576" t="s">
        <v>36</v>
      </c>
      <c r="Q576" s="4">
        <v>201336</v>
      </c>
      <c r="R576" s="4">
        <v>131498</v>
      </c>
      <c r="S576" s="4">
        <f>Table1[[#This Row],[Service_Revenue]]-Table1[[#This Row],[Service_Cost]]</f>
        <v>69838</v>
      </c>
      <c r="T576" s="4">
        <v>5</v>
      </c>
      <c r="U576" s="4">
        <f>IF(AND(Table1[[#This Row],[Rework_Flag]]="Yes",Table1[[#This Row],[Warranty_Claim]]="No"),Table1[[#This Row],[Service_Revenue]],0)</f>
        <v>0</v>
      </c>
      <c r="V576" s="4">
        <f>IF(Table1[[#This Row],[Warranty_Claim]]="Yes",1,0)</f>
        <v>0</v>
      </c>
      <c r="W576" s="4">
        <f>IF(Table1[[#This Row],[Rework_Flag]]="No",1,0)</f>
        <v>1</v>
      </c>
      <c r="X576" s="4">
        <f>IF(Table1[[#This Row],[Rework_Flag]]="Yes",1,0)</f>
        <v>0</v>
      </c>
      <c r="Y576" s="4">
        <v>1</v>
      </c>
      <c r="Z576" s="4" t="str">
        <f>IF(Table1[[#This Row],[TAT_Days]]&gt;Table1[[#This Row],[SLA_TAT]],"Yes","No")</f>
        <v>No</v>
      </c>
      <c r="AA576" s="4" t="str" cm="1">
        <f t="array" ref="AA576">_xlfn.IFS(Table1[[#This Row],[Customer_Satisfaction]]&lt;=2,"Poor",Table1[[#This Row],[Customer_Satisfaction]]=3,"Neutral",Table1[[#This Row],[Customer_Satisfaction]]=4,"Good",Table1[[#This Row],[Customer_Satisfaction]]=5,"Good")</f>
        <v>Good</v>
      </c>
    </row>
    <row r="577" spans="1:27" x14ac:dyDescent="0.35">
      <c r="A577">
        <v>20575</v>
      </c>
      <c r="B577" s="1">
        <v>45408</v>
      </c>
      <c r="C577" t="s">
        <v>50</v>
      </c>
      <c r="D577" t="s">
        <v>51</v>
      </c>
      <c r="E577" t="s">
        <v>113</v>
      </c>
      <c r="F577" t="s">
        <v>53</v>
      </c>
      <c r="G577" t="s">
        <v>33</v>
      </c>
      <c r="H577" t="s">
        <v>34</v>
      </c>
      <c r="I577" t="s">
        <v>25</v>
      </c>
      <c r="J577" t="s">
        <v>26</v>
      </c>
      <c r="K577" t="s">
        <v>27</v>
      </c>
      <c r="L577" t="s">
        <v>28</v>
      </c>
      <c r="M577" s="4">
        <v>20</v>
      </c>
      <c r="N577" s="4">
        <v>7</v>
      </c>
      <c r="O577" t="s">
        <v>29</v>
      </c>
      <c r="P577" t="s">
        <v>29</v>
      </c>
      <c r="Q577" s="4">
        <v>298206</v>
      </c>
      <c r="R577" s="4">
        <v>243552</v>
      </c>
      <c r="S577" s="4">
        <f>Table1[[#This Row],[Service_Revenue]]-Table1[[#This Row],[Service_Cost]]</f>
        <v>54654</v>
      </c>
      <c r="T577" s="4">
        <v>1</v>
      </c>
      <c r="U577" s="4">
        <f>IF(AND(Table1[[#This Row],[Rework_Flag]]="Yes",Table1[[#This Row],[Warranty_Claim]]="No"),Table1[[#This Row],[Service_Revenue]],0)</f>
        <v>0</v>
      </c>
      <c r="V577" s="4">
        <f>IF(Table1[[#This Row],[Warranty_Claim]]="Yes",1,0)</f>
        <v>1</v>
      </c>
      <c r="W577" s="4">
        <f>IF(Table1[[#This Row],[Rework_Flag]]="No",1,0)</f>
        <v>0</v>
      </c>
      <c r="X577" s="4">
        <f>IF(Table1[[#This Row],[Rework_Flag]]="Yes",1,0)</f>
        <v>1</v>
      </c>
      <c r="Y577" s="4">
        <v>1</v>
      </c>
      <c r="Z577" s="4" t="str">
        <f>IF(Table1[[#This Row],[TAT_Days]]&gt;Table1[[#This Row],[SLA_TAT]],"Yes","No")</f>
        <v>Yes</v>
      </c>
      <c r="AA577" s="4" t="str" cm="1">
        <f t="array" ref="AA577">_xlfn.IFS(Table1[[#This Row],[Customer_Satisfaction]]&lt;=2,"Poor",Table1[[#This Row],[Customer_Satisfaction]]=3,"Neutral",Table1[[#This Row],[Customer_Satisfaction]]=4,"Good",Table1[[#This Row],[Customer_Satisfaction]]=5,"Good")</f>
        <v>Poor</v>
      </c>
    </row>
    <row r="578" spans="1:27" x14ac:dyDescent="0.35">
      <c r="A578">
        <v>20576</v>
      </c>
      <c r="B578" s="1">
        <v>45350</v>
      </c>
      <c r="C578" t="s">
        <v>30</v>
      </c>
      <c r="D578" t="s">
        <v>59</v>
      </c>
      <c r="E578" t="s">
        <v>69</v>
      </c>
      <c r="F578" t="s">
        <v>40</v>
      </c>
      <c r="G578" t="s">
        <v>54</v>
      </c>
      <c r="H578" t="s">
        <v>42</v>
      </c>
      <c r="I578" t="s">
        <v>25</v>
      </c>
      <c r="J578" t="s">
        <v>43</v>
      </c>
      <c r="K578" t="s">
        <v>61</v>
      </c>
      <c r="L578" t="s">
        <v>28</v>
      </c>
      <c r="M578" s="4">
        <v>22</v>
      </c>
      <c r="N578" s="4">
        <v>7</v>
      </c>
      <c r="O578" t="s">
        <v>36</v>
      </c>
      <c r="P578" t="s">
        <v>36</v>
      </c>
      <c r="Q578" s="4">
        <v>577016</v>
      </c>
      <c r="R578" s="4">
        <v>336939</v>
      </c>
      <c r="S578" s="4">
        <f>Table1[[#This Row],[Service_Revenue]]-Table1[[#This Row],[Service_Cost]]</f>
        <v>240077</v>
      </c>
      <c r="T578" s="4">
        <v>1</v>
      </c>
      <c r="U578" s="4">
        <f>IF(AND(Table1[[#This Row],[Rework_Flag]]="Yes",Table1[[#This Row],[Warranty_Claim]]="No"),Table1[[#This Row],[Service_Revenue]],0)</f>
        <v>0</v>
      </c>
      <c r="V578" s="4">
        <f>IF(Table1[[#This Row],[Warranty_Claim]]="Yes",1,0)</f>
        <v>0</v>
      </c>
      <c r="W578" s="4">
        <f>IF(Table1[[#This Row],[Rework_Flag]]="No",1,0)</f>
        <v>1</v>
      </c>
      <c r="X578" s="4">
        <f>IF(Table1[[#This Row],[Rework_Flag]]="Yes",1,0)</f>
        <v>0</v>
      </c>
      <c r="Y578" s="4">
        <v>1</v>
      </c>
      <c r="Z578" s="4" t="str">
        <f>IF(Table1[[#This Row],[TAT_Days]]&gt;Table1[[#This Row],[SLA_TAT]],"Yes","No")</f>
        <v>Yes</v>
      </c>
      <c r="AA578" s="4" t="str" cm="1">
        <f t="array" ref="AA578">_xlfn.IFS(Table1[[#This Row],[Customer_Satisfaction]]&lt;=2,"Poor",Table1[[#This Row],[Customer_Satisfaction]]=3,"Neutral",Table1[[#This Row],[Customer_Satisfaction]]=4,"Good",Table1[[#This Row],[Customer_Satisfaction]]=5,"Good")</f>
        <v>Poor</v>
      </c>
    </row>
    <row r="579" spans="1:27" x14ac:dyDescent="0.35">
      <c r="A579">
        <v>20577</v>
      </c>
      <c r="B579" s="1">
        <v>45463</v>
      </c>
      <c r="C579" t="s">
        <v>19</v>
      </c>
      <c r="D579" t="s">
        <v>45</v>
      </c>
      <c r="E579" t="s">
        <v>99</v>
      </c>
      <c r="F579" t="s">
        <v>40</v>
      </c>
      <c r="G579" t="s">
        <v>74</v>
      </c>
      <c r="H579" t="s">
        <v>34</v>
      </c>
      <c r="I579" t="s">
        <v>55</v>
      </c>
      <c r="J579" t="s">
        <v>26</v>
      </c>
      <c r="K579" t="s">
        <v>61</v>
      </c>
      <c r="L579" t="s">
        <v>28</v>
      </c>
      <c r="M579" s="4">
        <v>3</v>
      </c>
      <c r="N579" s="4">
        <v>7</v>
      </c>
      <c r="O579" t="s">
        <v>36</v>
      </c>
      <c r="P579" t="s">
        <v>29</v>
      </c>
      <c r="Q579" s="4">
        <v>118142</v>
      </c>
      <c r="R579" s="4">
        <v>74468</v>
      </c>
      <c r="S579" s="4">
        <f>Table1[[#This Row],[Service_Revenue]]-Table1[[#This Row],[Service_Cost]]</f>
        <v>43674</v>
      </c>
      <c r="T579" s="4">
        <v>5</v>
      </c>
      <c r="U579" s="4">
        <f>IF(AND(Table1[[#This Row],[Rework_Flag]]="Yes",Table1[[#This Row],[Warranty_Claim]]="No"),Table1[[#This Row],[Service_Revenue]],0)</f>
        <v>0</v>
      </c>
      <c r="V579" s="4">
        <f>IF(Table1[[#This Row],[Warranty_Claim]]="Yes",1,0)</f>
        <v>1</v>
      </c>
      <c r="W579" s="4">
        <f>IF(Table1[[#This Row],[Rework_Flag]]="No",1,0)</f>
        <v>1</v>
      </c>
      <c r="X579" s="4">
        <f>IF(Table1[[#This Row],[Rework_Flag]]="Yes",1,0)</f>
        <v>0</v>
      </c>
      <c r="Y579" s="4">
        <v>1</v>
      </c>
      <c r="Z579" s="4" t="str">
        <f>IF(Table1[[#This Row],[TAT_Days]]&gt;Table1[[#This Row],[SLA_TAT]],"Yes","No")</f>
        <v>No</v>
      </c>
      <c r="AA579" s="4" t="str" cm="1">
        <f t="array" ref="AA579">_xlfn.IFS(Table1[[#This Row],[Customer_Satisfaction]]&lt;=2,"Poor",Table1[[#This Row],[Customer_Satisfaction]]=3,"Neutral",Table1[[#This Row],[Customer_Satisfaction]]=4,"Good",Table1[[#This Row],[Customer_Satisfaction]]=5,"Good")</f>
        <v>Good</v>
      </c>
    </row>
    <row r="580" spans="1:27" x14ac:dyDescent="0.35">
      <c r="A580">
        <v>20578</v>
      </c>
      <c r="B580" s="1">
        <v>45462</v>
      </c>
      <c r="C580" t="s">
        <v>30</v>
      </c>
      <c r="D580" t="s">
        <v>31</v>
      </c>
      <c r="E580" t="s">
        <v>79</v>
      </c>
      <c r="F580" t="s">
        <v>22</v>
      </c>
      <c r="G580" t="s">
        <v>47</v>
      </c>
      <c r="H580" t="s">
        <v>48</v>
      </c>
      <c r="I580" t="s">
        <v>55</v>
      </c>
      <c r="J580" t="s">
        <v>35</v>
      </c>
      <c r="K580" t="s">
        <v>61</v>
      </c>
      <c r="L580" t="s">
        <v>28</v>
      </c>
      <c r="M580" s="4">
        <v>7</v>
      </c>
      <c r="N580" s="4">
        <v>7</v>
      </c>
      <c r="O580" t="s">
        <v>29</v>
      </c>
      <c r="P580" t="s">
        <v>36</v>
      </c>
      <c r="Q580" s="4">
        <v>158996</v>
      </c>
      <c r="R580" s="4">
        <v>91058</v>
      </c>
      <c r="S580" s="4">
        <f>Table1[[#This Row],[Service_Revenue]]-Table1[[#This Row],[Service_Cost]]</f>
        <v>67938</v>
      </c>
      <c r="T580" s="4">
        <v>3</v>
      </c>
      <c r="U580" s="4">
        <f>IF(AND(Table1[[#This Row],[Rework_Flag]]="Yes",Table1[[#This Row],[Warranty_Claim]]="No"),Table1[[#This Row],[Service_Revenue]],0)</f>
        <v>158996</v>
      </c>
      <c r="V580" s="4">
        <f>IF(Table1[[#This Row],[Warranty_Claim]]="Yes",1,0)</f>
        <v>0</v>
      </c>
      <c r="W580" s="4">
        <f>IF(Table1[[#This Row],[Rework_Flag]]="No",1,0)</f>
        <v>0</v>
      </c>
      <c r="X580" s="4">
        <f>IF(Table1[[#This Row],[Rework_Flag]]="Yes",1,0)</f>
        <v>1</v>
      </c>
      <c r="Y580" s="4">
        <v>1</v>
      </c>
      <c r="Z580" s="4" t="str">
        <f>IF(Table1[[#This Row],[TAT_Days]]&gt;Table1[[#This Row],[SLA_TAT]],"Yes","No")</f>
        <v>No</v>
      </c>
      <c r="AA580" s="4" t="str" cm="1">
        <f t="array" ref="AA580">_xlfn.IFS(Table1[[#This Row],[Customer_Satisfaction]]&lt;=2,"Poor",Table1[[#This Row],[Customer_Satisfaction]]=3,"Neutral",Table1[[#This Row],[Customer_Satisfaction]]=4,"Good",Table1[[#This Row],[Customer_Satisfaction]]=5,"Good")</f>
        <v>Neutral</v>
      </c>
    </row>
    <row r="581" spans="1:27" x14ac:dyDescent="0.35">
      <c r="A581">
        <v>20579</v>
      </c>
      <c r="B581" s="1">
        <v>45433</v>
      </c>
      <c r="C581" t="s">
        <v>37</v>
      </c>
      <c r="D581" t="s">
        <v>38</v>
      </c>
      <c r="E581" t="s">
        <v>102</v>
      </c>
      <c r="F581" t="s">
        <v>53</v>
      </c>
      <c r="G581" t="s">
        <v>33</v>
      </c>
      <c r="H581" t="s">
        <v>34</v>
      </c>
      <c r="I581" t="s">
        <v>55</v>
      </c>
      <c r="J581" t="s">
        <v>26</v>
      </c>
      <c r="K581" t="s">
        <v>61</v>
      </c>
      <c r="L581" t="s">
        <v>49</v>
      </c>
      <c r="M581" s="4">
        <v>11</v>
      </c>
      <c r="N581" s="4">
        <v>7</v>
      </c>
      <c r="O581" t="s">
        <v>36</v>
      </c>
      <c r="P581" t="s">
        <v>29</v>
      </c>
      <c r="Q581" s="4">
        <v>449129</v>
      </c>
      <c r="R581" s="4">
        <v>225009</v>
      </c>
      <c r="S581" s="4">
        <f>Table1[[#This Row],[Service_Revenue]]-Table1[[#This Row],[Service_Cost]]</f>
        <v>224120</v>
      </c>
      <c r="T581" s="4">
        <v>3</v>
      </c>
      <c r="U581" s="4">
        <f>IF(AND(Table1[[#This Row],[Rework_Flag]]="Yes",Table1[[#This Row],[Warranty_Claim]]="No"),Table1[[#This Row],[Service_Revenue]],0)</f>
        <v>0</v>
      </c>
      <c r="V581" s="4">
        <f>IF(Table1[[#This Row],[Warranty_Claim]]="Yes",1,0)</f>
        <v>1</v>
      </c>
      <c r="W581" s="4">
        <f>IF(Table1[[#This Row],[Rework_Flag]]="No",1,0)</f>
        <v>1</v>
      </c>
      <c r="X581" s="4">
        <f>IF(Table1[[#This Row],[Rework_Flag]]="Yes",1,0)</f>
        <v>0</v>
      </c>
      <c r="Y581" s="4">
        <v>1</v>
      </c>
      <c r="Z581" s="4" t="str">
        <f>IF(Table1[[#This Row],[TAT_Days]]&gt;Table1[[#This Row],[SLA_TAT]],"Yes","No")</f>
        <v>Yes</v>
      </c>
      <c r="AA581" s="4" t="str" cm="1">
        <f t="array" ref="AA581">_xlfn.IFS(Table1[[#This Row],[Customer_Satisfaction]]&lt;=2,"Poor",Table1[[#This Row],[Customer_Satisfaction]]=3,"Neutral",Table1[[#This Row],[Customer_Satisfaction]]=4,"Good",Table1[[#This Row],[Customer_Satisfaction]]=5,"Good")</f>
        <v>Neutral</v>
      </c>
    </row>
    <row r="582" spans="1:27" x14ac:dyDescent="0.35">
      <c r="A582">
        <v>20580</v>
      </c>
      <c r="B582" s="1">
        <v>45375</v>
      </c>
      <c r="C582" t="s">
        <v>19</v>
      </c>
      <c r="D582" t="s">
        <v>20</v>
      </c>
      <c r="E582" t="s">
        <v>21</v>
      </c>
      <c r="F582" t="s">
        <v>22</v>
      </c>
      <c r="G582" t="s">
        <v>23</v>
      </c>
      <c r="H582" t="s">
        <v>24</v>
      </c>
      <c r="I582" t="s">
        <v>55</v>
      </c>
      <c r="J582" t="s">
        <v>58</v>
      </c>
      <c r="K582" t="s">
        <v>61</v>
      </c>
      <c r="L582" t="s">
        <v>28</v>
      </c>
      <c r="M582" s="4">
        <v>11</v>
      </c>
      <c r="N582" s="4">
        <v>7</v>
      </c>
      <c r="O582" t="s">
        <v>29</v>
      </c>
      <c r="P582" t="s">
        <v>36</v>
      </c>
      <c r="Q582" s="4">
        <v>337085</v>
      </c>
      <c r="R582" s="4">
        <v>188109</v>
      </c>
      <c r="S582" s="4">
        <f>Table1[[#This Row],[Service_Revenue]]-Table1[[#This Row],[Service_Cost]]</f>
        <v>148976</v>
      </c>
      <c r="T582" s="4">
        <v>2</v>
      </c>
      <c r="U582" s="4">
        <f>IF(AND(Table1[[#This Row],[Rework_Flag]]="Yes",Table1[[#This Row],[Warranty_Claim]]="No"),Table1[[#This Row],[Service_Revenue]],0)</f>
        <v>337085</v>
      </c>
      <c r="V582" s="4">
        <f>IF(Table1[[#This Row],[Warranty_Claim]]="Yes",1,0)</f>
        <v>0</v>
      </c>
      <c r="W582" s="4">
        <f>IF(Table1[[#This Row],[Rework_Flag]]="No",1,0)</f>
        <v>0</v>
      </c>
      <c r="X582" s="4">
        <f>IF(Table1[[#This Row],[Rework_Flag]]="Yes",1,0)</f>
        <v>1</v>
      </c>
      <c r="Y582" s="4">
        <v>1</v>
      </c>
      <c r="Z582" s="4" t="str">
        <f>IF(Table1[[#This Row],[TAT_Days]]&gt;Table1[[#This Row],[SLA_TAT]],"Yes","No")</f>
        <v>Yes</v>
      </c>
      <c r="AA582" s="4" t="str" cm="1">
        <f t="array" ref="AA582">_xlfn.IFS(Table1[[#This Row],[Customer_Satisfaction]]&lt;=2,"Poor",Table1[[#This Row],[Customer_Satisfaction]]=3,"Neutral",Table1[[#This Row],[Customer_Satisfaction]]=4,"Good",Table1[[#This Row],[Customer_Satisfaction]]=5,"Good")</f>
        <v>Poor</v>
      </c>
    </row>
    <row r="583" spans="1:27" x14ac:dyDescent="0.35">
      <c r="A583">
        <v>20581</v>
      </c>
      <c r="B583" s="1">
        <v>45404</v>
      </c>
      <c r="C583" t="s">
        <v>30</v>
      </c>
      <c r="D583" t="s">
        <v>59</v>
      </c>
      <c r="E583" t="s">
        <v>60</v>
      </c>
      <c r="F583" t="s">
        <v>22</v>
      </c>
      <c r="G583" t="s">
        <v>33</v>
      </c>
      <c r="H583" t="s">
        <v>34</v>
      </c>
      <c r="I583" t="s">
        <v>25</v>
      </c>
      <c r="J583" t="s">
        <v>35</v>
      </c>
      <c r="K583" t="s">
        <v>61</v>
      </c>
      <c r="L583" t="s">
        <v>28</v>
      </c>
      <c r="M583" s="4">
        <v>7</v>
      </c>
      <c r="N583" s="4">
        <v>7</v>
      </c>
      <c r="O583" t="s">
        <v>29</v>
      </c>
      <c r="P583" t="s">
        <v>29</v>
      </c>
      <c r="Q583" s="4">
        <v>269343</v>
      </c>
      <c r="R583" s="4">
        <v>215964</v>
      </c>
      <c r="S583" s="4">
        <f>Table1[[#This Row],[Service_Revenue]]-Table1[[#This Row],[Service_Cost]]</f>
        <v>53379</v>
      </c>
      <c r="T583" s="4">
        <v>3</v>
      </c>
      <c r="U583" s="4">
        <f>IF(AND(Table1[[#This Row],[Rework_Flag]]="Yes",Table1[[#This Row],[Warranty_Claim]]="No"),Table1[[#This Row],[Service_Revenue]],0)</f>
        <v>0</v>
      </c>
      <c r="V583" s="4">
        <f>IF(Table1[[#This Row],[Warranty_Claim]]="Yes",1,0)</f>
        <v>1</v>
      </c>
      <c r="W583" s="4">
        <f>IF(Table1[[#This Row],[Rework_Flag]]="No",1,0)</f>
        <v>0</v>
      </c>
      <c r="X583" s="4">
        <f>IF(Table1[[#This Row],[Rework_Flag]]="Yes",1,0)</f>
        <v>1</v>
      </c>
      <c r="Y583" s="4">
        <v>1</v>
      </c>
      <c r="Z583" s="4" t="str">
        <f>IF(Table1[[#This Row],[TAT_Days]]&gt;Table1[[#This Row],[SLA_TAT]],"Yes","No")</f>
        <v>No</v>
      </c>
      <c r="AA583" s="4" t="str" cm="1">
        <f t="array" ref="AA583">_xlfn.IFS(Table1[[#This Row],[Customer_Satisfaction]]&lt;=2,"Poor",Table1[[#This Row],[Customer_Satisfaction]]=3,"Neutral",Table1[[#This Row],[Customer_Satisfaction]]=4,"Good",Table1[[#This Row],[Customer_Satisfaction]]=5,"Good")</f>
        <v>Neutral</v>
      </c>
    </row>
    <row r="584" spans="1:27" x14ac:dyDescent="0.35">
      <c r="A584">
        <v>20582</v>
      </c>
      <c r="B584" s="1">
        <v>45324</v>
      </c>
      <c r="C584" t="s">
        <v>19</v>
      </c>
      <c r="D584" t="s">
        <v>96</v>
      </c>
      <c r="E584" t="s">
        <v>105</v>
      </c>
      <c r="F584" t="s">
        <v>53</v>
      </c>
      <c r="G584" t="s">
        <v>33</v>
      </c>
      <c r="H584" t="s">
        <v>34</v>
      </c>
      <c r="I584" t="s">
        <v>55</v>
      </c>
      <c r="J584" t="s">
        <v>26</v>
      </c>
      <c r="K584" t="s">
        <v>44</v>
      </c>
      <c r="L584" t="s">
        <v>49</v>
      </c>
      <c r="M584" s="4">
        <v>17</v>
      </c>
      <c r="N584" s="4">
        <v>7</v>
      </c>
      <c r="O584" t="s">
        <v>29</v>
      </c>
      <c r="P584" t="s">
        <v>36</v>
      </c>
      <c r="Q584" s="4">
        <v>478245</v>
      </c>
      <c r="R584" s="4">
        <v>301024</v>
      </c>
      <c r="S584" s="4">
        <f>Table1[[#This Row],[Service_Revenue]]-Table1[[#This Row],[Service_Cost]]</f>
        <v>177221</v>
      </c>
      <c r="T584" s="4">
        <v>1</v>
      </c>
      <c r="U584" s="4">
        <f>IF(AND(Table1[[#This Row],[Rework_Flag]]="Yes",Table1[[#This Row],[Warranty_Claim]]="No"),Table1[[#This Row],[Service_Revenue]],0)</f>
        <v>478245</v>
      </c>
      <c r="V584" s="4">
        <f>IF(Table1[[#This Row],[Warranty_Claim]]="Yes",1,0)</f>
        <v>0</v>
      </c>
      <c r="W584" s="4">
        <f>IF(Table1[[#This Row],[Rework_Flag]]="No",1,0)</f>
        <v>0</v>
      </c>
      <c r="X584" s="4">
        <f>IF(Table1[[#This Row],[Rework_Flag]]="Yes",1,0)</f>
        <v>1</v>
      </c>
      <c r="Y584" s="4">
        <v>1</v>
      </c>
      <c r="Z584" s="4" t="str">
        <f>IF(Table1[[#This Row],[TAT_Days]]&gt;Table1[[#This Row],[SLA_TAT]],"Yes","No")</f>
        <v>Yes</v>
      </c>
      <c r="AA584" s="4" t="str" cm="1">
        <f t="array" ref="AA584">_xlfn.IFS(Table1[[#This Row],[Customer_Satisfaction]]&lt;=2,"Poor",Table1[[#This Row],[Customer_Satisfaction]]=3,"Neutral",Table1[[#This Row],[Customer_Satisfaction]]=4,"Good",Table1[[#This Row],[Customer_Satisfaction]]=5,"Good")</f>
        <v>Poor</v>
      </c>
    </row>
    <row r="585" spans="1:27" x14ac:dyDescent="0.35">
      <c r="A585">
        <v>20583</v>
      </c>
      <c r="B585" s="1">
        <v>45428</v>
      </c>
      <c r="C585" t="s">
        <v>19</v>
      </c>
      <c r="D585" t="s">
        <v>96</v>
      </c>
      <c r="E585" t="s">
        <v>109</v>
      </c>
      <c r="F585" t="s">
        <v>53</v>
      </c>
      <c r="G585" t="s">
        <v>47</v>
      </c>
      <c r="H585" t="s">
        <v>48</v>
      </c>
      <c r="I585" t="s">
        <v>25</v>
      </c>
      <c r="J585" t="s">
        <v>43</v>
      </c>
      <c r="K585" t="s">
        <v>61</v>
      </c>
      <c r="L585" t="s">
        <v>49</v>
      </c>
      <c r="M585" s="4">
        <v>3</v>
      </c>
      <c r="N585" s="4">
        <v>7</v>
      </c>
      <c r="O585" t="s">
        <v>36</v>
      </c>
      <c r="P585" t="s">
        <v>36</v>
      </c>
      <c r="Q585" s="4">
        <v>513823</v>
      </c>
      <c r="R585" s="4">
        <v>267026</v>
      </c>
      <c r="S585" s="4">
        <f>Table1[[#This Row],[Service_Revenue]]-Table1[[#This Row],[Service_Cost]]</f>
        <v>246797</v>
      </c>
      <c r="T585" s="4">
        <v>5</v>
      </c>
      <c r="U585" s="4">
        <f>IF(AND(Table1[[#This Row],[Rework_Flag]]="Yes",Table1[[#This Row],[Warranty_Claim]]="No"),Table1[[#This Row],[Service_Revenue]],0)</f>
        <v>0</v>
      </c>
      <c r="V585" s="4">
        <f>IF(Table1[[#This Row],[Warranty_Claim]]="Yes",1,0)</f>
        <v>0</v>
      </c>
      <c r="W585" s="4">
        <f>IF(Table1[[#This Row],[Rework_Flag]]="No",1,0)</f>
        <v>1</v>
      </c>
      <c r="X585" s="4">
        <f>IF(Table1[[#This Row],[Rework_Flag]]="Yes",1,0)</f>
        <v>0</v>
      </c>
      <c r="Y585" s="4">
        <v>1</v>
      </c>
      <c r="Z585" s="4" t="str">
        <f>IF(Table1[[#This Row],[TAT_Days]]&gt;Table1[[#This Row],[SLA_TAT]],"Yes","No")</f>
        <v>No</v>
      </c>
      <c r="AA585" s="4" t="str" cm="1">
        <f t="array" ref="AA585">_xlfn.IFS(Table1[[#This Row],[Customer_Satisfaction]]&lt;=2,"Poor",Table1[[#This Row],[Customer_Satisfaction]]=3,"Neutral",Table1[[#This Row],[Customer_Satisfaction]]=4,"Good",Table1[[#This Row],[Customer_Satisfaction]]=5,"Good")</f>
        <v>Good</v>
      </c>
    </row>
    <row r="586" spans="1:27" x14ac:dyDescent="0.35">
      <c r="A586">
        <v>20584</v>
      </c>
      <c r="B586" s="1">
        <v>45467</v>
      </c>
      <c r="C586" t="s">
        <v>30</v>
      </c>
      <c r="D586" t="s">
        <v>59</v>
      </c>
      <c r="E586" t="s">
        <v>60</v>
      </c>
      <c r="F586" t="s">
        <v>40</v>
      </c>
      <c r="G586" t="s">
        <v>54</v>
      </c>
      <c r="H586" t="s">
        <v>42</v>
      </c>
      <c r="I586" t="s">
        <v>55</v>
      </c>
      <c r="J586" t="s">
        <v>26</v>
      </c>
      <c r="K586" t="s">
        <v>27</v>
      </c>
      <c r="L586" t="s">
        <v>28</v>
      </c>
      <c r="M586" s="4">
        <v>7</v>
      </c>
      <c r="N586" s="4">
        <v>7</v>
      </c>
      <c r="O586" t="s">
        <v>29</v>
      </c>
      <c r="P586" t="s">
        <v>36</v>
      </c>
      <c r="Q586" s="4">
        <v>526288</v>
      </c>
      <c r="R586" s="4">
        <v>416248</v>
      </c>
      <c r="S586" s="4">
        <f>Table1[[#This Row],[Service_Revenue]]-Table1[[#This Row],[Service_Cost]]</f>
        <v>110040</v>
      </c>
      <c r="T586" s="4">
        <v>3</v>
      </c>
      <c r="U586" s="4">
        <f>IF(AND(Table1[[#This Row],[Rework_Flag]]="Yes",Table1[[#This Row],[Warranty_Claim]]="No"),Table1[[#This Row],[Service_Revenue]],0)</f>
        <v>526288</v>
      </c>
      <c r="V586" s="4">
        <f>IF(Table1[[#This Row],[Warranty_Claim]]="Yes",1,0)</f>
        <v>0</v>
      </c>
      <c r="W586" s="4">
        <f>IF(Table1[[#This Row],[Rework_Flag]]="No",1,0)</f>
        <v>0</v>
      </c>
      <c r="X586" s="4">
        <f>IF(Table1[[#This Row],[Rework_Flag]]="Yes",1,0)</f>
        <v>1</v>
      </c>
      <c r="Y586" s="4">
        <v>1</v>
      </c>
      <c r="Z586" s="4" t="str">
        <f>IF(Table1[[#This Row],[TAT_Days]]&gt;Table1[[#This Row],[SLA_TAT]],"Yes","No")</f>
        <v>No</v>
      </c>
      <c r="AA586" s="4" t="str" cm="1">
        <f t="array" ref="AA586">_xlfn.IFS(Table1[[#This Row],[Customer_Satisfaction]]&lt;=2,"Poor",Table1[[#This Row],[Customer_Satisfaction]]=3,"Neutral",Table1[[#This Row],[Customer_Satisfaction]]=4,"Good",Table1[[#This Row],[Customer_Satisfaction]]=5,"Good")</f>
        <v>Neutral</v>
      </c>
    </row>
    <row r="587" spans="1:27" x14ac:dyDescent="0.35">
      <c r="A587">
        <v>20585</v>
      </c>
      <c r="B587" s="1">
        <v>45387</v>
      </c>
      <c r="C587" t="s">
        <v>19</v>
      </c>
      <c r="D587" t="s">
        <v>45</v>
      </c>
      <c r="E587" t="s">
        <v>99</v>
      </c>
      <c r="F587" t="s">
        <v>40</v>
      </c>
      <c r="G587" t="s">
        <v>63</v>
      </c>
      <c r="H587" t="s">
        <v>24</v>
      </c>
      <c r="I587" t="s">
        <v>25</v>
      </c>
      <c r="J587" t="s">
        <v>26</v>
      </c>
      <c r="K587" t="s">
        <v>61</v>
      </c>
      <c r="L587" t="s">
        <v>28</v>
      </c>
      <c r="M587" s="4">
        <v>5</v>
      </c>
      <c r="N587" s="4">
        <v>7</v>
      </c>
      <c r="O587" t="s">
        <v>36</v>
      </c>
      <c r="P587" t="s">
        <v>29</v>
      </c>
      <c r="Q587" s="4">
        <v>474719</v>
      </c>
      <c r="R587" s="4">
        <v>377048</v>
      </c>
      <c r="S587" s="4">
        <f>Table1[[#This Row],[Service_Revenue]]-Table1[[#This Row],[Service_Cost]]</f>
        <v>97671</v>
      </c>
      <c r="T587" s="4">
        <v>4</v>
      </c>
      <c r="U587" s="4">
        <f>IF(AND(Table1[[#This Row],[Rework_Flag]]="Yes",Table1[[#This Row],[Warranty_Claim]]="No"),Table1[[#This Row],[Service_Revenue]],0)</f>
        <v>0</v>
      </c>
      <c r="V587" s="4">
        <f>IF(Table1[[#This Row],[Warranty_Claim]]="Yes",1,0)</f>
        <v>1</v>
      </c>
      <c r="W587" s="4">
        <f>IF(Table1[[#This Row],[Rework_Flag]]="No",1,0)</f>
        <v>1</v>
      </c>
      <c r="X587" s="4">
        <f>IF(Table1[[#This Row],[Rework_Flag]]="Yes",1,0)</f>
        <v>0</v>
      </c>
      <c r="Y587" s="4">
        <v>1</v>
      </c>
      <c r="Z587" s="4" t="str">
        <f>IF(Table1[[#This Row],[TAT_Days]]&gt;Table1[[#This Row],[SLA_TAT]],"Yes","No")</f>
        <v>No</v>
      </c>
      <c r="AA587" s="4" t="str" cm="1">
        <f t="array" ref="AA587">_xlfn.IFS(Table1[[#This Row],[Customer_Satisfaction]]&lt;=2,"Poor",Table1[[#This Row],[Customer_Satisfaction]]=3,"Neutral",Table1[[#This Row],[Customer_Satisfaction]]=4,"Good",Table1[[#This Row],[Customer_Satisfaction]]=5,"Good")</f>
        <v>Good</v>
      </c>
    </row>
    <row r="588" spans="1:27" x14ac:dyDescent="0.35">
      <c r="A588">
        <v>20586</v>
      </c>
      <c r="B588" s="1">
        <v>45390</v>
      </c>
      <c r="C588" t="s">
        <v>19</v>
      </c>
      <c r="D588" t="s">
        <v>45</v>
      </c>
      <c r="E588" t="s">
        <v>46</v>
      </c>
      <c r="F588" t="s">
        <v>40</v>
      </c>
      <c r="G588" t="s">
        <v>74</v>
      </c>
      <c r="H588" t="s">
        <v>34</v>
      </c>
      <c r="I588" t="s">
        <v>25</v>
      </c>
      <c r="J588" t="s">
        <v>58</v>
      </c>
      <c r="K588" t="s">
        <v>61</v>
      </c>
      <c r="L588" t="s">
        <v>28</v>
      </c>
      <c r="M588" s="4">
        <v>7</v>
      </c>
      <c r="N588" s="4">
        <v>7</v>
      </c>
      <c r="O588" t="s">
        <v>29</v>
      </c>
      <c r="P588" t="s">
        <v>36</v>
      </c>
      <c r="Q588" s="4">
        <v>471561</v>
      </c>
      <c r="R588" s="4">
        <v>387974</v>
      </c>
      <c r="S588" s="4">
        <f>Table1[[#This Row],[Service_Revenue]]-Table1[[#This Row],[Service_Cost]]</f>
        <v>83587</v>
      </c>
      <c r="T588" s="4">
        <v>3</v>
      </c>
      <c r="U588" s="4">
        <f>IF(AND(Table1[[#This Row],[Rework_Flag]]="Yes",Table1[[#This Row],[Warranty_Claim]]="No"),Table1[[#This Row],[Service_Revenue]],0)</f>
        <v>471561</v>
      </c>
      <c r="V588" s="4">
        <f>IF(Table1[[#This Row],[Warranty_Claim]]="Yes",1,0)</f>
        <v>0</v>
      </c>
      <c r="W588" s="4">
        <f>IF(Table1[[#This Row],[Rework_Flag]]="No",1,0)</f>
        <v>0</v>
      </c>
      <c r="X588" s="4">
        <f>IF(Table1[[#This Row],[Rework_Flag]]="Yes",1,0)</f>
        <v>1</v>
      </c>
      <c r="Y588" s="4">
        <v>1</v>
      </c>
      <c r="Z588" s="4" t="str">
        <f>IF(Table1[[#This Row],[TAT_Days]]&gt;Table1[[#This Row],[SLA_TAT]],"Yes","No")</f>
        <v>No</v>
      </c>
      <c r="AA588" s="4" t="str" cm="1">
        <f t="array" ref="AA588">_xlfn.IFS(Table1[[#This Row],[Customer_Satisfaction]]&lt;=2,"Poor",Table1[[#This Row],[Customer_Satisfaction]]=3,"Neutral",Table1[[#This Row],[Customer_Satisfaction]]=4,"Good",Table1[[#This Row],[Customer_Satisfaction]]=5,"Good")</f>
        <v>Neutral</v>
      </c>
    </row>
    <row r="589" spans="1:27" x14ac:dyDescent="0.35">
      <c r="A589">
        <v>20587</v>
      </c>
      <c r="B589" s="1">
        <v>45334</v>
      </c>
      <c r="C589" t="s">
        <v>37</v>
      </c>
      <c r="D589" t="s">
        <v>38</v>
      </c>
      <c r="E589" t="s">
        <v>107</v>
      </c>
      <c r="F589" t="s">
        <v>53</v>
      </c>
      <c r="G589" t="s">
        <v>74</v>
      </c>
      <c r="H589" t="s">
        <v>34</v>
      </c>
      <c r="I589" t="s">
        <v>25</v>
      </c>
      <c r="J589" t="s">
        <v>58</v>
      </c>
      <c r="K589" t="s">
        <v>61</v>
      </c>
      <c r="L589" t="s">
        <v>28</v>
      </c>
      <c r="M589" s="4">
        <v>20</v>
      </c>
      <c r="N589" s="4">
        <v>7</v>
      </c>
      <c r="O589" t="s">
        <v>29</v>
      </c>
      <c r="P589" t="s">
        <v>36</v>
      </c>
      <c r="Q589" s="4">
        <v>349513</v>
      </c>
      <c r="R589" s="4">
        <v>245957</v>
      </c>
      <c r="S589" s="4">
        <f>Table1[[#This Row],[Service_Revenue]]-Table1[[#This Row],[Service_Cost]]</f>
        <v>103556</v>
      </c>
      <c r="T589" s="4">
        <v>1</v>
      </c>
      <c r="U589" s="4">
        <f>IF(AND(Table1[[#This Row],[Rework_Flag]]="Yes",Table1[[#This Row],[Warranty_Claim]]="No"),Table1[[#This Row],[Service_Revenue]],0)</f>
        <v>349513</v>
      </c>
      <c r="V589" s="4">
        <f>IF(Table1[[#This Row],[Warranty_Claim]]="Yes",1,0)</f>
        <v>0</v>
      </c>
      <c r="W589" s="4">
        <f>IF(Table1[[#This Row],[Rework_Flag]]="No",1,0)</f>
        <v>0</v>
      </c>
      <c r="X589" s="4">
        <f>IF(Table1[[#This Row],[Rework_Flag]]="Yes",1,0)</f>
        <v>1</v>
      </c>
      <c r="Y589" s="4">
        <v>1</v>
      </c>
      <c r="Z589" s="4" t="str">
        <f>IF(Table1[[#This Row],[TAT_Days]]&gt;Table1[[#This Row],[SLA_TAT]],"Yes","No")</f>
        <v>Yes</v>
      </c>
      <c r="AA589" s="4" t="str" cm="1">
        <f t="array" ref="AA589">_xlfn.IFS(Table1[[#This Row],[Customer_Satisfaction]]&lt;=2,"Poor",Table1[[#This Row],[Customer_Satisfaction]]=3,"Neutral",Table1[[#This Row],[Customer_Satisfaction]]=4,"Good",Table1[[#This Row],[Customer_Satisfaction]]=5,"Good")</f>
        <v>Poor</v>
      </c>
    </row>
    <row r="590" spans="1:27" x14ac:dyDescent="0.35">
      <c r="A590">
        <v>20588</v>
      </c>
      <c r="B590" s="1">
        <v>45355</v>
      </c>
      <c r="C590" t="s">
        <v>50</v>
      </c>
      <c r="D590" t="s">
        <v>56</v>
      </c>
      <c r="E590" t="s">
        <v>88</v>
      </c>
      <c r="F590" t="s">
        <v>40</v>
      </c>
      <c r="G590" t="s">
        <v>33</v>
      </c>
      <c r="H590" t="s">
        <v>34</v>
      </c>
      <c r="I590" t="s">
        <v>25</v>
      </c>
      <c r="J590" t="s">
        <v>67</v>
      </c>
      <c r="K590" t="s">
        <v>61</v>
      </c>
      <c r="L590" t="s">
        <v>49</v>
      </c>
      <c r="M590" s="4">
        <v>20</v>
      </c>
      <c r="N590" s="4">
        <v>7</v>
      </c>
      <c r="O590" t="s">
        <v>29</v>
      </c>
      <c r="P590" t="s">
        <v>36</v>
      </c>
      <c r="Q590" s="4">
        <v>524664</v>
      </c>
      <c r="R590" s="4">
        <v>419795</v>
      </c>
      <c r="S590" s="4">
        <f>Table1[[#This Row],[Service_Revenue]]-Table1[[#This Row],[Service_Cost]]</f>
        <v>104869</v>
      </c>
      <c r="T590" s="4">
        <v>1</v>
      </c>
      <c r="U590" s="4">
        <f>IF(AND(Table1[[#This Row],[Rework_Flag]]="Yes",Table1[[#This Row],[Warranty_Claim]]="No"),Table1[[#This Row],[Service_Revenue]],0)</f>
        <v>524664</v>
      </c>
      <c r="V590" s="4">
        <f>IF(Table1[[#This Row],[Warranty_Claim]]="Yes",1,0)</f>
        <v>0</v>
      </c>
      <c r="W590" s="4">
        <f>IF(Table1[[#This Row],[Rework_Flag]]="No",1,0)</f>
        <v>0</v>
      </c>
      <c r="X590" s="4">
        <f>IF(Table1[[#This Row],[Rework_Flag]]="Yes",1,0)</f>
        <v>1</v>
      </c>
      <c r="Y590" s="4">
        <v>1</v>
      </c>
      <c r="Z590" s="4" t="str">
        <f>IF(Table1[[#This Row],[TAT_Days]]&gt;Table1[[#This Row],[SLA_TAT]],"Yes","No")</f>
        <v>Yes</v>
      </c>
      <c r="AA590" s="4" t="str" cm="1">
        <f t="array" ref="AA590">_xlfn.IFS(Table1[[#This Row],[Customer_Satisfaction]]&lt;=2,"Poor",Table1[[#This Row],[Customer_Satisfaction]]=3,"Neutral",Table1[[#This Row],[Customer_Satisfaction]]=4,"Good",Table1[[#This Row],[Customer_Satisfaction]]=5,"Good")</f>
        <v>Poor</v>
      </c>
    </row>
    <row r="591" spans="1:27" x14ac:dyDescent="0.35">
      <c r="A591">
        <v>20589</v>
      </c>
      <c r="B591" s="1">
        <v>45311</v>
      </c>
      <c r="C591" t="s">
        <v>50</v>
      </c>
      <c r="D591" t="s">
        <v>51</v>
      </c>
      <c r="E591" t="s">
        <v>73</v>
      </c>
      <c r="F591" t="s">
        <v>53</v>
      </c>
      <c r="G591" t="s">
        <v>47</v>
      </c>
      <c r="H591" t="s">
        <v>48</v>
      </c>
      <c r="I591" t="s">
        <v>55</v>
      </c>
      <c r="J591" t="s">
        <v>26</v>
      </c>
      <c r="K591" t="s">
        <v>27</v>
      </c>
      <c r="L591" t="s">
        <v>28</v>
      </c>
      <c r="M591" s="4">
        <v>9</v>
      </c>
      <c r="N591" s="4">
        <v>7</v>
      </c>
      <c r="O591" t="s">
        <v>29</v>
      </c>
      <c r="P591" t="s">
        <v>36</v>
      </c>
      <c r="Q591" s="4">
        <v>346803</v>
      </c>
      <c r="R591" s="4">
        <v>259313</v>
      </c>
      <c r="S591" s="4">
        <f>Table1[[#This Row],[Service_Revenue]]-Table1[[#This Row],[Service_Cost]]</f>
        <v>87490</v>
      </c>
      <c r="T591" s="4">
        <v>3</v>
      </c>
      <c r="U591" s="4">
        <f>IF(AND(Table1[[#This Row],[Rework_Flag]]="Yes",Table1[[#This Row],[Warranty_Claim]]="No"),Table1[[#This Row],[Service_Revenue]],0)</f>
        <v>346803</v>
      </c>
      <c r="V591" s="4">
        <f>IF(Table1[[#This Row],[Warranty_Claim]]="Yes",1,0)</f>
        <v>0</v>
      </c>
      <c r="W591" s="4">
        <f>IF(Table1[[#This Row],[Rework_Flag]]="No",1,0)</f>
        <v>0</v>
      </c>
      <c r="X591" s="4">
        <f>IF(Table1[[#This Row],[Rework_Flag]]="Yes",1,0)</f>
        <v>1</v>
      </c>
      <c r="Y591" s="4">
        <v>1</v>
      </c>
      <c r="Z591" s="4" t="str">
        <f>IF(Table1[[#This Row],[TAT_Days]]&gt;Table1[[#This Row],[SLA_TAT]],"Yes","No")</f>
        <v>Yes</v>
      </c>
      <c r="AA591" s="4" t="str" cm="1">
        <f t="array" ref="AA591">_xlfn.IFS(Table1[[#This Row],[Customer_Satisfaction]]&lt;=2,"Poor",Table1[[#This Row],[Customer_Satisfaction]]=3,"Neutral",Table1[[#This Row],[Customer_Satisfaction]]=4,"Good",Table1[[#This Row],[Customer_Satisfaction]]=5,"Good")</f>
        <v>Neutral</v>
      </c>
    </row>
    <row r="592" spans="1:27" x14ac:dyDescent="0.35">
      <c r="A592">
        <v>20590</v>
      </c>
      <c r="B592" s="1">
        <v>45417</v>
      </c>
      <c r="C592" t="s">
        <v>19</v>
      </c>
      <c r="D592" t="s">
        <v>96</v>
      </c>
      <c r="E592" t="s">
        <v>105</v>
      </c>
      <c r="F592" t="s">
        <v>40</v>
      </c>
      <c r="G592" t="s">
        <v>47</v>
      </c>
      <c r="H592" t="s">
        <v>48</v>
      </c>
      <c r="I592" t="s">
        <v>55</v>
      </c>
      <c r="J592" t="s">
        <v>35</v>
      </c>
      <c r="K592" t="s">
        <v>61</v>
      </c>
      <c r="L592" t="s">
        <v>28</v>
      </c>
      <c r="M592" s="4">
        <v>22</v>
      </c>
      <c r="N592" s="4">
        <v>7</v>
      </c>
      <c r="O592" t="s">
        <v>36</v>
      </c>
      <c r="P592" t="s">
        <v>36</v>
      </c>
      <c r="Q592" s="4">
        <v>233815</v>
      </c>
      <c r="R592" s="4">
        <v>184233</v>
      </c>
      <c r="S592" s="4">
        <f>Table1[[#This Row],[Service_Revenue]]-Table1[[#This Row],[Service_Cost]]</f>
        <v>49582</v>
      </c>
      <c r="T592" s="4">
        <v>1</v>
      </c>
      <c r="U592" s="4">
        <f>IF(AND(Table1[[#This Row],[Rework_Flag]]="Yes",Table1[[#This Row],[Warranty_Claim]]="No"),Table1[[#This Row],[Service_Revenue]],0)</f>
        <v>0</v>
      </c>
      <c r="V592" s="4">
        <f>IF(Table1[[#This Row],[Warranty_Claim]]="Yes",1,0)</f>
        <v>0</v>
      </c>
      <c r="W592" s="4">
        <f>IF(Table1[[#This Row],[Rework_Flag]]="No",1,0)</f>
        <v>1</v>
      </c>
      <c r="X592" s="4">
        <f>IF(Table1[[#This Row],[Rework_Flag]]="Yes",1,0)</f>
        <v>0</v>
      </c>
      <c r="Y592" s="4">
        <v>1</v>
      </c>
      <c r="Z592" s="4" t="str">
        <f>IF(Table1[[#This Row],[TAT_Days]]&gt;Table1[[#This Row],[SLA_TAT]],"Yes","No")</f>
        <v>Yes</v>
      </c>
      <c r="AA592" s="4" t="str" cm="1">
        <f t="array" ref="AA592">_xlfn.IFS(Table1[[#This Row],[Customer_Satisfaction]]&lt;=2,"Poor",Table1[[#This Row],[Customer_Satisfaction]]=3,"Neutral",Table1[[#This Row],[Customer_Satisfaction]]=4,"Good",Table1[[#This Row],[Customer_Satisfaction]]=5,"Good")</f>
        <v>Poor</v>
      </c>
    </row>
    <row r="593" spans="1:27" x14ac:dyDescent="0.35">
      <c r="A593">
        <v>20591</v>
      </c>
      <c r="B593" s="1">
        <v>45455</v>
      </c>
      <c r="C593" t="s">
        <v>19</v>
      </c>
      <c r="D593" t="s">
        <v>45</v>
      </c>
      <c r="E593" t="s">
        <v>114</v>
      </c>
      <c r="F593" t="s">
        <v>53</v>
      </c>
      <c r="G593" t="s">
        <v>63</v>
      </c>
      <c r="H593" t="s">
        <v>24</v>
      </c>
      <c r="I593" t="s">
        <v>55</v>
      </c>
      <c r="J593" t="s">
        <v>67</v>
      </c>
      <c r="K593" t="s">
        <v>61</v>
      </c>
      <c r="L593" t="s">
        <v>28</v>
      </c>
      <c r="M593" s="4">
        <v>9</v>
      </c>
      <c r="N593" s="4">
        <v>7</v>
      </c>
      <c r="O593" t="s">
        <v>29</v>
      </c>
      <c r="P593" t="s">
        <v>36</v>
      </c>
      <c r="Q593" s="4">
        <v>191270</v>
      </c>
      <c r="R593" s="4">
        <v>159039</v>
      </c>
      <c r="S593" s="4">
        <f>Table1[[#This Row],[Service_Revenue]]-Table1[[#This Row],[Service_Cost]]</f>
        <v>32231</v>
      </c>
      <c r="T593" s="4">
        <v>3</v>
      </c>
      <c r="U593" s="4">
        <f>IF(AND(Table1[[#This Row],[Rework_Flag]]="Yes",Table1[[#This Row],[Warranty_Claim]]="No"),Table1[[#This Row],[Service_Revenue]],0)</f>
        <v>191270</v>
      </c>
      <c r="V593" s="4">
        <f>IF(Table1[[#This Row],[Warranty_Claim]]="Yes",1,0)</f>
        <v>0</v>
      </c>
      <c r="W593" s="4">
        <f>IF(Table1[[#This Row],[Rework_Flag]]="No",1,0)</f>
        <v>0</v>
      </c>
      <c r="X593" s="4">
        <f>IF(Table1[[#This Row],[Rework_Flag]]="Yes",1,0)</f>
        <v>1</v>
      </c>
      <c r="Y593" s="4">
        <v>1</v>
      </c>
      <c r="Z593" s="4" t="str">
        <f>IF(Table1[[#This Row],[TAT_Days]]&gt;Table1[[#This Row],[SLA_TAT]],"Yes","No")</f>
        <v>Yes</v>
      </c>
      <c r="AA593" s="4" t="str" cm="1">
        <f t="array" ref="AA593">_xlfn.IFS(Table1[[#This Row],[Customer_Satisfaction]]&lt;=2,"Poor",Table1[[#This Row],[Customer_Satisfaction]]=3,"Neutral",Table1[[#This Row],[Customer_Satisfaction]]=4,"Good",Table1[[#This Row],[Customer_Satisfaction]]=5,"Good")</f>
        <v>Neutral</v>
      </c>
    </row>
    <row r="594" spans="1:27" x14ac:dyDescent="0.35">
      <c r="A594">
        <v>20592</v>
      </c>
      <c r="B594" s="1">
        <v>45337</v>
      </c>
      <c r="C594" t="s">
        <v>37</v>
      </c>
      <c r="D594" t="s">
        <v>70</v>
      </c>
      <c r="E594" t="s">
        <v>100</v>
      </c>
      <c r="F594" t="s">
        <v>40</v>
      </c>
      <c r="G594" t="s">
        <v>41</v>
      </c>
      <c r="H594" t="s">
        <v>42</v>
      </c>
      <c r="I594" t="s">
        <v>25</v>
      </c>
      <c r="J594" t="s">
        <v>58</v>
      </c>
      <c r="K594" t="s">
        <v>61</v>
      </c>
      <c r="L594" t="s">
        <v>28</v>
      </c>
      <c r="M594" s="4">
        <v>20</v>
      </c>
      <c r="N594" s="4">
        <v>7</v>
      </c>
      <c r="O594" t="s">
        <v>29</v>
      </c>
      <c r="P594" t="s">
        <v>36</v>
      </c>
      <c r="Q594" s="4">
        <v>455482</v>
      </c>
      <c r="R594" s="4">
        <v>287144</v>
      </c>
      <c r="S594" s="4">
        <f>Table1[[#This Row],[Service_Revenue]]-Table1[[#This Row],[Service_Cost]]</f>
        <v>168338</v>
      </c>
      <c r="T594" s="4">
        <v>1</v>
      </c>
      <c r="U594" s="4">
        <f>IF(AND(Table1[[#This Row],[Rework_Flag]]="Yes",Table1[[#This Row],[Warranty_Claim]]="No"),Table1[[#This Row],[Service_Revenue]],0)</f>
        <v>455482</v>
      </c>
      <c r="V594" s="4">
        <f>IF(Table1[[#This Row],[Warranty_Claim]]="Yes",1,0)</f>
        <v>0</v>
      </c>
      <c r="W594" s="4">
        <f>IF(Table1[[#This Row],[Rework_Flag]]="No",1,0)</f>
        <v>0</v>
      </c>
      <c r="X594" s="4">
        <f>IF(Table1[[#This Row],[Rework_Flag]]="Yes",1,0)</f>
        <v>1</v>
      </c>
      <c r="Y594" s="4">
        <v>1</v>
      </c>
      <c r="Z594" s="4" t="str">
        <f>IF(Table1[[#This Row],[TAT_Days]]&gt;Table1[[#This Row],[SLA_TAT]],"Yes","No")</f>
        <v>Yes</v>
      </c>
      <c r="AA594" s="4" t="str" cm="1">
        <f t="array" ref="AA594">_xlfn.IFS(Table1[[#This Row],[Customer_Satisfaction]]&lt;=2,"Poor",Table1[[#This Row],[Customer_Satisfaction]]=3,"Neutral",Table1[[#This Row],[Customer_Satisfaction]]=4,"Good",Table1[[#This Row],[Customer_Satisfaction]]=5,"Good")</f>
        <v>Poor</v>
      </c>
    </row>
    <row r="595" spans="1:27" x14ac:dyDescent="0.35">
      <c r="A595">
        <v>20593</v>
      </c>
      <c r="B595" s="1">
        <v>45312</v>
      </c>
      <c r="C595" t="s">
        <v>30</v>
      </c>
      <c r="D595" t="s">
        <v>59</v>
      </c>
      <c r="E595" t="s">
        <v>78</v>
      </c>
      <c r="F595" t="s">
        <v>22</v>
      </c>
      <c r="G595" t="s">
        <v>47</v>
      </c>
      <c r="H595" t="s">
        <v>48</v>
      </c>
      <c r="I595" t="s">
        <v>25</v>
      </c>
      <c r="J595" t="s">
        <v>35</v>
      </c>
      <c r="K595" t="s">
        <v>44</v>
      </c>
      <c r="L595" t="s">
        <v>28</v>
      </c>
      <c r="M595" s="4">
        <v>23</v>
      </c>
      <c r="N595" s="4">
        <v>7</v>
      </c>
      <c r="O595" t="s">
        <v>36</v>
      </c>
      <c r="P595" t="s">
        <v>29</v>
      </c>
      <c r="Q595" s="4">
        <v>377185</v>
      </c>
      <c r="R595" s="4">
        <v>271968</v>
      </c>
      <c r="S595" s="4">
        <f>Table1[[#This Row],[Service_Revenue]]-Table1[[#This Row],[Service_Cost]]</f>
        <v>105217</v>
      </c>
      <c r="T595" s="4">
        <v>1</v>
      </c>
      <c r="U595" s="4">
        <f>IF(AND(Table1[[#This Row],[Rework_Flag]]="Yes",Table1[[#This Row],[Warranty_Claim]]="No"),Table1[[#This Row],[Service_Revenue]],0)</f>
        <v>0</v>
      </c>
      <c r="V595" s="4">
        <f>IF(Table1[[#This Row],[Warranty_Claim]]="Yes",1,0)</f>
        <v>1</v>
      </c>
      <c r="W595" s="4">
        <f>IF(Table1[[#This Row],[Rework_Flag]]="No",1,0)</f>
        <v>1</v>
      </c>
      <c r="X595" s="4">
        <f>IF(Table1[[#This Row],[Rework_Flag]]="Yes",1,0)</f>
        <v>0</v>
      </c>
      <c r="Y595" s="4">
        <v>1</v>
      </c>
      <c r="Z595" s="4" t="str">
        <f>IF(Table1[[#This Row],[TAT_Days]]&gt;Table1[[#This Row],[SLA_TAT]],"Yes","No")</f>
        <v>Yes</v>
      </c>
      <c r="AA595" s="4" t="str" cm="1">
        <f t="array" ref="AA595">_xlfn.IFS(Table1[[#This Row],[Customer_Satisfaction]]&lt;=2,"Poor",Table1[[#This Row],[Customer_Satisfaction]]=3,"Neutral",Table1[[#This Row],[Customer_Satisfaction]]=4,"Good",Table1[[#This Row],[Customer_Satisfaction]]=5,"Good")</f>
        <v>Poor</v>
      </c>
    </row>
    <row r="596" spans="1:27" x14ac:dyDescent="0.35">
      <c r="A596">
        <v>20594</v>
      </c>
      <c r="B596" s="1">
        <v>45305</v>
      </c>
      <c r="C596" t="s">
        <v>30</v>
      </c>
      <c r="D596" t="s">
        <v>31</v>
      </c>
      <c r="E596" t="s">
        <v>32</v>
      </c>
      <c r="F596" t="s">
        <v>22</v>
      </c>
      <c r="G596" t="s">
        <v>23</v>
      </c>
      <c r="H596" t="s">
        <v>24</v>
      </c>
      <c r="I596" t="s">
        <v>55</v>
      </c>
      <c r="J596" t="s">
        <v>43</v>
      </c>
      <c r="K596" t="s">
        <v>27</v>
      </c>
      <c r="L596" t="s">
        <v>28</v>
      </c>
      <c r="M596" s="4">
        <v>18</v>
      </c>
      <c r="N596" s="4">
        <v>7</v>
      </c>
      <c r="O596" t="s">
        <v>29</v>
      </c>
      <c r="P596" t="s">
        <v>29</v>
      </c>
      <c r="Q596" s="4">
        <v>420676</v>
      </c>
      <c r="R596" s="4">
        <v>222046</v>
      </c>
      <c r="S596" s="4">
        <f>Table1[[#This Row],[Service_Revenue]]-Table1[[#This Row],[Service_Cost]]</f>
        <v>198630</v>
      </c>
      <c r="T596" s="4">
        <v>1</v>
      </c>
      <c r="U596" s="4">
        <f>IF(AND(Table1[[#This Row],[Rework_Flag]]="Yes",Table1[[#This Row],[Warranty_Claim]]="No"),Table1[[#This Row],[Service_Revenue]],0)</f>
        <v>0</v>
      </c>
      <c r="V596" s="4">
        <f>IF(Table1[[#This Row],[Warranty_Claim]]="Yes",1,0)</f>
        <v>1</v>
      </c>
      <c r="W596" s="4">
        <f>IF(Table1[[#This Row],[Rework_Flag]]="No",1,0)</f>
        <v>0</v>
      </c>
      <c r="X596" s="4">
        <f>IF(Table1[[#This Row],[Rework_Flag]]="Yes",1,0)</f>
        <v>1</v>
      </c>
      <c r="Y596" s="4">
        <v>1</v>
      </c>
      <c r="Z596" s="4" t="str">
        <f>IF(Table1[[#This Row],[TAT_Days]]&gt;Table1[[#This Row],[SLA_TAT]],"Yes","No")</f>
        <v>Yes</v>
      </c>
      <c r="AA596" s="4" t="str" cm="1">
        <f t="array" ref="AA596">_xlfn.IFS(Table1[[#This Row],[Customer_Satisfaction]]&lt;=2,"Poor",Table1[[#This Row],[Customer_Satisfaction]]=3,"Neutral",Table1[[#This Row],[Customer_Satisfaction]]=4,"Good",Table1[[#This Row],[Customer_Satisfaction]]=5,"Good")</f>
        <v>Poor</v>
      </c>
    </row>
    <row r="597" spans="1:27" x14ac:dyDescent="0.35">
      <c r="A597">
        <v>20595</v>
      </c>
      <c r="B597" s="1">
        <v>45297</v>
      </c>
      <c r="C597" t="s">
        <v>19</v>
      </c>
      <c r="D597" t="s">
        <v>96</v>
      </c>
      <c r="E597" t="s">
        <v>109</v>
      </c>
      <c r="F597" t="s">
        <v>40</v>
      </c>
      <c r="G597" t="s">
        <v>63</v>
      </c>
      <c r="H597" t="s">
        <v>24</v>
      </c>
      <c r="I597" t="s">
        <v>25</v>
      </c>
      <c r="J597" t="s">
        <v>35</v>
      </c>
      <c r="K597" t="s">
        <v>27</v>
      </c>
      <c r="L597" t="s">
        <v>49</v>
      </c>
      <c r="M597" s="4">
        <v>12</v>
      </c>
      <c r="N597" s="4">
        <v>7</v>
      </c>
      <c r="O597" t="s">
        <v>29</v>
      </c>
      <c r="P597" t="s">
        <v>36</v>
      </c>
      <c r="Q597" s="4">
        <v>101811</v>
      </c>
      <c r="R597" s="4">
        <v>57949</v>
      </c>
      <c r="S597" s="4">
        <f>Table1[[#This Row],[Service_Revenue]]-Table1[[#This Row],[Service_Cost]]</f>
        <v>43862</v>
      </c>
      <c r="T597" s="4">
        <v>2</v>
      </c>
      <c r="U597" s="4">
        <f>IF(AND(Table1[[#This Row],[Rework_Flag]]="Yes",Table1[[#This Row],[Warranty_Claim]]="No"),Table1[[#This Row],[Service_Revenue]],0)</f>
        <v>101811</v>
      </c>
      <c r="V597" s="4">
        <f>IF(Table1[[#This Row],[Warranty_Claim]]="Yes",1,0)</f>
        <v>0</v>
      </c>
      <c r="W597" s="4">
        <f>IF(Table1[[#This Row],[Rework_Flag]]="No",1,0)</f>
        <v>0</v>
      </c>
      <c r="X597" s="4">
        <f>IF(Table1[[#This Row],[Rework_Flag]]="Yes",1,0)</f>
        <v>1</v>
      </c>
      <c r="Y597" s="4">
        <v>1</v>
      </c>
      <c r="Z597" s="4" t="str">
        <f>IF(Table1[[#This Row],[TAT_Days]]&gt;Table1[[#This Row],[SLA_TAT]],"Yes","No")</f>
        <v>Yes</v>
      </c>
      <c r="AA597" s="4" t="str" cm="1">
        <f t="array" ref="AA597">_xlfn.IFS(Table1[[#This Row],[Customer_Satisfaction]]&lt;=2,"Poor",Table1[[#This Row],[Customer_Satisfaction]]=3,"Neutral",Table1[[#This Row],[Customer_Satisfaction]]=4,"Good",Table1[[#This Row],[Customer_Satisfaction]]=5,"Good")</f>
        <v>Poor</v>
      </c>
    </row>
    <row r="598" spans="1:27" x14ac:dyDescent="0.35">
      <c r="A598">
        <v>20596</v>
      </c>
      <c r="B598" s="1">
        <v>45399</v>
      </c>
      <c r="C598" t="s">
        <v>50</v>
      </c>
      <c r="D598" t="s">
        <v>51</v>
      </c>
      <c r="E598" t="s">
        <v>113</v>
      </c>
      <c r="F598" t="s">
        <v>22</v>
      </c>
      <c r="G598" t="s">
        <v>63</v>
      </c>
      <c r="H598" t="s">
        <v>24</v>
      </c>
      <c r="I598" t="s">
        <v>55</v>
      </c>
      <c r="J598" t="s">
        <v>58</v>
      </c>
      <c r="K598" t="s">
        <v>61</v>
      </c>
      <c r="L598" t="s">
        <v>49</v>
      </c>
      <c r="M598" s="4">
        <v>17</v>
      </c>
      <c r="N598" s="4">
        <v>7</v>
      </c>
      <c r="O598" t="s">
        <v>29</v>
      </c>
      <c r="P598" t="s">
        <v>29</v>
      </c>
      <c r="Q598" s="4">
        <v>393886</v>
      </c>
      <c r="R598" s="4">
        <v>326945</v>
      </c>
      <c r="S598" s="4">
        <f>Table1[[#This Row],[Service_Revenue]]-Table1[[#This Row],[Service_Cost]]</f>
        <v>66941</v>
      </c>
      <c r="T598" s="4">
        <v>1</v>
      </c>
      <c r="U598" s="4">
        <f>IF(AND(Table1[[#This Row],[Rework_Flag]]="Yes",Table1[[#This Row],[Warranty_Claim]]="No"),Table1[[#This Row],[Service_Revenue]],0)</f>
        <v>0</v>
      </c>
      <c r="V598" s="4">
        <f>IF(Table1[[#This Row],[Warranty_Claim]]="Yes",1,0)</f>
        <v>1</v>
      </c>
      <c r="W598" s="4">
        <f>IF(Table1[[#This Row],[Rework_Flag]]="No",1,0)</f>
        <v>0</v>
      </c>
      <c r="X598" s="4">
        <f>IF(Table1[[#This Row],[Rework_Flag]]="Yes",1,0)</f>
        <v>1</v>
      </c>
      <c r="Y598" s="4">
        <v>1</v>
      </c>
      <c r="Z598" s="4" t="str">
        <f>IF(Table1[[#This Row],[TAT_Days]]&gt;Table1[[#This Row],[SLA_TAT]],"Yes","No")</f>
        <v>Yes</v>
      </c>
      <c r="AA598" s="4" t="str" cm="1">
        <f t="array" ref="AA598">_xlfn.IFS(Table1[[#This Row],[Customer_Satisfaction]]&lt;=2,"Poor",Table1[[#This Row],[Customer_Satisfaction]]=3,"Neutral",Table1[[#This Row],[Customer_Satisfaction]]=4,"Good",Table1[[#This Row],[Customer_Satisfaction]]=5,"Good")</f>
        <v>Poor</v>
      </c>
    </row>
    <row r="599" spans="1:27" x14ac:dyDescent="0.35">
      <c r="A599">
        <v>20597</v>
      </c>
      <c r="B599" s="1">
        <v>45313</v>
      </c>
      <c r="C599" t="s">
        <v>30</v>
      </c>
      <c r="D599" t="s">
        <v>59</v>
      </c>
      <c r="E599" t="s">
        <v>66</v>
      </c>
      <c r="F599" t="s">
        <v>53</v>
      </c>
      <c r="G599" t="s">
        <v>23</v>
      </c>
      <c r="H599" t="s">
        <v>24</v>
      </c>
      <c r="I599" t="s">
        <v>25</v>
      </c>
      <c r="J599" t="s">
        <v>58</v>
      </c>
      <c r="K599" t="s">
        <v>44</v>
      </c>
      <c r="L599" t="s">
        <v>49</v>
      </c>
      <c r="M599" s="4">
        <v>9</v>
      </c>
      <c r="N599" s="4">
        <v>7</v>
      </c>
      <c r="O599" t="s">
        <v>29</v>
      </c>
      <c r="P599" t="s">
        <v>36</v>
      </c>
      <c r="Q599" s="4">
        <v>183086</v>
      </c>
      <c r="R599" s="4">
        <v>107701</v>
      </c>
      <c r="S599" s="4">
        <f>Table1[[#This Row],[Service_Revenue]]-Table1[[#This Row],[Service_Cost]]</f>
        <v>75385</v>
      </c>
      <c r="T599" s="4">
        <v>3</v>
      </c>
      <c r="U599" s="4">
        <f>IF(AND(Table1[[#This Row],[Rework_Flag]]="Yes",Table1[[#This Row],[Warranty_Claim]]="No"),Table1[[#This Row],[Service_Revenue]],0)</f>
        <v>183086</v>
      </c>
      <c r="V599" s="4">
        <f>IF(Table1[[#This Row],[Warranty_Claim]]="Yes",1,0)</f>
        <v>0</v>
      </c>
      <c r="W599" s="4">
        <f>IF(Table1[[#This Row],[Rework_Flag]]="No",1,0)</f>
        <v>0</v>
      </c>
      <c r="X599" s="4">
        <f>IF(Table1[[#This Row],[Rework_Flag]]="Yes",1,0)</f>
        <v>1</v>
      </c>
      <c r="Y599" s="4">
        <v>1</v>
      </c>
      <c r="Z599" s="4" t="str">
        <f>IF(Table1[[#This Row],[TAT_Days]]&gt;Table1[[#This Row],[SLA_TAT]],"Yes","No")</f>
        <v>Yes</v>
      </c>
      <c r="AA599" s="4" t="str" cm="1">
        <f t="array" ref="AA599">_xlfn.IFS(Table1[[#This Row],[Customer_Satisfaction]]&lt;=2,"Poor",Table1[[#This Row],[Customer_Satisfaction]]=3,"Neutral",Table1[[#This Row],[Customer_Satisfaction]]=4,"Good",Table1[[#This Row],[Customer_Satisfaction]]=5,"Good")</f>
        <v>Neutral</v>
      </c>
    </row>
    <row r="600" spans="1:27" x14ac:dyDescent="0.35">
      <c r="A600">
        <v>20598</v>
      </c>
      <c r="B600" s="1">
        <v>45396</v>
      </c>
      <c r="C600" t="s">
        <v>19</v>
      </c>
      <c r="D600" t="s">
        <v>45</v>
      </c>
      <c r="E600" t="s">
        <v>46</v>
      </c>
      <c r="F600" t="s">
        <v>22</v>
      </c>
      <c r="G600" t="s">
        <v>33</v>
      </c>
      <c r="H600" t="s">
        <v>34</v>
      </c>
      <c r="I600" t="s">
        <v>25</v>
      </c>
      <c r="J600" t="s">
        <v>58</v>
      </c>
      <c r="K600" t="s">
        <v>61</v>
      </c>
      <c r="L600" t="s">
        <v>28</v>
      </c>
      <c r="M600" s="4">
        <v>25</v>
      </c>
      <c r="N600" s="4">
        <v>7</v>
      </c>
      <c r="O600" t="s">
        <v>29</v>
      </c>
      <c r="P600" t="s">
        <v>36</v>
      </c>
      <c r="Q600" s="4">
        <v>472671</v>
      </c>
      <c r="R600" s="4">
        <v>370664</v>
      </c>
      <c r="S600" s="4">
        <f>Table1[[#This Row],[Service_Revenue]]-Table1[[#This Row],[Service_Cost]]</f>
        <v>102007</v>
      </c>
      <c r="T600" s="4">
        <v>1</v>
      </c>
      <c r="U600" s="4">
        <f>IF(AND(Table1[[#This Row],[Rework_Flag]]="Yes",Table1[[#This Row],[Warranty_Claim]]="No"),Table1[[#This Row],[Service_Revenue]],0)</f>
        <v>472671</v>
      </c>
      <c r="V600" s="4">
        <f>IF(Table1[[#This Row],[Warranty_Claim]]="Yes",1,0)</f>
        <v>0</v>
      </c>
      <c r="W600" s="4">
        <f>IF(Table1[[#This Row],[Rework_Flag]]="No",1,0)</f>
        <v>0</v>
      </c>
      <c r="X600" s="4">
        <f>IF(Table1[[#This Row],[Rework_Flag]]="Yes",1,0)</f>
        <v>1</v>
      </c>
      <c r="Y600" s="4">
        <v>1</v>
      </c>
      <c r="Z600" s="4" t="str">
        <f>IF(Table1[[#This Row],[TAT_Days]]&gt;Table1[[#This Row],[SLA_TAT]],"Yes","No")</f>
        <v>Yes</v>
      </c>
      <c r="AA600" s="4" t="str" cm="1">
        <f t="array" ref="AA600">_xlfn.IFS(Table1[[#This Row],[Customer_Satisfaction]]&lt;=2,"Poor",Table1[[#This Row],[Customer_Satisfaction]]=3,"Neutral",Table1[[#This Row],[Customer_Satisfaction]]=4,"Good",Table1[[#This Row],[Customer_Satisfaction]]=5,"Good")</f>
        <v>Poor</v>
      </c>
    </row>
    <row r="601" spans="1:27" x14ac:dyDescent="0.35">
      <c r="A601">
        <v>20599</v>
      </c>
      <c r="B601" s="1">
        <v>45365</v>
      </c>
      <c r="C601" t="s">
        <v>19</v>
      </c>
      <c r="D601" t="s">
        <v>45</v>
      </c>
      <c r="E601" t="s">
        <v>99</v>
      </c>
      <c r="F601" t="s">
        <v>53</v>
      </c>
      <c r="G601" t="s">
        <v>33</v>
      </c>
      <c r="H601" t="s">
        <v>34</v>
      </c>
      <c r="I601" t="s">
        <v>25</v>
      </c>
      <c r="J601" t="s">
        <v>43</v>
      </c>
      <c r="K601" t="s">
        <v>61</v>
      </c>
      <c r="L601" t="s">
        <v>28</v>
      </c>
      <c r="M601" s="4">
        <v>14</v>
      </c>
      <c r="N601" s="4">
        <v>7</v>
      </c>
      <c r="O601" t="s">
        <v>29</v>
      </c>
      <c r="P601" t="s">
        <v>29</v>
      </c>
      <c r="Q601" s="4">
        <v>375181</v>
      </c>
      <c r="R601" s="4">
        <v>212213</v>
      </c>
      <c r="S601" s="4">
        <f>Table1[[#This Row],[Service_Revenue]]-Table1[[#This Row],[Service_Cost]]</f>
        <v>162968</v>
      </c>
      <c r="T601" s="4">
        <v>2</v>
      </c>
      <c r="U601" s="4">
        <f>IF(AND(Table1[[#This Row],[Rework_Flag]]="Yes",Table1[[#This Row],[Warranty_Claim]]="No"),Table1[[#This Row],[Service_Revenue]],0)</f>
        <v>0</v>
      </c>
      <c r="V601" s="4">
        <f>IF(Table1[[#This Row],[Warranty_Claim]]="Yes",1,0)</f>
        <v>1</v>
      </c>
      <c r="W601" s="4">
        <f>IF(Table1[[#This Row],[Rework_Flag]]="No",1,0)</f>
        <v>0</v>
      </c>
      <c r="X601" s="4">
        <f>IF(Table1[[#This Row],[Rework_Flag]]="Yes",1,0)</f>
        <v>1</v>
      </c>
      <c r="Y601" s="4">
        <v>1</v>
      </c>
      <c r="Z601" s="4" t="str">
        <f>IF(Table1[[#This Row],[TAT_Days]]&gt;Table1[[#This Row],[SLA_TAT]],"Yes","No")</f>
        <v>Yes</v>
      </c>
      <c r="AA601" s="4" t="str" cm="1">
        <f t="array" ref="AA601">_xlfn.IFS(Table1[[#This Row],[Customer_Satisfaction]]&lt;=2,"Poor",Table1[[#This Row],[Customer_Satisfaction]]=3,"Neutral",Table1[[#This Row],[Customer_Satisfaction]]=4,"Good",Table1[[#This Row],[Customer_Satisfaction]]=5,"Good")</f>
        <v>Poor</v>
      </c>
    </row>
    <row r="602" spans="1:27" x14ac:dyDescent="0.35">
      <c r="A602">
        <v>20600</v>
      </c>
      <c r="B602" s="1">
        <v>45404</v>
      </c>
      <c r="C602" t="s">
        <v>19</v>
      </c>
      <c r="D602" t="s">
        <v>45</v>
      </c>
      <c r="E602" t="s">
        <v>114</v>
      </c>
      <c r="F602" t="s">
        <v>40</v>
      </c>
      <c r="G602" t="s">
        <v>33</v>
      </c>
      <c r="H602" t="s">
        <v>34</v>
      </c>
      <c r="I602" t="s">
        <v>55</v>
      </c>
      <c r="J602" t="s">
        <v>43</v>
      </c>
      <c r="K602" t="s">
        <v>44</v>
      </c>
      <c r="L602" t="s">
        <v>28</v>
      </c>
      <c r="M602" s="4">
        <v>8</v>
      </c>
      <c r="N602" s="4">
        <v>7</v>
      </c>
      <c r="O602" t="s">
        <v>36</v>
      </c>
      <c r="P602" t="s">
        <v>36</v>
      </c>
      <c r="Q602" s="4">
        <v>317209</v>
      </c>
      <c r="R602" s="4">
        <v>183327</v>
      </c>
      <c r="S602" s="4">
        <f>Table1[[#This Row],[Service_Revenue]]-Table1[[#This Row],[Service_Cost]]</f>
        <v>133882</v>
      </c>
      <c r="T602" s="4">
        <v>4</v>
      </c>
      <c r="U602" s="4">
        <f>IF(AND(Table1[[#This Row],[Rework_Flag]]="Yes",Table1[[#This Row],[Warranty_Claim]]="No"),Table1[[#This Row],[Service_Revenue]],0)</f>
        <v>0</v>
      </c>
      <c r="V602" s="4">
        <f>IF(Table1[[#This Row],[Warranty_Claim]]="Yes",1,0)</f>
        <v>0</v>
      </c>
      <c r="W602" s="4">
        <f>IF(Table1[[#This Row],[Rework_Flag]]="No",1,0)</f>
        <v>1</v>
      </c>
      <c r="X602" s="4">
        <f>IF(Table1[[#This Row],[Rework_Flag]]="Yes",1,0)</f>
        <v>0</v>
      </c>
      <c r="Y602" s="4">
        <v>1</v>
      </c>
      <c r="Z602" s="4" t="str">
        <f>IF(Table1[[#This Row],[TAT_Days]]&gt;Table1[[#This Row],[SLA_TAT]],"Yes","No")</f>
        <v>Yes</v>
      </c>
      <c r="AA602" s="4" t="str" cm="1">
        <f t="array" ref="AA602">_xlfn.IFS(Table1[[#This Row],[Customer_Satisfaction]]&lt;=2,"Poor",Table1[[#This Row],[Customer_Satisfaction]]=3,"Neutral",Table1[[#This Row],[Customer_Satisfaction]]=4,"Good",Table1[[#This Row],[Customer_Satisfaction]]=5,"Good")</f>
        <v>Good</v>
      </c>
    </row>
    <row r="603" spans="1:27" x14ac:dyDescent="0.35">
      <c r="A603">
        <v>20601</v>
      </c>
      <c r="B603" s="1">
        <v>45457</v>
      </c>
      <c r="C603" t="s">
        <v>30</v>
      </c>
      <c r="D603" t="s">
        <v>83</v>
      </c>
      <c r="E603" t="s">
        <v>95</v>
      </c>
      <c r="F603" t="s">
        <v>53</v>
      </c>
      <c r="G603" t="s">
        <v>74</v>
      </c>
      <c r="H603" t="s">
        <v>34</v>
      </c>
      <c r="I603" t="s">
        <v>55</v>
      </c>
      <c r="J603" t="s">
        <v>43</v>
      </c>
      <c r="K603" t="s">
        <v>27</v>
      </c>
      <c r="L603" t="s">
        <v>28</v>
      </c>
      <c r="M603" s="4">
        <v>23</v>
      </c>
      <c r="N603" s="4">
        <v>7</v>
      </c>
      <c r="O603" t="s">
        <v>29</v>
      </c>
      <c r="P603" t="s">
        <v>29</v>
      </c>
      <c r="Q603" s="4">
        <v>428281</v>
      </c>
      <c r="R603" s="4">
        <v>241046</v>
      </c>
      <c r="S603" s="4">
        <f>Table1[[#This Row],[Service_Revenue]]-Table1[[#This Row],[Service_Cost]]</f>
        <v>187235</v>
      </c>
      <c r="T603" s="4">
        <v>1</v>
      </c>
      <c r="U603" s="4">
        <f>IF(AND(Table1[[#This Row],[Rework_Flag]]="Yes",Table1[[#This Row],[Warranty_Claim]]="No"),Table1[[#This Row],[Service_Revenue]],0)</f>
        <v>0</v>
      </c>
      <c r="V603" s="4">
        <f>IF(Table1[[#This Row],[Warranty_Claim]]="Yes",1,0)</f>
        <v>1</v>
      </c>
      <c r="W603" s="4">
        <f>IF(Table1[[#This Row],[Rework_Flag]]="No",1,0)</f>
        <v>0</v>
      </c>
      <c r="X603" s="4">
        <f>IF(Table1[[#This Row],[Rework_Flag]]="Yes",1,0)</f>
        <v>1</v>
      </c>
      <c r="Y603" s="4">
        <v>1</v>
      </c>
      <c r="Z603" s="4" t="str">
        <f>IF(Table1[[#This Row],[TAT_Days]]&gt;Table1[[#This Row],[SLA_TAT]],"Yes","No")</f>
        <v>Yes</v>
      </c>
      <c r="AA603" s="4" t="str" cm="1">
        <f t="array" ref="AA603">_xlfn.IFS(Table1[[#This Row],[Customer_Satisfaction]]&lt;=2,"Poor",Table1[[#This Row],[Customer_Satisfaction]]=3,"Neutral",Table1[[#This Row],[Customer_Satisfaction]]=4,"Good",Table1[[#This Row],[Customer_Satisfaction]]=5,"Good")</f>
        <v>Poor</v>
      </c>
    </row>
    <row r="604" spans="1:27" x14ac:dyDescent="0.35">
      <c r="A604">
        <v>20602</v>
      </c>
      <c r="B604" s="1">
        <v>45303</v>
      </c>
      <c r="C604" t="s">
        <v>19</v>
      </c>
      <c r="D604" t="s">
        <v>45</v>
      </c>
      <c r="E604" t="s">
        <v>114</v>
      </c>
      <c r="F604" t="s">
        <v>53</v>
      </c>
      <c r="G604" t="s">
        <v>33</v>
      </c>
      <c r="H604" t="s">
        <v>34</v>
      </c>
      <c r="I604" t="s">
        <v>25</v>
      </c>
      <c r="J604" t="s">
        <v>35</v>
      </c>
      <c r="K604" t="s">
        <v>61</v>
      </c>
      <c r="L604" t="s">
        <v>49</v>
      </c>
      <c r="M604" s="4">
        <v>8</v>
      </c>
      <c r="N604" s="4">
        <v>7</v>
      </c>
      <c r="O604" t="s">
        <v>29</v>
      </c>
      <c r="P604" t="s">
        <v>29</v>
      </c>
      <c r="Q604" s="4">
        <v>174701</v>
      </c>
      <c r="R604" s="4">
        <v>134937</v>
      </c>
      <c r="S604" s="4">
        <f>Table1[[#This Row],[Service_Revenue]]-Table1[[#This Row],[Service_Cost]]</f>
        <v>39764</v>
      </c>
      <c r="T604" s="4">
        <v>3</v>
      </c>
      <c r="U604" s="4">
        <f>IF(AND(Table1[[#This Row],[Rework_Flag]]="Yes",Table1[[#This Row],[Warranty_Claim]]="No"),Table1[[#This Row],[Service_Revenue]],0)</f>
        <v>0</v>
      </c>
      <c r="V604" s="4">
        <f>IF(Table1[[#This Row],[Warranty_Claim]]="Yes",1,0)</f>
        <v>1</v>
      </c>
      <c r="W604" s="4">
        <f>IF(Table1[[#This Row],[Rework_Flag]]="No",1,0)</f>
        <v>0</v>
      </c>
      <c r="X604" s="4">
        <f>IF(Table1[[#This Row],[Rework_Flag]]="Yes",1,0)</f>
        <v>1</v>
      </c>
      <c r="Y604" s="4">
        <v>1</v>
      </c>
      <c r="Z604" s="4" t="str">
        <f>IF(Table1[[#This Row],[TAT_Days]]&gt;Table1[[#This Row],[SLA_TAT]],"Yes","No")</f>
        <v>Yes</v>
      </c>
      <c r="AA604" s="4" t="str" cm="1">
        <f t="array" ref="AA604">_xlfn.IFS(Table1[[#This Row],[Customer_Satisfaction]]&lt;=2,"Poor",Table1[[#This Row],[Customer_Satisfaction]]=3,"Neutral",Table1[[#This Row],[Customer_Satisfaction]]=4,"Good",Table1[[#This Row],[Customer_Satisfaction]]=5,"Good")</f>
        <v>Neutral</v>
      </c>
    </row>
    <row r="605" spans="1:27" x14ac:dyDescent="0.35">
      <c r="A605">
        <v>20603</v>
      </c>
      <c r="B605" s="1">
        <v>45442</v>
      </c>
      <c r="C605" t="s">
        <v>50</v>
      </c>
      <c r="D605" t="s">
        <v>51</v>
      </c>
      <c r="E605" t="s">
        <v>73</v>
      </c>
      <c r="F605" t="s">
        <v>22</v>
      </c>
      <c r="G605" t="s">
        <v>74</v>
      </c>
      <c r="H605" t="s">
        <v>34</v>
      </c>
      <c r="I605" t="s">
        <v>55</v>
      </c>
      <c r="J605" t="s">
        <v>67</v>
      </c>
      <c r="K605" t="s">
        <v>27</v>
      </c>
      <c r="L605" t="s">
        <v>28</v>
      </c>
      <c r="M605" s="4">
        <v>17</v>
      </c>
      <c r="N605" s="4">
        <v>7</v>
      </c>
      <c r="O605" t="s">
        <v>29</v>
      </c>
      <c r="P605" t="s">
        <v>29</v>
      </c>
      <c r="Q605" s="4">
        <v>252170</v>
      </c>
      <c r="R605" s="4">
        <v>214283</v>
      </c>
      <c r="S605" s="4">
        <f>Table1[[#This Row],[Service_Revenue]]-Table1[[#This Row],[Service_Cost]]</f>
        <v>37887</v>
      </c>
      <c r="T605" s="4">
        <v>1</v>
      </c>
      <c r="U605" s="4">
        <f>IF(AND(Table1[[#This Row],[Rework_Flag]]="Yes",Table1[[#This Row],[Warranty_Claim]]="No"),Table1[[#This Row],[Service_Revenue]],0)</f>
        <v>0</v>
      </c>
      <c r="V605" s="4">
        <f>IF(Table1[[#This Row],[Warranty_Claim]]="Yes",1,0)</f>
        <v>1</v>
      </c>
      <c r="W605" s="4">
        <f>IF(Table1[[#This Row],[Rework_Flag]]="No",1,0)</f>
        <v>0</v>
      </c>
      <c r="X605" s="4">
        <f>IF(Table1[[#This Row],[Rework_Flag]]="Yes",1,0)</f>
        <v>1</v>
      </c>
      <c r="Y605" s="4">
        <v>1</v>
      </c>
      <c r="Z605" s="4" t="str">
        <f>IF(Table1[[#This Row],[TAT_Days]]&gt;Table1[[#This Row],[SLA_TAT]],"Yes","No")</f>
        <v>Yes</v>
      </c>
      <c r="AA605" s="4" t="str" cm="1">
        <f t="array" ref="AA605">_xlfn.IFS(Table1[[#This Row],[Customer_Satisfaction]]&lt;=2,"Poor",Table1[[#This Row],[Customer_Satisfaction]]=3,"Neutral",Table1[[#This Row],[Customer_Satisfaction]]=4,"Good",Table1[[#This Row],[Customer_Satisfaction]]=5,"Good")</f>
        <v>Poor</v>
      </c>
    </row>
    <row r="606" spans="1:27" x14ac:dyDescent="0.35">
      <c r="A606">
        <v>20604</v>
      </c>
      <c r="B606" s="1">
        <v>45427</v>
      </c>
      <c r="C606" t="s">
        <v>50</v>
      </c>
      <c r="D606" t="s">
        <v>51</v>
      </c>
      <c r="E606" t="s">
        <v>73</v>
      </c>
      <c r="F606" t="s">
        <v>53</v>
      </c>
      <c r="G606" t="s">
        <v>74</v>
      </c>
      <c r="H606" t="s">
        <v>34</v>
      </c>
      <c r="I606" t="s">
        <v>25</v>
      </c>
      <c r="J606" t="s">
        <v>35</v>
      </c>
      <c r="K606" t="s">
        <v>44</v>
      </c>
      <c r="L606" t="s">
        <v>28</v>
      </c>
      <c r="M606" s="4">
        <v>11</v>
      </c>
      <c r="N606" s="4">
        <v>7</v>
      </c>
      <c r="O606" t="s">
        <v>29</v>
      </c>
      <c r="P606" t="s">
        <v>36</v>
      </c>
      <c r="Q606" s="4">
        <v>468663</v>
      </c>
      <c r="R606" s="4">
        <v>249249</v>
      </c>
      <c r="S606" s="4">
        <f>Table1[[#This Row],[Service_Revenue]]-Table1[[#This Row],[Service_Cost]]</f>
        <v>219414</v>
      </c>
      <c r="T606" s="4">
        <v>2</v>
      </c>
      <c r="U606" s="4">
        <f>IF(AND(Table1[[#This Row],[Rework_Flag]]="Yes",Table1[[#This Row],[Warranty_Claim]]="No"),Table1[[#This Row],[Service_Revenue]],0)</f>
        <v>468663</v>
      </c>
      <c r="V606" s="4">
        <f>IF(Table1[[#This Row],[Warranty_Claim]]="Yes",1,0)</f>
        <v>0</v>
      </c>
      <c r="W606" s="4">
        <f>IF(Table1[[#This Row],[Rework_Flag]]="No",1,0)</f>
        <v>0</v>
      </c>
      <c r="X606" s="4">
        <f>IF(Table1[[#This Row],[Rework_Flag]]="Yes",1,0)</f>
        <v>1</v>
      </c>
      <c r="Y606" s="4">
        <v>1</v>
      </c>
      <c r="Z606" s="4" t="str">
        <f>IF(Table1[[#This Row],[TAT_Days]]&gt;Table1[[#This Row],[SLA_TAT]],"Yes","No")</f>
        <v>Yes</v>
      </c>
      <c r="AA606" s="4" t="str" cm="1">
        <f t="array" ref="AA606">_xlfn.IFS(Table1[[#This Row],[Customer_Satisfaction]]&lt;=2,"Poor",Table1[[#This Row],[Customer_Satisfaction]]=3,"Neutral",Table1[[#This Row],[Customer_Satisfaction]]=4,"Good",Table1[[#This Row],[Customer_Satisfaction]]=5,"Good")</f>
        <v>Poor</v>
      </c>
    </row>
    <row r="607" spans="1:27" x14ac:dyDescent="0.35">
      <c r="A607">
        <v>20605</v>
      </c>
      <c r="B607" s="1">
        <v>45327</v>
      </c>
      <c r="C607" t="s">
        <v>37</v>
      </c>
      <c r="D607" t="s">
        <v>64</v>
      </c>
      <c r="E607" t="s">
        <v>87</v>
      </c>
      <c r="F607" t="s">
        <v>53</v>
      </c>
      <c r="G607" t="s">
        <v>41</v>
      </c>
      <c r="H607" t="s">
        <v>42</v>
      </c>
      <c r="I607" t="s">
        <v>55</v>
      </c>
      <c r="J607" t="s">
        <v>58</v>
      </c>
      <c r="K607" t="s">
        <v>27</v>
      </c>
      <c r="L607" t="s">
        <v>49</v>
      </c>
      <c r="M607" s="4">
        <v>23</v>
      </c>
      <c r="N607" s="4">
        <v>7</v>
      </c>
      <c r="O607" t="s">
        <v>29</v>
      </c>
      <c r="P607" t="s">
        <v>29</v>
      </c>
      <c r="Q607" s="4">
        <v>391698</v>
      </c>
      <c r="R607" s="4">
        <v>255913</v>
      </c>
      <c r="S607" s="4">
        <f>Table1[[#This Row],[Service_Revenue]]-Table1[[#This Row],[Service_Cost]]</f>
        <v>135785</v>
      </c>
      <c r="T607" s="4">
        <v>1</v>
      </c>
      <c r="U607" s="4">
        <f>IF(AND(Table1[[#This Row],[Rework_Flag]]="Yes",Table1[[#This Row],[Warranty_Claim]]="No"),Table1[[#This Row],[Service_Revenue]],0)</f>
        <v>0</v>
      </c>
      <c r="V607" s="4">
        <f>IF(Table1[[#This Row],[Warranty_Claim]]="Yes",1,0)</f>
        <v>1</v>
      </c>
      <c r="W607" s="4">
        <f>IF(Table1[[#This Row],[Rework_Flag]]="No",1,0)</f>
        <v>0</v>
      </c>
      <c r="X607" s="4">
        <f>IF(Table1[[#This Row],[Rework_Flag]]="Yes",1,0)</f>
        <v>1</v>
      </c>
      <c r="Y607" s="4">
        <v>1</v>
      </c>
      <c r="Z607" s="4" t="str">
        <f>IF(Table1[[#This Row],[TAT_Days]]&gt;Table1[[#This Row],[SLA_TAT]],"Yes","No")</f>
        <v>Yes</v>
      </c>
      <c r="AA607" s="4" t="str" cm="1">
        <f t="array" ref="AA607">_xlfn.IFS(Table1[[#This Row],[Customer_Satisfaction]]&lt;=2,"Poor",Table1[[#This Row],[Customer_Satisfaction]]=3,"Neutral",Table1[[#This Row],[Customer_Satisfaction]]=4,"Good",Table1[[#This Row],[Customer_Satisfaction]]=5,"Good")</f>
        <v>Poor</v>
      </c>
    </row>
    <row r="608" spans="1:27" x14ac:dyDescent="0.35">
      <c r="A608">
        <v>20606</v>
      </c>
      <c r="B608" s="1">
        <v>45423</v>
      </c>
      <c r="C608" t="s">
        <v>50</v>
      </c>
      <c r="D608" t="s">
        <v>51</v>
      </c>
      <c r="E608" t="s">
        <v>52</v>
      </c>
      <c r="F608" t="s">
        <v>53</v>
      </c>
      <c r="G608" t="s">
        <v>41</v>
      </c>
      <c r="H608" t="s">
        <v>42</v>
      </c>
      <c r="I608" t="s">
        <v>55</v>
      </c>
      <c r="J608" t="s">
        <v>35</v>
      </c>
      <c r="K608" t="s">
        <v>27</v>
      </c>
      <c r="L608" t="s">
        <v>28</v>
      </c>
      <c r="M608" s="4">
        <v>10</v>
      </c>
      <c r="N608" s="4">
        <v>7</v>
      </c>
      <c r="O608" t="s">
        <v>29</v>
      </c>
      <c r="P608" t="s">
        <v>36</v>
      </c>
      <c r="Q608" s="4">
        <v>262948</v>
      </c>
      <c r="R608" s="4">
        <v>197827</v>
      </c>
      <c r="S608" s="4">
        <f>Table1[[#This Row],[Service_Revenue]]-Table1[[#This Row],[Service_Cost]]</f>
        <v>65121</v>
      </c>
      <c r="T608" s="4">
        <v>2</v>
      </c>
      <c r="U608" s="4">
        <f>IF(AND(Table1[[#This Row],[Rework_Flag]]="Yes",Table1[[#This Row],[Warranty_Claim]]="No"),Table1[[#This Row],[Service_Revenue]],0)</f>
        <v>262948</v>
      </c>
      <c r="V608" s="4">
        <f>IF(Table1[[#This Row],[Warranty_Claim]]="Yes",1,0)</f>
        <v>0</v>
      </c>
      <c r="W608" s="4">
        <f>IF(Table1[[#This Row],[Rework_Flag]]="No",1,0)</f>
        <v>0</v>
      </c>
      <c r="X608" s="4">
        <f>IF(Table1[[#This Row],[Rework_Flag]]="Yes",1,0)</f>
        <v>1</v>
      </c>
      <c r="Y608" s="4">
        <v>1</v>
      </c>
      <c r="Z608" s="4" t="str">
        <f>IF(Table1[[#This Row],[TAT_Days]]&gt;Table1[[#This Row],[SLA_TAT]],"Yes","No")</f>
        <v>Yes</v>
      </c>
      <c r="AA608" s="4" t="str" cm="1">
        <f t="array" ref="AA608">_xlfn.IFS(Table1[[#This Row],[Customer_Satisfaction]]&lt;=2,"Poor",Table1[[#This Row],[Customer_Satisfaction]]=3,"Neutral",Table1[[#This Row],[Customer_Satisfaction]]=4,"Good",Table1[[#This Row],[Customer_Satisfaction]]=5,"Good")</f>
        <v>Poor</v>
      </c>
    </row>
    <row r="609" spans="1:27" x14ac:dyDescent="0.35">
      <c r="A609">
        <v>20607</v>
      </c>
      <c r="B609" s="1">
        <v>45322</v>
      </c>
      <c r="C609" t="s">
        <v>50</v>
      </c>
      <c r="D609" t="s">
        <v>51</v>
      </c>
      <c r="E609" t="s">
        <v>113</v>
      </c>
      <c r="F609" t="s">
        <v>53</v>
      </c>
      <c r="G609" t="s">
        <v>41</v>
      </c>
      <c r="H609" t="s">
        <v>42</v>
      </c>
      <c r="I609" t="s">
        <v>55</v>
      </c>
      <c r="J609" t="s">
        <v>26</v>
      </c>
      <c r="K609" t="s">
        <v>61</v>
      </c>
      <c r="L609" t="s">
        <v>28</v>
      </c>
      <c r="M609" s="4">
        <v>6</v>
      </c>
      <c r="N609" s="4">
        <v>7</v>
      </c>
      <c r="O609" t="s">
        <v>29</v>
      </c>
      <c r="P609" t="s">
        <v>36</v>
      </c>
      <c r="Q609" s="4">
        <v>165827</v>
      </c>
      <c r="R609" s="4">
        <v>129650</v>
      </c>
      <c r="S609" s="4">
        <f>Table1[[#This Row],[Service_Revenue]]-Table1[[#This Row],[Service_Cost]]</f>
        <v>36177</v>
      </c>
      <c r="T609" s="4">
        <v>3</v>
      </c>
      <c r="U609" s="4">
        <f>IF(AND(Table1[[#This Row],[Rework_Flag]]="Yes",Table1[[#This Row],[Warranty_Claim]]="No"),Table1[[#This Row],[Service_Revenue]],0)</f>
        <v>165827</v>
      </c>
      <c r="V609" s="4">
        <f>IF(Table1[[#This Row],[Warranty_Claim]]="Yes",1,0)</f>
        <v>0</v>
      </c>
      <c r="W609" s="4">
        <f>IF(Table1[[#This Row],[Rework_Flag]]="No",1,0)</f>
        <v>0</v>
      </c>
      <c r="X609" s="4">
        <f>IF(Table1[[#This Row],[Rework_Flag]]="Yes",1,0)</f>
        <v>1</v>
      </c>
      <c r="Y609" s="4">
        <v>1</v>
      </c>
      <c r="Z609" s="4" t="str">
        <f>IF(Table1[[#This Row],[TAT_Days]]&gt;Table1[[#This Row],[SLA_TAT]],"Yes","No")</f>
        <v>No</v>
      </c>
      <c r="AA609" s="4" t="str" cm="1">
        <f t="array" ref="AA609">_xlfn.IFS(Table1[[#This Row],[Customer_Satisfaction]]&lt;=2,"Poor",Table1[[#This Row],[Customer_Satisfaction]]=3,"Neutral",Table1[[#This Row],[Customer_Satisfaction]]=4,"Good",Table1[[#This Row],[Customer_Satisfaction]]=5,"Good")</f>
        <v>Neutral</v>
      </c>
    </row>
    <row r="610" spans="1:27" x14ac:dyDescent="0.35">
      <c r="A610">
        <v>20608</v>
      </c>
      <c r="B610" s="1">
        <v>45447</v>
      </c>
      <c r="C610" t="s">
        <v>19</v>
      </c>
      <c r="D610" t="s">
        <v>96</v>
      </c>
      <c r="E610" t="s">
        <v>97</v>
      </c>
      <c r="F610" t="s">
        <v>53</v>
      </c>
      <c r="G610" t="s">
        <v>23</v>
      </c>
      <c r="H610" t="s">
        <v>24</v>
      </c>
      <c r="I610" t="s">
        <v>55</v>
      </c>
      <c r="J610" t="s">
        <v>35</v>
      </c>
      <c r="K610" t="s">
        <v>27</v>
      </c>
      <c r="L610" t="s">
        <v>28</v>
      </c>
      <c r="M610" s="4">
        <v>7</v>
      </c>
      <c r="N610" s="4">
        <v>7</v>
      </c>
      <c r="O610" t="s">
        <v>36</v>
      </c>
      <c r="P610" t="s">
        <v>36</v>
      </c>
      <c r="Q610" s="4">
        <v>372602</v>
      </c>
      <c r="R610" s="4">
        <v>273985</v>
      </c>
      <c r="S610" s="4">
        <f>Table1[[#This Row],[Service_Revenue]]-Table1[[#This Row],[Service_Cost]]</f>
        <v>98617</v>
      </c>
      <c r="T610" s="4">
        <v>4</v>
      </c>
      <c r="U610" s="4">
        <f>IF(AND(Table1[[#This Row],[Rework_Flag]]="Yes",Table1[[#This Row],[Warranty_Claim]]="No"),Table1[[#This Row],[Service_Revenue]],0)</f>
        <v>0</v>
      </c>
      <c r="V610" s="4">
        <f>IF(Table1[[#This Row],[Warranty_Claim]]="Yes",1,0)</f>
        <v>0</v>
      </c>
      <c r="W610" s="4">
        <f>IF(Table1[[#This Row],[Rework_Flag]]="No",1,0)</f>
        <v>1</v>
      </c>
      <c r="X610" s="4">
        <f>IF(Table1[[#This Row],[Rework_Flag]]="Yes",1,0)</f>
        <v>0</v>
      </c>
      <c r="Y610" s="4">
        <v>1</v>
      </c>
      <c r="Z610" s="4" t="str">
        <f>IF(Table1[[#This Row],[TAT_Days]]&gt;Table1[[#This Row],[SLA_TAT]],"Yes","No")</f>
        <v>No</v>
      </c>
      <c r="AA610" s="4" t="str" cm="1">
        <f t="array" ref="AA610">_xlfn.IFS(Table1[[#This Row],[Customer_Satisfaction]]&lt;=2,"Poor",Table1[[#This Row],[Customer_Satisfaction]]=3,"Neutral",Table1[[#This Row],[Customer_Satisfaction]]=4,"Good",Table1[[#This Row],[Customer_Satisfaction]]=5,"Good")</f>
        <v>Good</v>
      </c>
    </row>
    <row r="611" spans="1:27" x14ac:dyDescent="0.35">
      <c r="A611">
        <v>20609</v>
      </c>
      <c r="B611" s="1">
        <v>45347</v>
      </c>
      <c r="C611" t="s">
        <v>19</v>
      </c>
      <c r="D611" t="s">
        <v>20</v>
      </c>
      <c r="E611" t="s">
        <v>117</v>
      </c>
      <c r="F611" t="s">
        <v>40</v>
      </c>
      <c r="G611" t="s">
        <v>33</v>
      </c>
      <c r="H611" t="s">
        <v>34</v>
      </c>
      <c r="I611" t="s">
        <v>25</v>
      </c>
      <c r="J611" t="s">
        <v>26</v>
      </c>
      <c r="K611" t="s">
        <v>44</v>
      </c>
      <c r="L611" t="s">
        <v>28</v>
      </c>
      <c r="M611" s="4">
        <v>8</v>
      </c>
      <c r="N611" s="4">
        <v>7</v>
      </c>
      <c r="O611" t="s">
        <v>36</v>
      </c>
      <c r="P611" t="s">
        <v>36</v>
      </c>
      <c r="Q611" s="4">
        <v>158692</v>
      </c>
      <c r="R611" s="4">
        <v>110036</v>
      </c>
      <c r="S611" s="4">
        <f>Table1[[#This Row],[Service_Revenue]]-Table1[[#This Row],[Service_Cost]]</f>
        <v>48656</v>
      </c>
      <c r="T611" s="4">
        <v>4</v>
      </c>
      <c r="U611" s="4">
        <f>IF(AND(Table1[[#This Row],[Rework_Flag]]="Yes",Table1[[#This Row],[Warranty_Claim]]="No"),Table1[[#This Row],[Service_Revenue]],0)</f>
        <v>0</v>
      </c>
      <c r="V611" s="4">
        <f>IF(Table1[[#This Row],[Warranty_Claim]]="Yes",1,0)</f>
        <v>0</v>
      </c>
      <c r="W611" s="4">
        <f>IF(Table1[[#This Row],[Rework_Flag]]="No",1,0)</f>
        <v>1</v>
      </c>
      <c r="X611" s="4">
        <f>IF(Table1[[#This Row],[Rework_Flag]]="Yes",1,0)</f>
        <v>0</v>
      </c>
      <c r="Y611" s="4">
        <v>1</v>
      </c>
      <c r="Z611" s="4" t="str">
        <f>IF(Table1[[#This Row],[TAT_Days]]&gt;Table1[[#This Row],[SLA_TAT]],"Yes","No")</f>
        <v>Yes</v>
      </c>
      <c r="AA611" s="4" t="str" cm="1">
        <f t="array" ref="AA611">_xlfn.IFS(Table1[[#This Row],[Customer_Satisfaction]]&lt;=2,"Poor",Table1[[#This Row],[Customer_Satisfaction]]=3,"Neutral",Table1[[#This Row],[Customer_Satisfaction]]=4,"Good",Table1[[#This Row],[Customer_Satisfaction]]=5,"Good")</f>
        <v>Good</v>
      </c>
    </row>
    <row r="612" spans="1:27" x14ac:dyDescent="0.35">
      <c r="A612">
        <v>20610</v>
      </c>
      <c r="B612" s="1">
        <v>45385</v>
      </c>
      <c r="C612" t="s">
        <v>37</v>
      </c>
      <c r="D612" t="s">
        <v>70</v>
      </c>
      <c r="E612" t="s">
        <v>71</v>
      </c>
      <c r="F612" t="s">
        <v>53</v>
      </c>
      <c r="G612" t="s">
        <v>23</v>
      </c>
      <c r="H612" t="s">
        <v>24</v>
      </c>
      <c r="I612" t="s">
        <v>55</v>
      </c>
      <c r="J612" t="s">
        <v>35</v>
      </c>
      <c r="K612" t="s">
        <v>61</v>
      </c>
      <c r="L612" t="s">
        <v>28</v>
      </c>
      <c r="M612" s="4">
        <v>2</v>
      </c>
      <c r="N612" s="4">
        <v>7</v>
      </c>
      <c r="O612" t="s">
        <v>29</v>
      </c>
      <c r="P612" t="s">
        <v>36</v>
      </c>
      <c r="Q612" s="4">
        <v>201106</v>
      </c>
      <c r="R612" s="4">
        <v>120371</v>
      </c>
      <c r="S612" s="4">
        <f>Table1[[#This Row],[Service_Revenue]]-Table1[[#This Row],[Service_Cost]]</f>
        <v>80735</v>
      </c>
      <c r="T612" s="4">
        <v>4</v>
      </c>
      <c r="U612" s="4">
        <f>IF(AND(Table1[[#This Row],[Rework_Flag]]="Yes",Table1[[#This Row],[Warranty_Claim]]="No"),Table1[[#This Row],[Service_Revenue]],0)</f>
        <v>201106</v>
      </c>
      <c r="V612" s="4">
        <f>IF(Table1[[#This Row],[Warranty_Claim]]="Yes",1,0)</f>
        <v>0</v>
      </c>
      <c r="W612" s="4">
        <f>IF(Table1[[#This Row],[Rework_Flag]]="No",1,0)</f>
        <v>0</v>
      </c>
      <c r="X612" s="4">
        <f>IF(Table1[[#This Row],[Rework_Flag]]="Yes",1,0)</f>
        <v>1</v>
      </c>
      <c r="Y612" s="4">
        <v>1</v>
      </c>
      <c r="Z612" s="4" t="str">
        <f>IF(Table1[[#This Row],[TAT_Days]]&gt;Table1[[#This Row],[SLA_TAT]],"Yes","No")</f>
        <v>No</v>
      </c>
      <c r="AA612" s="4" t="str" cm="1">
        <f t="array" ref="AA612">_xlfn.IFS(Table1[[#This Row],[Customer_Satisfaction]]&lt;=2,"Poor",Table1[[#This Row],[Customer_Satisfaction]]=3,"Neutral",Table1[[#This Row],[Customer_Satisfaction]]=4,"Good",Table1[[#This Row],[Customer_Satisfaction]]=5,"Good")</f>
        <v>Good</v>
      </c>
    </row>
    <row r="613" spans="1:27" x14ac:dyDescent="0.35">
      <c r="A613">
        <v>20611</v>
      </c>
      <c r="B613" s="1">
        <v>45360</v>
      </c>
      <c r="C613" t="s">
        <v>19</v>
      </c>
      <c r="D613" t="s">
        <v>96</v>
      </c>
      <c r="E613" t="s">
        <v>97</v>
      </c>
      <c r="F613" t="s">
        <v>40</v>
      </c>
      <c r="G613" t="s">
        <v>47</v>
      </c>
      <c r="H613" t="s">
        <v>48</v>
      </c>
      <c r="I613" t="s">
        <v>55</v>
      </c>
      <c r="J613" t="s">
        <v>43</v>
      </c>
      <c r="K613" t="s">
        <v>27</v>
      </c>
      <c r="L613" t="s">
        <v>28</v>
      </c>
      <c r="M613" s="4">
        <v>3</v>
      </c>
      <c r="N613" s="4">
        <v>7</v>
      </c>
      <c r="O613" t="s">
        <v>29</v>
      </c>
      <c r="P613" t="s">
        <v>36</v>
      </c>
      <c r="Q613" s="4">
        <v>194551</v>
      </c>
      <c r="R613" s="4">
        <v>125201</v>
      </c>
      <c r="S613" s="4">
        <f>Table1[[#This Row],[Service_Revenue]]-Table1[[#This Row],[Service_Cost]]</f>
        <v>69350</v>
      </c>
      <c r="T613" s="4">
        <v>4</v>
      </c>
      <c r="U613" s="4">
        <f>IF(AND(Table1[[#This Row],[Rework_Flag]]="Yes",Table1[[#This Row],[Warranty_Claim]]="No"),Table1[[#This Row],[Service_Revenue]],0)</f>
        <v>194551</v>
      </c>
      <c r="V613" s="4">
        <f>IF(Table1[[#This Row],[Warranty_Claim]]="Yes",1,0)</f>
        <v>0</v>
      </c>
      <c r="W613" s="4">
        <f>IF(Table1[[#This Row],[Rework_Flag]]="No",1,0)</f>
        <v>0</v>
      </c>
      <c r="X613" s="4">
        <f>IF(Table1[[#This Row],[Rework_Flag]]="Yes",1,0)</f>
        <v>1</v>
      </c>
      <c r="Y613" s="4">
        <v>1</v>
      </c>
      <c r="Z613" s="4" t="str">
        <f>IF(Table1[[#This Row],[TAT_Days]]&gt;Table1[[#This Row],[SLA_TAT]],"Yes","No")</f>
        <v>No</v>
      </c>
      <c r="AA613" s="4" t="str" cm="1">
        <f t="array" ref="AA613">_xlfn.IFS(Table1[[#This Row],[Customer_Satisfaction]]&lt;=2,"Poor",Table1[[#This Row],[Customer_Satisfaction]]=3,"Neutral",Table1[[#This Row],[Customer_Satisfaction]]=4,"Good",Table1[[#This Row],[Customer_Satisfaction]]=5,"Good")</f>
        <v>Good</v>
      </c>
    </row>
    <row r="614" spans="1:27" x14ac:dyDescent="0.35">
      <c r="A614">
        <v>20612</v>
      </c>
      <c r="B614" s="1">
        <v>45359</v>
      </c>
      <c r="C614" t="s">
        <v>50</v>
      </c>
      <c r="D614" t="s">
        <v>51</v>
      </c>
      <c r="E614" t="s">
        <v>113</v>
      </c>
      <c r="F614" t="s">
        <v>53</v>
      </c>
      <c r="G614" t="s">
        <v>74</v>
      </c>
      <c r="H614" t="s">
        <v>34</v>
      </c>
      <c r="I614" t="s">
        <v>55</v>
      </c>
      <c r="J614" t="s">
        <v>26</v>
      </c>
      <c r="K614" t="s">
        <v>61</v>
      </c>
      <c r="L614" t="s">
        <v>49</v>
      </c>
      <c r="M614" s="4">
        <v>11</v>
      </c>
      <c r="N614" s="4">
        <v>7</v>
      </c>
      <c r="O614" t="s">
        <v>36</v>
      </c>
      <c r="P614" t="s">
        <v>36</v>
      </c>
      <c r="Q614" s="4">
        <v>312404</v>
      </c>
      <c r="R614" s="4">
        <v>194403</v>
      </c>
      <c r="S614" s="4">
        <f>Table1[[#This Row],[Service_Revenue]]-Table1[[#This Row],[Service_Cost]]</f>
        <v>118001</v>
      </c>
      <c r="T614" s="4">
        <v>3</v>
      </c>
      <c r="U614" s="4">
        <f>IF(AND(Table1[[#This Row],[Rework_Flag]]="Yes",Table1[[#This Row],[Warranty_Claim]]="No"),Table1[[#This Row],[Service_Revenue]],0)</f>
        <v>0</v>
      </c>
      <c r="V614" s="4">
        <f>IF(Table1[[#This Row],[Warranty_Claim]]="Yes",1,0)</f>
        <v>0</v>
      </c>
      <c r="W614" s="4">
        <f>IF(Table1[[#This Row],[Rework_Flag]]="No",1,0)</f>
        <v>1</v>
      </c>
      <c r="X614" s="4">
        <f>IF(Table1[[#This Row],[Rework_Flag]]="Yes",1,0)</f>
        <v>0</v>
      </c>
      <c r="Y614" s="4">
        <v>1</v>
      </c>
      <c r="Z614" s="4" t="str">
        <f>IF(Table1[[#This Row],[TAT_Days]]&gt;Table1[[#This Row],[SLA_TAT]],"Yes","No")</f>
        <v>Yes</v>
      </c>
      <c r="AA614" s="4" t="str" cm="1">
        <f t="array" ref="AA614">_xlfn.IFS(Table1[[#This Row],[Customer_Satisfaction]]&lt;=2,"Poor",Table1[[#This Row],[Customer_Satisfaction]]=3,"Neutral",Table1[[#This Row],[Customer_Satisfaction]]=4,"Good",Table1[[#This Row],[Customer_Satisfaction]]=5,"Good")</f>
        <v>Neutral</v>
      </c>
    </row>
    <row r="615" spans="1:27" x14ac:dyDescent="0.35">
      <c r="A615">
        <v>20613</v>
      </c>
      <c r="B615" s="1">
        <v>45357</v>
      </c>
      <c r="C615" t="s">
        <v>50</v>
      </c>
      <c r="D615" t="s">
        <v>56</v>
      </c>
      <c r="E615" t="s">
        <v>88</v>
      </c>
      <c r="F615" t="s">
        <v>53</v>
      </c>
      <c r="G615" t="s">
        <v>63</v>
      </c>
      <c r="H615" t="s">
        <v>24</v>
      </c>
      <c r="I615" t="s">
        <v>55</v>
      </c>
      <c r="J615" t="s">
        <v>26</v>
      </c>
      <c r="K615" t="s">
        <v>61</v>
      </c>
      <c r="L615" t="s">
        <v>28</v>
      </c>
      <c r="M615" s="4">
        <v>22</v>
      </c>
      <c r="N615" s="4">
        <v>7</v>
      </c>
      <c r="O615" t="s">
        <v>29</v>
      </c>
      <c r="P615" t="s">
        <v>36</v>
      </c>
      <c r="Q615" s="4">
        <v>598167</v>
      </c>
      <c r="R615" s="4">
        <v>312524</v>
      </c>
      <c r="S615" s="4">
        <f>Table1[[#This Row],[Service_Revenue]]-Table1[[#This Row],[Service_Cost]]</f>
        <v>285643</v>
      </c>
      <c r="T615" s="4">
        <v>1</v>
      </c>
      <c r="U615" s="4">
        <f>IF(AND(Table1[[#This Row],[Rework_Flag]]="Yes",Table1[[#This Row],[Warranty_Claim]]="No"),Table1[[#This Row],[Service_Revenue]],0)</f>
        <v>598167</v>
      </c>
      <c r="V615" s="4">
        <f>IF(Table1[[#This Row],[Warranty_Claim]]="Yes",1,0)</f>
        <v>0</v>
      </c>
      <c r="W615" s="4">
        <f>IF(Table1[[#This Row],[Rework_Flag]]="No",1,0)</f>
        <v>0</v>
      </c>
      <c r="X615" s="4">
        <f>IF(Table1[[#This Row],[Rework_Flag]]="Yes",1,0)</f>
        <v>1</v>
      </c>
      <c r="Y615" s="4">
        <v>1</v>
      </c>
      <c r="Z615" s="4" t="str">
        <f>IF(Table1[[#This Row],[TAT_Days]]&gt;Table1[[#This Row],[SLA_TAT]],"Yes","No")</f>
        <v>Yes</v>
      </c>
      <c r="AA615" s="4" t="str" cm="1">
        <f t="array" ref="AA615">_xlfn.IFS(Table1[[#This Row],[Customer_Satisfaction]]&lt;=2,"Poor",Table1[[#This Row],[Customer_Satisfaction]]=3,"Neutral",Table1[[#This Row],[Customer_Satisfaction]]=4,"Good",Table1[[#This Row],[Customer_Satisfaction]]=5,"Good")</f>
        <v>Poor</v>
      </c>
    </row>
    <row r="616" spans="1:27" x14ac:dyDescent="0.35">
      <c r="A616">
        <v>20614</v>
      </c>
      <c r="B616" s="1">
        <v>45365</v>
      </c>
      <c r="C616" t="s">
        <v>50</v>
      </c>
      <c r="D616" t="s">
        <v>56</v>
      </c>
      <c r="E616" t="s">
        <v>101</v>
      </c>
      <c r="F616" t="s">
        <v>40</v>
      </c>
      <c r="G616" t="s">
        <v>47</v>
      </c>
      <c r="H616" t="s">
        <v>48</v>
      </c>
      <c r="I616" t="s">
        <v>25</v>
      </c>
      <c r="J616" t="s">
        <v>26</v>
      </c>
      <c r="K616" t="s">
        <v>27</v>
      </c>
      <c r="L616" t="s">
        <v>28</v>
      </c>
      <c r="M616" s="4">
        <v>10</v>
      </c>
      <c r="N616" s="4">
        <v>7</v>
      </c>
      <c r="O616" t="s">
        <v>29</v>
      </c>
      <c r="P616" t="s">
        <v>29</v>
      </c>
      <c r="Q616" s="4">
        <v>592496</v>
      </c>
      <c r="R616" s="4">
        <v>462930</v>
      </c>
      <c r="S616" s="4">
        <f>Table1[[#This Row],[Service_Revenue]]-Table1[[#This Row],[Service_Cost]]</f>
        <v>129566</v>
      </c>
      <c r="T616" s="4">
        <v>2</v>
      </c>
      <c r="U616" s="4">
        <f>IF(AND(Table1[[#This Row],[Rework_Flag]]="Yes",Table1[[#This Row],[Warranty_Claim]]="No"),Table1[[#This Row],[Service_Revenue]],0)</f>
        <v>0</v>
      </c>
      <c r="V616" s="4">
        <f>IF(Table1[[#This Row],[Warranty_Claim]]="Yes",1,0)</f>
        <v>1</v>
      </c>
      <c r="W616" s="4">
        <f>IF(Table1[[#This Row],[Rework_Flag]]="No",1,0)</f>
        <v>0</v>
      </c>
      <c r="X616" s="4">
        <f>IF(Table1[[#This Row],[Rework_Flag]]="Yes",1,0)</f>
        <v>1</v>
      </c>
      <c r="Y616" s="4">
        <v>1</v>
      </c>
      <c r="Z616" s="4" t="str">
        <f>IF(Table1[[#This Row],[TAT_Days]]&gt;Table1[[#This Row],[SLA_TAT]],"Yes","No")</f>
        <v>Yes</v>
      </c>
      <c r="AA616" s="4" t="str" cm="1">
        <f t="array" ref="AA616">_xlfn.IFS(Table1[[#This Row],[Customer_Satisfaction]]&lt;=2,"Poor",Table1[[#This Row],[Customer_Satisfaction]]=3,"Neutral",Table1[[#This Row],[Customer_Satisfaction]]=4,"Good",Table1[[#This Row],[Customer_Satisfaction]]=5,"Good")</f>
        <v>Poor</v>
      </c>
    </row>
    <row r="617" spans="1:27" x14ac:dyDescent="0.35">
      <c r="A617">
        <v>20615</v>
      </c>
      <c r="B617" s="1">
        <v>45306</v>
      </c>
      <c r="C617" t="s">
        <v>50</v>
      </c>
      <c r="D617" t="s">
        <v>51</v>
      </c>
      <c r="E617" t="s">
        <v>113</v>
      </c>
      <c r="F617" t="s">
        <v>53</v>
      </c>
      <c r="G617" t="s">
        <v>74</v>
      </c>
      <c r="H617" t="s">
        <v>34</v>
      </c>
      <c r="I617" t="s">
        <v>25</v>
      </c>
      <c r="J617" t="s">
        <v>58</v>
      </c>
      <c r="K617" t="s">
        <v>61</v>
      </c>
      <c r="L617" t="s">
        <v>28</v>
      </c>
      <c r="M617" s="4">
        <v>6</v>
      </c>
      <c r="N617" s="4">
        <v>7</v>
      </c>
      <c r="O617" t="s">
        <v>36</v>
      </c>
      <c r="P617" t="s">
        <v>36</v>
      </c>
      <c r="Q617" s="4">
        <v>591862</v>
      </c>
      <c r="R617" s="4">
        <v>392381</v>
      </c>
      <c r="S617" s="4">
        <f>Table1[[#This Row],[Service_Revenue]]-Table1[[#This Row],[Service_Cost]]</f>
        <v>199481</v>
      </c>
      <c r="T617" s="4">
        <v>4</v>
      </c>
      <c r="U617" s="4">
        <f>IF(AND(Table1[[#This Row],[Rework_Flag]]="Yes",Table1[[#This Row],[Warranty_Claim]]="No"),Table1[[#This Row],[Service_Revenue]],0)</f>
        <v>0</v>
      </c>
      <c r="V617" s="4">
        <f>IF(Table1[[#This Row],[Warranty_Claim]]="Yes",1,0)</f>
        <v>0</v>
      </c>
      <c r="W617" s="4">
        <f>IF(Table1[[#This Row],[Rework_Flag]]="No",1,0)</f>
        <v>1</v>
      </c>
      <c r="X617" s="4">
        <f>IF(Table1[[#This Row],[Rework_Flag]]="Yes",1,0)</f>
        <v>0</v>
      </c>
      <c r="Y617" s="4">
        <v>1</v>
      </c>
      <c r="Z617" s="4" t="str">
        <f>IF(Table1[[#This Row],[TAT_Days]]&gt;Table1[[#This Row],[SLA_TAT]],"Yes","No")</f>
        <v>No</v>
      </c>
      <c r="AA617" s="4" t="str" cm="1">
        <f t="array" ref="AA617">_xlfn.IFS(Table1[[#This Row],[Customer_Satisfaction]]&lt;=2,"Poor",Table1[[#This Row],[Customer_Satisfaction]]=3,"Neutral",Table1[[#This Row],[Customer_Satisfaction]]=4,"Good",Table1[[#This Row],[Customer_Satisfaction]]=5,"Good")</f>
        <v>Good</v>
      </c>
    </row>
    <row r="618" spans="1:27" x14ac:dyDescent="0.35">
      <c r="A618">
        <v>20616</v>
      </c>
      <c r="B618" s="1">
        <v>45442</v>
      </c>
      <c r="C618" t="s">
        <v>50</v>
      </c>
      <c r="D618" t="s">
        <v>56</v>
      </c>
      <c r="E618" t="s">
        <v>101</v>
      </c>
      <c r="F618" t="s">
        <v>40</v>
      </c>
      <c r="G618" t="s">
        <v>23</v>
      </c>
      <c r="H618" t="s">
        <v>24</v>
      </c>
      <c r="I618" t="s">
        <v>25</v>
      </c>
      <c r="J618" t="s">
        <v>67</v>
      </c>
      <c r="K618" t="s">
        <v>61</v>
      </c>
      <c r="L618" t="s">
        <v>49</v>
      </c>
      <c r="M618" s="4">
        <v>20</v>
      </c>
      <c r="N618" s="4">
        <v>7</v>
      </c>
      <c r="O618" t="s">
        <v>36</v>
      </c>
      <c r="P618" t="s">
        <v>29</v>
      </c>
      <c r="Q618" s="4">
        <v>289464</v>
      </c>
      <c r="R618" s="4">
        <v>230549</v>
      </c>
      <c r="S618" s="4">
        <f>Table1[[#This Row],[Service_Revenue]]-Table1[[#This Row],[Service_Cost]]</f>
        <v>58915</v>
      </c>
      <c r="T618" s="4">
        <v>1</v>
      </c>
      <c r="U618" s="4">
        <f>IF(AND(Table1[[#This Row],[Rework_Flag]]="Yes",Table1[[#This Row],[Warranty_Claim]]="No"),Table1[[#This Row],[Service_Revenue]],0)</f>
        <v>0</v>
      </c>
      <c r="V618" s="4">
        <f>IF(Table1[[#This Row],[Warranty_Claim]]="Yes",1,0)</f>
        <v>1</v>
      </c>
      <c r="W618" s="4">
        <f>IF(Table1[[#This Row],[Rework_Flag]]="No",1,0)</f>
        <v>1</v>
      </c>
      <c r="X618" s="4">
        <f>IF(Table1[[#This Row],[Rework_Flag]]="Yes",1,0)</f>
        <v>0</v>
      </c>
      <c r="Y618" s="4">
        <v>1</v>
      </c>
      <c r="Z618" s="4" t="str">
        <f>IF(Table1[[#This Row],[TAT_Days]]&gt;Table1[[#This Row],[SLA_TAT]],"Yes","No")</f>
        <v>Yes</v>
      </c>
      <c r="AA618" s="4" t="str" cm="1">
        <f t="array" ref="AA618">_xlfn.IFS(Table1[[#This Row],[Customer_Satisfaction]]&lt;=2,"Poor",Table1[[#This Row],[Customer_Satisfaction]]=3,"Neutral",Table1[[#This Row],[Customer_Satisfaction]]=4,"Good",Table1[[#This Row],[Customer_Satisfaction]]=5,"Good")</f>
        <v>Poor</v>
      </c>
    </row>
    <row r="619" spans="1:27" x14ac:dyDescent="0.35">
      <c r="A619">
        <v>20617</v>
      </c>
      <c r="B619" s="1">
        <v>45472</v>
      </c>
      <c r="C619" t="s">
        <v>19</v>
      </c>
      <c r="D619" t="s">
        <v>96</v>
      </c>
      <c r="E619" t="s">
        <v>105</v>
      </c>
      <c r="F619" t="s">
        <v>22</v>
      </c>
      <c r="G619" t="s">
        <v>54</v>
      </c>
      <c r="H619" t="s">
        <v>42</v>
      </c>
      <c r="I619" t="s">
        <v>25</v>
      </c>
      <c r="J619" t="s">
        <v>26</v>
      </c>
      <c r="K619" t="s">
        <v>61</v>
      </c>
      <c r="L619" t="s">
        <v>28</v>
      </c>
      <c r="M619" s="4">
        <v>24</v>
      </c>
      <c r="N619" s="4">
        <v>7</v>
      </c>
      <c r="O619" t="s">
        <v>29</v>
      </c>
      <c r="P619" t="s">
        <v>36</v>
      </c>
      <c r="Q619" s="4">
        <v>542749</v>
      </c>
      <c r="R619" s="4">
        <v>351164</v>
      </c>
      <c r="S619" s="4">
        <f>Table1[[#This Row],[Service_Revenue]]-Table1[[#This Row],[Service_Cost]]</f>
        <v>191585</v>
      </c>
      <c r="T619" s="4">
        <v>1</v>
      </c>
      <c r="U619" s="4">
        <f>IF(AND(Table1[[#This Row],[Rework_Flag]]="Yes",Table1[[#This Row],[Warranty_Claim]]="No"),Table1[[#This Row],[Service_Revenue]],0)</f>
        <v>542749</v>
      </c>
      <c r="V619" s="4">
        <f>IF(Table1[[#This Row],[Warranty_Claim]]="Yes",1,0)</f>
        <v>0</v>
      </c>
      <c r="W619" s="4">
        <f>IF(Table1[[#This Row],[Rework_Flag]]="No",1,0)</f>
        <v>0</v>
      </c>
      <c r="X619" s="4">
        <f>IF(Table1[[#This Row],[Rework_Flag]]="Yes",1,0)</f>
        <v>1</v>
      </c>
      <c r="Y619" s="4">
        <v>1</v>
      </c>
      <c r="Z619" s="4" t="str">
        <f>IF(Table1[[#This Row],[TAT_Days]]&gt;Table1[[#This Row],[SLA_TAT]],"Yes","No")</f>
        <v>Yes</v>
      </c>
      <c r="AA619" s="4" t="str" cm="1">
        <f t="array" ref="AA619">_xlfn.IFS(Table1[[#This Row],[Customer_Satisfaction]]&lt;=2,"Poor",Table1[[#This Row],[Customer_Satisfaction]]=3,"Neutral",Table1[[#This Row],[Customer_Satisfaction]]=4,"Good",Table1[[#This Row],[Customer_Satisfaction]]=5,"Good")</f>
        <v>Poor</v>
      </c>
    </row>
    <row r="620" spans="1:27" x14ac:dyDescent="0.35">
      <c r="A620">
        <v>20618</v>
      </c>
      <c r="B620" s="1">
        <v>45447</v>
      </c>
      <c r="C620" t="s">
        <v>50</v>
      </c>
      <c r="D620" t="s">
        <v>80</v>
      </c>
      <c r="E620" t="s">
        <v>121</v>
      </c>
      <c r="F620" t="s">
        <v>40</v>
      </c>
      <c r="G620" t="s">
        <v>63</v>
      </c>
      <c r="H620" t="s">
        <v>24</v>
      </c>
      <c r="I620" t="s">
        <v>55</v>
      </c>
      <c r="J620" t="s">
        <v>67</v>
      </c>
      <c r="K620" t="s">
        <v>27</v>
      </c>
      <c r="L620" t="s">
        <v>28</v>
      </c>
      <c r="M620" s="4">
        <v>4</v>
      </c>
      <c r="N620" s="4">
        <v>7</v>
      </c>
      <c r="O620" t="s">
        <v>36</v>
      </c>
      <c r="P620" t="s">
        <v>36</v>
      </c>
      <c r="Q620" s="4">
        <v>179699</v>
      </c>
      <c r="R620" s="4">
        <v>92648</v>
      </c>
      <c r="S620" s="4">
        <f>Table1[[#This Row],[Service_Revenue]]-Table1[[#This Row],[Service_Cost]]</f>
        <v>87051</v>
      </c>
      <c r="T620" s="4">
        <v>5</v>
      </c>
      <c r="U620" s="4">
        <f>IF(AND(Table1[[#This Row],[Rework_Flag]]="Yes",Table1[[#This Row],[Warranty_Claim]]="No"),Table1[[#This Row],[Service_Revenue]],0)</f>
        <v>0</v>
      </c>
      <c r="V620" s="4">
        <f>IF(Table1[[#This Row],[Warranty_Claim]]="Yes",1,0)</f>
        <v>0</v>
      </c>
      <c r="W620" s="4">
        <f>IF(Table1[[#This Row],[Rework_Flag]]="No",1,0)</f>
        <v>1</v>
      </c>
      <c r="X620" s="4">
        <f>IF(Table1[[#This Row],[Rework_Flag]]="Yes",1,0)</f>
        <v>0</v>
      </c>
      <c r="Y620" s="4">
        <v>1</v>
      </c>
      <c r="Z620" s="4" t="str">
        <f>IF(Table1[[#This Row],[TAT_Days]]&gt;Table1[[#This Row],[SLA_TAT]],"Yes","No")</f>
        <v>No</v>
      </c>
      <c r="AA620" s="4" t="str" cm="1">
        <f t="array" ref="AA620">_xlfn.IFS(Table1[[#This Row],[Customer_Satisfaction]]&lt;=2,"Poor",Table1[[#This Row],[Customer_Satisfaction]]=3,"Neutral",Table1[[#This Row],[Customer_Satisfaction]]=4,"Good",Table1[[#This Row],[Customer_Satisfaction]]=5,"Good")</f>
        <v>Good</v>
      </c>
    </row>
    <row r="621" spans="1:27" x14ac:dyDescent="0.35">
      <c r="A621">
        <v>20619</v>
      </c>
      <c r="B621" s="1">
        <v>45472</v>
      </c>
      <c r="C621" t="s">
        <v>19</v>
      </c>
      <c r="D621" t="s">
        <v>20</v>
      </c>
      <c r="E621" t="s">
        <v>89</v>
      </c>
      <c r="F621" t="s">
        <v>53</v>
      </c>
      <c r="G621" t="s">
        <v>63</v>
      </c>
      <c r="H621" t="s">
        <v>24</v>
      </c>
      <c r="I621" t="s">
        <v>55</v>
      </c>
      <c r="J621" t="s">
        <v>35</v>
      </c>
      <c r="K621" t="s">
        <v>27</v>
      </c>
      <c r="L621" t="s">
        <v>28</v>
      </c>
      <c r="M621" s="4">
        <v>23</v>
      </c>
      <c r="N621" s="4">
        <v>7</v>
      </c>
      <c r="O621" t="s">
        <v>29</v>
      </c>
      <c r="P621" t="s">
        <v>29</v>
      </c>
      <c r="Q621" s="4">
        <v>317926</v>
      </c>
      <c r="R621" s="4">
        <v>237380</v>
      </c>
      <c r="S621" s="4">
        <f>Table1[[#This Row],[Service_Revenue]]-Table1[[#This Row],[Service_Cost]]</f>
        <v>80546</v>
      </c>
      <c r="T621" s="4">
        <v>1</v>
      </c>
      <c r="U621" s="4">
        <f>IF(AND(Table1[[#This Row],[Rework_Flag]]="Yes",Table1[[#This Row],[Warranty_Claim]]="No"),Table1[[#This Row],[Service_Revenue]],0)</f>
        <v>0</v>
      </c>
      <c r="V621" s="4">
        <f>IF(Table1[[#This Row],[Warranty_Claim]]="Yes",1,0)</f>
        <v>1</v>
      </c>
      <c r="W621" s="4">
        <f>IF(Table1[[#This Row],[Rework_Flag]]="No",1,0)</f>
        <v>0</v>
      </c>
      <c r="X621" s="4">
        <f>IF(Table1[[#This Row],[Rework_Flag]]="Yes",1,0)</f>
        <v>1</v>
      </c>
      <c r="Y621" s="4">
        <v>1</v>
      </c>
      <c r="Z621" s="4" t="str">
        <f>IF(Table1[[#This Row],[TAT_Days]]&gt;Table1[[#This Row],[SLA_TAT]],"Yes","No")</f>
        <v>Yes</v>
      </c>
      <c r="AA621" s="4" t="str" cm="1">
        <f t="array" ref="AA621">_xlfn.IFS(Table1[[#This Row],[Customer_Satisfaction]]&lt;=2,"Poor",Table1[[#This Row],[Customer_Satisfaction]]=3,"Neutral",Table1[[#This Row],[Customer_Satisfaction]]=4,"Good",Table1[[#This Row],[Customer_Satisfaction]]=5,"Good")</f>
        <v>Poor</v>
      </c>
    </row>
    <row r="622" spans="1:27" x14ac:dyDescent="0.35">
      <c r="A622">
        <v>20620</v>
      </c>
      <c r="B622" s="1">
        <v>45437</v>
      </c>
      <c r="C622" t="s">
        <v>37</v>
      </c>
      <c r="D622" t="s">
        <v>64</v>
      </c>
      <c r="E622" t="s">
        <v>87</v>
      </c>
      <c r="F622" t="s">
        <v>40</v>
      </c>
      <c r="G622" t="s">
        <v>33</v>
      </c>
      <c r="H622" t="s">
        <v>34</v>
      </c>
      <c r="I622" t="s">
        <v>55</v>
      </c>
      <c r="J622" t="s">
        <v>35</v>
      </c>
      <c r="K622" t="s">
        <v>61</v>
      </c>
      <c r="L622" t="s">
        <v>28</v>
      </c>
      <c r="M622" s="4">
        <v>14</v>
      </c>
      <c r="N622" s="4">
        <v>7</v>
      </c>
      <c r="O622" t="s">
        <v>36</v>
      </c>
      <c r="P622" t="s">
        <v>36</v>
      </c>
      <c r="Q622" s="4">
        <v>452163</v>
      </c>
      <c r="R622" s="4">
        <v>255588</v>
      </c>
      <c r="S622" s="4">
        <f>Table1[[#This Row],[Service_Revenue]]-Table1[[#This Row],[Service_Cost]]</f>
        <v>196575</v>
      </c>
      <c r="T622" s="4">
        <v>3</v>
      </c>
      <c r="U622" s="4">
        <f>IF(AND(Table1[[#This Row],[Rework_Flag]]="Yes",Table1[[#This Row],[Warranty_Claim]]="No"),Table1[[#This Row],[Service_Revenue]],0)</f>
        <v>0</v>
      </c>
      <c r="V622" s="4">
        <f>IF(Table1[[#This Row],[Warranty_Claim]]="Yes",1,0)</f>
        <v>0</v>
      </c>
      <c r="W622" s="4">
        <f>IF(Table1[[#This Row],[Rework_Flag]]="No",1,0)</f>
        <v>1</v>
      </c>
      <c r="X622" s="4">
        <f>IF(Table1[[#This Row],[Rework_Flag]]="Yes",1,0)</f>
        <v>0</v>
      </c>
      <c r="Y622" s="4">
        <v>1</v>
      </c>
      <c r="Z622" s="4" t="str">
        <f>IF(Table1[[#This Row],[TAT_Days]]&gt;Table1[[#This Row],[SLA_TAT]],"Yes","No")</f>
        <v>Yes</v>
      </c>
      <c r="AA622" s="4" t="str" cm="1">
        <f t="array" ref="AA622">_xlfn.IFS(Table1[[#This Row],[Customer_Satisfaction]]&lt;=2,"Poor",Table1[[#This Row],[Customer_Satisfaction]]=3,"Neutral",Table1[[#This Row],[Customer_Satisfaction]]=4,"Good",Table1[[#This Row],[Customer_Satisfaction]]=5,"Good")</f>
        <v>Neutral</v>
      </c>
    </row>
    <row r="623" spans="1:27" x14ac:dyDescent="0.35">
      <c r="A623">
        <v>20621</v>
      </c>
      <c r="B623" s="1">
        <v>45426</v>
      </c>
      <c r="C623" t="s">
        <v>30</v>
      </c>
      <c r="D623" t="s">
        <v>59</v>
      </c>
      <c r="E623" t="s">
        <v>66</v>
      </c>
      <c r="F623" t="s">
        <v>53</v>
      </c>
      <c r="G623" t="s">
        <v>74</v>
      </c>
      <c r="H623" t="s">
        <v>34</v>
      </c>
      <c r="I623" t="s">
        <v>25</v>
      </c>
      <c r="J623" t="s">
        <v>35</v>
      </c>
      <c r="K623" t="s">
        <v>44</v>
      </c>
      <c r="L623" t="s">
        <v>28</v>
      </c>
      <c r="M623" s="4">
        <v>24</v>
      </c>
      <c r="N623" s="4">
        <v>7</v>
      </c>
      <c r="O623" t="s">
        <v>36</v>
      </c>
      <c r="P623" t="s">
        <v>36</v>
      </c>
      <c r="Q623" s="4">
        <v>212994</v>
      </c>
      <c r="R623" s="4">
        <v>149093</v>
      </c>
      <c r="S623" s="4">
        <f>Table1[[#This Row],[Service_Revenue]]-Table1[[#This Row],[Service_Cost]]</f>
        <v>63901</v>
      </c>
      <c r="T623" s="4">
        <v>1</v>
      </c>
      <c r="U623" s="4">
        <f>IF(AND(Table1[[#This Row],[Rework_Flag]]="Yes",Table1[[#This Row],[Warranty_Claim]]="No"),Table1[[#This Row],[Service_Revenue]],0)</f>
        <v>0</v>
      </c>
      <c r="V623" s="4">
        <f>IF(Table1[[#This Row],[Warranty_Claim]]="Yes",1,0)</f>
        <v>0</v>
      </c>
      <c r="W623" s="4">
        <f>IF(Table1[[#This Row],[Rework_Flag]]="No",1,0)</f>
        <v>1</v>
      </c>
      <c r="X623" s="4">
        <f>IF(Table1[[#This Row],[Rework_Flag]]="Yes",1,0)</f>
        <v>0</v>
      </c>
      <c r="Y623" s="4">
        <v>1</v>
      </c>
      <c r="Z623" s="4" t="str">
        <f>IF(Table1[[#This Row],[TAT_Days]]&gt;Table1[[#This Row],[SLA_TAT]],"Yes","No")</f>
        <v>Yes</v>
      </c>
      <c r="AA623" s="4" t="str" cm="1">
        <f t="array" ref="AA623">_xlfn.IFS(Table1[[#This Row],[Customer_Satisfaction]]&lt;=2,"Poor",Table1[[#This Row],[Customer_Satisfaction]]=3,"Neutral",Table1[[#This Row],[Customer_Satisfaction]]=4,"Good",Table1[[#This Row],[Customer_Satisfaction]]=5,"Good")</f>
        <v>Poor</v>
      </c>
    </row>
    <row r="624" spans="1:27" x14ac:dyDescent="0.35">
      <c r="A624">
        <v>20622</v>
      </c>
      <c r="B624" s="1">
        <v>45426</v>
      </c>
      <c r="C624" t="s">
        <v>50</v>
      </c>
      <c r="D624" t="s">
        <v>51</v>
      </c>
      <c r="E624" t="s">
        <v>52</v>
      </c>
      <c r="F624" t="s">
        <v>53</v>
      </c>
      <c r="G624" t="s">
        <v>74</v>
      </c>
      <c r="H624" t="s">
        <v>34</v>
      </c>
      <c r="I624" t="s">
        <v>25</v>
      </c>
      <c r="J624" t="s">
        <v>58</v>
      </c>
      <c r="K624" t="s">
        <v>61</v>
      </c>
      <c r="L624" t="s">
        <v>28</v>
      </c>
      <c r="M624" s="4">
        <v>20</v>
      </c>
      <c r="N624" s="4">
        <v>7</v>
      </c>
      <c r="O624" t="s">
        <v>29</v>
      </c>
      <c r="P624" t="s">
        <v>36</v>
      </c>
      <c r="Q624" s="4">
        <v>495085</v>
      </c>
      <c r="R624" s="4">
        <v>307794</v>
      </c>
      <c r="S624" s="4">
        <f>Table1[[#This Row],[Service_Revenue]]-Table1[[#This Row],[Service_Cost]]</f>
        <v>187291</v>
      </c>
      <c r="T624" s="4">
        <v>1</v>
      </c>
      <c r="U624" s="4">
        <f>IF(AND(Table1[[#This Row],[Rework_Flag]]="Yes",Table1[[#This Row],[Warranty_Claim]]="No"),Table1[[#This Row],[Service_Revenue]],0)</f>
        <v>495085</v>
      </c>
      <c r="V624" s="4">
        <f>IF(Table1[[#This Row],[Warranty_Claim]]="Yes",1,0)</f>
        <v>0</v>
      </c>
      <c r="W624" s="4">
        <f>IF(Table1[[#This Row],[Rework_Flag]]="No",1,0)</f>
        <v>0</v>
      </c>
      <c r="X624" s="4">
        <f>IF(Table1[[#This Row],[Rework_Flag]]="Yes",1,0)</f>
        <v>1</v>
      </c>
      <c r="Y624" s="4">
        <v>1</v>
      </c>
      <c r="Z624" s="4" t="str">
        <f>IF(Table1[[#This Row],[TAT_Days]]&gt;Table1[[#This Row],[SLA_TAT]],"Yes","No")</f>
        <v>Yes</v>
      </c>
      <c r="AA624" s="4" t="str" cm="1">
        <f t="array" ref="AA624">_xlfn.IFS(Table1[[#This Row],[Customer_Satisfaction]]&lt;=2,"Poor",Table1[[#This Row],[Customer_Satisfaction]]=3,"Neutral",Table1[[#This Row],[Customer_Satisfaction]]=4,"Good",Table1[[#This Row],[Customer_Satisfaction]]=5,"Good")</f>
        <v>Poor</v>
      </c>
    </row>
    <row r="625" spans="1:27" x14ac:dyDescent="0.35">
      <c r="A625">
        <v>20623</v>
      </c>
      <c r="B625" s="1">
        <v>45328</v>
      </c>
      <c r="C625" t="s">
        <v>30</v>
      </c>
      <c r="D625" t="s">
        <v>31</v>
      </c>
      <c r="E625" t="s">
        <v>62</v>
      </c>
      <c r="F625" t="s">
        <v>40</v>
      </c>
      <c r="G625" t="s">
        <v>63</v>
      </c>
      <c r="H625" t="s">
        <v>24</v>
      </c>
      <c r="I625" t="s">
        <v>55</v>
      </c>
      <c r="J625" t="s">
        <v>67</v>
      </c>
      <c r="K625" t="s">
        <v>44</v>
      </c>
      <c r="L625" t="s">
        <v>28</v>
      </c>
      <c r="M625" s="4">
        <v>25</v>
      </c>
      <c r="N625" s="4">
        <v>7</v>
      </c>
      <c r="O625" t="s">
        <v>29</v>
      </c>
      <c r="P625" t="s">
        <v>29</v>
      </c>
      <c r="Q625" s="4">
        <v>448873</v>
      </c>
      <c r="R625" s="4">
        <v>234051</v>
      </c>
      <c r="S625" s="4">
        <f>Table1[[#This Row],[Service_Revenue]]-Table1[[#This Row],[Service_Cost]]</f>
        <v>214822</v>
      </c>
      <c r="T625" s="4">
        <v>1</v>
      </c>
      <c r="U625" s="4">
        <f>IF(AND(Table1[[#This Row],[Rework_Flag]]="Yes",Table1[[#This Row],[Warranty_Claim]]="No"),Table1[[#This Row],[Service_Revenue]],0)</f>
        <v>0</v>
      </c>
      <c r="V625" s="4">
        <f>IF(Table1[[#This Row],[Warranty_Claim]]="Yes",1,0)</f>
        <v>1</v>
      </c>
      <c r="W625" s="4">
        <f>IF(Table1[[#This Row],[Rework_Flag]]="No",1,0)</f>
        <v>0</v>
      </c>
      <c r="X625" s="4">
        <f>IF(Table1[[#This Row],[Rework_Flag]]="Yes",1,0)</f>
        <v>1</v>
      </c>
      <c r="Y625" s="4">
        <v>1</v>
      </c>
      <c r="Z625" s="4" t="str">
        <f>IF(Table1[[#This Row],[TAT_Days]]&gt;Table1[[#This Row],[SLA_TAT]],"Yes","No")</f>
        <v>Yes</v>
      </c>
      <c r="AA625" s="4" t="str" cm="1">
        <f t="array" ref="AA625">_xlfn.IFS(Table1[[#This Row],[Customer_Satisfaction]]&lt;=2,"Poor",Table1[[#This Row],[Customer_Satisfaction]]=3,"Neutral",Table1[[#This Row],[Customer_Satisfaction]]=4,"Good",Table1[[#This Row],[Customer_Satisfaction]]=5,"Good")</f>
        <v>Poor</v>
      </c>
    </row>
    <row r="626" spans="1:27" x14ac:dyDescent="0.35">
      <c r="A626">
        <v>20624</v>
      </c>
      <c r="B626" s="1">
        <v>45321</v>
      </c>
      <c r="C626" t="s">
        <v>37</v>
      </c>
      <c r="D626" t="s">
        <v>70</v>
      </c>
      <c r="E626" t="s">
        <v>116</v>
      </c>
      <c r="F626" t="s">
        <v>22</v>
      </c>
      <c r="G626" t="s">
        <v>23</v>
      </c>
      <c r="H626" t="s">
        <v>24</v>
      </c>
      <c r="I626" t="s">
        <v>55</v>
      </c>
      <c r="J626" t="s">
        <v>67</v>
      </c>
      <c r="K626" t="s">
        <v>61</v>
      </c>
      <c r="L626" t="s">
        <v>49</v>
      </c>
      <c r="M626" s="4">
        <v>7</v>
      </c>
      <c r="N626" s="4">
        <v>7</v>
      </c>
      <c r="O626" t="s">
        <v>36</v>
      </c>
      <c r="P626" t="s">
        <v>29</v>
      </c>
      <c r="Q626" s="4">
        <v>432308</v>
      </c>
      <c r="R626" s="4">
        <v>364000</v>
      </c>
      <c r="S626" s="4">
        <f>Table1[[#This Row],[Service_Revenue]]-Table1[[#This Row],[Service_Cost]]</f>
        <v>68308</v>
      </c>
      <c r="T626" s="4">
        <v>4</v>
      </c>
      <c r="U626" s="4">
        <f>IF(AND(Table1[[#This Row],[Rework_Flag]]="Yes",Table1[[#This Row],[Warranty_Claim]]="No"),Table1[[#This Row],[Service_Revenue]],0)</f>
        <v>0</v>
      </c>
      <c r="V626" s="4">
        <f>IF(Table1[[#This Row],[Warranty_Claim]]="Yes",1,0)</f>
        <v>1</v>
      </c>
      <c r="W626" s="4">
        <f>IF(Table1[[#This Row],[Rework_Flag]]="No",1,0)</f>
        <v>1</v>
      </c>
      <c r="X626" s="4">
        <f>IF(Table1[[#This Row],[Rework_Flag]]="Yes",1,0)</f>
        <v>0</v>
      </c>
      <c r="Y626" s="4">
        <v>1</v>
      </c>
      <c r="Z626" s="4" t="str">
        <f>IF(Table1[[#This Row],[TAT_Days]]&gt;Table1[[#This Row],[SLA_TAT]],"Yes","No")</f>
        <v>No</v>
      </c>
      <c r="AA626" s="4" t="str" cm="1">
        <f t="array" ref="AA626">_xlfn.IFS(Table1[[#This Row],[Customer_Satisfaction]]&lt;=2,"Poor",Table1[[#This Row],[Customer_Satisfaction]]=3,"Neutral",Table1[[#This Row],[Customer_Satisfaction]]=4,"Good",Table1[[#This Row],[Customer_Satisfaction]]=5,"Good")</f>
        <v>Good</v>
      </c>
    </row>
    <row r="627" spans="1:27" x14ac:dyDescent="0.35">
      <c r="A627">
        <v>20625</v>
      </c>
      <c r="B627" s="1">
        <v>45359</v>
      </c>
      <c r="C627" t="s">
        <v>19</v>
      </c>
      <c r="D627" t="s">
        <v>45</v>
      </c>
      <c r="E627" t="s">
        <v>111</v>
      </c>
      <c r="F627" t="s">
        <v>53</v>
      </c>
      <c r="G627" t="s">
        <v>41</v>
      </c>
      <c r="H627" t="s">
        <v>42</v>
      </c>
      <c r="I627" t="s">
        <v>55</v>
      </c>
      <c r="J627" t="s">
        <v>26</v>
      </c>
      <c r="K627" t="s">
        <v>61</v>
      </c>
      <c r="L627" t="s">
        <v>49</v>
      </c>
      <c r="M627" s="4">
        <v>5</v>
      </c>
      <c r="N627" s="4">
        <v>7</v>
      </c>
      <c r="O627" t="s">
        <v>29</v>
      </c>
      <c r="P627" t="s">
        <v>29</v>
      </c>
      <c r="Q627" s="4">
        <v>581586</v>
      </c>
      <c r="R627" s="4">
        <v>458193</v>
      </c>
      <c r="S627" s="4">
        <f>Table1[[#This Row],[Service_Revenue]]-Table1[[#This Row],[Service_Cost]]</f>
        <v>123393</v>
      </c>
      <c r="T627" s="4">
        <v>3</v>
      </c>
      <c r="U627" s="4">
        <f>IF(AND(Table1[[#This Row],[Rework_Flag]]="Yes",Table1[[#This Row],[Warranty_Claim]]="No"),Table1[[#This Row],[Service_Revenue]],0)</f>
        <v>0</v>
      </c>
      <c r="V627" s="4">
        <f>IF(Table1[[#This Row],[Warranty_Claim]]="Yes",1,0)</f>
        <v>1</v>
      </c>
      <c r="W627" s="4">
        <f>IF(Table1[[#This Row],[Rework_Flag]]="No",1,0)</f>
        <v>0</v>
      </c>
      <c r="X627" s="4">
        <f>IF(Table1[[#This Row],[Rework_Flag]]="Yes",1,0)</f>
        <v>1</v>
      </c>
      <c r="Y627" s="4">
        <v>1</v>
      </c>
      <c r="Z627" s="4" t="str">
        <f>IF(Table1[[#This Row],[TAT_Days]]&gt;Table1[[#This Row],[SLA_TAT]],"Yes","No")</f>
        <v>No</v>
      </c>
      <c r="AA627" s="4" t="str" cm="1">
        <f t="array" ref="AA627">_xlfn.IFS(Table1[[#This Row],[Customer_Satisfaction]]&lt;=2,"Poor",Table1[[#This Row],[Customer_Satisfaction]]=3,"Neutral",Table1[[#This Row],[Customer_Satisfaction]]=4,"Good",Table1[[#This Row],[Customer_Satisfaction]]=5,"Good")</f>
        <v>Neutral</v>
      </c>
    </row>
    <row r="628" spans="1:27" x14ac:dyDescent="0.35">
      <c r="A628">
        <v>20626</v>
      </c>
      <c r="B628" s="1">
        <v>45412</v>
      </c>
      <c r="C628" t="s">
        <v>37</v>
      </c>
      <c r="D628" t="s">
        <v>64</v>
      </c>
      <c r="E628" t="s">
        <v>65</v>
      </c>
      <c r="F628" t="s">
        <v>40</v>
      </c>
      <c r="G628" t="s">
        <v>33</v>
      </c>
      <c r="H628" t="s">
        <v>34</v>
      </c>
      <c r="I628" t="s">
        <v>25</v>
      </c>
      <c r="J628" t="s">
        <v>26</v>
      </c>
      <c r="K628" t="s">
        <v>61</v>
      </c>
      <c r="L628" t="s">
        <v>49</v>
      </c>
      <c r="M628" s="4">
        <v>6</v>
      </c>
      <c r="N628" s="4">
        <v>7</v>
      </c>
      <c r="O628" t="s">
        <v>29</v>
      </c>
      <c r="P628" t="s">
        <v>36</v>
      </c>
      <c r="Q628" s="4">
        <v>427228</v>
      </c>
      <c r="R628" s="4">
        <v>216687</v>
      </c>
      <c r="S628" s="4">
        <f>Table1[[#This Row],[Service_Revenue]]-Table1[[#This Row],[Service_Cost]]</f>
        <v>210541</v>
      </c>
      <c r="T628" s="4">
        <v>3</v>
      </c>
      <c r="U628" s="4">
        <f>IF(AND(Table1[[#This Row],[Rework_Flag]]="Yes",Table1[[#This Row],[Warranty_Claim]]="No"),Table1[[#This Row],[Service_Revenue]],0)</f>
        <v>427228</v>
      </c>
      <c r="V628" s="4">
        <f>IF(Table1[[#This Row],[Warranty_Claim]]="Yes",1,0)</f>
        <v>0</v>
      </c>
      <c r="W628" s="4">
        <f>IF(Table1[[#This Row],[Rework_Flag]]="No",1,0)</f>
        <v>0</v>
      </c>
      <c r="X628" s="4">
        <f>IF(Table1[[#This Row],[Rework_Flag]]="Yes",1,0)</f>
        <v>1</v>
      </c>
      <c r="Y628" s="4">
        <v>1</v>
      </c>
      <c r="Z628" s="4" t="str">
        <f>IF(Table1[[#This Row],[TAT_Days]]&gt;Table1[[#This Row],[SLA_TAT]],"Yes","No")</f>
        <v>No</v>
      </c>
      <c r="AA628" s="4" t="str" cm="1">
        <f t="array" ref="AA628">_xlfn.IFS(Table1[[#This Row],[Customer_Satisfaction]]&lt;=2,"Poor",Table1[[#This Row],[Customer_Satisfaction]]=3,"Neutral",Table1[[#This Row],[Customer_Satisfaction]]=4,"Good",Table1[[#This Row],[Customer_Satisfaction]]=5,"Good")</f>
        <v>Neutral</v>
      </c>
    </row>
    <row r="629" spans="1:27" x14ac:dyDescent="0.35">
      <c r="A629">
        <v>20627</v>
      </c>
      <c r="B629" s="1">
        <v>45408</v>
      </c>
      <c r="C629" t="s">
        <v>50</v>
      </c>
      <c r="D629" t="s">
        <v>56</v>
      </c>
      <c r="E629" t="s">
        <v>68</v>
      </c>
      <c r="F629" t="s">
        <v>53</v>
      </c>
      <c r="G629" t="s">
        <v>41</v>
      </c>
      <c r="H629" t="s">
        <v>42</v>
      </c>
      <c r="I629" t="s">
        <v>25</v>
      </c>
      <c r="J629" t="s">
        <v>43</v>
      </c>
      <c r="K629" t="s">
        <v>61</v>
      </c>
      <c r="L629" t="s">
        <v>49</v>
      </c>
      <c r="M629" s="4">
        <v>13</v>
      </c>
      <c r="N629" s="4">
        <v>7</v>
      </c>
      <c r="O629" t="s">
        <v>36</v>
      </c>
      <c r="P629" t="s">
        <v>29</v>
      </c>
      <c r="Q629" s="4">
        <v>490544</v>
      </c>
      <c r="R629" s="4">
        <v>402734</v>
      </c>
      <c r="S629" s="4">
        <f>Table1[[#This Row],[Service_Revenue]]-Table1[[#This Row],[Service_Cost]]</f>
        <v>87810</v>
      </c>
      <c r="T629" s="4">
        <v>3</v>
      </c>
      <c r="U629" s="4">
        <f>IF(AND(Table1[[#This Row],[Rework_Flag]]="Yes",Table1[[#This Row],[Warranty_Claim]]="No"),Table1[[#This Row],[Service_Revenue]],0)</f>
        <v>0</v>
      </c>
      <c r="V629" s="4">
        <f>IF(Table1[[#This Row],[Warranty_Claim]]="Yes",1,0)</f>
        <v>1</v>
      </c>
      <c r="W629" s="4">
        <f>IF(Table1[[#This Row],[Rework_Flag]]="No",1,0)</f>
        <v>1</v>
      </c>
      <c r="X629" s="4">
        <f>IF(Table1[[#This Row],[Rework_Flag]]="Yes",1,0)</f>
        <v>0</v>
      </c>
      <c r="Y629" s="4">
        <v>1</v>
      </c>
      <c r="Z629" s="4" t="str">
        <f>IF(Table1[[#This Row],[TAT_Days]]&gt;Table1[[#This Row],[SLA_TAT]],"Yes","No")</f>
        <v>Yes</v>
      </c>
      <c r="AA629" s="4" t="str" cm="1">
        <f t="array" ref="AA629">_xlfn.IFS(Table1[[#This Row],[Customer_Satisfaction]]&lt;=2,"Poor",Table1[[#This Row],[Customer_Satisfaction]]=3,"Neutral",Table1[[#This Row],[Customer_Satisfaction]]=4,"Good",Table1[[#This Row],[Customer_Satisfaction]]=5,"Good")</f>
        <v>Neutral</v>
      </c>
    </row>
    <row r="630" spans="1:27" x14ac:dyDescent="0.35">
      <c r="A630">
        <v>20628</v>
      </c>
      <c r="B630" s="1">
        <v>45341</v>
      </c>
      <c r="C630" t="s">
        <v>37</v>
      </c>
      <c r="D630" t="s">
        <v>38</v>
      </c>
      <c r="E630" t="s">
        <v>112</v>
      </c>
      <c r="F630" t="s">
        <v>22</v>
      </c>
      <c r="G630" t="s">
        <v>33</v>
      </c>
      <c r="H630" t="s">
        <v>34</v>
      </c>
      <c r="I630" t="s">
        <v>25</v>
      </c>
      <c r="J630" t="s">
        <v>43</v>
      </c>
      <c r="K630" t="s">
        <v>44</v>
      </c>
      <c r="L630" t="s">
        <v>28</v>
      </c>
      <c r="M630" s="4">
        <v>20</v>
      </c>
      <c r="N630" s="4">
        <v>7</v>
      </c>
      <c r="O630" t="s">
        <v>29</v>
      </c>
      <c r="P630" t="s">
        <v>36</v>
      </c>
      <c r="Q630" s="4">
        <v>489139</v>
      </c>
      <c r="R630" s="4">
        <v>349476</v>
      </c>
      <c r="S630" s="4">
        <f>Table1[[#This Row],[Service_Revenue]]-Table1[[#This Row],[Service_Cost]]</f>
        <v>139663</v>
      </c>
      <c r="T630" s="4">
        <v>1</v>
      </c>
      <c r="U630" s="4">
        <f>IF(AND(Table1[[#This Row],[Rework_Flag]]="Yes",Table1[[#This Row],[Warranty_Claim]]="No"),Table1[[#This Row],[Service_Revenue]],0)</f>
        <v>489139</v>
      </c>
      <c r="V630" s="4">
        <f>IF(Table1[[#This Row],[Warranty_Claim]]="Yes",1,0)</f>
        <v>0</v>
      </c>
      <c r="W630" s="4">
        <f>IF(Table1[[#This Row],[Rework_Flag]]="No",1,0)</f>
        <v>0</v>
      </c>
      <c r="X630" s="4">
        <f>IF(Table1[[#This Row],[Rework_Flag]]="Yes",1,0)</f>
        <v>1</v>
      </c>
      <c r="Y630" s="4">
        <v>1</v>
      </c>
      <c r="Z630" s="4" t="str">
        <f>IF(Table1[[#This Row],[TAT_Days]]&gt;Table1[[#This Row],[SLA_TAT]],"Yes","No")</f>
        <v>Yes</v>
      </c>
      <c r="AA630" s="4" t="str" cm="1">
        <f t="array" ref="AA630">_xlfn.IFS(Table1[[#This Row],[Customer_Satisfaction]]&lt;=2,"Poor",Table1[[#This Row],[Customer_Satisfaction]]=3,"Neutral",Table1[[#This Row],[Customer_Satisfaction]]=4,"Good",Table1[[#This Row],[Customer_Satisfaction]]=5,"Good")</f>
        <v>Poor</v>
      </c>
    </row>
    <row r="631" spans="1:27" x14ac:dyDescent="0.35">
      <c r="A631">
        <v>20629</v>
      </c>
      <c r="B631" s="1">
        <v>45326</v>
      </c>
      <c r="C631" t="s">
        <v>50</v>
      </c>
      <c r="D631" t="s">
        <v>51</v>
      </c>
      <c r="E631" t="s">
        <v>75</v>
      </c>
      <c r="F631" t="s">
        <v>53</v>
      </c>
      <c r="G631" t="s">
        <v>63</v>
      </c>
      <c r="H631" t="s">
        <v>24</v>
      </c>
      <c r="I631" t="s">
        <v>55</v>
      </c>
      <c r="J631" t="s">
        <v>43</v>
      </c>
      <c r="K631" t="s">
        <v>44</v>
      </c>
      <c r="L631" t="s">
        <v>49</v>
      </c>
      <c r="M631" s="4">
        <v>15</v>
      </c>
      <c r="N631" s="4">
        <v>7</v>
      </c>
      <c r="O631" t="s">
        <v>29</v>
      </c>
      <c r="P631" t="s">
        <v>29</v>
      </c>
      <c r="Q631" s="4">
        <v>429325</v>
      </c>
      <c r="R631" s="4">
        <v>317348</v>
      </c>
      <c r="S631" s="4">
        <f>Table1[[#This Row],[Service_Revenue]]-Table1[[#This Row],[Service_Cost]]</f>
        <v>111977</v>
      </c>
      <c r="T631" s="4">
        <v>1</v>
      </c>
      <c r="U631" s="4">
        <f>IF(AND(Table1[[#This Row],[Rework_Flag]]="Yes",Table1[[#This Row],[Warranty_Claim]]="No"),Table1[[#This Row],[Service_Revenue]],0)</f>
        <v>0</v>
      </c>
      <c r="V631" s="4">
        <f>IF(Table1[[#This Row],[Warranty_Claim]]="Yes",1,0)</f>
        <v>1</v>
      </c>
      <c r="W631" s="4">
        <f>IF(Table1[[#This Row],[Rework_Flag]]="No",1,0)</f>
        <v>0</v>
      </c>
      <c r="X631" s="4">
        <f>IF(Table1[[#This Row],[Rework_Flag]]="Yes",1,0)</f>
        <v>1</v>
      </c>
      <c r="Y631" s="4">
        <v>1</v>
      </c>
      <c r="Z631" s="4" t="str">
        <f>IF(Table1[[#This Row],[TAT_Days]]&gt;Table1[[#This Row],[SLA_TAT]],"Yes","No")</f>
        <v>Yes</v>
      </c>
      <c r="AA631" s="4" t="str" cm="1">
        <f t="array" ref="AA631">_xlfn.IFS(Table1[[#This Row],[Customer_Satisfaction]]&lt;=2,"Poor",Table1[[#This Row],[Customer_Satisfaction]]=3,"Neutral",Table1[[#This Row],[Customer_Satisfaction]]=4,"Good",Table1[[#This Row],[Customer_Satisfaction]]=5,"Good")</f>
        <v>Poor</v>
      </c>
    </row>
    <row r="632" spans="1:27" x14ac:dyDescent="0.35">
      <c r="A632">
        <v>20630</v>
      </c>
      <c r="B632" s="1">
        <v>45358</v>
      </c>
      <c r="C632" t="s">
        <v>50</v>
      </c>
      <c r="D632" t="s">
        <v>51</v>
      </c>
      <c r="E632" t="s">
        <v>52</v>
      </c>
      <c r="F632" t="s">
        <v>53</v>
      </c>
      <c r="G632" t="s">
        <v>23</v>
      </c>
      <c r="H632" t="s">
        <v>24</v>
      </c>
      <c r="I632" t="s">
        <v>25</v>
      </c>
      <c r="J632" t="s">
        <v>43</v>
      </c>
      <c r="K632" t="s">
        <v>61</v>
      </c>
      <c r="L632" t="s">
        <v>49</v>
      </c>
      <c r="M632" s="4">
        <v>15</v>
      </c>
      <c r="N632" s="4">
        <v>7</v>
      </c>
      <c r="O632" t="s">
        <v>29</v>
      </c>
      <c r="P632" t="s">
        <v>36</v>
      </c>
      <c r="Q632" s="4">
        <v>116283</v>
      </c>
      <c r="R632" s="4">
        <v>85968</v>
      </c>
      <c r="S632" s="4">
        <f>Table1[[#This Row],[Service_Revenue]]-Table1[[#This Row],[Service_Cost]]</f>
        <v>30315</v>
      </c>
      <c r="T632" s="4">
        <v>1</v>
      </c>
      <c r="U632" s="4">
        <f>IF(AND(Table1[[#This Row],[Rework_Flag]]="Yes",Table1[[#This Row],[Warranty_Claim]]="No"),Table1[[#This Row],[Service_Revenue]],0)</f>
        <v>116283</v>
      </c>
      <c r="V632" s="4">
        <f>IF(Table1[[#This Row],[Warranty_Claim]]="Yes",1,0)</f>
        <v>0</v>
      </c>
      <c r="W632" s="4">
        <f>IF(Table1[[#This Row],[Rework_Flag]]="No",1,0)</f>
        <v>0</v>
      </c>
      <c r="X632" s="4">
        <f>IF(Table1[[#This Row],[Rework_Flag]]="Yes",1,0)</f>
        <v>1</v>
      </c>
      <c r="Y632" s="4">
        <v>1</v>
      </c>
      <c r="Z632" s="4" t="str">
        <f>IF(Table1[[#This Row],[TAT_Days]]&gt;Table1[[#This Row],[SLA_TAT]],"Yes","No")</f>
        <v>Yes</v>
      </c>
      <c r="AA632" s="4" t="str" cm="1">
        <f t="array" ref="AA632">_xlfn.IFS(Table1[[#This Row],[Customer_Satisfaction]]&lt;=2,"Poor",Table1[[#This Row],[Customer_Satisfaction]]=3,"Neutral",Table1[[#This Row],[Customer_Satisfaction]]=4,"Good",Table1[[#This Row],[Customer_Satisfaction]]=5,"Good")</f>
        <v>Poor</v>
      </c>
    </row>
    <row r="633" spans="1:27" x14ac:dyDescent="0.35">
      <c r="A633">
        <v>20631</v>
      </c>
      <c r="B633" s="1">
        <v>45374</v>
      </c>
      <c r="C633" t="s">
        <v>50</v>
      </c>
      <c r="D633" t="s">
        <v>56</v>
      </c>
      <c r="E633" t="s">
        <v>88</v>
      </c>
      <c r="F633" t="s">
        <v>53</v>
      </c>
      <c r="G633" t="s">
        <v>54</v>
      </c>
      <c r="H633" t="s">
        <v>42</v>
      </c>
      <c r="I633" t="s">
        <v>55</v>
      </c>
      <c r="J633" t="s">
        <v>58</v>
      </c>
      <c r="K633" t="s">
        <v>27</v>
      </c>
      <c r="L633" t="s">
        <v>28</v>
      </c>
      <c r="M633" s="4">
        <v>6</v>
      </c>
      <c r="N633" s="4">
        <v>7</v>
      </c>
      <c r="O633" t="s">
        <v>29</v>
      </c>
      <c r="P633" t="s">
        <v>36</v>
      </c>
      <c r="Q633" s="4">
        <v>263318</v>
      </c>
      <c r="R633" s="4">
        <v>161942</v>
      </c>
      <c r="S633" s="4">
        <f>Table1[[#This Row],[Service_Revenue]]-Table1[[#This Row],[Service_Cost]]</f>
        <v>101376</v>
      </c>
      <c r="T633" s="4">
        <v>3</v>
      </c>
      <c r="U633" s="4">
        <f>IF(AND(Table1[[#This Row],[Rework_Flag]]="Yes",Table1[[#This Row],[Warranty_Claim]]="No"),Table1[[#This Row],[Service_Revenue]],0)</f>
        <v>263318</v>
      </c>
      <c r="V633" s="4">
        <f>IF(Table1[[#This Row],[Warranty_Claim]]="Yes",1,0)</f>
        <v>0</v>
      </c>
      <c r="W633" s="4">
        <f>IF(Table1[[#This Row],[Rework_Flag]]="No",1,0)</f>
        <v>0</v>
      </c>
      <c r="X633" s="4">
        <f>IF(Table1[[#This Row],[Rework_Flag]]="Yes",1,0)</f>
        <v>1</v>
      </c>
      <c r="Y633" s="4">
        <v>1</v>
      </c>
      <c r="Z633" s="4" t="str">
        <f>IF(Table1[[#This Row],[TAT_Days]]&gt;Table1[[#This Row],[SLA_TAT]],"Yes","No")</f>
        <v>No</v>
      </c>
      <c r="AA633" s="4" t="str" cm="1">
        <f t="array" ref="AA633">_xlfn.IFS(Table1[[#This Row],[Customer_Satisfaction]]&lt;=2,"Poor",Table1[[#This Row],[Customer_Satisfaction]]=3,"Neutral",Table1[[#This Row],[Customer_Satisfaction]]=4,"Good",Table1[[#This Row],[Customer_Satisfaction]]=5,"Good")</f>
        <v>Neutral</v>
      </c>
    </row>
    <row r="634" spans="1:27" x14ac:dyDescent="0.35">
      <c r="A634">
        <v>20632</v>
      </c>
      <c r="B634" s="1">
        <v>45315</v>
      </c>
      <c r="C634" t="s">
        <v>37</v>
      </c>
      <c r="D634" t="s">
        <v>38</v>
      </c>
      <c r="E634" t="s">
        <v>102</v>
      </c>
      <c r="F634" t="s">
        <v>22</v>
      </c>
      <c r="G634" t="s">
        <v>41</v>
      </c>
      <c r="H634" t="s">
        <v>42</v>
      </c>
      <c r="I634" t="s">
        <v>25</v>
      </c>
      <c r="J634" t="s">
        <v>35</v>
      </c>
      <c r="K634" t="s">
        <v>61</v>
      </c>
      <c r="L634" t="s">
        <v>28</v>
      </c>
      <c r="M634" s="4">
        <v>3</v>
      </c>
      <c r="N634" s="4">
        <v>7</v>
      </c>
      <c r="O634" t="s">
        <v>29</v>
      </c>
      <c r="P634" t="s">
        <v>29</v>
      </c>
      <c r="Q634" s="4">
        <v>428045</v>
      </c>
      <c r="R634" s="4">
        <v>239585</v>
      </c>
      <c r="S634" s="4">
        <f>Table1[[#This Row],[Service_Revenue]]-Table1[[#This Row],[Service_Cost]]</f>
        <v>188460</v>
      </c>
      <c r="T634" s="4">
        <v>4</v>
      </c>
      <c r="U634" s="4">
        <f>IF(AND(Table1[[#This Row],[Rework_Flag]]="Yes",Table1[[#This Row],[Warranty_Claim]]="No"),Table1[[#This Row],[Service_Revenue]],0)</f>
        <v>0</v>
      </c>
      <c r="V634" s="4">
        <f>IF(Table1[[#This Row],[Warranty_Claim]]="Yes",1,0)</f>
        <v>1</v>
      </c>
      <c r="W634" s="4">
        <f>IF(Table1[[#This Row],[Rework_Flag]]="No",1,0)</f>
        <v>0</v>
      </c>
      <c r="X634" s="4">
        <f>IF(Table1[[#This Row],[Rework_Flag]]="Yes",1,0)</f>
        <v>1</v>
      </c>
      <c r="Y634" s="4">
        <v>1</v>
      </c>
      <c r="Z634" s="4" t="str">
        <f>IF(Table1[[#This Row],[TAT_Days]]&gt;Table1[[#This Row],[SLA_TAT]],"Yes","No")</f>
        <v>No</v>
      </c>
      <c r="AA634" s="4" t="str" cm="1">
        <f t="array" ref="AA634">_xlfn.IFS(Table1[[#This Row],[Customer_Satisfaction]]&lt;=2,"Poor",Table1[[#This Row],[Customer_Satisfaction]]=3,"Neutral",Table1[[#This Row],[Customer_Satisfaction]]=4,"Good",Table1[[#This Row],[Customer_Satisfaction]]=5,"Good")</f>
        <v>Good</v>
      </c>
    </row>
    <row r="635" spans="1:27" x14ac:dyDescent="0.35">
      <c r="A635">
        <v>20633</v>
      </c>
      <c r="B635" s="1">
        <v>45432</v>
      </c>
      <c r="C635" t="s">
        <v>19</v>
      </c>
      <c r="D635" t="s">
        <v>45</v>
      </c>
      <c r="E635" t="s">
        <v>114</v>
      </c>
      <c r="F635" t="s">
        <v>40</v>
      </c>
      <c r="G635" t="s">
        <v>63</v>
      </c>
      <c r="H635" t="s">
        <v>24</v>
      </c>
      <c r="I635" t="s">
        <v>25</v>
      </c>
      <c r="J635" t="s">
        <v>26</v>
      </c>
      <c r="K635" t="s">
        <v>61</v>
      </c>
      <c r="L635" t="s">
        <v>28</v>
      </c>
      <c r="M635" s="4">
        <v>23</v>
      </c>
      <c r="N635" s="4">
        <v>7</v>
      </c>
      <c r="O635" t="s">
        <v>36</v>
      </c>
      <c r="P635" t="s">
        <v>29</v>
      </c>
      <c r="Q635" s="4">
        <v>241124</v>
      </c>
      <c r="R635" s="4">
        <v>171533</v>
      </c>
      <c r="S635" s="4">
        <f>Table1[[#This Row],[Service_Revenue]]-Table1[[#This Row],[Service_Cost]]</f>
        <v>69591</v>
      </c>
      <c r="T635" s="4">
        <v>1</v>
      </c>
      <c r="U635" s="4">
        <f>IF(AND(Table1[[#This Row],[Rework_Flag]]="Yes",Table1[[#This Row],[Warranty_Claim]]="No"),Table1[[#This Row],[Service_Revenue]],0)</f>
        <v>0</v>
      </c>
      <c r="V635" s="4">
        <f>IF(Table1[[#This Row],[Warranty_Claim]]="Yes",1,0)</f>
        <v>1</v>
      </c>
      <c r="W635" s="4">
        <f>IF(Table1[[#This Row],[Rework_Flag]]="No",1,0)</f>
        <v>1</v>
      </c>
      <c r="X635" s="4">
        <f>IF(Table1[[#This Row],[Rework_Flag]]="Yes",1,0)</f>
        <v>0</v>
      </c>
      <c r="Y635" s="4">
        <v>1</v>
      </c>
      <c r="Z635" s="4" t="str">
        <f>IF(Table1[[#This Row],[TAT_Days]]&gt;Table1[[#This Row],[SLA_TAT]],"Yes","No")</f>
        <v>Yes</v>
      </c>
      <c r="AA635" s="4" t="str" cm="1">
        <f t="array" ref="AA635">_xlfn.IFS(Table1[[#This Row],[Customer_Satisfaction]]&lt;=2,"Poor",Table1[[#This Row],[Customer_Satisfaction]]=3,"Neutral",Table1[[#This Row],[Customer_Satisfaction]]=4,"Good",Table1[[#This Row],[Customer_Satisfaction]]=5,"Good")</f>
        <v>Poor</v>
      </c>
    </row>
    <row r="636" spans="1:27" x14ac:dyDescent="0.35">
      <c r="A636">
        <v>20634</v>
      </c>
      <c r="B636" s="1">
        <v>45402</v>
      </c>
      <c r="C636" t="s">
        <v>50</v>
      </c>
      <c r="D636" t="s">
        <v>51</v>
      </c>
      <c r="E636" t="s">
        <v>120</v>
      </c>
      <c r="F636" t="s">
        <v>53</v>
      </c>
      <c r="G636" t="s">
        <v>41</v>
      </c>
      <c r="H636" t="s">
        <v>42</v>
      </c>
      <c r="I636" t="s">
        <v>55</v>
      </c>
      <c r="J636" t="s">
        <v>43</v>
      </c>
      <c r="K636" t="s">
        <v>27</v>
      </c>
      <c r="L636" t="s">
        <v>49</v>
      </c>
      <c r="M636" s="4">
        <v>9</v>
      </c>
      <c r="N636" s="4">
        <v>7</v>
      </c>
      <c r="O636" t="s">
        <v>29</v>
      </c>
      <c r="P636" t="s">
        <v>29</v>
      </c>
      <c r="Q636" s="4">
        <v>565114</v>
      </c>
      <c r="R636" s="4">
        <v>334837</v>
      </c>
      <c r="S636" s="4">
        <f>Table1[[#This Row],[Service_Revenue]]-Table1[[#This Row],[Service_Cost]]</f>
        <v>230277</v>
      </c>
      <c r="T636" s="4">
        <v>3</v>
      </c>
      <c r="U636" s="4">
        <f>IF(AND(Table1[[#This Row],[Rework_Flag]]="Yes",Table1[[#This Row],[Warranty_Claim]]="No"),Table1[[#This Row],[Service_Revenue]],0)</f>
        <v>0</v>
      </c>
      <c r="V636" s="4">
        <f>IF(Table1[[#This Row],[Warranty_Claim]]="Yes",1,0)</f>
        <v>1</v>
      </c>
      <c r="W636" s="4">
        <f>IF(Table1[[#This Row],[Rework_Flag]]="No",1,0)</f>
        <v>0</v>
      </c>
      <c r="X636" s="4">
        <f>IF(Table1[[#This Row],[Rework_Flag]]="Yes",1,0)</f>
        <v>1</v>
      </c>
      <c r="Y636" s="4">
        <v>1</v>
      </c>
      <c r="Z636" s="4" t="str">
        <f>IF(Table1[[#This Row],[TAT_Days]]&gt;Table1[[#This Row],[SLA_TAT]],"Yes","No")</f>
        <v>Yes</v>
      </c>
      <c r="AA636" s="4" t="str" cm="1">
        <f t="array" ref="AA636">_xlfn.IFS(Table1[[#This Row],[Customer_Satisfaction]]&lt;=2,"Poor",Table1[[#This Row],[Customer_Satisfaction]]=3,"Neutral",Table1[[#This Row],[Customer_Satisfaction]]=4,"Good",Table1[[#This Row],[Customer_Satisfaction]]=5,"Good")</f>
        <v>Neutral</v>
      </c>
    </row>
    <row r="637" spans="1:27" x14ac:dyDescent="0.35">
      <c r="A637">
        <v>20635</v>
      </c>
      <c r="B637" s="1">
        <v>45433</v>
      </c>
      <c r="C637" t="s">
        <v>19</v>
      </c>
      <c r="D637" t="s">
        <v>45</v>
      </c>
      <c r="E637" t="s">
        <v>111</v>
      </c>
      <c r="F637" t="s">
        <v>40</v>
      </c>
      <c r="G637" t="s">
        <v>23</v>
      </c>
      <c r="H637" t="s">
        <v>24</v>
      </c>
      <c r="I637" t="s">
        <v>25</v>
      </c>
      <c r="J637" t="s">
        <v>35</v>
      </c>
      <c r="K637" t="s">
        <v>44</v>
      </c>
      <c r="L637" t="s">
        <v>28</v>
      </c>
      <c r="M637" s="4">
        <v>19</v>
      </c>
      <c r="N637" s="4">
        <v>7</v>
      </c>
      <c r="O637" t="s">
        <v>36</v>
      </c>
      <c r="P637" t="s">
        <v>36</v>
      </c>
      <c r="Q637" s="4">
        <v>137786</v>
      </c>
      <c r="R637" s="4">
        <v>78654</v>
      </c>
      <c r="S637" s="4">
        <f>Table1[[#This Row],[Service_Revenue]]-Table1[[#This Row],[Service_Cost]]</f>
        <v>59132</v>
      </c>
      <c r="T637" s="4">
        <v>2</v>
      </c>
      <c r="U637" s="4">
        <f>IF(AND(Table1[[#This Row],[Rework_Flag]]="Yes",Table1[[#This Row],[Warranty_Claim]]="No"),Table1[[#This Row],[Service_Revenue]],0)</f>
        <v>0</v>
      </c>
      <c r="V637" s="4">
        <f>IF(Table1[[#This Row],[Warranty_Claim]]="Yes",1,0)</f>
        <v>0</v>
      </c>
      <c r="W637" s="4">
        <f>IF(Table1[[#This Row],[Rework_Flag]]="No",1,0)</f>
        <v>1</v>
      </c>
      <c r="X637" s="4">
        <f>IF(Table1[[#This Row],[Rework_Flag]]="Yes",1,0)</f>
        <v>0</v>
      </c>
      <c r="Y637" s="4">
        <v>1</v>
      </c>
      <c r="Z637" s="4" t="str">
        <f>IF(Table1[[#This Row],[TAT_Days]]&gt;Table1[[#This Row],[SLA_TAT]],"Yes","No")</f>
        <v>Yes</v>
      </c>
      <c r="AA637" s="4" t="str" cm="1">
        <f t="array" ref="AA637">_xlfn.IFS(Table1[[#This Row],[Customer_Satisfaction]]&lt;=2,"Poor",Table1[[#This Row],[Customer_Satisfaction]]=3,"Neutral",Table1[[#This Row],[Customer_Satisfaction]]=4,"Good",Table1[[#This Row],[Customer_Satisfaction]]=5,"Good")</f>
        <v>Poor</v>
      </c>
    </row>
    <row r="638" spans="1:27" x14ac:dyDescent="0.35">
      <c r="A638">
        <v>20636</v>
      </c>
      <c r="B638" s="1">
        <v>45458</v>
      </c>
      <c r="C638" t="s">
        <v>30</v>
      </c>
      <c r="D638" t="s">
        <v>31</v>
      </c>
      <c r="E638" t="s">
        <v>62</v>
      </c>
      <c r="F638" t="s">
        <v>22</v>
      </c>
      <c r="G638" t="s">
        <v>47</v>
      </c>
      <c r="H638" t="s">
        <v>48</v>
      </c>
      <c r="I638" t="s">
        <v>55</v>
      </c>
      <c r="J638" t="s">
        <v>35</v>
      </c>
      <c r="K638" t="s">
        <v>27</v>
      </c>
      <c r="L638" t="s">
        <v>49</v>
      </c>
      <c r="M638" s="4">
        <v>22</v>
      </c>
      <c r="N638" s="4">
        <v>7</v>
      </c>
      <c r="O638" t="s">
        <v>29</v>
      </c>
      <c r="P638" t="s">
        <v>36</v>
      </c>
      <c r="Q638" s="4">
        <v>303718</v>
      </c>
      <c r="R638" s="4">
        <v>200262</v>
      </c>
      <c r="S638" s="4">
        <f>Table1[[#This Row],[Service_Revenue]]-Table1[[#This Row],[Service_Cost]]</f>
        <v>103456</v>
      </c>
      <c r="T638" s="4">
        <v>1</v>
      </c>
      <c r="U638" s="4">
        <f>IF(AND(Table1[[#This Row],[Rework_Flag]]="Yes",Table1[[#This Row],[Warranty_Claim]]="No"),Table1[[#This Row],[Service_Revenue]],0)</f>
        <v>303718</v>
      </c>
      <c r="V638" s="4">
        <f>IF(Table1[[#This Row],[Warranty_Claim]]="Yes",1,0)</f>
        <v>0</v>
      </c>
      <c r="W638" s="4">
        <f>IF(Table1[[#This Row],[Rework_Flag]]="No",1,0)</f>
        <v>0</v>
      </c>
      <c r="X638" s="4">
        <f>IF(Table1[[#This Row],[Rework_Flag]]="Yes",1,0)</f>
        <v>1</v>
      </c>
      <c r="Y638" s="4">
        <v>1</v>
      </c>
      <c r="Z638" s="4" t="str">
        <f>IF(Table1[[#This Row],[TAT_Days]]&gt;Table1[[#This Row],[SLA_TAT]],"Yes","No")</f>
        <v>Yes</v>
      </c>
      <c r="AA638" s="4" t="str" cm="1">
        <f t="array" ref="AA638">_xlfn.IFS(Table1[[#This Row],[Customer_Satisfaction]]&lt;=2,"Poor",Table1[[#This Row],[Customer_Satisfaction]]=3,"Neutral",Table1[[#This Row],[Customer_Satisfaction]]=4,"Good",Table1[[#This Row],[Customer_Satisfaction]]=5,"Good")</f>
        <v>Poor</v>
      </c>
    </row>
    <row r="639" spans="1:27" x14ac:dyDescent="0.35">
      <c r="A639">
        <v>20637</v>
      </c>
      <c r="B639" s="1">
        <v>45330</v>
      </c>
      <c r="C639" t="s">
        <v>37</v>
      </c>
      <c r="D639" t="s">
        <v>38</v>
      </c>
      <c r="E639" t="s">
        <v>102</v>
      </c>
      <c r="F639" t="s">
        <v>53</v>
      </c>
      <c r="G639" t="s">
        <v>74</v>
      </c>
      <c r="H639" t="s">
        <v>34</v>
      </c>
      <c r="I639" t="s">
        <v>55</v>
      </c>
      <c r="J639" t="s">
        <v>58</v>
      </c>
      <c r="K639" t="s">
        <v>61</v>
      </c>
      <c r="L639" t="s">
        <v>49</v>
      </c>
      <c r="M639" s="4">
        <v>4</v>
      </c>
      <c r="N639" s="4">
        <v>7</v>
      </c>
      <c r="O639" t="s">
        <v>29</v>
      </c>
      <c r="P639" t="s">
        <v>36</v>
      </c>
      <c r="Q639" s="4">
        <v>558728</v>
      </c>
      <c r="R639" s="4">
        <v>406607</v>
      </c>
      <c r="S639" s="4">
        <f>Table1[[#This Row],[Service_Revenue]]-Table1[[#This Row],[Service_Cost]]</f>
        <v>152121</v>
      </c>
      <c r="T639" s="4">
        <v>4</v>
      </c>
      <c r="U639" s="4">
        <f>IF(AND(Table1[[#This Row],[Rework_Flag]]="Yes",Table1[[#This Row],[Warranty_Claim]]="No"),Table1[[#This Row],[Service_Revenue]],0)</f>
        <v>558728</v>
      </c>
      <c r="V639" s="4">
        <f>IF(Table1[[#This Row],[Warranty_Claim]]="Yes",1,0)</f>
        <v>0</v>
      </c>
      <c r="W639" s="4">
        <f>IF(Table1[[#This Row],[Rework_Flag]]="No",1,0)</f>
        <v>0</v>
      </c>
      <c r="X639" s="4">
        <f>IF(Table1[[#This Row],[Rework_Flag]]="Yes",1,0)</f>
        <v>1</v>
      </c>
      <c r="Y639" s="4">
        <v>1</v>
      </c>
      <c r="Z639" s="4" t="str">
        <f>IF(Table1[[#This Row],[TAT_Days]]&gt;Table1[[#This Row],[SLA_TAT]],"Yes","No")</f>
        <v>No</v>
      </c>
      <c r="AA639" s="4" t="str" cm="1">
        <f t="array" ref="AA639">_xlfn.IFS(Table1[[#This Row],[Customer_Satisfaction]]&lt;=2,"Poor",Table1[[#This Row],[Customer_Satisfaction]]=3,"Neutral",Table1[[#This Row],[Customer_Satisfaction]]=4,"Good",Table1[[#This Row],[Customer_Satisfaction]]=5,"Good")</f>
        <v>Good</v>
      </c>
    </row>
    <row r="640" spans="1:27" x14ac:dyDescent="0.35">
      <c r="A640">
        <v>20638</v>
      </c>
      <c r="B640" s="1">
        <v>45295</v>
      </c>
      <c r="C640" t="s">
        <v>37</v>
      </c>
      <c r="D640" t="s">
        <v>38</v>
      </c>
      <c r="E640" t="s">
        <v>102</v>
      </c>
      <c r="F640" t="s">
        <v>40</v>
      </c>
      <c r="G640" t="s">
        <v>47</v>
      </c>
      <c r="H640" t="s">
        <v>48</v>
      </c>
      <c r="I640" t="s">
        <v>25</v>
      </c>
      <c r="J640" t="s">
        <v>26</v>
      </c>
      <c r="K640" t="s">
        <v>27</v>
      </c>
      <c r="L640" t="s">
        <v>28</v>
      </c>
      <c r="M640" s="4">
        <v>12</v>
      </c>
      <c r="N640" s="4">
        <v>7</v>
      </c>
      <c r="O640" t="s">
        <v>29</v>
      </c>
      <c r="P640" t="s">
        <v>29</v>
      </c>
      <c r="Q640" s="4">
        <v>527789</v>
      </c>
      <c r="R640" s="4">
        <v>372574</v>
      </c>
      <c r="S640" s="4">
        <f>Table1[[#This Row],[Service_Revenue]]-Table1[[#This Row],[Service_Cost]]</f>
        <v>155215</v>
      </c>
      <c r="T640" s="4">
        <v>2</v>
      </c>
      <c r="U640" s="4">
        <f>IF(AND(Table1[[#This Row],[Rework_Flag]]="Yes",Table1[[#This Row],[Warranty_Claim]]="No"),Table1[[#This Row],[Service_Revenue]],0)</f>
        <v>0</v>
      </c>
      <c r="V640" s="4">
        <f>IF(Table1[[#This Row],[Warranty_Claim]]="Yes",1,0)</f>
        <v>1</v>
      </c>
      <c r="W640" s="4">
        <f>IF(Table1[[#This Row],[Rework_Flag]]="No",1,0)</f>
        <v>0</v>
      </c>
      <c r="X640" s="4">
        <f>IF(Table1[[#This Row],[Rework_Flag]]="Yes",1,0)</f>
        <v>1</v>
      </c>
      <c r="Y640" s="4">
        <v>1</v>
      </c>
      <c r="Z640" s="4" t="str">
        <f>IF(Table1[[#This Row],[TAT_Days]]&gt;Table1[[#This Row],[SLA_TAT]],"Yes","No")</f>
        <v>Yes</v>
      </c>
      <c r="AA640" s="4" t="str" cm="1">
        <f t="array" ref="AA640">_xlfn.IFS(Table1[[#This Row],[Customer_Satisfaction]]&lt;=2,"Poor",Table1[[#This Row],[Customer_Satisfaction]]=3,"Neutral",Table1[[#This Row],[Customer_Satisfaction]]=4,"Good",Table1[[#This Row],[Customer_Satisfaction]]=5,"Good")</f>
        <v>Poor</v>
      </c>
    </row>
    <row r="641" spans="1:27" x14ac:dyDescent="0.35">
      <c r="A641">
        <v>20639</v>
      </c>
      <c r="B641" s="1">
        <v>45371</v>
      </c>
      <c r="C641" t="s">
        <v>30</v>
      </c>
      <c r="D641" t="s">
        <v>83</v>
      </c>
      <c r="E641" t="s">
        <v>84</v>
      </c>
      <c r="F641" t="s">
        <v>53</v>
      </c>
      <c r="G641" t="s">
        <v>23</v>
      </c>
      <c r="H641" t="s">
        <v>24</v>
      </c>
      <c r="I641" t="s">
        <v>25</v>
      </c>
      <c r="J641" t="s">
        <v>58</v>
      </c>
      <c r="K641" t="s">
        <v>44</v>
      </c>
      <c r="L641" t="s">
        <v>28</v>
      </c>
      <c r="M641" s="4">
        <v>7</v>
      </c>
      <c r="N641" s="4">
        <v>7</v>
      </c>
      <c r="O641" t="s">
        <v>29</v>
      </c>
      <c r="P641" t="s">
        <v>36</v>
      </c>
      <c r="Q641" s="4">
        <v>405002</v>
      </c>
      <c r="R641" s="4">
        <v>231353</v>
      </c>
      <c r="S641" s="4">
        <f>Table1[[#This Row],[Service_Revenue]]-Table1[[#This Row],[Service_Cost]]</f>
        <v>173649</v>
      </c>
      <c r="T641" s="4">
        <v>3</v>
      </c>
      <c r="U641" s="4">
        <f>IF(AND(Table1[[#This Row],[Rework_Flag]]="Yes",Table1[[#This Row],[Warranty_Claim]]="No"),Table1[[#This Row],[Service_Revenue]],0)</f>
        <v>405002</v>
      </c>
      <c r="V641" s="4">
        <f>IF(Table1[[#This Row],[Warranty_Claim]]="Yes",1,0)</f>
        <v>0</v>
      </c>
      <c r="W641" s="4">
        <f>IF(Table1[[#This Row],[Rework_Flag]]="No",1,0)</f>
        <v>0</v>
      </c>
      <c r="X641" s="4">
        <f>IF(Table1[[#This Row],[Rework_Flag]]="Yes",1,0)</f>
        <v>1</v>
      </c>
      <c r="Y641" s="4">
        <v>1</v>
      </c>
      <c r="Z641" s="4" t="str">
        <f>IF(Table1[[#This Row],[TAT_Days]]&gt;Table1[[#This Row],[SLA_TAT]],"Yes","No")</f>
        <v>No</v>
      </c>
      <c r="AA641" s="4" t="str" cm="1">
        <f t="array" ref="AA641">_xlfn.IFS(Table1[[#This Row],[Customer_Satisfaction]]&lt;=2,"Poor",Table1[[#This Row],[Customer_Satisfaction]]=3,"Neutral",Table1[[#This Row],[Customer_Satisfaction]]=4,"Good",Table1[[#This Row],[Customer_Satisfaction]]=5,"Good")</f>
        <v>Neutral</v>
      </c>
    </row>
    <row r="642" spans="1:27" x14ac:dyDescent="0.35">
      <c r="A642">
        <v>20640</v>
      </c>
      <c r="B642" s="1">
        <v>45347</v>
      </c>
      <c r="C642" t="s">
        <v>50</v>
      </c>
      <c r="D642" t="s">
        <v>80</v>
      </c>
      <c r="E642" t="s">
        <v>121</v>
      </c>
      <c r="F642" t="s">
        <v>53</v>
      </c>
      <c r="G642" t="s">
        <v>63</v>
      </c>
      <c r="H642" t="s">
        <v>24</v>
      </c>
      <c r="I642" t="s">
        <v>25</v>
      </c>
      <c r="J642" t="s">
        <v>67</v>
      </c>
      <c r="K642" t="s">
        <v>27</v>
      </c>
      <c r="L642" t="s">
        <v>28</v>
      </c>
      <c r="M642" s="4">
        <v>14</v>
      </c>
      <c r="N642" s="4">
        <v>7</v>
      </c>
      <c r="O642" t="s">
        <v>29</v>
      </c>
      <c r="P642" t="s">
        <v>36</v>
      </c>
      <c r="Q642" s="4">
        <v>268926</v>
      </c>
      <c r="R642" s="4">
        <v>203334</v>
      </c>
      <c r="S642" s="4">
        <f>Table1[[#This Row],[Service_Revenue]]-Table1[[#This Row],[Service_Cost]]</f>
        <v>65592</v>
      </c>
      <c r="T642" s="4">
        <v>2</v>
      </c>
      <c r="U642" s="4">
        <f>IF(AND(Table1[[#This Row],[Rework_Flag]]="Yes",Table1[[#This Row],[Warranty_Claim]]="No"),Table1[[#This Row],[Service_Revenue]],0)</f>
        <v>268926</v>
      </c>
      <c r="V642" s="4">
        <f>IF(Table1[[#This Row],[Warranty_Claim]]="Yes",1,0)</f>
        <v>0</v>
      </c>
      <c r="W642" s="4">
        <f>IF(Table1[[#This Row],[Rework_Flag]]="No",1,0)</f>
        <v>0</v>
      </c>
      <c r="X642" s="4">
        <f>IF(Table1[[#This Row],[Rework_Flag]]="Yes",1,0)</f>
        <v>1</v>
      </c>
      <c r="Y642" s="4">
        <v>1</v>
      </c>
      <c r="Z642" s="4" t="str">
        <f>IF(Table1[[#This Row],[TAT_Days]]&gt;Table1[[#This Row],[SLA_TAT]],"Yes","No")</f>
        <v>Yes</v>
      </c>
      <c r="AA642" s="4" t="str" cm="1">
        <f t="array" ref="AA642">_xlfn.IFS(Table1[[#This Row],[Customer_Satisfaction]]&lt;=2,"Poor",Table1[[#This Row],[Customer_Satisfaction]]=3,"Neutral",Table1[[#This Row],[Customer_Satisfaction]]=4,"Good",Table1[[#This Row],[Customer_Satisfaction]]=5,"Good")</f>
        <v>Poor</v>
      </c>
    </row>
    <row r="643" spans="1:27" x14ac:dyDescent="0.35">
      <c r="A643">
        <v>20641</v>
      </c>
      <c r="B643" s="1">
        <v>45394</v>
      </c>
      <c r="C643" t="s">
        <v>19</v>
      </c>
      <c r="D643" t="s">
        <v>20</v>
      </c>
      <c r="E643" t="s">
        <v>89</v>
      </c>
      <c r="F643" t="s">
        <v>53</v>
      </c>
      <c r="G643" t="s">
        <v>41</v>
      </c>
      <c r="H643" t="s">
        <v>42</v>
      </c>
      <c r="I643" t="s">
        <v>55</v>
      </c>
      <c r="J643" t="s">
        <v>67</v>
      </c>
      <c r="K643" t="s">
        <v>44</v>
      </c>
      <c r="L643" t="s">
        <v>28</v>
      </c>
      <c r="M643" s="4">
        <v>16</v>
      </c>
      <c r="N643" s="4">
        <v>7</v>
      </c>
      <c r="O643" t="s">
        <v>36</v>
      </c>
      <c r="P643" t="s">
        <v>36</v>
      </c>
      <c r="Q643" s="4">
        <v>95836</v>
      </c>
      <c r="R643" s="4">
        <v>63552</v>
      </c>
      <c r="S643" s="4">
        <f>Table1[[#This Row],[Service_Revenue]]-Table1[[#This Row],[Service_Cost]]</f>
        <v>32284</v>
      </c>
      <c r="T643" s="4">
        <v>2</v>
      </c>
      <c r="U643" s="4">
        <f>IF(AND(Table1[[#This Row],[Rework_Flag]]="Yes",Table1[[#This Row],[Warranty_Claim]]="No"),Table1[[#This Row],[Service_Revenue]],0)</f>
        <v>0</v>
      </c>
      <c r="V643" s="4">
        <f>IF(Table1[[#This Row],[Warranty_Claim]]="Yes",1,0)</f>
        <v>0</v>
      </c>
      <c r="W643" s="4">
        <f>IF(Table1[[#This Row],[Rework_Flag]]="No",1,0)</f>
        <v>1</v>
      </c>
      <c r="X643" s="4">
        <f>IF(Table1[[#This Row],[Rework_Flag]]="Yes",1,0)</f>
        <v>0</v>
      </c>
      <c r="Y643" s="4">
        <v>1</v>
      </c>
      <c r="Z643" s="4" t="str">
        <f>IF(Table1[[#This Row],[TAT_Days]]&gt;Table1[[#This Row],[SLA_TAT]],"Yes","No")</f>
        <v>Yes</v>
      </c>
      <c r="AA643" s="4" t="str" cm="1">
        <f t="array" ref="AA643">_xlfn.IFS(Table1[[#This Row],[Customer_Satisfaction]]&lt;=2,"Poor",Table1[[#This Row],[Customer_Satisfaction]]=3,"Neutral",Table1[[#This Row],[Customer_Satisfaction]]=4,"Good",Table1[[#This Row],[Customer_Satisfaction]]=5,"Good")</f>
        <v>Poor</v>
      </c>
    </row>
    <row r="644" spans="1:27" x14ac:dyDescent="0.35">
      <c r="A644">
        <v>20642</v>
      </c>
      <c r="B644" s="1">
        <v>45367</v>
      </c>
      <c r="C644" t="s">
        <v>50</v>
      </c>
      <c r="D644" t="s">
        <v>56</v>
      </c>
      <c r="E644" t="s">
        <v>57</v>
      </c>
      <c r="F644" t="s">
        <v>53</v>
      </c>
      <c r="G644" t="s">
        <v>54</v>
      </c>
      <c r="H644" t="s">
        <v>42</v>
      </c>
      <c r="I644" t="s">
        <v>25</v>
      </c>
      <c r="J644" t="s">
        <v>35</v>
      </c>
      <c r="K644" t="s">
        <v>27</v>
      </c>
      <c r="L644" t="s">
        <v>28</v>
      </c>
      <c r="M644" s="4">
        <v>14</v>
      </c>
      <c r="N644" s="4">
        <v>7</v>
      </c>
      <c r="O644" t="s">
        <v>29</v>
      </c>
      <c r="P644" t="s">
        <v>36</v>
      </c>
      <c r="Q644" s="4">
        <v>569326</v>
      </c>
      <c r="R644" s="4">
        <v>337369</v>
      </c>
      <c r="S644" s="4">
        <f>Table1[[#This Row],[Service_Revenue]]-Table1[[#This Row],[Service_Cost]]</f>
        <v>231957</v>
      </c>
      <c r="T644" s="4">
        <v>2</v>
      </c>
      <c r="U644" s="4">
        <f>IF(AND(Table1[[#This Row],[Rework_Flag]]="Yes",Table1[[#This Row],[Warranty_Claim]]="No"),Table1[[#This Row],[Service_Revenue]],0)</f>
        <v>569326</v>
      </c>
      <c r="V644" s="4">
        <f>IF(Table1[[#This Row],[Warranty_Claim]]="Yes",1,0)</f>
        <v>0</v>
      </c>
      <c r="W644" s="4">
        <f>IF(Table1[[#This Row],[Rework_Flag]]="No",1,0)</f>
        <v>0</v>
      </c>
      <c r="X644" s="4">
        <f>IF(Table1[[#This Row],[Rework_Flag]]="Yes",1,0)</f>
        <v>1</v>
      </c>
      <c r="Y644" s="4">
        <v>1</v>
      </c>
      <c r="Z644" s="4" t="str">
        <f>IF(Table1[[#This Row],[TAT_Days]]&gt;Table1[[#This Row],[SLA_TAT]],"Yes","No")</f>
        <v>Yes</v>
      </c>
      <c r="AA644" s="4" t="str" cm="1">
        <f t="array" ref="AA644">_xlfn.IFS(Table1[[#This Row],[Customer_Satisfaction]]&lt;=2,"Poor",Table1[[#This Row],[Customer_Satisfaction]]=3,"Neutral",Table1[[#This Row],[Customer_Satisfaction]]=4,"Good",Table1[[#This Row],[Customer_Satisfaction]]=5,"Good")</f>
        <v>Poor</v>
      </c>
    </row>
    <row r="645" spans="1:27" x14ac:dyDescent="0.35">
      <c r="A645">
        <v>20643</v>
      </c>
      <c r="B645" s="1">
        <v>45394</v>
      </c>
      <c r="C645" t="s">
        <v>19</v>
      </c>
      <c r="D645" t="s">
        <v>20</v>
      </c>
      <c r="E645" t="s">
        <v>89</v>
      </c>
      <c r="F645" t="s">
        <v>53</v>
      </c>
      <c r="G645" t="s">
        <v>41</v>
      </c>
      <c r="H645" t="s">
        <v>42</v>
      </c>
      <c r="I645" t="s">
        <v>55</v>
      </c>
      <c r="J645" t="s">
        <v>35</v>
      </c>
      <c r="K645" t="s">
        <v>61</v>
      </c>
      <c r="L645" t="s">
        <v>28</v>
      </c>
      <c r="M645" s="4">
        <v>20</v>
      </c>
      <c r="N645" s="4">
        <v>7</v>
      </c>
      <c r="O645" t="s">
        <v>29</v>
      </c>
      <c r="P645" t="s">
        <v>36</v>
      </c>
      <c r="Q645" s="4">
        <v>300011</v>
      </c>
      <c r="R645" s="4">
        <v>170054</v>
      </c>
      <c r="S645" s="4">
        <f>Table1[[#This Row],[Service_Revenue]]-Table1[[#This Row],[Service_Cost]]</f>
        <v>129957</v>
      </c>
      <c r="T645" s="4">
        <v>1</v>
      </c>
      <c r="U645" s="4">
        <f>IF(AND(Table1[[#This Row],[Rework_Flag]]="Yes",Table1[[#This Row],[Warranty_Claim]]="No"),Table1[[#This Row],[Service_Revenue]],0)</f>
        <v>300011</v>
      </c>
      <c r="V645" s="4">
        <f>IF(Table1[[#This Row],[Warranty_Claim]]="Yes",1,0)</f>
        <v>0</v>
      </c>
      <c r="W645" s="4">
        <f>IF(Table1[[#This Row],[Rework_Flag]]="No",1,0)</f>
        <v>0</v>
      </c>
      <c r="X645" s="4">
        <f>IF(Table1[[#This Row],[Rework_Flag]]="Yes",1,0)</f>
        <v>1</v>
      </c>
      <c r="Y645" s="4">
        <v>1</v>
      </c>
      <c r="Z645" s="4" t="str">
        <f>IF(Table1[[#This Row],[TAT_Days]]&gt;Table1[[#This Row],[SLA_TAT]],"Yes","No")</f>
        <v>Yes</v>
      </c>
      <c r="AA645" s="4" t="str" cm="1">
        <f t="array" ref="AA645">_xlfn.IFS(Table1[[#This Row],[Customer_Satisfaction]]&lt;=2,"Poor",Table1[[#This Row],[Customer_Satisfaction]]=3,"Neutral",Table1[[#This Row],[Customer_Satisfaction]]=4,"Good",Table1[[#This Row],[Customer_Satisfaction]]=5,"Good")</f>
        <v>Poor</v>
      </c>
    </row>
    <row r="646" spans="1:27" x14ac:dyDescent="0.35">
      <c r="A646">
        <v>20644</v>
      </c>
      <c r="B646" s="1">
        <v>45327</v>
      </c>
      <c r="C646" t="s">
        <v>37</v>
      </c>
      <c r="D646" t="s">
        <v>64</v>
      </c>
      <c r="E646" t="s">
        <v>103</v>
      </c>
      <c r="F646" t="s">
        <v>53</v>
      </c>
      <c r="G646" t="s">
        <v>41</v>
      </c>
      <c r="H646" t="s">
        <v>42</v>
      </c>
      <c r="I646" t="s">
        <v>55</v>
      </c>
      <c r="J646" t="s">
        <v>26</v>
      </c>
      <c r="K646" t="s">
        <v>27</v>
      </c>
      <c r="L646" t="s">
        <v>49</v>
      </c>
      <c r="M646" s="4">
        <v>3</v>
      </c>
      <c r="N646" s="4">
        <v>7</v>
      </c>
      <c r="O646" t="s">
        <v>36</v>
      </c>
      <c r="P646" t="s">
        <v>36</v>
      </c>
      <c r="Q646" s="4">
        <v>557662</v>
      </c>
      <c r="R646" s="4">
        <v>303092</v>
      </c>
      <c r="S646" s="4">
        <f>Table1[[#This Row],[Service_Revenue]]-Table1[[#This Row],[Service_Cost]]</f>
        <v>254570</v>
      </c>
      <c r="T646" s="4">
        <v>5</v>
      </c>
      <c r="U646" s="4">
        <f>IF(AND(Table1[[#This Row],[Rework_Flag]]="Yes",Table1[[#This Row],[Warranty_Claim]]="No"),Table1[[#This Row],[Service_Revenue]],0)</f>
        <v>0</v>
      </c>
      <c r="V646" s="4">
        <f>IF(Table1[[#This Row],[Warranty_Claim]]="Yes",1,0)</f>
        <v>0</v>
      </c>
      <c r="W646" s="4">
        <f>IF(Table1[[#This Row],[Rework_Flag]]="No",1,0)</f>
        <v>1</v>
      </c>
      <c r="X646" s="4">
        <f>IF(Table1[[#This Row],[Rework_Flag]]="Yes",1,0)</f>
        <v>0</v>
      </c>
      <c r="Y646" s="4">
        <v>1</v>
      </c>
      <c r="Z646" s="4" t="str">
        <f>IF(Table1[[#This Row],[TAT_Days]]&gt;Table1[[#This Row],[SLA_TAT]],"Yes","No")</f>
        <v>No</v>
      </c>
      <c r="AA646" s="4" t="str" cm="1">
        <f t="array" ref="AA646">_xlfn.IFS(Table1[[#This Row],[Customer_Satisfaction]]&lt;=2,"Poor",Table1[[#This Row],[Customer_Satisfaction]]=3,"Neutral",Table1[[#This Row],[Customer_Satisfaction]]=4,"Good",Table1[[#This Row],[Customer_Satisfaction]]=5,"Good")</f>
        <v>Good</v>
      </c>
    </row>
    <row r="647" spans="1:27" x14ac:dyDescent="0.35">
      <c r="A647">
        <v>20645</v>
      </c>
      <c r="B647" s="1">
        <v>45398</v>
      </c>
      <c r="C647" t="s">
        <v>37</v>
      </c>
      <c r="D647" t="s">
        <v>70</v>
      </c>
      <c r="E647" t="s">
        <v>82</v>
      </c>
      <c r="F647" t="s">
        <v>53</v>
      </c>
      <c r="G647" t="s">
        <v>63</v>
      </c>
      <c r="H647" t="s">
        <v>24</v>
      </c>
      <c r="I647" t="s">
        <v>55</v>
      </c>
      <c r="J647" t="s">
        <v>26</v>
      </c>
      <c r="K647" t="s">
        <v>44</v>
      </c>
      <c r="L647" t="s">
        <v>49</v>
      </c>
      <c r="M647" s="4">
        <v>3</v>
      </c>
      <c r="N647" s="4">
        <v>7</v>
      </c>
      <c r="O647" t="s">
        <v>36</v>
      </c>
      <c r="P647" t="s">
        <v>36</v>
      </c>
      <c r="Q647" s="4">
        <v>528397</v>
      </c>
      <c r="R647" s="4">
        <v>381010</v>
      </c>
      <c r="S647" s="4">
        <f>Table1[[#This Row],[Service_Revenue]]-Table1[[#This Row],[Service_Cost]]</f>
        <v>147387</v>
      </c>
      <c r="T647" s="4">
        <v>5</v>
      </c>
      <c r="U647" s="4">
        <f>IF(AND(Table1[[#This Row],[Rework_Flag]]="Yes",Table1[[#This Row],[Warranty_Claim]]="No"),Table1[[#This Row],[Service_Revenue]],0)</f>
        <v>0</v>
      </c>
      <c r="V647" s="4">
        <f>IF(Table1[[#This Row],[Warranty_Claim]]="Yes",1,0)</f>
        <v>0</v>
      </c>
      <c r="W647" s="4">
        <f>IF(Table1[[#This Row],[Rework_Flag]]="No",1,0)</f>
        <v>1</v>
      </c>
      <c r="X647" s="4">
        <f>IF(Table1[[#This Row],[Rework_Flag]]="Yes",1,0)</f>
        <v>0</v>
      </c>
      <c r="Y647" s="4">
        <v>1</v>
      </c>
      <c r="Z647" s="4" t="str">
        <f>IF(Table1[[#This Row],[TAT_Days]]&gt;Table1[[#This Row],[SLA_TAT]],"Yes","No")</f>
        <v>No</v>
      </c>
      <c r="AA647" s="4" t="str" cm="1">
        <f t="array" ref="AA647">_xlfn.IFS(Table1[[#This Row],[Customer_Satisfaction]]&lt;=2,"Poor",Table1[[#This Row],[Customer_Satisfaction]]=3,"Neutral",Table1[[#This Row],[Customer_Satisfaction]]=4,"Good",Table1[[#This Row],[Customer_Satisfaction]]=5,"Good")</f>
        <v>Good</v>
      </c>
    </row>
    <row r="648" spans="1:27" x14ac:dyDescent="0.35">
      <c r="A648">
        <v>20646</v>
      </c>
      <c r="B648" s="1">
        <v>45462</v>
      </c>
      <c r="C648" t="s">
        <v>50</v>
      </c>
      <c r="D648" t="s">
        <v>51</v>
      </c>
      <c r="E648" t="s">
        <v>52</v>
      </c>
      <c r="F648" t="s">
        <v>53</v>
      </c>
      <c r="G648" t="s">
        <v>23</v>
      </c>
      <c r="H648" t="s">
        <v>24</v>
      </c>
      <c r="I648" t="s">
        <v>25</v>
      </c>
      <c r="J648" t="s">
        <v>35</v>
      </c>
      <c r="K648" t="s">
        <v>61</v>
      </c>
      <c r="L648" t="s">
        <v>49</v>
      </c>
      <c r="M648" s="4">
        <v>19</v>
      </c>
      <c r="N648" s="4">
        <v>7</v>
      </c>
      <c r="O648" t="s">
        <v>29</v>
      </c>
      <c r="P648" t="s">
        <v>36</v>
      </c>
      <c r="Q648" s="4">
        <v>381754</v>
      </c>
      <c r="R648" s="4">
        <v>261458</v>
      </c>
      <c r="S648" s="4">
        <f>Table1[[#This Row],[Service_Revenue]]-Table1[[#This Row],[Service_Cost]]</f>
        <v>120296</v>
      </c>
      <c r="T648" s="4">
        <v>1</v>
      </c>
      <c r="U648" s="4">
        <f>IF(AND(Table1[[#This Row],[Rework_Flag]]="Yes",Table1[[#This Row],[Warranty_Claim]]="No"),Table1[[#This Row],[Service_Revenue]],0)</f>
        <v>381754</v>
      </c>
      <c r="V648" s="4">
        <f>IF(Table1[[#This Row],[Warranty_Claim]]="Yes",1,0)</f>
        <v>0</v>
      </c>
      <c r="W648" s="4">
        <f>IF(Table1[[#This Row],[Rework_Flag]]="No",1,0)</f>
        <v>0</v>
      </c>
      <c r="X648" s="4">
        <f>IF(Table1[[#This Row],[Rework_Flag]]="Yes",1,0)</f>
        <v>1</v>
      </c>
      <c r="Y648" s="4">
        <v>1</v>
      </c>
      <c r="Z648" s="4" t="str">
        <f>IF(Table1[[#This Row],[TAT_Days]]&gt;Table1[[#This Row],[SLA_TAT]],"Yes","No")</f>
        <v>Yes</v>
      </c>
      <c r="AA648" s="4" t="str" cm="1">
        <f t="array" ref="AA648">_xlfn.IFS(Table1[[#This Row],[Customer_Satisfaction]]&lt;=2,"Poor",Table1[[#This Row],[Customer_Satisfaction]]=3,"Neutral",Table1[[#This Row],[Customer_Satisfaction]]=4,"Good",Table1[[#This Row],[Customer_Satisfaction]]=5,"Good")</f>
        <v>Poor</v>
      </c>
    </row>
    <row r="649" spans="1:27" x14ac:dyDescent="0.35">
      <c r="A649">
        <v>20647</v>
      </c>
      <c r="B649" s="1">
        <v>45374</v>
      </c>
      <c r="C649" t="s">
        <v>37</v>
      </c>
      <c r="D649" t="s">
        <v>70</v>
      </c>
      <c r="E649" t="s">
        <v>116</v>
      </c>
      <c r="F649" t="s">
        <v>22</v>
      </c>
      <c r="G649" t="s">
        <v>54</v>
      </c>
      <c r="H649" t="s">
        <v>42</v>
      </c>
      <c r="I649" t="s">
        <v>55</v>
      </c>
      <c r="J649" t="s">
        <v>35</v>
      </c>
      <c r="K649" t="s">
        <v>27</v>
      </c>
      <c r="L649" t="s">
        <v>49</v>
      </c>
      <c r="M649" s="4">
        <v>6</v>
      </c>
      <c r="N649" s="4">
        <v>7</v>
      </c>
      <c r="O649" t="s">
        <v>36</v>
      </c>
      <c r="P649" t="s">
        <v>36</v>
      </c>
      <c r="Q649" s="4">
        <v>393653</v>
      </c>
      <c r="R649" s="4">
        <v>297361</v>
      </c>
      <c r="S649" s="4">
        <f>Table1[[#This Row],[Service_Revenue]]-Table1[[#This Row],[Service_Cost]]</f>
        <v>96292</v>
      </c>
      <c r="T649" s="4">
        <v>4</v>
      </c>
      <c r="U649" s="4">
        <f>IF(AND(Table1[[#This Row],[Rework_Flag]]="Yes",Table1[[#This Row],[Warranty_Claim]]="No"),Table1[[#This Row],[Service_Revenue]],0)</f>
        <v>0</v>
      </c>
      <c r="V649" s="4">
        <f>IF(Table1[[#This Row],[Warranty_Claim]]="Yes",1,0)</f>
        <v>0</v>
      </c>
      <c r="W649" s="4">
        <f>IF(Table1[[#This Row],[Rework_Flag]]="No",1,0)</f>
        <v>1</v>
      </c>
      <c r="X649" s="4">
        <f>IF(Table1[[#This Row],[Rework_Flag]]="Yes",1,0)</f>
        <v>0</v>
      </c>
      <c r="Y649" s="4">
        <v>1</v>
      </c>
      <c r="Z649" s="4" t="str">
        <f>IF(Table1[[#This Row],[TAT_Days]]&gt;Table1[[#This Row],[SLA_TAT]],"Yes","No")</f>
        <v>No</v>
      </c>
      <c r="AA649" s="4" t="str" cm="1">
        <f t="array" ref="AA649">_xlfn.IFS(Table1[[#This Row],[Customer_Satisfaction]]&lt;=2,"Poor",Table1[[#This Row],[Customer_Satisfaction]]=3,"Neutral",Table1[[#This Row],[Customer_Satisfaction]]=4,"Good",Table1[[#This Row],[Customer_Satisfaction]]=5,"Good")</f>
        <v>Good</v>
      </c>
    </row>
    <row r="650" spans="1:27" x14ac:dyDescent="0.35">
      <c r="A650">
        <v>20648</v>
      </c>
      <c r="B650" s="1">
        <v>45446</v>
      </c>
      <c r="C650" t="s">
        <v>50</v>
      </c>
      <c r="D650" t="s">
        <v>51</v>
      </c>
      <c r="E650" t="s">
        <v>73</v>
      </c>
      <c r="F650" t="s">
        <v>40</v>
      </c>
      <c r="G650" t="s">
        <v>41</v>
      </c>
      <c r="H650" t="s">
        <v>42</v>
      </c>
      <c r="I650" t="s">
        <v>25</v>
      </c>
      <c r="J650" t="s">
        <v>26</v>
      </c>
      <c r="K650" t="s">
        <v>44</v>
      </c>
      <c r="L650" t="s">
        <v>49</v>
      </c>
      <c r="M650" s="4">
        <v>6</v>
      </c>
      <c r="N650" s="4">
        <v>7</v>
      </c>
      <c r="O650" t="s">
        <v>36</v>
      </c>
      <c r="P650" t="s">
        <v>36</v>
      </c>
      <c r="Q650" s="4">
        <v>290565</v>
      </c>
      <c r="R650" s="4">
        <v>208511</v>
      </c>
      <c r="S650" s="4">
        <f>Table1[[#This Row],[Service_Revenue]]-Table1[[#This Row],[Service_Cost]]</f>
        <v>82054</v>
      </c>
      <c r="T650" s="4">
        <v>4</v>
      </c>
      <c r="U650" s="4">
        <f>IF(AND(Table1[[#This Row],[Rework_Flag]]="Yes",Table1[[#This Row],[Warranty_Claim]]="No"),Table1[[#This Row],[Service_Revenue]],0)</f>
        <v>0</v>
      </c>
      <c r="V650" s="4">
        <f>IF(Table1[[#This Row],[Warranty_Claim]]="Yes",1,0)</f>
        <v>0</v>
      </c>
      <c r="W650" s="4">
        <f>IF(Table1[[#This Row],[Rework_Flag]]="No",1,0)</f>
        <v>1</v>
      </c>
      <c r="X650" s="4">
        <f>IF(Table1[[#This Row],[Rework_Flag]]="Yes",1,0)</f>
        <v>0</v>
      </c>
      <c r="Y650" s="4">
        <v>1</v>
      </c>
      <c r="Z650" s="4" t="str">
        <f>IF(Table1[[#This Row],[TAT_Days]]&gt;Table1[[#This Row],[SLA_TAT]],"Yes","No")</f>
        <v>No</v>
      </c>
      <c r="AA650" s="4" t="str" cm="1">
        <f t="array" ref="AA650">_xlfn.IFS(Table1[[#This Row],[Customer_Satisfaction]]&lt;=2,"Poor",Table1[[#This Row],[Customer_Satisfaction]]=3,"Neutral",Table1[[#This Row],[Customer_Satisfaction]]=4,"Good",Table1[[#This Row],[Customer_Satisfaction]]=5,"Good")</f>
        <v>Good</v>
      </c>
    </row>
    <row r="651" spans="1:27" x14ac:dyDescent="0.35">
      <c r="A651">
        <v>20649</v>
      </c>
      <c r="B651" s="1">
        <v>45351</v>
      </c>
      <c r="C651" t="s">
        <v>30</v>
      </c>
      <c r="D651" t="s">
        <v>31</v>
      </c>
      <c r="E651" t="s">
        <v>62</v>
      </c>
      <c r="F651" t="s">
        <v>22</v>
      </c>
      <c r="G651" t="s">
        <v>54</v>
      </c>
      <c r="H651" t="s">
        <v>42</v>
      </c>
      <c r="I651" t="s">
        <v>25</v>
      </c>
      <c r="J651" t="s">
        <v>35</v>
      </c>
      <c r="K651" t="s">
        <v>44</v>
      </c>
      <c r="L651" t="s">
        <v>49</v>
      </c>
      <c r="M651" s="4">
        <v>2</v>
      </c>
      <c r="N651" s="4">
        <v>7</v>
      </c>
      <c r="O651" t="s">
        <v>29</v>
      </c>
      <c r="P651" t="s">
        <v>36</v>
      </c>
      <c r="Q651" s="4">
        <v>270729</v>
      </c>
      <c r="R651" s="4">
        <v>159068</v>
      </c>
      <c r="S651" s="4">
        <f>Table1[[#This Row],[Service_Revenue]]-Table1[[#This Row],[Service_Cost]]</f>
        <v>111661</v>
      </c>
      <c r="T651" s="4">
        <v>4</v>
      </c>
      <c r="U651" s="4">
        <f>IF(AND(Table1[[#This Row],[Rework_Flag]]="Yes",Table1[[#This Row],[Warranty_Claim]]="No"),Table1[[#This Row],[Service_Revenue]],0)</f>
        <v>270729</v>
      </c>
      <c r="V651" s="4">
        <f>IF(Table1[[#This Row],[Warranty_Claim]]="Yes",1,0)</f>
        <v>0</v>
      </c>
      <c r="W651" s="4">
        <f>IF(Table1[[#This Row],[Rework_Flag]]="No",1,0)</f>
        <v>0</v>
      </c>
      <c r="X651" s="4">
        <f>IF(Table1[[#This Row],[Rework_Flag]]="Yes",1,0)</f>
        <v>1</v>
      </c>
      <c r="Y651" s="4">
        <v>1</v>
      </c>
      <c r="Z651" s="4" t="str">
        <f>IF(Table1[[#This Row],[TAT_Days]]&gt;Table1[[#This Row],[SLA_TAT]],"Yes","No")</f>
        <v>No</v>
      </c>
      <c r="AA651" s="4" t="str" cm="1">
        <f t="array" ref="AA651">_xlfn.IFS(Table1[[#This Row],[Customer_Satisfaction]]&lt;=2,"Poor",Table1[[#This Row],[Customer_Satisfaction]]=3,"Neutral",Table1[[#This Row],[Customer_Satisfaction]]=4,"Good",Table1[[#This Row],[Customer_Satisfaction]]=5,"Good")</f>
        <v>Good</v>
      </c>
    </row>
    <row r="652" spans="1:27" x14ac:dyDescent="0.35">
      <c r="A652">
        <v>20650</v>
      </c>
      <c r="B652" s="1">
        <v>45462</v>
      </c>
      <c r="C652" t="s">
        <v>19</v>
      </c>
      <c r="D652" t="s">
        <v>45</v>
      </c>
      <c r="E652" t="s">
        <v>111</v>
      </c>
      <c r="F652" t="s">
        <v>53</v>
      </c>
      <c r="G652" t="s">
        <v>74</v>
      </c>
      <c r="H652" t="s">
        <v>34</v>
      </c>
      <c r="I652" t="s">
        <v>55</v>
      </c>
      <c r="J652" t="s">
        <v>26</v>
      </c>
      <c r="K652" t="s">
        <v>44</v>
      </c>
      <c r="L652" t="s">
        <v>28</v>
      </c>
      <c r="M652" s="4">
        <v>8</v>
      </c>
      <c r="N652" s="4">
        <v>7</v>
      </c>
      <c r="O652" t="s">
        <v>29</v>
      </c>
      <c r="P652" t="s">
        <v>36</v>
      </c>
      <c r="Q652" s="4">
        <v>112922</v>
      </c>
      <c r="R652" s="4">
        <v>84448</v>
      </c>
      <c r="S652" s="4">
        <f>Table1[[#This Row],[Service_Revenue]]-Table1[[#This Row],[Service_Cost]]</f>
        <v>28474</v>
      </c>
      <c r="T652" s="4">
        <v>3</v>
      </c>
      <c r="U652" s="4">
        <f>IF(AND(Table1[[#This Row],[Rework_Flag]]="Yes",Table1[[#This Row],[Warranty_Claim]]="No"),Table1[[#This Row],[Service_Revenue]],0)</f>
        <v>112922</v>
      </c>
      <c r="V652" s="4">
        <f>IF(Table1[[#This Row],[Warranty_Claim]]="Yes",1,0)</f>
        <v>0</v>
      </c>
      <c r="W652" s="4">
        <f>IF(Table1[[#This Row],[Rework_Flag]]="No",1,0)</f>
        <v>0</v>
      </c>
      <c r="X652" s="4">
        <f>IF(Table1[[#This Row],[Rework_Flag]]="Yes",1,0)</f>
        <v>1</v>
      </c>
      <c r="Y652" s="4">
        <v>1</v>
      </c>
      <c r="Z652" s="4" t="str">
        <f>IF(Table1[[#This Row],[TAT_Days]]&gt;Table1[[#This Row],[SLA_TAT]],"Yes","No")</f>
        <v>Yes</v>
      </c>
      <c r="AA652" s="4" t="str" cm="1">
        <f t="array" ref="AA652">_xlfn.IFS(Table1[[#This Row],[Customer_Satisfaction]]&lt;=2,"Poor",Table1[[#This Row],[Customer_Satisfaction]]=3,"Neutral",Table1[[#This Row],[Customer_Satisfaction]]=4,"Good",Table1[[#This Row],[Customer_Satisfaction]]=5,"Good")</f>
        <v>Neutral</v>
      </c>
    </row>
    <row r="653" spans="1:27" x14ac:dyDescent="0.35">
      <c r="A653">
        <v>20651</v>
      </c>
      <c r="B653" s="1">
        <v>45394</v>
      </c>
      <c r="C653" t="s">
        <v>30</v>
      </c>
      <c r="D653" t="s">
        <v>83</v>
      </c>
      <c r="E653" t="s">
        <v>92</v>
      </c>
      <c r="F653" t="s">
        <v>53</v>
      </c>
      <c r="G653" t="s">
        <v>63</v>
      </c>
      <c r="H653" t="s">
        <v>24</v>
      </c>
      <c r="I653" t="s">
        <v>55</v>
      </c>
      <c r="J653" t="s">
        <v>35</v>
      </c>
      <c r="K653" t="s">
        <v>61</v>
      </c>
      <c r="L653" t="s">
        <v>49</v>
      </c>
      <c r="M653" s="4">
        <v>10</v>
      </c>
      <c r="N653" s="4">
        <v>7</v>
      </c>
      <c r="O653" t="s">
        <v>36</v>
      </c>
      <c r="P653" t="s">
        <v>36</v>
      </c>
      <c r="Q653" s="4">
        <v>394878</v>
      </c>
      <c r="R653" s="4">
        <v>217338</v>
      </c>
      <c r="S653" s="4">
        <f>Table1[[#This Row],[Service_Revenue]]-Table1[[#This Row],[Service_Cost]]</f>
        <v>177540</v>
      </c>
      <c r="T653" s="4">
        <v>3</v>
      </c>
      <c r="U653" s="4">
        <f>IF(AND(Table1[[#This Row],[Rework_Flag]]="Yes",Table1[[#This Row],[Warranty_Claim]]="No"),Table1[[#This Row],[Service_Revenue]],0)</f>
        <v>0</v>
      </c>
      <c r="V653" s="4">
        <f>IF(Table1[[#This Row],[Warranty_Claim]]="Yes",1,0)</f>
        <v>0</v>
      </c>
      <c r="W653" s="4">
        <f>IF(Table1[[#This Row],[Rework_Flag]]="No",1,0)</f>
        <v>1</v>
      </c>
      <c r="X653" s="4">
        <f>IF(Table1[[#This Row],[Rework_Flag]]="Yes",1,0)</f>
        <v>0</v>
      </c>
      <c r="Y653" s="4">
        <v>1</v>
      </c>
      <c r="Z653" s="4" t="str">
        <f>IF(Table1[[#This Row],[TAT_Days]]&gt;Table1[[#This Row],[SLA_TAT]],"Yes","No")</f>
        <v>Yes</v>
      </c>
      <c r="AA653" s="4" t="str" cm="1">
        <f t="array" ref="AA653">_xlfn.IFS(Table1[[#This Row],[Customer_Satisfaction]]&lt;=2,"Poor",Table1[[#This Row],[Customer_Satisfaction]]=3,"Neutral",Table1[[#This Row],[Customer_Satisfaction]]=4,"Good",Table1[[#This Row],[Customer_Satisfaction]]=5,"Good")</f>
        <v>Neutral</v>
      </c>
    </row>
    <row r="654" spans="1:27" x14ac:dyDescent="0.35">
      <c r="A654">
        <v>20652</v>
      </c>
      <c r="B654" s="1">
        <v>45329</v>
      </c>
      <c r="C654" t="s">
        <v>30</v>
      </c>
      <c r="D654" t="s">
        <v>59</v>
      </c>
      <c r="E654" t="s">
        <v>66</v>
      </c>
      <c r="F654" t="s">
        <v>53</v>
      </c>
      <c r="G654" t="s">
        <v>23</v>
      </c>
      <c r="H654" t="s">
        <v>24</v>
      </c>
      <c r="I654" t="s">
        <v>55</v>
      </c>
      <c r="J654" t="s">
        <v>35</v>
      </c>
      <c r="K654" t="s">
        <v>44</v>
      </c>
      <c r="L654" t="s">
        <v>28</v>
      </c>
      <c r="M654" s="4">
        <v>17</v>
      </c>
      <c r="N654" s="4">
        <v>7</v>
      </c>
      <c r="O654" t="s">
        <v>36</v>
      </c>
      <c r="P654" t="s">
        <v>29</v>
      </c>
      <c r="Q654" s="4">
        <v>171716</v>
      </c>
      <c r="R654" s="4">
        <v>137286</v>
      </c>
      <c r="S654" s="4">
        <f>Table1[[#This Row],[Service_Revenue]]-Table1[[#This Row],[Service_Cost]]</f>
        <v>34430</v>
      </c>
      <c r="T654" s="4">
        <v>2</v>
      </c>
      <c r="U654" s="4">
        <f>IF(AND(Table1[[#This Row],[Rework_Flag]]="Yes",Table1[[#This Row],[Warranty_Claim]]="No"),Table1[[#This Row],[Service_Revenue]],0)</f>
        <v>0</v>
      </c>
      <c r="V654" s="4">
        <f>IF(Table1[[#This Row],[Warranty_Claim]]="Yes",1,0)</f>
        <v>1</v>
      </c>
      <c r="W654" s="4">
        <f>IF(Table1[[#This Row],[Rework_Flag]]="No",1,0)</f>
        <v>1</v>
      </c>
      <c r="X654" s="4">
        <f>IF(Table1[[#This Row],[Rework_Flag]]="Yes",1,0)</f>
        <v>0</v>
      </c>
      <c r="Y654" s="4">
        <v>1</v>
      </c>
      <c r="Z654" s="4" t="str">
        <f>IF(Table1[[#This Row],[TAT_Days]]&gt;Table1[[#This Row],[SLA_TAT]],"Yes","No")</f>
        <v>Yes</v>
      </c>
      <c r="AA654" s="4" t="str" cm="1">
        <f t="array" ref="AA654">_xlfn.IFS(Table1[[#This Row],[Customer_Satisfaction]]&lt;=2,"Poor",Table1[[#This Row],[Customer_Satisfaction]]=3,"Neutral",Table1[[#This Row],[Customer_Satisfaction]]=4,"Good",Table1[[#This Row],[Customer_Satisfaction]]=5,"Good")</f>
        <v>Poor</v>
      </c>
    </row>
    <row r="655" spans="1:27" x14ac:dyDescent="0.35">
      <c r="A655">
        <v>20653</v>
      </c>
      <c r="B655" s="1">
        <v>45416</v>
      </c>
      <c r="C655" t="s">
        <v>37</v>
      </c>
      <c r="D655" t="s">
        <v>64</v>
      </c>
      <c r="E655" t="s">
        <v>72</v>
      </c>
      <c r="F655" t="s">
        <v>40</v>
      </c>
      <c r="G655" t="s">
        <v>47</v>
      </c>
      <c r="H655" t="s">
        <v>48</v>
      </c>
      <c r="I655" t="s">
        <v>55</v>
      </c>
      <c r="J655" t="s">
        <v>26</v>
      </c>
      <c r="K655" t="s">
        <v>61</v>
      </c>
      <c r="L655" t="s">
        <v>28</v>
      </c>
      <c r="M655" s="4">
        <v>24</v>
      </c>
      <c r="N655" s="4">
        <v>7</v>
      </c>
      <c r="O655" t="s">
        <v>29</v>
      </c>
      <c r="P655" t="s">
        <v>36</v>
      </c>
      <c r="Q655" s="4">
        <v>465871</v>
      </c>
      <c r="R655" s="4">
        <v>354733</v>
      </c>
      <c r="S655" s="4">
        <f>Table1[[#This Row],[Service_Revenue]]-Table1[[#This Row],[Service_Cost]]</f>
        <v>111138</v>
      </c>
      <c r="T655" s="4">
        <v>1</v>
      </c>
      <c r="U655" s="4">
        <f>IF(AND(Table1[[#This Row],[Rework_Flag]]="Yes",Table1[[#This Row],[Warranty_Claim]]="No"),Table1[[#This Row],[Service_Revenue]],0)</f>
        <v>465871</v>
      </c>
      <c r="V655" s="4">
        <f>IF(Table1[[#This Row],[Warranty_Claim]]="Yes",1,0)</f>
        <v>0</v>
      </c>
      <c r="W655" s="4">
        <f>IF(Table1[[#This Row],[Rework_Flag]]="No",1,0)</f>
        <v>0</v>
      </c>
      <c r="X655" s="4">
        <f>IF(Table1[[#This Row],[Rework_Flag]]="Yes",1,0)</f>
        <v>1</v>
      </c>
      <c r="Y655" s="4">
        <v>1</v>
      </c>
      <c r="Z655" s="4" t="str">
        <f>IF(Table1[[#This Row],[TAT_Days]]&gt;Table1[[#This Row],[SLA_TAT]],"Yes","No")</f>
        <v>Yes</v>
      </c>
      <c r="AA655" s="4" t="str" cm="1">
        <f t="array" ref="AA655">_xlfn.IFS(Table1[[#This Row],[Customer_Satisfaction]]&lt;=2,"Poor",Table1[[#This Row],[Customer_Satisfaction]]=3,"Neutral",Table1[[#This Row],[Customer_Satisfaction]]=4,"Good",Table1[[#This Row],[Customer_Satisfaction]]=5,"Good")</f>
        <v>Poor</v>
      </c>
    </row>
    <row r="656" spans="1:27" x14ac:dyDescent="0.35">
      <c r="A656">
        <v>20654</v>
      </c>
      <c r="B656" s="1">
        <v>45392</v>
      </c>
      <c r="C656" t="s">
        <v>37</v>
      </c>
      <c r="D656" t="s">
        <v>38</v>
      </c>
      <c r="E656" t="s">
        <v>93</v>
      </c>
      <c r="F656" t="s">
        <v>22</v>
      </c>
      <c r="G656" t="s">
        <v>74</v>
      </c>
      <c r="H656" t="s">
        <v>34</v>
      </c>
      <c r="I656" t="s">
        <v>25</v>
      </c>
      <c r="J656" t="s">
        <v>43</v>
      </c>
      <c r="K656" t="s">
        <v>44</v>
      </c>
      <c r="L656" t="s">
        <v>49</v>
      </c>
      <c r="M656" s="4">
        <v>25</v>
      </c>
      <c r="N656" s="4">
        <v>7</v>
      </c>
      <c r="O656" t="s">
        <v>29</v>
      </c>
      <c r="P656" t="s">
        <v>29</v>
      </c>
      <c r="Q656" s="4">
        <v>117489</v>
      </c>
      <c r="R656" s="4">
        <v>86530</v>
      </c>
      <c r="S656" s="4">
        <f>Table1[[#This Row],[Service_Revenue]]-Table1[[#This Row],[Service_Cost]]</f>
        <v>30959</v>
      </c>
      <c r="T656" s="4">
        <v>1</v>
      </c>
      <c r="U656" s="4">
        <f>IF(AND(Table1[[#This Row],[Rework_Flag]]="Yes",Table1[[#This Row],[Warranty_Claim]]="No"),Table1[[#This Row],[Service_Revenue]],0)</f>
        <v>0</v>
      </c>
      <c r="V656" s="4">
        <f>IF(Table1[[#This Row],[Warranty_Claim]]="Yes",1,0)</f>
        <v>1</v>
      </c>
      <c r="W656" s="4">
        <f>IF(Table1[[#This Row],[Rework_Flag]]="No",1,0)</f>
        <v>0</v>
      </c>
      <c r="X656" s="4">
        <f>IF(Table1[[#This Row],[Rework_Flag]]="Yes",1,0)</f>
        <v>1</v>
      </c>
      <c r="Y656" s="4">
        <v>1</v>
      </c>
      <c r="Z656" s="4" t="str">
        <f>IF(Table1[[#This Row],[TAT_Days]]&gt;Table1[[#This Row],[SLA_TAT]],"Yes","No")</f>
        <v>Yes</v>
      </c>
      <c r="AA656" s="4" t="str" cm="1">
        <f t="array" ref="AA656">_xlfn.IFS(Table1[[#This Row],[Customer_Satisfaction]]&lt;=2,"Poor",Table1[[#This Row],[Customer_Satisfaction]]=3,"Neutral",Table1[[#This Row],[Customer_Satisfaction]]=4,"Good",Table1[[#This Row],[Customer_Satisfaction]]=5,"Good")</f>
        <v>Poor</v>
      </c>
    </row>
    <row r="657" spans="1:27" x14ac:dyDescent="0.35">
      <c r="A657">
        <v>20655</v>
      </c>
      <c r="B657" s="1">
        <v>45343</v>
      </c>
      <c r="C657" t="s">
        <v>50</v>
      </c>
      <c r="D657" t="s">
        <v>51</v>
      </c>
      <c r="E657" t="s">
        <v>73</v>
      </c>
      <c r="F657" t="s">
        <v>53</v>
      </c>
      <c r="G657" t="s">
        <v>54</v>
      </c>
      <c r="H657" t="s">
        <v>42</v>
      </c>
      <c r="I657" t="s">
        <v>55</v>
      </c>
      <c r="J657" t="s">
        <v>35</v>
      </c>
      <c r="K657" t="s">
        <v>27</v>
      </c>
      <c r="L657" t="s">
        <v>28</v>
      </c>
      <c r="M657" s="4">
        <v>18</v>
      </c>
      <c r="N657" s="4">
        <v>7</v>
      </c>
      <c r="O657" t="s">
        <v>29</v>
      </c>
      <c r="P657" t="s">
        <v>36</v>
      </c>
      <c r="Q657" s="4">
        <v>444379</v>
      </c>
      <c r="R657" s="4">
        <v>313639</v>
      </c>
      <c r="S657" s="4">
        <f>Table1[[#This Row],[Service_Revenue]]-Table1[[#This Row],[Service_Cost]]</f>
        <v>130740</v>
      </c>
      <c r="T657" s="4">
        <v>1</v>
      </c>
      <c r="U657" s="4">
        <f>IF(AND(Table1[[#This Row],[Rework_Flag]]="Yes",Table1[[#This Row],[Warranty_Claim]]="No"),Table1[[#This Row],[Service_Revenue]],0)</f>
        <v>444379</v>
      </c>
      <c r="V657" s="4">
        <f>IF(Table1[[#This Row],[Warranty_Claim]]="Yes",1,0)</f>
        <v>0</v>
      </c>
      <c r="W657" s="4">
        <f>IF(Table1[[#This Row],[Rework_Flag]]="No",1,0)</f>
        <v>0</v>
      </c>
      <c r="X657" s="4">
        <f>IF(Table1[[#This Row],[Rework_Flag]]="Yes",1,0)</f>
        <v>1</v>
      </c>
      <c r="Y657" s="4">
        <v>1</v>
      </c>
      <c r="Z657" s="4" t="str">
        <f>IF(Table1[[#This Row],[TAT_Days]]&gt;Table1[[#This Row],[SLA_TAT]],"Yes","No")</f>
        <v>Yes</v>
      </c>
      <c r="AA657" s="4" t="str" cm="1">
        <f t="array" ref="AA657">_xlfn.IFS(Table1[[#This Row],[Customer_Satisfaction]]&lt;=2,"Poor",Table1[[#This Row],[Customer_Satisfaction]]=3,"Neutral",Table1[[#This Row],[Customer_Satisfaction]]=4,"Good",Table1[[#This Row],[Customer_Satisfaction]]=5,"Good")</f>
        <v>Poor</v>
      </c>
    </row>
    <row r="658" spans="1:27" x14ac:dyDescent="0.35">
      <c r="A658">
        <v>20656</v>
      </c>
      <c r="B658" s="1">
        <v>45336</v>
      </c>
      <c r="C658" t="s">
        <v>19</v>
      </c>
      <c r="D658" t="s">
        <v>20</v>
      </c>
      <c r="E658" t="s">
        <v>89</v>
      </c>
      <c r="F658" t="s">
        <v>22</v>
      </c>
      <c r="G658" t="s">
        <v>41</v>
      </c>
      <c r="H658" t="s">
        <v>42</v>
      </c>
      <c r="I658" t="s">
        <v>25</v>
      </c>
      <c r="J658" t="s">
        <v>26</v>
      </c>
      <c r="K658" t="s">
        <v>27</v>
      </c>
      <c r="L658" t="s">
        <v>49</v>
      </c>
      <c r="M658" s="4">
        <v>19</v>
      </c>
      <c r="N658" s="4">
        <v>7</v>
      </c>
      <c r="O658" t="s">
        <v>29</v>
      </c>
      <c r="P658" t="s">
        <v>29</v>
      </c>
      <c r="Q658" s="4">
        <v>583237</v>
      </c>
      <c r="R658" s="4">
        <v>339667</v>
      </c>
      <c r="S658" s="4">
        <f>Table1[[#This Row],[Service_Revenue]]-Table1[[#This Row],[Service_Cost]]</f>
        <v>243570</v>
      </c>
      <c r="T658" s="4">
        <v>1</v>
      </c>
      <c r="U658" s="4">
        <f>IF(AND(Table1[[#This Row],[Rework_Flag]]="Yes",Table1[[#This Row],[Warranty_Claim]]="No"),Table1[[#This Row],[Service_Revenue]],0)</f>
        <v>0</v>
      </c>
      <c r="V658" s="4">
        <f>IF(Table1[[#This Row],[Warranty_Claim]]="Yes",1,0)</f>
        <v>1</v>
      </c>
      <c r="W658" s="4">
        <f>IF(Table1[[#This Row],[Rework_Flag]]="No",1,0)</f>
        <v>0</v>
      </c>
      <c r="X658" s="4">
        <f>IF(Table1[[#This Row],[Rework_Flag]]="Yes",1,0)</f>
        <v>1</v>
      </c>
      <c r="Y658" s="4">
        <v>1</v>
      </c>
      <c r="Z658" s="4" t="str">
        <f>IF(Table1[[#This Row],[TAT_Days]]&gt;Table1[[#This Row],[SLA_TAT]],"Yes","No")</f>
        <v>Yes</v>
      </c>
      <c r="AA658" s="4" t="str" cm="1">
        <f t="array" ref="AA658">_xlfn.IFS(Table1[[#This Row],[Customer_Satisfaction]]&lt;=2,"Poor",Table1[[#This Row],[Customer_Satisfaction]]=3,"Neutral",Table1[[#This Row],[Customer_Satisfaction]]=4,"Good",Table1[[#This Row],[Customer_Satisfaction]]=5,"Good")</f>
        <v>Poor</v>
      </c>
    </row>
    <row r="659" spans="1:27" x14ac:dyDescent="0.35">
      <c r="A659">
        <v>20657</v>
      </c>
      <c r="B659" s="1">
        <v>45396</v>
      </c>
      <c r="C659" t="s">
        <v>30</v>
      </c>
      <c r="D659" t="s">
        <v>83</v>
      </c>
      <c r="E659" t="s">
        <v>119</v>
      </c>
      <c r="F659" t="s">
        <v>53</v>
      </c>
      <c r="G659" t="s">
        <v>47</v>
      </c>
      <c r="H659" t="s">
        <v>48</v>
      </c>
      <c r="I659" t="s">
        <v>25</v>
      </c>
      <c r="J659" t="s">
        <v>67</v>
      </c>
      <c r="K659" t="s">
        <v>44</v>
      </c>
      <c r="L659" t="s">
        <v>28</v>
      </c>
      <c r="M659" s="4">
        <v>17</v>
      </c>
      <c r="N659" s="4">
        <v>7</v>
      </c>
      <c r="O659" t="s">
        <v>29</v>
      </c>
      <c r="P659" t="s">
        <v>36</v>
      </c>
      <c r="Q659" s="4">
        <v>109199</v>
      </c>
      <c r="R659" s="4">
        <v>65711</v>
      </c>
      <c r="S659" s="4">
        <f>Table1[[#This Row],[Service_Revenue]]-Table1[[#This Row],[Service_Cost]]</f>
        <v>43488</v>
      </c>
      <c r="T659" s="4">
        <v>1</v>
      </c>
      <c r="U659" s="4">
        <f>IF(AND(Table1[[#This Row],[Rework_Flag]]="Yes",Table1[[#This Row],[Warranty_Claim]]="No"),Table1[[#This Row],[Service_Revenue]],0)</f>
        <v>109199</v>
      </c>
      <c r="V659" s="4">
        <f>IF(Table1[[#This Row],[Warranty_Claim]]="Yes",1,0)</f>
        <v>0</v>
      </c>
      <c r="W659" s="4">
        <f>IF(Table1[[#This Row],[Rework_Flag]]="No",1,0)</f>
        <v>0</v>
      </c>
      <c r="X659" s="4">
        <f>IF(Table1[[#This Row],[Rework_Flag]]="Yes",1,0)</f>
        <v>1</v>
      </c>
      <c r="Y659" s="4">
        <v>1</v>
      </c>
      <c r="Z659" s="4" t="str">
        <f>IF(Table1[[#This Row],[TAT_Days]]&gt;Table1[[#This Row],[SLA_TAT]],"Yes","No")</f>
        <v>Yes</v>
      </c>
      <c r="AA659" s="4" t="str" cm="1">
        <f t="array" ref="AA659">_xlfn.IFS(Table1[[#This Row],[Customer_Satisfaction]]&lt;=2,"Poor",Table1[[#This Row],[Customer_Satisfaction]]=3,"Neutral",Table1[[#This Row],[Customer_Satisfaction]]=4,"Good",Table1[[#This Row],[Customer_Satisfaction]]=5,"Good")</f>
        <v>Poor</v>
      </c>
    </row>
    <row r="660" spans="1:27" x14ac:dyDescent="0.35">
      <c r="A660">
        <v>20658</v>
      </c>
      <c r="B660" s="1">
        <v>45466</v>
      </c>
      <c r="C660" t="s">
        <v>19</v>
      </c>
      <c r="D660" t="s">
        <v>45</v>
      </c>
      <c r="E660" t="s">
        <v>111</v>
      </c>
      <c r="F660" t="s">
        <v>40</v>
      </c>
      <c r="G660" t="s">
        <v>41</v>
      </c>
      <c r="H660" t="s">
        <v>42</v>
      </c>
      <c r="I660" t="s">
        <v>25</v>
      </c>
      <c r="J660" t="s">
        <v>26</v>
      </c>
      <c r="K660" t="s">
        <v>61</v>
      </c>
      <c r="L660" t="s">
        <v>28</v>
      </c>
      <c r="M660" s="4">
        <v>24</v>
      </c>
      <c r="N660" s="4">
        <v>7</v>
      </c>
      <c r="O660" t="s">
        <v>36</v>
      </c>
      <c r="P660" t="s">
        <v>36</v>
      </c>
      <c r="Q660" s="4">
        <v>174953</v>
      </c>
      <c r="R660" s="4">
        <v>114457</v>
      </c>
      <c r="S660" s="4">
        <f>Table1[[#This Row],[Service_Revenue]]-Table1[[#This Row],[Service_Cost]]</f>
        <v>60496</v>
      </c>
      <c r="T660" s="4">
        <v>1</v>
      </c>
      <c r="U660" s="4">
        <f>IF(AND(Table1[[#This Row],[Rework_Flag]]="Yes",Table1[[#This Row],[Warranty_Claim]]="No"),Table1[[#This Row],[Service_Revenue]],0)</f>
        <v>0</v>
      </c>
      <c r="V660" s="4">
        <f>IF(Table1[[#This Row],[Warranty_Claim]]="Yes",1,0)</f>
        <v>0</v>
      </c>
      <c r="W660" s="4">
        <f>IF(Table1[[#This Row],[Rework_Flag]]="No",1,0)</f>
        <v>1</v>
      </c>
      <c r="X660" s="4">
        <f>IF(Table1[[#This Row],[Rework_Flag]]="Yes",1,0)</f>
        <v>0</v>
      </c>
      <c r="Y660" s="4">
        <v>1</v>
      </c>
      <c r="Z660" s="4" t="str">
        <f>IF(Table1[[#This Row],[TAT_Days]]&gt;Table1[[#This Row],[SLA_TAT]],"Yes","No")</f>
        <v>Yes</v>
      </c>
      <c r="AA660" s="4" t="str" cm="1">
        <f t="array" ref="AA660">_xlfn.IFS(Table1[[#This Row],[Customer_Satisfaction]]&lt;=2,"Poor",Table1[[#This Row],[Customer_Satisfaction]]=3,"Neutral",Table1[[#This Row],[Customer_Satisfaction]]=4,"Good",Table1[[#This Row],[Customer_Satisfaction]]=5,"Good")</f>
        <v>Poor</v>
      </c>
    </row>
    <row r="661" spans="1:27" x14ac:dyDescent="0.35">
      <c r="A661">
        <v>20659</v>
      </c>
      <c r="B661" s="1">
        <v>45310</v>
      </c>
      <c r="C661" t="s">
        <v>30</v>
      </c>
      <c r="D661" t="s">
        <v>59</v>
      </c>
      <c r="E661" t="s">
        <v>78</v>
      </c>
      <c r="F661" t="s">
        <v>40</v>
      </c>
      <c r="G661" t="s">
        <v>74</v>
      </c>
      <c r="H661" t="s">
        <v>34</v>
      </c>
      <c r="I661" t="s">
        <v>55</v>
      </c>
      <c r="J661" t="s">
        <v>35</v>
      </c>
      <c r="K661" t="s">
        <v>44</v>
      </c>
      <c r="L661" t="s">
        <v>49</v>
      </c>
      <c r="M661" s="4">
        <v>10</v>
      </c>
      <c r="N661" s="4">
        <v>7</v>
      </c>
      <c r="O661" t="s">
        <v>29</v>
      </c>
      <c r="P661" t="s">
        <v>36</v>
      </c>
      <c r="Q661" s="4">
        <v>526876</v>
      </c>
      <c r="R661" s="4">
        <v>273933</v>
      </c>
      <c r="S661" s="4">
        <f>Table1[[#This Row],[Service_Revenue]]-Table1[[#This Row],[Service_Cost]]</f>
        <v>252943</v>
      </c>
      <c r="T661" s="4">
        <v>2</v>
      </c>
      <c r="U661" s="4">
        <f>IF(AND(Table1[[#This Row],[Rework_Flag]]="Yes",Table1[[#This Row],[Warranty_Claim]]="No"),Table1[[#This Row],[Service_Revenue]],0)</f>
        <v>526876</v>
      </c>
      <c r="V661" s="4">
        <f>IF(Table1[[#This Row],[Warranty_Claim]]="Yes",1,0)</f>
        <v>0</v>
      </c>
      <c r="W661" s="4">
        <f>IF(Table1[[#This Row],[Rework_Flag]]="No",1,0)</f>
        <v>0</v>
      </c>
      <c r="X661" s="4">
        <f>IF(Table1[[#This Row],[Rework_Flag]]="Yes",1,0)</f>
        <v>1</v>
      </c>
      <c r="Y661" s="4">
        <v>1</v>
      </c>
      <c r="Z661" s="4" t="str">
        <f>IF(Table1[[#This Row],[TAT_Days]]&gt;Table1[[#This Row],[SLA_TAT]],"Yes","No")</f>
        <v>Yes</v>
      </c>
      <c r="AA661" s="4" t="str" cm="1">
        <f t="array" ref="AA661">_xlfn.IFS(Table1[[#This Row],[Customer_Satisfaction]]&lt;=2,"Poor",Table1[[#This Row],[Customer_Satisfaction]]=3,"Neutral",Table1[[#This Row],[Customer_Satisfaction]]=4,"Good",Table1[[#This Row],[Customer_Satisfaction]]=5,"Good")</f>
        <v>Poor</v>
      </c>
    </row>
    <row r="662" spans="1:27" x14ac:dyDescent="0.35">
      <c r="A662">
        <v>20660</v>
      </c>
      <c r="B662" s="1">
        <v>45312</v>
      </c>
      <c r="C662" t="s">
        <v>50</v>
      </c>
      <c r="D662" t="s">
        <v>51</v>
      </c>
      <c r="E662" t="s">
        <v>52</v>
      </c>
      <c r="F662" t="s">
        <v>40</v>
      </c>
      <c r="G662" t="s">
        <v>33</v>
      </c>
      <c r="H662" t="s">
        <v>34</v>
      </c>
      <c r="I662" t="s">
        <v>25</v>
      </c>
      <c r="J662" t="s">
        <v>43</v>
      </c>
      <c r="K662" t="s">
        <v>27</v>
      </c>
      <c r="L662" t="s">
        <v>28</v>
      </c>
      <c r="M662" s="4">
        <v>2</v>
      </c>
      <c r="N662" s="4">
        <v>7</v>
      </c>
      <c r="O662" t="s">
        <v>29</v>
      </c>
      <c r="P662" t="s">
        <v>36</v>
      </c>
      <c r="Q662" s="4">
        <v>328723</v>
      </c>
      <c r="R662" s="4">
        <v>216297</v>
      </c>
      <c r="S662" s="4">
        <f>Table1[[#This Row],[Service_Revenue]]-Table1[[#This Row],[Service_Cost]]</f>
        <v>112426</v>
      </c>
      <c r="T662" s="4">
        <v>4</v>
      </c>
      <c r="U662" s="4">
        <f>IF(AND(Table1[[#This Row],[Rework_Flag]]="Yes",Table1[[#This Row],[Warranty_Claim]]="No"),Table1[[#This Row],[Service_Revenue]],0)</f>
        <v>328723</v>
      </c>
      <c r="V662" s="4">
        <f>IF(Table1[[#This Row],[Warranty_Claim]]="Yes",1,0)</f>
        <v>0</v>
      </c>
      <c r="W662" s="4">
        <f>IF(Table1[[#This Row],[Rework_Flag]]="No",1,0)</f>
        <v>0</v>
      </c>
      <c r="X662" s="4">
        <f>IF(Table1[[#This Row],[Rework_Flag]]="Yes",1,0)</f>
        <v>1</v>
      </c>
      <c r="Y662" s="4">
        <v>1</v>
      </c>
      <c r="Z662" s="4" t="str">
        <f>IF(Table1[[#This Row],[TAT_Days]]&gt;Table1[[#This Row],[SLA_TAT]],"Yes","No")</f>
        <v>No</v>
      </c>
      <c r="AA662" s="4" t="str" cm="1">
        <f t="array" ref="AA662">_xlfn.IFS(Table1[[#This Row],[Customer_Satisfaction]]&lt;=2,"Poor",Table1[[#This Row],[Customer_Satisfaction]]=3,"Neutral",Table1[[#This Row],[Customer_Satisfaction]]=4,"Good",Table1[[#This Row],[Customer_Satisfaction]]=5,"Good")</f>
        <v>Good</v>
      </c>
    </row>
    <row r="663" spans="1:27" x14ac:dyDescent="0.35">
      <c r="A663">
        <v>20661</v>
      </c>
      <c r="B663" s="1">
        <v>45295</v>
      </c>
      <c r="C663" t="s">
        <v>50</v>
      </c>
      <c r="D663" t="s">
        <v>80</v>
      </c>
      <c r="E663" t="s">
        <v>85</v>
      </c>
      <c r="F663" t="s">
        <v>22</v>
      </c>
      <c r="G663" t="s">
        <v>74</v>
      </c>
      <c r="H663" t="s">
        <v>34</v>
      </c>
      <c r="I663" t="s">
        <v>25</v>
      </c>
      <c r="J663" t="s">
        <v>35</v>
      </c>
      <c r="K663" t="s">
        <v>27</v>
      </c>
      <c r="L663" t="s">
        <v>28</v>
      </c>
      <c r="M663" s="4">
        <v>11</v>
      </c>
      <c r="N663" s="4">
        <v>7</v>
      </c>
      <c r="O663" t="s">
        <v>29</v>
      </c>
      <c r="P663" t="s">
        <v>29</v>
      </c>
      <c r="Q663" s="4">
        <v>382874</v>
      </c>
      <c r="R663" s="4">
        <v>197595</v>
      </c>
      <c r="S663" s="4">
        <f>Table1[[#This Row],[Service_Revenue]]-Table1[[#This Row],[Service_Cost]]</f>
        <v>185279</v>
      </c>
      <c r="T663" s="4">
        <v>2</v>
      </c>
      <c r="U663" s="4">
        <f>IF(AND(Table1[[#This Row],[Rework_Flag]]="Yes",Table1[[#This Row],[Warranty_Claim]]="No"),Table1[[#This Row],[Service_Revenue]],0)</f>
        <v>0</v>
      </c>
      <c r="V663" s="4">
        <f>IF(Table1[[#This Row],[Warranty_Claim]]="Yes",1,0)</f>
        <v>1</v>
      </c>
      <c r="W663" s="4">
        <f>IF(Table1[[#This Row],[Rework_Flag]]="No",1,0)</f>
        <v>0</v>
      </c>
      <c r="X663" s="4">
        <f>IF(Table1[[#This Row],[Rework_Flag]]="Yes",1,0)</f>
        <v>1</v>
      </c>
      <c r="Y663" s="4">
        <v>1</v>
      </c>
      <c r="Z663" s="4" t="str">
        <f>IF(Table1[[#This Row],[TAT_Days]]&gt;Table1[[#This Row],[SLA_TAT]],"Yes","No")</f>
        <v>Yes</v>
      </c>
      <c r="AA663" s="4" t="str" cm="1">
        <f t="array" ref="AA663">_xlfn.IFS(Table1[[#This Row],[Customer_Satisfaction]]&lt;=2,"Poor",Table1[[#This Row],[Customer_Satisfaction]]=3,"Neutral",Table1[[#This Row],[Customer_Satisfaction]]=4,"Good",Table1[[#This Row],[Customer_Satisfaction]]=5,"Good")</f>
        <v>Poor</v>
      </c>
    </row>
    <row r="664" spans="1:27" x14ac:dyDescent="0.35">
      <c r="A664">
        <v>20662</v>
      </c>
      <c r="B664" s="1">
        <v>45352</v>
      </c>
      <c r="C664" t="s">
        <v>37</v>
      </c>
      <c r="D664" t="s">
        <v>64</v>
      </c>
      <c r="E664" t="s">
        <v>65</v>
      </c>
      <c r="F664" t="s">
        <v>53</v>
      </c>
      <c r="G664" t="s">
        <v>41</v>
      </c>
      <c r="H664" t="s">
        <v>42</v>
      </c>
      <c r="I664" t="s">
        <v>55</v>
      </c>
      <c r="J664" t="s">
        <v>58</v>
      </c>
      <c r="K664" t="s">
        <v>27</v>
      </c>
      <c r="L664" t="s">
        <v>49</v>
      </c>
      <c r="M664" s="4">
        <v>17</v>
      </c>
      <c r="N664" s="4">
        <v>7</v>
      </c>
      <c r="O664" t="s">
        <v>29</v>
      </c>
      <c r="P664" t="s">
        <v>29</v>
      </c>
      <c r="Q664" s="4">
        <v>574979</v>
      </c>
      <c r="R664" s="4">
        <v>414095</v>
      </c>
      <c r="S664" s="4">
        <f>Table1[[#This Row],[Service_Revenue]]-Table1[[#This Row],[Service_Cost]]</f>
        <v>160884</v>
      </c>
      <c r="T664" s="4">
        <v>1</v>
      </c>
      <c r="U664" s="4">
        <f>IF(AND(Table1[[#This Row],[Rework_Flag]]="Yes",Table1[[#This Row],[Warranty_Claim]]="No"),Table1[[#This Row],[Service_Revenue]],0)</f>
        <v>0</v>
      </c>
      <c r="V664" s="4">
        <f>IF(Table1[[#This Row],[Warranty_Claim]]="Yes",1,0)</f>
        <v>1</v>
      </c>
      <c r="W664" s="4">
        <f>IF(Table1[[#This Row],[Rework_Flag]]="No",1,0)</f>
        <v>0</v>
      </c>
      <c r="X664" s="4">
        <f>IF(Table1[[#This Row],[Rework_Flag]]="Yes",1,0)</f>
        <v>1</v>
      </c>
      <c r="Y664" s="4">
        <v>1</v>
      </c>
      <c r="Z664" s="4" t="str">
        <f>IF(Table1[[#This Row],[TAT_Days]]&gt;Table1[[#This Row],[SLA_TAT]],"Yes","No")</f>
        <v>Yes</v>
      </c>
      <c r="AA664" s="4" t="str" cm="1">
        <f t="array" ref="AA664">_xlfn.IFS(Table1[[#This Row],[Customer_Satisfaction]]&lt;=2,"Poor",Table1[[#This Row],[Customer_Satisfaction]]=3,"Neutral",Table1[[#This Row],[Customer_Satisfaction]]=4,"Good",Table1[[#This Row],[Customer_Satisfaction]]=5,"Good")</f>
        <v>Poor</v>
      </c>
    </row>
    <row r="665" spans="1:27" x14ac:dyDescent="0.35">
      <c r="A665">
        <v>20663</v>
      </c>
      <c r="B665" s="1">
        <v>45401</v>
      </c>
      <c r="C665" t="s">
        <v>30</v>
      </c>
      <c r="D665" t="s">
        <v>59</v>
      </c>
      <c r="E665" t="s">
        <v>94</v>
      </c>
      <c r="F665" t="s">
        <v>40</v>
      </c>
      <c r="G665" t="s">
        <v>54</v>
      </c>
      <c r="H665" t="s">
        <v>42</v>
      </c>
      <c r="I665" t="s">
        <v>55</v>
      </c>
      <c r="J665" t="s">
        <v>35</v>
      </c>
      <c r="K665" t="s">
        <v>61</v>
      </c>
      <c r="L665" t="s">
        <v>49</v>
      </c>
      <c r="M665" s="4">
        <v>23</v>
      </c>
      <c r="N665" s="4">
        <v>7</v>
      </c>
      <c r="O665" t="s">
        <v>29</v>
      </c>
      <c r="P665" t="s">
        <v>36</v>
      </c>
      <c r="Q665" s="4">
        <v>207399</v>
      </c>
      <c r="R665" s="4">
        <v>145606</v>
      </c>
      <c r="S665" s="4">
        <f>Table1[[#This Row],[Service_Revenue]]-Table1[[#This Row],[Service_Cost]]</f>
        <v>61793</v>
      </c>
      <c r="T665" s="4">
        <v>1</v>
      </c>
      <c r="U665" s="4">
        <f>IF(AND(Table1[[#This Row],[Rework_Flag]]="Yes",Table1[[#This Row],[Warranty_Claim]]="No"),Table1[[#This Row],[Service_Revenue]],0)</f>
        <v>207399</v>
      </c>
      <c r="V665" s="4">
        <f>IF(Table1[[#This Row],[Warranty_Claim]]="Yes",1,0)</f>
        <v>0</v>
      </c>
      <c r="W665" s="4">
        <f>IF(Table1[[#This Row],[Rework_Flag]]="No",1,0)</f>
        <v>0</v>
      </c>
      <c r="X665" s="4">
        <f>IF(Table1[[#This Row],[Rework_Flag]]="Yes",1,0)</f>
        <v>1</v>
      </c>
      <c r="Y665" s="4">
        <v>1</v>
      </c>
      <c r="Z665" s="4" t="str">
        <f>IF(Table1[[#This Row],[TAT_Days]]&gt;Table1[[#This Row],[SLA_TAT]],"Yes","No")</f>
        <v>Yes</v>
      </c>
      <c r="AA665" s="4" t="str" cm="1">
        <f t="array" ref="AA665">_xlfn.IFS(Table1[[#This Row],[Customer_Satisfaction]]&lt;=2,"Poor",Table1[[#This Row],[Customer_Satisfaction]]=3,"Neutral",Table1[[#This Row],[Customer_Satisfaction]]=4,"Good",Table1[[#This Row],[Customer_Satisfaction]]=5,"Good")</f>
        <v>Poor</v>
      </c>
    </row>
    <row r="666" spans="1:27" x14ac:dyDescent="0.35">
      <c r="A666">
        <v>20664</v>
      </c>
      <c r="B666" s="1">
        <v>45426</v>
      </c>
      <c r="C666" t="s">
        <v>30</v>
      </c>
      <c r="D666" t="s">
        <v>59</v>
      </c>
      <c r="E666" t="s">
        <v>69</v>
      </c>
      <c r="F666" t="s">
        <v>40</v>
      </c>
      <c r="G666" t="s">
        <v>47</v>
      </c>
      <c r="H666" t="s">
        <v>48</v>
      </c>
      <c r="I666" t="s">
        <v>25</v>
      </c>
      <c r="J666" t="s">
        <v>26</v>
      </c>
      <c r="K666" t="s">
        <v>44</v>
      </c>
      <c r="L666" t="s">
        <v>28</v>
      </c>
      <c r="M666" s="4">
        <v>16</v>
      </c>
      <c r="N666" s="4">
        <v>7</v>
      </c>
      <c r="O666" t="s">
        <v>36</v>
      </c>
      <c r="P666" t="s">
        <v>29</v>
      </c>
      <c r="Q666" s="4">
        <v>170487</v>
      </c>
      <c r="R666" s="4">
        <v>108264</v>
      </c>
      <c r="S666" s="4">
        <f>Table1[[#This Row],[Service_Revenue]]-Table1[[#This Row],[Service_Cost]]</f>
        <v>62223</v>
      </c>
      <c r="T666" s="4">
        <v>2</v>
      </c>
      <c r="U666" s="4">
        <f>IF(AND(Table1[[#This Row],[Rework_Flag]]="Yes",Table1[[#This Row],[Warranty_Claim]]="No"),Table1[[#This Row],[Service_Revenue]],0)</f>
        <v>0</v>
      </c>
      <c r="V666" s="4">
        <f>IF(Table1[[#This Row],[Warranty_Claim]]="Yes",1,0)</f>
        <v>1</v>
      </c>
      <c r="W666" s="4">
        <f>IF(Table1[[#This Row],[Rework_Flag]]="No",1,0)</f>
        <v>1</v>
      </c>
      <c r="X666" s="4">
        <f>IF(Table1[[#This Row],[Rework_Flag]]="Yes",1,0)</f>
        <v>0</v>
      </c>
      <c r="Y666" s="4">
        <v>1</v>
      </c>
      <c r="Z666" s="4" t="str">
        <f>IF(Table1[[#This Row],[TAT_Days]]&gt;Table1[[#This Row],[SLA_TAT]],"Yes","No")</f>
        <v>Yes</v>
      </c>
      <c r="AA666" s="4" t="str" cm="1">
        <f t="array" ref="AA666">_xlfn.IFS(Table1[[#This Row],[Customer_Satisfaction]]&lt;=2,"Poor",Table1[[#This Row],[Customer_Satisfaction]]=3,"Neutral",Table1[[#This Row],[Customer_Satisfaction]]=4,"Good",Table1[[#This Row],[Customer_Satisfaction]]=5,"Good")</f>
        <v>Poor</v>
      </c>
    </row>
    <row r="667" spans="1:27" x14ac:dyDescent="0.35">
      <c r="A667">
        <v>20665</v>
      </c>
      <c r="B667" s="1">
        <v>45451</v>
      </c>
      <c r="C667" t="s">
        <v>37</v>
      </c>
      <c r="D667" t="s">
        <v>70</v>
      </c>
      <c r="E667" t="s">
        <v>82</v>
      </c>
      <c r="F667" t="s">
        <v>53</v>
      </c>
      <c r="G667" t="s">
        <v>33</v>
      </c>
      <c r="H667" t="s">
        <v>34</v>
      </c>
      <c r="I667" t="s">
        <v>55</v>
      </c>
      <c r="J667" t="s">
        <v>43</v>
      </c>
      <c r="K667" t="s">
        <v>27</v>
      </c>
      <c r="L667" t="s">
        <v>28</v>
      </c>
      <c r="M667" s="4">
        <v>18</v>
      </c>
      <c r="N667" s="4">
        <v>7</v>
      </c>
      <c r="O667" t="s">
        <v>29</v>
      </c>
      <c r="P667" t="s">
        <v>36</v>
      </c>
      <c r="Q667" s="4">
        <v>248127</v>
      </c>
      <c r="R667" s="4">
        <v>143858</v>
      </c>
      <c r="S667" s="4">
        <f>Table1[[#This Row],[Service_Revenue]]-Table1[[#This Row],[Service_Cost]]</f>
        <v>104269</v>
      </c>
      <c r="T667" s="4">
        <v>1</v>
      </c>
      <c r="U667" s="4">
        <f>IF(AND(Table1[[#This Row],[Rework_Flag]]="Yes",Table1[[#This Row],[Warranty_Claim]]="No"),Table1[[#This Row],[Service_Revenue]],0)</f>
        <v>248127</v>
      </c>
      <c r="V667" s="4">
        <f>IF(Table1[[#This Row],[Warranty_Claim]]="Yes",1,0)</f>
        <v>0</v>
      </c>
      <c r="W667" s="4">
        <f>IF(Table1[[#This Row],[Rework_Flag]]="No",1,0)</f>
        <v>0</v>
      </c>
      <c r="X667" s="4">
        <f>IF(Table1[[#This Row],[Rework_Flag]]="Yes",1,0)</f>
        <v>1</v>
      </c>
      <c r="Y667" s="4">
        <v>1</v>
      </c>
      <c r="Z667" s="4" t="str">
        <f>IF(Table1[[#This Row],[TAT_Days]]&gt;Table1[[#This Row],[SLA_TAT]],"Yes","No")</f>
        <v>Yes</v>
      </c>
      <c r="AA667" s="4" t="str" cm="1">
        <f t="array" ref="AA667">_xlfn.IFS(Table1[[#This Row],[Customer_Satisfaction]]&lt;=2,"Poor",Table1[[#This Row],[Customer_Satisfaction]]=3,"Neutral",Table1[[#This Row],[Customer_Satisfaction]]=4,"Good",Table1[[#This Row],[Customer_Satisfaction]]=5,"Good")</f>
        <v>Poor</v>
      </c>
    </row>
    <row r="668" spans="1:27" x14ac:dyDescent="0.35">
      <c r="A668">
        <v>20666</v>
      </c>
      <c r="B668" s="1">
        <v>45408</v>
      </c>
      <c r="C668" t="s">
        <v>30</v>
      </c>
      <c r="D668" t="s">
        <v>59</v>
      </c>
      <c r="E668" t="s">
        <v>69</v>
      </c>
      <c r="F668" t="s">
        <v>22</v>
      </c>
      <c r="G668" t="s">
        <v>33</v>
      </c>
      <c r="H668" t="s">
        <v>34</v>
      </c>
      <c r="I668" t="s">
        <v>25</v>
      </c>
      <c r="J668" t="s">
        <v>58</v>
      </c>
      <c r="K668" t="s">
        <v>27</v>
      </c>
      <c r="L668" t="s">
        <v>28</v>
      </c>
      <c r="M668" s="4">
        <v>18</v>
      </c>
      <c r="N668" s="4">
        <v>7</v>
      </c>
      <c r="O668" t="s">
        <v>29</v>
      </c>
      <c r="P668" t="s">
        <v>36</v>
      </c>
      <c r="Q668" s="4">
        <v>318624</v>
      </c>
      <c r="R668" s="4">
        <v>217725</v>
      </c>
      <c r="S668" s="4">
        <f>Table1[[#This Row],[Service_Revenue]]-Table1[[#This Row],[Service_Cost]]</f>
        <v>100899</v>
      </c>
      <c r="T668" s="4">
        <v>1</v>
      </c>
      <c r="U668" s="4">
        <f>IF(AND(Table1[[#This Row],[Rework_Flag]]="Yes",Table1[[#This Row],[Warranty_Claim]]="No"),Table1[[#This Row],[Service_Revenue]],0)</f>
        <v>318624</v>
      </c>
      <c r="V668" s="4">
        <f>IF(Table1[[#This Row],[Warranty_Claim]]="Yes",1,0)</f>
        <v>0</v>
      </c>
      <c r="W668" s="4">
        <f>IF(Table1[[#This Row],[Rework_Flag]]="No",1,0)</f>
        <v>0</v>
      </c>
      <c r="X668" s="4">
        <f>IF(Table1[[#This Row],[Rework_Flag]]="Yes",1,0)</f>
        <v>1</v>
      </c>
      <c r="Y668" s="4">
        <v>1</v>
      </c>
      <c r="Z668" s="4" t="str">
        <f>IF(Table1[[#This Row],[TAT_Days]]&gt;Table1[[#This Row],[SLA_TAT]],"Yes","No")</f>
        <v>Yes</v>
      </c>
      <c r="AA668" s="4" t="str" cm="1">
        <f t="array" ref="AA668">_xlfn.IFS(Table1[[#This Row],[Customer_Satisfaction]]&lt;=2,"Poor",Table1[[#This Row],[Customer_Satisfaction]]=3,"Neutral",Table1[[#This Row],[Customer_Satisfaction]]=4,"Good",Table1[[#This Row],[Customer_Satisfaction]]=5,"Good")</f>
        <v>Poor</v>
      </c>
    </row>
    <row r="669" spans="1:27" x14ac:dyDescent="0.35">
      <c r="A669">
        <v>20667</v>
      </c>
      <c r="B669" s="1">
        <v>45301</v>
      </c>
      <c r="C669" t="s">
        <v>37</v>
      </c>
      <c r="D669" t="s">
        <v>64</v>
      </c>
      <c r="E669" t="s">
        <v>72</v>
      </c>
      <c r="F669" t="s">
        <v>40</v>
      </c>
      <c r="G669" t="s">
        <v>74</v>
      </c>
      <c r="H669" t="s">
        <v>34</v>
      </c>
      <c r="I669" t="s">
        <v>55</v>
      </c>
      <c r="J669" t="s">
        <v>58</v>
      </c>
      <c r="K669" t="s">
        <v>61</v>
      </c>
      <c r="L669" t="s">
        <v>49</v>
      </c>
      <c r="M669" s="4">
        <v>19</v>
      </c>
      <c r="N669" s="4">
        <v>7</v>
      </c>
      <c r="O669" t="s">
        <v>36</v>
      </c>
      <c r="P669" t="s">
        <v>36</v>
      </c>
      <c r="Q669" s="4">
        <v>453529</v>
      </c>
      <c r="R669" s="4">
        <v>371792</v>
      </c>
      <c r="S669" s="4">
        <f>Table1[[#This Row],[Service_Revenue]]-Table1[[#This Row],[Service_Cost]]</f>
        <v>81737</v>
      </c>
      <c r="T669" s="4">
        <v>2</v>
      </c>
      <c r="U669" s="4">
        <f>IF(AND(Table1[[#This Row],[Rework_Flag]]="Yes",Table1[[#This Row],[Warranty_Claim]]="No"),Table1[[#This Row],[Service_Revenue]],0)</f>
        <v>0</v>
      </c>
      <c r="V669" s="4">
        <f>IF(Table1[[#This Row],[Warranty_Claim]]="Yes",1,0)</f>
        <v>0</v>
      </c>
      <c r="W669" s="4">
        <f>IF(Table1[[#This Row],[Rework_Flag]]="No",1,0)</f>
        <v>1</v>
      </c>
      <c r="X669" s="4">
        <f>IF(Table1[[#This Row],[Rework_Flag]]="Yes",1,0)</f>
        <v>0</v>
      </c>
      <c r="Y669" s="4">
        <v>1</v>
      </c>
      <c r="Z669" s="4" t="str">
        <f>IF(Table1[[#This Row],[TAT_Days]]&gt;Table1[[#This Row],[SLA_TAT]],"Yes","No")</f>
        <v>Yes</v>
      </c>
      <c r="AA669" s="4" t="str" cm="1">
        <f t="array" ref="AA669">_xlfn.IFS(Table1[[#This Row],[Customer_Satisfaction]]&lt;=2,"Poor",Table1[[#This Row],[Customer_Satisfaction]]=3,"Neutral",Table1[[#This Row],[Customer_Satisfaction]]=4,"Good",Table1[[#This Row],[Customer_Satisfaction]]=5,"Good")</f>
        <v>Poor</v>
      </c>
    </row>
    <row r="670" spans="1:27" x14ac:dyDescent="0.35">
      <c r="A670">
        <v>20668</v>
      </c>
      <c r="B670" s="1">
        <v>45387</v>
      </c>
      <c r="C670" t="s">
        <v>30</v>
      </c>
      <c r="D670" t="s">
        <v>31</v>
      </c>
      <c r="E670" t="s">
        <v>62</v>
      </c>
      <c r="F670" t="s">
        <v>22</v>
      </c>
      <c r="G670" t="s">
        <v>74</v>
      </c>
      <c r="H670" t="s">
        <v>34</v>
      </c>
      <c r="I670" t="s">
        <v>25</v>
      </c>
      <c r="J670" t="s">
        <v>67</v>
      </c>
      <c r="K670" t="s">
        <v>61</v>
      </c>
      <c r="L670" t="s">
        <v>28</v>
      </c>
      <c r="M670" s="4">
        <v>5</v>
      </c>
      <c r="N670" s="4">
        <v>7</v>
      </c>
      <c r="O670" t="s">
        <v>36</v>
      </c>
      <c r="P670" t="s">
        <v>36</v>
      </c>
      <c r="Q670" s="4">
        <v>190879</v>
      </c>
      <c r="R670" s="4">
        <v>148929</v>
      </c>
      <c r="S670" s="4">
        <f>Table1[[#This Row],[Service_Revenue]]-Table1[[#This Row],[Service_Cost]]</f>
        <v>41950</v>
      </c>
      <c r="T670" s="4">
        <v>4</v>
      </c>
      <c r="U670" s="4">
        <f>IF(AND(Table1[[#This Row],[Rework_Flag]]="Yes",Table1[[#This Row],[Warranty_Claim]]="No"),Table1[[#This Row],[Service_Revenue]],0)</f>
        <v>0</v>
      </c>
      <c r="V670" s="4">
        <f>IF(Table1[[#This Row],[Warranty_Claim]]="Yes",1,0)</f>
        <v>0</v>
      </c>
      <c r="W670" s="4">
        <f>IF(Table1[[#This Row],[Rework_Flag]]="No",1,0)</f>
        <v>1</v>
      </c>
      <c r="X670" s="4">
        <f>IF(Table1[[#This Row],[Rework_Flag]]="Yes",1,0)</f>
        <v>0</v>
      </c>
      <c r="Y670" s="4">
        <v>1</v>
      </c>
      <c r="Z670" s="4" t="str">
        <f>IF(Table1[[#This Row],[TAT_Days]]&gt;Table1[[#This Row],[SLA_TAT]],"Yes","No")</f>
        <v>No</v>
      </c>
      <c r="AA670" s="4" t="str" cm="1">
        <f t="array" ref="AA670">_xlfn.IFS(Table1[[#This Row],[Customer_Satisfaction]]&lt;=2,"Poor",Table1[[#This Row],[Customer_Satisfaction]]=3,"Neutral",Table1[[#This Row],[Customer_Satisfaction]]=4,"Good",Table1[[#This Row],[Customer_Satisfaction]]=5,"Good")</f>
        <v>Good</v>
      </c>
    </row>
    <row r="671" spans="1:27" x14ac:dyDescent="0.35">
      <c r="A671">
        <v>20669</v>
      </c>
      <c r="B671" s="1">
        <v>45395</v>
      </c>
      <c r="C671" t="s">
        <v>30</v>
      </c>
      <c r="D671" t="s">
        <v>59</v>
      </c>
      <c r="E671" t="s">
        <v>66</v>
      </c>
      <c r="F671" t="s">
        <v>53</v>
      </c>
      <c r="G671" t="s">
        <v>47</v>
      </c>
      <c r="H671" t="s">
        <v>48</v>
      </c>
      <c r="I671" t="s">
        <v>55</v>
      </c>
      <c r="J671" t="s">
        <v>43</v>
      </c>
      <c r="K671" t="s">
        <v>44</v>
      </c>
      <c r="L671" t="s">
        <v>28</v>
      </c>
      <c r="M671" s="4">
        <v>6</v>
      </c>
      <c r="N671" s="4">
        <v>7</v>
      </c>
      <c r="O671" t="s">
        <v>29</v>
      </c>
      <c r="P671" t="s">
        <v>36</v>
      </c>
      <c r="Q671" s="4">
        <v>386588</v>
      </c>
      <c r="R671" s="4">
        <v>271106</v>
      </c>
      <c r="S671" s="4">
        <f>Table1[[#This Row],[Service_Revenue]]-Table1[[#This Row],[Service_Cost]]</f>
        <v>115482</v>
      </c>
      <c r="T671" s="4">
        <v>3</v>
      </c>
      <c r="U671" s="4">
        <f>IF(AND(Table1[[#This Row],[Rework_Flag]]="Yes",Table1[[#This Row],[Warranty_Claim]]="No"),Table1[[#This Row],[Service_Revenue]],0)</f>
        <v>386588</v>
      </c>
      <c r="V671" s="4">
        <f>IF(Table1[[#This Row],[Warranty_Claim]]="Yes",1,0)</f>
        <v>0</v>
      </c>
      <c r="W671" s="4">
        <f>IF(Table1[[#This Row],[Rework_Flag]]="No",1,0)</f>
        <v>0</v>
      </c>
      <c r="X671" s="4">
        <f>IF(Table1[[#This Row],[Rework_Flag]]="Yes",1,0)</f>
        <v>1</v>
      </c>
      <c r="Y671" s="4">
        <v>1</v>
      </c>
      <c r="Z671" s="4" t="str">
        <f>IF(Table1[[#This Row],[TAT_Days]]&gt;Table1[[#This Row],[SLA_TAT]],"Yes","No")</f>
        <v>No</v>
      </c>
      <c r="AA671" s="4" t="str" cm="1">
        <f t="array" ref="AA671">_xlfn.IFS(Table1[[#This Row],[Customer_Satisfaction]]&lt;=2,"Poor",Table1[[#This Row],[Customer_Satisfaction]]=3,"Neutral",Table1[[#This Row],[Customer_Satisfaction]]=4,"Good",Table1[[#This Row],[Customer_Satisfaction]]=5,"Good")</f>
        <v>Neutral</v>
      </c>
    </row>
    <row r="672" spans="1:27" x14ac:dyDescent="0.35">
      <c r="A672">
        <v>20670</v>
      </c>
      <c r="B672" s="1">
        <v>45439</v>
      </c>
      <c r="C672" t="s">
        <v>37</v>
      </c>
      <c r="D672" t="s">
        <v>70</v>
      </c>
      <c r="E672" t="s">
        <v>91</v>
      </c>
      <c r="F672" t="s">
        <v>40</v>
      </c>
      <c r="G672" t="s">
        <v>54</v>
      </c>
      <c r="H672" t="s">
        <v>42</v>
      </c>
      <c r="I672" t="s">
        <v>55</v>
      </c>
      <c r="J672" t="s">
        <v>67</v>
      </c>
      <c r="K672" t="s">
        <v>27</v>
      </c>
      <c r="L672" t="s">
        <v>49</v>
      </c>
      <c r="M672" s="4">
        <v>24</v>
      </c>
      <c r="N672" s="4">
        <v>7</v>
      </c>
      <c r="O672" t="s">
        <v>29</v>
      </c>
      <c r="P672" t="s">
        <v>36</v>
      </c>
      <c r="Q672" s="4">
        <v>568557</v>
      </c>
      <c r="R672" s="4">
        <v>301735</v>
      </c>
      <c r="S672" s="4">
        <f>Table1[[#This Row],[Service_Revenue]]-Table1[[#This Row],[Service_Cost]]</f>
        <v>266822</v>
      </c>
      <c r="T672" s="4">
        <v>1</v>
      </c>
      <c r="U672" s="4">
        <f>IF(AND(Table1[[#This Row],[Rework_Flag]]="Yes",Table1[[#This Row],[Warranty_Claim]]="No"),Table1[[#This Row],[Service_Revenue]],0)</f>
        <v>568557</v>
      </c>
      <c r="V672" s="4">
        <f>IF(Table1[[#This Row],[Warranty_Claim]]="Yes",1,0)</f>
        <v>0</v>
      </c>
      <c r="W672" s="4">
        <f>IF(Table1[[#This Row],[Rework_Flag]]="No",1,0)</f>
        <v>0</v>
      </c>
      <c r="X672" s="4">
        <f>IF(Table1[[#This Row],[Rework_Flag]]="Yes",1,0)</f>
        <v>1</v>
      </c>
      <c r="Y672" s="4">
        <v>1</v>
      </c>
      <c r="Z672" s="4" t="str">
        <f>IF(Table1[[#This Row],[TAT_Days]]&gt;Table1[[#This Row],[SLA_TAT]],"Yes","No")</f>
        <v>Yes</v>
      </c>
      <c r="AA672" s="4" t="str" cm="1">
        <f t="array" ref="AA672">_xlfn.IFS(Table1[[#This Row],[Customer_Satisfaction]]&lt;=2,"Poor",Table1[[#This Row],[Customer_Satisfaction]]=3,"Neutral",Table1[[#This Row],[Customer_Satisfaction]]=4,"Good",Table1[[#This Row],[Customer_Satisfaction]]=5,"Good")</f>
        <v>Poor</v>
      </c>
    </row>
    <row r="673" spans="1:27" x14ac:dyDescent="0.35">
      <c r="A673">
        <v>20671</v>
      </c>
      <c r="B673" s="1">
        <v>45407</v>
      </c>
      <c r="C673" t="s">
        <v>19</v>
      </c>
      <c r="D673" t="s">
        <v>45</v>
      </c>
      <c r="E673" t="s">
        <v>46</v>
      </c>
      <c r="F673" t="s">
        <v>40</v>
      </c>
      <c r="G673" t="s">
        <v>47</v>
      </c>
      <c r="H673" t="s">
        <v>48</v>
      </c>
      <c r="I673" t="s">
        <v>55</v>
      </c>
      <c r="J673" t="s">
        <v>58</v>
      </c>
      <c r="K673" t="s">
        <v>61</v>
      </c>
      <c r="L673" t="s">
        <v>28</v>
      </c>
      <c r="M673" s="4">
        <v>23</v>
      </c>
      <c r="N673" s="4">
        <v>7</v>
      </c>
      <c r="O673" t="s">
        <v>29</v>
      </c>
      <c r="P673" t="s">
        <v>36</v>
      </c>
      <c r="Q673" s="4">
        <v>399905</v>
      </c>
      <c r="R673" s="4">
        <v>335771</v>
      </c>
      <c r="S673" s="4">
        <f>Table1[[#This Row],[Service_Revenue]]-Table1[[#This Row],[Service_Cost]]</f>
        <v>64134</v>
      </c>
      <c r="T673" s="4">
        <v>1</v>
      </c>
      <c r="U673" s="4">
        <f>IF(AND(Table1[[#This Row],[Rework_Flag]]="Yes",Table1[[#This Row],[Warranty_Claim]]="No"),Table1[[#This Row],[Service_Revenue]],0)</f>
        <v>399905</v>
      </c>
      <c r="V673" s="4">
        <f>IF(Table1[[#This Row],[Warranty_Claim]]="Yes",1,0)</f>
        <v>0</v>
      </c>
      <c r="W673" s="4">
        <f>IF(Table1[[#This Row],[Rework_Flag]]="No",1,0)</f>
        <v>0</v>
      </c>
      <c r="X673" s="4">
        <f>IF(Table1[[#This Row],[Rework_Flag]]="Yes",1,0)</f>
        <v>1</v>
      </c>
      <c r="Y673" s="4">
        <v>1</v>
      </c>
      <c r="Z673" s="4" t="str">
        <f>IF(Table1[[#This Row],[TAT_Days]]&gt;Table1[[#This Row],[SLA_TAT]],"Yes","No")</f>
        <v>Yes</v>
      </c>
      <c r="AA673" s="4" t="str" cm="1">
        <f t="array" ref="AA673">_xlfn.IFS(Table1[[#This Row],[Customer_Satisfaction]]&lt;=2,"Poor",Table1[[#This Row],[Customer_Satisfaction]]=3,"Neutral",Table1[[#This Row],[Customer_Satisfaction]]=4,"Good",Table1[[#This Row],[Customer_Satisfaction]]=5,"Good")</f>
        <v>Poor</v>
      </c>
    </row>
    <row r="674" spans="1:27" x14ac:dyDescent="0.35">
      <c r="A674">
        <v>20672</v>
      </c>
      <c r="B674" s="1">
        <v>45422</v>
      </c>
      <c r="C674" t="s">
        <v>19</v>
      </c>
      <c r="D674" t="s">
        <v>45</v>
      </c>
      <c r="E674" t="s">
        <v>111</v>
      </c>
      <c r="F674" t="s">
        <v>22</v>
      </c>
      <c r="G674" t="s">
        <v>74</v>
      </c>
      <c r="H674" t="s">
        <v>34</v>
      </c>
      <c r="I674" t="s">
        <v>25</v>
      </c>
      <c r="J674" t="s">
        <v>67</v>
      </c>
      <c r="K674" t="s">
        <v>27</v>
      </c>
      <c r="L674" t="s">
        <v>49</v>
      </c>
      <c r="M674" s="4">
        <v>3</v>
      </c>
      <c r="N674" s="4">
        <v>7</v>
      </c>
      <c r="O674" t="s">
        <v>29</v>
      </c>
      <c r="P674" t="s">
        <v>36</v>
      </c>
      <c r="Q674" s="4">
        <v>557192</v>
      </c>
      <c r="R674" s="4">
        <v>413595</v>
      </c>
      <c r="S674" s="4">
        <f>Table1[[#This Row],[Service_Revenue]]-Table1[[#This Row],[Service_Cost]]</f>
        <v>143597</v>
      </c>
      <c r="T674" s="4">
        <v>4</v>
      </c>
      <c r="U674" s="4">
        <f>IF(AND(Table1[[#This Row],[Rework_Flag]]="Yes",Table1[[#This Row],[Warranty_Claim]]="No"),Table1[[#This Row],[Service_Revenue]],0)</f>
        <v>557192</v>
      </c>
      <c r="V674" s="4">
        <f>IF(Table1[[#This Row],[Warranty_Claim]]="Yes",1,0)</f>
        <v>0</v>
      </c>
      <c r="W674" s="4">
        <f>IF(Table1[[#This Row],[Rework_Flag]]="No",1,0)</f>
        <v>0</v>
      </c>
      <c r="X674" s="4">
        <f>IF(Table1[[#This Row],[Rework_Flag]]="Yes",1,0)</f>
        <v>1</v>
      </c>
      <c r="Y674" s="4">
        <v>1</v>
      </c>
      <c r="Z674" s="4" t="str">
        <f>IF(Table1[[#This Row],[TAT_Days]]&gt;Table1[[#This Row],[SLA_TAT]],"Yes","No")</f>
        <v>No</v>
      </c>
      <c r="AA674" s="4" t="str" cm="1">
        <f t="array" ref="AA674">_xlfn.IFS(Table1[[#This Row],[Customer_Satisfaction]]&lt;=2,"Poor",Table1[[#This Row],[Customer_Satisfaction]]=3,"Neutral",Table1[[#This Row],[Customer_Satisfaction]]=4,"Good",Table1[[#This Row],[Customer_Satisfaction]]=5,"Good")</f>
        <v>Good</v>
      </c>
    </row>
    <row r="675" spans="1:27" x14ac:dyDescent="0.35">
      <c r="A675">
        <v>20673</v>
      </c>
      <c r="B675" s="1">
        <v>45373</v>
      </c>
      <c r="C675" t="s">
        <v>30</v>
      </c>
      <c r="D675" t="s">
        <v>31</v>
      </c>
      <c r="E675" t="s">
        <v>79</v>
      </c>
      <c r="F675" t="s">
        <v>53</v>
      </c>
      <c r="G675" t="s">
        <v>41</v>
      </c>
      <c r="H675" t="s">
        <v>42</v>
      </c>
      <c r="I675" t="s">
        <v>25</v>
      </c>
      <c r="J675" t="s">
        <v>26</v>
      </c>
      <c r="K675" t="s">
        <v>61</v>
      </c>
      <c r="L675" t="s">
        <v>28</v>
      </c>
      <c r="M675" s="4">
        <v>8</v>
      </c>
      <c r="N675" s="4">
        <v>7</v>
      </c>
      <c r="O675" t="s">
        <v>36</v>
      </c>
      <c r="P675" t="s">
        <v>36</v>
      </c>
      <c r="Q675" s="4">
        <v>260483</v>
      </c>
      <c r="R675" s="4">
        <v>181860</v>
      </c>
      <c r="S675" s="4">
        <f>Table1[[#This Row],[Service_Revenue]]-Table1[[#This Row],[Service_Cost]]</f>
        <v>78623</v>
      </c>
      <c r="T675" s="4">
        <v>4</v>
      </c>
      <c r="U675" s="4">
        <f>IF(AND(Table1[[#This Row],[Rework_Flag]]="Yes",Table1[[#This Row],[Warranty_Claim]]="No"),Table1[[#This Row],[Service_Revenue]],0)</f>
        <v>0</v>
      </c>
      <c r="V675" s="4">
        <f>IF(Table1[[#This Row],[Warranty_Claim]]="Yes",1,0)</f>
        <v>0</v>
      </c>
      <c r="W675" s="4">
        <f>IF(Table1[[#This Row],[Rework_Flag]]="No",1,0)</f>
        <v>1</v>
      </c>
      <c r="X675" s="4">
        <f>IF(Table1[[#This Row],[Rework_Flag]]="Yes",1,0)</f>
        <v>0</v>
      </c>
      <c r="Y675" s="4">
        <v>1</v>
      </c>
      <c r="Z675" s="4" t="str">
        <f>IF(Table1[[#This Row],[TAT_Days]]&gt;Table1[[#This Row],[SLA_TAT]],"Yes","No")</f>
        <v>Yes</v>
      </c>
      <c r="AA675" s="4" t="str" cm="1">
        <f t="array" ref="AA675">_xlfn.IFS(Table1[[#This Row],[Customer_Satisfaction]]&lt;=2,"Poor",Table1[[#This Row],[Customer_Satisfaction]]=3,"Neutral",Table1[[#This Row],[Customer_Satisfaction]]=4,"Good",Table1[[#This Row],[Customer_Satisfaction]]=5,"Good")</f>
        <v>Good</v>
      </c>
    </row>
    <row r="676" spans="1:27" x14ac:dyDescent="0.35">
      <c r="A676">
        <v>20674</v>
      </c>
      <c r="B676" s="1">
        <v>45329</v>
      </c>
      <c r="C676" t="s">
        <v>37</v>
      </c>
      <c r="D676" t="s">
        <v>64</v>
      </c>
      <c r="E676" t="s">
        <v>87</v>
      </c>
      <c r="F676" t="s">
        <v>22</v>
      </c>
      <c r="G676" t="s">
        <v>54</v>
      </c>
      <c r="H676" t="s">
        <v>42</v>
      </c>
      <c r="I676" t="s">
        <v>55</v>
      </c>
      <c r="J676" t="s">
        <v>67</v>
      </c>
      <c r="K676" t="s">
        <v>61</v>
      </c>
      <c r="L676" t="s">
        <v>28</v>
      </c>
      <c r="M676" s="4">
        <v>7</v>
      </c>
      <c r="N676" s="4">
        <v>7</v>
      </c>
      <c r="O676" t="s">
        <v>36</v>
      </c>
      <c r="P676" t="s">
        <v>36</v>
      </c>
      <c r="Q676" s="4">
        <v>194061</v>
      </c>
      <c r="R676" s="4">
        <v>131852</v>
      </c>
      <c r="S676" s="4">
        <f>Table1[[#This Row],[Service_Revenue]]-Table1[[#This Row],[Service_Cost]]</f>
        <v>62209</v>
      </c>
      <c r="T676" s="4">
        <v>4</v>
      </c>
      <c r="U676" s="4">
        <f>IF(AND(Table1[[#This Row],[Rework_Flag]]="Yes",Table1[[#This Row],[Warranty_Claim]]="No"),Table1[[#This Row],[Service_Revenue]],0)</f>
        <v>0</v>
      </c>
      <c r="V676" s="4">
        <f>IF(Table1[[#This Row],[Warranty_Claim]]="Yes",1,0)</f>
        <v>0</v>
      </c>
      <c r="W676" s="4">
        <f>IF(Table1[[#This Row],[Rework_Flag]]="No",1,0)</f>
        <v>1</v>
      </c>
      <c r="X676" s="4">
        <f>IF(Table1[[#This Row],[Rework_Flag]]="Yes",1,0)</f>
        <v>0</v>
      </c>
      <c r="Y676" s="4">
        <v>1</v>
      </c>
      <c r="Z676" s="4" t="str">
        <f>IF(Table1[[#This Row],[TAT_Days]]&gt;Table1[[#This Row],[SLA_TAT]],"Yes","No")</f>
        <v>No</v>
      </c>
      <c r="AA676" s="4" t="str" cm="1">
        <f t="array" ref="AA676">_xlfn.IFS(Table1[[#This Row],[Customer_Satisfaction]]&lt;=2,"Poor",Table1[[#This Row],[Customer_Satisfaction]]=3,"Neutral",Table1[[#This Row],[Customer_Satisfaction]]=4,"Good",Table1[[#This Row],[Customer_Satisfaction]]=5,"Good")</f>
        <v>Good</v>
      </c>
    </row>
    <row r="677" spans="1:27" x14ac:dyDescent="0.35">
      <c r="A677">
        <v>20675</v>
      </c>
      <c r="B677" s="1">
        <v>45392</v>
      </c>
      <c r="C677" t="s">
        <v>19</v>
      </c>
      <c r="D677" t="s">
        <v>96</v>
      </c>
      <c r="E677" t="s">
        <v>109</v>
      </c>
      <c r="F677" t="s">
        <v>53</v>
      </c>
      <c r="G677" t="s">
        <v>33</v>
      </c>
      <c r="H677" t="s">
        <v>34</v>
      </c>
      <c r="I677" t="s">
        <v>25</v>
      </c>
      <c r="J677" t="s">
        <v>58</v>
      </c>
      <c r="K677" t="s">
        <v>61</v>
      </c>
      <c r="L677" t="s">
        <v>49</v>
      </c>
      <c r="M677" s="4">
        <v>10</v>
      </c>
      <c r="N677" s="4">
        <v>7</v>
      </c>
      <c r="O677" t="s">
        <v>29</v>
      </c>
      <c r="P677" t="s">
        <v>36</v>
      </c>
      <c r="Q677" s="4">
        <v>349978</v>
      </c>
      <c r="R677" s="4">
        <v>238326</v>
      </c>
      <c r="S677" s="4">
        <f>Table1[[#This Row],[Service_Revenue]]-Table1[[#This Row],[Service_Cost]]</f>
        <v>111652</v>
      </c>
      <c r="T677" s="4">
        <v>2</v>
      </c>
      <c r="U677" s="4">
        <f>IF(AND(Table1[[#This Row],[Rework_Flag]]="Yes",Table1[[#This Row],[Warranty_Claim]]="No"),Table1[[#This Row],[Service_Revenue]],0)</f>
        <v>349978</v>
      </c>
      <c r="V677" s="4">
        <f>IF(Table1[[#This Row],[Warranty_Claim]]="Yes",1,0)</f>
        <v>0</v>
      </c>
      <c r="W677" s="4">
        <f>IF(Table1[[#This Row],[Rework_Flag]]="No",1,0)</f>
        <v>0</v>
      </c>
      <c r="X677" s="4">
        <f>IF(Table1[[#This Row],[Rework_Flag]]="Yes",1,0)</f>
        <v>1</v>
      </c>
      <c r="Y677" s="4">
        <v>1</v>
      </c>
      <c r="Z677" s="4" t="str">
        <f>IF(Table1[[#This Row],[TAT_Days]]&gt;Table1[[#This Row],[SLA_TAT]],"Yes","No")</f>
        <v>Yes</v>
      </c>
      <c r="AA677" s="4" t="str" cm="1">
        <f t="array" ref="AA677">_xlfn.IFS(Table1[[#This Row],[Customer_Satisfaction]]&lt;=2,"Poor",Table1[[#This Row],[Customer_Satisfaction]]=3,"Neutral",Table1[[#This Row],[Customer_Satisfaction]]=4,"Good",Table1[[#This Row],[Customer_Satisfaction]]=5,"Good")</f>
        <v>Poor</v>
      </c>
    </row>
    <row r="678" spans="1:27" x14ac:dyDescent="0.35">
      <c r="A678">
        <v>20676</v>
      </c>
      <c r="B678" s="1">
        <v>45470</v>
      </c>
      <c r="C678" t="s">
        <v>37</v>
      </c>
      <c r="D678" t="s">
        <v>70</v>
      </c>
      <c r="E678" t="s">
        <v>71</v>
      </c>
      <c r="F678" t="s">
        <v>40</v>
      </c>
      <c r="G678" t="s">
        <v>54</v>
      </c>
      <c r="H678" t="s">
        <v>42</v>
      </c>
      <c r="I678" t="s">
        <v>55</v>
      </c>
      <c r="J678" t="s">
        <v>67</v>
      </c>
      <c r="K678" t="s">
        <v>44</v>
      </c>
      <c r="L678" t="s">
        <v>28</v>
      </c>
      <c r="M678" s="4">
        <v>13</v>
      </c>
      <c r="N678" s="4">
        <v>7</v>
      </c>
      <c r="O678" t="s">
        <v>36</v>
      </c>
      <c r="P678" t="s">
        <v>29</v>
      </c>
      <c r="Q678" s="4">
        <v>170496</v>
      </c>
      <c r="R678" s="4">
        <v>120416</v>
      </c>
      <c r="S678" s="4">
        <f>Table1[[#This Row],[Service_Revenue]]-Table1[[#This Row],[Service_Cost]]</f>
        <v>50080</v>
      </c>
      <c r="T678" s="4">
        <v>3</v>
      </c>
      <c r="U678" s="4">
        <f>IF(AND(Table1[[#This Row],[Rework_Flag]]="Yes",Table1[[#This Row],[Warranty_Claim]]="No"),Table1[[#This Row],[Service_Revenue]],0)</f>
        <v>0</v>
      </c>
      <c r="V678" s="4">
        <f>IF(Table1[[#This Row],[Warranty_Claim]]="Yes",1,0)</f>
        <v>1</v>
      </c>
      <c r="W678" s="4">
        <f>IF(Table1[[#This Row],[Rework_Flag]]="No",1,0)</f>
        <v>1</v>
      </c>
      <c r="X678" s="4">
        <f>IF(Table1[[#This Row],[Rework_Flag]]="Yes",1,0)</f>
        <v>0</v>
      </c>
      <c r="Y678" s="4">
        <v>1</v>
      </c>
      <c r="Z678" s="4" t="str">
        <f>IF(Table1[[#This Row],[TAT_Days]]&gt;Table1[[#This Row],[SLA_TAT]],"Yes","No")</f>
        <v>Yes</v>
      </c>
      <c r="AA678" s="4" t="str" cm="1">
        <f t="array" ref="AA678">_xlfn.IFS(Table1[[#This Row],[Customer_Satisfaction]]&lt;=2,"Poor",Table1[[#This Row],[Customer_Satisfaction]]=3,"Neutral",Table1[[#This Row],[Customer_Satisfaction]]=4,"Good",Table1[[#This Row],[Customer_Satisfaction]]=5,"Good")</f>
        <v>Neutral</v>
      </c>
    </row>
    <row r="679" spans="1:27" x14ac:dyDescent="0.35">
      <c r="A679">
        <v>20677</v>
      </c>
      <c r="B679" s="1">
        <v>45420</v>
      </c>
      <c r="C679" t="s">
        <v>37</v>
      </c>
      <c r="D679" t="s">
        <v>38</v>
      </c>
      <c r="E679" t="s">
        <v>39</v>
      </c>
      <c r="F679" t="s">
        <v>40</v>
      </c>
      <c r="G679" t="s">
        <v>33</v>
      </c>
      <c r="H679" t="s">
        <v>34</v>
      </c>
      <c r="I679" t="s">
        <v>55</v>
      </c>
      <c r="J679" t="s">
        <v>43</v>
      </c>
      <c r="K679" t="s">
        <v>61</v>
      </c>
      <c r="L679" t="s">
        <v>28</v>
      </c>
      <c r="M679" s="4">
        <v>23</v>
      </c>
      <c r="N679" s="4">
        <v>7</v>
      </c>
      <c r="O679" t="s">
        <v>36</v>
      </c>
      <c r="P679" t="s">
        <v>29</v>
      </c>
      <c r="Q679" s="4">
        <v>307223</v>
      </c>
      <c r="R679" s="4">
        <v>260087</v>
      </c>
      <c r="S679" s="4">
        <f>Table1[[#This Row],[Service_Revenue]]-Table1[[#This Row],[Service_Cost]]</f>
        <v>47136</v>
      </c>
      <c r="T679" s="4">
        <v>1</v>
      </c>
      <c r="U679" s="4">
        <f>IF(AND(Table1[[#This Row],[Rework_Flag]]="Yes",Table1[[#This Row],[Warranty_Claim]]="No"),Table1[[#This Row],[Service_Revenue]],0)</f>
        <v>0</v>
      </c>
      <c r="V679" s="4">
        <f>IF(Table1[[#This Row],[Warranty_Claim]]="Yes",1,0)</f>
        <v>1</v>
      </c>
      <c r="W679" s="4">
        <f>IF(Table1[[#This Row],[Rework_Flag]]="No",1,0)</f>
        <v>1</v>
      </c>
      <c r="X679" s="4">
        <f>IF(Table1[[#This Row],[Rework_Flag]]="Yes",1,0)</f>
        <v>0</v>
      </c>
      <c r="Y679" s="4">
        <v>1</v>
      </c>
      <c r="Z679" s="4" t="str">
        <f>IF(Table1[[#This Row],[TAT_Days]]&gt;Table1[[#This Row],[SLA_TAT]],"Yes","No")</f>
        <v>Yes</v>
      </c>
      <c r="AA679" s="4" t="str" cm="1">
        <f t="array" ref="AA679">_xlfn.IFS(Table1[[#This Row],[Customer_Satisfaction]]&lt;=2,"Poor",Table1[[#This Row],[Customer_Satisfaction]]=3,"Neutral",Table1[[#This Row],[Customer_Satisfaction]]=4,"Good",Table1[[#This Row],[Customer_Satisfaction]]=5,"Good")</f>
        <v>Poor</v>
      </c>
    </row>
    <row r="680" spans="1:27" x14ac:dyDescent="0.35">
      <c r="A680">
        <v>20678</v>
      </c>
      <c r="B680" s="1">
        <v>45386</v>
      </c>
      <c r="C680" t="s">
        <v>50</v>
      </c>
      <c r="D680" t="s">
        <v>51</v>
      </c>
      <c r="E680" t="s">
        <v>113</v>
      </c>
      <c r="F680" t="s">
        <v>53</v>
      </c>
      <c r="G680" t="s">
        <v>74</v>
      </c>
      <c r="H680" t="s">
        <v>34</v>
      </c>
      <c r="I680" t="s">
        <v>25</v>
      </c>
      <c r="J680" t="s">
        <v>67</v>
      </c>
      <c r="K680" t="s">
        <v>61</v>
      </c>
      <c r="L680" t="s">
        <v>49</v>
      </c>
      <c r="M680" s="4">
        <v>3</v>
      </c>
      <c r="N680" s="4">
        <v>7</v>
      </c>
      <c r="O680" t="s">
        <v>36</v>
      </c>
      <c r="P680" t="s">
        <v>29</v>
      </c>
      <c r="Q680" s="4">
        <v>506981</v>
      </c>
      <c r="R680" s="4">
        <v>389570</v>
      </c>
      <c r="S680" s="4">
        <f>Table1[[#This Row],[Service_Revenue]]-Table1[[#This Row],[Service_Cost]]</f>
        <v>117411</v>
      </c>
      <c r="T680" s="4">
        <v>5</v>
      </c>
      <c r="U680" s="4">
        <f>IF(AND(Table1[[#This Row],[Rework_Flag]]="Yes",Table1[[#This Row],[Warranty_Claim]]="No"),Table1[[#This Row],[Service_Revenue]],0)</f>
        <v>0</v>
      </c>
      <c r="V680" s="4">
        <f>IF(Table1[[#This Row],[Warranty_Claim]]="Yes",1,0)</f>
        <v>1</v>
      </c>
      <c r="W680" s="4">
        <f>IF(Table1[[#This Row],[Rework_Flag]]="No",1,0)</f>
        <v>1</v>
      </c>
      <c r="X680" s="4">
        <f>IF(Table1[[#This Row],[Rework_Flag]]="Yes",1,0)</f>
        <v>0</v>
      </c>
      <c r="Y680" s="4">
        <v>1</v>
      </c>
      <c r="Z680" s="4" t="str">
        <f>IF(Table1[[#This Row],[TAT_Days]]&gt;Table1[[#This Row],[SLA_TAT]],"Yes","No")</f>
        <v>No</v>
      </c>
      <c r="AA680" s="4" t="str" cm="1">
        <f t="array" ref="AA680">_xlfn.IFS(Table1[[#This Row],[Customer_Satisfaction]]&lt;=2,"Poor",Table1[[#This Row],[Customer_Satisfaction]]=3,"Neutral",Table1[[#This Row],[Customer_Satisfaction]]=4,"Good",Table1[[#This Row],[Customer_Satisfaction]]=5,"Good")</f>
        <v>Good</v>
      </c>
    </row>
    <row r="681" spans="1:27" x14ac:dyDescent="0.35">
      <c r="A681">
        <v>20679</v>
      </c>
      <c r="B681" s="1">
        <v>45419</v>
      </c>
      <c r="C681" t="s">
        <v>30</v>
      </c>
      <c r="D681" t="s">
        <v>83</v>
      </c>
      <c r="E681" t="s">
        <v>90</v>
      </c>
      <c r="F681" t="s">
        <v>40</v>
      </c>
      <c r="G681" t="s">
        <v>41</v>
      </c>
      <c r="H681" t="s">
        <v>42</v>
      </c>
      <c r="I681" t="s">
        <v>25</v>
      </c>
      <c r="J681" t="s">
        <v>26</v>
      </c>
      <c r="K681" t="s">
        <v>61</v>
      </c>
      <c r="L681" t="s">
        <v>49</v>
      </c>
      <c r="M681" s="4">
        <v>14</v>
      </c>
      <c r="N681" s="4">
        <v>7</v>
      </c>
      <c r="O681" t="s">
        <v>36</v>
      </c>
      <c r="P681" t="s">
        <v>36</v>
      </c>
      <c r="Q681" s="4">
        <v>162835</v>
      </c>
      <c r="R681" s="4">
        <v>94184</v>
      </c>
      <c r="S681" s="4">
        <f>Table1[[#This Row],[Service_Revenue]]-Table1[[#This Row],[Service_Cost]]</f>
        <v>68651</v>
      </c>
      <c r="T681" s="4">
        <v>3</v>
      </c>
      <c r="U681" s="4">
        <f>IF(AND(Table1[[#This Row],[Rework_Flag]]="Yes",Table1[[#This Row],[Warranty_Claim]]="No"),Table1[[#This Row],[Service_Revenue]],0)</f>
        <v>0</v>
      </c>
      <c r="V681" s="4">
        <f>IF(Table1[[#This Row],[Warranty_Claim]]="Yes",1,0)</f>
        <v>0</v>
      </c>
      <c r="W681" s="4">
        <f>IF(Table1[[#This Row],[Rework_Flag]]="No",1,0)</f>
        <v>1</v>
      </c>
      <c r="X681" s="4">
        <f>IF(Table1[[#This Row],[Rework_Flag]]="Yes",1,0)</f>
        <v>0</v>
      </c>
      <c r="Y681" s="4">
        <v>1</v>
      </c>
      <c r="Z681" s="4" t="str">
        <f>IF(Table1[[#This Row],[TAT_Days]]&gt;Table1[[#This Row],[SLA_TAT]],"Yes","No")</f>
        <v>Yes</v>
      </c>
      <c r="AA681" s="4" t="str" cm="1">
        <f t="array" ref="AA681">_xlfn.IFS(Table1[[#This Row],[Customer_Satisfaction]]&lt;=2,"Poor",Table1[[#This Row],[Customer_Satisfaction]]=3,"Neutral",Table1[[#This Row],[Customer_Satisfaction]]=4,"Good",Table1[[#This Row],[Customer_Satisfaction]]=5,"Good")</f>
        <v>Neutral</v>
      </c>
    </row>
    <row r="682" spans="1:27" x14ac:dyDescent="0.35">
      <c r="A682">
        <v>20680</v>
      </c>
      <c r="B682" s="1">
        <v>45306</v>
      </c>
      <c r="C682" t="s">
        <v>37</v>
      </c>
      <c r="D682" t="s">
        <v>64</v>
      </c>
      <c r="E682" t="s">
        <v>115</v>
      </c>
      <c r="F682" t="s">
        <v>40</v>
      </c>
      <c r="G682" t="s">
        <v>47</v>
      </c>
      <c r="H682" t="s">
        <v>48</v>
      </c>
      <c r="I682" t="s">
        <v>25</v>
      </c>
      <c r="J682" t="s">
        <v>43</v>
      </c>
      <c r="K682" t="s">
        <v>44</v>
      </c>
      <c r="L682" t="s">
        <v>28</v>
      </c>
      <c r="M682" s="4">
        <v>10</v>
      </c>
      <c r="N682" s="4">
        <v>7</v>
      </c>
      <c r="O682" t="s">
        <v>36</v>
      </c>
      <c r="P682" t="s">
        <v>29</v>
      </c>
      <c r="Q682" s="4">
        <v>454643</v>
      </c>
      <c r="R682" s="4">
        <v>313854</v>
      </c>
      <c r="S682" s="4">
        <f>Table1[[#This Row],[Service_Revenue]]-Table1[[#This Row],[Service_Cost]]</f>
        <v>140789</v>
      </c>
      <c r="T682" s="4">
        <v>3</v>
      </c>
      <c r="U682" s="4">
        <f>IF(AND(Table1[[#This Row],[Rework_Flag]]="Yes",Table1[[#This Row],[Warranty_Claim]]="No"),Table1[[#This Row],[Service_Revenue]],0)</f>
        <v>0</v>
      </c>
      <c r="V682" s="4">
        <f>IF(Table1[[#This Row],[Warranty_Claim]]="Yes",1,0)</f>
        <v>1</v>
      </c>
      <c r="W682" s="4">
        <f>IF(Table1[[#This Row],[Rework_Flag]]="No",1,0)</f>
        <v>1</v>
      </c>
      <c r="X682" s="4">
        <f>IF(Table1[[#This Row],[Rework_Flag]]="Yes",1,0)</f>
        <v>0</v>
      </c>
      <c r="Y682" s="4">
        <v>1</v>
      </c>
      <c r="Z682" s="4" t="str">
        <f>IF(Table1[[#This Row],[TAT_Days]]&gt;Table1[[#This Row],[SLA_TAT]],"Yes","No")</f>
        <v>Yes</v>
      </c>
      <c r="AA682" s="4" t="str" cm="1">
        <f t="array" ref="AA682">_xlfn.IFS(Table1[[#This Row],[Customer_Satisfaction]]&lt;=2,"Poor",Table1[[#This Row],[Customer_Satisfaction]]=3,"Neutral",Table1[[#This Row],[Customer_Satisfaction]]=4,"Good",Table1[[#This Row],[Customer_Satisfaction]]=5,"Good")</f>
        <v>Neutral</v>
      </c>
    </row>
    <row r="683" spans="1:27" x14ac:dyDescent="0.35">
      <c r="A683">
        <v>20681</v>
      </c>
      <c r="B683" s="1">
        <v>45303</v>
      </c>
      <c r="C683" t="s">
        <v>30</v>
      </c>
      <c r="D683" t="s">
        <v>83</v>
      </c>
      <c r="E683" t="s">
        <v>90</v>
      </c>
      <c r="F683" t="s">
        <v>22</v>
      </c>
      <c r="G683" t="s">
        <v>54</v>
      </c>
      <c r="H683" t="s">
        <v>42</v>
      </c>
      <c r="I683" t="s">
        <v>55</v>
      </c>
      <c r="J683" t="s">
        <v>67</v>
      </c>
      <c r="K683" t="s">
        <v>44</v>
      </c>
      <c r="L683" t="s">
        <v>49</v>
      </c>
      <c r="M683" s="4">
        <v>16</v>
      </c>
      <c r="N683" s="4">
        <v>7</v>
      </c>
      <c r="O683" t="s">
        <v>29</v>
      </c>
      <c r="P683" t="s">
        <v>36</v>
      </c>
      <c r="Q683" s="4">
        <v>298850</v>
      </c>
      <c r="R683" s="4">
        <v>158592</v>
      </c>
      <c r="S683" s="4">
        <f>Table1[[#This Row],[Service_Revenue]]-Table1[[#This Row],[Service_Cost]]</f>
        <v>140258</v>
      </c>
      <c r="T683" s="4">
        <v>1</v>
      </c>
      <c r="U683" s="4">
        <f>IF(AND(Table1[[#This Row],[Rework_Flag]]="Yes",Table1[[#This Row],[Warranty_Claim]]="No"),Table1[[#This Row],[Service_Revenue]],0)</f>
        <v>298850</v>
      </c>
      <c r="V683" s="4">
        <f>IF(Table1[[#This Row],[Warranty_Claim]]="Yes",1,0)</f>
        <v>0</v>
      </c>
      <c r="W683" s="4">
        <f>IF(Table1[[#This Row],[Rework_Flag]]="No",1,0)</f>
        <v>0</v>
      </c>
      <c r="X683" s="4">
        <f>IF(Table1[[#This Row],[Rework_Flag]]="Yes",1,0)</f>
        <v>1</v>
      </c>
      <c r="Y683" s="4">
        <v>1</v>
      </c>
      <c r="Z683" s="4" t="str">
        <f>IF(Table1[[#This Row],[TAT_Days]]&gt;Table1[[#This Row],[SLA_TAT]],"Yes","No")</f>
        <v>Yes</v>
      </c>
      <c r="AA683" s="4" t="str" cm="1">
        <f t="array" ref="AA683">_xlfn.IFS(Table1[[#This Row],[Customer_Satisfaction]]&lt;=2,"Poor",Table1[[#This Row],[Customer_Satisfaction]]=3,"Neutral",Table1[[#This Row],[Customer_Satisfaction]]=4,"Good",Table1[[#This Row],[Customer_Satisfaction]]=5,"Good")</f>
        <v>Poor</v>
      </c>
    </row>
    <row r="684" spans="1:27" x14ac:dyDescent="0.35">
      <c r="A684">
        <v>20682</v>
      </c>
      <c r="B684" s="1">
        <v>45303</v>
      </c>
      <c r="C684" t="s">
        <v>19</v>
      </c>
      <c r="D684" t="s">
        <v>45</v>
      </c>
      <c r="E684" t="s">
        <v>76</v>
      </c>
      <c r="F684" t="s">
        <v>22</v>
      </c>
      <c r="G684" t="s">
        <v>54</v>
      </c>
      <c r="H684" t="s">
        <v>42</v>
      </c>
      <c r="I684" t="s">
        <v>55</v>
      </c>
      <c r="J684" t="s">
        <v>67</v>
      </c>
      <c r="K684" t="s">
        <v>44</v>
      </c>
      <c r="L684" t="s">
        <v>49</v>
      </c>
      <c r="M684" s="4">
        <v>8</v>
      </c>
      <c r="N684" s="4">
        <v>7</v>
      </c>
      <c r="O684" t="s">
        <v>36</v>
      </c>
      <c r="P684" t="s">
        <v>29</v>
      </c>
      <c r="Q684" s="4">
        <v>318288</v>
      </c>
      <c r="R684" s="4">
        <v>262266</v>
      </c>
      <c r="S684" s="4">
        <f>Table1[[#This Row],[Service_Revenue]]-Table1[[#This Row],[Service_Cost]]</f>
        <v>56022</v>
      </c>
      <c r="T684" s="4">
        <v>4</v>
      </c>
      <c r="U684" s="4">
        <f>IF(AND(Table1[[#This Row],[Rework_Flag]]="Yes",Table1[[#This Row],[Warranty_Claim]]="No"),Table1[[#This Row],[Service_Revenue]],0)</f>
        <v>0</v>
      </c>
      <c r="V684" s="4">
        <f>IF(Table1[[#This Row],[Warranty_Claim]]="Yes",1,0)</f>
        <v>1</v>
      </c>
      <c r="W684" s="4">
        <f>IF(Table1[[#This Row],[Rework_Flag]]="No",1,0)</f>
        <v>1</v>
      </c>
      <c r="X684" s="4">
        <f>IF(Table1[[#This Row],[Rework_Flag]]="Yes",1,0)</f>
        <v>0</v>
      </c>
      <c r="Y684" s="4">
        <v>1</v>
      </c>
      <c r="Z684" s="4" t="str">
        <f>IF(Table1[[#This Row],[TAT_Days]]&gt;Table1[[#This Row],[SLA_TAT]],"Yes","No")</f>
        <v>Yes</v>
      </c>
      <c r="AA684" s="4" t="str" cm="1">
        <f t="array" ref="AA684">_xlfn.IFS(Table1[[#This Row],[Customer_Satisfaction]]&lt;=2,"Poor",Table1[[#This Row],[Customer_Satisfaction]]=3,"Neutral",Table1[[#This Row],[Customer_Satisfaction]]=4,"Good",Table1[[#This Row],[Customer_Satisfaction]]=5,"Good")</f>
        <v>Good</v>
      </c>
    </row>
    <row r="685" spans="1:27" x14ac:dyDescent="0.35">
      <c r="A685">
        <v>20683</v>
      </c>
      <c r="B685" s="1">
        <v>45470</v>
      </c>
      <c r="C685" t="s">
        <v>30</v>
      </c>
      <c r="D685" t="s">
        <v>31</v>
      </c>
      <c r="E685" t="s">
        <v>32</v>
      </c>
      <c r="F685" t="s">
        <v>22</v>
      </c>
      <c r="G685" t="s">
        <v>54</v>
      </c>
      <c r="H685" t="s">
        <v>42</v>
      </c>
      <c r="I685" t="s">
        <v>25</v>
      </c>
      <c r="J685" t="s">
        <v>67</v>
      </c>
      <c r="K685" t="s">
        <v>61</v>
      </c>
      <c r="L685" t="s">
        <v>49</v>
      </c>
      <c r="M685" s="4">
        <v>20</v>
      </c>
      <c r="N685" s="4">
        <v>7</v>
      </c>
      <c r="O685" t="s">
        <v>29</v>
      </c>
      <c r="P685" t="s">
        <v>36</v>
      </c>
      <c r="Q685" s="4">
        <v>101866</v>
      </c>
      <c r="R685" s="4">
        <v>54810</v>
      </c>
      <c r="S685" s="4">
        <f>Table1[[#This Row],[Service_Revenue]]-Table1[[#This Row],[Service_Cost]]</f>
        <v>47056</v>
      </c>
      <c r="T685" s="4">
        <v>1</v>
      </c>
      <c r="U685" s="4">
        <f>IF(AND(Table1[[#This Row],[Rework_Flag]]="Yes",Table1[[#This Row],[Warranty_Claim]]="No"),Table1[[#This Row],[Service_Revenue]],0)</f>
        <v>101866</v>
      </c>
      <c r="V685" s="4">
        <f>IF(Table1[[#This Row],[Warranty_Claim]]="Yes",1,0)</f>
        <v>0</v>
      </c>
      <c r="W685" s="4">
        <f>IF(Table1[[#This Row],[Rework_Flag]]="No",1,0)</f>
        <v>0</v>
      </c>
      <c r="X685" s="4">
        <f>IF(Table1[[#This Row],[Rework_Flag]]="Yes",1,0)</f>
        <v>1</v>
      </c>
      <c r="Y685" s="4">
        <v>1</v>
      </c>
      <c r="Z685" s="4" t="str">
        <f>IF(Table1[[#This Row],[TAT_Days]]&gt;Table1[[#This Row],[SLA_TAT]],"Yes","No")</f>
        <v>Yes</v>
      </c>
      <c r="AA685" s="4" t="str" cm="1">
        <f t="array" ref="AA685">_xlfn.IFS(Table1[[#This Row],[Customer_Satisfaction]]&lt;=2,"Poor",Table1[[#This Row],[Customer_Satisfaction]]=3,"Neutral",Table1[[#This Row],[Customer_Satisfaction]]=4,"Good",Table1[[#This Row],[Customer_Satisfaction]]=5,"Good")</f>
        <v>Poor</v>
      </c>
    </row>
    <row r="686" spans="1:27" x14ac:dyDescent="0.35">
      <c r="A686">
        <v>20684</v>
      </c>
      <c r="B686" s="1">
        <v>45438</v>
      </c>
      <c r="C686" t="s">
        <v>19</v>
      </c>
      <c r="D686" t="s">
        <v>45</v>
      </c>
      <c r="E686" t="s">
        <v>76</v>
      </c>
      <c r="F686" t="s">
        <v>40</v>
      </c>
      <c r="G686" t="s">
        <v>41</v>
      </c>
      <c r="H686" t="s">
        <v>42</v>
      </c>
      <c r="I686" t="s">
        <v>25</v>
      </c>
      <c r="J686" t="s">
        <v>35</v>
      </c>
      <c r="K686" t="s">
        <v>61</v>
      </c>
      <c r="L686" t="s">
        <v>28</v>
      </c>
      <c r="M686" s="4">
        <v>12</v>
      </c>
      <c r="N686" s="4">
        <v>7</v>
      </c>
      <c r="O686" t="s">
        <v>29</v>
      </c>
      <c r="P686" t="s">
        <v>29</v>
      </c>
      <c r="Q686" s="4">
        <v>304966</v>
      </c>
      <c r="R686" s="4">
        <v>173615</v>
      </c>
      <c r="S686" s="4">
        <f>Table1[[#This Row],[Service_Revenue]]-Table1[[#This Row],[Service_Cost]]</f>
        <v>131351</v>
      </c>
      <c r="T686" s="4">
        <v>2</v>
      </c>
      <c r="U686" s="4">
        <f>IF(AND(Table1[[#This Row],[Rework_Flag]]="Yes",Table1[[#This Row],[Warranty_Claim]]="No"),Table1[[#This Row],[Service_Revenue]],0)</f>
        <v>0</v>
      </c>
      <c r="V686" s="4">
        <f>IF(Table1[[#This Row],[Warranty_Claim]]="Yes",1,0)</f>
        <v>1</v>
      </c>
      <c r="W686" s="4">
        <f>IF(Table1[[#This Row],[Rework_Flag]]="No",1,0)</f>
        <v>0</v>
      </c>
      <c r="X686" s="4">
        <f>IF(Table1[[#This Row],[Rework_Flag]]="Yes",1,0)</f>
        <v>1</v>
      </c>
      <c r="Y686" s="4">
        <v>1</v>
      </c>
      <c r="Z686" s="4" t="str">
        <f>IF(Table1[[#This Row],[TAT_Days]]&gt;Table1[[#This Row],[SLA_TAT]],"Yes","No")</f>
        <v>Yes</v>
      </c>
      <c r="AA686" s="4" t="str" cm="1">
        <f t="array" ref="AA686">_xlfn.IFS(Table1[[#This Row],[Customer_Satisfaction]]&lt;=2,"Poor",Table1[[#This Row],[Customer_Satisfaction]]=3,"Neutral",Table1[[#This Row],[Customer_Satisfaction]]=4,"Good",Table1[[#This Row],[Customer_Satisfaction]]=5,"Good")</f>
        <v>Poor</v>
      </c>
    </row>
    <row r="687" spans="1:27" x14ac:dyDescent="0.35">
      <c r="A687">
        <v>20685</v>
      </c>
      <c r="B687" s="1">
        <v>45298</v>
      </c>
      <c r="C687" t="s">
        <v>19</v>
      </c>
      <c r="D687" t="s">
        <v>45</v>
      </c>
      <c r="E687" t="s">
        <v>46</v>
      </c>
      <c r="F687" t="s">
        <v>22</v>
      </c>
      <c r="G687" t="s">
        <v>74</v>
      </c>
      <c r="H687" t="s">
        <v>34</v>
      </c>
      <c r="I687" t="s">
        <v>55</v>
      </c>
      <c r="J687" t="s">
        <v>35</v>
      </c>
      <c r="K687" t="s">
        <v>61</v>
      </c>
      <c r="L687" t="s">
        <v>49</v>
      </c>
      <c r="M687" s="4">
        <v>4</v>
      </c>
      <c r="N687" s="4">
        <v>7</v>
      </c>
      <c r="O687" t="s">
        <v>36</v>
      </c>
      <c r="P687" t="s">
        <v>36</v>
      </c>
      <c r="Q687" s="4">
        <v>133392</v>
      </c>
      <c r="R687" s="4">
        <v>93367</v>
      </c>
      <c r="S687" s="4">
        <f>Table1[[#This Row],[Service_Revenue]]-Table1[[#This Row],[Service_Cost]]</f>
        <v>40025</v>
      </c>
      <c r="T687" s="4">
        <v>5</v>
      </c>
      <c r="U687" s="4">
        <f>IF(AND(Table1[[#This Row],[Rework_Flag]]="Yes",Table1[[#This Row],[Warranty_Claim]]="No"),Table1[[#This Row],[Service_Revenue]],0)</f>
        <v>0</v>
      </c>
      <c r="V687" s="4">
        <f>IF(Table1[[#This Row],[Warranty_Claim]]="Yes",1,0)</f>
        <v>0</v>
      </c>
      <c r="W687" s="4">
        <f>IF(Table1[[#This Row],[Rework_Flag]]="No",1,0)</f>
        <v>1</v>
      </c>
      <c r="X687" s="4">
        <f>IF(Table1[[#This Row],[Rework_Flag]]="Yes",1,0)</f>
        <v>0</v>
      </c>
      <c r="Y687" s="4">
        <v>1</v>
      </c>
      <c r="Z687" s="4" t="str">
        <f>IF(Table1[[#This Row],[TAT_Days]]&gt;Table1[[#This Row],[SLA_TAT]],"Yes","No")</f>
        <v>No</v>
      </c>
      <c r="AA687" s="4" t="str" cm="1">
        <f t="array" ref="AA687">_xlfn.IFS(Table1[[#This Row],[Customer_Satisfaction]]&lt;=2,"Poor",Table1[[#This Row],[Customer_Satisfaction]]=3,"Neutral",Table1[[#This Row],[Customer_Satisfaction]]=4,"Good",Table1[[#This Row],[Customer_Satisfaction]]=5,"Good")</f>
        <v>Good</v>
      </c>
    </row>
    <row r="688" spans="1:27" x14ac:dyDescent="0.35">
      <c r="A688">
        <v>20686</v>
      </c>
      <c r="B688" s="1">
        <v>45415</v>
      </c>
      <c r="C688" t="s">
        <v>19</v>
      </c>
      <c r="D688" t="s">
        <v>20</v>
      </c>
      <c r="E688" t="s">
        <v>86</v>
      </c>
      <c r="F688" t="s">
        <v>22</v>
      </c>
      <c r="G688" t="s">
        <v>41</v>
      </c>
      <c r="H688" t="s">
        <v>42</v>
      </c>
      <c r="I688" t="s">
        <v>25</v>
      </c>
      <c r="J688" t="s">
        <v>35</v>
      </c>
      <c r="K688" t="s">
        <v>61</v>
      </c>
      <c r="L688" t="s">
        <v>49</v>
      </c>
      <c r="M688" s="4">
        <v>4</v>
      </c>
      <c r="N688" s="4">
        <v>7</v>
      </c>
      <c r="O688" t="s">
        <v>36</v>
      </c>
      <c r="P688" t="s">
        <v>36</v>
      </c>
      <c r="Q688" s="4">
        <v>174482</v>
      </c>
      <c r="R688" s="4">
        <v>138439</v>
      </c>
      <c r="S688" s="4">
        <f>Table1[[#This Row],[Service_Revenue]]-Table1[[#This Row],[Service_Cost]]</f>
        <v>36043</v>
      </c>
      <c r="T688" s="4">
        <v>5</v>
      </c>
      <c r="U688" s="4">
        <f>IF(AND(Table1[[#This Row],[Rework_Flag]]="Yes",Table1[[#This Row],[Warranty_Claim]]="No"),Table1[[#This Row],[Service_Revenue]],0)</f>
        <v>0</v>
      </c>
      <c r="V688" s="4">
        <f>IF(Table1[[#This Row],[Warranty_Claim]]="Yes",1,0)</f>
        <v>0</v>
      </c>
      <c r="W688" s="4">
        <f>IF(Table1[[#This Row],[Rework_Flag]]="No",1,0)</f>
        <v>1</v>
      </c>
      <c r="X688" s="4">
        <f>IF(Table1[[#This Row],[Rework_Flag]]="Yes",1,0)</f>
        <v>0</v>
      </c>
      <c r="Y688" s="4">
        <v>1</v>
      </c>
      <c r="Z688" s="4" t="str">
        <f>IF(Table1[[#This Row],[TAT_Days]]&gt;Table1[[#This Row],[SLA_TAT]],"Yes","No")</f>
        <v>No</v>
      </c>
      <c r="AA688" s="4" t="str" cm="1">
        <f t="array" ref="AA688">_xlfn.IFS(Table1[[#This Row],[Customer_Satisfaction]]&lt;=2,"Poor",Table1[[#This Row],[Customer_Satisfaction]]=3,"Neutral",Table1[[#This Row],[Customer_Satisfaction]]=4,"Good",Table1[[#This Row],[Customer_Satisfaction]]=5,"Good")</f>
        <v>Good</v>
      </c>
    </row>
    <row r="689" spans="1:27" x14ac:dyDescent="0.35">
      <c r="A689">
        <v>20687</v>
      </c>
      <c r="B689" s="1">
        <v>45447</v>
      </c>
      <c r="C689" t="s">
        <v>19</v>
      </c>
      <c r="D689" t="s">
        <v>20</v>
      </c>
      <c r="E689" t="s">
        <v>86</v>
      </c>
      <c r="F689" t="s">
        <v>22</v>
      </c>
      <c r="G689" t="s">
        <v>74</v>
      </c>
      <c r="H689" t="s">
        <v>34</v>
      </c>
      <c r="I689" t="s">
        <v>55</v>
      </c>
      <c r="J689" t="s">
        <v>58</v>
      </c>
      <c r="K689" t="s">
        <v>61</v>
      </c>
      <c r="L689" t="s">
        <v>49</v>
      </c>
      <c r="M689" s="4">
        <v>21</v>
      </c>
      <c r="N689" s="4">
        <v>7</v>
      </c>
      <c r="O689" t="s">
        <v>36</v>
      </c>
      <c r="P689" t="s">
        <v>29</v>
      </c>
      <c r="Q689" s="4">
        <v>528618</v>
      </c>
      <c r="R689" s="4">
        <v>366906</v>
      </c>
      <c r="S689" s="4">
        <f>Table1[[#This Row],[Service_Revenue]]-Table1[[#This Row],[Service_Cost]]</f>
        <v>161712</v>
      </c>
      <c r="T689" s="4">
        <v>1</v>
      </c>
      <c r="U689" s="4">
        <f>IF(AND(Table1[[#This Row],[Rework_Flag]]="Yes",Table1[[#This Row],[Warranty_Claim]]="No"),Table1[[#This Row],[Service_Revenue]],0)</f>
        <v>0</v>
      </c>
      <c r="V689" s="4">
        <f>IF(Table1[[#This Row],[Warranty_Claim]]="Yes",1,0)</f>
        <v>1</v>
      </c>
      <c r="W689" s="4">
        <f>IF(Table1[[#This Row],[Rework_Flag]]="No",1,0)</f>
        <v>1</v>
      </c>
      <c r="X689" s="4">
        <f>IF(Table1[[#This Row],[Rework_Flag]]="Yes",1,0)</f>
        <v>0</v>
      </c>
      <c r="Y689" s="4">
        <v>1</v>
      </c>
      <c r="Z689" s="4" t="str">
        <f>IF(Table1[[#This Row],[TAT_Days]]&gt;Table1[[#This Row],[SLA_TAT]],"Yes","No")</f>
        <v>Yes</v>
      </c>
      <c r="AA689" s="4" t="str" cm="1">
        <f t="array" ref="AA689">_xlfn.IFS(Table1[[#This Row],[Customer_Satisfaction]]&lt;=2,"Poor",Table1[[#This Row],[Customer_Satisfaction]]=3,"Neutral",Table1[[#This Row],[Customer_Satisfaction]]=4,"Good",Table1[[#This Row],[Customer_Satisfaction]]=5,"Good")</f>
        <v>Poor</v>
      </c>
    </row>
    <row r="690" spans="1:27" x14ac:dyDescent="0.35">
      <c r="A690">
        <v>20688</v>
      </c>
      <c r="B690" s="1">
        <v>45434</v>
      </c>
      <c r="C690" t="s">
        <v>50</v>
      </c>
      <c r="D690" t="s">
        <v>56</v>
      </c>
      <c r="E690" t="s">
        <v>57</v>
      </c>
      <c r="F690" t="s">
        <v>22</v>
      </c>
      <c r="G690" t="s">
        <v>63</v>
      </c>
      <c r="H690" t="s">
        <v>24</v>
      </c>
      <c r="I690" t="s">
        <v>55</v>
      </c>
      <c r="J690" t="s">
        <v>67</v>
      </c>
      <c r="K690" t="s">
        <v>61</v>
      </c>
      <c r="L690" t="s">
        <v>28</v>
      </c>
      <c r="M690" s="4">
        <v>20</v>
      </c>
      <c r="N690" s="4">
        <v>7</v>
      </c>
      <c r="O690" t="s">
        <v>36</v>
      </c>
      <c r="P690" t="s">
        <v>36</v>
      </c>
      <c r="Q690" s="4">
        <v>457814</v>
      </c>
      <c r="R690" s="4">
        <v>240618</v>
      </c>
      <c r="S690" s="4">
        <f>Table1[[#This Row],[Service_Revenue]]-Table1[[#This Row],[Service_Cost]]</f>
        <v>217196</v>
      </c>
      <c r="T690" s="4">
        <v>1</v>
      </c>
      <c r="U690" s="4">
        <f>IF(AND(Table1[[#This Row],[Rework_Flag]]="Yes",Table1[[#This Row],[Warranty_Claim]]="No"),Table1[[#This Row],[Service_Revenue]],0)</f>
        <v>0</v>
      </c>
      <c r="V690" s="4">
        <f>IF(Table1[[#This Row],[Warranty_Claim]]="Yes",1,0)</f>
        <v>0</v>
      </c>
      <c r="W690" s="4">
        <f>IF(Table1[[#This Row],[Rework_Flag]]="No",1,0)</f>
        <v>1</v>
      </c>
      <c r="X690" s="4">
        <f>IF(Table1[[#This Row],[Rework_Flag]]="Yes",1,0)</f>
        <v>0</v>
      </c>
      <c r="Y690" s="4">
        <v>1</v>
      </c>
      <c r="Z690" s="4" t="str">
        <f>IF(Table1[[#This Row],[TAT_Days]]&gt;Table1[[#This Row],[SLA_TAT]],"Yes","No")</f>
        <v>Yes</v>
      </c>
      <c r="AA690" s="4" t="str" cm="1">
        <f t="array" ref="AA690">_xlfn.IFS(Table1[[#This Row],[Customer_Satisfaction]]&lt;=2,"Poor",Table1[[#This Row],[Customer_Satisfaction]]=3,"Neutral",Table1[[#This Row],[Customer_Satisfaction]]=4,"Good",Table1[[#This Row],[Customer_Satisfaction]]=5,"Good")</f>
        <v>Poor</v>
      </c>
    </row>
    <row r="691" spans="1:27" x14ac:dyDescent="0.35">
      <c r="A691">
        <v>20689</v>
      </c>
      <c r="B691" s="1">
        <v>45435</v>
      </c>
      <c r="C691" t="s">
        <v>19</v>
      </c>
      <c r="D691" t="s">
        <v>96</v>
      </c>
      <c r="E691" t="s">
        <v>105</v>
      </c>
      <c r="F691" t="s">
        <v>53</v>
      </c>
      <c r="G691" t="s">
        <v>63</v>
      </c>
      <c r="H691" t="s">
        <v>24</v>
      </c>
      <c r="I691" t="s">
        <v>25</v>
      </c>
      <c r="J691" t="s">
        <v>58</v>
      </c>
      <c r="K691" t="s">
        <v>61</v>
      </c>
      <c r="L691" t="s">
        <v>49</v>
      </c>
      <c r="M691" s="4">
        <v>7</v>
      </c>
      <c r="N691" s="4">
        <v>7</v>
      </c>
      <c r="O691" t="s">
        <v>29</v>
      </c>
      <c r="P691" t="s">
        <v>36</v>
      </c>
      <c r="Q691" s="4">
        <v>542180</v>
      </c>
      <c r="R691" s="4">
        <v>293665</v>
      </c>
      <c r="S691" s="4">
        <f>Table1[[#This Row],[Service_Revenue]]-Table1[[#This Row],[Service_Cost]]</f>
        <v>248515</v>
      </c>
      <c r="T691" s="4">
        <v>3</v>
      </c>
      <c r="U691" s="4">
        <f>IF(AND(Table1[[#This Row],[Rework_Flag]]="Yes",Table1[[#This Row],[Warranty_Claim]]="No"),Table1[[#This Row],[Service_Revenue]],0)</f>
        <v>542180</v>
      </c>
      <c r="V691" s="4">
        <f>IF(Table1[[#This Row],[Warranty_Claim]]="Yes",1,0)</f>
        <v>0</v>
      </c>
      <c r="W691" s="4">
        <f>IF(Table1[[#This Row],[Rework_Flag]]="No",1,0)</f>
        <v>0</v>
      </c>
      <c r="X691" s="4">
        <f>IF(Table1[[#This Row],[Rework_Flag]]="Yes",1,0)</f>
        <v>1</v>
      </c>
      <c r="Y691" s="4">
        <v>1</v>
      </c>
      <c r="Z691" s="4" t="str">
        <f>IF(Table1[[#This Row],[TAT_Days]]&gt;Table1[[#This Row],[SLA_TAT]],"Yes","No")</f>
        <v>No</v>
      </c>
      <c r="AA691" s="4" t="str" cm="1">
        <f t="array" ref="AA691">_xlfn.IFS(Table1[[#This Row],[Customer_Satisfaction]]&lt;=2,"Poor",Table1[[#This Row],[Customer_Satisfaction]]=3,"Neutral",Table1[[#This Row],[Customer_Satisfaction]]=4,"Good",Table1[[#This Row],[Customer_Satisfaction]]=5,"Good")</f>
        <v>Neutral</v>
      </c>
    </row>
    <row r="692" spans="1:27" x14ac:dyDescent="0.35">
      <c r="A692">
        <v>20690</v>
      </c>
      <c r="B692" s="1">
        <v>45295</v>
      </c>
      <c r="C692" t="s">
        <v>50</v>
      </c>
      <c r="D692" t="s">
        <v>56</v>
      </c>
      <c r="E692" t="s">
        <v>77</v>
      </c>
      <c r="F692" t="s">
        <v>22</v>
      </c>
      <c r="G692" t="s">
        <v>47</v>
      </c>
      <c r="H692" t="s">
        <v>48</v>
      </c>
      <c r="I692" t="s">
        <v>55</v>
      </c>
      <c r="J692" t="s">
        <v>67</v>
      </c>
      <c r="K692" t="s">
        <v>44</v>
      </c>
      <c r="L692" t="s">
        <v>49</v>
      </c>
      <c r="M692" s="4">
        <v>3</v>
      </c>
      <c r="N692" s="4">
        <v>7</v>
      </c>
      <c r="O692" t="s">
        <v>29</v>
      </c>
      <c r="P692" t="s">
        <v>36</v>
      </c>
      <c r="Q692" s="4">
        <v>558650</v>
      </c>
      <c r="R692" s="4">
        <v>455818</v>
      </c>
      <c r="S692" s="4">
        <f>Table1[[#This Row],[Service_Revenue]]-Table1[[#This Row],[Service_Cost]]</f>
        <v>102832</v>
      </c>
      <c r="T692" s="4">
        <v>4</v>
      </c>
      <c r="U692" s="4">
        <f>IF(AND(Table1[[#This Row],[Rework_Flag]]="Yes",Table1[[#This Row],[Warranty_Claim]]="No"),Table1[[#This Row],[Service_Revenue]],0)</f>
        <v>558650</v>
      </c>
      <c r="V692" s="4">
        <f>IF(Table1[[#This Row],[Warranty_Claim]]="Yes",1,0)</f>
        <v>0</v>
      </c>
      <c r="W692" s="4">
        <f>IF(Table1[[#This Row],[Rework_Flag]]="No",1,0)</f>
        <v>0</v>
      </c>
      <c r="X692" s="4">
        <f>IF(Table1[[#This Row],[Rework_Flag]]="Yes",1,0)</f>
        <v>1</v>
      </c>
      <c r="Y692" s="4">
        <v>1</v>
      </c>
      <c r="Z692" s="4" t="str">
        <f>IF(Table1[[#This Row],[TAT_Days]]&gt;Table1[[#This Row],[SLA_TAT]],"Yes","No")</f>
        <v>No</v>
      </c>
      <c r="AA692" s="4" t="str" cm="1">
        <f t="array" ref="AA692">_xlfn.IFS(Table1[[#This Row],[Customer_Satisfaction]]&lt;=2,"Poor",Table1[[#This Row],[Customer_Satisfaction]]=3,"Neutral",Table1[[#This Row],[Customer_Satisfaction]]=4,"Good",Table1[[#This Row],[Customer_Satisfaction]]=5,"Good")</f>
        <v>Good</v>
      </c>
    </row>
    <row r="693" spans="1:27" x14ac:dyDescent="0.35">
      <c r="A693">
        <v>20691</v>
      </c>
      <c r="B693" s="1">
        <v>45354</v>
      </c>
      <c r="C693" t="s">
        <v>50</v>
      </c>
      <c r="D693" t="s">
        <v>51</v>
      </c>
      <c r="E693" t="s">
        <v>113</v>
      </c>
      <c r="F693" t="s">
        <v>53</v>
      </c>
      <c r="G693" t="s">
        <v>33</v>
      </c>
      <c r="H693" t="s">
        <v>34</v>
      </c>
      <c r="I693" t="s">
        <v>25</v>
      </c>
      <c r="J693" t="s">
        <v>26</v>
      </c>
      <c r="K693" t="s">
        <v>44</v>
      </c>
      <c r="L693" t="s">
        <v>28</v>
      </c>
      <c r="M693" s="4">
        <v>3</v>
      </c>
      <c r="N693" s="4">
        <v>7</v>
      </c>
      <c r="O693" t="s">
        <v>29</v>
      </c>
      <c r="P693" t="s">
        <v>36</v>
      </c>
      <c r="Q693" s="4">
        <v>444858</v>
      </c>
      <c r="R693" s="4">
        <v>320166</v>
      </c>
      <c r="S693" s="4">
        <f>Table1[[#This Row],[Service_Revenue]]-Table1[[#This Row],[Service_Cost]]</f>
        <v>124692</v>
      </c>
      <c r="T693" s="4">
        <v>4</v>
      </c>
      <c r="U693" s="4">
        <f>IF(AND(Table1[[#This Row],[Rework_Flag]]="Yes",Table1[[#This Row],[Warranty_Claim]]="No"),Table1[[#This Row],[Service_Revenue]],0)</f>
        <v>444858</v>
      </c>
      <c r="V693" s="4">
        <f>IF(Table1[[#This Row],[Warranty_Claim]]="Yes",1,0)</f>
        <v>0</v>
      </c>
      <c r="W693" s="4">
        <f>IF(Table1[[#This Row],[Rework_Flag]]="No",1,0)</f>
        <v>0</v>
      </c>
      <c r="X693" s="4">
        <f>IF(Table1[[#This Row],[Rework_Flag]]="Yes",1,0)</f>
        <v>1</v>
      </c>
      <c r="Y693" s="4">
        <v>1</v>
      </c>
      <c r="Z693" s="4" t="str">
        <f>IF(Table1[[#This Row],[TAT_Days]]&gt;Table1[[#This Row],[SLA_TAT]],"Yes","No")</f>
        <v>No</v>
      </c>
      <c r="AA693" s="4" t="str" cm="1">
        <f t="array" ref="AA693">_xlfn.IFS(Table1[[#This Row],[Customer_Satisfaction]]&lt;=2,"Poor",Table1[[#This Row],[Customer_Satisfaction]]=3,"Neutral",Table1[[#This Row],[Customer_Satisfaction]]=4,"Good",Table1[[#This Row],[Customer_Satisfaction]]=5,"Good")</f>
        <v>Good</v>
      </c>
    </row>
    <row r="694" spans="1:27" x14ac:dyDescent="0.35">
      <c r="A694">
        <v>20692</v>
      </c>
      <c r="B694" s="1">
        <v>45433</v>
      </c>
      <c r="C694" t="s">
        <v>50</v>
      </c>
      <c r="D694" t="s">
        <v>80</v>
      </c>
      <c r="E694" t="s">
        <v>118</v>
      </c>
      <c r="F694" t="s">
        <v>53</v>
      </c>
      <c r="G694" t="s">
        <v>74</v>
      </c>
      <c r="H694" t="s">
        <v>34</v>
      </c>
      <c r="I694" t="s">
        <v>25</v>
      </c>
      <c r="J694" t="s">
        <v>35</v>
      </c>
      <c r="K694" t="s">
        <v>27</v>
      </c>
      <c r="L694" t="s">
        <v>49</v>
      </c>
      <c r="M694" s="4">
        <v>16</v>
      </c>
      <c r="N694" s="4">
        <v>7</v>
      </c>
      <c r="O694" t="s">
        <v>29</v>
      </c>
      <c r="P694" t="s">
        <v>36</v>
      </c>
      <c r="Q694" s="4">
        <v>565283</v>
      </c>
      <c r="R694" s="4">
        <v>424918</v>
      </c>
      <c r="S694" s="4">
        <f>Table1[[#This Row],[Service_Revenue]]-Table1[[#This Row],[Service_Cost]]</f>
        <v>140365</v>
      </c>
      <c r="T694" s="4">
        <v>1</v>
      </c>
      <c r="U694" s="4">
        <f>IF(AND(Table1[[#This Row],[Rework_Flag]]="Yes",Table1[[#This Row],[Warranty_Claim]]="No"),Table1[[#This Row],[Service_Revenue]],0)</f>
        <v>565283</v>
      </c>
      <c r="V694" s="4">
        <f>IF(Table1[[#This Row],[Warranty_Claim]]="Yes",1,0)</f>
        <v>0</v>
      </c>
      <c r="W694" s="4">
        <f>IF(Table1[[#This Row],[Rework_Flag]]="No",1,0)</f>
        <v>0</v>
      </c>
      <c r="X694" s="4">
        <f>IF(Table1[[#This Row],[Rework_Flag]]="Yes",1,0)</f>
        <v>1</v>
      </c>
      <c r="Y694" s="4">
        <v>1</v>
      </c>
      <c r="Z694" s="4" t="str">
        <f>IF(Table1[[#This Row],[TAT_Days]]&gt;Table1[[#This Row],[SLA_TAT]],"Yes","No")</f>
        <v>Yes</v>
      </c>
      <c r="AA694" s="4" t="str" cm="1">
        <f t="array" ref="AA694">_xlfn.IFS(Table1[[#This Row],[Customer_Satisfaction]]&lt;=2,"Poor",Table1[[#This Row],[Customer_Satisfaction]]=3,"Neutral",Table1[[#This Row],[Customer_Satisfaction]]=4,"Good",Table1[[#This Row],[Customer_Satisfaction]]=5,"Good")</f>
        <v>Poor</v>
      </c>
    </row>
    <row r="695" spans="1:27" x14ac:dyDescent="0.35">
      <c r="A695">
        <v>20693</v>
      </c>
      <c r="B695" s="1">
        <v>45424</v>
      </c>
      <c r="C695" t="s">
        <v>19</v>
      </c>
      <c r="D695" t="s">
        <v>20</v>
      </c>
      <c r="E695" t="s">
        <v>110</v>
      </c>
      <c r="F695" t="s">
        <v>53</v>
      </c>
      <c r="G695" t="s">
        <v>47</v>
      </c>
      <c r="H695" t="s">
        <v>48</v>
      </c>
      <c r="I695" t="s">
        <v>25</v>
      </c>
      <c r="J695" t="s">
        <v>58</v>
      </c>
      <c r="K695" t="s">
        <v>27</v>
      </c>
      <c r="L695" t="s">
        <v>49</v>
      </c>
      <c r="M695" s="4">
        <v>11</v>
      </c>
      <c r="N695" s="4">
        <v>7</v>
      </c>
      <c r="O695" t="s">
        <v>29</v>
      </c>
      <c r="P695" t="s">
        <v>29</v>
      </c>
      <c r="Q695" s="4">
        <v>182121</v>
      </c>
      <c r="R695" s="4">
        <v>147137</v>
      </c>
      <c r="S695" s="4">
        <f>Table1[[#This Row],[Service_Revenue]]-Table1[[#This Row],[Service_Cost]]</f>
        <v>34984</v>
      </c>
      <c r="T695" s="4">
        <v>2</v>
      </c>
      <c r="U695" s="4">
        <f>IF(AND(Table1[[#This Row],[Rework_Flag]]="Yes",Table1[[#This Row],[Warranty_Claim]]="No"),Table1[[#This Row],[Service_Revenue]],0)</f>
        <v>0</v>
      </c>
      <c r="V695" s="4">
        <f>IF(Table1[[#This Row],[Warranty_Claim]]="Yes",1,0)</f>
        <v>1</v>
      </c>
      <c r="W695" s="4">
        <f>IF(Table1[[#This Row],[Rework_Flag]]="No",1,0)</f>
        <v>0</v>
      </c>
      <c r="X695" s="4">
        <f>IF(Table1[[#This Row],[Rework_Flag]]="Yes",1,0)</f>
        <v>1</v>
      </c>
      <c r="Y695" s="4">
        <v>1</v>
      </c>
      <c r="Z695" s="4" t="str">
        <f>IF(Table1[[#This Row],[TAT_Days]]&gt;Table1[[#This Row],[SLA_TAT]],"Yes","No")</f>
        <v>Yes</v>
      </c>
      <c r="AA695" s="4" t="str" cm="1">
        <f t="array" ref="AA695">_xlfn.IFS(Table1[[#This Row],[Customer_Satisfaction]]&lt;=2,"Poor",Table1[[#This Row],[Customer_Satisfaction]]=3,"Neutral",Table1[[#This Row],[Customer_Satisfaction]]=4,"Good",Table1[[#This Row],[Customer_Satisfaction]]=5,"Good")</f>
        <v>Poor</v>
      </c>
    </row>
    <row r="696" spans="1:27" x14ac:dyDescent="0.35">
      <c r="A696">
        <v>20694</v>
      </c>
      <c r="B696" s="1">
        <v>45402</v>
      </c>
      <c r="C696" t="s">
        <v>19</v>
      </c>
      <c r="D696" t="s">
        <v>20</v>
      </c>
      <c r="E696" t="s">
        <v>110</v>
      </c>
      <c r="F696" t="s">
        <v>22</v>
      </c>
      <c r="G696" t="s">
        <v>74</v>
      </c>
      <c r="H696" t="s">
        <v>34</v>
      </c>
      <c r="I696" t="s">
        <v>25</v>
      </c>
      <c r="J696" t="s">
        <v>43</v>
      </c>
      <c r="K696" t="s">
        <v>61</v>
      </c>
      <c r="L696" t="s">
        <v>49</v>
      </c>
      <c r="M696" s="4">
        <v>12</v>
      </c>
      <c r="N696" s="4">
        <v>7</v>
      </c>
      <c r="O696" t="s">
        <v>29</v>
      </c>
      <c r="P696" t="s">
        <v>36</v>
      </c>
      <c r="Q696" s="4">
        <v>344648</v>
      </c>
      <c r="R696" s="4">
        <v>269830</v>
      </c>
      <c r="S696" s="4">
        <f>Table1[[#This Row],[Service_Revenue]]-Table1[[#This Row],[Service_Cost]]</f>
        <v>74818</v>
      </c>
      <c r="T696" s="4">
        <v>2</v>
      </c>
      <c r="U696" s="4">
        <f>IF(AND(Table1[[#This Row],[Rework_Flag]]="Yes",Table1[[#This Row],[Warranty_Claim]]="No"),Table1[[#This Row],[Service_Revenue]],0)</f>
        <v>344648</v>
      </c>
      <c r="V696" s="4">
        <f>IF(Table1[[#This Row],[Warranty_Claim]]="Yes",1,0)</f>
        <v>0</v>
      </c>
      <c r="W696" s="4">
        <f>IF(Table1[[#This Row],[Rework_Flag]]="No",1,0)</f>
        <v>0</v>
      </c>
      <c r="X696" s="4">
        <f>IF(Table1[[#This Row],[Rework_Flag]]="Yes",1,0)</f>
        <v>1</v>
      </c>
      <c r="Y696" s="4">
        <v>1</v>
      </c>
      <c r="Z696" s="4" t="str">
        <f>IF(Table1[[#This Row],[TAT_Days]]&gt;Table1[[#This Row],[SLA_TAT]],"Yes","No")</f>
        <v>Yes</v>
      </c>
      <c r="AA696" s="4" t="str" cm="1">
        <f t="array" ref="AA696">_xlfn.IFS(Table1[[#This Row],[Customer_Satisfaction]]&lt;=2,"Poor",Table1[[#This Row],[Customer_Satisfaction]]=3,"Neutral",Table1[[#This Row],[Customer_Satisfaction]]=4,"Good",Table1[[#This Row],[Customer_Satisfaction]]=5,"Good")</f>
        <v>Poor</v>
      </c>
    </row>
    <row r="697" spans="1:27" x14ac:dyDescent="0.35">
      <c r="A697">
        <v>20695</v>
      </c>
      <c r="B697" s="1">
        <v>45327</v>
      </c>
      <c r="C697" t="s">
        <v>30</v>
      </c>
      <c r="D697" t="s">
        <v>59</v>
      </c>
      <c r="E697" t="s">
        <v>60</v>
      </c>
      <c r="F697" t="s">
        <v>40</v>
      </c>
      <c r="G697" t="s">
        <v>41</v>
      </c>
      <c r="H697" t="s">
        <v>42</v>
      </c>
      <c r="I697" t="s">
        <v>25</v>
      </c>
      <c r="J697" t="s">
        <v>67</v>
      </c>
      <c r="K697" t="s">
        <v>44</v>
      </c>
      <c r="L697" t="s">
        <v>49</v>
      </c>
      <c r="M697" s="4">
        <v>21</v>
      </c>
      <c r="N697" s="4">
        <v>7</v>
      </c>
      <c r="O697" t="s">
        <v>29</v>
      </c>
      <c r="P697" t="s">
        <v>36</v>
      </c>
      <c r="Q697" s="4">
        <v>142364</v>
      </c>
      <c r="R697" s="4">
        <v>87476</v>
      </c>
      <c r="S697" s="4">
        <f>Table1[[#This Row],[Service_Revenue]]-Table1[[#This Row],[Service_Cost]]</f>
        <v>54888</v>
      </c>
      <c r="T697" s="4">
        <v>1</v>
      </c>
      <c r="U697" s="4">
        <f>IF(AND(Table1[[#This Row],[Rework_Flag]]="Yes",Table1[[#This Row],[Warranty_Claim]]="No"),Table1[[#This Row],[Service_Revenue]],0)</f>
        <v>142364</v>
      </c>
      <c r="V697" s="4">
        <f>IF(Table1[[#This Row],[Warranty_Claim]]="Yes",1,0)</f>
        <v>0</v>
      </c>
      <c r="W697" s="4">
        <f>IF(Table1[[#This Row],[Rework_Flag]]="No",1,0)</f>
        <v>0</v>
      </c>
      <c r="X697" s="4">
        <f>IF(Table1[[#This Row],[Rework_Flag]]="Yes",1,0)</f>
        <v>1</v>
      </c>
      <c r="Y697" s="4">
        <v>1</v>
      </c>
      <c r="Z697" s="4" t="str">
        <f>IF(Table1[[#This Row],[TAT_Days]]&gt;Table1[[#This Row],[SLA_TAT]],"Yes","No")</f>
        <v>Yes</v>
      </c>
      <c r="AA697" s="4" t="str" cm="1">
        <f t="array" ref="AA697">_xlfn.IFS(Table1[[#This Row],[Customer_Satisfaction]]&lt;=2,"Poor",Table1[[#This Row],[Customer_Satisfaction]]=3,"Neutral",Table1[[#This Row],[Customer_Satisfaction]]=4,"Good",Table1[[#This Row],[Customer_Satisfaction]]=5,"Good")</f>
        <v>Poor</v>
      </c>
    </row>
    <row r="698" spans="1:27" x14ac:dyDescent="0.35">
      <c r="A698">
        <v>20696</v>
      </c>
      <c r="B698" s="1">
        <v>45330</v>
      </c>
      <c r="C698" t="s">
        <v>50</v>
      </c>
      <c r="D698" t="s">
        <v>56</v>
      </c>
      <c r="E698" t="s">
        <v>88</v>
      </c>
      <c r="F698" t="s">
        <v>22</v>
      </c>
      <c r="G698" t="s">
        <v>23</v>
      </c>
      <c r="H698" t="s">
        <v>24</v>
      </c>
      <c r="I698" t="s">
        <v>25</v>
      </c>
      <c r="J698" t="s">
        <v>58</v>
      </c>
      <c r="K698" t="s">
        <v>44</v>
      </c>
      <c r="L698" t="s">
        <v>49</v>
      </c>
      <c r="M698" s="4">
        <v>7</v>
      </c>
      <c r="N698" s="4">
        <v>7</v>
      </c>
      <c r="O698" t="s">
        <v>29</v>
      </c>
      <c r="P698" t="s">
        <v>36</v>
      </c>
      <c r="Q698" s="4">
        <v>544324</v>
      </c>
      <c r="R698" s="4">
        <v>313312</v>
      </c>
      <c r="S698" s="4">
        <f>Table1[[#This Row],[Service_Revenue]]-Table1[[#This Row],[Service_Cost]]</f>
        <v>231012</v>
      </c>
      <c r="T698" s="4">
        <v>3</v>
      </c>
      <c r="U698" s="4">
        <f>IF(AND(Table1[[#This Row],[Rework_Flag]]="Yes",Table1[[#This Row],[Warranty_Claim]]="No"),Table1[[#This Row],[Service_Revenue]],0)</f>
        <v>544324</v>
      </c>
      <c r="V698" s="4">
        <f>IF(Table1[[#This Row],[Warranty_Claim]]="Yes",1,0)</f>
        <v>0</v>
      </c>
      <c r="W698" s="4">
        <f>IF(Table1[[#This Row],[Rework_Flag]]="No",1,0)</f>
        <v>0</v>
      </c>
      <c r="X698" s="4">
        <f>IF(Table1[[#This Row],[Rework_Flag]]="Yes",1,0)</f>
        <v>1</v>
      </c>
      <c r="Y698" s="4">
        <v>1</v>
      </c>
      <c r="Z698" s="4" t="str">
        <f>IF(Table1[[#This Row],[TAT_Days]]&gt;Table1[[#This Row],[SLA_TAT]],"Yes","No")</f>
        <v>No</v>
      </c>
      <c r="AA698" s="4" t="str" cm="1">
        <f t="array" ref="AA698">_xlfn.IFS(Table1[[#This Row],[Customer_Satisfaction]]&lt;=2,"Poor",Table1[[#This Row],[Customer_Satisfaction]]=3,"Neutral",Table1[[#This Row],[Customer_Satisfaction]]=4,"Good",Table1[[#This Row],[Customer_Satisfaction]]=5,"Good")</f>
        <v>Neutral</v>
      </c>
    </row>
    <row r="699" spans="1:27" x14ac:dyDescent="0.35">
      <c r="A699">
        <v>20697</v>
      </c>
      <c r="B699" s="1">
        <v>45466</v>
      </c>
      <c r="C699" t="s">
        <v>50</v>
      </c>
      <c r="D699" t="s">
        <v>80</v>
      </c>
      <c r="E699" t="s">
        <v>81</v>
      </c>
      <c r="F699" t="s">
        <v>53</v>
      </c>
      <c r="G699" t="s">
        <v>23</v>
      </c>
      <c r="H699" t="s">
        <v>24</v>
      </c>
      <c r="I699" t="s">
        <v>55</v>
      </c>
      <c r="J699" t="s">
        <v>35</v>
      </c>
      <c r="K699" t="s">
        <v>44</v>
      </c>
      <c r="L699" t="s">
        <v>28</v>
      </c>
      <c r="M699" s="4">
        <v>24</v>
      </c>
      <c r="N699" s="4">
        <v>7</v>
      </c>
      <c r="O699" t="s">
        <v>29</v>
      </c>
      <c r="P699" t="s">
        <v>36</v>
      </c>
      <c r="Q699" s="4">
        <v>363715</v>
      </c>
      <c r="R699" s="4">
        <v>260025</v>
      </c>
      <c r="S699" s="4">
        <f>Table1[[#This Row],[Service_Revenue]]-Table1[[#This Row],[Service_Cost]]</f>
        <v>103690</v>
      </c>
      <c r="T699" s="4">
        <v>1</v>
      </c>
      <c r="U699" s="4">
        <f>IF(AND(Table1[[#This Row],[Rework_Flag]]="Yes",Table1[[#This Row],[Warranty_Claim]]="No"),Table1[[#This Row],[Service_Revenue]],0)</f>
        <v>363715</v>
      </c>
      <c r="V699" s="4">
        <f>IF(Table1[[#This Row],[Warranty_Claim]]="Yes",1,0)</f>
        <v>0</v>
      </c>
      <c r="W699" s="4">
        <f>IF(Table1[[#This Row],[Rework_Flag]]="No",1,0)</f>
        <v>0</v>
      </c>
      <c r="X699" s="4">
        <f>IF(Table1[[#This Row],[Rework_Flag]]="Yes",1,0)</f>
        <v>1</v>
      </c>
      <c r="Y699" s="4">
        <v>1</v>
      </c>
      <c r="Z699" s="4" t="str">
        <f>IF(Table1[[#This Row],[TAT_Days]]&gt;Table1[[#This Row],[SLA_TAT]],"Yes","No")</f>
        <v>Yes</v>
      </c>
      <c r="AA699" s="4" t="str" cm="1">
        <f t="array" ref="AA699">_xlfn.IFS(Table1[[#This Row],[Customer_Satisfaction]]&lt;=2,"Poor",Table1[[#This Row],[Customer_Satisfaction]]=3,"Neutral",Table1[[#This Row],[Customer_Satisfaction]]=4,"Good",Table1[[#This Row],[Customer_Satisfaction]]=5,"Good")</f>
        <v>Poor</v>
      </c>
    </row>
    <row r="700" spans="1:27" x14ac:dyDescent="0.35">
      <c r="A700">
        <v>20698</v>
      </c>
      <c r="B700" s="1">
        <v>45471</v>
      </c>
      <c r="C700" t="s">
        <v>19</v>
      </c>
      <c r="D700" t="s">
        <v>45</v>
      </c>
      <c r="E700" t="s">
        <v>99</v>
      </c>
      <c r="F700" t="s">
        <v>22</v>
      </c>
      <c r="G700" t="s">
        <v>41</v>
      </c>
      <c r="H700" t="s">
        <v>42</v>
      </c>
      <c r="I700" t="s">
        <v>55</v>
      </c>
      <c r="J700" t="s">
        <v>26</v>
      </c>
      <c r="K700" t="s">
        <v>27</v>
      </c>
      <c r="L700" t="s">
        <v>49</v>
      </c>
      <c r="M700" s="4">
        <v>21</v>
      </c>
      <c r="N700" s="4">
        <v>7</v>
      </c>
      <c r="O700" t="s">
        <v>29</v>
      </c>
      <c r="P700" t="s">
        <v>29</v>
      </c>
      <c r="Q700" s="4">
        <v>565972</v>
      </c>
      <c r="R700" s="4">
        <v>333591</v>
      </c>
      <c r="S700" s="4">
        <f>Table1[[#This Row],[Service_Revenue]]-Table1[[#This Row],[Service_Cost]]</f>
        <v>232381</v>
      </c>
      <c r="T700" s="4">
        <v>1</v>
      </c>
      <c r="U700" s="4">
        <f>IF(AND(Table1[[#This Row],[Rework_Flag]]="Yes",Table1[[#This Row],[Warranty_Claim]]="No"),Table1[[#This Row],[Service_Revenue]],0)</f>
        <v>0</v>
      </c>
      <c r="V700" s="4">
        <f>IF(Table1[[#This Row],[Warranty_Claim]]="Yes",1,0)</f>
        <v>1</v>
      </c>
      <c r="W700" s="4">
        <f>IF(Table1[[#This Row],[Rework_Flag]]="No",1,0)</f>
        <v>0</v>
      </c>
      <c r="X700" s="4">
        <f>IF(Table1[[#This Row],[Rework_Flag]]="Yes",1,0)</f>
        <v>1</v>
      </c>
      <c r="Y700" s="4">
        <v>1</v>
      </c>
      <c r="Z700" s="4" t="str">
        <f>IF(Table1[[#This Row],[TAT_Days]]&gt;Table1[[#This Row],[SLA_TAT]],"Yes","No")</f>
        <v>Yes</v>
      </c>
      <c r="AA700" s="4" t="str" cm="1">
        <f t="array" ref="AA700">_xlfn.IFS(Table1[[#This Row],[Customer_Satisfaction]]&lt;=2,"Poor",Table1[[#This Row],[Customer_Satisfaction]]=3,"Neutral",Table1[[#This Row],[Customer_Satisfaction]]=4,"Good",Table1[[#This Row],[Customer_Satisfaction]]=5,"Good")</f>
        <v>Poor</v>
      </c>
    </row>
    <row r="701" spans="1:27" x14ac:dyDescent="0.35">
      <c r="A701">
        <v>20699</v>
      </c>
      <c r="B701" s="1">
        <v>45319</v>
      </c>
      <c r="C701" t="s">
        <v>37</v>
      </c>
      <c r="D701" t="s">
        <v>64</v>
      </c>
      <c r="E701" t="s">
        <v>115</v>
      </c>
      <c r="F701" t="s">
        <v>40</v>
      </c>
      <c r="G701" t="s">
        <v>54</v>
      </c>
      <c r="H701" t="s">
        <v>42</v>
      </c>
      <c r="I701" t="s">
        <v>55</v>
      </c>
      <c r="J701" t="s">
        <v>43</v>
      </c>
      <c r="K701" t="s">
        <v>61</v>
      </c>
      <c r="L701" t="s">
        <v>49</v>
      </c>
      <c r="M701" s="4">
        <v>13</v>
      </c>
      <c r="N701" s="4">
        <v>7</v>
      </c>
      <c r="O701" t="s">
        <v>36</v>
      </c>
      <c r="P701" t="s">
        <v>29</v>
      </c>
      <c r="Q701" s="4">
        <v>491734</v>
      </c>
      <c r="R701" s="4">
        <v>277836</v>
      </c>
      <c r="S701" s="4">
        <f>Table1[[#This Row],[Service_Revenue]]-Table1[[#This Row],[Service_Cost]]</f>
        <v>213898</v>
      </c>
      <c r="T701" s="4">
        <v>3</v>
      </c>
      <c r="U701" s="4">
        <f>IF(AND(Table1[[#This Row],[Rework_Flag]]="Yes",Table1[[#This Row],[Warranty_Claim]]="No"),Table1[[#This Row],[Service_Revenue]],0)</f>
        <v>0</v>
      </c>
      <c r="V701" s="4">
        <f>IF(Table1[[#This Row],[Warranty_Claim]]="Yes",1,0)</f>
        <v>1</v>
      </c>
      <c r="W701" s="4">
        <f>IF(Table1[[#This Row],[Rework_Flag]]="No",1,0)</f>
        <v>1</v>
      </c>
      <c r="X701" s="4">
        <f>IF(Table1[[#This Row],[Rework_Flag]]="Yes",1,0)</f>
        <v>0</v>
      </c>
      <c r="Y701" s="4">
        <v>1</v>
      </c>
      <c r="Z701" s="4" t="str">
        <f>IF(Table1[[#This Row],[TAT_Days]]&gt;Table1[[#This Row],[SLA_TAT]],"Yes","No")</f>
        <v>Yes</v>
      </c>
      <c r="AA701" s="4" t="str" cm="1">
        <f t="array" ref="AA701">_xlfn.IFS(Table1[[#This Row],[Customer_Satisfaction]]&lt;=2,"Poor",Table1[[#This Row],[Customer_Satisfaction]]=3,"Neutral",Table1[[#This Row],[Customer_Satisfaction]]=4,"Good",Table1[[#This Row],[Customer_Satisfaction]]=5,"Good")</f>
        <v>Neutral</v>
      </c>
    </row>
    <row r="702" spans="1:27" x14ac:dyDescent="0.35">
      <c r="A702">
        <v>20700</v>
      </c>
      <c r="B702" s="1">
        <v>45294</v>
      </c>
      <c r="C702" t="s">
        <v>37</v>
      </c>
      <c r="D702" t="s">
        <v>38</v>
      </c>
      <c r="E702" t="s">
        <v>39</v>
      </c>
      <c r="F702" t="s">
        <v>22</v>
      </c>
      <c r="G702" t="s">
        <v>33</v>
      </c>
      <c r="H702" t="s">
        <v>34</v>
      </c>
      <c r="I702" t="s">
        <v>55</v>
      </c>
      <c r="J702" t="s">
        <v>43</v>
      </c>
      <c r="K702" t="s">
        <v>44</v>
      </c>
      <c r="L702" t="s">
        <v>49</v>
      </c>
      <c r="M702" s="4">
        <v>5</v>
      </c>
      <c r="N702" s="4">
        <v>7</v>
      </c>
      <c r="O702" t="s">
        <v>36</v>
      </c>
      <c r="P702" t="s">
        <v>36</v>
      </c>
      <c r="Q702" s="4">
        <v>438339</v>
      </c>
      <c r="R702" s="4">
        <v>244966</v>
      </c>
      <c r="S702" s="4">
        <f>Table1[[#This Row],[Service_Revenue]]-Table1[[#This Row],[Service_Cost]]</f>
        <v>193373</v>
      </c>
      <c r="T702" s="4">
        <v>4</v>
      </c>
      <c r="U702" s="4">
        <f>IF(AND(Table1[[#This Row],[Rework_Flag]]="Yes",Table1[[#This Row],[Warranty_Claim]]="No"),Table1[[#This Row],[Service_Revenue]],0)</f>
        <v>0</v>
      </c>
      <c r="V702" s="4">
        <f>IF(Table1[[#This Row],[Warranty_Claim]]="Yes",1,0)</f>
        <v>0</v>
      </c>
      <c r="W702" s="4">
        <f>IF(Table1[[#This Row],[Rework_Flag]]="No",1,0)</f>
        <v>1</v>
      </c>
      <c r="X702" s="4">
        <f>IF(Table1[[#This Row],[Rework_Flag]]="Yes",1,0)</f>
        <v>0</v>
      </c>
      <c r="Y702" s="4">
        <v>1</v>
      </c>
      <c r="Z702" s="4" t="str">
        <f>IF(Table1[[#This Row],[TAT_Days]]&gt;Table1[[#This Row],[SLA_TAT]],"Yes","No")</f>
        <v>No</v>
      </c>
      <c r="AA702" s="4" t="str" cm="1">
        <f t="array" ref="AA702">_xlfn.IFS(Table1[[#This Row],[Customer_Satisfaction]]&lt;=2,"Poor",Table1[[#This Row],[Customer_Satisfaction]]=3,"Neutral",Table1[[#This Row],[Customer_Satisfaction]]=4,"Good",Table1[[#This Row],[Customer_Satisfaction]]=5,"Good")</f>
        <v>Good</v>
      </c>
    </row>
    <row r="703" spans="1:27" x14ac:dyDescent="0.35">
      <c r="A703">
        <v>20701</v>
      </c>
      <c r="B703" s="1">
        <v>45292</v>
      </c>
      <c r="C703" t="s">
        <v>50</v>
      </c>
      <c r="D703" t="s">
        <v>56</v>
      </c>
      <c r="E703" t="s">
        <v>57</v>
      </c>
      <c r="F703" t="s">
        <v>22</v>
      </c>
      <c r="G703" t="s">
        <v>54</v>
      </c>
      <c r="H703" t="s">
        <v>42</v>
      </c>
      <c r="I703" t="s">
        <v>25</v>
      </c>
      <c r="J703" t="s">
        <v>35</v>
      </c>
      <c r="K703" t="s">
        <v>61</v>
      </c>
      <c r="L703" t="s">
        <v>28</v>
      </c>
      <c r="M703" s="4">
        <v>19</v>
      </c>
      <c r="N703" s="4">
        <v>7</v>
      </c>
      <c r="O703" t="s">
        <v>36</v>
      </c>
      <c r="P703" t="s">
        <v>29</v>
      </c>
      <c r="Q703" s="4">
        <v>432126</v>
      </c>
      <c r="R703" s="4">
        <v>250016</v>
      </c>
      <c r="S703" s="4">
        <f>Table1[[#This Row],[Service_Revenue]]-Table1[[#This Row],[Service_Cost]]</f>
        <v>182110</v>
      </c>
      <c r="T703" s="4">
        <v>2</v>
      </c>
      <c r="U703" s="4">
        <f>IF(AND(Table1[[#This Row],[Rework_Flag]]="Yes",Table1[[#This Row],[Warranty_Claim]]="No"),Table1[[#This Row],[Service_Revenue]],0)</f>
        <v>0</v>
      </c>
      <c r="V703" s="4">
        <f>IF(Table1[[#This Row],[Warranty_Claim]]="Yes",1,0)</f>
        <v>1</v>
      </c>
      <c r="W703" s="4">
        <f>IF(Table1[[#This Row],[Rework_Flag]]="No",1,0)</f>
        <v>1</v>
      </c>
      <c r="X703" s="4">
        <f>IF(Table1[[#This Row],[Rework_Flag]]="Yes",1,0)</f>
        <v>0</v>
      </c>
      <c r="Y703" s="4">
        <v>1</v>
      </c>
      <c r="Z703" s="4" t="str">
        <f>IF(Table1[[#This Row],[TAT_Days]]&gt;Table1[[#This Row],[SLA_TAT]],"Yes","No")</f>
        <v>Yes</v>
      </c>
      <c r="AA703" s="4" t="str" cm="1">
        <f t="array" ref="AA703">_xlfn.IFS(Table1[[#This Row],[Customer_Satisfaction]]&lt;=2,"Poor",Table1[[#This Row],[Customer_Satisfaction]]=3,"Neutral",Table1[[#This Row],[Customer_Satisfaction]]=4,"Good",Table1[[#This Row],[Customer_Satisfaction]]=5,"Good")</f>
        <v>Poor</v>
      </c>
    </row>
    <row r="704" spans="1:27" x14ac:dyDescent="0.35">
      <c r="A704">
        <v>20702</v>
      </c>
      <c r="B704" s="1">
        <v>45343</v>
      </c>
      <c r="C704" t="s">
        <v>37</v>
      </c>
      <c r="D704" t="s">
        <v>38</v>
      </c>
      <c r="E704" t="s">
        <v>39</v>
      </c>
      <c r="F704" t="s">
        <v>22</v>
      </c>
      <c r="G704" t="s">
        <v>63</v>
      </c>
      <c r="H704" t="s">
        <v>24</v>
      </c>
      <c r="I704" t="s">
        <v>55</v>
      </c>
      <c r="J704" t="s">
        <v>35</v>
      </c>
      <c r="K704" t="s">
        <v>61</v>
      </c>
      <c r="L704" t="s">
        <v>28</v>
      </c>
      <c r="M704" s="4">
        <v>11</v>
      </c>
      <c r="N704" s="4">
        <v>7</v>
      </c>
      <c r="O704" t="s">
        <v>29</v>
      </c>
      <c r="P704" t="s">
        <v>36</v>
      </c>
      <c r="Q704" s="4">
        <v>576526</v>
      </c>
      <c r="R704" s="4">
        <v>446081</v>
      </c>
      <c r="S704" s="4">
        <f>Table1[[#This Row],[Service_Revenue]]-Table1[[#This Row],[Service_Cost]]</f>
        <v>130445</v>
      </c>
      <c r="T704" s="4">
        <v>2</v>
      </c>
      <c r="U704" s="4">
        <f>IF(AND(Table1[[#This Row],[Rework_Flag]]="Yes",Table1[[#This Row],[Warranty_Claim]]="No"),Table1[[#This Row],[Service_Revenue]],0)</f>
        <v>576526</v>
      </c>
      <c r="V704" s="4">
        <f>IF(Table1[[#This Row],[Warranty_Claim]]="Yes",1,0)</f>
        <v>0</v>
      </c>
      <c r="W704" s="4">
        <f>IF(Table1[[#This Row],[Rework_Flag]]="No",1,0)</f>
        <v>0</v>
      </c>
      <c r="X704" s="4">
        <f>IF(Table1[[#This Row],[Rework_Flag]]="Yes",1,0)</f>
        <v>1</v>
      </c>
      <c r="Y704" s="4">
        <v>1</v>
      </c>
      <c r="Z704" s="4" t="str">
        <f>IF(Table1[[#This Row],[TAT_Days]]&gt;Table1[[#This Row],[SLA_TAT]],"Yes","No")</f>
        <v>Yes</v>
      </c>
      <c r="AA704" s="4" t="str" cm="1">
        <f t="array" ref="AA704">_xlfn.IFS(Table1[[#This Row],[Customer_Satisfaction]]&lt;=2,"Poor",Table1[[#This Row],[Customer_Satisfaction]]=3,"Neutral",Table1[[#This Row],[Customer_Satisfaction]]=4,"Good",Table1[[#This Row],[Customer_Satisfaction]]=5,"Good")</f>
        <v>Poor</v>
      </c>
    </row>
    <row r="705" spans="1:27" x14ac:dyDescent="0.35">
      <c r="A705">
        <v>20703</v>
      </c>
      <c r="B705" s="1">
        <v>45336</v>
      </c>
      <c r="C705" t="s">
        <v>19</v>
      </c>
      <c r="D705" t="s">
        <v>45</v>
      </c>
      <c r="E705" t="s">
        <v>111</v>
      </c>
      <c r="F705" t="s">
        <v>40</v>
      </c>
      <c r="G705" t="s">
        <v>41</v>
      </c>
      <c r="H705" t="s">
        <v>42</v>
      </c>
      <c r="I705" t="s">
        <v>55</v>
      </c>
      <c r="J705" t="s">
        <v>26</v>
      </c>
      <c r="K705" t="s">
        <v>44</v>
      </c>
      <c r="L705" t="s">
        <v>49</v>
      </c>
      <c r="M705" s="4">
        <v>3</v>
      </c>
      <c r="N705" s="4">
        <v>7</v>
      </c>
      <c r="O705" t="s">
        <v>36</v>
      </c>
      <c r="P705" t="s">
        <v>36</v>
      </c>
      <c r="Q705" s="4">
        <v>226934</v>
      </c>
      <c r="R705" s="4">
        <v>131521</v>
      </c>
      <c r="S705" s="4">
        <f>Table1[[#This Row],[Service_Revenue]]-Table1[[#This Row],[Service_Cost]]</f>
        <v>95413</v>
      </c>
      <c r="T705" s="4">
        <v>5</v>
      </c>
      <c r="U705" s="4">
        <f>IF(AND(Table1[[#This Row],[Rework_Flag]]="Yes",Table1[[#This Row],[Warranty_Claim]]="No"),Table1[[#This Row],[Service_Revenue]],0)</f>
        <v>0</v>
      </c>
      <c r="V705" s="4">
        <f>IF(Table1[[#This Row],[Warranty_Claim]]="Yes",1,0)</f>
        <v>0</v>
      </c>
      <c r="W705" s="4">
        <f>IF(Table1[[#This Row],[Rework_Flag]]="No",1,0)</f>
        <v>1</v>
      </c>
      <c r="X705" s="4">
        <f>IF(Table1[[#This Row],[Rework_Flag]]="Yes",1,0)</f>
        <v>0</v>
      </c>
      <c r="Y705" s="4">
        <v>1</v>
      </c>
      <c r="Z705" s="4" t="str">
        <f>IF(Table1[[#This Row],[TAT_Days]]&gt;Table1[[#This Row],[SLA_TAT]],"Yes","No")</f>
        <v>No</v>
      </c>
      <c r="AA705" s="4" t="str" cm="1">
        <f t="array" ref="AA705">_xlfn.IFS(Table1[[#This Row],[Customer_Satisfaction]]&lt;=2,"Poor",Table1[[#This Row],[Customer_Satisfaction]]=3,"Neutral",Table1[[#This Row],[Customer_Satisfaction]]=4,"Good",Table1[[#This Row],[Customer_Satisfaction]]=5,"Good")</f>
        <v>Good</v>
      </c>
    </row>
    <row r="706" spans="1:27" x14ac:dyDescent="0.35">
      <c r="A706">
        <v>20704</v>
      </c>
      <c r="B706" s="1">
        <v>45415</v>
      </c>
      <c r="C706" t="s">
        <v>37</v>
      </c>
      <c r="D706" t="s">
        <v>70</v>
      </c>
      <c r="E706" t="s">
        <v>82</v>
      </c>
      <c r="F706" t="s">
        <v>22</v>
      </c>
      <c r="G706" t="s">
        <v>33</v>
      </c>
      <c r="H706" t="s">
        <v>34</v>
      </c>
      <c r="I706" t="s">
        <v>25</v>
      </c>
      <c r="J706" t="s">
        <v>58</v>
      </c>
      <c r="K706" t="s">
        <v>61</v>
      </c>
      <c r="L706" t="s">
        <v>28</v>
      </c>
      <c r="M706" s="4">
        <v>6</v>
      </c>
      <c r="N706" s="4">
        <v>7</v>
      </c>
      <c r="O706" t="s">
        <v>29</v>
      </c>
      <c r="P706" t="s">
        <v>36</v>
      </c>
      <c r="Q706" s="4">
        <v>589354</v>
      </c>
      <c r="R706" s="4">
        <v>355317</v>
      </c>
      <c r="S706" s="4">
        <f>Table1[[#This Row],[Service_Revenue]]-Table1[[#This Row],[Service_Cost]]</f>
        <v>234037</v>
      </c>
      <c r="T706" s="4">
        <v>3</v>
      </c>
      <c r="U706" s="4">
        <f>IF(AND(Table1[[#This Row],[Rework_Flag]]="Yes",Table1[[#This Row],[Warranty_Claim]]="No"),Table1[[#This Row],[Service_Revenue]],0)</f>
        <v>589354</v>
      </c>
      <c r="V706" s="4">
        <f>IF(Table1[[#This Row],[Warranty_Claim]]="Yes",1,0)</f>
        <v>0</v>
      </c>
      <c r="W706" s="4">
        <f>IF(Table1[[#This Row],[Rework_Flag]]="No",1,0)</f>
        <v>0</v>
      </c>
      <c r="X706" s="4">
        <f>IF(Table1[[#This Row],[Rework_Flag]]="Yes",1,0)</f>
        <v>1</v>
      </c>
      <c r="Y706" s="4">
        <v>1</v>
      </c>
      <c r="Z706" s="4" t="str">
        <f>IF(Table1[[#This Row],[TAT_Days]]&gt;Table1[[#This Row],[SLA_TAT]],"Yes","No")</f>
        <v>No</v>
      </c>
      <c r="AA706" s="4" t="str" cm="1">
        <f t="array" ref="AA706">_xlfn.IFS(Table1[[#This Row],[Customer_Satisfaction]]&lt;=2,"Poor",Table1[[#This Row],[Customer_Satisfaction]]=3,"Neutral",Table1[[#This Row],[Customer_Satisfaction]]=4,"Good",Table1[[#This Row],[Customer_Satisfaction]]=5,"Good")</f>
        <v>Neutral</v>
      </c>
    </row>
    <row r="707" spans="1:27" x14ac:dyDescent="0.35">
      <c r="A707">
        <v>20705</v>
      </c>
      <c r="B707" s="1">
        <v>45451</v>
      </c>
      <c r="C707" t="s">
        <v>30</v>
      </c>
      <c r="D707" t="s">
        <v>31</v>
      </c>
      <c r="E707" t="s">
        <v>106</v>
      </c>
      <c r="F707" t="s">
        <v>40</v>
      </c>
      <c r="G707" t="s">
        <v>41</v>
      </c>
      <c r="H707" t="s">
        <v>42</v>
      </c>
      <c r="I707" t="s">
        <v>55</v>
      </c>
      <c r="J707" t="s">
        <v>58</v>
      </c>
      <c r="K707" t="s">
        <v>61</v>
      </c>
      <c r="L707" t="s">
        <v>49</v>
      </c>
      <c r="M707" s="4">
        <v>4</v>
      </c>
      <c r="N707" s="4">
        <v>7</v>
      </c>
      <c r="O707" t="s">
        <v>29</v>
      </c>
      <c r="P707" t="s">
        <v>29</v>
      </c>
      <c r="Q707" s="4">
        <v>330847</v>
      </c>
      <c r="R707" s="4">
        <v>176942</v>
      </c>
      <c r="S707" s="4">
        <f>Table1[[#This Row],[Service_Revenue]]-Table1[[#This Row],[Service_Cost]]</f>
        <v>153905</v>
      </c>
      <c r="T707" s="4">
        <v>4</v>
      </c>
      <c r="U707" s="4">
        <f>IF(AND(Table1[[#This Row],[Rework_Flag]]="Yes",Table1[[#This Row],[Warranty_Claim]]="No"),Table1[[#This Row],[Service_Revenue]],0)</f>
        <v>0</v>
      </c>
      <c r="V707" s="4">
        <f>IF(Table1[[#This Row],[Warranty_Claim]]="Yes",1,0)</f>
        <v>1</v>
      </c>
      <c r="W707" s="4">
        <f>IF(Table1[[#This Row],[Rework_Flag]]="No",1,0)</f>
        <v>0</v>
      </c>
      <c r="X707" s="4">
        <f>IF(Table1[[#This Row],[Rework_Flag]]="Yes",1,0)</f>
        <v>1</v>
      </c>
      <c r="Y707" s="4">
        <v>1</v>
      </c>
      <c r="Z707" s="4" t="str">
        <f>IF(Table1[[#This Row],[TAT_Days]]&gt;Table1[[#This Row],[SLA_TAT]],"Yes","No")</f>
        <v>No</v>
      </c>
      <c r="AA707" s="4" t="str" cm="1">
        <f t="array" ref="AA707">_xlfn.IFS(Table1[[#This Row],[Customer_Satisfaction]]&lt;=2,"Poor",Table1[[#This Row],[Customer_Satisfaction]]=3,"Neutral",Table1[[#This Row],[Customer_Satisfaction]]=4,"Good",Table1[[#This Row],[Customer_Satisfaction]]=5,"Good")</f>
        <v>Good</v>
      </c>
    </row>
    <row r="708" spans="1:27" x14ac:dyDescent="0.35">
      <c r="A708">
        <v>20706</v>
      </c>
      <c r="B708" s="1">
        <v>45450</v>
      </c>
      <c r="C708" t="s">
        <v>19</v>
      </c>
      <c r="D708" t="s">
        <v>96</v>
      </c>
      <c r="E708" t="s">
        <v>108</v>
      </c>
      <c r="F708" t="s">
        <v>40</v>
      </c>
      <c r="G708" t="s">
        <v>47</v>
      </c>
      <c r="H708" t="s">
        <v>48</v>
      </c>
      <c r="I708" t="s">
        <v>55</v>
      </c>
      <c r="J708" t="s">
        <v>26</v>
      </c>
      <c r="K708" t="s">
        <v>61</v>
      </c>
      <c r="L708" t="s">
        <v>28</v>
      </c>
      <c r="M708" s="4">
        <v>21</v>
      </c>
      <c r="N708" s="4">
        <v>7</v>
      </c>
      <c r="O708" t="s">
        <v>29</v>
      </c>
      <c r="P708" t="s">
        <v>36</v>
      </c>
      <c r="Q708" s="4">
        <v>582814</v>
      </c>
      <c r="R708" s="4">
        <v>434884</v>
      </c>
      <c r="S708" s="4">
        <f>Table1[[#This Row],[Service_Revenue]]-Table1[[#This Row],[Service_Cost]]</f>
        <v>147930</v>
      </c>
      <c r="T708" s="4">
        <v>1</v>
      </c>
      <c r="U708" s="4">
        <f>IF(AND(Table1[[#This Row],[Rework_Flag]]="Yes",Table1[[#This Row],[Warranty_Claim]]="No"),Table1[[#This Row],[Service_Revenue]],0)</f>
        <v>582814</v>
      </c>
      <c r="V708" s="4">
        <f>IF(Table1[[#This Row],[Warranty_Claim]]="Yes",1,0)</f>
        <v>0</v>
      </c>
      <c r="W708" s="4">
        <f>IF(Table1[[#This Row],[Rework_Flag]]="No",1,0)</f>
        <v>0</v>
      </c>
      <c r="X708" s="4">
        <f>IF(Table1[[#This Row],[Rework_Flag]]="Yes",1,0)</f>
        <v>1</v>
      </c>
      <c r="Y708" s="4">
        <v>1</v>
      </c>
      <c r="Z708" s="4" t="str">
        <f>IF(Table1[[#This Row],[TAT_Days]]&gt;Table1[[#This Row],[SLA_TAT]],"Yes","No")</f>
        <v>Yes</v>
      </c>
      <c r="AA708" s="4" t="str" cm="1">
        <f t="array" ref="AA708">_xlfn.IFS(Table1[[#This Row],[Customer_Satisfaction]]&lt;=2,"Poor",Table1[[#This Row],[Customer_Satisfaction]]=3,"Neutral",Table1[[#This Row],[Customer_Satisfaction]]=4,"Good",Table1[[#This Row],[Customer_Satisfaction]]=5,"Good")</f>
        <v>Poor</v>
      </c>
    </row>
    <row r="709" spans="1:27" x14ac:dyDescent="0.35">
      <c r="A709">
        <v>20707</v>
      </c>
      <c r="B709" s="1">
        <v>45339</v>
      </c>
      <c r="C709" t="s">
        <v>30</v>
      </c>
      <c r="D709" t="s">
        <v>31</v>
      </c>
      <c r="E709" t="s">
        <v>122</v>
      </c>
      <c r="F709" t="s">
        <v>40</v>
      </c>
      <c r="G709" t="s">
        <v>74</v>
      </c>
      <c r="H709" t="s">
        <v>34</v>
      </c>
      <c r="I709" t="s">
        <v>25</v>
      </c>
      <c r="J709" t="s">
        <v>58</v>
      </c>
      <c r="K709" t="s">
        <v>27</v>
      </c>
      <c r="L709" t="s">
        <v>28</v>
      </c>
      <c r="M709" s="4">
        <v>20</v>
      </c>
      <c r="N709" s="4">
        <v>7</v>
      </c>
      <c r="O709" t="s">
        <v>29</v>
      </c>
      <c r="P709" t="s">
        <v>36</v>
      </c>
      <c r="Q709" s="4">
        <v>542277</v>
      </c>
      <c r="R709" s="4">
        <v>360568</v>
      </c>
      <c r="S709" s="4">
        <f>Table1[[#This Row],[Service_Revenue]]-Table1[[#This Row],[Service_Cost]]</f>
        <v>181709</v>
      </c>
      <c r="T709" s="4">
        <v>1</v>
      </c>
      <c r="U709" s="4">
        <f>IF(AND(Table1[[#This Row],[Rework_Flag]]="Yes",Table1[[#This Row],[Warranty_Claim]]="No"),Table1[[#This Row],[Service_Revenue]],0)</f>
        <v>542277</v>
      </c>
      <c r="V709" s="4">
        <f>IF(Table1[[#This Row],[Warranty_Claim]]="Yes",1,0)</f>
        <v>0</v>
      </c>
      <c r="W709" s="4">
        <f>IF(Table1[[#This Row],[Rework_Flag]]="No",1,0)</f>
        <v>0</v>
      </c>
      <c r="X709" s="4">
        <f>IF(Table1[[#This Row],[Rework_Flag]]="Yes",1,0)</f>
        <v>1</v>
      </c>
      <c r="Y709" s="4">
        <v>1</v>
      </c>
      <c r="Z709" s="4" t="str">
        <f>IF(Table1[[#This Row],[TAT_Days]]&gt;Table1[[#This Row],[SLA_TAT]],"Yes","No")</f>
        <v>Yes</v>
      </c>
      <c r="AA709" s="4" t="str" cm="1">
        <f t="array" ref="AA709">_xlfn.IFS(Table1[[#This Row],[Customer_Satisfaction]]&lt;=2,"Poor",Table1[[#This Row],[Customer_Satisfaction]]=3,"Neutral",Table1[[#This Row],[Customer_Satisfaction]]=4,"Good",Table1[[#This Row],[Customer_Satisfaction]]=5,"Good")</f>
        <v>Poor</v>
      </c>
    </row>
    <row r="710" spans="1:27" x14ac:dyDescent="0.35">
      <c r="A710">
        <v>20708</v>
      </c>
      <c r="B710" s="1">
        <v>45324</v>
      </c>
      <c r="C710" t="s">
        <v>19</v>
      </c>
      <c r="D710" t="s">
        <v>96</v>
      </c>
      <c r="E710" t="s">
        <v>97</v>
      </c>
      <c r="F710" t="s">
        <v>40</v>
      </c>
      <c r="G710" t="s">
        <v>23</v>
      </c>
      <c r="H710" t="s">
        <v>24</v>
      </c>
      <c r="I710" t="s">
        <v>25</v>
      </c>
      <c r="J710" t="s">
        <v>35</v>
      </c>
      <c r="K710" t="s">
        <v>61</v>
      </c>
      <c r="L710" t="s">
        <v>28</v>
      </c>
      <c r="M710" s="4">
        <v>20</v>
      </c>
      <c r="N710" s="4">
        <v>7</v>
      </c>
      <c r="O710" t="s">
        <v>29</v>
      </c>
      <c r="P710" t="s">
        <v>36</v>
      </c>
      <c r="Q710" s="4">
        <v>275714</v>
      </c>
      <c r="R710" s="4">
        <v>217243</v>
      </c>
      <c r="S710" s="4">
        <f>Table1[[#This Row],[Service_Revenue]]-Table1[[#This Row],[Service_Cost]]</f>
        <v>58471</v>
      </c>
      <c r="T710" s="4">
        <v>1</v>
      </c>
      <c r="U710" s="4">
        <f>IF(AND(Table1[[#This Row],[Rework_Flag]]="Yes",Table1[[#This Row],[Warranty_Claim]]="No"),Table1[[#This Row],[Service_Revenue]],0)</f>
        <v>275714</v>
      </c>
      <c r="V710" s="4">
        <f>IF(Table1[[#This Row],[Warranty_Claim]]="Yes",1,0)</f>
        <v>0</v>
      </c>
      <c r="W710" s="4">
        <f>IF(Table1[[#This Row],[Rework_Flag]]="No",1,0)</f>
        <v>0</v>
      </c>
      <c r="X710" s="4">
        <f>IF(Table1[[#This Row],[Rework_Flag]]="Yes",1,0)</f>
        <v>1</v>
      </c>
      <c r="Y710" s="4">
        <v>1</v>
      </c>
      <c r="Z710" s="4" t="str">
        <f>IF(Table1[[#This Row],[TAT_Days]]&gt;Table1[[#This Row],[SLA_TAT]],"Yes","No")</f>
        <v>Yes</v>
      </c>
      <c r="AA710" s="4" t="str" cm="1">
        <f t="array" ref="AA710">_xlfn.IFS(Table1[[#This Row],[Customer_Satisfaction]]&lt;=2,"Poor",Table1[[#This Row],[Customer_Satisfaction]]=3,"Neutral",Table1[[#This Row],[Customer_Satisfaction]]=4,"Good",Table1[[#This Row],[Customer_Satisfaction]]=5,"Good")</f>
        <v>Poor</v>
      </c>
    </row>
    <row r="711" spans="1:27" x14ac:dyDescent="0.35">
      <c r="A711">
        <v>20709</v>
      </c>
      <c r="B711" s="1">
        <v>45414</v>
      </c>
      <c r="C711" t="s">
        <v>30</v>
      </c>
      <c r="D711" t="s">
        <v>31</v>
      </c>
      <c r="E711" t="s">
        <v>32</v>
      </c>
      <c r="F711" t="s">
        <v>53</v>
      </c>
      <c r="G711" t="s">
        <v>47</v>
      </c>
      <c r="H711" t="s">
        <v>48</v>
      </c>
      <c r="I711" t="s">
        <v>55</v>
      </c>
      <c r="J711" t="s">
        <v>35</v>
      </c>
      <c r="K711" t="s">
        <v>44</v>
      </c>
      <c r="L711" t="s">
        <v>49</v>
      </c>
      <c r="M711" s="4">
        <v>9</v>
      </c>
      <c r="N711" s="4">
        <v>7</v>
      </c>
      <c r="O711" t="s">
        <v>29</v>
      </c>
      <c r="P711" t="s">
        <v>36</v>
      </c>
      <c r="Q711" s="4">
        <v>147671</v>
      </c>
      <c r="R711" s="4">
        <v>86940</v>
      </c>
      <c r="S711" s="4">
        <f>Table1[[#This Row],[Service_Revenue]]-Table1[[#This Row],[Service_Cost]]</f>
        <v>60731</v>
      </c>
      <c r="T711" s="4">
        <v>3</v>
      </c>
      <c r="U711" s="4">
        <f>IF(AND(Table1[[#This Row],[Rework_Flag]]="Yes",Table1[[#This Row],[Warranty_Claim]]="No"),Table1[[#This Row],[Service_Revenue]],0)</f>
        <v>147671</v>
      </c>
      <c r="V711" s="4">
        <f>IF(Table1[[#This Row],[Warranty_Claim]]="Yes",1,0)</f>
        <v>0</v>
      </c>
      <c r="W711" s="4">
        <f>IF(Table1[[#This Row],[Rework_Flag]]="No",1,0)</f>
        <v>0</v>
      </c>
      <c r="X711" s="4">
        <f>IF(Table1[[#This Row],[Rework_Flag]]="Yes",1,0)</f>
        <v>1</v>
      </c>
      <c r="Y711" s="4">
        <v>1</v>
      </c>
      <c r="Z711" s="4" t="str">
        <f>IF(Table1[[#This Row],[TAT_Days]]&gt;Table1[[#This Row],[SLA_TAT]],"Yes","No")</f>
        <v>Yes</v>
      </c>
      <c r="AA711" s="4" t="str" cm="1">
        <f t="array" ref="AA711">_xlfn.IFS(Table1[[#This Row],[Customer_Satisfaction]]&lt;=2,"Poor",Table1[[#This Row],[Customer_Satisfaction]]=3,"Neutral",Table1[[#This Row],[Customer_Satisfaction]]=4,"Good",Table1[[#This Row],[Customer_Satisfaction]]=5,"Good")</f>
        <v>Neutral</v>
      </c>
    </row>
    <row r="712" spans="1:27" x14ac:dyDescent="0.35">
      <c r="A712">
        <v>20710</v>
      </c>
      <c r="B712" s="1">
        <v>45471</v>
      </c>
      <c r="C712" t="s">
        <v>30</v>
      </c>
      <c r="D712" t="s">
        <v>31</v>
      </c>
      <c r="E712" t="s">
        <v>62</v>
      </c>
      <c r="F712" t="s">
        <v>53</v>
      </c>
      <c r="G712" t="s">
        <v>63</v>
      </c>
      <c r="H712" t="s">
        <v>24</v>
      </c>
      <c r="I712" t="s">
        <v>55</v>
      </c>
      <c r="J712" t="s">
        <v>67</v>
      </c>
      <c r="K712" t="s">
        <v>27</v>
      </c>
      <c r="L712" t="s">
        <v>49</v>
      </c>
      <c r="M712" s="4">
        <v>5</v>
      </c>
      <c r="N712" s="4">
        <v>7</v>
      </c>
      <c r="O712" t="s">
        <v>36</v>
      </c>
      <c r="P712" t="s">
        <v>36</v>
      </c>
      <c r="Q712" s="4">
        <v>422185</v>
      </c>
      <c r="R712" s="4">
        <v>342506</v>
      </c>
      <c r="S712" s="4">
        <f>Table1[[#This Row],[Service_Revenue]]-Table1[[#This Row],[Service_Cost]]</f>
        <v>79679</v>
      </c>
      <c r="T712" s="4">
        <v>4</v>
      </c>
      <c r="U712" s="4">
        <f>IF(AND(Table1[[#This Row],[Rework_Flag]]="Yes",Table1[[#This Row],[Warranty_Claim]]="No"),Table1[[#This Row],[Service_Revenue]],0)</f>
        <v>0</v>
      </c>
      <c r="V712" s="4">
        <f>IF(Table1[[#This Row],[Warranty_Claim]]="Yes",1,0)</f>
        <v>0</v>
      </c>
      <c r="W712" s="4">
        <f>IF(Table1[[#This Row],[Rework_Flag]]="No",1,0)</f>
        <v>1</v>
      </c>
      <c r="X712" s="4">
        <f>IF(Table1[[#This Row],[Rework_Flag]]="Yes",1,0)</f>
        <v>0</v>
      </c>
      <c r="Y712" s="4">
        <v>1</v>
      </c>
      <c r="Z712" s="4" t="str">
        <f>IF(Table1[[#This Row],[TAT_Days]]&gt;Table1[[#This Row],[SLA_TAT]],"Yes","No")</f>
        <v>No</v>
      </c>
      <c r="AA712" s="4" t="str" cm="1">
        <f t="array" ref="AA712">_xlfn.IFS(Table1[[#This Row],[Customer_Satisfaction]]&lt;=2,"Poor",Table1[[#This Row],[Customer_Satisfaction]]=3,"Neutral",Table1[[#This Row],[Customer_Satisfaction]]=4,"Good",Table1[[#This Row],[Customer_Satisfaction]]=5,"Good")</f>
        <v>Good</v>
      </c>
    </row>
    <row r="713" spans="1:27" x14ac:dyDescent="0.35">
      <c r="A713">
        <v>20711</v>
      </c>
      <c r="B713" s="1">
        <v>45393</v>
      </c>
      <c r="C713" t="s">
        <v>30</v>
      </c>
      <c r="D713" t="s">
        <v>31</v>
      </c>
      <c r="E713" t="s">
        <v>122</v>
      </c>
      <c r="F713" t="s">
        <v>40</v>
      </c>
      <c r="G713" t="s">
        <v>54</v>
      </c>
      <c r="H713" t="s">
        <v>42</v>
      </c>
      <c r="I713" t="s">
        <v>55</v>
      </c>
      <c r="J713" t="s">
        <v>35</v>
      </c>
      <c r="K713" t="s">
        <v>61</v>
      </c>
      <c r="L713" t="s">
        <v>28</v>
      </c>
      <c r="M713" s="4">
        <v>22</v>
      </c>
      <c r="N713" s="4">
        <v>7</v>
      </c>
      <c r="O713" t="s">
        <v>36</v>
      </c>
      <c r="P713" t="s">
        <v>36</v>
      </c>
      <c r="Q713" s="4">
        <v>147816</v>
      </c>
      <c r="R713" s="4">
        <v>98326</v>
      </c>
      <c r="S713" s="4">
        <f>Table1[[#This Row],[Service_Revenue]]-Table1[[#This Row],[Service_Cost]]</f>
        <v>49490</v>
      </c>
      <c r="T713" s="4">
        <v>1</v>
      </c>
      <c r="U713" s="4">
        <f>IF(AND(Table1[[#This Row],[Rework_Flag]]="Yes",Table1[[#This Row],[Warranty_Claim]]="No"),Table1[[#This Row],[Service_Revenue]],0)</f>
        <v>0</v>
      </c>
      <c r="V713" s="4">
        <f>IF(Table1[[#This Row],[Warranty_Claim]]="Yes",1,0)</f>
        <v>0</v>
      </c>
      <c r="W713" s="4">
        <f>IF(Table1[[#This Row],[Rework_Flag]]="No",1,0)</f>
        <v>1</v>
      </c>
      <c r="X713" s="4">
        <f>IF(Table1[[#This Row],[Rework_Flag]]="Yes",1,0)</f>
        <v>0</v>
      </c>
      <c r="Y713" s="4">
        <v>1</v>
      </c>
      <c r="Z713" s="4" t="str">
        <f>IF(Table1[[#This Row],[TAT_Days]]&gt;Table1[[#This Row],[SLA_TAT]],"Yes","No")</f>
        <v>Yes</v>
      </c>
      <c r="AA713" s="4" t="str" cm="1">
        <f t="array" ref="AA713">_xlfn.IFS(Table1[[#This Row],[Customer_Satisfaction]]&lt;=2,"Poor",Table1[[#This Row],[Customer_Satisfaction]]=3,"Neutral",Table1[[#This Row],[Customer_Satisfaction]]=4,"Good",Table1[[#This Row],[Customer_Satisfaction]]=5,"Good")</f>
        <v>Poor</v>
      </c>
    </row>
    <row r="714" spans="1:27" x14ac:dyDescent="0.35">
      <c r="A714">
        <v>20712</v>
      </c>
      <c r="B714" s="1">
        <v>45360</v>
      </c>
      <c r="C714" t="s">
        <v>37</v>
      </c>
      <c r="D714" t="s">
        <v>64</v>
      </c>
      <c r="E714" t="s">
        <v>103</v>
      </c>
      <c r="F714" t="s">
        <v>53</v>
      </c>
      <c r="G714" t="s">
        <v>74</v>
      </c>
      <c r="H714" t="s">
        <v>34</v>
      </c>
      <c r="I714" t="s">
        <v>25</v>
      </c>
      <c r="J714" t="s">
        <v>43</v>
      </c>
      <c r="K714" t="s">
        <v>27</v>
      </c>
      <c r="L714" t="s">
        <v>49</v>
      </c>
      <c r="M714" s="4">
        <v>24</v>
      </c>
      <c r="N714" s="4">
        <v>7</v>
      </c>
      <c r="O714" t="s">
        <v>29</v>
      </c>
      <c r="P714" t="s">
        <v>29</v>
      </c>
      <c r="Q714" s="4">
        <v>554958</v>
      </c>
      <c r="R714" s="4">
        <v>468817</v>
      </c>
      <c r="S714" s="4">
        <f>Table1[[#This Row],[Service_Revenue]]-Table1[[#This Row],[Service_Cost]]</f>
        <v>86141</v>
      </c>
      <c r="T714" s="4">
        <v>1</v>
      </c>
      <c r="U714" s="4">
        <f>IF(AND(Table1[[#This Row],[Rework_Flag]]="Yes",Table1[[#This Row],[Warranty_Claim]]="No"),Table1[[#This Row],[Service_Revenue]],0)</f>
        <v>0</v>
      </c>
      <c r="V714" s="4">
        <f>IF(Table1[[#This Row],[Warranty_Claim]]="Yes",1,0)</f>
        <v>1</v>
      </c>
      <c r="W714" s="4">
        <f>IF(Table1[[#This Row],[Rework_Flag]]="No",1,0)</f>
        <v>0</v>
      </c>
      <c r="X714" s="4">
        <f>IF(Table1[[#This Row],[Rework_Flag]]="Yes",1,0)</f>
        <v>1</v>
      </c>
      <c r="Y714" s="4">
        <v>1</v>
      </c>
      <c r="Z714" s="4" t="str">
        <f>IF(Table1[[#This Row],[TAT_Days]]&gt;Table1[[#This Row],[SLA_TAT]],"Yes","No")</f>
        <v>Yes</v>
      </c>
      <c r="AA714" s="4" t="str" cm="1">
        <f t="array" ref="AA714">_xlfn.IFS(Table1[[#This Row],[Customer_Satisfaction]]&lt;=2,"Poor",Table1[[#This Row],[Customer_Satisfaction]]=3,"Neutral",Table1[[#This Row],[Customer_Satisfaction]]=4,"Good",Table1[[#This Row],[Customer_Satisfaction]]=5,"Good")</f>
        <v>Poor</v>
      </c>
    </row>
    <row r="715" spans="1:27" x14ac:dyDescent="0.35">
      <c r="A715">
        <v>20713</v>
      </c>
      <c r="B715" s="1">
        <v>45471</v>
      </c>
      <c r="C715" t="s">
        <v>30</v>
      </c>
      <c r="D715" t="s">
        <v>31</v>
      </c>
      <c r="E715" t="s">
        <v>106</v>
      </c>
      <c r="F715" t="s">
        <v>22</v>
      </c>
      <c r="G715" t="s">
        <v>74</v>
      </c>
      <c r="H715" t="s">
        <v>34</v>
      </c>
      <c r="I715" t="s">
        <v>55</v>
      </c>
      <c r="J715" t="s">
        <v>67</v>
      </c>
      <c r="K715" t="s">
        <v>61</v>
      </c>
      <c r="L715" t="s">
        <v>28</v>
      </c>
      <c r="M715" s="4">
        <v>24</v>
      </c>
      <c r="N715" s="4">
        <v>7</v>
      </c>
      <c r="O715" t="s">
        <v>29</v>
      </c>
      <c r="P715" t="s">
        <v>36</v>
      </c>
      <c r="Q715" s="4">
        <v>302554</v>
      </c>
      <c r="R715" s="4">
        <v>177396</v>
      </c>
      <c r="S715" s="4">
        <f>Table1[[#This Row],[Service_Revenue]]-Table1[[#This Row],[Service_Cost]]</f>
        <v>125158</v>
      </c>
      <c r="T715" s="4">
        <v>1</v>
      </c>
      <c r="U715" s="4">
        <f>IF(AND(Table1[[#This Row],[Rework_Flag]]="Yes",Table1[[#This Row],[Warranty_Claim]]="No"),Table1[[#This Row],[Service_Revenue]],0)</f>
        <v>302554</v>
      </c>
      <c r="V715" s="4">
        <f>IF(Table1[[#This Row],[Warranty_Claim]]="Yes",1,0)</f>
        <v>0</v>
      </c>
      <c r="W715" s="4">
        <f>IF(Table1[[#This Row],[Rework_Flag]]="No",1,0)</f>
        <v>0</v>
      </c>
      <c r="X715" s="4">
        <f>IF(Table1[[#This Row],[Rework_Flag]]="Yes",1,0)</f>
        <v>1</v>
      </c>
      <c r="Y715" s="4">
        <v>1</v>
      </c>
      <c r="Z715" s="4" t="str">
        <f>IF(Table1[[#This Row],[TAT_Days]]&gt;Table1[[#This Row],[SLA_TAT]],"Yes","No")</f>
        <v>Yes</v>
      </c>
      <c r="AA715" s="4" t="str" cm="1">
        <f t="array" ref="AA715">_xlfn.IFS(Table1[[#This Row],[Customer_Satisfaction]]&lt;=2,"Poor",Table1[[#This Row],[Customer_Satisfaction]]=3,"Neutral",Table1[[#This Row],[Customer_Satisfaction]]=4,"Good",Table1[[#This Row],[Customer_Satisfaction]]=5,"Good")</f>
        <v>Poor</v>
      </c>
    </row>
    <row r="716" spans="1:27" x14ac:dyDescent="0.35">
      <c r="A716">
        <v>20714</v>
      </c>
      <c r="B716" s="1">
        <v>45407</v>
      </c>
      <c r="C716" t="s">
        <v>50</v>
      </c>
      <c r="D716" t="s">
        <v>80</v>
      </c>
      <c r="E716" t="s">
        <v>85</v>
      </c>
      <c r="F716" t="s">
        <v>53</v>
      </c>
      <c r="G716" t="s">
        <v>23</v>
      </c>
      <c r="H716" t="s">
        <v>24</v>
      </c>
      <c r="I716" t="s">
        <v>25</v>
      </c>
      <c r="J716" t="s">
        <v>35</v>
      </c>
      <c r="K716" t="s">
        <v>61</v>
      </c>
      <c r="L716" t="s">
        <v>28</v>
      </c>
      <c r="M716" s="4">
        <v>14</v>
      </c>
      <c r="N716" s="4">
        <v>7</v>
      </c>
      <c r="O716" t="s">
        <v>36</v>
      </c>
      <c r="P716" t="s">
        <v>36</v>
      </c>
      <c r="Q716" s="4">
        <v>218118</v>
      </c>
      <c r="R716" s="4">
        <v>159504</v>
      </c>
      <c r="S716" s="4">
        <f>Table1[[#This Row],[Service_Revenue]]-Table1[[#This Row],[Service_Cost]]</f>
        <v>58614</v>
      </c>
      <c r="T716" s="4">
        <v>3</v>
      </c>
      <c r="U716" s="4">
        <f>IF(AND(Table1[[#This Row],[Rework_Flag]]="Yes",Table1[[#This Row],[Warranty_Claim]]="No"),Table1[[#This Row],[Service_Revenue]],0)</f>
        <v>0</v>
      </c>
      <c r="V716" s="4">
        <f>IF(Table1[[#This Row],[Warranty_Claim]]="Yes",1,0)</f>
        <v>0</v>
      </c>
      <c r="W716" s="4">
        <f>IF(Table1[[#This Row],[Rework_Flag]]="No",1,0)</f>
        <v>1</v>
      </c>
      <c r="X716" s="4">
        <f>IF(Table1[[#This Row],[Rework_Flag]]="Yes",1,0)</f>
        <v>0</v>
      </c>
      <c r="Y716" s="4">
        <v>1</v>
      </c>
      <c r="Z716" s="4" t="str">
        <f>IF(Table1[[#This Row],[TAT_Days]]&gt;Table1[[#This Row],[SLA_TAT]],"Yes","No")</f>
        <v>Yes</v>
      </c>
      <c r="AA716" s="4" t="str" cm="1">
        <f t="array" ref="AA716">_xlfn.IFS(Table1[[#This Row],[Customer_Satisfaction]]&lt;=2,"Poor",Table1[[#This Row],[Customer_Satisfaction]]=3,"Neutral",Table1[[#This Row],[Customer_Satisfaction]]=4,"Good",Table1[[#This Row],[Customer_Satisfaction]]=5,"Good")</f>
        <v>Neutral</v>
      </c>
    </row>
    <row r="717" spans="1:27" x14ac:dyDescent="0.35">
      <c r="A717">
        <v>20715</v>
      </c>
      <c r="B717" s="1">
        <v>45371</v>
      </c>
      <c r="C717" t="s">
        <v>30</v>
      </c>
      <c r="D717" t="s">
        <v>31</v>
      </c>
      <c r="E717" t="s">
        <v>62</v>
      </c>
      <c r="F717" t="s">
        <v>53</v>
      </c>
      <c r="G717" t="s">
        <v>63</v>
      </c>
      <c r="H717" t="s">
        <v>24</v>
      </c>
      <c r="I717" t="s">
        <v>25</v>
      </c>
      <c r="J717" t="s">
        <v>35</v>
      </c>
      <c r="K717" t="s">
        <v>27</v>
      </c>
      <c r="L717" t="s">
        <v>49</v>
      </c>
      <c r="M717" s="4">
        <v>6</v>
      </c>
      <c r="N717" s="4">
        <v>7</v>
      </c>
      <c r="O717" t="s">
        <v>29</v>
      </c>
      <c r="P717" t="s">
        <v>36</v>
      </c>
      <c r="Q717" s="4">
        <v>469676</v>
      </c>
      <c r="R717" s="4">
        <v>306482</v>
      </c>
      <c r="S717" s="4">
        <f>Table1[[#This Row],[Service_Revenue]]-Table1[[#This Row],[Service_Cost]]</f>
        <v>163194</v>
      </c>
      <c r="T717" s="4">
        <v>3</v>
      </c>
      <c r="U717" s="4">
        <f>IF(AND(Table1[[#This Row],[Rework_Flag]]="Yes",Table1[[#This Row],[Warranty_Claim]]="No"),Table1[[#This Row],[Service_Revenue]],0)</f>
        <v>469676</v>
      </c>
      <c r="V717" s="4">
        <f>IF(Table1[[#This Row],[Warranty_Claim]]="Yes",1,0)</f>
        <v>0</v>
      </c>
      <c r="W717" s="4">
        <f>IF(Table1[[#This Row],[Rework_Flag]]="No",1,0)</f>
        <v>0</v>
      </c>
      <c r="X717" s="4">
        <f>IF(Table1[[#This Row],[Rework_Flag]]="Yes",1,0)</f>
        <v>1</v>
      </c>
      <c r="Y717" s="4">
        <v>1</v>
      </c>
      <c r="Z717" s="4" t="str">
        <f>IF(Table1[[#This Row],[TAT_Days]]&gt;Table1[[#This Row],[SLA_TAT]],"Yes","No")</f>
        <v>No</v>
      </c>
      <c r="AA717" s="4" t="str" cm="1">
        <f t="array" ref="AA717">_xlfn.IFS(Table1[[#This Row],[Customer_Satisfaction]]&lt;=2,"Poor",Table1[[#This Row],[Customer_Satisfaction]]=3,"Neutral",Table1[[#This Row],[Customer_Satisfaction]]=4,"Good",Table1[[#This Row],[Customer_Satisfaction]]=5,"Good")</f>
        <v>Neutral</v>
      </c>
    </row>
    <row r="718" spans="1:27" x14ac:dyDescent="0.35">
      <c r="A718">
        <v>20716</v>
      </c>
      <c r="B718" s="1">
        <v>45413</v>
      </c>
      <c r="C718" t="s">
        <v>50</v>
      </c>
      <c r="D718" t="s">
        <v>80</v>
      </c>
      <c r="E718" t="s">
        <v>118</v>
      </c>
      <c r="F718" t="s">
        <v>53</v>
      </c>
      <c r="G718" t="s">
        <v>54</v>
      </c>
      <c r="H718" t="s">
        <v>42</v>
      </c>
      <c r="I718" t="s">
        <v>25</v>
      </c>
      <c r="J718" t="s">
        <v>67</v>
      </c>
      <c r="K718" t="s">
        <v>61</v>
      </c>
      <c r="L718" t="s">
        <v>28</v>
      </c>
      <c r="M718" s="4">
        <v>23</v>
      </c>
      <c r="N718" s="4">
        <v>7</v>
      </c>
      <c r="O718" t="s">
        <v>29</v>
      </c>
      <c r="P718" t="s">
        <v>36</v>
      </c>
      <c r="Q718" s="4">
        <v>218597</v>
      </c>
      <c r="R718" s="4">
        <v>142386</v>
      </c>
      <c r="S718" s="4">
        <f>Table1[[#This Row],[Service_Revenue]]-Table1[[#This Row],[Service_Cost]]</f>
        <v>76211</v>
      </c>
      <c r="T718" s="4">
        <v>1</v>
      </c>
      <c r="U718" s="4">
        <f>IF(AND(Table1[[#This Row],[Rework_Flag]]="Yes",Table1[[#This Row],[Warranty_Claim]]="No"),Table1[[#This Row],[Service_Revenue]],0)</f>
        <v>218597</v>
      </c>
      <c r="V718" s="4">
        <f>IF(Table1[[#This Row],[Warranty_Claim]]="Yes",1,0)</f>
        <v>0</v>
      </c>
      <c r="W718" s="4">
        <f>IF(Table1[[#This Row],[Rework_Flag]]="No",1,0)</f>
        <v>0</v>
      </c>
      <c r="X718" s="4">
        <f>IF(Table1[[#This Row],[Rework_Flag]]="Yes",1,0)</f>
        <v>1</v>
      </c>
      <c r="Y718" s="4">
        <v>1</v>
      </c>
      <c r="Z718" s="4" t="str">
        <f>IF(Table1[[#This Row],[TAT_Days]]&gt;Table1[[#This Row],[SLA_TAT]],"Yes","No")</f>
        <v>Yes</v>
      </c>
      <c r="AA718" s="4" t="str" cm="1">
        <f t="array" ref="AA718">_xlfn.IFS(Table1[[#This Row],[Customer_Satisfaction]]&lt;=2,"Poor",Table1[[#This Row],[Customer_Satisfaction]]=3,"Neutral",Table1[[#This Row],[Customer_Satisfaction]]=4,"Good",Table1[[#This Row],[Customer_Satisfaction]]=5,"Good")</f>
        <v>Poor</v>
      </c>
    </row>
    <row r="719" spans="1:27" x14ac:dyDescent="0.35">
      <c r="A719">
        <v>20717</v>
      </c>
      <c r="B719" s="1">
        <v>45362</v>
      </c>
      <c r="C719" t="s">
        <v>30</v>
      </c>
      <c r="D719" t="s">
        <v>83</v>
      </c>
      <c r="E719" t="s">
        <v>92</v>
      </c>
      <c r="F719" t="s">
        <v>22</v>
      </c>
      <c r="G719" t="s">
        <v>63</v>
      </c>
      <c r="H719" t="s">
        <v>24</v>
      </c>
      <c r="I719" t="s">
        <v>55</v>
      </c>
      <c r="J719" t="s">
        <v>26</v>
      </c>
      <c r="K719" t="s">
        <v>27</v>
      </c>
      <c r="L719" t="s">
        <v>49</v>
      </c>
      <c r="M719" s="4">
        <v>11</v>
      </c>
      <c r="N719" s="4">
        <v>7</v>
      </c>
      <c r="O719" t="s">
        <v>29</v>
      </c>
      <c r="P719" t="s">
        <v>36</v>
      </c>
      <c r="Q719" s="4">
        <v>590108</v>
      </c>
      <c r="R719" s="4">
        <v>499082</v>
      </c>
      <c r="S719" s="4">
        <f>Table1[[#This Row],[Service_Revenue]]-Table1[[#This Row],[Service_Cost]]</f>
        <v>91026</v>
      </c>
      <c r="T719" s="4">
        <v>2</v>
      </c>
      <c r="U719" s="4">
        <f>IF(AND(Table1[[#This Row],[Rework_Flag]]="Yes",Table1[[#This Row],[Warranty_Claim]]="No"),Table1[[#This Row],[Service_Revenue]],0)</f>
        <v>590108</v>
      </c>
      <c r="V719" s="4">
        <f>IF(Table1[[#This Row],[Warranty_Claim]]="Yes",1,0)</f>
        <v>0</v>
      </c>
      <c r="W719" s="4">
        <f>IF(Table1[[#This Row],[Rework_Flag]]="No",1,0)</f>
        <v>0</v>
      </c>
      <c r="X719" s="4">
        <f>IF(Table1[[#This Row],[Rework_Flag]]="Yes",1,0)</f>
        <v>1</v>
      </c>
      <c r="Y719" s="4">
        <v>1</v>
      </c>
      <c r="Z719" s="4" t="str">
        <f>IF(Table1[[#This Row],[TAT_Days]]&gt;Table1[[#This Row],[SLA_TAT]],"Yes","No")</f>
        <v>Yes</v>
      </c>
      <c r="AA719" s="4" t="str" cm="1">
        <f t="array" ref="AA719">_xlfn.IFS(Table1[[#This Row],[Customer_Satisfaction]]&lt;=2,"Poor",Table1[[#This Row],[Customer_Satisfaction]]=3,"Neutral",Table1[[#This Row],[Customer_Satisfaction]]=4,"Good",Table1[[#This Row],[Customer_Satisfaction]]=5,"Good")</f>
        <v>Poor</v>
      </c>
    </row>
    <row r="720" spans="1:27" x14ac:dyDescent="0.35">
      <c r="A720">
        <v>20718</v>
      </c>
      <c r="B720" s="1">
        <v>45414</v>
      </c>
      <c r="C720" t="s">
        <v>30</v>
      </c>
      <c r="D720" t="s">
        <v>31</v>
      </c>
      <c r="E720" t="s">
        <v>32</v>
      </c>
      <c r="F720" t="s">
        <v>40</v>
      </c>
      <c r="G720" t="s">
        <v>33</v>
      </c>
      <c r="H720" t="s">
        <v>34</v>
      </c>
      <c r="I720" t="s">
        <v>25</v>
      </c>
      <c r="J720" t="s">
        <v>67</v>
      </c>
      <c r="K720" t="s">
        <v>61</v>
      </c>
      <c r="L720" t="s">
        <v>28</v>
      </c>
      <c r="M720" s="4">
        <v>15</v>
      </c>
      <c r="N720" s="4">
        <v>7</v>
      </c>
      <c r="O720" t="s">
        <v>29</v>
      </c>
      <c r="P720" t="s">
        <v>36</v>
      </c>
      <c r="Q720" s="4">
        <v>483073</v>
      </c>
      <c r="R720" s="4">
        <v>271939</v>
      </c>
      <c r="S720" s="4">
        <f>Table1[[#This Row],[Service_Revenue]]-Table1[[#This Row],[Service_Cost]]</f>
        <v>211134</v>
      </c>
      <c r="T720" s="4">
        <v>1</v>
      </c>
      <c r="U720" s="4">
        <f>IF(AND(Table1[[#This Row],[Rework_Flag]]="Yes",Table1[[#This Row],[Warranty_Claim]]="No"),Table1[[#This Row],[Service_Revenue]],0)</f>
        <v>483073</v>
      </c>
      <c r="V720" s="4">
        <f>IF(Table1[[#This Row],[Warranty_Claim]]="Yes",1,0)</f>
        <v>0</v>
      </c>
      <c r="W720" s="4">
        <f>IF(Table1[[#This Row],[Rework_Flag]]="No",1,0)</f>
        <v>0</v>
      </c>
      <c r="X720" s="4">
        <f>IF(Table1[[#This Row],[Rework_Flag]]="Yes",1,0)</f>
        <v>1</v>
      </c>
      <c r="Y720" s="4">
        <v>1</v>
      </c>
      <c r="Z720" s="4" t="str">
        <f>IF(Table1[[#This Row],[TAT_Days]]&gt;Table1[[#This Row],[SLA_TAT]],"Yes","No")</f>
        <v>Yes</v>
      </c>
      <c r="AA720" s="4" t="str" cm="1">
        <f t="array" ref="AA720">_xlfn.IFS(Table1[[#This Row],[Customer_Satisfaction]]&lt;=2,"Poor",Table1[[#This Row],[Customer_Satisfaction]]=3,"Neutral",Table1[[#This Row],[Customer_Satisfaction]]=4,"Good",Table1[[#This Row],[Customer_Satisfaction]]=5,"Good")</f>
        <v>Poor</v>
      </c>
    </row>
    <row r="721" spans="1:27" x14ac:dyDescent="0.35">
      <c r="A721">
        <v>20719</v>
      </c>
      <c r="B721" s="1">
        <v>45371</v>
      </c>
      <c r="C721" t="s">
        <v>30</v>
      </c>
      <c r="D721" t="s">
        <v>59</v>
      </c>
      <c r="E721" t="s">
        <v>60</v>
      </c>
      <c r="F721" t="s">
        <v>40</v>
      </c>
      <c r="G721" t="s">
        <v>33</v>
      </c>
      <c r="H721" t="s">
        <v>34</v>
      </c>
      <c r="I721" t="s">
        <v>25</v>
      </c>
      <c r="J721" t="s">
        <v>35</v>
      </c>
      <c r="K721" t="s">
        <v>61</v>
      </c>
      <c r="L721" t="s">
        <v>49</v>
      </c>
      <c r="M721" s="4">
        <v>3</v>
      </c>
      <c r="N721" s="4">
        <v>7</v>
      </c>
      <c r="O721" t="s">
        <v>29</v>
      </c>
      <c r="P721" t="s">
        <v>36</v>
      </c>
      <c r="Q721" s="4">
        <v>456144</v>
      </c>
      <c r="R721" s="4">
        <v>254338</v>
      </c>
      <c r="S721" s="4">
        <f>Table1[[#This Row],[Service_Revenue]]-Table1[[#This Row],[Service_Cost]]</f>
        <v>201806</v>
      </c>
      <c r="T721" s="4">
        <v>4</v>
      </c>
      <c r="U721" s="4">
        <f>IF(AND(Table1[[#This Row],[Rework_Flag]]="Yes",Table1[[#This Row],[Warranty_Claim]]="No"),Table1[[#This Row],[Service_Revenue]],0)</f>
        <v>456144</v>
      </c>
      <c r="V721" s="4">
        <f>IF(Table1[[#This Row],[Warranty_Claim]]="Yes",1,0)</f>
        <v>0</v>
      </c>
      <c r="W721" s="4">
        <f>IF(Table1[[#This Row],[Rework_Flag]]="No",1,0)</f>
        <v>0</v>
      </c>
      <c r="X721" s="4">
        <f>IF(Table1[[#This Row],[Rework_Flag]]="Yes",1,0)</f>
        <v>1</v>
      </c>
      <c r="Y721" s="4">
        <v>1</v>
      </c>
      <c r="Z721" s="4" t="str">
        <f>IF(Table1[[#This Row],[TAT_Days]]&gt;Table1[[#This Row],[SLA_TAT]],"Yes","No")</f>
        <v>No</v>
      </c>
      <c r="AA721" s="4" t="str" cm="1">
        <f t="array" ref="AA721">_xlfn.IFS(Table1[[#This Row],[Customer_Satisfaction]]&lt;=2,"Poor",Table1[[#This Row],[Customer_Satisfaction]]=3,"Neutral",Table1[[#This Row],[Customer_Satisfaction]]=4,"Good",Table1[[#This Row],[Customer_Satisfaction]]=5,"Good")</f>
        <v>Good</v>
      </c>
    </row>
    <row r="722" spans="1:27" x14ac:dyDescent="0.35">
      <c r="A722">
        <v>20720</v>
      </c>
      <c r="B722" s="1">
        <v>45384</v>
      </c>
      <c r="C722" t="s">
        <v>30</v>
      </c>
      <c r="D722" t="s">
        <v>59</v>
      </c>
      <c r="E722" t="s">
        <v>60</v>
      </c>
      <c r="F722" t="s">
        <v>53</v>
      </c>
      <c r="G722" t="s">
        <v>47</v>
      </c>
      <c r="H722" t="s">
        <v>48</v>
      </c>
      <c r="I722" t="s">
        <v>55</v>
      </c>
      <c r="J722" t="s">
        <v>43</v>
      </c>
      <c r="K722" t="s">
        <v>44</v>
      </c>
      <c r="L722" t="s">
        <v>28</v>
      </c>
      <c r="M722" s="4">
        <v>17</v>
      </c>
      <c r="N722" s="4">
        <v>7</v>
      </c>
      <c r="O722" t="s">
        <v>36</v>
      </c>
      <c r="P722" t="s">
        <v>36</v>
      </c>
      <c r="Q722" s="4">
        <v>159345</v>
      </c>
      <c r="R722" s="4">
        <v>122627</v>
      </c>
      <c r="S722" s="4">
        <f>Table1[[#This Row],[Service_Revenue]]-Table1[[#This Row],[Service_Cost]]</f>
        <v>36718</v>
      </c>
      <c r="T722" s="4">
        <v>2</v>
      </c>
      <c r="U722" s="4">
        <f>IF(AND(Table1[[#This Row],[Rework_Flag]]="Yes",Table1[[#This Row],[Warranty_Claim]]="No"),Table1[[#This Row],[Service_Revenue]],0)</f>
        <v>0</v>
      </c>
      <c r="V722" s="4">
        <f>IF(Table1[[#This Row],[Warranty_Claim]]="Yes",1,0)</f>
        <v>0</v>
      </c>
      <c r="W722" s="4">
        <f>IF(Table1[[#This Row],[Rework_Flag]]="No",1,0)</f>
        <v>1</v>
      </c>
      <c r="X722" s="4">
        <f>IF(Table1[[#This Row],[Rework_Flag]]="Yes",1,0)</f>
        <v>0</v>
      </c>
      <c r="Y722" s="4">
        <v>1</v>
      </c>
      <c r="Z722" s="4" t="str">
        <f>IF(Table1[[#This Row],[TAT_Days]]&gt;Table1[[#This Row],[SLA_TAT]],"Yes","No")</f>
        <v>Yes</v>
      </c>
      <c r="AA722" s="4" t="str" cm="1">
        <f t="array" ref="AA722">_xlfn.IFS(Table1[[#This Row],[Customer_Satisfaction]]&lt;=2,"Poor",Table1[[#This Row],[Customer_Satisfaction]]=3,"Neutral",Table1[[#This Row],[Customer_Satisfaction]]=4,"Good",Table1[[#This Row],[Customer_Satisfaction]]=5,"Good")</f>
        <v>Poor</v>
      </c>
    </row>
    <row r="723" spans="1:27" x14ac:dyDescent="0.35">
      <c r="A723">
        <v>20721</v>
      </c>
      <c r="B723" s="1">
        <v>45366</v>
      </c>
      <c r="C723" t="s">
        <v>50</v>
      </c>
      <c r="D723" t="s">
        <v>51</v>
      </c>
      <c r="E723" t="s">
        <v>52</v>
      </c>
      <c r="F723" t="s">
        <v>40</v>
      </c>
      <c r="G723" t="s">
        <v>23</v>
      </c>
      <c r="H723" t="s">
        <v>24</v>
      </c>
      <c r="I723" t="s">
        <v>55</v>
      </c>
      <c r="J723" t="s">
        <v>43</v>
      </c>
      <c r="K723" t="s">
        <v>61</v>
      </c>
      <c r="L723" t="s">
        <v>49</v>
      </c>
      <c r="M723" s="4">
        <v>24</v>
      </c>
      <c r="N723" s="4">
        <v>7</v>
      </c>
      <c r="O723" t="s">
        <v>29</v>
      </c>
      <c r="P723" t="s">
        <v>36</v>
      </c>
      <c r="Q723" s="4">
        <v>404188</v>
      </c>
      <c r="R723" s="4">
        <v>230730</v>
      </c>
      <c r="S723" s="4">
        <f>Table1[[#This Row],[Service_Revenue]]-Table1[[#This Row],[Service_Cost]]</f>
        <v>173458</v>
      </c>
      <c r="T723" s="4">
        <v>1</v>
      </c>
      <c r="U723" s="4">
        <f>IF(AND(Table1[[#This Row],[Rework_Flag]]="Yes",Table1[[#This Row],[Warranty_Claim]]="No"),Table1[[#This Row],[Service_Revenue]],0)</f>
        <v>404188</v>
      </c>
      <c r="V723" s="4">
        <f>IF(Table1[[#This Row],[Warranty_Claim]]="Yes",1,0)</f>
        <v>0</v>
      </c>
      <c r="W723" s="4">
        <f>IF(Table1[[#This Row],[Rework_Flag]]="No",1,0)</f>
        <v>0</v>
      </c>
      <c r="X723" s="4">
        <f>IF(Table1[[#This Row],[Rework_Flag]]="Yes",1,0)</f>
        <v>1</v>
      </c>
      <c r="Y723" s="4">
        <v>1</v>
      </c>
      <c r="Z723" s="4" t="str">
        <f>IF(Table1[[#This Row],[TAT_Days]]&gt;Table1[[#This Row],[SLA_TAT]],"Yes","No")</f>
        <v>Yes</v>
      </c>
      <c r="AA723" s="4" t="str" cm="1">
        <f t="array" ref="AA723">_xlfn.IFS(Table1[[#This Row],[Customer_Satisfaction]]&lt;=2,"Poor",Table1[[#This Row],[Customer_Satisfaction]]=3,"Neutral",Table1[[#This Row],[Customer_Satisfaction]]=4,"Good",Table1[[#This Row],[Customer_Satisfaction]]=5,"Good")</f>
        <v>Poor</v>
      </c>
    </row>
    <row r="724" spans="1:27" x14ac:dyDescent="0.35">
      <c r="A724">
        <v>20722</v>
      </c>
      <c r="B724" s="1">
        <v>45307</v>
      </c>
      <c r="C724" t="s">
        <v>19</v>
      </c>
      <c r="D724" t="s">
        <v>45</v>
      </c>
      <c r="E724" t="s">
        <v>99</v>
      </c>
      <c r="F724" t="s">
        <v>53</v>
      </c>
      <c r="G724" t="s">
        <v>33</v>
      </c>
      <c r="H724" t="s">
        <v>34</v>
      </c>
      <c r="I724" t="s">
        <v>25</v>
      </c>
      <c r="J724" t="s">
        <v>43</v>
      </c>
      <c r="K724" t="s">
        <v>61</v>
      </c>
      <c r="L724" t="s">
        <v>28</v>
      </c>
      <c r="M724" s="4">
        <v>14</v>
      </c>
      <c r="N724" s="4">
        <v>7</v>
      </c>
      <c r="O724" t="s">
        <v>36</v>
      </c>
      <c r="P724" t="s">
        <v>29</v>
      </c>
      <c r="Q724" s="4">
        <v>343786</v>
      </c>
      <c r="R724" s="4">
        <v>206145</v>
      </c>
      <c r="S724" s="4">
        <f>Table1[[#This Row],[Service_Revenue]]-Table1[[#This Row],[Service_Cost]]</f>
        <v>137641</v>
      </c>
      <c r="T724" s="4">
        <v>3</v>
      </c>
      <c r="U724" s="4">
        <f>IF(AND(Table1[[#This Row],[Rework_Flag]]="Yes",Table1[[#This Row],[Warranty_Claim]]="No"),Table1[[#This Row],[Service_Revenue]],0)</f>
        <v>0</v>
      </c>
      <c r="V724" s="4">
        <f>IF(Table1[[#This Row],[Warranty_Claim]]="Yes",1,0)</f>
        <v>1</v>
      </c>
      <c r="W724" s="4">
        <f>IF(Table1[[#This Row],[Rework_Flag]]="No",1,0)</f>
        <v>1</v>
      </c>
      <c r="X724" s="4">
        <f>IF(Table1[[#This Row],[Rework_Flag]]="Yes",1,0)</f>
        <v>0</v>
      </c>
      <c r="Y724" s="4">
        <v>1</v>
      </c>
      <c r="Z724" s="4" t="str">
        <f>IF(Table1[[#This Row],[TAT_Days]]&gt;Table1[[#This Row],[SLA_TAT]],"Yes","No")</f>
        <v>Yes</v>
      </c>
      <c r="AA724" s="4" t="str" cm="1">
        <f t="array" ref="AA724">_xlfn.IFS(Table1[[#This Row],[Customer_Satisfaction]]&lt;=2,"Poor",Table1[[#This Row],[Customer_Satisfaction]]=3,"Neutral",Table1[[#This Row],[Customer_Satisfaction]]=4,"Good",Table1[[#This Row],[Customer_Satisfaction]]=5,"Good")</f>
        <v>Neutral</v>
      </c>
    </row>
    <row r="725" spans="1:27" x14ac:dyDescent="0.35">
      <c r="A725">
        <v>20723</v>
      </c>
      <c r="B725" s="1">
        <v>45390</v>
      </c>
      <c r="C725" t="s">
        <v>37</v>
      </c>
      <c r="D725" t="s">
        <v>70</v>
      </c>
      <c r="E725" t="s">
        <v>91</v>
      </c>
      <c r="F725" t="s">
        <v>22</v>
      </c>
      <c r="G725" t="s">
        <v>33</v>
      </c>
      <c r="H725" t="s">
        <v>34</v>
      </c>
      <c r="I725" t="s">
        <v>55</v>
      </c>
      <c r="J725" t="s">
        <v>58</v>
      </c>
      <c r="K725" t="s">
        <v>44</v>
      </c>
      <c r="L725" t="s">
        <v>28</v>
      </c>
      <c r="M725" s="4">
        <v>10</v>
      </c>
      <c r="N725" s="4">
        <v>7</v>
      </c>
      <c r="O725" t="s">
        <v>36</v>
      </c>
      <c r="P725" t="s">
        <v>36</v>
      </c>
      <c r="Q725" s="4">
        <v>491494</v>
      </c>
      <c r="R725" s="4">
        <v>301020</v>
      </c>
      <c r="S725" s="4">
        <f>Table1[[#This Row],[Service_Revenue]]-Table1[[#This Row],[Service_Cost]]</f>
        <v>190474</v>
      </c>
      <c r="T725" s="4">
        <v>3</v>
      </c>
      <c r="U725" s="4">
        <f>IF(AND(Table1[[#This Row],[Rework_Flag]]="Yes",Table1[[#This Row],[Warranty_Claim]]="No"),Table1[[#This Row],[Service_Revenue]],0)</f>
        <v>0</v>
      </c>
      <c r="V725" s="4">
        <f>IF(Table1[[#This Row],[Warranty_Claim]]="Yes",1,0)</f>
        <v>0</v>
      </c>
      <c r="W725" s="4">
        <f>IF(Table1[[#This Row],[Rework_Flag]]="No",1,0)</f>
        <v>1</v>
      </c>
      <c r="X725" s="4">
        <f>IF(Table1[[#This Row],[Rework_Flag]]="Yes",1,0)</f>
        <v>0</v>
      </c>
      <c r="Y725" s="4">
        <v>1</v>
      </c>
      <c r="Z725" s="4" t="str">
        <f>IF(Table1[[#This Row],[TAT_Days]]&gt;Table1[[#This Row],[SLA_TAT]],"Yes","No")</f>
        <v>Yes</v>
      </c>
      <c r="AA725" s="4" t="str" cm="1">
        <f t="array" ref="AA725">_xlfn.IFS(Table1[[#This Row],[Customer_Satisfaction]]&lt;=2,"Poor",Table1[[#This Row],[Customer_Satisfaction]]=3,"Neutral",Table1[[#This Row],[Customer_Satisfaction]]=4,"Good",Table1[[#This Row],[Customer_Satisfaction]]=5,"Good")</f>
        <v>Neutral</v>
      </c>
    </row>
    <row r="726" spans="1:27" x14ac:dyDescent="0.35">
      <c r="A726">
        <v>20724</v>
      </c>
      <c r="B726" s="1">
        <v>45409</v>
      </c>
      <c r="C726" t="s">
        <v>37</v>
      </c>
      <c r="D726" t="s">
        <v>70</v>
      </c>
      <c r="E726" t="s">
        <v>71</v>
      </c>
      <c r="F726" t="s">
        <v>40</v>
      </c>
      <c r="G726" t="s">
        <v>63</v>
      </c>
      <c r="H726" t="s">
        <v>24</v>
      </c>
      <c r="I726" t="s">
        <v>55</v>
      </c>
      <c r="J726" t="s">
        <v>58</v>
      </c>
      <c r="K726" t="s">
        <v>27</v>
      </c>
      <c r="L726" t="s">
        <v>49</v>
      </c>
      <c r="M726" s="4">
        <v>25</v>
      </c>
      <c r="N726" s="4">
        <v>7</v>
      </c>
      <c r="O726" t="s">
        <v>29</v>
      </c>
      <c r="P726" t="s">
        <v>36</v>
      </c>
      <c r="Q726" s="4">
        <v>273274</v>
      </c>
      <c r="R726" s="4">
        <v>213721</v>
      </c>
      <c r="S726" s="4">
        <f>Table1[[#This Row],[Service_Revenue]]-Table1[[#This Row],[Service_Cost]]</f>
        <v>59553</v>
      </c>
      <c r="T726" s="4">
        <v>1</v>
      </c>
      <c r="U726" s="4">
        <f>IF(AND(Table1[[#This Row],[Rework_Flag]]="Yes",Table1[[#This Row],[Warranty_Claim]]="No"),Table1[[#This Row],[Service_Revenue]],0)</f>
        <v>273274</v>
      </c>
      <c r="V726" s="4">
        <f>IF(Table1[[#This Row],[Warranty_Claim]]="Yes",1,0)</f>
        <v>0</v>
      </c>
      <c r="W726" s="4">
        <f>IF(Table1[[#This Row],[Rework_Flag]]="No",1,0)</f>
        <v>0</v>
      </c>
      <c r="X726" s="4">
        <f>IF(Table1[[#This Row],[Rework_Flag]]="Yes",1,0)</f>
        <v>1</v>
      </c>
      <c r="Y726" s="4">
        <v>1</v>
      </c>
      <c r="Z726" s="4" t="str">
        <f>IF(Table1[[#This Row],[TAT_Days]]&gt;Table1[[#This Row],[SLA_TAT]],"Yes","No")</f>
        <v>Yes</v>
      </c>
      <c r="AA726" s="4" t="str" cm="1">
        <f t="array" ref="AA726">_xlfn.IFS(Table1[[#This Row],[Customer_Satisfaction]]&lt;=2,"Poor",Table1[[#This Row],[Customer_Satisfaction]]=3,"Neutral",Table1[[#This Row],[Customer_Satisfaction]]=4,"Good",Table1[[#This Row],[Customer_Satisfaction]]=5,"Good")</f>
        <v>Poor</v>
      </c>
    </row>
    <row r="727" spans="1:27" x14ac:dyDescent="0.35">
      <c r="A727">
        <v>20725</v>
      </c>
      <c r="B727" s="1">
        <v>45369</v>
      </c>
      <c r="C727" t="s">
        <v>19</v>
      </c>
      <c r="D727" t="s">
        <v>45</v>
      </c>
      <c r="E727" t="s">
        <v>114</v>
      </c>
      <c r="F727" t="s">
        <v>22</v>
      </c>
      <c r="G727" t="s">
        <v>63</v>
      </c>
      <c r="H727" t="s">
        <v>24</v>
      </c>
      <c r="I727" t="s">
        <v>25</v>
      </c>
      <c r="J727" t="s">
        <v>26</v>
      </c>
      <c r="K727" t="s">
        <v>27</v>
      </c>
      <c r="L727" t="s">
        <v>28</v>
      </c>
      <c r="M727" s="4">
        <v>22</v>
      </c>
      <c r="N727" s="4">
        <v>7</v>
      </c>
      <c r="O727" t="s">
        <v>29</v>
      </c>
      <c r="P727" t="s">
        <v>36</v>
      </c>
      <c r="Q727" s="4">
        <v>97018</v>
      </c>
      <c r="R727" s="4">
        <v>65504</v>
      </c>
      <c r="S727" s="4">
        <f>Table1[[#This Row],[Service_Revenue]]-Table1[[#This Row],[Service_Cost]]</f>
        <v>31514</v>
      </c>
      <c r="T727" s="4">
        <v>1</v>
      </c>
      <c r="U727" s="4">
        <f>IF(AND(Table1[[#This Row],[Rework_Flag]]="Yes",Table1[[#This Row],[Warranty_Claim]]="No"),Table1[[#This Row],[Service_Revenue]],0)</f>
        <v>97018</v>
      </c>
      <c r="V727" s="4">
        <f>IF(Table1[[#This Row],[Warranty_Claim]]="Yes",1,0)</f>
        <v>0</v>
      </c>
      <c r="W727" s="4">
        <f>IF(Table1[[#This Row],[Rework_Flag]]="No",1,0)</f>
        <v>0</v>
      </c>
      <c r="X727" s="4">
        <f>IF(Table1[[#This Row],[Rework_Flag]]="Yes",1,0)</f>
        <v>1</v>
      </c>
      <c r="Y727" s="4">
        <v>1</v>
      </c>
      <c r="Z727" s="4" t="str">
        <f>IF(Table1[[#This Row],[TAT_Days]]&gt;Table1[[#This Row],[SLA_TAT]],"Yes","No")</f>
        <v>Yes</v>
      </c>
      <c r="AA727" s="4" t="str" cm="1">
        <f t="array" ref="AA727">_xlfn.IFS(Table1[[#This Row],[Customer_Satisfaction]]&lt;=2,"Poor",Table1[[#This Row],[Customer_Satisfaction]]=3,"Neutral",Table1[[#This Row],[Customer_Satisfaction]]=4,"Good",Table1[[#This Row],[Customer_Satisfaction]]=5,"Good")</f>
        <v>Poor</v>
      </c>
    </row>
    <row r="728" spans="1:27" x14ac:dyDescent="0.35">
      <c r="A728">
        <v>20726</v>
      </c>
      <c r="B728" s="1">
        <v>45297</v>
      </c>
      <c r="C728" t="s">
        <v>30</v>
      </c>
      <c r="D728" t="s">
        <v>31</v>
      </c>
      <c r="E728" t="s">
        <v>79</v>
      </c>
      <c r="F728" t="s">
        <v>22</v>
      </c>
      <c r="G728" t="s">
        <v>41</v>
      </c>
      <c r="H728" t="s">
        <v>42</v>
      </c>
      <c r="I728" t="s">
        <v>25</v>
      </c>
      <c r="J728" t="s">
        <v>58</v>
      </c>
      <c r="K728" t="s">
        <v>27</v>
      </c>
      <c r="L728" t="s">
        <v>49</v>
      </c>
      <c r="M728" s="4">
        <v>25</v>
      </c>
      <c r="N728" s="4">
        <v>7</v>
      </c>
      <c r="O728" t="s">
        <v>29</v>
      </c>
      <c r="P728" t="s">
        <v>36</v>
      </c>
      <c r="Q728" s="4">
        <v>527360</v>
      </c>
      <c r="R728" s="4">
        <v>337628</v>
      </c>
      <c r="S728" s="4">
        <f>Table1[[#This Row],[Service_Revenue]]-Table1[[#This Row],[Service_Cost]]</f>
        <v>189732</v>
      </c>
      <c r="T728" s="4">
        <v>1</v>
      </c>
      <c r="U728" s="4">
        <f>IF(AND(Table1[[#This Row],[Rework_Flag]]="Yes",Table1[[#This Row],[Warranty_Claim]]="No"),Table1[[#This Row],[Service_Revenue]],0)</f>
        <v>527360</v>
      </c>
      <c r="V728" s="4">
        <f>IF(Table1[[#This Row],[Warranty_Claim]]="Yes",1,0)</f>
        <v>0</v>
      </c>
      <c r="W728" s="4">
        <f>IF(Table1[[#This Row],[Rework_Flag]]="No",1,0)</f>
        <v>0</v>
      </c>
      <c r="X728" s="4">
        <f>IF(Table1[[#This Row],[Rework_Flag]]="Yes",1,0)</f>
        <v>1</v>
      </c>
      <c r="Y728" s="4">
        <v>1</v>
      </c>
      <c r="Z728" s="4" t="str">
        <f>IF(Table1[[#This Row],[TAT_Days]]&gt;Table1[[#This Row],[SLA_TAT]],"Yes","No")</f>
        <v>Yes</v>
      </c>
      <c r="AA728" s="4" t="str" cm="1">
        <f t="array" ref="AA728">_xlfn.IFS(Table1[[#This Row],[Customer_Satisfaction]]&lt;=2,"Poor",Table1[[#This Row],[Customer_Satisfaction]]=3,"Neutral",Table1[[#This Row],[Customer_Satisfaction]]=4,"Good",Table1[[#This Row],[Customer_Satisfaction]]=5,"Good")</f>
        <v>Poor</v>
      </c>
    </row>
    <row r="729" spans="1:27" x14ac:dyDescent="0.35">
      <c r="A729">
        <v>20727</v>
      </c>
      <c r="B729" s="1">
        <v>45414</v>
      </c>
      <c r="C729" t="s">
        <v>37</v>
      </c>
      <c r="D729" t="s">
        <v>70</v>
      </c>
      <c r="E729" t="s">
        <v>100</v>
      </c>
      <c r="F729" t="s">
        <v>53</v>
      </c>
      <c r="G729" t="s">
        <v>47</v>
      </c>
      <c r="H729" t="s">
        <v>48</v>
      </c>
      <c r="I729" t="s">
        <v>55</v>
      </c>
      <c r="J729" t="s">
        <v>43</v>
      </c>
      <c r="K729" t="s">
        <v>44</v>
      </c>
      <c r="L729" t="s">
        <v>28</v>
      </c>
      <c r="M729" s="4">
        <v>7</v>
      </c>
      <c r="N729" s="4">
        <v>7</v>
      </c>
      <c r="O729" t="s">
        <v>36</v>
      </c>
      <c r="P729" t="s">
        <v>36</v>
      </c>
      <c r="Q729" s="4">
        <v>576992</v>
      </c>
      <c r="R729" s="4">
        <v>443978</v>
      </c>
      <c r="S729" s="4">
        <f>Table1[[#This Row],[Service_Revenue]]-Table1[[#This Row],[Service_Cost]]</f>
        <v>133014</v>
      </c>
      <c r="T729" s="4">
        <v>4</v>
      </c>
      <c r="U729" s="4">
        <f>IF(AND(Table1[[#This Row],[Rework_Flag]]="Yes",Table1[[#This Row],[Warranty_Claim]]="No"),Table1[[#This Row],[Service_Revenue]],0)</f>
        <v>0</v>
      </c>
      <c r="V729" s="4">
        <f>IF(Table1[[#This Row],[Warranty_Claim]]="Yes",1,0)</f>
        <v>0</v>
      </c>
      <c r="W729" s="4">
        <f>IF(Table1[[#This Row],[Rework_Flag]]="No",1,0)</f>
        <v>1</v>
      </c>
      <c r="X729" s="4">
        <f>IF(Table1[[#This Row],[Rework_Flag]]="Yes",1,0)</f>
        <v>0</v>
      </c>
      <c r="Y729" s="4">
        <v>1</v>
      </c>
      <c r="Z729" s="4" t="str">
        <f>IF(Table1[[#This Row],[TAT_Days]]&gt;Table1[[#This Row],[SLA_TAT]],"Yes","No")</f>
        <v>No</v>
      </c>
      <c r="AA729" s="4" t="str" cm="1">
        <f t="array" ref="AA729">_xlfn.IFS(Table1[[#This Row],[Customer_Satisfaction]]&lt;=2,"Poor",Table1[[#This Row],[Customer_Satisfaction]]=3,"Neutral",Table1[[#This Row],[Customer_Satisfaction]]=4,"Good",Table1[[#This Row],[Customer_Satisfaction]]=5,"Good")</f>
        <v>Good</v>
      </c>
    </row>
    <row r="730" spans="1:27" x14ac:dyDescent="0.35">
      <c r="A730">
        <v>20728</v>
      </c>
      <c r="B730" s="1">
        <v>45372</v>
      </c>
      <c r="C730" t="s">
        <v>50</v>
      </c>
      <c r="D730" t="s">
        <v>80</v>
      </c>
      <c r="E730" t="s">
        <v>118</v>
      </c>
      <c r="F730" t="s">
        <v>53</v>
      </c>
      <c r="G730" t="s">
        <v>41</v>
      </c>
      <c r="H730" t="s">
        <v>42</v>
      </c>
      <c r="I730" t="s">
        <v>25</v>
      </c>
      <c r="J730" t="s">
        <v>26</v>
      </c>
      <c r="K730" t="s">
        <v>27</v>
      </c>
      <c r="L730" t="s">
        <v>49</v>
      </c>
      <c r="M730" s="4">
        <v>4</v>
      </c>
      <c r="N730" s="4">
        <v>7</v>
      </c>
      <c r="O730" t="s">
        <v>29</v>
      </c>
      <c r="P730" t="s">
        <v>36</v>
      </c>
      <c r="Q730" s="4">
        <v>378848</v>
      </c>
      <c r="R730" s="4">
        <v>250235</v>
      </c>
      <c r="S730" s="4">
        <f>Table1[[#This Row],[Service_Revenue]]-Table1[[#This Row],[Service_Cost]]</f>
        <v>128613</v>
      </c>
      <c r="T730" s="4">
        <v>4</v>
      </c>
      <c r="U730" s="4">
        <f>IF(AND(Table1[[#This Row],[Rework_Flag]]="Yes",Table1[[#This Row],[Warranty_Claim]]="No"),Table1[[#This Row],[Service_Revenue]],0)</f>
        <v>378848</v>
      </c>
      <c r="V730" s="4">
        <f>IF(Table1[[#This Row],[Warranty_Claim]]="Yes",1,0)</f>
        <v>0</v>
      </c>
      <c r="W730" s="4">
        <f>IF(Table1[[#This Row],[Rework_Flag]]="No",1,0)</f>
        <v>0</v>
      </c>
      <c r="X730" s="4">
        <f>IF(Table1[[#This Row],[Rework_Flag]]="Yes",1,0)</f>
        <v>1</v>
      </c>
      <c r="Y730" s="4">
        <v>1</v>
      </c>
      <c r="Z730" s="4" t="str">
        <f>IF(Table1[[#This Row],[TAT_Days]]&gt;Table1[[#This Row],[SLA_TAT]],"Yes","No")</f>
        <v>No</v>
      </c>
      <c r="AA730" s="4" t="str" cm="1">
        <f t="array" ref="AA730">_xlfn.IFS(Table1[[#This Row],[Customer_Satisfaction]]&lt;=2,"Poor",Table1[[#This Row],[Customer_Satisfaction]]=3,"Neutral",Table1[[#This Row],[Customer_Satisfaction]]=4,"Good",Table1[[#This Row],[Customer_Satisfaction]]=5,"Good")</f>
        <v>Good</v>
      </c>
    </row>
    <row r="731" spans="1:27" x14ac:dyDescent="0.35">
      <c r="A731">
        <v>20729</v>
      </c>
      <c r="B731" s="1">
        <v>45352</v>
      </c>
      <c r="C731" t="s">
        <v>30</v>
      </c>
      <c r="D731" t="s">
        <v>83</v>
      </c>
      <c r="E731" t="s">
        <v>95</v>
      </c>
      <c r="F731" t="s">
        <v>40</v>
      </c>
      <c r="G731" t="s">
        <v>54</v>
      </c>
      <c r="H731" t="s">
        <v>42</v>
      </c>
      <c r="I731" t="s">
        <v>55</v>
      </c>
      <c r="J731" t="s">
        <v>58</v>
      </c>
      <c r="K731" t="s">
        <v>44</v>
      </c>
      <c r="L731" t="s">
        <v>28</v>
      </c>
      <c r="M731" s="4">
        <v>12</v>
      </c>
      <c r="N731" s="4">
        <v>7</v>
      </c>
      <c r="O731" t="s">
        <v>36</v>
      </c>
      <c r="P731" t="s">
        <v>36</v>
      </c>
      <c r="Q731" s="4">
        <v>524888</v>
      </c>
      <c r="R731" s="4">
        <v>348834</v>
      </c>
      <c r="S731" s="4">
        <f>Table1[[#This Row],[Service_Revenue]]-Table1[[#This Row],[Service_Cost]]</f>
        <v>176054</v>
      </c>
      <c r="T731" s="4">
        <v>3</v>
      </c>
      <c r="U731" s="4">
        <f>IF(AND(Table1[[#This Row],[Rework_Flag]]="Yes",Table1[[#This Row],[Warranty_Claim]]="No"),Table1[[#This Row],[Service_Revenue]],0)</f>
        <v>0</v>
      </c>
      <c r="V731" s="4">
        <f>IF(Table1[[#This Row],[Warranty_Claim]]="Yes",1,0)</f>
        <v>0</v>
      </c>
      <c r="W731" s="4">
        <f>IF(Table1[[#This Row],[Rework_Flag]]="No",1,0)</f>
        <v>1</v>
      </c>
      <c r="X731" s="4">
        <f>IF(Table1[[#This Row],[Rework_Flag]]="Yes",1,0)</f>
        <v>0</v>
      </c>
      <c r="Y731" s="4">
        <v>1</v>
      </c>
      <c r="Z731" s="4" t="str">
        <f>IF(Table1[[#This Row],[TAT_Days]]&gt;Table1[[#This Row],[SLA_TAT]],"Yes","No")</f>
        <v>Yes</v>
      </c>
      <c r="AA731" s="4" t="str" cm="1">
        <f t="array" ref="AA731">_xlfn.IFS(Table1[[#This Row],[Customer_Satisfaction]]&lt;=2,"Poor",Table1[[#This Row],[Customer_Satisfaction]]=3,"Neutral",Table1[[#This Row],[Customer_Satisfaction]]=4,"Good",Table1[[#This Row],[Customer_Satisfaction]]=5,"Good")</f>
        <v>Neutral</v>
      </c>
    </row>
    <row r="732" spans="1:27" x14ac:dyDescent="0.35">
      <c r="A732">
        <v>20730</v>
      </c>
      <c r="B732" s="1">
        <v>45391</v>
      </c>
      <c r="C732" t="s">
        <v>37</v>
      </c>
      <c r="D732" t="s">
        <v>38</v>
      </c>
      <c r="E732" t="s">
        <v>107</v>
      </c>
      <c r="F732" t="s">
        <v>53</v>
      </c>
      <c r="G732" t="s">
        <v>47</v>
      </c>
      <c r="H732" t="s">
        <v>48</v>
      </c>
      <c r="I732" t="s">
        <v>25</v>
      </c>
      <c r="J732" t="s">
        <v>26</v>
      </c>
      <c r="K732" t="s">
        <v>44</v>
      </c>
      <c r="L732" t="s">
        <v>49</v>
      </c>
      <c r="M732" s="4">
        <v>2</v>
      </c>
      <c r="N732" s="4">
        <v>7</v>
      </c>
      <c r="O732" t="s">
        <v>29</v>
      </c>
      <c r="P732" t="s">
        <v>36</v>
      </c>
      <c r="Q732" s="4">
        <v>474917</v>
      </c>
      <c r="R732" s="4">
        <v>293290</v>
      </c>
      <c r="S732" s="4">
        <f>Table1[[#This Row],[Service_Revenue]]-Table1[[#This Row],[Service_Cost]]</f>
        <v>181627</v>
      </c>
      <c r="T732" s="4">
        <v>4</v>
      </c>
      <c r="U732" s="4">
        <f>IF(AND(Table1[[#This Row],[Rework_Flag]]="Yes",Table1[[#This Row],[Warranty_Claim]]="No"),Table1[[#This Row],[Service_Revenue]],0)</f>
        <v>474917</v>
      </c>
      <c r="V732" s="4">
        <f>IF(Table1[[#This Row],[Warranty_Claim]]="Yes",1,0)</f>
        <v>0</v>
      </c>
      <c r="W732" s="4">
        <f>IF(Table1[[#This Row],[Rework_Flag]]="No",1,0)</f>
        <v>0</v>
      </c>
      <c r="X732" s="4">
        <f>IF(Table1[[#This Row],[Rework_Flag]]="Yes",1,0)</f>
        <v>1</v>
      </c>
      <c r="Y732" s="4">
        <v>1</v>
      </c>
      <c r="Z732" s="4" t="str">
        <f>IF(Table1[[#This Row],[TAT_Days]]&gt;Table1[[#This Row],[SLA_TAT]],"Yes","No")</f>
        <v>No</v>
      </c>
      <c r="AA732" s="4" t="str" cm="1">
        <f t="array" ref="AA732">_xlfn.IFS(Table1[[#This Row],[Customer_Satisfaction]]&lt;=2,"Poor",Table1[[#This Row],[Customer_Satisfaction]]=3,"Neutral",Table1[[#This Row],[Customer_Satisfaction]]=4,"Good",Table1[[#This Row],[Customer_Satisfaction]]=5,"Good")</f>
        <v>Good</v>
      </c>
    </row>
    <row r="733" spans="1:27" x14ac:dyDescent="0.35">
      <c r="A733">
        <v>20731</v>
      </c>
      <c r="B733" s="1">
        <v>45395</v>
      </c>
      <c r="C733" t="s">
        <v>30</v>
      </c>
      <c r="D733" t="s">
        <v>83</v>
      </c>
      <c r="E733" t="s">
        <v>90</v>
      </c>
      <c r="F733" t="s">
        <v>22</v>
      </c>
      <c r="G733" t="s">
        <v>41</v>
      </c>
      <c r="H733" t="s">
        <v>42</v>
      </c>
      <c r="I733" t="s">
        <v>25</v>
      </c>
      <c r="J733" t="s">
        <v>26</v>
      </c>
      <c r="K733" t="s">
        <v>61</v>
      </c>
      <c r="L733" t="s">
        <v>28</v>
      </c>
      <c r="M733" s="4">
        <v>6</v>
      </c>
      <c r="N733" s="4">
        <v>7</v>
      </c>
      <c r="O733" t="s">
        <v>36</v>
      </c>
      <c r="P733" t="s">
        <v>29</v>
      </c>
      <c r="Q733" s="4">
        <v>301329</v>
      </c>
      <c r="R733" s="4">
        <v>202676</v>
      </c>
      <c r="S733" s="4">
        <f>Table1[[#This Row],[Service_Revenue]]-Table1[[#This Row],[Service_Cost]]</f>
        <v>98653</v>
      </c>
      <c r="T733" s="4">
        <v>4</v>
      </c>
      <c r="U733" s="4">
        <f>IF(AND(Table1[[#This Row],[Rework_Flag]]="Yes",Table1[[#This Row],[Warranty_Claim]]="No"),Table1[[#This Row],[Service_Revenue]],0)</f>
        <v>0</v>
      </c>
      <c r="V733" s="4">
        <f>IF(Table1[[#This Row],[Warranty_Claim]]="Yes",1,0)</f>
        <v>1</v>
      </c>
      <c r="W733" s="4">
        <f>IF(Table1[[#This Row],[Rework_Flag]]="No",1,0)</f>
        <v>1</v>
      </c>
      <c r="X733" s="4">
        <f>IF(Table1[[#This Row],[Rework_Flag]]="Yes",1,0)</f>
        <v>0</v>
      </c>
      <c r="Y733" s="4">
        <v>1</v>
      </c>
      <c r="Z733" s="4" t="str">
        <f>IF(Table1[[#This Row],[TAT_Days]]&gt;Table1[[#This Row],[SLA_TAT]],"Yes","No")</f>
        <v>No</v>
      </c>
      <c r="AA733" s="4" t="str" cm="1">
        <f t="array" ref="AA733">_xlfn.IFS(Table1[[#This Row],[Customer_Satisfaction]]&lt;=2,"Poor",Table1[[#This Row],[Customer_Satisfaction]]=3,"Neutral",Table1[[#This Row],[Customer_Satisfaction]]=4,"Good",Table1[[#This Row],[Customer_Satisfaction]]=5,"Good")</f>
        <v>Good</v>
      </c>
    </row>
    <row r="734" spans="1:27" x14ac:dyDescent="0.35">
      <c r="A734">
        <v>20732</v>
      </c>
      <c r="B734" s="1">
        <v>45292</v>
      </c>
      <c r="C734" t="s">
        <v>19</v>
      </c>
      <c r="D734" t="s">
        <v>45</v>
      </c>
      <c r="E734" t="s">
        <v>114</v>
      </c>
      <c r="F734" t="s">
        <v>53</v>
      </c>
      <c r="G734" t="s">
        <v>74</v>
      </c>
      <c r="H734" t="s">
        <v>34</v>
      </c>
      <c r="I734" t="s">
        <v>55</v>
      </c>
      <c r="J734" t="s">
        <v>35</v>
      </c>
      <c r="K734" t="s">
        <v>44</v>
      </c>
      <c r="L734" t="s">
        <v>49</v>
      </c>
      <c r="M734" s="4">
        <v>3</v>
      </c>
      <c r="N734" s="4">
        <v>7</v>
      </c>
      <c r="O734" t="s">
        <v>36</v>
      </c>
      <c r="P734" t="s">
        <v>36</v>
      </c>
      <c r="Q734" s="4">
        <v>576183</v>
      </c>
      <c r="R734" s="4">
        <v>447446</v>
      </c>
      <c r="S734" s="4">
        <f>Table1[[#This Row],[Service_Revenue]]-Table1[[#This Row],[Service_Cost]]</f>
        <v>128737</v>
      </c>
      <c r="T734" s="4">
        <v>5</v>
      </c>
      <c r="U734" s="4">
        <f>IF(AND(Table1[[#This Row],[Rework_Flag]]="Yes",Table1[[#This Row],[Warranty_Claim]]="No"),Table1[[#This Row],[Service_Revenue]],0)</f>
        <v>0</v>
      </c>
      <c r="V734" s="4">
        <f>IF(Table1[[#This Row],[Warranty_Claim]]="Yes",1,0)</f>
        <v>0</v>
      </c>
      <c r="W734" s="4">
        <f>IF(Table1[[#This Row],[Rework_Flag]]="No",1,0)</f>
        <v>1</v>
      </c>
      <c r="X734" s="4">
        <f>IF(Table1[[#This Row],[Rework_Flag]]="Yes",1,0)</f>
        <v>0</v>
      </c>
      <c r="Y734" s="4">
        <v>1</v>
      </c>
      <c r="Z734" s="4" t="str">
        <f>IF(Table1[[#This Row],[TAT_Days]]&gt;Table1[[#This Row],[SLA_TAT]],"Yes","No")</f>
        <v>No</v>
      </c>
      <c r="AA734" s="4" t="str" cm="1">
        <f t="array" ref="AA734">_xlfn.IFS(Table1[[#This Row],[Customer_Satisfaction]]&lt;=2,"Poor",Table1[[#This Row],[Customer_Satisfaction]]=3,"Neutral",Table1[[#This Row],[Customer_Satisfaction]]=4,"Good",Table1[[#This Row],[Customer_Satisfaction]]=5,"Good")</f>
        <v>Good</v>
      </c>
    </row>
    <row r="735" spans="1:27" x14ac:dyDescent="0.35">
      <c r="A735">
        <v>20733</v>
      </c>
      <c r="B735" s="1">
        <v>45360</v>
      </c>
      <c r="C735" t="s">
        <v>50</v>
      </c>
      <c r="D735" t="s">
        <v>80</v>
      </c>
      <c r="E735" t="s">
        <v>85</v>
      </c>
      <c r="F735" t="s">
        <v>53</v>
      </c>
      <c r="G735" t="s">
        <v>41</v>
      </c>
      <c r="H735" t="s">
        <v>42</v>
      </c>
      <c r="I735" t="s">
        <v>55</v>
      </c>
      <c r="J735" t="s">
        <v>26</v>
      </c>
      <c r="K735" t="s">
        <v>61</v>
      </c>
      <c r="L735" t="s">
        <v>28</v>
      </c>
      <c r="M735" s="4">
        <v>4</v>
      </c>
      <c r="N735" s="4">
        <v>7</v>
      </c>
      <c r="O735" t="s">
        <v>36</v>
      </c>
      <c r="P735" t="s">
        <v>36</v>
      </c>
      <c r="Q735" s="4">
        <v>434190</v>
      </c>
      <c r="R735" s="4">
        <v>232615</v>
      </c>
      <c r="S735" s="4">
        <f>Table1[[#This Row],[Service_Revenue]]-Table1[[#This Row],[Service_Cost]]</f>
        <v>201575</v>
      </c>
      <c r="T735" s="4">
        <v>5</v>
      </c>
      <c r="U735" s="4">
        <f>IF(AND(Table1[[#This Row],[Rework_Flag]]="Yes",Table1[[#This Row],[Warranty_Claim]]="No"),Table1[[#This Row],[Service_Revenue]],0)</f>
        <v>0</v>
      </c>
      <c r="V735" s="4">
        <f>IF(Table1[[#This Row],[Warranty_Claim]]="Yes",1,0)</f>
        <v>0</v>
      </c>
      <c r="W735" s="4">
        <f>IF(Table1[[#This Row],[Rework_Flag]]="No",1,0)</f>
        <v>1</v>
      </c>
      <c r="X735" s="4">
        <f>IF(Table1[[#This Row],[Rework_Flag]]="Yes",1,0)</f>
        <v>0</v>
      </c>
      <c r="Y735" s="4">
        <v>1</v>
      </c>
      <c r="Z735" s="4" t="str">
        <f>IF(Table1[[#This Row],[TAT_Days]]&gt;Table1[[#This Row],[SLA_TAT]],"Yes","No")</f>
        <v>No</v>
      </c>
      <c r="AA735" s="4" t="str" cm="1">
        <f t="array" ref="AA735">_xlfn.IFS(Table1[[#This Row],[Customer_Satisfaction]]&lt;=2,"Poor",Table1[[#This Row],[Customer_Satisfaction]]=3,"Neutral",Table1[[#This Row],[Customer_Satisfaction]]=4,"Good",Table1[[#This Row],[Customer_Satisfaction]]=5,"Good")</f>
        <v>Good</v>
      </c>
    </row>
    <row r="736" spans="1:27" x14ac:dyDescent="0.35">
      <c r="A736">
        <v>20734</v>
      </c>
      <c r="B736" s="1">
        <v>45438</v>
      </c>
      <c r="C736" t="s">
        <v>30</v>
      </c>
      <c r="D736" t="s">
        <v>83</v>
      </c>
      <c r="E736" t="s">
        <v>95</v>
      </c>
      <c r="F736" t="s">
        <v>22</v>
      </c>
      <c r="G736" t="s">
        <v>74</v>
      </c>
      <c r="H736" t="s">
        <v>34</v>
      </c>
      <c r="I736" t="s">
        <v>55</v>
      </c>
      <c r="J736" t="s">
        <v>58</v>
      </c>
      <c r="K736" t="s">
        <v>44</v>
      </c>
      <c r="L736" t="s">
        <v>28</v>
      </c>
      <c r="M736" s="4">
        <v>23</v>
      </c>
      <c r="N736" s="4">
        <v>7</v>
      </c>
      <c r="O736" t="s">
        <v>36</v>
      </c>
      <c r="P736" t="s">
        <v>36</v>
      </c>
      <c r="Q736" s="4">
        <v>418123</v>
      </c>
      <c r="R736" s="4">
        <v>309631</v>
      </c>
      <c r="S736" s="4">
        <f>Table1[[#This Row],[Service_Revenue]]-Table1[[#This Row],[Service_Cost]]</f>
        <v>108492</v>
      </c>
      <c r="T736" s="4">
        <v>1</v>
      </c>
      <c r="U736" s="4">
        <f>IF(AND(Table1[[#This Row],[Rework_Flag]]="Yes",Table1[[#This Row],[Warranty_Claim]]="No"),Table1[[#This Row],[Service_Revenue]],0)</f>
        <v>0</v>
      </c>
      <c r="V736" s="4">
        <f>IF(Table1[[#This Row],[Warranty_Claim]]="Yes",1,0)</f>
        <v>0</v>
      </c>
      <c r="W736" s="4">
        <f>IF(Table1[[#This Row],[Rework_Flag]]="No",1,0)</f>
        <v>1</v>
      </c>
      <c r="X736" s="4">
        <f>IF(Table1[[#This Row],[Rework_Flag]]="Yes",1,0)</f>
        <v>0</v>
      </c>
      <c r="Y736" s="4">
        <v>1</v>
      </c>
      <c r="Z736" s="4" t="str">
        <f>IF(Table1[[#This Row],[TAT_Days]]&gt;Table1[[#This Row],[SLA_TAT]],"Yes","No")</f>
        <v>Yes</v>
      </c>
      <c r="AA736" s="4" t="str" cm="1">
        <f t="array" ref="AA736">_xlfn.IFS(Table1[[#This Row],[Customer_Satisfaction]]&lt;=2,"Poor",Table1[[#This Row],[Customer_Satisfaction]]=3,"Neutral",Table1[[#This Row],[Customer_Satisfaction]]=4,"Good",Table1[[#This Row],[Customer_Satisfaction]]=5,"Good")</f>
        <v>Poor</v>
      </c>
    </row>
    <row r="737" spans="1:27" x14ac:dyDescent="0.35">
      <c r="A737">
        <v>20735</v>
      </c>
      <c r="B737" s="1">
        <v>45441</v>
      </c>
      <c r="C737" t="s">
        <v>19</v>
      </c>
      <c r="D737" t="s">
        <v>96</v>
      </c>
      <c r="E737" t="s">
        <v>108</v>
      </c>
      <c r="F737" t="s">
        <v>53</v>
      </c>
      <c r="G737" t="s">
        <v>74</v>
      </c>
      <c r="H737" t="s">
        <v>34</v>
      </c>
      <c r="I737" t="s">
        <v>55</v>
      </c>
      <c r="J737" t="s">
        <v>26</v>
      </c>
      <c r="K737" t="s">
        <v>44</v>
      </c>
      <c r="L737" t="s">
        <v>49</v>
      </c>
      <c r="M737" s="4">
        <v>10</v>
      </c>
      <c r="N737" s="4">
        <v>7</v>
      </c>
      <c r="O737" t="s">
        <v>29</v>
      </c>
      <c r="P737" t="s">
        <v>36</v>
      </c>
      <c r="Q737" s="4">
        <v>298828</v>
      </c>
      <c r="R737" s="4">
        <v>168027</v>
      </c>
      <c r="S737" s="4">
        <f>Table1[[#This Row],[Service_Revenue]]-Table1[[#This Row],[Service_Cost]]</f>
        <v>130801</v>
      </c>
      <c r="T737" s="4">
        <v>2</v>
      </c>
      <c r="U737" s="4">
        <f>IF(AND(Table1[[#This Row],[Rework_Flag]]="Yes",Table1[[#This Row],[Warranty_Claim]]="No"),Table1[[#This Row],[Service_Revenue]],0)</f>
        <v>298828</v>
      </c>
      <c r="V737" s="4">
        <f>IF(Table1[[#This Row],[Warranty_Claim]]="Yes",1,0)</f>
        <v>0</v>
      </c>
      <c r="W737" s="4">
        <f>IF(Table1[[#This Row],[Rework_Flag]]="No",1,0)</f>
        <v>0</v>
      </c>
      <c r="X737" s="4">
        <f>IF(Table1[[#This Row],[Rework_Flag]]="Yes",1,0)</f>
        <v>1</v>
      </c>
      <c r="Y737" s="4">
        <v>1</v>
      </c>
      <c r="Z737" s="4" t="str">
        <f>IF(Table1[[#This Row],[TAT_Days]]&gt;Table1[[#This Row],[SLA_TAT]],"Yes","No")</f>
        <v>Yes</v>
      </c>
      <c r="AA737" s="4" t="str" cm="1">
        <f t="array" ref="AA737">_xlfn.IFS(Table1[[#This Row],[Customer_Satisfaction]]&lt;=2,"Poor",Table1[[#This Row],[Customer_Satisfaction]]=3,"Neutral",Table1[[#This Row],[Customer_Satisfaction]]=4,"Good",Table1[[#This Row],[Customer_Satisfaction]]=5,"Good")</f>
        <v>Poor</v>
      </c>
    </row>
    <row r="738" spans="1:27" x14ac:dyDescent="0.35">
      <c r="A738">
        <v>20736</v>
      </c>
      <c r="B738" s="1">
        <v>45346</v>
      </c>
      <c r="C738" t="s">
        <v>30</v>
      </c>
      <c r="D738" t="s">
        <v>31</v>
      </c>
      <c r="E738" t="s">
        <v>62</v>
      </c>
      <c r="F738" t="s">
        <v>53</v>
      </c>
      <c r="G738" t="s">
        <v>41</v>
      </c>
      <c r="H738" t="s">
        <v>42</v>
      </c>
      <c r="I738" t="s">
        <v>55</v>
      </c>
      <c r="J738" t="s">
        <v>67</v>
      </c>
      <c r="K738" t="s">
        <v>61</v>
      </c>
      <c r="L738" t="s">
        <v>28</v>
      </c>
      <c r="M738" s="4">
        <v>9</v>
      </c>
      <c r="N738" s="4">
        <v>7</v>
      </c>
      <c r="O738" t="s">
        <v>36</v>
      </c>
      <c r="P738" t="s">
        <v>36</v>
      </c>
      <c r="Q738" s="4">
        <v>227039</v>
      </c>
      <c r="R738" s="4">
        <v>158049</v>
      </c>
      <c r="S738" s="4">
        <f>Table1[[#This Row],[Service_Revenue]]-Table1[[#This Row],[Service_Cost]]</f>
        <v>68990</v>
      </c>
      <c r="T738" s="4">
        <v>4</v>
      </c>
      <c r="U738" s="4">
        <f>IF(AND(Table1[[#This Row],[Rework_Flag]]="Yes",Table1[[#This Row],[Warranty_Claim]]="No"),Table1[[#This Row],[Service_Revenue]],0)</f>
        <v>0</v>
      </c>
      <c r="V738" s="4">
        <f>IF(Table1[[#This Row],[Warranty_Claim]]="Yes",1,0)</f>
        <v>0</v>
      </c>
      <c r="W738" s="4">
        <f>IF(Table1[[#This Row],[Rework_Flag]]="No",1,0)</f>
        <v>1</v>
      </c>
      <c r="X738" s="4">
        <f>IF(Table1[[#This Row],[Rework_Flag]]="Yes",1,0)</f>
        <v>0</v>
      </c>
      <c r="Y738" s="4">
        <v>1</v>
      </c>
      <c r="Z738" s="4" t="str">
        <f>IF(Table1[[#This Row],[TAT_Days]]&gt;Table1[[#This Row],[SLA_TAT]],"Yes","No")</f>
        <v>Yes</v>
      </c>
      <c r="AA738" s="4" t="str" cm="1">
        <f t="array" ref="AA738">_xlfn.IFS(Table1[[#This Row],[Customer_Satisfaction]]&lt;=2,"Poor",Table1[[#This Row],[Customer_Satisfaction]]=3,"Neutral",Table1[[#This Row],[Customer_Satisfaction]]=4,"Good",Table1[[#This Row],[Customer_Satisfaction]]=5,"Good")</f>
        <v>Good</v>
      </c>
    </row>
    <row r="739" spans="1:27" x14ac:dyDescent="0.35">
      <c r="A739">
        <v>20737</v>
      </c>
      <c r="B739" s="1">
        <v>45340</v>
      </c>
      <c r="C739" t="s">
        <v>19</v>
      </c>
      <c r="D739" t="s">
        <v>96</v>
      </c>
      <c r="E739" t="s">
        <v>108</v>
      </c>
      <c r="F739" t="s">
        <v>22</v>
      </c>
      <c r="G739" t="s">
        <v>63</v>
      </c>
      <c r="H739" t="s">
        <v>24</v>
      </c>
      <c r="I739" t="s">
        <v>25</v>
      </c>
      <c r="J739" t="s">
        <v>43</v>
      </c>
      <c r="K739" t="s">
        <v>44</v>
      </c>
      <c r="L739" t="s">
        <v>49</v>
      </c>
      <c r="M739" s="4">
        <v>2</v>
      </c>
      <c r="N739" s="4">
        <v>7</v>
      </c>
      <c r="O739" t="s">
        <v>29</v>
      </c>
      <c r="P739" t="s">
        <v>29</v>
      </c>
      <c r="Q739" s="4">
        <v>302811</v>
      </c>
      <c r="R739" s="4">
        <v>203916</v>
      </c>
      <c r="S739" s="4">
        <f>Table1[[#This Row],[Service_Revenue]]-Table1[[#This Row],[Service_Cost]]</f>
        <v>98895</v>
      </c>
      <c r="T739" s="4">
        <v>4</v>
      </c>
      <c r="U739" s="4">
        <f>IF(AND(Table1[[#This Row],[Rework_Flag]]="Yes",Table1[[#This Row],[Warranty_Claim]]="No"),Table1[[#This Row],[Service_Revenue]],0)</f>
        <v>0</v>
      </c>
      <c r="V739" s="4">
        <f>IF(Table1[[#This Row],[Warranty_Claim]]="Yes",1,0)</f>
        <v>1</v>
      </c>
      <c r="W739" s="4">
        <f>IF(Table1[[#This Row],[Rework_Flag]]="No",1,0)</f>
        <v>0</v>
      </c>
      <c r="X739" s="4">
        <f>IF(Table1[[#This Row],[Rework_Flag]]="Yes",1,0)</f>
        <v>1</v>
      </c>
      <c r="Y739" s="4">
        <v>1</v>
      </c>
      <c r="Z739" s="4" t="str">
        <f>IF(Table1[[#This Row],[TAT_Days]]&gt;Table1[[#This Row],[SLA_TAT]],"Yes","No")</f>
        <v>No</v>
      </c>
      <c r="AA739" s="4" t="str" cm="1">
        <f t="array" ref="AA739">_xlfn.IFS(Table1[[#This Row],[Customer_Satisfaction]]&lt;=2,"Poor",Table1[[#This Row],[Customer_Satisfaction]]=3,"Neutral",Table1[[#This Row],[Customer_Satisfaction]]=4,"Good",Table1[[#This Row],[Customer_Satisfaction]]=5,"Good")</f>
        <v>Good</v>
      </c>
    </row>
    <row r="740" spans="1:27" x14ac:dyDescent="0.35">
      <c r="A740">
        <v>20738</v>
      </c>
      <c r="B740" s="1">
        <v>45459</v>
      </c>
      <c r="C740" t="s">
        <v>50</v>
      </c>
      <c r="D740" t="s">
        <v>80</v>
      </c>
      <c r="E740" t="s">
        <v>85</v>
      </c>
      <c r="F740" t="s">
        <v>22</v>
      </c>
      <c r="G740" t="s">
        <v>41</v>
      </c>
      <c r="H740" t="s">
        <v>42</v>
      </c>
      <c r="I740" t="s">
        <v>25</v>
      </c>
      <c r="J740" t="s">
        <v>35</v>
      </c>
      <c r="K740" t="s">
        <v>44</v>
      </c>
      <c r="L740" t="s">
        <v>28</v>
      </c>
      <c r="M740" s="4">
        <v>22</v>
      </c>
      <c r="N740" s="4">
        <v>7</v>
      </c>
      <c r="O740" t="s">
        <v>36</v>
      </c>
      <c r="P740" t="s">
        <v>36</v>
      </c>
      <c r="Q740" s="4">
        <v>454264</v>
      </c>
      <c r="R740" s="4">
        <v>352099</v>
      </c>
      <c r="S740" s="4">
        <f>Table1[[#This Row],[Service_Revenue]]-Table1[[#This Row],[Service_Cost]]</f>
        <v>102165</v>
      </c>
      <c r="T740" s="4">
        <v>1</v>
      </c>
      <c r="U740" s="4">
        <f>IF(AND(Table1[[#This Row],[Rework_Flag]]="Yes",Table1[[#This Row],[Warranty_Claim]]="No"),Table1[[#This Row],[Service_Revenue]],0)</f>
        <v>0</v>
      </c>
      <c r="V740" s="4">
        <f>IF(Table1[[#This Row],[Warranty_Claim]]="Yes",1,0)</f>
        <v>0</v>
      </c>
      <c r="W740" s="4">
        <f>IF(Table1[[#This Row],[Rework_Flag]]="No",1,0)</f>
        <v>1</v>
      </c>
      <c r="X740" s="4">
        <f>IF(Table1[[#This Row],[Rework_Flag]]="Yes",1,0)</f>
        <v>0</v>
      </c>
      <c r="Y740" s="4">
        <v>1</v>
      </c>
      <c r="Z740" s="4" t="str">
        <f>IF(Table1[[#This Row],[TAT_Days]]&gt;Table1[[#This Row],[SLA_TAT]],"Yes","No")</f>
        <v>Yes</v>
      </c>
      <c r="AA740" s="4" t="str" cm="1">
        <f t="array" ref="AA740">_xlfn.IFS(Table1[[#This Row],[Customer_Satisfaction]]&lt;=2,"Poor",Table1[[#This Row],[Customer_Satisfaction]]=3,"Neutral",Table1[[#This Row],[Customer_Satisfaction]]=4,"Good",Table1[[#This Row],[Customer_Satisfaction]]=5,"Good")</f>
        <v>Poor</v>
      </c>
    </row>
    <row r="741" spans="1:27" x14ac:dyDescent="0.35">
      <c r="A741">
        <v>20739</v>
      </c>
      <c r="B741" s="1">
        <v>45437</v>
      </c>
      <c r="C741" t="s">
        <v>37</v>
      </c>
      <c r="D741" t="s">
        <v>70</v>
      </c>
      <c r="E741" t="s">
        <v>91</v>
      </c>
      <c r="F741" t="s">
        <v>22</v>
      </c>
      <c r="G741" t="s">
        <v>23</v>
      </c>
      <c r="H741" t="s">
        <v>24</v>
      </c>
      <c r="I741" t="s">
        <v>25</v>
      </c>
      <c r="J741" t="s">
        <v>58</v>
      </c>
      <c r="K741" t="s">
        <v>44</v>
      </c>
      <c r="L741" t="s">
        <v>49</v>
      </c>
      <c r="M741" s="4">
        <v>16</v>
      </c>
      <c r="N741" s="4">
        <v>7</v>
      </c>
      <c r="O741" t="s">
        <v>36</v>
      </c>
      <c r="P741" t="s">
        <v>29</v>
      </c>
      <c r="Q741" s="4">
        <v>132118</v>
      </c>
      <c r="R741" s="4">
        <v>70270</v>
      </c>
      <c r="S741" s="4">
        <f>Table1[[#This Row],[Service_Revenue]]-Table1[[#This Row],[Service_Cost]]</f>
        <v>61848</v>
      </c>
      <c r="T741" s="4">
        <v>2</v>
      </c>
      <c r="U741" s="4">
        <f>IF(AND(Table1[[#This Row],[Rework_Flag]]="Yes",Table1[[#This Row],[Warranty_Claim]]="No"),Table1[[#This Row],[Service_Revenue]],0)</f>
        <v>0</v>
      </c>
      <c r="V741" s="4">
        <f>IF(Table1[[#This Row],[Warranty_Claim]]="Yes",1,0)</f>
        <v>1</v>
      </c>
      <c r="W741" s="4">
        <f>IF(Table1[[#This Row],[Rework_Flag]]="No",1,0)</f>
        <v>1</v>
      </c>
      <c r="X741" s="4">
        <f>IF(Table1[[#This Row],[Rework_Flag]]="Yes",1,0)</f>
        <v>0</v>
      </c>
      <c r="Y741" s="4">
        <v>1</v>
      </c>
      <c r="Z741" s="4" t="str">
        <f>IF(Table1[[#This Row],[TAT_Days]]&gt;Table1[[#This Row],[SLA_TAT]],"Yes","No")</f>
        <v>Yes</v>
      </c>
      <c r="AA741" s="4" t="str" cm="1">
        <f t="array" ref="AA741">_xlfn.IFS(Table1[[#This Row],[Customer_Satisfaction]]&lt;=2,"Poor",Table1[[#This Row],[Customer_Satisfaction]]=3,"Neutral",Table1[[#This Row],[Customer_Satisfaction]]=4,"Good",Table1[[#This Row],[Customer_Satisfaction]]=5,"Good")</f>
        <v>Poor</v>
      </c>
    </row>
    <row r="742" spans="1:27" x14ac:dyDescent="0.35">
      <c r="A742">
        <v>20740</v>
      </c>
      <c r="B742" s="1">
        <v>45466</v>
      </c>
      <c r="C742" t="s">
        <v>50</v>
      </c>
      <c r="D742" t="s">
        <v>51</v>
      </c>
      <c r="E742" t="s">
        <v>120</v>
      </c>
      <c r="F742" t="s">
        <v>22</v>
      </c>
      <c r="G742" t="s">
        <v>74</v>
      </c>
      <c r="H742" t="s">
        <v>34</v>
      </c>
      <c r="I742" t="s">
        <v>55</v>
      </c>
      <c r="J742" t="s">
        <v>67</v>
      </c>
      <c r="K742" t="s">
        <v>61</v>
      </c>
      <c r="L742" t="s">
        <v>49</v>
      </c>
      <c r="M742" s="4">
        <v>12</v>
      </c>
      <c r="N742" s="4">
        <v>7</v>
      </c>
      <c r="O742" t="s">
        <v>36</v>
      </c>
      <c r="P742" t="s">
        <v>29</v>
      </c>
      <c r="Q742" s="4">
        <v>471650</v>
      </c>
      <c r="R742" s="4">
        <v>388108</v>
      </c>
      <c r="S742" s="4">
        <f>Table1[[#This Row],[Service_Revenue]]-Table1[[#This Row],[Service_Cost]]</f>
        <v>83542</v>
      </c>
      <c r="T742" s="4">
        <v>3</v>
      </c>
      <c r="U742" s="4">
        <f>IF(AND(Table1[[#This Row],[Rework_Flag]]="Yes",Table1[[#This Row],[Warranty_Claim]]="No"),Table1[[#This Row],[Service_Revenue]],0)</f>
        <v>0</v>
      </c>
      <c r="V742" s="4">
        <f>IF(Table1[[#This Row],[Warranty_Claim]]="Yes",1,0)</f>
        <v>1</v>
      </c>
      <c r="W742" s="4">
        <f>IF(Table1[[#This Row],[Rework_Flag]]="No",1,0)</f>
        <v>1</v>
      </c>
      <c r="X742" s="4">
        <f>IF(Table1[[#This Row],[Rework_Flag]]="Yes",1,0)</f>
        <v>0</v>
      </c>
      <c r="Y742" s="4">
        <v>1</v>
      </c>
      <c r="Z742" s="4" t="str">
        <f>IF(Table1[[#This Row],[TAT_Days]]&gt;Table1[[#This Row],[SLA_TAT]],"Yes","No")</f>
        <v>Yes</v>
      </c>
      <c r="AA742" s="4" t="str" cm="1">
        <f t="array" ref="AA742">_xlfn.IFS(Table1[[#This Row],[Customer_Satisfaction]]&lt;=2,"Poor",Table1[[#This Row],[Customer_Satisfaction]]=3,"Neutral",Table1[[#This Row],[Customer_Satisfaction]]=4,"Good",Table1[[#This Row],[Customer_Satisfaction]]=5,"Good")</f>
        <v>Neutral</v>
      </c>
    </row>
    <row r="743" spans="1:27" x14ac:dyDescent="0.35">
      <c r="A743">
        <v>20741</v>
      </c>
      <c r="B743" s="1">
        <v>45367</v>
      </c>
      <c r="C743" t="s">
        <v>30</v>
      </c>
      <c r="D743" t="s">
        <v>31</v>
      </c>
      <c r="E743" t="s">
        <v>62</v>
      </c>
      <c r="F743" t="s">
        <v>40</v>
      </c>
      <c r="G743" t="s">
        <v>23</v>
      </c>
      <c r="H743" t="s">
        <v>24</v>
      </c>
      <c r="I743" t="s">
        <v>55</v>
      </c>
      <c r="J743" t="s">
        <v>67</v>
      </c>
      <c r="K743" t="s">
        <v>27</v>
      </c>
      <c r="L743" t="s">
        <v>49</v>
      </c>
      <c r="M743" s="4">
        <v>13</v>
      </c>
      <c r="N743" s="4">
        <v>7</v>
      </c>
      <c r="O743" t="s">
        <v>29</v>
      </c>
      <c r="P743" t="s">
        <v>36</v>
      </c>
      <c r="Q743" s="4">
        <v>548159</v>
      </c>
      <c r="R743" s="4">
        <v>290185</v>
      </c>
      <c r="S743" s="4">
        <f>Table1[[#This Row],[Service_Revenue]]-Table1[[#This Row],[Service_Cost]]</f>
        <v>257974</v>
      </c>
      <c r="T743" s="4">
        <v>2</v>
      </c>
      <c r="U743" s="4">
        <f>IF(AND(Table1[[#This Row],[Rework_Flag]]="Yes",Table1[[#This Row],[Warranty_Claim]]="No"),Table1[[#This Row],[Service_Revenue]],0)</f>
        <v>548159</v>
      </c>
      <c r="V743" s="4">
        <f>IF(Table1[[#This Row],[Warranty_Claim]]="Yes",1,0)</f>
        <v>0</v>
      </c>
      <c r="W743" s="4">
        <f>IF(Table1[[#This Row],[Rework_Flag]]="No",1,0)</f>
        <v>0</v>
      </c>
      <c r="X743" s="4">
        <f>IF(Table1[[#This Row],[Rework_Flag]]="Yes",1,0)</f>
        <v>1</v>
      </c>
      <c r="Y743" s="4">
        <v>1</v>
      </c>
      <c r="Z743" s="4" t="str">
        <f>IF(Table1[[#This Row],[TAT_Days]]&gt;Table1[[#This Row],[SLA_TAT]],"Yes","No")</f>
        <v>Yes</v>
      </c>
      <c r="AA743" s="4" t="str" cm="1">
        <f t="array" ref="AA743">_xlfn.IFS(Table1[[#This Row],[Customer_Satisfaction]]&lt;=2,"Poor",Table1[[#This Row],[Customer_Satisfaction]]=3,"Neutral",Table1[[#This Row],[Customer_Satisfaction]]=4,"Good",Table1[[#This Row],[Customer_Satisfaction]]=5,"Good")</f>
        <v>Poor</v>
      </c>
    </row>
    <row r="744" spans="1:27" x14ac:dyDescent="0.35">
      <c r="A744">
        <v>20742</v>
      </c>
      <c r="B744" s="1">
        <v>45471</v>
      </c>
      <c r="C744" t="s">
        <v>50</v>
      </c>
      <c r="D744" t="s">
        <v>80</v>
      </c>
      <c r="E744" t="s">
        <v>121</v>
      </c>
      <c r="F744" t="s">
        <v>22</v>
      </c>
      <c r="G744" t="s">
        <v>74</v>
      </c>
      <c r="H744" t="s">
        <v>34</v>
      </c>
      <c r="I744" t="s">
        <v>55</v>
      </c>
      <c r="J744" t="s">
        <v>26</v>
      </c>
      <c r="K744" t="s">
        <v>27</v>
      </c>
      <c r="L744" t="s">
        <v>49</v>
      </c>
      <c r="M744" s="4">
        <v>13</v>
      </c>
      <c r="N744" s="4">
        <v>7</v>
      </c>
      <c r="O744" t="s">
        <v>29</v>
      </c>
      <c r="P744" t="s">
        <v>36</v>
      </c>
      <c r="Q744" s="4">
        <v>517088</v>
      </c>
      <c r="R744" s="4">
        <v>398039</v>
      </c>
      <c r="S744" s="4">
        <f>Table1[[#This Row],[Service_Revenue]]-Table1[[#This Row],[Service_Cost]]</f>
        <v>119049</v>
      </c>
      <c r="T744" s="4">
        <v>2</v>
      </c>
      <c r="U744" s="4">
        <f>IF(AND(Table1[[#This Row],[Rework_Flag]]="Yes",Table1[[#This Row],[Warranty_Claim]]="No"),Table1[[#This Row],[Service_Revenue]],0)</f>
        <v>517088</v>
      </c>
      <c r="V744" s="4">
        <f>IF(Table1[[#This Row],[Warranty_Claim]]="Yes",1,0)</f>
        <v>0</v>
      </c>
      <c r="W744" s="4">
        <f>IF(Table1[[#This Row],[Rework_Flag]]="No",1,0)</f>
        <v>0</v>
      </c>
      <c r="X744" s="4">
        <f>IF(Table1[[#This Row],[Rework_Flag]]="Yes",1,0)</f>
        <v>1</v>
      </c>
      <c r="Y744" s="4">
        <v>1</v>
      </c>
      <c r="Z744" s="4" t="str">
        <f>IF(Table1[[#This Row],[TAT_Days]]&gt;Table1[[#This Row],[SLA_TAT]],"Yes","No")</f>
        <v>Yes</v>
      </c>
      <c r="AA744" s="4" t="str" cm="1">
        <f t="array" ref="AA744">_xlfn.IFS(Table1[[#This Row],[Customer_Satisfaction]]&lt;=2,"Poor",Table1[[#This Row],[Customer_Satisfaction]]=3,"Neutral",Table1[[#This Row],[Customer_Satisfaction]]=4,"Good",Table1[[#This Row],[Customer_Satisfaction]]=5,"Good")</f>
        <v>Poor</v>
      </c>
    </row>
    <row r="745" spans="1:27" x14ac:dyDescent="0.35">
      <c r="A745">
        <v>20743</v>
      </c>
      <c r="B745" s="1">
        <v>45452</v>
      </c>
      <c r="C745" t="s">
        <v>50</v>
      </c>
      <c r="D745" t="s">
        <v>56</v>
      </c>
      <c r="E745" t="s">
        <v>77</v>
      </c>
      <c r="F745" t="s">
        <v>22</v>
      </c>
      <c r="G745" t="s">
        <v>41</v>
      </c>
      <c r="H745" t="s">
        <v>42</v>
      </c>
      <c r="I745" t="s">
        <v>55</v>
      </c>
      <c r="J745" t="s">
        <v>26</v>
      </c>
      <c r="K745" t="s">
        <v>27</v>
      </c>
      <c r="L745" t="s">
        <v>49</v>
      </c>
      <c r="M745" s="4">
        <v>4</v>
      </c>
      <c r="N745" s="4">
        <v>7</v>
      </c>
      <c r="O745" t="s">
        <v>29</v>
      </c>
      <c r="P745" t="s">
        <v>29</v>
      </c>
      <c r="Q745" s="4">
        <v>225465</v>
      </c>
      <c r="R745" s="4">
        <v>142087</v>
      </c>
      <c r="S745" s="4">
        <f>Table1[[#This Row],[Service_Revenue]]-Table1[[#This Row],[Service_Cost]]</f>
        <v>83378</v>
      </c>
      <c r="T745" s="4">
        <v>4</v>
      </c>
      <c r="U745" s="4">
        <f>IF(AND(Table1[[#This Row],[Rework_Flag]]="Yes",Table1[[#This Row],[Warranty_Claim]]="No"),Table1[[#This Row],[Service_Revenue]],0)</f>
        <v>0</v>
      </c>
      <c r="V745" s="4">
        <f>IF(Table1[[#This Row],[Warranty_Claim]]="Yes",1,0)</f>
        <v>1</v>
      </c>
      <c r="W745" s="4">
        <f>IF(Table1[[#This Row],[Rework_Flag]]="No",1,0)</f>
        <v>0</v>
      </c>
      <c r="X745" s="4">
        <f>IF(Table1[[#This Row],[Rework_Flag]]="Yes",1,0)</f>
        <v>1</v>
      </c>
      <c r="Y745" s="4">
        <v>1</v>
      </c>
      <c r="Z745" s="4" t="str">
        <f>IF(Table1[[#This Row],[TAT_Days]]&gt;Table1[[#This Row],[SLA_TAT]],"Yes","No")</f>
        <v>No</v>
      </c>
      <c r="AA745" s="4" t="str" cm="1">
        <f t="array" ref="AA745">_xlfn.IFS(Table1[[#This Row],[Customer_Satisfaction]]&lt;=2,"Poor",Table1[[#This Row],[Customer_Satisfaction]]=3,"Neutral",Table1[[#This Row],[Customer_Satisfaction]]=4,"Good",Table1[[#This Row],[Customer_Satisfaction]]=5,"Good")</f>
        <v>Good</v>
      </c>
    </row>
    <row r="746" spans="1:27" x14ac:dyDescent="0.35">
      <c r="A746">
        <v>20744</v>
      </c>
      <c r="B746" s="1">
        <v>45454</v>
      </c>
      <c r="C746" t="s">
        <v>30</v>
      </c>
      <c r="D746" t="s">
        <v>31</v>
      </c>
      <c r="E746" t="s">
        <v>106</v>
      </c>
      <c r="F746" t="s">
        <v>22</v>
      </c>
      <c r="G746" t="s">
        <v>47</v>
      </c>
      <c r="H746" t="s">
        <v>48</v>
      </c>
      <c r="I746" t="s">
        <v>55</v>
      </c>
      <c r="J746" t="s">
        <v>58</v>
      </c>
      <c r="K746" t="s">
        <v>61</v>
      </c>
      <c r="L746" t="s">
        <v>28</v>
      </c>
      <c r="M746" s="4">
        <v>4</v>
      </c>
      <c r="N746" s="4">
        <v>7</v>
      </c>
      <c r="O746" t="s">
        <v>29</v>
      </c>
      <c r="P746" t="s">
        <v>36</v>
      </c>
      <c r="Q746" s="4">
        <v>334261</v>
      </c>
      <c r="R746" s="4">
        <v>197663</v>
      </c>
      <c r="S746" s="4">
        <f>Table1[[#This Row],[Service_Revenue]]-Table1[[#This Row],[Service_Cost]]</f>
        <v>136598</v>
      </c>
      <c r="T746" s="4">
        <v>4</v>
      </c>
      <c r="U746" s="4">
        <f>IF(AND(Table1[[#This Row],[Rework_Flag]]="Yes",Table1[[#This Row],[Warranty_Claim]]="No"),Table1[[#This Row],[Service_Revenue]],0)</f>
        <v>334261</v>
      </c>
      <c r="V746" s="4">
        <f>IF(Table1[[#This Row],[Warranty_Claim]]="Yes",1,0)</f>
        <v>0</v>
      </c>
      <c r="W746" s="4">
        <f>IF(Table1[[#This Row],[Rework_Flag]]="No",1,0)</f>
        <v>0</v>
      </c>
      <c r="X746" s="4">
        <f>IF(Table1[[#This Row],[Rework_Flag]]="Yes",1,0)</f>
        <v>1</v>
      </c>
      <c r="Y746" s="4">
        <v>1</v>
      </c>
      <c r="Z746" s="4" t="str">
        <f>IF(Table1[[#This Row],[TAT_Days]]&gt;Table1[[#This Row],[SLA_TAT]],"Yes","No")</f>
        <v>No</v>
      </c>
      <c r="AA746" s="4" t="str" cm="1">
        <f t="array" ref="AA746">_xlfn.IFS(Table1[[#This Row],[Customer_Satisfaction]]&lt;=2,"Poor",Table1[[#This Row],[Customer_Satisfaction]]=3,"Neutral",Table1[[#This Row],[Customer_Satisfaction]]=4,"Good",Table1[[#This Row],[Customer_Satisfaction]]=5,"Good")</f>
        <v>Good</v>
      </c>
    </row>
    <row r="747" spans="1:27" x14ac:dyDescent="0.35">
      <c r="A747">
        <v>20745</v>
      </c>
      <c r="B747" s="1">
        <v>45401</v>
      </c>
      <c r="C747" t="s">
        <v>19</v>
      </c>
      <c r="D747" t="s">
        <v>20</v>
      </c>
      <c r="E747" t="s">
        <v>86</v>
      </c>
      <c r="F747" t="s">
        <v>53</v>
      </c>
      <c r="G747" t="s">
        <v>23</v>
      </c>
      <c r="H747" t="s">
        <v>24</v>
      </c>
      <c r="I747" t="s">
        <v>25</v>
      </c>
      <c r="J747" t="s">
        <v>35</v>
      </c>
      <c r="K747" t="s">
        <v>61</v>
      </c>
      <c r="L747" t="s">
        <v>49</v>
      </c>
      <c r="M747" s="4">
        <v>9</v>
      </c>
      <c r="N747" s="4">
        <v>7</v>
      </c>
      <c r="O747" t="s">
        <v>29</v>
      </c>
      <c r="P747" t="s">
        <v>36</v>
      </c>
      <c r="Q747" s="4">
        <v>306123</v>
      </c>
      <c r="R747" s="4">
        <v>186371</v>
      </c>
      <c r="S747" s="4">
        <f>Table1[[#This Row],[Service_Revenue]]-Table1[[#This Row],[Service_Cost]]</f>
        <v>119752</v>
      </c>
      <c r="T747" s="4">
        <v>3</v>
      </c>
      <c r="U747" s="4">
        <f>IF(AND(Table1[[#This Row],[Rework_Flag]]="Yes",Table1[[#This Row],[Warranty_Claim]]="No"),Table1[[#This Row],[Service_Revenue]],0)</f>
        <v>306123</v>
      </c>
      <c r="V747" s="4">
        <f>IF(Table1[[#This Row],[Warranty_Claim]]="Yes",1,0)</f>
        <v>0</v>
      </c>
      <c r="W747" s="4">
        <f>IF(Table1[[#This Row],[Rework_Flag]]="No",1,0)</f>
        <v>0</v>
      </c>
      <c r="X747" s="4">
        <f>IF(Table1[[#This Row],[Rework_Flag]]="Yes",1,0)</f>
        <v>1</v>
      </c>
      <c r="Y747" s="4">
        <v>1</v>
      </c>
      <c r="Z747" s="4" t="str">
        <f>IF(Table1[[#This Row],[TAT_Days]]&gt;Table1[[#This Row],[SLA_TAT]],"Yes","No")</f>
        <v>Yes</v>
      </c>
      <c r="AA747" s="4" t="str" cm="1">
        <f t="array" ref="AA747">_xlfn.IFS(Table1[[#This Row],[Customer_Satisfaction]]&lt;=2,"Poor",Table1[[#This Row],[Customer_Satisfaction]]=3,"Neutral",Table1[[#This Row],[Customer_Satisfaction]]=4,"Good",Table1[[#This Row],[Customer_Satisfaction]]=5,"Good")</f>
        <v>Neutral</v>
      </c>
    </row>
    <row r="748" spans="1:27" x14ac:dyDescent="0.35">
      <c r="A748">
        <v>20746</v>
      </c>
      <c r="B748" s="1">
        <v>45335</v>
      </c>
      <c r="C748" t="s">
        <v>30</v>
      </c>
      <c r="D748" t="s">
        <v>31</v>
      </c>
      <c r="E748" t="s">
        <v>62</v>
      </c>
      <c r="F748" t="s">
        <v>22</v>
      </c>
      <c r="G748" t="s">
        <v>63</v>
      </c>
      <c r="H748" t="s">
        <v>24</v>
      </c>
      <c r="I748" t="s">
        <v>25</v>
      </c>
      <c r="J748" t="s">
        <v>35</v>
      </c>
      <c r="K748" t="s">
        <v>44</v>
      </c>
      <c r="L748" t="s">
        <v>28</v>
      </c>
      <c r="M748" s="4">
        <v>6</v>
      </c>
      <c r="N748" s="4">
        <v>7</v>
      </c>
      <c r="O748" t="s">
        <v>29</v>
      </c>
      <c r="P748" t="s">
        <v>29</v>
      </c>
      <c r="Q748" s="4">
        <v>481180</v>
      </c>
      <c r="R748" s="4">
        <v>311514</v>
      </c>
      <c r="S748" s="4">
        <f>Table1[[#This Row],[Service_Revenue]]-Table1[[#This Row],[Service_Cost]]</f>
        <v>169666</v>
      </c>
      <c r="T748" s="4">
        <v>3</v>
      </c>
      <c r="U748" s="4">
        <f>IF(AND(Table1[[#This Row],[Rework_Flag]]="Yes",Table1[[#This Row],[Warranty_Claim]]="No"),Table1[[#This Row],[Service_Revenue]],0)</f>
        <v>0</v>
      </c>
      <c r="V748" s="4">
        <f>IF(Table1[[#This Row],[Warranty_Claim]]="Yes",1,0)</f>
        <v>1</v>
      </c>
      <c r="W748" s="4">
        <f>IF(Table1[[#This Row],[Rework_Flag]]="No",1,0)</f>
        <v>0</v>
      </c>
      <c r="X748" s="4">
        <f>IF(Table1[[#This Row],[Rework_Flag]]="Yes",1,0)</f>
        <v>1</v>
      </c>
      <c r="Y748" s="4">
        <v>1</v>
      </c>
      <c r="Z748" s="4" t="str">
        <f>IF(Table1[[#This Row],[TAT_Days]]&gt;Table1[[#This Row],[SLA_TAT]],"Yes","No")</f>
        <v>No</v>
      </c>
      <c r="AA748" s="4" t="str" cm="1">
        <f t="array" ref="AA748">_xlfn.IFS(Table1[[#This Row],[Customer_Satisfaction]]&lt;=2,"Poor",Table1[[#This Row],[Customer_Satisfaction]]=3,"Neutral",Table1[[#This Row],[Customer_Satisfaction]]=4,"Good",Table1[[#This Row],[Customer_Satisfaction]]=5,"Good")</f>
        <v>Neutral</v>
      </c>
    </row>
    <row r="749" spans="1:27" x14ac:dyDescent="0.35">
      <c r="A749">
        <v>20747</v>
      </c>
      <c r="B749" s="1">
        <v>45453</v>
      </c>
      <c r="C749" t="s">
        <v>50</v>
      </c>
      <c r="D749" t="s">
        <v>51</v>
      </c>
      <c r="E749" t="s">
        <v>120</v>
      </c>
      <c r="F749" t="s">
        <v>22</v>
      </c>
      <c r="G749" t="s">
        <v>41</v>
      </c>
      <c r="H749" t="s">
        <v>42</v>
      </c>
      <c r="I749" t="s">
        <v>25</v>
      </c>
      <c r="J749" t="s">
        <v>26</v>
      </c>
      <c r="K749" t="s">
        <v>61</v>
      </c>
      <c r="L749" t="s">
        <v>28</v>
      </c>
      <c r="M749" s="4">
        <v>12</v>
      </c>
      <c r="N749" s="4">
        <v>7</v>
      </c>
      <c r="O749" t="s">
        <v>29</v>
      </c>
      <c r="P749" t="s">
        <v>29</v>
      </c>
      <c r="Q749" s="4">
        <v>578280</v>
      </c>
      <c r="R749" s="4">
        <v>357846</v>
      </c>
      <c r="S749" s="4">
        <f>Table1[[#This Row],[Service_Revenue]]-Table1[[#This Row],[Service_Cost]]</f>
        <v>220434</v>
      </c>
      <c r="T749" s="4">
        <v>2</v>
      </c>
      <c r="U749" s="4">
        <f>IF(AND(Table1[[#This Row],[Rework_Flag]]="Yes",Table1[[#This Row],[Warranty_Claim]]="No"),Table1[[#This Row],[Service_Revenue]],0)</f>
        <v>0</v>
      </c>
      <c r="V749" s="4">
        <f>IF(Table1[[#This Row],[Warranty_Claim]]="Yes",1,0)</f>
        <v>1</v>
      </c>
      <c r="W749" s="4">
        <f>IF(Table1[[#This Row],[Rework_Flag]]="No",1,0)</f>
        <v>0</v>
      </c>
      <c r="X749" s="4">
        <f>IF(Table1[[#This Row],[Rework_Flag]]="Yes",1,0)</f>
        <v>1</v>
      </c>
      <c r="Y749" s="4">
        <v>1</v>
      </c>
      <c r="Z749" s="4" t="str">
        <f>IF(Table1[[#This Row],[TAT_Days]]&gt;Table1[[#This Row],[SLA_TAT]],"Yes","No")</f>
        <v>Yes</v>
      </c>
      <c r="AA749" s="4" t="str" cm="1">
        <f t="array" ref="AA749">_xlfn.IFS(Table1[[#This Row],[Customer_Satisfaction]]&lt;=2,"Poor",Table1[[#This Row],[Customer_Satisfaction]]=3,"Neutral",Table1[[#This Row],[Customer_Satisfaction]]=4,"Good",Table1[[#This Row],[Customer_Satisfaction]]=5,"Good")</f>
        <v>Poor</v>
      </c>
    </row>
    <row r="750" spans="1:27" x14ac:dyDescent="0.35">
      <c r="A750">
        <v>20748</v>
      </c>
      <c r="B750" s="1">
        <v>45360</v>
      </c>
      <c r="C750" t="s">
        <v>30</v>
      </c>
      <c r="D750" t="s">
        <v>59</v>
      </c>
      <c r="E750" t="s">
        <v>78</v>
      </c>
      <c r="F750" t="s">
        <v>53</v>
      </c>
      <c r="G750" t="s">
        <v>54</v>
      </c>
      <c r="H750" t="s">
        <v>42</v>
      </c>
      <c r="I750" t="s">
        <v>55</v>
      </c>
      <c r="J750" t="s">
        <v>67</v>
      </c>
      <c r="K750" t="s">
        <v>61</v>
      </c>
      <c r="L750" t="s">
        <v>28</v>
      </c>
      <c r="M750" s="4">
        <v>11</v>
      </c>
      <c r="N750" s="4">
        <v>7</v>
      </c>
      <c r="O750" t="s">
        <v>29</v>
      </c>
      <c r="P750" t="s">
        <v>29</v>
      </c>
      <c r="Q750" s="4">
        <v>477443</v>
      </c>
      <c r="R750" s="4">
        <v>360899</v>
      </c>
      <c r="S750" s="4">
        <f>Table1[[#This Row],[Service_Revenue]]-Table1[[#This Row],[Service_Cost]]</f>
        <v>116544</v>
      </c>
      <c r="T750" s="4">
        <v>2</v>
      </c>
      <c r="U750" s="4">
        <f>IF(AND(Table1[[#This Row],[Rework_Flag]]="Yes",Table1[[#This Row],[Warranty_Claim]]="No"),Table1[[#This Row],[Service_Revenue]],0)</f>
        <v>0</v>
      </c>
      <c r="V750" s="4">
        <f>IF(Table1[[#This Row],[Warranty_Claim]]="Yes",1,0)</f>
        <v>1</v>
      </c>
      <c r="W750" s="4">
        <f>IF(Table1[[#This Row],[Rework_Flag]]="No",1,0)</f>
        <v>0</v>
      </c>
      <c r="X750" s="4">
        <f>IF(Table1[[#This Row],[Rework_Flag]]="Yes",1,0)</f>
        <v>1</v>
      </c>
      <c r="Y750" s="4">
        <v>1</v>
      </c>
      <c r="Z750" s="4" t="str">
        <f>IF(Table1[[#This Row],[TAT_Days]]&gt;Table1[[#This Row],[SLA_TAT]],"Yes","No")</f>
        <v>Yes</v>
      </c>
      <c r="AA750" s="4" t="str" cm="1">
        <f t="array" ref="AA750">_xlfn.IFS(Table1[[#This Row],[Customer_Satisfaction]]&lt;=2,"Poor",Table1[[#This Row],[Customer_Satisfaction]]=3,"Neutral",Table1[[#This Row],[Customer_Satisfaction]]=4,"Good",Table1[[#This Row],[Customer_Satisfaction]]=5,"Good")</f>
        <v>Poor</v>
      </c>
    </row>
    <row r="751" spans="1:27" x14ac:dyDescent="0.35">
      <c r="A751">
        <v>20749</v>
      </c>
      <c r="B751" s="1">
        <v>45377</v>
      </c>
      <c r="C751" t="s">
        <v>50</v>
      </c>
      <c r="D751" t="s">
        <v>80</v>
      </c>
      <c r="E751" t="s">
        <v>81</v>
      </c>
      <c r="F751" t="s">
        <v>22</v>
      </c>
      <c r="G751" t="s">
        <v>54</v>
      </c>
      <c r="H751" t="s">
        <v>42</v>
      </c>
      <c r="I751" t="s">
        <v>25</v>
      </c>
      <c r="J751" t="s">
        <v>58</v>
      </c>
      <c r="K751" t="s">
        <v>61</v>
      </c>
      <c r="L751" t="s">
        <v>28</v>
      </c>
      <c r="M751" s="4">
        <v>8</v>
      </c>
      <c r="N751" s="4">
        <v>7</v>
      </c>
      <c r="O751" t="s">
        <v>36</v>
      </c>
      <c r="P751" t="s">
        <v>36</v>
      </c>
      <c r="Q751" s="4">
        <v>315036</v>
      </c>
      <c r="R751" s="4">
        <v>186715</v>
      </c>
      <c r="S751" s="4">
        <f>Table1[[#This Row],[Service_Revenue]]-Table1[[#This Row],[Service_Cost]]</f>
        <v>128321</v>
      </c>
      <c r="T751" s="4">
        <v>4</v>
      </c>
      <c r="U751" s="4">
        <f>IF(AND(Table1[[#This Row],[Rework_Flag]]="Yes",Table1[[#This Row],[Warranty_Claim]]="No"),Table1[[#This Row],[Service_Revenue]],0)</f>
        <v>0</v>
      </c>
      <c r="V751" s="4">
        <f>IF(Table1[[#This Row],[Warranty_Claim]]="Yes",1,0)</f>
        <v>0</v>
      </c>
      <c r="W751" s="4">
        <f>IF(Table1[[#This Row],[Rework_Flag]]="No",1,0)</f>
        <v>1</v>
      </c>
      <c r="X751" s="4">
        <f>IF(Table1[[#This Row],[Rework_Flag]]="Yes",1,0)</f>
        <v>0</v>
      </c>
      <c r="Y751" s="4">
        <v>1</v>
      </c>
      <c r="Z751" s="4" t="str">
        <f>IF(Table1[[#This Row],[TAT_Days]]&gt;Table1[[#This Row],[SLA_TAT]],"Yes","No")</f>
        <v>Yes</v>
      </c>
      <c r="AA751" s="4" t="str" cm="1">
        <f t="array" ref="AA751">_xlfn.IFS(Table1[[#This Row],[Customer_Satisfaction]]&lt;=2,"Poor",Table1[[#This Row],[Customer_Satisfaction]]=3,"Neutral",Table1[[#This Row],[Customer_Satisfaction]]=4,"Good",Table1[[#This Row],[Customer_Satisfaction]]=5,"Good")</f>
        <v>Good</v>
      </c>
    </row>
    <row r="752" spans="1:27" x14ac:dyDescent="0.35">
      <c r="A752">
        <v>20750</v>
      </c>
      <c r="B752" s="1">
        <v>45353</v>
      </c>
      <c r="C752" t="s">
        <v>50</v>
      </c>
      <c r="D752" t="s">
        <v>51</v>
      </c>
      <c r="E752" t="s">
        <v>52</v>
      </c>
      <c r="F752" t="s">
        <v>53</v>
      </c>
      <c r="G752" t="s">
        <v>33</v>
      </c>
      <c r="H752" t="s">
        <v>34</v>
      </c>
      <c r="I752" t="s">
        <v>55</v>
      </c>
      <c r="J752" t="s">
        <v>35</v>
      </c>
      <c r="K752" t="s">
        <v>44</v>
      </c>
      <c r="L752" t="s">
        <v>49</v>
      </c>
      <c r="M752" s="4">
        <v>3</v>
      </c>
      <c r="N752" s="4">
        <v>7</v>
      </c>
      <c r="O752" t="s">
        <v>36</v>
      </c>
      <c r="P752" t="s">
        <v>29</v>
      </c>
      <c r="Q752" s="4">
        <v>259421</v>
      </c>
      <c r="R752" s="4">
        <v>145283</v>
      </c>
      <c r="S752" s="4">
        <f>Table1[[#This Row],[Service_Revenue]]-Table1[[#This Row],[Service_Cost]]</f>
        <v>114138</v>
      </c>
      <c r="T752" s="4">
        <v>5</v>
      </c>
      <c r="U752" s="4">
        <f>IF(AND(Table1[[#This Row],[Rework_Flag]]="Yes",Table1[[#This Row],[Warranty_Claim]]="No"),Table1[[#This Row],[Service_Revenue]],0)</f>
        <v>0</v>
      </c>
      <c r="V752" s="4">
        <f>IF(Table1[[#This Row],[Warranty_Claim]]="Yes",1,0)</f>
        <v>1</v>
      </c>
      <c r="W752" s="4">
        <f>IF(Table1[[#This Row],[Rework_Flag]]="No",1,0)</f>
        <v>1</v>
      </c>
      <c r="X752" s="4">
        <f>IF(Table1[[#This Row],[Rework_Flag]]="Yes",1,0)</f>
        <v>0</v>
      </c>
      <c r="Y752" s="4">
        <v>1</v>
      </c>
      <c r="Z752" s="4" t="str">
        <f>IF(Table1[[#This Row],[TAT_Days]]&gt;Table1[[#This Row],[SLA_TAT]],"Yes","No")</f>
        <v>No</v>
      </c>
      <c r="AA752" s="4" t="str" cm="1">
        <f t="array" ref="AA752">_xlfn.IFS(Table1[[#This Row],[Customer_Satisfaction]]&lt;=2,"Poor",Table1[[#This Row],[Customer_Satisfaction]]=3,"Neutral",Table1[[#This Row],[Customer_Satisfaction]]=4,"Good",Table1[[#This Row],[Customer_Satisfaction]]=5,"Good")</f>
        <v>Good</v>
      </c>
    </row>
    <row r="753" spans="1:27" x14ac:dyDescent="0.35">
      <c r="A753">
        <v>20751</v>
      </c>
      <c r="B753" s="1">
        <v>45309</v>
      </c>
      <c r="C753" t="s">
        <v>50</v>
      </c>
      <c r="D753" t="s">
        <v>56</v>
      </c>
      <c r="E753" t="s">
        <v>77</v>
      </c>
      <c r="F753" t="s">
        <v>22</v>
      </c>
      <c r="G753" t="s">
        <v>33</v>
      </c>
      <c r="H753" t="s">
        <v>34</v>
      </c>
      <c r="I753" t="s">
        <v>55</v>
      </c>
      <c r="J753" t="s">
        <v>35</v>
      </c>
      <c r="K753" t="s">
        <v>27</v>
      </c>
      <c r="L753" t="s">
        <v>28</v>
      </c>
      <c r="M753" s="4">
        <v>4</v>
      </c>
      <c r="N753" s="4">
        <v>7</v>
      </c>
      <c r="O753" t="s">
        <v>36</v>
      </c>
      <c r="P753" t="s">
        <v>36</v>
      </c>
      <c r="Q753" s="4">
        <v>427103</v>
      </c>
      <c r="R753" s="4">
        <v>348618</v>
      </c>
      <c r="S753" s="4">
        <f>Table1[[#This Row],[Service_Revenue]]-Table1[[#This Row],[Service_Cost]]</f>
        <v>78485</v>
      </c>
      <c r="T753" s="4">
        <v>5</v>
      </c>
      <c r="U753" s="4">
        <f>IF(AND(Table1[[#This Row],[Rework_Flag]]="Yes",Table1[[#This Row],[Warranty_Claim]]="No"),Table1[[#This Row],[Service_Revenue]],0)</f>
        <v>0</v>
      </c>
      <c r="V753" s="4">
        <f>IF(Table1[[#This Row],[Warranty_Claim]]="Yes",1,0)</f>
        <v>0</v>
      </c>
      <c r="W753" s="4">
        <f>IF(Table1[[#This Row],[Rework_Flag]]="No",1,0)</f>
        <v>1</v>
      </c>
      <c r="X753" s="4">
        <f>IF(Table1[[#This Row],[Rework_Flag]]="Yes",1,0)</f>
        <v>0</v>
      </c>
      <c r="Y753" s="4">
        <v>1</v>
      </c>
      <c r="Z753" s="4" t="str">
        <f>IF(Table1[[#This Row],[TAT_Days]]&gt;Table1[[#This Row],[SLA_TAT]],"Yes","No")</f>
        <v>No</v>
      </c>
      <c r="AA753" s="4" t="str" cm="1">
        <f t="array" ref="AA753">_xlfn.IFS(Table1[[#This Row],[Customer_Satisfaction]]&lt;=2,"Poor",Table1[[#This Row],[Customer_Satisfaction]]=3,"Neutral",Table1[[#This Row],[Customer_Satisfaction]]=4,"Good",Table1[[#This Row],[Customer_Satisfaction]]=5,"Good")</f>
        <v>Good</v>
      </c>
    </row>
    <row r="754" spans="1:27" x14ac:dyDescent="0.35">
      <c r="A754">
        <v>20752</v>
      </c>
      <c r="B754" s="1">
        <v>45438</v>
      </c>
      <c r="C754" t="s">
        <v>50</v>
      </c>
      <c r="D754" t="s">
        <v>56</v>
      </c>
      <c r="E754" t="s">
        <v>101</v>
      </c>
      <c r="F754" t="s">
        <v>22</v>
      </c>
      <c r="G754" t="s">
        <v>63</v>
      </c>
      <c r="H754" t="s">
        <v>24</v>
      </c>
      <c r="I754" t="s">
        <v>25</v>
      </c>
      <c r="J754" t="s">
        <v>26</v>
      </c>
      <c r="K754" t="s">
        <v>27</v>
      </c>
      <c r="L754" t="s">
        <v>28</v>
      </c>
      <c r="M754" s="4">
        <v>15</v>
      </c>
      <c r="N754" s="4">
        <v>7</v>
      </c>
      <c r="O754" t="s">
        <v>29</v>
      </c>
      <c r="P754" t="s">
        <v>29</v>
      </c>
      <c r="Q754" s="4">
        <v>310688</v>
      </c>
      <c r="R754" s="4">
        <v>231923</v>
      </c>
      <c r="S754" s="4">
        <f>Table1[[#This Row],[Service_Revenue]]-Table1[[#This Row],[Service_Cost]]</f>
        <v>78765</v>
      </c>
      <c r="T754" s="4">
        <v>1</v>
      </c>
      <c r="U754" s="4">
        <f>IF(AND(Table1[[#This Row],[Rework_Flag]]="Yes",Table1[[#This Row],[Warranty_Claim]]="No"),Table1[[#This Row],[Service_Revenue]],0)</f>
        <v>0</v>
      </c>
      <c r="V754" s="4">
        <f>IF(Table1[[#This Row],[Warranty_Claim]]="Yes",1,0)</f>
        <v>1</v>
      </c>
      <c r="W754" s="4">
        <f>IF(Table1[[#This Row],[Rework_Flag]]="No",1,0)</f>
        <v>0</v>
      </c>
      <c r="X754" s="4">
        <f>IF(Table1[[#This Row],[Rework_Flag]]="Yes",1,0)</f>
        <v>1</v>
      </c>
      <c r="Y754" s="4">
        <v>1</v>
      </c>
      <c r="Z754" s="4" t="str">
        <f>IF(Table1[[#This Row],[TAT_Days]]&gt;Table1[[#This Row],[SLA_TAT]],"Yes","No")</f>
        <v>Yes</v>
      </c>
      <c r="AA754" s="4" t="str" cm="1">
        <f t="array" ref="AA754">_xlfn.IFS(Table1[[#This Row],[Customer_Satisfaction]]&lt;=2,"Poor",Table1[[#This Row],[Customer_Satisfaction]]=3,"Neutral",Table1[[#This Row],[Customer_Satisfaction]]=4,"Good",Table1[[#This Row],[Customer_Satisfaction]]=5,"Good")</f>
        <v>Poor</v>
      </c>
    </row>
    <row r="755" spans="1:27" x14ac:dyDescent="0.35">
      <c r="A755">
        <v>20753</v>
      </c>
      <c r="B755" s="1">
        <v>45298</v>
      </c>
      <c r="C755" t="s">
        <v>30</v>
      </c>
      <c r="D755" t="s">
        <v>83</v>
      </c>
      <c r="E755" t="s">
        <v>84</v>
      </c>
      <c r="F755" t="s">
        <v>40</v>
      </c>
      <c r="G755" t="s">
        <v>47</v>
      </c>
      <c r="H755" t="s">
        <v>48</v>
      </c>
      <c r="I755" t="s">
        <v>55</v>
      </c>
      <c r="J755" t="s">
        <v>26</v>
      </c>
      <c r="K755" t="s">
        <v>61</v>
      </c>
      <c r="L755" t="s">
        <v>28</v>
      </c>
      <c r="M755" s="4">
        <v>2</v>
      </c>
      <c r="N755" s="4">
        <v>7</v>
      </c>
      <c r="O755" t="s">
        <v>36</v>
      </c>
      <c r="P755" t="s">
        <v>36</v>
      </c>
      <c r="Q755" s="4">
        <v>520584</v>
      </c>
      <c r="R755" s="4">
        <v>385791</v>
      </c>
      <c r="S755" s="4">
        <f>Table1[[#This Row],[Service_Revenue]]-Table1[[#This Row],[Service_Cost]]</f>
        <v>134793</v>
      </c>
      <c r="T755" s="4">
        <v>5</v>
      </c>
      <c r="U755" s="4">
        <f>IF(AND(Table1[[#This Row],[Rework_Flag]]="Yes",Table1[[#This Row],[Warranty_Claim]]="No"),Table1[[#This Row],[Service_Revenue]],0)</f>
        <v>0</v>
      </c>
      <c r="V755" s="4">
        <f>IF(Table1[[#This Row],[Warranty_Claim]]="Yes",1,0)</f>
        <v>0</v>
      </c>
      <c r="W755" s="4">
        <f>IF(Table1[[#This Row],[Rework_Flag]]="No",1,0)</f>
        <v>1</v>
      </c>
      <c r="X755" s="4">
        <f>IF(Table1[[#This Row],[Rework_Flag]]="Yes",1,0)</f>
        <v>0</v>
      </c>
      <c r="Y755" s="4">
        <v>1</v>
      </c>
      <c r="Z755" s="4" t="str">
        <f>IF(Table1[[#This Row],[TAT_Days]]&gt;Table1[[#This Row],[SLA_TAT]],"Yes","No")</f>
        <v>No</v>
      </c>
      <c r="AA755" s="4" t="str" cm="1">
        <f t="array" ref="AA755">_xlfn.IFS(Table1[[#This Row],[Customer_Satisfaction]]&lt;=2,"Poor",Table1[[#This Row],[Customer_Satisfaction]]=3,"Neutral",Table1[[#This Row],[Customer_Satisfaction]]=4,"Good",Table1[[#This Row],[Customer_Satisfaction]]=5,"Good")</f>
        <v>Good</v>
      </c>
    </row>
    <row r="756" spans="1:27" x14ac:dyDescent="0.35">
      <c r="A756">
        <v>20754</v>
      </c>
      <c r="B756" s="1">
        <v>45354</v>
      </c>
      <c r="C756" t="s">
        <v>19</v>
      </c>
      <c r="D756" t="s">
        <v>96</v>
      </c>
      <c r="E756" t="s">
        <v>108</v>
      </c>
      <c r="F756" t="s">
        <v>40</v>
      </c>
      <c r="G756" t="s">
        <v>74</v>
      </c>
      <c r="H756" t="s">
        <v>34</v>
      </c>
      <c r="I756" t="s">
        <v>55</v>
      </c>
      <c r="J756" t="s">
        <v>58</v>
      </c>
      <c r="K756" t="s">
        <v>61</v>
      </c>
      <c r="L756" t="s">
        <v>28</v>
      </c>
      <c r="M756" s="4">
        <v>23</v>
      </c>
      <c r="N756" s="4">
        <v>7</v>
      </c>
      <c r="O756" t="s">
        <v>36</v>
      </c>
      <c r="P756" t="s">
        <v>36</v>
      </c>
      <c r="Q756" s="4">
        <v>389621</v>
      </c>
      <c r="R756" s="4">
        <v>217468</v>
      </c>
      <c r="S756" s="4">
        <f>Table1[[#This Row],[Service_Revenue]]-Table1[[#This Row],[Service_Cost]]</f>
        <v>172153</v>
      </c>
      <c r="T756" s="4">
        <v>1</v>
      </c>
      <c r="U756" s="4">
        <f>IF(AND(Table1[[#This Row],[Rework_Flag]]="Yes",Table1[[#This Row],[Warranty_Claim]]="No"),Table1[[#This Row],[Service_Revenue]],0)</f>
        <v>0</v>
      </c>
      <c r="V756" s="4">
        <f>IF(Table1[[#This Row],[Warranty_Claim]]="Yes",1,0)</f>
        <v>0</v>
      </c>
      <c r="W756" s="4">
        <f>IF(Table1[[#This Row],[Rework_Flag]]="No",1,0)</f>
        <v>1</v>
      </c>
      <c r="X756" s="4">
        <f>IF(Table1[[#This Row],[Rework_Flag]]="Yes",1,0)</f>
        <v>0</v>
      </c>
      <c r="Y756" s="4">
        <v>1</v>
      </c>
      <c r="Z756" s="4" t="str">
        <f>IF(Table1[[#This Row],[TAT_Days]]&gt;Table1[[#This Row],[SLA_TAT]],"Yes","No")</f>
        <v>Yes</v>
      </c>
      <c r="AA756" s="4" t="str" cm="1">
        <f t="array" ref="AA756">_xlfn.IFS(Table1[[#This Row],[Customer_Satisfaction]]&lt;=2,"Poor",Table1[[#This Row],[Customer_Satisfaction]]=3,"Neutral",Table1[[#This Row],[Customer_Satisfaction]]=4,"Good",Table1[[#This Row],[Customer_Satisfaction]]=5,"Good")</f>
        <v>Poor</v>
      </c>
    </row>
    <row r="757" spans="1:27" x14ac:dyDescent="0.35">
      <c r="A757">
        <v>20755</v>
      </c>
      <c r="B757" s="1">
        <v>45399</v>
      </c>
      <c r="C757" t="s">
        <v>19</v>
      </c>
      <c r="D757" t="s">
        <v>20</v>
      </c>
      <c r="E757" t="s">
        <v>89</v>
      </c>
      <c r="F757" t="s">
        <v>53</v>
      </c>
      <c r="G757" t="s">
        <v>23</v>
      </c>
      <c r="H757" t="s">
        <v>24</v>
      </c>
      <c r="I757" t="s">
        <v>55</v>
      </c>
      <c r="J757" t="s">
        <v>35</v>
      </c>
      <c r="K757" t="s">
        <v>61</v>
      </c>
      <c r="L757" t="s">
        <v>28</v>
      </c>
      <c r="M757" s="4">
        <v>16</v>
      </c>
      <c r="N757" s="4">
        <v>7</v>
      </c>
      <c r="O757" t="s">
        <v>36</v>
      </c>
      <c r="P757" t="s">
        <v>36</v>
      </c>
      <c r="Q757" s="4">
        <v>452318</v>
      </c>
      <c r="R757" s="4">
        <v>341052</v>
      </c>
      <c r="S757" s="4">
        <f>Table1[[#This Row],[Service_Revenue]]-Table1[[#This Row],[Service_Cost]]</f>
        <v>111266</v>
      </c>
      <c r="T757" s="4">
        <v>2</v>
      </c>
      <c r="U757" s="4">
        <f>IF(AND(Table1[[#This Row],[Rework_Flag]]="Yes",Table1[[#This Row],[Warranty_Claim]]="No"),Table1[[#This Row],[Service_Revenue]],0)</f>
        <v>0</v>
      </c>
      <c r="V757" s="4">
        <f>IF(Table1[[#This Row],[Warranty_Claim]]="Yes",1,0)</f>
        <v>0</v>
      </c>
      <c r="W757" s="4">
        <f>IF(Table1[[#This Row],[Rework_Flag]]="No",1,0)</f>
        <v>1</v>
      </c>
      <c r="X757" s="4">
        <f>IF(Table1[[#This Row],[Rework_Flag]]="Yes",1,0)</f>
        <v>0</v>
      </c>
      <c r="Y757" s="4">
        <v>1</v>
      </c>
      <c r="Z757" s="4" t="str">
        <f>IF(Table1[[#This Row],[TAT_Days]]&gt;Table1[[#This Row],[SLA_TAT]],"Yes","No")</f>
        <v>Yes</v>
      </c>
      <c r="AA757" s="4" t="str" cm="1">
        <f t="array" ref="AA757">_xlfn.IFS(Table1[[#This Row],[Customer_Satisfaction]]&lt;=2,"Poor",Table1[[#This Row],[Customer_Satisfaction]]=3,"Neutral",Table1[[#This Row],[Customer_Satisfaction]]=4,"Good",Table1[[#This Row],[Customer_Satisfaction]]=5,"Good")</f>
        <v>Poor</v>
      </c>
    </row>
    <row r="758" spans="1:27" x14ac:dyDescent="0.35">
      <c r="A758">
        <v>20756</v>
      </c>
      <c r="B758" s="1">
        <v>45431</v>
      </c>
      <c r="C758" t="s">
        <v>37</v>
      </c>
      <c r="D758" t="s">
        <v>70</v>
      </c>
      <c r="E758" t="s">
        <v>71</v>
      </c>
      <c r="F758" t="s">
        <v>53</v>
      </c>
      <c r="G758" t="s">
        <v>41</v>
      </c>
      <c r="H758" t="s">
        <v>42</v>
      </c>
      <c r="I758" t="s">
        <v>55</v>
      </c>
      <c r="J758" t="s">
        <v>58</v>
      </c>
      <c r="K758" t="s">
        <v>27</v>
      </c>
      <c r="L758" t="s">
        <v>49</v>
      </c>
      <c r="M758" s="4">
        <v>19</v>
      </c>
      <c r="N758" s="4">
        <v>7</v>
      </c>
      <c r="O758" t="s">
        <v>29</v>
      </c>
      <c r="P758" t="s">
        <v>29</v>
      </c>
      <c r="Q758" s="4">
        <v>348144</v>
      </c>
      <c r="R758" s="4">
        <v>265707</v>
      </c>
      <c r="S758" s="4">
        <f>Table1[[#This Row],[Service_Revenue]]-Table1[[#This Row],[Service_Cost]]</f>
        <v>82437</v>
      </c>
      <c r="T758" s="4">
        <v>1</v>
      </c>
      <c r="U758" s="4">
        <f>IF(AND(Table1[[#This Row],[Rework_Flag]]="Yes",Table1[[#This Row],[Warranty_Claim]]="No"),Table1[[#This Row],[Service_Revenue]],0)</f>
        <v>0</v>
      </c>
      <c r="V758" s="4">
        <f>IF(Table1[[#This Row],[Warranty_Claim]]="Yes",1,0)</f>
        <v>1</v>
      </c>
      <c r="W758" s="4">
        <f>IF(Table1[[#This Row],[Rework_Flag]]="No",1,0)</f>
        <v>0</v>
      </c>
      <c r="X758" s="4">
        <f>IF(Table1[[#This Row],[Rework_Flag]]="Yes",1,0)</f>
        <v>1</v>
      </c>
      <c r="Y758" s="4">
        <v>1</v>
      </c>
      <c r="Z758" s="4" t="str">
        <f>IF(Table1[[#This Row],[TAT_Days]]&gt;Table1[[#This Row],[SLA_TAT]],"Yes","No")</f>
        <v>Yes</v>
      </c>
      <c r="AA758" s="4" t="str" cm="1">
        <f t="array" ref="AA758">_xlfn.IFS(Table1[[#This Row],[Customer_Satisfaction]]&lt;=2,"Poor",Table1[[#This Row],[Customer_Satisfaction]]=3,"Neutral",Table1[[#This Row],[Customer_Satisfaction]]=4,"Good",Table1[[#This Row],[Customer_Satisfaction]]=5,"Good")</f>
        <v>Poor</v>
      </c>
    </row>
    <row r="759" spans="1:27" x14ac:dyDescent="0.35">
      <c r="A759">
        <v>20757</v>
      </c>
      <c r="B759" s="1">
        <v>45456</v>
      </c>
      <c r="C759" t="s">
        <v>37</v>
      </c>
      <c r="D759" t="s">
        <v>38</v>
      </c>
      <c r="E759" t="s">
        <v>93</v>
      </c>
      <c r="F759" t="s">
        <v>22</v>
      </c>
      <c r="G759" t="s">
        <v>54</v>
      </c>
      <c r="H759" t="s">
        <v>42</v>
      </c>
      <c r="I759" t="s">
        <v>55</v>
      </c>
      <c r="J759" t="s">
        <v>35</v>
      </c>
      <c r="K759" t="s">
        <v>27</v>
      </c>
      <c r="L759" t="s">
        <v>28</v>
      </c>
      <c r="M759" s="4">
        <v>24</v>
      </c>
      <c r="N759" s="4">
        <v>7</v>
      </c>
      <c r="O759" t="s">
        <v>29</v>
      </c>
      <c r="P759" t="s">
        <v>29</v>
      </c>
      <c r="Q759" s="4">
        <v>201544</v>
      </c>
      <c r="R759" s="4">
        <v>121720</v>
      </c>
      <c r="S759" s="4">
        <f>Table1[[#This Row],[Service_Revenue]]-Table1[[#This Row],[Service_Cost]]</f>
        <v>79824</v>
      </c>
      <c r="T759" s="4">
        <v>1</v>
      </c>
      <c r="U759" s="4">
        <f>IF(AND(Table1[[#This Row],[Rework_Flag]]="Yes",Table1[[#This Row],[Warranty_Claim]]="No"),Table1[[#This Row],[Service_Revenue]],0)</f>
        <v>0</v>
      </c>
      <c r="V759" s="4">
        <f>IF(Table1[[#This Row],[Warranty_Claim]]="Yes",1,0)</f>
        <v>1</v>
      </c>
      <c r="W759" s="4">
        <f>IF(Table1[[#This Row],[Rework_Flag]]="No",1,0)</f>
        <v>0</v>
      </c>
      <c r="X759" s="4">
        <f>IF(Table1[[#This Row],[Rework_Flag]]="Yes",1,0)</f>
        <v>1</v>
      </c>
      <c r="Y759" s="4">
        <v>1</v>
      </c>
      <c r="Z759" s="4" t="str">
        <f>IF(Table1[[#This Row],[TAT_Days]]&gt;Table1[[#This Row],[SLA_TAT]],"Yes","No")</f>
        <v>Yes</v>
      </c>
      <c r="AA759" s="4" t="str" cm="1">
        <f t="array" ref="AA759">_xlfn.IFS(Table1[[#This Row],[Customer_Satisfaction]]&lt;=2,"Poor",Table1[[#This Row],[Customer_Satisfaction]]=3,"Neutral",Table1[[#This Row],[Customer_Satisfaction]]=4,"Good",Table1[[#This Row],[Customer_Satisfaction]]=5,"Good")</f>
        <v>Poor</v>
      </c>
    </row>
    <row r="760" spans="1:27" x14ac:dyDescent="0.35">
      <c r="A760">
        <v>20758</v>
      </c>
      <c r="B760" s="1">
        <v>45368</v>
      </c>
      <c r="C760" t="s">
        <v>30</v>
      </c>
      <c r="D760" t="s">
        <v>83</v>
      </c>
      <c r="E760" t="s">
        <v>84</v>
      </c>
      <c r="F760" t="s">
        <v>22</v>
      </c>
      <c r="G760" t="s">
        <v>54</v>
      </c>
      <c r="H760" t="s">
        <v>42</v>
      </c>
      <c r="I760" t="s">
        <v>25</v>
      </c>
      <c r="J760" t="s">
        <v>35</v>
      </c>
      <c r="K760" t="s">
        <v>61</v>
      </c>
      <c r="L760" t="s">
        <v>49</v>
      </c>
      <c r="M760" s="4">
        <v>13</v>
      </c>
      <c r="N760" s="4">
        <v>7</v>
      </c>
      <c r="O760" t="s">
        <v>29</v>
      </c>
      <c r="P760" t="s">
        <v>29</v>
      </c>
      <c r="Q760" s="4">
        <v>169254</v>
      </c>
      <c r="R760" s="4">
        <v>99269</v>
      </c>
      <c r="S760" s="4">
        <f>Table1[[#This Row],[Service_Revenue]]-Table1[[#This Row],[Service_Cost]]</f>
        <v>69985</v>
      </c>
      <c r="T760" s="4">
        <v>2</v>
      </c>
      <c r="U760" s="4">
        <f>IF(AND(Table1[[#This Row],[Rework_Flag]]="Yes",Table1[[#This Row],[Warranty_Claim]]="No"),Table1[[#This Row],[Service_Revenue]],0)</f>
        <v>0</v>
      </c>
      <c r="V760" s="4">
        <f>IF(Table1[[#This Row],[Warranty_Claim]]="Yes",1,0)</f>
        <v>1</v>
      </c>
      <c r="W760" s="4">
        <f>IF(Table1[[#This Row],[Rework_Flag]]="No",1,0)</f>
        <v>0</v>
      </c>
      <c r="X760" s="4">
        <f>IF(Table1[[#This Row],[Rework_Flag]]="Yes",1,0)</f>
        <v>1</v>
      </c>
      <c r="Y760" s="4">
        <v>1</v>
      </c>
      <c r="Z760" s="4" t="str">
        <f>IF(Table1[[#This Row],[TAT_Days]]&gt;Table1[[#This Row],[SLA_TAT]],"Yes","No")</f>
        <v>Yes</v>
      </c>
      <c r="AA760" s="4" t="str" cm="1">
        <f t="array" ref="AA760">_xlfn.IFS(Table1[[#This Row],[Customer_Satisfaction]]&lt;=2,"Poor",Table1[[#This Row],[Customer_Satisfaction]]=3,"Neutral",Table1[[#This Row],[Customer_Satisfaction]]=4,"Good",Table1[[#This Row],[Customer_Satisfaction]]=5,"Good")</f>
        <v>Poor</v>
      </c>
    </row>
    <row r="761" spans="1:27" x14ac:dyDescent="0.35">
      <c r="A761">
        <v>20759</v>
      </c>
      <c r="B761" s="1">
        <v>45336</v>
      </c>
      <c r="C761" t="s">
        <v>30</v>
      </c>
      <c r="D761" t="s">
        <v>31</v>
      </c>
      <c r="E761" t="s">
        <v>79</v>
      </c>
      <c r="F761" t="s">
        <v>53</v>
      </c>
      <c r="G761" t="s">
        <v>63</v>
      </c>
      <c r="H761" t="s">
        <v>24</v>
      </c>
      <c r="I761" t="s">
        <v>25</v>
      </c>
      <c r="J761" t="s">
        <v>26</v>
      </c>
      <c r="K761" t="s">
        <v>44</v>
      </c>
      <c r="L761" t="s">
        <v>28</v>
      </c>
      <c r="M761" s="4">
        <v>7</v>
      </c>
      <c r="N761" s="4">
        <v>7</v>
      </c>
      <c r="O761" t="s">
        <v>36</v>
      </c>
      <c r="P761" t="s">
        <v>36</v>
      </c>
      <c r="Q761" s="4">
        <v>593326</v>
      </c>
      <c r="R761" s="4">
        <v>482790</v>
      </c>
      <c r="S761" s="4">
        <f>Table1[[#This Row],[Service_Revenue]]-Table1[[#This Row],[Service_Cost]]</f>
        <v>110536</v>
      </c>
      <c r="T761" s="4">
        <v>4</v>
      </c>
      <c r="U761" s="4">
        <f>IF(AND(Table1[[#This Row],[Rework_Flag]]="Yes",Table1[[#This Row],[Warranty_Claim]]="No"),Table1[[#This Row],[Service_Revenue]],0)</f>
        <v>0</v>
      </c>
      <c r="V761" s="4">
        <f>IF(Table1[[#This Row],[Warranty_Claim]]="Yes",1,0)</f>
        <v>0</v>
      </c>
      <c r="W761" s="4">
        <f>IF(Table1[[#This Row],[Rework_Flag]]="No",1,0)</f>
        <v>1</v>
      </c>
      <c r="X761" s="4">
        <f>IF(Table1[[#This Row],[Rework_Flag]]="Yes",1,0)</f>
        <v>0</v>
      </c>
      <c r="Y761" s="4">
        <v>1</v>
      </c>
      <c r="Z761" s="4" t="str">
        <f>IF(Table1[[#This Row],[TAT_Days]]&gt;Table1[[#This Row],[SLA_TAT]],"Yes","No")</f>
        <v>No</v>
      </c>
      <c r="AA761" s="4" t="str" cm="1">
        <f t="array" ref="AA761">_xlfn.IFS(Table1[[#This Row],[Customer_Satisfaction]]&lt;=2,"Poor",Table1[[#This Row],[Customer_Satisfaction]]=3,"Neutral",Table1[[#This Row],[Customer_Satisfaction]]=4,"Good",Table1[[#This Row],[Customer_Satisfaction]]=5,"Good")</f>
        <v>Good</v>
      </c>
    </row>
    <row r="762" spans="1:27" x14ac:dyDescent="0.35">
      <c r="A762">
        <v>20760</v>
      </c>
      <c r="B762" s="1">
        <v>45303</v>
      </c>
      <c r="C762" t="s">
        <v>50</v>
      </c>
      <c r="D762" t="s">
        <v>56</v>
      </c>
      <c r="E762" t="s">
        <v>77</v>
      </c>
      <c r="F762" t="s">
        <v>22</v>
      </c>
      <c r="G762" t="s">
        <v>74</v>
      </c>
      <c r="H762" t="s">
        <v>34</v>
      </c>
      <c r="I762" t="s">
        <v>25</v>
      </c>
      <c r="J762" t="s">
        <v>58</v>
      </c>
      <c r="K762" t="s">
        <v>44</v>
      </c>
      <c r="L762" t="s">
        <v>28</v>
      </c>
      <c r="M762" s="4">
        <v>15</v>
      </c>
      <c r="N762" s="4">
        <v>7</v>
      </c>
      <c r="O762" t="s">
        <v>29</v>
      </c>
      <c r="P762" t="s">
        <v>29</v>
      </c>
      <c r="Q762" s="4">
        <v>132092</v>
      </c>
      <c r="R762" s="4">
        <v>72353</v>
      </c>
      <c r="S762" s="4">
        <f>Table1[[#This Row],[Service_Revenue]]-Table1[[#This Row],[Service_Cost]]</f>
        <v>59739</v>
      </c>
      <c r="T762" s="4">
        <v>1</v>
      </c>
      <c r="U762" s="4">
        <f>IF(AND(Table1[[#This Row],[Rework_Flag]]="Yes",Table1[[#This Row],[Warranty_Claim]]="No"),Table1[[#This Row],[Service_Revenue]],0)</f>
        <v>0</v>
      </c>
      <c r="V762" s="4">
        <f>IF(Table1[[#This Row],[Warranty_Claim]]="Yes",1,0)</f>
        <v>1</v>
      </c>
      <c r="W762" s="4">
        <f>IF(Table1[[#This Row],[Rework_Flag]]="No",1,0)</f>
        <v>0</v>
      </c>
      <c r="X762" s="4">
        <f>IF(Table1[[#This Row],[Rework_Flag]]="Yes",1,0)</f>
        <v>1</v>
      </c>
      <c r="Y762" s="4">
        <v>1</v>
      </c>
      <c r="Z762" s="4" t="str">
        <f>IF(Table1[[#This Row],[TAT_Days]]&gt;Table1[[#This Row],[SLA_TAT]],"Yes","No")</f>
        <v>Yes</v>
      </c>
      <c r="AA762" s="4" t="str" cm="1">
        <f t="array" ref="AA762">_xlfn.IFS(Table1[[#This Row],[Customer_Satisfaction]]&lt;=2,"Poor",Table1[[#This Row],[Customer_Satisfaction]]=3,"Neutral",Table1[[#This Row],[Customer_Satisfaction]]=4,"Good",Table1[[#This Row],[Customer_Satisfaction]]=5,"Good")</f>
        <v>Poor</v>
      </c>
    </row>
    <row r="763" spans="1:27" x14ac:dyDescent="0.35">
      <c r="A763">
        <v>20761</v>
      </c>
      <c r="B763" s="1">
        <v>45372</v>
      </c>
      <c r="C763" t="s">
        <v>30</v>
      </c>
      <c r="D763" t="s">
        <v>31</v>
      </c>
      <c r="E763" t="s">
        <v>106</v>
      </c>
      <c r="F763" t="s">
        <v>40</v>
      </c>
      <c r="G763" t="s">
        <v>54</v>
      </c>
      <c r="H763" t="s">
        <v>42</v>
      </c>
      <c r="I763" t="s">
        <v>55</v>
      </c>
      <c r="J763" t="s">
        <v>43</v>
      </c>
      <c r="K763" t="s">
        <v>27</v>
      </c>
      <c r="L763" t="s">
        <v>28</v>
      </c>
      <c r="M763" s="4">
        <v>18</v>
      </c>
      <c r="N763" s="4">
        <v>7</v>
      </c>
      <c r="O763" t="s">
        <v>29</v>
      </c>
      <c r="P763" t="s">
        <v>29</v>
      </c>
      <c r="Q763" s="4">
        <v>401161</v>
      </c>
      <c r="R763" s="4">
        <v>266163</v>
      </c>
      <c r="S763" s="4">
        <f>Table1[[#This Row],[Service_Revenue]]-Table1[[#This Row],[Service_Cost]]</f>
        <v>134998</v>
      </c>
      <c r="T763" s="4">
        <v>1</v>
      </c>
      <c r="U763" s="4">
        <f>IF(AND(Table1[[#This Row],[Rework_Flag]]="Yes",Table1[[#This Row],[Warranty_Claim]]="No"),Table1[[#This Row],[Service_Revenue]],0)</f>
        <v>0</v>
      </c>
      <c r="V763" s="4">
        <f>IF(Table1[[#This Row],[Warranty_Claim]]="Yes",1,0)</f>
        <v>1</v>
      </c>
      <c r="W763" s="4">
        <f>IF(Table1[[#This Row],[Rework_Flag]]="No",1,0)</f>
        <v>0</v>
      </c>
      <c r="X763" s="4">
        <f>IF(Table1[[#This Row],[Rework_Flag]]="Yes",1,0)</f>
        <v>1</v>
      </c>
      <c r="Y763" s="4">
        <v>1</v>
      </c>
      <c r="Z763" s="4" t="str">
        <f>IF(Table1[[#This Row],[TAT_Days]]&gt;Table1[[#This Row],[SLA_TAT]],"Yes","No")</f>
        <v>Yes</v>
      </c>
      <c r="AA763" s="4" t="str" cm="1">
        <f t="array" ref="AA763">_xlfn.IFS(Table1[[#This Row],[Customer_Satisfaction]]&lt;=2,"Poor",Table1[[#This Row],[Customer_Satisfaction]]=3,"Neutral",Table1[[#This Row],[Customer_Satisfaction]]=4,"Good",Table1[[#This Row],[Customer_Satisfaction]]=5,"Good")</f>
        <v>Poor</v>
      </c>
    </row>
    <row r="764" spans="1:27" x14ac:dyDescent="0.35">
      <c r="A764">
        <v>20762</v>
      </c>
      <c r="B764" s="1">
        <v>45438</v>
      </c>
      <c r="C764" t="s">
        <v>19</v>
      </c>
      <c r="D764" t="s">
        <v>20</v>
      </c>
      <c r="E764" t="s">
        <v>21</v>
      </c>
      <c r="F764" t="s">
        <v>40</v>
      </c>
      <c r="G764" t="s">
        <v>41</v>
      </c>
      <c r="H764" t="s">
        <v>42</v>
      </c>
      <c r="I764" t="s">
        <v>55</v>
      </c>
      <c r="J764" t="s">
        <v>43</v>
      </c>
      <c r="K764" t="s">
        <v>61</v>
      </c>
      <c r="L764" t="s">
        <v>49</v>
      </c>
      <c r="M764" s="4">
        <v>7</v>
      </c>
      <c r="N764" s="4">
        <v>7</v>
      </c>
      <c r="O764" t="s">
        <v>29</v>
      </c>
      <c r="P764" t="s">
        <v>29</v>
      </c>
      <c r="Q764" s="4">
        <v>144339</v>
      </c>
      <c r="R764" s="4">
        <v>116266</v>
      </c>
      <c r="S764" s="4">
        <f>Table1[[#This Row],[Service_Revenue]]-Table1[[#This Row],[Service_Cost]]</f>
        <v>28073</v>
      </c>
      <c r="T764" s="4">
        <v>3</v>
      </c>
      <c r="U764" s="4">
        <f>IF(AND(Table1[[#This Row],[Rework_Flag]]="Yes",Table1[[#This Row],[Warranty_Claim]]="No"),Table1[[#This Row],[Service_Revenue]],0)</f>
        <v>0</v>
      </c>
      <c r="V764" s="4">
        <f>IF(Table1[[#This Row],[Warranty_Claim]]="Yes",1,0)</f>
        <v>1</v>
      </c>
      <c r="W764" s="4">
        <f>IF(Table1[[#This Row],[Rework_Flag]]="No",1,0)</f>
        <v>0</v>
      </c>
      <c r="X764" s="4">
        <f>IF(Table1[[#This Row],[Rework_Flag]]="Yes",1,0)</f>
        <v>1</v>
      </c>
      <c r="Y764" s="4">
        <v>1</v>
      </c>
      <c r="Z764" s="4" t="str">
        <f>IF(Table1[[#This Row],[TAT_Days]]&gt;Table1[[#This Row],[SLA_TAT]],"Yes","No")</f>
        <v>No</v>
      </c>
      <c r="AA764" s="4" t="str" cm="1">
        <f t="array" ref="AA764">_xlfn.IFS(Table1[[#This Row],[Customer_Satisfaction]]&lt;=2,"Poor",Table1[[#This Row],[Customer_Satisfaction]]=3,"Neutral",Table1[[#This Row],[Customer_Satisfaction]]=4,"Good",Table1[[#This Row],[Customer_Satisfaction]]=5,"Good")</f>
        <v>Neutral</v>
      </c>
    </row>
    <row r="765" spans="1:27" x14ac:dyDescent="0.35">
      <c r="A765">
        <v>20763</v>
      </c>
      <c r="B765" s="1">
        <v>45441</v>
      </c>
      <c r="C765" t="s">
        <v>30</v>
      </c>
      <c r="D765" t="s">
        <v>83</v>
      </c>
      <c r="E765" t="s">
        <v>92</v>
      </c>
      <c r="F765" t="s">
        <v>40</v>
      </c>
      <c r="G765" t="s">
        <v>23</v>
      </c>
      <c r="H765" t="s">
        <v>24</v>
      </c>
      <c r="I765" t="s">
        <v>55</v>
      </c>
      <c r="J765" t="s">
        <v>26</v>
      </c>
      <c r="K765" t="s">
        <v>61</v>
      </c>
      <c r="L765" t="s">
        <v>28</v>
      </c>
      <c r="M765" s="4">
        <v>16</v>
      </c>
      <c r="N765" s="4">
        <v>7</v>
      </c>
      <c r="O765" t="s">
        <v>36</v>
      </c>
      <c r="P765" t="s">
        <v>36</v>
      </c>
      <c r="Q765" s="4">
        <v>384629</v>
      </c>
      <c r="R765" s="4">
        <v>206751</v>
      </c>
      <c r="S765" s="4">
        <f>Table1[[#This Row],[Service_Revenue]]-Table1[[#This Row],[Service_Cost]]</f>
        <v>177878</v>
      </c>
      <c r="T765" s="4">
        <v>2</v>
      </c>
      <c r="U765" s="4">
        <f>IF(AND(Table1[[#This Row],[Rework_Flag]]="Yes",Table1[[#This Row],[Warranty_Claim]]="No"),Table1[[#This Row],[Service_Revenue]],0)</f>
        <v>0</v>
      </c>
      <c r="V765" s="4">
        <f>IF(Table1[[#This Row],[Warranty_Claim]]="Yes",1,0)</f>
        <v>0</v>
      </c>
      <c r="W765" s="4">
        <f>IF(Table1[[#This Row],[Rework_Flag]]="No",1,0)</f>
        <v>1</v>
      </c>
      <c r="X765" s="4">
        <f>IF(Table1[[#This Row],[Rework_Flag]]="Yes",1,0)</f>
        <v>0</v>
      </c>
      <c r="Y765" s="4">
        <v>1</v>
      </c>
      <c r="Z765" s="4" t="str">
        <f>IF(Table1[[#This Row],[TAT_Days]]&gt;Table1[[#This Row],[SLA_TAT]],"Yes","No")</f>
        <v>Yes</v>
      </c>
      <c r="AA765" s="4" t="str" cm="1">
        <f t="array" ref="AA765">_xlfn.IFS(Table1[[#This Row],[Customer_Satisfaction]]&lt;=2,"Poor",Table1[[#This Row],[Customer_Satisfaction]]=3,"Neutral",Table1[[#This Row],[Customer_Satisfaction]]=4,"Good",Table1[[#This Row],[Customer_Satisfaction]]=5,"Good")</f>
        <v>Poor</v>
      </c>
    </row>
    <row r="766" spans="1:27" x14ac:dyDescent="0.35">
      <c r="A766">
        <v>20764</v>
      </c>
      <c r="B766" s="1">
        <v>45356</v>
      </c>
      <c r="C766" t="s">
        <v>50</v>
      </c>
      <c r="D766" t="s">
        <v>80</v>
      </c>
      <c r="E766" t="s">
        <v>104</v>
      </c>
      <c r="F766" t="s">
        <v>40</v>
      </c>
      <c r="G766" t="s">
        <v>41</v>
      </c>
      <c r="H766" t="s">
        <v>42</v>
      </c>
      <c r="I766" t="s">
        <v>55</v>
      </c>
      <c r="J766" t="s">
        <v>43</v>
      </c>
      <c r="K766" t="s">
        <v>61</v>
      </c>
      <c r="L766" t="s">
        <v>28</v>
      </c>
      <c r="M766" s="4">
        <v>15</v>
      </c>
      <c r="N766" s="4">
        <v>7</v>
      </c>
      <c r="O766" t="s">
        <v>36</v>
      </c>
      <c r="P766" t="s">
        <v>29</v>
      </c>
      <c r="Q766" s="4">
        <v>106609</v>
      </c>
      <c r="R766" s="4">
        <v>69132</v>
      </c>
      <c r="S766" s="4">
        <f>Table1[[#This Row],[Service_Revenue]]-Table1[[#This Row],[Service_Cost]]</f>
        <v>37477</v>
      </c>
      <c r="T766" s="4">
        <v>2</v>
      </c>
      <c r="U766" s="4">
        <f>IF(AND(Table1[[#This Row],[Rework_Flag]]="Yes",Table1[[#This Row],[Warranty_Claim]]="No"),Table1[[#This Row],[Service_Revenue]],0)</f>
        <v>0</v>
      </c>
      <c r="V766" s="4">
        <f>IF(Table1[[#This Row],[Warranty_Claim]]="Yes",1,0)</f>
        <v>1</v>
      </c>
      <c r="W766" s="4">
        <f>IF(Table1[[#This Row],[Rework_Flag]]="No",1,0)</f>
        <v>1</v>
      </c>
      <c r="X766" s="4">
        <f>IF(Table1[[#This Row],[Rework_Flag]]="Yes",1,0)</f>
        <v>0</v>
      </c>
      <c r="Y766" s="4">
        <v>1</v>
      </c>
      <c r="Z766" s="4" t="str">
        <f>IF(Table1[[#This Row],[TAT_Days]]&gt;Table1[[#This Row],[SLA_TAT]],"Yes","No")</f>
        <v>Yes</v>
      </c>
      <c r="AA766" s="4" t="str" cm="1">
        <f t="array" ref="AA766">_xlfn.IFS(Table1[[#This Row],[Customer_Satisfaction]]&lt;=2,"Poor",Table1[[#This Row],[Customer_Satisfaction]]=3,"Neutral",Table1[[#This Row],[Customer_Satisfaction]]=4,"Good",Table1[[#This Row],[Customer_Satisfaction]]=5,"Good")</f>
        <v>Poor</v>
      </c>
    </row>
    <row r="767" spans="1:27" x14ac:dyDescent="0.35">
      <c r="A767">
        <v>20765</v>
      </c>
      <c r="B767" s="1">
        <v>45335</v>
      </c>
      <c r="C767" t="s">
        <v>50</v>
      </c>
      <c r="D767" t="s">
        <v>56</v>
      </c>
      <c r="E767" t="s">
        <v>77</v>
      </c>
      <c r="F767" t="s">
        <v>22</v>
      </c>
      <c r="G767" t="s">
        <v>23</v>
      </c>
      <c r="H767" t="s">
        <v>24</v>
      </c>
      <c r="I767" t="s">
        <v>25</v>
      </c>
      <c r="J767" t="s">
        <v>43</v>
      </c>
      <c r="K767" t="s">
        <v>27</v>
      </c>
      <c r="L767" t="s">
        <v>28</v>
      </c>
      <c r="M767" s="4">
        <v>7</v>
      </c>
      <c r="N767" s="4">
        <v>7</v>
      </c>
      <c r="O767" t="s">
        <v>36</v>
      </c>
      <c r="P767" t="s">
        <v>36</v>
      </c>
      <c r="Q767" s="4">
        <v>98958</v>
      </c>
      <c r="R767" s="4">
        <v>70599</v>
      </c>
      <c r="S767" s="4">
        <f>Table1[[#This Row],[Service_Revenue]]-Table1[[#This Row],[Service_Cost]]</f>
        <v>28359</v>
      </c>
      <c r="T767" s="4">
        <v>4</v>
      </c>
      <c r="U767" s="4">
        <f>IF(AND(Table1[[#This Row],[Rework_Flag]]="Yes",Table1[[#This Row],[Warranty_Claim]]="No"),Table1[[#This Row],[Service_Revenue]],0)</f>
        <v>0</v>
      </c>
      <c r="V767" s="4">
        <f>IF(Table1[[#This Row],[Warranty_Claim]]="Yes",1,0)</f>
        <v>0</v>
      </c>
      <c r="W767" s="4">
        <f>IF(Table1[[#This Row],[Rework_Flag]]="No",1,0)</f>
        <v>1</v>
      </c>
      <c r="X767" s="4">
        <f>IF(Table1[[#This Row],[Rework_Flag]]="Yes",1,0)</f>
        <v>0</v>
      </c>
      <c r="Y767" s="4">
        <v>1</v>
      </c>
      <c r="Z767" s="4" t="str">
        <f>IF(Table1[[#This Row],[TAT_Days]]&gt;Table1[[#This Row],[SLA_TAT]],"Yes","No")</f>
        <v>No</v>
      </c>
      <c r="AA767" s="4" t="str" cm="1">
        <f t="array" ref="AA767">_xlfn.IFS(Table1[[#This Row],[Customer_Satisfaction]]&lt;=2,"Poor",Table1[[#This Row],[Customer_Satisfaction]]=3,"Neutral",Table1[[#This Row],[Customer_Satisfaction]]=4,"Good",Table1[[#This Row],[Customer_Satisfaction]]=5,"Good")</f>
        <v>Good</v>
      </c>
    </row>
    <row r="768" spans="1:27" x14ac:dyDescent="0.35">
      <c r="A768">
        <v>20766</v>
      </c>
      <c r="B768" s="1">
        <v>45405</v>
      </c>
      <c r="C768" t="s">
        <v>30</v>
      </c>
      <c r="D768" t="s">
        <v>31</v>
      </c>
      <c r="E768" t="s">
        <v>122</v>
      </c>
      <c r="F768" t="s">
        <v>22</v>
      </c>
      <c r="G768" t="s">
        <v>63</v>
      </c>
      <c r="H768" t="s">
        <v>24</v>
      </c>
      <c r="I768" t="s">
        <v>25</v>
      </c>
      <c r="J768" t="s">
        <v>26</v>
      </c>
      <c r="K768" t="s">
        <v>61</v>
      </c>
      <c r="L768" t="s">
        <v>28</v>
      </c>
      <c r="M768" s="4">
        <v>19</v>
      </c>
      <c r="N768" s="4">
        <v>7</v>
      </c>
      <c r="O768" t="s">
        <v>36</v>
      </c>
      <c r="P768" t="s">
        <v>36</v>
      </c>
      <c r="Q768" s="4">
        <v>194044</v>
      </c>
      <c r="R768" s="4">
        <v>152972</v>
      </c>
      <c r="S768" s="4">
        <f>Table1[[#This Row],[Service_Revenue]]-Table1[[#This Row],[Service_Cost]]</f>
        <v>41072</v>
      </c>
      <c r="T768" s="4">
        <v>2</v>
      </c>
      <c r="U768" s="4">
        <f>IF(AND(Table1[[#This Row],[Rework_Flag]]="Yes",Table1[[#This Row],[Warranty_Claim]]="No"),Table1[[#This Row],[Service_Revenue]],0)</f>
        <v>0</v>
      </c>
      <c r="V768" s="4">
        <f>IF(Table1[[#This Row],[Warranty_Claim]]="Yes",1,0)</f>
        <v>0</v>
      </c>
      <c r="W768" s="4">
        <f>IF(Table1[[#This Row],[Rework_Flag]]="No",1,0)</f>
        <v>1</v>
      </c>
      <c r="X768" s="4">
        <f>IF(Table1[[#This Row],[Rework_Flag]]="Yes",1,0)</f>
        <v>0</v>
      </c>
      <c r="Y768" s="4">
        <v>1</v>
      </c>
      <c r="Z768" s="4" t="str">
        <f>IF(Table1[[#This Row],[TAT_Days]]&gt;Table1[[#This Row],[SLA_TAT]],"Yes","No")</f>
        <v>Yes</v>
      </c>
      <c r="AA768" s="4" t="str" cm="1">
        <f t="array" ref="AA768">_xlfn.IFS(Table1[[#This Row],[Customer_Satisfaction]]&lt;=2,"Poor",Table1[[#This Row],[Customer_Satisfaction]]=3,"Neutral",Table1[[#This Row],[Customer_Satisfaction]]=4,"Good",Table1[[#This Row],[Customer_Satisfaction]]=5,"Good")</f>
        <v>Poor</v>
      </c>
    </row>
    <row r="769" spans="1:27" x14ac:dyDescent="0.35">
      <c r="A769">
        <v>20767</v>
      </c>
      <c r="B769" s="1">
        <v>45453</v>
      </c>
      <c r="C769" t="s">
        <v>37</v>
      </c>
      <c r="D769" t="s">
        <v>70</v>
      </c>
      <c r="E769" t="s">
        <v>116</v>
      </c>
      <c r="F769" t="s">
        <v>53</v>
      </c>
      <c r="G769" t="s">
        <v>74</v>
      </c>
      <c r="H769" t="s">
        <v>34</v>
      </c>
      <c r="I769" t="s">
        <v>55</v>
      </c>
      <c r="J769" t="s">
        <v>35</v>
      </c>
      <c r="K769" t="s">
        <v>61</v>
      </c>
      <c r="L769" t="s">
        <v>28</v>
      </c>
      <c r="M769" s="4">
        <v>22</v>
      </c>
      <c r="N769" s="4">
        <v>7</v>
      </c>
      <c r="O769" t="s">
        <v>36</v>
      </c>
      <c r="P769" t="s">
        <v>36</v>
      </c>
      <c r="Q769" s="4">
        <v>194694</v>
      </c>
      <c r="R769" s="4">
        <v>146145</v>
      </c>
      <c r="S769" s="4">
        <f>Table1[[#This Row],[Service_Revenue]]-Table1[[#This Row],[Service_Cost]]</f>
        <v>48549</v>
      </c>
      <c r="T769" s="4">
        <v>1</v>
      </c>
      <c r="U769" s="4">
        <f>IF(AND(Table1[[#This Row],[Rework_Flag]]="Yes",Table1[[#This Row],[Warranty_Claim]]="No"),Table1[[#This Row],[Service_Revenue]],0)</f>
        <v>0</v>
      </c>
      <c r="V769" s="4">
        <f>IF(Table1[[#This Row],[Warranty_Claim]]="Yes",1,0)</f>
        <v>0</v>
      </c>
      <c r="W769" s="4">
        <f>IF(Table1[[#This Row],[Rework_Flag]]="No",1,0)</f>
        <v>1</v>
      </c>
      <c r="X769" s="4">
        <f>IF(Table1[[#This Row],[Rework_Flag]]="Yes",1,0)</f>
        <v>0</v>
      </c>
      <c r="Y769" s="4">
        <v>1</v>
      </c>
      <c r="Z769" s="4" t="str">
        <f>IF(Table1[[#This Row],[TAT_Days]]&gt;Table1[[#This Row],[SLA_TAT]],"Yes","No")</f>
        <v>Yes</v>
      </c>
      <c r="AA769" s="4" t="str" cm="1">
        <f t="array" ref="AA769">_xlfn.IFS(Table1[[#This Row],[Customer_Satisfaction]]&lt;=2,"Poor",Table1[[#This Row],[Customer_Satisfaction]]=3,"Neutral",Table1[[#This Row],[Customer_Satisfaction]]=4,"Good",Table1[[#This Row],[Customer_Satisfaction]]=5,"Good")</f>
        <v>Poor</v>
      </c>
    </row>
    <row r="770" spans="1:27" x14ac:dyDescent="0.35">
      <c r="A770">
        <v>20768</v>
      </c>
      <c r="B770" s="1">
        <v>45390</v>
      </c>
      <c r="C770" t="s">
        <v>19</v>
      </c>
      <c r="D770" t="s">
        <v>20</v>
      </c>
      <c r="E770" t="s">
        <v>117</v>
      </c>
      <c r="F770" t="s">
        <v>40</v>
      </c>
      <c r="G770" t="s">
        <v>54</v>
      </c>
      <c r="H770" t="s">
        <v>42</v>
      </c>
      <c r="I770" t="s">
        <v>55</v>
      </c>
      <c r="J770" t="s">
        <v>26</v>
      </c>
      <c r="K770" t="s">
        <v>27</v>
      </c>
      <c r="L770" t="s">
        <v>28</v>
      </c>
      <c r="M770" s="4">
        <v>8</v>
      </c>
      <c r="N770" s="4">
        <v>7</v>
      </c>
      <c r="O770" t="s">
        <v>36</v>
      </c>
      <c r="P770" t="s">
        <v>36</v>
      </c>
      <c r="Q770" s="4">
        <v>152746</v>
      </c>
      <c r="R770" s="4">
        <v>79737</v>
      </c>
      <c r="S770" s="4">
        <f>Table1[[#This Row],[Service_Revenue]]-Table1[[#This Row],[Service_Cost]]</f>
        <v>73009</v>
      </c>
      <c r="T770" s="4">
        <v>4</v>
      </c>
      <c r="U770" s="4">
        <f>IF(AND(Table1[[#This Row],[Rework_Flag]]="Yes",Table1[[#This Row],[Warranty_Claim]]="No"),Table1[[#This Row],[Service_Revenue]],0)</f>
        <v>0</v>
      </c>
      <c r="V770" s="4">
        <f>IF(Table1[[#This Row],[Warranty_Claim]]="Yes",1,0)</f>
        <v>0</v>
      </c>
      <c r="W770" s="4">
        <f>IF(Table1[[#This Row],[Rework_Flag]]="No",1,0)</f>
        <v>1</v>
      </c>
      <c r="X770" s="4">
        <f>IF(Table1[[#This Row],[Rework_Flag]]="Yes",1,0)</f>
        <v>0</v>
      </c>
      <c r="Y770" s="4">
        <v>1</v>
      </c>
      <c r="Z770" s="4" t="str">
        <f>IF(Table1[[#This Row],[TAT_Days]]&gt;Table1[[#This Row],[SLA_TAT]],"Yes","No")</f>
        <v>Yes</v>
      </c>
      <c r="AA770" s="4" t="str" cm="1">
        <f t="array" ref="AA770">_xlfn.IFS(Table1[[#This Row],[Customer_Satisfaction]]&lt;=2,"Poor",Table1[[#This Row],[Customer_Satisfaction]]=3,"Neutral",Table1[[#This Row],[Customer_Satisfaction]]=4,"Good",Table1[[#This Row],[Customer_Satisfaction]]=5,"Good")</f>
        <v>Good</v>
      </c>
    </row>
    <row r="771" spans="1:27" x14ac:dyDescent="0.35">
      <c r="A771">
        <v>20769</v>
      </c>
      <c r="B771" s="1">
        <v>45412</v>
      </c>
      <c r="C771" t="s">
        <v>19</v>
      </c>
      <c r="D771" t="s">
        <v>20</v>
      </c>
      <c r="E771" t="s">
        <v>89</v>
      </c>
      <c r="F771" t="s">
        <v>22</v>
      </c>
      <c r="G771" t="s">
        <v>41</v>
      </c>
      <c r="H771" t="s">
        <v>42</v>
      </c>
      <c r="I771" t="s">
        <v>25</v>
      </c>
      <c r="J771" t="s">
        <v>26</v>
      </c>
      <c r="K771" t="s">
        <v>61</v>
      </c>
      <c r="L771" t="s">
        <v>49</v>
      </c>
      <c r="M771" s="4">
        <v>17</v>
      </c>
      <c r="N771" s="4">
        <v>7</v>
      </c>
      <c r="O771" t="s">
        <v>29</v>
      </c>
      <c r="P771" t="s">
        <v>36</v>
      </c>
      <c r="Q771" s="4">
        <v>441556</v>
      </c>
      <c r="R771" s="4">
        <v>308908</v>
      </c>
      <c r="S771" s="4">
        <f>Table1[[#This Row],[Service_Revenue]]-Table1[[#This Row],[Service_Cost]]</f>
        <v>132648</v>
      </c>
      <c r="T771" s="4">
        <v>1</v>
      </c>
      <c r="U771" s="4">
        <f>IF(AND(Table1[[#This Row],[Rework_Flag]]="Yes",Table1[[#This Row],[Warranty_Claim]]="No"),Table1[[#This Row],[Service_Revenue]],0)</f>
        <v>441556</v>
      </c>
      <c r="V771" s="4">
        <f>IF(Table1[[#This Row],[Warranty_Claim]]="Yes",1,0)</f>
        <v>0</v>
      </c>
      <c r="W771" s="4">
        <f>IF(Table1[[#This Row],[Rework_Flag]]="No",1,0)</f>
        <v>0</v>
      </c>
      <c r="X771" s="4">
        <f>IF(Table1[[#This Row],[Rework_Flag]]="Yes",1,0)</f>
        <v>1</v>
      </c>
      <c r="Y771" s="4">
        <v>1</v>
      </c>
      <c r="Z771" s="4" t="str">
        <f>IF(Table1[[#This Row],[TAT_Days]]&gt;Table1[[#This Row],[SLA_TAT]],"Yes","No")</f>
        <v>Yes</v>
      </c>
      <c r="AA771" s="4" t="str" cm="1">
        <f t="array" ref="AA771">_xlfn.IFS(Table1[[#This Row],[Customer_Satisfaction]]&lt;=2,"Poor",Table1[[#This Row],[Customer_Satisfaction]]=3,"Neutral",Table1[[#This Row],[Customer_Satisfaction]]=4,"Good",Table1[[#This Row],[Customer_Satisfaction]]=5,"Good")</f>
        <v>Poor</v>
      </c>
    </row>
    <row r="772" spans="1:27" x14ac:dyDescent="0.35">
      <c r="A772">
        <v>20770</v>
      </c>
      <c r="B772" s="1">
        <v>45319</v>
      </c>
      <c r="C772" t="s">
        <v>30</v>
      </c>
      <c r="D772" t="s">
        <v>31</v>
      </c>
      <c r="E772" t="s">
        <v>122</v>
      </c>
      <c r="F772" t="s">
        <v>22</v>
      </c>
      <c r="G772" t="s">
        <v>54</v>
      </c>
      <c r="H772" t="s">
        <v>42</v>
      </c>
      <c r="I772" t="s">
        <v>25</v>
      </c>
      <c r="J772" t="s">
        <v>58</v>
      </c>
      <c r="K772" t="s">
        <v>61</v>
      </c>
      <c r="L772" t="s">
        <v>49</v>
      </c>
      <c r="M772" s="4">
        <v>18</v>
      </c>
      <c r="N772" s="4">
        <v>7</v>
      </c>
      <c r="O772" t="s">
        <v>36</v>
      </c>
      <c r="P772" t="s">
        <v>36</v>
      </c>
      <c r="Q772" s="4">
        <v>232817</v>
      </c>
      <c r="R772" s="4">
        <v>152325</v>
      </c>
      <c r="S772" s="4">
        <f>Table1[[#This Row],[Service_Revenue]]-Table1[[#This Row],[Service_Cost]]</f>
        <v>80492</v>
      </c>
      <c r="T772" s="4">
        <v>2</v>
      </c>
      <c r="U772" s="4">
        <f>IF(AND(Table1[[#This Row],[Rework_Flag]]="Yes",Table1[[#This Row],[Warranty_Claim]]="No"),Table1[[#This Row],[Service_Revenue]],0)</f>
        <v>0</v>
      </c>
      <c r="V772" s="4">
        <f>IF(Table1[[#This Row],[Warranty_Claim]]="Yes",1,0)</f>
        <v>0</v>
      </c>
      <c r="W772" s="4">
        <f>IF(Table1[[#This Row],[Rework_Flag]]="No",1,0)</f>
        <v>1</v>
      </c>
      <c r="X772" s="4">
        <f>IF(Table1[[#This Row],[Rework_Flag]]="Yes",1,0)</f>
        <v>0</v>
      </c>
      <c r="Y772" s="4">
        <v>1</v>
      </c>
      <c r="Z772" s="4" t="str">
        <f>IF(Table1[[#This Row],[TAT_Days]]&gt;Table1[[#This Row],[SLA_TAT]],"Yes","No")</f>
        <v>Yes</v>
      </c>
      <c r="AA772" s="4" t="str" cm="1">
        <f t="array" ref="AA772">_xlfn.IFS(Table1[[#This Row],[Customer_Satisfaction]]&lt;=2,"Poor",Table1[[#This Row],[Customer_Satisfaction]]=3,"Neutral",Table1[[#This Row],[Customer_Satisfaction]]=4,"Good",Table1[[#This Row],[Customer_Satisfaction]]=5,"Good")</f>
        <v>Poor</v>
      </c>
    </row>
    <row r="773" spans="1:27" x14ac:dyDescent="0.35">
      <c r="A773">
        <v>20771</v>
      </c>
      <c r="B773" s="1">
        <v>45360</v>
      </c>
      <c r="C773" t="s">
        <v>50</v>
      </c>
      <c r="D773" t="s">
        <v>51</v>
      </c>
      <c r="E773" t="s">
        <v>75</v>
      </c>
      <c r="F773" t="s">
        <v>22</v>
      </c>
      <c r="G773" t="s">
        <v>33</v>
      </c>
      <c r="H773" t="s">
        <v>34</v>
      </c>
      <c r="I773" t="s">
        <v>55</v>
      </c>
      <c r="J773" t="s">
        <v>26</v>
      </c>
      <c r="K773" t="s">
        <v>44</v>
      </c>
      <c r="L773" t="s">
        <v>49</v>
      </c>
      <c r="M773" s="4">
        <v>18</v>
      </c>
      <c r="N773" s="4">
        <v>7</v>
      </c>
      <c r="O773" t="s">
        <v>29</v>
      </c>
      <c r="P773" t="s">
        <v>36</v>
      </c>
      <c r="Q773" s="4">
        <v>267444</v>
      </c>
      <c r="R773" s="4">
        <v>225592</v>
      </c>
      <c r="S773" s="4">
        <f>Table1[[#This Row],[Service_Revenue]]-Table1[[#This Row],[Service_Cost]]</f>
        <v>41852</v>
      </c>
      <c r="T773" s="4">
        <v>1</v>
      </c>
      <c r="U773" s="4">
        <f>IF(AND(Table1[[#This Row],[Rework_Flag]]="Yes",Table1[[#This Row],[Warranty_Claim]]="No"),Table1[[#This Row],[Service_Revenue]],0)</f>
        <v>267444</v>
      </c>
      <c r="V773" s="4">
        <f>IF(Table1[[#This Row],[Warranty_Claim]]="Yes",1,0)</f>
        <v>0</v>
      </c>
      <c r="W773" s="4">
        <f>IF(Table1[[#This Row],[Rework_Flag]]="No",1,0)</f>
        <v>0</v>
      </c>
      <c r="X773" s="4">
        <f>IF(Table1[[#This Row],[Rework_Flag]]="Yes",1,0)</f>
        <v>1</v>
      </c>
      <c r="Y773" s="4">
        <v>1</v>
      </c>
      <c r="Z773" s="4" t="str">
        <f>IF(Table1[[#This Row],[TAT_Days]]&gt;Table1[[#This Row],[SLA_TAT]],"Yes","No")</f>
        <v>Yes</v>
      </c>
      <c r="AA773" s="4" t="str" cm="1">
        <f t="array" ref="AA773">_xlfn.IFS(Table1[[#This Row],[Customer_Satisfaction]]&lt;=2,"Poor",Table1[[#This Row],[Customer_Satisfaction]]=3,"Neutral",Table1[[#This Row],[Customer_Satisfaction]]=4,"Good",Table1[[#This Row],[Customer_Satisfaction]]=5,"Good")</f>
        <v>Poor</v>
      </c>
    </row>
    <row r="774" spans="1:27" x14ac:dyDescent="0.35">
      <c r="A774">
        <v>20772</v>
      </c>
      <c r="B774" s="1">
        <v>45435</v>
      </c>
      <c r="C774" t="s">
        <v>50</v>
      </c>
      <c r="D774" t="s">
        <v>56</v>
      </c>
      <c r="E774" t="s">
        <v>68</v>
      </c>
      <c r="F774" t="s">
        <v>40</v>
      </c>
      <c r="G774" t="s">
        <v>47</v>
      </c>
      <c r="H774" t="s">
        <v>48</v>
      </c>
      <c r="I774" t="s">
        <v>55</v>
      </c>
      <c r="J774" t="s">
        <v>43</v>
      </c>
      <c r="K774" t="s">
        <v>61</v>
      </c>
      <c r="L774" t="s">
        <v>49</v>
      </c>
      <c r="M774" s="4">
        <v>24</v>
      </c>
      <c r="N774" s="4">
        <v>7</v>
      </c>
      <c r="O774" t="s">
        <v>36</v>
      </c>
      <c r="P774" t="s">
        <v>36</v>
      </c>
      <c r="Q774" s="4">
        <v>284489</v>
      </c>
      <c r="R774" s="4">
        <v>174066</v>
      </c>
      <c r="S774" s="4">
        <f>Table1[[#This Row],[Service_Revenue]]-Table1[[#This Row],[Service_Cost]]</f>
        <v>110423</v>
      </c>
      <c r="T774" s="4">
        <v>1</v>
      </c>
      <c r="U774" s="4">
        <f>IF(AND(Table1[[#This Row],[Rework_Flag]]="Yes",Table1[[#This Row],[Warranty_Claim]]="No"),Table1[[#This Row],[Service_Revenue]],0)</f>
        <v>0</v>
      </c>
      <c r="V774" s="4">
        <f>IF(Table1[[#This Row],[Warranty_Claim]]="Yes",1,0)</f>
        <v>0</v>
      </c>
      <c r="W774" s="4">
        <f>IF(Table1[[#This Row],[Rework_Flag]]="No",1,0)</f>
        <v>1</v>
      </c>
      <c r="X774" s="4">
        <f>IF(Table1[[#This Row],[Rework_Flag]]="Yes",1,0)</f>
        <v>0</v>
      </c>
      <c r="Y774" s="4">
        <v>1</v>
      </c>
      <c r="Z774" s="4" t="str">
        <f>IF(Table1[[#This Row],[TAT_Days]]&gt;Table1[[#This Row],[SLA_TAT]],"Yes","No")</f>
        <v>Yes</v>
      </c>
      <c r="AA774" s="4" t="str" cm="1">
        <f t="array" ref="AA774">_xlfn.IFS(Table1[[#This Row],[Customer_Satisfaction]]&lt;=2,"Poor",Table1[[#This Row],[Customer_Satisfaction]]=3,"Neutral",Table1[[#This Row],[Customer_Satisfaction]]=4,"Good",Table1[[#This Row],[Customer_Satisfaction]]=5,"Good")</f>
        <v>Poor</v>
      </c>
    </row>
    <row r="775" spans="1:27" x14ac:dyDescent="0.35">
      <c r="A775">
        <v>20773</v>
      </c>
      <c r="B775" s="1">
        <v>45366</v>
      </c>
      <c r="C775" t="s">
        <v>50</v>
      </c>
      <c r="D775" t="s">
        <v>80</v>
      </c>
      <c r="E775" t="s">
        <v>121</v>
      </c>
      <c r="F775" t="s">
        <v>40</v>
      </c>
      <c r="G775" t="s">
        <v>33</v>
      </c>
      <c r="H775" t="s">
        <v>34</v>
      </c>
      <c r="I775" t="s">
        <v>55</v>
      </c>
      <c r="J775" t="s">
        <v>35</v>
      </c>
      <c r="K775" t="s">
        <v>61</v>
      </c>
      <c r="L775" t="s">
        <v>49</v>
      </c>
      <c r="M775" s="4">
        <v>8</v>
      </c>
      <c r="N775" s="4">
        <v>7</v>
      </c>
      <c r="O775" t="s">
        <v>36</v>
      </c>
      <c r="P775" t="s">
        <v>29</v>
      </c>
      <c r="Q775" s="4">
        <v>166617</v>
      </c>
      <c r="R775" s="4">
        <v>116780</v>
      </c>
      <c r="S775" s="4">
        <f>Table1[[#This Row],[Service_Revenue]]-Table1[[#This Row],[Service_Cost]]</f>
        <v>49837</v>
      </c>
      <c r="T775" s="4">
        <v>4</v>
      </c>
      <c r="U775" s="4">
        <f>IF(AND(Table1[[#This Row],[Rework_Flag]]="Yes",Table1[[#This Row],[Warranty_Claim]]="No"),Table1[[#This Row],[Service_Revenue]],0)</f>
        <v>0</v>
      </c>
      <c r="V775" s="4">
        <f>IF(Table1[[#This Row],[Warranty_Claim]]="Yes",1,0)</f>
        <v>1</v>
      </c>
      <c r="W775" s="4">
        <f>IF(Table1[[#This Row],[Rework_Flag]]="No",1,0)</f>
        <v>1</v>
      </c>
      <c r="X775" s="4">
        <f>IF(Table1[[#This Row],[Rework_Flag]]="Yes",1,0)</f>
        <v>0</v>
      </c>
      <c r="Y775" s="4">
        <v>1</v>
      </c>
      <c r="Z775" s="4" t="str">
        <f>IF(Table1[[#This Row],[TAT_Days]]&gt;Table1[[#This Row],[SLA_TAT]],"Yes","No")</f>
        <v>Yes</v>
      </c>
      <c r="AA775" s="4" t="str" cm="1">
        <f t="array" ref="AA775">_xlfn.IFS(Table1[[#This Row],[Customer_Satisfaction]]&lt;=2,"Poor",Table1[[#This Row],[Customer_Satisfaction]]=3,"Neutral",Table1[[#This Row],[Customer_Satisfaction]]=4,"Good",Table1[[#This Row],[Customer_Satisfaction]]=5,"Good")</f>
        <v>Good</v>
      </c>
    </row>
    <row r="776" spans="1:27" x14ac:dyDescent="0.35">
      <c r="A776">
        <v>20774</v>
      </c>
      <c r="B776" s="1">
        <v>45373</v>
      </c>
      <c r="C776" t="s">
        <v>19</v>
      </c>
      <c r="D776" t="s">
        <v>96</v>
      </c>
      <c r="E776" t="s">
        <v>97</v>
      </c>
      <c r="F776" t="s">
        <v>22</v>
      </c>
      <c r="G776" t="s">
        <v>33</v>
      </c>
      <c r="H776" t="s">
        <v>34</v>
      </c>
      <c r="I776" t="s">
        <v>25</v>
      </c>
      <c r="J776" t="s">
        <v>58</v>
      </c>
      <c r="K776" t="s">
        <v>27</v>
      </c>
      <c r="L776" t="s">
        <v>49</v>
      </c>
      <c r="M776" s="4">
        <v>9</v>
      </c>
      <c r="N776" s="4">
        <v>7</v>
      </c>
      <c r="O776" t="s">
        <v>36</v>
      </c>
      <c r="P776" t="s">
        <v>36</v>
      </c>
      <c r="Q776" s="4">
        <v>228972</v>
      </c>
      <c r="R776" s="4">
        <v>139590</v>
      </c>
      <c r="S776" s="4">
        <f>Table1[[#This Row],[Service_Revenue]]-Table1[[#This Row],[Service_Cost]]</f>
        <v>89382</v>
      </c>
      <c r="T776" s="4">
        <v>4</v>
      </c>
      <c r="U776" s="4">
        <f>IF(AND(Table1[[#This Row],[Rework_Flag]]="Yes",Table1[[#This Row],[Warranty_Claim]]="No"),Table1[[#This Row],[Service_Revenue]],0)</f>
        <v>0</v>
      </c>
      <c r="V776" s="4">
        <f>IF(Table1[[#This Row],[Warranty_Claim]]="Yes",1,0)</f>
        <v>0</v>
      </c>
      <c r="W776" s="4">
        <f>IF(Table1[[#This Row],[Rework_Flag]]="No",1,0)</f>
        <v>1</v>
      </c>
      <c r="X776" s="4">
        <f>IF(Table1[[#This Row],[Rework_Flag]]="Yes",1,0)</f>
        <v>0</v>
      </c>
      <c r="Y776" s="4">
        <v>1</v>
      </c>
      <c r="Z776" s="4" t="str">
        <f>IF(Table1[[#This Row],[TAT_Days]]&gt;Table1[[#This Row],[SLA_TAT]],"Yes","No")</f>
        <v>Yes</v>
      </c>
      <c r="AA776" s="4" t="str" cm="1">
        <f t="array" ref="AA776">_xlfn.IFS(Table1[[#This Row],[Customer_Satisfaction]]&lt;=2,"Poor",Table1[[#This Row],[Customer_Satisfaction]]=3,"Neutral",Table1[[#This Row],[Customer_Satisfaction]]=4,"Good",Table1[[#This Row],[Customer_Satisfaction]]=5,"Good")</f>
        <v>Good</v>
      </c>
    </row>
    <row r="777" spans="1:27" x14ac:dyDescent="0.35">
      <c r="A777">
        <v>20775</v>
      </c>
      <c r="B777" s="1">
        <v>45446</v>
      </c>
      <c r="C777" t="s">
        <v>30</v>
      </c>
      <c r="D777" t="s">
        <v>83</v>
      </c>
      <c r="E777" t="s">
        <v>95</v>
      </c>
      <c r="F777" t="s">
        <v>53</v>
      </c>
      <c r="G777" t="s">
        <v>63</v>
      </c>
      <c r="H777" t="s">
        <v>24</v>
      </c>
      <c r="I777" t="s">
        <v>25</v>
      </c>
      <c r="J777" t="s">
        <v>35</v>
      </c>
      <c r="K777" t="s">
        <v>44</v>
      </c>
      <c r="L777" t="s">
        <v>28</v>
      </c>
      <c r="M777" s="4">
        <v>15</v>
      </c>
      <c r="N777" s="4">
        <v>7</v>
      </c>
      <c r="O777" t="s">
        <v>36</v>
      </c>
      <c r="P777" t="s">
        <v>36</v>
      </c>
      <c r="Q777" s="4">
        <v>556823</v>
      </c>
      <c r="R777" s="4">
        <v>339005</v>
      </c>
      <c r="S777" s="4">
        <f>Table1[[#This Row],[Service_Revenue]]-Table1[[#This Row],[Service_Cost]]</f>
        <v>217818</v>
      </c>
      <c r="T777" s="4">
        <v>2</v>
      </c>
      <c r="U777" s="4">
        <f>IF(AND(Table1[[#This Row],[Rework_Flag]]="Yes",Table1[[#This Row],[Warranty_Claim]]="No"),Table1[[#This Row],[Service_Revenue]],0)</f>
        <v>0</v>
      </c>
      <c r="V777" s="4">
        <f>IF(Table1[[#This Row],[Warranty_Claim]]="Yes",1,0)</f>
        <v>0</v>
      </c>
      <c r="W777" s="4">
        <f>IF(Table1[[#This Row],[Rework_Flag]]="No",1,0)</f>
        <v>1</v>
      </c>
      <c r="X777" s="4">
        <f>IF(Table1[[#This Row],[Rework_Flag]]="Yes",1,0)</f>
        <v>0</v>
      </c>
      <c r="Y777" s="4">
        <v>1</v>
      </c>
      <c r="Z777" s="4" t="str">
        <f>IF(Table1[[#This Row],[TAT_Days]]&gt;Table1[[#This Row],[SLA_TAT]],"Yes","No")</f>
        <v>Yes</v>
      </c>
      <c r="AA777" s="4" t="str" cm="1">
        <f t="array" ref="AA777">_xlfn.IFS(Table1[[#This Row],[Customer_Satisfaction]]&lt;=2,"Poor",Table1[[#This Row],[Customer_Satisfaction]]=3,"Neutral",Table1[[#This Row],[Customer_Satisfaction]]=4,"Good",Table1[[#This Row],[Customer_Satisfaction]]=5,"Good")</f>
        <v>Poor</v>
      </c>
    </row>
    <row r="778" spans="1:27" x14ac:dyDescent="0.35">
      <c r="A778">
        <v>20776</v>
      </c>
      <c r="B778" s="1">
        <v>45431</v>
      </c>
      <c r="C778" t="s">
        <v>37</v>
      </c>
      <c r="D778" t="s">
        <v>38</v>
      </c>
      <c r="E778" t="s">
        <v>102</v>
      </c>
      <c r="F778" t="s">
        <v>22</v>
      </c>
      <c r="G778" t="s">
        <v>41</v>
      </c>
      <c r="H778" t="s">
        <v>42</v>
      </c>
      <c r="I778" t="s">
        <v>55</v>
      </c>
      <c r="J778" t="s">
        <v>58</v>
      </c>
      <c r="K778" t="s">
        <v>27</v>
      </c>
      <c r="L778" t="s">
        <v>28</v>
      </c>
      <c r="M778" s="4">
        <v>6</v>
      </c>
      <c r="N778" s="4">
        <v>7</v>
      </c>
      <c r="O778" t="s">
        <v>29</v>
      </c>
      <c r="P778" t="s">
        <v>36</v>
      </c>
      <c r="Q778" s="4">
        <v>249663</v>
      </c>
      <c r="R778" s="4">
        <v>144972</v>
      </c>
      <c r="S778" s="4">
        <f>Table1[[#This Row],[Service_Revenue]]-Table1[[#This Row],[Service_Cost]]</f>
        <v>104691</v>
      </c>
      <c r="T778" s="4">
        <v>3</v>
      </c>
      <c r="U778" s="4">
        <f>IF(AND(Table1[[#This Row],[Rework_Flag]]="Yes",Table1[[#This Row],[Warranty_Claim]]="No"),Table1[[#This Row],[Service_Revenue]],0)</f>
        <v>249663</v>
      </c>
      <c r="V778" s="4">
        <f>IF(Table1[[#This Row],[Warranty_Claim]]="Yes",1,0)</f>
        <v>0</v>
      </c>
      <c r="W778" s="4">
        <f>IF(Table1[[#This Row],[Rework_Flag]]="No",1,0)</f>
        <v>0</v>
      </c>
      <c r="X778" s="4">
        <f>IF(Table1[[#This Row],[Rework_Flag]]="Yes",1,0)</f>
        <v>1</v>
      </c>
      <c r="Y778" s="4">
        <v>1</v>
      </c>
      <c r="Z778" s="4" t="str">
        <f>IF(Table1[[#This Row],[TAT_Days]]&gt;Table1[[#This Row],[SLA_TAT]],"Yes","No")</f>
        <v>No</v>
      </c>
      <c r="AA778" s="4" t="str" cm="1">
        <f t="array" ref="AA778">_xlfn.IFS(Table1[[#This Row],[Customer_Satisfaction]]&lt;=2,"Poor",Table1[[#This Row],[Customer_Satisfaction]]=3,"Neutral",Table1[[#This Row],[Customer_Satisfaction]]=4,"Good",Table1[[#This Row],[Customer_Satisfaction]]=5,"Good")</f>
        <v>Neutral</v>
      </c>
    </row>
    <row r="779" spans="1:27" x14ac:dyDescent="0.35">
      <c r="A779">
        <v>20777</v>
      </c>
      <c r="B779" s="1">
        <v>45347</v>
      </c>
      <c r="C779" t="s">
        <v>30</v>
      </c>
      <c r="D779" t="s">
        <v>31</v>
      </c>
      <c r="E779" t="s">
        <v>62</v>
      </c>
      <c r="F779" t="s">
        <v>22</v>
      </c>
      <c r="G779" t="s">
        <v>63</v>
      </c>
      <c r="H779" t="s">
        <v>24</v>
      </c>
      <c r="I779" t="s">
        <v>55</v>
      </c>
      <c r="J779" t="s">
        <v>35</v>
      </c>
      <c r="K779" t="s">
        <v>61</v>
      </c>
      <c r="L779" t="s">
        <v>28</v>
      </c>
      <c r="M779" s="4">
        <v>11</v>
      </c>
      <c r="N779" s="4">
        <v>7</v>
      </c>
      <c r="O779" t="s">
        <v>36</v>
      </c>
      <c r="P779" t="s">
        <v>36</v>
      </c>
      <c r="Q779" s="4">
        <v>456315</v>
      </c>
      <c r="R779" s="4">
        <v>236740</v>
      </c>
      <c r="S779" s="4">
        <f>Table1[[#This Row],[Service_Revenue]]-Table1[[#This Row],[Service_Cost]]</f>
        <v>219575</v>
      </c>
      <c r="T779" s="4">
        <v>3</v>
      </c>
      <c r="U779" s="4">
        <f>IF(AND(Table1[[#This Row],[Rework_Flag]]="Yes",Table1[[#This Row],[Warranty_Claim]]="No"),Table1[[#This Row],[Service_Revenue]],0)</f>
        <v>0</v>
      </c>
      <c r="V779" s="4">
        <f>IF(Table1[[#This Row],[Warranty_Claim]]="Yes",1,0)</f>
        <v>0</v>
      </c>
      <c r="W779" s="4">
        <f>IF(Table1[[#This Row],[Rework_Flag]]="No",1,0)</f>
        <v>1</v>
      </c>
      <c r="X779" s="4">
        <f>IF(Table1[[#This Row],[Rework_Flag]]="Yes",1,0)</f>
        <v>0</v>
      </c>
      <c r="Y779" s="4">
        <v>1</v>
      </c>
      <c r="Z779" s="4" t="str">
        <f>IF(Table1[[#This Row],[TAT_Days]]&gt;Table1[[#This Row],[SLA_TAT]],"Yes","No")</f>
        <v>Yes</v>
      </c>
      <c r="AA779" s="4" t="str" cm="1">
        <f t="array" ref="AA779">_xlfn.IFS(Table1[[#This Row],[Customer_Satisfaction]]&lt;=2,"Poor",Table1[[#This Row],[Customer_Satisfaction]]=3,"Neutral",Table1[[#This Row],[Customer_Satisfaction]]=4,"Good",Table1[[#This Row],[Customer_Satisfaction]]=5,"Good")</f>
        <v>Neutral</v>
      </c>
    </row>
    <row r="780" spans="1:27" x14ac:dyDescent="0.35">
      <c r="A780">
        <v>20778</v>
      </c>
      <c r="B780" s="1">
        <v>45467</v>
      </c>
      <c r="C780" t="s">
        <v>30</v>
      </c>
      <c r="D780" t="s">
        <v>59</v>
      </c>
      <c r="E780" t="s">
        <v>78</v>
      </c>
      <c r="F780" t="s">
        <v>40</v>
      </c>
      <c r="G780" t="s">
        <v>54</v>
      </c>
      <c r="H780" t="s">
        <v>42</v>
      </c>
      <c r="I780" t="s">
        <v>25</v>
      </c>
      <c r="J780" t="s">
        <v>43</v>
      </c>
      <c r="K780" t="s">
        <v>44</v>
      </c>
      <c r="L780" t="s">
        <v>49</v>
      </c>
      <c r="M780" s="4">
        <v>21</v>
      </c>
      <c r="N780" s="4">
        <v>7</v>
      </c>
      <c r="O780" t="s">
        <v>29</v>
      </c>
      <c r="P780" t="s">
        <v>29</v>
      </c>
      <c r="Q780" s="4">
        <v>254190</v>
      </c>
      <c r="R780" s="4">
        <v>150296</v>
      </c>
      <c r="S780" s="4">
        <f>Table1[[#This Row],[Service_Revenue]]-Table1[[#This Row],[Service_Cost]]</f>
        <v>103894</v>
      </c>
      <c r="T780" s="4">
        <v>1</v>
      </c>
      <c r="U780" s="4">
        <f>IF(AND(Table1[[#This Row],[Rework_Flag]]="Yes",Table1[[#This Row],[Warranty_Claim]]="No"),Table1[[#This Row],[Service_Revenue]],0)</f>
        <v>0</v>
      </c>
      <c r="V780" s="4">
        <f>IF(Table1[[#This Row],[Warranty_Claim]]="Yes",1,0)</f>
        <v>1</v>
      </c>
      <c r="W780" s="4">
        <f>IF(Table1[[#This Row],[Rework_Flag]]="No",1,0)</f>
        <v>0</v>
      </c>
      <c r="X780" s="4">
        <f>IF(Table1[[#This Row],[Rework_Flag]]="Yes",1,0)</f>
        <v>1</v>
      </c>
      <c r="Y780" s="4">
        <v>1</v>
      </c>
      <c r="Z780" s="4" t="str">
        <f>IF(Table1[[#This Row],[TAT_Days]]&gt;Table1[[#This Row],[SLA_TAT]],"Yes","No")</f>
        <v>Yes</v>
      </c>
      <c r="AA780" s="4" t="str" cm="1">
        <f t="array" ref="AA780">_xlfn.IFS(Table1[[#This Row],[Customer_Satisfaction]]&lt;=2,"Poor",Table1[[#This Row],[Customer_Satisfaction]]=3,"Neutral",Table1[[#This Row],[Customer_Satisfaction]]=4,"Good",Table1[[#This Row],[Customer_Satisfaction]]=5,"Good")</f>
        <v>Poor</v>
      </c>
    </row>
    <row r="781" spans="1:27" x14ac:dyDescent="0.35">
      <c r="A781">
        <v>20779</v>
      </c>
      <c r="B781" s="1">
        <v>45472</v>
      </c>
      <c r="C781" t="s">
        <v>30</v>
      </c>
      <c r="D781" t="s">
        <v>83</v>
      </c>
      <c r="E781" t="s">
        <v>90</v>
      </c>
      <c r="F781" t="s">
        <v>53</v>
      </c>
      <c r="G781" t="s">
        <v>47</v>
      </c>
      <c r="H781" t="s">
        <v>48</v>
      </c>
      <c r="I781" t="s">
        <v>25</v>
      </c>
      <c r="J781" t="s">
        <v>43</v>
      </c>
      <c r="K781" t="s">
        <v>27</v>
      </c>
      <c r="L781" t="s">
        <v>49</v>
      </c>
      <c r="M781" s="4">
        <v>7</v>
      </c>
      <c r="N781" s="4">
        <v>7</v>
      </c>
      <c r="O781" t="s">
        <v>36</v>
      </c>
      <c r="P781" t="s">
        <v>36</v>
      </c>
      <c r="Q781" s="4">
        <v>320467</v>
      </c>
      <c r="R781" s="4">
        <v>270061</v>
      </c>
      <c r="S781" s="4">
        <f>Table1[[#This Row],[Service_Revenue]]-Table1[[#This Row],[Service_Cost]]</f>
        <v>50406</v>
      </c>
      <c r="T781" s="4">
        <v>4</v>
      </c>
      <c r="U781" s="4">
        <f>IF(AND(Table1[[#This Row],[Rework_Flag]]="Yes",Table1[[#This Row],[Warranty_Claim]]="No"),Table1[[#This Row],[Service_Revenue]],0)</f>
        <v>0</v>
      </c>
      <c r="V781" s="4">
        <f>IF(Table1[[#This Row],[Warranty_Claim]]="Yes",1,0)</f>
        <v>0</v>
      </c>
      <c r="W781" s="4">
        <f>IF(Table1[[#This Row],[Rework_Flag]]="No",1,0)</f>
        <v>1</v>
      </c>
      <c r="X781" s="4">
        <f>IF(Table1[[#This Row],[Rework_Flag]]="Yes",1,0)</f>
        <v>0</v>
      </c>
      <c r="Y781" s="4">
        <v>1</v>
      </c>
      <c r="Z781" s="4" t="str">
        <f>IF(Table1[[#This Row],[TAT_Days]]&gt;Table1[[#This Row],[SLA_TAT]],"Yes","No")</f>
        <v>No</v>
      </c>
      <c r="AA781" s="4" t="str" cm="1">
        <f t="array" ref="AA781">_xlfn.IFS(Table1[[#This Row],[Customer_Satisfaction]]&lt;=2,"Poor",Table1[[#This Row],[Customer_Satisfaction]]=3,"Neutral",Table1[[#This Row],[Customer_Satisfaction]]=4,"Good",Table1[[#This Row],[Customer_Satisfaction]]=5,"Good")</f>
        <v>Good</v>
      </c>
    </row>
    <row r="782" spans="1:27" x14ac:dyDescent="0.35">
      <c r="A782">
        <v>20780</v>
      </c>
      <c r="B782" s="1">
        <v>45392</v>
      </c>
      <c r="C782" t="s">
        <v>19</v>
      </c>
      <c r="D782" t="s">
        <v>45</v>
      </c>
      <c r="E782" t="s">
        <v>99</v>
      </c>
      <c r="F782" t="s">
        <v>53</v>
      </c>
      <c r="G782" t="s">
        <v>54</v>
      </c>
      <c r="H782" t="s">
        <v>42</v>
      </c>
      <c r="I782" t="s">
        <v>55</v>
      </c>
      <c r="J782" t="s">
        <v>67</v>
      </c>
      <c r="K782" t="s">
        <v>27</v>
      </c>
      <c r="L782" t="s">
        <v>28</v>
      </c>
      <c r="M782" s="4">
        <v>2</v>
      </c>
      <c r="N782" s="4">
        <v>7</v>
      </c>
      <c r="O782" t="s">
        <v>36</v>
      </c>
      <c r="P782" t="s">
        <v>29</v>
      </c>
      <c r="Q782" s="4">
        <v>126103</v>
      </c>
      <c r="R782" s="4">
        <v>101591</v>
      </c>
      <c r="S782" s="4">
        <f>Table1[[#This Row],[Service_Revenue]]-Table1[[#This Row],[Service_Cost]]</f>
        <v>24512</v>
      </c>
      <c r="T782" s="4">
        <v>5</v>
      </c>
      <c r="U782" s="4">
        <f>IF(AND(Table1[[#This Row],[Rework_Flag]]="Yes",Table1[[#This Row],[Warranty_Claim]]="No"),Table1[[#This Row],[Service_Revenue]],0)</f>
        <v>0</v>
      </c>
      <c r="V782" s="4">
        <f>IF(Table1[[#This Row],[Warranty_Claim]]="Yes",1,0)</f>
        <v>1</v>
      </c>
      <c r="W782" s="4">
        <f>IF(Table1[[#This Row],[Rework_Flag]]="No",1,0)</f>
        <v>1</v>
      </c>
      <c r="X782" s="4">
        <f>IF(Table1[[#This Row],[Rework_Flag]]="Yes",1,0)</f>
        <v>0</v>
      </c>
      <c r="Y782" s="4">
        <v>1</v>
      </c>
      <c r="Z782" s="4" t="str">
        <f>IF(Table1[[#This Row],[TAT_Days]]&gt;Table1[[#This Row],[SLA_TAT]],"Yes","No")</f>
        <v>No</v>
      </c>
      <c r="AA782" s="4" t="str" cm="1">
        <f t="array" ref="AA782">_xlfn.IFS(Table1[[#This Row],[Customer_Satisfaction]]&lt;=2,"Poor",Table1[[#This Row],[Customer_Satisfaction]]=3,"Neutral",Table1[[#This Row],[Customer_Satisfaction]]=4,"Good",Table1[[#This Row],[Customer_Satisfaction]]=5,"Good")</f>
        <v>Good</v>
      </c>
    </row>
    <row r="783" spans="1:27" x14ac:dyDescent="0.35">
      <c r="A783">
        <v>20781</v>
      </c>
      <c r="B783" s="1">
        <v>45342</v>
      </c>
      <c r="C783" t="s">
        <v>50</v>
      </c>
      <c r="D783" t="s">
        <v>51</v>
      </c>
      <c r="E783" t="s">
        <v>73</v>
      </c>
      <c r="F783" t="s">
        <v>22</v>
      </c>
      <c r="G783" t="s">
        <v>74</v>
      </c>
      <c r="H783" t="s">
        <v>34</v>
      </c>
      <c r="I783" t="s">
        <v>25</v>
      </c>
      <c r="J783" t="s">
        <v>26</v>
      </c>
      <c r="K783" t="s">
        <v>27</v>
      </c>
      <c r="L783" t="s">
        <v>28</v>
      </c>
      <c r="M783" s="4">
        <v>3</v>
      </c>
      <c r="N783" s="4">
        <v>7</v>
      </c>
      <c r="O783" t="s">
        <v>36</v>
      </c>
      <c r="P783" t="s">
        <v>36</v>
      </c>
      <c r="Q783" s="4">
        <v>281097</v>
      </c>
      <c r="R783" s="4">
        <v>236181</v>
      </c>
      <c r="S783" s="4">
        <f>Table1[[#This Row],[Service_Revenue]]-Table1[[#This Row],[Service_Cost]]</f>
        <v>44916</v>
      </c>
      <c r="T783" s="4">
        <v>5</v>
      </c>
      <c r="U783" s="4">
        <f>IF(AND(Table1[[#This Row],[Rework_Flag]]="Yes",Table1[[#This Row],[Warranty_Claim]]="No"),Table1[[#This Row],[Service_Revenue]],0)</f>
        <v>0</v>
      </c>
      <c r="V783" s="4">
        <f>IF(Table1[[#This Row],[Warranty_Claim]]="Yes",1,0)</f>
        <v>0</v>
      </c>
      <c r="W783" s="4">
        <f>IF(Table1[[#This Row],[Rework_Flag]]="No",1,0)</f>
        <v>1</v>
      </c>
      <c r="X783" s="4">
        <f>IF(Table1[[#This Row],[Rework_Flag]]="Yes",1,0)</f>
        <v>0</v>
      </c>
      <c r="Y783" s="4">
        <v>1</v>
      </c>
      <c r="Z783" s="4" t="str">
        <f>IF(Table1[[#This Row],[TAT_Days]]&gt;Table1[[#This Row],[SLA_TAT]],"Yes","No")</f>
        <v>No</v>
      </c>
      <c r="AA783" s="4" t="str" cm="1">
        <f t="array" ref="AA783">_xlfn.IFS(Table1[[#This Row],[Customer_Satisfaction]]&lt;=2,"Poor",Table1[[#This Row],[Customer_Satisfaction]]=3,"Neutral",Table1[[#This Row],[Customer_Satisfaction]]=4,"Good",Table1[[#This Row],[Customer_Satisfaction]]=5,"Good")</f>
        <v>Good</v>
      </c>
    </row>
    <row r="784" spans="1:27" x14ac:dyDescent="0.35">
      <c r="A784">
        <v>20782</v>
      </c>
      <c r="B784" s="1">
        <v>45373</v>
      </c>
      <c r="C784" t="s">
        <v>37</v>
      </c>
      <c r="D784" t="s">
        <v>64</v>
      </c>
      <c r="E784" t="s">
        <v>87</v>
      </c>
      <c r="F784" t="s">
        <v>40</v>
      </c>
      <c r="G784" t="s">
        <v>41</v>
      </c>
      <c r="H784" t="s">
        <v>42</v>
      </c>
      <c r="I784" t="s">
        <v>55</v>
      </c>
      <c r="J784" t="s">
        <v>67</v>
      </c>
      <c r="K784" t="s">
        <v>44</v>
      </c>
      <c r="L784" t="s">
        <v>28</v>
      </c>
      <c r="M784" s="4">
        <v>21</v>
      </c>
      <c r="N784" s="4">
        <v>7</v>
      </c>
      <c r="O784" t="s">
        <v>29</v>
      </c>
      <c r="P784" t="s">
        <v>36</v>
      </c>
      <c r="Q784" s="4">
        <v>137921</v>
      </c>
      <c r="R784" s="4">
        <v>98497</v>
      </c>
      <c r="S784" s="4">
        <f>Table1[[#This Row],[Service_Revenue]]-Table1[[#This Row],[Service_Cost]]</f>
        <v>39424</v>
      </c>
      <c r="T784" s="4">
        <v>1</v>
      </c>
      <c r="U784" s="4">
        <f>IF(AND(Table1[[#This Row],[Rework_Flag]]="Yes",Table1[[#This Row],[Warranty_Claim]]="No"),Table1[[#This Row],[Service_Revenue]],0)</f>
        <v>137921</v>
      </c>
      <c r="V784" s="4">
        <f>IF(Table1[[#This Row],[Warranty_Claim]]="Yes",1,0)</f>
        <v>0</v>
      </c>
      <c r="W784" s="4">
        <f>IF(Table1[[#This Row],[Rework_Flag]]="No",1,0)</f>
        <v>0</v>
      </c>
      <c r="X784" s="4">
        <f>IF(Table1[[#This Row],[Rework_Flag]]="Yes",1,0)</f>
        <v>1</v>
      </c>
      <c r="Y784" s="4">
        <v>1</v>
      </c>
      <c r="Z784" s="4" t="str">
        <f>IF(Table1[[#This Row],[TAT_Days]]&gt;Table1[[#This Row],[SLA_TAT]],"Yes","No")</f>
        <v>Yes</v>
      </c>
      <c r="AA784" s="4" t="str" cm="1">
        <f t="array" ref="AA784">_xlfn.IFS(Table1[[#This Row],[Customer_Satisfaction]]&lt;=2,"Poor",Table1[[#This Row],[Customer_Satisfaction]]=3,"Neutral",Table1[[#This Row],[Customer_Satisfaction]]=4,"Good",Table1[[#This Row],[Customer_Satisfaction]]=5,"Good")</f>
        <v>Poor</v>
      </c>
    </row>
    <row r="785" spans="1:27" x14ac:dyDescent="0.35">
      <c r="A785">
        <v>20783</v>
      </c>
      <c r="B785" s="1">
        <v>45298</v>
      </c>
      <c r="C785" t="s">
        <v>19</v>
      </c>
      <c r="D785" t="s">
        <v>96</v>
      </c>
      <c r="E785" t="s">
        <v>108</v>
      </c>
      <c r="F785" t="s">
        <v>53</v>
      </c>
      <c r="G785" t="s">
        <v>33</v>
      </c>
      <c r="H785" t="s">
        <v>34</v>
      </c>
      <c r="I785" t="s">
        <v>55</v>
      </c>
      <c r="J785" t="s">
        <v>35</v>
      </c>
      <c r="K785" t="s">
        <v>27</v>
      </c>
      <c r="L785" t="s">
        <v>49</v>
      </c>
      <c r="M785" s="4">
        <v>8</v>
      </c>
      <c r="N785" s="4">
        <v>7</v>
      </c>
      <c r="O785" t="s">
        <v>29</v>
      </c>
      <c r="P785" t="s">
        <v>36</v>
      </c>
      <c r="Q785" s="4">
        <v>439220</v>
      </c>
      <c r="R785" s="4">
        <v>299947</v>
      </c>
      <c r="S785" s="4">
        <f>Table1[[#This Row],[Service_Revenue]]-Table1[[#This Row],[Service_Cost]]</f>
        <v>139273</v>
      </c>
      <c r="T785" s="4">
        <v>3</v>
      </c>
      <c r="U785" s="4">
        <f>IF(AND(Table1[[#This Row],[Rework_Flag]]="Yes",Table1[[#This Row],[Warranty_Claim]]="No"),Table1[[#This Row],[Service_Revenue]],0)</f>
        <v>439220</v>
      </c>
      <c r="V785" s="4">
        <f>IF(Table1[[#This Row],[Warranty_Claim]]="Yes",1,0)</f>
        <v>0</v>
      </c>
      <c r="W785" s="4">
        <f>IF(Table1[[#This Row],[Rework_Flag]]="No",1,0)</f>
        <v>0</v>
      </c>
      <c r="X785" s="4">
        <f>IF(Table1[[#This Row],[Rework_Flag]]="Yes",1,0)</f>
        <v>1</v>
      </c>
      <c r="Y785" s="4">
        <v>1</v>
      </c>
      <c r="Z785" s="4" t="str">
        <f>IF(Table1[[#This Row],[TAT_Days]]&gt;Table1[[#This Row],[SLA_TAT]],"Yes","No")</f>
        <v>Yes</v>
      </c>
      <c r="AA785" s="4" t="str" cm="1">
        <f t="array" ref="AA785">_xlfn.IFS(Table1[[#This Row],[Customer_Satisfaction]]&lt;=2,"Poor",Table1[[#This Row],[Customer_Satisfaction]]=3,"Neutral",Table1[[#This Row],[Customer_Satisfaction]]=4,"Good",Table1[[#This Row],[Customer_Satisfaction]]=5,"Good")</f>
        <v>Neutral</v>
      </c>
    </row>
    <row r="786" spans="1:27" x14ac:dyDescent="0.35">
      <c r="A786">
        <v>20784</v>
      </c>
      <c r="B786" s="1">
        <v>45377</v>
      </c>
      <c r="C786" t="s">
        <v>30</v>
      </c>
      <c r="D786" t="s">
        <v>83</v>
      </c>
      <c r="E786" t="s">
        <v>92</v>
      </c>
      <c r="F786" t="s">
        <v>53</v>
      </c>
      <c r="G786" t="s">
        <v>33</v>
      </c>
      <c r="H786" t="s">
        <v>34</v>
      </c>
      <c r="I786" t="s">
        <v>25</v>
      </c>
      <c r="J786" t="s">
        <v>67</v>
      </c>
      <c r="K786" t="s">
        <v>27</v>
      </c>
      <c r="L786" t="s">
        <v>28</v>
      </c>
      <c r="M786" s="4">
        <v>15</v>
      </c>
      <c r="N786" s="4">
        <v>7</v>
      </c>
      <c r="O786" t="s">
        <v>29</v>
      </c>
      <c r="P786" t="s">
        <v>36</v>
      </c>
      <c r="Q786" s="4">
        <v>184944</v>
      </c>
      <c r="R786" s="4">
        <v>136618</v>
      </c>
      <c r="S786" s="4">
        <f>Table1[[#This Row],[Service_Revenue]]-Table1[[#This Row],[Service_Cost]]</f>
        <v>48326</v>
      </c>
      <c r="T786" s="4">
        <v>1</v>
      </c>
      <c r="U786" s="4">
        <f>IF(AND(Table1[[#This Row],[Rework_Flag]]="Yes",Table1[[#This Row],[Warranty_Claim]]="No"),Table1[[#This Row],[Service_Revenue]],0)</f>
        <v>184944</v>
      </c>
      <c r="V786" s="4">
        <f>IF(Table1[[#This Row],[Warranty_Claim]]="Yes",1,0)</f>
        <v>0</v>
      </c>
      <c r="W786" s="4">
        <f>IF(Table1[[#This Row],[Rework_Flag]]="No",1,0)</f>
        <v>0</v>
      </c>
      <c r="X786" s="4">
        <f>IF(Table1[[#This Row],[Rework_Flag]]="Yes",1,0)</f>
        <v>1</v>
      </c>
      <c r="Y786" s="4">
        <v>1</v>
      </c>
      <c r="Z786" s="4" t="str">
        <f>IF(Table1[[#This Row],[TAT_Days]]&gt;Table1[[#This Row],[SLA_TAT]],"Yes","No")</f>
        <v>Yes</v>
      </c>
      <c r="AA786" s="4" t="str" cm="1">
        <f t="array" ref="AA786">_xlfn.IFS(Table1[[#This Row],[Customer_Satisfaction]]&lt;=2,"Poor",Table1[[#This Row],[Customer_Satisfaction]]=3,"Neutral",Table1[[#This Row],[Customer_Satisfaction]]=4,"Good",Table1[[#This Row],[Customer_Satisfaction]]=5,"Good")</f>
        <v>Poor</v>
      </c>
    </row>
    <row r="787" spans="1:27" x14ac:dyDescent="0.35">
      <c r="A787">
        <v>20785</v>
      </c>
      <c r="B787" s="1">
        <v>45388</v>
      </c>
      <c r="C787" t="s">
        <v>50</v>
      </c>
      <c r="D787" t="s">
        <v>56</v>
      </c>
      <c r="E787" t="s">
        <v>101</v>
      </c>
      <c r="F787" t="s">
        <v>22</v>
      </c>
      <c r="G787" t="s">
        <v>47</v>
      </c>
      <c r="H787" t="s">
        <v>48</v>
      </c>
      <c r="I787" t="s">
        <v>55</v>
      </c>
      <c r="J787" t="s">
        <v>35</v>
      </c>
      <c r="K787" t="s">
        <v>61</v>
      </c>
      <c r="L787" t="s">
        <v>28</v>
      </c>
      <c r="M787" s="4">
        <v>15</v>
      </c>
      <c r="N787" s="4">
        <v>7</v>
      </c>
      <c r="O787" t="s">
        <v>29</v>
      </c>
      <c r="P787" t="s">
        <v>36</v>
      </c>
      <c r="Q787" s="4">
        <v>212427</v>
      </c>
      <c r="R787" s="4">
        <v>179775</v>
      </c>
      <c r="S787" s="4">
        <f>Table1[[#This Row],[Service_Revenue]]-Table1[[#This Row],[Service_Cost]]</f>
        <v>32652</v>
      </c>
      <c r="T787" s="4">
        <v>1</v>
      </c>
      <c r="U787" s="4">
        <f>IF(AND(Table1[[#This Row],[Rework_Flag]]="Yes",Table1[[#This Row],[Warranty_Claim]]="No"),Table1[[#This Row],[Service_Revenue]],0)</f>
        <v>212427</v>
      </c>
      <c r="V787" s="4">
        <f>IF(Table1[[#This Row],[Warranty_Claim]]="Yes",1,0)</f>
        <v>0</v>
      </c>
      <c r="W787" s="4">
        <f>IF(Table1[[#This Row],[Rework_Flag]]="No",1,0)</f>
        <v>0</v>
      </c>
      <c r="X787" s="4">
        <f>IF(Table1[[#This Row],[Rework_Flag]]="Yes",1,0)</f>
        <v>1</v>
      </c>
      <c r="Y787" s="4">
        <v>1</v>
      </c>
      <c r="Z787" s="4" t="str">
        <f>IF(Table1[[#This Row],[TAT_Days]]&gt;Table1[[#This Row],[SLA_TAT]],"Yes","No")</f>
        <v>Yes</v>
      </c>
      <c r="AA787" s="4" t="str" cm="1">
        <f t="array" ref="AA787">_xlfn.IFS(Table1[[#This Row],[Customer_Satisfaction]]&lt;=2,"Poor",Table1[[#This Row],[Customer_Satisfaction]]=3,"Neutral",Table1[[#This Row],[Customer_Satisfaction]]=4,"Good",Table1[[#This Row],[Customer_Satisfaction]]=5,"Good")</f>
        <v>Poor</v>
      </c>
    </row>
    <row r="788" spans="1:27" x14ac:dyDescent="0.35">
      <c r="A788">
        <v>20786</v>
      </c>
      <c r="B788" s="1">
        <v>45415</v>
      </c>
      <c r="C788" t="s">
        <v>19</v>
      </c>
      <c r="D788" t="s">
        <v>96</v>
      </c>
      <c r="E788" t="s">
        <v>98</v>
      </c>
      <c r="F788" t="s">
        <v>22</v>
      </c>
      <c r="G788" t="s">
        <v>47</v>
      </c>
      <c r="H788" t="s">
        <v>48</v>
      </c>
      <c r="I788" t="s">
        <v>55</v>
      </c>
      <c r="J788" t="s">
        <v>26</v>
      </c>
      <c r="K788" t="s">
        <v>27</v>
      </c>
      <c r="L788" t="s">
        <v>49</v>
      </c>
      <c r="M788" s="4">
        <v>20</v>
      </c>
      <c r="N788" s="4">
        <v>7</v>
      </c>
      <c r="O788" t="s">
        <v>29</v>
      </c>
      <c r="P788" t="s">
        <v>36</v>
      </c>
      <c r="Q788" s="4">
        <v>294180</v>
      </c>
      <c r="R788" s="4">
        <v>157576</v>
      </c>
      <c r="S788" s="4">
        <f>Table1[[#This Row],[Service_Revenue]]-Table1[[#This Row],[Service_Cost]]</f>
        <v>136604</v>
      </c>
      <c r="T788" s="4">
        <v>1</v>
      </c>
      <c r="U788" s="4">
        <f>IF(AND(Table1[[#This Row],[Rework_Flag]]="Yes",Table1[[#This Row],[Warranty_Claim]]="No"),Table1[[#This Row],[Service_Revenue]],0)</f>
        <v>294180</v>
      </c>
      <c r="V788" s="4">
        <f>IF(Table1[[#This Row],[Warranty_Claim]]="Yes",1,0)</f>
        <v>0</v>
      </c>
      <c r="W788" s="4">
        <f>IF(Table1[[#This Row],[Rework_Flag]]="No",1,0)</f>
        <v>0</v>
      </c>
      <c r="X788" s="4">
        <f>IF(Table1[[#This Row],[Rework_Flag]]="Yes",1,0)</f>
        <v>1</v>
      </c>
      <c r="Y788" s="4">
        <v>1</v>
      </c>
      <c r="Z788" s="4" t="str">
        <f>IF(Table1[[#This Row],[TAT_Days]]&gt;Table1[[#This Row],[SLA_TAT]],"Yes","No")</f>
        <v>Yes</v>
      </c>
      <c r="AA788" s="4" t="str" cm="1">
        <f t="array" ref="AA788">_xlfn.IFS(Table1[[#This Row],[Customer_Satisfaction]]&lt;=2,"Poor",Table1[[#This Row],[Customer_Satisfaction]]=3,"Neutral",Table1[[#This Row],[Customer_Satisfaction]]=4,"Good",Table1[[#This Row],[Customer_Satisfaction]]=5,"Good")</f>
        <v>Poor</v>
      </c>
    </row>
    <row r="789" spans="1:27" x14ac:dyDescent="0.35">
      <c r="A789">
        <v>20787</v>
      </c>
      <c r="B789" s="1">
        <v>45355</v>
      </c>
      <c r="C789" t="s">
        <v>19</v>
      </c>
      <c r="D789" t="s">
        <v>45</v>
      </c>
      <c r="E789" t="s">
        <v>46</v>
      </c>
      <c r="F789" t="s">
        <v>53</v>
      </c>
      <c r="G789" t="s">
        <v>33</v>
      </c>
      <c r="H789" t="s">
        <v>34</v>
      </c>
      <c r="I789" t="s">
        <v>25</v>
      </c>
      <c r="J789" t="s">
        <v>58</v>
      </c>
      <c r="K789" t="s">
        <v>61</v>
      </c>
      <c r="L789" t="s">
        <v>28</v>
      </c>
      <c r="M789" s="4">
        <v>21</v>
      </c>
      <c r="N789" s="4">
        <v>7</v>
      </c>
      <c r="O789" t="s">
        <v>36</v>
      </c>
      <c r="P789" t="s">
        <v>29</v>
      </c>
      <c r="Q789" s="4">
        <v>418797</v>
      </c>
      <c r="R789" s="4">
        <v>316478</v>
      </c>
      <c r="S789" s="4">
        <f>Table1[[#This Row],[Service_Revenue]]-Table1[[#This Row],[Service_Cost]]</f>
        <v>102319</v>
      </c>
      <c r="T789" s="4">
        <v>1</v>
      </c>
      <c r="U789" s="4">
        <f>IF(AND(Table1[[#This Row],[Rework_Flag]]="Yes",Table1[[#This Row],[Warranty_Claim]]="No"),Table1[[#This Row],[Service_Revenue]],0)</f>
        <v>0</v>
      </c>
      <c r="V789" s="4">
        <f>IF(Table1[[#This Row],[Warranty_Claim]]="Yes",1,0)</f>
        <v>1</v>
      </c>
      <c r="W789" s="4">
        <f>IF(Table1[[#This Row],[Rework_Flag]]="No",1,0)</f>
        <v>1</v>
      </c>
      <c r="X789" s="4">
        <f>IF(Table1[[#This Row],[Rework_Flag]]="Yes",1,0)</f>
        <v>0</v>
      </c>
      <c r="Y789" s="4">
        <v>1</v>
      </c>
      <c r="Z789" s="4" t="str">
        <f>IF(Table1[[#This Row],[TAT_Days]]&gt;Table1[[#This Row],[SLA_TAT]],"Yes","No")</f>
        <v>Yes</v>
      </c>
      <c r="AA789" s="4" t="str" cm="1">
        <f t="array" ref="AA789">_xlfn.IFS(Table1[[#This Row],[Customer_Satisfaction]]&lt;=2,"Poor",Table1[[#This Row],[Customer_Satisfaction]]=3,"Neutral",Table1[[#This Row],[Customer_Satisfaction]]=4,"Good",Table1[[#This Row],[Customer_Satisfaction]]=5,"Good")</f>
        <v>Poor</v>
      </c>
    </row>
    <row r="790" spans="1:27" x14ac:dyDescent="0.35">
      <c r="A790">
        <v>20788</v>
      </c>
      <c r="B790" s="1">
        <v>45447</v>
      </c>
      <c r="C790" t="s">
        <v>50</v>
      </c>
      <c r="D790" t="s">
        <v>51</v>
      </c>
      <c r="E790" t="s">
        <v>52</v>
      </c>
      <c r="F790" t="s">
        <v>40</v>
      </c>
      <c r="G790" t="s">
        <v>63</v>
      </c>
      <c r="H790" t="s">
        <v>24</v>
      </c>
      <c r="I790" t="s">
        <v>55</v>
      </c>
      <c r="J790" t="s">
        <v>67</v>
      </c>
      <c r="K790" t="s">
        <v>44</v>
      </c>
      <c r="L790" t="s">
        <v>49</v>
      </c>
      <c r="M790" s="4">
        <v>16</v>
      </c>
      <c r="N790" s="4">
        <v>7</v>
      </c>
      <c r="O790" t="s">
        <v>36</v>
      </c>
      <c r="P790" t="s">
        <v>29</v>
      </c>
      <c r="Q790" s="4">
        <v>157134</v>
      </c>
      <c r="R790" s="4">
        <v>92866</v>
      </c>
      <c r="S790" s="4">
        <f>Table1[[#This Row],[Service_Revenue]]-Table1[[#This Row],[Service_Cost]]</f>
        <v>64268</v>
      </c>
      <c r="T790" s="4">
        <v>2</v>
      </c>
      <c r="U790" s="4">
        <f>IF(AND(Table1[[#This Row],[Rework_Flag]]="Yes",Table1[[#This Row],[Warranty_Claim]]="No"),Table1[[#This Row],[Service_Revenue]],0)</f>
        <v>0</v>
      </c>
      <c r="V790" s="4">
        <f>IF(Table1[[#This Row],[Warranty_Claim]]="Yes",1,0)</f>
        <v>1</v>
      </c>
      <c r="W790" s="4">
        <f>IF(Table1[[#This Row],[Rework_Flag]]="No",1,0)</f>
        <v>1</v>
      </c>
      <c r="X790" s="4">
        <f>IF(Table1[[#This Row],[Rework_Flag]]="Yes",1,0)</f>
        <v>0</v>
      </c>
      <c r="Y790" s="4">
        <v>1</v>
      </c>
      <c r="Z790" s="4" t="str">
        <f>IF(Table1[[#This Row],[TAT_Days]]&gt;Table1[[#This Row],[SLA_TAT]],"Yes","No")</f>
        <v>Yes</v>
      </c>
      <c r="AA790" s="4" t="str" cm="1">
        <f t="array" ref="AA790">_xlfn.IFS(Table1[[#This Row],[Customer_Satisfaction]]&lt;=2,"Poor",Table1[[#This Row],[Customer_Satisfaction]]=3,"Neutral",Table1[[#This Row],[Customer_Satisfaction]]=4,"Good",Table1[[#This Row],[Customer_Satisfaction]]=5,"Good")</f>
        <v>Poor</v>
      </c>
    </row>
    <row r="791" spans="1:27" x14ac:dyDescent="0.35">
      <c r="A791">
        <v>20789</v>
      </c>
      <c r="B791" s="1">
        <v>45370</v>
      </c>
      <c r="C791" t="s">
        <v>30</v>
      </c>
      <c r="D791" t="s">
        <v>59</v>
      </c>
      <c r="E791" t="s">
        <v>94</v>
      </c>
      <c r="F791" t="s">
        <v>40</v>
      </c>
      <c r="G791" t="s">
        <v>74</v>
      </c>
      <c r="H791" t="s">
        <v>34</v>
      </c>
      <c r="I791" t="s">
        <v>25</v>
      </c>
      <c r="J791" t="s">
        <v>58</v>
      </c>
      <c r="K791" t="s">
        <v>44</v>
      </c>
      <c r="L791" t="s">
        <v>28</v>
      </c>
      <c r="M791" s="4">
        <v>14</v>
      </c>
      <c r="N791" s="4">
        <v>7</v>
      </c>
      <c r="O791" t="s">
        <v>29</v>
      </c>
      <c r="P791" t="s">
        <v>29</v>
      </c>
      <c r="Q791" s="4">
        <v>516159</v>
      </c>
      <c r="R791" s="4">
        <v>381397</v>
      </c>
      <c r="S791" s="4">
        <f>Table1[[#This Row],[Service_Revenue]]-Table1[[#This Row],[Service_Cost]]</f>
        <v>134762</v>
      </c>
      <c r="T791" s="4">
        <v>2</v>
      </c>
      <c r="U791" s="4">
        <f>IF(AND(Table1[[#This Row],[Rework_Flag]]="Yes",Table1[[#This Row],[Warranty_Claim]]="No"),Table1[[#This Row],[Service_Revenue]],0)</f>
        <v>0</v>
      </c>
      <c r="V791" s="4">
        <f>IF(Table1[[#This Row],[Warranty_Claim]]="Yes",1,0)</f>
        <v>1</v>
      </c>
      <c r="W791" s="4">
        <f>IF(Table1[[#This Row],[Rework_Flag]]="No",1,0)</f>
        <v>0</v>
      </c>
      <c r="X791" s="4">
        <f>IF(Table1[[#This Row],[Rework_Flag]]="Yes",1,0)</f>
        <v>1</v>
      </c>
      <c r="Y791" s="4">
        <v>1</v>
      </c>
      <c r="Z791" s="4" t="str">
        <f>IF(Table1[[#This Row],[TAT_Days]]&gt;Table1[[#This Row],[SLA_TAT]],"Yes","No")</f>
        <v>Yes</v>
      </c>
      <c r="AA791" s="4" t="str" cm="1">
        <f t="array" ref="AA791">_xlfn.IFS(Table1[[#This Row],[Customer_Satisfaction]]&lt;=2,"Poor",Table1[[#This Row],[Customer_Satisfaction]]=3,"Neutral",Table1[[#This Row],[Customer_Satisfaction]]=4,"Good",Table1[[#This Row],[Customer_Satisfaction]]=5,"Good")</f>
        <v>Poor</v>
      </c>
    </row>
    <row r="792" spans="1:27" x14ac:dyDescent="0.35">
      <c r="A792">
        <v>20790</v>
      </c>
      <c r="B792" s="1">
        <v>45453</v>
      </c>
      <c r="C792" t="s">
        <v>19</v>
      </c>
      <c r="D792" t="s">
        <v>45</v>
      </c>
      <c r="E792" t="s">
        <v>46</v>
      </c>
      <c r="F792" t="s">
        <v>22</v>
      </c>
      <c r="G792" t="s">
        <v>74</v>
      </c>
      <c r="H792" t="s">
        <v>34</v>
      </c>
      <c r="I792" t="s">
        <v>25</v>
      </c>
      <c r="J792" t="s">
        <v>26</v>
      </c>
      <c r="K792" t="s">
        <v>61</v>
      </c>
      <c r="L792" t="s">
        <v>28</v>
      </c>
      <c r="M792" s="4">
        <v>17</v>
      </c>
      <c r="N792" s="4">
        <v>7</v>
      </c>
      <c r="O792" t="s">
        <v>29</v>
      </c>
      <c r="P792" t="s">
        <v>36</v>
      </c>
      <c r="Q792" s="4">
        <v>183586</v>
      </c>
      <c r="R792" s="4">
        <v>120229</v>
      </c>
      <c r="S792" s="4">
        <f>Table1[[#This Row],[Service_Revenue]]-Table1[[#This Row],[Service_Cost]]</f>
        <v>63357</v>
      </c>
      <c r="T792" s="4">
        <v>1</v>
      </c>
      <c r="U792" s="4">
        <f>IF(AND(Table1[[#This Row],[Rework_Flag]]="Yes",Table1[[#This Row],[Warranty_Claim]]="No"),Table1[[#This Row],[Service_Revenue]],0)</f>
        <v>183586</v>
      </c>
      <c r="V792" s="4">
        <f>IF(Table1[[#This Row],[Warranty_Claim]]="Yes",1,0)</f>
        <v>0</v>
      </c>
      <c r="W792" s="4">
        <f>IF(Table1[[#This Row],[Rework_Flag]]="No",1,0)</f>
        <v>0</v>
      </c>
      <c r="X792" s="4">
        <f>IF(Table1[[#This Row],[Rework_Flag]]="Yes",1,0)</f>
        <v>1</v>
      </c>
      <c r="Y792" s="4">
        <v>1</v>
      </c>
      <c r="Z792" s="4" t="str">
        <f>IF(Table1[[#This Row],[TAT_Days]]&gt;Table1[[#This Row],[SLA_TAT]],"Yes","No")</f>
        <v>Yes</v>
      </c>
      <c r="AA792" s="4" t="str" cm="1">
        <f t="array" ref="AA792">_xlfn.IFS(Table1[[#This Row],[Customer_Satisfaction]]&lt;=2,"Poor",Table1[[#This Row],[Customer_Satisfaction]]=3,"Neutral",Table1[[#This Row],[Customer_Satisfaction]]=4,"Good",Table1[[#This Row],[Customer_Satisfaction]]=5,"Good")</f>
        <v>Poor</v>
      </c>
    </row>
    <row r="793" spans="1:27" x14ac:dyDescent="0.35">
      <c r="A793">
        <v>20791</v>
      </c>
      <c r="B793" s="1">
        <v>45337</v>
      </c>
      <c r="C793" t="s">
        <v>50</v>
      </c>
      <c r="D793" t="s">
        <v>80</v>
      </c>
      <c r="E793" t="s">
        <v>104</v>
      </c>
      <c r="F793" t="s">
        <v>22</v>
      </c>
      <c r="G793" t="s">
        <v>41</v>
      </c>
      <c r="H793" t="s">
        <v>42</v>
      </c>
      <c r="I793" t="s">
        <v>25</v>
      </c>
      <c r="J793" t="s">
        <v>35</v>
      </c>
      <c r="K793" t="s">
        <v>44</v>
      </c>
      <c r="L793" t="s">
        <v>28</v>
      </c>
      <c r="M793" s="4">
        <v>11</v>
      </c>
      <c r="N793" s="4">
        <v>7</v>
      </c>
      <c r="O793" t="s">
        <v>36</v>
      </c>
      <c r="P793" t="s">
        <v>36</v>
      </c>
      <c r="Q793" s="4">
        <v>560195</v>
      </c>
      <c r="R793" s="4">
        <v>391249</v>
      </c>
      <c r="S793" s="4">
        <f>Table1[[#This Row],[Service_Revenue]]-Table1[[#This Row],[Service_Cost]]</f>
        <v>168946</v>
      </c>
      <c r="T793" s="4">
        <v>3</v>
      </c>
      <c r="U793" s="4">
        <f>IF(AND(Table1[[#This Row],[Rework_Flag]]="Yes",Table1[[#This Row],[Warranty_Claim]]="No"),Table1[[#This Row],[Service_Revenue]],0)</f>
        <v>0</v>
      </c>
      <c r="V793" s="4">
        <f>IF(Table1[[#This Row],[Warranty_Claim]]="Yes",1,0)</f>
        <v>0</v>
      </c>
      <c r="W793" s="4">
        <f>IF(Table1[[#This Row],[Rework_Flag]]="No",1,0)</f>
        <v>1</v>
      </c>
      <c r="X793" s="4">
        <f>IF(Table1[[#This Row],[Rework_Flag]]="Yes",1,0)</f>
        <v>0</v>
      </c>
      <c r="Y793" s="4">
        <v>1</v>
      </c>
      <c r="Z793" s="4" t="str">
        <f>IF(Table1[[#This Row],[TAT_Days]]&gt;Table1[[#This Row],[SLA_TAT]],"Yes","No")</f>
        <v>Yes</v>
      </c>
      <c r="AA793" s="4" t="str" cm="1">
        <f t="array" ref="AA793">_xlfn.IFS(Table1[[#This Row],[Customer_Satisfaction]]&lt;=2,"Poor",Table1[[#This Row],[Customer_Satisfaction]]=3,"Neutral",Table1[[#This Row],[Customer_Satisfaction]]=4,"Good",Table1[[#This Row],[Customer_Satisfaction]]=5,"Good")</f>
        <v>Neutral</v>
      </c>
    </row>
    <row r="794" spans="1:27" x14ac:dyDescent="0.35">
      <c r="A794">
        <v>20792</v>
      </c>
      <c r="B794" s="1">
        <v>45371</v>
      </c>
      <c r="C794" t="s">
        <v>50</v>
      </c>
      <c r="D794" t="s">
        <v>51</v>
      </c>
      <c r="E794" t="s">
        <v>113</v>
      </c>
      <c r="F794" t="s">
        <v>40</v>
      </c>
      <c r="G794" t="s">
        <v>74</v>
      </c>
      <c r="H794" t="s">
        <v>34</v>
      </c>
      <c r="I794" t="s">
        <v>25</v>
      </c>
      <c r="J794" t="s">
        <v>58</v>
      </c>
      <c r="K794" t="s">
        <v>27</v>
      </c>
      <c r="L794" t="s">
        <v>28</v>
      </c>
      <c r="M794" s="4">
        <v>5</v>
      </c>
      <c r="N794" s="4">
        <v>7</v>
      </c>
      <c r="O794" t="s">
        <v>29</v>
      </c>
      <c r="P794" t="s">
        <v>29</v>
      </c>
      <c r="Q794" s="4">
        <v>314588</v>
      </c>
      <c r="R794" s="4">
        <v>211103</v>
      </c>
      <c r="S794" s="4">
        <f>Table1[[#This Row],[Service_Revenue]]-Table1[[#This Row],[Service_Cost]]</f>
        <v>103485</v>
      </c>
      <c r="T794" s="4">
        <v>3</v>
      </c>
      <c r="U794" s="4">
        <f>IF(AND(Table1[[#This Row],[Rework_Flag]]="Yes",Table1[[#This Row],[Warranty_Claim]]="No"),Table1[[#This Row],[Service_Revenue]],0)</f>
        <v>0</v>
      </c>
      <c r="V794" s="4">
        <f>IF(Table1[[#This Row],[Warranty_Claim]]="Yes",1,0)</f>
        <v>1</v>
      </c>
      <c r="W794" s="4">
        <f>IF(Table1[[#This Row],[Rework_Flag]]="No",1,0)</f>
        <v>0</v>
      </c>
      <c r="X794" s="4">
        <f>IF(Table1[[#This Row],[Rework_Flag]]="Yes",1,0)</f>
        <v>1</v>
      </c>
      <c r="Y794" s="4">
        <v>1</v>
      </c>
      <c r="Z794" s="4" t="str">
        <f>IF(Table1[[#This Row],[TAT_Days]]&gt;Table1[[#This Row],[SLA_TAT]],"Yes","No")</f>
        <v>No</v>
      </c>
      <c r="AA794" s="4" t="str" cm="1">
        <f t="array" ref="AA794">_xlfn.IFS(Table1[[#This Row],[Customer_Satisfaction]]&lt;=2,"Poor",Table1[[#This Row],[Customer_Satisfaction]]=3,"Neutral",Table1[[#This Row],[Customer_Satisfaction]]=4,"Good",Table1[[#This Row],[Customer_Satisfaction]]=5,"Good")</f>
        <v>Neutral</v>
      </c>
    </row>
    <row r="795" spans="1:27" x14ac:dyDescent="0.35">
      <c r="A795">
        <v>20793</v>
      </c>
      <c r="B795" s="1">
        <v>45458</v>
      </c>
      <c r="C795" t="s">
        <v>19</v>
      </c>
      <c r="D795" t="s">
        <v>96</v>
      </c>
      <c r="E795" t="s">
        <v>97</v>
      </c>
      <c r="F795" t="s">
        <v>53</v>
      </c>
      <c r="G795" t="s">
        <v>41</v>
      </c>
      <c r="H795" t="s">
        <v>42</v>
      </c>
      <c r="I795" t="s">
        <v>55</v>
      </c>
      <c r="J795" t="s">
        <v>35</v>
      </c>
      <c r="K795" t="s">
        <v>61</v>
      </c>
      <c r="L795" t="s">
        <v>28</v>
      </c>
      <c r="M795" s="4">
        <v>16</v>
      </c>
      <c r="N795" s="4">
        <v>7</v>
      </c>
      <c r="O795" t="s">
        <v>36</v>
      </c>
      <c r="P795" t="s">
        <v>36</v>
      </c>
      <c r="Q795" s="4">
        <v>358839</v>
      </c>
      <c r="R795" s="4">
        <v>225361</v>
      </c>
      <c r="S795" s="4">
        <f>Table1[[#This Row],[Service_Revenue]]-Table1[[#This Row],[Service_Cost]]</f>
        <v>133478</v>
      </c>
      <c r="T795" s="4">
        <v>2</v>
      </c>
      <c r="U795" s="4">
        <f>IF(AND(Table1[[#This Row],[Rework_Flag]]="Yes",Table1[[#This Row],[Warranty_Claim]]="No"),Table1[[#This Row],[Service_Revenue]],0)</f>
        <v>0</v>
      </c>
      <c r="V795" s="4">
        <f>IF(Table1[[#This Row],[Warranty_Claim]]="Yes",1,0)</f>
        <v>0</v>
      </c>
      <c r="W795" s="4">
        <f>IF(Table1[[#This Row],[Rework_Flag]]="No",1,0)</f>
        <v>1</v>
      </c>
      <c r="X795" s="4">
        <f>IF(Table1[[#This Row],[Rework_Flag]]="Yes",1,0)</f>
        <v>0</v>
      </c>
      <c r="Y795" s="4">
        <v>1</v>
      </c>
      <c r="Z795" s="4" t="str">
        <f>IF(Table1[[#This Row],[TAT_Days]]&gt;Table1[[#This Row],[SLA_TAT]],"Yes","No")</f>
        <v>Yes</v>
      </c>
      <c r="AA795" s="4" t="str" cm="1">
        <f t="array" ref="AA795">_xlfn.IFS(Table1[[#This Row],[Customer_Satisfaction]]&lt;=2,"Poor",Table1[[#This Row],[Customer_Satisfaction]]=3,"Neutral",Table1[[#This Row],[Customer_Satisfaction]]=4,"Good",Table1[[#This Row],[Customer_Satisfaction]]=5,"Good")</f>
        <v>Poor</v>
      </c>
    </row>
    <row r="796" spans="1:27" x14ac:dyDescent="0.35">
      <c r="A796">
        <v>20794</v>
      </c>
      <c r="B796" s="1">
        <v>45328</v>
      </c>
      <c r="C796" t="s">
        <v>50</v>
      </c>
      <c r="D796" t="s">
        <v>56</v>
      </c>
      <c r="E796" t="s">
        <v>88</v>
      </c>
      <c r="F796" t="s">
        <v>22</v>
      </c>
      <c r="G796" t="s">
        <v>63</v>
      </c>
      <c r="H796" t="s">
        <v>24</v>
      </c>
      <c r="I796" t="s">
        <v>55</v>
      </c>
      <c r="J796" t="s">
        <v>67</v>
      </c>
      <c r="K796" t="s">
        <v>61</v>
      </c>
      <c r="L796" t="s">
        <v>49</v>
      </c>
      <c r="M796" s="4">
        <v>8</v>
      </c>
      <c r="N796" s="4">
        <v>7</v>
      </c>
      <c r="O796" t="s">
        <v>29</v>
      </c>
      <c r="P796" t="s">
        <v>36</v>
      </c>
      <c r="Q796" s="4">
        <v>385425</v>
      </c>
      <c r="R796" s="4">
        <v>312626</v>
      </c>
      <c r="S796" s="4">
        <f>Table1[[#This Row],[Service_Revenue]]-Table1[[#This Row],[Service_Cost]]</f>
        <v>72799</v>
      </c>
      <c r="T796" s="4">
        <v>3</v>
      </c>
      <c r="U796" s="4">
        <f>IF(AND(Table1[[#This Row],[Rework_Flag]]="Yes",Table1[[#This Row],[Warranty_Claim]]="No"),Table1[[#This Row],[Service_Revenue]],0)</f>
        <v>385425</v>
      </c>
      <c r="V796" s="4">
        <f>IF(Table1[[#This Row],[Warranty_Claim]]="Yes",1,0)</f>
        <v>0</v>
      </c>
      <c r="W796" s="4">
        <f>IF(Table1[[#This Row],[Rework_Flag]]="No",1,0)</f>
        <v>0</v>
      </c>
      <c r="X796" s="4">
        <f>IF(Table1[[#This Row],[Rework_Flag]]="Yes",1,0)</f>
        <v>1</v>
      </c>
      <c r="Y796" s="4">
        <v>1</v>
      </c>
      <c r="Z796" s="4" t="str">
        <f>IF(Table1[[#This Row],[TAT_Days]]&gt;Table1[[#This Row],[SLA_TAT]],"Yes","No")</f>
        <v>Yes</v>
      </c>
      <c r="AA796" s="4" t="str" cm="1">
        <f t="array" ref="AA796">_xlfn.IFS(Table1[[#This Row],[Customer_Satisfaction]]&lt;=2,"Poor",Table1[[#This Row],[Customer_Satisfaction]]=3,"Neutral",Table1[[#This Row],[Customer_Satisfaction]]=4,"Good",Table1[[#This Row],[Customer_Satisfaction]]=5,"Good")</f>
        <v>Neutral</v>
      </c>
    </row>
    <row r="797" spans="1:27" x14ac:dyDescent="0.35">
      <c r="A797">
        <v>20795</v>
      </c>
      <c r="B797" s="1">
        <v>45410</v>
      </c>
      <c r="C797" t="s">
        <v>50</v>
      </c>
      <c r="D797" t="s">
        <v>51</v>
      </c>
      <c r="E797" t="s">
        <v>73</v>
      </c>
      <c r="F797" t="s">
        <v>22</v>
      </c>
      <c r="G797" t="s">
        <v>23</v>
      </c>
      <c r="H797" t="s">
        <v>24</v>
      </c>
      <c r="I797" t="s">
        <v>25</v>
      </c>
      <c r="J797" t="s">
        <v>43</v>
      </c>
      <c r="K797" t="s">
        <v>61</v>
      </c>
      <c r="L797" t="s">
        <v>28</v>
      </c>
      <c r="M797" s="4">
        <v>8</v>
      </c>
      <c r="N797" s="4">
        <v>7</v>
      </c>
      <c r="O797" t="s">
        <v>36</v>
      </c>
      <c r="P797" t="s">
        <v>29</v>
      </c>
      <c r="Q797" s="4">
        <v>288170</v>
      </c>
      <c r="R797" s="4">
        <v>156377</v>
      </c>
      <c r="S797" s="4">
        <f>Table1[[#This Row],[Service_Revenue]]-Table1[[#This Row],[Service_Cost]]</f>
        <v>131793</v>
      </c>
      <c r="T797" s="4">
        <v>4</v>
      </c>
      <c r="U797" s="4">
        <f>IF(AND(Table1[[#This Row],[Rework_Flag]]="Yes",Table1[[#This Row],[Warranty_Claim]]="No"),Table1[[#This Row],[Service_Revenue]],0)</f>
        <v>0</v>
      </c>
      <c r="V797" s="4">
        <f>IF(Table1[[#This Row],[Warranty_Claim]]="Yes",1,0)</f>
        <v>1</v>
      </c>
      <c r="W797" s="4">
        <f>IF(Table1[[#This Row],[Rework_Flag]]="No",1,0)</f>
        <v>1</v>
      </c>
      <c r="X797" s="4">
        <f>IF(Table1[[#This Row],[Rework_Flag]]="Yes",1,0)</f>
        <v>0</v>
      </c>
      <c r="Y797" s="4">
        <v>1</v>
      </c>
      <c r="Z797" s="4" t="str">
        <f>IF(Table1[[#This Row],[TAT_Days]]&gt;Table1[[#This Row],[SLA_TAT]],"Yes","No")</f>
        <v>Yes</v>
      </c>
      <c r="AA797" s="4" t="str" cm="1">
        <f t="array" ref="AA797">_xlfn.IFS(Table1[[#This Row],[Customer_Satisfaction]]&lt;=2,"Poor",Table1[[#This Row],[Customer_Satisfaction]]=3,"Neutral",Table1[[#This Row],[Customer_Satisfaction]]=4,"Good",Table1[[#This Row],[Customer_Satisfaction]]=5,"Good")</f>
        <v>Good</v>
      </c>
    </row>
    <row r="798" spans="1:27" x14ac:dyDescent="0.35">
      <c r="A798">
        <v>20796</v>
      </c>
      <c r="B798" s="1">
        <v>45373</v>
      </c>
      <c r="C798" t="s">
        <v>37</v>
      </c>
      <c r="D798" t="s">
        <v>38</v>
      </c>
      <c r="E798" t="s">
        <v>107</v>
      </c>
      <c r="F798" t="s">
        <v>22</v>
      </c>
      <c r="G798" t="s">
        <v>41</v>
      </c>
      <c r="H798" t="s">
        <v>42</v>
      </c>
      <c r="I798" t="s">
        <v>55</v>
      </c>
      <c r="J798" t="s">
        <v>26</v>
      </c>
      <c r="K798" t="s">
        <v>61</v>
      </c>
      <c r="L798" t="s">
        <v>28</v>
      </c>
      <c r="M798" s="4">
        <v>7</v>
      </c>
      <c r="N798" s="4">
        <v>7</v>
      </c>
      <c r="O798" t="s">
        <v>36</v>
      </c>
      <c r="P798" t="s">
        <v>29</v>
      </c>
      <c r="Q798" s="4">
        <v>277530</v>
      </c>
      <c r="R798" s="4">
        <v>174155</v>
      </c>
      <c r="S798" s="4">
        <f>Table1[[#This Row],[Service_Revenue]]-Table1[[#This Row],[Service_Cost]]</f>
        <v>103375</v>
      </c>
      <c r="T798" s="4">
        <v>4</v>
      </c>
      <c r="U798" s="4">
        <f>IF(AND(Table1[[#This Row],[Rework_Flag]]="Yes",Table1[[#This Row],[Warranty_Claim]]="No"),Table1[[#This Row],[Service_Revenue]],0)</f>
        <v>0</v>
      </c>
      <c r="V798" s="4">
        <f>IF(Table1[[#This Row],[Warranty_Claim]]="Yes",1,0)</f>
        <v>1</v>
      </c>
      <c r="W798" s="4">
        <f>IF(Table1[[#This Row],[Rework_Flag]]="No",1,0)</f>
        <v>1</v>
      </c>
      <c r="X798" s="4">
        <f>IF(Table1[[#This Row],[Rework_Flag]]="Yes",1,0)</f>
        <v>0</v>
      </c>
      <c r="Y798" s="4">
        <v>1</v>
      </c>
      <c r="Z798" s="4" t="str">
        <f>IF(Table1[[#This Row],[TAT_Days]]&gt;Table1[[#This Row],[SLA_TAT]],"Yes","No")</f>
        <v>No</v>
      </c>
      <c r="AA798" s="4" t="str" cm="1">
        <f t="array" ref="AA798">_xlfn.IFS(Table1[[#This Row],[Customer_Satisfaction]]&lt;=2,"Poor",Table1[[#This Row],[Customer_Satisfaction]]=3,"Neutral",Table1[[#This Row],[Customer_Satisfaction]]=4,"Good",Table1[[#This Row],[Customer_Satisfaction]]=5,"Good")</f>
        <v>Good</v>
      </c>
    </row>
    <row r="799" spans="1:27" x14ac:dyDescent="0.35">
      <c r="A799">
        <v>20797</v>
      </c>
      <c r="B799" s="1">
        <v>45321</v>
      </c>
      <c r="C799" t="s">
        <v>37</v>
      </c>
      <c r="D799" t="s">
        <v>38</v>
      </c>
      <c r="E799" t="s">
        <v>107</v>
      </c>
      <c r="F799" t="s">
        <v>40</v>
      </c>
      <c r="G799" t="s">
        <v>41</v>
      </c>
      <c r="H799" t="s">
        <v>42</v>
      </c>
      <c r="I799" t="s">
        <v>25</v>
      </c>
      <c r="J799" t="s">
        <v>35</v>
      </c>
      <c r="K799" t="s">
        <v>61</v>
      </c>
      <c r="L799" t="s">
        <v>28</v>
      </c>
      <c r="M799" s="4">
        <v>4</v>
      </c>
      <c r="N799" s="4">
        <v>7</v>
      </c>
      <c r="O799" t="s">
        <v>36</v>
      </c>
      <c r="P799" t="s">
        <v>36</v>
      </c>
      <c r="Q799" s="4">
        <v>403603</v>
      </c>
      <c r="R799" s="4">
        <v>231500</v>
      </c>
      <c r="S799" s="4">
        <f>Table1[[#This Row],[Service_Revenue]]-Table1[[#This Row],[Service_Cost]]</f>
        <v>172103</v>
      </c>
      <c r="T799" s="4">
        <v>5</v>
      </c>
      <c r="U799" s="4">
        <f>IF(AND(Table1[[#This Row],[Rework_Flag]]="Yes",Table1[[#This Row],[Warranty_Claim]]="No"),Table1[[#This Row],[Service_Revenue]],0)</f>
        <v>0</v>
      </c>
      <c r="V799" s="4">
        <f>IF(Table1[[#This Row],[Warranty_Claim]]="Yes",1,0)</f>
        <v>0</v>
      </c>
      <c r="W799" s="4">
        <f>IF(Table1[[#This Row],[Rework_Flag]]="No",1,0)</f>
        <v>1</v>
      </c>
      <c r="X799" s="4">
        <f>IF(Table1[[#This Row],[Rework_Flag]]="Yes",1,0)</f>
        <v>0</v>
      </c>
      <c r="Y799" s="4">
        <v>1</v>
      </c>
      <c r="Z799" s="4" t="str">
        <f>IF(Table1[[#This Row],[TAT_Days]]&gt;Table1[[#This Row],[SLA_TAT]],"Yes","No")</f>
        <v>No</v>
      </c>
      <c r="AA799" s="4" t="str" cm="1">
        <f t="array" ref="AA799">_xlfn.IFS(Table1[[#This Row],[Customer_Satisfaction]]&lt;=2,"Poor",Table1[[#This Row],[Customer_Satisfaction]]=3,"Neutral",Table1[[#This Row],[Customer_Satisfaction]]=4,"Good",Table1[[#This Row],[Customer_Satisfaction]]=5,"Good")</f>
        <v>Good</v>
      </c>
    </row>
    <row r="800" spans="1:27" x14ac:dyDescent="0.35">
      <c r="A800">
        <v>20798</v>
      </c>
      <c r="B800" s="1">
        <v>45388</v>
      </c>
      <c r="C800" t="s">
        <v>30</v>
      </c>
      <c r="D800" t="s">
        <v>31</v>
      </c>
      <c r="E800" t="s">
        <v>79</v>
      </c>
      <c r="F800" t="s">
        <v>22</v>
      </c>
      <c r="G800" t="s">
        <v>63</v>
      </c>
      <c r="H800" t="s">
        <v>24</v>
      </c>
      <c r="I800" t="s">
        <v>25</v>
      </c>
      <c r="J800" t="s">
        <v>67</v>
      </c>
      <c r="K800" t="s">
        <v>44</v>
      </c>
      <c r="L800" t="s">
        <v>49</v>
      </c>
      <c r="M800" s="4">
        <v>17</v>
      </c>
      <c r="N800" s="4">
        <v>7</v>
      </c>
      <c r="O800" t="s">
        <v>29</v>
      </c>
      <c r="P800" t="s">
        <v>36</v>
      </c>
      <c r="Q800" s="4">
        <v>344064</v>
      </c>
      <c r="R800" s="4">
        <v>184744</v>
      </c>
      <c r="S800" s="4">
        <f>Table1[[#This Row],[Service_Revenue]]-Table1[[#This Row],[Service_Cost]]</f>
        <v>159320</v>
      </c>
      <c r="T800" s="4">
        <v>1</v>
      </c>
      <c r="U800" s="4">
        <f>IF(AND(Table1[[#This Row],[Rework_Flag]]="Yes",Table1[[#This Row],[Warranty_Claim]]="No"),Table1[[#This Row],[Service_Revenue]],0)</f>
        <v>344064</v>
      </c>
      <c r="V800" s="4">
        <f>IF(Table1[[#This Row],[Warranty_Claim]]="Yes",1,0)</f>
        <v>0</v>
      </c>
      <c r="W800" s="4">
        <f>IF(Table1[[#This Row],[Rework_Flag]]="No",1,0)</f>
        <v>0</v>
      </c>
      <c r="X800" s="4">
        <f>IF(Table1[[#This Row],[Rework_Flag]]="Yes",1,0)</f>
        <v>1</v>
      </c>
      <c r="Y800" s="4">
        <v>1</v>
      </c>
      <c r="Z800" s="4" t="str">
        <f>IF(Table1[[#This Row],[TAT_Days]]&gt;Table1[[#This Row],[SLA_TAT]],"Yes","No")</f>
        <v>Yes</v>
      </c>
      <c r="AA800" s="4" t="str" cm="1">
        <f t="array" ref="AA800">_xlfn.IFS(Table1[[#This Row],[Customer_Satisfaction]]&lt;=2,"Poor",Table1[[#This Row],[Customer_Satisfaction]]=3,"Neutral",Table1[[#This Row],[Customer_Satisfaction]]=4,"Good",Table1[[#This Row],[Customer_Satisfaction]]=5,"Good")</f>
        <v>Poor</v>
      </c>
    </row>
    <row r="801" spans="1:27" x14ac:dyDescent="0.35">
      <c r="A801">
        <v>20799</v>
      </c>
      <c r="B801" s="1">
        <v>45331</v>
      </c>
      <c r="C801" t="s">
        <v>50</v>
      </c>
      <c r="D801" t="s">
        <v>56</v>
      </c>
      <c r="E801" t="s">
        <v>101</v>
      </c>
      <c r="F801" t="s">
        <v>40</v>
      </c>
      <c r="G801" t="s">
        <v>23</v>
      </c>
      <c r="H801" t="s">
        <v>24</v>
      </c>
      <c r="I801" t="s">
        <v>55</v>
      </c>
      <c r="J801" t="s">
        <v>35</v>
      </c>
      <c r="K801" t="s">
        <v>27</v>
      </c>
      <c r="L801" t="s">
        <v>49</v>
      </c>
      <c r="M801" s="4">
        <v>6</v>
      </c>
      <c r="N801" s="4">
        <v>7</v>
      </c>
      <c r="O801" t="s">
        <v>36</v>
      </c>
      <c r="P801" t="s">
        <v>36</v>
      </c>
      <c r="Q801" s="4">
        <v>350092</v>
      </c>
      <c r="R801" s="4">
        <v>212822</v>
      </c>
      <c r="S801" s="4">
        <f>Table1[[#This Row],[Service_Revenue]]-Table1[[#This Row],[Service_Cost]]</f>
        <v>137270</v>
      </c>
      <c r="T801" s="4">
        <v>4</v>
      </c>
      <c r="U801" s="4">
        <f>IF(AND(Table1[[#This Row],[Rework_Flag]]="Yes",Table1[[#This Row],[Warranty_Claim]]="No"),Table1[[#This Row],[Service_Revenue]],0)</f>
        <v>0</v>
      </c>
      <c r="V801" s="4">
        <f>IF(Table1[[#This Row],[Warranty_Claim]]="Yes",1,0)</f>
        <v>0</v>
      </c>
      <c r="W801" s="4">
        <f>IF(Table1[[#This Row],[Rework_Flag]]="No",1,0)</f>
        <v>1</v>
      </c>
      <c r="X801" s="4">
        <f>IF(Table1[[#This Row],[Rework_Flag]]="Yes",1,0)</f>
        <v>0</v>
      </c>
      <c r="Y801" s="4">
        <v>1</v>
      </c>
      <c r="Z801" s="4" t="str">
        <f>IF(Table1[[#This Row],[TAT_Days]]&gt;Table1[[#This Row],[SLA_TAT]],"Yes","No")</f>
        <v>No</v>
      </c>
      <c r="AA801" s="4" t="str" cm="1">
        <f t="array" ref="AA801">_xlfn.IFS(Table1[[#This Row],[Customer_Satisfaction]]&lt;=2,"Poor",Table1[[#This Row],[Customer_Satisfaction]]=3,"Neutral",Table1[[#This Row],[Customer_Satisfaction]]=4,"Good",Table1[[#This Row],[Customer_Satisfaction]]=5,"Good")</f>
        <v>Good</v>
      </c>
    </row>
    <row r="802" spans="1:27" x14ac:dyDescent="0.35">
      <c r="A802">
        <v>20800</v>
      </c>
      <c r="B802" s="1">
        <v>45317</v>
      </c>
      <c r="C802" t="s">
        <v>30</v>
      </c>
      <c r="D802" t="s">
        <v>83</v>
      </c>
      <c r="E802" t="s">
        <v>119</v>
      </c>
      <c r="F802" t="s">
        <v>40</v>
      </c>
      <c r="G802" t="s">
        <v>54</v>
      </c>
      <c r="H802" t="s">
        <v>42</v>
      </c>
      <c r="I802" t="s">
        <v>55</v>
      </c>
      <c r="J802" t="s">
        <v>43</v>
      </c>
      <c r="K802" t="s">
        <v>61</v>
      </c>
      <c r="L802" t="s">
        <v>49</v>
      </c>
      <c r="M802" s="4">
        <v>10</v>
      </c>
      <c r="N802" s="4">
        <v>7</v>
      </c>
      <c r="O802" t="s">
        <v>29</v>
      </c>
      <c r="P802" t="s">
        <v>29</v>
      </c>
      <c r="Q802" s="4">
        <v>100526</v>
      </c>
      <c r="R802" s="4">
        <v>80616</v>
      </c>
      <c r="S802" s="4">
        <f>Table1[[#This Row],[Service_Revenue]]-Table1[[#This Row],[Service_Cost]]</f>
        <v>19910</v>
      </c>
      <c r="T802" s="4">
        <v>2</v>
      </c>
      <c r="U802" s="4">
        <f>IF(AND(Table1[[#This Row],[Rework_Flag]]="Yes",Table1[[#This Row],[Warranty_Claim]]="No"),Table1[[#This Row],[Service_Revenue]],0)</f>
        <v>0</v>
      </c>
      <c r="V802" s="4">
        <f>IF(Table1[[#This Row],[Warranty_Claim]]="Yes",1,0)</f>
        <v>1</v>
      </c>
      <c r="W802" s="4">
        <f>IF(Table1[[#This Row],[Rework_Flag]]="No",1,0)</f>
        <v>0</v>
      </c>
      <c r="X802" s="4">
        <f>IF(Table1[[#This Row],[Rework_Flag]]="Yes",1,0)</f>
        <v>1</v>
      </c>
      <c r="Y802" s="4">
        <v>1</v>
      </c>
      <c r="Z802" s="4" t="str">
        <f>IF(Table1[[#This Row],[TAT_Days]]&gt;Table1[[#This Row],[SLA_TAT]],"Yes","No")</f>
        <v>Yes</v>
      </c>
      <c r="AA802" s="4" t="str" cm="1">
        <f t="array" ref="AA802">_xlfn.IFS(Table1[[#This Row],[Customer_Satisfaction]]&lt;=2,"Poor",Table1[[#This Row],[Customer_Satisfaction]]=3,"Neutral",Table1[[#This Row],[Customer_Satisfaction]]=4,"Good",Table1[[#This Row],[Customer_Satisfaction]]=5,"Good")</f>
        <v>Poor</v>
      </c>
    </row>
    <row r="803" spans="1:27" x14ac:dyDescent="0.35">
      <c r="A803">
        <v>20801</v>
      </c>
      <c r="B803" s="1">
        <v>45462</v>
      </c>
      <c r="C803" t="s">
        <v>50</v>
      </c>
      <c r="D803" t="s">
        <v>51</v>
      </c>
      <c r="E803" t="s">
        <v>52</v>
      </c>
      <c r="F803" t="s">
        <v>22</v>
      </c>
      <c r="G803" t="s">
        <v>33</v>
      </c>
      <c r="H803" t="s">
        <v>34</v>
      </c>
      <c r="I803" t="s">
        <v>25</v>
      </c>
      <c r="J803" t="s">
        <v>26</v>
      </c>
      <c r="K803" t="s">
        <v>44</v>
      </c>
      <c r="L803" t="s">
        <v>28</v>
      </c>
      <c r="M803" s="4">
        <v>4</v>
      </c>
      <c r="N803" s="4">
        <v>7</v>
      </c>
      <c r="O803" t="s">
        <v>29</v>
      </c>
      <c r="P803" t="s">
        <v>29</v>
      </c>
      <c r="Q803" s="4">
        <v>456653</v>
      </c>
      <c r="R803" s="4">
        <v>297514</v>
      </c>
      <c r="S803" s="4">
        <f>Table1[[#This Row],[Service_Revenue]]-Table1[[#This Row],[Service_Cost]]</f>
        <v>159139</v>
      </c>
      <c r="T803" s="4">
        <v>4</v>
      </c>
      <c r="U803" s="4">
        <f>IF(AND(Table1[[#This Row],[Rework_Flag]]="Yes",Table1[[#This Row],[Warranty_Claim]]="No"),Table1[[#This Row],[Service_Revenue]],0)</f>
        <v>0</v>
      </c>
      <c r="V803" s="4">
        <f>IF(Table1[[#This Row],[Warranty_Claim]]="Yes",1,0)</f>
        <v>1</v>
      </c>
      <c r="W803" s="4">
        <f>IF(Table1[[#This Row],[Rework_Flag]]="No",1,0)</f>
        <v>0</v>
      </c>
      <c r="X803" s="4">
        <f>IF(Table1[[#This Row],[Rework_Flag]]="Yes",1,0)</f>
        <v>1</v>
      </c>
      <c r="Y803" s="4">
        <v>1</v>
      </c>
      <c r="Z803" s="4" t="str">
        <f>IF(Table1[[#This Row],[TAT_Days]]&gt;Table1[[#This Row],[SLA_TAT]],"Yes","No")</f>
        <v>No</v>
      </c>
      <c r="AA803" s="4" t="str" cm="1">
        <f t="array" ref="AA803">_xlfn.IFS(Table1[[#This Row],[Customer_Satisfaction]]&lt;=2,"Poor",Table1[[#This Row],[Customer_Satisfaction]]=3,"Neutral",Table1[[#This Row],[Customer_Satisfaction]]=4,"Good",Table1[[#This Row],[Customer_Satisfaction]]=5,"Good")</f>
        <v>Good</v>
      </c>
    </row>
    <row r="804" spans="1:27" x14ac:dyDescent="0.35">
      <c r="A804">
        <v>20802</v>
      </c>
      <c r="B804" s="1">
        <v>45398</v>
      </c>
      <c r="C804" t="s">
        <v>37</v>
      </c>
      <c r="D804" t="s">
        <v>64</v>
      </c>
      <c r="E804" t="s">
        <v>115</v>
      </c>
      <c r="F804" t="s">
        <v>53</v>
      </c>
      <c r="G804" t="s">
        <v>23</v>
      </c>
      <c r="H804" t="s">
        <v>24</v>
      </c>
      <c r="I804" t="s">
        <v>55</v>
      </c>
      <c r="J804" t="s">
        <v>67</v>
      </c>
      <c r="K804" t="s">
        <v>44</v>
      </c>
      <c r="L804" t="s">
        <v>28</v>
      </c>
      <c r="M804" s="4">
        <v>10</v>
      </c>
      <c r="N804" s="4">
        <v>7</v>
      </c>
      <c r="O804" t="s">
        <v>36</v>
      </c>
      <c r="P804" t="s">
        <v>36</v>
      </c>
      <c r="Q804" s="4">
        <v>451387</v>
      </c>
      <c r="R804" s="4">
        <v>308351</v>
      </c>
      <c r="S804" s="4">
        <f>Table1[[#This Row],[Service_Revenue]]-Table1[[#This Row],[Service_Cost]]</f>
        <v>143036</v>
      </c>
      <c r="T804" s="4">
        <v>3</v>
      </c>
      <c r="U804" s="4">
        <f>IF(AND(Table1[[#This Row],[Rework_Flag]]="Yes",Table1[[#This Row],[Warranty_Claim]]="No"),Table1[[#This Row],[Service_Revenue]],0)</f>
        <v>0</v>
      </c>
      <c r="V804" s="4">
        <f>IF(Table1[[#This Row],[Warranty_Claim]]="Yes",1,0)</f>
        <v>0</v>
      </c>
      <c r="W804" s="4">
        <f>IF(Table1[[#This Row],[Rework_Flag]]="No",1,0)</f>
        <v>1</v>
      </c>
      <c r="X804" s="4">
        <f>IF(Table1[[#This Row],[Rework_Flag]]="Yes",1,0)</f>
        <v>0</v>
      </c>
      <c r="Y804" s="4">
        <v>1</v>
      </c>
      <c r="Z804" s="4" t="str">
        <f>IF(Table1[[#This Row],[TAT_Days]]&gt;Table1[[#This Row],[SLA_TAT]],"Yes","No")</f>
        <v>Yes</v>
      </c>
      <c r="AA804" s="4" t="str" cm="1">
        <f t="array" ref="AA804">_xlfn.IFS(Table1[[#This Row],[Customer_Satisfaction]]&lt;=2,"Poor",Table1[[#This Row],[Customer_Satisfaction]]=3,"Neutral",Table1[[#This Row],[Customer_Satisfaction]]=4,"Good",Table1[[#This Row],[Customer_Satisfaction]]=5,"Good")</f>
        <v>Neutral</v>
      </c>
    </row>
    <row r="805" spans="1:27" x14ac:dyDescent="0.35">
      <c r="A805">
        <v>20803</v>
      </c>
      <c r="B805" s="1">
        <v>45428</v>
      </c>
      <c r="C805" t="s">
        <v>50</v>
      </c>
      <c r="D805" t="s">
        <v>80</v>
      </c>
      <c r="E805" t="s">
        <v>85</v>
      </c>
      <c r="F805" t="s">
        <v>40</v>
      </c>
      <c r="G805" t="s">
        <v>54</v>
      </c>
      <c r="H805" t="s">
        <v>42</v>
      </c>
      <c r="I805" t="s">
        <v>25</v>
      </c>
      <c r="J805" t="s">
        <v>67</v>
      </c>
      <c r="K805" t="s">
        <v>27</v>
      </c>
      <c r="L805" t="s">
        <v>49</v>
      </c>
      <c r="M805" s="4">
        <v>6</v>
      </c>
      <c r="N805" s="4">
        <v>7</v>
      </c>
      <c r="O805" t="s">
        <v>36</v>
      </c>
      <c r="P805" t="s">
        <v>36</v>
      </c>
      <c r="Q805" s="4">
        <v>382163</v>
      </c>
      <c r="R805" s="4">
        <v>208944</v>
      </c>
      <c r="S805" s="4">
        <f>Table1[[#This Row],[Service_Revenue]]-Table1[[#This Row],[Service_Cost]]</f>
        <v>173219</v>
      </c>
      <c r="T805" s="4">
        <v>4</v>
      </c>
      <c r="U805" s="4">
        <f>IF(AND(Table1[[#This Row],[Rework_Flag]]="Yes",Table1[[#This Row],[Warranty_Claim]]="No"),Table1[[#This Row],[Service_Revenue]],0)</f>
        <v>0</v>
      </c>
      <c r="V805" s="4">
        <f>IF(Table1[[#This Row],[Warranty_Claim]]="Yes",1,0)</f>
        <v>0</v>
      </c>
      <c r="W805" s="4">
        <f>IF(Table1[[#This Row],[Rework_Flag]]="No",1,0)</f>
        <v>1</v>
      </c>
      <c r="X805" s="4">
        <f>IF(Table1[[#This Row],[Rework_Flag]]="Yes",1,0)</f>
        <v>0</v>
      </c>
      <c r="Y805" s="4">
        <v>1</v>
      </c>
      <c r="Z805" s="4" t="str">
        <f>IF(Table1[[#This Row],[TAT_Days]]&gt;Table1[[#This Row],[SLA_TAT]],"Yes","No")</f>
        <v>No</v>
      </c>
      <c r="AA805" s="4" t="str" cm="1">
        <f t="array" ref="AA805">_xlfn.IFS(Table1[[#This Row],[Customer_Satisfaction]]&lt;=2,"Poor",Table1[[#This Row],[Customer_Satisfaction]]=3,"Neutral",Table1[[#This Row],[Customer_Satisfaction]]=4,"Good",Table1[[#This Row],[Customer_Satisfaction]]=5,"Good")</f>
        <v>Good</v>
      </c>
    </row>
    <row r="806" spans="1:27" x14ac:dyDescent="0.35">
      <c r="A806">
        <v>20804</v>
      </c>
      <c r="B806" s="1">
        <v>45338</v>
      </c>
      <c r="C806" t="s">
        <v>30</v>
      </c>
      <c r="D806" t="s">
        <v>83</v>
      </c>
      <c r="E806" t="s">
        <v>84</v>
      </c>
      <c r="F806" t="s">
        <v>40</v>
      </c>
      <c r="G806" t="s">
        <v>33</v>
      </c>
      <c r="H806" t="s">
        <v>34</v>
      </c>
      <c r="I806" t="s">
        <v>25</v>
      </c>
      <c r="J806" t="s">
        <v>26</v>
      </c>
      <c r="K806" t="s">
        <v>61</v>
      </c>
      <c r="L806" t="s">
        <v>49</v>
      </c>
      <c r="M806" s="4">
        <v>11</v>
      </c>
      <c r="N806" s="4">
        <v>7</v>
      </c>
      <c r="O806" t="s">
        <v>29</v>
      </c>
      <c r="P806" t="s">
        <v>36</v>
      </c>
      <c r="Q806" s="4">
        <v>222892</v>
      </c>
      <c r="R806" s="4">
        <v>168373</v>
      </c>
      <c r="S806" s="4">
        <f>Table1[[#This Row],[Service_Revenue]]-Table1[[#This Row],[Service_Cost]]</f>
        <v>54519</v>
      </c>
      <c r="T806" s="4">
        <v>2</v>
      </c>
      <c r="U806" s="4">
        <f>IF(AND(Table1[[#This Row],[Rework_Flag]]="Yes",Table1[[#This Row],[Warranty_Claim]]="No"),Table1[[#This Row],[Service_Revenue]],0)</f>
        <v>222892</v>
      </c>
      <c r="V806" s="4">
        <f>IF(Table1[[#This Row],[Warranty_Claim]]="Yes",1,0)</f>
        <v>0</v>
      </c>
      <c r="W806" s="4">
        <f>IF(Table1[[#This Row],[Rework_Flag]]="No",1,0)</f>
        <v>0</v>
      </c>
      <c r="X806" s="4">
        <f>IF(Table1[[#This Row],[Rework_Flag]]="Yes",1,0)</f>
        <v>1</v>
      </c>
      <c r="Y806" s="4">
        <v>1</v>
      </c>
      <c r="Z806" s="4" t="str">
        <f>IF(Table1[[#This Row],[TAT_Days]]&gt;Table1[[#This Row],[SLA_TAT]],"Yes","No")</f>
        <v>Yes</v>
      </c>
      <c r="AA806" s="4" t="str" cm="1">
        <f t="array" ref="AA806">_xlfn.IFS(Table1[[#This Row],[Customer_Satisfaction]]&lt;=2,"Poor",Table1[[#This Row],[Customer_Satisfaction]]=3,"Neutral",Table1[[#This Row],[Customer_Satisfaction]]=4,"Good",Table1[[#This Row],[Customer_Satisfaction]]=5,"Good")</f>
        <v>Poor</v>
      </c>
    </row>
    <row r="807" spans="1:27" x14ac:dyDescent="0.35">
      <c r="A807">
        <v>20805</v>
      </c>
      <c r="B807" s="1">
        <v>45372</v>
      </c>
      <c r="C807" t="s">
        <v>50</v>
      </c>
      <c r="D807" t="s">
        <v>56</v>
      </c>
      <c r="E807" t="s">
        <v>77</v>
      </c>
      <c r="F807" t="s">
        <v>22</v>
      </c>
      <c r="G807" t="s">
        <v>63</v>
      </c>
      <c r="H807" t="s">
        <v>24</v>
      </c>
      <c r="I807" t="s">
        <v>25</v>
      </c>
      <c r="J807" t="s">
        <v>67</v>
      </c>
      <c r="K807" t="s">
        <v>44</v>
      </c>
      <c r="L807" t="s">
        <v>49</v>
      </c>
      <c r="M807" s="4">
        <v>6</v>
      </c>
      <c r="N807" s="4">
        <v>7</v>
      </c>
      <c r="O807" t="s">
        <v>36</v>
      </c>
      <c r="P807" t="s">
        <v>29</v>
      </c>
      <c r="Q807" s="4">
        <v>426890</v>
      </c>
      <c r="R807" s="4">
        <v>324654</v>
      </c>
      <c r="S807" s="4">
        <f>Table1[[#This Row],[Service_Revenue]]-Table1[[#This Row],[Service_Cost]]</f>
        <v>102236</v>
      </c>
      <c r="T807" s="4">
        <v>4</v>
      </c>
      <c r="U807" s="4">
        <f>IF(AND(Table1[[#This Row],[Rework_Flag]]="Yes",Table1[[#This Row],[Warranty_Claim]]="No"),Table1[[#This Row],[Service_Revenue]],0)</f>
        <v>0</v>
      </c>
      <c r="V807" s="4">
        <f>IF(Table1[[#This Row],[Warranty_Claim]]="Yes",1,0)</f>
        <v>1</v>
      </c>
      <c r="W807" s="4">
        <f>IF(Table1[[#This Row],[Rework_Flag]]="No",1,0)</f>
        <v>1</v>
      </c>
      <c r="X807" s="4">
        <f>IF(Table1[[#This Row],[Rework_Flag]]="Yes",1,0)</f>
        <v>0</v>
      </c>
      <c r="Y807" s="4">
        <v>1</v>
      </c>
      <c r="Z807" s="4" t="str">
        <f>IF(Table1[[#This Row],[TAT_Days]]&gt;Table1[[#This Row],[SLA_TAT]],"Yes","No")</f>
        <v>No</v>
      </c>
      <c r="AA807" s="4" t="str" cm="1">
        <f t="array" ref="AA807">_xlfn.IFS(Table1[[#This Row],[Customer_Satisfaction]]&lt;=2,"Poor",Table1[[#This Row],[Customer_Satisfaction]]=3,"Neutral",Table1[[#This Row],[Customer_Satisfaction]]=4,"Good",Table1[[#This Row],[Customer_Satisfaction]]=5,"Good")</f>
        <v>Good</v>
      </c>
    </row>
    <row r="808" spans="1:27" x14ac:dyDescent="0.35">
      <c r="A808">
        <v>20806</v>
      </c>
      <c r="B808" s="1">
        <v>45322</v>
      </c>
      <c r="C808" t="s">
        <v>19</v>
      </c>
      <c r="D808" t="s">
        <v>45</v>
      </c>
      <c r="E808" t="s">
        <v>46</v>
      </c>
      <c r="F808" t="s">
        <v>53</v>
      </c>
      <c r="G808" t="s">
        <v>74</v>
      </c>
      <c r="H808" t="s">
        <v>34</v>
      </c>
      <c r="I808" t="s">
        <v>55</v>
      </c>
      <c r="J808" t="s">
        <v>26</v>
      </c>
      <c r="K808" t="s">
        <v>61</v>
      </c>
      <c r="L808" t="s">
        <v>49</v>
      </c>
      <c r="M808" s="4">
        <v>10</v>
      </c>
      <c r="N808" s="4">
        <v>7</v>
      </c>
      <c r="O808" t="s">
        <v>36</v>
      </c>
      <c r="P808" t="s">
        <v>36</v>
      </c>
      <c r="Q808" s="4">
        <v>199245</v>
      </c>
      <c r="R808" s="4">
        <v>150442</v>
      </c>
      <c r="S808" s="4">
        <f>Table1[[#This Row],[Service_Revenue]]-Table1[[#This Row],[Service_Cost]]</f>
        <v>48803</v>
      </c>
      <c r="T808" s="4">
        <v>3</v>
      </c>
      <c r="U808" s="4">
        <f>IF(AND(Table1[[#This Row],[Rework_Flag]]="Yes",Table1[[#This Row],[Warranty_Claim]]="No"),Table1[[#This Row],[Service_Revenue]],0)</f>
        <v>0</v>
      </c>
      <c r="V808" s="4">
        <f>IF(Table1[[#This Row],[Warranty_Claim]]="Yes",1,0)</f>
        <v>0</v>
      </c>
      <c r="W808" s="4">
        <f>IF(Table1[[#This Row],[Rework_Flag]]="No",1,0)</f>
        <v>1</v>
      </c>
      <c r="X808" s="4">
        <f>IF(Table1[[#This Row],[Rework_Flag]]="Yes",1,0)</f>
        <v>0</v>
      </c>
      <c r="Y808" s="4">
        <v>1</v>
      </c>
      <c r="Z808" s="4" t="str">
        <f>IF(Table1[[#This Row],[TAT_Days]]&gt;Table1[[#This Row],[SLA_TAT]],"Yes","No")</f>
        <v>Yes</v>
      </c>
      <c r="AA808" s="4" t="str" cm="1">
        <f t="array" ref="AA808">_xlfn.IFS(Table1[[#This Row],[Customer_Satisfaction]]&lt;=2,"Poor",Table1[[#This Row],[Customer_Satisfaction]]=3,"Neutral",Table1[[#This Row],[Customer_Satisfaction]]=4,"Good",Table1[[#This Row],[Customer_Satisfaction]]=5,"Good")</f>
        <v>Neutral</v>
      </c>
    </row>
    <row r="809" spans="1:27" x14ac:dyDescent="0.35">
      <c r="A809">
        <v>20807</v>
      </c>
      <c r="B809" s="1">
        <v>45332</v>
      </c>
      <c r="C809" t="s">
        <v>19</v>
      </c>
      <c r="D809" t="s">
        <v>45</v>
      </c>
      <c r="E809" t="s">
        <v>111</v>
      </c>
      <c r="F809" t="s">
        <v>53</v>
      </c>
      <c r="G809" t="s">
        <v>41</v>
      </c>
      <c r="H809" t="s">
        <v>42</v>
      </c>
      <c r="I809" t="s">
        <v>25</v>
      </c>
      <c r="J809" t="s">
        <v>43</v>
      </c>
      <c r="K809" t="s">
        <v>27</v>
      </c>
      <c r="L809" t="s">
        <v>49</v>
      </c>
      <c r="M809" s="4">
        <v>5</v>
      </c>
      <c r="N809" s="4">
        <v>7</v>
      </c>
      <c r="O809" t="s">
        <v>29</v>
      </c>
      <c r="P809" t="s">
        <v>36</v>
      </c>
      <c r="Q809" s="4">
        <v>598671</v>
      </c>
      <c r="R809" s="4">
        <v>315361</v>
      </c>
      <c r="S809" s="4">
        <f>Table1[[#This Row],[Service_Revenue]]-Table1[[#This Row],[Service_Cost]]</f>
        <v>283310</v>
      </c>
      <c r="T809" s="4">
        <v>3</v>
      </c>
      <c r="U809" s="4">
        <f>IF(AND(Table1[[#This Row],[Rework_Flag]]="Yes",Table1[[#This Row],[Warranty_Claim]]="No"),Table1[[#This Row],[Service_Revenue]],0)</f>
        <v>598671</v>
      </c>
      <c r="V809" s="4">
        <f>IF(Table1[[#This Row],[Warranty_Claim]]="Yes",1,0)</f>
        <v>0</v>
      </c>
      <c r="W809" s="4">
        <f>IF(Table1[[#This Row],[Rework_Flag]]="No",1,0)</f>
        <v>0</v>
      </c>
      <c r="X809" s="4">
        <f>IF(Table1[[#This Row],[Rework_Flag]]="Yes",1,0)</f>
        <v>1</v>
      </c>
      <c r="Y809" s="4">
        <v>1</v>
      </c>
      <c r="Z809" s="4" t="str">
        <f>IF(Table1[[#This Row],[TAT_Days]]&gt;Table1[[#This Row],[SLA_TAT]],"Yes","No")</f>
        <v>No</v>
      </c>
      <c r="AA809" s="4" t="str" cm="1">
        <f t="array" ref="AA809">_xlfn.IFS(Table1[[#This Row],[Customer_Satisfaction]]&lt;=2,"Poor",Table1[[#This Row],[Customer_Satisfaction]]=3,"Neutral",Table1[[#This Row],[Customer_Satisfaction]]=4,"Good",Table1[[#This Row],[Customer_Satisfaction]]=5,"Good")</f>
        <v>Neutral</v>
      </c>
    </row>
    <row r="810" spans="1:27" x14ac:dyDescent="0.35">
      <c r="A810">
        <v>20808</v>
      </c>
      <c r="B810" s="1">
        <v>45454</v>
      </c>
      <c r="C810" t="s">
        <v>50</v>
      </c>
      <c r="D810" t="s">
        <v>80</v>
      </c>
      <c r="E810" t="s">
        <v>118</v>
      </c>
      <c r="F810" t="s">
        <v>22</v>
      </c>
      <c r="G810" t="s">
        <v>47</v>
      </c>
      <c r="H810" t="s">
        <v>48</v>
      </c>
      <c r="I810" t="s">
        <v>25</v>
      </c>
      <c r="J810" t="s">
        <v>43</v>
      </c>
      <c r="K810" t="s">
        <v>61</v>
      </c>
      <c r="L810" t="s">
        <v>28</v>
      </c>
      <c r="M810" s="4">
        <v>22</v>
      </c>
      <c r="N810" s="4">
        <v>7</v>
      </c>
      <c r="O810" t="s">
        <v>29</v>
      </c>
      <c r="P810" t="s">
        <v>36</v>
      </c>
      <c r="Q810" s="4">
        <v>503788</v>
      </c>
      <c r="R810" s="4">
        <v>364680</v>
      </c>
      <c r="S810" s="4">
        <f>Table1[[#This Row],[Service_Revenue]]-Table1[[#This Row],[Service_Cost]]</f>
        <v>139108</v>
      </c>
      <c r="T810" s="4">
        <v>1</v>
      </c>
      <c r="U810" s="4">
        <f>IF(AND(Table1[[#This Row],[Rework_Flag]]="Yes",Table1[[#This Row],[Warranty_Claim]]="No"),Table1[[#This Row],[Service_Revenue]],0)</f>
        <v>503788</v>
      </c>
      <c r="V810" s="4">
        <f>IF(Table1[[#This Row],[Warranty_Claim]]="Yes",1,0)</f>
        <v>0</v>
      </c>
      <c r="W810" s="4">
        <f>IF(Table1[[#This Row],[Rework_Flag]]="No",1,0)</f>
        <v>0</v>
      </c>
      <c r="X810" s="4">
        <f>IF(Table1[[#This Row],[Rework_Flag]]="Yes",1,0)</f>
        <v>1</v>
      </c>
      <c r="Y810" s="4">
        <v>1</v>
      </c>
      <c r="Z810" s="4" t="str">
        <f>IF(Table1[[#This Row],[TAT_Days]]&gt;Table1[[#This Row],[SLA_TAT]],"Yes","No")</f>
        <v>Yes</v>
      </c>
      <c r="AA810" s="4" t="str" cm="1">
        <f t="array" ref="AA810">_xlfn.IFS(Table1[[#This Row],[Customer_Satisfaction]]&lt;=2,"Poor",Table1[[#This Row],[Customer_Satisfaction]]=3,"Neutral",Table1[[#This Row],[Customer_Satisfaction]]=4,"Good",Table1[[#This Row],[Customer_Satisfaction]]=5,"Good")</f>
        <v>Poor</v>
      </c>
    </row>
    <row r="811" spans="1:27" x14ac:dyDescent="0.35">
      <c r="A811">
        <v>20809</v>
      </c>
      <c r="B811" s="1">
        <v>45387</v>
      </c>
      <c r="C811" t="s">
        <v>19</v>
      </c>
      <c r="D811" t="s">
        <v>20</v>
      </c>
      <c r="E811" t="s">
        <v>86</v>
      </c>
      <c r="F811" t="s">
        <v>22</v>
      </c>
      <c r="G811" t="s">
        <v>47</v>
      </c>
      <c r="H811" t="s">
        <v>48</v>
      </c>
      <c r="I811" t="s">
        <v>55</v>
      </c>
      <c r="J811" t="s">
        <v>26</v>
      </c>
      <c r="K811" t="s">
        <v>61</v>
      </c>
      <c r="L811" t="s">
        <v>28</v>
      </c>
      <c r="M811" s="4">
        <v>20</v>
      </c>
      <c r="N811" s="4">
        <v>7</v>
      </c>
      <c r="O811" t="s">
        <v>29</v>
      </c>
      <c r="P811" t="s">
        <v>36</v>
      </c>
      <c r="Q811" s="4">
        <v>215651</v>
      </c>
      <c r="R811" s="4">
        <v>157917</v>
      </c>
      <c r="S811" s="4">
        <f>Table1[[#This Row],[Service_Revenue]]-Table1[[#This Row],[Service_Cost]]</f>
        <v>57734</v>
      </c>
      <c r="T811" s="4">
        <v>1</v>
      </c>
      <c r="U811" s="4">
        <f>IF(AND(Table1[[#This Row],[Rework_Flag]]="Yes",Table1[[#This Row],[Warranty_Claim]]="No"),Table1[[#This Row],[Service_Revenue]],0)</f>
        <v>215651</v>
      </c>
      <c r="V811" s="4">
        <f>IF(Table1[[#This Row],[Warranty_Claim]]="Yes",1,0)</f>
        <v>0</v>
      </c>
      <c r="W811" s="4">
        <f>IF(Table1[[#This Row],[Rework_Flag]]="No",1,0)</f>
        <v>0</v>
      </c>
      <c r="X811" s="4">
        <f>IF(Table1[[#This Row],[Rework_Flag]]="Yes",1,0)</f>
        <v>1</v>
      </c>
      <c r="Y811" s="4">
        <v>1</v>
      </c>
      <c r="Z811" s="4" t="str">
        <f>IF(Table1[[#This Row],[TAT_Days]]&gt;Table1[[#This Row],[SLA_TAT]],"Yes","No")</f>
        <v>Yes</v>
      </c>
      <c r="AA811" s="4" t="str" cm="1">
        <f t="array" ref="AA811">_xlfn.IFS(Table1[[#This Row],[Customer_Satisfaction]]&lt;=2,"Poor",Table1[[#This Row],[Customer_Satisfaction]]=3,"Neutral",Table1[[#This Row],[Customer_Satisfaction]]=4,"Good",Table1[[#This Row],[Customer_Satisfaction]]=5,"Good")</f>
        <v>Poor</v>
      </c>
    </row>
    <row r="812" spans="1:27" x14ac:dyDescent="0.35">
      <c r="A812">
        <v>20810</v>
      </c>
      <c r="B812" s="1">
        <v>45351</v>
      </c>
      <c r="C812" t="s">
        <v>50</v>
      </c>
      <c r="D812" t="s">
        <v>56</v>
      </c>
      <c r="E812" t="s">
        <v>88</v>
      </c>
      <c r="F812" t="s">
        <v>40</v>
      </c>
      <c r="G812" t="s">
        <v>41</v>
      </c>
      <c r="H812" t="s">
        <v>42</v>
      </c>
      <c r="I812" t="s">
        <v>55</v>
      </c>
      <c r="J812" t="s">
        <v>58</v>
      </c>
      <c r="K812" t="s">
        <v>61</v>
      </c>
      <c r="L812" t="s">
        <v>28</v>
      </c>
      <c r="M812" s="4">
        <v>7</v>
      </c>
      <c r="N812" s="4">
        <v>7</v>
      </c>
      <c r="O812" t="s">
        <v>36</v>
      </c>
      <c r="P812" t="s">
        <v>36</v>
      </c>
      <c r="Q812" s="4">
        <v>259682</v>
      </c>
      <c r="R812" s="4">
        <v>210879</v>
      </c>
      <c r="S812" s="4">
        <f>Table1[[#This Row],[Service_Revenue]]-Table1[[#This Row],[Service_Cost]]</f>
        <v>48803</v>
      </c>
      <c r="T812" s="4">
        <v>4</v>
      </c>
      <c r="U812" s="4">
        <f>IF(AND(Table1[[#This Row],[Rework_Flag]]="Yes",Table1[[#This Row],[Warranty_Claim]]="No"),Table1[[#This Row],[Service_Revenue]],0)</f>
        <v>0</v>
      </c>
      <c r="V812" s="4">
        <f>IF(Table1[[#This Row],[Warranty_Claim]]="Yes",1,0)</f>
        <v>0</v>
      </c>
      <c r="W812" s="4">
        <f>IF(Table1[[#This Row],[Rework_Flag]]="No",1,0)</f>
        <v>1</v>
      </c>
      <c r="X812" s="4">
        <f>IF(Table1[[#This Row],[Rework_Flag]]="Yes",1,0)</f>
        <v>0</v>
      </c>
      <c r="Y812" s="4">
        <v>1</v>
      </c>
      <c r="Z812" s="4" t="str">
        <f>IF(Table1[[#This Row],[TAT_Days]]&gt;Table1[[#This Row],[SLA_TAT]],"Yes","No")</f>
        <v>No</v>
      </c>
      <c r="AA812" s="4" t="str" cm="1">
        <f t="array" ref="AA812">_xlfn.IFS(Table1[[#This Row],[Customer_Satisfaction]]&lt;=2,"Poor",Table1[[#This Row],[Customer_Satisfaction]]=3,"Neutral",Table1[[#This Row],[Customer_Satisfaction]]=4,"Good",Table1[[#This Row],[Customer_Satisfaction]]=5,"Good")</f>
        <v>Good</v>
      </c>
    </row>
    <row r="813" spans="1:27" x14ac:dyDescent="0.35">
      <c r="A813">
        <v>20811</v>
      </c>
      <c r="B813" s="1">
        <v>45381</v>
      </c>
      <c r="C813" t="s">
        <v>30</v>
      </c>
      <c r="D813" t="s">
        <v>31</v>
      </c>
      <c r="E813" t="s">
        <v>62</v>
      </c>
      <c r="F813" t="s">
        <v>40</v>
      </c>
      <c r="G813" t="s">
        <v>23</v>
      </c>
      <c r="H813" t="s">
        <v>24</v>
      </c>
      <c r="I813" t="s">
        <v>25</v>
      </c>
      <c r="J813" t="s">
        <v>58</v>
      </c>
      <c r="K813" t="s">
        <v>27</v>
      </c>
      <c r="L813" t="s">
        <v>28</v>
      </c>
      <c r="M813" s="4">
        <v>8</v>
      </c>
      <c r="N813" s="4">
        <v>7</v>
      </c>
      <c r="O813" t="s">
        <v>36</v>
      </c>
      <c r="P813" t="s">
        <v>36</v>
      </c>
      <c r="Q813" s="4">
        <v>402018</v>
      </c>
      <c r="R813" s="4">
        <v>239044</v>
      </c>
      <c r="S813" s="4">
        <f>Table1[[#This Row],[Service_Revenue]]-Table1[[#This Row],[Service_Cost]]</f>
        <v>162974</v>
      </c>
      <c r="T813" s="4">
        <v>4</v>
      </c>
      <c r="U813" s="4">
        <f>IF(AND(Table1[[#This Row],[Rework_Flag]]="Yes",Table1[[#This Row],[Warranty_Claim]]="No"),Table1[[#This Row],[Service_Revenue]],0)</f>
        <v>0</v>
      </c>
      <c r="V813" s="4">
        <f>IF(Table1[[#This Row],[Warranty_Claim]]="Yes",1,0)</f>
        <v>0</v>
      </c>
      <c r="W813" s="4">
        <f>IF(Table1[[#This Row],[Rework_Flag]]="No",1,0)</f>
        <v>1</v>
      </c>
      <c r="X813" s="4">
        <f>IF(Table1[[#This Row],[Rework_Flag]]="Yes",1,0)</f>
        <v>0</v>
      </c>
      <c r="Y813" s="4">
        <v>1</v>
      </c>
      <c r="Z813" s="4" t="str">
        <f>IF(Table1[[#This Row],[TAT_Days]]&gt;Table1[[#This Row],[SLA_TAT]],"Yes","No")</f>
        <v>Yes</v>
      </c>
      <c r="AA813" s="4" t="str" cm="1">
        <f t="array" ref="AA813">_xlfn.IFS(Table1[[#This Row],[Customer_Satisfaction]]&lt;=2,"Poor",Table1[[#This Row],[Customer_Satisfaction]]=3,"Neutral",Table1[[#This Row],[Customer_Satisfaction]]=4,"Good",Table1[[#This Row],[Customer_Satisfaction]]=5,"Good")</f>
        <v>Good</v>
      </c>
    </row>
    <row r="814" spans="1:27" x14ac:dyDescent="0.35">
      <c r="A814">
        <v>20812</v>
      </c>
      <c r="B814" s="1">
        <v>45373</v>
      </c>
      <c r="C814" t="s">
        <v>30</v>
      </c>
      <c r="D814" t="s">
        <v>31</v>
      </c>
      <c r="E814" t="s">
        <v>32</v>
      </c>
      <c r="F814" t="s">
        <v>53</v>
      </c>
      <c r="G814" t="s">
        <v>47</v>
      </c>
      <c r="H814" t="s">
        <v>48</v>
      </c>
      <c r="I814" t="s">
        <v>55</v>
      </c>
      <c r="J814" t="s">
        <v>26</v>
      </c>
      <c r="K814" t="s">
        <v>61</v>
      </c>
      <c r="L814" t="s">
        <v>49</v>
      </c>
      <c r="M814" s="4">
        <v>2</v>
      </c>
      <c r="N814" s="4">
        <v>7</v>
      </c>
      <c r="O814" t="s">
        <v>36</v>
      </c>
      <c r="P814" t="s">
        <v>36</v>
      </c>
      <c r="Q814" s="4">
        <v>325760</v>
      </c>
      <c r="R814" s="4">
        <v>261697</v>
      </c>
      <c r="S814" s="4">
        <f>Table1[[#This Row],[Service_Revenue]]-Table1[[#This Row],[Service_Cost]]</f>
        <v>64063</v>
      </c>
      <c r="T814" s="4">
        <v>5</v>
      </c>
      <c r="U814" s="4">
        <f>IF(AND(Table1[[#This Row],[Rework_Flag]]="Yes",Table1[[#This Row],[Warranty_Claim]]="No"),Table1[[#This Row],[Service_Revenue]],0)</f>
        <v>0</v>
      </c>
      <c r="V814" s="4">
        <f>IF(Table1[[#This Row],[Warranty_Claim]]="Yes",1,0)</f>
        <v>0</v>
      </c>
      <c r="W814" s="4">
        <f>IF(Table1[[#This Row],[Rework_Flag]]="No",1,0)</f>
        <v>1</v>
      </c>
      <c r="X814" s="4">
        <f>IF(Table1[[#This Row],[Rework_Flag]]="Yes",1,0)</f>
        <v>0</v>
      </c>
      <c r="Y814" s="4">
        <v>1</v>
      </c>
      <c r="Z814" s="4" t="str">
        <f>IF(Table1[[#This Row],[TAT_Days]]&gt;Table1[[#This Row],[SLA_TAT]],"Yes","No")</f>
        <v>No</v>
      </c>
      <c r="AA814" s="4" t="str" cm="1">
        <f t="array" ref="AA814">_xlfn.IFS(Table1[[#This Row],[Customer_Satisfaction]]&lt;=2,"Poor",Table1[[#This Row],[Customer_Satisfaction]]=3,"Neutral",Table1[[#This Row],[Customer_Satisfaction]]=4,"Good",Table1[[#This Row],[Customer_Satisfaction]]=5,"Good")</f>
        <v>Good</v>
      </c>
    </row>
    <row r="815" spans="1:27" x14ac:dyDescent="0.35">
      <c r="A815">
        <v>20813</v>
      </c>
      <c r="B815" s="1">
        <v>45440</v>
      </c>
      <c r="C815" t="s">
        <v>30</v>
      </c>
      <c r="D815" t="s">
        <v>31</v>
      </c>
      <c r="E815" t="s">
        <v>32</v>
      </c>
      <c r="F815" t="s">
        <v>40</v>
      </c>
      <c r="G815" t="s">
        <v>33</v>
      </c>
      <c r="H815" t="s">
        <v>34</v>
      </c>
      <c r="I815" t="s">
        <v>55</v>
      </c>
      <c r="J815" t="s">
        <v>43</v>
      </c>
      <c r="K815" t="s">
        <v>44</v>
      </c>
      <c r="L815" t="s">
        <v>49</v>
      </c>
      <c r="M815" s="4">
        <v>12</v>
      </c>
      <c r="N815" s="4">
        <v>7</v>
      </c>
      <c r="O815" t="s">
        <v>29</v>
      </c>
      <c r="P815" t="s">
        <v>29</v>
      </c>
      <c r="Q815" s="4">
        <v>244700</v>
      </c>
      <c r="R815" s="4">
        <v>203733</v>
      </c>
      <c r="S815" s="4">
        <f>Table1[[#This Row],[Service_Revenue]]-Table1[[#This Row],[Service_Cost]]</f>
        <v>40967</v>
      </c>
      <c r="T815" s="4">
        <v>2</v>
      </c>
      <c r="U815" s="4">
        <f>IF(AND(Table1[[#This Row],[Rework_Flag]]="Yes",Table1[[#This Row],[Warranty_Claim]]="No"),Table1[[#This Row],[Service_Revenue]],0)</f>
        <v>0</v>
      </c>
      <c r="V815" s="4">
        <f>IF(Table1[[#This Row],[Warranty_Claim]]="Yes",1,0)</f>
        <v>1</v>
      </c>
      <c r="W815" s="4">
        <f>IF(Table1[[#This Row],[Rework_Flag]]="No",1,0)</f>
        <v>0</v>
      </c>
      <c r="X815" s="4">
        <f>IF(Table1[[#This Row],[Rework_Flag]]="Yes",1,0)</f>
        <v>1</v>
      </c>
      <c r="Y815" s="4">
        <v>1</v>
      </c>
      <c r="Z815" s="4" t="str">
        <f>IF(Table1[[#This Row],[TAT_Days]]&gt;Table1[[#This Row],[SLA_TAT]],"Yes","No")</f>
        <v>Yes</v>
      </c>
      <c r="AA815" s="4" t="str" cm="1">
        <f t="array" ref="AA815">_xlfn.IFS(Table1[[#This Row],[Customer_Satisfaction]]&lt;=2,"Poor",Table1[[#This Row],[Customer_Satisfaction]]=3,"Neutral",Table1[[#This Row],[Customer_Satisfaction]]=4,"Good",Table1[[#This Row],[Customer_Satisfaction]]=5,"Good")</f>
        <v>Poor</v>
      </c>
    </row>
    <row r="816" spans="1:27" x14ac:dyDescent="0.35">
      <c r="A816">
        <v>20814</v>
      </c>
      <c r="B816" s="1">
        <v>45323</v>
      </c>
      <c r="C816" t="s">
        <v>19</v>
      </c>
      <c r="D816" t="s">
        <v>96</v>
      </c>
      <c r="E816" t="s">
        <v>97</v>
      </c>
      <c r="F816" t="s">
        <v>53</v>
      </c>
      <c r="G816" t="s">
        <v>33</v>
      </c>
      <c r="H816" t="s">
        <v>34</v>
      </c>
      <c r="I816" t="s">
        <v>55</v>
      </c>
      <c r="J816" t="s">
        <v>43</v>
      </c>
      <c r="K816" t="s">
        <v>27</v>
      </c>
      <c r="L816" t="s">
        <v>49</v>
      </c>
      <c r="M816" s="4">
        <v>19</v>
      </c>
      <c r="N816" s="4">
        <v>7</v>
      </c>
      <c r="O816" t="s">
        <v>29</v>
      </c>
      <c r="P816" t="s">
        <v>36</v>
      </c>
      <c r="Q816" s="4">
        <v>492367</v>
      </c>
      <c r="R816" s="4">
        <v>370372</v>
      </c>
      <c r="S816" s="4">
        <f>Table1[[#This Row],[Service_Revenue]]-Table1[[#This Row],[Service_Cost]]</f>
        <v>121995</v>
      </c>
      <c r="T816" s="4">
        <v>1</v>
      </c>
      <c r="U816" s="4">
        <f>IF(AND(Table1[[#This Row],[Rework_Flag]]="Yes",Table1[[#This Row],[Warranty_Claim]]="No"),Table1[[#This Row],[Service_Revenue]],0)</f>
        <v>492367</v>
      </c>
      <c r="V816" s="4">
        <f>IF(Table1[[#This Row],[Warranty_Claim]]="Yes",1,0)</f>
        <v>0</v>
      </c>
      <c r="W816" s="4">
        <f>IF(Table1[[#This Row],[Rework_Flag]]="No",1,0)</f>
        <v>0</v>
      </c>
      <c r="X816" s="4">
        <f>IF(Table1[[#This Row],[Rework_Flag]]="Yes",1,0)</f>
        <v>1</v>
      </c>
      <c r="Y816" s="4">
        <v>1</v>
      </c>
      <c r="Z816" s="4" t="str">
        <f>IF(Table1[[#This Row],[TAT_Days]]&gt;Table1[[#This Row],[SLA_TAT]],"Yes","No")</f>
        <v>Yes</v>
      </c>
      <c r="AA816" s="4" t="str" cm="1">
        <f t="array" ref="AA816">_xlfn.IFS(Table1[[#This Row],[Customer_Satisfaction]]&lt;=2,"Poor",Table1[[#This Row],[Customer_Satisfaction]]=3,"Neutral",Table1[[#This Row],[Customer_Satisfaction]]=4,"Good",Table1[[#This Row],[Customer_Satisfaction]]=5,"Good")</f>
        <v>Poor</v>
      </c>
    </row>
    <row r="817" spans="1:27" x14ac:dyDescent="0.35">
      <c r="A817">
        <v>20815</v>
      </c>
      <c r="B817" s="1">
        <v>45336</v>
      </c>
      <c r="C817" t="s">
        <v>30</v>
      </c>
      <c r="D817" t="s">
        <v>83</v>
      </c>
      <c r="E817" t="s">
        <v>84</v>
      </c>
      <c r="F817" t="s">
        <v>22</v>
      </c>
      <c r="G817" t="s">
        <v>23</v>
      </c>
      <c r="H817" t="s">
        <v>24</v>
      </c>
      <c r="I817" t="s">
        <v>25</v>
      </c>
      <c r="J817" t="s">
        <v>43</v>
      </c>
      <c r="K817" t="s">
        <v>61</v>
      </c>
      <c r="L817" t="s">
        <v>28</v>
      </c>
      <c r="M817" s="4">
        <v>20</v>
      </c>
      <c r="N817" s="4">
        <v>7</v>
      </c>
      <c r="O817" t="s">
        <v>36</v>
      </c>
      <c r="P817" t="s">
        <v>29</v>
      </c>
      <c r="Q817" s="4">
        <v>406223</v>
      </c>
      <c r="R817" s="4">
        <v>293624</v>
      </c>
      <c r="S817" s="4">
        <f>Table1[[#This Row],[Service_Revenue]]-Table1[[#This Row],[Service_Cost]]</f>
        <v>112599</v>
      </c>
      <c r="T817" s="4">
        <v>1</v>
      </c>
      <c r="U817" s="4">
        <f>IF(AND(Table1[[#This Row],[Rework_Flag]]="Yes",Table1[[#This Row],[Warranty_Claim]]="No"),Table1[[#This Row],[Service_Revenue]],0)</f>
        <v>0</v>
      </c>
      <c r="V817" s="4">
        <f>IF(Table1[[#This Row],[Warranty_Claim]]="Yes",1,0)</f>
        <v>1</v>
      </c>
      <c r="W817" s="4">
        <f>IF(Table1[[#This Row],[Rework_Flag]]="No",1,0)</f>
        <v>1</v>
      </c>
      <c r="X817" s="4">
        <f>IF(Table1[[#This Row],[Rework_Flag]]="Yes",1,0)</f>
        <v>0</v>
      </c>
      <c r="Y817" s="4">
        <v>1</v>
      </c>
      <c r="Z817" s="4" t="str">
        <f>IF(Table1[[#This Row],[TAT_Days]]&gt;Table1[[#This Row],[SLA_TAT]],"Yes","No")</f>
        <v>Yes</v>
      </c>
      <c r="AA817" s="4" t="str" cm="1">
        <f t="array" ref="AA817">_xlfn.IFS(Table1[[#This Row],[Customer_Satisfaction]]&lt;=2,"Poor",Table1[[#This Row],[Customer_Satisfaction]]=3,"Neutral",Table1[[#This Row],[Customer_Satisfaction]]=4,"Good",Table1[[#This Row],[Customer_Satisfaction]]=5,"Good")</f>
        <v>Poor</v>
      </c>
    </row>
    <row r="818" spans="1:27" x14ac:dyDescent="0.35">
      <c r="A818">
        <v>20816</v>
      </c>
      <c r="B818" s="1">
        <v>45428</v>
      </c>
      <c r="C818" t="s">
        <v>19</v>
      </c>
      <c r="D818" t="s">
        <v>45</v>
      </c>
      <c r="E818" t="s">
        <v>114</v>
      </c>
      <c r="F818" t="s">
        <v>22</v>
      </c>
      <c r="G818" t="s">
        <v>41</v>
      </c>
      <c r="H818" t="s">
        <v>42</v>
      </c>
      <c r="I818" t="s">
        <v>55</v>
      </c>
      <c r="J818" t="s">
        <v>67</v>
      </c>
      <c r="K818" t="s">
        <v>44</v>
      </c>
      <c r="L818" t="s">
        <v>49</v>
      </c>
      <c r="M818" s="4">
        <v>19</v>
      </c>
      <c r="N818" s="4">
        <v>7</v>
      </c>
      <c r="O818" t="s">
        <v>29</v>
      </c>
      <c r="P818" t="s">
        <v>36</v>
      </c>
      <c r="Q818" s="4">
        <v>156687</v>
      </c>
      <c r="R818" s="4">
        <v>119730</v>
      </c>
      <c r="S818" s="4">
        <f>Table1[[#This Row],[Service_Revenue]]-Table1[[#This Row],[Service_Cost]]</f>
        <v>36957</v>
      </c>
      <c r="T818" s="4">
        <v>1</v>
      </c>
      <c r="U818" s="4">
        <f>IF(AND(Table1[[#This Row],[Rework_Flag]]="Yes",Table1[[#This Row],[Warranty_Claim]]="No"),Table1[[#This Row],[Service_Revenue]],0)</f>
        <v>156687</v>
      </c>
      <c r="V818" s="4">
        <f>IF(Table1[[#This Row],[Warranty_Claim]]="Yes",1,0)</f>
        <v>0</v>
      </c>
      <c r="W818" s="4">
        <f>IF(Table1[[#This Row],[Rework_Flag]]="No",1,0)</f>
        <v>0</v>
      </c>
      <c r="X818" s="4">
        <f>IF(Table1[[#This Row],[Rework_Flag]]="Yes",1,0)</f>
        <v>1</v>
      </c>
      <c r="Y818" s="4">
        <v>1</v>
      </c>
      <c r="Z818" s="4" t="str">
        <f>IF(Table1[[#This Row],[TAT_Days]]&gt;Table1[[#This Row],[SLA_TAT]],"Yes","No")</f>
        <v>Yes</v>
      </c>
      <c r="AA818" s="4" t="str" cm="1">
        <f t="array" ref="AA818">_xlfn.IFS(Table1[[#This Row],[Customer_Satisfaction]]&lt;=2,"Poor",Table1[[#This Row],[Customer_Satisfaction]]=3,"Neutral",Table1[[#This Row],[Customer_Satisfaction]]=4,"Good",Table1[[#This Row],[Customer_Satisfaction]]=5,"Good")</f>
        <v>Poor</v>
      </c>
    </row>
    <row r="819" spans="1:27" x14ac:dyDescent="0.35">
      <c r="A819">
        <v>20817</v>
      </c>
      <c r="B819" s="1">
        <v>45396</v>
      </c>
      <c r="C819" t="s">
        <v>30</v>
      </c>
      <c r="D819" t="s">
        <v>83</v>
      </c>
      <c r="E819" t="s">
        <v>95</v>
      </c>
      <c r="F819" t="s">
        <v>40</v>
      </c>
      <c r="G819" t="s">
        <v>33</v>
      </c>
      <c r="H819" t="s">
        <v>34</v>
      </c>
      <c r="I819" t="s">
        <v>25</v>
      </c>
      <c r="J819" t="s">
        <v>43</v>
      </c>
      <c r="K819" t="s">
        <v>61</v>
      </c>
      <c r="L819" t="s">
        <v>49</v>
      </c>
      <c r="M819" s="4">
        <v>15</v>
      </c>
      <c r="N819" s="4">
        <v>7</v>
      </c>
      <c r="O819" t="s">
        <v>29</v>
      </c>
      <c r="P819" t="s">
        <v>36</v>
      </c>
      <c r="Q819" s="4">
        <v>213953</v>
      </c>
      <c r="R819" s="4">
        <v>123637</v>
      </c>
      <c r="S819" s="4">
        <f>Table1[[#This Row],[Service_Revenue]]-Table1[[#This Row],[Service_Cost]]</f>
        <v>90316</v>
      </c>
      <c r="T819" s="4">
        <v>1</v>
      </c>
      <c r="U819" s="4">
        <f>IF(AND(Table1[[#This Row],[Rework_Flag]]="Yes",Table1[[#This Row],[Warranty_Claim]]="No"),Table1[[#This Row],[Service_Revenue]],0)</f>
        <v>213953</v>
      </c>
      <c r="V819" s="4">
        <f>IF(Table1[[#This Row],[Warranty_Claim]]="Yes",1,0)</f>
        <v>0</v>
      </c>
      <c r="W819" s="4">
        <f>IF(Table1[[#This Row],[Rework_Flag]]="No",1,0)</f>
        <v>0</v>
      </c>
      <c r="X819" s="4">
        <f>IF(Table1[[#This Row],[Rework_Flag]]="Yes",1,0)</f>
        <v>1</v>
      </c>
      <c r="Y819" s="4">
        <v>1</v>
      </c>
      <c r="Z819" s="4" t="str">
        <f>IF(Table1[[#This Row],[TAT_Days]]&gt;Table1[[#This Row],[SLA_TAT]],"Yes","No")</f>
        <v>Yes</v>
      </c>
      <c r="AA819" s="4" t="str" cm="1">
        <f t="array" ref="AA819">_xlfn.IFS(Table1[[#This Row],[Customer_Satisfaction]]&lt;=2,"Poor",Table1[[#This Row],[Customer_Satisfaction]]=3,"Neutral",Table1[[#This Row],[Customer_Satisfaction]]=4,"Good",Table1[[#This Row],[Customer_Satisfaction]]=5,"Good")</f>
        <v>Poor</v>
      </c>
    </row>
    <row r="820" spans="1:27" x14ac:dyDescent="0.35">
      <c r="A820">
        <v>20818</v>
      </c>
      <c r="B820" s="1">
        <v>45436</v>
      </c>
      <c r="C820" t="s">
        <v>37</v>
      </c>
      <c r="D820" t="s">
        <v>38</v>
      </c>
      <c r="E820" t="s">
        <v>112</v>
      </c>
      <c r="F820" t="s">
        <v>40</v>
      </c>
      <c r="G820" t="s">
        <v>54</v>
      </c>
      <c r="H820" t="s">
        <v>42</v>
      </c>
      <c r="I820" t="s">
        <v>25</v>
      </c>
      <c r="J820" t="s">
        <v>26</v>
      </c>
      <c r="K820" t="s">
        <v>44</v>
      </c>
      <c r="L820" t="s">
        <v>28</v>
      </c>
      <c r="M820" s="4">
        <v>18</v>
      </c>
      <c r="N820" s="4">
        <v>7</v>
      </c>
      <c r="O820" t="s">
        <v>36</v>
      </c>
      <c r="P820" t="s">
        <v>36</v>
      </c>
      <c r="Q820" s="4">
        <v>416814</v>
      </c>
      <c r="R820" s="4">
        <v>320360</v>
      </c>
      <c r="S820" s="4">
        <f>Table1[[#This Row],[Service_Revenue]]-Table1[[#This Row],[Service_Cost]]</f>
        <v>96454</v>
      </c>
      <c r="T820" s="4">
        <v>2</v>
      </c>
      <c r="U820" s="4">
        <f>IF(AND(Table1[[#This Row],[Rework_Flag]]="Yes",Table1[[#This Row],[Warranty_Claim]]="No"),Table1[[#This Row],[Service_Revenue]],0)</f>
        <v>0</v>
      </c>
      <c r="V820" s="4">
        <f>IF(Table1[[#This Row],[Warranty_Claim]]="Yes",1,0)</f>
        <v>0</v>
      </c>
      <c r="W820" s="4">
        <f>IF(Table1[[#This Row],[Rework_Flag]]="No",1,0)</f>
        <v>1</v>
      </c>
      <c r="X820" s="4">
        <f>IF(Table1[[#This Row],[Rework_Flag]]="Yes",1,0)</f>
        <v>0</v>
      </c>
      <c r="Y820" s="4">
        <v>1</v>
      </c>
      <c r="Z820" s="4" t="str">
        <f>IF(Table1[[#This Row],[TAT_Days]]&gt;Table1[[#This Row],[SLA_TAT]],"Yes","No")</f>
        <v>Yes</v>
      </c>
      <c r="AA820" s="4" t="str" cm="1">
        <f t="array" ref="AA820">_xlfn.IFS(Table1[[#This Row],[Customer_Satisfaction]]&lt;=2,"Poor",Table1[[#This Row],[Customer_Satisfaction]]=3,"Neutral",Table1[[#This Row],[Customer_Satisfaction]]=4,"Good",Table1[[#This Row],[Customer_Satisfaction]]=5,"Good")</f>
        <v>Poor</v>
      </c>
    </row>
    <row r="821" spans="1:27" x14ac:dyDescent="0.35">
      <c r="A821">
        <v>20819</v>
      </c>
      <c r="B821" s="1">
        <v>45298</v>
      </c>
      <c r="C821" t="s">
        <v>50</v>
      </c>
      <c r="D821" t="s">
        <v>51</v>
      </c>
      <c r="E821" t="s">
        <v>52</v>
      </c>
      <c r="F821" t="s">
        <v>40</v>
      </c>
      <c r="G821" t="s">
        <v>74</v>
      </c>
      <c r="H821" t="s">
        <v>34</v>
      </c>
      <c r="I821" t="s">
        <v>55</v>
      </c>
      <c r="J821" t="s">
        <v>43</v>
      </c>
      <c r="K821" t="s">
        <v>27</v>
      </c>
      <c r="L821" t="s">
        <v>28</v>
      </c>
      <c r="M821" s="4">
        <v>15</v>
      </c>
      <c r="N821" s="4">
        <v>7</v>
      </c>
      <c r="O821" t="s">
        <v>29</v>
      </c>
      <c r="P821" t="s">
        <v>36</v>
      </c>
      <c r="Q821" s="4">
        <v>175752</v>
      </c>
      <c r="R821" s="4">
        <v>89488</v>
      </c>
      <c r="S821" s="4">
        <f>Table1[[#This Row],[Service_Revenue]]-Table1[[#This Row],[Service_Cost]]</f>
        <v>86264</v>
      </c>
      <c r="T821" s="4">
        <v>1</v>
      </c>
      <c r="U821" s="4">
        <f>IF(AND(Table1[[#This Row],[Rework_Flag]]="Yes",Table1[[#This Row],[Warranty_Claim]]="No"),Table1[[#This Row],[Service_Revenue]],0)</f>
        <v>175752</v>
      </c>
      <c r="V821" s="4">
        <f>IF(Table1[[#This Row],[Warranty_Claim]]="Yes",1,0)</f>
        <v>0</v>
      </c>
      <c r="W821" s="4">
        <f>IF(Table1[[#This Row],[Rework_Flag]]="No",1,0)</f>
        <v>0</v>
      </c>
      <c r="X821" s="4">
        <f>IF(Table1[[#This Row],[Rework_Flag]]="Yes",1,0)</f>
        <v>1</v>
      </c>
      <c r="Y821" s="4">
        <v>1</v>
      </c>
      <c r="Z821" s="4" t="str">
        <f>IF(Table1[[#This Row],[TAT_Days]]&gt;Table1[[#This Row],[SLA_TAT]],"Yes","No")</f>
        <v>Yes</v>
      </c>
      <c r="AA821" s="4" t="str" cm="1">
        <f t="array" ref="AA821">_xlfn.IFS(Table1[[#This Row],[Customer_Satisfaction]]&lt;=2,"Poor",Table1[[#This Row],[Customer_Satisfaction]]=3,"Neutral",Table1[[#This Row],[Customer_Satisfaction]]=4,"Good",Table1[[#This Row],[Customer_Satisfaction]]=5,"Good")</f>
        <v>Poor</v>
      </c>
    </row>
    <row r="822" spans="1:27" x14ac:dyDescent="0.35">
      <c r="A822">
        <v>20820</v>
      </c>
      <c r="B822" s="1">
        <v>45295</v>
      </c>
      <c r="C822" t="s">
        <v>19</v>
      </c>
      <c r="D822" t="s">
        <v>20</v>
      </c>
      <c r="E822" t="s">
        <v>89</v>
      </c>
      <c r="F822" t="s">
        <v>22</v>
      </c>
      <c r="G822" t="s">
        <v>23</v>
      </c>
      <c r="H822" t="s">
        <v>24</v>
      </c>
      <c r="I822" t="s">
        <v>55</v>
      </c>
      <c r="J822" t="s">
        <v>67</v>
      </c>
      <c r="K822" t="s">
        <v>61</v>
      </c>
      <c r="L822" t="s">
        <v>28</v>
      </c>
      <c r="M822" s="4">
        <v>17</v>
      </c>
      <c r="N822" s="4">
        <v>7</v>
      </c>
      <c r="O822" t="s">
        <v>29</v>
      </c>
      <c r="P822" t="s">
        <v>36</v>
      </c>
      <c r="Q822" s="4">
        <v>545467</v>
      </c>
      <c r="R822" s="4">
        <v>402783</v>
      </c>
      <c r="S822" s="4">
        <f>Table1[[#This Row],[Service_Revenue]]-Table1[[#This Row],[Service_Cost]]</f>
        <v>142684</v>
      </c>
      <c r="T822" s="4">
        <v>1</v>
      </c>
      <c r="U822" s="4">
        <f>IF(AND(Table1[[#This Row],[Rework_Flag]]="Yes",Table1[[#This Row],[Warranty_Claim]]="No"),Table1[[#This Row],[Service_Revenue]],0)</f>
        <v>545467</v>
      </c>
      <c r="V822" s="4">
        <f>IF(Table1[[#This Row],[Warranty_Claim]]="Yes",1,0)</f>
        <v>0</v>
      </c>
      <c r="W822" s="4">
        <f>IF(Table1[[#This Row],[Rework_Flag]]="No",1,0)</f>
        <v>0</v>
      </c>
      <c r="X822" s="4">
        <f>IF(Table1[[#This Row],[Rework_Flag]]="Yes",1,0)</f>
        <v>1</v>
      </c>
      <c r="Y822" s="4">
        <v>1</v>
      </c>
      <c r="Z822" s="4" t="str">
        <f>IF(Table1[[#This Row],[TAT_Days]]&gt;Table1[[#This Row],[SLA_TAT]],"Yes","No")</f>
        <v>Yes</v>
      </c>
      <c r="AA822" s="4" t="str" cm="1">
        <f t="array" ref="AA822">_xlfn.IFS(Table1[[#This Row],[Customer_Satisfaction]]&lt;=2,"Poor",Table1[[#This Row],[Customer_Satisfaction]]=3,"Neutral",Table1[[#This Row],[Customer_Satisfaction]]=4,"Good",Table1[[#This Row],[Customer_Satisfaction]]=5,"Good")</f>
        <v>Poor</v>
      </c>
    </row>
    <row r="823" spans="1:27" x14ac:dyDescent="0.35">
      <c r="A823">
        <v>20821</v>
      </c>
      <c r="B823" s="1">
        <v>45389</v>
      </c>
      <c r="C823" t="s">
        <v>37</v>
      </c>
      <c r="D823" t="s">
        <v>38</v>
      </c>
      <c r="E823" t="s">
        <v>107</v>
      </c>
      <c r="F823" t="s">
        <v>40</v>
      </c>
      <c r="G823" t="s">
        <v>74</v>
      </c>
      <c r="H823" t="s">
        <v>34</v>
      </c>
      <c r="I823" t="s">
        <v>55</v>
      </c>
      <c r="J823" t="s">
        <v>58</v>
      </c>
      <c r="K823" t="s">
        <v>44</v>
      </c>
      <c r="L823" t="s">
        <v>49</v>
      </c>
      <c r="M823" s="4">
        <v>21</v>
      </c>
      <c r="N823" s="4">
        <v>7</v>
      </c>
      <c r="O823" t="s">
        <v>29</v>
      </c>
      <c r="P823" t="s">
        <v>29</v>
      </c>
      <c r="Q823" s="4">
        <v>251639</v>
      </c>
      <c r="R823" s="4">
        <v>134142</v>
      </c>
      <c r="S823" s="4">
        <f>Table1[[#This Row],[Service_Revenue]]-Table1[[#This Row],[Service_Cost]]</f>
        <v>117497</v>
      </c>
      <c r="T823" s="4">
        <v>1</v>
      </c>
      <c r="U823" s="4">
        <f>IF(AND(Table1[[#This Row],[Rework_Flag]]="Yes",Table1[[#This Row],[Warranty_Claim]]="No"),Table1[[#This Row],[Service_Revenue]],0)</f>
        <v>0</v>
      </c>
      <c r="V823" s="4">
        <f>IF(Table1[[#This Row],[Warranty_Claim]]="Yes",1,0)</f>
        <v>1</v>
      </c>
      <c r="W823" s="4">
        <f>IF(Table1[[#This Row],[Rework_Flag]]="No",1,0)</f>
        <v>0</v>
      </c>
      <c r="X823" s="4">
        <f>IF(Table1[[#This Row],[Rework_Flag]]="Yes",1,0)</f>
        <v>1</v>
      </c>
      <c r="Y823" s="4">
        <v>1</v>
      </c>
      <c r="Z823" s="4" t="str">
        <f>IF(Table1[[#This Row],[TAT_Days]]&gt;Table1[[#This Row],[SLA_TAT]],"Yes","No")</f>
        <v>Yes</v>
      </c>
      <c r="AA823" s="4" t="str" cm="1">
        <f t="array" ref="AA823">_xlfn.IFS(Table1[[#This Row],[Customer_Satisfaction]]&lt;=2,"Poor",Table1[[#This Row],[Customer_Satisfaction]]=3,"Neutral",Table1[[#This Row],[Customer_Satisfaction]]=4,"Good",Table1[[#This Row],[Customer_Satisfaction]]=5,"Good")</f>
        <v>Poor</v>
      </c>
    </row>
    <row r="824" spans="1:27" x14ac:dyDescent="0.35">
      <c r="A824">
        <v>20822</v>
      </c>
      <c r="B824" s="1">
        <v>45447</v>
      </c>
      <c r="C824" t="s">
        <v>19</v>
      </c>
      <c r="D824" t="s">
        <v>96</v>
      </c>
      <c r="E824" t="s">
        <v>105</v>
      </c>
      <c r="F824" t="s">
        <v>40</v>
      </c>
      <c r="G824" t="s">
        <v>33</v>
      </c>
      <c r="H824" t="s">
        <v>34</v>
      </c>
      <c r="I824" t="s">
        <v>25</v>
      </c>
      <c r="J824" t="s">
        <v>67</v>
      </c>
      <c r="K824" t="s">
        <v>61</v>
      </c>
      <c r="L824" t="s">
        <v>28</v>
      </c>
      <c r="M824" s="4">
        <v>24</v>
      </c>
      <c r="N824" s="4">
        <v>7</v>
      </c>
      <c r="O824" t="s">
        <v>29</v>
      </c>
      <c r="P824" t="s">
        <v>36</v>
      </c>
      <c r="Q824" s="4">
        <v>426865</v>
      </c>
      <c r="R824" s="4">
        <v>247748</v>
      </c>
      <c r="S824" s="4">
        <f>Table1[[#This Row],[Service_Revenue]]-Table1[[#This Row],[Service_Cost]]</f>
        <v>179117</v>
      </c>
      <c r="T824" s="4">
        <v>1</v>
      </c>
      <c r="U824" s="4">
        <f>IF(AND(Table1[[#This Row],[Rework_Flag]]="Yes",Table1[[#This Row],[Warranty_Claim]]="No"),Table1[[#This Row],[Service_Revenue]],0)</f>
        <v>426865</v>
      </c>
      <c r="V824" s="4">
        <f>IF(Table1[[#This Row],[Warranty_Claim]]="Yes",1,0)</f>
        <v>0</v>
      </c>
      <c r="W824" s="4">
        <f>IF(Table1[[#This Row],[Rework_Flag]]="No",1,0)</f>
        <v>0</v>
      </c>
      <c r="X824" s="4">
        <f>IF(Table1[[#This Row],[Rework_Flag]]="Yes",1,0)</f>
        <v>1</v>
      </c>
      <c r="Y824" s="4">
        <v>1</v>
      </c>
      <c r="Z824" s="4" t="str">
        <f>IF(Table1[[#This Row],[TAT_Days]]&gt;Table1[[#This Row],[SLA_TAT]],"Yes","No")</f>
        <v>Yes</v>
      </c>
      <c r="AA824" s="4" t="str" cm="1">
        <f t="array" ref="AA824">_xlfn.IFS(Table1[[#This Row],[Customer_Satisfaction]]&lt;=2,"Poor",Table1[[#This Row],[Customer_Satisfaction]]=3,"Neutral",Table1[[#This Row],[Customer_Satisfaction]]=4,"Good",Table1[[#This Row],[Customer_Satisfaction]]=5,"Good")</f>
        <v>Poor</v>
      </c>
    </row>
    <row r="825" spans="1:27" x14ac:dyDescent="0.35">
      <c r="A825">
        <v>20823</v>
      </c>
      <c r="B825" s="1">
        <v>45314</v>
      </c>
      <c r="C825" t="s">
        <v>50</v>
      </c>
      <c r="D825" t="s">
        <v>80</v>
      </c>
      <c r="E825" t="s">
        <v>81</v>
      </c>
      <c r="F825" t="s">
        <v>22</v>
      </c>
      <c r="G825" t="s">
        <v>63</v>
      </c>
      <c r="H825" t="s">
        <v>24</v>
      </c>
      <c r="I825" t="s">
        <v>55</v>
      </c>
      <c r="J825" t="s">
        <v>35</v>
      </c>
      <c r="K825" t="s">
        <v>61</v>
      </c>
      <c r="L825" t="s">
        <v>28</v>
      </c>
      <c r="M825" s="4">
        <v>14</v>
      </c>
      <c r="N825" s="4">
        <v>7</v>
      </c>
      <c r="O825" t="s">
        <v>29</v>
      </c>
      <c r="P825" t="s">
        <v>29</v>
      </c>
      <c r="Q825" s="4">
        <v>596823</v>
      </c>
      <c r="R825" s="4">
        <v>421647</v>
      </c>
      <c r="S825" s="4">
        <f>Table1[[#This Row],[Service_Revenue]]-Table1[[#This Row],[Service_Cost]]</f>
        <v>175176</v>
      </c>
      <c r="T825" s="4">
        <v>2</v>
      </c>
      <c r="U825" s="4">
        <f>IF(AND(Table1[[#This Row],[Rework_Flag]]="Yes",Table1[[#This Row],[Warranty_Claim]]="No"),Table1[[#This Row],[Service_Revenue]],0)</f>
        <v>0</v>
      </c>
      <c r="V825" s="4">
        <f>IF(Table1[[#This Row],[Warranty_Claim]]="Yes",1,0)</f>
        <v>1</v>
      </c>
      <c r="W825" s="4">
        <f>IF(Table1[[#This Row],[Rework_Flag]]="No",1,0)</f>
        <v>0</v>
      </c>
      <c r="X825" s="4">
        <f>IF(Table1[[#This Row],[Rework_Flag]]="Yes",1,0)</f>
        <v>1</v>
      </c>
      <c r="Y825" s="4">
        <v>1</v>
      </c>
      <c r="Z825" s="4" t="str">
        <f>IF(Table1[[#This Row],[TAT_Days]]&gt;Table1[[#This Row],[SLA_TAT]],"Yes","No")</f>
        <v>Yes</v>
      </c>
      <c r="AA825" s="4" t="str" cm="1">
        <f t="array" ref="AA825">_xlfn.IFS(Table1[[#This Row],[Customer_Satisfaction]]&lt;=2,"Poor",Table1[[#This Row],[Customer_Satisfaction]]=3,"Neutral",Table1[[#This Row],[Customer_Satisfaction]]=4,"Good",Table1[[#This Row],[Customer_Satisfaction]]=5,"Good")</f>
        <v>Poor</v>
      </c>
    </row>
    <row r="826" spans="1:27" x14ac:dyDescent="0.35">
      <c r="A826">
        <v>20824</v>
      </c>
      <c r="B826" s="1">
        <v>45470</v>
      </c>
      <c r="C826" t="s">
        <v>19</v>
      </c>
      <c r="D826" t="s">
        <v>45</v>
      </c>
      <c r="E826" t="s">
        <v>99</v>
      </c>
      <c r="F826" t="s">
        <v>40</v>
      </c>
      <c r="G826" t="s">
        <v>47</v>
      </c>
      <c r="H826" t="s">
        <v>48</v>
      </c>
      <c r="I826" t="s">
        <v>55</v>
      </c>
      <c r="J826" t="s">
        <v>58</v>
      </c>
      <c r="K826" t="s">
        <v>44</v>
      </c>
      <c r="L826" t="s">
        <v>28</v>
      </c>
      <c r="M826" s="4">
        <v>3</v>
      </c>
      <c r="N826" s="4">
        <v>7</v>
      </c>
      <c r="O826" t="s">
        <v>36</v>
      </c>
      <c r="P826" t="s">
        <v>29</v>
      </c>
      <c r="Q826" s="4">
        <v>409023</v>
      </c>
      <c r="R826" s="4">
        <v>207864</v>
      </c>
      <c r="S826" s="4">
        <f>Table1[[#This Row],[Service_Revenue]]-Table1[[#This Row],[Service_Cost]]</f>
        <v>201159</v>
      </c>
      <c r="T826" s="4">
        <v>5</v>
      </c>
      <c r="U826" s="4">
        <f>IF(AND(Table1[[#This Row],[Rework_Flag]]="Yes",Table1[[#This Row],[Warranty_Claim]]="No"),Table1[[#This Row],[Service_Revenue]],0)</f>
        <v>0</v>
      </c>
      <c r="V826" s="4">
        <f>IF(Table1[[#This Row],[Warranty_Claim]]="Yes",1,0)</f>
        <v>1</v>
      </c>
      <c r="W826" s="4">
        <f>IF(Table1[[#This Row],[Rework_Flag]]="No",1,0)</f>
        <v>1</v>
      </c>
      <c r="X826" s="4">
        <f>IF(Table1[[#This Row],[Rework_Flag]]="Yes",1,0)</f>
        <v>0</v>
      </c>
      <c r="Y826" s="4">
        <v>1</v>
      </c>
      <c r="Z826" s="4" t="str">
        <f>IF(Table1[[#This Row],[TAT_Days]]&gt;Table1[[#This Row],[SLA_TAT]],"Yes","No")</f>
        <v>No</v>
      </c>
      <c r="AA826" s="4" t="str" cm="1">
        <f t="array" ref="AA826">_xlfn.IFS(Table1[[#This Row],[Customer_Satisfaction]]&lt;=2,"Poor",Table1[[#This Row],[Customer_Satisfaction]]=3,"Neutral",Table1[[#This Row],[Customer_Satisfaction]]=4,"Good",Table1[[#This Row],[Customer_Satisfaction]]=5,"Good")</f>
        <v>Good</v>
      </c>
    </row>
    <row r="827" spans="1:27" x14ac:dyDescent="0.35">
      <c r="A827">
        <v>20825</v>
      </c>
      <c r="B827" s="1">
        <v>45411</v>
      </c>
      <c r="C827" t="s">
        <v>50</v>
      </c>
      <c r="D827" t="s">
        <v>56</v>
      </c>
      <c r="E827" t="s">
        <v>77</v>
      </c>
      <c r="F827" t="s">
        <v>22</v>
      </c>
      <c r="G827" t="s">
        <v>63</v>
      </c>
      <c r="H827" t="s">
        <v>24</v>
      </c>
      <c r="I827" t="s">
        <v>55</v>
      </c>
      <c r="J827" t="s">
        <v>26</v>
      </c>
      <c r="K827" t="s">
        <v>27</v>
      </c>
      <c r="L827" t="s">
        <v>49</v>
      </c>
      <c r="M827" s="4">
        <v>19</v>
      </c>
      <c r="N827" s="4">
        <v>7</v>
      </c>
      <c r="O827" t="s">
        <v>29</v>
      </c>
      <c r="P827" t="s">
        <v>29</v>
      </c>
      <c r="Q827" s="4">
        <v>564589</v>
      </c>
      <c r="R827" s="4">
        <v>349398</v>
      </c>
      <c r="S827" s="4">
        <f>Table1[[#This Row],[Service_Revenue]]-Table1[[#This Row],[Service_Cost]]</f>
        <v>215191</v>
      </c>
      <c r="T827" s="4">
        <v>1</v>
      </c>
      <c r="U827" s="4">
        <f>IF(AND(Table1[[#This Row],[Rework_Flag]]="Yes",Table1[[#This Row],[Warranty_Claim]]="No"),Table1[[#This Row],[Service_Revenue]],0)</f>
        <v>0</v>
      </c>
      <c r="V827" s="4">
        <f>IF(Table1[[#This Row],[Warranty_Claim]]="Yes",1,0)</f>
        <v>1</v>
      </c>
      <c r="W827" s="4">
        <f>IF(Table1[[#This Row],[Rework_Flag]]="No",1,0)</f>
        <v>0</v>
      </c>
      <c r="X827" s="4">
        <f>IF(Table1[[#This Row],[Rework_Flag]]="Yes",1,0)</f>
        <v>1</v>
      </c>
      <c r="Y827" s="4">
        <v>1</v>
      </c>
      <c r="Z827" s="4" t="str">
        <f>IF(Table1[[#This Row],[TAT_Days]]&gt;Table1[[#This Row],[SLA_TAT]],"Yes","No")</f>
        <v>Yes</v>
      </c>
      <c r="AA827" s="4" t="str" cm="1">
        <f t="array" ref="AA827">_xlfn.IFS(Table1[[#This Row],[Customer_Satisfaction]]&lt;=2,"Poor",Table1[[#This Row],[Customer_Satisfaction]]=3,"Neutral",Table1[[#This Row],[Customer_Satisfaction]]=4,"Good",Table1[[#This Row],[Customer_Satisfaction]]=5,"Good")</f>
        <v>Poor</v>
      </c>
    </row>
    <row r="828" spans="1:27" x14ac:dyDescent="0.35">
      <c r="A828">
        <v>20826</v>
      </c>
      <c r="B828" s="1">
        <v>45403</v>
      </c>
      <c r="C828" t="s">
        <v>30</v>
      </c>
      <c r="D828" t="s">
        <v>31</v>
      </c>
      <c r="E828" t="s">
        <v>62</v>
      </c>
      <c r="F828" t="s">
        <v>40</v>
      </c>
      <c r="G828" t="s">
        <v>41</v>
      </c>
      <c r="H828" t="s">
        <v>42</v>
      </c>
      <c r="I828" t="s">
        <v>55</v>
      </c>
      <c r="J828" t="s">
        <v>26</v>
      </c>
      <c r="K828" t="s">
        <v>44</v>
      </c>
      <c r="L828" t="s">
        <v>28</v>
      </c>
      <c r="M828" s="4">
        <v>25</v>
      </c>
      <c r="N828" s="4">
        <v>7</v>
      </c>
      <c r="O828" t="s">
        <v>29</v>
      </c>
      <c r="P828" t="s">
        <v>36</v>
      </c>
      <c r="Q828" s="4">
        <v>125901</v>
      </c>
      <c r="R828" s="4">
        <v>75815</v>
      </c>
      <c r="S828" s="4">
        <f>Table1[[#This Row],[Service_Revenue]]-Table1[[#This Row],[Service_Cost]]</f>
        <v>50086</v>
      </c>
      <c r="T828" s="4">
        <v>1</v>
      </c>
      <c r="U828" s="4">
        <f>IF(AND(Table1[[#This Row],[Rework_Flag]]="Yes",Table1[[#This Row],[Warranty_Claim]]="No"),Table1[[#This Row],[Service_Revenue]],0)</f>
        <v>125901</v>
      </c>
      <c r="V828" s="4">
        <f>IF(Table1[[#This Row],[Warranty_Claim]]="Yes",1,0)</f>
        <v>0</v>
      </c>
      <c r="W828" s="4">
        <f>IF(Table1[[#This Row],[Rework_Flag]]="No",1,0)</f>
        <v>0</v>
      </c>
      <c r="X828" s="4">
        <f>IF(Table1[[#This Row],[Rework_Flag]]="Yes",1,0)</f>
        <v>1</v>
      </c>
      <c r="Y828" s="4">
        <v>1</v>
      </c>
      <c r="Z828" s="4" t="str">
        <f>IF(Table1[[#This Row],[TAT_Days]]&gt;Table1[[#This Row],[SLA_TAT]],"Yes","No")</f>
        <v>Yes</v>
      </c>
      <c r="AA828" s="4" t="str" cm="1">
        <f t="array" ref="AA828">_xlfn.IFS(Table1[[#This Row],[Customer_Satisfaction]]&lt;=2,"Poor",Table1[[#This Row],[Customer_Satisfaction]]=3,"Neutral",Table1[[#This Row],[Customer_Satisfaction]]=4,"Good",Table1[[#This Row],[Customer_Satisfaction]]=5,"Good")</f>
        <v>Poor</v>
      </c>
    </row>
    <row r="829" spans="1:27" x14ac:dyDescent="0.35">
      <c r="A829">
        <v>20827</v>
      </c>
      <c r="B829" s="1">
        <v>45409</v>
      </c>
      <c r="C829" t="s">
        <v>19</v>
      </c>
      <c r="D829" t="s">
        <v>96</v>
      </c>
      <c r="E829" t="s">
        <v>109</v>
      </c>
      <c r="F829" t="s">
        <v>53</v>
      </c>
      <c r="G829" t="s">
        <v>74</v>
      </c>
      <c r="H829" t="s">
        <v>34</v>
      </c>
      <c r="I829" t="s">
        <v>25</v>
      </c>
      <c r="J829" t="s">
        <v>67</v>
      </c>
      <c r="K829" t="s">
        <v>44</v>
      </c>
      <c r="L829" t="s">
        <v>28</v>
      </c>
      <c r="M829" s="4">
        <v>23</v>
      </c>
      <c r="N829" s="4">
        <v>7</v>
      </c>
      <c r="O829" t="s">
        <v>36</v>
      </c>
      <c r="P829" t="s">
        <v>36</v>
      </c>
      <c r="Q829" s="4">
        <v>361625</v>
      </c>
      <c r="R829" s="4">
        <v>196793</v>
      </c>
      <c r="S829" s="4">
        <f>Table1[[#This Row],[Service_Revenue]]-Table1[[#This Row],[Service_Cost]]</f>
        <v>164832</v>
      </c>
      <c r="T829" s="4">
        <v>1</v>
      </c>
      <c r="U829" s="4">
        <f>IF(AND(Table1[[#This Row],[Rework_Flag]]="Yes",Table1[[#This Row],[Warranty_Claim]]="No"),Table1[[#This Row],[Service_Revenue]],0)</f>
        <v>0</v>
      </c>
      <c r="V829" s="4">
        <f>IF(Table1[[#This Row],[Warranty_Claim]]="Yes",1,0)</f>
        <v>0</v>
      </c>
      <c r="W829" s="4">
        <f>IF(Table1[[#This Row],[Rework_Flag]]="No",1,0)</f>
        <v>1</v>
      </c>
      <c r="X829" s="4">
        <f>IF(Table1[[#This Row],[Rework_Flag]]="Yes",1,0)</f>
        <v>0</v>
      </c>
      <c r="Y829" s="4">
        <v>1</v>
      </c>
      <c r="Z829" s="4" t="str">
        <f>IF(Table1[[#This Row],[TAT_Days]]&gt;Table1[[#This Row],[SLA_TAT]],"Yes","No")</f>
        <v>Yes</v>
      </c>
      <c r="AA829" s="4" t="str" cm="1">
        <f t="array" ref="AA829">_xlfn.IFS(Table1[[#This Row],[Customer_Satisfaction]]&lt;=2,"Poor",Table1[[#This Row],[Customer_Satisfaction]]=3,"Neutral",Table1[[#This Row],[Customer_Satisfaction]]=4,"Good",Table1[[#This Row],[Customer_Satisfaction]]=5,"Good")</f>
        <v>Poor</v>
      </c>
    </row>
    <row r="830" spans="1:27" x14ac:dyDescent="0.35">
      <c r="A830">
        <v>20828</v>
      </c>
      <c r="B830" s="1">
        <v>45326</v>
      </c>
      <c r="C830" t="s">
        <v>30</v>
      </c>
      <c r="D830" t="s">
        <v>59</v>
      </c>
      <c r="E830" t="s">
        <v>94</v>
      </c>
      <c r="F830" t="s">
        <v>22</v>
      </c>
      <c r="G830" t="s">
        <v>74</v>
      </c>
      <c r="H830" t="s">
        <v>34</v>
      </c>
      <c r="I830" t="s">
        <v>25</v>
      </c>
      <c r="J830" t="s">
        <v>26</v>
      </c>
      <c r="K830" t="s">
        <v>27</v>
      </c>
      <c r="L830" t="s">
        <v>28</v>
      </c>
      <c r="M830" s="4">
        <v>7</v>
      </c>
      <c r="N830" s="4">
        <v>7</v>
      </c>
      <c r="O830" t="s">
        <v>29</v>
      </c>
      <c r="P830" t="s">
        <v>36</v>
      </c>
      <c r="Q830" s="4">
        <v>366411</v>
      </c>
      <c r="R830" s="4">
        <v>233066</v>
      </c>
      <c r="S830" s="4">
        <f>Table1[[#This Row],[Service_Revenue]]-Table1[[#This Row],[Service_Cost]]</f>
        <v>133345</v>
      </c>
      <c r="T830" s="4">
        <v>3</v>
      </c>
      <c r="U830" s="4">
        <f>IF(AND(Table1[[#This Row],[Rework_Flag]]="Yes",Table1[[#This Row],[Warranty_Claim]]="No"),Table1[[#This Row],[Service_Revenue]],0)</f>
        <v>366411</v>
      </c>
      <c r="V830" s="4">
        <f>IF(Table1[[#This Row],[Warranty_Claim]]="Yes",1,0)</f>
        <v>0</v>
      </c>
      <c r="W830" s="4">
        <f>IF(Table1[[#This Row],[Rework_Flag]]="No",1,0)</f>
        <v>0</v>
      </c>
      <c r="X830" s="4">
        <f>IF(Table1[[#This Row],[Rework_Flag]]="Yes",1,0)</f>
        <v>1</v>
      </c>
      <c r="Y830" s="4">
        <v>1</v>
      </c>
      <c r="Z830" s="4" t="str">
        <f>IF(Table1[[#This Row],[TAT_Days]]&gt;Table1[[#This Row],[SLA_TAT]],"Yes","No")</f>
        <v>No</v>
      </c>
      <c r="AA830" s="4" t="str" cm="1">
        <f t="array" ref="AA830">_xlfn.IFS(Table1[[#This Row],[Customer_Satisfaction]]&lt;=2,"Poor",Table1[[#This Row],[Customer_Satisfaction]]=3,"Neutral",Table1[[#This Row],[Customer_Satisfaction]]=4,"Good",Table1[[#This Row],[Customer_Satisfaction]]=5,"Good")</f>
        <v>Neutral</v>
      </c>
    </row>
    <row r="831" spans="1:27" x14ac:dyDescent="0.35">
      <c r="A831">
        <v>20829</v>
      </c>
      <c r="B831" s="1">
        <v>45392</v>
      </c>
      <c r="C831" t="s">
        <v>37</v>
      </c>
      <c r="D831" t="s">
        <v>64</v>
      </c>
      <c r="E831" t="s">
        <v>87</v>
      </c>
      <c r="F831" t="s">
        <v>22</v>
      </c>
      <c r="G831" t="s">
        <v>63</v>
      </c>
      <c r="H831" t="s">
        <v>24</v>
      </c>
      <c r="I831" t="s">
        <v>25</v>
      </c>
      <c r="J831" t="s">
        <v>43</v>
      </c>
      <c r="K831" t="s">
        <v>44</v>
      </c>
      <c r="L831" t="s">
        <v>49</v>
      </c>
      <c r="M831" s="4">
        <v>9</v>
      </c>
      <c r="N831" s="4">
        <v>7</v>
      </c>
      <c r="O831" t="s">
        <v>29</v>
      </c>
      <c r="P831" t="s">
        <v>29</v>
      </c>
      <c r="Q831" s="4">
        <v>311705</v>
      </c>
      <c r="R831" s="4">
        <v>185538</v>
      </c>
      <c r="S831" s="4">
        <f>Table1[[#This Row],[Service_Revenue]]-Table1[[#This Row],[Service_Cost]]</f>
        <v>126167</v>
      </c>
      <c r="T831" s="4">
        <v>3</v>
      </c>
      <c r="U831" s="4">
        <f>IF(AND(Table1[[#This Row],[Rework_Flag]]="Yes",Table1[[#This Row],[Warranty_Claim]]="No"),Table1[[#This Row],[Service_Revenue]],0)</f>
        <v>0</v>
      </c>
      <c r="V831" s="4">
        <f>IF(Table1[[#This Row],[Warranty_Claim]]="Yes",1,0)</f>
        <v>1</v>
      </c>
      <c r="W831" s="4">
        <f>IF(Table1[[#This Row],[Rework_Flag]]="No",1,0)</f>
        <v>0</v>
      </c>
      <c r="X831" s="4">
        <f>IF(Table1[[#This Row],[Rework_Flag]]="Yes",1,0)</f>
        <v>1</v>
      </c>
      <c r="Y831" s="4">
        <v>1</v>
      </c>
      <c r="Z831" s="4" t="str">
        <f>IF(Table1[[#This Row],[TAT_Days]]&gt;Table1[[#This Row],[SLA_TAT]],"Yes","No")</f>
        <v>Yes</v>
      </c>
      <c r="AA831" s="4" t="str" cm="1">
        <f t="array" ref="AA831">_xlfn.IFS(Table1[[#This Row],[Customer_Satisfaction]]&lt;=2,"Poor",Table1[[#This Row],[Customer_Satisfaction]]=3,"Neutral",Table1[[#This Row],[Customer_Satisfaction]]=4,"Good",Table1[[#This Row],[Customer_Satisfaction]]=5,"Good")</f>
        <v>Neutral</v>
      </c>
    </row>
    <row r="832" spans="1:27" x14ac:dyDescent="0.35">
      <c r="A832">
        <v>20830</v>
      </c>
      <c r="B832" s="1">
        <v>45385</v>
      </c>
      <c r="C832" t="s">
        <v>37</v>
      </c>
      <c r="D832" t="s">
        <v>64</v>
      </c>
      <c r="E832" t="s">
        <v>65</v>
      </c>
      <c r="F832" t="s">
        <v>40</v>
      </c>
      <c r="G832" t="s">
        <v>74</v>
      </c>
      <c r="H832" t="s">
        <v>34</v>
      </c>
      <c r="I832" t="s">
        <v>25</v>
      </c>
      <c r="J832" t="s">
        <v>67</v>
      </c>
      <c r="K832" t="s">
        <v>61</v>
      </c>
      <c r="L832" t="s">
        <v>28</v>
      </c>
      <c r="M832" s="4">
        <v>25</v>
      </c>
      <c r="N832" s="4">
        <v>7</v>
      </c>
      <c r="O832" t="s">
        <v>29</v>
      </c>
      <c r="P832" t="s">
        <v>36</v>
      </c>
      <c r="Q832" s="4">
        <v>192119</v>
      </c>
      <c r="R832" s="4">
        <v>143300</v>
      </c>
      <c r="S832" s="4">
        <f>Table1[[#This Row],[Service_Revenue]]-Table1[[#This Row],[Service_Cost]]</f>
        <v>48819</v>
      </c>
      <c r="T832" s="4">
        <v>1</v>
      </c>
      <c r="U832" s="4">
        <f>IF(AND(Table1[[#This Row],[Rework_Flag]]="Yes",Table1[[#This Row],[Warranty_Claim]]="No"),Table1[[#This Row],[Service_Revenue]],0)</f>
        <v>192119</v>
      </c>
      <c r="V832" s="4">
        <f>IF(Table1[[#This Row],[Warranty_Claim]]="Yes",1,0)</f>
        <v>0</v>
      </c>
      <c r="W832" s="4">
        <f>IF(Table1[[#This Row],[Rework_Flag]]="No",1,0)</f>
        <v>0</v>
      </c>
      <c r="X832" s="4">
        <f>IF(Table1[[#This Row],[Rework_Flag]]="Yes",1,0)</f>
        <v>1</v>
      </c>
      <c r="Y832" s="4">
        <v>1</v>
      </c>
      <c r="Z832" s="4" t="str">
        <f>IF(Table1[[#This Row],[TAT_Days]]&gt;Table1[[#This Row],[SLA_TAT]],"Yes","No")</f>
        <v>Yes</v>
      </c>
      <c r="AA832" s="4" t="str" cm="1">
        <f t="array" ref="AA832">_xlfn.IFS(Table1[[#This Row],[Customer_Satisfaction]]&lt;=2,"Poor",Table1[[#This Row],[Customer_Satisfaction]]=3,"Neutral",Table1[[#This Row],[Customer_Satisfaction]]=4,"Good",Table1[[#This Row],[Customer_Satisfaction]]=5,"Good")</f>
        <v>Poor</v>
      </c>
    </row>
    <row r="833" spans="1:27" x14ac:dyDescent="0.35">
      <c r="A833">
        <v>20831</v>
      </c>
      <c r="B833" s="1">
        <v>45299</v>
      </c>
      <c r="C833" t="s">
        <v>50</v>
      </c>
      <c r="D833" t="s">
        <v>51</v>
      </c>
      <c r="E833" t="s">
        <v>113</v>
      </c>
      <c r="F833" t="s">
        <v>40</v>
      </c>
      <c r="G833" t="s">
        <v>74</v>
      </c>
      <c r="H833" t="s">
        <v>34</v>
      </c>
      <c r="I833" t="s">
        <v>55</v>
      </c>
      <c r="J833" t="s">
        <v>58</v>
      </c>
      <c r="K833" t="s">
        <v>61</v>
      </c>
      <c r="L833" t="s">
        <v>28</v>
      </c>
      <c r="M833" s="4">
        <v>25</v>
      </c>
      <c r="N833" s="4">
        <v>7</v>
      </c>
      <c r="O833" t="s">
        <v>36</v>
      </c>
      <c r="P833" t="s">
        <v>29</v>
      </c>
      <c r="Q833" s="4">
        <v>124978</v>
      </c>
      <c r="R833" s="4">
        <v>79520</v>
      </c>
      <c r="S833" s="4">
        <f>Table1[[#This Row],[Service_Revenue]]-Table1[[#This Row],[Service_Cost]]</f>
        <v>45458</v>
      </c>
      <c r="T833" s="4">
        <v>1</v>
      </c>
      <c r="U833" s="4">
        <f>IF(AND(Table1[[#This Row],[Rework_Flag]]="Yes",Table1[[#This Row],[Warranty_Claim]]="No"),Table1[[#This Row],[Service_Revenue]],0)</f>
        <v>0</v>
      </c>
      <c r="V833" s="4">
        <f>IF(Table1[[#This Row],[Warranty_Claim]]="Yes",1,0)</f>
        <v>1</v>
      </c>
      <c r="W833" s="4">
        <f>IF(Table1[[#This Row],[Rework_Flag]]="No",1,0)</f>
        <v>1</v>
      </c>
      <c r="X833" s="4">
        <f>IF(Table1[[#This Row],[Rework_Flag]]="Yes",1,0)</f>
        <v>0</v>
      </c>
      <c r="Y833" s="4">
        <v>1</v>
      </c>
      <c r="Z833" s="4" t="str">
        <f>IF(Table1[[#This Row],[TAT_Days]]&gt;Table1[[#This Row],[SLA_TAT]],"Yes","No")</f>
        <v>Yes</v>
      </c>
      <c r="AA833" s="4" t="str" cm="1">
        <f t="array" ref="AA833">_xlfn.IFS(Table1[[#This Row],[Customer_Satisfaction]]&lt;=2,"Poor",Table1[[#This Row],[Customer_Satisfaction]]=3,"Neutral",Table1[[#This Row],[Customer_Satisfaction]]=4,"Good",Table1[[#This Row],[Customer_Satisfaction]]=5,"Good")</f>
        <v>Poor</v>
      </c>
    </row>
    <row r="834" spans="1:27" x14ac:dyDescent="0.35">
      <c r="A834">
        <v>20832</v>
      </c>
      <c r="B834" s="1">
        <v>45397</v>
      </c>
      <c r="C834" t="s">
        <v>30</v>
      </c>
      <c r="D834" t="s">
        <v>83</v>
      </c>
      <c r="E834" t="s">
        <v>92</v>
      </c>
      <c r="F834" t="s">
        <v>40</v>
      </c>
      <c r="G834" t="s">
        <v>47</v>
      </c>
      <c r="H834" t="s">
        <v>48</v>
      </c>
      <c r="I834" t="s">
        <v>55</v>
      </c>
      <c r="J834" t="s">
        <v>26</v>
      </c>
      <c r="K834" t="s">
        <v>61</v>
      </c>
      <c r="L834" t="s">
        <v>28</v>
      </c>
      <c r="M834" s="4">
        <v>24</v>
      </c>
      <c r="N834" s="4">
        <v>7</v>
      </c>
      <c r="O834" t="s">
        <v>29</v>
      </c>
      <c r="P834" t="s">
        <v>36</v>
      </c>
      <c r="Q834" s="4">
        <v>199723</v>
      </c>
      <c r="R834" s="4">
        <v>157288</v>
      </c>
      <c r="S834" s="4">
        <f>Table1[[#This Row],[Service_Revenue]]-Table1[[#This Row],[Service_Cost]]</f>
        <v>42435</v>
      </c>
      <c r="T834" s="4">
        <v>1</v>
      </c>
      <c r="U834" s="4">
        <f>IF(AND(Table1[[#This Row],[Rework_Flag]]="Yes",Table1[[#This Row],[Warranty_Claim]]="No"),Table1[[#This Row],[Service_Revenue]],0)</f>
        <v>199723</v>
      </c>
      <c r="V834" s="4">
        <f>IF(Table1[[#This Row],[Warranty_Claim]]="Yes",1,0)</f>
        <v>0</v>
      </c>
      <c r="W834" s="4">
        <f>IF(Table1[[#This Row],[Rework_Flag]]="No",1,0)</f>
        <v>0</v>
      </c>
      <c r="X834" s="4">
        <f>IF(Table1[[#This Row],[Rework_Flag]]="Yes",1,0)</f>
        <v>1</v>
      </c>
      <c r="Y834" s="4">
        <v>1</v>
      </c>
      <c r="Z834" s="4" t="str">
        <f>IF(Table1[[#This Row],[TAT_Days]]&gt;Table1[[#This Row],[SLA_TAT]],"Yes","No")</f>
        <v>Yes</v>
      </c>
      <c r="AA834" s="4" t="str" cm="1">
        <f t="array" ref="AA834">_xlfn.IFS(Table1[[#This Row],[Customer_Satisfaction]]&lt;=2,"Poor",Table1[[#This Row],[Customer_Satisfaction]]=3,"Neutral",Table1[[#This Row],[Customer_Satisfaction]]=4,"Good",Table1[[#This Row],[Customer_Satisfaction]]=5,"Good")</f>
        <v>Poor</v>
      </c>
    </row>
    <row r="835" spans="1:27" x14ac:dyDescent="0.35">
      <c r="A835">
        <v>20833</v>
      </c>
      <c r="B835" s="1">
        <v>45333</v>
      </c>
      <c r="C835" t="s">
        <v>50</v>
      </c>
      <c r="D835" t="s">
        <v>56</v>
      </c>
      <c r="E835" t="s">
        <v>77</v>
      </c>
      <c r="F835" t="s">
        <v>53</v>
      </c>
      <c r="G835" t="s">
        <v>23</v>
      </c>
      <c r="H835" t="s">
        <v>24</v>
      </c>
      <c r="I835" t="s">
        <v>55</v>
      </c>
      <c r="J835" t="s">
        <v>26</v>
      </c>
      <c r="K835" t="s">
        <v>61</v>
      </c>
      <c r="L835" t="s">
        <v>28</v>
      </c>
      <c r="M835" s="4">
        <v>3</v>
      </c>
      <c r="N835" s="4">
        <v>7</v>
      </c>
      <c r="O835" t="s">
        <v>29</v>
      </c>
      <c r="P835" t="s">
        <v>36</v>
      </c>
      <c r="Q835" s="4">
        <v>221156</v>
      </c>
      <c r="R835" s="4">
        <v>136702</v>
      </c>
      <c r="S835" s="4">
        <f>Table1[[#This Row],[Service_Revenue]]-Table1[[#This Row],[Service_Cost]]</f>
        <v>84454</v>
      </c>
      <c r="T835" s="4">
        <v>4</v>
      </c>
      <c r="U835" s="4">
        <f>IF(AND(Table1[[#This Row],[Rework_Flag]]="Yes",Table1[[#This Row],[Warranty_Claim]]="No"),Table1[[#This Row],[Service_Revenue]],0)</f>
        <v>221156</v>
      </c>
      <c r="V835" s="4">
        <f>IF(Table1[[#This Row],[Warranty_Claim]]="Yes",1,0)</f>
        <v>0</v>
      </c>
      <c r="W835" s="4">
        <f>IF(Table1[[#This Row],[Rework_Flag]]="No",1,0)</f>
        <v>0</v>
      </c>
      <c r="X835" s="4">
        <f>IF(Table1[[#This Row],[Rework_Flag]]="Yes",1,0)</f>
        <v>1</v>
      </c>
      <c r="Y835" s="4">
        <v>1</v>
      </c>
      <c r="Z835" s="4" t="str">
        <f>IF(Table1[[#This Row],[TAT_Days]]&gt;Table1[[#This Row],[SLA_TAT]],"Yes","No")</f>
        <v>No</v>
      </c>
      <c r="AA835" s="4" t="str" cm="1">
        <f t="array" ref="AA835">_xlfn.IFS(Table1[[#This Row],[Customer_Satisfaction]]&lt;=2,"Poor",Table1[[#This Row],[Customer_Satisfaction]]=3,"Neutral",Table1[[#This Row],[Customer_Satisfaction]]=4,"Good",Table1[[#This Row],[Customer_Satisfaction]]=5,"Good")</f>
        <v>Good</v>
      </c>
    </row>
    <row r="836" spans="1:27" x14ac:dyDescent="0.35">
      <c r="A836">
        <v>20834</v>
      </c>
      <c r="B836" s="1">
        <v>45403</v>
      </c>
      <c r="C836" t="s">
        <v>30</v>
      </c>
      <c r="D836" t="s">
        <v>31</v>
      </c>
      <c r="E836" t="s">
        <v>32</v>
      </c>
      <c r="F836" t="s">
        <v>53</v>
      </c>
      <c r="G836" t="s">
        <v>47</v>
      </c>
      <c r="H836" t="s">
        <v>48</v>
      </c>
      <c r="I836" t="s">
        <v>55</v>
      </c>
      <c r="J836" t="s">
        <v>26</v>
      </c>
      <c r="K836" t="s">
        <v>61</v>
      </c>
      <c r="L836" t="s">
        <v>49</v>
      </c>
      <c r="M836" s="4">
        <v>8</v>
      </c>
      <c r="N836" s="4">
        <v>7</v>
      </c>
      <c r="O836" t="s">
        <v>36</v>
      </c>
      <c r="P836" t="s">
        <v>36</v>
      </c>
      <c r="Q836" s="4">
        <v>252405</v>
      </c>
      <c r="R836" s="4">
        <v>132724</v>
      </c>
      <c r="S836" s="4">
        <f>Table1[[#This Row],[Service_Revenue]]-Table1[[#This Row],[Service_Cost]]</f>
        <v>119681</v>
      </c>
      <c r="T836" s="4">
        <v>4</v>
      </c>
      <c r="U836" s="4">
        <f>IF(AND(Table1[[#This Row],[Rework_Flag]]="Yes",Table1[[#This Row],[Warranty_Claim]]="No"),Table1[[#This Row],[Service_Revenue]],0)</f>
        <v>0</v>
      </c>
      <c r="V836" s="4">
        <f>IF(Table1[[#This Row],[Warranty_Claim]]="Yes",1,0)</f>
        <v>0</v>
      </c>
      <c r="W836" s="4">
        <f>IF(Table1[[#This Row],[Rework_Flag]]="No",1,0)</f>
        <v>1</v>
      </c>
      <c r="X836" s="4">
        <f>IF(Table1[[#This Row],[Rework_Flag]]="Yes",1,0)</f>
        <v>0</v>
      </c>
      <c r="Y836" s="4">
        <v>1</v>
      </c>
      <c r="Z836" s="4" t="str">
        <f>IF(Table1[[#This Row],[TAT_Days]]&gt;Table1[[#This Row],[SLA_TAT]],"Yes","No")</f>
        <v>Yes</v>
      </c>
      <c r="AA836" s="4" t="str" cm="1">
        <f t="array" ref="AA836">_xlfn.IFS(Table1[[#This Row],[Customer_Satisfaction]]&lt;=2,"Poor",Table1[[#This Row],[Customer_Satisfaction]]=3,"Neutral",Table1[[#This Row],[Customer_Satisfaction]]=4,"Good",Table1[[#This Row],[Customer_Satisfaction]]=5,"Good")</f>
        <v>Good</v>
      </c>
    </row>
    <row r="837" spans="1:27" x14ac:dyDescent="0.35">
      <c r="A837">
        <v>20835</v>
      </c>
      <c r="B837" s="1">
        <v>45394</v>
      </c>
      <c r="C837" t="s">
        <v>30</v>
      </c>
      <c r="D837" t="s">
        <v>83</v>
      </c>
      <c r="E837" t="s">
        <v>84</v>
      </c>
      <c r="F837" t="s">
        <v>53</v>
      </c>
      <c r="G837" t="s">
        <v>63</v>
      </c>
      <c r="H837" t="s">
        <v>24</v>
      </c>
      <c r="I837" t="s">
        <v>25</v>
      </c>
      <c r="J837" t="s">
        <v>43</v>
      </c>
      <c r="K837" t="s">
        <v>44</v>
      </c>
      <c r="L837" t="s">
        <v>28</v>
      </c>
      <c r="M837" s="4">
        <v>22</v>
      </c>
      <c r="N837" s="4">
        <v>7</v>
      </c>
      <c r="O837" t="s">
        <v>36</v>
      </c>
      <c r="P837" t="s">
        <v>36</v>
      </c>
      <c r="Q837" s="4">
        <v>493898</v>
      </c>
      <c r="R837" s="4">
        <v>265329</v>
      </c>
      <c r="S837" s="4">
        <f>Table1[[#This Row],[Service_Revenue]]-Table1[[#This Row],[Service_Cost]]</f>
        <v>228569</v>
      </c>
      <c r="T837" s="4">
        <v>1</v>
      </c>
      <c r="U837" s="4">
        <f>IF(AND(Table1[[#This Row],[Rework_Flag]]="Yes",Table1[[#This Row],[Warranty_Claim]]="No"),Table1[[#This Row],[Service_Revenue]],0)</f>
        <v>0</v>
      </c>
      <c r="V837" s="4">
        <f>IF(Table1[[#This Row],[Warranty_Claim]]="Yes",1,0)</f>
        <v>0</v>
      </c>
      <c r="W837" s="4">
        <f>IF(Table1[[#This Row],[Rework_Flag]]="No",1,0)</f>
        <v>1</v>
      </c>
      <c r="X837" s="4">
        <f>IF(Table1[[#This Row],[Rework_Flag]]="Yes",1,0)</f>
        <v>0</v>
      </c>
      <c r="Y837" s="4">
        <v>1</v>
      </c>
      <c r="Z837" s="4" t="str">
        <f>IF(Table1[[#This Row],[TAT_Days]]&gt;Table1[[#This Row],[SLA_TAT]],"Yes","No")</f>
        <v>Yes</v>
      </c>
      <c r="AA837" s="4" t="str" cm="1">
        <f t="array" ref="AA837">_xlfn.IFS(Table1[[#This Row],[Customer_Satisfaction]]&lt;=2,"Poor",Table1[[#This Row],[Customer_Satisfaction]]=3,"Neutral",Table1[[#This Row],[Customer_Satisfaction]]=4,"Good",Table1[[#This Row],[Customer_Satisfaction]]=5,"Good")</f>
        <v>Poor</v>
      </c>
    </row>
    <row r="838" spans="1:27" x14ac:dyDescent="0.35">
      <c r="A838">
        <v>20836</v>
      </c>
      <c r="B838" s="1">
        <v>45352</v>
      </c>
      <c r="C838" t="s">
        <v>30</v>
      </c>
      <c r="D838" t="s">
        <v>83</v>
      </c>
      <c r="E838" t="s">
        <v>84</v>
      </c>
      <c r="F838" t="s">
        <v>22</v>
      </c>
      <c r="G838" t="s">
        <v>54</v>
      </c>
      <c r="H838" t="s">
        <v>42</v>
      </c>
      <c r="I838" t="s">
        <v>55</v>
      </c>
      <c r="J838" t="s">
        <v>58</v>
      </c>
      <c r="K838" t="s">
        <v>61</v>
      </c>
      <c r="L838" t="s">
        <v>28</v>
      </c>
      <c r="M838" s="4">
        <v>23</v>
      </c>
      <c r="N838" s="4">
        <v>7</v>
      </c>
      <c r="O838" t="s">
        <v>36</v>
      </c>
      <c r="P838" t="s">
        <v>29</v>
      </c>
      <c r="Q838" s="4">
        <v>494760</v>
      </c>
      <c r="R838" s="4">
        <v>295730</v>
      </c>
      <c r="S838" s="4">
        <f>Table1[[#This Row],[Service_Revenue]]-Table1[[#This Row],[Service_Cost]]</f>
        <v>199030</v>
      </c>
      <c r="T838" s="4">
        <v>1</v>
      </c>
      <c r="U838" s="4">
        <f>IF(AND(Table1[[#This Row],[Rework_Flag]]="Yes",Table1[[#This Row],[Warranty_Claim]]="No"),Table1[[#This Row],[Service_Revenue]],0)</f>
        <v>0</v>
      </c>
      <c r="V838" s="4">
        <f>IF(Table1[[#This Row],[Warranty_Claim]]="Yes",1,0)</f>
        <v>1</v>
      </c>
      <c r="W838" s="4">
        <f>IF(Table1[[#This Row],[Rework_Flag]]="No",1,0)</f>
        <v>1</v>
      </c>
      <c r="X838" s="4">
        <f>IF(Table1[[#This Row],[Rework_Flag]]="Yes",1,0)</f>
        <v>0</v>
      </c>
      <c r="Y838" s="4">
        <v>1</v>
      </c>
      <c r="Z838" s="4" t="str">
        <f>IF(Table1[[#This Row],[TAT_Days]]&gt;Table1[[#This Row],[SLA_TAT]],"Yes","No")</f>
        <v>Yes</v>
      </c>
      <c r="AA838" s="4" t="str" cm="1">
        <f t="array" ref="AA838">_xlfn.IFS(Table1[[#This Row],[Customer_Satisfaction]]&lt;=2,"Poor",Table1[[#This Row],[Customer_Satisfaction]]=3,"Neutral",Table1[[#This Row],[Customer_Satisfaction]]=4,"Good",Table1[[#This Row],[Customer_Satisfaction]]=5,"Good")</f>
        <v>Poor</v>
      </c>
    </row>
    <row r="839" spans="1:27" x14ac:dyDescent="0.35">
      <c r="A839">
        <v>20837</v>
      </c>
      <c r="B839" s="1">
        <v>45337</v>
      </c>
      <c r="C839" t="s">
        <v>50</v>
      </c>
      <c r="D839" t="s">
        <v>80</v>
      </c>
      <c r="E839" t="s">
        <v>121</v>
      </c>
      <c r="F839" t="s">
        <v>22</v>
      </c>
      <c r="G839" t="s">
        <v>47</v>
      </c>
      <c r="H839" t="s">
        <v>48</v>
      </c>
      <c r="I839" t="s">
        <v>25</v>
      </c>
      <c r="J839" t="s">
        <v>43</v>
      </c>
      <c r="K839" t="s">
        <v>61</v>
      </c>
      <c r="L839" t="s">
        <v>49</v>
      </c>
      <c r="M839" s="4">
        <v>5</v>
      </c>
      <c r="N839" s="4">
        <v>7</v>
      </c>
      <c r="O839" t="s">
        <v>36</v>
      </c>
      <c r="P839" t="s">
        <v>36</v>
      </c>
      <c r="Q839" s="4">
        <v>599692</v>
      </c>
      <c r="R839" s="4">
        <v>408513</v>
      </c>
      <c r="S839" s="4">
        <f>Table1[[#This Row],[Service_Revenue]]-Table1[[#This Row],[Service_Cost]]</f>
        <v>191179</v>
      </c>
      <c r="T839" s="4">
        <v>4</v>
      </c>
      <c r="U839" s="4">
        <f>IF(AND(Table1[[#This Row],[Rework_Flag]]="Yes",Table1[[#This Row],[Warranty_Claim]]="No"),Table1[[#This Row],[Service_Revenue]],0)</f>
        <v>0</v>
      </c>
      <c r="V839" s="4">
        <f>IF(Table1[[#This Row],[Warranty_Claim]]="Yes",1,0)</f>
        <v>0</v>
      </c>
      <c r="W839" s="4">
        <f>IF(Table1[[#This Row],[Rework_Flag]]="No",1,0)</f>
        <v>1</v>
      </c>
      <c r="X839" s="4">
        <f>IF(Table1[[#This Row],[Rework_Flag]]="Yes",1,0)</f>
        <v>0</v>
      </c>
      <c r="Y839" s="4">
        <v>1</v>
      </c>
      <c r="Z839" s="4" t="str">
        <f>IF(Table1[[#This Row],[TAT_Days]]&gt;Table1[[#This Row],[SLA_TAT]],"Yes","No")</f>
        <v>No</v>
      </c>
      <c r="AA839" s="4" t="str" cm="1">
        <f t="array" ref="AA839">_xlfn.IFS(Table1[[#This Row],[Customer_Satisfaction]]&lt;=2,"Poor",Table1[[#This Row],[Customer_Satisfaction]]=3,"Neutral",Table1[[#This Row],[Customer_Satisfaction]]=4,"Good",Table1[[#This Row],[Customer_Satisfaction]]=5,"Good")</f>
        <v>Good</v>
      </c>
    </row>
    <row r="840" spans="1:27" x14ac:dyDescent="0.35">
      <c r="A840">
        <v>20838</v>
      </c>
      <c r="B840" s="1">
        <v>45311</v>
      </c>
      <c r="C840" t="s">
        <v>19</v>
      </c>
      <c r="D840" t="s">
        <v>96</v>
      </c>
      <c r="E840" t="s">
        <v>97</v>
      </c>
      <c r="F840" t="s">
        <v>40</v>
      </c>
      <c r="G840" t="s">
        <v>41</v>
      </c>
      <c r="H840" t="s">
        <v>42</v>
      </c>
      <c r="I840" t="s">
        <v>25</v>
      </c>
      <c r="J840" t="s">
        <v>43</v>
      </c>
      <c r="K840" t="s">
        <v>27</v>
      </c>
      <c r="L840" t="s">
        <v>28</v>
      </c>
      <c r="M840" s="4">
        <v>15</v>
      </c>
      <c r="N840" s="4">
        <v>7</v>
      </c>
      <c r="O840" t="s">
        <v>29</v>
      </c>
      <c r="P840" t="s">
        <v>36</v>
      </c>
      <c r="Q840" s="4">
        <v>488646</v>
      </c>
      <c r="R840" s="4">
        <v>320716</v>
      </c>
      <c r="S840" s="4">
        <f>Table1[[#This Row],[Service_Revenue]]-Table1[[#This Row],[Service_Cost]]</f>
        <v>167930</v>
      </c>
      <c r="T840" s="4">
        <v>1</v>
      </c>
      <c r="U840" s="4">
        <f>IF(AND(Table1[[#This Row],[Rework_Flag]]="Yes",Table1[[#This Row],[Warranty_Claim]]="No"),Table1[[#This Row],[Service_Revenue]],0)</f>
        <v>488646</v>
      </c>
      <c r="V840" s="4">
        <f>IF(Table1[[#This Row],[Warranty_Claim]]="Yes",1,0)</f>
        <v>0</v>
      </c>
      <c r="W840" s="4">
        <f>IF(Table1[[#This Row],[Rework_Flag]]="No",1,0)</f>
        <v>0</v>
      </c>
      <c r="X840" s="4">
        <f>IF(Table1[[#This Row],[Rework_Flag]]="Yes",1,0)</f>
        <v>1</v>
      </c>
      <c r="Y840" s="4">
        <v>1</v>
      </c>
      <c r="Z840" s="4" t="str">
        <f>IF(Table1[[#This Row],[TAT_Days]]&gt;Table1[[#This Row],[SLA_TAT]],"Yes","No")</f>
        <v>Yes</v>
      </c>
      <c r="AA840" s="4" t="str" cm="1">
        <f t="array" ref="AA840">_xlfn.IFS(Table1[[#This Row],[Customer_Satisfaction]]&lt;=2,"Poor",Table1[[#This Row],[Customer_Satisfaction]]=3,"Neutral",Table1[[#This Row],[Customer_Satisfaction]]=4,"Good",Table1[[#This Row],[Customer_Satisfaction]]=5,"Good")</f>
        <v>Poor</v>
      </c>
    </row>
    <row r="841" spans="1:27" x14ac:dyDescent="0.35">
      <c r="A841">
        <v>20839</v>
      </c>
      <c r="B841" s="1">
        <v>45318</v>
      </c>
      <c r="C841" t="s">
        <v>30</v>
      </c>
      <c r="D841" t="s">
        <v>59</v>
      </c>
      <c r="E841" t="s">
        <v>60</v>
      </c>
      <c r="F841" t="s">
        <v>40</v>
      </c>
      <c r="G841" t="s">
        <v>74</v>
      </c>
      <c r="H841" t="s">
        <v>34</v>
      </c>
      <c r="I841" t="s">
        <v>25</v>
      </c>
      <c r="J841" t="s">
        <v>58</v>
      </c>
      <c r="K841" t="s">
        <v>44</v>
      </c>
      <c r="L841" t="s">
        <v>28</v>
      </c>
      <c r="M841" s="4">
        <v>18</v>
      </c>
      <c r="N841" s="4">
        <v>7</v>
      </c>
      <c r="O841" t="s">
        <v>36</v>
      </c>
      <c r="P841" t="s">
        <v>36</v>
      </c>
      <c r="Q841" s="4">
        <v>116787</v>
      </c>
      <c r="R841" s="4">
        <v>74707</v>
      </c>
      <c r="S841" s="4">
        <f>Table1[[#This Row],[Service_Revenue]]-Table1[[#This Row],[Service_Cost]]</f>
        <v>42080</v>
      </c>
      <c r="T841" s="4">
        <v>2</v>
      </c>
      <c r="U841" s="4">
        <f>IF(AND(Table1[[#This Row],[Rework_Flag]]="Yes",Table1[[#This Row],[Warranty_Claim]]="No"),Table1[[#This Row],[Service_Revenue]],0)</f>
        <v>0</v>
      </c>
      <c r="V841" s="4">
        <f>IF(Table1[[#This Row],[Warranty_Claim]]="Yes",1,0)</f>
        <v>0</v>
      </c>
      <c r="W841" s="4">
        <f>IF(Table1[[#This Row],[Rework_Flag]]="No",1,0)</f>
        <v>1</v>
      </c>
      <c r="X841" s="4">
        <f>IF(Table1[[#This Row],[Rework_Flag]]="Yes",1,0)</f>
        <v>0</v>
      </c>
      <c r="Y841" s="4">
        <v>1</v>
      </c>
      <c r="Z841" s="4" t="str">
        <f>IF(Table1[[#This Row],[TAT_Days]]&gt;Table1[[#This Row],[SLA_TAT]],"Yes","No")</f>
        <v>Yes</v>
      </c>
      <c r="AA841" s="4" t="str" cm="1">
        <f t="array" ref="AA841">_xlfn.IFS(Table1[[#This Row],[Customer_Satisfaction]]&lt;=2,"Poor",Table1[[#This Row],[Customer_Satisfaction]]=3,"Neutral",Table1[[#This Row],[Customer_Satisfaction]]=4,"Good",Table1[[#This Row],[Customer_Satisfaction]]=5,"Good")</f>
        <v>Poor</v>
      </c>
    </row>
    <row r="842" spans="1:27" x14ac:dyDescent="0.35">
      <c r="A842">
        <v>20840</v>
      </c>
      <c r="B842" s="1">
        <v>45397</v>
      </c>
      <c r="C842" t="s">
        <v>50</v>
      </c>
      <c r="D842" t="s">
        <v>56</v>
      </c>
      <c r="E842" t="s">
        <v>77</v>
      </c>
      <c r="F842" t="s">
        <v>53</v>
      </c>
      <c r="G842" t="s">
        <v>41</v>
      </c>
      <c r="H842" t="s">
        <v>42</v>
      </c>
      <c r="I842" t="s">
        <v>55</v>
      </c>
      <c r="J842" t="s">
        <v>26</v>
      </c>
      <c r="K842" t="s">
        <v>27</v>
      </c>
      <c r="L842" t="s">
        <v>28</v>
      </c>
      <c r="M842" s="4">
        <v>2</v>
      </c>
      <c r="N842" s="4">
        <v>7</v>
      </c>
      <c r="O842" t="s">
        <v>29</v>
      </c>
      <c r="P842" t="s">
        <v>36</v>
      </c>
      <c r="Q842" s="4">
        <v>390824</v>
      </c>
      <c r="R842" s="4">
        <v>293719</v>
      </c>
      <c r="S842" s="4">
        <f>Table1[[#This Row],[Service_Revenue]]-Table1[[#This Row],[Service_Cost]]</f>
        <v>97105</v>
      </c>
      <c r="T842" s="4">
        <v>4</v>
      </c>
      <c r="U842" s="4">
        <f>IF(AND(Table1[[#This Row],[Rework_Flag]]="Yes",Table1[[#This Row],[Warranty_Claim]]="No"),Table1[[#This Row],[Service_Revenue]],0)</f>
        <v>390824</v>
      </c>
      <c r="V842" s="4">
        <f>IF(Table1[[#This Row],[Warranty_Claim]]="Yes",1,0)</f>
        <v>0</v>
      </c>
      <c r="W842" s="4">
        <f>IF(Table1[[#This Row],[Rework_Flag]]="No",1,0)</f>
        <v>0</v>
      </c>
      <c r="X842" s="4">
        <f>IF(Table1[[#This Row],[Rework_Flag]]="Yes",1,0)</f>
        <v>1</v>
      </c>
      <c r="Y842" s="4">
        <v>1</v>
      </c>
      <c r="Z842" s="4" t="str">
        <f>IF(Table1[[#This Row],[TAT_Days]]&gt;Table1[[#This Row],[SLA_TAT]],"Yes","No")</f>
        <v>No</v>
      </c>
      <c r="AA842" s="4" t="str" cm="1">
        <f t="array" ref="AA842">_xlfn.IFS(Table1[[#This Row],[Customer_Satisfaction]]&lt;=2,"Poor",Table1[[#This Row],[Customer_Satisfaction]]=3,"Neutral",Table1[[#This Row],[Customer_Satisfaction]]=4,"Good",Table1[[#This Row],[Customer_Satisfaction]]=5,"Good")</f>
        <v>Good</v>
      </c>
    </row>
    <row r="843" spans="1:27" x14ac:dyDescent="0.35">
      <c r="A843">
        <v>20841</v>
      </c>
      <c r="B843" s="1">
        <v>45467</v>
      </c>
      <c r="C843" t="s">
        <v>50</v>
      </c>
      <c r="D843" t="s">
        <v>80</v>
      </c>
      <c r="E843" t="s">
        <v>121</v>
      </c>
      <c r="F843" t="s">
        <v>40</v>
      </c>
      <c r="G843" t="s">
        <v>54</v>
      </c>
      <c r="H843" t="s">
        <v>42</v>
      </c>
      <c r="I843" t="s">
        <v>55</v>
      </c>
      <c r="J843" t="s">
        <v>43</v>
      </c>
      <c r="K843" t="s">
        <v>44</v>
      </c>
      <c r="L843" t="s">
        <v>28</v>
      </c>
      <c r="M843" s="4">
        <v>17</v>
      </c>
      <c r="N843" s="4">
        <v>7</v>
      </c>
      <c r="O843" t="s">
        <v>36</v>
      </c>
      <c r="P843" t="s">
        <v>36</v>
      </c>
      <c r="Q843" s="4">
        <v>179034</v>
      </c>
      <c r="R843" s="4">
        <v>138588</v>
      </c>
      <c r="S843" s="4">
        <f>Table1[[#This Row],[Service_Revenue]]-Table1[[#This Row],[Service_Cost]]</f>
        <v>40446</v>
      </c>
      <c r="T843" s="4">
        <v>2</v>
      </c>
      <c r="U843" s="4">
        <f>IF(AND(Table1[[#This Row],[Rework_Flag]]="Yes",Table1[[#This Row],[Warranty_Claim]]="No"),Table1[[#This Row],[Service_Revenue]],0)</f>
        <v>0</v>
      </c>
      <c r="V843" s="4">
        <f>IF(Table1[[#This Row],[Warranty_Claim]]="Yes",1,0)</f>
        <v>0</v>
      </c>
      <c r="W843" s="4">
        <f>IF(Table1[[#This Row],[Rework_Flag]]="No",1,0)</f>
        <v>1</v>
      </c>
      <c r="X843" s="4">
        <f>IF(Table1[[#This Row],[Rework_Flag]]="Yes",1,0)</f>
        <v>0</v>
      </c>
      <c r="Y843" s="4">
        <v>1</v>
      </c>
      <c r="Z843" s="4" t="str">
        <f>IF(Table1[[#This Row],[TAT_Days]]&gt;Table1[[#This Row],[SLA_TAT]],"Yes","No")</f>
        <v>Yes</v>
      </c>
      <c r="AA843" s="4" t="str" cm="1">
        <f t="array" ref="AA843">_xlfn.IFS(Table1[[#This Row],[Customer_Satisfaction]]&lt;=2,"Poor",Table1[[#This Row],[Customer_Satisfaction]]=3,"Neutral",Table1[[#This Row],[Customer_Satisfaction]]=4,"Good",Table1[[#This Row],[Customer_Satisfaction]]=5,"Good")</f>
        <v>Poor</v>
      </c>
    </row>
    <row r="844" spans="1:27" x14ac:dyDescent="0.35">
      <c r="A844">
        <v>20842</v>
      </c>
      <c r="B844" s="1">
        <v>45458</v>
      </c>
      <c r="C844" t="s">
        <v>19</v>
      </c>
      <c r="D844" t="s">
        <v>96</v>
      </c>
      <c r="E844" t="s">
        <v>105</v>
      </c>
      <c r="F844" t="s">
        <v>22</v>
      </c>
      <c r="G844" t="s">
        <v>54</v>
      </c>
      <c r="H844" t="s">
        <v>42</v>
      </c>
      <c r="I844" t="s">
        <v>25</v>
      </c>
      <c r="J844" t="s">
        <v>43</v>
      </c>
      <c r="K844" t="s">
        <v>61</v>
      </c>
      <c r="L844" t="s">
        <v>28</v>
      </c>
      <c r="M844" s="4">
        <v>9</v>
      </c>
      <c r="N844" s="4">
        <v>7</v>
      </c>
      <c r="O844" t="s">
        <v>36</v>
      </c>
      <c r="P844" t="s">
        <v>36</v>
      </c>
      <c r="Q844" s="4">
        <v>158383</v>
      </c>
      <c r="R844" s="4">
        <v>133965</v>
      </c>
      <c r="S844" s="4">
        <f>Table1[[#This Row],[Service_Revenue]]-Table1[[#This Row],[Service_Cost]]</f>
        <v>24418</v>
      </c>
      <c r="T844" s="4">
        <v>4</v>
      </c>
      <c r="U844" s="4">
        <f>IF(AND(Table1[[#This Row],[Rework_Flag]]="Yes",Table1[[#This Row],[Warranty_Claim]]="No"),Table1[[#This Row],[Service_Revenue]],0)</f>
        <v>0</v>
      </c>
      <c r="V844" s="4">
        <f>IF(Table1[[#This Row],[Warranty_Claim]]="Yes",1,0)</f>
        <v>0</v>
      </c>
      <c r="W844" s="4">
        <f>IF(Table1[[#This Row],[Rework_Flag]]="No",1,0)</f>
        <v>1</v>
      </c>
      <c r="X844" s="4">
        <f>IF(Table1[[#This Row],[Rework_Flag]]="Yes",1,0)</f>
        <v>0</v>
      </c>
      <c r="Y844" s="4">
        <v>1</v>
      </c>
      <c r="Z844" s="4" t="str">
        <f>IF(Table1[[#This Row],[TAT_Days]]&gt;Table1[[#This Row],[SLA_TAT]],"Yes","No")</f>
        <v>Yes</v>
      </c>
      <c r="AA844" s="4" t="str" cm="1">
        <f t="array" ref="AA844">_xlfn.IFS(Table1[[#This Row],[Customer_Satisfaction]]&lt;=2,"Poor",Table1[[#This Row],[Customer_Satisfaction]]=3,"Neutral",Table1[[#This Row],[Customer_Satisfaction]]=4,"Good",Table1[[#This Row],[Customer_Satisfaction]]=5,"Good")</f>
        <v>Good</v>
      </c>
    </row>
    <row r="845" spans="1:27" x14ac:dyDescent="0.35">
      <c r="A845">
        <v>20843</v>
      </c>
      <c r="B845" s="1">
        <v>45413</v>
      </c>
      <c r="C845" t="s">
        <v>50</v>
      </c>
      <c r="D845" t="s">
        <v>80</v>
      </c>
      <c r="E845" t="s">
        <v>85</v>
      </c>
      <c r="F845" t="s">
        <v>53</v>
      </c>
      <c r="G845" t="s">
        <v>63</v>
      </c>
      <c r="H845" t="s">
        <v>24</v>
      </c>
      <c r="I845" t="s">
        <v>25</v>
      </c>
      <c r="J845" t="s">
        <v>35</v>
      </c>
      <c r="K845" t="s">
        <v>44</v>
      </c>
      <c r="L845" t="s">
        <v>28</v>
      </c>
      <c r="M845" s="4">
        <v>24</v>
      </c>
      <c r="N845" s="4">
        <v>7</v>
      </c>
      <c r="O845" t="s">
        <v>29</v>
      </c>
      <c r="P845" t="s">
        <v>36</v>
      </c>
      <c r="Q845" s="4">
        <v>218627</v>
      </c>
      <c r="R845" s="4">
        <v>133411</v>
      </c>
      <c r="S845" s="4">
        <f>Table1[[#This Row],[Service_Revenue]]-Table1[[#This Row],[Service_Cost]]</f>
        <v>85216</v>
      </c>
      <c r="T845" s="4">
        <v>1</v>
      </c>
      <c r="U845" s="4">
        <f>IF(AND(Table1[[#This Row],[Rework_Flag]]="Yes",Table1[[#This Row],[Warranty_Claim]]="No"),Table1[[#This Row],[Service_Revenue]],0)</f>
        <v>218627</v>
      </c>
      <c r="V845" s="4">
        <f>IF(Table1[[#This Row],[Warranty_Claim]]="Yes",1,0)</f>
        <v>0</v>
      </c>
      <c r="W845" s="4">
        <f>IF(Table1[[#This Row],[Rework_Flag]]="No",1,0)</f>
        <v>0</v>
      </c>
      <c r="X845" s="4">
        <f>IF(Table1[[#This Row],[Rework_Flag]]="Yes",1,0)</f>
        <v>1</v>
      </c>
      <c r="Y845" s="4">
        <v>1</v>
      </c>
      <c r="Z845" s="4" t="str">
        <f>IF(Table1[[#This Row],[TAT_Days]]&gt;Table1[[#This Row],[SLA_TAT]],"Yes","No")</f>
        <v>Yes</v>
      </c>
      <c r="AA845" s="4" t="str" cm="1">
        <f t="array" ref="AA845">_xlfn.IFS(Table1[[#This Row],[Customer_Satisfaction]]&lt;=2,"Poor",Table1[[#This Row],[Customer_Satisfaction]]=3,"Neutral",Table1[[#This Row],[Customer_Satisfaction]]=4,"Good",Table1[[#This Row],[Customer_Satisfaction]]=5,"Good")</f>
        <v>Poor</v>
      </c>
    </row>
    <row r="846" spans="1:27" x14ac:dyDescent="0.35">
      <c r="A846">
        <v>20844</v>
      </c>
      <c r="B846" s="1">
        <v>45333</v>
      </c>
      <c r="C846" t="s">
        <v>50</v>
      </c>
      <c r="D846" t="s">
        <v>51</v>
      </c>
      <c r="E846" t="s">
        <v>75</v>
      </c>
      <c r="F846" t="s">
        <v>22</v>
      </c>
      <c r="G846" t="s">
        <v>74</v>
      </c>
      <c r="H846" t="s">
        <v>34</v>
      </c>
      <c r="I846" t="s">
        <v>25</v>
      </c>
      <c r="J846" t="s">
        <v>35</v>
      </c>
      <c r="K846" t="s">
        <v>44</v>
      </c>
      <c r="L846" t="s">
        <v>49</v>
      </c>
      <c r="M846" s="4">
        <v>14</v>
      </c>
      <c r="N846" s="4">
        <v>7</v>
      </c>
      <c r="O846" t="s">
        <v>36</v>
      </c>
      <c r="P846" t="s">
        <v>36</v>
      </c>
      <c r="Q846" s="4">
        <v>225052</v>
      </c>
      <c r="R846" s="4">
        <v>153217</v>
      </c>
      <c r="S846" s="4">
        <f>Table1[[#This Row],[Service_Revenue]]-Table1[[#This Row],[Service_Cost]]</f>
        <v>71835</v>
      </c>
      <c r="T846" s="4">
        <v>3</v>
      </c>
      <c r="U846" s="4">
        <f>IF(AND(Table1[[#This Row],[Rework_Flag]]="Yes",Table1[[#This Row],[Warranty_Claim]]="No"),Table1[[#This Row],[Service_Revenue]],0)</f>
        <v>0</v>
      </c>
      <c r="V846" s="4">
        <f>IF(Table1[[#This Row],[Warranty_Claim]]="Yes",1,0)</f>
        <v>0</v>
      </c>
      <c r="W846" s="4">
        <f>IF(Table1[[#This Row],[Rework_Flag]]="No",1,0)</f>
        <v>1</v>
      </c>
      <c r="X846" s="4">
        <f>IF(Table1[[#This Row],[Rework_Flag]]="Yes",1,0)</f>
        <v>0</v>
      </c>
      <c r="Y846" s="4">
        <v>1</v>
      </c>
      <c r="Z846" s="4" t="str">
        <f>IF(Table1[[#This Row],[TAT_Days]]&gt;Table1[[#This Row],[SLA_TAT]],"Yes","No")</f>
        <v>Yes</v>
      </c>
      <c r="AA846" s="4" t="str" cm="1">
        <f t="array" ref="AA846">_xlfn.IFS(Table1[[#This Row],[Customer_Satisfaction]]&lt;=2,"Poor",Table1[[#This Row],[Customer_Satisfaction]]=3,"Neutral",Table1[[#This Row],[Customer_Satisfaction]]=4,"Good",Table1[[#This Row],[Customer_Satisfaction]]=5,"Good")</f>
        <v>Neutral</v>
      </c>
    </row>
    <row r="847" spans="1:27" x14ac:dyDescent="0.35">
      <c r="A847">
        <v>20845</v>
      </c>
      <c r="B847" s="1">
        <v>45292</v>
      </c>
      <c r="C847" t="s">
        <v>30</v>
      </c>
      <c r="D847" t="s">
        <v>59</v>
      </c>
      <c r="E847" t="s">
        <v>69</v>
      </c>
      <c r="F847" t="s">
        <v>40</v>
      </c>
      <c r="G847" t="s">
        <v>74</v>
      </c>
      <c r="H847" t="s">
        <v>34</v>
      </c>
      <c r="I847" t="s">
        <v>25</v>
      </c>
      <c r="J847" t="s">
        <v>43</v>
      </c>
      <c r="K847" t="s">
        <v>61</v>
      </c>
      <c r="L847" t="s">
        <v>28</v>
      </c>
      <c r="M847" s="4">
        <v>24</v>
      </c>
      <c r="N847" s="4">
        <v>7</v>
      </c>
      <c r="O847" t="s">
        <v>29</v>
      </c>
      <c r="P847" t="s">
        <v>29</v>
      </c>
      <c r="Q847" s="4">
        <v>98657</v>
      </c>
      <c r="R847" s="4">
        <v>64247</v>
      </c>
      <c r="S847" s="4">
        <f>Table1[[#This Row],[Service_Revenue]]-Table1[[#This Row],[Service_Cost]]</f>
        <v>34410</v>
      </c>
      <c r="T847" s="4">
        <v>1</v>
      </c>
      <c r="U847" s="4">
        <f>IF(AND(Table1[[#This Row],[Rework_Flag]]="Yes",Table1[[#This Row],[Warranty_Claim]]="No"),Table1[[#This Row],[Service_Revenue]],0)</f>
        <v>0</v>
      </c>
      <c r="V847" s="4">
        <f>IF(Table1[[#This Row],[Warranty_Claim]]="Yes",1,0)</f>
        <v>1</v>
      </c>
      <c r="W847" s="4">
        <f>IF(Table1[[#This Row],[Rework_Flag]]="No",1,0)</f>
        <v>0</v>
      </c>
      <c r="X847" s="4">
        <f>IF(Table1[[#This Row],[Rework_Flag]]="Yes",1,0)</f>
        <v>1</v>
      </c>
      <c r="Y847" s="4">
        <v>1</v>
      </c>
      <c r="Z847" s="4" t="str">
        <f>IF(Table1[[#This Row],[TAT_Days]]&gt;Table1[[#This Row],[SLA_TAT]],"Yes","No")</f>
        <v>Yes</v>
      </c>
      <c r="AA847" s="4" t="str" cm="1">
        <f t="array" ref="AA847">_xlfn.IFS(Table1[[#This Row],[Customer_Satisfaction]]&lt;=2,"Poor",Table1[[#This Row],[Customer_Satisfaction]]=3,"Neutral",Table1[[#This Row],[Customer_Satisfaction]]=4,"Good",Table1[[#This Row],[Customer_Satisfaction]]=5,"Good")</f>
        <v>Poor</v>
      </c>
    </row>
    <row r="848" spans="1:27" x14ac:dyDescent="0.35">
      <c r="A848">
        <v>20846</v>
      </c>
      <c r="B848" s="1">
        <v>45377</v>
      </c>
      <c r="C848" t="s">
        <v>50</v>
      </c>
      <c r="D848" t="s">
        <v>80</v>
      </c>
      <c r="E848" t="s">
        <v>104</v>
      </c>
      <c r="F848" t="s">
        <v>22</v>
      </c>
      <c r="G848" t="s">
        <v>47</v>
      </c>
      <c r="H848" t="s">
        <v>48</v>
      </c>
      <c r="I848" t="s">
        <v>25</v>
      </c>
      <c r="J848" t="s">
        <v>26</v>
      </c>
      <c r="K848" t="s">
        <v>27</v>
      </c>
      <c r="L848" t="s">
        <v>28</v>
      </c>
      <c r="M848" s="4">
        <v>18</v>
      </c>
      <c r="N848" s="4">
        <v>7</v>
      </c>
      <c r="O848" t="s">
        <v>29</v>
      </c>
      <c r="P848" t="s">
        <v>36</v>
      </c>
      <c r="Q848" s="4">
        <v>381805</v>
      </c>
      <c r="R848" s="4">
        <v>279888</v>
      </c>
      <c r="S848" s="4">
        <f>Table1[[#This Row],[Service_Revenue]]-Table1[[#This Row],[Service_Cost]]</f>
        <v>101917</v>
      </c>
      <c r="T848" s="4">
        <v>1</v>
      </c>
      <c r="U848" s="4">
        <f>IF(AND(Table1[[#This Row],[Rework_Flag]]="Yes",Table1[[#This Row],[Warranty_Claim]]="No"),Table1[[#This Row],[Service_Revenue]],0)</f>
        <v>381805</v>
      </c>
      <c r="V848" s="4">
        <f>IF(Table1[[#This Row],[Warranty_Claim]]="Yes",1,0)</f>
        <v>0</v>
      </c>
      <c r="W848" s="4">
        <f>IF(Table1[[#This Row],[Rework_Flag]]="No",1,0)</f>
        <v>0</v>
      </c>
      <c r="X848" s="4">
        <f>IF(Table1[[#This Row],[Rework_Flag]]="Yes",1,0)</f>
        <v>1</v>
      </c>
      <c r="Y848" s="4">
        <v>1</v>
      </c>
      <c r="Z848" s="4" t="str">
        <f>IF(Table1[[#This Row],[TAT_Days]]&gt;Table1[[#This Row],[SLA_TAT]],"Yes","No")</f>
        <v>Yes</v>
      </c>
      <c r="AA848" s="4" t="str" cm="1">
        <f t="array" ref="AA848">_xlfn.IFS(Table1[[#This Row],[Customer_Satisfaction]]&lt;=2,"Poor",Table1[[#This Row],[Customer_Satisfaction]]=3,"Neutral",Table1[[#This Row],[Customer_Satisfaction]]=4,"Good",Table1[[#This Row],[Customer_Satisfaction]]=5,"Good")</f>
        <v>Poor</v>
      </c>
    </row>
    <row r="849" spans="1:27" x14ac:dyDescent="0.35">
      <c r="A849">
        <v>20847</v>
      </c>
      <c r="B849" s="1">
        <v>45301</v>
      </c>
      <c r="C849" t="s">
        <v>50</v>
      </c>
      <c r="D849" t="s">
        <v>80</v>
      </c>
      <c r="E849" t="s">
        <v>81</v>
      </c>
      <c r="F849" t="s">
        <v>22</v>
      </c>
      <c r="G849" t="s">
        <v>54</v>
      </c>
      <c r="H849" t="s">
        <v>42</v>
      </c>
      <c r="I849" t="s">
        <v>55</v>
      </c>
      <c r="J849" t="s">
        <v>58</v>
      </c>
      <c r="K849" t="s">
        <v>44</v>
      </c>
      <c r="L849" t="s">
        <v>28</v>
      </c>
      <c r="M849" s="4">
        <v>21</v>
      </c>
      <c r="N849" s="4">
        <v>7</v>
      </c>
      <c r="O849" t="s">
        <v>29</v>
      </c>
      <c r="P849" t="s">
        <v>29</v>
      </c>
      <c r="Q849" s="4">
        <v>271167</v>
      </c>
      <c r="R849" s="4">
        <v>143636</v>
      </c>
      <c r="S849" s="4">
        <f>Table1[[#This Row],[Service_Revenue]]-Table1[[#This Row],[Service_Cost]]</f>
        <v>127531</v>
      </c>
      <c r="T849" s="4">
        <v>1</v>
      </c>
      <c r="U849" s="4">
        <f>IF(AND(Table1[[#This Row],[Rework_Flag]]="Yes",Table1[[#This Row],[Warranty_Claim]]="No"),Table1[[#This Row],[Service_Revenue]],0)</f>
        <v>0</v>
      </c>
      <c r="V849" s="4">
        <f>IF(Table1[[#This Row],[Warranty_Claim]]="Yes",1,0)</f>
        <v>1</v>
      </c>
      <c r="W849" s="4">
        <f>IF(Table1[[#This Row],[Rework_Flag]]="No",1,0)</f>
        <v>0</v>
      </c>
      <c r="X849" s="4">
        <f>IF(Table1[[#This Row],[Rework_Flag]]="Yes",1,0)</f>
        <v>1</v>
      </c>
      <c r="Y849" s="4">
        <v>1</v>
      </c>
      <c r="Z849" s="4" t="str">
        <f>IF(Table1[[#This Row],[TAT_Days]]&gt;Table1[[#This Row],[SLA_TAT]],"Yes","No")</f>
        <v>Yes</v>
      </c>
      <c r="AA849" s="4" t="str" cm="1">
        <f t="array" ref="AA849">_xlfn.IFS(Table1[[#This Row],[Customer_Satisfaction]]&lt;=2,"Poor",Table1[[#This Row],[Customer_Satisfaction]]=3,"Neutral",Table1[[#This Row],[Customer_Satisfaction]]=4,"Good",Table1[[#This Row],[Customer_Satisfaction]]=5,"Good")</f>
        <v>Poor</v>
      </c>
    </row>
    <row r="850" spans="1:27" x14ac:dyDescent="0.35">
      <c r="A850">
        <v>20848</v>
      </c>
      <c r="B850" s="1">
        <v>45322</v>
      </c>
      <c r="C850" t="s">
        <v>19</v>
      </c>
      <c r="D850" t="s">
        <v>96</v>
      </c>
      <c r="E850" t="s">
        <v>105</v>
      </c>
      <c r="F850" t="s">
        <v>53</v>
      </c>
      <c r="G850" t="s">
        <v>47</v>
      </c>
      <c r="H850" t="s">
        <v>48</v>
      </c>
      <c r="I850" t="s">
        <v>55</v>
      </c>
      <c r="J850" t="s">
        <v>67</v>
      </c>
      <c r="K850" t="s">
        <v>61</v>
      </c>
      <c r="L850" t="s">
        <v>49</v>
      </c>
      <c r="M850" s="4">
        <v>19</v>
      </c>
      <c r="N850" s="4">
        <v>7</v>
      </c>
      <c r="O850" t="s">
        <v>36</v>
      </c>
      <c r="P850" t="s">
        <v>36</v>
      </c>
      <c r="Q850" s="4">
        <v>393431</v>
      </c>
      <c r="R850" s="4">
        <v>200922</v>
      </c>
      <c r="S850" s="4">
        <f>Table1[[#This Row],[Service_Revenue]]-Table1[[#This Row],[Service_Cost]]</f>
        <v>192509</v>
      </c>
      <c r="T850" s="4">
        <v>2</v>
      </c>
      <c r="U850" s="4">
        <f>IF(AND(Table1[[#This Row],[Rework_Flag]]="Yes",Table1[[#This Row],[Warranty_Claim]]="No"),Table1[[#This Row],[Service_Revenue]],0)</f>
        <v>0</v>
      </c>
      <c r="V850" s="4">
        <f>IF(Table1[[#This Row],[Warranty_Claim]]="Yes",1,0)</f>
        <v>0</v>
      </c>
      <c r="W850" s="4">
        <f>IF(Table1[[#This Row],[Rework_Flag]]="No",1,0)</f>
        <v>1</v>
      </c>
      <c r="X850" s="4">
        <f>IF(Table1[[#This Row],[Rework_Flag]]="Yes",1,0)</f>
        <v>0</v>
      </c>
      <c r="Y850" s="4">
        <v>1</v>
      </c>
      <c r="Z850" s="4" t="str">
        <f>IF(Table1[[#This Row],[TAT_Days]]&gt;Table1[[#This Row],[SLA_TAT]],"Yes","No")</f>
        <v>Yes</v>
      </c>
      <c r="AA850" s="4" t="str" cm="1">
        <f t="array" ref="AA850">_xlfn.IFS(Table1[[#This Row],[Customer_Satisfaction]]&lt;=2,"Poor",Table1[[#This Row],[Customer_Satisfaction]]=3,"Neutral",Table1[[#This Row],[Customer_Satisfaction]]=4,"Good",Table1[[#This Row],[Customer_Satisfaction]]=5,"Good")</f>
        <v>Poor</v>
      </c>
    </row>
    <row r="851" spans="1:27" x14ac:dyDescent="0.35">
      <c r="A851">
        <v>20849</v>
      </c>
      <c r="B851" s="1">
        <v>45334</v>
      </c>
      <c r="C851" t="s">
        <v>37</v>
      </c>
      <c r="D851" t="s">
        <v>38</v>
      </c>
      <c r="E851" t="s">
        <v>112</v>
      </c>
      <c r="F851" t="s">
        <v>40</v>
      </c>
      <c r="G851" t="s">
        <v>41</v>
      </c>
      <c r="H851" t="s">
        <v>42</v>
      </c>
      <c r="I851" t="s">
        <v>25</v>
      </c>
      <c r="J851" t="s">
        <v>67</v>
      </c>
      <c r="K851" t="s">
        <v>27</v>
      </c>
      <c r="L851" t="s">
        <v>28</v>
      </c>
      <c r="M851" s="4">
        <v>14</v>
      </c>
      <c r="N851" s="4">
        <v>7</v>
      </c>
      <c r="O851" t="s">
        <v>29</v>
      </c>
      <c r="P851" t="s">
        <v>29</v>
      </c>
      <c r="Q851" s="4">
        <v>550229</v>
      </c>
      <c r="R851" s="4">
        <v>426703</v>
      </c>
      <c r="S851" s="4">
        <f>Table1[[#This Row],[Service_Revenue]]-Table1[[#This Row],[Service_Cost]]</f>
        <v>123526</v>
      </c>
      <c r="T851" s="4">
        <v>2</v>
      </c>
      <c r="U851" s="4">
        <f>IF(AND(Table1[[#This Row],[Rework_Flag]]="Yes",Table1[[#This Row],[Warranty_Claim]]="No"),Table1[[#This Row],[Service_Revenue]],0)</f>
        <v>0</v>
      </c>
      <c r="V851" s="4">
        <f>IF(Table1[[#This Row],[Warranty_Claim]]="Yes",1,0)</f>
        <v>1</v>
      </c>
      <c r="W851" s="4">
        <f>IF(Table1[[#This Row],[Rework_Flag]]="No",1,0)</f>
        <v>0</v>
      </c>
      <c r="X851" s="4">
        <f>IF(Table1[[#This Row],[Rework_Flag]]="Yes",1,0)</f>
        <v>1</v>
      </c>
      <c r="Y851" s="4">
        <v>1</v>
      </c>
      <c r="Z851" s="4" t="str">
        <f>IF(Table1[[#This Row],[TAT_Days]]&gt;Table1[[#This Row],[SLA_TAT]],"Yes","No")</f>
        <v>Yes</v>
      </c>
      <c r="AA851" s="4" t="str" cm="1">
        <f t="array" ref="AA851">_xlfn.IFS(Table1[[#This Row],[Customer_Satisfaction]]&lt;=2,"Poor",Table1[[#This Row],[Customer_Satisfaction]]=3,"Neutral",Table1[[#This Row],[Customer_Satisfaction]]=4,"Good",Table1[[#This Row],[Customer_Satisfaction]]=5,"Good")</f>
        <v>Poor</v>
      </c>
    </row>
    <row r="852" spans="1:27" x14ac:dyDescent="0.35">
      <c r="A852">
        <v>20850</v>
      </c>
      <c r="B852" s="1">
        <v>45453</v>
      </c>
      <c r="C852" t="s">
        <v>30</v>
      </c>
      <c r="D852" t="s">
        <v>59</v>
      </c>
      <c r="E852" t="s">
        <v>66</v>
      </c>
      <c r="F852" t="s">
        <v>53</v>
      </c>
      <c r="G852" t="s">
        <v>54</v>
      </c>
      <c r="H852" t="s">
        <v>42</v>
      </c>
      <c r="I852" t="s">
        <v>55</v>
      </c>
      <c r="J852" t="s">
        <v>67</v>
      </c>
      <c r="K852" t="s">
        <v>27</v>
      </c>
      <c r="L852" t="s">
        <v>28</v>
      </c>
      <c r="M852" s="4">
        <v>12</v>
      </c>
      <c r="N852" s="4">
        <v>7</v>
      </c>
      <c r="O852" t="s">
        <v>29</v>
      </c>
      <c r="P852" t="s">
        <v>36</v>
      </c>
      <c r="Q852" s="4">
        <v>526957</v>
      </c>
      <c r="R852" s="4">
        <v>379798</v>
      </c>
      <c r="S852" s="4">
        <f>Table1[[#This Row],[Service_Revenue]]-Table1[[#This Row],[Service_Cost]]</f>
        <v>147159</v>
      </c>
      <c r="T852" s="4">
        <v>2</v>
      </c>
      <c r="U852" s="4">
        <f>IF(AND(Table1[[#This Row],[Rework_Flag]]="Yes",Table1[[#This Row],[Warranty_Claim]]="No"),Table1[[#This Row],[Service_Revenue]],0)</f>
        <v>526957</v>
      </c>
      <c r="V852" s="4">
        <f>IF(Table1[[#This Row],[Warranty_Claim]]="Yes",1,0)</f>
        <v>0</v>
      </c>
      <c r="W852" s="4">
        <f>IF(Table1[[#This Row],[Rework_Flag]]="No",1,0)</f>
        <v>0</v>
      </c>
      <c r="X852" s="4">
        <f>IF(Table1[[#This Row],[Rework_Flag]]="Yes",1,0)</f>
        <v>1</v>
      </c>
      <c r="Y852" s="4">
        <v>1</v>
      </c>
      <c r="Z852" s="4" t="str">
        <f>IF(Table1[[#This Row],[TAT_Days]]&gt;Table1[[#This Row],[SLA_TAT]],"Yes","No")</f>
        <v>Yes</v>
      </c>
      <c r="AA852" s="4" t="str" cm="1">
        <f t="array" ref="AA852">_xlfn.IFS(Table1[[#This Row],[Customer_Satisfaction]]&lt;=2,"Poor",Table1[[#This Row],[Customer_Satisfaction]]=3,"Neutral",Table1[[#This Row],[Customer_Satisfaction]]=4,"Good",Table1[[#This Row],[Customer_Satisfaction]]=5,"Good")</f>
        <v>Poor</v>
      </c>
    </row>
    <row r="853" spans="1:27" x14ac:dyDescent="0.35">
      <c r="A853">
        <v>20851</v>
      </c>
      <c r="B853" s="1">
        <v>45461</v>
      </c>
      <c r="C853" t="s">
        <v>19</v>
      </c>
      <c r="D853" t="s">
        <v>96</v>
      </c>
      <c r="E853" t="s">
        <v>97</v>
      </c>
      <c r="F853" t="s">
        <v>22</v>
      </c>
      <c r="G853" t="s">
        <v>41</v>
      </c>
      <c r="H853" t="s">
        <v>42</v>
      </c>
      <c r="I853" t="s">
        <v>25</v>
      </c>
      <c r="J853" t="s">
        <v>35</v>
      </c>
      <c r="K853" t="s">
        <v>27</v>
      </c>
      <c r="L853" t="s">
        <v>28</v>
      </c>
      <c r="M853" s="4">
        <v>3</v>
      </c>
      <c r="N853" s="4">
        <v>7</v>
      </c>
      <c r="O853" t="s">
        <v>36</v>
      </c>
      <c r="P853" t="s">
        <v>29</v>
      </c>
      <c r="Q853" s="4">
        <v>470193</v>
      </c>
      <c r="R853" s="4">
        <v>359965</v>
      </c>
      <c r="S853" s="4">
        <f>Table1[[#This Row],[Service_Revenue]]-Table1[[#This Row],[Service_Cost]]</f>
        <v>110228</v>
      </c>
      <c r="T853" s="4">
        <v>5</v>
      </c>
      <c r="U853" s="4">
        <f>IF(AND(Table1[[#This Row],[Rework_Flag]]="Yes",Table1[[#This Row],[Warranty_Claim]]="No"),Table1[[#This Row],[Service_Revenue]],0)</f>
        <v>0</v>
      </c>
      <c r="V853" s="4">
        <f>IF(Table1[[#This Row],[Warranty_Claim]]="Yes",1,0)</f>
        <v>1</v>
      </c>
      <c r="W853" s="4">
        <f>IF(Table1[[#This Row],[Rework_Flag]]="No",1,0)</f>
        <v>1</v>
      </c>
      <c r="X853" s="4">
        <f>IF(Table1[[#This Row],[Rework_Flag]]="Yes",1,0)</f>
        <v>0</v>
      </c>
      <c r="Y853" s="4">
        <v>1</v>
      </c>
      <c r="Z853" s="4" t="str">
        <f>IF(Table1[[#This Row],[TAT_Days]]&gt;Table1[[#This Row],[SLA_TAT]],"Yes","No")</f>
        <v>No</v>
      </c>
      <c r="AA853" s="4" t="str" cm="1">
        <f t="array" ref="AA853">_xlfn.IFS(Table1[[#This Row],[Customer_Satisfaction]]&lt;=2,"Poor",Table1[[#This Row],[Customer_Satisfaction]]=3,"Neutral",Table1[[#This Row],[Customer_Satisfaction]]=4,"Good",Table1[[#This Row],[Customer_Satisfaction]]=5,"Good")</f>
        <v>Good</v>
      </c>
    </row>
    <row r="854" spans="1:27" x14ac:dyDescent="0.35">
      <c r="A854">
        <v>20852</v>
      </c>
      <c r="B854" s="1">
        <v>45332</v>
      </c>
      <c r="C854" t="s">
        <v>19</v>
      </c>
      <c r="D854" t="s">
        <v>20</v>
      </c>
      <c r="E854" t="s">
        <v>117</v>
      </c>
      <c r="F854" t="s">
        <v>40</v>
      </c>
      <c r="G854" t="s">
        <v>63</v>
      </c>
      <c r="H854" t="s">
        <v>24</v>
      </c>
      <c r="I854" t="s">
        <v>25</v>
      </c>
      <c r="J854" t="s">
        <v>35</v>
      </c>
      <c r="K854" t="s">
        <v>27</v>
      </c>
      <c r="L854" t="s">
        <v>49</v>
      </c>
      <c r="M854" s="4">
        <v>12</v>
      </c>
      <c r="N854" s="4">
        <v>7</v>
      </c>
      <c r="O854" t="s">
        <v>29</v>
      </c>
      <c r="P854" t="s">
        <v>36</v>
      </c>
      <c r="Q854" s="4">
        <v>590830</v>
      </c>
      <c r="R854" s="4">
        <v>432686</v>
      </c>
      <c r="S854" s="4">
        <f>Table1[[#This Row],[Service_Revenue]]-Table1[[#This Row],[Service_Cost]]</f>
        <v>158144</v>
      </c>
      <c r="T854" s="4">
        <v>2</v>
      </c>
      <c r="U854" s="4">
        <f>IF(AND(Table1[[#This Row],[Rework_Flag]]="Yes",Table1[[#This Row],[Warranty_Claim]]="No"),Table1[[#This Row],[Service_Revenue]],0)</f>
        <v>590830</v>
      </c>
      <c r="V854" s="4">
        <f>IF(Table1[[#This Row],[Warranty_Claim]]="Yes",1,0)</f>
        <v>0</v>
      </c>
      <c r="W854" s="4">
        <f>IF(Table1[[#This Row],[Rework_Flag]]="No",1,0)</f>
        <v>0</v>
      </c>
      <c r="X854" s="4">
        <f>IF(Table1[[#This Row],[Rework_Flag]]="Yes",1,0)</f>
        <v>1</v>
      </c>
      <c r="Y854" s="4">
        <v>1</v>
      </c>
      <c r="Z854" s="4" t="str">
        <f>IF(Table1[[#This Row],[TAT_Days]]&gt;Table1[[#This Row],[SLA_TAT]],"Yes","No")</f>
        <v>Yes</v>
      </c>
      <c r="AA854" s="4" t="str" cm="1">
        <f t="array" ref="AA854">_xlfn.IFS(Table1[[#This Row],[Customer_Satisfaction]]&lt;=2,"Poor",Table1[[#This Row],[Customer_Satisfaction]]=3,"Neutral",Table1[[#This Row],[Customer_Satisfaction]]=4,"Good",Table1[[#This Row],[Customer_Satisfaction]]=5,"Good")</f>
        <v>Poor</v>
      </c>
    </row>
    <row r="855" spans="1:27" x14ac:dyDescent="0.35">
      <c r="A855">
        <v>20853</v>
      </c>
      <c r="B855" s="1">
        <v>45464</v>
      </c>
      <c r="C855" t="s">
        <v>30</v>
      </c>
      <c r="D855" t="s">
        <v>83</v>
      </c>
      <c r="E855" t="s">
        <v>119</v>
      </c>
      <c r="F855" t="s">
        <v>22</v>
      </c>
      <c r="G855" t="s">
        <v>23</v>
      </c>
      <c r="H855" t="s">
        <v>24</v>
      </c>
      <c r="I855" t="s">
        <v>55</v>
      </c>
      <c r="J855" t="s">
        <v>43</v>
      </c>
      <c r="K855" t="s">
        <v>27</v>
      </c>
      <c r="L855" t="s">
        <v>28</v>
      </c>
      <c r="M855" s="4">
        <v>11</v>
      </c>
      <c r="N855" s="4">
        <v>7</v>
      </c>
      <c r="O855" t="s">
        <v>29</v>
      </c>
      <c r="P855" t="s">
        <v>36</v>
      </c>
      <c r="Q855" s="4">
        <v>343267</v>
      </c>
      <c r="R855" s="4">
        <v>277803</v>
      </c>
      <c r="S855" s="4">
        <f>Table1[[#This Row],[Service_Revenue]]-Table1[[#This Row],[Service_Cost]]</f>
        <v>65464</v>
      </c>
      <c r="T855" s="4">
        <v>2</v>
      </c>
      <c r="U855" s="4">
        <f>IF(AND(Table1[[#This Row],[Rework_Flag]]="Yes",Table1[[#This Row],[Warranty_Claim]]="No"),Table1[[#This Row],[Service_Revenue]],0)</f>
        <v>343267</v>
      </c>
      <c r="V855" s="4">
        <f>IF(Table1[[#This Row],[Warranty_Claim]]="Yes",1,0)</f>
        <v>0</v>
      </c>
      <c r="W855" s="4">
        <f>IF(Table1[[#This Row],[Rework_Flag]]="No",1,0)</f>
        <v>0</v>
      </c>
      <c r="X855" s="4">
        <f>IF(Table1[[#This Row],[Rework_Flag]]="Yes",1,0)</f>
        <v>1</v>
      </c>
      <c r="Y855" s="4">
        <v>1</v>
      </c>
      <c r="Z855" s="4" t="str">
        <f>IF(Table1[[#This Row],[TAT_Days]]&gt;Table1[[#This Row],[SLA_TAT]],"Yes","No")</f>
        <v>Yes</v>
      </c>
      <c r="AA855" s="4" t="str" cm="1">
        <f t="array" ref="AA855">_xlfn.IFS(Table1[[#This Row],[Customer_Satisfaction]]&lt;=2,"Poor",Table1[[#This Row],[Customer_Satisfaction]]=3,"Neutral",Table1[[#This Row],[Customer_Satisfaction]]=4,"Good",Table1[[#This Row],[Customer_Satisfaction]]=5,"Good")</f>
        <v>Poor</v>
      </c>
    </row>
    <row r="856" spans="1:27" x14ac:dyDescent="0.35">
      <c r="A856">
        <v>20854</v>
      </c>
      <c r="B856" s="1">
        <v>45364</v>
      </c>
      <c r="C856" t="s">
        <v>50</v>
      </c>
      <c r="D856" t="s">
        <v>56</v>
      </c>
      <c r="E856" t="s">
        <v>57</v>
      </c>
      <c r="F856" t="s">
        <v>22</v>
      </c>
      <c r="G856" t="s">
        <v>23</v>
      </c>
      <c r="H856" t="s">
        <v>24</v>
      </c>
      <c r="I856" t="s">
        <v>25</v>
      </c>
      <c r="J856" t="s">
        <v>26</v>
      </c>
      <c r="K856" t="s">
        <v>61</v>
      </c>
      <c r="L856" t="s">
        <v>28</v>
      </c>
      <c r="M856" s="4">
        <v>10</v>
      </c>
      <c r="N856" s="4">
        <v>7</v>
      </c>
      <c r="O856" t="s">
        <v>29</v>
      </c>
      <c r="P856" t="s">
        <v>36</v>
      </c>
      <c r="Q856" s="4">
        <v>268355</v>
      </c>
      <c r="R856" s="4">
        <v>204744</v>
      </c>
      <c r="S856" s="4">
        <f>Table1[[#This Row],[Service_Revenue]]-Table1[[#This Row],[Service_Cost]]</f>
        <v>63611</v>
      </c>
      <c r="T856" s="4">
        <v>2</v>
      </c>
      <c r="U856" s="4">
        <f>IF(AND(Table1[[#This Row],[Rework_Flag]]="Yes",Table1[[#This Row],[Warranty_Claim]]="No"),Table1[[#This Row],[Service_Revenue]],0)</f>
        <v>268355</v>
      </c>
      <c r="V856" s="4">
        <f>IF(Table1[[#This Row],[Warranty_Claim]]="Yes",1,0)</f>
        <v>0</v>
      </c>
      <c r="W856" s="4">
        <f>IF(Table1[[#This Row],[Rework_Flag]]="No",1,0)</f>
        <v>0</v>
      </c>
      <c r="X856" s="4">
        <f>IF(Table1[[#This Row],[Rework_Flag]]="Yes",1,0)</f>
        <v>1</v>
      </c>
      <c r="Y856" s="4">
        <v>1</v>
      </c>
      <c r="Z856" s="4" t="str">
        <f>IF(Table1[[#This Row],[TAT_Days]]&gt;Table1[[#This Row],[SLA_TAT]],"Yes","No")</f>
        <v>Yes</v>
      </c>
      <c r="AA856" s="4" t="str" cm="1">
        <f t="array" ref="AA856">_xlfn.IFS(Table1[[#This Row],[Customer_Satisfaction]]&lt;=2,"Poor",Table1[[#This Row],[Customer_Satisfaction]]=3,"Neutral",Table1[[#This Row],[Customer_Satisfaction]]=4,"Good",Table1[[#This Row],[Customer_Satisfaction]]=5,"Good")</f>
        <v>Poor</v>
      </c>
    </row>
    <row r="857" spans="1:27" x14ac:dyDescent="0.35">
      <c r="A857">
        <v>20855</v>
      </c>
      <c r="B857" s="1">
        <v>45364</v>
      </c>
      <c r="C857" t="s">
        <v>50</v>
      </c>
      <c r="D857" t="s">
        <v>80</v>
      </c>
      <c r="E857" t="s">
        <v>121</v>
      </c>
      <c r="F857" t="s">
        <v>22</v>
      </c>
      <c r="G857" t="s">
        <v>33</v>
      </c>
      <c r="H857" t="s">
        <v>34</v>
      </c>
      <c r="I857" t="s">
        <v>55</v>
      </c>
      <c r="J857" t="s">
        <v>67</v>
      </c>
      <c r="K857" t="s">
        <v>61</v>
      </c>
      <c r="L857" t="s">
        <v>28</v>
      </c>
      <c r="M857" s="4">
        <v>14</v>
      </c>
      <c r="N857" s="4">
        <v>7</v>
      </c>
      <c r="O857" t="s">
        <v>36</v>
      </c>
      <c r="P857" t="s">
        <v>29</v>
      </c>
      <c r="Q857" s="4">
        <v>442791</v>
      </c>
      <c r="R857" s="4">
        <v>299610</v>
      </c>
      <c r="S857" s="4">
        <f>Table1[[#This Row],[Service_Revenue]]-Table1[[#This Row],[Service_Cost]]</f>
        <v>143181</v>
      </c>
      <c r="T857" s="4">
        <v>3</v>
      </c>
      <c r="U857" s="4">
        <f>IF(AND(Table1[[#This Row],[Rework_Flag]]="Yes",Table1[[#This Row],[Warranty_Claim]]="No"),Table1[[#This Row],[Service_Revenue]],0)</f>
        <v>0</v>
      </c>
      <c r="V857" s="4">
        <f>IF(Table1[[#This Row],[Warranty_Claim]]="Yes",1,0)</f>
        <v>1</v>
      </c>
      <c r="W857" s="4">
        <f>IF(Table1[[#This Row],[Rework_Flag]]="No",1,0)</f>
        <v>1</v>
      </c>
      <c r="X857" s="4">
        <f>IF(Table1[[#This Row],[Rework_Flag]]="Yes",1,0)</f>
        <v>0</v>
      </c>
      <c r="Y857" s="4">
        <v>1</v>
      </c>
      <c r="Z857" s="4" t="str">
        <f>IF(Table1[[#This Row],[TAT_Days]]&gt;Table1[[#This Row],[SLA_TAT]],"Yes","No")</f>
        <v>Yes</v>
      </c>
      <c r="AA857" s="4" t="str" cm="1">
        <f t="array" ref="AA857">_xlfn.IFS(Table1[[#This Row],[Customer_Satisfaction]]&lt;=2,"Poor",Table1[[#This Row],[Customer_Satisfaction]]=3,"Neutral",Table1[[#This Row],[Customer_Satisfaction]]=4,"Good",Table1[[#This Row],[Customer_Satisfaction]]=5,"Good")</f>
        <v>Neutral</v>
      </c>
    </row>
    <row r="858" spans="1:27" x14ac:dyDescent="0.35">
      <c r="A858">
        <v>20856</v>
      </c>
      <c r="B858" s="1">
        <v>45337</v>
      </c>
      <c r="C858" t="s">
        <v>19</v>
      </c>
      <c r="D858" t="s">
        <v>96</v>
      </c>
      <c r="E858" t="s">
        <v>109</v>
      </c>
      <c r="F858" t="s">
        <v>22</v>
      </c>
      <c r="G858" t="s">
        <v>54</v>
      </c>
      <c r="H858" t="s">
        <v>42</v>
      </c>
      <c r="I858" t="s">
        <v>55</v>
      </c>
      <c r="J858" t="s">
        <v>26</v>
      </c>
      <c r="K858" t="s">
        <v>44</v>
      </c>
      <c r="L858" t="s">
        <v>28</v>
      </c>
      <c r="M858" s="4">
        <v>2</v>
      </c>
      <c r="N858" s="4">
        <v>7</v>
      </c>
      <c r="O858" t="s">
        <v>36</v>
      </c>
      <c r="P858" t="s">
        <v>36</v>
      </c>
      <c r="Q858" s="4">
        <v>359456</v>
      </c>
      <c r="R858" s="4">
        <v>244229</v>
      </c>
      <c r="S858" s="4">
        <f>Table1[[#This Row],[Service_Revenue]]-Table1[[#This Row],[Service_Cost]]</f>
        <v>115227</v>
      </c>
      <c r="T858" s="4">
        <v>5</v>
      </c>
      <c r="U858" s="4">
        <f>IF(AND(Table1[[#This Row],[Rework_Flag]]="Yes",Table1[[#This Row],[Warranty_Claim]]="No"),Table1[[#This Row],[Service_Revenue]],0)</f>
        <v>0</v>
      </c>
      <c r="V858" s="4">
        <f>IF(Table1[[#This Row],[Warranty_Claim]]="Yes",1,0)</f>
        <v>0</v>
      </c>
      <c r="W858" s="4">
        <f>IF(Table1[[#This Row],[Rework_Flag]]="No",1,0)</f>
        <v>1</v>
      </c>
      <c r="X858" s="4">
        <f>IF(Table1[[#This Row],[Rework_Flag]]="Yes",1,0)</f>
        <v>0</v>
      </c>
      <c r="Y858" s="4">
        <v>1</v>
      </c>
      <c r="Z858" s="4" t="str">
        <f>IF(Table1[[#This Row],[TAT_Days]]&gt;Table1[[#This Row],[SLA_TAT]],"Yes","No")</f>
        <v>No</v>
      </c>
      <c r="AA858" s="4" t="str" cm="1">
        <f t="array" ref="AA858">_xlfn.IFS(Table1[[#This Row],[Customer_Satisfaction]]&lt;=2,"Poor",Table1[[#This Row],[Customer_Satisfaction]]=3,"Neutral",Table1[[#This Row],[Customer_Satisfaction]]=4,"Good",Table1[[#This Row],[Customer_Satisfaction]]=5,"Good")</f>
        <v>Good</v>
      </c>
    </row>
    <row r="859" spans="1:27" x14ac:dyDescent="0.35">
      <c r="A859">
        <v>20857</v>
      </c>
      <c r="B859" s="1">
        <v>45313</v>
      </c>
      <c r="C859" t="s">
        <v>37</v>
      </c>
      <c r="D859" t="s">
        <v>64</v>
      </c>
      <c r="E859" t="s">
        <v>65</v>
      </c>
      <c r="F859" t="s">
        <v>40</v>
      </c>
      <c r="G859" t="s">
        <v>33</v>
      </c>
      <c r="H859" t="s">
        <v>34</v>
      </c>
      <c r="I859" t="s">
        <v>55</v>
      </c>
      <c r="J859" t="s">
        <v>26</v>
      </c>
      <c r="K859" t="s">
        <v>27</v>
      </c>
      <c r="L859" t="s">
        <v>28</v>
      </c>
      <c r="M859" s="4">
        <v>18</v>
      </c>
      <c r="N859" s="4">
        <v>7</v>
      </c>
      <c r="O859" t="s">
        <v>29</v>
      </c>
      <c r="P859" t="s">
        <v>36</v>
      </c>
      <c r="Q859" s="4">
        <v>552299</v>
      </c>
      <c r="R859" s="4">
        <v>466862</v>
      </c>
      <c r="S859" s="4">
        <f>Table1[[#This Row],[Service_Revenue]]-Table1[[#This Row],[Service_Cost]]</f>
        <v>85437</v>
      </c>
      <c r="T859" s="4">
        <v>1</v>
      </c>
      <c r="U859" s="4">
        <f>IF(AND(Table1[[#This Row],[Rework_Flag]]="Yes",Table1[[#This Row],[Warranty_Claim]]="No"),Table1[[#This Row],[Service_Revenue]],0)</f>
        <v>552299</v>
      </c>
      <c r="V859" s="4">
        <f>IF(Table1[[#This Row],[Warranty_Claim]]="Yes",1,0)</f>
        <v>0</v>
      </c>
      <c r="W859" s="4">
        <f>IF(Table1[[#This Row],[Rework_Flag]]="No",1,0)</f>
        <v>0</v>
      </c>
      <c r="X859" s="4">
        <f>IF(Table1[[#This Row],[Rework_Flag]]="Yes",1,0)</f>
        <v>1</v>
      </c>
      <c r="Y859" s="4">
        <v>1</v>
      </c>
      <c r="Z859" s="4" t="str">
        <f>IF(Table1[[#This Row],[TAT_Days]]&gt;Table1[[#This Row],[SLA_TAT]],"Yes","No")</f>
        <v>Yes</v>
      </c>
      <c r="AA859" s="4" t="str" cm="1">
        <f t="array" ref="AA859">_xlfn.IFS(Table1[[#This Row],[Customer_Satisfaction]]&lt;=2,"Poor",Table1[[#This Row],[Customer_Satisfaction]]=3,"Neutral",Table1[[#This Row],[Customer_Satisfaction]]=4,"Good",Table1[[#This Row],[Customer_Satisfaction]]=5,"Good")</f>
        <v>Poor</v>
      </c>
    </row>
    <row r="860" spans="1:27" x14ac:dyDescent="0.35">
      <c r="A860">
        <v>20858</v>
      </c>
      <c r="B860" s="1">
        <v>45335</v>
      </c>
      <c r="C860" t="s">
        <v>37</v>
      </c>
      <c r="D860" t="s">
        <v>64</v>
      </c>
      <c r="E860" t="s">
        <v>115</v>
      </c>
      <c r="F860" t="s">
        <v>40</v>
      </c>
      <c r="G860" t="s">
        <v>63</v>
      </c>
      <c r="H860" t="s">
        <v>24</v>
      </c>
      <c r="I860" t="s">
        <v>25</v>
      </c>
      <c r="J860" t="s">
        <v>67</v>
      </c>
      <c r="K860" t="s">
        <v>61</v>
      </c>
      <c r="L860" t="s">
        <v>28</v>
      </c>
      <c r="M860" s="4">
        <v>6</v>
      </c>
      <c r="N860" s="4">
        <v>7</v>
      </c>
      <c r="O860" t="s">
        <v>29</v>
      </c>
      <c r="P860" t="s">
        <v>29</v>
      </c>
      <c r="Q860" s="4">
        <v>173716</v>
      </c>
      <c r="R860" s="4">
        <v>134604</v>
      </c>
      <c r="S860" s="4">
        <f>Table1[[#This Row],[Service_Revenue]]-Table1[[#This Row],[Service_Cost]]</f>
        <v>39112</v>
      </c>
      <c r="T860" s="4">
        <v>3</v>
      </c>
      <c r="U860" s="4">
        <f>IF(AND(Table1[[#This Row],[Rework_Flag]]="Yes",Table1[[#This Row],[Warranty_Claim]]="No"),Table1[[#This Row],[Service_Revenue]],0)</f>
        <v>0</v>
      </c>
      <c r="V860" s="4">
        <f>IF(Table1[[#This Row],[Warranty_Claim]]="Yes",1,0)</f>
        <v>1</v>
      </c>
      <c r="W860" s="4">
        <f>IF(Table1[[#This Row],[Rework_Flag]]="No",1,0)</f>
        <v>0</v>
      </c>
      <c r="X860" s="4">
        <f>IF(Table1[[#This Row],[Rework_Flag]]="Yes",1,0)</f>
        <v>1</v>
      </c>
      <c r="Y860" s="4">
        <v>1</v>
      </c>
      <c r="Z860" s="4" t="str">
        <f>IF(Table1[[#This Row],[TAT_Days]]&gt;Table1[[#This Row],[SLA_TAT]],"Yes","No")</f>
        <v>No</v>
      </c>
      <c r="AA860" s="4" t="str" cm="1">
        <f t="array" ref="AA860">_xlfn.IFS(Table1[[#This Row],[Customer_Satisfaction]]&lt;=2,"Poor",Table1[[#This Row],[Customer_Satisfaction]]=3,"Neutral",Table1[[#This Row],[Customer_Satisfaction]]=4,"Good",Table1[[#This Row],[Customer_Satisfaction]]=5,"Good")</f>
        <v>Neutral</v>
      </c>
    </row>
    <row r="861" spans="1:27" x14ac:dyDescent="0.35">
      <c r="A861">
        <v>20859</v>
      </c>
      <c r="B861" s="1">
        <v>45349</v>
      </c>
      <c r="C861" t="s">
        <v>19</v>
      </c>
      <c r="D861" t="s">
        <v>45</v>
      </c>
      <c r="E861" t="s">
        <v>114</v>
      </c>
      <c r="F861" t="s">
        <v>22</v>
      </c>
      <c r="G861" t="s">
        <v>54</v>
      </c>
      <c r="H861" t="s">
        <v>42</v>
      </c>
      <c r="I861" t="s">
        <v>25</v>
      </c>
      <c r="J861" t="s">
        <v>58</v>
      </c>
      <c r="K861" t="s">
        <v>27</v>
      </c>
      <c r="L861" t="s">
        <v>28</v>
      </c>
      <c r="M861" s="4">
        <v>15</v>
      </c>
      <c r="N861" s="4">
        <v>7</v>
      </c>
      <c r="O861" t="s">
        <v>29</v>
      </c>
      <c r="P861" t="s">
        <v>36</v>
      </c>
      <c r="Q861" s="4">
        <v>476705</v>
      </c>
      <c r="R861" s="4">
        <v>310930</v>
      </c>
      <c r="S861" s="4">
        <f>Table1[[#This Row],[Service_Revenue]]-Table1[[#This Row],[Service_Cost]]</f>
        <v>165775</v>
      </c>
      <c r="T861" s="4">
        <v>1</v>
      </c>
      <c r="U861" s="4">
        <f>IF(AND(Table1[[#This Row],[Rework_Flag]]="Yes",Table1[[#This Row],[Warranty_Claim]]="No"),Table1[[#This Row],[Service_Revenue]],0)</f>
        <v>476705</v>
      </c>
      <c r="V861" s="4">
        <f>IF(Table1[[#This Row],[Warranty_Claim]]="Yes",1,0)</f>
        <v>0</v>
      </c>
      <c r="W861" s="4">
        <f>IF(Table1[[#This Row],[Rework_Flag]]="No",1,0)</f>
        <v>0</v>
      </c>
      <c r="X861" s="4">
        <f>IF(Table1[[#This Row],[Rework_Flag]]="Yes",1,0)</f>
        <v>1</v>
      </c>
      <c r="Y861" s="4">
        <v>1</v>
      </c>
      <c r="Z861" s="4" t="str">
        <f>IF(Table1[[#This Row],[TAT_Days]]&gt;Table1[[#This Row],[SLA_TAT]],"Yes","No")</f>
        <v>Yes</v>
      </c>
      <c r="AA861" s="4" t="str" cm="1">
        <f t="array" ref="AA861">_xlfn.IFS(Table1[[#This Row],[Customer_Satisfaction]]&lt;=2,"Poor",Table1[[#This Row],[Customer_Satisfaction]]=3,"Neutral",Table1[[#This Row],[Customer_Satisfaction]]=4,"Good",Table1[[#This Row],[Customer_Satisfaction]]=5,"Good")</f>
        <v>Poor</v>
      </c>
    </row>
    <row r="862" spans="1:27" x14ac:dyDescent="0.35">
      <c r="A862">
        <v>20860</v>
      </c>
      <c r="B862" s="1">
        <v>45321</v>
      </c>
      <c r="C862" t="s">
        <v>37</v>
      </c>
      <c r="D862" t="s">
        <v>64</v>
      </c>
      <c r="E862" t="s">
        <v>65</v>
      </c>
      <c r="F862" t="s">
        <v>22</v>
      </c>
      <c r="G862" t="s">
        <v>63</v>
      </c>
      <c r="H862" t="s">
        <v>24</v>
      </c>
      <c r="I862" t="s">
        <v>25</v>
      </c>
      <c r="J862" t="s">
        <v>26</v>
      </c>
      <c r="K862" t="s">
        <v>61</v>
      </c>
      <c r="L862" t="s">
        <v>28</v>
      </c>
      <c r="M862" s="4">
        <v>10</v>
      </c>
      <c r="N862" s="4">
        <v>7</v>
      </c>
      <c r="O862" t="s">
        <v>36</v>
      </c>
      <c r="P862" t="s">
        <v>36</v>
      </c>
      <c r="Q862" s="4">
        <v>437411</v>
      </c>
      <c r="R862" s="4">
        <v>330178</v>
      </c>
      <c r="S862" s="4">
        <f>Table1[[#This Row],[Service_Revenue]]-Table1[[#This Row],[Service_Cost]]</f>
        <v>107233</v>
      </c>
      <c r="T862" s="4">
        <v>3</v>
      </c>
      <c r="U862" s="4">
        <f>IF(AND(Table1[[#This Row],[Rework_Flag]]="Yes",Table1[[#This Row],[Warranty_Claim]]="No"),Table1[[#This Row],[Service_Revenue]],0)</f>
        <v>0</v>
      </c>
      <c r="V862" s="4">
        <f>IF(Table1[[#This Row],[Warranty_Claim]]="Yes",1,0)</f>
        <v>0</v>
      </c>
      <c r="W862" s="4">
        <f>IF(Table1[[#This Row],[Rework_Flag]]="No",1,0)</f>
        <v>1</v>
      </c>
      <c r="X862" s="4">
        <f>IF(Table1[[#This Row],[Rework_Flag]]="Yes",1,0)</f>
        <v>0</v>
      </c>
      <c r="Y862" s="4">
        <v>1</v>
      </c>
      <c r="Z862" s="4" t="str">
        <f>IF(Table1[[#This Row],[TAT_Days]]&gt;Table1[[#This Row],[SLA_TAT]],"Yes","No")</f>
        <v>Yes</v>
      </c>
      <c r="AA862" s="4" t="str" cm="1">
        <f t="array" ref="AA862">_xlfn.IFS(Table1[[#This Row],[Customer_Satisfaction]]&lt;=2,"Poor",Table1[[#This Row],[Customer_Satisfaction]]=3,"Neutral",Table1[[#This Row],[Customer_Satisfaction]]=4,"Good",Table1[[#This Row],[Customer_Satisfaction]]=5,"Good")</f>
        <v>Neutral</v>
      </c>
    </row>
    <row r="863" spans="1:27" x14ac:dyDescent="0.35">
      <c r="A863">
        <v>20861</v>
      </c>
      <c r="B863" s="1">
        <v>45304</v>
      </c>
      <c r="C863" t="s">
        <v>37</v>
      </c>
      <c r="D863" t="s">
        <v>38</v>
      </c>
      <c r="E863" t="s">
        <v>93</v>
      </c>
      <c r="F863" t="s">
        <v>22</v>
      </c>
      <c r="G863" t="s">
        <v>63</v>
      </c>
      <c r="H863" t="s">
        <v>24</v>
      </c>
      <c r="I863" t="s">
        <v>55</v>
      </c>
      <c r="J863" t="s">
        <v>58</v>
      </c>
      <c r="K863" t="s">
        <v>44</v>
      </c>
      <c r="L863" t="s">
        <v>49</v>
      </c>
      <c r="M863" s="4">
        <v>2</v>
      </c>
      <c r="N863" s="4">
        <v>7</v>
      </c>
      <c r="O863" t="s">
        <v>36</v>
      </c>
      <c r="P863" t="s">
        <v>36</v>
      </c>
      <c r="Q863" s="4">
        <v>90656</v>
      </c>
      <c r="R863" s="4">
        <v>61860</v>
      </c>
      <c r="S863" s="4">
        <f>Table1[[#This Row],[Service_Revenue]]-Table1[[#This Row],[Service_Cost]]</f>
        <v>28796</v>
      </c>
      <c r="T863" s="4">
        <v>5</v>
      </c>
      <c r="U863" s="4">
        <f>IF(AND(Table1[[#This Row],[Rework_Flag]]="Yes",Table1[[#This Row],[Warranty_Claim]]="No"),Table1[[#This Row],[Service_Revenue]],0)</f>
        <v>0</v>
      </c>
      <c r="V863" s="4">
        <f>IF(Table1[[#This Row],[Warranty_Claim]]="Yes",1,0)</f>
        <v>0</v>
      </c>
      <c r="W863" s="4">
        <f>IF(Table1[[#This Row],[Rework_Flag]]="No",1,0)</f>
        <v>1</v>
      </c>
      <c r="X863" s="4">
        <f>IF(Table1[[#This Row],[Rework_Flag]]="Yes",1,0)</f>
        <v>0</v>
      </c>
      <c r="Y863" s="4">
        <v>1</v>
      </c>
      <c r="Z863" s="4" t="str">
        <f>IF(Table1[[#This Row],[TAT_Days]]&gt;Table1[[#This Row],[SLA_TAT]],"Yes","No")</f>
        <v>No</v>
      </c>
      <c r="AA863" s="4" t="str" cm="1">
        <f t="array" ref="AA863">_xlfn.IFS(Table1[[#This Row],[Customer_Satisfaction]]&lt;=2,"Poor",Table1[[#This Row],[Customer_Satisfaction]]=3,"Neutral",Table1[[#This Row],[Customer_Satisfaction]]=4,"Good",Table1[[#This Row],[Customer_Satisfaction]]=5,"Good")</f>
        <v>Good</v>
      </c>
    </row>
    <row r="864" spans="1:27" x14ac:dyDescent="0.35">
      <c r="A864">
        <v>20862</v>
      </c>
      <c r="B864" s="1">
        <v>45343</v>
      </c>
      <c r="C864" t="s">
        <v>30</v>
      </c>
      <c r="D864" t="s">
        <v>59</v>
      </c>
      <c r="E864" t="s">
        <v>94</v>
      </c>
      <c r="F864" t="s">
        <v>53</v>
      </c>
      <c r="G864" t="s">
        <v>41</v>
      </c>
      <c r="H864" t="s">
        <v>42</v>
      </c>
      <c r="I864" t="s">
        <v>55</v>
      </c>
      <c r="J864" t="s">
        <v>26</v>
      </c>
      <c r="K864" t="s">
        <v>27</v>
      </c>
      <c r="L864" t="s">
        <v>49</v>
      </c>
      <c r="M864" s="4">
        <v>10</v>
      </c>
      <c r="N864" s="4">
        <v>7</v>
      </c>
      <c r="O864" t="s">
        <v>36</v>
      </c>
      <c r="P864" t="s">
        <v>29</v>
      </c>
      <c r="Q864" s="4">
        <v>194669</v>
      </c>
      <c r="R864" s="4">
        <v>144635</v>
      </c>
      <c r="S864" s="4">
        <f>Table1[[#This Row],[Service_Revenue]]-Table1[[#This Row],[Service_Cost]]</f>
        <v>50034</v>
      </c>
      <c r="T864" s="4">
        <v>3</v>
      </c>
      <c r="U864" s="4">
        <f>IF(AND(Table1[[#This Row],[Rework_Flag]]="Yes",Table1[[#This Row],[Warranty_Claim]]="No"),Table1[[#This Row],[Service_Revenue]],0)</f>
        <v>0</v>
      </c>
      <c r="V864" s="4">
        <f>IF(Table1[[#This Row],[Warranty_Claim]]="Yes",1,0)</f>
        <v>1</v>
      </c>
      <c r="W864" s="4">
        <f>IF(Table1[[#This Row],[Rework_Flag]]="No",1,0)</f>
        <v>1</v>
      </c>
      <c r="X864" s="4">
        <f>IF(Table1[[#This Row],[Rework_Flag]]="Yes",1,0)</f>
        <v>0</v>
      </c>
      <c r="Y864" s="4">
        <v>1</v>
      </c>
      <c r="Z864" s="4" t="str">
        <f>IF(Table1[[#This Row],[TAT_Days]]&gt;Table1[[#This Row],[SLA_TAT]],"Yes","No")</f>
        <v>Yes</v>
      </c>
      <c r="AA864" s="4" t="str" cm="1">
        <f t="array" ref="AA864">_xlfn.IFS(Table1[[#This Row],[Customer_Satisfaction]]&lt;=2,"Poor",Table1[[#This Row],[Customer_Satisfaction]]=3,"Neutral",Table1[[#This Row],[Customer_Satisfaction]]=4,"Good",Table1[[#This Row],[Customer_Satisfaction]]=5,"Good")</f>
        <v>Neutral</v>
      </c>
    </row>
    <row r="865" spans="1:27" x14ac:dyDescent="0.35">
      <c r="A865">
        <v>20863</v>
      </c>
      <c r="B865" s="1">
        <v>45352</v>
      </c>
      <c r="C865" t="s">
        <v>19</v>
      </c>
      <c r="D865" t="s">
        <v>20</v>
      </c>
      <c r="E865" t="s">
        <v>21</v>
      </c>
      <c r="F865" t="s">
        <v>40</v>
      </c>
      <c r="G865" t="s">
        <v>74</v>
      </c>
      <c r="H865" t="s">
        <v>34</v>
      </c>
      <c r="I865" t="s">
        <v>25</v>
      </c>
      <c r="J865" t="s">
        <v>35</v>
      </c>
      <c r="K865" t="s">
        <v>44</v>
      </c>
      <c r="L865" t="s">
        <v>49</v>
      </c>
      <c r="M865" s="4">
        <v>21</v>
      </c>
      <c r="N865" s="4">
        <v>7</v>
      </c>
      <c r="O865" t="s">
        <v>36</v>
      </c>
      <c r="P865" t="s">
        <v>29</v>
      </c>
      <c r="Q865" s="4">
        <v>398452</v>
      </c>
      <c r="R865" s="4">
        <v>213364</v>
      </c>
      <c r="S865" s="4">
        <f>Table1[[#This Row],[Service_Revenue]]-Table1[[#This Row],[Service_Cost]]</f>
        <v>185088</v>
      </c>
      <c r="T865" s="4">
        <v>1</v>
      </c>
      <c r="U865" s="4">
        <f>IF(AND(Table1[[#This Row],[Rework_Flag]]="Yes",Table1[[#This Row],[Warranty_Claim]]="No"),Table1[[#This Row],[Service_Revenue]],0)</f>
        <v>0</v>
      </c>
      <c r="V865" s="4">
        <f>IF(Table1[[#This Row],[Warranty_Claim]]="Yes",1,0)</f>
        <v>1</v>
      </c>
      <c r="W865" s="4">
        <f>IF(Table1[[#This Row],[Rework_Flag]]="No",1,0)</f>
        <v>1</v>
      </c>
      <c r="X865" s="4">
        <f>IF(Table1[[#This Row],[Rework_Flag]]="Yes",1,0)</f>
        <v>0</v>
      </c>
      <c r="Y865" s="4">
        <v>1</v>
      </c>
      <c r="Z865" s="4" t="str">
        <f>IF(Table1[[#This Row],[TAT_Days]]&gt;Table1[[#This Row],[SLA_TAT]],"Yes","No")</f>
        <v>Yes</v>
      </c>
      <c r="AA865" s="4" t="str" cm="1">
        <f t="array" ref="AA865">_xlfn.IFS(Table1[[#This Row],[Customer_Satisfaction]]&lt;=2,"Poor",Table1[[#This Row],[Customer_Satisfaction]]=3,"Neutral",Table1[[#This Row],[Customer_Satisfaction]]=4,"Good",Table1[[#This Row],[Customer_Satisfaction]]=5,"Good")</f>
        <v>Poor</v>
      </c>
    </row>
    <row r="866" spans="1:27" x14ac:dyDescent="0.35">
      <c r="A866">
        <v>20864</v>
      </c>
      <c r="B866" s="1">
        <v>45338</v>
      </c>
      <c r="C866" t="s">
        <v>19</v>
      </c>
      <c r="D866" t="s">
        <v>45</v>
      </c>
      <c r="E866" t="s">
        <v>114</v>
      </c>
      <c r="F866" t="s">
        <v>53</v>
      </c>
      <c r="G866" t="s">
        <v>23</v>
      </c>
      <c r="H866" t="s">
        <v>24</v>
      </c>
      <c r="I866" t="s">
        <v>55</v>
      </c>
      <c r="J866" t="s">
        <v>26</v>
      </c>
      <c r="K866" t="s">
        <v>61</v>
      </c>
      <c r="L866" t="s">
        <v>49</v>
      </c>
      <c r="M866" s="4">
        <v>8</v>
      </c>
      <c r="N866" s="4">
        <v>7</v>
      </c>
      <c r="O866" t="s">
        <v>29</v>
      </c>
      <c r="P866" t="s">
        <v>36</v>
      </c>
      <c r="Q866" s="4">
        <v>396635</v>
      </c>
      <c r="R866" s="4">
        <v>225808</v>
      </c>
      <c r="S866" s="4">
        <f>Table1[[#This Row],[Service_Revenue]]-Table1[[#This Row],[Service_Cost]]</f>
        <v>170827</v>
      </c>
      <c r="T866" s="4">
        <v>3</v>
      </c>
      <c r="U866" s="4">
        <f>IF(AND(Table1[[#This Row],[Rework_Flag]]="Yes",Table1[[#This Row],[Warranty_Claim]]="No"),Table1[[#This Row],[Service_Revenue]],0)</f>
        <v>396635</v>
      </c>
      <c r="V866" s="4">
        <f>IF(Table1[[#This Row],[Warranty_Claim]]="Yes",1,0)</f>
        <v>0</v>
      </c>
      <c r="W866" s="4">
        <f>IF(Table1[[#This Row],[Rework_Flag]]="No",1,0)</f>
        <v>0</v>
      </c>
      <c r="X866" s="4">
        <f>IF(Table1[[#This Row],[Rework_Flag]]="Yes",1,0)</f>
        <v>1</v>
      </c>
      <c r="Y866" s="4">
        <v>1</v>
      </c>
      <c r="Z866" s="4" t="str">
        <f>IF(Table1[[#This Row],[TAT_Days]]&gt;Table1[[#This Row],[SLA_TAT]],"Yes","No")</f>
        <v>Yes</v>
      </c>
      <c r="AA866" s="4" t="str" cm="1">
        <f t="array" ref="AA866">_xlfn.IFS(Table1[[#This Row],[Customer_Satisfaction]]&lt;=2,"Poor",Table1[[#This Row],[Customer_Satisfaction]]=3,"Neutral",Table1[[#This Row],[Customer_Satisfaction]]=4,"Good",Table1[[#This Row],[Customer_Satisfaction]]=5,"Good")</f>
        <v>Neutral</v>
      </c>
    </row>
    <row r="867" spans="1:27" x14ac:dyDescent="0.35">
      <c r="A867">
        <v>20865</v>
      </c>
      <c r="B867" s="1">
        <v>45424</v>
      </c>
      <c r="C867" t="s">
        <v>50</v>
      </c>
      <c r="D867" t="s">
        <v>56</v>
      </c>
      <c r="E867" t="s">
        <v>88</v>
      </c>
      <c r="F867" t="s">
        <v>53</v>
      </c>
      <c r="G867" t="s">
        <v>41</v>
      </c>
      <c r="H867" t="s">
        <v>42</v>
      </c>
      <c r="I867" t="s">
        <v>25</v>
      </c>
      <c r="J867" t="s">
        <v>26</v>
      </c>
      <c r="K867" t="s">
        <v>44</v>
      </c>
      <c r="L867" t="s">
        <v>49</v>
      </c>
      <c r="M867" s="4">
        <v>5</v>
      </c>
      <c r="N867" s="4">
        <v>7</v>
      </c>
      <c r="O867" t="s">
        <v>36</v>
      </c>
      <c r="P867" t="s">
        <v>36</v>
      </c>
      <c r="Q867" s="4">
        <v>416627</v>
      </c>
      <c r="R867" s="4">
        <v>326134</v>
      </c>
      <c r="S867" s="4">
        <f>Table1[[#This Row],[Service_Revenue]]-Table1[[#This Row],[Service_Cost]]</f>
        <v>90493</v>
      </c>
      <c r="T867" s="4">
        <v>4</v>
      </c>
      <c r="U867" s="4">
        <f>IF(AND(Table1[[#This Row],[Rework_Flag]]="Yes",Table1[[#This Row],[Warranty_Claim]]="No"),Table1[[#This Row],[Service_Revenue]],0)</f>
        <v>0</v>
      </c>
      <c r="V867" s="4">
        <f>IF(Table1[[#This Row],[Warranty_Claim]]="Yes",1,0)</f>
        <v>0</v>
      </c>
      <c r="W867" s="4">
        <f>IF(Table1[[#This Row],[Rework_Flag]]="No",1,0)</f>
        <v>1</v>
      </c>
      <c r="X867" s="4">
        <f>IF(Table1[[#This Row],[Rework_Flag]]="Yes",1,0)</f>
        <v>0</v>
      </c>
      <c r="Y867" s="4">
        <v>1</v>
      </c>
      <c r="Z867" s="4" t="str">
        <f>IF(Table1[[#This Row],[TAT_Days]]&gt;Table1[[#This Row],[SLA_TAT]],"Yes","No")</f>
        <v>No</v>
      </c>
      <c r="AA867" s="4" t="str" cm="1">
        <f t="array" ref="AA867">_xlfn.IFS(Table1[[#This Row],[Customer_Satisfaction]]&lt;=2,"Poor",Table1[[#This Row],[Customer_Satisfaction]]=3,"Neutral",Table1[[#This Row],[Customer_Satisfaction]]=4,"Good",Table1[[#This Row],[Customer_Satisfaction]]=5,"Good")</f>
        <v>Good</v>
      </c>
    </row>
    <row r="868" spans="1:27" x14ac:dyDescent="0.35">
      <c r="A868">
        <v>20866</v>
      </c>
      <c r="B868" s="1">
        <v>45407</v>
      </c>
      <c r="C868" t="s">
        <v>19</v>
      </c>
      <c r="D868" t="s">
        <v>45</v>
      </c>
      <c r="E868" t="s">
        <v>76</v>
      </c>
      <c r="F868" t="s">
        <v>22</v>
      </c>
      <c r="G868" t="s">
        <v>54</v>
      </c>
      <c r="H868" t="s">
        <v>42</v>
      </c>
      <c r="I868" t="s">
        <v>25</v>
      </c>
      <c r="J868" t="s">
        <v>35</v>
      </c>
      <c r="K868" t="s">
        <v>27</v>
      </c>
      <c r="L868" t="s">
        <v>28</v>
      </c>
      <c r="M868" s="4">
        <v>18</v>
      </c>
      <c r="N868" s="4">
        <v>7</v>
      </c>
      <c r="O868" t="s">
        <v>29</v>
      </c>
      <c r="P868" t="s">
        <v>29</v>
      </c>
      <c r="Q868" s="4">
        <v>348128</v>
      </c>
      <c r="R868" s="4">
        <v>262819</v>
      </c>
      <c r="S868" s="4">
        <f>Table1[[#This Row],[Service_Revenue]]-Table1[[#This Row],[Service_Cost]]</f>
        <v>85309</v>
      </c>
      <c r="T868" s="4">
        <v>1</v>
      </c>
      <c r="U868" s="4">
        <f>IF(AND(Table1[[#This Row],[Rework_Flag]]="Yes",Table1[[#This Row],[Warranty_Claim]]="No"),Table1[[#This Row],[Service_Revenue]],0)</f>
        <v>0</v>
      </c>
      <c r="V868" s="4">
        <f>IF(Table1[[#This Row],[Warranty_Claim]]="Yes",1,0)</f>
        <v>1</v>
      </c>
      <c r="W868" s="4">
        <f>IF(Table1[[#This Row],[Rework_Flag]]="No",1,0)</f>
        <v>0</v>
      </c>
      <c r="X868" s="4">
        <f>IF(Table1[[#This Row],[Rework_Flag]]="Yes",1,0)</f>
        <v>1</v>
      </c>
      <c r="Y868" s="4">
        <v>1</v>
      </c>
      <c r="Z868" s="4" t="str">
        <f>IF(Table1[[#This Row],[TAT_Days]]&gt;Table1[[#This Row],[SLA_TAT]],"Yes","No")</f>
        <v>Yes</v>
      </c>
      <c r="AA868" s="4" t="str" cm="1">
        <f t="array" ref="AA868">_xlfn.IFS(Table1[[#This Row],[Customer_Satisfaction]]&lt;=2,"Poor",Table1[[#This Row],[Customer_Satisfaction]]=3,"Neutral",Table1[[#This Row],[Customer_Satisfaction]]=4,"Good",Table1[[#This Row],[Customer_Satisfaction]]=5,"Good")</f>
        <v>Poor</v>
      </c>
    </row>
    <row r="869" spans="1:27" x14ac:dyDescent="0.35">
      <c r="A869">
        <v>20867</v>
      </c>
      <c r="B869" s="1">
        <v>45340</v>
      </c>
      <c r="C869" t="s">
        <v>19</v>
      </c>
      <c r="D869" t="s">
        <v>96</v>
      </c>
      <c r="E869" t="s">
        <v>109</v>
      </c>
      <c r="F869" t="s">
        <v>53</v>
      </c>
      <c r="G869" t="s">
        <v>41</v>
      </c>
      <c r="H869" t="s">
        <v>42</v>
      </c>
      <c r="I869" t="s">
        <v>25</v>
      </c>
      <c r="J869" t="s">
        <v>67</v>
      </c>
      <c r="K869" t="s">
        <v>61</v>
      </c>
      <c r="L869" t="s">
        <v>28</v>
      </c>
      <c r="M869" s="4">
        <v>14</v>
      </c>
      <c r="N869" s="4">
        <v>7</v>
      </c>
      <c r="O869" t="s">
        <v>29</v>
      </c>
      <c r="P869" t="s">
        <v>36</v>
      </c>
      <c r="Q869" s="4">
        <v>104110</v>
      </c>
      <c r="R869" s="4">
        <v>66458</v>
      </c>
      <c r="S869" s="4">
        <f>Table1[[#This Row],[Service_Revenue]]-Table1[[#This Row],[Service_Cost]]</f>
        <v>37652</v>
      </c>
      <c r="T869" s="4">
        <v>2</v>
      </c>
      <c r="U869" s="4">
        <f>IF(AND(Table1[[#This Row],[Rework_Flag]]="Yes",Table1[[#This Row],[Warranty_Claim]]="No"),Table1[[#This Row],[Service_Revenue]],0)</f>
        <v>104110</v>
      </c>
      <c r="V869" s="4">
        <f>IF(Table1[[#This Row],[Warranty_Claim]]="Yes",1,0)</f>
        <v>0</v>
      </c>
      <c r="W869" s="4">
        <f>IF(Table1[[#This Row],[Rework_Flag]]="No",1,0)</f>
        <v>0</v>
      </c>
      <c r="X869" s="4">
        <f>IF(Table1[[#This Row],[Rework_Flag]]="Yes",1,0)</f>
        <v>1</v>
      </c>
      <c r="Y869" s="4">
        <v>1</v>
      </c>
      <c r="Z869" s="4" t="str">
        <f>IF(Table1[[#This Row],[TAT_Days]]&gt;Table1[[#This Row],[SLA_TAT]],"Yes","No")</f>
        <v>Yes</v>
      </c>
      <c r="AA869" s="4" t="str" cm="1">
        <f t="array" ref="AA869">_xlfn.IFS(Table1[[#This Row],[Customer_Satisfaction]]&lt;=2,"Poor",Table1[[#This Row],[Customer_Satisfaction]]=3,"Neutral",Table1[[#This Row],[Customer_Satisfaction]]=4,"Good",Table1[[#This Row],[Customer_Satisfaction]]=5,"Good")</f>
        <v>Poor</v>
      </c>
    </row>
    <row r="870" spans="1:27" x14ac:dyDescent="0.35">
      <c r="A870">
        <v>20868</v>
      </c>
      <c r="B870" s="1">
        <v>45366</v>
      </c>
      <c r="C870" t="s">
        <v>50</v>
      </c>
      <c r="D870" t="s">
        <v>51</v>
      </c>
      <c r="E870" t="s">
        <v>75</v>
      </c>
      <c r="F870" t="s">
        <v>53</v>
      </c>
      <c r="G870" t="s">
        <v>63</v>
      </c>
      <c r="H870" t="s">
        <v>24</v>
      </c>
      <c r="I870" t="s">
        <v>55</v>
      </c>
      <c r="J870" t="s">
        <v>35</v>
      </c>
      <c r="K870" t="s">
        <v>61</v>
      </c>
      <c r="L870" t="s">
        <v>49</v>
      </c>
      <c r="M870" s="4">
        <v>21</v>
      </c>
      <c r="N870" s="4">
        <v>7</v>
      </c>
      <c r="O870" t="s">
        <v>29</v>
      </c>
      <c r="P870" t="s">
        <v>36</v>
      </c>
      <c r="Q870" s="4">
        <v>116417</v>
      </c>
      <c r="R870" s="4">
        <v>78989</v>
      </c>
      <c r="S870" s="4">
        <f>Table1[[#This Row],[Service_Revenue]]-Table1[[#This Row],[Service_Cost]]</f>
        <v>37428</v>
      </c>
      <c r="T870" s="4">
        <v>1</v>
      </c>
      <c r="U870" s="4">
        <f>IF(AND(Table1[[#This Row],[Rework_Flag]]="Yes",Table1[[#This Row],[Warranty_Claim]]="No"),Table1[[#This Row],[Service_Revenue]],0)</f>
        <v>116417</v>
      </c>
      <c r="V870" s="4">
        <f>IF(Table1[[#This Row],[Warranty_Claim]]="Yes",1,0)</f>
        <v>0</v>
      </c>
      <c r="W870" s="4">
        <f>IF(Table1[[#This Row],[Rework_Flag]]="No",1,0)</f>
        <v>0</v>
      </c>
      <c r="X870" s="4">
        <f>IF(Table1[[#This Row],[Rework_Flag]]="Yes",1,0)</f>
        <v>1</v>
      </c>
      <c r="Y870" s="4">
        <v>1</v>
      </c>
      <c r="Z870" s="4" t="str">
        <f>IF(Table1[[#This Row],[TAT_Days]]&gt;Table1[[#This Row],[SLA_TAT]],"Yes","No")</f>
        <v>Yes</v>
      </c>
      <c r="AA870" s="4" t="str" cm="1">
        <f t="array" ref="AA870">_xlfn.IFS(Table1[[#This Row],[Customer_Satisfaction]]&lt;=2,"Poor",Table1[[#This Row],[Customer_Satisfaction]]=3,"Neutral",Table1[[#This Row],[Customer_Satisfaction]]=4,"Good",Table1[[#This Row],[Customer_Satisfaction]]=5,"Good")</f>
        <v>Poor</v>
      </c>
    </row>
    <row r="871" spans="1:27" x14ac:dyDescent="0.35">
      <c r="A871">
        <v>20869</v>
      </c>
      <c r="B871" s="1">
        <v>45452</v>
      </c>
      <c r="C871" t="s">
        <v>19</v>
      </c>
      <c r="D871" t="s">
        <v>45</v>
      </c>
      <c r="E871" t="s">
        <v>76</v>
      </c>
      <c r="F871" t="s">
        <v>40</v>
      </c>
      <c r="G871" t="s">
        <v>41</v>
      </c>
      <c r="H871" t="s">
        <v>42</v>
      </c>
      <c r="I871" t="s">
        <v>55</v>
      </c>
      <c r="J871" t="s">
        <v>58</v>
      </c>
      <c r="K871" t="s">
        <v>61</v>
      </c>
      <c r="L871" t="s">
        <v>28</v>
      </c>
      <c r="M871" s="4">
        <v>22</v>
      </c>
      <c r="N871" s="4">
        <v>7</v>
      </c>
      <c r="O871" t="s">
        <v>36</v>
      </c>
      <c r="P871" t="s">
        <v>29</v>
      </c>
      <c r="Q871" s="4">
        <v>586739</v>
      </c>
      <c r="R871" s="4">
        <v>419025</v>
      </c>
      <c r="S871" s="4">
        <f>Table1[[#This Row],[Service_Revenue]]-Table1[[#This Row],[Service_Cost]]</f>
        <v>167714</v>
      </c>
      <c r="T871" s="4">
        <v>1</v>
      </c>
      <c r="U871" s="4">
        <f>IF(AND(Table1[[#This Row],[Rework_Flag]]="Yes",Table1[[#This Row],[Warranty_Claim]]="No"),Table1[[#This Row],[Service_Revenue]],0)</f>
        <v>0</v>
      </c>
      <c r="V871" s="4">
        <f>IF(Table1[[#This Row],[Warranty_Claim]]="Yes",1,0)</f>
        <v>1</v>
      </c>
      <c r="W871" s="4">
        <f>IF(Table1[[#This Row],[Rework_Flag]]="No",1,0)</f>
        <v>1</v>
      </c>
      <c r="X871" s="4">
        <f>IF(Table1[[#This Row],[Rework_Flag]]="Yes",1,0)</f>
        <v>0</v>
      </c>
      <c r="Y871" s="4">
        <v>1</v>
      </c>
      <c r="Z871" s="4" t="str">
        <f>IF(Table1[[#This Row],[TAT_Days]]&gt;Table1[[#This Row],[SLA_TAT]],"Yes","No")</f>
        <v>Yes</v>
      </c>
      <c r="AA871" s="4" t="str" cm="1">
        <f t="array" ref="AA871">_xlfn.IFS(Table1[[#This Row],[Customer_Satisfaction]]&lt;=2,"Poor",Table1[[#This Row],[Customer_Satisfaction]]=3,"Neutral",Table1[[#This Row],[Customer_Satisfaction]]=4,"Good",Table1[[#This Row],[Customer_Satisfaction]]=5,"Good")</f>
        <v>Poor</v>
      </c>
    </row>
    <row r="872" spans="1:27" x14ac:dyDescent="0.35">
      <c r="A872">
        <v>20870</v>
      </c>
      <c r="B872" s="1">
        <v>45343</v>
      </c>
      <c r="C872" t="s">
        <v>37</v>
      </c>
      <c r="D872" t="s">
        <v>64</v>
      </c>
      <c r="E872" t="s">
        <v>87</v>
      </c>
      <c r="F872" t="s">
        <v>22</v>
      </c>
      <c r="G872" t="s">
        <v>74</v>
      </c>
      <c r="H872" t="s">
        <v>34</v>
      </c>
      <c r="I872" t="s">
        <v>55</v>
      </c>
      <c r="J872" t="s">
        <v>58</v>
      </c>
      <c r="K872" t="s">
        <v>61</v>
      </c>
      <c r="L872" t="s">
        <v>28</v>
      </c>
      <c r="M872" s="4">
        <v>15</v>
      </c>
      <c r="N872" s="4">
        <v>7</v>
      </c>
      <c r="O872" t="s">
        <v>36</v>
      </c>
      <c r="P872" t="s">
        <v>29</v>
      </c>
      <c r="Q872" s="4">
        <v>458653</v>
      </c>
      <c r="R872" s="4">
        <v>343676</v>
      </c>
      <c r="S872" s="4">
        <f>Table1[[#This Row],[Service_Revenue]]-Table1[[#This Row],[Service_Cost]]</f>
        <v>114977</v>
      </c>
      <c r="T872" s="4">
        <v>2</v>
      </c>
      <c r="U872" s="4">
        <f>IF(AND(Table1[[#This Row],[Rework_Flag]]="Yes",Table1[[#This Row],[Warranty_Claim]]="No"),Table1[[#This Row],[Service_Revenue]],0)</f>
        <v>0</v>
      </c>
      <c r="V872" s="4">
        <f>IF(Table1[[#This Row],[Warranty_Claim]]="Yes",1,0)</f>
        <v>1</v>
      </c>
      <c r="W872" s="4">
        <f>IF(Table1[[#This Row],[Rework_Flag]]="No",1,0)</f>
        <v>1</v>
      </c>
      <c r="X872" s="4">
        <f>IF(Table1[[#This Row],[Rework_Flag]]="Yes",1,0)</f>
        <v>0</v>
      </c>
      <c r="Y872" s="4">
        <v>1</v>
      </c>
      <c r="Z872" s="4" t="str">
        <f>IF(Table1[[#This Row],[TAT_Days]]&gt;Table1[[#This Row],[SLA_TAT]],"Yes","No")</f>
        <v>Yes</v>
      </c>
      <c r="AA872" s="4" t="str" cm="1">
        <f t="array" ref="AA872">_xlfn.IFS(Table1[[#This Row],[Customer_Satisfaction]]&lt;=2,"Poor",Table1[[#This Row],[Customer_Satisfaction]]=3,"Neutral",Table1[[#This Row],[Customer_Satisfaction]]=4,"Good",Table1[[#This Row],[Customer_Satisfaction]]=5,"Good")</f>
        <v>Poor</v>
      </c>
    </row>
    <row r="873" spans="1:27" x14ac:dyDescent="0.35">
      <c r="A873">
        <v>20871</v>
      </c>
      <c r="B873" s="1">
        <v>45455</v>
      </c>
      <c r="C873" t="s">
        <v>30</v>
      </c>
      <c r="D873" t="s">
        <v>83</v>
      </c>
      <c r="E873" t="s">
        <v>95</v>
      </c>
      <c r="F873" t="s">
        <v>40</v>
      </c>
      <c r="G873" t="s">
        <v>54</v>
      </c>
      <c r="H873" t="s">
        <v>42</v>
      </c>
      <c r="I873" t="s">
        <v>55</v>
      </c>
      <c r="J873" t="s">
        <v>26</v>
      </c>
      <c r="K873" t="s">
        <v>61</v>
      </c>
      <c r="L873" t="s">
        <v>28</v>
      </c>
      <c r="M873" s="4">
        <v>19</v>
      </c>
      <c r="N873" s="4">
        <v>7</v>
      </c>
      <c r="O873" t="s">
        <v>36</v>
      </c>
      <c r="P873" t="s">
        <v>36</v>
      </c>
      <c r="Q873" s="4">
        <v>511898</v>
      </c>
      <c r="R873" s="4">
        <v>402166</v>
      </c>
      <c r="S873" s="4">
        <f>Table1[[#This Row],[Service_Revenue]]-Table1[[#This Row],[Service_Cost]]</f>
        <v>109732</v>
      </c>
      <c r="T873" s="4">
        <v>2</v>
      </c>
      <c r="U873" s="4">
        <f>IF(AND(Table1[[#This Row],[Rework_Flag]]="Yes",Table1[[#This Row],[Warranty_Claim]]="No"),Table1[[#This Row],[Service_Revenue]],0)</f>
        <v>0</v>
      </c>
      <c r="V873" s="4">
        <f>IF(Table1[[#This Row],[Warranty_Claim]]="Yes",1,0)</f>
        <v>0</v>
      </c>
      <c r="W873" s="4">
        <f>IF(Table1[[#This Row],[Rework_Flag]]="No",1,0)</f>
        <v>1</v>
      </c>
      <c r="X873" s="4">
        <f>IF(Table1[[#This Row],[Rework_Flag]]="Yes",1,0)</f>
        <v>0</v>
      </c>
      <c r="Y873" s="4">
        <v>1</v>
      </c>
      <c r="Z873" s="4" t="str">
        <f>IF(Table1[[#This Row],[TAT_Days]]&gt;Table1[[#This Row],[SLA_TAT]],"Yes","No")</f>
        <v>Yes</v>
      </c>
      <c r="AA873" s="4" t="str" cm="1">
        <f t="array" ref="AA873">_xlfn.IFS(Table1[[#This Row],[Customer_Satisfaction]]&lt;=2,"Poor",Table1[[#This Row],[Customer_Satisfaction]]=3,"Neutral",Table1[[#This Row],[Customer_Satisfaction]]=4,"Good",Table1[[#This Row],[Customer_Satisfaction]]=5,"Good")</f>
        <v>Poor</v>
      </c>
    </row>
    <row r="874" spans="1:27" x14ac:dyDescent="0.35">
      <c r="A874">
        <v>20872</v>
      </c>
      <c r="B874" s="1">
        <v>45402</v>
      </c>
      <c r="C874" t="s">
        <v>50</v>
      </c>
      <c r="D874" t="s">
        <v>56</v>
      </c>
      <c r="E874" t="s">
        <v>77</v>
      </c>
      <c r="F874" t="s">
        <v>53</v>
      </c>
      <c r="G874" t="s">
        <v>23</v>
      </c>
      <c r="H874" t="s">
        <v>24</v>
      </c>
      <c r="I874" t="s">
        <v>25</v>
      </c>
      <c r="J874" t="s">
        <v>67</v>
      </c>
      <c r="K874" t="s">
        <v>61</v>
      </c>
      <c r="L874" t="s">
        <v>49</v>
      </c>
      <c r="M874" s="4">
        <v>15</v>
      </c>
      <c r="N874" s="4">
        <v>7</v>
      </c>
      <c r="O874" t="s">
        <v>36</v>
      </c>
      <c r="P874" t="s">
        <v>29</v>
      </c>
      <c r="Q874" s="4">
        <v>549102</v>
      </c>
      <c r="R874" s="4">
        <v>411932</v>
      </c>
      <c r="S874" s="4">
        <f>Table1[[#This Row],[Service_Revenue]]-Table1[[#This Row],[Service_Cost]]</f>
        <v>137170</v>
      </c>
      <c r="T874" s="4">
        <v>2</v>
      </c>
      <c r="U874" s="4">
        <f>IF(AND(Table1[[#This Row],[Rework_Flag]]="Yes",Table1[[#This Row],[Warranty_Claim]]="No"),Table1[[#This Row],[Service_Revenue]],0)</f>
        <v>0</v>
      </c>
      <c r="V874" s="4">
        <f>IF(Table1[[#This Row],[Warranty_Claim]]="Yes",1,0)</f>
        <v>1</v>
      </c>
      <c r="W874" s="4">
        <f>IF(Table1[[#This Row],[Rework_Flag]]="No",1,0)</f>
        <v>1</v>
      </c>
      <c r="X874" s="4">
        <f>IF(Table1[[#This Row],[Rework_Flag]]="Yes",1,0)</f>
        <v>0</v>
      </c>
      <c r="Y874" s="4">
        <v>1</v>
      </c>
      <c r="Z874" s="4" t="str">
        <f>IF(Table1[[#This Row],[TAT_Days]]&gt;Table1[[#This Row],[SLA_TAT]],"Yes","No")</f>
        <v>Yes</v>
      </c>
      <c r="AA874" s="4" t="str" cm="1">
        <f t="array" ref="AA874">_xlfn.IFS(Table1[[#This Row],[Customer_Satisfaction]]&lt;=2,"Poor",Table1[[#This Row],[Customer_Satisfaction]]=3,"Neutral",Table1[[#This Row],[Customer_Satisfaction]]=4,"Good",Table1[[#This Row],[Customer_Satisfaction]]=5,"Good")</f>
        <v>Poor</v>
      </c>
    </row>
    <row r="875" spans="1:27" x14ac:dyDescent="0.35">
      <c r="A875">
        <v>20873</v>
      </c>
      <c r="B875" s="1">
        <v>45381</v>
      </c>
      <c r="C875" t="s">
        <v>50</v>
      </c>
      <c r="D875" t="s">
        <v>51</v>
      </c>
      <c r="E875" t="s">
        <v>113</v>
      </c>
      <c r="F875" t="s">
        <v>40</v>
      </c>
      <c r="G875" t="s">
        <v>54</v>
      </c>
      <c r="H875" t="s">
        <v>42</v>
      </c>
      <c r="I875" t="s">
        <v>25</v>
      </c>
      <c r="J875" t="s">
        <v>43</v>
      </c>
      <c r="K875" t="s">
        <v>61</v>
      </c>
      <c r="L875" t="s">
        <v>49</v>
      </c>
      <c r="M875" s="4">
        <v>4</v>
      </c>
      <c r="N875" s="4">
        <v>7</v>
      </c>
      <c r="O875" t="s">
        <v>36</v>
      </c>
      <c r="P875" t="s">
        <v>36</v>
      </c>
      <c r="Q875" s="4">
        <v>203890</v>
      </c>
      <c r="R875" s="4">
        <v>146412</v>
      </c>
      <c r="S875" s="4">
        <f>Table1[[#This Row],[Service_Revenue]]-Table1[[#This Row],[Service_Cost]]</f>
        <v>57478</v>
      </c>
      <c r="T875" s="4">
        <v>5</v>
      </c>
      <c r="U875" s="4">
        <f>IF(AND(Table1[[#This Row],[Rework_Flag]]="Yes",Table1[[#This Row],[Warranty_Claim]]="No"),Table1[[#This Row],[Service_Revenue]],0)</f>
        <v>0</v>
      </c>
      <c r="V875" s="4">
        <f>IF(Table1[[#This Row],[Warranty_Claim]]="Yes",1,0)</f>
        <v>0</v>
      </c>
      <c r="W875" s="4">
        <f>IF(Table1[[#This Row],[Rework_Flag]]="No",1,0)</f>
        <v>1</v>
      </c>
      <c r="X875" s="4">
        <f>IF(Table1[[#This Row],[Rework_Flag]]="Yes",1,0)</f>
        <v>0</v>
      </c>
      <c r="Y875" s="4">
        <v>1</v>
      </c>
      <c r="Z875" s="4" t="str">
        <f>IF(Table1[[#This Row],[TAT_Days]]&gt;Table1[[#This Row],[SLA_TAT]],"Yes","No")</f>
        <v>No</v>
      </c>
      <c r="AA875" s="4" t="str" cm="1">
        <f t="array" ref="AA875">_xlfn.IFS(Table1[[#This Row],[Customer_Satisfaction]]&lt;=2,"Poor",Table1[[#This Row],[Customer_Satisfaction]]=3,"Neutral",Table1[[#This Row],[Customer_Satisfaction]]=4,"Good",Table1[[#This Row],[Customer_Satisfaction]]=5,"Good")</f>
        <v>Good</v>
      </c>
    </row>
    <row r="876" spans="1:27" x14ac:dyDescent="0.35">
      <c r="A876">
        <v>20874</v>
      </c>
      <c r="B876" s="1">
        <v>45293</v>
      </c>
      <c r="C876" t="s">
        <v>30</v>
      </c>
      <c r="D876" t="s">
        <v>31</v>
      </c>
      <c r="E876" t="s">
        <v>106</v>
      </c>
      <c r="F876" t="s">
        <v>53</v>
      </c>
      <c r="G876" t="s">
        <v>54</v>
      </c>
      <c r="H876" t="s">
        <v>42</v>
      </c>
      <c r="I876" t="s">
        <v>25</v>
      </c>
      <c r="J876" t="s">
        <v>43</v>
      </c>
      <c r="K876" t="s">
        <v>27</v>
      </c>
      <c r="L876" t="s">
        <v>28</v>
      </c>
      <c r="M876" s="4">
        <v>23</v>
      </c>
      <c r="N876" s="4">
        <v>7</v>
      </c>
      <c r="O876" t="s">
        <v>29</v>
      </c>
      <c r="P876" t="s">
        <v>36</v>
      </c>
      <c r="Q876" s="4">
        <v>490206</v>
      </c>
      <c r="R876" s="4">
        <v>319477</v>
      </c>
      <c r="S876" s="4">
        <f>Table1[[#This Row],[Service_Revenue]]-Table1[[#This Row],[Service_Cost]]</f>
        <v>170729</v>
      </c>
      <c r="T876" s="4">
        <v>1</v>
      </c>
      <c r="U876" s="4">
        <f>IF(AND(Table1[[#This Row],[Rework_Flag]]="Yes",Table1[[#This Row],[Warranty_Claim]]="No"),Table1[[#This Row],[Service_Revenue]],0)</f>
        <v>490206</v>
      </c>
      <c r="V876" s="4">
        <f>IF(Table1[[#This Row],[Warranty_Claim]]="Yes",1,0)</f>
        <v>0</v>
      </c>
      <c r="W876" s="4">
        <f>IF(Table1[[#This Row],[Rework_Flag]]="No",1,0)</f>
        <v>0</v>
      </c>
      <c r="X876" s="4">
        <f>IF(Table1[[#This Row],[Rework_Flag]]="Yes",1,0)</f>
        <v>1</v>
      </c>
      <c r="Y876" s="4">
        <v>1</v>
      </c>
      <c r="Z876" s="4" t="str">
        <f>IF(Table1[[#This Row],[TAT_Days]]&gt;Table1[[#This Row],[SLA_TAT]],"Yes","No")</f>
        <v>Yes</v>
      </c>
      <c r="AA876" s="4" t="str" cm="1">
        <f t="array" ref="AA876">_xlfn.IFS(Table1[[#This Row],[Customer_Satisfaction]]&lt;=2,"Poor",Table1[[#This Row],[Customer_Satisfaction]]=3,"Neutral",Table1[[#This Row],[Customer_Satisfaction]]=4,"Good",Table1[[#This Row],[Customer_Satisfaction]]=5,"Good")</f>
        <v>Poor</v>
      </c>
    </row>
    <row r="877" spans="1:27" x14ac:dyDescent="0.35">
      <c r="A877">
        <v>20875</v>
      </c>
      <c r="B877" s="1">
        <v>45346</v>
      </c>
      <c r="C877" t="s">
        <v>50</v>
      </c>
      <c r="D877" t="s">
        <v>51</v>
      </c>
      <c r="E877" t="s">
        <v>120</v>
      </c>
      <c r="F877" t="s">
        <v>53</v>
      </c>
      <c r="G877" t="s">
        <v>54</v>
      </c>
      <c r="H877" t="s">
        <v>42</v>
      </c>
      <c r="I877" t="s">
        <v>55</v>
      </c>
      <c r="J877" t="s">
        <v>35</v>
      </c>
      <c r="K877" t="s">
        <v>27</v>
      </c>
      <c r="L877" t="s">
        <v>28</v>
      </c>
      <c r="M877" s="4">
        <v>13</v>
      </c>
      <c r="N877" s="4">
        <v>7</v>
      </c>
      <c r="O877" t="s">
        <v>29</v>
      </c>
      <c r="P877" t="s">
        <v>29</v>
      </c>
      <c r="Q877" s="4">
        <v>472226</v>
      </c>
      <c r="R877" s="4">
        <v>305776</v>
      </c>
      <c r="S877" s="4">
        <f>Table1[[#This Row],[Service_Revenue]]-Table1[[#This Row],[Service_Cost]]</f>
        <v>166450</v>
      </c>
      <c r="T877" s="4">
        <v>2</v>
      </c>
      <c r="U877" s="4">
        <f>IF(AND(Table1[[#This Row],[Rework_Flag]]="Yes",Table1[[#This Row],[Warranty_Claim]]="No"),Table1[[#This Row],[Service_Revenue]],0)</f>
        <v>0</v>
      </c>
      <c r="V877" s="4">
        <f>IF(Table1[[#This Row],[Warranty_Claim]]="Yes",1,0)</f>
        <v>1</v>
      </c>
      <c r="W877" s="4">
        <f>IF(Table1[[#This Row],[Rework_Flag]]="No",1,0)</f>
        <v>0</v>
      </c>
      <c r="X877" s="4">
        <f>IF(Table1[[#This Row],[Rework_Flag]]="Yes",1,0)</f>
        <v>1</v>
      </c>
      <c r="Y877" s="4">
        <v>1</v>
      </c>
      <c r="Z877" s="4" t="str">
        <f>IF(Table1[[#This Row],[TAT_Days]]&gt;Table1[[#This Row],[SLA_TAT]],"Yes","No")</f>
        <v>Yes</v>
      </c>
      <c r="AA877" s="4" t="str" cm="1">
        <f t="array" ref="AA877">_xlfn.IFS(Table1[[#This Row],[Customer_Satisfaction]]&lt;=2,"Poor",Table1[[#This Row],[Customer_Satisfaction]]=3,"Neutral",Table1[[#This Row],[Customer_Satisfaction]]=4,"Good",Table1[[#This Row],[Customer_Satisfaction]]=5,"Good")</f>
        <v>Poor</v>
      </c>
    </row>
    <row r="878" spans="1:27" x14ac:dyDescent="0.35">
      <c r="A878">
        <v>20876</v>
      </c>
      <c r="B878" s="1">
        <v>45330</v>
      </c>
      <c r="C878" t="s">
        <v>19</v>
      </c>
      <c r="D878" t="s">
        <v>20</v>
      </c>
      <c r="E878" t="s">
        <v>86</v>
      </c>
      <c r="F878" t="s">
        <v>40</v>
      </c>
      <c r="G878" t="s">
        <v>23</v>
      </c>
      <c r="H878" t="s">
        <v>24</v>
      </c>
      <c r="I878" t="s">
        <v>55</v>
      </c>
      <c r="J878" t="s">
        <v>35</v>
      </c>
      <c r="K878" t="s">
        <v>44</v>
      </c>
      <c r="L878" t="s">
        <v>28</v>
      </c>
      <c r="M878" s="4">
        <v>8</v>
      </c>
      <c r="N878" s="4">
        <v>7</v>
      </c>
      <c r="O878" t="s">
        <v>29</v>
      </c>
      <c r="P878" t="s">
        <v>36</v>
      </c>
      <c r="Q878" s="4">
        <v>451936</v>
      </c>
      <c r="R878" s="4">
        <v>231505</v>
      </c>
      <c r="S878" s="4">
        <f>Table1[[#This Row],[Service_Revenue]]-Table1[[#This Row],[Service_Cost]]</f>
        <v>220431</v>
      </c>
      <c r="T878" s="4">
        <v>3</v>
      </c>
      <c r="U878" s="4">
        <f>IF(AND(Table1[[#This Row],[Rework_Flag]]="Yes",Table1[[#This Row],[Warranty_Claim]]="No"),Table1[[#This Row],[Service_Revenue]],0)</f>
        <v>451936</v>
      </c>
      <c r="V878" s="4">
        <f>IF(Table1[[#This Row],[Warranty_Claim]]="Yes",1,0)</f>
        <v>0</v>
      </c>
      <c r="W878" s="4">
        <f>IF(Table1[[#This Row],[Rework_Flag]]="No",1,0)</f>
        <v>0</v>
      </c>
      <c r="X878" s="4">
        <f>IF(Table1[[#This Row],[Rework_Flag]]="Yes",1,0)</f>
        <v>1</v>
      </c>
      <c r="Y878" s="4">
        <v>1</v>
      </c>
      <c r="Z878" s="4" t="str">
        <f>IF(Table1[[#This Row],[TAT_Days]]&gt;Table1[[#This Row],[SLA_TAT]],"Yes","No")</f>
        <v>Yes</v>
      </c>
      <c r="AA878" s="4" t="str" cm="1">
        <f t="array" ref="AA878">_xlfn.IFS(Table1[[#This Row],[Customer_Satisfaction]]&lt;=2,"Poor",Table1[[#This Row],[Customer_Satisfaction]]=3,"Neutral",Table1[[#This Row],[Customer_Satisfaction]]=4,"Good",Table1[[#This Row],[Customer_Satisfaction]]=5,"Good")</f>
        <v>Neutral</v>
      </c>
    </row>
    <row r="879" spans="1:27" x14ac:dyDescent="0.35">
      <c r="A879">
        <v>20877</v>
      </c>
      <c r="B879" s="1">
        <v>45354</v>
      </c>
      <c r="C879" t="s">
        <v>50</v>
      </c>
      <c r="D879" t="s">
        <v>51</v>
      </c>
      <c r="E879" t="s">
        <v>73</v>
      </c>
      <c r="F879" t="s">
        <v>53</v>
      </c>
      <c r="G879" t="s">
        <v>74</v>
      </c>
      <c r="H879" t="s">
        <v>34</v>
      </c>
      <c r="I879" t="s">
        <v>55</v>
      </c>
      <c r="J879" t="s">
        <v>43</v>
      </c>
      <c r="K879" t="s">
        <v>27</v>
      </c>
      <c r="L879" t="s">
        <v>28</v>
      </c>
      <c r="M879" s="4">
        <v>6</v>
      </c>
      <c r="N879" s="4">
        <v>7</v>
      </c>
      <c r="O879" t="s">
        <v>29</v>
      </c>
      <c r="P879" t="s">
        <v>29</v>
      </c>
      <c r="Q879" s="4">
        <v>321349</v>
      </c>
      <c r="R879" s="4">
        <v>263381</v>
      </c>
      <c r="S879" s="4">
        <f>Table1[[#This Row],[Service_Revenue]]-Table1[[#This Row],[Service_Cost]]</f>
        <v>57968</v>
      </c>
      <c r="T879" s="4">
        <v>3</v>
      </c>
      <c r="U879" s="4">
        <f>IF(AND(Table1[[#This Row],[Rework_Flag]]="Yes",Table1[[#This Row],[Warranty_Claim]]="No"),Table1[[#This Row],[Service_Revenue]],0)</f>
        <v>0</v>
      </c>
      <c r="V879" s="4">
        <f>IF(Table1[[#This Row],[Warranty_Claim]]="Yes",1,0)</f>
        <v>1</v>
      </c>
      <c r="W879" s="4">
        <f>IF(Table1[[#This Row],[Rework_Flag]]="No",1,0)</f>
        <v>0</v>
      </c>
      <c r="X879" s="4">
        <f>IF(Table1[[#This Row],[Rework_Flag]]="Yes",1,0)</f>
        <v>1</v>
      </c>
      <c r="Y879" s="4">
        <v>1</v>
      </c>
      <c r="Z879" s="4" t="str">
        <f>IF(Table1[[#This Row],[TAT_Days]]&gt;Table1[[#This Row],[SLA_TAT]],"Yes","No")</f>
        <v>No</v>
      </c>
      <c r="AA879" s="4" t="str" cm="1">
        <f t="array" ref="AA879">_xlfn.IFS(Table1[[#This Row],[Customer_Satisfaction]]&lt;=2,"Poor",Table1[[#This Row],[Customer_Satisfaction]]=3,"Neutral",Table1[[#This Row],[Customer_Satisfaction]]=4,"Good",Table1[[#This Row],[Customer_Satisfaction]]=5,"Good")</f>
        <v>Neutral</v>
      </c>
    </row>
    <row r="880" spans="1:27" x14ac:dyDescent="0.35">
      <c r="A880">
        <v>20878</v>
      </c>
      <c r="B880" s="1">
        <v>45336</v>
      </c>
      <c r="C880" t="s">
        <v>19</v>
      </c>
      <c r="D880" t="s">
        <v>96</v>
      </c>
      <c r="E880" t="s">
        <v>108</v>
      </c>
      <c r="F880" t="s">
        <v>22</v>
      </c>
      <c r="G880" t="s">
        <v>41</v>
      </c>
      <c r="H880" t="s">
        <v>42</v>
      </c>
      <c r="I880" t="s">
        <v>25</v>
      </c>
      <c r="J880" t="s">
        <v>67</v>
      </c>
      <c r="K880" t="s">
        <v>27</v>
      </c>
      <c r="L880" t="s">
        <v>28</v>
      </c>
      <c r="M880" s="4">
        <v>20</v>
      </c>
      <c r="N880" s="4">
        <v>7</v>
      </c>
      <c r="O880" t="s">
        <v>29</v>
      </c>
      <c r="P880" t="s">
        <v>29</v>
      </c>
      <c r="Q880" s="4">
        <v>267435</v>
      </c>
      <c r="R880" s="4">
        <v>173000</v>
      </c>
      <c r="S880" s="4">
        <f>Table1[[#This Row],[Service_Revenue]]-Table1[[#This Row],[Service_Cost]]</f>
        <v>94435</v>
      </c>
      <c r="T880" s="4">
        <v>1</v>
      </c>
      <c r="U880" s="4">
        <f>IF(AND(Table1[[#This Row],[Rework_Flag]]="Yes",Table1[[#This Row],[Warranty_Claim]]="No"),Table1[[#This Row],[Service_Revenue]],0)</f>
        <v>0</v>
      </c>
      <c r="V880" s="4">
        <f>IF(Table1[[#This Row],[Warranty_Claim]]="Yes",1,0)</f>
        <v>1</v>
      </c>
      <c r="W880" s="4">
        <f>IF(Table1[[#This Row],[Rework_Flag]]="No",1,0)</f>
        <v>0</v>
      </c>
      <c r="X880" s="4">
        <f>IF(Table1[[#This Row],[Rework_Flag]]="Yes",1,0)</f>
        <v>1</v>
      </c>
      <c r="Y880" s="4">
        <v>1</v>
      </c>
      <c r="Z880" s="4" t="str">
        <f>IF(Table1[[#This Row],[TAT_Days]]&gt;Table1[[#This Row],[SLA_TAT]],"Yes","No")</f>
        <v>Yes</v>
      </c>
      <c r="AA880" s="4" t="str" cm="1">
        <f t="array" ref="AA880">_xlfn.IFS(Table1[[#This Row],[Customer_Satisfaction]]&lt;=2,"Poor",Table1[[#This Row],[Customer_Satisfaction]]=3,"Neutral",Table1[[#This Row],[Customer_Satisfaction]]=4,"Good",Table1[[#This Row],[Customer_Satisfaction]]=5,"Good")</f>
        <v>Poor</v>
      </c>
    </row>
    <row r="881" spans="1:27" x14ac:dyDescent="0.35">
      <c r="A881">
        <v>20879</v>
      </c>
      <c r="B881" s="1">
        <v>45356</v>
      </c>
      <c r="C881" t="s">
        <v>37</v>
      </c>
      <c r="D881" t="s">
        <v>38</v>
      </c>
      <c r="E881" t="s">
        <v>107</v>
      </c>
      <c r="F881" t="s">
        <v>40</v>
      </c>
      <c r="G881" t="s">
        <v>74</v>
      </c>
      <c r="H881" t="s">
        <v>34</v>
      </c>
      <c r="I881" t="s">
        <v>55</v>
      </c>
      <c r="J881" t="s">
        <v>58</v>
      </c>
      <c r="K881" t="s">
        <v>61</v>
      </c>
      <c r="L881" t="s">
        <v>49</v>
      </c>
      <c r="M881" s="4">
        <v>25</v>
      </c>
      <c r="N881" s="4">
        <v>7</v>
      </c>
      <c r="O881" t="s">
        <v>29</v>
      </c>
      <c r="P881" t="s">
        <v>29</v>
      </c>
      <c r="Q881" s="4">
        <v>503883</v>
      </c>
      <c r="R881" s="4">
        <v>369841</v>
      </c>
      <c r="S881" s="4">
        <f>Table1[[#This Row],[Service_Revenue]]-Table1[[#This Row],[Service_Cost]]</f>
        <v>134042</v>
      </c>
      <c r="T881" s="4">
        <v>1</v>
      </c>
      <c r="U881" s="4">
        <f>IF(AND(Table1[[#This Row],[Rework_Flag]]="Yes",Table1[[#This Row],[Warranty_Claim]]="No"),Table1[[#This Row],[Service_Revenue]],0)</f>
        <v>0</v>
      </c>
      <c r="V881" s="4">
        <f>IF(Table1[[#This Row],[Warranty_Claim]]="Yes",1,0)</f>
        <v>1</v>
      </c>
      <c r="W881" s="4">
        <f>IF(Table1[[#This Row],[Rework_Flag]]="No",1,0)</f>
        <v>0</v>
      </c>
      <c r="X881" s="4">
        <f>IF(Table1[[#This Row],[Rework_Flag]]="Yes",1,0)</f>
        <v>1</v>
      </c>
      <c r="Y881" s="4">
        <v>1</v>
      </c>
      <c r="Z881" s="4" t="str">
        <f>IF(Table1[[#This Row],[TAT_Days]]&gt;Table1[[#This Row],[SLA_TAT]],"Yes","No")</f>
        <v>Yes</v>
      </c>
      <c r="AA881" s="4" t="str" cm="1">
        <f t="array" ref="AA881">_xlfn.IFS(Table1[[#This Row],[Customer_Satisfaction]]&lt;=2,"Poor",Table1[[#This Row],[Customer_Satisfaction]]=3,"Neutral",Table1[[#This Row],[Customer_Satisfaction]]=4,"Good",Table1[[#This Row],[Customer_Satisfaction]]=5,"Good")</f>
        <v>Poor</v>
      </c>
    </row>
    <row r="882" spans="1:27" x14ac:dyDescent="0.35">
      <c r="A882">
        <v>20880</v>
      </c>
      <c r="B882" s="1">
        <v>45456</v>
      </c>
      <c r="C882" t="s">
        <v>37</v>
      </c>
      <c r="D882" t="s">
        <v>70</v>
      </c>
      <c r="E882" t="s">
        <v>82</v>
      </c>
      <c r="F882" t="s">
        <v>53</v>
      </c>
      <c r="G882" t="s">
        <v>23</v>
      </c>
      <c r="H882" t="s">
        <v>24</v>
      </c>
      <c r="I882" t="s">
        <v>55</v>
      </c>
      <c r="J882" t="s">
        <v>43</v>
      </c>
      <c r="K882" t="s">
        <v>61</v>
      </c>
      <c r="L882" t="s">
        <v>28</v>
      </c>
      <c r="M882" s="4">
        <v>3</v>
      </c>
      <c r="N882" s="4">
        <v>7</v>
      </c>
      <c r="O882" t="s">
        <v>29</v>
      </c>
      <c r="P882" t="s">
        <v>36</v>
      </c>
      <c r="Q882" s="4">
        <v>560597</v>
      </c>
      <c r="R882" s="4">
        <v>376656</v>
      </c>
      <c r="S882" s="4">
        <f>Table1[[#This Row],[Service_Revenue]]-Table1[[#This Row],[Service_Cost]]</f>
        <v>183941</v>
      </c>
      <c r="T882" s="4">
        <v>4</v>
      </c>
      <c r="U882" s="4">
        <f>IF(AND(Table1[[#This Row],[Rework_Flag]]="Yes",Table1[[#This Row],[Warranty_Claim]]="No"),Table1[[#This Row],[Service_Revenue]],0)</f>
        <v>560597</v>
      </c>
      <c r="V882" s="4">
        <f>IF(Table1[[#This Row],[Warranty_Claim]]="Yes",1,0)</f>
        <v>0</v>
      </c>
      <c r="W882" s="4">
        <f>IF(Table1[[#This Row],[Rework_Flag]]="No",1,0)</f>
        <v>0</v>
      </c>
      <c r="X882" s="4">
        <f>IF(Table1[[#This Row],[Rework_Flag]]="Yes",1,0)</f>
        <v>1</v>
      </c>
      <c r="Y882" s="4">
        <v>1</v>
      </c>
      <c r="Z882" s="4" t="str">
        <f>IF(Table1[[#This Row],[TAT_Days]]&gt;Table1[[#This Row],[SLA_TAT]],"Yes","No")</f>
        <v>No</v>
      </c>
      <c r="AA882" s="4" t="str" cm="1">
        <f t="array" ref="AA882">_xlfn.IFS(Table1[[#This Row],[Customer_Satisfaction]]&lt;=2,"Poor",Table1[[#This Row],[Customer_Satisfaction]]=3,"Neutral",Table1[[#This Row],[Customer_Satisfaction]]=4,"Good",Table1[[#This Row],[Customer_Satisfaction]]=5,"Good")</f>
        <v>Good</v>
      </c>
    </row>
    <row r="883" spans="1:27" x14ac:dyDescent="0.35">
      <c r="A883">
        <v>20881</v>
      </c>
      <c r="B883" s="1">
        <v>45351</v>
      </c>
      <c r="C883" t="s">
        <v>50</v>
      </c>
      <c r="D883" t="s">
        <v>80</v>
      </c>
      <c r="E883" t="s">
        <v>118</v>
      </c>
      <c r="F883" t="s">
        <v>53</v>
      </c>
      <c r="G883" t="s">
        <v>54</v>
      </c>
      <c r="H883" t="s">
        <v>42</v>
      </c>
      <c r="I883" t="s">
        <v>25</v>
      </c>
      <c r="J883" t="s">
        <v>58</v>
      </c>
      <c r="K883" t="s">
        <v>27</v>
      </c>
      <c r="L883" t="s">
        <v>49</v>
      </c>
      <c r="M883" s="4">
        <v>12</v>
      </c>
      <c r="N883" s="4">
        <v>7</v>
      </c>
      <c r="O883" t="s">
        <v>29</v>
      </c>
      <c r="P883" t="s">
        <v>36</v>
      </c>
      <c r="Q883" s="4">
        <v>403722</v>
      </c>
      <c r="R883" s="4">
        <v>224803</v>
      </c>
      <c r="S883" s="4">
        <f>Table1[[#This Row],[Service_Revenue]]-Table1[[#This Row],[Service_Cost]]</f>
        <v>178919</v>
      </c>
      <c r="T883" s="4">
        <v>2</v>
      </c>
      <c r="U883" s="4">
        <f>IF(AND(Table1[[#This Row],[Rework_Flag]]="Yes",Table1[[#This Row],[Warranty_Claim]]="No"),Table1[[#This Row],[Service_Revenue]],0)</f>
        <v>403722</v>
      </c>
      <c r="V883" s="4">
        <f>IF(Table1[[#This Row],[Warranty_Claim]]="Yes",1,0)</f>
        <v>0</v>
      </c>
      <c r="W883" s="4">
        <f>IF(Table1[[#This Row],[Rework_Flag]]="No",1,0)</f>
        <v>0</v>
      </c>
      <c r="X883" s="4">
        <f>IF(Table1[[#This Row],[Rework_Flag]]="Yes",1,0)</f>
        <v>1</v>
      </c>
      <c r="Y883" s="4">
        <v>1</v>
      </c>
      <c r="Z883" s="4" t="str">
        <f>IF(Table1[[#This Row],[TAT_Days]]&gt;Table1[[#This Row],[SLA_TAT]],"Yes","No")</f>
        <v>Yes</v>
      </c>
      <c r="AA883" s="4" t="str" cm="1">
        <f t="array" ref="AA883">_xlfn.IFS(Table1[[#This Row],[Customer_Satisfaction]]&lt;=2,"Poor",Table1[[#This Row],[Customer_Satisfaction]]=3,"Neutral",Table1[[#This Row],[Customer_Satisfaction]]=4,"Good",Table1[[#This Row],[Customer_Satisfaction]]=5,"Good")</f>
        <v>Poor</v>
      </c>
    </row>
    <row r="884" spans="1:27" x14ac:dyDescent="0.35">
      <c r="A884">
        <v>20882</v>
      </c>
      <c r="B884" s="1">
        <v>45426</v>
      </c>
      <c r="C884" t="s">
        <v>19</v>
      </c>
      <c r="D884" t="s">
        <v>20</v>
      </c>
      <c r="E884" t="s">
        <v>89</v>
      </c>
      <c r="F884" t="s">
        <v>22</v>
      </c>
      <c r="G884" t="s">
        <v>23</v>
      </c>
      <c r="H884" t="s">
        <v>24</v>
      </c>
      <c r="I884" t="s">
        <v>55</v>
      </c>
      <c r="J884" t="s">
        <v>43</v>
      </c>
      <c r="K884" t="s">
        <v>27</v>
      </c>
      <c r="L884" t="s">
        <v>49</v>
      </c>
      <c r="M884" s="4">
        <v>9</v>
      </c>
      <c r="N884" s="4">
        <v>7</v>
      </c>
      <c r="O884" t="s">
        <v>36</v>
      </c>
      <c r="P884" t="s">
        <v>36</v>
      </c>
      <c r="Q884" s="4">
        <v>254783</v>
      </c>
      <c r="R884" s="4">
        <v>204228</v>
      </c>
      <c r="S884" s="4">
        <f>Table1[[#This Row],[Service_Revenue]]-Table1[[#This Row],[Service_Cost]]</f>
        <v>50555</v>
      </c>
      <c r="T884" s="4">
        <v>4</v>
      </c>
      <c r="U884" s="4">
        <f>IF(AND(Table1[[#This Row],[Rework_Flag]]="Yes",Table1[[#This Row],[Warranty_Claim]]="No"),Table1[[#This Row],[Service_Revenue]],0)</f>
        <v>0</v>
      </c>
      <c r="V884" s="4">
        <f>IF(Table1[[#This Row],[Warranty_Claim]]="Yes",1,0)</f>
        <v>0</v>
      </c>
      <c r="W884" s="4">
        <f>IF(Table1[[#This Row],[Rework_Flag]]="No",1,0)</f>
        <v>1</v>
      </c>
      <c r="X884" s="4">
        <f>IF(Table1[[#This Row],[Rework_Flag]]="Yes",1,0)</f>
        <v>0</v>
      </c>
      <c r="Y884" s="4">
        <v>1</v>
      </c>
      <c r="Z884" s="4" t="str">
        <f>IF(Table1[[#This Row],[TAT_Days]]&gt;Table1[[#This Row],[SLA_TAT]],"Yes","No")</f>
        <v>Yes</v>
      </c>
      <c r="AA884" s="4" t="str" cm="1">
        <f t="array" ref="AA884">_xlfn.IFS(Table1[[#This Row],[Customer_Satisfaction]]&lt;=2,"Poor",Table1[[#This Row],[Customer_Satisfaction]]=3,"Neutral",Table1[[#This Row],[Customer_Satisfaction]]=4,"Good",Table1[[#This Row],[Customer_Satisfaction]]=5,"Good")</f>
        <v>Good</v>
      </c>
    </row>
    <row r="885" spans="1:27" x14ac:dyDescent="0.35">
      <c r="A885">
        <v>20883</v>
      </c>
      <c r="B885" s="1">
        <v>45443</v>
      </c>
      <c r="C885" t="s">
        <v>50</v>
      </c>
      <c r="D885" t="s">
        <v>51</v>
      </c>
      <c r="E885" t="s">
        <v>52</v>
      </c>
      <c r="F885" t="s">
        <v>22</v>
      </c>
      <c r="G885" t="s">
        <v>47</v>
      </c>
      <c r="H885" t="s">
        <v>48</v>
      </c>
      <c r="I885" t="s">
        <v>55</v>
      </c>
      <c r="J885" t="s">
        <v>58</v>
      </c>
      <c r="K885" t="s">
        <v>61</v>
      </c>
      <c r="L885" t="s">
        <v>49</v>
      </c>
      <c r="M885" s="4">
        <v>12</v>
      </c>
      <c r="N885" s="4">
        <v>7</v>
      </c>
      <c r="O885" t="s">
        <v>29</v>
      </c>
      <c r="P885" t="s">
        <v>36</v>
      </c>
      <c r="Q885" s="4">
        <v>259807</v>
      </c>
      <c r="R885" s="4">
        <v>179460</v>
      </c>
      <c r="S885" s="4">
        <f>Table1[[#This Row],[Service_Revenue]]-Table1[[#This Row],[Service_Cost]]</f>
        <v>80347</v>
      </c>
      <c r="T885" s="4">
        <v>2</v>
      </c>
      <c r="U885" s="4">
        <f>IF(AND(Table1[[#This Row],[Rework_Flag]]="Yes",Table1[[#This Row],[Warranty_Claim]]="No"),Table1[[#This Row],[Service_Revenue]],0)</f>
        <v>259807</v>
      </c>
      <c r="V885" s="4">
        <f>IF(Table1[[#This Row],[Warranty_Claim]]="Yes",1,0)</f>
        <v>0</v>
      </c>
      <c r="W885" s="4">
        <f>IF(Table1[[#This Row],[Rework_Flag]]="No",1,0)</f>
        <v>0</v>
      </c>
      <c r="X885" s="4">
        <f>IF(Table1[[#This Row],[Rework_Flag]]="Yes",1,0)</f>
        <v>1</v>
      </c>
      <c r="Y885" s="4">
        <v>1</v>
      </c>
      <c r="Z885" s="4" t="str">
        <f>IF(Table1[[#This Row],[TAT_Days]]&gt;Table1[[#This Row],[SLA_TAT]],"Yes","No")</f>
        <v>Yes</v>
      </c>
      <c r="AA885" s="4" t="str" cm="1">
        <f t="array" ref="AA885">_xlfn.IFS(Table1[[#This Row],[Customer_Satisfaction]]&lt;=2,"Poor",Table1[[#This Row],[Customer_Satisfaction]]=3,"Neutral",Table1[[#This Row],[Customer_Satisfaction]]=4,"Good",Table1[[#This Row],[Customer_Satisfaction]]=5,"Good")</f>
        <v>Poor</v>
      </c>
    </row>
    <row r="886" spans="1:27" x14ac:dyDescent="0.35">
      <c r="A886">
        <v>20884</v>
      </c>
      <c r="B886" s="1">
        <v>45385</v>
      </c>
      <c r="C886" t="s">
        <v>30</v>
      </c>
      <c r="D886" t="s">
        <v>83</v>
      </c>
      <c r="E886" t="s">
        <v>84</v>
      </c>
      <c r="F886" t="s">
        <v>22</v>
      </c>
      <c r="G886" t="s">
        <v>23</v>
      </c>
      <c r="H886" t="s">
        <v>24</v>
      </c>
      <c r="I886" t="s">
        <v>25</v>
      </c>
      <c r="J886" t="s">
        <v>26</v>
      </c>
      <c r="K886" t="s">
        <v>61</v>
      </c>
      <c r="L886" t="s">
        <v>28</v>
      </c>
      <c r="M886" s="4">
        <v>23</v>
      </c>
      <c r="N886" s="4">
        <v>7</v>
      </c>
      <c r="O886" t="s">
        <v>29</v>
      </c>
      <c r="P886" t="s">
        <v>29</v>
      </c>
      <c r="Q886" s="4">
        <v>234679</v>
      </c>
      <c r="R886" s="4">
        <v>189426</v>
      </c>
      <c r="S886" s="4">
        <f>Table1[[#This Row],[Service_Revenue]]-Table1[[#This Row],[Service_Cost]]</f>
        <v>45253</v>
      </c>
      <c r="T886" s="4">
        <v>1</v>
      </c>
      <c r="U886" s="4">
        <f>IF(AND(Table1[[#This Row],[Rework_Flag]]="Yes",Table1[[#This Row],[Warranty_Claim]]="No"),Table1[[#This Row],[Service_Revenue]],0)</f>
        <v>0</v>
      </c>
      <c r="V886" s="4">
        <f>IF(Table1[[#This Row],[Warranty_Claim]]="Yes",1,0)</f>
        <v>1</v>
      </c>
      <c r="W886" s="4">
        <f>IF(Table1[[#This Row],[Rework_Flag]]="No",1,0)</f>
        <v>0</v>
      </c>
      <c r="X886" s="4">
        <f>IF(Table1[[#This Row],[Rework_Flag]]="Yes",1,0)</f>
        <v>1</v>
      </c>
      <c r="Y886" s="4">
        <v>1</v>
      </c>
      <c r="Z886" s="4" t="str">
        <f>IF(Table1[[#This Row],[TAT_Days]]&gt;Table1[[#This Row],[SLA_TAT]],"Yes","No")</f>
        <v>Yes</v>
      </c>
      <c r="AA886" s="4" t="str" cm="1">
        <f t="array" ref="AA886">_xlfn.IFS(Table1[[#This Row],[Customer_Satisfaction]]&lt;=2,"Poor",Table1[[#This Row],[Customer_Satisfaction]]=3,"Neutral",Table1[[#This Row],[Customer_Satisfaction]]=4,"Good",Table1[[#This Row],[Customer_Satisfaction]]=5,"Good")</f>
        <v>Poor</v>
      </c>
    </row>
    <row r="887" spans="1:27" x14ac:dyDescent="0.35">
      <c r="A887">
        <v>20885</v>
      </c>
      <c r="B887" s="1">
        <v>45431</v>
      </c>
      <c r="C887" t="s">
        <v>30</v>
      </c>
      <c r="D887" t="s">
        <v>83</v>
      </c>
      <c r="E887" t="s">
        <v>84</v>
      </c>
      <c r="F887" t="s">
        <v>40</v>
      </c>
      <c r="G887" t="s">
        <v>74</v>
      </c>
      <c r="H887" t="s">
        <v>34</v>
      </c>
      <c r="I887" t="s">
        <v>25</v>
      </c>
      <c r="J887" t="s">
        <v>67</v>
      </c>
      <c r="K887" t="s">
        <v>61</v>
      </c>
      <c r="L887" t="s">
        <v>28</v>
      </c>
      <c r="M887" s="4">
        <v>5</v>
      </c>
      <c r="N887" s="4">
        <v>7</v>
      </c>
      <c r="O887" t="s">
        <v>36</v>
      </c>
      <c r="P887" t="s">
        <v>36</v>
      </c>
      <c r="Q887" s="4">
        <v>504815</v>
      </c>
      <c r="R887" s="4">
        <v>314176</v>
      </c>
      <c r="S887" s="4">
        <f>Table1[[#This Row],[Service_Revenue]]-Table1[[#This Row],[Service_Cost]]</f>
        <v>190639</v>
      </c>
      <c r="T887" s="4">
        <v>4</v>
      </c>
      <c r="U887" s="4">
        <f>IF(AND(Table1[[#This Row],[Rework_Flag]]="Yes",Table1[[#This Row],[Warranty_Claim]]="No"),Table1[[#This Row],[Service_Revenue]],0)</f>
        <v>0</v>
      </c>
      <c r="V887" s="4">
        <f>IF(Table1[[#This Row],[Warranty_Claim]]="Yes",1,0)</f>
        <v>0</v>
      </c>
      <c r="W887" s="4">
        <f>IF(Table1[[#This Row],[Rework_Flag]]="No",1,0)</f>
        <v>1</v>
      </c>
      <c r="X887" s="4">
        <f>IF(Table1[[#This Row],[Rework_Flag]]="Yes",1,0)</f>
        <v>0</v>
      </c>
      <c r="Y887" s="4">
        <v>1</v>
      </c>
      <c r="Z887" s="4" t="str">
        <f>IF(Table1[[#This Row],[TAT_Days]]&gt;Table1[[#This Row],[SLA_TAT]],"Yes","No")</f>
        <v>No</v>
      </c>
      <c r="AA887" s="4" t="str" cm="1">
        <f t="array" ref="AA887">_xlfn.IFS(Table1[[#This Row],[Customer_Satisfaction]]&lt;=2,"Poor",Table1[[#This Row],[Customer_Satisfaction]]=3,"Neutral",Table1[[#This Row],[Customer_Satisfaction]]=4,"Good",Table1[[#This Row],[Customer_Satisfaction]]=5,"Good")</f>
        <v>Good</v>
      </c>
    </row>
    <row r="888" spans="1:27" x14ac:dyDescent="0.35">
      <c r="A888">
        <v>20886</v>
      </c>
      <c r="B888" s="1">
        <v>45436</v>
      </c>
      <c r="C888" t="s">
        <v>30</v>
      </c>
      <c r="D888" t="s">
        <v>83</v>
      </c>
      <c r="E888" t="s">
        <v>90</v>
      </c>
      <c r="F888" t="s">
        <v>40</v>
      </c>
      <c r="G888" t="s">
        <v>54</v>
      </c>
      <c r="H888" t="s">
        <v>42</v>
      </c>
      <c r="I888" t="s">
        <v>55</v>
      </c>
      <c r="J888" t="s">
        <v>58</v>
      </c>
      <c r="K888" t="s">
        <v>61</v>
      </c>
      <c r="L888" t="s">
        <v>28</v>
      </c>
      <c r="M888" s="4">
        <v>4</v>
      </c>
      <c r="N888" s="4">
        <v>7</v>
      </c>
      <c r="O888" t="s">
        <v>29</v>
      </c>
      <c r="P888" t="s">
        <v>29</v>
      </c>
      <c r="Q888" s="4">
        <v>469217</v>
      </c>
      <c r="R888" s="4">
        <v>349666</v>
      </c>
      <c r="S888" s="4">
        <f>Table1[[#This Row],[Service_Revenue]]-Table1[[#This Row],[Service_Cost]]</f>
        <v>119551</v>
      </c>
      <c r="T888" s="4">
        <v>4</v>
      </c>
      <c r="U888" s="4">
        <f>IF(AND(Table1[[#This Row],[Rework_Flag]]="Yes",Table1[[#This Row],[Warranty_Claim]]="No"),Table1[[#This Row],[Service_Revenue]],0)</f>
        <v>0</v>
      </c>
      <c r="V888" s="4">
        <f>IF(Table1[[#This Row],[Warranty_Claim]]="Yes",1,0)</f>
        <v>1</v>
      </c>
      <c r="W888" s="4">
        <f>IF(Table1[[#This Row],[Rework_Flag]]="No",1,0)</f>
        <v>0</v>
      </c>
      <c r="X888" s="4">
        <f>IF(Table1[[#This Row],[Rework_Flag]]="Yes",1,0)</f>
        <v>1</v>
      </c>
      <c r="Y888" s="4">
        <v>1</v>
      </c>
      <c r="Z888" s="4" t="str">
        <f>IF(Table1[[#This Row],[TAT_Days]]&gt;Table1[[#This Row],[SLA_TAT]],"Yes","No")</f>
        <v>No</v>
      </c>
      <c r="AA888" s="4" t="str" cm="1">
        <f t="array" ref="AA888">_xlfn.IFS(Table1[[#This Row],[Customer_Satisfaction]]&lt;=2,"Poor",Table1[[#This Row],[Customer_Satisfaction]]=3,"Neutral",Table1[[#This Row],[Customer_Satisfaction]]=4,"Good",Table1[[#This Row],[Customer_Satisfaction]]=5,"Good")</f>
        <v>Good</v>
      </c>
    </row>
    <row r="889" spans="1:27" x14ac:dyDescent="0.35">
      <c r="A889">
        <v>20887</v>
      </c>
      <c r="B889" s="1">
        <v>45312</v>
      </c>
      <c r="C889" t="s">
        <v>37</v>
      </c>
      <c r="D889" t="s">
        <v>64</v>
      </c>
      <c r="E889" t="s">
        <v>72</v>
      </c>
      <c r="F889" t="s">
        <v>53</v>
      </c>
      <c r="G889" t="s">
        <v>23</v>
      </c>
      <c r="H889" t="s">
        <v>24</v>
      </c>
      <c r="I889" t="s">
        <v>55</v>
      </c>
      <c r="J889" t="s">
        <v>58</v>
      </c>
      <c r="K889" t="s">
        <v>44</v>
      </c>
      <c r="L889" t="s">
        <v>28</v>
      </c>
      <c r="M889" s="4">
        <v>22</v>
      </c>
      <c r="N889" s="4">
        <v>7</v>
      </c>
      <c r="O889" t="s">
        <v>36</v>
      </c>
      <c r="P889" t="s">
        <v>29</v>
      </c>
      <c r="Q889" s="4">
        <v>527876</v>
      </c>
      <c r="R889" s="4">
        <v>406748</v>
      </c>
      <c r="S889" s="4">
        <f>Table1[[#This Row],[Service_Revenue]]-Table1[[#This Row],[Service_Cost]]</f>
        <v>121128</v>
      </c>
      <c r="T889" s="4">
        <v>1</v>
      </c>
      <c r="U889" s="4">
        <f>IF(AND(Table1[[#This Row],[Rework_Flag]]="Yes",Table1[[#This Row],[Warranty_Claim]]="No"),Table1[[#This Row],[Service_Revenue]],0)</f>
        <v>0</v>
      </c>
      <c r="V889" s="4">
        <f>IF(Table1[[#This Row],[Warranty_Claim]]="Yes",1,0)</f>
        <v>1</v>
      </c>
      <c r="W889" s="4">
        <f>IF(Table1[[#This Row],[Rework_Flag]]="No",1,0)</f>
        <v>1</v>
      </c>
      <c r="X889" s="4">
        <f>IF(Table1[[#This Row],[Rework_Flag]]="Yes",1,0)</f>
        <v>0</v>
      </c>
      <c r="Y889" s="4">
        <v>1</v>
      </c>
      <c r="Z889" s="4" t="str">
        <f>IF(Table1[[#This Row],[TAT_Days]]&gt;Table1[[#This Row],[SLA_TAT]],"Yes","No")</f>
        <v>Yes</v>
      </c>
      <c r="AA889" s="4" t="str" cm="1">
        <f t="array" ref="AA889">_xlfn.IFS(Table1[[#This Row],[Customer_Satisfaction]]&lt;=2,"Poor",Table1[[#This Row],[Customer_Satisfaction]]=3,"Neutral",Table1[[#This Row],[Customer_Satisfaction]]=4,"Good",Table1[[#This Row],[Customer_Satisfaction]]=5,"Good")</f>
        <v>Poor</v>
      </c>
    </row>
    <row r="890" spans="1:27" x14ac:dyDescent="0.35">
      <c r="A890">
        <v>20888</v>
      </c>
      <c r="B890" s="1">
        <v>45377</v>
      </c>
      <c r="C890" t="s">
        <v>30</v>
      </c>
      <c r="D890" t="s">
        <v>31</v>
      </c>
      <c r="E890" t="s">
        <v>79</v>
      </c>
      <c r="F890" t="s">
        <v>22</v>
      </c>
      <c r="G890" t="s">
        <v>54</v>
      </c>
      <c r="H890" t="s">
        <v>42</v>
      </c>
      <c r="I890" t="s">
        <v>25</v>
      </c>
      <c r="J890" t="s">
        <v>35</v>
      </c>
      <c r="K890" t="s">
        <v>44</v>
      </c>
      <c r="L890" t="s">
        <v>28</v>
      </c>
      <c r="M890" s="4">
        <v>11</v>
      </c>
      <c r="N890" s="4">
        <v>7</v>
      </c>
      <c r="O890" t="s">
        <v>36</v>
      </c>
      <c r="P890" t="s">
        <v>29</v>
      </c>
      <c r="Q890" s="4">
        <v>372204</v>
      </c>
      <c r="R890" s="4">
        <v>266329</v>
      </c>
      <c r="S890" s="4">
        <f>Table1[[#This Row],[Service_Revenue]]-Table1[[#This Row],[Service_Cost]]</f>
        <v>105875</v>
      </c>
      <c r="T890" s="4">
        <v>3</v>
      </c>
      <c r="U890" s="4">
        <f>IF(AND(Table1[[#This Row],[Rework_Flag]]="Yes",Table1[[#This Row],[Warranty_Claim]]="No"),Table1[[#This Row],[Service_Revenue]],0)</f>
        <v>0</v>
      </c>
      <c r="V890" s="4">
        <f>IF(Table1[[#This Row],[Warranty_Claim]]="Yes",1,0)</f>
        <v>1</v>
      </c>
      <c r="W890" s="4">
        <f>IF(Table1[[#This Row],[Rework_Flag]]="No",1,0)</f>
        <v>1</v>
      </c>
      <c r="X890" s="4">
        <f>IF(Table1[[#This Row],[Rework_Flag]]="Yes",1,0)</f>
        <v>0</v>
      </c>
      <c r="Y890" s="4">
        <v>1</v>
      </c>
      <c r="Z890" s="4" t="str">
        <f>IF(Table1[[#This Row],[TAT_Days]]&gt;Table1[[#This Row],[SLA_TAT]],"Yes","No")</f>
        <v>Yes</v>
      </c>
      <c r="AA890" s="4" t="str" cm="1">
        <f t="array" ref="AA890">_xlfn.IFS(Table1[[#This Row],[Customer_Satisfaction]]&lt;=2,"Poor",Table1[[#This Row],[Customer_Satisfaction]]=3,"Neutral",Table1[[#This Row],[Customer_Satisfaction]]=4,"Good",Table1[[#This Row],[Customer_Satisfaction]]=5,"Good")</f>
        <v>Neutral</v>
      </c>
    </row>
    <row r="891" spans="1:27" x14ac:dyDescent="0.35">
      <c r="A891">
        <v>20889</v>
      </c>
      <c r="B891" s="1">
        <v>45430</v>
      </c>
      <c r="C891" t="s">
        <v>30</v>
      </c>
      <c r="D891" t="s">
        <v>59</v>
      </c>
      <c r="E891" t="s">
        <v>66</v>
      </c>
      <c r="F891" t="s">
        <v>40</v>
      </c>
      <c r="G891" t="s">
        <v>63</v>
      </c>
      <c r="H891" t="s">
        <v>24</v>
      </c>
      <c r="I891" t="s">
        <v>25</v>
      </c>
      <c r="J891" t="s">
        <v>26</v>
      </c>
      <c r="K891" t="s">
        <v>27</v>
      </c>
      <c r="L891" t="s">
        <v>28</v>
      </c>
      <c r="M891" s="4">
        <v>20</v>
      </c>
      <c r="N891" s="4">
        <v>7</v>
      </c>
      <c r="O891" t="s">
        <v>29</v>
      </c>
      <c r="P891" t="s">
        <v>29</v>
      </c>
      <c r="Q891" s="4">
        <v>302210</v>
      </c>
      <c r="R891" s="4">
        <v>188550</v>
      </c>
      <c r="S891" s="4">
        <f>Table1[[#This Row],[Service_Revenue]]-Table1[[#This Row],[Service_Cost]]</f>
        <v>113660</v>
      </c>
      <c r="T891" s="4">
        <v>1</v>
      </c>
      <c r="U891" s="4">
        <f>IF(AND(Table1[[#This Row],[Rework_Flag]]="Yes",Table1[[#This Row],[Warranty_Claim]]="No"),Table1[[#This Row],[Service_Revenue]],0)</f>
        <v>0</v>
      </c>
      <c r="V891" s="4">
        <f>IF(Table1[[#This Row],[Warranty_Claim]]="Yes",1,0)</f>
        <v>1</v>
      </c>
      <c r="W891" s="4">
        <f>IF(Table1[[#This Row],[Rework_Flag]]="No",1,0)</f>
        <v>0</v>
      </c>
      <c r="X891" s="4">
        <f>IF(Table1[[#This Row],[Rework_Flag]]="Yes",1,0)</f>
        <v>1</v>
      </c>
      <c r="Y891" s="4">
        <v>1</v>
      </c>
      <c r="Z891" s="4" t="str">
        <f>IF(Table1[[#This Row],[TAT_Days]]&gt;Table1[[#This Row],[SLA_TAT]],"Yes","No")</f>
        <v>Yes</v>
      </c>
      <c r="AA891" s="4" t="str" cm="1">
        <f t="array" ref="AA891">_xlfn.IFS(Table1[[#This Row],[Customer_Satisfaction]]&lt;=2,"Poor",Table1[[#This Row],[Customer_Satisfaction]]=3,"Neutral",Table1[[#This Row],[Customer_Satisfaction]]=4,"Good",Table1[[#This Row],[Customer_Satisfaction]]=5,"Good")</f>
        <v>Poor</v>
      </c>
    </row>
    <row r="892" spans="1:27" x14ac:dyDescent="0.35">
      <c r="A892">
        <v>20890</v>
      </c>
      <c r="B892" s="1">
        <v>45471</v>
      </c>
      <c r="C892" t="s">
        <v>37</v>
      </c>
      <c r="D892" t="s">
        <v>70</v>
      </c>
      <c r="E892" t="s">
        <v>91</v>
      </c>
      <c r="F892" t="s">
        <v>40</v>
      </c>
      <c r="G892" t="s">
        <v>23</v>
      </c>
      <c r="H892" t="s">
        <v>24</v>
      </c>
      <c r="I892" t="s">
        <v>55</v>
      </c>
      <c r="J892" t="s">
        <v>58</v>
      </c>
      <c r="K892" t="s">
        <v>61</v>
      </c>
      <c r="L892" t="s">
        <v>28</v>
      </c>
      <c r="M892" s="4">
        <v>11</v>
      </c>
      <c r="N892" s="4">
        <v>7</v>
      </c>
      <c r="O892" t="s">
        <v>29</v>
      </c>
      <c r="P892" t="s">
        <v>29</v>
      </c>
      <c r="Q892" s="4">
        <v>386104</v>
      </c>
      <c r="R892" s="4">
        <v>235002</v>
      </c>
      <c r="S892" s="4">
        <f>Table1[[#This Row],[Service_Revenue]]-Table1[[#This Row],[Service_Cost]]</f>
        <v>151102</v>
      </c>
      <c r="T892" s="4">
        <v>2</v>
      </c>
      <c r="U892" s="4">
        <f>IF(AND(Table1[[#This Row],[Rework_Flag]]="Yes",Table1[[#This Row],[Warranty_Claim]]="No"),Table1[[#This Row],[Service_Revenue]],0)</f>
        <v>0</v>
      </c>
      <c r="V892" s="4">
        <f>IF(Table1[[#This Row],[Warranty_Claim]]="Yes",1,0)</f>
        <v>1</v>
      </c>
      <c r="W892" s="4">
        <f>IF(Table1[[#This Row],[Rework_Flag]]="No",1,0)</f>
        <v>0</v>
      </c>
      <c r="X892" s="4">
        <f>IF(Table1[[#This Row],[Rework_Flag]]="Yes",1,0)</f>
        <v>1</v>
      </c>
      <c r="Y892" s="4">
        <v>1</v>
      </c>
      <c r="Z892" s="4" t="str">
        <f>IF(Table1[[#This Row],[TAT_Days]]&gt;Table1[[#This Row],[SLA_TAT]],"Yes","No")</f>
        <v>Yes</v>
      </c>
      <c r="AA892" s="4" t="str" cm="1">
        <f t="array" ref="AA892">_xlfn.IFS(Table1[[#This Row],[Customer_Satisfaction]]&lt;=2,"Poor",Table1[[#This Row],[Customer_Satisfaction]]=3,"Neutral",Table1[[#This Row],[Customer_Satisfaction]]=4,"Good",Table1[[#This Row],[Customer_Satisfaction]]=5,"Good")</f>
        <v>Poor</v>
      </c>
    </row>
    <row r="893" spans="1:27" x14ac:dyDescent="0.35">
      <c r="A893">
        <v>20891</v>
      </c>
      <c r="B893" s="1">
        <v>45438</v>
      </c>
      <c r="C893" t="s">
        <v>50</v>
      </c>
      <c r="D893" t="s">
        <v>56</v>
      </c>
      <c r="E893" t="s">
        <v>57</v>
      </c>
      <c r="F893" t="s">
        <v>53</v>
      </c>
      <c r="G893" t="s">
        <v>54</v>
      </c>
      <c r="H893" t="s">
        <v>42</v>
      </c>
      <c r="I893" t="s">
        <v>55</v>
      </c>
      <c r="J893" t="s">
        <v>35</v>
      </c>
      <c r="K893" t="s">
        <v>27</v>
      </c>
      <c r="L893" t="s">
        <v>28</v>
      </c>
      <c r="M893" s="4">
        <v>25</v>
      </c>
      <c r="N893" s="4">
        <v>7</v>
      </c>
      <c r="O893" t="s">
        <v>29</v>
      </c>
      <c r="P893" t="s">
        <v>29</v>
      </c>
      <c r="Q893" s="4">
        <v>439754</v>
      </c>
      <c r="R893" s="4">
        <v>318763</v>
      </c>
      <c r="S893" s="4">
        <f>Table1[[#This Row],[Service_Revenue]]-Table1[[#This Row],[Service_Cost]]</f>
        <v>120991</v>
      </c>
      <c r="T893" s="4">
        <v>1</v>
      </c>
      <c r="U893" s="4">
        <f>IF(AND(Table1[[#This Row],[Rework_Flag]]="Yes",Table1[[#This Row],[Warranty_Claim]]="No"),Table1[[#This Row],[Service_Revenue]],0)</f>
        <v>0</v>
      </c>
      <c r="V893" s="4">
        <f>IF(Table1[[#This Row],[Warranty_Claim]]="Yes",1,0)</f>
        <v>1</v>
      </c>
      <c r="W893" s="4">
        <f>IF(Table1[[#This Row],[Rework_Flag]]="No",1,0)</f>
        <v>0</v>
      </c>
      <c r="X893" s="4">
        <f>IF(Table1[[#This Row],[Rework_Flag]]="Yes",1,0)</f>
        <v>1</v>
      </c>
      <c r="Y893" s="4">
        <v>1</v>
      </c>
      <c r="Z893" s="4" t="str">
        <f>IF(Table1[[#This Row],[TAT_Days]]&gt;Table1[[#This Row],[SLA_TAT]],"Yes","No")</f>
        <v>Yes</v>
      </c>
      <c r="AA893" s="4" t="str" cm="1">
        <f t="array" ref="AA893">_xlfn.IFS(Table1[[#This Row],[Customer_Satisfaction]]&lt;=2,"Poor",Table1[[#This Row],[Customer_Satisfaction]]=3,"Neutral",Table1[[#This Row],[Customer_Satisfaction]]=4,"Good",Table1[[#This Row],[Customer_Satisfaction]]=5,"Good")</f>
        <v>Poor</v>
      </c>
    </row>
    <row r="894" spans="1:27" x14ac:dyDescent="0.35">
      <c r="A894">
        <v>20892</v>
      </c>
      <c r="B894" s="1">
        <v>45362</v>
      </c>
      <c r="C894" t="s">
        <v>37</v>
      </c>
      <c r="D894" t="s">
        <v>64</v>
      </c>
      <c r="E894" t="s">
        <v>65</v>
      </c>
      <c r="F894" t="s">
        <v>53</v>
      </c>
      <c r="G894" t="s">
        <v>63</v>
      </c>
      <c r="H894" t="s">
        <v>24</v>
      </c>
      <c r="I894" t="s">
        <v>55</v>
      </c>
      <c r="J894" t="s">
        <v>26</v>
      </c>
      <c r="K894" t="s">
        <v>61</v>
      </c>
      <c r="L894" t="s">
        <v>49</v>
      </c>
      <c r="M894" s="4">
        <v>22</v>
      </c>
      <c r="N894" s="4">
        <v>7</v>
      </c>
      <c r="O894" t="s">
        <v>36</v>
      </c>
      <c r="P894" t="s">
        <v>36</v>
      </c>
      <c r="Q894" s="4">
        <v>364729</v>
      </c>
      <c r="R894" s="4">
        <v>302127</v>
      </c>
      <c r="S894" s="4">
        <f>Table1[[#This Row],[Service_Revenue]]-Table1[[#This Row],[Service_Cost]]</f>
        <v>62602</v>
      </c>
      <c r="T894" s="4">
        <v>1</v>
      </c>
      <c r="U894" s="4">
        <f>IF(AND(Table1[[#This Row],[Rework_Flag]]="Yes",Table1[[#This Row],[Warranty_Claim]]="No"),Table1[[#This Row],[Service_Revenue]],0)</f>
        <v>0</v>
      </c>
      <c r="V894" s="4">
        <f>IF(Table1[[#This Row],[Warranty_Claim]]="Yes",1,0)</f>
        <v>0</v>
      </c>
      <c r="W894" s="4">
        <f>IF(Table1[[#This Row],[Rework_Flag]]="No",1,0)</f>
        <v>1</v>
      </c>
      <c r="X894" s="4">
        <f>IF(Table1[[#This Row],[Rework_Flag]]="Yes",1,0)</f>
        <v>0</v>
      </c>
      <c r="Y894" s="4">
        <v>1</v>
      </c>
      <c r="Z894" s="4" t="str">
        <f>IF(Table1[[#This Row],[TAT_Days]]&gt;Table1[[#This Row],[SLA_TAT]],"Yes","No")</f>
        <v>Yes</v>
      </c>
      <c r="AA894" s="4" t="str" cm="1">
        <f t="array" ref="AA894">_xlfn.IFS(Table1[[#This Row],[Customer_Satisfaction]]&lt;=2,"Poor",Table1[[#This Row],[Customer_Satisfaction]]=3,"Neutral",Table1[[#This Row],[Customer_Satisfaction]]=4,"Good",Table1[[#This Row],[Customer_Satisfaction]]=5,"Good")</f>
        <v>Poor</v>
      </c>
    </row>
    <row r="895" spans="1:27" x14ac:dyDescent="0.35">
      <c r="A895">
        <v>20893</v>
      </c>
      <c r="B895" s="1">
        <v>45413</v>
      </c>
      <c r="C895" t="s">
        <v>50</v>
      </c>
      <c r="D895" t="s">
        <v>56</v>
      </c>
      <c r="E895" t="s">
        <v>88</v>
      </c>
      <c r="F895" t="s">
        <v>53</v>
      </c>
      <c r="G895" t="s">
        <v>54</v>
      </c>
      <c r="H895" t="s">
        <v>42</v>
      </c>
      <c r="I895" t="s">
        <v>25</v>
      </c>
      <c r="J895" t="s">
        <v>58</v>
      </c>
      <c r="K895" t="s">
        <v>61</v>
      </c>
      <c r="L895" t="s">
        <v>28</v>
      </c>
      <c r="M895" s="4">
        <v>17</v>
      </c>
      <c r="N895" s="4">
        <v>7</v>
      </c>
      <c r="O895" t="s">
        <v>36</v>
      </c>
      <c r="P895" t="s">
        <v>36</v>
      </c>
      <c r="Q895" s="4">
        <v>358978</v>
      </c>
      <c r="R895" s="4">
        <v>194341</v>
      </c>
      <c r="S895" s="4">
        <f>Table1[[#This Row],[Service_Revenue]]-Table1[[#This Row],[Service_Cost]]</f>
        <v>164637</v>
      </c>
      <c r="T895" s="4">
        <v>2</v>
      </c>
      <c r="U895" s="4">
        <f>IF(AND(Table1[[#This Row],[Rework_Flag]]="Yes",Table1[[#This Row],[Warranty_Claim]]="No"),Table1[[#This Row],[Service_Revenue]],0)</f>
        <v>0</v>
      </c>
      <c r="V895" s="4">
        <f>IF(Table1[[#This Row],[Warranty_Claim]]="Yes",1,0)</f>
        <v>0</v>
      </c>
      <c r="W895" s="4">
        <f>IF(Table1[[#This Row],[Rework_Flag]]="No",1,0)</f>
        <v>1</v>
      </c>
      <c r="X895" s="4">
        <f>IF(Table1[[#This Row],[Rework_Flag]]="Yes",1,0)</f>
        <v>0</v>
      </c>
      <c r="Y895" s="4">
        <v>1</v>
      </c>
      <c r="Z895" s="4" t="str">
        <f>IF(Table1[[#This Row],[TAT_Days]]&gt;Table1[[#This Row],[SLA_TAT]],"Yes","No")</f>
        <v>Yes</v>
      </c>
      <c r="AA895" s="4" t="str" cm="1">
        <f t="array" ref="AA895">_xlfn.IFS(Table1[[#This Row],[Customer_Satisfaction]]&lt;=2,"Poor",Table1[[#This Row],[Customer_Satisfaction]]=3,"Neutral",Table1[[#This Row],[Customer_Satisfaction]]=4,"Good",Table1[[#This Row],[Customer_Satisfaction]]=5,"Good")</f>
        <v>Poor</v>
      </c>
    </row>
    <row r="896" spans="1:27" x14ac:dyDescent="0.35">
      <c r="A896">
        <v>20894</v>
      </c>
      <c r="B896" s="1">
        <v>45407</v>
      </c>
      <c r="C896" t="s">
        <v>37</v>
      </c>
      <c r="D896" t="s">
        <v>64</v>
      </c>
      <c r="E896" t="s">
        <v>72</v>
      </c>
      <c r="F896" t="s">
        <v>40</v>
      </c>
      <c r="G896" t="s">
        <v>74</v>
      </c>
      <c r="H896" t="s">
        <v>34</v>
      </c>
      <c r="I896" t="s">
        <v>25</v>
      </c>
      <c r="J896" t="s">
        <v>67</v>
      </c>
      <c r="K896" t="s">
        <v>61</v>
      </c>
      <c r="L896" t="s">
        <v>28</v>
      </c>
      <c r="M896" s="4">
        <v>13</v>
      </c>
      <c r="N896" s="4">
        <v>7</v>
      </c>
      <c r="O896" t="s">
        <v>29</v>
      </c>
      <c r="P896" t="s">
        <v>36</v>
      </c>
      <c r="Q896" s="4">
        <v>181884</v>
      </c>
      <c r="R896" s="4">
        <v>108449</v>
      </c>
      <c r="S896" s="4">
        <f>Table1[[#This Row],[Service_Revenue]]-Table1[[#This Row],[Service_Cost]]</f>
        <v>73435</v>
      </c>
      <c r="T896" s="4">
        <v>2</v>
      </c>
      <c r="U896" s="4">
        <f>IF(AND(Table1[[#This Row],[Rework_Flag]]="Yes",Table1[[#This Row],[Warranty_Claim]]="No"),Table1[[#This Row],[Service_Revenue]],0)</f>
        <v>181884</v>
      </c>
      <c r="V896" s="4">
        <f>IF(Table1[[#This Row],[Warranty_Claim]]="Yes",1,0)</f>
        <v>0</v>
      </c>
      <c r="W896" s="4">
        <f>IF(Table1[[#This Row],[Rework_Flag]]="No",1,0)</f>
        <v>0</v>
      </c>
      <c r="X896" s="4">
        <f>IF(Table1[[#This Row],[Rework_Flag]]="Yes",1,0)</f>
        <v>1</v>
      </c>
      <c r="Y896" s="4">
        <v>1</v>
      </c>
      <c r="Z896" s="4" t="str">
        <f>IF(Table1[[#This Row],[TAT_Days]]&gt;Table1[[#This Row],[SLA_TAT]],"Yes","No")</f>
        <v>Yes</v>
      </c>
      <c r="AA896" s="4" t="str" cm="1">
        <f t="array" ref="AA896">_xlfn.IFS(Table1[[#This Row],[Customer_Satisfaction]]&lt;=2,"Poor",Table1[[#This Row],[Customer_Satisfaction]]=3,"Neutral",Table1[[#This Row],[Customer_Satisfaction]]=4,"Good",Table1[[#This Row],[Customer_Satisfaction]]=5,"Good")</f>
        <v>Poor</v>
      </c>
    </row>
    <row r="897" spans="1:27" x14ac:dyDescent="0.35">
      <c r="A897">
        <v>20895</v>
      </c>
      <c r="B897" s="1">
        <v>45406</v>
      </c>
      <c r="C897" t="s">
        <v>19</v>
      </c>
      <c r="D897" t="s">
        <v>45</v>
      </c>
      <c r="E897" t="s">
        <v>76</v>
      </c>
      <c r="F897" t="s">
        <v>53</v>
      </c>
      <c r="G897" t="s">
        <v>23</v>
      </c>
      <c r="H897" t="s">
        <v>24</v>
      </c>
      <c r="I897" t="s">
        <v>55</v>
      </c>
      <c r="J897" t="s">
        <v>43</v>
      </c>
      <c r="K897" t="s">
        <v>44</v>
      </c>
      <c r="L897" t="s">
        <v>49</v>
      </c>
      <c r="M897" s="4">
        <v>12</v>
      </c>
      <c r="N897" s="4">
        <v>7</v>
      </c>
      <c r="O897" t="s">
        <v>29</v>
      </c>
      <c r="P897" t="s">
        <v>29</v>
      </c>
      <c r="Q897" s="4">
        <v>321762</v>
      </c>
      <c r="R897" s="4">
        <v>218087</v>
      </c>
      <c r="S897" s="4">
        <f>Table1[[#This Row],[Service_Revenue]]-Table1[[#This Row],[Service_Cost]]</f>
        <v>103675</v>
      </c>
      <c r="T897" s="4">
        <v>2</v>
      </c>
      <c r="U897" s="4">
        <f>IF(AND(Table1[[#This Row],[Rework_Flag]]="Yes",Table1[[#This Row],[Warranty_Claim]]="No"),Table1[[#This Row],[Service_Revenue]],0)</f>
        <v>0</v>
      </c>
      <c r="V897" s="4">
        <f>IF(Table1[[#This Row],[Warranty_Claim]]="Yes",1,0)</f>
        <v>1</v>
      </c>
      <c r="W897" s="4">
        <f>IF(Table1[[#This Row],[Rework_Flag]]="No",1,0)</f>
        <v>0</v>
      </c>
      <c r="X897" s="4">
        <f>IF(Table1[[#This Row],[Rework_Flag]]="Yes",1,0)</f>
        <v>1</v>
      </c>
      <c r="Y897" s="4">
        <v>1</v>
      </c>
      <c r="Z897" s="4" t="str">
        <f>IF(Table1[[#This Row],[TAT_Days]]&gt;Table1[[#This Row],[SLA_TAT]],"Yes","No")</f>
        <v>Yes</v>
      </c>
      <c r="AA897" s="4" t="str" cm="1">
        <f t="array" ref="AA897">_xlfn.IFS(Table1[[#This Row],[Customer_Satisfaction]]&lt;=2,"Poor",Table1[[#This Row],[Customer_Satisfaction]]=3,"Neutral",Table1[[#This Row],[Customer_Satisfaction]]=4,"Good",Table1[[#This Row],[Customer_Satisfaction]]=5,"Good")</f>
        <v>Poor</v>
      </c>
    </row>
    <row r="898" spans="1:27" x14ac:dyDescent="0.35">
      <c r="A898">
        <v>20896</v>
      </c>
      <c r="B898" s="1">
        <v>45314</v>
      </c>
      <c r="C898" t="s">
        <v>19</v>
      </c>
      <c r="D898" t="s">
        <v>45</v>
      </c>
      <c r="E898" t="s">
        <v>76</v>
      </c>
      <c r="F898" t="s">
        <v>22</v>
      </c>
      <c r="G898" t="s">
        <v>74</v>
      </c>
      <c r="H898" t="s">
        <v>34</v>
      </c>
      <c r="I898" t="s">
        <v>55</v>
      </c>
      <c r="J898" t="s">
        <v>26</v>
      </c>
      <c r="K898" t="s">
        <v>61</v>
      </c>
      <c r="L898" t="s">
        <v>28</v>
      </c>
      <c r="M898" s="4">
        <v>23</v>
      </c>
      <c r="N898" s="4">
        <v>7</v>
      </c>
      <c r="O898" t="s">
        <v>29</v>
      </c>
      <c r="P898" t="s">
        <v>36</v>
      </c>
      <c r="Q898" s="4">
        <v>422474</v>
      </c>
      <c r="R898" s="4">
        <v>257852</v>
      </c>
      <c r="S898" s="4">
        <f>Table1[[#This Row],[Service_Revenue]]-Table1[[#This Row],[Service_Cost]]</f>
        <v>164622</v>
      </c>
      <c r="T898" s="4">
        <v>1</v>
      </c>
      <c r="U898" s="4">
        <f>IF(AND(Table1[[#This Row],[Rework_Flag]]="Yes",Table1[[#This Row],[Warranty_Claim]]="No"),Table1[[#This Row],[Service_Revenue]],0)</f>
        <v>422474</v>
      </c>
      <c r="V898" s="4">
        <f>IF(Table1[[#This Row],[Warranty_Claim]]="Yes",1,0)</f>
        <v>0</v>
      </c>
      <c r="W898" s="4">
        <f>IF(Table1[[#This Row],[Rework_Flag]]="No",1,0)</f>
        <v>0</v>
      </c>
      <c r="X898" s="4">
        <f>IF(Table1[[#This Row],[Rework_Flag]]="Yes",1,0)</f>
        <v>1</v>
      </c>
      <c r="Y898" s="4">
        <v>1</v>
      </c>
      <c r="Z898" s="4" t="str">
        <f>IF(Table1[[#This Row],[TAT_Days]]&gt;Table1[[#This Row],[SLA_TAT]],"Yes","No")</f>
        <v>Yes</v>
      </c>
      <c r="AA898" s="4" t="str" cm="1">
        <f t="array" ref="AA898">_xlfn.IFS(Table1[[#This Row],[Customer_Satisfaction]]&lt;=2,"Poor",Table1[[#This Row],[Customer_Satisfaction]]=3,"Neutral",Table1[[#This Row],[Customer_Satisfaction]]=4,"Good",Table1[[#This Row],[Customer_Satisfaction]]=5,"Good")</f>
        <v>Poor</v>
      </c>
    </row>
    <row r="899" spans="1:27" x14ac:dyDescent="0.35">
      <c r="A899">
        <v>20897</v>
      </c>
      <c r="B899" s="1">
        <v>45459</v>
      </c>
      <c r="C899" t="s">
        <v>30</v>
      </c>
      <c r="D899" t="s">
        <v>59</v>
      </c>
      <c r="E899" t="s">
        <v>66</v>
      </c>
      <c r="F899" t="s">
        <v>53</v>
      </c>
      <c r="G899" t="s">
        <v>23</v>
      </c>
      <c r="H899" t="s">
        <v>24</v>
      </c>
      <c r="I899" t="s">
        <v>25</v>
      </c>
      <c r="J899" t="s">
        <v>58</v>
      </c>
      <c r="K899" t="s">
        <v>27</v>
      </c>
      <c r="L899" t="s">
        <v>49</v>
      </c>
      <c r="M899" s="4">
        <v>19</v>
      </c>
      <c r="N899" s="4">
        <v>7</v>
      </c>
      <c r="O899" t="s">
        <v>29</v>
      </c>
      <c r="P899" t="s">
        <v>36</v>
      </c>
      <c r="Q899" s="4">
        <v>597443</v>
      </c>
      <c r="R899" s="4">
        <v>506371</v>
      </c>
      <c r="S899" s="4">
        <f>Table1[[#This Row],[Service_Revenue]]-Table1[[#This Row],[Service_Cost]]</f>
        <v>91072</v>
      </c>
      <c r="T899" s="4">
        <v>1</v>
      </c>
      <c r="U899" s="4">
        <f>IF(AND(Table1[[#This Row],[Rework_Flag]]="Yes",Table1[[#This Row],[Warranty_Claim]]="No"),Table1[[#This Row],[Service_Revenue]],0)</f>
        <v>597443</v>
      </c>
      <c r="V899" s="4">
        <f>IF(Table1[[#This Row],[Warranty_Claim]]="Yes",1,0)</f>
        <v>0</v>
      </c>
      <c r="W899" s="4">
        <f>IF(Table1[[#This Row],[Rework_Flag]]="No",1,0)</f>
        <v>0</v>
      </c>
      <c r="X899" s="4">
        <f>IF(Table1[[#This Row],[Rework_Flag]]="Yes",1,0)</f>
        <v>1</v>
      </c>
      <c r="Y899" s="4">
        <v>1</v>
      </c>
      <c r="Z899" s="4" t="str">
        <f>IF(Table1[[#This Row],[TAT_Days]]&gt;Table1[[#This Row],[SLA_TAT]],"Yes","No")</f>
        <v>Yes</v>
      </c>
      <c r="AA899" s="4" t="str" cm="1">
        <f t="array" ref="AA899">_xlfn.IFS(Table1[[#This Row],[Customer_Satisfaction]]&lt;=2,"Poor",Table1[[#This Row],[Customer_Satisfaction]]=3,"Neutral",Table1[[#This Row],[Customer_Satisfaction]]=4,"Good",Table1[[#This Row],[Customer_Satisfaction]]=5,"Good")</f>
        <v>Poor</v>
      </c>
    </row>
    <row r="900" spans="1:27" x14ac:dyDescent="0.35">
      <c r="A900">
        <v>20898</v>
      </c>
      <c r="B900" s="1">
        <v>45353</v>
      </c>
      <c r="C900" t="s">
        <v>19</v>
      </c>
      <c r="D900" t="s">
        <v>20</v>
      </c>
      <c r="E900" t="s">
        <v>110</v>
      </c>
      <c r="F900" t="s">
        <v>53</v>
      </c>
      <c r="G900" t="s">
        <v>23</v>
      </c>
      <c r="H900" t="s">
        <v>24</v>
      </c>
      <c r="I900" t="s">
        <v>25</v>
      </c>
      <c r="J900" t="s">
        <v>67</v>
      </c>
      <c r="K900" t="s">
        <v>44</v>
      </c>
      <c r="L900" t="s">
        <v>28</v>
      </c>
      <c r="M900" s="4">
        <v>14</v>
      </c>
      <c r="N900" s="4">
        <v>7</v>
      </c>
      <c r="O900" t="s">
        <v>29</v>
      </c>
      <c r="P900" t="s">
        <v>36</v>
      </c>
      <c r="Q900" s="4">
        <v>252002</v>
      </c>
      <c r="R900" s="4">
        <v>136319</v>
      </c>
      <c r="S900" s="4">
        <f>Table1[[#This Row],[Service_Revenue]]-Table1[[#This Row],[Service_Cost]]</f>
        <v>115683</v>
      </c>
      <c r="T900" s="4">
        <v>2</v>
      </c>
      <c r="U900" s="4">
        <f>IF(AND(Table1[[#This Row],[Rework_Flag]]="Yes",Table1[[#This Row],[Warranty_Claim]]="No"),Table1[[#This Row],[Service_Revenue]],0)</f>
        <v>252002</v>
      </c>
      <c r="V900" s="4">
        <f>IF(Table1[[#This Row],[Warranty_Claim]]="Yes",1,0)</f>
        <v>0</v>
      </c>
      <c r="W900" s="4">
        <f>IF(Table1[[#This Row],[Rework_Flag]]="No",1,0)</f>
        <v>0</v>
      </c>
      <c r="X900" s="4">
        <f>IF(Table1[[#This Row],[Rework_Flag]]="Yes",1,0)</f>
        <v>1</v>
      </c>
      <c r="Y900" s="4">
        <v>1</v>
      </c>
      <c r="Z900" s="4" t="str">
        <f>IF(Table1[[#This Row],[TAT_Days]]&gt;Table1[[#This Row],[SLA_TAT]],"Yes","No")</f>
        <v>Yes</v>
      </c>
      <c r="AA900" s="4" t="str" cm="1">
        <f t="array" ref="AA900">_xlfn.IFS(Table1[[#This Row],[Customer_Satisfaction]]&lt;=2,"Poor",Table1[[#This Row],[Customer_Satisfaction]]=3,"Neutral",Table1[[#This Row],[Customer_Satisfaction]]=4,"Good",Table1[[#This Row],[Customer_Satisfaction]]=5,"Good")</f>
        <v>Poor</v>
      </c>
    </row>
    <row r="901" spans="1:27" x14ac:dyDescent="0.35">
      <c r="A901">
        <v>20899</v>
      </c>
      <c r="B901" s="1">
        <v>45426</v>
      </c>
      <c r="C901" t="s">
        <v>50</v>
      </c>
      <c r="D901" t="s">
        <v>56</v>
      </c>
      <c r="E901" t="s">
        <v>77</v>
      </c>
      <c r="F901" t="s">
        <v>53</v>
      </c>
      <c r="G901" t="s">
        <v>23</v>
      </c>
      <c r="H901" t="s">
        <v>24</v>
      </c>
      <c r="I901" t="s">
        <v>55</v>
      </c>
      <c r="J901" t="s">
        <v>26</v>
      </c>
      <c r="K901" t="s">
        <v>61</v>
      </c>
      <c r="L901" t="s">
        <v>28</v>
      </c>
      <c r="M901" s="4">
        <v>12</v>
      </c>
      <c r="N901" s="4">
        <v>7</v>
      </c>
      <c r="O901" t="s">
        <v>29</v>
      </c>
      <c r="P901" t="s">
        <v>29</v>
      </c>
      <c r="Q901" s="4">
        <v>521998</v>
      </c>
      <c r="R901" s="4">
        <v>306456</v>
      </c>
      <c r="S901" s="4">
        <f>Table1[[#This Row],[Service_Revenue]]-Table1[[#This Row],[Service_Cost]]</f>
        <v>215542</v>
      </c>
      <c r="T901" s="4">
        <v>2</v>
      </c>
      <c r="U901" s="4">
        <f>IF(AND(Table1[[#This Row],[Rework_Flag]]="Yes",Table1[[#This Row],[Warranty_Claim]]="No"),Table1[[#This Row],[Service_Revenue]],0)</f>
        <v>0</v>
      </c>
      <c r="V901" s="4">
        <f>IF(Table1[[#This Row],[Warranty_Claim]]="Yes",1,0)</f>
        <v>1</v>
      </c>
      <c r="W901" s="4">
        <f>IF(Table1[[#This Row],[Rework_Flag]]="No",1,0)</f>
        <v>0</v>
      </c>
      <c r="X901" s="4">
        <f>IF(Table1[[#This Row],[Rework_Flag]]="Yes",1,0)</f>
        <v>1</v>
      </c>
      <c r="Y901" s="4">
        <v>1</v>
      </c>
      <c r="Z901" s="4" t="str">
        <f>IF(Table1[[#This Row],[TAT_Days]]&gt;Table1[[#This Row],[SLA_TAT]],"Yes","No")</f>
        <v>Yes</v>
      </c>
      <c r="AA901" s="4" t="str" cm="1">
        <f t="array" ref="AA901">_xlfn.IFS(Table1[[#This Row],[Customer_Satisfaction]]&lt;=2,"Poor",Table1[[#This Row],[Customer_Satisfaction]]=3,"Neutral",Table1[[#This Row],[Customer_Satisfaction]]=4,"Good",Table1[[#This Row],[Customer_Satisfaction]]=5,"Good")</f>
        <v>Poor</v>
      </c>
    </row>
    <row r="902" spans="1:27" x14ac:dyDescent="0.35">
      <c r="A902">
        <v>20900</v>
      </c>
      <c r="B902" s="1">
        <v>45380</v>
      </c>
      <c r="C902" t="s">
        <v>30</v>
      </c>
      <c r="D902" t="s">
        <v>59</v>
      </c>
      <c r="E902" t="s">
        <v>66</v>
      </c>
      <c r="F902" t="s">
        <v>22</v>
      </c>
      <c r="G902" t="s">
        <v>63</v>
      </c>
      <c r="H902" t="s">
        <v>24</v>
      </c>
      <c r="I902" t="s">
        <v>55</v>
      </c>
      <c r="J902" t="s">
        <v>26</v>
      </c>
      <c r="K902" t="s">
        <v>61</v>
      </c>
      <c r="L902" t="s">
        <v>49</v>
      </c>
      <c r="M902" s="4">
        <v>10</v>
      </c>
      <c r="N902" s="4">
        <v>7</v>
      </c>
      <c r="O902" t="s">
        <v>36</v>
      </c>
      <c r="P902" t="s">
        <v>36</v>
      </c>
      <c r="Q902" s="4">
        <v>526567</v>
      </c>
      <c r="R902" s="4">
        <v>377027</v>
      </c>
      <c r="S902" s="4">
        <f>Table1[[#This Row],[Service_Revenue]]-Table1[[#This Row],[Service_Cost]]</f>
        <v>149540</v>
      </c>
      <c r="T902" s="4">
        <v>3</v>
      </c>
      <c r="U902" s="4">
        <f>IF(AND(Table1[[#This Row],[Rework_Flag]]="Yes",Table1[[#This Row],[Warranty_Claim]]="No"),Table1[[#This Row],[Service_Revenue]],0)</f>
        <v>0</v>
      </c>
      <c r="V902" s="4">
        <f>IF(Table1[[#This Row],[Warranty_Claim]]="Yes",1,0)</f>
        <v>0</v>
      </c>
      <c r="W902" s="4">
        <f>IF(Table1[[#This Row],[Rework_Flag]]="No",1,0)</f>
        <v>1</v>
      </c>
      <c r="X902" s="4">
        <f>IF(Table1[[#This Row],[Rework_Flag]]="Yes",1,0)</f>
        <v>0</v>
      </c>
      <c r="Y902" s="4">
        <v>1</v>
      </c>
      <c r="Z902" s="4" t="str">
        <f>IF(Table1[[#This Row],[TAT_Days]]&gt;Table1[[#This Row],[SLA_TAT]],"Yes","No")</f>
        <v>Yes</v>
      </c>
      <c r="AA902" s="4" t="str" cm="1">
        <f t="array" ref="AA902">_xlfn.IFS(Table1[[#This Row],[Customer_Satisfaction]]&lt;=2,"Poor",Table1[[#This Row],[Customer_Satisfaction]]=3,"Neutral",Table1[[#This Row],[Customer_Satisfaction]]=4,"Good",Table1[[#This Row],[Customer_Satisfaction]]=5,"Good")</f>
        <v>Neutral</v>
      </c>
    </row>
    <row r="903" spans="1:27" x14ac:dyDescent="0.35">
      <c r="A903">
        <v>20901</v>
      </c>
      <c r="B903" s="1">
        <v>45378</v>
      </c>
      <c r="C903" t="s">
        <v>30</v>
      </c>
      <c r="D903" t="s">
        <v>31</v>
      </c>
      <c r="E903" t="s">
        <v>106</v>
      </c>
      <c r="F903" t="s">
        <v>53</v>
      </c>
      <c r="G903" t="s">
        <v>63</v>
      </c>
      <c r="H903" t="s">
        <v>24</v>
      </c>
      <c r="I903" t="s">
        <v>25</v>
      </c>
      <c r="J903" t="s">
        <v>35</v>
      </c>
      <c r="K903" t="s">
        <v>61</v>
      </c>
      <c r="L903" t="s">
        <v>49</v>
      </c>
      <c r="M903" s="4">
        <v>12</v>
      </c>
      <c r="N903" s="4">
        <v>7</v>
      </c>
      <c r="O903" t="s">
        <v>36</v>
      </c>
      <c r="P903" t="s">
        <v>29</v>
      </c>
      <c r="Q903" s="4">
        <v>321184</v>
      </c>
      <c r="R903" s="4">
        <v>260098</v>
      </c>
      <c r="S903" s="4">
        <f>Table1[[#This Row],[Service_Revenue]]-Table1[[#This Row],[Service_Cost]]</f>
        <v>61086</v>
      </c>
      <c r="T903" s="4">
        <v>3</v>
      </c>
      <c r="U903" s="4">
        <f>IF(AND(Table1[[#This Row],[Rework_Flag]]="Yes",Table1[[#This Row],[Warranty_Claim]]="No"),Table1[[#This Row],[Service_Revenue]],0)</f>
        <v>0</v>
      </c>
      <c r="V903" s="4">
        <f>IF(Table1[[#This Row],[Warranty_Claim]]="Yes",1,0)</f>
        <v>1</v>
      </c>
      <c r="W903" s="4">
        <f>IF(Table1[[#This Row],[Rework_Flag]]="No",1,0)</f>
        <v>1</v>
      </c>
      <c r="X903" s="4">
        <f>IF(Table1[[#This Row],[Rework_Flag]]="Yes",1,0)</f>
        <v>0</v>
      </c>
      <c r="Y903" s="4">
        <v>1</v>
      </c>
      <c r="Z903" s="4" t="str">
        <f>IF(Table1[[#This Row],[TAT_Days]]&gt;Table1[[#This Row],[SLA_TAT]],"Yes","No")</f>
        <v>Yes</v>
      </c>
      <c r="AA903" s="4" t="str" cm="1">
        <f t="array" ref="AA903">_xlfn.IFS(Table1[[#This Row],[Customer_Satisfaction]]&lt;=2,"Poor",Table1[[#This Row],[Customer_Satisfaction]]=3,"Neutral",Table1[[#This Row],[Customer_Satisfaction]]=4,"Good",Table1[[#This Row],[Customer_Satisfaction]]=5,"Good")</f>
        <v>Neutral</v>
      </c>
    </row>
    <row r="904" spans="1:27" x14ac:dyDescent="0.35">
      <c r="A904">
        <v>20902</v>
      </c>
      <c r="B904" s="1">
        <v>45428</v>
      </c>
      <c r="C904" t="s">
        <v>30</v>
      </c>
      <c r="D904" t="s">
        <v>83</v>
      </c>
      <c r="E904" t="s">
        <v>119</v>
      </c>
      <c r="F904" t="s">
        <v>53</v>
      </c>
      <c r="G904" t="s">
        <v>74</v>
      </c>
      <c r="H904" t="s">
        <v>34</v>
      </c>
      <c r="I904" t="s">
        <v>55</v>
      </c>
      <c r="J904" t="s">
        <v>35</v>
      </c>
      <c r="K904" t="s">
        <v>61</v>
      </c>
      <c r="L904" t="s">
        <v>28</v>
      </c>
      <c r="M904" s="4">
        <v>16</v>
      </c>
      <c r="N904" s="4">
        <v>7</v>
      </c>
      <c r="O904" t="s">
        <v>29</v>
      </c>
      <c r="P904" t="s">
        <v>36</v>
      </c>
      <c r="Q904" s="4">
        <v>300996</v>
      </c>
      <c r="R904" s="4">
        <v>174597</v>
      </c>
      <c r="S904" s="4">
        <f>Table1[[#This Row],[Service_Revenue]]-Table1[[#This Row],[Service_Cost]]</f>
        <v>126399</v>
      </c>
      <c r="T904" s="4">
        <v>1</v>
      </c>
      <c r="U904" s="4">
        <f>IF(AND(Table1[[#This Row],[Rework_Flag]]="Yes",Table1[[#This Row],[Warranty_Claim]]="No"),Table1[[#This Row],[Service_Revenue]],0)</f>
        <v>300996</v>
      </c>
      <c r="V904" s="4">
        <f>IF(Table1[[#This Row],[Warranty_Claim]]="Yes",1,0)</f>
        <v>0</v>
      </c>
      <c r="W904" s="4">
        <f>IF(Table1[[#This Row],[Rework_Flag]]="No",1,0)</f>
        <v>0</v>
      </c>
      <c r="X904" s="4">
        <f>IF(Table1[[#This Row],[Rework_Flag]]="Yes",1,0)</f>
        <v>1</v>
      </c>
      <c r="Y904" s="4">
        <v>1</v>
      </c>
      <c r="Z904" s="4" t="str">
        <f>IF(Table1[[#This Row],[TAT_Days]]&gt;Table1[[#This Row],[SLA_TAT]],"Yes","No")</f>
        <v>Yes</v>
      </c>
      <c r="AA904" s="4" t="str" cm="1">
        <f t="array" ref="AA904">_xlfn.IFS(Table1[[#This Row],[Customer_Satisfaction]]&lt;=2,"Poor",Table1[[#This Row],[Customer_Satisfaction]]=3,"Neutral",Table1[[#This Row],[Customer_Satisfaction]]=4,"Good",Table1[[#This Row],[Customer_Satisfaction]]=5,"Good")</f>
        <v>Poor</v>
      </c>
    </row>
    <row r="905" spans="1:27" x14ac:dyDescent="0.35">
      <c r="A905">
        <v>20903</v>
      </c>
      <c r="B905" s="1">
        <v>45385</v>
      </c>
      <c r="C905" t="s">
        <v>50</v>
      </c>
      <c r="D905" t="s">
        <v>51</v>
      </c>
      <c r="E905" t="s">
        <v>113</v>
      </c>
      <c r="F905" t="s">
        <v>53</v>
      </c>
      <c r="G905" t="s">
        <v>23</v>
      </c>
      <c r="H905" t="s">
        <v>24</v>
      </c>
      <c r="I905" t="s">
        <v>55</v>
      </c>
      <c r="J905" t="s">
        <v>35</v>
      </c>
      <c r="K905" t="s">
        <v>61</v>
      </c>
      <c r="L905" t="s">
        <v>49</v>
      </c>
      <c r="M905" s="4">
        <v>20</v>
      </c>
      <c r="N905" s="4">
        <v>7</v>
      </c>
      <c r="O905" t="s">
        <v>36</v>
      </c>
      <c r="P905" t="s">
        <v>29</v>
      </c>
      <c r="Q905" s="4">
        <v>378152</v>
      </c>
      <c r="R905" s="4">
        <v>285547</v>
      </c>
      <c r="S905" s="4">
        <f>Table1[[#This Row],[Service_Revenue]]-Table1[[#This Row],[Service_Cost]]</f>
        <v>92605</v>
      </c>
      <c r="T905" s="4">
        <v>1</v>
      </c>
      <c r="U905" s="4">
        <f>IF(AND(Table1[[#This Row],[Rework_Flag]]="Yes",Table1[[#This Row],[Warranty_Claim]]="No"),Table1[[#This Row],[Service_Revenue]],0)</f>
        <v>0</v>
      </c>
      <c r="V905" s="4">
        <f>IF(Table1[[#This Row],[Warranty_Claim]]="Yes",1,0)</f>
        <v>1</v>
      </c>
      <c r="W905" s="4">
        <f>IF(Table1[[#This Row],[Rework_Flag]]="No",1,0)</f>
        <v>1</v>
      </c>
      <c r="X905" s="4">
        <f>IF(Table1[[#This Row],[Rework_Flag]]="Yes",1,0)</f>
        <v>0</v>
      </c>
      <c r="Y905" s="4">
        <v>1</v>
      </c>
      <c r="Z905" s="4" t="str">
        <f>IF(Table1[[#This Row],[TAT_Days]]&gt;Table1[[#This Row],[SLA_TAT]],"Yes","No")</f>
        <v>Yes</v>
      </c>
      <c r="AA905" s="4" t="str" cm="1">
        <f t="array" ref="AA905">_xlfn.IFS(Table1[[#This Row],[Customer_Satisfaction]]&lt;=2,"Poor",Table1[[#This Row],[Customer_Satisfaction]]=3,"Neutral",Table1[[#This Row],[Customer_Satisfaction]]=4,"Good",Table1[[#This Row],[Customer_Satisfaction]]=5,"Good")</f>
        <v>Poor</v>
      </c>
    </row>
    <row r="906" spans="1:27" x14ac:dyDescent="0.35">
      <c r="A906">
        <v>20904</v>
      </c>
      <c r="B906" s="1">
        <v>45421</v>
      </c>
      <c r="C906" t="s">
        <v>37</v>
      </c>
      <c r="D906" t="s">
        <v>70</v>
      </c>
      <c r="E906" t="s">
        <v>82</v>
      </c>
      <c r="F906" t="s">
        <v>53</v>
      </c>
      <c r="G906" t="s">
        <v>63</v>
      </c>
      <c r="H906" t="s">
        <v>24</v>
      </c>
      <c r="I906" t="s">
        <v>55</v>
      </c>
      <c r="J906" t="s">
        <v>43</v>
      </c>
      <c r="K906" t="s">
        <v>44</v>
      </c>
      <c r="L906" t="s">
        <v>28</v>
      </c>
      <c r="M906" s="4">
        <v>14</v>
      </c>
      <c r="N906" s="4">
        <v>7</v>
      </c>
      <c r="O906" t="s">
        <v>29</v>
      </c>
      <c r="P906" t="s">
        <v>36</v>
      </c>
      <c r="Q906" s="4">
        <v>108901</v>
      </c>
      <c r="R906" s="4">
        <v>71036</v>
      </c>
      <c r="S906" s="4">
        <f>Table1[[#This Row],[Service_Revenue]]-Table1[[#This Row],[Service_Cost]]</f>
        <v>37865</v>
      </c>
      <c r="T906" s="4">
        <v>2</v>
      </c>
      <c r="U906" s="4">
        <f>IF(AND(Table1[[#This Row],[Rework_Flag]]="Yes",Table1[[#This Row],[Warranty_Claim]]="No"),Table1[[#This Row],[Service_Revenue]],0)</f>
        <v>108901</v>
      </c>
      <c r="V906" s="4">
        <f>IF(Table1[[#This Row],[Warranty_Claim]]="Yes",1,0)</f>
        <v>0</v>
      </c>
      <c r="W906" s="4">
        <f>IF(Table1[[#This Row],[Rework_Flag]]="No",1,0)</f>
        <v>0</v>
      </c>
      <c r="X906" s="4">
        <f>IF(Table1[[#This Row],[Rework_Flag]]="Yes",1,0)</f>
        <v>1</v>
      </c>
      <c r="Y906" s="4">
        <v>1</v>
      </c>
      <c r="Z906" s="4" t="str">
        <f>IF(Table1[[#This Row],[TAT_Days]]&gt;Table1[[#This Row],[SLA_TAT]],"Yes","No")</f>
        <v>Yes</v>
      </c>
      <c r="AA906" s="4" t="str" cm="1">
        <f t="array" ref="AA906">_xlfn.IFS(Table1[[#This Row],[Customer_Satisfaction]]&lt;=2,"Poor",Table1[[#This Row],[Customer_Satisfaction]]=3,"Neutral",Table1[[#This Row],[Customer_Satisfaction]]=4,"Good",Table1[[#This Row],[Customer_Satisfaction]]=5,"Good")</f>
        <v>Poor</v>
      </c>
    </row>
    <row r="907" spans="1:27" x14ac:dyDescent="0.35">
      <c r="A907">
        <v>20905</v>
      </c>
      <c r="B907" s="1">
        <v>45309</v>
      </c>
      <c r="C907" t="s">
        <v>37</v>
      </c>
      <c r="D907" t="s">
        <v>70</v>
      </c>
      <c r="E907" t="s">
        <v>116</v>
      </c>
      <c r="F907" t="s">
        <v>40</v>
      </c>
      <c r="G907" t="s">
        <v>54</v>
      </c>
      <c r="H907" t="s">
        <v>42</v>
      </c>
      <c r="I907" t="s">
        <v>55</v>
      </c>
      <c r="J907" t="s">
        <v>67</v>
      </c>
      <c r="K907" t="s">
        <v>61</v>
      </c>
      <c r="L907" t="s">
        <v>28</v>
      </c>
      <c r="M907" s="4">
        <v>3</v>
      </c>
      <c r="N907" s="4">
        <v>7</v>
      </c>
      <c r="O907" t="s">
        <v>29</v>
      </c>
      <c r="P907" t="s">
        <v>36</v>
      </c>
      <c r="Q907" s="4">
        <v>519216</v>
      </c>
      <c r="R907" s="4">
        <v>266538</v>
      </c>
      <c r="S907" s="4">
        <f>Table1[[#This Row],[Service_Revenue]]-Table1[[#This Row],[Service_Cost]]</f>
        <v>252678</v>
      </c>
      <c r="T907" s="4">
        <v>4</v>
      </c>
      <c r="U907" s="4">
        <f>IF(AND(Table1[[#This Row],[Rework_Flag]]="Yes",Table1[[#This Row],[Warranty_Claim]]="No"),Table1[[#This Row],[Service_Revenue]],0)</f>
        <v>519216</v>
      </c>
      <c r="V907" s="4">
        <f>IF(Table1[[#This Row],[Warranty_Claim]]="Yes",1,0)</f>
        <v>0</v>
      </c>
      <c r="W907" s="4">
        <f>IF(Table1[[#This Row],[Rework_Flag]]="No",1,0)</f>
        <v>0</v>
      </c>
      <c r="X907" s="4">
        <f>IF(Table1[[#This Row],[Rework_Flag]]="Yes",1,0)</f>
        <v>1</v>
      </c>
      <c r="Y907" s="4">
        <v>1</v>
      </c>
      <c r="Z907" s="4" t="str">
        <f>IF(Table1[[#This Row],[TAT_Days]]&gt;Table1[[#This Row],[SLA_TAT]],"Yes","No")</f>
        <v>No</v>
      </c>
      <c r="AA907" s="4" t="str" cm="1">
        <f t="array" ref="AA907">_xlfn.IFS(Table1[[#This Row],[Customer_Satisfaction]]&lt;=2,"Poor",Table1[[#This Row],[Customer_Satisfaction]]=3,"Neutral",Table1[[#This Row],[Customer_Satisfaction]]=4,"Good",Table1[[#This Row],[Customer_Satisfaction]]=5,"Good")</f>
        <v>Good</v>
      </c>
    </row>
    <row r="908" spans="1:27" x14ac:dyDescent="0.35">
      <c r="A908">
        <v>20906</v>
      </c>
      <c r="B908" s="1">
        <v>45331</v>
      </c>
      <c r="C908" t="s">
        <v>30</v>
      </c>
      <c r="D908" t="s">
        <v>59</v>
      </c>
      <c r="E908" t="s">
        <v>94</v>
      </c>
      <c r="F908" t="s">
        <v>40</v>
      </c>
      <c r="G908" t="s">
        <v>33</v>
      </c>
      <c r="H908" t="s">
        <v>34</v>
      </c>
      <c r="I908" t="s">
        <v>55</v>
      </c>
      <c r="J908" t="s">
        <v>67</v>
      </c>
      <c r="K908" t="s">
        <v>27</v>
      </c>
      <c r="L908" t="s">
        <v>28</v>
      </c>
      <c r="M908" s="4">
        <v>4</v>
      </c>
      <c r="N908" s="4">
        <v>7</v>
      </c>
      <c r="O908" t="s">
        <v>29</v>
      </c>
      <c r="P908" t="s">
        <v>29</v>
      </c>
      <c r="Q908" s="4">
        <v>384683</v>
      </c>
      <c r="R908" s="4">
        <v>311719</v>
      </c>
      <c r="S908" s="4">
        <f>Table1[[#This Row],[Service_Revenue]]-Table1[[#This Row],[Service_Cost]]</f>
        <v>72964</v>
      </c>
      <c r="T908" s="4">
        <v>4</v>
      </c>
      <c r="U908" s="4">
        <f>IF(AND(Table1[[#This Row],[Rework_Flag]]="Yes",Table1[[#This Row],[Warranty_Claim]]="No"),Table1[[#This Row],[Service_Revenue]],0)</f>
        <v>0</v>
      </c>
      <c r="V908" s="4">
        <f>IF(Table1[[#This Row],[Warranty_Claim]]="Yes",1,0)</f>
        <v>1</v>
      </c>
      <c r="W908" s="4">
        <f>IF(Table1[[#This Row],[Rework_Flag]]="No",1,0)</f>
        <v>0</v>
      </c>
      <c r="X908" s="4">
        <f>IF(Table1[[#This Row],[Rework_Flag]]="Yes",1,0)</f>
        <v>1</v>
      </c>
      <c r="Y908" s="4">
        <v>1</v>
      </c>
      <c r="Z908" s="4" t="str">
        <f>IF(Table1[[#This Row],[TAT_Days]]&gt;Table1[[#This Row],[SLA_TAT]],"Yes","No")</f>
        <v>No</v>
      </c>
      <c r="AA908" s="4" t="str" cm="1">
        <f t="array" ref="AA908">_xlfn.IFS(Table1[[#This Row],[Customer_Satisfaction]]&lt;=2,"Poor",Table1[[#This Row],[Customer_Satisfaction]]=3,"Neutral",Table1[[#This Row],[Customer_Satisfaction]]=4,"Good",Table1[[#This Row],[Customer_Satisfaction]]=5,"Good")</f>
        <v>Good</v>
      </c>
    </row>
    <row r="909" spans="1:27" x14ac:dyDescent="0.35">
      <c r="A909">
        <v>20907</v>
      </c>
      <c r="B909" s="1">
        <v>45337</v>
      </c>
      <c r="C909" t="s">
        <v>37</v>
      </c>
      <c r="D909" t="s">
        <v>70</v>
      </c>
      <c r="E909" t="s">
        <v>116</v>
      </c>
      <c r="F909" t="s">
        <v>22</v>
      </c>
      <c r="G909" t="s">
        <v>54</v>
      </c>
      <c r="H909" t="s">
        <v>42</v>
      </c>
      <c r="I909" t="s">
        <v>55</v>
      </c>
      <c r="J909" t="s">
        <v>67</v>
      </c>
      <c r="K909" t="s">
        <v>44</v>
      </c>
      <c r="L909" t="s">
        <v>28</v>
      </c>
      <c r="M909" s="4">
        <v>9</v>
      </c>
      <c r="N909" s="4">
        <v>7</v>
      </c>
      <c r="O909" t="s">
        <v>36</v>
      </c>
      <c r="P909" t="s">
        <v>29</v>
      </c>
      <c r="Q909" s="4">
        <v>305401</v>
      </c>
      <c r="R909" s="4">
        <v>218761</v>
      </c>
      <c r="S909" s="4">
        <f>Table1[[#This Row],[Service_Revenue]]-Table1[[#This Row],[Service_Cost]]</f>
        <v>86640</v>
      </c>
      <c r="T909" s="4">
        <v>4</v>
      </c>
      <c r="U909" s="4">
        <f>IF(AND(Table1[[#This Row],[Rework_Flag]]="Yes",Table1[[#This Row],[Warranty_Claim]]="No"),Table1[[#This Row],[Service_Revenue]],0)</f>
        <v>0</v>
      </c>
      <c r="V909" s="4">
        <f>IF(Table1[[#This Row],[Warranty_Claim]]="Yes",1,0)</f>
        <v>1</v>
      </c>
      <c r="W909" s="4">
        <f>IF(Table1[[#This Row],[Rework_Flag]]="No",1,0)</f>
        <v>1</v>
      </c>
      <c r="X909" s="4">
        <f>IF(Table1[[#This Row],[Rework_Flag]]="Yes",1,0)</f>
        <v>0</v>
      </c>
      <c r="Y909" s="4">
        <v>1</v>
      </c>
      <c r="Z909" s="4" t="str">
        <f>IF(Table1[[#This Row],[TAT_Days]]&gt;Table1[[#This Row],[SLA_TAT]],"Yes","No")</f>
        <v>Yes</v>
      </c>
      <c r="AA909" s="4" t="str" cm="1">
        <f t="array" ref="AA909">_xlfn.IFS(Table1[[#This Row],[Customer_Satisfaction]]&lt;=2,"Poor",Table1[[#This Row],[Customer_Satisfaction]]=3,"Neutral",Table1[[#This Row],[Customer_Satisfaction]]=4,"Good",Table1[[#This Row],[Customer_Satisfaction]]=5,"Good")</f>
        <v>Good</v>
      </c>
    </row>
    <row r="910" spans="1:27" x14ac:dyDescent="0.35">
      <c r="A910">
        <v>20908</v>
      </c>
      <c r="B910" s="1">
        <v>45388</v>
      </c>
      <c r="C910" t="s">
        <v>50</v>
      </c>
      <c r="D910" t="s">
        <v>56</v>
      </c>
      <c r="E910" t="s">
        <v>57</v>
      </c>
      <c r="F910" t="s">
        <v>53</v>
      </c>
      <c r="G910" t="s">
        <v>54</v>
      </c>
      <c r="H910" t="s">
        <v>42</v>
      </c>
      <c r="I910" t="s">
        <v>55</v>
      </c>
      <c r="J910" t="s">
        <v>67</v>
      </c>
      <c r="K910" t="s">
        <v>27</v>
      </c>
      <c r="L910" t="s">
        <v>28</v>
      </c>
      <c r="M910" s="4">
        <v>7</v>
      </c>
      <c r="N910" s="4">
        <v>7</v>
      </c>
      <c r="O910" t="s">
        <v>36</v>
      </c>
      <c r="P910" t="s">
        <v>29</v>
      </c>
      <c r="Q910" s="4">
        <v>268321</v>
      </c>
      <c r="R910" s="4">
        <v>202020</v>
      </c>
      <c r="S910" s="4">
        <f>Table1[[#This Row],[Service_Revenue]]-Table1[[#This Row],[Service_Cost]]</f>
        <v>66301</v>
      </c>
      <c r="T910" s="4">
        <v>4</v>
      </c>
      <c r="U910" s="4">
        <f>IF(AND(Table1[[#This Row],[Rework_Flag]]="Yes",Table1[[#This Row],[Warranty_Claim]]="No"),Table1[[#This Row],[Service_Revenue]],0)</f>
        <v>0</v>
      </c>
      <c r="V910" s="4">
        <f>IF(Table1[[#This Row],[Warranty_Claim]]="Yes",1,0)</f>
        <v>1</v>
      </c>
      <c r="W910" s="4">
        <f>IF(Table1[[#This Row],[Rework_Flag]]="No",1,0)</f>
        <v>1</v>
      </c>
      <c r="X910" s="4">
        <f>IF(Table1[[#This Row],[Rework_Flag]]="Yes",1,0)</f>
        <v>0</v>
      </c>
      <c r="Y910" s="4">
        <v>1</v>
      </c>
      <c r="Z910" s="4" t="str">
        <f>IF(Table1[[#This Row],[TAT_Days]]&gt;Table1[[#This Row],[SLA_TAT]],"Yes","No")</f>
        <v>No</v>
      </c>
      <c r="AA910" s="4" t="str" cm="1">
        <f t="array" ref="AA910">_xlfn.IFS(Table1[[#This Row],[Customer_Satisfaction]]&lt;=2,"Poor",Table1[[#This Row],[Customer_Satisfaction]]=3,"Neutral",Table1[[#This Row],[Customer_Satisfaction]]=4,"Good",Table1[[#This Row],[Customer_Satisfaction]]=5,"Good")</f>
        <v>Good</v>
      </c>
    </row>
    <row r="911" spans="1:27" x14ac:dyDescent="0.35">
      <c r="A911">
        <v>20909</v>
      </c>
      <c r="B911" s="1">
        <v>45396</v>
      </c>
      <c r="C911" t="s">
        <v>30</v>
      </c>
      <c r="D911" t="s">
        <v>59</v>
      </c>
      <c r="E911" t="s">
        <v>94</v>
      </c>
      <c r="F911" t="s">
        <v>40</v>
      </c>
      <c r="G911" t="s">
        <v>54</v>
      </c>
      <c r="H911" t="s">
        <v>42</v>
      </c>
      <c r="I911" t="s">
        <v>25</v>
      </c>
      <c r="J911" t="s">
        <v>26</v>
      </c>
      <c r="K911" t="s">
        <v>27</v>
      </c>
      <c r="L911" t="s">
        <v>28</v>
      </c>
      <c r="M911" s="4">
        <v>17</v>
      </c>
      <c r="N911" s="4">
        <v>7</v>
      </c>
      <c r="O911" t="s">
        <v>29</v>
      </c>
      <c r="P911" t="s">
        <v>36</v>
      </c>
      <c r="Q911" s="4">
        <v>546520</v>
      </c>
      <c r="R911" s="4">
        <v>359222</v>
      </c>
      <c r="S911" s="4">
        <f>Table1[[#This Row],[Service_Revenue]]-Table1[[#This Row],[Service_Cost]]</f>
        <v>187298</v>
      </c>
      <c r="T911" s="4">
        <v>1</v>
      </c>
      <c r="U911" s="4">
        <f>IF(AND(Table1[[#This Row],[Rework_Flag]]="Yes",Table1[[#This Row],[Warranty_Claim]]="No"),Table1[[#This Row],[Service_Revenue]],0)</f>
        <v>546520</v>
      </c>
      <c r="V911" s="4">
        <f>IF(Table1[[#This Row],[Warranty_Claim]]="Yes",1,0)</f>
        <v>0</v>
      </c>
      <c r="W911" s="4">
        <f>IF(Table1[[#This Row],[Rework_Flag]]="No",1,0)</f>
        <v>0</v>
      </c>
      <c r="X911" s="4">
        <f>IF(Table1[[#This Row],[Rework_Flag]]="Yes",1,0)</f>
        <v>1</v>
      </c>
      <c r="Y911" s="4">
        <v>1</v>
      </c>
      <c r="Z911" s="4" t="str">
        <f>IF(Table1[[#This Row],[TAT_Days]]&gt;Table1[[#This Row],[SLA_TAT]],"Yes","No")</f>
        <v>Yes</v>
      </c>
      <c r="AA911" s="4" t="str" cm="1">
        <f t="array" ref="AA911">_xlfn.IFS(Table1[[#This Row],[Customer_Satisfaction]]&lt;=2,"Poor",Table1[[#This Row],[Customer_Satisfaction]]=3,"Neutral",Table1[[#This Row],[Customer_Satisfaction]]=4,"Good",Table1[[#This Row],[Customer_Satisfaction]]=5,"Good")</f>
        <v>Poor</v>
      </c>
    </row>
    <row r="912" spans="1:27" x14ac:dyDescent="0.35">
      <c r="A912">
        <v>20910</v>
      </c>
      <c r="B912" s="1">
        <v>45352</v>
      </c>
      <c r="C912" t="s">
        <v>19</v>
      </c>
      <c r="D912" t="s">
        <v>96</v>
      </c>
      <c r="E912" t="s">
        <v>109</v>
      </c>
      <c r="F912" t="s">
        <v>22</v>
      </c>
      <c r="G912" t="s">
        <v>23</v>
      </c>
      <c r="H912" t="s">
        <v>24</v>
      </c>
      <c r="I912" t="s">
        <v>25</v>
      </c>
      <c r="J912" t="s">
        <v>67</v>
      </c>
      <c r="K912" t="s">
        <v>61</v>
      </c>
      <c r="L912" t="s">
        <v>28</v>
      </c>
      <c r="M912" s="4">
        <v>20</v>
      </c>
      <c r="N912" s="4">
        <v>7</v>
      </c>
      <c r="O912" t="s">
        <v>29</v>
      </c>
      <c r="P912" t="s">
        <v>29</v>
      </c>
      <c r="Q912" s="4">
        <v>353708</v>
      </c>
      <c r="R912" s="4">
        <v>214045</v>
      </c>
      <c r="S912" s="4">
        <f>Table1[[#This Row],[Service_Revenue]]-Table1[[#This Row],[Service_Cost]]</f>
        <v>139663</v>
      </c>
      <c r="T912" s="4">
        <v>1</v>
      </c>
      <c r="U912" s="4">
        <f>IF(AND(Table1[[#This Row],[Rework_Flag]]="Yes",Table1[[#This Row],[Warranty_Claim]]="No"),Table1[[#This Row],[Service_Revenue]],0)</f>
        <v>0</v>
      </c>
      <c r="V912" s="4">
        <f>IF(Table1[[#This Row],[Warranty_Claim]]="Yes",1,0)</f>
        <v>1</v>
      </c>
      <c r="W912" s="4">
        <f>IF(Table1[[#This Row],[Rework_Flag]]="No",1,0)</f>
        <v>0</v>
      </c>
      <c r="X912" s="4">
        <f>IF(Table1[[#This Row],[Rework_Flag]]="Yes",1,0)</f>
        <v>1</v>
      </c>
      <c r="Y912" s="4">
        <v>1</v>
      </c>
      <c r="Z912" s="4" t="str">
        <f>IF(Table1[[#This Row],[TAT_Days]]&gt;Table1[[#This Row],[SLA_TAT]],"Yes","No")</f>
        <v>Yes</v>
      </c>
      <c r="AA912" s="4" t="str" cm="1">
        <f t="array" ref="AA912">_xlfn.IFS(Table1[[#This Row],[Customer_Satisfaction]]&lt;=2,"Poor",Table1[[#This Row],[Customer_Satisfaction]]=3,"Neutral",Table1[[#This Row],[Customer_Satisfaction]]=4,"Good",Table1[[#This Row],[Customer_Satisfaction]]=5,"Good")</f>
        <v>Poor</v>
      </c>
    </row>
    <row r="913" spans="1:27" x14ac:dyDescent="0.35">
      <c r="A913">
        <v>20911</v>
      </c>
      <c r="B913" s="1">
        <v>45345</v>
      </c>
      <c r="C913" t="s">
        <v>50</v>
      </c>
      <c r="D913" t="s">
        <v>56</v>
      </c>
      <c r="E913" t="s">
        <v>57</v>
      </c>
      <c r="F913" t="s">
        <v>22</v>
      </c>
      <c r="G913" t="s">
        <v>47</v>
      </c>
      <c r="H913" t="s">
        <v>48</v>
      </c>
      <c r="I913" t="s">
        <v>55</v>
      </c>
      <c r="J913" t="s">
        <v>58</v>
      </c>
      <c r="K913" t="s">
        <v>27</v>
      </c>
      <c r="L913" t="s">
        <v>28</v>
      </c>
      <c r="M913" s="4">
        <v>4</v>
      </c>
      <c r="N913" s="4">
        <v>7</v>
      </c>
      <c r="O913" t="s">
        <v>29</v>
      </c>
      <c r="P913" t="s">
        <v>36</v>
      </c>
      <c r="Q913" s="4">
        <v>430429</v>
      </c>
      <c r="R913" s="4">
        <v>219502</v>
      </c>
      <c r="S913" s="4">
        <f>Table1[[#This Row],[Service_Revenue]]-Table1[[#This Row],[Service_Cost]]</f>
        <v>210927</v>
      </c>
      <c r="T913" s="4">
        <v>4</v>
      </c>
      <c r="U913" s="4">
        <f>IF(AND(Table1[[#This Row],[Rework_Flag]]="Yes",Table1[[#This Row],[Warranty_Claim]]="No"),Table1[[#This Row],[Service_Revenue]],0)</f>
        <v>430429</v>
      </c>
      <c r="V913" s="4">
        <f>IF(Table1[[#This Row],[Warranty_Claim]]="Yes",1,0)</f>
        <v>0</v>
      </c>
      <c r="W913" s="4">
        <f>IF(Table1[[#This Row],[Rework_Flag]]="No",1,0)</f>
        <v>0</v>
      </c>
      <c r="X913" s="4">
        <f>IF(Table1[[#This Row],[Rework_Flag]]="Yes",1,0)</f>
        <v>1</v>
      </c>
      <c r="Y913" s="4">
        <v>1</v>
      </c>
      <c r="Z913" s="4" t="str">
        <f>IF(Table1[[#This Row],[TAT_Days]]&gt;Table1[[#This Row],[SLA_TAT]],"Yes","No")</f>
        <v>No</v>
      </c>
      <c r="AA913" s="4" t="str" cm="1">
        <f t="array" ref="AA913">_xlfn.IFS(Table1[[#This Row],[Customer_Satisfaction]]&lt;=2,"Poor",Table1[[#This Row],[Customer_Satisfaction]]=3,"Neutral",Table1[[#This Row],[Customer_Satisfaction]]=4,"Good",Table1[[#This Row],[Customer_Satisfaction]]=5,"Good")</f>
        <v>Good</v>
      </c>
    </row>
    <row r="914" spans="1:27" x14ac:dyDescent="0.35">
      <c r="A914">
        <v>20912</v>
      </c>
      <c r="B914" s="1">
        <v>45324</v>
      </c>
      <c r="C914" t="s">
        <v>19</v>
      </c>
      <c r="D914" t="s">
        <v>20</v>
      </c>
      <c r="E914" t="s">
        <v>21</v>
      </c>
      <c r="F914" t="s">
        <v>22</v>
      </c>
      <c r="G914" t="s">
        <v>47</v>
      </c>
      <c r="H914" t="s">
        <v>48</v>
      </c>
      <c r="I914" t="s">
        <v>55</v>
      </c>
      <c r="J914" t="s">
        <v>67</v>
      </c>
      <c r="K914" t="s">
        <v>61</v>
      </c>
      <c r="L914" t="s">
        <v>49</v>
      </c>
      <c r="M914" s="4">
        <v>4</v>
      </c>
      <c r="N914" s="4">
        <v>7</v>
      </c>
      <c r="O914" t="s">
        <v>29</v>
      </c>
      <c r="P914" t="s">
        <v>36</v>
      </c>
      <c r="Q914" s="4">
        <v>568779</v>
      </c>
      <c r="R914" s="4">
        <v>361178</v>
      </c>
      <c r="S914" s="4">
        <f>Table1[[#This Row],[Service_Revenue]]-Table1[[#This Row],[Service_Cost]]</f>
        <v>207601</v>
      </c>
      <c r="T914" s="4">
        <v>4</v>
      </c>
      <c r="U914" s="4">
        <f>IF(AND(Table1[[#This Row],[Rework_Flag]]="Yes",Table1[[#This Row],[Warranty_Claim]]="No"),Table1[[#This Row],[Service_Revenue]],0)</f>
        <v>568779</v>
      </c>
      <c r="V914" s="4">
        <f>IF(Table1[[#This Row],[Warranty_Claim]]="Yes",1,0)</f>
        <v>0</v>
      </c>
      <c r="W914" s="4">
        <f>IF(Table1[[#This Row],[Rework_Flag]]="No",1,0)</f>
        <v>0</v>
      </c>
      <c r="X914" s="4">
        <f>IF(Table1[[#This Row],[Rework_Flag]]="Yes",1,0)</f>
        <v>1</v>
      </c>
      <c r="Y914" s="4">
        <v>1</v>
      </c>
      <c r="Z914" s="4" t="str">
        <f>IF(Table1[[#This Row],[TAT_Days]]&gt;Table1[[#This Row],[SLA_TAT]],"Yes","No")</f>
        <v>No</v>
      </c>
      <c r="AA914" s="4" t="str" cm="1">
        <f t="array" ref="AA914">_xlfn.IFS(Table1[[#This Row],[Customer_Satisfaction]]&lt;=2,"Poor",Table1[[#This Row],[Customer_Satisfaction]]=3,"Neutral",Table1[[#This Row],[Customer_Satisfaction]]=4,"Good",Table1[[#This Row],[Customer_Satisfaction]]=5,"Good")</f>
        <v>Good</v>
      </c>
    </row>
    <row r="915" spans="1:27" x14ac:dyDescent="0.35">
      <c r="A915">
        <v>20913</v>
      </c>
      <c r="B915" s="1">
        <v>45311</v>
      </c>
      <c r="C915" t="s">
        <v>37</v>
      </c>
      <c r="D915" t="s">
        <v>70</v>
      </c>
      <c r="E915" t="s">
        <v>82</v>
      </c>
      <c r="F915" t="s">
        <v>40</v>
      </c>
      <c r="G915" t="s">
        <v>47</v>
      </c>
      <c r="H915" t="s">
        <v>48</v>
      </c>
      <c r="I915" t="s">
        <v>25</v>
      </c>
      <c r="J915" t="s">
        <v>35</v>
      </c>
      <c r="K915" t="s">
        <v>27</v>
      </c>
      <c r="L915" t="s">
        <v>28</v>
      </c>
      <c r="M915" s="4">
        <v>16</v>
      </c>
      <c r="N915" s="4">
        <v>7</v>
      </c>
      <c r="O915" t="s">
        <v>29</v>
      </c>
      <c r="P915" t="s">
        <v>36</v>
      </c>
      <c r="Q915" s="4">
        <v>338906</v>
      </c>
      <c r="R915" s="4">
        <v>222211</v>
      </c>
      <c r="S915" s="4">
        <f>Table1[[#This Row],[Service_Revenue]]-Table1[[#This Row],[Service_Cost]]</f>
        <v>116695</v>
      </c>
      <c r="T915" s="4">
        <v>1</v>
      </c>
      <c r="U915" s="4">
        <f>IF(AND(Table1[[#This Row],[Rework_Flag]]="Yes",Table1[[#This Row],[Warranty_Claim]]="No"),Table1[[#This Row],[Service_Revenue]],0)</f>
        <v>338906</v>
      </c>
      <c r="V915" s="4">
        <f>IF(Table1[[#This Row],[Warranty_Claim]]="Yes",1,0)</f>
        <v>0</v>
      </c>
      <c r="W915" s="4">
        <f>IF(Table1[[#This Row],[Rework_Flag]]="No",1,0)</f>
        <v>0</v>
      </c>
      <c r="X915" s="4">
        <f>IF(Table1[[#This Row],[Rework_Flag]]="Yes",1,0)</f>
        <v>1</v>
      </c>
      <c r="Y915" s="4">
        <v>1</v>
      </c>
      <c r="Z915" s="4" t="str">
        <f>IF(Table1[[#This Row],[TAT_Days]]&gt;Table1[[#This Row],[SLA_TAT]],"Yes","No")</f>
        <v>Yes</v>
      </c>
      <c r="AA915" s="4" t="str" cm="1">
        <f t="array" ref="AA915">_xlfn.IFS(Table1[[#This Row],[Customer_Satisfaction]]&lt;=2,"Poor",Table1[[#This Row],[Customer_Satisfaction]]=3,"Neutral",Table1[[#This Row],[Customer_Satisfaction]]=4,"Good",Table1[[#This Row],[Customer_Satisfaction]]=5,"Good")</f>
        <v>Poor</v>
      </c>
    </row>
    <row r="916" spans="1:27" x14ac:dyDescent="0.35">
      <c r="A916">
        <v>20914</v>
      </c>
      <c r="B916" s="1">
        <v>45408</v>
      </c>
      <c r="C916" t="s">
        <v>37</v>
      </c>
      <c r="D916" t="s">
        <v>70</v>
      </c>
      <c r="E916" t="s">
        <v>71</v>
      </c>
      <c r="F916" t="s">
        <v>22</v>
      </c>
      <c r="G916" t="s">
        <v>54</v>
      </c>
      <c r="H916" t="s">
        <v>42</v>
      </c>
      <c r="I916" t="s">
        <v>55</v>
      </c>
      <c r="J916" t="s">
        <v>58</v>
      </c>
      <c r="K916" t="s">
        <v>27</v>
      </c>
      <c r="L916" t="s">
        <v>49</v>
      </c>
      <c r="M916" s="4">
        <v>24</v>
      </c>
      <c r="N916" s="4">
        <v>7</v>
      </c>
      <c r="O916" t="s">
        <v>29</v>
      </c>
      <c r="P916" t="s">
        <v>29</v>
      </c>
      <c r="Q916" s="4">
        <v>459856</v>
      </c>
      <c r="R916" s="4">
        <v>262646</v>
      </c>
      <c r="S916" s="4">
        <f>Table1[[#This Row],[Service_Revenue]]-Table1[[#This Row],[Service_Cost]]</f>
        <v>197210</v>
      </c>
      <c r="T916" s="4">
        <v>1</v>
      </c>
      <c r="U916" s="4">
        <f>IF(AND(Table1[[#This Row],[Rework_Flag]]="Yes",Table1[[#This Row],[Warranty_Claim]]="No"),Table1[[#This Row],[Service_Revenue]],0)</f>
        <v>0</v>
      </c>
      <c r="V916" s="4">
        <f>IF(Table1[[#This Row],[Warranty_Claim]]="Yes",1,0)</f>
        <v>1</v>
      </c>
      <c r="W916" s="4">
        <f>IF(Table1[[#This Row],[Rework_Flag]]="No",1,0)</f>
        <v>0</v>
      </c>
      <c r="X916" s="4">
        <f>IF(Table1[[#This Row],[Rework_Flag]]="Yes",1,0)</f>
        <v>1</v>
      </c>
      <c r="Y916" s="4">
        <v>1</v>
      </c>
      <c r="Z916" s="4" t="str">
        <f>IF(Table1[[#This Row],[TAT_Days]]&gt;Table1[[#This Row],[SLA_TAT]],"Yes","No")</f>
        <v>Yes</v>
      </c>
      <c r="AA916" s="4" t="str" cm="1">
        <f t="array" ref="AA916">_xlfn.IFS(Table1[[#This Row],[Customer_Satisfaction]]&lt;=2,"Poor",Table1[[#This Row],[Customer_Satisfaction]]=3,"Neutral",Table1[[#This Row],[Customer_Satisfaction]]=4,"Good",Table1[[#This Row],[Customer_Satisfaction]]=5,"Good")</f>
        <v>Poor</v>
      </c>
    </row>
    <row r="917" spans="1:27" x14ac:dyDescent="0.35">
      <c r="A917">
        <v>20915</v>
      </c>
      <c r="B917" s="1">
        <v>45453</v>
      </c>
      <c r="C917" t="s">
        <v>50</v>
      </c>
      <c r="D917" t="s">
        <v>80</v>
      </c>
      <c r="E917" t="s">
        <v>104</v>
      </c>
      <c r="F917" t="s">
        <v>40</v>
      </c>
      <c r="G917" t="s">
        <v>63</v>
      </c>
      <c r="H917" t="s">
        <v>24</v>
      </c>
      <c r="I917" t="s">
        <v>25</v>
      </c>
      <c r="J917" t="s">
        <v>26</v>
      </c>
      <c r="K917" t="s">
        <v>61</v>
      </c>
      <c r="L917" t="s">
        <v>49</v>
      </c>
      <c r="M917" s="4">
        <v>5</v>
      </c>
      <c r="N917" s="4">
        <v>7</v>
      </c>
      <c r="O917" t="s">
        <v>36</v>
      </c>
      <c r="P917" t="s">
        <v>29</v>
      </c>
      <c r="Q917" s="4">
        <v>364997</v>
      </c>
      <c r="R917" s="4">
        <v>264341</v>
      </c>
      <c r="S917" s="4">
        <f>Table1[[#This Row],[Service_Revenue]]-Table1[[#This Row],[Service_Cost]]</f>
        <v>100656</v>
      </c>
      <c r="T917" s="4">
        <v>4</v>
      </c>
      <c r="U917" s="4">
        <f>IF(AND(Table1[[#This Row],[Rework_Flag]]="Yes",Table1[[#This Row],[Warranty_Claim]]="No"),Table1[[#This Row],[Service_Revenue]],0)</f>
        <v>0</v>
      </c>
      <c r="V917" s="4">
        <f>IF(Table1[[#This Row],[Warranty_Claim]]="Yes",1,0)</f>
        <v>1</v>
      </c>
      <c r="W917" s="4">
        <f>IF(Table1[[#This Row],[Rework_Flag]]="No",1,0)</f>
        <v>1</v>
      </c>
      <c r="X917" s="4">
        <f>IF(Table1[[#This Row],[Rework_Flag]]="Yes",1,0)</f>
        <v>0</v>
      </c>
      <c r="Y917" s="4">
        <v>1</v>
      </c>
      <c r="Z917" s="4" t="str">
        <f>IF(Table1[[#This Row],[TAT_Days]]&gt;Table1[[#This Row],[SLA_TAT]],"Yes","No")</f>
        <v>No</v>
      </c>
      <c r="AA917" s="4" t="str" cm="1">
        <f t="array" ref="AA917">_xlfn.IFS(Table1[[#This Row],[Customer_Satisfaction]]&lt;=2,"Poor",Table1[[#This Row],[Customer_Satisfaction]]=3,"Neutral",Table1[[#This Row],[Customer_Satisfaction]]=4,"Good",Table1[[#This Row],[Customer_Satisfaction]]=5,"Good")</f>
        <v>Good</v>
      </c>
    </row>
    <row r="918" spans="1:27" x14ac:dyDescent="0.35">
      <c r="A918">
        <v>20916</v>
      </c>
      <c r="B918" s="1">
        <v>45319</v>
      </c>
      <c r="C918" t="s">
        <v>30</v>
      </c>
      <c r="D918" t="s">
        <v>83</v>
      </c>
      <c r="E918" t="s">
        <v>119</v>
      </c>
      <c r="F918" t="s">
        <v>53</v>
      </c>
      <c r="G918" t="s">
        <v>74</v>
      </c>
      <c r="H918" t="s">
        <v>34</v>
      </c>
      <c r="I918" t="s">
        <v>55</v>
      </c>
      <c r="J918" t="s">
        <v>35</v>
      </c>
      <c r="K918" t="s">
        <v>27</v>
      </c>
      <c r="L918" t="s">
        <v>49</v>
      </c>
      <c r="M918" s="4">
        <v>15</v>
      </c>
      <c r="N918" s="4">
        <v>7</v>
      </c>
      <c r="O918" t="s">
        <v>29</v>
      </c>
      <c r="P918" t="s">
        <v>36</v>
      </c>
      <c r="Q918" s="4">
        <v>398800</v>
      </c>
      <c r="R918" s="4">
        <v>318560</v>
      </c>
      <c r="S918" s="4">
        <f>Table1[[#This Row],[Service_Revenue]]-Table1[[#This Row],[Service_Cost]]</f>
        <v>80240</v>
      </c>
      <c r="T918" s="4">
        <v>1</v>
      </c>
      <c r="U918" s="4">
        <f>IF(AND(Table1[[#This Row],[Rework_Flag]]="Yes",Table1[[#This Row],[Warranty_Claim]]="No"),Table1[[#This Row],[Service_Revenue]],0)</f>
        <v>398800</v>
      </c>
      <c r="V918" s="4">
        <f>IF(Table1[[#This Row],[Warranty_Claim]]="Yes",1,0)</f>
        <v>0</v>
      </c>
      <c r="W918" s="4">
        <f>IF(Table1[[#This Row],[Rework_Flag]]="No",1,0)</f>
        <v>0</v>
      </c>
      <c r="X918" s="4">
        <f>IF(Table1[[#This Row],[Rework_Flag]]="Yes",1,0)</f>
        <v>1</v>
      </c>
      <c r="Y918" s="4">
        <v>1</v>
      </c>
      <c r="Z918" s="4" t="str">
        <f>IF(Table1[[#This Row],[TAT_Days]]&gt;Table1[[#This Row],[SLA_TAT]],"Yes","No")</f>
        <v>Yes</v>
      </c>
      <c r="AA918" s="4" t="str" cm="1">
        <f t="array" ref="AA918">_xlfn.IFS(Table1[[#This Row],[Customer_Satisfaction]]&lt;=2,"Poor",Table1[[#This Row],[Customer_Satisfaction]]=3,"Neutral",Table1[[#This Row],[Customer_Satisfaction]]=4,"Good",Table1[[#This Row],[Customer_Satisfaction]]=5,"Good")</f>
        <v>Poor</v>
      </c>
    </row>
    <row r="919" spans="1:27" x14ac:dyDescent="0.35">
      <c r="A919">
        <v>20917</v>
      </c>
      <c r="B919" s="1">
        <v>45349</v>
      </c>
      <c r="C919" t="s">
        <v>19</v>
      </c>
      <c r="D919" t="s">
        <v>96</v>
      </c>
      <c r="E919" t="s">
        <v>98</v>
      </c>
      <c r="F919" t="s">
        <v>40</v>
      </c>
      <c r="G919" t="s">
        <v>74</v>
      </c>
      <c r="H919" t="s">
        <v>34</v>
      </c>
      <c r="I919" t="s">
        <v>55</v>
      </c>
      <c r="J919" t="s">
        <v>43</v>
      </c>
      <c r="K919" t="s">
        <v>44</v>
      </c>
      <c r="L919" t="s">
        <v>49</v>
      </c>
      <c r="M919" s="4">
        <v>10</v>
      </c>
      <c r="N919" s="4">
        <v>7</v>
      </c>
      <c r="O919" t="s">
        <v>36</v>
      </c>
      <c r="P919" t="s">
        <v>36</v>
      </c>
      <c r="Q919" s="4">
        <v>309728</v>
      </c>
      <c r="R919" s="4">
        <v>263230</v>
      </c>
      <c r="S919" s="4">
        <f>Table1[[#This Row],[Service_Revenue]]-Table1[[#This Row],[Service_Cost]]</f>
        <v>46498</v>
      </c>
      <c r="T919" s="4">
        <v>3</v>
      </c>
      <c r="U919" s="4">
        <f>IF(AND(Table1[[#This Row],[Rework_Flag]]="Yes",Table1[[#This Row],[Warranty_Claim]]="No"),Table1[[#This Row],[Service_Revenue]],0)</f>
        <v>0</v>
      </c>
      <c r="V919" s="4">
        <f>IF(Table1[[#This Row],[Warranty_Claim]]="Yes",1,0)</f>
        <v>0</v>
      </c>
      <c r="W919" s="4">
        <f>IF(Table1[[#This Row],[Rework_Flag]]="No",1,0)</f>
        <v>1</v>
      </c>
      <c r="X919" s="4">
        <f>IF(Table1[[#This Row],[Rework_Flag]]="Yes",1,0)</f>
        <v>0</v>
      </c>
      <c r="Y919" s="4">
        <v>1</v>
      </c>
      <c r="Z919" s="4" t="str">
        <f>IF(Table1[[#This Row],[TAT_Days]]&gt;Table1[[#This Row],[SLA_TAT]],"Yes","No")</f>
        <v>Yes</v>
      </c>
      <c r="AA919" s="4" t="str" cm="1">
        <f t="array" ref="AA919">_xlfn.IFS(Table1[[#This Row],[Customer_Satisfaction]]&lt;=2,"Poor",Table1[[#This Row],[Customer_Satisfaction]]=3,"Neutral",Table1[[#This Row],[Customer_Satisfaction]]=4,"Good",Table1[[#This Row],[Customer_Satisfaction]]=5,"Good")</f>
        <v>Neutral</v>
      </c>
    </row>
    <row r="920" spans="1:27" x14ac:dyDescent="0.35">
      <c r="A920">
        <v>20918</v>
      </c>
      <c r="B920" s="1">
        <v>45306</v>
      </c>
      <c r="C920" t="s">
        <v>19</v>
      </c>
      <c r="D920" t="s">
        <v>96</v>
      </c>
      <c r="E920" t="s">
        <v>97</v>
      </c>
      <c r="F920" t="s">
        <v>22</v>
      </c>
      <c r="G920" t="s">
        <v>47</v>
      </c>
      <c r="H920" t="s">
        <v>48</v>
      </c>
      <c r="I920" t="s">
        <v>55</v>
      </c>
      <c r="J920" t="s">
        <v>43</v>
      </c>
      <c r="K920" t="s">
        <v>61</v>
      </c>
      <c r="L920" t="s">
        <v>49</v>
      </c>
      <c r="M920" s="4">
        <v>18</v>
      </c>
      <c r="N920" s="4">
        <v>7</v>
      </c>
      <c r="O920" t="s">
        <v>36</v>
      </c>
      <c r="P920" t="s">
        <v>36</v>
      </c>
      <c r="Q920" s="4">
        <v>438324</v>
      </c>
      <c r="R920" s="4">
        <v>308450</v>
      </c>
      <c r="S920" s="4">
        <f>Table1[[#This Row],[Service_Revenue]]-Table1[[#This Row],[Service_Cost]]</f>
        <v>129874</v>
      </c>
      <c r="T920" s="4">
        <v>2</v>
      </c>
      <c r="U920" s="4">
        <f>IF(AND(Table1[[#This Row],[Rework_Flag]]="Yes",Table1[[#This Row],[Warranty_Claim]]="No"),Table1[[#This Row],[Service_Revenue]],0)</f>
        <v>0</v>
      </c>
      <c r="V920" s="4">
        <f>IF(Table1[[#This Row],[Warranty_Claim]]="Yes",1,0)</f>
        <v>0</v>
      </c>
      <c r="W920" s="4">
        <f>IF(Table1[[#This Row],[Rework_Flag]]="No",1,0)</f>
        <v>1</v>
      </c>
      <c r="X920" s="4">
        <f>IF(Table1[[#This Row],[Rework_Flag]]="Yes",1,0)</f>
        <v>0</v>
      </c>
      <c r="Y920" s="4">
        <v>1</v>
      </c>
      <c r="Z920" s="4" t="str">
        <f>IF(Table1[[#This Row],[TAT_Days]]&gt;Table1[[#This Row],[SLA_TAT]],"Yes","No")</f>
        <v>Yes</v>
      </c>
      <c r="AA920" s="4" t="str" cm="1">
        <f t="array" ref="AA920">_xlfn.IFS(Table1[[#This Row],[Customer_Satisfaction]]&lt;=2,"Poor",Table1[[#This Row],[Customer_Satisfaction]]=3,"Neutral",Table1[[#This Row],[Customer_Satisfaction]]=4,"Good",Table1[[#This Row],[Customer_Satisfaction]]=5,"Good")</f>
        <v>Poor</v>
      </c>
    </row>
    <row r="921" spans="1:27" x14ac:dyDescent="0.35">
      <c r="A921">
        <v>20919</v>
      </c>
      <c r="B921" s="1">
        <v>45354</v>
      </c>
      <c r="C921" t="s">
        <v>37</v>
      </c>
      <c r="D921" t="s">
        <v>64</v>
      </c>
      <c r="E921" t="s">
        <v>65</v>
      </c>
      <c r="F921" t="s">
        <v>22</v>
      </c>
      <c r="G921" t="s">
        <v>23</v>
      </c>
      <c r="H921" t="s">
        <v>24</v>
      </c>
      <c r="I921" t="s">
        <v>55</v>
      </c>
      <c r="J921" t="s">
        <v>58</v>
      </c>
      <c r="K921" t="s">
        <v>61</v>
      </c>
      <c r="L921" t="s">
        <v>49</v>
      </c>
      <c r="M921" s="4">
        <v>7</v>
      </c>
      <c r="N921" s="4">
        <v>7</v>
      </c>
      <c r="O921" t="s">
        <v>29</v>
      </c>
      <c r="P921" t="s">
        <v>36</v>
      </c>
      <c r="Q921" s="4">
        <v>456810</v>
      </c>
      <c r="R921" s="4">
        <v>276452</v>
      </c>
      <c r="S921" s="4">
        <f>Table1[[#This Row],[Service_Revenue]]-Table1[[#This Row],[Service_Cost]]</f>
        <v>180358</v>
      </c>
      <c r="T921" s="4">
        <v>3</v>
      </c>
      <c r="U921" s="4">
        <f>IF(AND(Table1[[#This Row],[Rework_Flag]]="Yes",Table1[[#This Row],[Warranty_Claim]]="No"),Table1[[#This Row],[Service_Revenue]],0)</f>
        <v>456810</v>
      </c>
      <c r="V921" s="4">
        <f>IF(Table1[[#This Row],[Warranty_Claim]]="Yes",1,0)</f>
        <v>0</v>
      </c>
      <c r="W921" s="4">
        <f>IF(Table1[[#This Row],[Rework_Flag]]="No",1,0)</f>
        <v>0</v>
      </c>
      <c r="X921" s="4">
        <f>IF(Table1[[#This Row],[Rework_Flag]]="Yes",1,0)</f>
        <v>1</v>
      </c>
      <c r="Y921" s="4">
        <v>1</v>
      </c>
      <c r="Z921" s="4" t="str">
        <f>IF(Table1[[#This Row],[TAT_Days]]&gt;Table1[[#This Row],[SLA_TAT]],"Yes","No")</f>
        <v>No</v>
      </c>
      <c r="AA921" s="4" t="str" cm="1">
        <f t="array" ref="AA921">_xlfn.IFS(Table1[[#This Row],[Customer_Satisfaction]]&lt;=2,"Poor",Table1[[#This Row],[Customer_Satisfaction]]=3,"Neutral",Table1[[#This Row],[Customer_Satisfaction]]=4,"Good",Table1[[#This Row],[Customer_Satisfaction]]=5,"Good")</f>
        <v>Neutral</v>
      </c>
    </row>
    <row r="922" spans="1:27" x14ac:dyDescent="0.35">
      <c r="A922">
        <v>20920</v>
      </c>
      <c r="B922" s="1">
        <v>45455</v>
      </c>
      <c r="C922" t="s">
        <v>50</v>
      </c>
      <c r="D922" t="s">
        <v>56</v>
      </c>
      <c r="E922" t="s">
        <v>101</v>
      </c>
      <c r="F922" t="s">
        <v>22</v>
      </c>
      <c r="G922" t="s">
        <v>33</v>
      </c>
      <c r="H922" t="s">
        <v>34</v>
      </c>
      <c r="I922" t="s">
        <v>55</v>
      </c>
      <c r="J922" t="s">
        <v>43</v>
      </c>
      <c r="K922" t="s">
        <v>44</v>
      </c>
      <c r="L922" t="s">
        <v>28</v>
      </c>
      <c r="M922" s="4">
        <v>2</v>
      </c>
      <c r="N922" s="4">
        <v>7</v>
      </c>
      <c r="O922" t="s">
        <v>29</v>
      </c>
      <c r="P922" t="s">
        <v>36</v>
      </c>
      <c r="Q922" s="4">
        <v>562297</v>
      </c>
      <c r="R922" s="4">
        <v>377852</v>
      </c>
      <c r="S922" s="4">
        <f>Table1[[#This Row],[Service_Revenue]]-Table1[[#This Row],[Service_Cost]]</f>
        <v>184445</v>
      </c>
      <c r="T922" s="4">
        <v>4</v>
      </c>
      <c r="U922" s="4">
        <f>IF(AND(Table1[[#This Row],[Rework_Flag]]="Yes",Table1[[#This Row],[Warranty_Claim]]="No"),Table1[[#This Row],[Service_Revenue]],0)</f>
        <v>562297</v>
      </c>
      <c r="V922" s="4">
        <f>IF(Table1[[#This Row],[Warranty_Claim]]="Yes",1,0)</f>
        <v>0</v>
      </c>
      <c r="W922" s="4">
        <f>IF(Table1[[#This Row],[Rework_Flag]]="No",1,0)</f>
        <v>0</v>
      </c>
      <c r="X922" s="4">
        <f>IF(Table1[[#This Row],[Rework_Flag]]="Yes",1,0)</f>
        <v>1</v>
      </c>
      <c r="Y922" s="4">
        <v>1</v>
      </c>
      <c r="Z922" s="4" t="str">
        <f>IF(Table1[[#This Row],[TAT_Days]]&gt;Table1[[#This Row],[SLA_TAT]],"Yes","No")</f>
        <v>No</v>
      </c>
      <c r="AA922" s="4" t="str" cm="1">
        <f t="array" ref="AA922">_xlfn.IFS(Table1[[#This Row],[Customer_Satisfaction]]&lt;=2,"Poor",Table1[[#This Row],[Customer_Satisfaction]]=3,"Neutral",Table1[[#This Row],[Customer_Satisfaction]]=4,"Good",Table1[[#This Row],[Customer_Satisfaction]]=5,"Good")</f>
        <v>Good</v>
      </c>
    </row>
    <row r="923" spans="1:27" x14ac:dyDescent="0.35">
      <c r="A923">
        <v>20921</v>
      </c>
      <c r="B923" s="1">
        <v>45325</v>
      </c>
      <c r="C923" t="s">
        <v>37</v>
      </c>
      <c r="D923" t="s">
        <v>38</v>
      </c>
      <c r="E923" t="s">
        <v>39</v>
      </c>
      <c r="F923" t="s">
        <v>40</v>
      </c>
      <c r="G923" t="s">
        <v>41</v>
      </c>
      <c r="H923" t="s">
        <v>42</v>
      </c>
      <c r="I923" t="s">
        <v>55</v>
      </c>
      <c r="J923" t="s">
        <v>35</v>
      </c>
      <c r="K923" t="s">
        <v>44</v>
      </c>
      <c r="L923" t="s">
        <v>28</v>
      </c>
      <c r="M923" s="4">
        <v>11</v>
      </c>
      <c r="N923" s="4">
        <v>7</v>
      </c>
      <c r="O923" t="s">
        <v>29</v>
      </c>
      <c r="P923" t="s">
        <v>36</v>
      </c>
      <c r="Q923" s="4">
        <v>524270</v>
      </c>
      <c r="R923" s="4">
        <v>423636</v>
      </c>
      <c r="S923" s="4">
        <f>Table1[[#This Row],[Service_Revenue]]-Table1[[#This Row],[Service_Cost]]</f>
        <v>100634</v>
      </c>
      <c r="T923" s="4">
        <v>2</v>
      </c>
      <c r="U923" s="4">
        <f>IF(AND(Table1[[#This Row],[Rework_Flag]]="Yes",Table1[[#This Row],[Warranty_Claim]]="No"),Table1[[#This Row],[Service_Revenue]],0)</f>
        <v>524270</v>
      </c>
      <c r="V923" s="4">
        <f>IF(Table1[[#This Row],[Warranty_Claim]]="Yes",1,0)</f>
        <v>0</v>
      </c>
      <c r="W923" s="4">
        <f>IF(Table1[[#This Row],[Rework_Flag]]="No",1,0)</f>
        <v>0</v>
      </c>
      <c r="X923" s="4">
        <f>IF(Table1[[#This Row],[Rework_Flag]]="Yes",1,0)</f>
        <v>1</v>
      </c>
      <c r="Y923" s="4">
        <v>1</v>
      </c>
      <c r="Z923" s="4" t="str">
        <f>IF(Table1[[#This Row],[TAT_Days]]&gt;Table1[[#This Row],[SLA_TAT]],"Yes","No")</f>
        <v>Yes</v>
      </c>
      <c r="AA923" s="4" t="str" cm="1">
        <f t="array" ref="AA923">_xlfn.IFS(Table1[[#This Row],[Customer_Satisfaction]]&lt;=2,"Poor",Table1[[#This Row],[Customer_Satisfaction]]=3,"Neutral",Table1[[#This Row],[Customer_Satisfaction]]=4,"Good",Table1[[#This Row],[Customer_Satisfaction]]=5,"Good")</f>
        <v>Poor</v>
      </c>
    </row>
    <row r="924" spans="1:27" x14ac:dyDescent="0.35">
      <c r="A924">
        <v>20922</v>
      </c>
      <c r="B924" s="1">
        <v>45303</v>
      </c>
      <c r="C924" t="s">
        <v>30</v>
      </c>
      <c r="D924" t="s">
        <v>59</v>
      </c>
      <c r="E924" t="s">
        <v>69</v>
      </c>
      <c r="F924" t="s">
        <v>40</v>
      </c>
      <c r="G924" t="s">
        <v>63</v>
      </c>
      <c r="H924" t="s">
        <v>24</v>
      </c>
      <c r="I924" t="s">
        <v>55</v>
      </c>
      <c r="J924" t="s">
        <v>26</v>
      </c>
      <c r="K924" t="s">
        <v>61</v>
      </c>
      <c r="L924" t="s">
        <v>28</v>
      </c>
      <c r="M924" s="4">
        <v>3</v>
      </c>
      <c r="N924" s="4">
        <v>7</v>
      </c>
      <c r="O924" t="s">
        <v>36</v>
      </c>
      <c r="P924" t="s">
        <v>36</v>
      </c>
      <c r="Q924" s="4">
        <v>107373</v>
      </c>
      <c r="R924" s="4">
        <v>71721</v>
      </c>
      <c r="S924" s="4">
        <f>Table1[[#This Row],[Service_Revenue]]-Table1[[#This Row],[Service_Cost]]</f>
        <v>35652</v>
      </c>
      <c r="T924" s="4">
        <v>5</v>
      </c>
      <c r="U924" s="4">
        <f>IF(AND(Table1[[#This Row],[Rework_Flag]]="Yes",Table1[[#This Row],[Warranty_Claim]]="No"),Table1[[#This Row],[Service_Revenue]],0)</f>
        <v>0</v>
      </c>
      <c r="V924" s="4">
        <f>IF(Table1[[#This Row],[Warranty_Claim]]="Yes",1,0)</f>
        <v>0</v>
      </c>
      <c r="W924" s="4">
        <f>IF(Table1[[#This Row],[Rework_Flag]]="No",1,0)</f>
        <v>1</v>
      </c>
      <c r="X924" s="4">
        <f>IF(Table1[[#This Row],[Rework_Flag]]="Yes",1,0)</f>
        <v>0</v>
      </c>
      <c r="Y924" s="4">
        <v>1</v>
      </c>
      <c r="Z924" s="4" t="str">
        <f>IF(Table1[[#This Row],[TAT_Days]]&gt;Table1[[#This Row],[SLA_TAT]],"Yes","No")</f>
        <v>No</v>
      </c>
      <c r="AA924" s="4" t="str" cm="1">
        <f t="array" ref="AA924">_xlfn.IFS(Table1[[#This Row],[Customer_Satisfaction]]&lt;=2,"Poor",Table1[[#This Row],[Customer_Satisfaction]]=3,"Neutral",Table1[[#This Row],[Customer_Satisfaction]]=4,"Good",Table1[[#This Row],[Customer_Satisfaction]]=5,"Good")</f>
        <v>Good</v>
      </c>
    </row>
    <row r="925" spans="1:27" x14ac:dyDescent="0.35">
      <c r="A925">
        <v>20923</v>
      </c>
      <c r="B925" s="1">
        <v>45429</v>
      </c>
      <c r="C925" t="s">
        <v>30</v>
      </c>
      <c r="D925" t="s">
        <v>59</v>
      </c>
      <c r="E925" t="s">
        <v>66</v>
      </c>
      <c r="F925" t="s">
        <v>40</v>
      </c>
      <c r="G925" t="s">
        <v>47</v>
      </c>
      <c r="H925" t="s">
        <v>48</v>
      </c>
      <c r="I925" t="s">
        <v>25</v>
      </c>
      <c r="J925" t="s">
        <v>26</v>
      </c>
      <c r="K925" t="s">
        <v>61</v>
      </c>
      <c r="L925" t="s">
        <v>49</v>
      </c>
      <c r="M925" s="4">
        <v>10</v>
      </c>
      <c r="N925" s="4">
        <v>7</v>
      </c>
      <c r="O925" t="s">
        <v>36</v>
      </c>
      <c r="P925" t="s">
        <v>36</v>
      </c>
      <c r="Q925" s="4">
        <v>381646</v>
      </c>
      <c r="R925" s="4">
        <v>260927</v>
      </c>
      <c r="S925" s="4">
        <f>Table1[[#This Row],[Service_Revenue]]-Table1[[#This Row],[Service_Cost]]</f>
        <v>120719</v>
      </c>
      <c r="T925" s="4">
        <v>3</v>
      </c>
      <c r="U925" s="4">
        <f>IF(AND(Table1[[#This Row],[Rework_Flag]]="Yes",Table1[[#This Row],[Warranty_Claim]]="No"),Table1[[#This Row],[Service_Revenue]],0)</f>
        <v>0</v>
      </c>
      <c r="V925" s="4">
        <f>IF(Table1[[#This Row],[Warranty_Claim]]="Yes",1,0)</f>
        <v>0</v>
      </c>
      <c r="W925" s="4">
        <f>IF(Table1[[#This Row],[Rework_Flag]]="No",1,0)</f>
        <v>1</v>
      </c>
      <c r="X925" s="4">
        <f>IF(Table1[[#This Row],[Rework_Flag]]="Yes",1,0)</f>
        <v>0</v>
      </c>
      <c r="Y925" s="4">
        <v>1</v>
      </c>
      <c r="Z925" s="4" t="str">
        <f>IF(Table1[[#This Row],[TAT_Days]]&gt;Table1[[#This Row],[SLA_TAT]],"Yes","No")</f>
        <v>Yes</v>
      </c>
      <c r="AA925" s="4" t="str" cm="1">
        <f t="array" ref="AA925">_xlfn.IFS(Table1[[#This Row],[Customer_Satisfaction]]&lt;=2,"Poor",Table1[[#This Row],[Customer_Satisfaction]]=3,"Neutral",Table1[[#This Row],[Customer_Satisfaction]]=4,"Good",Table1[[#This Row],[Customer_Satisfaction]]=5,"Good")</f>
        <v>Neutral</v>
      </c>
    </row>
    <row r="926" spans="1:27" x14ac:dyDescent="0.35">
      <c r="A926">
        <v>20924</v>
      </c>
      <c r="B926" s="1">
        <v>45403</v>
      </c>
      <c r="C926" t="s">
        <v>30</v>
      </c>
      <c r="D926" t="s">
        <v>59</v>
      </c>
      <c r="E926" t="s">
        <v>66</v>
      </c>
      <c r="F926" t="s">
        <v>53</v>
      </c>
      <c r="G926" t="s">
        <v>63</v>
      </c>
      <c r="H926" t="s">
        <v>24</v>
      </c>
      <c r="I926" t="s">
        <v>25</v>
      </c>
      <c r="J926" t="s">
        <v>43</v>
      </c>
      <c r="K926" t="s">
        <v>27</v>
      </c>
      <c r="L926" t="s">
        <v>49</v>
      </c>
      <c r="M926" s="4">
        <v>7</v>
      </c>
      <c r="N926" s="4">
        <v>7</v>
      </c>
      <c r="O926" t="s">
        <v>36</v>
      </c>
      <c r="P926" t="s">
        <v>36</v>
      </c>
      <c r="Q926" s="4">
        <v>167448</v>
      </c>
      <c r="R926" s="4">
        <v>94535</v>
      </c>
      <c r="S926" s="4">
        <f>Table1[[#This Row],[Service_Revenue]]-Table1[[#This Row],[Service_Cost]]</f>
        <v>72913</v>
      </c>
      <c r="T926" s="4">
        <v>4</v>
      </c>
      <c r="U926" s="4">
        <f>IF(AND(Table1[[#This Row],[Rework_Flag]]="Yes",Table1[[#This Row],[Warranty_Claim]]="No"),Table1[[#This Row],[Service_Revenue]],0)</f>
        <v>0</v>
      </c>
      <c r="V926" s="4">
        <f>IF(Table1[[#This Row],[Warranty_Claim]]="Yes",1,0)</f>
        <v>0</v>
      </c>
      <c r="W926" s="4">
        <f>IF(Table1[[#This Row],[Rework_Flag]]="No",1,0)</f>
        <v>1</v>
      </c>
      <c r="X926" s="4">
        <f>IF(Table1[[#This Row],[Rework_Flag]]="Yes",1,0)</f>
        <v>0</v>
      </c>
      <c r="Y926" s="4">
        <v>1</v>
      </c>
      <c r="Z926" s="4" t="str">
        <f>IF(Table1[[#This Row],[TAT_Days]]&gt;Table1[[#This Row],[SLA_TAT]],"Yes","No")</f>
        <v>No</v>
      </c>
      <c r="AA926" s="4" t="str" cm="1">
        <f t="array" ref="AA926">_xlfn.IFS(Table1[[#This Row],[Customer_Satisfaction]]&lt;=2,"Poor",Table1[[#This Row],[Customer_Satisfaction]]=3,"Neutral",Table1[[#This Row],[Customer_Satisfaction]]=4,"Good",Table1[[#This Row],[Customer_Satisfaction]]=5,"Good")</f>
        <v>Good</v>
      </c>
    </row>
    <row r="927" spans="1:27" x14ac:dyDescent="0.35">
      <c r="A927">
        <v>20925</v>
      </c>
      <c r="B927" s="1">
        <v>45353</v>
      </c>
      <c r="C927" t="s">
        <v>50</v>
      </c>
      <c r="D927" t="s">
        <v>56</v>
      </c>
      <c r="E927" t="s">
        <v>101</v>
      </c>
      <c r="F927" t="s">
        <v>22</v>
      </c>
      <c r="G927" t="s">
        <v>41</v>
      </c>
      <c r="H927" t="s">
        <v>42</v>
      </c>
      <c r="I927" t="s">
        <v>55</v>
      </c>
      <c r="J927" t="s">
        <v>58</v>
      </c>
      <c r="K927" t="s">
        <v>61</v>
      </c>
      <c r="L927" t="s">
        <v>49</v>
      </c>
      <c r="M927" s="4">
        <v>21</v>
      </c>
      <c r="N927" s="4">
        <v>7</v>
      </c>
      <c r="O927" t="s">
        <v>29</v>
      </c>
      <c r="P927" t="s">
        <v>36</v>
      </c>
      <c r="Q927" s="4">
        <v>116739</v>
      </c>
      <c r="R927" s="4">
        <v>59363</v>
      </c>
      <c r="S927" s="4">
        <f>Table1[[#This Row],[Service_Revenue]]-Table1[[#This Row],[Service_Cost]]</f>
        <v>57376</v>
      </c>
      <c r="T927" s="4">
        <v>1</v>
      </c>
      <c r="U927" s="4">
        <f>IF(AND(Table1[[#This Row],[Rework_Flag]]="Yes",Table1[[#This Row],[Warranty_Claim]]="No"),Table1[[#This Row],[Service_Revenue]],0)</f>
        <v>116739</v>
      </c>
      <c r="V927" s="4">
        <f>IF(Table1[[#This Row],[Warranty_Claim]]="Yes",1,0)</f>
        <v>0</v>
      </c>
      <c r="W927" s="4">
        <f>IF(Table1[[#This Row],[Rework_Flag]]="No",1,0)</f>
        <v>0</v>
      </c>
      <c r="X927" s="4">
        <f>IF(Table1[[#This Row],[Rework_Flag]]="Yes",1,0)</f>
        <v>1</v>
      </c>
      <c r="Y927" s="4">
        <v>1</v>
      </c>
      <c r="Z927" s="4" t="str">
        <f>IF(Table1[[#This Row],[TAT_Days]]&gt;Table1[[#This Row],[SLA_TAT]],"Yes","No")</f>
        <v>Yes</v>
      </c>
      <c r="AA927" s="4" t="str" cm="1">
        <f t="array" ref="AA927">_xlfn.IFS(Table1[[#This Row],[Customer_Satisfaction]]&lt;=2,"Poor",Table1[[#This Row],[Customer_Satisfaction]]=3,"Neutral",Table1[[#This Row],[Customer_Satisfaction]]=4,"Good",Table1[[#This Row],[Customer_Satisfaction]]=5,"Good")</f>
        <v>Poor</v>
      </c>
    </row>
    <row r="928" spans="1:27" x14ac:dyDescent="0.35">
      <c r="A928">
        <v>20926</v>
      </c>
      <c r="B928" s="1">
        <v>45434</v>
      </c>
      <c r="C928" t="s">
        <v>30</v>
      </c>
      <c r="D928" t="s">
        <v>83</v>
      </c>
      <c r="E928" t="s">
        <v>90</v>
      </c>
      <c r="F928" t="s">
        <v>53</v>
      </c>
      <c r="G928" t="s">
        <v>74</v>
      </c>
      <c r="H928" t="s">
        <v>34</v>
      </c>
      <c r="I928" t="s">
        <v>25</v>
      </c>
      <c r="J928" t="s">
        <v>35</v>
      </c>
      <c r="K928" t="s">
        <v>61</v>
      </c>
      <c r="L928" t="s">
        <v>28</v>
      </c>
      <c r="M928" s="4">
        <v>13</v>
      </c>
      <c r="N928" s="4">
        <v>7</v>
      </c>
      <c r="O928" t="s">
        <v>29</v>
      </c>
      <c r="P928" t="s">
        <v>36</v>
      </c>
      <c r="Q928" s="4">
        <v>536212</v>
      </c>
      <c r="R928" s="4">
        <v>290408</v>
      </c>
      <c r="S928" s="4">
        <f>Table1[[#This Row],[Service_Revenue]]-Table1[[#This Row],[Service_Cost]]</f>
        <v>245804</v>
      </c>
      <c r="T928" s="4">
        <v>2</v>
      </c>
      <c r="U928" s="4">
        <f>IF(AND(Table1[[#This Row],[Rework_Flag]]="Yes",Table1[[#This Row],[Warranty_Claim]]="No"),Table1[[#This Row],[Service_Revenue]],0)</f>
        <v>536212</v>
      </c>
      <c r="V928" s="4">
        <f>IF(Table1[[#This Row],[Warranty_Claim]]="Yes",1,0)</f>
        <v>0</v>
      </c>
      <c r="W928" s="4">
        <f>IF(Table1[[#This Row],[Rework_Flag]]="No",1,0)</f>
        <v>0</v>
      </c>
      <c r="X928" s="4">
        <f>IF(Table1[[#This Row],[Rework_Flag]]="Yes",1,0)</f>
        <v>1</v>
      </c>
      <c r="Y928" s="4">
        <v>1</v>
      </c>
      <c r="Z928" s="4" t="str">
        <f>IF(Table1[[#This Row],[TAT_Days]]&gt;Table1[[#This Row],[SLA_TAT]],"Yes","No")</f>
        <v>Yes</v>
      </c>
      <c r="AA928" s="4" t="str" cm="1">
        <f t="array" ref="AA928">_xlfn.IFS(Table1[[#This Row],[Customer_Satisfaction]]&lt;=2,"Poor",Table1[[#This Row],[Customer_Satisfaction]]=3,"Neutral",Table1[[#This Row],[Customer_Satisfaction]]=4,"Good",Table1[[#This Row],[Customer_Satisfaction]]=5,"Good")</f>
        <v>Poor</v>
      </c>
    </row>
    <row r="929" spans="1:27" x14ac:dyDescent="0.35">
      <c r="A929">
        <v>20927</v>
      </c>
      <c r="B929" s="1">
        <v>45335</v>
      </c>
      <c r="C929" t="s">
        <v>30</v>
      </c>
      <c r="D929" t="s">
        <v>31</v>
      </c>
      <c r="E929" t="s">
        <v>106</v>
      </c>
      <c r="F929" t="s">
        <v>40</v>
      </c>
      <c r="G929" t="s">
        <v>47</v>
      </c>
      <c r="H929" t="s">
        <v>48</v>
      </c>
      <c r="I929" t="s">
        <v>25</v>
      </c>
      <c r="J929" t="s">
        <v>67</v>
      </c>
      <c r="K929" t="s">
        <v>61</v>
      </c>
      <c r="L929" t="s">
        <v>49</v>
      </c>
      <c r="M929" s="4">
        <v>25</v>
      </c>
      <c r="N929" s="4">
        <v>7</v>
      </c>
      <c r="O929" t="s">
        <v>36</v>
      </c>
      <c r="P929" t="s">
        <v>36</v>
      </c>
      <c r="Q929" s="4">
        <v>324974</v>
      </c>
      <c r="R929" s="4">
        <v>164034</v>
      </c>
      <c r="S929" s="4">
        <f>Table1[[#This Row],[Service_Revenue]]-Table1[[#This Row],[Service_Cost]]</f>
        <v>160940</v>
      </c>
      <c r="T929" s="4">
        <v>1</v>
      </c>
      <c r="U929" s="4">
        <f>IF(AND(Table1[[#This Row],[Rework_Flag]]="Yes",Table1[[#This Row],[Warranty_Claim]]="No"),Table1[[#This Row],[Service_Revenue]],0)</f>
        <v>0</v>
      </c>
      <c r="V929" s="4">
        <f>IF(Table1[[#This Row],[Warranty_Claim]]="Yes",1,0)</f>
        <v>0</v>
      </c>
      <c r="W929" s="4">
        <f>IF(Table1[[#This Row],[Rework_Flag]]="No",1,0)</f>
        <v>1</v>
      </c>
      <c r="X929" s="4">
        <f>IF(Table1[[#This Row],[Rework_Flag]]="Yes",1,0)</f>
        <v>0</v>
      </c>
      <c r="Y929" s="4">
        <v>1</v>
      </c>
      <c r="Z929" s="4" t="str">
        <f>IF(Table1[[#This Row],[TAT_Days]]&gt;Table1[[#This Row],[SLA_TAT]],"Yes","No")</f>
        <v>Yes</v>
      </c>
      <c r="AA929" s="4" t="str" cm="1">
        <f t="array" ref="AA929">_xlfn.IFS(Table1[[#This Row],[Customer_Satisfaction]]&lt;=2,"Poor",Table1[[#This Row],[Customer_Satisfaction]]=3,"Neutral",Table1[[#This Row],[Customer_Satisfaction]]=4,"Good",Table1[[#This Row],[Customer_Satisfaction]]=5,"Good")</f>
        <v>Poor</v>
      </c>
    </row>
    <row r="930" spans="1:27" x14ac:dyDescent="0.35">
      <c r="A930">
        <v>20928</v>
      </c>
      <c r="B930" s="1">
        <v>45385</v>
      </c>
      <c r="C930" t="s">
        <v>37</v>
      </c>
      <c r="D930" t="s">
        <v>70</v>
      </c>
      <c r="E930" t="s">
        <v>91</v>
      </c>
      <c r="F930" t="s">
        <v>22</v>
      </c>
      <c r="G930" t="s">
        <v>54</v>
      </c>
      <c r="H930" t="s">
        <v>42</v>
      </c>
      <c r="I930" t="s">
        <v>55</v>
      </c>
      <c r="J930" t="s">
        <v>26</v>
      </c>
      <c r="K930" t="s">
        <v>61</v>
      </c>
      <c r="L930" t="s">
        <v>28</v>
      </c>
      <c r="M930" s="4">
        <v>16</v>
      </c>
      <c r="N930" s="4">
        <v>7</v>
      </c>
      <c r="O930" t="s">
        <v>29</v>
      </c>
      <c r="P930" t="s">
        <v>36</v>
      </c>
      <c r="Q930" s="4">
        <v>215896</v>
      </c>
      <c r="R930" s="4">
        <v>167128</v>
      </c>
      <c r="S930" s="4">
        <f>Table1[[#This Row],[Service_Revenue]]-Table1[[#This Row],[Service_Cost]]</f>
        <v>48768</v>
      </c>
      <c r="T930" s="4">
        <v>1</v>
      </c>
      <c r="U930" s="4">
        <f>IF(AND(Table1[[#This Row],[Rework_Flag]]="Yes",Table1[[#This Row],[Warranty_Claim]]="No"),Table1[[#This Row],[Service_Revenue]],0)</f>
        <v>215896</v>
      </c>
      <c r="V930" s="4">
        <f>IF(Table1[[#This Row],[Warranty_Claim]]="Yes",1,0)</f>
        <v>0</v>
      </c>
      <c r="W930" s="4">
        <f>IF(Table1[[#This Row],[Rework_Flag]]="No",1,0)</f>
        <v>0</v>
      </c>
      <c r="X930" s="4">
        <f>IF(Table1[[#This Row],[Rework_Flag]]="Yes",1,0)</f>
        <v>1</v>
      </c>
      <c r="Y930" s="4">
        <v>1</v>
      </c>
      <c r="Z930" s="4" t="str">
        <f>IF(Table1[[#This Row],[TAT_Days]]&gt;Table1[[#This Row],[SLA_TAT]],"Yes","No")</f>
        <v>Yes</v>
      </c>
      <c r="AA930" s="4" t="str" cm="1">
        <f t="array" ref="AA930">_xlfn.IFS(Table1[[#This Row],[Customer_Satisfaction]]&lt;=2,"Poor",Table1[[#This Row],[Customer_Satisfaction]]=3,"Neutral",Table1[[#This Row],[Customer_Satisfaction]]=4,"Good",Table1[[#This Row],[Customer_Satisfaction]]=5,"Good")</f>
        <v>Poor</v>
      </c>
    </row>
    <row r="931" spans="1:27" x14ac:dyDescent="0.35">
      <c r="A931">
        <v>20929</v>
      </c>
      <c r="B931" s="1">
        <v>45466</v>
      </c>
      <c r="C931" t="s">
        <v>50</v>
      </c>
      <c r="D931" t="s">
        <v>56</v>
      </c>
      <c r="E931" t="s">
        <v>57</v>
      </c>
      <c r="F931" t="s">
        <v>22</v>
      </c>
      <c r="G931" t="s">
        <v>23</v>
      </c>
      <c r="H931" t="s">
        <v>24</v>
      </c>
      <c r="I931" t="s">
        <v>55</v>
      </c>
      <c r="J931" t="s">
        <v>26</v>
      </c>
      <c r="K931" t="s">
        <v>27</v>
      </c>
      <c r="L931" t="s">
        <v>28</v>
      </c>
      <c r="M931" s="4">
        <v>2</v>
      </c>
      <c r="N931" s="4">
        <v>7</v>
      </c>
      <c r="O931" t="s">
        <v>36</v>
      </c>
      <c r="P931" t="s">
        <v>36</v>
      </c>
      <c r="Q931" s="4">
        <v>471699</v>
      </c>
      <c r="R931" s="4">
        <v>261597</v>
      </c>
      <c r="S931" s="4">
        <f>Table1[[#This Row],[Service_Revenue]]-Table1[[#This Row],[Service_Cost]]</f>
        <v>210102</v>
      </c>
      <c r="T931" s="4">
        <v>5</v>
      </c>
      <c r="U931" s="4">
        <f>IF(AND(Table1[[#This Row],[Rework_Flag]]="Yes",Table1[[#This Row],[Warranty_Claim]]="No"),Table1[[#This Row],[Service_Revenue]],0)</f>
        <v>0</v>
      </c>
      <c r="V931" s="4">
        <f>IF(Table1[[#This Row],[Warranty_Claim]]="Yes",1,0)</f>
        <v>0</v>
      </c>
      <c r="W931" s="4">
        <f>IF(Table1[[#This Row],[Rework_Flag]]="No",1,0)</f>
        <v>1</v>
      </c>
      <c r="X931" s="4">
        <f>IF(Table1[[#This Row],[Rework_Flag]]="Yes",1,0)</f>
        <v>0</v>
      </c>
      <c r="Y931" s="4">
        <v>1</v>
      </c>
      <c r="Z931" s="4" t="str">
        <f>IF(Table1[[#This Row],[TAT_Days]]&gt;Table1[[#This Row],[SLA_TAT]],"Yes","No")</f>
        <v>No</v>
      </c>
      <c r="AA931" s="4" t="str" cm="1">
        <f t="array" ref="AA931">_xlfn.IFS(Table1[[#This Row],[Customer_Satisfaction]]&lt;=2,"Poor",Table1[[#This Row],[Customer_Satisfaction]]=3,"Neutral",Table1[[#This Row],[Customer_Satisfaction]]=4,"Good",Table1[[#This Row],[Customer_Satisfaction]]=5,"Good")</f>
        <v>Good</v>
      </c>
    </row>
    <row r="932" spans="1:27" x14ac:dyDescent="0.35">
      <c r="A932">
        <v>20930</v>
      </c>
      <c r="B932" s="1">
        <v>45354</v>
      </c>
      <c r="C932" t="s">
        <v>19</v>
      </c>
      <c r="D932" t="s">
        <v>45</v>
      </c>
      <c r="E932" t="s">
        <v>114</v>
      </c>
      <c r="F932" t="s">
        <v>53</v>
      </c>
      <c r="G932" t="s">
        <v>54</v>
      </c>
      <c r="H932" t="s">
        <v>42</v>
      </c>
      <c r="I932" t="s">
        <v>25</v>
      </c>
      <c r="J932" t="s">
        <v>35</v>
      </c>
      <c r="K932" t="s">
        <v>44</v>
      </c>
      <c r="L932" t="s">
        <v>28</v>
      </c>
      <c r="M932" s="4">
        <v>4</v>
      </c>
      <c r="N932" s="4">
        <v>7</v>
      </c>
      <c r="O932" t="s">
        <v>29</v>
      </c>
      <c r="P932" t="s">
        <v>36</v>
      </c>
      <c r="Q932" s="4">
        <v>105424</v>
      </c>
      <c r="R932" s="4">
        <v>89097</v>
      </c>
      <c r="S932" s="4">
        <f>Table1[[#This Row],[Service_Revenue]]-Table1[[#This Row],[Service_Cost]]</f>
        <v>16327</v>
      </c>
      <c r="T932" s="4">
        <v>4</v>
      </c>
      <c r="U932" s="4">
        <f>IF(AND(Table1[[#This Row],[Rework_Flag]]="Yes",Table1[[#This Row],[Warranty_Claim]]="No"),Table1[[#This Row],[Service_Revenue]],0)</f>
        <v>105424</v>
      </c>
      <c r="V932" s="4">
        <f>IF(Table1[[#This Row],[Warranty_Claim]]="Yes",1,0)</f>
        <v>0</v>
      </c>
      <c r="W932" s="4">
        <f>IF(Table1[[#This Row],[Rework_Flag]]="No",1,0)</f>
        <v>0</v>
      </c>
      <c r="X932" s="4">
        <f>IF(Table1[[#This Row],[Rework_Flag]]="Yes",1,0)</f>
        <v>1</v>
      </c>
      <c r="Y932" s="4">
        <v>1</v>
      </c>
      <c r="Z932" s="4" t="str">
        <f>IF(Table1[[#This Row],[TAT_Days]]&gt;Table1[[#This Row],[SLA_TAT]],"Yes","No")</f>
        <v>No</v>
      </c>
      <c r="AA932" s="4" t="str" cm="1">
        <f t="array" ref="AA932">_xlfn.IFS(Table1[[#This Row],[Customer_Satisfaction]]&lt;=2,"Poor",Table1[[#This Row],[Customer_Satisfaction]]=3,"Neutral",Table1[[#This Row],[Customer_Satisfaction]]=4,"Good",Table1[[#This Row],[Customer_Satisfaction]]=5,"Good")</f>
        <v>Good</v>
      </c>
    </row>
    <row r="933" spans="1:27" x14ac:dyDescent="0.35">
      <c r="A933">
        <v>20931</v>
      </c>
      <c r="B933" s="1">
        <v>45439</v>
      </c>
      <c r="C933" t="s">
        <v>19</v>
      </c>
      <c r="D933" t="s">
        <v>45</v>
      </c>
      <c r="E933" t="s">
        <v>111</v>
      </c>
      <c r="F933" t="s">
        <v>53</v>
      </c>
      <c r="G933" t="s">
        <v>74</v>
      </c>
      <c r="H933" t="s">
        <v>34</v>
      </c>
      <c r="I933" t="s">
        <v>55</v>
      </c>
      <c r="J933" t="s">
        <v>43</v>
      </c>
      <c r="K933" t="s">
        <v>61</v>
      </c>
      <c r="L933" t="s">
        <v>28</v>
      </c>
      <c r="M933" s="4">
        <v>6</v>
      </c>
      <c r="N933" s="4">
        <v>7</v>
      </c>
      <c r="O933" t="s">
        <v>36</v>
      </c>
      <c r="P933" t="s">
        <v>36</v>
      </c>
      <c r="Q933" s="4">
        <v>120259</v>
      </c>
      <c r="R933" s="4">
        <v>63497</v>
      </c>
      <c r="S933" s="4">
        <f>Table1[[#This Row],[Service_Revenue]]-Table1[[#This Row],[Service_Cost]]</f>
        <v>56762</v>
      </c>
      <c r="T933" s="4">
        <v>4</v>
      </c>
      <c r="U933" s="4">
        <f>IF(AND(Table1[[#This Row],[Rework_Flag]]="Yes",Table1[[#This Row],[Warranty_Claim]]="No"),Table1[[#This Row],[Service_Revenue]],0)</f>
        <v>0</v>
      </c>
      <c r="V933" s="4">
        <f>IF(Table1[[#This Row],[Warranty_Claim]]="Yes",1,0)</f>
        <v>0</v>
      </c>
      <c r="W933" s="4">
        <f>IF(Table1[[#This Row],[Rework_Flag]]="No",1,0)</f>
        <v>1</v>
      </c>
      <c r="X933" s="4">
        <f>IF(Table1[[#This Row],[Rework_Flag]]="Yes",1,0)</f>
        <v>0</v>
      </c>
      <c r="Y933" s="4">
        <v>1</v>
      </c>
      <c r="Z933" s="4" t="str">
        <f>IF(Table1[[#This Row],[TAT_Days]]&gt;Table1[[#This Row],[SLA_TAT]],"Yes","No")</f>
        <v>No</v>
      </c>
      <c r="AA933" s="4" t="str" cm="1">
        <f t="array" ref="AA933">_xlfn.IFS(Table1[[#This Row],[Customer_Satisfaction]]&lt;=2,"Poor",Table1[[#This Row],[Customer_Satisfaction]]=3,"Neutral",Table1[[#This Row],[Customer_Satisfaction]]=4,"Good",Table1[[#This Row],[Customer_Satisfaction]]=5,"Good")</f>
        <v>Good</v>
      </c>
    </row>
    <row r="934" spans="1:27" x14ac:dyDescent="0.35">
      <c r="A934">
        <v>20932</v>
      </c>
      <c r="B934" s="1">
        <v>45371</v>
      </c>
      <c r="C934" t="s">
        <v>50</v>
      </c>
      <c r="D934" t="s">
        <v>80</v>
      </c>
      <c r="E934" t="s">
        <v>85</v>
      </c>
      <c r="F934" t="s">
        <v>22</v>
      </c>
      <c r="G934" t="s">
        <v>54</v>
      </c>
      <c r="H934" t="s">
        <v>42</v>
      </c>
      <c r="I934" t="s">
        <v>25</v>
      </c>
      <c r="J934" t="s">
        <v>43</v>
      </c>
      <c r="K934" t="s">
        <v>27</v>
      </c>
      <c r="L934" t="s">
        <v>28</v>
      </c>
      <c r="M934" s="4">
        <v>9</v>
      </c>
      <c r="N934" s="4">
        <v>7</v>
      </c>
      <c r="O934" t="s">
        <v>36</v>
      </c>
      <c r="P934" t="s">
        <v>29</v>
      </c>
      <c r="Q934" s="4">
        <v>309024</v>
      </c>
      <c r="R934" s="4">
        <v>221322</v>
      </c>
      <c r="S934" s="4">
        <f>Table1[[#This Row],[Service_Revenue]]-Table1[[#This Row],[Service_Cost]]</f>
        <v>87702</v>
      </c>
      <c r="T934" s="4">
        <v>4</v>
      </c>
      <c r="U934" s="4">
        <f>IF(AND(Table1[[#This Row],[Rework_Flag]]="Yes",Table1[[#This Row],[Warranty_Claim]]="No"),Table1[[#This Row],[Service_Revenue]],0)</f>
        <v>0</v>
      </c>
      <c r="V934" s="4">
        <f>IF(Table1[[#This Row],[Warranty_Claim]]="Yes",1,0)</f>
        <v>1</v>
      </c>
      <c r="W934" s="4">
        <f>IF(Table1[[#This Row],[Rework_Flag]]="No",1,0)</f>
        <v>1</v>
      </c>
      <c r="X934" s="4">
        <f>IF(Table1[[#This Row],[Rework_Flag]]="Yes",1,0)</f>
        <v>0</v>
      </c>
      <c r="Y934" s="4">
        <v>1</v>
      </c>
      <c r="Z934" s="4" t="str">
        <f>IF(Table1[[#This Row],[TAT_Days]]&gt;Table1[[#This Row],[SLA_TAT]],"Yes","No")</f>
        <v>Yes</v>
      </c>
      <c r="AA934" s="4" t="str" cm="1">
        <f t="array" ref="AA934">_xlfn.IFS(Table1[[#This Row],[Customer_Satisfaction]]&lt;=2,"Poor",Table1[[#This Row],[Customer_Satisfaction]]=3,"Neutral",Table1[[#This Row],[Customer_Satisfaction]]=4,"Good",Table1[[#This Row],[Customer_Satisfaction]]=5,"Good")</f>
        <v>Good</v>
      </c>
    </row>
    <row r="935" spans="1:27" x14ac:dyDescent="0.35">
      <c r="A935">
        <v>20933</v>
      </c>
      <c r="B935" s="1">
        <v>45389</v>
      </c>
      <c r="C935" t="s">
        <v>37</v>
      </c>
      <c r="D935" t="s">
        <v>38</v>
      </c>
      <c r="E935" t="s">
        <v>102</v>
      </c>
      <c r="F935" t="s">
        <v>22</v>
      </c>
      <c r="G935" t="s">
        <v>41</v>
      </c>
      <c r="H935" t="s">
        <v>42</v>
      </c>
      <c r="I935" t="s">
        <v>55</v>
      </c>
      <c r="J935" t="s">
        <v>35</v>
      </c>
      <c r="K935" t="s">
        <v>27</v>
      </c>
      <c r="L935" t="s">
        <v>49</v>
      </c>
      <c r="M935" s="4">
        <v>10</v>
      </c>
      <c r="N935" s="4">
        <v>7</v>
      </c>
      <c r="O935" t="s">
        <v>36</v>
      </c>
      <c r="P935" t="s">
        <v>29</v>
      </c>
      <c r="Q935" s="4">
        <v>396453</v>
      </c>
      <c r="R935" s="4">
        <v>223491</v>
      </c>
      <c r="S935" s="4">
        <f>Table1[[#This Row],[Service_Revenue]]-Table1[[#This Row],[Service_Cost]]</f>
        <v>172962</v>
      </c>
      <c r="T935" s="4">
        <v>3</v>
      </c>
      <c r="U935" s="4">
        <f>IF(AND(Table1[[#This Row],[Rework_Flag]]="Yes",Table1[[#This Row],[Warranty_Claim]]="No"),Table1[[#This Row],[Service_Revenue]],0)</f>
        <v>0</v>
      </c>
      <c r="V935" s="4">
        <f>IF(Table1[[#This Row],[Warranty_Claim]]="Yes",1,0)</f>
        <v>1</v>
      </c>
      <c r="W935" s="4">
        <f>IF(Table1[[#This Row],[Rework_Flag]]="No",1,0)</f>
        <v>1</v>
      </c>
      <c r="X935" s="4">
        <f>IF(Table1[[#This Row],[Rework_Flag]]="Yes",1,0)</f>
        <v>0</v>
      </c>
      <c r="Y935" s="4">
        <v>1</v>
      </c>
      <c r="Z935" s="4" t="str">
        <f>IF(Table1[[#This Row],[TAT_Days]]&gt;Table1[[#This Row],[SLA_TAT]],"Yes","No")</f>
        <v>Yes</v>
      </c>
      <c r="AA935" s="4" t="str" cm="1">
        <f t="array" ref="AA935">_xlfn.IFS(Table1[[#This Row],[Customer_Satisfaction]]&lt;=2,"Poor",Table1[[#This Row],[Customer_Satisfaction]]=3,"Neutral",Table1[[#This Row],[Customer_Satisfaction]]=4,"Good",Table1[[#This Row],[Customer_Satisfaction]]=5,"Good")</f>
        <v>Neutral</v>
      </c>
    </row>
    <row r="936" spans="1:27" x14ac:dyDescent="0.35">
      <c r="A936">
        <v>20934</v>
      </c>
      <c r="B936" s="1">
        <v>45451</v>
      </c>
      <c r="C936" t="s">
        <v>50</v>
      </c>
      <c r="D936" t="s">
        <v>80</v>
      </c>
      <c r="E936" t="s">
        <v>104</v>
      </c>
      <c r="F936" t="s">
        <v>40</v>
      </c>
      <c r="G936" t="s">
        <v>33</v>
      </c>
      <c r="H936" t="s">
        <v>34</v>
      </c>
      <c r="I936" t="s">
        <v>55</v>
      </c>
      <c r="J936" t="s">
        <v>35</v>
      </c>
      <c r="K936" t="s">
        <v>27</v>
      </c>
      <c r="L936" t="s">
        <v>49</v>
      </c>
      <c r="M936" s="4">
        <v>24</v>
      </c>
      <c r="N936" s="4">
        <v>7</v>
      </c>
      <c r="O936" t="s">
        <v>29</v>
      </c>
      <c r="P936" t="s">
        <v>29</v>
      </c>
      <c r="Q936" s="4">
        <v>322893</v>
      </c>
      <c r="R936" s="4">
        <v>201145</v>
      </c>
      <c r="S936" s="4">
        <f>Table1[[#This Row],[Service_Revenue]]-Table1[[#This Row],[Service_Cost]]</f>
        <v>121748</v>
      </c>
      <c r="T936" s="4">
        <v>1</v>
      </c>
      <c r="U936" s="4">
        <f>IF(AND(Table1[[#This Row],[Rework_Flag]]="Yes",Table1[[#This Row],[Warranty_Claim]]="No"),Table1[[#This Row],[Service_Revenue]],0)</f>
        <v>0</v>
      </c>
      <c r="V936" s="4">
        <f>IF(Table1[[#This Row],[Warranty_Claim]]="Yes",1,0)</f>
        <v>1</v>
      </c>
      <c r="W936" s="4">
        <f>IF(Table1[[#This Row],[Rework_Flag]]="No",1,0)</f>
        <v>0</v>
      </c>
      <c r="X936" s="4">
        <f>IF(Table1[[#This Row],[Rework_Flag]]="Yes",1,0)</f>
        <v>1</v>
      </c>
      <c r="Y936" s="4">
        <v>1</v>
      </c>
      <c r="Z936" s="4" t="str">
        <f>IF(Table1[[#This Row],[TAT_Days]]&gt;Table1[[#This Row],[SLA_TAT]],"Yes","No")</f>
        <v>Yes</v>
      </c>
      <c r="AA936" s="4" t="str" cm="1">
        <f t="array" ref="AA936">_xlfn.IFS(Table1[[#This Row],[Customer_Satisfaction]]&lt;=2,"Poor",Table1[[#This Row],[Customer_Satisfaction]]=3,"Neutral",Table1[[#This Row],[Customer_Satisfaction]]=4,"Good",Table1[[#This Row],[Customer_Satisfaction]]=5,"Good")</f>
        <v>Poor</v>
      </c>
    </row>
    <row r="937" spans="1:27" x14ac:dyDescent="0.35">
      <c r="A937">
        <v>20935</v>
      </c>
      <c r="B937" s="1">
        <v>45466</v>
      </c>
      <c r="C937" t="s">
        <v>19</v>
      </c>
      <c r="D937" t="s">
        <v>45</v>
      </c>
      <c r="E937" t="s">
        <v>99</v>
      </c>
      <c r="F937" t="s">
        <v>40</v>
      </c>
      <c r="G937" t="s">
        <v>41</v>
      </c>
      <c r="H937" t="s">
        <v>42</v>
      </c>
      <c r="I937" t="s">
        <v>55</v>
      </c>
      <c r="J937" t="s">
        <v>67</v>
      </c>
      <c r="K937" t="s">
        <v>61</v>
      </c>
      <c r="L937" t="s">
        <v>28</v>
      </c>
      <c r="M937" s="4">
        <v>24</v>
      </c>
      <c r="N937" s="4">
        <v>7</v>
      </c>
      <c r="O937" t="s">
        <v>29</v>
      </c>
      <c r="P937" t="s">
        <v>29</v>
      </c>
      <c r="Q937" s="4">
        <v>225262</v>
      </c>
      <c r="R937" s="4">
        <v>131960</v>
      </c>
      <c r="S937" s="4">
        <f>Table1[[#This Row],[Service_Revenue]]-Table1[[#This Row],[Service_Cost]]</f>
        <v>93302</v>
      </c>
      <c r="T937" s="4">
        <v>1</v>
      </c>
      <c r="U937" s="4">
        <f>IF(AND(Table1[[#This Row],[Rework_Flag]]="Yes",Table1[[#This Row],[Warranty_Claim]]="No"),Table1[[#This Row],[Service_Revenue]],0)</f>
        <v>0</v>
      </c>
      <c r="V937" s="4">
        <f>IF(Table1[[#This Row],[Warranty_Claim]]="Yes",1,0)</f>
        <v>1</v>
      </c>
      <c r="W937" s="4">
        <f>IF(Table1[[#This Row],[Rework_Flag]]="No",1,0)</f>
        <v>0</v>
      </c>
      <c r="X937" s="4">
        <f>IF(Table1[[#This Row],[Rework_Flag]]="Yes",1,0)</f>
        <v>1</v>
      </c>
      <c r="Y937" s="4">
        <v>1</v>
      </c>
      <c r="Z937" s="4" t="str">
        <f>IF(Table1[[#This Row],[TAT_Days]]&gt;Table1[[#This Row],[SLA_TAT]],"Yes","No")</f>
        <v>Yes</v>
      </c>
      <c r="AA937" s="4" t="str" cm="1">
        <f t="array" ref="AA937">_xlfn.IFS(Table1[[#This Row],[Customer_Satisfaction]]&lt;=2,"Poor",Table1[[#This Row],[Customer_Satisfaction]]=3,"Neutral",Table1[[#This Row],[Customer_Satisfaction]]=4,"Good",Table1[[#This Row],[Customer_Satisfaction]]=5,"Good")</f>
        <v>Poor</v>
      </c>
    </row>
    <row r="938" spans="1:27" x14ac:dyDescent="0.35">
      <c r="A938">
        <v>20936</v>
      </c>
      <c r="B938" s="1">
        <v>45434</v>
      </c>
      <c r="C938" t="s">
        <v>37</v>
      </c>
      <c r="D938" t="s">
        <v>64</v>
      </c>
      <c r="E938" t="s">
        <v>87</v>
      </c>
      <c r="F938" t="s">
        <v>22</v>
      </c>
      <c r="G938" t="s">
        <v>47</v>
      </c>
      <c r="H938" t="s">
        <v>48</v>
      </c>
      <c r="I938" t="s">
        <v>55</v>
      </c>
      <c r="J938" t="s">
        <v>67</v>
      </c>
      <c r="K938" t="s">
        <v>44</v>
      </c>
      <c r="L938" t="s">
        <v>49</v>
      </c>
      <c r="M938" s="4">
        <v>10</v>
      </c>
      <c r="N938" s="4">
        <v>7</v>
      </c>
      <c r="O938" t="s">
        <v>36</v>
      </c>
      <c r="P938" t="s">
        <v>36</v>
      </c>
      <c r="Q938" s="4">
        <v>336634</v>
      </c>
      <c r="R938" s="4">
        <v>235421</v>
      </c>
      <c r="S938" s="4">
        <f>Table1[[#This Row],[Service_Revenue]]-Table1[[#This Row],[Service_Cost]]</f>
        <v>101213</v>
      </c>
      <c r="T938" s="4">
        <v>3</v>
      </c>
      <c r="U938" s="4">
        <f>IF(AND(Table1[[#This Row],[Rework_Flag]]="Yes",Table1[[#This Row],[Warranty_Claim]]="No"),Table1[[#This Row],[Service_Revenue]],0)</f>
        <v>0</v>
      </c>
      <c r="V938" s="4">
        <f>IF(Table1[[#This Row],[Warranty_Claim]]="Yes",1,0)</f>
        <v>0</v>
      </c>
      <c r="W938" s="4">
        <f>IF(Table1[[#This Row],[Rework_Flag]]="No",1,0)</f>
        <v>1</v>
      </c>
      <c r="X938" s="4">
        <f>IF(Table1[[#This Row],[Rework_Flag]]="Yes",1,0)</f>
        <v>0</v>
      </c>
      <c r="Y938" s="4">
        <v>1</v>
      </c>
      <c r="Z938" s="4" t="str">
        <f>IF(Table1[[#This Row],[TAT_Days]]&gt;Table1[[#This Row],[SLA_TAT]],"Yes","No")</f>
        <v>Yes</v>
      </c>
      <c r="AA938" s="4" t="str" cm="1">
        <f t="array" ref="AA938">_xlfn.IFS(Table1[[#This Row],[Customer_Satisfaction]]&lt;=2,"Poor",Table1[[#This Row],[Customer_Satisfaction]]=3,"Neutral",Table1[[#This Row],[Customer_Satisfaction]]=4,"Good",Table1[[#This Row],[Customer_Satisfaction]]=5,"Good")</f>
        <v>Neutral</v>
      </c>
    </row>
    <row r="939" spans="1:27" x14ac:dyDescent="0.35">
      <c r="A939">
        <v>20937</v>
      </c>
      <c r="B939" s="1">
        <v>45380</v>
      </c>
      <c r="C939" t="s">
        <v>30</v>
      </c>
      <c r="D939" t="s">
        <v>83</v>
      </c>
      <c r="E939" t="s">
        <v>119</v>
      </c>
      <c r="F939" t="s">
        <v>22</v>
      </c>
      <c r="G939" t="s">
        <v>74</v>
      </c>
      <c r="H939" t="s">
        <v>34</v>
      </c>
      <c r="I939" t="s">
        <v>25</v>
      </c>
      <c r="J939" t="s">
        <v>26</v>
      </c>
      <c r="K939" t="s">
        <v>27</v>
      </c>
      <c r="L939" t="s">
        <v>28</v>
      </c>
      <c r="M939" s="4">
        <v>18</v>
      </c>
      <c r="N939" s="4">
        <v>7</v>
      </c>
      <c r="O939" t="s">
        <v>29</v>
      </c>
      <c r="P939" t="s">
        <v>36</v>
      </c>
      <c r="Q939" s="4">
        <v>375520</v>
      </c>
      <c r="R939" s="4">
        <v>238670</v>
      </c>
      <c r="S939" s="4">
        <f>Table1[[#This Row],[Service_Revenue]]-Table1[[#This Row],[Service_Cost]]</f>
        <v>136850</v>
      </c>
      <c r="T939" s="4">
        <v>1</v>
      </c>
      <c r="U939" s="4">
        <f>IF(AND(Table1[[#This Row],[Rework_Flag]]="Yes",Table1[[#This Row],[Warranty_Claim]]="No"),Table1[[#This Row],[Service_Revenue]],0)</f>
        <v>375520</v>
      </c>
      <c r="V939" s="4">
        <f>IF(Table1[[#This Row],[Warranty_Claim]]="Yes",1,0)</f>
        <v>0</v>
      </c>
      <c r="W939" s="4">
        <f>IF(Table1[[#This Row],[Rework_Flag]]="No",1,0)</f>
        <v>0</v>
      </c>
      <c r="X939" s="4">
        <f>IF(Table1[[#This Row],[Rework_Flag]]="Yes",1,0)</f>
        <v>1</v>
      </c>
      <c r="Y939" s="4">
        <v>1</v>
      </c>
      <c r="Z939" s="4" t="str">
        <f>IF(Table1[[#This Row],[TAT_Days]]&gt;Table1[[#This Row],[SLA_TAT]],"Yes","No")</f>
        <v>Yes</v>
      </c>
      <c r="AA939" s="4" t="str" cm="1">
        <f t="array" ref="AA939">_xlfn.IFS(Table1[[#This Row],[Customer_Satisfaction]]&lt;=2,"Poor",Table1[[#This Row],[Customer_Satisfaction]]=3,"Neutral",Table1[[#This Row],[Customer_Satisfaction]]=4,"Good",Table1[[#This Row],[Customer_Satisfaction]]=5,"Good")</f>
        <v>Poor</v>
      </c>
    </row>
    <row r="940" spans="1:27" x14ac:dyDescent="0.35">
      <c r="A940">
        <v>20938</v>
      </c>
      <c r="B940" s="1">
        <v>45362</v>
      </c>
      <c r="C940" t="s">
        <v>19</v>
      </c>
      <c r="D940" t="s">
        <v>45</v>
      </c>
      <c r="E940" t="s">
        <v>114</v>
      </c>
      <c r="F940" t="s">
        <v>40</v>
      </c>
      <c r="G940" t="s">
        <v>33</v>
      </c>
      <c r="H940" t="s">
        <v>34</v>
      </c>
      <c r="I940" t="s">
        <v>25</v>
      </c>
      <c r="J940" t="s">
        <v>26</v>
      </c>
      <c r="K940" t="s">
        <v>27</v>
      </c>
      <c r="L940" t="s">
        <v>28</v>
      </c>
      <c r="M940" s="4">
        <v>12</v>
      </c>
      <c r="N940" s="4">
        <v>7</v>
      </c>
      <c r="O940" t="s">
        <v>29</v>
      </c>
      <c r="P940" t="s">
        <v>36</v>
      </c>
      <c r="Q940" s="4">
        <v>301981</v>
      </c>
      <c r="R940" s="4">
        <v>236428</v>
      </c>
      <c r="S940" s="4">
        <f>Table1[[#This Row],[Service_Revenue]]-Table1[[#This Row],[Service_Cost]]</f>
        <v>65553</v>
      </c>
      <c r="T940" s="4">
        <v>2</v>
      </c>
      <c r="U940" s="4">
        <f>IF(AND(Table1[[#This Row],[Rework_Flag]]="Yes",Table1[[#This Row],[Warranty_Claim]]="No"),Table1[[#This Row],[Service_Revenue]],0)</f>
        <v>301981</v>
      </c>
      <c r="V940" s="4">
        <f>IF(Table1[[#This Row],[Warranty_Claim]]="Yes",1,0)</f>
        <v>0</v>
      </c>
      <c r="W940" s="4">
        <f>IF(Table1[[#This Row],[Rework_Flag]]="No",1,0)</f>
        <v>0</v>
      </c>
      <c r="X940" s="4">
        <f>IF(Table1[[#This Row],[Rework_Flag]]="Yes",1,0)</f>
        <v>1</v>
      </c>
      <c r="Y940" s="4">
        <v>1</v>
      </c>
      <c r="Z940" s="4" t="str">
        <f>IF(Table1[[#This Row],[TAT_Days]]&gt;Table1[[#This Row],[SLA_TAT]],"Yes","No")</f>
        <v>Yes</v>
      </c>
      <c r="AA940" s="4" t="str" cm="1">
        <f t="array" ref="AA940">_xlfn.IFS(Table1[[#This Row],[Customer_Satisfaction]]&lt;=2,"Poor",Table1[[#This Row],[Customer_Satisfaction]]=3,"Neutral",Table1[[#This Row],[Customer_Satisfaction]]=4,"Good",Table1[[#This Row],[Customer_Satisfaction]]=5,"Good")</f>
        <v>Poor</v>
      </c>
    </row>
    <row r="941" spans="1:27" x14ac:dyDescent="0.35">
      <c r="A941">
        <v>20939</v>
      </c>
      <c r="B941" s="1">
        <v>45325</v>
      </c>
      <c r="C941" t="s">
        <v>19</v>
      </c>
      <c r="D941" t="s">
        <v>45</v>
      </c>
      <c r="E941" t="s">
        <v>99</v>
      </c>
      <c r="F941" t="s">
        <v>40</v>
      </c>
      <c r="G941" t="s">
        <v>41</v>
      </c>
      <c r="H941" t="s">
        <v>42</v>
      </c>
      <c r="I941" t="s">
        <v>25</v>
      </c>
      <c r="J941" t="s">
        <v>67</v>
      </c>
      <c r="K941" t="s">
        <v>44</v>
      </c>
      <c r="L941" t="s">
        <v>49</v>
      </c>
      <c r="M941" s="4">
        <v>9</v>
      </c>
      <c r="N941" s="4">
        <v>7</v>
      </c>
      <c r="O941" t="s">
        <v>36</v>
      </c>
      <c r="P941" t="s">
        <v>36</v>
      </c>
      <c r="Q941" s="4">
        <v>387234</v>
      </c>
      <c r="R941" s="4">
        <v>231674</v>
      </c>
      <c r="S941" s="4">
        <f>Table1[[#This Row],[Service_Revenue]]-Table1[[#This Row],[Service_Cost]]</f>
        <v>155560</v>
      </c>
      <c r="T941" s="4">
        <v>4</v>
      </c>
      <c r="U941" s="4">
        <f>IF(AND(Table1[[#This Row],[Rework_Flag]]="Yes",Table1[[#This Row],[Warranty_Claim]]="No"),Table1[[#This Row],[Service_Revenue]],0)</f>
        <v>0</v>
      </c>
      <c r="V941" s="4">
        <f>IF(Table1[[#This Row],[Warranty_Claim]]="Yes",1,0)</f>
        <v>0</v>
      </c>
      <c r="W941" s="4">
        <f>IF(Table1[[#This Row],[Rework_Flag]]="No",1,0)</f>
        <v>1</v>
      </c>
      <c r="X941" s="4">
        <f>IF(Table1[[#This Row],[Rework_Flag]]="Yes",1,0)</f>
        <v>0</v>
      </c>
      <c r="Y941" s="4">
        <v>1</v>
      </c>
      <c r="Z941" s="4" t="str">
        <f>IF(Table1[[#This Row],[TAT_Days]]&gt;Table1[[#This Row],[SLA_TAT]],"Yes","No")</f>
        <v>Yes</v>
      </c>
      <c r="AA941" s="4" t="str" cm="1">
        <f t="array" ref="AA941">_xlfn.IFS(Table1[[#This Row],[Customer_Satisfaction]]&lt;=2,"Poor",Table1[[#This Row],[Customer_Satisfaction]]=3,"Neutral",Table1[[#This Row],[Customer_Satisfaction]]=4,"Good",Table1[[#This Row],[Customer_Satisfaction]]=5,"Good")</f>
        <v>Good</v>
      </c>
    </row>
    <row r="942" spans="1:27" x14ac:dyDescent="0.35">
      <c r="A942">
        <v>20940</v>
      </c>
      <c r="B942" s="1">
        <v>45467</v>
      </c>
      <c r="C942" t="s">
        <v>50</v>
      </c>
      <c r="D942" t="s">
        <v>56</v>
      </c>
      <c r="E942" t="s">
        <v>68</v>
      </c>
      <c r="F942" t="s">
        <v>22</v>
      </c>
      <c r="G942" t="s">
        <v>41</v>
      </c>
      <c r="H942" t="s">
        <v>42</v>
      </c>
      <c r="I942" t="s">
        <v>55</v>
      </c>
      <c r="J942" t="s">
        <v>43</v>
      </c>
      <c r="K942" t="s">
        <v>61</v>
      </c>
      <c r="L942" t="s">
        <v>28</v>
      </c>
      <c r="M942" s="4">
        <v>15</v>
      </c>
      <c r="N942" s="4">
        <v>7</v>
      </c>
      <c r="O942" t="s">
        <v>36</v>
      </c>
      <c r="P942" t="s">
        <v>36</v>
      </c>
      <c r="Q942" s="4">
        <v>204682</v>
      </c>
      <c r="R942" s="4">
        <v>157485</v>
      </c>
      <c r="S942" s="4">
        <f>Table1[[#This Row],[Service_Revenue]]-Table1[[#This Row],[Service_Cost]]</f>
        <v>47197</v>
      </c>
      <c r="T942" s="4">
        <v>2</v>
      </c>
      <c r="U942" s="4">
        <f>IF(AND(Table1[[#This Row],[Rework_Flag]]="Yes",Table1[[#This Row],[Warranty_Claim]]="No"),Table1[[#This Row],[Service_Revenue]],0)</f>
        <v>0</v>
      </c>
      <c r="V942" s="4">
        <f>IF(Table1[[#This Row],[Warranty_Claim]]="Yes",1,0)</f>
        <v>0</v>
      </c>
      <c r="W942" s="4">
        <f>IF(Table1[[#This Row],[Rework_Flag]]="No",1,0)</f>
        <v>1</v>
      </c>
      <c r="X942" s="4">
        <f>IF(Table1[[#This Row],[Rework_Flag]]="Yes",1,0)</f>
        <v>0</v>
      </c>
      <c r="Y942" s="4">
        <v>1</v>
      </c>
      <c r="Z942" s="4" t="str">
        <f>IF(Table1[[#This Row],[TAT_Days]]&gt;Table1[[#This Row],[SLA_TAT]],"Yes","No")</f>
        <v>Yes</v>
      </c>
      <c r="AA942" s="4" t="str" cm="1">
        <f t="array" ref="AA942">_xlfn.IFS(Table1[[#This Row],[Customer_Satisfaction]]&lt;=2,"Poor",Table1[[#This Row],[Customer_Satisfaction]]=3,"Neutral",Table1[[#This Row],[Customer_Satisfaction]]=4,"Good",Table1[[#This Row],[Customer_Satisfaction]]=5,"Good")</f>
        <v>Poor</v>
      </c>
    </row>
    <row r="943" spans="1:27" x14ac:dyDescent="0.35">
      <c r="A943">
        <v>20941</v>
      </c>
      <c r="B943" s="1">
        <v>45361</v>
      </c>
      <c r="C943" t="s">
        <v>30</v>
      </c>
      <c r="D943" t="s">
        <v>59</v>
      </c>
      <c r="E943" t="s">
        <v>78</v>
      </c>
      <c r="F943" t="s">
        <v>22</v>
      </c>
      <c r="G943" t="s">
        <v>33</v>
      </c>
      <c r="H943" t="s">
        <v>34</v>
      </c>
      <c r="I943" t="s">
        <v>55</v>
      </c>
      <c r="J943" t="s">
        <v>26</v>
      </c>
      <c r="K943" t="s">
        <v>61</v>
      </c>
      <c r="L943" t="s">
        <v>49</v>
      </c>
      <c r="M943" s="4">
        <v>11</v>
      </c>
      <c r="N943" s="4">
        <v>7</v>
      </c>
      <c r="O943" t="s">
        <v>36</v>
      </c>
      <c r="P943" t="s">
        <v>36</v>
      </c>
      <c r="Q943" s="4">
        <v>327359</v>
      </c>
      <c r="R943" s="4">
        <v>200126</v>
      </c>
      <c r="S943" s="4">
        <f>Table1[[#This Row],[Service_Revenue]]-Table1[[#This Row],[Service_Cost]]</f>
        <v>127233</v>
      </c>
      <c r="T943" s="4">
        <v>3</v>
      </c>
      <c r="U943" s="4">
        <f>IF(AND(Table1[[#This Row],[Rework_Flag]]="Yes",Table1[[#This Row],[Warranty_Claim]]="No"),Table1[[#This Row],[Service_Revenue]],0)</f>
        <v>0</v>
      </c>
      <c r="V943" s="4">
        <f>IF(Table1[[#This Row],[Warranty_Claim]]="Yes",1,0)</f>
        <v>0</v>
      </c>
      <c r="W943" s="4">
        <f>IF(Table1[[#This Row],[Rework_Flag]]="No",1,0)</f>
        <v>1</v>
      </c>
      <c r="X943" s="4">
        <f>IF(Table1[[#This Row],[Rework_Flag]]="Yes",1,0)</f>
        <v>0</v>
      </c>
      <c r="Y943" s="4">
        <v>1</v>
      </c>
      <c r="Z943" s="4" t="str">
        <f>IF(Table1[[#This Row],[TAT_Days]]&gt;Table1[[#This Row],[SLA_TAT]],"Yes","No")</f>
        <v>Yes</v>
      </c>
      <c r="AA943" s="4" t="str" cm="1">
        <f t="array" ref="AA943">_xlfn.IFS(Table1[[#This Row],[Customer_Satisfaction]]&lt;=2,"Poor",Table1[[#This Row],[Customer_Satisfaction]]=3,"Neutral",Table1[[#This Row],[Customer_Satisfaction]]=4,"Good",Table1[[#This Row],[Customer_Satisfaction]]=5,"Good")</f>
        <v>Neutral</v>
      </c>
    </row>
    <row r="944" spans="1:27" x14ac:dyDescent="0.35">
      <c r="A944">
        <v>20942</v>
      </c>
      <c r="B944" s="1">
        <v>45384</v>
      </c>
      <c r="C944" t="s">
        <v>30</v>
      </c>
      <c r="D944" t="s">
        <v>31</v>
      </c>
      <c r="E944" t="s">
        <v>106</v>
      </c>
      <c r="F944" t="s">
        <v>40</v>
      </c>
      <c r="G944" t="s">
        <v>23</v>
      </c>
      <c r="H944" t="s">
        <v>24</v>
      </c>
      <c r="I944" t="s">
        <v>55</v>
      </c>
      <c r="J944" t="s">
        <v>26</v>
      </c>
      <c r="K944" t="s">
        <v>27</v>
      </c>
      <c r="L944" t="s">
        <v>28</v>
      </c>
      <c r="M944" s="4">
        <v>20</v>
      </c>
      <c r="N944" s="4">
        <v>7</v>
      </c>
      <c r="O944" t="s">
        <v>29</v>
      </c>
      <c r="P944" t="s">
        <v>36</v>
      </c>
      <c r="Q944" s="4">
        <v>416960</v>
      </c>
      <c r="R944" s="4">
        <v>237380</v>
      </c>
      <c r="S944" s="4">
        <f>Table1[[#This Row],[Service_Revenue]]-Table1[[#This Row],[Service_Cost]]</f>
        <v>179580</v>
      </c>
      <c r="T944" s="4">
        <v>1</v>
      </c>
      <c r="U944" s="4">
        <f>IF(AND(Table1[[#This Row],[Rework_Flag]]="Yes",Table1[[#This Row],[Warranty_Claim]]="No"),Table1[[#This Row],[Service_Revenue]],0)</f>
        <v>416960</v>
      </c>
      <c r="V944" s="4">
        <f>IF(Table1[[#This Row],[Warranty_Claim]]="Yes",1,0)</f>
        <v>0</v>
      </c>
      <c r="W944" s="4">
        <f>IF(Table1[[#This Row],[Rework_Flag]]="No",1,0)</f>
        <v>0</v>
      </c>
      <c r="X944" s="4">
        <f>IF(Table1[[#This Row],[Rework_Flag]]="Yes",1,0)</f>
        <v>1</v>
      </c>
      <c r="Y944" s="4">
        <v>1</v>
      </c>
      <c r="Z944" s="4" t="str">
        <f>IF(Table1[[#This Row],[TAT_Days]]&gt;Table1[[#This Row],[SLA_TAT]],"Yes","No")</f>
        <v>Yes</v>
      </c>
      <c r="AA944" s="4" t="str" cm="1">
        <f t="array" ref="AA944">_xlfn.IFS(Table1[[#This Row],[Customer_Satisfaction]]&lt;=2,"Poor",Table1[[#This Row],[Customer_Satisfaction]]=3,"Neutral",Table1[[#This Row],[Customer_Satisfaction]]=4,"Good",Table1[[#This Row],[Customer_Satisfaction]]=5,"Good")</f>
        <v>Poor</v>
      </c>
    </row>
    <row r="945" spans="1:27" x14ac:dyDescent="0.35">
      <c r="A945">
        <v>20943</v>
      </c>
      <c r="B945" s="1">
        <v>45312</v>
      </c>
      <c r="C945" t="s">
        <v>50</v>
      </c>
      <c r="D945" t="s">
        <v>56</v>
      </c>
      <c r="E945" t="s">
        <v>101</v>
      </c>
      <c r="F945" t="s">
        <v>40</v>
      </c>
      <c r="G945" t="s">
        <v>47</v>
      </c>
      <c r="H945" t="s">
        <v>48</v>
      </c>
      <c r="I945" t="s">
        <v>25</v>
      </c>
      <c r="J945" t="s">
        <v>35</v>
      </c>
      <c r="K945" t="s">
        <v>61</v>
      </c>
      <c r="L945" t="s">
        <v>49</v>
      </c>
      <c r="M945" s="4">
        <v>21</v>
      </c>
      <c r="N945" s="4">
        <v>7</v>
      </c>
      <c r="O945" t="s">
        <v>36</v>
      </c>
      <c r="P945" t="s">
        <v>36</v>
      </c>
      <c r="Q945" s="4">
        <v>518792</v>
      </c>
      <c r="R945" s="4">
        <v>284131</v>
      </c>
      <c r="S945" s="4">
        <f>Table1[[#This Row],[Service_Revenue]]-Table1[[#This Row],[Service_Cost]]</f>
        <v>234661</v>
      </c>
      <c r="T945" s="4">
        <v>1</v>
      </c>
      <c r="U945" s="4">
        <f>IF(AND(Table1[[#This Row],[Rework_Flag]]="Yes",Table1[[#This Row],[Warranty_Claim]]="No"),Table1[[#This Row],[Service_Revenue]],0)</f>
        <v>0</v>
      </c>
      <c r="V945" s="4">
        <f>IF(Table1[[#This Row],[Warranty_Claim]]="Yes",1,0)</f>
        <v>0</v>
      </c>
      <c r="W945" s="4">
        <f>IF(Table1[[#This Row],[Rework_Flag]]="No",1,0)</f>
        <v>1</v>
      </c>
      <c r="X945" s="4">
        <f>IF(Table1[[#This Row],[Rework_Flag]]="Yes",1,0)</f>
        <v>0</v>
      </c>
      <c r="Y945" s="4">
        <v>1</v>
      </c>
      <c r="Z945" s="4" t="str">
        <f>IF(Table1[[#This Row],[TAT_Days]]&gt;Table1[[#This Row],[SLA_TAT]],"Yes","No")</f>
        <v>Yes</v>
      </c>
      <c r="AA945" s="4" t="str" cm="1">
        <f t="array" ref="AA945">_xlfn.IFS(Table1[[#This Row],[Customer_Satisfaction]]&lt;=2,"Poor",Table1[[#This Row],[Customer_Satisfaction]]=3,"Neutral",Table1[[#This Row],[Customer_Satisfaction]]=4,"Good",Table1[[#This Row],[Customer_Satisfaction]]=5,"Good")</f>
        <v>Poor</v>
      </c>
    </row>
    <row r="946" spans="1:27" x14ac:dyDescent="0.35">
      <c r="A946">
        <v>20944</v>
      </c>
      <c r="B946" s="1">
        <v>45339</v>
      </c>
      <c r="C946" t="s">
        <v>50</v>
      </c>
      <c r="D946" t="s">
        <v>80</v>
      </c>
      <c r="E946" t="s">
        <v>121</v>
      </c>
      <c r="F946" t="s">
        <v>22</v>
      </c>
      <c r="G946" t="s">
        <v>63</v>
      </c>
      <c r="H946" t="s">
        <v>24</v>
      </c>
      <c r="I946" t="s">
        <v>55</v>
      </c>
      <c r="J946" t="s">
        <v>67</v>
      </c>
      <c r="K946" t="s">
        <v>44</v>
      </c>
      <c r="L946" t="s">
        <v>28</v>
      </c>
      <c r="M946" s="4">
        <v>23</v>
      </c>
      <c r="N946" s="4">
        <v>7</v>
      </c>
      <c r="O946" t="s">
        <v>36</v>
      </c>
      <c r="P946" t="s">
        <v>29</v>
      </c>
      <c r="Q946" s="4">
        <v>566683</v>
      </c>
      <c r="R946" s="4">
        <v>431702</v>
      </c>
      <c r="S946" s="4">
        <f>Table1[[#This Row],[Service_Revenue]]-Table1[[#This Row],[Service_Cost]]</f>
        <v>134981</v>
      </c>
      <c r="T946" s="4">
        <v>1</v>
      </c>
      <c r="U946" s="4">
        <f>IF(AND(Table1[[#This Row],[Rework_Flag]]="Yes",Table1[[#This Row],[Warranty_Claim]]="No"),Table1[[#This Row],[Service_Revenue]],0)</f>
        <v>0</v>
      </c>
      <c r="V946" s="4">
        <f>IF(Table1[[#This Row],[Warranty_Claim]]="Yes",1,0)</f>
        <v>1</v>
      </c>
      <c r="W946" s="4">
        <f>IF(Table1[[#This Row],[Rework_Flag]]="No",1,0)</f>
        <v>1</v>
      </c>
      <c r="X946" s="4">
        <f>IF(Table1[[#This Row],[Rework_Flag]]="Yes",1,0)</f>
        <v>0</v>
      </c>
      <c r="Y946" s="4">
        <v>1</v>
      </c>
      <c r="Z946" s="4" t="str">
        <f>IF(Table1[[#This Row],[TAT_Days]]&gt;Table1[[#This Row],[SLA_TAT]],"Yes","No")</f>
        <v>Yes</v>
      </c>
      <c r="AA946" s="4" t="str" cm="1">
        <f t="array" ref="AA946">_xlfn.IFS(Table1[[#This Row],[Customer_Satisfaction]]&lt;=2,"Poor",Table1[[#This Row],[Customer_Satisfaction]]=3,"Neutral",Table1[[#This Row],[Customer_Satisfaction]]=4,"Good",Table1[[#This Row],[Customer_Satisfaction]]=5,"Good")</f>
        <v>Poor</v>
      </c>
    </row>
    <row r="947" spans="1:27" x14ac:dyDescent="0.35">
      <c r="A947">
        <v>20945</v>
      </c>
      <c r="B947" s="1">
        <v>45439</v>
      </c>
      <c r="C947" t="s">
        <v>19</v>
      </c>
      <c r="D947" t="s">
        <v>45</v>
      </c>
      <c r="E947" t="s">
        <v>114</v>
      </c>
      <c r="F947" t="s">
        <v>40</v>
      </c>
      <c r="G947" t="s">
        <v>33</v>
      </c>
      <c r="H947" t="s">
        <v>34</v>
      </c>
      <c r="I947" t="s">
        <v>55</v>
      </c>
      <c r="J947" t="s">
        <v>43</v>
      </c>
      <c r="K947" t="s">
        <v>44</v>
      </c>
      <c r="L947" t="s">
        <v>28</v>
      </c>
      <c r="M947" s="4">
        <v>3</v>
      </c>
      <c r="N947" s="4">
        <v>7</v>
      </c>
      <c r="O947" t="s">
        <v>29</v>
      </c>
      <c r="P947" t="s">
        <v>29</v>
      </c>
      <c r="Q947" s="4">
        <v>96025</v>
      </c>
      <c r="R947" s="4">
        <v>76879</v>
      </c>
      <c r="S947" s="4">
        <f>Table1[[#This Row],[Service_Revenue]]-Table1[[#This Row],[Service_Cost]]</f>
        <v>19146</v>
      </c>
      <c r="T947" s="4">
        <v>4</v>
      </c>
      <c r="U947" s="4">
        <f>IF(AND(Table1[[#This Row],[Rework_Flag]]="Yes",Table1[[#This Row],[Warranty_Claim]]="No"),Table1[[#This Row],[Service_Revenue]],0)</f>
        <v>0</v>
      </c>
      <c r="V947" s="4">
        <f>IF(Table1[[#This Row],[Warranty_Claim]]="Yes",1,0)</f>
        <v>1</v>
      </c>
      <c r="W947" s="4">
        <f>IF(Table1[[#This Row],[Rework_Flag]]="No",1,0)</f>
        <v>0</v>
      </c>
      <c r="X947" s="4">
        <f>IF(Table1[[#This Row],[Rework_Flag]]="Yes",1,0)</f>
        <v>1</v>
      </c>
      <c r="Y947" s="4">
        <v>1</v>
      </c>
      <c r="Z947" s="4" t="str">
        <f>IF(Table1[[#This Row],[TAT_Days]]&gt;Table1[[#This Row],[SLA_TAT]],"Yes","No")</f>
        <v>No</v>
      </c>
      <c r="AA947" s="4" t="str" cm="1">
        <f t="array" ref="AA947">_xlfn.IFS(Table1[[#This Row],[Customer_Satisfaction]]&lt;=2,"Poor",Table1[[#This Row],[Customer_Satisfaction]]=3,"Neutral",Table1[[#This Row],[Customer_Satisfaction]]=4,"Good",Table1[[#This Row],[Customer_Satisfaction]]=5,"Good")</f>
        <v>Good</v>
      </c>
    </row>
    <row r="948" spans="1:27" x14ac:dyDescent="0.35">
      <c r="A948">
        <v>20946</v>
      </c>
      <c r="B948" s="1">
        <v>45326</v>
      </c>
      <c r="C948" t="s">
        <v>37</v>
      </c>
      <c r="D948" t="s">
        <v>64</v>
      </c>
      <c r="E948" t="s">
        <v>87</v>
      </c>
      <c r="F948" t="s">
        <v>22</v>
      </c>
      <c r="G948" t="s">
        <v>47</v>
      </c>
      <c r="H948" t="s">
        <v>48</v>
      </c>
      <c r="I948" t="s">
        <v>55</v>
      </c>
      <c r="J948" t="s">
        <v>26</v>
      </c>
      <c r="K948" t="s">
        <v>44</v>
      </c>
      <c r="L948" t="s">
        <v>28</v>
      </c>
      <c r="M948" s="4">
        <v>4</v>
      </c>
      <c r="N948" s="4">
        <v>7</v>
      </c>
      <c r="O948" t="s">
        <v>36</v>
      </c>
      <c r="P948" t="s">
        <v>36</v>
      </c>
      <c r="Q948" s="4">
        <v>513812</v>
      </c>
      <c r="R948" s="4">
        <v>433769</v>
      </c>
      <c r="S948" s="4">
        <f>Table1[[#This Row],[Service_Revenue]]-Table1[[#This Row],[Service_Cost]]</f>
        <v>80043</v>
      </c>
      <c r="T948" s="4">
        <v>5</v>
      </c>
      <c r="U948" s="4">
        <f>IF(AND(Table1[[#This Row],[Rework_Flag]]="Yes",Table1[[#This Row],[Warranty_Claim]]="No"),Table1[[#This Row],[Service_Revenue]],0)</f>
        <v>0</v>
      </c>
      <c r="V948" s="4">
        <f>IF(Table1[[#This Row],[Warranty_Claim]]="Yes",1,0)</f>
        <v>0</v>
      </c>
      <c r="W948" s="4">
        <f>IF(Table1[[#This Row],[Rework_Flag]]="No",1,0)</f>
        <v>1</v>
      </c>
      <c r="X948" s="4">
        <f>IF(Table1[[#This Row],[Rework_Flag]]="Yes",1,0)</f>
        <v>0</v>
      </c>
      <c r="Y948" s="4">
        <v>1</v>
      </c>
      <c r="Z948" s="4" t="str">
        <f>IF(Table1[[#This Row],[TAT_Days]]&gt;Table1[[#This Row],[SLA_TAT]],"Yes","No")</f>
        <v>No</v>
      </c>
      <c r="AA948" s="4" t="str" cm="1">
        <f t="array" ref="AA948">_xlfn.IFS(Table1[[#This Row],[Customer_Satisfaction]]&lt;=2,"Poor",Table1[[#This Row],[Customer_Satisfaction]]=3,"Neutral",Table1[[#This Row],[Customer_Satisfaction]]=4,"Good",Table1[[#This Row],[Customer_Satisfaction]]=5,"Good")</f>
        <v>Good</v>
      </c>
    </row>
    <row r="949" spans="1:27" x14ac:dyDescent="0.35">
      <c r="A949">
        <v>20947</v>
      </c>
      <c r="B949" s="1">
        <v>45451</v>
      </c>
      <c r="C949" t="s">
        <v>50</v>
      </c>
      <c r="D949" t="s">
        <v>80</v>
      </c>
      <c r="E949" t="s">
        <v>81</v>
      </c>
      <c r="F949" t="s">
        <v>40</v>
      </c>
      <c r="G949" t="s">
        <v>41</v>
      </c>
      <c r="H949" t="s">
        <v>42</v>
      </c>
      <c r="I949" t="s">
        <v>25</v>
      </c>
      <c r="J949" t="s">
        <v>26</v>
      </c>
      <c r="K949" t="s">
        <v>44</v>
      </c>
      <c r="L949" t="s">
        <v>28</v>
      </c>
      <c r="M949" s="4">
        <v>24</v>
      </c>
      <c r="N949" s="4">
        <v>7</v>
      </c>
      <c r="O949" t="s">
        <v>36</v>
      </c>
      <c r="P949" t="s">
        <v>36</v>
      </c>
      <c r="Q949" s="4">
        <v>474069</v>
      </c>
      <c r="R949" s="4">
        <v>301191</v>
      </c>
      <c r="S949" s="4">
        <f>Table1[[#This Row],[Service_Revenue]]-Table1[[#This Row],[Service_Cost]]</f>
        <v>172878</v>
      </c>
      <c r="T949" s="4">
        <v>1</v>
      </c>
      <c r="U949" s="4">
        <f>IF(AND(Table1[[#This Row],[Rework_Flag]]="Yes",Table1[[#This Row],[Warranty_Claim]]="No"),Table1[[#This Row],[Service_Revenue]],0)</f>
        <v>0</v>
      </c>
      <c r="V949" s="4">
        <f>IF(Table1[[#This Row],[Warranty_Claim]]="Yes",1,0)</f>
        <v>0</v>
      </c>
      <c r="W949" s="4">
        <f>IF(Table1[[#This Row],[Rework_Flag]]="No",1,0)</f>
        <v>1</v>
      </c>
      <c r="X949" s="4">
        <f>IF(Table1[[#This Row],[Rework_Flag]]="Yes",1,0)</f>
        <v>0</v>
      </c>
      <c r="Y949" s="4">
        <v>1</v>
      </c>
      <c r="Z949" s="4" t="str">
        <f>IF(Table1[[#This Row],[TAT_Days]]&gt;Table1[[#This Row],[SLA_TAT]],"Yes","No")</f>
        <v>Yes</v>
      </c>
      <c r="AA949" s="4" t="str" cm="1">
        <f t="array" ref="AA949">_xlfn.IFS(Table1[[#This Row],[Customer_Satisfaction]]&lt;=2,"Poor",Table1[[#This Row],[Customer_Satisfaction]]=3,"Neutral",Table1[[#This Row],[Customer_Satisfaction]]=4,"Good",Table1[[#This Row],[Customer_Satisfaction]]=5,"Good")</f>
        <v>Poor</v>
      </c>
    </row>
    <row r="950" spans="1:27" x14ac:dyDescent="0.35">
      <c r="A950">
        <v>20948</v>
      </c>
      <c r="B950" s="1">
        <v>45398</v>
      </c>
      <c r="C950" t="s">
        <v>19</v>
      </c>
      <c r="D950" t="s">
        <v>20</v>
      </c>
      <c r="E950" t="s">
        <v>21</v>
      </c>
      <c r="F950" t="s">
        <v>40</v>
      </c>
      <c r="G950" t="s">
        <v>74</v>
      </c>
      <c r="H950" t="s">
        <v>34</v>
      </c>
      <c r="I950" t="s">
        <v>55</v>
      </c>
      <c r="J950" t="s">
        <v>58</v>
      </c>
      <c r="K950" t="s">
        <v>61</v>
      </c>
      <c r="L950" t="s">
        <v>49</v>
      </c>
      <c r="M950" s="4">
        <v>3</v>
      </c>
      <c r="N950" s="4">
        <v>7</v>
      </c>
      <c r="O950" t="s">
        <v>36</v>
      </c>
      <c r="P950" t="s">
        <v>29</v>
      </c>
      <c r="Q950" s="4">
        <v>330673</v>
      </c>
      <c r="R950" s="4">
        <v>221737</v>
      </c>
      <c r="S950" s="4">
        <f>Table1[[#This Row],[Service_Revenue]]-Table1[[#This Row],[Service_Cost]]</f>
        <v>108936</v>
      </c>
      <c r="T950" s="4">
        <v>5</v>
      </c>
      <c r="U950" s="4">
        <f>IF(AND(Table1[[#This Row],[Rework_Flag]]="Yes",Table1[[#This Row],[Warranty_Claim]]="No"),Table1[[#This Row],[Service_Revenue]],0)</f>
        <v>0</v>
      </c>
      <c r="V950" s="4">
        <f>IF(Table1[[#This Row],[Warranty_Claim]]="Yes",1,0)</f>
        <v>1</v>
      </c>
      <c r="W950" s="4">
        <f>IF(Table1[[#This Row],[Rework_Flag]]="No",1,0)</f>
        <v>1</v>
      </c>
      <c r="X950" s="4">
        <f>IF(Table1[[#This Row],[Rework_Flag]]="Yes",1,0)</f>
        <v>0</v>
      </c>
      <c r="Y950" s="4">
        <v>1</v>
      </c>
      <c r="Z950" s="4" t="str">
        <f>IF(Table1[[#This Row],[TAT_Days]]&gt;Table1[[#This Row],[SLA_TAT]],"Yes","No")</f>
        <v>No</v>
      </c>
      <c r="AA950" s="4" t="str" cm="1">
        <f t="array" ref="AA950">_xlfn.IFS(Table1[[#This Row],[Customer_Satisfaction]]&lt;=2,"Poor",Table1[[#This Row],[Customer_Satisfaction]]=3,"Neutral",Table1[[#This Row],[Customer_Satisfaction]]=4,"Good",Table1[[#This Row],[Customer_Satisfaction]]=5,"Good")</f>
        <v>Good</v>
      </c>
    </row>
    <row r="951" spans="1:27" x14ac:dyDescent="0.35">
      <c r="A951">
        <v>20949</v>
      </c>
      <c r="B951" s="1">
        <v>45452</v>
      </c>
      <c r="C951" t="s">
        <v>30</v>
      </c>
      <c r="D951" t="s">
        <v>31</v>
      </c>
      <c r="E951" t="s">
        <v>122</v>
      </c>
      <c r="F951" t="s">
        <v>40</v>
      </c>
      <c r="G951" t="s">
        <v>33</v>
      </c>
      <c r="H951" t="s">
        <v>34</v>
      </c>
      <c r="I951" t="s">
        <v>25</v>
      </c>
      <c r="J951" t="s">
        <v>43</v>
      </c>
      <c r="K951" t="s">
        <v>61</v>
      </c>
      <c r="L951" t="s">
        <v>28</v>
      </c>
      <c r="M951" s="4">
        <v>14</v>
      </c>
      <c r="N951" s="4">
        <v>7</v>
      </c>
      <c r="O951" t="s">
        <v>29</v>
      </c>
      <c r="P951" t="s">
        <v>36</v>
      </c>
      <c r="Q951" s="4">
        <v>303189</v>
      </c>
      <c r="R951" s="4">
        <v>235132</v>
      </c>
      <c r="S951" s="4">
        <f>Table1[[#This Row],[Service_Revenue]]-Table1[[#This Row],[Service_Cost]]</f>
        <v>68057</v>
      </c>
      <c r="T951" s="4">
        <v>2</v>
      </c>
      <c r="U951" s="4">
        <f>IF(AND(Table1[[#This Row],[Rework_Flag]]="Yes",Table1[[#This Row],[Warranty_Claim]]="No"),Table1[[#This Row],[Service_Revenue]],0)</f>
        <v>303189</v>
      </c>
      <c r="V951" s="4">
        <f>IF(Table1[[#This Row],[Warranty_Claim]]="Yes",1,0)</f>
        <v>0</v>
      </c>
      <c r="W951" s="4">
        <f>IF(Table1[[#This Row],[Rework_Flag]]="No",1,0)</f>
        <v>0</v>
      </c>
      <c r="X951" s="4">
        <f>IF(Table1[[#This Row],[Rework_Flag]]="Yes",1,0)</f>
        <v>1</v>
      </c>
      <c r="Y951" s="4">
        <v>1</v>
      </c>
      <c r="Z951" s="4" t="str">
        <f>IF(Table1[[#This Row],[TAT_Days]]&gt;Table1[[#This Row],[SLA_TAT]],"Yes","No")</f>
        <v>Yes</v>
      </c>
      <c r="AA951" s="4" t="str" cm="1">
        <f t="array" ref="AA951">_xlfn.IFS(Table1[[#This Row],[Customer_Satisfaction]]&lt;=2,"Poor",Table1[[#This Row],[Customer_Satisfaction]]=3,"Neutral",Table1[[#This Row],[Customer_Satisfaction]]=4,"Good",Table1[[#This Row],[Customer_Satisfaction]]=5,"Good")</f>
        <v>Poor</v>
      </c>
    </row>
    <row r="952" spans="1:27" x14ac:dyDescent="0.35">
      <c r="A952">
        <v>20950</v>
      </c>
      <c r="B952" s="1">
        <v>45390</v>
      </c>
      <c r="C952" t="s">
        <v>30</v>
      </c>
      <c r="D952" t="s">
        <v>31</v>
      </c>
      <c r="E952" t="s">
        <v>106</v>
      </c>
      <c r="F952" t="s">
        <v>22</v>
      </c>
      <c r="G952" t="s">
        <v>74</v>
      </c>
      <c r="H952" t="s">
        <v>34</v>
      </c>
      <c r="I952" t="s">
        <v>55</v>
      </c>
      <c r="J952" t="s">
        <v>43</v>
      </c>
      <c r="K952" t="s">
        <v>61</v>
      </c>
      <c r="L952" t="s">
        <v>28</v>
      </c>
      <c r="M952" s="4">
        <v>7</v>
      </c>
      <c r="N952" s="4">
        <v>7</v>
      </c>
      <c r="O952" t="s">
        <v>29</v>
      </c>
      <c r="P952" t="s">
        <v>29</v>
      </c>
      <c r="Q952" s="4">
        <v>133528</v>
      </c>
      <c r="R952" s="4">
        <v>104987</v>
      </c>
      <c r="S952" s="4">
        <f>Table1[[#This Row],[Service_Revenue]]-Table1[[#This Row],[Service_Cost]]</f>
        <v>28541</v>
      </c>
      <c r="T952" s="4">
        <v>3</v>
      </c>
      <c r="U952" s="4">
        <f>IF(AND(Table1[[#This Row],[Rework_Flag]]="Yes",Table1[[#This Row],[Warranty_Claim]]="No"),Table1[[#This Row],[Service_Revenue]],0)</f>
        <v>0</v>
      </c>
      <c r="V952" s="4">
        <f>IF(Table1[[#This Row],[Warranty_Claim]]="Yes",1,0)</f>
        <v>1</v>
      </c>
      <c r="W952" s="4">
        <f>IF(Table1[[#This Row],[Rework_Flag]]="No",1,0)</f>
        <v>0</v>
      </c>
      <c r="X952" s="4">
        <f>IF(Table1[[#This Row],[Rework_Flag]]="Yes",1,0)</f>
        <v>1</v>
      </c>
      <c r="Y952" s="4">
        <v>1</v>
      </c>
      <c r="Z952" s="4" t="str">
        <f>IF(Table1[[#This Row],[TAT_Days]]&gt;Table1[[#This Row],[SLA_TAT]],"Yes","No")</f>
        <v>No</v>
      </c>
      <c r="AA952" s="4" t="str" cm="1">
        <f t="array" ref="AA952">_xlfn.IFS(Table1[[#This Row],[Customer_Satisfaction]]&lt;=2,"Poor",Table1[[#This Row],[Customer_Satisfaction]]=3,"Neutral",Table1[[#This Row],[Customer_Satisfaction]]=4,"Good",Table1[[#This Row],[Customer_Satisfaction]]=5,"Good")</f>
        <v>Neutral</v>
      </c>
    </row>
    <row r="953" spans="1:27" x14ac:dyDescent="0.35">
      <c r="A953">
        <v>20951</v>
      </c>
      <c r="B953" s="1">
        <v>45438</v>
      </c>
      <c r="C953" t="s">
        <v>50</v>
      </c>
      <c r="D953" t="s">
        <v>56</v>
      </c>
      <c r="E953" t="s">
        <v>68</v>
      </c>
      <c r="F953" t="s">
        <v>40</v>
      </c>
      <c r="G953" t="s">
        <v>33</v>
      </c>
      <c r="H953" t="s">
        <v>34</v>
      </c>
      <c r="I953" t="s">
        <v>25</v>
      </c>
      <c r="J953" t="s">
        <v>58</v>
      </c>
      <c r="K953" t="s">
        <v>61</v>
      </c>
      <c r="L953" t="s">
        <v>49</v>
      </c>
      <c r="M953" s="4">
        <v>5</v>
      </c>
      <c r="N953" s="4">
        <v>7</v>
      </c>
      <c r="O953" t="s">
        <v>36</v>
      </c>
      <c r="P953" t="s">
        <v>36</v>
      </c>
      <c r="Q953" s="4">
        <v>135233</v>
      </c>
      <c r="R953" s="4">
        <v>98024</v>
      </c>
      <c r="S953" s="4">
        <f>Table1[[#This Row],[Service_Revenue]]-Table1[[#This Row],[Service_Cost]]</f>
        <v>37209</v>
      </c>
      <c r="T953" s="4">
        <v>4</v>
      </c>
      <c r="U953" s="4">
        <f>IF(AND(Table1[[#This Row],[Rework_Flag]]="Yes",Table1[[#This Row],[Warranty_Claim]]="No"),Table1[[#This Row],[Service_Revenue]],0)</f>
        <v>0</v>
      </c>
      <c r="V953" s="4">
        <f>IF(Table1[[#This Row],[Warranty_Claim]]="Yes",1,0)</f>
        <v>0</v>
      </c>
      <c r="W953" s="4">
        <f>IF(Table1[[#This Row],[Rework_Flag]]="No",1,0)</f>
        <v>1</v>
      </c>
      <c r="X953" s="4">
        <f>IF(Table1[[#This Row],[Rework_Flag]]="Yes",1,0)</f>
        <v>0</v>
      </c>
      <c r="Y953" s="4">
        <v>1</v>
      </c>
      <c r="Z953" s="4" t="str">
        <f>IF(Table1[[#This Row],[TAT_Days]]&gt;Table1[[#This Row],[SLA_TAT]],"Yes","No")</f>
        <v>No</v>
      </c>
      <c r="AA953" s="4" t="str" cm="1">
        <f t="array" ref="AA953">_xlfn.IFS(Table1[[#This Row],[Customer_Satisfaction]]&lt;=2,"Poor",Table1[[#This Row],[Customer_Satisfaction]]=3,"Neutral",Table1[[#This Row],[Customer_Satisfaction]]=4,"Good",Table1[[#This Row],[Customer_Satisfaction]]=5,"Good")</f>
        <v>Good</v>
      </c>
    </row>
    <row r="954" spans="1:27" x14ac:dyDescent="0.35">
      <c r="A954">
        <v>20952</v>
      </c>
      <c r="B954" s="1">
        <v>45357</v>
      </c>
      <c r="C954" t="s">
        <v>30</v>
      </c>
      <c r="D954" t="s">
        <v>31</v>
      </c>
      <c r="E954" t="s">
        <v>106</v>
      </c>
      <c r="F954" t="s">
        <v>40</v>
      </c>
      <c r="G954" t="s">
        <v>33</v>
      </c>
      <c r="H954" t="s">
        <v>34</v>
      </c>
      <c r="I954" t="s">
        <v>25</v>
      </c>
      <c r="J954" t="s">
        <v>58</v>
      </c>
      <c r="K954" t="s">
        <v>44</v>
      </c>
      <c r="L954" t="s">
        <v>49</v>
      </c>
      <c r="M954" s="4">
        <v>12</v>
      </c>
      <c r="N954" s="4">
        <v>7</v>
      </c>
      <c r="O954" t="s">
        <v>29</v>
      </c>
      <c r="P954" t="s">
        <v>36</v>
      </c>
      <c r="Q954" s="4">
        <v>253331</v>
      </c>
      <c r="R954" s="4">
        <v>147467</v>
      </c>
      <c r="S954" s="4">
        <f>Table1[[#This Row],[Service_Revenue]]-Table1[[#This Row],[Service_Cost]]</f>
        <v>105864</v>
      </c>
      <c r="T954" s="4">
        <v>2</v>
      </c>
      <c r="U954" s="4">
        <f>IF(AND(Table1[[#This Row],[Rework_Flag]]="Yes",Table1[[#This Row],[Warranty_Claim]]="No"),Table1[[#This Row],[Service_Revenue]],0)</f>
        <v>253331</v>
      </c>
      <c r="V954" s="4">
        <f>IF(Table1[[#This Row],[Warranty_Claim]]="Yes",1,0)</f>
        <v>0</v>
      </c>
      <c r="W954" s="4">
        <f>IF(Table1[[#This Row],[Rework_Flag]]="No",1,0)</f>
        <v>0</v>
      </c>
      <c r="X954" s="4">
        <f>IF(Table1[[#This Row],[Rework_Flag]]="Yes",1,0)</f>
        <v>1</v>
      </c>
      <c r="Y954" s="4">
        <v>1</v>
      </c>
      <c r="Z954" s="4" t="str">
        <f>IF(Table1[[#This Row],[TAT_Days]]&gt;Table1[[#This Row],[SLA_TAT]],"Yes","No")</f>
        <v>Yes</v>
      </c>
      <c r="AA954" s="4" t="str" cm="1">
        <f t="array" ref="AA954">_xlfn.IFS(Table1[[#This Row],[Customer_Satisfaction]]&lt;=2,"Poor",Table1[[#This Row],[Customer_Satisfaction]]=3,"Neutral",Table1[[#This Row],[Customer_Satisfaction]]=4,"Good",Table1[[#This Row],[Customer_Satisfaction]]=5,"Good")</f>
        <v>Poor</v>
      </c>
    </row>
    <row r="955" spans="1:27" x14ac:dyDescent="0.35">
      <c r="A955">
        <v>20953</v>
      </c>
      <c r="B955" s="1">
        <v>45454</v>
      </c>
      <c r="C955" t="s">
        <v>30</v>
      </c>
      <c r="D955" t="s">
        <v>31</v>
      </c>
      <c r="E955" t="s">
        <v>122</v>
      </c>
      <c r="F955" t="s">
        <v>53</v>
      </c>
      <c r="G955" t="s">
        <v>54</v>
      </c>
      <c r="H955" t="s">
        <v>42</v>
      </c>
      <c r="I955" t="s">
        <v>25</v>
      </c>
      <c r="J955" t="s">
        <v>67</v>
      </c>
      <c r="K955" t="s">
        <v>27</v>
      </c>
      <c r="L955" t="s">
        <v>28</v>
      </c>
      <c r="M955" s="4">
        <v>3</v>
      </c>
      <c r="N955" s="4">
        <v>7</v>
      </c>
      <c r="O955" t="s">
        <v>29</v>
      </c>
      <c r="P955" t="s">
        <v>36</v>
      </c>
      <c r="Q955" s="4">
        <v>293276</v>
      </c>
      <c r="R955" s="4">
        <v>215368</v>
      </c>
      <c r="S955" s="4">
        <f>Table1[[#This Row],[Service_Revenue]]-Table1[[#This Row],[Service_Cost]]</f>
        <v>77908</v>
      </c>
      <c r="T955" s="4">
        <v>4</v>
      </c>
      <c r="U955" s="4">
        <f>IF(AND(Table1[[#This Row],[Rework_Flag]]="Yes",Table1[[#This Row],[Warranty_Claim]]="No"),Table1[[#This Row],[Service_Revenue]],0)</f>
        <v>293276</v>
      </c>
      <c r="V955" s="4">
        <f>IF(Table1[[#This Row],[Warranty_Claim]]="Yes",1,0)</f>
        <v>0</v>
      </c>
      <c r="W955" s="4">
        <f>IF(Table1[[#This Row],[Rework_Flag]]="No",1,0)</f>
        <v>0</v>
      </c>
      <c r="X955" s="4">
        <f>IF(Table1[[#This Row],[Rework_Flag]]="Yes",1,0)</f>
        <v>1</v>
      </c>
      <c r="Y955" s="4">
        <v>1</v>
      </c>
      <c r="Z955" s="4" t="str">
        <f>IF(Table1[[#This Row],[TAT_Days]]&gt;Table1[[#This Row],[SLA_TAT]],"Yes","No")</f>
        <v>No</v>
      </c>
      <c r="AA955" s="4" t="str" cm="1">
        <f t="array" ref="AA955">_xlfn.IFS(Table1[[#This Row],[Customer_Satisfaction]]&lt;=2,"Poor",Table1[[#This Row],[Customer_Satisfaction]]=3,"Neutral",Table1[[#This Row],[Customer_Satisfaction]]=4,"Good",Table1[[#This Row],[Customer_Satisfaction]]=5,"Good")</f>
        <v>Good</v>
      </c>
    </row>
    <row r="956" spans="1:27" x14ac:dyDescent="0.35">
      <c r="A956">
        <v>20954</v>
      </c>
      <c r="B956" s="1">
        <v>45421</v>
      </c>
      <c r="C956" t="s">
        <v>37</v>
      </c>
      <c r="D956" t="s">
        <v>38</v>
      </c>
      <c r="E956" t="s">
        <v>102</v>
      </c>
      <c r="F956" t="s">
        <v>40</v>
      </c>
      <c r="G956" t="s">
        <v>54</v>
      </c>
      <c r="H956" t="s">
        <v>42</v>
      </c>
      <c r="I956" t="s">
        <v>25</v>
      </c>
      <c r="J956" t="s">
        <v>26</v>
      </c>
      <c r="K956" t="s">
        <v>44</v>
      </c>
      <c r="L956" t="s">
        <v>49</v>
      </c>
      <c r="M956" s="4">
        <v>3</v>
      </c>
      <c r="N956" s="4">
        <v>7</v>
      </c>
      <c r="O956" t="s">
        <v>29</v>
      </c>
      <c r="P956" t="s">
        <v>36</v>
      </c>
      <c r="Q956" s="4">
        <v>325810</v>
      </c>
      <c r="R956" s="4">
        <v>197450</v>
      </c>
      <c r="S956" s="4">
        <f>Table1[[#This Row],[Service_Revenue]]-Table1[[#This Row],[Service_Cost]]</f>
        <v>128360</v>
      </c>
      <c r="T956" s="4">
        <v>4</v>
      </c>
      <c r="U956" s="4">
        <f>IF(AND(Table1[[#This Row],[Rework_Flag]]="Yes",Table1[[#This Row],[Warranty_Claim]]="No"),Table1[[#This Row],[Service_Revenue]],0)</f>
        <v>325810</v>
      </c>
      <c r="V956" s="4">
        <f>IF(Table1[[#This Row],[Warranty_Claim]]="Yes",1,0)</f>
        <v>0</v>
      </c>
      <c r="W956" s="4">
        <f>IF(Table1[[#This Row],[Rework_Flag]]="No",1,0)</f>
        <v>0</v>
      </c>
      <c r="X956" s="4">
        <f>IF(Table1[[#This Row],[Rework_Flag]]="Yes",1,0)</f>
        <v>1</v>
      </c>
      <c r="Y956" s="4">
        <v>1</v>
      </c>
      <c r="Z956" s="4" t="str">
        <f>IF(Table1[[#This Row],[TAT_Days]]&gt;Table1[[#This Row],[SLA_TAT]],"Yes","No")</f>
        <v>No</v>
      </c>
      <c r="AA956" s="4" t="str" cm="1">
        <f t="array" ref="AA956">_xlfn.IFS(Table1[[#This Row],[Customer_Satisfaction]]&lt;=2,"Poor",Table1[[#This Row],[Customer_Satisfaction]]=3,"Neutral",Table1[[#This Row],[Customer_Satisfaction]]=4,"Good",Table1[[#This Row],[Customer_Satisfaction]]=5,"Good")</f>
        <v>Good</v>
      </c>
    </row>
    <row r="957" spans="1:27" x14ac:dyDescent="0.35">
      <c r="A957">
        <v>20955</v>
      </c>
      <c r="B957" s="1">
        <v>45386</v>
      </c>
      <c r="C957" t="s">
        <v>37</v>
      </c>
      <c r="D957" t="s">
        <v>64</v>
      </c>
      <c r="E957" t="s">
        <v>103</v>
      </c>
      <c r="F957" t="s">
        <v>22</v>
      </c>
      <c r="G957" t="s">
        <v>74</v>
      </c>
      <c r="H957" t="s">
        <v>34</v>
      </c>
      <c r="I957" t="s">
        <v>25</v>
      </c>
      <c r="J957" t="s">
        <v>43</v>
      </c>
      <c r="K957" t="s">
        <v>44</v>
      </c>
      <c r="L957" t="s">
        <v>28</v>
      </c>
      <c r="M957" s="4">
        <v>4</v>
      </c>
      <c r="N957" s="4">
        <v>7</v>
      </c>
      <c r="O957" t="s">
        <v>36</v>
      </c>
      <c r="P957" t="s">
        <v>36</v>
      </c>
      <c r="Q957" s="4">
        <v>151845</v>
      </c>
      <c r="R957" s="4">
        <v>118614</v>
      </c>
      <c r="S957" s="4">
        <f>Table1[[#This Row],[Service_Revenue]]-Table1[[#This Row],[Service_Cost]]</f>
        <v>33231</v>
      </c>
      <c r="T957" s="4">
        <v>5</v>
      </c>
      <c r="U957" s="4">
        <f>IF(AND(Table1[[#This Row],[Rework_Flag]]="Yes",Table1[[#This Row],[Warranty_Claim]]="No"),Table1[[#This Row],[Service_Revenue]],0)</f>
        <v>0</v>
      </c>
      <c r="V957" s="4">
        <f>IF(Table1[[#This Row],[Warranty_Claim]]="Yes",1,0)</f>
        <v>0</v>
      </c>
      <c r="W957" s="4">
        <f>IF(Table1[[#This Row],[Rework_Flag]]="No",1,0)</f>
        <v>1</v>
      </c>
      <c r="X957" s="4">
        <f>IF(Table1[[#This Row],[Rework_Flag]]="Yes",1,0)</f>
        <v>0</v>
      </c>
      <c r="Y957" s="4">
        <v>1</v>
      </c>
      <c r="Z957" s="4" t="str">
        <f>IF(Table1[[#This Row],[TAT_Days]]&gt;Table1[[#This Row],[SLA_TAT]],"Yes","No")</f>
        <v>No</v>
      </c>
      <c r="AA957" s="4" t="str" cm="1">
        <f t="array" ref="AA957">_xlfn.IFS(Table1[[#This Row],[Customer_Satisfaction]]&lt;=2,"Poor",Table1[[#This Row],[Customer_Satisfaction]]=3,"Neutral",Table1[[#This Row],[Customer_Satisfaction]]=4,"Good",Table1[[#This Row],[Customer_Satisfaction]]=5,"Good")</f>
        <v>Good</v>
      </c>
    </row>
    <row r="958" spans="1:27" x14ac:dyDescent="0.35">
      <c r="A958">
        <v>20956</v>
      </c>
      <c r="B958" s="1">
        <v>45464</v>
      </c>
      <c r="C958" t="s">
        <v>37</v>
      </c>
      <c r="D958" t="s">
        <v>38</v>
      </c>
      <c r="E958" t="s">
        <v>39</v>
      </c>
      <c r="F958" t="s">
        <v>40</v>
      </c>
      <c r="G958" t="s">
        <v>47</v>
      </c>
      <c r="H958" t="s">
        <v>48</v>
      </c>
      <c r="I958" t="s">
        <v>25</v>
      </c>
      <c r="J958" t="s">
        <v>43</v>
      </c>
      <c r="K958" t="s">
        <v>61</v>
      </c>
      <c r="L958" t="s">
        <v>49</v>
      </c>
      <c r="M958" s="4">
        <v>7</v>
      </c>
      <c r="N958" s="4">
        <v>7</v>
      </c>
      <c r="O958" t="s">
        <v>36</v>
      </c>
      <c r="P958" t="s">
        <v>36</v>
      </c>
      <c r="Q958" s="4">
        <v>146932</v>
      </c>
      <c r="R958" s="4">
        <v>89427</v>
      </c>
      <c r="S958" s="4">
        <f>Table1[[#This Row],[Service_Revenue]]-Table1[[#This Row],[Service_Cost]]</f>
        <v>57505</v>
      </c>
      <c r="T958" s="4">
        <v>4</v>
      </c>
      <c r="U958" s="4">
        <f>IF(AND(Table1[[#This Row],[Rework_Flag]]="Yes",Table1[[#This Row],[Warranty_Claim]]="No"),Table1[[#This Row],[Service_Revenue]],0)</f>
        <v>0</v>
      </c>
      <c r="V958" s="4">
        <f>IF(Table1[[#This Row],[Warranty_Claim]]="Yes",1,0)</f>
        <v>0</v>
      </c>
      <c r="W958" s="4">
        <f>IF(Table1[[#This Row],[Rework_Flag]]="No",1,0)</f>
        <v>1</v>
      </c>
      <c r="X958" s="4">
        <f>IF(Table1[[#This Row],[Rework_Flag]]="Yes",1,0)</f>
        <v>0</v>
      </c>
      <c r="Y958" s="4">
        <v>1</v>
      </c>
      <c r="Z958" s="4" t="str">
        <f>IF(Table1[[#This Row],[TAT_Days]]&gt;Table1[[#This Row],[SLA_TAT]],"Yes","No")</f>
        <v>No</v>
      </c>
      <c r="AA958" s="4" t="str" cm="1">
        <f t="array" ref="AA958">_xlfn.IFS(Table1[[#This Row],[Customer_Satisfaction]]&lt;=2,"Poor",Table1[[#This Row],[Customer_Satisfaction]]=3,"Neutral",Table1[[#This Row],[Customer_Satisfaction]]=4,"Good",Table1[[#This Row],[Customer_Satisfaction]]=5,"Good")</f>
        <v>Good</v>
      </c>
    </row>
    <row r="959" spans="1:27" x14ac:dyDescent="0.35">
      <c r="A959">
        <v>20957</v>
      </c>
      <c r="B959" s="1">
        <v>45424</v>
      </c>
      <c r="C959" t="s">
        <v>50</v>
      </c>
      <c r="D959" t="s">
        <v>80</v>
      </c>
      <c r="E959" t="s">
        <v>118</v>
      </c>
      <c r="F959" t="s">
        <v>40</v>
      </c>
      <c r="G959" t="s">
        <v>41</v>
      </c>
      <c r="H959" t="s">
        <v>42</v>
      </c>
      <c r="I959" t="s">
        <v>55</v>
      </c>
      <c r="J959" t="s">
        <v>58</v>
      </c>
      <c r="K959" t="s">
        <v>61</v>
      </c>
      <c r="L959" t="s">
        <v>49</v>
      </c>
      <c r="M959" s="4">
        <v>15</v>
      </c>
      <c r="N959" s="4">
        <v>7</v>
      </c>
      <c r="O959" t="s">
        <v>36</v>
      </c>
      <c r="P959" t="s">
        <v>36</v>
      </c>
      <c r="Q959" s="4">
        <v>438079</v>
      </c>
      <c r="R959" s="4">
        <v>258738</v>
      </c>
      <c r="S959" s="4">
        <f>Table1[[#This Row],[Service_Revenue]]-Table1[[#This Row],[Service_Cost]]</f>
        <v>179341</v>
      </c>
      <c r="T959" s="4">
        <v>2</v>
      </c>
      <c r="U959" s="4">
        <f>IF(AND(Table1[[#This Row],[Rework_Flag]]="Yes",Table1[[#This Row],[Warranty_Claim]]="No"),Table1[[#This Row],[Service_Revenue]],0)</f>
        <v>0</v>
      </c>
      <c r="V959" s="4">
        <f>IF(Table1[[#This Row],[Warranty_Claim]]="Yes",1,0)</f>
        <v>0</v>
      </c>
      <c r="W959" s="4">
        <f>IF(Table1[[#This Row],[Rework_Flag]]="No",1,0)</f>
        <v>1</v>
      </c>
      <c r="X959" s="4">
        <f>IF(Table1[[#This Row],[Rework_Flag]]="Yes",1,0)</f>
        <v>0</v>
      </c>
      <c r="Y959" s="4">
        <v>1</v>
      </c>
      <c r="Z959" s="4" t="str">
        <f>IF(Table1[[#This Row],[TAT_Days]]&gt;Table1[[#This Row],[SLA_TAT]],"Yes","No")</f>
        <v>Yes</v>
      </c>
      <c r="AA959" s="4" t="str" cm="1">
        <f t="array" ref="AA959">_xlfn.IFS(Table1[[#This Row],[Customer_Satisfaction]]&lt;=2,"Poor",Table1[[#This Row],[Customer_Satisfaction]]=3,"Neutral",Table1[[#This Row],[Customer_Satisfaction]]=4,"Good",Table1[[#This Row],[Customer_Satisfaction]]=5,"Good")</f>
        <v>Poor</v>
      </c>
    </row>
    <row r="960" spans="1:27" x14ac:dyDescent="0.35">
      <c r="A960">
        <v>20958</v>
      </c>
      <c r="B960" s="1">
        <v>45408</v>
      </c>
      <c r="C960" t="s">
        <v>30</v>
      </c>
      <c r="D960" t="s">
        <v>31</v>
      </c>
      <c r="E960" t="s">
        <v>79</v>
      </c>
      <c r="F960" t="s">
        <v>53</v>
      </c>
      <c r="G960" t="s">
        <v>47</v>
      </c>
      <c r="H960" t="s">
        <v>48</v>
      </c>
      <c r="I960" t="s">
        <v>25</v>
      </c>
      <c r="J960" t="s">
        <v>43</v>
      </c>
      <c r="K960" t="s">
        <v>44</v>
      </c>
      <c r="L960" t="s">
        <v>28</v>
      </c>
      <c r="M960" s="4">
        <v>21</v>
      </c>
      <c r="N960" s="4">
        <v>7</v>
      </c>
      <c r="O960" t="s">
        <v>36</v>
      </c>
      <c r="P960" t="s">
        <v>36</v>
      </c>
      <c r="Q960" s="4">
        <v>140575</v>
      </c>
      <c r="R960" s="4">
        <v>91320</v>
      </c>
      <c r="S960" s="4">
        <f>Table1[[#This Row],[Service_Revenue]]-Table1[[#This Row],[Service_Cost]]</f>
        <v>49255</v>
      </c>
      <c r="T960" s="4">
        <v>1</v>
      </c>
      <c r="U960" s="4">
        <f>IF(AND(Table1[[#This Row],[Rework_Flag]]="Yes",Table1[[#This Row],[Warranty_Claim]]="No"),Table1[[#This Row],[Service_Revenue]],0)</f>
        <v>0</v>
      </c>
      <c r="V960" s="4">
        <f>IF(Table1[[#This Row],[Warranty_Claim]]="Yes",1,0)</f>
        <v>0</v>
      </c>
      <c r="W960" s="4">
        <f>IF(Table1[[#This Row],[Rework_Flag]]="No",1,0)</f>
        <v>1</v>
      </c>
      <c r="X960" s="4">
        <f>IF(Table1[[#This Row],[Rework_Flag]]="Yes",1,0)</f>
        <v>0</v>
      </c>
      <c r="Y960" s="4">
        <v>1</v>
      </c>
      <c r="Z960" s="4" t="str">
        <f>IF(Table1[[#This Row],[TAT_Days]]&gt;Table1[[#This Row],[SLA_TAT]],"Yes","No")</f>
        <v>Yes</v>
      </c>
      <c r="AA960" s="4" t="str" cm="1">
        <f t="array" ref="AA960">_xlfn.IFS(Table1[[#This Row],[Customer_Satisfaction]]&lt;=2,"Poor",Table1[[#This Row],[Customer_Satisfaction]]=3,"Neutral",Table1[[#This Row],[Customer_Satisfaction]]=4,"Good",Table1[[#This Row],[Customer_Satisfaction]]=5,"Good")</f>
        <v>Poor</v>
      </c>
    </row>
    <row r="961" spans="1:27" x14ac:dyDescent="0.35">
      <c r="A961">
        <v>20959</v>
      </c>
      <c r="B961" s="1">
        <v>45371</v>
      </c>
      <c r="C961" t="s">
        <v>37</v>
      </c>
      <c r="D961" t="s">
        <v>38</v>
      </c>
      <c r="E961" t="s">
        <v>112</v>
      </c>
      <c r="F961" t="s">
        <v>53</v>
      </c>
      <c r="G961" t="s">
        <v>74</v>
      </c>
      <c r="H961" t="s">
        <v>34</v>
      </c>
      <c r="I961" t="s">
        <v>25</v>
      </c>
      <c r="J961" t="s">
        <v>67</v>
      </c>
      <c r="K961" t="s">
        <v>44</v>
      </c>
      <c r="L961" t="s">
        <v>49</v>
      </c>
      <c r="M961" s="4">
        <v>16</v>
      </c>
      <c r="N961" s="4">
        <v>7</v>
      </c>
      <c r="O961" t="s">
        <v>29</v>
      </c>
      <c r="P961" t="s">
        <v>29</v>
      </c>
      <c r="Q961" s="4">
        <v>110019</v>
      </c>
      <c r="R961" s="4">
        <v>89280</v>
      </c>
      <c r="S961" s="4">
        <f>Table1[[#This Row],[Service_Revenue]]-Table1[[#This Row],[Service_Cost]]</f>
        <v>20739</v>
      </c>
      <c r="T961" s="4">
        <v>1</v>
      </c>
      <c r="U961" s="4">
        <f>IF(AND(Table1[[#This Row],[Rework_Flag]]="Yes",Table1[[#This Row],[Warranty_Claim]]="No"),Table1[[#This Row],[Service_Revenue]],0)</f>
        <v>0</v>
      </c>
      <c r="V961" s="4">
        <f>IF(Table1[[#This Row],[Warranty_Claim]]="Yes",1,0)</f>
        <v>1</v>
      </c>
      <c r="W961" s="4">
        <f>IF(Table1[[#This Row],[Rework_Flag]]="No",1,0)</f>
        <v>0</v>
      </c>
      <c r="X961" s="4">
        <f>IF(Table1[[#This Row],[Rework_Flag]]="Yes",1,0)</f>
        <v>1</v>
      </c>
      <c r="Y961" s="4">
        <v>1</v>
      </c>
      <c r="Z961" s="4" t="str">
        <f>IF(Table1[[#This Row],[TAT_Days]]&gt;Table1[[#This Row],[SLA_TAT]],"Yes","No")</f>
        <v>Yes</v>
      </c>
      <c r="AA961" s="4" t="str" cm="1">
        <f t="array" ref="AA961">_xlfn.IFS(Table1[[#This Row],[Customer_Satisfaction]]&lt;=2,"Poor",Table1[[#This Row],[Customer_Satisfaction]]=3,"Neutral",Table1[[#This Row],[Customer_Satisfaction]]=4,"Good",Table1[[#This Row],[Customer_Satisfaction]]=5,"Good")</f>
        <v>Poor</v>
      </c>
    </row>
    <row r="962" spans="1:27" x14ac:dyDescent="0.35">
      <c r="A962">
        <v>20960</v>
      </c>
      <c r="B962" s="1">
        <v>45322</v>
      </c>
      <c r="C962" t="s">
        <v>37</v>
      </c>
      <c r="D962" t="s">
        <v>64</v>
      </c>
      <c r="E962" t="s">
        <v>72</v>
      </c>
      <c r="F962" t="s">
        <v>53</v>
      </c>
      <c r="G962" t="s">
        <v>63</v>
      </c>
      <c r="H962" t="s">
        <v>24</v>
      </c>
      <c r="I962" t="s">
        <v>25</v>
      </c>
      <c r="J962" t="s">
        <v>67</v>
      </c>
      <c r="K962" t="s">
        <v>27</v>
      </c>
      <c r="L962" t="s">
        <v>28</v>
      </c>
      <c r="M962" s="4">
        <v>19</v>
      </c>
      <c r="N962" s="4">
        <v>7</v>
      </c>
      <c r="O962" t="s">
        <v>29</v>
      </c>
      <c r="P962" t="s">
        <v>36</v>
      </c>
      <c r="Q962" s="4">
        <v>396268</v>
      </c>
      <c r="R962" s="4">
        <v>321155</v>
      </c>
      <c r="S962" s="4">
        <f>Table1[[#This Row],[Service_Revenue]]-Table1[[#This Row],[Service_Cost]]</f>
        <v>75113</v>
      </c>
      <c r="T962" s="4">
        <v>1</v>
      </c>
      <c r="U962" s="4">
        <f>IF(AND(Table1[[#This Row],[Rework_Flag]]="Yes",Table1[[#This Row],[Warranty_Claim]]="No"),Table1[[#This Row],[Service_Revenue]],0)</f>
        <v>396268</v>
      </c>
      <c r="V962" s="4">
        <f>IF(Table1[[#This Row],[Warranty_Claim]]="Yes",1,0)</f>
        <v>0</v>
      </c>
      <c r="W962" s="4">
        <f>IF(Table1[[#This Row],[Rework_Flag]]="No",1,0)</f>
        <v>0</v>
      </c>
      <c r="X962" s="4">
        <f>IF(Table1[[#This Row],[Rework_Flag]]="Yes",1,0)</f>
        <v>1</v>
      </c>
      <c r="Y962" s="4">
        <v>1</v>
      </c>
      <c r="Z962" s="4" t="str">
        <f>IF(Table1[[#This Row],[TAT_Days]]&gt;Table1[[#This Row],[SLA_TAT]],"Yes","No")</f>
        <v>Yes</v>
      </c>
      <c r="AA962" s="4" t="str" cm="1">
        <f t="array" ref="AA962">_xlfn.IFS(Table1[[#This Row],[Customer_Satisfaction]]&lt;=2,"Poor",Table1[[#This Row],[Customer_Satisfaction]]=3,"Neutral",Table1[[#This Row],[Customer_Satisfaction]]=4,"Good",Table1[[#This Row],[Customer_Satisfaction]]=5,"Good")</f>
        <v>Poor</v>
      </c>
    </row>
    <row r="963" spans="1:27" x14ac:dyDescent="0.35">
      <c r="A963">
        <v>20961</v>
      </c>
      <c r="B963" s="1">
        <v>45449</v>
      </c>
      <c r="C963" t="s">
        <v>19</v>
      </c>
      <c r="D963" t="s">
        <v>96</v>
      </c>
      <c r="E963" t="s">
        <v>105</v>
      </c>
      <c r="F963" t="s">
        <v>22</v>
      </c>
      <c r="G963" t="s">
        <v>33</v>
      </c>
      <c r="H963" t="s">
        <v>34</v>
      </c>
      <c r="I963" t="s">
        <v>55</v>
      </c>
      <c r="J963" t="s">
        <v>43</v>
      </c>
      <c r="K963" t="s">
        <v>27</v>
      </c>
      <c r="L963" t="s">
        <v>49</v>
      </c>
      <c r="M963" s="4">
        <v>5</v>
      </c>
      <c r="N963" s="4">
        <v>7</v>
      </c>
      <c r="O963" t="s">
        <v>29</v>
      </c>
      <c r="P963" t="s">
        <v>36</v>
      </c>
      <c r="Q963" s="4">
        <v>529263</v>
      </c>
      <c r="R963" s="4">
        <v>405866</v>
      </c>
      <c r="S963" s="4">
        <f>Table1[[#This Row],[Service_Revenue]]-Table1[[#This Row],[Service_Cost]]</f>
        <v>123397</v>
      </c>
      <c r="T963" s="4">
        <v>3</v>
      </c>
      <c r="U963" s="4">
        <f>IF(AND(Table1[[#This Row],[Rework_Flag]]="Yes",Table1[[#This Row],[Warranty_Claim]]="No"),Table1[[#This Row],[Service_Revenue]],0)</f>
        <v>529263</v>
      </c>
      <c r="V963" s="4">
        <f>IF(Table1[[#This Row],[Warranty_Claim]]="Yes",1,0)</f>
        <v>0</v>
      </c>
      <c r="W963" s="4">
        <f>IF(Table1[[#This Row],[Rework_Flag]]="No",1,0)</f>
        <v>0</v>
      </c>
      <c r="X963" s="4">
        <f>IF(Table1[[#This Row],[Rework_Flag]]="Yes",1,0)</f>
        <v>1</v>
      </c>
      <c r="Y963" s="4">
        <v>1</v>
      </c>
      <c r="Z963" s="4" t="str">
        <f>IF(Table1[[#This Row],[TAT_Days]]&gt;Table1[[#This Row],[SLA_TAT]],"Yes","No")</f>
        <v>No</v>
      </c>
      <c r="AA963" s="4" t="str" cm="1">
        <f t="array" ref="AA963">_xlfn.IFS(Table1[[#This Row],[Customer_Satisfaction]]&lt;=2,"Poor",Table1[[#This Row],[Customer_Satisfaction]]=3,"Neutral",Table1[[#This Row],[Customer_Satisfaction]]=4,"Good",Table1[[#This Row],[Customer_Satisfaction]]=5,"Good")</f>
        <v>Neutral</v>
      </c>
    </row>
    <row r="964" spans="1:27" x14ac:dyDescent="0.35">
      <c r="A964">
        <v>20962</v>
      </c>
      <c r="B964" s="1">
        <v>45309</v>
      </c>
      <c r="C964" t="s">
        <v>50</v>
      </c>
      <c r="D964" t="s">
        <v>80</v>
      </c>
      <c r="E964" t="s">
        <v>81</v>
      </c>
      <c r="F964" t="s">
        <v>40</v>
      </c>
      <c r="G964" t="s">
        <v>47</v>
      </c>
      <c r="H964" t="s">
        <v>48</v>
      </c>
      <c r="I964" t="s">
        <v>55</v>
      </c>
      <c r="J964" t="s">
        <v>26</v>
      </c>
      <c r="K964" t="s">
        <v>27</v>
      </c>
      <c r="L964" t="s">
        <v>28</v>
      </c>
      <c r="M964" s="4">
        <v>23</v>
      </c>
      <c r="N964" s="4">
        <v>7</v>
      </c>
      <c r="O964" t="s">
        <v>29</v>
      </c>
      <c r="P964" t="s">
        <v>36</v>
      </c>
      <c r="Q964" s="4">
        <v>153272</v>
      </c>
      <c r="R964" s="4">
        <v>81402</v>
      </c>
      <c r="S964" s="4">
        <f>Table1[[#This Row],[Service_Revenue]]-Table1[[#This Row],[Service_Cost]]</f>
        <v>71870</v>
      </c>
      <c r="T964" s="4">
        <v>1</v>
      </c>
      <c r="U964" s="4">
        <f>IF(AND(Table1[[#This Row],[Rework_Flag]]="Yes",Table1[[#This Row],[Warranty_Claim]]="No"),Table1[[#This Row],[Service_Revenue]],0)</f>
        <v>153272</v>
      </c>
      <c r="V964" s="4">
        <f>IF(Table1[[#This Row],[Warranty_Claim]]="Yes",1,0)</f>
        <v>0</v>
      </c>
      <c r="W964" s="4">
        <f>IF(Table1[[#This Row],[Rework_Flag]]="No",1,0)</f>
        <v>0</v>
      </c>
      <c r="X964" s="4">
        <f>IF(Table1[[#This Row],[Rework_Flag]]="Yes",1,0)</f>
        <v>1</v>
      </c>
      <c r="Y964" s="4">
        <v>1</v>
      </c>
      <c r="Z964" s="4" t="str">
        <f>IF(Table1[[#This Row],[TAT_Days]]&gt;Table1[[#This Row],[SLA_TAT]],"Yes","No")</f>
        <v>Yes</v>
      </c>
      <c r="AA964" s="4" t="str" cm="1">
        <f t="array" ref="AA964">_xlfn.IFS(Table1[[#This Row],[Customer_Satisfaction]]&lt;=2,"Poor",Table1[[#This Row],[Customer_Satisfaction]]=3,"Neutral",Table1[[#This Row],[Customer_Satisfaction]]=4,"Good",Table1[[#This Row],[Customer_Satisfaction]]=5,"Good")</f>
        <v>Poor</v>
      </c>
    </row>
    <row r="965" spans="1:27" x14ac:dyDescent="0.35">
      <c r="A965">
        <v>20963</v>
      </c>
      <c r="B965" s="1">
        <v>45444</v>
      </c>
      <c r="C965" t="s">
        <v>37</v>
      </c>
      <c r="D965" t="s">
        <v>64</v>
      </c>
      <c r="E965" t="s">
        <v>72</v>
      </c>
      <c r="F965" t="s">
        <v>40</v>
      </c>
      <c r="G965" t="s">
        <v>41</v>
      </c>
      <c r="H965" t="s">
        <v>42</v>
      </c>
      <c r="I965" t="s">
        <v>25</v>
      </c>
      <c r="J965" t="s">
        <v>67</v>
      </c>
      <c r="K965" t="s">
        <v>27</v>
      </c>
      <c r="L965" t="s">
        <v>28</v>
      </c>
      <c r="M965" s="4">
        <v>11</v>
      </c>
      <c r="N965" s="4">
        <v>7</v>
      </c>
      <c r="O965" t="s">
        <v>29</v>
      </c>
      <c r="P965" t="s">
        <v>36</v>
      </c>
      <c r="Q965" s="4">
        <v>514886</v>
      </c>
      <c r="R965" s="4">
        <v>356098</v>
      </c>
      <c r="S965" s="4">
        <f>Table1[[#This Row],[Service_Revenue]]-Table1[[#This Row],[Service_Cost]]</f>
        <v>158788</v>
      </c>
      <c r="T965" s="4">
        <v>2</v>
      </c>
      <c r="U965" s="4">
        <f>IF(AND(Table1[[#This Row],[Rework_Flag]]="Yes",Table1[[#This Row],[Warranty_Claim]]="No"),Table1[[#This Row],[Service_Revenue]],0)</f>
        <v>514886</v>
      </c>
      <c r="V965" s="4">
        <f>IF(Table1[[#This Row],[Warranty_Claim]]="Yes",1,0)</f>
        <v>0</v>
      </c>
      <c r="W965" s="4">
        <f>IF(Table1[[#This Row],[Rework_Flag]]="No",1,0)</f>
        <v>0</v>
      </c>
      <c r="X965" s="4">
        <f>IF(Table1[[#This Row],[Rework_Flag]]="Yes",1,0)</f>
        <v>1</v>
      </c>
      <c r="Y965" s="4">
        <v>1</v>
      </c>
      <c r="Z965" s="4" t="str">
        <f>IF(Table1[[#This Row],[TAT_Days]]&gt;Table1[[#This Row],[SLA_TAT]],"Yes","No")</f>
        <v>Yes</v>
      </c>
      <c r="AA965" s="4" t="str" cm="1">
        <f t="array" ref="AA965">_xlfn.IFS(Table1[[#This Row],[Customer_Satisfaction]]&lt;=2,"Poor",Table1[[#This Row],[Customer_Satisfaction]]=3,"Neutral",Table1[[#This Row],[Customer_Satisfaction]]=4,"Good",Table1[[#This Row],[Customer_Satisfaction]]=5,"Good")</f>
        <v>Poor</v>
      </c>
    </row>
    <row r="966" spans="1:27" x14ac:dyDescent="0.35">
      <c r="A966">
        <v>20964</v>
      </c>
      <c r="B966" s="1">
        <v>45453</v>
      </c>
      <c r="C966" t="s">
        <v>19</v>
      </c>
      <c r="D966" t="s">
        <v>96</v>
      </c>
      <c r="E966" t="s">
        <v>108</v>
      </c>
      <c r="F966" t="s">
        <v>53</v>
      </c>
      <c r="G966" t="s">
        <v>74</v>
      </c>
      <c r="H966" t="s">
        <v>34</v>
      </c>
      <c r="I966" t="s">
        <v>25</v>
      </c>
      <c r="J966" t="s">
        <v>26</v>
      </c>
      <c r="K966" t="s">
        <v>27</v>
      </c>
      <c r="L966" t="s">
        <v>49</v>
      </c>
      <c r="M966" s="4">
        <v>24</v>
      </c>
      <c r="N966" s="4">
        <v>7</v>
      </c>
      <c r="O966" t="s">
        <v>29</v>
      </c>
      <c r="P966" t="s">
        <v>29</v>
      </c>
      <c r="Q966" s="4">
        <v>176067</v>
      </c>
      <c r="R966" s="4">
        <v>135566</v>
      </c>
      <c r="S966" s="4">
        <f>Table1[[#This Row],[Service_Revenue]]-Table1[[#This Row],[Service_Cost]]</f>
        <v>40501</v>
      </c>
      <c r="T966" s="4">
        <v>1</v>
      </c>
      <c r="U966" s="4">
        <f>IF(AND(Table1[[#This Row],[Rework_Flag]]="Yes",Table1[[#This Row],[Warranty_Claim]]="No"),Table1[[#This Row],[Service_Revenue]],0)</f>
        <v>0</v>
      </c>
      <c r="V966" s="4">
        <f>IF(Table1[[#This Row],[Warranty_Claim]]="Yes",1,0)</f>
        <v>1</v>
      </c>
      <c r="W966" s="4">
        <f>IF(Table1[[#This Row],[Rework_Flag]]="No",1,0)</f>
        <v>0</v>
      </c>
      <c r="X966" s="4">
        <f>IF(Table1[[#This Row],[Rework_Flag]]="Yes",1,0)</f>
        <v>1</v>
      </c>
      <c r="Y966" s="4">
        <v>1</v>
      </c>
      <c r="Z966" s="4" t="str">
        <f>IF(Table1[[#This Row],[TAT_Days]]&gt;Table1[[#This Row],[SLA_TAT]],"Yes","No")</f>
        <v>Yes</v>
      </c>
      <c r="AA966" s="4" t="str" cm="1">
        <f t="array" ref="AA966">_xlfn.IFS(Table1[[#This Row],[Customer_Satisfaction]]&lt;=2,"Poor",Table1[[#This Row],[Customer_Satisfaction]]=3,"Neutral",Table1[[#This Row],[Customer_Satisfaction]]=4,"Good",Table1[[#This Row],[Customer_Satisfaction]]=5,"Good")</f>
        <v>Poor</v>
      </c>
    </row>
    <row r="967" spans="1:27" x14ac:dyDescent="0.35">
      <c r="A967">
        <v>20965</v>
      </c>
      <c r="B967" s="1">
        <v>45294</v>
      </c>
      <c r="C967" t="s">
        <v>50</v>
      </c>
      <c r="D967" t="s">
        <v>51</v>
      </c>
      <c r="E967" t="s">
        <v>75</v>
      </c>
      <c r="F967" t="s">
        <v>40</v>
      </c>
      <c r="G967" t="s">
        <v>63</v>
      </c>
      <c r="H967" t="s">
        <v>24</v>
      </c>
      <c r="I967" t="s">
        <v>55</v>
      </c>
      <c r="J967" t="s">
        <v>67</v>
      </c>
      <c r="K967" t="s">
        <v>61</v>
      </c>
      <c r="L967" t="s">
        <v>49</v>
      </c>
      <c r="M967" s="4">
        <v>13</v>
      </c>
      <c r="N967" s="4">
        <v>7</v>
      </c>
      <c r="O967" t="s">
        <v>36</v>
      </c>
      <c r="P967" t="s">
        <v>36</v>
      </c>
      <c r="Q967" s="4">
        <v>94246</v>
      </c>
      <c r="R967" s="4">
        <v>70254</v>
      </c>
      <c r="S967" s="4">
        <f>Table1[[#This Row],[Service_Revenue]]-Table1[[#This Row],[Service_Cost]]</f>
        <v>23992</v>
      </c>
      <c r="T967" s="4">
        <v>3</v>
      </c>
      <c r="U967" s="4">
        <f>IF(AND(Table1[[#This Row],[Rework_Flag]]="Yes",Table1[[#This Row],[Warranty_Claim]]="No"),Table1[[#This Row],[Service_Revenue]],0)</f>
        <v>0</v>
      </c>
      <c r="V967" s="4">
        <f>IF(Table1[[#This Row],[Warranty_Claim]]="Yes",1,0)</f>
        <v>0</v>
      </c>
      <c r="W967" s="4">
        <f>IF(Table1[[#This Row],[Rework_Flag]]="No",1,0)</f>
        <v>1</v>
      </c>
      <c r="X967" s="4">
        <f>IF(Table1[[#This Row],[Rework_Flag]]="Yes",1,0)</f>
        <v>0</v>
      </c>
      <c r="Y967" s="4">
        <v>1</v>
      </c>
      <c r="Z967" s="4" t="str">
        <f>IF(Table1[[#This Row],[TAT_Days]]&gt;Table1[[#This Row],[SLA_TAT]],"Yes","No")</f>
        <v>Yes</v>
      </c>
      <c r="AA967" s="4" t="str" cm="1">
        <f t="array" ref="AA967">_xlfn.IFS(Table1[[#This Row],[Customer_Satisfaction]]&lt;=2,"Poor",Table1[[#This Row],[Customer_Satisfaction]]=3,"Neutral",Table1[[#This Row],[Customer_Satisfaction]]=4,"Good",Table1[[#This Row],[Customer_Satisfaction]]=5,"Good")</f>
        <v>Neutral</v>
      </c>
    </row>
    <row r="968" spans="1:27" x14ac:dyDescent="0.35">
      <c r="A968">
        <v>20966</v>
      </c>
      <c r="B968" s="1">
        <v>45355</v>
      </c>
      <c r="C968" t="s">
        <v>37</v>
      </c>
      <c r="D968" t="s">
        <v>38</v>
      </c>
      <c r="E968" t="s">
        <v>39</v>
      </c>
      <c r="F968" t="s">
        <v>22</v>
      </c>
      <c r="G968" t="s">
        <v>33</v>
      </c>
      <c r="H968" t="s">
        <v>34</v>
      </c>
      <c r="I968" t="s">
        <v>55</v>
      </c>
      <c r="J968" t="s">
        <v>26</v>
      </c>
      <c r="K968" t="s">
        <v>44</v>
      </c>
      <c r="L968" t="s">
        <v>28</v>
      </c>
      <c r="M968" s="4">
        <v>5</v>
      </c>
      <c r="N968" s="4">
        <v>7</v>
      </c>
      <c r="O968" t="s">
        <v>36</v>
      </c>
      <c r="P968" t="s">
        <v>36</v>
      </c>
      <c r="Q968" s="4">
        <v>311387</v>
      </c>
      <c r="R968" s="4">
        <v>185880</v>
      </c>
      <c r="S968" s="4">
        <f>Table1[[#This Row],[Service_Revenue]]-Table1[[#This Row],[Service_Cost]]</f>
        <v>125507</v>
      </c>
      <c r="T968" s="4">
        <v>4</v>
      </c>
      <c r="U968" s="4">
        <f>IF(AND(Table1[[#This Row],[Rework_Flag]]="Yes",Table1[[#This Row],[Warranty_Claim]]="No"),Table1[[#This Row],[Service_Revenue]],0)</f>
        <v>0</v>
      </c>
      <c r="V968" s="4">
        <f>IF(Table1[[#This Row],[Warranty_Claim]]="Yes",1,0)</f>
        <v>0</v>
      </c>
      <c r="W968" s="4">
        <f>IF(Table1[[#This Row],[Rework_Flag]]="No",1,0)</f>
        <v>1</v>
      </c>
      <c r="X968" s="4">
        <f>IF(Table1[[#This Row],[Rework_Flag]]="Yes",1,0)</f>
        <v>0</v>
      </c>
      <c r="Y968" s="4">
        <v>1</v>
      </c>
      <c r="Z968" s="4" t="str">
        <f>IF(Table1[[#This Row],[TAT_Days]]&gt;Table1[[#This Row],[SLA_TAT]],"Yes","No")</f>
        <v>No</v>
      </c>
      <c r="AA968" s="4" t="str" cm="1">
        <f t="array" ref="AA968">_xlfn.IFS(Table1[[#This Row],[Customer_Satisfaction]]&lt;=2,"Poor",Table1[[#This Row],[Customer_Satisfaction]]=3,"Neutral",Table1[[#This Row],[Customer_Satisfaction]]=4,"Good",Table1[[#This Row],[Customer_Satisfaction]]=5,"Good")</f>
        <v>Good</v>
      </c>
    </row>
    <row r="969" spans="1:27" x14ac:dyDescent="0.35">
      <c r="A969">
        <v>20967</v>
      </c>
      <c r="B969" s="1">
        <v>45450</v>
      </c>
      <c r="C969" t="s">
        <v>19</v>
      </c>
      <c r="D969" t="s">
        <v>45</v>
      </c>
      <c r="E969" t="s">
        <v>76</v>
      </c>
      <c r="F969" t="s">
        <v>40</v>
      </c>
      <c r="G969" t="s">
        <v>23</v>
      </c>
      <c r="H969" t="s">
        <v>24</v>
      </c>
      <c r="I969" t="s">
        <v>25</v>
      </c>
      <c r="J969" t="s">
        <v>67</v>
      </c>
      <c r="K969" t="s">
        <v>44</v>
      </c>
      <c r="L969" t="s">
        <v>28</v>
      </c>
      <c r="M969" s="4">
        <v>14</v>
      </c>
      <c r="N969" s="4">
        <v>7</v>
      </c>
      <c r="O969" t="s">
        <v>29</v>
      </c>
      <c r="P969" t="s">
        <v>29</v>
      </c>
      <c r="Q969" s="4">
        <v>546489</v>
      </c>
      <c r="R969" s="4">
        <v>421945</v>
      </c>
      <c r="S969" s="4">
        <f>Table1[[#This Row],[Service_Revenue]]-Table1[[#This Row],[Service_Cost]]</f>
        <v>124544</v>
      </c>
      <c r="T969" s="4">
        <v>2</v>
      </c>
      <c r="U969" s="4">
        <f>IF(AND(Table1[[#This Row],[Rework_Flag]]="Yes",Table1[[#This Row],[Warranty_Claim]]="No"),Table1[[#This Row],[Service_Revenue]],0)</f>
        <v>0</v>
      </c>
      <c r="V969" s="4">
        <f>IF(Table1[[#This Row],[Warranty_Claim]]="Yes",1,0)</f>
        <v>1</v>
      </c>
      <c r="W969" s="4">
        <f>IF(Table1[[#This Row],[Rework_Flag]]="No",1,0)</f>
        <v>0</v>
      </c>
      <c r="X969" s="4">
        <f>IF(Table1[[#This Row],[Rework_Flag]]="Yes",1,0)</f>
        <v>1</v>
      </c>
      <c r="Y969" s="4">
        <v>1</v>
      </c>
      <c r="Z969" s="4" t="str">
        <f>IF(Table1[[#This Row],[TAT_Days]]&gt;Table1[[#This Row],[SLA_TAT]],"Yes","No")</f>
        <v>Yes</v>
      </c>
      <c r="AA969" s="4" t="str" cm="1">
        <f t="array" ref="AA969">_xlfn.IFS(Table1[[#This Row],[Customer_Satisfaction]]&lt;=2,"Poor",Table1[[#This Row],[Customer_Satisfaction]]=3,"Neutral",Table1[[#This Row],[Customer_Satisfaction]]=4,"Good",Table1[[#This Row],[Customer_Satisfaction]]=5,"Good")</f>
        <v>Poor</v>
      </c>
    </row>
    <row r="970" spans="1:27" x14ac:dyDescent="0.35">
      <c r="A970">
        <v>20968</v>
      </c>
      <c r="B970" s="1">
        <v>45359</v>
      </c>
      <c r="C970" t="s">
        <v>37</v>
      </c>
      <c r="D970" t="s">
        <v>64</v>
      </c>
      <c r="E970" t="s">
        <v>72</v>
      </c>
      <c r="F970" t="s">
        <v>40</v>
      </c>
      <c r="G970" t="s">
        <v>41</v>
      </c>
      <c r="H970" t="s">
        <v>42</v>
      </c>
      <c r="I970" t="s">
        <v>55</v>
      </c>
      <c r="J970" t="s">
        <v>35</v>
      </c>
      <c r="K970" t="s">
        <v>61</v>
      </c>
      <c r="L970" t="s">
        <v>49</v>
      </c>
      <c r="M970" s="4">
        <v>10</v>
      </c>
      <c r="N970" s="4">
        <v>7</v>
      </c>
      <c r="O970" t="s">
        <v>36</v>
      </c>
      <c r="P970" t="s">
        <v>36</v>
      </c>
      <c r="Q970" s="4">
        <v>509305</v>
      </c>
      <c r="R970" s="4">
        <v>275514</v>
      </c>
      <c r="S970" s="4">
        <f>Table1[[#This Row],[Service_Revenue]]-Table1[[#This Row],[Service_Cost]]</f>
        <v>233791</v>
      </c>
      <c r="T970" s="4">
        <v>3</v>
      </c>
      <c r="U970" s="4">
        <f>IF(AND(Table1[[#This Row],[Rework_Flag]]="Yes",Table1[[#This Row],[Warranty_Claim]]="No"),Table1[[#This Row],[Service_Revenue]],0)</f>
        <v>0</v>
      </c>
      <c r="V970" s="4">
        <f>IF(Table1[[#This Row],[Warranty_Claim]]="Yes",1,0)</f>
        <v>0</v>
      </c>
      <c r="W970" s="4">
        <f>IF(Table1[[#This Row],[Rework_Flag]]="No",1,0)</f>
        <v>1</v>
      </c>
      <c r="X970" s="4">
        <f>IF(Table1[[#This Row],[Rework_Flag]]="Yes",1,0)</f>
        <v>0</v>
      </c>
      <c r="Y970" s="4">
        <v>1</v>
      </c>
      <c r="Z970" s="4" t="str">
        <f>IF(Table1[[#This Row],[TAT_Days]]&gt;Table1[[#This Row],[SLA_TAT]],"Yes","No")</f>
        <v>Yes</v>
      </c>
      <c r="AA970" s="4" t="str" cm="1">
        <f t="array" ref="AA970">_xlfn.IFS(Table1[[#This Row],[Customer_Satisfaction]]&lt;=2,"Poor",Table1[[#This Row],[Customer_Satisfaction]]=3,"Neutral",Table1[[#This Row],[Customer_Satisfaction]]=4,"Good",Table1[[#This Row],[Customer_Satisfaction]]=5,"Good")</f>
        <v>Neutral</v>
      </c>
    </row>
    <row r="971" spans="1:27" x14ac:dyDescent="0.35">
      <c r="A971">
        <v>20969</v>
      </c>
      <c r="B971" s="1">
        <v>45373</v>
      </c>
      <c r="C971" t="s">
        <v>19</v>
      </c>
      <c r="D971" t="s">
        <v>20</v>
      </c>
      <c r="E971" t="s">
        <v>110</v>
      </c>
      <c r="F971" t="s">
        <v>40</v>
      </c>
      <c r="G971" t="s">
        <v>47</v>
      </c>
      <c r="H971" t="s">
        <v>48</v>
      </c>
      <c r="I971" t="s">
        <v>55</v>
      </c>
      <c r="J971" t="s">
        <v>35</v>
      </c>
      <c r="K971" t="s">
        <v>27</v>
      </c>
      <c r="L971" t="s">
        <v>28</v>
      </c>
      <c r="M971" s="4">
        <v>24</v>
      </c>
      <c r="N971" s="4">
        <v>7</v>
      </c>
      <c r="O971" t="s">
        <v>29</v>
      </c>
      <c r="P971" t="s">
        <v>29</v>
      </c>
      <c r="Q971" s="4">
        <v>146698</v>
      </c>
      <c r="R971" s="4">
        <v>115496</v>
      </c>
      <c r="S971" s="4">
        <f>Table1[[#This Row],[Service_Revenue]]-Table1[[#This Row],[Service_Cost]]</f>
        <v>31202</v>
      </c>
      <c r="T971" s="4">
        <v>1</v>
      </c>
      <c r="U971" s="4">
        <f>IF(AND(Table1[[#This Row],[Rework_Flag]]="Yes",Table1[[#This Row],[Warranty_Claim]]="No"),Table1[[#This Row],[Service_Revenue]],0)</f>
        <v>0</v>
      </c>
      <c r="V971" s="4">
        <f>IF(Table1[[#This Row],[Warranty_Claim]]="Yes",1,0)</f>
        <v>1</v>
      </c>
      <c r="W971" s="4">
        <f>IF(Table1[[#This Row],[Rework_Flag]]="No",1,0)</f>
        <v>0</v>
      </c>
      <c r="X971" s="4">
        <f>IF(Table1[[#This Row],[Rework_Flag]]="Yes",1,0)</f>
        <v>1</v>
      </c>
      <c r="Y971" s="4">
        <v>1</v>
      </c>
      <c r="Z971" s="4" t="str">
        <f>IF(Table1[[#This Row],[TAT_Days]]&gt;Table1[[#This Row],[SLA_TAT]],"Yes","No")</f>
        <v>Yes</v>
      </c>
      <c r="AA971" s="4" t="str" cm="1">
        <f t="array" ref="AA971">_xlfn.IFS(Table1[[#This Row],[Customer_Satisfaction]]&lt;=2,"Poor",Table1[[#This Row],[Customer_Satisfaction]]=3,"Neutral",Table1[[#This Row],[Customer_Satisfaction]]=4,"Good",Table1[[#This Row],[Customer_Satisfaction]]=5,"Good")</f>
        <v>Poor</v>
      </c>
    </row>
    <row r="972" spans="1:27" x14ac:dyDescent="0.35">
      <c r="A972">
        <v>20970</v>
      </c>
      <c r="B972" s="1">
        <v>45429</v>
      </c>
      <c r="C972" t="s">
        <v>50</v>
      </c>
      <c r="D972" t="s">
        <v>80</v>
      </c>
      <c r="E972" t="s">
        <v>118</v>
      </c>
      <c r="F972" t="s">
        <v>40</v>
      </c>
      <c r="G972" t="s">
        <v>41</v>
      </c>
      <c r="H972" t="s">
        <v>42</v>
      </c>
      <c r="I972" t="s">
        <v>25</v>
      </c>
      <c r="J972" t="s">
        <v>26</v>
      </c>
      <c r="K972" t="s">
        <v>27</v>
      </c>
      <c r="L972" t="s">
        <v>28</v>
      </c>
      <c r="M972" s="4">
        <v>11</v>
      </c>
      <c r="N972" s="4">
        <v>7</v>
      </c>
      <c r="O972" t="s">
        <v>29</v>
      </c>
      <c r="P972" t="s">
        <v>36</v>
      </c>
      <c r="Q972" s="4">
        <v>327624</v>
      </c>
      <c r="R972" s="4">
        <v>222876</v>
      </c>
      <c r="S972" s="4">
        <f>Table1[[#This Row],[Service_Revenue]]-Table1[[#This Row],[Service_Cost]]</f>
        <v>104748</v>
      </c>
      <c r="T972" s="4">
        <v>2</v>
      </c>
      <c r="U972" s="4">
        <f>IF(AND(Table1[[#This Row],[Rework_Flag]]="Yes",Table1[[#This Row],[Warranty_Claim]]="No"),Table1[[#This Row],[Service_Revenue]],0)</f>
        <v>327624</v>
      </c>
      <c r="V972" s="4">
        <f>IF(Table1[[#This Row],[Warranty_Claim]]="Yes",1,0)</f>
        <v>0</v>
      </c>
      <c r="W972" s="4">
        <f>IF(Table1[[#This Row],[Rework_Flag]]="No",1,0)</f>
        <v>0</v>
      </c>
      <c r="X972" s="4">
        <f>IF(Table1[[#This Row],[Rework_Flag]]="Yes",1,0)</f>
        <v>1</v>
      </c>
      <c r="Y972" s="4">
        <v>1</v>
      </c>
      <c r="Z972" s="4" t="str">
        <f>IF(Table1[[#This Row],[TAT_Days]]&gt;Table1[[#This Row],[SLA_TAT]],"Yes","No")</f>
        <v>Yes</v>
      </c>
      <c r="AA972" s="4" t="str" cm="1">
        <f t="array" ref="AA972">_xlfn.IFS(Table1[[#This Row],[Customer_Satisfaction]]&lt;=2,"Poor",Table1[[#This Row],[Customer_Satisfaction]]=3,"Neutral",Table1[[#This Row],[Customer_Satisfaction]]=4,"Good",Table1[[#This Row],[Customer_Satisfaction]]=5,"Good")</f>
        <v>Poor</v>
      </c>
    </row>
    <row r="973" spans="1:27" x14ac:dyDescent="0.35">
      <c r="A973">
        <v>20971</v>
      </c>
      <c r="B973" s="1">
        <v>45401</v>
      </c>
      <c r="C973" t="s">
        <v>30</v>
      </c>
      <c r="D973" t="s">
        <v>59</v>
      </c>
      <c r="E973" t="s">
        <v>69</v>
      </c>
      <c r="F973" t="s">
        <v>40</v>
      </c>
      <c r="G973" t="s">
        <v>33</v>
      </c>
      <c r="H973" t="s">
        <v>34</v>
      </c>
      <c r="I973" t="s">
        <v>25</v>
      </c>
      <c r="J973" t="s">
        <v>58</v>
      </c>
      <c r="K973" t="s">
        <v>61</v>
      </c>
      <c r="L973" t="s">
        <v>28</v>
      </c>
      <c r="M973" s="4">
        <v>5</v>
      </c>
      <c r="N973" s="4">
        <v>7</v>
      </c>
      <c r="O973" t="s">
        <v>29</v>
      </c>
      <c r="P973" t="s">
        <v>29</v>
      </c>
      <c r="Q973" s="4">
        <v>156832</v>
      </c>
      <c r="R973" s="4">
        <v>131701</v>
      </c>
      <c r="S973" s="4">
        <f>Table1[[#This Row],[Service_Revenue]]-Table1[[#This Row],[Service_Cost]]</f>
        <v>25131</v>
      </c>
      <c r="T973" s="4">
        <v>3</v>
      </c>
      <c r="U973" s="4">
        <f>IF(AND(Table1[[#This Row],[Rework_Flag]]="Yes",Table1[[#This Row],[Warranty_Claim]]="No"),Table1[[#This Row],[Service_Revenue]],0)</f>
        <v>0</v>
      </c>
      <c r="V973" s="4">
        <f>IF(Table1[[#This Row],[Warranty_Claim]]="Yes",1,0)</f>
        <v>1</v>
      </c>
      <c r="W973" s="4">
        <f>IF(Table1[[#This Row],[Rework_Flag]]="No",1,0)</f>
        <v>0</v>
      </c>
      <c r="X973" s="4">
        <f>IF(Table1[[#This Row],[Rework_Flag]]="Yes",1,0)</f>
        <v>1</v>
      </c>
      <c r="Y973" s="4">
        <v>1</v>
      </c>
      <c r="Z973" s="4" t="str">
        <f>IF(Table1[[#This Row],[TAT_Days]]&gt;Table1[[#This Row],[SLA_TAT]],"Yes","No")</f>
        <v>No</v>
      </c>
      <c r="AA973" s="4" t="str" cm="1">
        <f t="array" ref="AA973">_xlfn.IFS(Table1[[#This Row],[Customer_Satisfaction]]&lt;=2,"Poor",Table1[[#This Row],[Customer_Satisfaction]]=3,"Neutral",Table1[[#This Row],[Customer_Satisfaction]]=4,"Good",Table1[[#This Row],[Customer_Satisfaction]]=5,"Good")</f>
        <v>Neutral</v>
      </c>
    </row>
    <row r="974" spans="1:27" x14ac:dyDescent="0.35">
      <c r="A974">
        <v>20972</v>
      </c>
      <c r="B974" s="1">
        <v>45450</v>
      </c>
      <c r="C974" t="s">
        <v>37</v>
      </c>
      <c r="D974" t="s">
        <v>70</v>
      </c>
      <c r="E974" t="s">
        <v>91</v>
      </c>
      <c r="F974" t="s">
        <v>53</v>
      </c>
      <c r="G974" t="s">
        <v>33</v>
      </c>
      <c r="H974" t="s">
        <v>34</v>
      </c>
      <c r="I974" t="s">
        <v>55</v>
      </c>
      <c r="J974" t="s">
        <v>67</v>
      </c>
      <c r="K974" t="s">
        <v>44</v>
      </c>
      <c r="L974" t="s">
        <v>28</v>
      </c>
      <c r="M974" s="4">
        <v>13</v>
      </c>
      <c r="N974" s="4">
        <v>7</v>
      </c>
      <c r="O974" t="s">
        <v>36</v>
      </c>
      <c r="P974" t="s">
        <v>29</v>
      </c>
      <c r="Q974" s="4">
        <v>295551</v>
      </c>
      <c r="R974" s="4">
        <v>173641</v>
      </c>
      <c r="S974" s="4">
        <f>Table1[[#This Row],[Service_Revenue]]-Table1[[#This Row],[Service_Cost]]</f>
        <v>121910</v>
      </c>
      <c r="T974" s="4">
        <v>3</v>
      </c>
      <c r="U974" s="4">
        <f>IF(AND(Table1[[#This Row],[Rework_Flag]]="Yes",Table1[[#This Row],[Warranty_Claim]]="No"),Table1[[#This Row],[Service_Revenue]],0)</f>
        <v>0</v>
      </c>
      <c r="V974" s="4">
        <f>IF(Table1[[#This Row],[Warranty_Claim]]="Yes",1,0)</f>
        <v>1</v>
      </c>
      <c r="W974" s="4">
        <f>IF(Table1[[#This Row],[Rework_Flag]]="No",1,0)</f>
        <v>1</v>
      </c>
      <c r="X974" s="4">
        <f>IF(Table1[[#This Row],[Rework_Flag]]="Yes",1,0)</f>
        <v>0</v>
      </c>
      <c r="Y974" s="4">
        <v>1</v>
      </c>
      <c r="Z974" s="4" t="str">
        <f>IF(Table1[[#This Row],[TAT_Days]]&gt;Table1[[#This Row],[SLA_TAT]],"Yes","No")</f>
        <v>Yes</v>
      </c>
      <c r="AA974" s="4" t="str" cm="1">
        <f t="array" ref="AA974">_xlfn.IFS(Table1[[#This Row],[Customer_Satisfaction]]&lt;=2,"Poor",Table1[[#This Row],[Customer_Satisfaction]]=3,"Neutral",Table1[[#This Row],[Customer_Satisfaction]]=4,"Good",Table1[[#This Row],[Customer_Satisfaction]]=5,"Good")</f>
        <v>Neutral</v>
      </c>
    </row>
    <row r="975" spans="1:27" x14ac:dyDescent="0.35">
      <c r="A975">
        <v>20973</v>
      </c>
      <c r="B975" s="1">
        <v>45318</v>
      </c>
      <c r="C975" t="s">
        <v>37</v>
      </c>
      <c r="D975" t="s">
        <v>38</v>
      </c>
      <c r="E975" t="s">
        <v>102</v>
      </c>
      <c r="F975" t="s">
        <v>22</v>
      </c>
      <c r="G975" t="s">
        <v>47</v>
      </c>
      <c r="H975" t="s">
        <v>48</v>
      </c>
      <c r="I975" t="s">
        <v>25</v>
      </c>
      <c r="J975" t="s">
        <v>26</v>
      </c>
      <c r="K975" t="s">
        <v>27</v>
      </c>
      <c r="L975" t="s">
        <v>28</v>
      </c>
      <c r="M975" s="4">
        <v>17</v>
      </c>
      <c r="N975" s="4">
        <v>7</v>
      </c>
      <c r="O975" t="s">
        <v>29</v>
      </c>
      <c r="P975" t="s">
        <v>36</v>
      </c>
      <c r="Q975" s="4">
        <v>500745</v>
      </c>
      <c r="R975" s="4">
        <v>311090</v>
      </c>
      <c r="S975" s="4">
        <f>Table1[[#This Row],[Service_Revenue]]-Table1[[#This Row],[Service_Cost]]</f>
        <v>189655</v>
      </c>
      <c r="T975" s="4">
        <v>1</v>
      </c>
      <c r="U975" s="4">
        <f>IF(AND(Table1[[#This Row],[Rework_Flag]]="Yes",Table1[[#This Row],[Warranty_Claim]]="No"),Table1[[#This Row],[Service_Revenue]],0)</f>
        <v>500745</v>
      </c>
      <c r="V975" s="4">
        <f>IF(Table1[[#This Row],[Warranty_Claim]]="Yes",1,0)</f>
        <v>0</v>
      </c>
      <c r="W975" s="4">
        <f>IF(Table1[[#This Row],[Rework_Flag]]="No",1,0)</f>
        <v>0</v>
      </c>
      <c r="X975" s="4">
        <f>IF(Table1[[#This Row],[Rework_Flag]]="Yes",1,0)</f>
        <v>1</v>
      </c>
      <c r="Y975" s="4">
        <v>1</v>
      </c>
      <c r="Z975" s="4" t="str">
        <f>IF(Table1[[#This Row],[TAT_Days]]&gt;Table1[[#This Row],[SLA_TAT]],"Yes","No")</f>
        <v>Yes</v>
      </c>
      <c r="AA975" s="4" t="str" cm="1">
        <f t="array" ref="AA975">_xlfn.IFS(Table1[[#This Row],[Customer_Satisfaction]]&lt;=2,"Poor",Table1[[#This Row],[Customer_Satisfaction]]=3,"Neutral",Table1[[#This Row],[Customer_Satisfaction]]=4,"Good",Table1[[#This Row],[Customer_Satisfaction]]=5,"Good")</f>
        <v>Poor</v>
      </c>
    </row>
    <row r="976" spans="1:27" x14ac:dyDescent="0.35">
      <c r="A976">
        <v>20974</v>
      </c>
      <c r="B976" s="1">
        <v>45348</v>
      </c>
      <c r="C976" t="s">
        <v>50</v>
      </c>
      <c r="D976" t="s">
        <v>80</v>
      </c>
      <c r="E976" t="s">
        <v>121</v>
      </c>
      <c r="F976" t="s">
        <v>53</v>
      </c>
      <c r="G976" t="s">
        <v>54</v>
      </c>
      <c r="H976" t="s">
        <v>42</v>
      </c>
      <c r="I976" t="s">
        <v>55</v>
      </c>
      <c r="J976" t="s">
        <v>43</v>
      </c>
      <c r="K976" t="s">
        <v>44</v>
      </c>
      <c r="L976" t="s">
        <v>49</v>
      </c>
      <c r="M976" s="4">
        <v>17</v>
      </c>
      <c r="N976" s="4">
        <v>7</v>
      </c>
      <c r="O976" t="s">
        <v>36</v>
      </c>
      <c r="P976" t="s">
        <v>29</v>
      </c>
      <c r="Q976" s="4">
        <v>119957</v>
      </c>
      <c r="R976" s="4">
        <v>68254</v>
      </c>
      <c r="S976" s="4">
        <f>Table1[[#This Row],[Service_Revenue]]-Table1[[#This Row],[Service_Cost]]</f>
        <v>51703</v>
      </c>
      <c r="T976" s="4">
        <v>2</v>
      </c>
      <c r="U976" s="4">
        <f>IF(AND(Table1[[#This Row],[Rework_Flag]]="Yes",Table1[[#This Row],[Warranty_Claim]]="No"),Table1[[#This Row],[Service_Revenue]],0)</f>
        <v>0</v>
      </c>
      <c r="V976" s="4">
        <f>IF(Table1[[#This Row],[Warranty_Claim]]="Yes",1,0)</f>
        <v>1</v>
      </c>
      <c r="W976" s="4">
        <f>IF(Table1[[#This Row],[Rework_Flag]]="No",1,0)</f>
        <v>1</v>
      </c>
      <c r="X976" s="4">
        <f>IF(Table1[[#This Row],[Rework_Flag]]="Yes",1,0)</f>
        <v>0</v>
      </c>
      <c r="Y976" s="4">
        <v>1</v>
      </c>
      <c r="Z976" s="4" t="str">
        <f>IF(Table1[[#This Row],[TAT_Days]]&gt;Table1[[#This Row],[SLA_TAT]],"Yes","No")</f>
        <v>Yes</v>
      </c>
      <c r="AA976" s="4" t="str" cm="1">
        <f t="array" ref="AA976">_xlfn.IFS(Table1[[#This Row],[Customer_Satisfaction]]&lt;=2,"Poor",Table1[[#This Row],[Customer_Satisfaction]]=3,"Neutral",Table1[[#This Row],[Customer_Satisfaction]]=4,"Good",Table1[[#This Row],[Customer_Satisfaction]]=5,"Good")</f>
        <v>Poor</v>
      </c>
    </row>
    <row r="977" spans="1:27" x14ac:dyDescent="0.35">
      <c r="A977">
        <v>20975</v>
      </c>
      <c r="B977" s="1">
        <v>45300</v>
      </c>
      <c r="C977" t="s">
        <v>30</v>
      </c>
      <c r="D977" t="s">
        <v>31</v>
      </c>
      <c r="E977" t="s">
        <v>62</v>
      </c>
      <c r="F977" t="s">
        <v>53</v>
      </c>
      <c r="G977" t="s">
        <v>54</v>
      </c>
      <c r="H977" t="s">
        <v>42</v>
      </c>
      <c r="I977" t="s">
        <v>25</v>
      </c>
      <c r="J977" t="s">
        <v>67</v>
      </c>
      <c r="K977" t="s">
        <v>44</v>
      </c>
      <c r="L977" t="s">
        <v>28</v>
      </c>
      <c r="M977" s="4">
        <v>24</v>
      </c>
      <c r="N977" s="4">
        <v>7</v>
      </c>
      <c r="O977" t="s">
        <v>36</v>
      </c>
      <c r="P977" t="s">
        <v>36</v>
      </c>
      <c r="Q977" s="4">
        <v>253732</v>
      </c>
      <c r="R977" s="4">
        <v>200238</v>
      </c>
      <c r="S977" s="4">
        <f>Table1[[#This Row],[Service_Revenue]]-Table1[[#This Row],[Service_Cost]]</f>
        <v>53494</v>
      </c>
      <c r="T977" s="4">
        <v>1</v>
      </c>
      <c r="U977" s="4">
        <f>IF(AND(Table1[[#This Row],[Rework_Flag]]="Yes",Table1[[#This Row],[Warranty_Claim]]="No"),Table1[[#This Row],[Service_Revenue]],0)</f>
        <v>0</v>
      </c>
      <c r="V977" s="4">
        <f>IF(Table1[[#This Row],[Warranty_Claim]]="Yes",1,0)</f>
        <v>0</v>
      </c>
      <c r="W977" s="4">
        <f>IF(Table1[[#This Row],[Rework_Flag]]="No",1,0)</f>
        <v>1</v>
      </c>
      <c r="X977" s="4">
        <f>IF(Table1[[#This Row],[Rework_Flag]]="Yes",1,0)</f>
        <v>0</v>
      </c>
      <c r="Y977" s="4">
        <v>1</v>
      </c>
      <c r="Z977" s="4" t="str">
        <f>IF(Table1[[#This Row],[TAT_Days]]&gt;Table1[[#This Row],[SLA_TAT]],"Yes","No")</f>
        <v>Yes</v>
      </c>
      <c r="AA977" s="4" t="str" cm="1">
        <f t="array" ref="AA977">_xlfn.IFS(Table1[[#This Row],[Customer_Satisfaction]]&lt;=2,"Poor",Table1[[#This Row],[Customer_Satisfaction]]=3,"Neutral",Table1[[#This Row],[Customer_Satisfaction]]=4,"Good",Table1[[#This Row],[Customer_Satisfaction]]=5,"Good")</f>
        <v>Poor</v>
      </c>
    </row>
    <row r="978" spans="1:27" x14ac:dyDescent="0.35">
      <c r="A978">
        <v>20976</v>
      </c>
      <c r="B978" s="1">
        <v>45371</v>
      </c>
      <c r="C978" t="s">
        <v>50</v>
      </c>
      <c r="D978" t="s">
        <v>51</v>
      </c>
      <c r="E978" t="s">
        <v>73</v>
      </c>
      <c r="F978" t="s">
        <v>40</v>
      </c>
      <c r="G978" t="s">
        <v>41</v>
      </c>
      <c r="H978" t="s">
        <v>42</v>
      </c>
      <c r="I978" t="s">
        <v>55</v>
      </c>
      <c r="J978" t="s">
        <v>43</v>
      </c>
      <c r="K978" t="s">
        <v>44</v>
      </c>
      <c r="L978" t="s">
        <v>49</v>
      </c>
      <c r="M978" s="4">
        <v>12</v>
      </c>
      <c r="N978" s="4">
        <v>7</v>
      </c>
      <c r="O978" t="s">
        <v>29</v>
      </c>
      <c r="P978" t="s">
        <v>36</v>
      </c>
      <c r="Q978" s="4">
        <v>501491</v>
      </c>
      <c r="R978" s="4">
        <v>349942</v>
      </c>
      <c r="S978" s="4">
        <f>Table1[[#This Row],[Service_Revenue]]-Table1[[#This Row],[Service_Cost]]</f>
        <v>151549</v>
      </c>
      <c r="T978" s="4">
        <v>2</v>
      </c>
      <c r="U978" s="4">
        <f>IF(AND(Table1[[#This Row],[Rework_Flag]]="Yes",Table1[[#This Row],[Warranty_Claim]]="No"),Table1[[#This Row],[Service_Revenue]],0)</f>
        <v>501491</v>
      </c>
      <c r="V978" s="4">
        <f>IF(Table1[[#This Row],[Warranty_Claim]]="Yes",1,0)</f>
        <v>0</v>
      </c>
      <c r="W978" s="4">
        <f>IF(Table1[[#This Row],[Rework_Flag]]="No",1,0)</f>
        <v>0</v>
      </c>
      <c r="X978" s="4">
        <f>IF(Table1[[#This Row],[Rework_Flag]]="Yes",1,0)</f>
        <v>1</v>
      </c>
      <c r="Y978" s="4">
        <v>1</v>
      </c>
      <c r="Z978" s="4" t="str">
        <f>IF(Table1[[#This Row],[TAT_Days]]&gt;Table1[[#This Row],[SLA_TAT]],"Yes","No")</f>
        <v>Yes</v>
      </c>
      <c r="AA978" s="4" t="str" cm="1">
        <f t="array" ref="AA978">_xlfn.IFS(Table1[[#This Row],[Customer_Satisfaction]]&lt;=2,"Poor",Table1[[#This Row],[Customer_Satisfaction]]=3,"Neutral",Table1[[#This Row],[Customer_Satisfaction]]=4,"Good",Table1[[#This Row],[Customer_Satisfaction]]=5,"Good")</f>
        <v>Poor</v>
      </c>
    </row>
    <row r="979" spans="1:27" x14ac:dyDescent="0.35">
      <c r="A979">
        <v>20977</v>
      </c>
      <c r="B979" s="1">
        <v>45411</v>
      </c>
      <c r="C979" t="s">
        <v>37</v>
      </c>
      <c r="D979" t="s">
        <v>70</v>
      </c>
      <c r="E979" t="s">
        <v>82</v>
      </c>
      <c r="F979" t="s">
        <v>22</v>
      </c>
      <c r="G979" t="s">
        <v>23</v>
      </c>
      <c r="H979" t="s">
        <v>24</v>
      </c>
      <c r="I979" t="s">
        <v>55</v>
      </c>
      <c r="J979" t="s">
        <v>43</v>
      </c>
      <c r="K979" t="s">
        <v>44</v>
      </c>
      <c r="L979" t="s">
        <v>28</v>
      </c>
      <c r="M979" s="4">
        <v>8</v>
      </c>
      <c r="N979" s="4">
        <v>7</v>
      </c>
      <c r="O979" t="s">
        <v>36</v>
      </c>
      <c r="P979" t="s">
        <v>36</v>
      </c>
      <c r="Q979" s="4">
        <v>378358</v>
      </c>
      <c r="R979" s="4">
        <v>238942</v>
      </c>
      <c r="S979" s="4">
        <f>Table1[[#This Row],[Service_Revenue]]-Table1[[#This Row],[Service_Cost]]</f>
        <v>139416</v>
      </c>
      <c r="T979" s="4">
        <v>4</v>
      </c>
      <c r="U979" s="4">
        <f>IF(AND(Table1[[#This Row],[Rework_Flag]]="Yes",Table1[[#This Row],[Warranty_Claim]]="No"),Table1[[#This Row],[Service_Revenue]],0)</f>
        <v>0</v>
      </c>
      <c r="V979" s="4">
        <f>IF(Table1[[#This Row],[Warranty_Claim]]="Yes",1,0)</f>
        <v>0</v>
      </c>
      <c r="W979" s="4">
        <f>IF(Table1[[#This Row],[Rework_Flag]]="No",1,0)</f>
        <v>1</v>
      </c>
      <c r="X979" s="4">
        <f>IF(Table1[[#This Row],[Rework_Flag]]="Yes",1,0)</f>
        <v>0</v>
      </c>
      <c r="Y979" s="4">
        <v>1</v>
      </c>
      <c r="Z979" s="4" t="str">
        <f>IF(Table1[[#This Row],[TAT_Days]]&gt;Table1[[#This Row],[SLA_TAT]],"Yes","No")</f>
        <v>Yes</v>
      </c>
      <c r="AA979" s="4" t="str" cm="1">
        <f t="array" ref="AA979">_xlfn.IFS(Table1[[#This Row],[Customer_Satisfaction]]&lt;=2,"Poor",Table1[[#This Row],[Customer_Satisfaction]]=3,"Neutral",Table1[[#This Row],[Customer_Satisfaction]]=4,"Good",Table1[[#This Row],[Customer_Satisfaction]]=5,"Good")</f>
        <v>Good</v>
      </c>
    </row>
    <row r="980" spans="1:27" x14ac:dyDescent="0.35">
      <c r="A980">
        <v>20978</v>
      </c>
      <c r="B980" s="1">
        <v>45312</v>
      </c>
      <c r="C980" t="s">
        <v>30</v>
      </c>
      <c r="D980" t="s">
        <v>59</v>
      </c>
      <c r="E980" t="s">
        <v>60</v>
      </c>
      <c r="F980" t="s">
        <v>40</v>
      </c>
      <c r="G980" t="s">
        <v>74</v>
      </c>
      <c r="H980" t="s">
        <v>34</v>
      </c>
      <c r="I980" t="s">
        <v>25</v>
      </c>
      <c r="J980" t="s">
        <v>26</v>
      </c>
      <c r="K980" t="s">
        <v>44</v>
      </c>
      <c r="L980" t="s">
        <v>28</v>
      </c>
      <c r="M980" s="4">
        <v>6</v>
      </c>
      <c r="N980" s="4">
        <v>7</v>
      </c>
      <c r="O980" t="s">
        <v>29</v>
      </c>
      <c r="P980" t="s">
        <v>36</v>
      </c>
      <c r="Q980" s="4">
        <v>336695</v>
      </c>
      <c r="R980" s="4">
        <v>220930</v>
      </c>
      <c r="S980" s="4">
        <f>Table1[[#This Row],[Service_Revenue]]-Table1[[#This Row],[Service_Cost]]</f>
        <v>115765</v>
      </c>
      <c r="T980" s="4">
        <v>3</v>
      </c>
      <c r="U980" s="4">
        <f>IF(AND(Table1[[#This Row],[Rework_Flag]]="Yes",Table1[[#This Row],[Warranty_Claim]]="No"),Table1[[#This Row],[Service_Revenue]],0)</f>
        <v>336695</v>
      </c>
      <c r="V980" s="4">
        <f>IF(Table1[[#This Row],[Warranty_Claim]]="Yes",1,0)</f>
        <v>0</v>
      </c>
      <c r="W980" s="4">
        <f>IF(Table1[[#This Row],[Rework_Flag]]="No",1,0)</f>
        <v>0</v>
      </c>
      <c r="X980" s="4">
        <f>IF(Table1[[#This Row],[Rework_Flag]]="Yes",1,0)</f>
        <v>1</v>
      </c>
      <c r="Y980" s="4">
        <v>1</v>
      </c>
      <c r="Z980" s="4" t="str">
        <f>IF(Table1[[#This Row],[TAT_Days]]&gt;Table1[[#This Row],[SLA_TAT]],"Yes","No")</f>
        <v>No</v>
      </c>
      <c r="AA980" s="4" t="str" cm="1">
        <f t="array" ref="AA980">_xlfn.IFS(Table1[[#This Row],[Customer_Satisfaction]]&lt;=2,"Poor",Table1[[#This Row],[Customer_Satisfaction]]=3,"Neutral",Table1[[#This Row],[Customer_Satisfaction]]=4,"Good",Table1[[#This Row],[Customer_Satisfaction]]=5,"Good")</f>
        <v>Neutral</v>
      </c>
    </row>
    <row r="981" spans="1:27" x14ac:dyDescent="0.35">
      <c r="A981">
        <v>20979</v>
      </c>
      <c r="B981" s="1">
        <v>45463</v>
      </c>
      <c r="C981" t="s">
        <v>50</v>
      </c>
      <c r="D981" t="s">
        <v>56</v>
      </c>
      <c r="E981" t="s">
        <v>57</v>
      </c>
      <c r="F981" t="s">
        <v>53</v>
      </c>
      <c r="G981" t="s">
        <v>33</v>
      </c>
      <c r="H981" t="s">
        <v>34</v>
      </c>
      <c r="I981" t="s">
        <v>55</v>
      </c>
      <c r="J981" t="s">
        <v>43</v>
      </c>
      <c r="K981" t="s">
        <v>44</v>
      </c>
      <c r="L981" t="s">
        <v>28</v>
      </c>
      <c r="M981" s="4">
        <v>21</v>
      </c>
      <c r="N981" s="4">
        <v>7</v>
      </c>
      <c r="O981" t="s">
        <v>29</v>
      </c>
      <c r="P981" t="s">
        <v>29</v>
      </c>
      <c r="Q981" s="4">
        <v>557930</v>
      </c>
      <c r="R981" s="4">
        <v>394503</v>
      </c>
      <c r="S981" s="4">
        <f>Table1[[#This Row],[Service_Revenue]]-Table1[[#This Row],[Service_Cost]]</f>
        <v>163427</v>
      </c>
      <c r="T981" s="4">
        <v>1</v>
      </c>
      <c r="U981" s="4">
        <f>IF(AND(Table1[[#This Row],[Rework_Flag]]="Yes",Table1[[#This Row],[Warranty_Claim]]="No"),Table1[[#This Row],[Service_Revenue]],0)</f>
        <v>0</v>
      </c>
      <c r="V981" s="4">
        <f>IF(Table1[[#This Row],[Warranty_Claim]]="Yes",1,0)</f>
        <v>1</v>
      </c>
      <c r="W981" s="4">
        <f>IF(Table1[[#This Row],[Rework_Flag]]="No",1,0)</f>
        <v>0</v>
      </c>
      <c r="X981" s="4">
        <f>IF(Table1[[#This Row],[Rework_Flag]]="Yes",1,0)</f>
        <v>1</v>
      </c>
      <c r="Y981" s="4">
        <v>1</v>
      </c>
      <c r="Z981" s="4" t="str">
        <f>IF(Table1[[#This Row],[TAT_Days]]&gt;Table1[[#This Row],[SLA_TAT]],"Yes","No")</f>
        <v>Yes</v>
      </c>
      <c r="AA981" s="4" t="str" cm="1">
        <f t="array" ref="AA981">_xlfn.IFS(Table1[[#This Row],[Customer_Satisfaction]]&lt;=2,"Poor",Table1[[#This Row],[Customer_Satisfaction]]=3,"Neutral",Table1[[#This Row],[Customer_Satisfaction]]=4,"Good",Table1[[#This Row],[Customer_Satisfaction]]=5,"Good")</f>
        <v>Poor</v>
      </c>
    </row>
    <row r="982" spans="1:27" x14ac:dyDescent="0.35">
      <c r="A982">
        <v>20980</v>
      </c>
      <c r="B982" s="1">
        <v>45414</v>
      </c>
      <c r="C982" t="s">
        <v>37</v>
      </c>
      <c r="D982" t="s">
        <v>70</v>
      </c>
      <c r="E982" t="s">
        <v>82</v>
      </c>
      <c r="F982" t="s">
        <v>22</v>
      </c>
      <c r="G982" t="s">
        <v>47</v>
      </c>
      <c r="H982" t="s">
        <v>48</v>
      </c>
      <c r="I982" t="s">
        <v>25</v>
      </c>
      <c r="J982" t="s">
        <v>26</v>
      </c>
      <c r="K982" t="s">
        <v>61</v>
      </c>
      <c r="L982" t="s">
        <v>28</v>
      </c>
      <c r="M982" s="4">
        <v>13</v>
      </c>
      <c r="N982" s="4">
        <v>7</v>
      </c>
      <c r="O982" t="s">
        <v>36</v>
      </c>
      <c r="P982" t="s">
        <v>36</v>
      </c>
      <c r="Q982" s="4">
        <v>114725</v>
      </c>
      <c r="R982" s="4">
        <v>66320</v>
      </c>
      <c r="S982" s="4">
        <f>Table1[[#This Row],[Service_Revenue]]-Table1[[#This Row],[Service_Cost]]</f>
        <v>48405</v>
      </c>
      <c r="T982" s="4">
        <v>3</v>
      </c>
      <c r="U982" s="4">
        <f>IF(AND(Table1[[#This Row],[Rework_Flag]]="Yes",Table1[[#This Row],[Warranty_Claim]]="No"),Table1[[#This Row],[Service_Revenue]],0)</f>
        <v>0</v>
      </c>
      <c r="V982" s="4">
        <f>IF(Table1[[#This Row],[Warranty_Claim]]="Yes",1,0)</f>
        <v>0</v>
      </c>
      <c r="W982" s="4">
        <f>IF(Table1[[#This Row],[Rework_Flag]]="No",1,0)</f>
        <v>1</v>
      </c>
      <c r="X982" s="4">
        <f>IF(Table1[[#This Row],[Rework_Flag]]="Yes",1,0)</f>
        <v>0</v>
      </c>
      <c r="Y982" s="4">
        <v>1</v>
      </c>
      <c r="Z982" s="4" t="str">
        <f>IF(Table1[[#This Row],[TAT_Days]]&gt;Table1[[#This Row],[SLA_TAT]],"Yes","No")</f>
        <v>Yes</v>
      </c>
      <c r="AA982" s="4" t="str" cm="1">
        <f t="array" ref="AA982">_xlfn.IFS(Table1[[#This Row],[Customer_Satisfaction]]&lt;=2,"Poor",Table1[[#This Row],[Customer_Satisfaction]]=3,"Neutral",Table1[[#This Row],[Customer_Satisfaction]]=4,"Good",Table1[[#This Row],[Customer_Satisfaction]]=5,"Good")</f>
        <v>Neutral</v>
      </c>
    </row>
    <row r="983" spans="1:27" x14ac:dyDescent="0.35">
      <c r="A983">
        <v>20981</v>
      </c>
      <c r="B983" s="1">
        <v>45349</v>
      </c>
      <c r="C983" t="s">
        <v>30</v>
      </c>
      <c r="D983" t="s">
        <v>59</v>
      </c>
      <c r="E983" t="s">
        <v>60</v>
      </c>
      <c r="F983" t="s">
        <v>53</v>
      </c>
      <c r="G983" t="s">
        <v>23</v>
      </c>
      <c r="H983" t="s">
        <v>24</v>
      </c>
      <c r="I983" t="s">
        <v>55</v>
      </c>
      <c r="J983" t="s">
        <v>43</v>
      </c>
      <c r="K983" t="s">
        <v>44</v>
      </c>
      <c r="L983" t="s">
        <v>49</v>
      </c>
      <c r="M983" s="4">
        <v>14</v>
      </c>
      <c r="N983" s="4">
        <v>7</v>
      </c>
      <c r="O983" t="s">
        <v>29</v>
      </c>
      <c r="P983" t="s">
        <v>36</v>
      </c>
      <c r="Q983" s="4">
        <v>429345</v>
      </c>
      <c r="R983" s="4">
        <v>350745</v>
      </c>
      <c r="S983" s="4">
        <f>Table1[[#This Row],[Service_Revenue]]-Table1[[#This Row],[Service_Cost]]</f>
        <v>78600</v>
      </c>
      <c r="T983" s="4">
        <v>2</v>
      </c>
      <c r="U983" s="4">
        <f>IF(AND(Table1[[#This Row],[Rework_Flag]]="Yes",Table1[[#This Row],[Warranty_Claim]]="No"),Table1[[#This Row],[Service_Revenue]],0)</f>
        <v>429345</v>
      </c>
      <c r="V983" s="4">
        <f>IF(Table1[[#This Row],[Warranty_Claim]]="Yes",1,0)</f>
        <v>0</v>
      </c>
      <c r="W983" s="4">
        <f>IF(Table1[[#This Row],[Rework_Flag]]="No",1,0)</f>
        <v>0</v>
      </c>
      <c r="X983" s="4">
        <f>IF(Table1[[#This Row],[Rework_Flag]]="Yes",1,0)</f>
        <v>1</v>
      </c>
      <c r="Y983" s="4">
        <v>1</v>
      </c>
      <c r="Z983" s="4" t="str">
        <f>IF(Table1[[#This Row],[TAT_Days]]&gt;Table1[[#This Row],[SLA_TAT]],"Yes","No")</f>
        <v>Yes</v>
      </c>
      <c r="AA983" s="4" t="str" cm="1">
        <f t="array" ref="AA983">_xlfn.IFS(Table1[[#This Row],[Customer_Satisfaction]]&lt;=2,"Poor",Table1[[#This Row],[Customer_Satisfaction]]=3,"Neutral",Table1[[#This Row],[Customer_Satisfaction]]=4,"Good",Table1[[#This Row],[Customer_Satisfaction]]=5,"Good")</f>
        <v>Poor</v>
      </c>
    </row>
    <row r="984" spans="1:27" x14ac:dyDescent="0.35">
      <c r="A984">
        <v>20982</v>
      </c>
      <c r="B984" s="1">
        <v>45308</v>
      </c>
      <c r="C984" t="s">
        <v>37</v>
      </c>
      <c r="D984" t="s">
        <v>70</v>
      </c>
      <c r="E984" t="s">
        <v>116</v>
      </c>
      <c r="F984" t="s">
        <v>22</v>
      </c>
      <c r="G984" t="s">
        <v>33</v>
      </c>
      <c r="H984" t="s">
        <v>34</v>
      </c>
      <c r="I984" t="s">
        <v>55</v>
      </c>
      <c r="J984" t="s">
        <v>26</v>
      </c>
      <c r="K984" t="s">
        <v>27</v>
      </c>
      <c r="L984" t="s">
        <v>28</v>
      </c>
      <c r="M984" s="4">
        <v>12</v>
      </c>
      <c r="N984" s="4">
        <v>7</v>
      </c>
      <c r="O984" t="s">
        <v>29</v>
      </c>
      <c r="P984" t="s">
        <v>36</v>
      </c>
      <c r="Q984" s="4">
        <v>323251</v>
      </c>
      <c r="R984" s="4">
        <v>233877</v>
      </c>
      <c r="S984" s="4">
        <f>Table1[[#This Row],[Service_Revenue]]-Table1[[#This Row],[Service_Cost]]</f>
        <v>89374</v>
      </c>
      <c r="T984" s="4">
        <v>2</v>
      </c>
      <c r="U984" s="4">
        <f>IF(AND(Table1[[#This Row],[Rework_Flag]]="Yes",Table1[[#This Row],[Warranty_Claim]]="No"),Table1[[#This Row],[Service_Revenue]],0)</f>
        <v>323251</v>
      </c>
      <c r="V984" s="4">
        <f>IF(Table1[[#This Row],[Warranty_Claim]]="Yes",1,0)</f>
        <v>0</v>
      </c>
      <c r="W984" s="4">
        <f>IF(Table1[[#This Row],[Rework_Flag]]="No",1,0)</f>
        <v>0</v>
      </c>
      <c r="X984" s="4">
        <f>IF(Table1[[#This Row],[Rework_Flag]]="Yes",1,0)</f>
        <v>1</v>
      </c>
      <c r="Y984" s="4">
        <v>1</v>
      </c>
      <c r="Z984" s="4" t="str">
        <f>IF(Table1[[#This Row],[TAT_Days]]&gt;Table1[[#This Row],[SLA_TAT]],"Yes","No")</f>
        <v>Yes</v>
      </c>
      <c r="AA984" s="4" t="str" cm="1">
        <f t="array" ref="AA984">_xlfn.IFS(Table1[[#This Row],[Customer_Satisfaction]]&lt;=2,"Poor",Table1[[#This Row],[Customer_Satisfaction]]=3,"Neutral",Table1[[#This Row],[Customer_Satisfaction]]=4,"Good",Table1[[#This Row],[Customer_Satisfaction]]=5,"Good")</f>
        <v>Poor</v>
      </c>
    </row>
    <row r="985" spans="1:27" x14ac:dyDescent="0.35">
      <c r="A985">
        <v>20983</v>
      </c>
      <c r="B985" s="1">
        <v>45304</v>
      </c>
      <c r="C985" t="s">
        <v>30</v>
      </c>
      <c r="D985" t="s">
        <v>59</v>
      </c>
      <c r="E985" t="s">
        <v>66</v>
      </c>
      <c r="F985" t="s">
        <v>40</v>
      </c>
      <c r="G985" t="s">
        <v>54</v>
      </c>
      <c r="H985" t="s">
        <v>42</v>
      </c>
      <c r="I985" t="s">
        <v>55</v>
      </c>
      <c r="J985" t="s">
        <v>35</v>
      </c>
      <c r="K985" t="s">
        <v>44</v>
      </c>
      <c r="L985" t="s">
        <v>49</v>
      </c>
      <c r="M985" s="4">
        <v>2</v>
      </c>
      <c r="N985" s="4">
        <v>7</v>
      </c>
      <c r="O985" t="s">
        <v>36</v>
      </c>
      <c r="P985" t="s">
        <v>36</v>
      </c>
      <c r="Q985" s="4">
        <v>91907</v>
      </c>
      <c r="R985" s="4">
        <v>64795</v>
      </c>
      <c r="S985" s="4">
        <f>Table1[[#This Row],[Service_Revenue]]-Table1[[#This Row],[Service_Cost]]</f>
        <v>27112</v>
      </c>
      <c r="T985" s="4">
        <v>5</v>
      </c>
      <c r="U985" s="4">
        <f>IF(AND(Table1[[#This Row],[Rework_Flag]]="Yes",Table1[[#This Row],[Warranty_Claim]]="No"),Table1[[#This Row],[Service_Revenue]],0)</f>
        <v>0</v>
      </c>
      <c r="V985" s="4">
        <f>IF(Table1[[#This Row],[Warranty_Claim]]="Yes",1,0)</f>
        <v>0</v>
      </c>
      <c r="W985" s="4">
        <f>IF(Table1[[#This Row],[Rework_Flag]]="No",1,0)</f>
        <v>1</v>
      </c>
      <c r="X985" s="4">
        <f>IF(Table1[[#This Row],[Rework_Flag]]="Yes",1,0)</f>
        <v>0</v>
      </c>
      <c r="Y985" s="4">
        <v>1</v>
      </c>
      <c r="Z985" s="4" t="str">
        <f>IF(Table1[[#This Row],[TAT_Days]]&gt;Table1[[#This Row],[SLA_TAT]],"Yes","No")</f>
        <v>No</v>
      </c>
      <c r="AA985" s="4" t="str" cm="1">
        <f t="array" ref="AA985">_xlfn.IFS(Table1[[#This Row],[Customer_Satisfaction]]&lt;=2,"Poor",Table1[[#This Row],[Customer_Satisfaction]]=3,"Neutral",Table1[[#This Row],[Customer_Satisfaction]]=4,"Good",Table1[[#This Row],[Customer_Satisfaction]]=5,"Good")</f>
        <v>Good</v>
      </c>
    </row>
    <row r="986" spans="1:27" x14ac:dyDescent="0.35">
      <c r="A986">
        <v>20984</v>
      </c>
      <c r="B986" s="1">
        <v>45306</v>
      </c>
      <c r="C986" t="s">
        <v>50</v>
      </c>
      <c r="D986" t="s">
        <v>51</v>
      </c>
      <c r="E986" t="s">
        <v>73</v>
      </c>
      <c r="F986" t="s">
        <v>22</v>
      </c>
      <c r="G986" t="s">
        <v>54</v>
      </c>
      <c r="H986" t="s">
        <v>42</v>
      </c>
      <c r="I986" t="s">
        <v>25</v>
      </c>
      <c r="J986" t="s">
        <v>58</v>
      </c>
      <c r="K986" t="s">
        <v>44</v>
      </c>
      <c r="L986" t="s">
        <v>28</v>
      </c>
      <c r="M986" s="4">
        <v>15</v>
      </c>
      <c r="N986" s="4">
        <v>7</v>
      </c>
      <c r="O986" t="s">
        <v>29</v>
      </c>
      <c r="P986" t="s">
        <v>29</v>
      </c>
      <c r="Q986" s="4">
        <v>418672</v>
      </c>
      <c r="R986" s="4">
        <v>225239</v>
      </c>
      <c r="S986" s="4">
        <f>Table1[[#This Row],[Service_Revenue]]-Table1[[#This Row],[Service_Cost]]</f>
        <v>193433</v>
      </c>
      <c r="T986" s="4">
        <v>1</v>
      </c>
      <c r="U986" s="4">
        <f>IF(AND(Table1[[#This Row],[Rework_Flag]]="Yes",Table1[[#This Row],[Warranty_Claim]]="No"),Table1[[#This Row],[Service_Revenue]],0)</f>
        <v>0</v>
      </c>
      <c r="V986" s="4">
        <f>IF(Table1[[#This Row],[Warranty_Claim]]="Yes",1,0)</f>
        <v>1</v>
      </c>
      <c r="W986" s="4">
        <f>IF(Table1[[#This Row],[Rework_Flag]]="No",1,0)</f>
        <v>0</v>
      </c>
      <c r="X986" s="4">
        <f>IF(Table1[[#This Row],[Rework_Flag]]="Yes",1,0)</f>
        <v>1</v>
      </c>
      <c r="Y986" s="4">
        <v>1</v>
      </c>
      <c r="Z986" s="4" t="str">
        <f>IF(Table1[[#This Row],[TAT_Days]]&gt;Table1[[#This Row],[SLA_TAT]],"Yes","No")</f>
        <v>Yes</v>
      </c>
      <c r="AA986" s="4" t="str" cm="1">
        <f t="array" ref="AA986">_xlfn.IFS(Table1[[#This Row],[Customer_Satisfaction]]&lt;=2,"Poor",Table1[[#This Row],[Customer_Satisfaction]]=3,"Neutral",Table1[[#This Row],[Customer_Satisfaction]]=4,"Good",Table1[[#This Row],[Customer_Satisfaction]]=5,"Good")</f>
        <v>Poor</v>
      </c>
    </row>
    <row r="987" spans="1:27" x14ac:dyDescent="0.35">
      <c r="A987">
        <v>20985</v>
      </c>
      <c r="B987" s="1">
        <v>45360</v>
      </c>
      <c r="C987" t="s">
        <v>30</v>
      </c>
      <c r="D987" t="s">
        <v>59</v>
      </c>
      <c r="E987" t="s">
        <v>66</v>
      </c>
      <c r="F987" t="s">
        <v>22</v>
      </c>
      <c r="G987" t="s">
        <v>63</v>
      </c>
      <c r="H987" t="s">
        <v>24</v>
      </c>
      <c r="I987" t="s">
        <v>25</v>
      </c>
      <c r="J987" t="s">
        <v>67</v>
      </c>
      <c r="K987" t="s">
        <v>61</v>
      </c>
      <c r="L987" t="s">
        <v>28</v>
      </c>
      <c r="M987" s="4">
        <v>14</v>
      </c>
      <c r="N987" s="4">
        <v>7</v>
      </c>
      <c r="O987" t="s">
        <v>29</v>
      </c>
      <c r="P987" t="s">
        <v>36</v>
      </c>
      <c r="Q987" s="4">
        <v>268460</v>
      </c>
      <c r="R987" s="4">
        <v>150986</v>
      </c>
      <c r="S987" s="4">
        <f>Table1[[#This Row],[Service_Revenue]]-Table1[[#This Row],[Service_Cost]]</f>
        <v>117474</v>
      </c>
      <c r="T987" s="4">
        <v>2</v>
      </c>
      <c r="U987" s="4">
        <f>IF(AND(Table1[[#This Row],[Rework_Flag]]="Yes",Table1[[#This Row],[Warranty_Claim]]="No"),Table1[[#This Row],[Service_Revenue]],0)</f>
        <v>268460</v>
      </c>
      <c r="V987" s="4">
        <f>IF(Table1[[#This Row],[Warranty_Claim]]="Yes",1,0)</f>
        <v>0</v>
      </c>
      <c r="W987" s="4">
        <f>IF(Table1[[#This Row],[Rework_Flag]]="No",1,0)</f>
        <v>0</v>
      </c>
      <c r="X987" s="4">
        <f>IF(Table1[[#This Row],[Rework_Flag]]="Yes",1,0)</f>
        <v>1</v>
      </c>
      <c r="Y987" s="4">
        <v>1</v>
      </c>
      <c r="Z987" s="4" t="str">
        <f>IF(Table1[[#This Row],[TAT_Days]]&gt;Table1[[#This Row],[SLA_TAT]],"Yes","No")</f>
        <v>Yes</v>
      </c>
      <c r="AA987" s="4" t="str" cm="1">
        <f t="array" ref="AA987">_xlfn.IFS(Table1[[#This Row],[Customer_Satisfaction]]&lt;=2,"Poor",Table1[[#This Row],[Customer_Satisfaction]]=3,"Neutral",Table1[[#This Row],[Customer_Satisfaction]]=4,"Good",Table1[[#This Row],[Customer_Satisfaction]]=5,"Good")</f>
        <v>Poor</v>
      </c>
    </row>
    <row r="988" spans="1:27" x14ac:dyDescent="0.35">
      <c r="A988">
        <v>20986</v>
      </c>
      <c r="B988" s="1">
        <v>45408</v>
      </c>
      <c r="C988" t="s">
        <v>50</v>
      </c>
      <c r="D988" t="s">
        <v>80</v>
      </c>
      <c r="E988" t="s">
        <v>118</v>
      </c>
      <c r="F988" t="s">
        <v>53</v>
      </c>
      <c r="G988" t="s">
        <v>41</v>
      </c>
      <c r="H988" t="s">
        <v>42</v>
      </c>
      <c r="I988" t="s">
        <v>55</v>
      </c>
      <c r="J988" t="s">
        <v>67</v>
      </c>
      <c r="K988" t="s">
        <v>61</v>
      </c>
      <c r="L988" t="s">
        <v>49</v>
      </c>
      <c r="M988" s="4">
        <v>7</v>
      </c>
      <c r="N988" s="4">
        <v>7</v>
      </c>
      <c r="O988" t="s">
        <v>29</v>
      </c>
      <c r="P988" t="s">
        <v>36</v>
      </c>
      <c r="Q988" s="4">
        <v>233232</v>
      </c>
      <c r="R988" s="4">
        <v>136607</v>
      </c>
      <c r="S988" s="4">
        <f>Table1[[#This Row],[Service_Revenue]]-Table1[[#This Row],[Service_Cost]]</f>
        <v>96625</v>
      </c>
      <c r="T988" s="4">
        <v>3</v>
      </c>
      <c r="U988" s="4">
        <f>IF(AND(Table1[[#This Row],[Rework_Flag]]="Yes",Table1[[#This Row],[Warranty_Claim]]="No"),Table1[[#This Row],[Service_Revenue]],0)</f>
        <v>233232</v>
      </c>
      <c r="V988" s="4">
        <f>IF(Table1[[#This Row],[Warranty_Claim]]="Yes",1,0)</f>
        <v>0</v>
      </c>
      <c r="W988" s="4">
        <f>IF(Table1[[#This Row],[Rework_Flag]]="No",1,0)</f>
        <v>0</v>
      </c>
      <c r="X988" s="4">
        <f>IF(Table1[[#This Row],[Rework_Flag]]="Yes",1,0)</f>
        <v>1</v>
      </c>
      <c r="Y988" s="4">
        <v>1</v>
      </c>
      <c r="Z988" s="4" t="str">
        <f>IF(Table1[[#This Row],[TAT_Days]]&gt;Table1[[#This Row],[SLA_TAT]],"Yes","No")</f>
        <v>No</v>
      </c>
      <c r="AA988" s="4" t="str" cm="1">
        <f t="array" ref="AA988">_xlfn.IFS(Table1[[#This Row],[Customer_Satisfaction]]&lt;=2,"Poor",Table1[[#This Row],[Customer_Satisfaction]]=3,"Neutral",Table1[[#This Row],[Customer_Satisfaction]]=4,"Good",Table1[[#This Row],[Customer_Satisfaction]]=5,"Good")</f>
        <v>Neutral</v>
      </c>
    </row>
    <row r="989" spans="1:27" x14ac:dyDescent="0.35">
      <c r="A989">
        <v>20987</v>
      </c>
      <c r="B989" s="1">
        <v>45338</v>
      </c>
      <c r="C989" t="s">
        <v>30</v>
      </c>
      <c r="D989" t="s">
        <v>31</v>
      </c>
      <c r="E989" t="s">
        <v>79</v>
      </c>
      <c r="F989" t="s">
        <v>22</v>
      </c>
      <c r="G989" t="s">
        <v>54</v>
      </c>
      <c r="H989" t="s">
        <v>42</v>
      </c>
      <c r="I989" t="s">
        <v>55</v>
      </c>
      <c r="J989" t="s">
        <v>43</v>
      </c>
      <c r="K989" t="s">
        <v>61</v>
      </c>
      <c r="L989" t="s">
        <v>28</v>
      </c>
      <c r="M989" s="4">
        <v>21</v>
      </c>
      <c r="N989" s="4">
        <v>7</v>
      </c>
      <c r="O989" t="s">
        <v>36</v>
      </c>
      <c r="P989" t="s">
        <v>36</v>
      </c>
      <c r="Q989" s="4">
        <v>125196</v>
      </c>
      <c r="R989" s="4">
        <v>64567</v>
      </c>
      <c r="S989" s="4">
        <f>Table1[[#This Row],[Service_Revenue]]-Table1[[#This Row],[Service_Cost]]</f>
        <v>60629</v>
      </c>
      <c r="T989" s="4">
        <v>1</v>
      </c>
      <c r="U989" s="4">
        <f>IF(AND(Table1[[#This Row],[Rework_Flag]]="Yes",Table1[[#This Row],[Warranty_Claim]]="No"),Table1[[#This Row],[Service_Revenue]],0)</f>
        <v>0</v>
      </c>
      <c r="V989" s="4">
        <f>IF(Table1[[#This Row],[Warranty_Claim]]="Yes",1,0)</f>
        <v>0</v>
      </c>
      <c r="W989" s="4">
        <f>IF(Table1[[#This Row],[Rework_Flag]]="No",1,0)</f>
        <v>1</v>
      </c>
      <c r="X989" s="4">
        <f>IF(Table1[[#This Row],[Rework_Flag]]="Yes",1,0)</f>
        <v>0</v>
      </c>
      <c r="Y989" s="4">
        <v>1</v>
      </c>
      <c r="Z989" s="4" t="str">
        <f>IF(Table1[[#This Row],[TAT_Days]]&gt;Table1[[#This Row],[SLA_TAT]],"Yes","No")</f>
        <v>Yes</v>
      </c>
      <c r="AA989" s="4" t="str" cm="1">
        <f t="array" ref="AA989">_xlfn.IFS(Table1[[#This Row],[Customer_Satisfaction]]&lt;=2,"Poor",Table1[[#This Row],[Customer_Satisfaction]]=3,"Neutral",Table1[[#This Row],[Customer_Satisfaction]]=4,"Good",Table1[[#This Row],[Customer_Satisfaction]]=5,"Good")</f>
        <v>Poor</v>
      </c>
    </row>
    <row r="990" spans="1:27" x14ac:dyDescent="0.35">
      <c r="A990">
        <v>20988</v>
      </c>
      <c r="B990" s="1">
        <v>45417</v>
      </c>
      <c r="C990" t="s">
        <v>37</v>
      </c>
      <c r="D990" t="s">
        <v>70</v>
      </c>
      <c r="E990" t="s">
        <v>71</v>
      </c>
      <c r="F990" t="s">
        <v>40</v>
      </c>
      <c r="G990" t="s">
        <v>74</v>
      </c>
      <c r="H990" t="s">
        <v>34</v>
      </c>
      <c r="I990" t="s">
        <v>25</v>
      </c>
      <c r="J990" t="s">
        <v>35</v>
      </c>
      <c r="K990" t="s">
        <v>61</v>
      </c>
      <c r="L990" t="s">
        <v>49</v>
      </c>
      <c r="M990" s="4">
        <v>15</v>
      </c>
      <c r="N990" s="4">
        <v>7</v>
      </c>
      <c r="O990" t="s">
        <v>36</v>
      </c>
      <c r="P990" t="s">
        <v>36</v>
      </c>
      <c r="Q990" s="4">
        <v>447415</v>
      </c>
      <c r="R990" s="4">
        <v>275664</v>
      </c>
      <c r="S990" s="4">
        <f>Table1[[#This Row],[Service_Revenue]]-Table1[[#This Row],[Service_Cost]]</f>
        <v>171751</v>
      </c>
      <c r="T990" s="4">
        <v>2</v>
      </c>
      <c r="U990" s="4">
        <f>IF(AND(Table1[[#This Row],[Rework_Flag]]="Yes",Table1[[#This Row],[Warranty_Claim]]="No"),Table1[[#This Row],[Service_Revenue]],0)</f>
        <v>0</v>
      </c>
      <c r="V990" s="4">
        <f>IF(Table1[[#This Row],[Warranty_Claim]]="Yes",1,0)</f>
        <v>0</v>
      </c>
      <c r="W990" s="4">
        <f>IF(Table1[[#This Row],[Rework_Flag]]="No",1,0)</f>
        <v>1</v>
      </c>
      <c r="X990" s="4">
        <f>IF(Table1[[#This Row],[Rework_Flag]]="Yes",1,0)</f>
        <v>0</v>
      </c>
      <c r="Y990" s="4">
        <v>1</v>
      </c>
      <c r="Z990" s="4" t="str">
        <f>IF(Table1[[#This Row],[TAT_Days]]&gt;Table1[[#This Row],[SLA_TAT]],"Yes","No")</f>
        <v>Yes</v>
      </c>
      <c r="AA990" s="4" t="str" cm="1">
        <f t="array" ref="AA990">_xlfn.IFS(Table1[[#This Row],[Customer_Satisfaction]]&lt;=2,"Poor",Table1[[#This Row],[Customer_Satisfaction]]=3,"Neutral",Table1[[#This Row],[Customer_Satisfaction]]=4,"Good",Table1[[#This Row],[Customer_Satisfaction]]=5,"Good")</f>
        <v>Poor</v>
      </c>
    </row>
    <row r="991" spans="1:27" x14ac:dyDescent="0.35">
      <c r="A991">
        <v>20989</v>
      </c>
      <c r="B991" s="1">
        <v>45433</v>
      </c>
      <c r="C991" t="s">
        <v>30</v>
      </c>
      <c r="D991" t="s">
        <v>31</v>
      </c>
      <c r="E991" t="s">
        <v>122</v>
      </c>
      <c r="F991" t="s">
        <v>40</v>
      </c>
      <c r="G991" t="s">
        <v>47</v>
      </c>
      <c r="H991" t="s">
        <v>48</v>
      </c>
      <c r="I991" t="s">
        <v>25</v>
      </c>
      <c r="J991" t="s">
        <v>67</v>
      </c>
      <c r="K991" t="s">
        <v>27</v>
      </c>
      <c r="L991" t="s">
        <v>28</v>
      </c>
      <c r="M991" s="4">
        <v>17</v>
      </c>
      <c r="N991" s="4">
        <v>7</v>
      </c>
      <c r="O991" t="s">
        <v>29</v>
      </c>
      <c r="P991" t="s">
        <v>29</v>
      </c>
      <c r="Q991" s="4">
        <v>193804</v>
      </c>
      <c r="R991" s="4">
        <v>161675</v>
      </c>
      <c r="S991" s="4">
        <f>Table1[[#This Row],[Service_Revenue]]-Table1[[#This Row],[Service_Cost]]</f>
        <v>32129</v>
      </c>
      <c r="T991" s="4">
        <v>1</v>
      </c>
      <c r="U991" s="4">
        <f>IF(AND(Table1[[#This Row],[Rework_Flag]]="Yes",Table1[[#This Row],[Warranty_Claim]]="No"),Table1[[#This Row],[Service_Revenue]],0)</f>
        <v>0</v>
      </c>
      <c r="V991" s="4">
        <f>IF(Table1[[#This Row],[Warranty_Claim]]="Yes",1,0)</f>
        <v>1</v>
      </c>
      <c r="W991" s="4">
        <f>IF(Table1[[#This Row],[Rework_Flag]]="No",1,0)</f>
        <v>0</v>
      </c>
      <c r="X991" s="4">
        <f>IF(Table1[[#This Row],[Rework_Flag]]="Yes",1,0)</f>
        <v>1</v>
      </c>
      <c r="Y991" s="4">
        <v>1</v>
      </c>
      <c r="Z991" s="4" t="str">
        <f>IF(Table1[[#This Row],[TAT_Days]]&gt;Table1[[#This Row],[SLA_TAT]],"Yes","No")</f>
        <v>Yes</v>
      </c>
      <c r="AA991" s="4" t="str" cm="1">
        <f t="array" ref="AA991">_xlfn.IFS(Table1[[#This Row],[Customer_Satisfaction]]&lt;=2,"Poor",Table1[[#This Row],[Customer_Satisfaction]]=3,"Neutral",Table1[[#This Row],[Customer_Satisfaction]]=4,"Good",Table1[[#This Row],[Customer_Satisfaction]]=5,"Good")</f>
        <v>Poor</v>
      </c>
    </row>
    <row r="992" spans="1:27" x14ac:dyDescent="0.35">
      <c r="A992">
        <v>20990</v>
      </c>
      <c r="B992" s="1">
        <v>45386</v>
      </c>
      <c r="C992" t="s">
        <v>37</v>
      </c>
      <c r="D992" t="s">
        <v>38</v>
      </c>
      <c r="E992" t="s">
        <v>107</v>
      </c>
      <c r="F992" t="s">
        <v>22</v>
      </c>
      <c r="G992" t="s">
        <v>23</v>
      </c>
      <c r="H992" t="s">
        <v>24</v>
      </c>
      <c r="I992" t="s">
        <v>25</v>
      </c>
      <c r="J992" t="s">
        <v>67</v>
      </c>
      <c r="K992" t="s">
        <v>44</v>
      </c>
      <c r="L992" t="s">
        <v>28</v>
      </c>
      <c r="M992" s="4">
        <v>9</v>
      </c>
      <c r="N992" s="4">
        <v>7</v>
      </c>
      <c r="O992" t="s">
        <v>36</v>
      </c>
      <c r="P992" t="s">
        <v>36</v>
      </c>
      <c r="Q992" s="4">
        <v>210634</v>
      </c>
      <c r="R992" s="4">
        <v>162615</v>
      </c>
      <c r="S992" s="4">
        <f>Table1[[#This Row],[Service_Revenue]]-Table1[[#This Row],[Service_Cost]]</f>
        <v>48019</v>
      </c>
      <c r="T992" s="4">
        <v>4</v>
      </c>
      <c r="U992" s="4">
        <f>IF(AND(Table1[[#This Row],[Rework_Flag]]="Yes",Table1[[#This Row],[Warranty_Claim]]="No"),Table1[[#This Row],[Service_Revenue]],0)</f>
        <v>0</v>
      </c>
      <c r="V992" s="4">
        <f>IF(Table1[[#This Row],[Warranty_Claim]]="Yes",1,0)</f>
        <v>0</v>
      </c>
      <c r="W992" s="4">
        <f>IF(Table1[[#This Row],[Rework_Flag]]="No",1,0)</f>
        <v>1</v>
      </c>
      <c r="X992" s="4">
        <f>IF(Table1[[#This Row],[Rework_Flag]]="Yes",1,0)</f>
        <v>0</v>
      </c>
      <c r="Y992" s="4">
        <v>1</v>
      </c>
      <c r="Z992" s="4" t="str">
        <f>IF(Table1[[#This Row],[TAT_Days]]&gt;Table1[[#This Row],[SLA_TAT]],"Yes","No")</f>
        <v>Yes</v>
      </c>
      <c r="AA992" s="4" t="str" cm="1">
        <f t="array" ref="AA992">_xlfn.IFS(Table1[[#This Row],[Customer_Satisfaction]]&lt;=2,"Poor",Table1[[#This Row],[Customer_Satisfaction]]=3,"Neutral",Table1[[#This Row],[Customer_Satisfaction]]=4,"Good",Table1[[#This Row],[Customer_Satisfaction]]=5,"Good")</f>
        <v>Good</v>
      </c>
    </row>
    <row r="993" spans="1:27" x14ac:dyDescent="0.35">
      <c r="A993">
        <v>20991</v>
      </c>
      <c r="B993" s="1">
        <v>45294</v>
      </c>
      <c r="C993" t="s">
        <v>50</v>
      </c>
      <c r="D993" t="s">
        <v>51</v>
      </c>
      <c r="E993" t="s">
        <v>52</v>
      </c>
      <c r="F993" t="s">
        <v>53</v>
      </c>
      <c r="G993" t="s">
        <v>23</v>
      </c>
      <c r="H993" t="s">
        <v>24</v>
      </c>
      <c r="I993" t="s">
        <v>25</v>
      </c>
      <c r="J993" t="s">
        <v>26</v>
      </c>
      <c r="K993" t="s">
        <v>44</v>
      </c>
      <c r="L993" t="s">
        <v>28</v>
      </c>
      <c r="M993" s="4">
        <v>15</v>
      </c>
      <c r="N993" s="4">
        <v>7</v>
      </c>
      <c r="O993" t="s">
        <v>29</v>
      </c>
      <c r="P993" t="s">
        <v>36</v>
      </c>
      <c r="Q993" s="4">
        <v>444316</v>
      </c>
      <c r="R993" s="4">
        <v>324464</v>
      </c>
      <c r="S993" s="4">
        <f>Table1[[#This Row],[Service_Revenue]]-Table1[[#This Row],[Service_Cost]]</f>
        <v>119852</v>
      </c>
      <c r="T993" s="4">
        <v>1</v>
      </c>
      <c r="U993" s="4">
        <f>IF(AND(Table1[[#This Row],[Rework_Flag]]="Yes",Table1[[#This Row],[Warranty_Claim]]="No"),Table1[[#This Row],[Service_Revenue]],0)</f>
        <v>444316</v>
      </c>
      <c r="V993" s="4">
        <f>IF(Table1[[#This Row],[Warranty_Claim]]="Yes",1,0)</f>
        <v>0</v>
      </c>
      <c r="W993" s="4">
        <f>IF(Table1[[#This Row],[Rework_Flag]]="No",1,0)</f>
        <v>0</v>
      </c>
      <c r="X993" s="4">
        <f>IF(Table1[[#This Row],[Rework_Flag]]="Yes",1,0)</f>
        <v>1</v>
      </c>
      <c r="Y993" s="4">
        <v>1</v>
      </c>
      <c r="Z993" s="4" t="str">
        <f>IF(Table1[[#This Row],[TAT_Days]]&gt;Table1[[#This Row],[SLA_TAT]],"Yes","No")</f>
        <v>Yes</v>
      </c>
      <c r="AA993" s="4" t="str" cm="1">
        <f t="array" ref="AA993">_xlfn.IFS(Table1[[#This Row],[Customer_Satisfaction]]&lt;=2,"Poor",Table1[[#This Row],[Customer_Satisfaction]]=3,"Neutral",Table1[[#This Row],[Customer_Satisfaction]]=4,"Good",Table1[[#This Row],[Customer_Satisfaction]]=5,"Good")</f>
        <v>Poor</v>
      </c>
    </row>
    <row r="994" spans="1:27" x14ac:dyDescent="0.35">
      <c r="A994">
        <v>20992</v>
      </c>
      <c r="B994" s="1">
        <v>45430</v>
      </c>
      <c r="C994" t="s">
        <v>30</v>
      </c>
      <c r="D994" t="s">
        <v>59</v>
      </c>
      <c r="E994" t="s">
        <v>66</v>
      </c>
      <c r="F994" t="s">
        <v>22</v>
      </c>
      <c r="G994" t="s">
        <v>54</v>
      </c>
      <c r="H994" t="s">
        <v>42</v>
      </c>
      <c r="I994" t="s">
        <v>25</v>
      </c>
      <c r="J994" t="s">
        <v>58</v>
      </c>
      <c r="K994" t="s">
        <v>61</v>
      </c>
      <c r="L994" t="s">
        <v>49</v>
      </c>
      <c r="M994" s="4">
        <v>8</v>
      </c>
      <c r="N994" s="4">
        <v>7</v>
      </c>
      <c r="O994" t="s">
        <v>29</v>
      </c>
      <c r="P994" t="s">
        <v>36</v>
      </c>
      <c r="Q994" s="4">
        <v>293220</v>
      </c>
      <c r="R994" s="4">
        <v>241542</v>
      </c>
      <c r="S994" s="4">
        <f>Table1[[#This Row],[Service_Revenue]]-Table1[[#This Row],[Service_Cost]]</f>
        <v>51678</v>
      </c>
      <c r="T994" s="4">
        <v>3</v>
      </c>
      <c r="U994" s="4">
        <f>IF(AND(Table1[[#This Row],[Rework_Flag]]="Yes",Table1[[#This Row],[Warranty_Claim]]="No"),Table1[[#This Row],[Service_Revenue]],0)</f>
        <v>293220</v>
      </c>
      <c r="V994" s="4">
        <f>IF(Table1[[#This Row],[Warranty_Claim]]="Yes",1,0)</f>
        <v>0</v>
      </c>
      <c r="W994" s="4">
        <f>IF(Table1[[#This Row],[Rework_Flag]]="No",1,0)</f>
        <v>0</v>
      </c>
      <c r="X994" s="4">
        <f>IF(Table1[[#This Row],[Rework_Flag]]="Yes",1,0)</f>
        <v>1</v>
      </c>
      <c r="Y994" s="4">
        <v>1</v>
      </c>
      <c r="Z994" s="4" t="str">
        <f>IF(Table1[[#This Row],[TAT_Days]]&gt;Table1[[#This Row],[SLA_TAT]],"Yes","No")</f>
        <v>Yes</v>
      </c>
      <c r="AA994" s="4" t="str" cm="1">
        <f t="array" ref="AA994">_xlfn.IFS(Table1[[#This Row],[Customer_Satisfaction]]&lt;=2,"Poor",Table1[[#This Row],[Customer_Satisfaction]]=3,"Neutral",Table1[[#This Row],[Customer_Satisfaction]]=4,"Good",Table1[[#This Row],[Customer_Satisfaction]]=5,"Good")</f>
        <v>Neutral</v>
      </c>
    </row>
    <row r="995" spans="1:27" x14ac:dyDescent="0.35">
      <c r="A995">
        <v>20993</v>
      </c>
      <c r="B995" s="1">
        <v>45331</v>
      </c>
      <c r="C995" t="s">
        <v>19</v>
      </c>
      <c r="D995" t="s">
        <v>96</v>
      </c>
      <c r="E995" t="s">
        <v>97</v>
      </c>
      <c r="F995" t="s">
        <v>53</v>
      </c>
      <c r="G995" t="s">
        <v>47</v>
      </c>
      <c r="H995" t="s">
        <v>48</v>
      </c>
      <c r="I995" t="s">
        <v>25</v>
      </c>
      <c r="J995" t="s">
        <v>43</v>
      </c>
      <c r="K995" t="s">
        <v>44</v>
      </c>
      <c r="L995" t="s">
        <v>49</v>
      </c>
      <c r="M995" s="4">
        <v>24</v>
      </c>
      <c r="N995" s="4">
        <v>7</v>
      </c>
      <c r="O995" t="s">
        <v>29</v>
      </c>
      <c r="P995" t="s">
        <v>29</v>
      </c>
      <c r="Q995" s="4">
        <v>100104</v>
      </c>
      <c r="R995" s="4">
        <v>75050</v>
      </c>
      <c r="S995" s="4">
        <f>Table1[[#This Row],[Service_Revenue]]-Table1[[#This Row],[Service_Cost]]</f>
        <v>25054</v>
      </c>
      <c r="T995" s="4">
        <v>1</v>
      </c>
      <c r="U995" s="4">
        <f>IF(AND(Table1[[#This Row],[Rework_Flag]]="Yes",Table1[[#This Row],[Warranty_Claim]]="No"),Table1[[#This Row],[Service_Revenue]],0)</f>
        <v>0</v>
      </c>
      <c r="V995" s="4">
        <f>IF(Table1[[#This Row],[Warranty_Claim]]="Yes",1,0)</f>
        <v>1</v>
      </c>
      <c r="W995" s="4">
        <f>IF(Table1[[#This Row],[Rework_Flag]]="No",1,0)</f>
        <v>0</v>
      </c>
      <c r="X995" s="4">
        <f>IF(Table1[[#This Row],[Rework_Flag]]="Yes",1,0)</f>
        <v>1</v>
      </c>
      <c r="Y995" s="4">
        <v>1</v>
      </c>
      <c r="Z995" s="4" t="str">
        <f>IF(Table1[[#This Row],[TAT_Days]]&gt;Table1[[#This Row],[SLA_TAT]],"Yes","No")</f>
        <v>Yes</v>
      </c>
      <c r="AA995" s="4" t="str" cm="1">
        <f t="array" ref="AA995">_xlfn.IFS(Table1[[#This Row],[Customer_Satisfaction]]&lt;=2,"Poor",Table1[[#This Row],[Customer_Satisfaction]]=3,"Neutral",Table1[[#This Row],[Customer_Satisfaction]]=4,"Good",Table1[[#This Row],[Customer_Satisfaction]]=5,"Good")</f>
        <v>Poor</v>
      </c>
    </row>
    <row r="996" spans="1:27" x14ac:dyDescent="0.35">
      <c r="A996">
        <v>20994</v>
      </c>
      <c r="B996" s="1">
        <v>45380</v>
      </c>
      <c r="C996" t="s">
        <v>19</v>
      </c>
      <c r="D996" t="s">
        <v>45</v>
      </c>
      <c r="E996" t="s">
        <v>111</v>
      </c>
      <c r="F996" t="s">
        <v>40</v>
      </c>
      <c r="G996" t="s">
        <v>47</v>
      </c>
      <c r="H996" t="s">
        <v>48</v>
      </c>
      <c r="I996" t="s">
        <v>55</v>
      </c>
      <c r="J996" t="s">
        <v>35</v>
      </c>
      <c r="K996" t="s">
        <v>27</v>
      </c>
      <c r="L996" t="s">
        <v>28</v>
      </c>
      <c r="M996" s="4">
        <v>3</v>
      </c>
      <c r="N996" s="4">
        <v>7</v>
      </c>
      <c r="O996" t="s">
        <v>36</v>
      </c>
      <c r="P996" t="s">
        <v>36</v>
      </c>
      <c r="Q996" s="4">
        <v>104763</v>
      </c>
      <c r="R996" s="4">
        <v>70565</v>
      </c>
      <c r="S996" s="4">
        <f>Table1[[#This Row],[Service_Revenue]]-Table1[[#This Row],[Service_Cost]]</f>
        <v>34198</v>
      </c>
      <c r="T996" s="4">
        <v>5</v>
      </c>
      <c r="U996" s="4">
        <f>IF(AND(Table1[[#This Row],[Rework_Flag]]="Yes",Table1[[#This Row],[Warranty_Claim]]="No"),Table1[[#This Row],[Service_Revenue]],0)</f>
        <v>0</v>
      </c>
      <c r="V996" s="4">
        <f>IF(Table1[[#This Row],[Warranty_Claim]]="Yes",1,0)</f>
        <v>0</v>
      </c>
      <c r="W996" s="4">
        <f>IF(Table1[[#This Row],[Rework_Flag]]="No",1,0)</f>
        <v>1</v>
      </c>
      <c r="X996" s="4">
        <f>IF(Table1[[#This Row],[Rework_Flag]]="Yes",1,0)</f>
        <v>0</v>
      </c>
      <c r="Y996" s="4">
        <v>1</v>
      </c>
      <c r="Z996" s="4" t="str">
        <f>IF(Table1[[#This Row],[TAT_Days]]&gt;Table1[[#This Row],[SLA_TAT]],"Yes","No")</f>
        <v>No</v>
      </c>
      <c r="AA996" s="4" t="str" cm="1">
        <f t="array" ref="AA996">_xlfn.IFS(Table1[[#This Row],[Customer_Satisfaction]]&lt;=2,"Poor",Table1[[#This Row],[Customer_Satisfaction]]=3,"Neutral",Table1[[#This Row],[Customer_Satisfaction]]=4,"Good",Table1[[#This Row],[Customer_Satisfaction]]=5,"Good")</f>
        <v>Good</v>
      </c>
    </row>
    <row r="997" spans="1:27" x14ac:dyDescent="0.35">
      <c r="A997">
        <v>20995</v>
      </c>
      <c r="B997" s="1">
        <v>45358</v>
      </c>
      <c r="C997" t="s">
        <v>19</v>
      </c>
      <c r="D997" t="s">
        <v>45</v>
      </c>
      <c r="E997" t="s">
        <v>111</v>
      </c>
      <c r="F997" t="s">
        <v>40</v>
      </c>
      <c r="G997" t="s">
        <v>41</v>
      </c>
      <c r="H997" t="s">
        <v>42</v>
      </c>
      <c r="I997" t="s">
        <v>25</v>
      </c>
      <c r="J997" t="s">
        <v>35</v>
      </c>
      <c r="K997" t="s">
        <v>61</v>
      </c>
      <c r="L997" t="s">
        <v>49</v>
      </c>
      <c r="M997" s="4">
        <v>8</v>
      </c>
      <c r="N997" s="4">
        <v>7</v>
      </c>
      <c r="O997" t="s">
        <v>29</v>
      </c>
      <c r="P997" t="s">
        <v>36</v>
      </c>
      <c r="Q997" s="4">
        <v>249822</v>
      </c>
      <c r="R997" s="4">
        <v>184551</v>
      </c>
      <c r="S997" s="4">
        <f>Table1[[#This Row],[Service_Revenue]]-Table1[[#This Row],[Service_Cost]]</f>
        <v>65271</v>
      </c>
      <c r="T997" s="4">
        <v>3</v>
      </c>
      <c r="U997" s="4">
        <f>IF(AND(Table1[[#This Row],[Rework_Flag]]="Yes",Table1[[#This Row],[Warranty_Claim]]="No"),Table1[[#This Row],[Service_Revenue]],0)</f>
        <v>249822</v>
      </c>
      <c r="V997" s="4">
        <f>IF(Table1[[#This Row],[Warranty_Claim]]="Yes",1,0)</f>
        <v>0</v>
      </c>
      <c r="W997" s="4">
        <f>IF(Table1[[#This Row],[Rework_Flag]]="No",1,0)</f>
        <v>0</v>
      </c>
      <c r="X997" s="4">
        <f>IF(Table1[[#This Row],[Rework_Flag]]="Yes",1,0)</f>
        <v>1</v>
      </c>
      <c r="Y997" s="4">
        <v>1</v>
      </c>
      <c r="Z997" s="4" t="str">
        <f>IF(Table1[[#This Row],[TAT_Days]]&gt;Table1[[#This Row],[SLA_TAT]],"Yes","No")</f>
        <v>Yes</v>
      </c>
      <c r="AA997" s="4" t="str" cm="1">
        <f t="array" ref="AA997">_xlfn.IFS(Table1[[#This Row],[Customer_Satisfaction]]&lt;=2,"Poor",Table1[[#This Row],[Customer_Satisfaction]]=3,"Neutral",Table1[[#This Row],[Customer_Satisfaction]]=4,"Good",Table1[[#This Row],[Customer_Satisfaction]]=5,"Good")</f>
        <v>Neutral</v>
      </c>
    </row>
    <row r="998" spans="1:27" x14ac:dyDescent="0.35">
      <c r="A998">
        <v>20996</v>
      </c>
      <c r="B998" s="1">
        <v>45312</v>
      </c>
      <c r="C998" t="s">
        <v>19</v>
      </c>
      <c r="D998" t="s">
        <v>20</v>
      </c>
      <c r="E998" t="s">
        <v>110</v>
      </c>
      <c r="F998" t="s">
        <v>40</v>
      </c>
      <c r="G998" t="s">
        <v>33</v>
      </c>
      <c r="H998" t="s">
        <v>34</v>
      </c>
      <c r="I998" t="s">
        <v>55</v>
      </c>
      <c r="J998" t="s">
        <v>35</v>
      </c>
      <c r="K998" t="s">
        <v>61</v>
      </c>
      <c r="L998" t="s">
        <v>28</v>
      </c>
      <c r="M998" s="4">
        <v>16</v>
      </c>
      <c r="N998" s="4">
        <v>7</v>
      </c>
      <c r="O998" t="s">
        <v>29</v>
      </c>
      <c r="P998" t="s">
        <v>36</v>
      </c>
      <c r="Q998" s="4">
        <v>222418</v>
      </c>
      <c r="R998" s="4">
        <v>167823</v>
      </c>
      <c r="S998" s="4">
        <f>Table1[[#This Row],[Service_Revenue]]-Table1[[#This Row],[Service_Cost]]</f>
        <v>54595</v>
      </c>
      <c r="T998" s="4">
        <v>1</v>
      </c>
      <c r="U998" s="4">
        <f>IF(AND(Table1[[#This Row],[Rework_Flag]]="Yes",Table1[[#This Row],[Warranty_Claim]]="No"),Table1[[#This Row],[Service_Revenue]],0)</f>
        <v>222418</v>
      </c>
      <c r="V998" s="4">
        <f>IF(Table1[[#This Row],[Warranty_Claim]]="Yes",1,0)</f>
        <v>0</v>
      </c>
      <c r="W998" s="4">
        <f>IF(Table1[[#This Row],[Rework_Flag]]="No",1,0)</f>
        <v>0</v>
      </c>
      <c r="X998" s="4">
        <f>IF(Table1[[#This Row],[Rework_Flag]]="Yes",1,0)</f>
        <v>1</v>
      </c>
      <c r="Y998" s="4">
        <v>1</v>
      </c>
      <c r="Z998" s="4" t="str">
        <f>IF(Table1[[#This Row],[TAT_Days]]&gt;Table1[[#This Row],[SLA_TAT]],"Yes","No")</f>
        <v>Yes</v>
      </c>
      <c r="AA998" s="4" t="str" cm="1">
        <f t="array" ref="AA998">_xlfn.IFS(Table1[[#This Row],[Customer_Satisfaction]]&lt;=2,"Poor",Table1[[#This Row],[Customer_Satisfaction]]=3,"Neutral",Table1[[#This Row],[Customer_Satisfaction]]=4,"Good",Table1[[#This Row],[Customer_Satisfaction]]=5,"Good")</f>
        <v>Poor</v>
      </c>
    </row>
    <row r="999" spans="1:27" x14ac:dyDescent="0.35">
      <c r="A999">
        <v>20997</v>
      </c>
      <c r="B999" s="1">
        <v>45381</v>
      </c>
      <c r="C999" t="s">
        <v>37</v>
      </c>
      <c r="D999" t="s">
        <v>38</v>
      </c>
      <c r="E999" t="s">
        <v>112</v>
      </c>
      <c r="F999" t="s">
        <v>40</v>
      </c>
      <c r="G999" t="s">
        <v>63</v>
      </c>
      <c r="H999" t="s">
        <v>24</v>
      </c>
      <c r="I999" t="s">
        <v>25</v>
      </c>
      <c r="J999" t="s">
        <v>58</v>
      </c>
      <c r="K999" t="s">
        <v>27</v>
      </c>
      <c r="L999" t="s">
        <v>49</v>
      </c>
      <c r="M999" s="4">
        <v>20</v>
      </c>
      <c r="N999" s="4">
        <v>7</v>
      </c>
      <c r="O999" t="s">
        <v>29</v>
      </c>
      <c r="P999" t="s">
        <v>36</v>
      </c>
      <c r="Q999" s="4">
        <v>590870</v>
      </c>
      <c r="R999" s="4">
        <v>500315</v>
      </c>
      <c r="S999" s="4">
        <f>Table1[[#This Row],[Service_Revenue]]-Table1[[#This Row],[Service_Cost]]</f>
        <v>90555</v>
      </c>
      <c r="T999" s="4">
        <v>1</v>
      </c>
      <c r="U999" s="4">
        <f>IF(AND(Table1[[#This Row],[Rework_Flag]]="Yes",Table1[[#This Row],[Warranty_Claim]]="No"),Table1[[#This Row],[Service_Revenue]],0)</f>
        <v>590870</v>
      </c>
      <c r="V999" s="4">
        <f>IF(Table1[[#This Row],[Warranty_Claim]]="Yes",1,0)</f>
        <v>0</v>
      </c>
      <c r="W999" s="4">
        <f>IF(Table1[[#This Row],[Rework_Flag]]="No",1,0)</f>
        <v>0</v>
      </c>
      <c r="X999" s="4">
        <f>IF(Table1[[#This Row],[Rework_Flag]]="Yes",1,0)</f>
        <v>1</v>
      </c>
      <c r="Y999" s="4">
        <v>1</v>
      </c>
      <c r="Z999" s="4" t="str">
        <f>IF(Table1[[#This Row],[TAT_Days]]&gt;Table1[[#This Row],[SLA_TAT]],"Yes","No")</f>
        <v>Yes</v>
      </c>
      <c r="AA999" s="4" t="str" cm="1">
        <f t="array" ref="AA999">_xlfn.IFS(Table1[[#This Row],[Customer_Satisfaction]]&lt;=2,"Poor",Table1[[#This Row],[Customer_Satisfaction]]=3,"Neutral",Table1[[#This Row],[Customer_Satisfaction]]=4,"Good",Table1[[#This Row],[Customer_Satisfaction]]=5,"Good")</f>
        <v>Poor</v>
      </c>
    </row>
    <row r="1000" spans="1:27" x14ac:dyDescent="0.35">
      <c r="A1000">
        <v>20998</v>
      </c>
      <c r="B1000" s="1">
        <v>45400</v>
      </c>
      <c r="C1000" t="s">
        <v>50</v>
      </c>
      <c r="D1000" t="s">
        <v>56</v>
      </c>
      <c r="E1000" t="s">
        <v>57</v>
      </c>
      <c r="F1000" t="s">
        <v>22</v>
      </c>
      <c r="G1000" t="s">
        <v>54</v>
      </c>
      <c r="H1000" t="s">
        <v>42</v>
      </c>
      <c r="I1000" t="s">
        <v>55</v>
      </c>
      <c r="J1000" t="s">
        <v>26</v>
      </c>
      <c r="K1000" t="s">
        <v>27</v>
      </c>
      <c r="L1000" t="s">
        <v>49</v>
      </c>
      <c r="M1000" s="4">
        <v>13</v>
      </c>
      <c r="N1000" s="4">
        <v>7</v>
      </c>
      <c r="O1000" t="s">
        <v>29</v>
      </c>
      <c r="P1000" t="s">
        <v>29</v>
      </c>
      <c r="Q1000" s="4">
        <v>496856</v>
      </c>
      <c r="R1000" s="4">
        <v>343479</v>
      </c>
      <c r="S1000" s="4">
        <f>Table1[[#This Row],[Service_Revenue]]-Table1[[#This Row],[Service_Cost]]</f>
        <v>153377</v>
      </c>
      <c r="T1000" s="4">
        <v>2</v>
      </c>
      <c r="U1000" s="4">
        <f>IF(AND(Table1[[#This Row],[Rework_Flag]]="Yes",Table1[[#This Row],[Warranty_Claim]]="No"),Table1[[#This Row],[Service_Revenue]],0)</f>
        <v>0</v>
      </c>
      <c r="V1000" s="4">
        <f>IF(Table1[[#This Row],[Warranty_Claim]]="Yes",1,0)</f>
        <v>1</v>
      </c>
      <c r="W1000" s="4">
        <f>IF(Table1[[#This Row],[Rework_Flag]]="No",1,0)</f>
        <v>0</v>
      </c>
      <c r="X1000" s="4">
        <f>IF(Table1[[#This Row],[Rework_Flag]]="Yes",1,0)</f>
        <v>1</v>
      </c>
      <c r="Y1000" s="4">
        <v>1</v>
      </c>
      <c r="Z1000" s="4" t="str">
        <f>IF(Table1[[#This Row],[TAT_Days]]&gt;Table1[[#This Row],[SLA_TAT]],"Yes","No")</f>
        <v>Yes</v>
      </c>
      <c r="AA1000" s="4" t="str" cm="1">
        <f t="array" ref="AA1000">_xlfn.IFS(Table1[[#This Row],[Customer_Satisfaction]]&lt;=2,"Poor",Table1[[#This Row],[Customer_Satisfaction]]=3,"Neutral",Table1[[#This Row],[Customer_Satisfaction]]=4,"Good",Table1[[#This Row],[Customer_Satisfaction]]=5,"Good")</f>
        <v>Poor</v>
      </c>
    </row>
    <row r="1001" spans="1:27" x14ac:dyDescent="0.35">
      <c r="A1001">
        <v>20999</v>
      </c>
      <c r="B1001" s="1">
        <v>45375</v>
      </c>
      <c r="C1001" t="s">
        <v>19</v>
      </c>
      <c r="D1001" t="s">
        <v>20</v>
      </c>
      <c r="E1001" t="s">
        <v>110</v>
      </c>
      <c r="F1001" t="s">
        <v>40</v>
      </c>
      <c r="G1001" t="s">
        <v>54</v>
      </c>
      <c r="H1001" t="s">
        <v>42</v>
      </c>
      <c r="I1001" t="s">
        <v>55</v>
      </c>
      <c r="J1001" t="s">
        <v>43</v>
      </c>
      <c r="K1001" t="s">
        <v>27</v>
      </c>
      <c r="L1001" t="s">
        <v>49</v>
      </c>
      <c r="M1001" s="4">
        <v>9</v>
      </c>
      <c r="N1001" s="4">
        <v>7</v>
      </c>
      <c r="O1001" t="s">
        <v>36</v>
      </c>
      <c r="P1001" t="s">
        <v>36</v>
      </c>
      <c r="Q1001" s="4">
        <v>138209</v>
      </c>
      <c r="R1001" s="4">
        <v>99921</v>
      </c>
      <c r="S1001" s="4">
        <f>Table1[[#This Row],[Service_Revenue]]-Table1[[#This Row],[Service_Cost]]</f>
        <v>38288</v>
      </c>
      <c r="T1001" s="4">
        <v>4</v>
      </c>
      <c r="U1001" s="4">
        <f>IF(AND(Table1[[#This Row],[Rework_Flag]]="Yes",Table1[[#This Row],[Warranty_Claim]]="No"),Table1[[#This Row],[Service_Revenue]],0)</f>
        <v>0</v>
      </c>
      <c r="V1001" s="4">
        <f>IF(Table1[[#This Row],[Warranty_Claim]]="Yes",1,0)</f>
        <v>0</v>
      </c>
      <c r="W1001" s="4">
        <f>IF(Table1[[#This Row],[Rework_Flag]]="No",1,0)</f>
        <v>1</v>
      </c>
      <c r="X1001" s="4">
        <f>IF(Table1[[#This Row],[Rework_Flag]]="Yes",1,0)</f>
        <v>0</v>
      </c>
      <c r="Y1001" s="4">
        <v>1</v>
      </c>
      <c r="Z1001" s="4" t="str">
        <f>IF(Table1[[#This Row],[TAT_Days]]&gt;Table1[[#This Row],[SLA_TAT]],"Yes","No")</f>
        <v>Yes</v>
      </c>
      <c r="AA1001" s="4" t="str" cm="1">
        <f t="array" ref="AA1001">_xlfn.IFS(Table1[[#This Row],[Customer_Satisfaction]]&lt;=2,"Poor",Table1[[#This Row],[Customer_Satisfaction]]=3,"Neutral",Table1[[#This Row],[Customer_Satisfaction]]=4,"Good",Table1[[#This Row],[Customer_Satisfaction]]=5,"Good")</f>
        <v>Good</v>
      </c>
    </row>
    <row r="1002" spans="1:27" x14ac:dyDescent="0.35">
      <c r="A1002">
        <v>21000</v>
      </c>
      <c r="B1002" s="1">
        <v>45349</v>
      </c>
      <c r="C1002" t="s">
        <v>30</v>
      </c>
      <c r="D1002" t="s">
        <v>59</v>
      </c>
      <c r="E1002" t="s">
        <v>94</v>
      </c>
      <c r="F1002" t="s">
        <v>53</v>
      </c>
      <c r="G1002" t="s">
        <v>41</v>
      </c>
      <c r="H1002" t="s">
        <v>42</v>
      </c>
      <c r="I1002" t="s">
        <v>25</v>
      </c>
      <c r="J1002" t="s">
        <v>67</v>
      </c>
      <c r="K1002" t="s">
        <v>44</v>
      </c>
      <c r="L1002" t="s">
        <v>28</v>
      </c>
      <c r="M1002" s="4">
        <v>16</v>
      </c>
      <c r="N1002" s="4">
        <v>7</v>
      </c>
      <c r="O1002" t="s">
        <v>29</v>
      </c>
      <c r="P1002" t="s">
        <v>36</v>
      </c>
      <c r="Q1002" s="4">
        <v>120904</v>
      </c>
      <c r="R1002" s="4">
        <v>67135</v>
      </c>
      <c r="S1002" s="4">
        <f>Table1[[#This Row],[Service_Revenue]]-Table1[[#This Row],[Service_Cost]]</f>
        <v>53769</v>
      </c>
      <c r="T1002" s="4">
        <v>1</v>
      </c>
      <c r="U1002" s="4">
        <f>IF(AND(Table1[[#This Row],[Rework_Flag]]="Yes",Table1[[#This Row],[Warranty_Claim]]="No"),Table1[[#This Row],[Service_Revenue]],0)</f>
        <v>120904</v>
      </c>
      <c r="V1002" s="4">
        <f>IF(Table1[[#This Row],[Warranty_Claim]]="Yes",1,0)</f>
        <v>0</v>
      </c>
      <c r="W1002" s="4">
        <f>IF(Table1[[#This Row],[Rework_Flag]]="No",1,0)</f>
        <v>0</v>
      </c>
      <c r="X1002" s="4">
        <f>IF(Table1[[#This Row],[Rework_Flag]]="Yes",1,0)</f>
        <v>1</v>
      </c>
      <c r="Y1002" s="4">
        <v>1</v>
      </c>
      <c r="Z1002" s="4" t="str">
        <f>IF(Table1[[#This Row],[TAT_Days]]&gt;Table1[[#This Row],[SLA_TAT]],"Yes","No")</f>
        <v>Yes</v>
      </c>
      <c r="AA1002" s="4" t="str" cm="1">
        <f t="array" ref="AA1002">_xlfn.IFS(Table1[[#This Row],[Customer_Satisfaction]]&lt;=2,"Poor",Table1[[#This Row],[Customer_Satisfaction]]=3,"Neutral",Table1[[#This Row],[Customer_Satisfaction]]=4,"Good",Table1[[#This Row],[Customer_Satisfaction]]=5,"Good")</f>
        <v>Poor</v>
      </c>
    </row>
    <row r="1003" spans="1:27" x14ac:dyDescent="0.35">
      <c r="A1003">
        <v>21001</v>
      </c>
      <c r="B1003" s="1">
        <v>45292</v>
      </c>
      <c r="C1003" t="s">
        <v>30</v>
      </c>
      <c r="D1003" t="s">
        <v>59</v>
      </c>
      <c r="E1003" t="s">
        <v>78</v>
      </c>
      <c r="F1003" t="s">
        <v>53</v>
      </c>
      <c r="G1003" t="s">
        <v>23</v>
      </c>
      <c r="H1003" t="s">
        <v>24</v>
      </c>
      <c r="I1003" t="s">
        <v>55</v>
      </c>
      <c r="J1003" t="s">
        <v>35</v>
      </c>
      <c r="K1003" t="s">
        <v>61</v>
      </c>
      <c r="L1003" t="s">
        <v>49</v>
      </c>
      <c r="M1003" s="4">
        <v>12</v>
      </c>
      <c r="N1003" s="4">
        <v>7</v>
      </c>
      <c r="O1003" t="s">
        <v>36</v>
      </c>
      <c r="P1003" t="s">
        <v>29</v>
      </c>
      <c r="Q1003" s="4">
        <v>377614</v>
      </c>
      <c r="R1003" s="4">
        <v>317096</v>
      </c>
      <c r="S1003" s="4">
        <f>Table1[[#This Row],[Service_Revenue]]-Table1[[#This Row],[Service_Cost]]</f>
        <v>60518</v>
      </c>
      <c r="T1003" s="4">
        <v>3</v>
      </c>
      <c r="U1003" s="4">
        <f>IF(AND(Table1[[#This Row],[Rework_Flag]]="Yes",Table1[[#This Row],[Warranty_Claim]]="No"),Table1[[#This Row],[Service_Revenue]],0)</f>
        <v>0</v>
      </c>
      <c r="V1003" s="4">
        <f>IF(Table1[[#This Row],[Warranty_Claim]]="Yes",1,0)</f>
        <v>1</v>
      </c>
      <c r="W1003" s="4">
        <f>IF(Table1[[#This Row],[Rework_Flag]]="No",1,0)</f>
        <v>1</v>
      </c>
      <c r="X1003" s="4">
        <f>IF(Table1[[#This Row],[Rework_Flag]]="Yes",1,0)</f>
        <v>0</v>
      </c>
      <c r="Y1003" s="4">
        <v>1</v>
      </c>
      <c r="Z1003" s="4" t="str">
        <f>IF(Table1[[#This Row],[TAT_Days]]&gt;Table1[[#This Row],[SLA_TAT]],"Yes","No")</f>
        <v>Yes</v>
      </c>
      <c r="AA1003" s="4" t="str" cm="1">
        <f t="array" ref="AA1003">_xlfn.IFS(Table1[[#This Row],[Customer_Satisfaction]]&lt;=2,"Poor",Table1[[#This Row],[Customer_Satisfaction]]=3,"Neutral",Table1[[#This Row],[Customer_Satisfaction]]=4,"Good",Table1[[#This Row],[Customer_Satisfaction]]=5,"Good")</f>
        <v>Neutral</v>
      </c>
    </row>
    <row r="1004" spans="1:27" x14ac:dyDescent="0.35">
      <c r="A1004">
        <v>21002</v>
      </c>
      <c r="B1004" s="1">
        <v>45409</v>
      </c>
      <c r="C1004" t="s">
        <v>37</v>
      </c>
      <c r="D1004" t="s">
        <v>38</v>
      </c>
      <c r="E1004" t="s">
        <v>39</v>
      </c>
      <c r="F1004" t="s">
        <v>53</v>
      </c>
      <c r="G1004" t="s">
        <v>41</v>
      </c>
      <c r="H1004" t="s">
        <v>42</v>
      </c>
      <c r="I1004" t="s">
        <v>55</v>
      </c>
      <c r="J1004" t="s">
        <v>43</v>
      </c>
      <c r="K1004" t="s">
        <v>61</v>
      </c>
      <c r="L1004" t="s">
        <v>28</v>
      </c>
      <c r="M1004" s="4">
        <v>13</v>
      </c>
      <c r="N1004" s="4">
        <v>7</v>
      </c>
      <c r="O1004" t="s">
        <v>36</v>
      </c>
      <c r="P1004" t="s">
        <v>36</v>
      </c>
      <c r="Q1004" s="4">
        <v>527345</v>
      </c>
      <c r="R1004" s="4">
        <v>410495</v>
      </c>
      <c r="S1004" s="4">
        <f>Table1[[#This Row],[Service_Revenue]]-Table1[[#This Row],[Service_Cost]]</f>
        <v>116850</v>
      </c>
      <c r="T1004" s="4">
        <v>3</v>
      </c>
      <c r="U1004" s="4">
        <f>IF(AND(Table1[[#This Row],[Rework_Flag]]="Yes",Table1[[#This Row],[Warranty_Claim]]="No"),Table1[[#This Row],[Service_Revenue]],0)</f>
        <v>0</v>
      </c>
      <c r="V1004" s="4">
        <f>IF(Table1[[#This Row],[Warranty_Claim]]="Yes",1,0)</f>
        <v>0</v>
      </c>
      <c r="W1004" s="4">
        <f>IF(Table1[[#This Row],[Rework_Flag]]="No",1,0)</f>
        <v>1</v>
      </c>
      <c r="X1004" s="4">
        <f>IF(Table1[[#This Row],[Rework_Flag]]="Yes",1,0)</f>
        <v>0</v>
      </c>
      <c r="Y1004" s="4">
        <v>1</v>
      </c>
      <c r="Z1004" s="4" t="str">
        <f>IF(Table1[[#This Row],[TAT_Days]]&gt;Table1[[#This Row],[SLA_TAT]],"Yes","No")</f>
        <v>Yes</v>
      </c>
      <c r="AA1004" s="4" t="str" cm="1">
        <f t="array" ref="AA1004">_xlfn.IFS(Table1[[#This Row],[Customer_Satisfaction]]&lt;=2,"Poor",Table1[[#This Row],[Customer_Satisfaction]]=3,"Neutral",Table1[[#This Row],[Customer_Satisfaction]]=4,"Good",Table1[[#This Row],[Customer_Satisfaction]]=5,"Good")</f>
        <v>Neutral</v>
      </c>
    </row>
    <row r="1005" spans="1:27" x14ac:dyDescent="0.35">
      <c r="A1005">
        <v>21003</v>
      </c>
      <c r="B1005" s="1">
        <v>45356</v>
      </c>
      <c r="C1005" t="s">
        <v>19</v>
      </c>
      <c r="D1005" t="s">
        <v>45</v>
      </c>
      <c r="E1005" t="s">
        <v>114</v>
      </c>
      <c r="F1005" t="s">
        <v>22</v>
      </c>
      <c r="G1005" t="s">
        <v>41</v>
      </c>
      <c r="H1005" t="s">
        <v>42</v>
      </c>
      <c r="I1005" t="s">
        <v>55</v>
      </c>
      <c r="J1005" t="s">
        <v>58</v>
      </c>
      <c r="K1005" t="s">
        <v>27</v>
      </c>
      <c r="L1005" t="s">
        <v>49</v>
      </c>
      <c r="M1005" s="4">
        <v>24</v>
      </c>
      <c r="N1005" s="4">
        <v>7</v>
      </c>
      <c r="O1005" t="s">
        <v>29</v>
      </c>
      <c r="P1005" t="s">
        <v>36</v>
      </c>
      <c r="Q1005" s="4">
        <v>144291</v>
      </c>
      <c r="R1005" s="4">
        <v>86534</v>
      </c>
      <c r="S1005" s="4">
        <f>Table1[[#This Row],[Service_Revenue]]-Table1[[#This Row],[Service_Cost]]</f>
        <v>57757</v>
      </c>
      <c r="T1005" s="4">
        <v>1</v>
      </c>
      <c r="U1005" s="4">
        <f>IF(AND(Table1[[#This Row],[Rework_Flag]]="Yes",Table1[[#This Row],[Warranty_Claim]]="No"),Table1[[#This Row],[Service_Revenue]],0)</f>
        <v>144291</v>
      </c>
      <c r="V1005" s="4">
        <f>IF(Table1[[#This Row],[Warranty_Claim]]="Yes",1,0)</f>
        <v>0</v>
      </c>
      <c r="W1005" s="4">
        <f>IF(Table1[[#This Row],[Rework_Flag]]="No",1,0)</f>
        <v>0</v>
      </c>
      <c r="X1005" s="4">
        <f>IF(Table1[[#This Row],[Rework_Flag]]="Yes",1,0)</f>
        <v>1</v>
      </c>
      <c r="Y1005" s="4">
        <v>1</v>
      </c>
      <c r="Z1005" s="4" t="str">
        <f>IF(Table1[[#This Row],[TAT_Days]]&gt;Table1[[#This Row],[SLA_TAT]],"Yes","No")</f>
        <v>Yes</v>
      </c>
      <c r="AA1005" s="4" t="str" cm="1">
        <f t="array" ref="AA1005">_xlfn.IFS(Table1[[#This Row],[Customer_Satisfaction]]&lt;=2,"Poor",Table1[[#This Row],[Customer_Satisfaction]]=3,"Neutral",Table1[[#This Row],[Customer_Satisfaction]]=4,"Good",Table1[[#This Row],[Customer_Satisfaction]]=5,"Good")</f>
        <v>Poor</v>
      </c>
    </row>
    <row r="1006" spans="1:27" x14ac:dyDescent="0.35">
      <c r="A1006">
        <v>21004</v>
      </c>
      <c r="B1006" s="1">
        <v>45433</v>
      </c>
      <c r="C1006" t="s">
        <v>19</v>
      </c>
      <c r="D1006" t="s">
        <v>20</v>
      </c>
      <c r="E1006" t="s">
        <v>110</v>
      </c>
      <c r="F1006" t="s">
        <v>22</v>
      </c>
      <c r="G1006" t="s">
        <v>23</v>
      </c>
      <c r="H1006" t="s">
        <v>24</v>
      </c>
      <c r="I1006" t="s">
        <v>25</v>
      </c>
      <c r="J1006" t="s">
        <v>58</v>
      </c>
      <c r="K1006" t="s">
        <v>61</v>
      </c>
      <c r="L1006" t="s">
        <v>28</v>
      </c>
      <c r="M1006" s="4">
        <v>7</v>
      </c>
      <c r="N1006" s="4">
        <v>7</v>
      </c>
      <c r="O1006" t="s">
        <v>29</v>
      </c>
      <c r="P1006" t="s">
        <v>29</v>
      </c>
      <c r="Q1006" s="4">
        <v>134109</v>
      </c>
      <c r="R1006" s="4">
        <v>69302</v>
      </c>
      <c r="S1006" s="4">
        <f>Table1[[#This Row],[Service_Revenue]]-Table1[[#This Row],[Service_Cost]]</f>
        <v>64807</v>
      </c>
      <c r="T1006" s="4">
        <v>3</v>
      </c>
      <c r="U1006" s="4">
        <f>IF(AND(Table1[[#This Row],[Rework_Flag]]="Yes",Table1[[#This Row],[Warranty_Claim]]="No"),Table1[[#This Row],[Service_Revenue]],0)</f>
        <v>0</v>
      </c>
      <c r="V1006" s="4">
        <f>IF(Table1[[#This Row],[Warranty_Claim]]="Yes",1,0)</f>
        <v>1</v>
      </c>
      <c r="W1006" s="4">
        <f>IF(Table1[[#This Row],[Rework_Flag]]="No",1,0)</f>
        <v>0</v>
      </c>
      <c r="X1006" s="4">
        <f>IF(Table1[[#This Row],[Rework_Flag]]="Yes",1,0)</f>
        <v>1</v>
      </c>
      <c r="Y1006" s="4">
        <v>1</v>
      </c>
      <c r="Z1006" s="4" t="str">
        <f>IF(Table1[[#This Row],[TAT_Days]]&gt;Table1[[#This Row],[SLA_TAT]],"Yes","No")</f>
        <v>No</v>
      </c>
      <c r="AA1006" s="4" t="str" cm="1">
        <f t="array" ref="AA1006">_xlfn.IFS(Table1[[#This Row],[Customer_Satisfaction]]&lt;=2,"Poor",Table1[[#This Row],[Customer_Satisfaction]]=3,"Neutral",Table1[[#This Row],[Customer_Satisfaction]]=4,"Good",Table1[[#This Row],[Customer_Satisfaction]]=5,"Good")</f>
        <v>Neutral</v>
      </c>
    </row>
    <row r="1007" spans="1:27" x14ac:dyDescent="0.35">
      <c r="A1007">
        <v>21005</v>
      </c>
      <c r="B1007" s="1">
        <v>45462</v>
      </c>
      <c r="C1007" t="s">
        <v>19</v>
      </c>
      <c r="D1007" t="s">
        <v>96</v>
      </c>
      <c r="E1007" t="s">
        <v>98</v>
      </c>
      <c r="F1007" t="s">
        <v>22</v>
      </c>
      <c r="G1007" t="s">
        <v>41</v>
      </c>
      <c r="H1007" t="s">
        <v>42</v>
      </c>
      <c r="I1007" t="s">
        <v>55</v>
      </c>
      <c r="J1007" t="s">
        <v>35</v>
      </c>
      <c r="K1007" t="s">
        <v>61</v>
      </c>
      <c r="L1007" t="s">
        <v>28</v>
      </c>
      <c r="M1007" s="4">
        <v>12</v>
      </c>
      <c r="N1007" s="4">
        <v>7</v>
      </c>
      <c r="O1007" t="s">
        <v>29</v>
      </c>
      <c r="P1007" t="s">
        <v>36</v>
      </c>
      <c r="Q1007" s="4">
        <v>385862</v>
      </c>
      <c r="R1007" s="4">
        <v>193728</v>
      </c>
      <c r="S1007" s="4">
        <f>Table1[[#This Row],[Service_Revenue]]-Table1[[#This Row],[Service_Cost]]</f>
        <v>192134</v>
      </c>
      <c r="T1007" s="4">
        <v>2</v>
      </c>
      <c r="U1007" s="4">
        <f>IF(AND(Table1[[#This Row],[Rework_Flag]]="Yes",Table1[[#This Row],[Warranty_Claim]]="No"),Table1[[#This Row],[Service_Revenue]],0)</f>
        <v>385862</v>
      </c>
      <c r="V1007" s="4">
        <f>IF(Table1[[#This Row],[Warranty_Claim]]="Yes",1,0)</f>
        <v>0</v>
      </c>
      <c r="W1007" s="4">
        <f>IF(Table1[[#This Row],[Rework_Flag]]="No",1,0)</f>
        <v>0</v>
      </c>
      <c r="X1007" s="4">
        <f>IF(Table1[[#This Row],[Rework_Flag]]="Yes",1,0)</f>
        <v>1</v>
      </c>
      <c r="Y1007" s="4">
        <v>1</v>
      </c>
      <c r="Z1007" s="4" t="str">
        <f>IF(Table1[[#This Row],[TAT_Days]]&gt;Table1[[#This Row],[SLA_TAT]],"Yes","No")</f>
        <v>Yes</v>
      </c>
      <c r="AA1007" s="4" t="str" cm="1">
        <f t="array" ref="AA1007">_xlfn.IFS(Table1[[#This Row],[Customer_Satisfaction]]&lt;=2,"Poor",Table1[[#This Row],[Customer_Satisfaction]]=3,"Neutral",Table1[[#This Row],[Customer_Satisfaction]]=4,"Good",Table1[[#This Row],[Customer_Satisfaction]]=5,"Good")</f>
        <v>Poor</v>
      </c>
    </row>
    <row r="1008" spans="1:27" x14ac:dyDescent="0.35">
      <c r="A1008">
        <v>21006</v>
      </c>
      <c r="B1008" s="1">
        <v>45442</v>
      </c>
      <c r="C1008" t="s">
        <v>30</v>
      </c>
      <c r="D1008" t="s">
        <v>83</v>
      </c>
      <c r="E1008" t="s">
        <v>119</v>
      </c>
      <c r="F1008" t="s">
        <v>53</v>
      </c>
      <c r="G1008" t="s">
        <v>41</v>
      </c>
      <c r="H1008" t="s">
        <v>42</v>
      </c>
      <c r="I1008" t="s">
        <v>55</v>
      </c>
      <c r="J1008" t="s">
        <v>35</v>
      </c>
      <c r="K1008" t="s">
        <v>27</v>
      </c>
      <c r="L1008" t="s">
        <v>49</v>
      </c>
      <c r="M1008" s="4">
        <v>22</v>
      </c>
      <c r="N1008" s="4">
        <v>7</v>
      </c>
      <c r="O1008" t="s">
        <v>29</v>
      </c>
      <c r="P1008" t="s">
        <v>36</v>
      </c>
      <c r="Q1008" s="4">
        <v>111480</v>
      </c>
      <c r="R1008" s="4">
        <v>69430</v>
      </c>
      <c r="S1008" s="4">
        <f>Table1[[#This Row],[Service_Revenue]]-Table1[[#This Row],[Service_Cost]]</f>
        <v>42050</v>
      </c>
      <c r="T1008" s="4">
        <v>1</v>
      </c>
      <c r="U1008" s="4">
        <f>IF(AND(Table1[[#This Row],[Rework_Flag]]="Yes",Table1[[#This Row],[Warranty_Claim]]="No"),Table1[[#This Row],[Service_Revenue]],0)</f>
        <v>111480</v>
      </c>
      <c r="V1008" s="4">
        <f>IF(Table1[[#This Row],[Warranty_Claim]]="Yes",1,0)</f>
        <v>0</v>
      </c>
      <c r="W1008" s="4">
        <f>IF(Table1[[#This Row],[Rework_Flag]]="No",1,0)</f>
        <v>0</v>
      </c>
      <c r="X1008" s="4">
        <f>IF(Table1[[#This Row],[Rework_Flag]]="Yes",1,0)</f>
        <v>1</v>
      </c>
      <c r="Y1008" s="4">
        <v>1</v>
      </c>
      <c r="Z1008" s="4" t="str">
        <f>IF(Table1[[#This Row],[TAT_Days]]&gt;Table1[[#This Row],[SLA_TAT]],"Yes","No")</f>
        <v>Yes</v>
      </c>
      <c r="AA1008" s="4" t="str" cm="1">
        <f t="array" ref="AA1008">_xlfn.IFS(Table1[[#This Row],[Customer_Satisfaction]]&lt;=2,"Poor",Table1[[#This Row],[Customer_Satisfaction]]=3,"Neutral",Table1[[#This Row],[Customer_Satisfaction]]=4,"Good",Table1[[#This Row],[Customer_Satisfaction]]=5,"Good")</f>
        <v>Poor</v>
      </c>
    </row>
    <row r="1009" spans="1:27" x14ac:dyDescent="0.35">
      <c r="A1009">
        <v>21007</v>
      </c>
      <c r="B1009" s="1">
        <v>45403</v>
      </c>
      <c r="C1009" t="s">
        <v>50</v>
      </c>
      <c r="D1009" t="s">
        <v>56</v>
      </c>
      <c r="E1009" t="s">
        <v>101</v>
      </c>
      <c r="F1009" t="s">
        <v>53</v>
      </c>
      <c r="G1009" t="s">
        <v>54</v>
      </c>
      <c r="H1009" t="s">
        <v>42</v>
      </c>
      <c r="I1009" t="s">
        <v>25</v>
      </c>
      <c r="J1009" t="s">
        <v>67</v>
      </c>
      <c r="K1009" t="s">
        <v>61</v>
      </c>
      <c r="L1009" t="s">
        <v>28</v>
      </c>
      <c r="M1009" s="4">
        <v>24</v>
      </c>
      <c r="N1009" s="4">
        <v>7</v>
      </c>
      <c r="O1009" t="s">
        <v>29</v>
      </c>
      <c r="P1009" t="s">
        <v>29</v>
      </c>
      <c r="Q1009" s="4">
        <v>191133</v>
      </c>
      <c r="R1009" s="4">
        <v>148486</v>
      </c>
      <c r="S1009" s="4">
        <f>Table1[[#This Row],[Service_Revenue]]-Table1[[#This Row],[Service_Cost]]</f>
        <v>42647</v>
      </c>
      <c r="T1009" s="4">
        <v>1</v>
      </c>
      <c r="U1009" s="4">
        <f>IF(AND(Table1[[#This Row],[Rework_Flag]]="Yes",Table1[[#This Row],[Warranty_Claim]]="No"),Table1[[#This Row],[Service_Revenue]],0)</f>
        <v>0</v>
      </c>
      <c r="V1009" s="4">
        <f>IF(Table1[[#This Row],[Warranty_Claim]]="Yes",1,0)</f>
        <v>1</v>
      </c>
      <c r="W1009" s="4">
        <f>IF(Table1[[#This Row],[Rework_Flag]]="No",1,0)</f>
        <v>0</v>
      </c>
      <c r="X1009" s="4">
        <f>IF(Table1[[#This Row],[Rework_Flag]]="Yes",1,0)</f>
        <v>1</v>
      </c>
      <c r="Y1009" s="4">
        <v>1</v>
      </c>
      <c r="Z1009" s="4" t="str">
        <f>IF(Table1[[#This Row],[TAT_Days]]&gt;Table1[[#This Row],[SLA_TAT]],"Yes","No")</f>
        <v>Yes</v>
      </c>
      <c r="AA1009" s="4" t="str" cm="1">
        <f t="array" ref="AA1009">_xlfn.IFS(Table1[[#This Row],[Customer_Satisfaction]]&lt;=2,"Poor",Table1[[#This Row],[Customer_Satisfaction]]=3,"Neutral",Table1[[#This Row],[Customer_Satisfaction]]=4,"Good",Table1[[#This Row],[Customer_Satisfaction]]=5,"Good")</f>
        <v>Poor</v>
      </c>
    </row>
    <row r="1010" spans="1:27" x14ac:dyDescent="0.35">
      <c r="A1010">
        <v>21008</v>
      </c>
      <c r="B1010" s="1">
        <v>45382</v>
      </c>
      <c r="C1010" t="s">
        <v>37</v>
      </c>
      <c r="D1010" t="s">
        <v>64</v>
      </c>
      <c r="E1010" t="s">
        <v>115</v>
      </c>
      <c r="F1010" t="s">
        <v>22</v>
      </c>
      <c r="G1010" t="s">
        <v>41</v>
      </c>
      <c r="H1010" t="s">
        <v>42</v>
      </c>
      <c r="I1010" t="s">
        <v>55</v>
      </c>
      <c r="J1010" t="s">
        <v>43</v>
      </c>
      <c r="K1010" t="s">
        <v>27</v>
      </c>
      <c r="L1010" t="s">
        <v>49</v>
      </c>
      <c r="M1010" s="4">
        <v>25</v>
      </c>
      <c r="N1010" s="4">
        <v>7</v>
      </c>
      <c r="O1010" t="s">
        <v>29</v>
      </c>
      <c r="P1010" t="s">
        <v>36</v>
      </c>
      <c r="Q1010" s="4">
        <v>451992</v>
      </c>
      <c r="R1010" s="4">
        <v>236801</v>
      </c>
      <c r="S1010" s="4">
        <f>Table1[[#This Row],[Service_Revenue]]-Table1[[#This Row],[Service_Cost]]</f>
        <v>215191</v>
      </c>
      <c r="T1010" s="4">
        <v>1</v>
      </c>
      <c r="U1010" s="4">
        <f>IF(AND(Table1[[#This Row],[Rework_Flag]]="Yes",Table1[[#This Row],[Warranty_Claim]]="No"),Table1[[#This Row],[Service_Revenue]],0)</f>
        <v>451992</v>
      </c>
      <c r="V1010" s="4">
        <f>IF(Table1[[#This Row],[Warranty_Claim]]="Yes",1,0)</f>
        <v>0</v>
      </c>
      <c r="W1010" s="4">
        <f>IF(Table1[[#This Row],[Rework_Flag]]="No",1,0)</f>
        <v>0</v>
      </c>
      <c r="X1010" s="4">
        <f>IF(Table1[[#This Row],[Rework_Flag]]="Yes",1,0)</f>
        <v>1</v>
      </c>
      <c r="Y1010" s="4">
        <v>1</v>
      </c>
      <c r="Z1010" s="4" t="str">
        <f>IF(Table1[[#This Row],[TAT_Days]]&gt;Table1[[#This Row],[SLA_TAT]],"Yes","No")</f>
        <v>Yes</v>
      </c>
      <c r="AA1010" s="4" t="str" cm="1">
        <f t="array" ref="AA1010">_xlfn.IFS(Table1[[#This Row],[Customer_Satisfaction]]&lt;=2,"Poor",Table1[[#This Row],[Customer_Satisfaction]]=3,"Neutral",Table1[[#This Row],[Customer_Satisfaction]]=4,"Good",Table1[[#This Row],[Customer_Satisfaction]]=5,"Good")</f>
        <v>Poor</v>
      </c>
    </row>
    <row r="1011" spans="1:27" x14ac:dyDescent="0.35">
      <c r="A1011">
        <v>21009</v>
      </c>
      <c r="B1011" s="1">
        <v>45306</v>
      </c>
      <c r="C1011" t="s">
        <v>19</v>
      </c>
      <c r="D1011" t="s">
        <v>96</v>
      </c>
      <c r="E1011" t="s">
        <v>105</v>
      </c>
      <c r="F1011" t="s">
        <v>22</v>
      </c>
      <c r="G1011" t="s">
        <v>63</v>
      </c>
      <c r="H1011" t="s">
        <v>24</v>
      </c>
      <c r="I1011" t="s">
        <v>25</v>
      </c>
      <c r="J1011" t="s">
        <v>67</v>
      </c>
      <c r="K1011" t="s">
        <v>27</v>
      </c>
      <c r="L1011" t="s">
        <v>49</v>
      </c>
      <c r="M1011" s="4">
        <v>14</v>
      </c>
      <c r="N1011" s="4">
        <v>7</v>
      </c>
      <c r="O1011" t="s">
        <v>29</v>
      </c>
      <c r="P1011" t="s">
        <v>29</v>
      </c>
      <c r="Q1011" s="4">
        <v>495643</v>
      </c>
      <c r="R1011" s="4">
        <v>265803</v>
      </c>
      <c r="S1011" s="4">
        <f>Table1[[#This Row],[Service_Revenue]]-Table1[[#This Row],[Service_Cost]]</f>
        <v>229840</v>
      </c>
      <c r="T1011" s="4">
        <v>2</v>
      </c>
      <c r="U1011" s="4">
        <f>IF(AND(Table1[[#This Row],[Rework_Flag]]="Yes",Table1[[#This Row],[Warranty_Claim]]="No"),Table1[[#This Row],[Service_Revenue]],0)</f>
        <v>0</v>
      </c>
      <c r="V1011" s="4">
        <f>IF(Table1[[#This Row],[Warranty_Claim]]="Yes",1,0)</f>
        <v>1</v>
      </c>
      <c r="W1011" s="4">
        <f>IF(Table1[[#This Row],[Rework_Flag]]="No",1,0)</f>
        <v>0</v>
      </c>
      <c r="X1011" s="4">
        <f>IF(Table1[[#This Row],[Rework_Flag]]="Yes",1,0)</f>
        <v>1</v>
      </c>
      <c r="Y1011" s="4">
        <v>1</v>
      </c>
      <c r="Z1011" s="4" t="str">
        <f>IF(Table1[[#This Row],[TAT_Days]]&gt;Table1[[#This Row],[SLA_TAT]],"Yes","No")</f>
        <v>Yes</v>
      </c>
      <c r="AA1011" s="4" t="str" cm="1">
        <f t="array" ref="AA1011">_xlfn.IFS(Table1[[#This Row],[Customer_Satisfaction]]&lt;=2,"Poor",Table1[[#This Row],[Customer_Satisfaction]]=3,"Neutral",Table1[[#This Row],[Customer_Satisfaction]]=4,"Good",Table1[[#This Row],[Customer_Satisfaction]]=5,"Good")</f>
        <v>Poor</v>
      </c>
    </row>
    <row r="1012" spans="1:27" x14ac:dyDescent="0.35">
      <c r="A1012">
        <v>21010</v>
      </c>
      <c r="B1012" s="1">
        <v>45415</v>
      </c>
      <c r="C1012" t="s">
        <v>30</v>
      </c>
      <c r="D1012" t="s">
        <v>83</v>
      </c>
      <c r="E1012" t="s">
        <v>95</v>
      </c>
      <c r="F1012" t="s">
        <v>22</v>
      </c>
      <c r="G1012" t="s">
        <v>74</v>
      </c>
      <c r="H1012" t="s">
        <v>34</v>
      </c>
      <c r="I1012" t="s">
        <v>25</v>
      </c>
      <c r="J1012" t="s">
        <v>67</v>
      </c>
      <c r="K1012" t="s">
        <v>27</v>
      </c>
      <c r="L1012" t="s">
        <v>49</v>
      </c>
      <c r="M1012" s="4">
        <v>20</v>
      </c>
      <c r="N1012" s="4">
        <v>7</v>
      </c>
      <c r="O1012" t="s">
        <v>29</v>
      </c>
      <c r="P1012" t="s">
        <v>36</v>
      </c>
      <c r="Q1012" s="4">
        <v>151484</v>
      </c>
      <c r="R1012" s="4">
        <v>104921</v>
      </c>
      <c r="S1012" s="4">
        <f>Table1[[#This Row],[Service_Revenue]]-Table1[[#This Row],[Service_Cost]]</f>
        <v>46563</v>
      </c>
      <c r="T1012" s="4">
        <v>1</v>
      </c>
      <c r="U1012" s="4">
        <f>IF(AND(Table1[[#This Row],[Rework_Flag]]="Yes",Table1[[#This Row],[Warranty_Claim]]="No"),Table1[[#This Row],[Service_Revenue]],0)</f>
        <v>151484</v>
      </c>
      <c r="V1012" s="4">
        <f>IF(Table1[[#This Row],[Warranty_Claim]]="Yes",1,0)</f>
        <v>0</v>
      </c>
      <c r="W1012" s="4">
        <f>IF(Table1[[#This Row],[Rework_Flag]]="No",1,0)</f>
        <v>0</v>
      </c>
      <c r="X1012" s="4">
        <f>IF(Table1[[#This Row],[Rework_Flag]]="Yes",1,0)</f>
        <v>1</v>
      </c>
      <c r="Y1012" s="4">
        <v>1</v>
      </c>
      <c r="Z1012" s="4" t="str">
        <f>IF(Table1[[#This Row],[TAT_Days]]&gt;Table1[[#This Row],[SLA_TAT]],"Yes","No")</f>
        <v>Yes</v>
      </c>
      <c r="AA1012" s="4" t="str" cm="1">
        <f t="array" ref="AA1012">_xlfn.IFS(Table1[[#This Row],[Customer_Satisfaction]]&lt;=2,"Poor",Table1[[#This Row],[Customer_Satisfaction]]=3,"Neutral",Table1[[#This Row],[Customer_Satisfaction]]=4,"Good",Table1[[#This Row],[Customer_Satisfaction]]=5,"Good")</f>
        <v>Poor</v>
      </c>
    </row>
    <row r="1013" spans="1:27" x14ac:dyDescent="0.35">
      <c r="A1013">
        <v>21011</v>
      </c>
      <c r="B1013" s="1">
        <v>45333</v>
      </c>
      <c r="C1013" t="s">
        <v>30</v>
      </c>
      <c r="D1013" t="s">
        <v>83</v>
      </c>
      <c r="E1013" t="s">
        <v>90</v>
      </c>
      <c r="F1013" t="s">
        <v>22</v>
      </c>
      <c r="G1013" t="s">
        <v>33</v>
      </c>
      <c r="H1013" t="s">
        <v>34</v>
      </c>
      <c r="I1013" t="s">
        <v>25</v>
      </c>
      <c r="J1013" t="s">
        <v>43</v>
      </c>
      <c r="K1013" t="s">
        <v>44</v>
      </c>
      <c r="L1013" t="s">
        <v>28</v>
      </c>
      <c r="M1013" s="4">
        <v>20</v>
      </c>
      <c r="N1013" s="4">
        <v>7</v>
      </c>
      <c r="O1013" t="s">
        <v>36</v>
      </c>
      <c r="P1013" t="s">
        <v>29</v>
      </c>
      <c r="Q1013" s="4">
        <v>415282</v>
      </c>
      <c r="R1013" s="4">
        <v>344329</v>
      </c>
      <c r="S1013" s="4">
        <f>Table1[[#This Row],[Service_Revenue]]-Table1[[#This Row],[Service_Cost]]</f>
        <v>70953</v>
      </c>
      <c r="T1013" s="4">
        <v>1</v>
      </c>
      <c r="U1013" s="4">
        <f>IF(AND(Table1[[#This Row],[Rework_Flag]]="Yes",Table1[[#This Row],[Warranty_Claim]]="No"),Table1[[#This Row],[Service_Revenue]],0)</f>
        <v>0</v>
      </c>
      <c r="V1013" s="4">
        <f>IF(Table1[[#This Row],[Warranty_Claim]]="Yes",1,0)</f>
        <v>1</v>
      </c>
      <c r="W1013" s="4">
        <f>IF(Table1[[#This Row],[Rework_Flag]]="No",1,0)</f>
        <v>1</v>
      </c>
      <c r="X1013" s="4">
        <f>IF(Table1[[#This Row],[Rework_Flag]]="Yes",1,0)</f>
        <v>0</v>
      </c>
      <c r="Y1013" s="4">
        <v>1</v>
      </c>
      <c r="Z1013" s="4" t="str">
        <f>IF(Table1[[#This Row],[TAT_Days]]&gt;Table1[[#This Row],[SLA_TAT]],"Yes","No")</f>
        <v>Yes</v>
      </c>
      <c r="AA1013" s="4" t="str" cm="1">
        <f t="array" ref="AA1013">_xlfn.IFS(Table1[[#This Row],[Customer_Satisfaction]]&lt;=2,"Poor",Table1[[#This Row],[Customer_Satisfaction]]=3,"Neutral",Table1[[#This Row],[Customer_Satisfaction]]=4,"Good",Table1[[#This Row],[Customer_Satisfaction]]=5,"Good")</f>
        <v>Poor</v>
      </c>
    </row>
    <row r="1014" spans="1:27" x14ac:dyDescent="0.35">
      <c r="A1014">
        <v>21012</v>
      </c>
      <c r="B1014" s="1">
        <v>45458</v>
      </c>
      <c r="C1014" t="s">
        <v>37</v>
      </c>
      <c r="D1014" t="s">
        <v>64</v>
      </c>
      <c r="E1014" t="s">
        <v>115</v>
      </c>
      <c r="F1014" t="s">
        <v>22</v>
      </c>
      <c r="G1014" t="s">
        <v>47</v>
      </c>
      <c r="H1014" t="s">
        <v>48</v>
      </c>
      <c r="I1014" t="s">
        <v>55</v>
      </c>
      <c r="J1014" t="s">
        <v>67</v>
      </c>
      <c r="K1014" t="s">
        <v>27</v>
      </c>
      <c r="L1014" t="s">
        <v>28</v>
      </c>
      <c r="M1014" s="4">
        <v>21</v>
      </c>
      <c r="N1014" s="4">
        <v>7</v>
      </c>
      <c r="O1014" t="s">
        <v>29</v>
      </c>
      <c r="P1014" t="s">
        <v>29</v>
      </c>
      <c r="Q1014" s="4">
        <v>189443</v>
      </c>
      <c r="R1014" s="4">
        <v>146742</v>
      </c>
      <c r="S1014" s="4">
        <f>Table1[[#This Row],[Service_Revenue]]-Table1[[#This Row],[Service_Cost]]</f>
        <v>42701</v>
      </c>
      <c r="T1014" s="4">
        <v>1</v>
      </c>
      <c r="U1014" s="4">
        <f>IF(AND(Table1[[#This Row],[Rework_Flag]]="Yes",Table1[[#This Row],[Warranty_Claim]]="No"),Table1[[#This Row],[Service_Revenue]],0)</f>
        <v>0</v>
      </c>
      <c r="V1014" s="4">
        <f>IF(Table1[[#This Row],[Warranty_Claim]]="Yes",1,0)</f>
        <v>1</v>
      </c>
      <c r="W1014" s="4">
        <f>IF(Table1[[#This Row],[Rework_Flag]]="No",1,0)</f>
        <v>0</v>
      </c>
      <c r="X1014" s="4">
        <f>IF(Table1[[#This Row],[Rework_Flag]]="Yes",1,0)</f>
        <v>1</v>
      </c>
      <c r="Y1014" s="4">
        <v>1</v>
      </c>
      <c r="Z1014" s="4" t="str">
        <f>IF(Table1[[#This Row],[TAT_Days]]&gt;Table1[[#This Row],[SLA_TAT]],"Yes","No")</f>
        <v>Yes</v>
      </c>
      <c r="AA1014" s="4" t="str" cm="1">
        <f t="array" ref="AA1014">_xlfn.IFS(Table1[[#This Row],[Customer_Satisfaction]]&lt;=2,"Poor",Table1[[#This Row],[Customer_Satisfaction]]=3,"Neutral",Table1[[#This Row],[Customer_Satisfaction]]=4,"Good",Table1[[#This Row],[Customer_Satisfaction]]=5,"Good")</f>
        <v>Poor</v>
      </c>
    </row>
    <row r="1015" spans="1:27" x14ac:dyDescent="0.35">
      <c r="A1015">
        <v>21013</v>
      </c>
      <c r="B1015" s="1">
        <v>45450</v>
      </c>
      <c r="C1015" t="s">
        <v>19</v>
      </c>
      <c r="D1015" t="s">
        <v>20</v>
      </c>
      <c r="E1015" t="s">
        <v>117</v>
      </c>
      <c r="F1015" t="s">
        <v>22</v>
      </c>
      <c r="G1015" t="s">
        <v>47</v>
      </c>
      <c r="H1015" t="s">
        <v>48</v>
      </c>
      <c r="I1015" t="s">
        <v>25</v>
      </c>
      <c r="J1015" t="s">
        <v>26</v>
      </c>
      <c r="K1015" t="s">
        <v>27</v>
      </c>
      <c r="L1015" t="s">
        <v>49</v>
      </c>
      <c r="M1015" s="4">
        <v>4</v>
      </c>
      <c r="N1015" s="4">
        <v>7</v>
      </c>
      <c r="O1015" t="s">
        <v>29</v>
      </c>
      <c r="P1015" t="s">
        <v>29</v>
      </c>
      <c r="Q1015" s="4">
        <v>136792</v>
      </c>
      <c r="R1015" s="4">
        <v>84558</v>
      </c>
      <c r="S1015" s="4">
        <f>Table1[[#This Row],[Service_Revenue]]-Table1[[#This Row],[Service_Cost]]</f>
        <v>52234</v>
      </c>
      <c r="T1015" s="4">
        <v>4</v>
      </c>
      <c r="U1015" s="4">
        <f>IF(AND(Table1[[#This Row],[Rework_Flag]]="Yes",Table1[[#This Row],[Warranty_Claim]]="No"),Table1[[#This Row],[Service_Revenue]],0)</f>
        <v>0</v>
      </c>
      <c r="V1015" s="4">
        <f>IF(Table1[[#This Row],[Warranty_Claim]]="Yes",1,0)</f>
        <v>1</v>
      </c>
      <c r="W1015" s="4">
        <f>IF(Table1[[#This Row],[Rework_Flag]]="No",1,0)</f>
        <v>0</v>
      </c>
      <c r="X1015" s="4">
        <f>IF(Table1[[#This Row],[Rework_Flag]]="Yes",1,0)</f>
        <v>1</v>
      </c>
      <c r="Y1015" s="4">
        <v>1</v>
      </c>
      <c r="Z1015" s="4" t="str">
        <f>IF(Table1[[#This Row],[TAT_Days]]&gt;Table1[[#This Row],[SLA_TAT]],"Yes","No")</f>
        <v>No</v>
      </c>
      <c r="AA1015" s="4" t="str" cm="1">
        <f t="array" ref="AA1015">_xlfn.IFS(Table1[[#This Row],[Customer_Satisfaction]]&lt;=2,"Poor",Table1[[#This Row],[Customer_Satisfaction]]=3,"Neutral",Table1[[#This Row],[Customer_Satisfaction]]=4,"Good",Table1[[#This Row],[Customer_Satisfaction]]=5,"Good")</f>
        <v>Good</v>
      </c>
    </row>
    <row r="1016" spans="1:27" x14ac:dyDescent="0.35">
      <c r="A1016">
        <v>21014</v>
      </c>
      <c r="B1016" s="1">
        <v>45460</v>
      </c>
      <c r="C1016" t="s">
        <v>30</v>
      </c>
      <c r="D1016" t="s">
        <v>83</v>
      </c>
      <c r="E1016" t="s">
        <v>90</v>
      </c>
      <c r="F1016" t="s">
        <v>53</v>
      </c>
      <c r="G1016" t="s">
        <v>47</v>
      </c>
      <c r="H1016" t="s">
        <v>48</v>
      </c>
      <c r="I1016" t="s">
        <v>25</v>
      </c>
      <c r="J1016" t="s">
        <v>35</v>
      </c>
      <c r="K1016" t="s">
        <v>44</v>
      </c>
      <c r="L1016" t="s">
        <v>28</v>
      </c>
      <c r="M1016" s="4">
        <v>13</v>
      </c>
      <c r="N1016" s="4">
        <v>7</v>
      </c>
      <c r="O1016" t="s">
        <v>36</v>
      </c>
      <c r="P1016" t="s">
        <v>36</v>
      </c>
      <c r="Q1016" s="4">
        <v>113874</v>
      </c>
      <c r="R1016" s="4">
        <v>89909</v>
      </c>
      <c r="S1016" s="4">
        <f>Table1[[#This Row],[Service_Revenue]]-Table1[[#This Row],[Service_Cost]]</f>
        <v>23965</v>
      </c>
      <c r="T1016" s="4">
        <v>3</v>
      </c>
      <c r="U1016" s="4">
        <f>IF(AND(Table1[[#This Row],[Rework_Flag]]="Yes",Table1[[#This Row],[Warranty_Claim]]="No"),Table1[[#This Row],[Service_Revenue]],0)</f>
        <v>0</v>
      </c>
      <c r="V1016" s="4">
        <f>IF(Table1[[#This Row],[Warranty_Claim]]="Yes",1,0)</f>
        <v>0</v>
      </c>
      <c r="W1016" s="4">
        <f>IF(Table1[[#This Row],[Rework_Flag]]="No",1,0)</f>
        <v>1</v>
      </c>
      <c r="X1016" s="4">
        <f>IF(Table1[[#This Row],[Rework_Flag]]="Yes",1,0)</f>
        <v>0</v>
      </c>
      <c r="Y1016" s="4">
        <v>1</v>
      </c>
      <c r="Z1016" s="4" t="str">
        <f>IF(Table1[[#This Row],[TAT_Days]]&gt;Table1[[#This Row],[SLA_TAT]],"Yes","No")</f>
        <v>Yes</v>
      </c>
      <c r="AA1016" s="4" t="str" cm="1">
        <f t="array" ref="AA1016">_xlfn.IFS(Table1[[#This Row],[Customer_Satisfaction]]&lt;=2,"Poor",Table1[[#This Row],[Customer_Satisfaction]]=3,"Neutral",Table1[[#This Row],[Customer_Satisfaction]]=4,"Good",Table1[[#This Row],[Customer_Satisfaction]]=5,"Good")</f>
        <v>Neutral</v>
      </c>
    </row>
    <row r="1017" spans="1:27" x14ac:dyDescent="0.35">
      <c r="A1017">
        <v>21015</v>
      </c>
      <c r="B1017" s="1">
        <v>45417</v>
      </c>
      <c r="C1017" t="s">
        <v>19</v>
      </c>
      <c r="D1017" t="s">
        <v>96</v>
      </c>
      <c r="E1017" t="s">
        <v>98</v>
      </c>
      <c r="F1017" t="s">
        <v>40</v>
      </c>
      <c r="G1017" t="s">
        <v>54</v>
      </c>
      <c r="H1017" t="s">
        <v>42</v>
      </c>
      <c r="I1017" t="s">
        <v>55</v>
      </c>
      <c r="J1017" t="s">
        <v>43</v>
      </c>
      <c r="K1017" t="s">
        <v>44</v>
      </c>
      <c r="L1017" t="s">
        <v>28</v>
      </c>
      <c r="M1017" s="4">
        <v>24</v>
      </c>
      <c r="N1017" s="4">
        <v>7</v>
      </c>
      <c r="O1017" t="s">
        <v>29</v>
      </c>
      <c r="P1017" t="s">
        <v>29</v>
      </c>
      <c r="Q1017" s="4">
        <v>333892</v>
      </c>
      <c r="R1017" s="4">
        <v>223042</v>
      </c>
      <c r="S1017" s="4">
        <f>Table1[[#This Row],[Service_Revenue]]-Table1[[#This Row],[Service_Cost]]</f>
        <v>110850</v>
      </c>
      <c r="T1017" s="4">
        <v>1</v>
      </c>
      <c r="U1017" s="4">
        <f>IF(AND(Table1[[#This Row],[Rework_Flag]]="Yes",Table1[[#This Row],[Warranty_Claim]]="No"),Table1[[#This Row],[Service_Revenue]],0)</f>
        <v>0</v>
      </c>
      <c r="V1017" s="4">
        <f>IF(Table1[[#This Row],[Warranty_Claim]]="Yes",1,0)</f>
        <v>1</v>
      </c>
      <c r="W1017" s="4">
        <f>IF(Table1[[#This Row],[Rework_Flag]]="No",1,0)</f>
        <v>0</v>
      </c>
      <c r="X1017" s="4">
        <f>IF(Table1[[#This Row],[Rework_Flag]]="Yes",1,0)</f>
        <v>1</v>
      </c>
      <c r="Y1017" s="4">
        <v>1</v>
      </c>
      <c r="Z1017" s="4" t="str">
        <f>IF(Table1[[#This Row],[TAT_Days]]&gt;Table1[[#This Row],[SLA_TAT]],"Yes","No")</f>
        <v>Yes</v>
      </c>
      <c r="AA1017" s="4" t="str" cm="1">
        <f t="array" ref="AA1017">_xlfn.IFS(Table1[[#This Row],[Customer_Satisfaction]]&lt;=2,"Poor",Table1[[#This Row],[Customer_Satisfaction]]=3,"Neutral",Table1[[#This Row],[Customer_Satisfaction]]=4,"Good",Table1[[#This Row],[Customer_Satisfaction]]=5,"Good")</f>
        <v>Poor</v>
      </c>
    </row>
    <row r="1018" spans="1:27" x14ac:dyDescent="0.35">
      <c r="A1018">
        <v>21016</v>
      </c>
      <c r="B1018" s="1">
        <v>45398</v>
      </c>
      <c r="C1018" t="s">
        <v>30</v>
      </c>
      <c r="D1018" t="s">
        <v>31</v>
      </c>
      <c r="E1018" t="s">
        <v>122</v>
      </c>
      <c r="F1018" t="s">
        <v>22</v>
      </c>
      <c r="G1018" t="s">
        <v>33</v>
      </c>
      <c r="H1018" t="s">
        <v>34</v>
      </c>
      <c r="I1018" t="s">
        <v>55</v>
      </c>
      <c r="J1018" t="s">
        <v>43</v>
      </c>
      <c r="K1018" t="s">
        <v>61</v>
      </c>
      <c r="L1018" t="s">
        <v>28</v>
      </c>
      <c r="M1018" s="4">
        <v>4</v>
      </c>
      <c r="N1018" s="4">
        <v>7</v>
      </c>
      <c r="O1018" t="s">
        <v>29</v>
      </c>
      <c r="P1018" t="s">
        <v>36</v>
      </c>
      <c r="Q1018" s="4">
        <v>226320</v>
      </c>
      <c r="R1018" s="4">
        <v>188509</v>
      </c>
      <c r="S1018" s="4">
        <f>Table1[[#This Row],[Service_Revenue]]-Table1[[#This Row],[Service_Cost]]</f>
        <v>37811</v>
      </c>
      <c r="T1018" s="4">
        <v>4</v>
      </c>
      <c r="U1018" s="4">
        <f>IF(AND(Table1[[#This Row],[Rework_Flag]]="Yes",Table1[[#This Row],[Warranty_Claim]]="No"),Table1[[#This Row],[Service_Revenue]],0)</f>
        <v>226320</v>
      </c>
      <c r="V1018" s="4">
        <f>IF(Table1[[#This Row],[Warranty_Claim]]="Yes",1,0)</f>
        <v>0</v>
      </c>
      <c r="W1018" s="4">
        <f>IF(Table1[[#This Row],[Rework_Flag]]="No",1,0)</f>
        <v>0</v>
      </c>
      <c r="X1018" s="4">
        <f>IF(Table1[[#This Row],[Rework_Flag]]="Yes",1,0)</f>
        <v>1</v>
      </c>
      <c r="Y1018" s="4">
        <v>1</v>
      </c>
      <c r="Z1018" s="4" t="str">
        <f>IF(Table1[[#This Row],[TAT_Days]]&gt;Table1[[#This Row],[SLA_TAT]],"Yes","No")</f>
        <v>No</v>
      </c>
      <c r="AA1018" s="4" t="str" cm="1">
        <f t="array" ref="AA1018">_xlfn.IFS(Table1[[#This Row],[Customer_Satisfaction]]&lt;=2,"Poor",Table1[[#This Row],[Customer_Satisfaction]]=3,"Neutral",Table1[[#This Row],[Customer_Satisfaction]]=4,"Good",Table1[[#This Row],[Customer_Satisfaction]]=5,"Good")</f>
        <v>Good</v>
      </c>
    </row>
    <row r="1019" spans="1:27" x14ac:dyDescent="0.35">
      <c r="A1019">
        <v>21017</v>
      </c>
      <c r="B1019" s="1">
        <v>45402</v>
      </c>
      <c r="C1019" t="s">
        <v>37</v>
      </c>
      <c r="D1019" t="s">
        <v>38</v>
      </c>
      <c r="E1019" t="s">
        <v>102</v>
      </c>
      <c r="F1019" t="s">
        <v>40</v>
      </c>
      <c r="G1019" t="s">
        <v>47</v>
      </c>
      <c r="H1019" t="s">
        <v>48</v>
      </c>
      <c r="I1019" t="s">
        <v>55</v>
      </c>
      <c r="J1019" t="s">
        <v>67</v>
      </c>
      <c r="K1019" t="s">
        <v>44</v>
      </c>
      <c r="L1019" t="s">
        <v>28</v>
      </c>
      <c r="M1019" s="4">
        <v>22</v>
      </c>
      <c r="N1019" s="4">
        <v>7</v>
      </c>
      <c r="O1019" t="s">
        <v>29</v>
      </c>
      <c r="P1019" t="s">
        <v>36</v>
      </c>
      <c r="Q1019" s="4">
        <v>341168</v>
      </c>
      <c r="R1019" s="4">
        <v>179603</v>
      </c>
      <c r="S1019" s="4">
        <f>Table1[[#This Row],[Service_Revenue]]-Table1[[#This Row],[Service_Cost]]</f>
        <v>161565</v>
      </c>
      <c r="T1019" s="4">
        <v>1</v>
      </c>
      <c r="U1019" s="4">
        <f>IF(AND(Table1[[#This Row],[Rework_Flag]]="Yes",Table1[[#This Row],[Warranty_Claim]]="No"),Table1[[#This Row],[Service_Revenue]],0)</f>
        <v>341168</v>
      </c>
      <c r="V1019" s="4">
        <f>IF(Table1[[#This Row],[Warranty_Claim]]="Yes",1,0)</f>
        <v>0</v>
      </c>
      <c r="W1019" s="4">
        <f>IF(Table1[[#This Row],[Rework_Flag]]="No",1,0)</f>
        <v>0</v>
      </c>
      <c r="X1019" s="4">
        <f>IF(Table1[[#This Row],[Rework_Flag]]="Yes",1,0)</f>
        <v>1</v>
      </c>
      <c r="Y1019" s="4">
        <v>1</v>
      </c>
      <c r="Z1019" s="4" t="str">
        <f>IF(Table1[[#This Row],[TAT_Days]]&gt;Table1[[#This Row],[SLA_TAT]],"Yes","No")</f>
        <v>Yes</v>
      </c>
      <c r="AA1019" s="4" t="str" cm="1">
        <f t="array" ref="AA1019">_xlfn.IFS(Table1[[#This Row],[Customer_Satisfaction]]&lt;=2,"Poor",Table1[[#This Row],[Customer_Satisfaction]]=3,"Neutral",Table1[[#This Row],[Customer_Satisfaction]]=4,"Good",Table1[[#This Row],[Customer_Satisfaction]]=5,"Good")</f>
        <v>Poor</v>
      </c>
    </row>
    <row r="1020" spans="1:27" x14ac:dyDescent="0.35">
      <c r="A1020">
        <v>21018</v>
      </c>
      <c r="B1020" s="1">
        <v>45468</v>
      </c>
      <c r="C1020" t="s">
        <v>37</v>
      </c>
      <c r="D1020" t="s">
        <v>64</v>
      </c>
      <c r="E1020" t="s">
        <v>72</v>
      </c>
      <c r="F1020" t="s">
        <v>22</v>
      </c>
      <c r="G1020" t="s">
        <v>41</v>
      </c>
      <c r="H1020" t="s">
        <v>42</v>
      </c>
      <c r="I1020" t="s">
        <v>55</v>
      </c>
      <c r="J1020" t="s">
        <v>43</v>
      </c>
      <c r="K1020" t="s">
        <v>44</v>
      </c>
      <c r="L1020" t="s">
        <v>49</v>
      </c>
      <c r="M1020" s="4">
        <v>21</v>
      </c>
      <c r="N1020" s="4">
        <v>7</v>
      </c>
      <c r="O1020" t="s">
        <v>36</v>
      </c>
      <c r="P1020" t="s">
        <v>29</v>
      </c>
      <c r="Q1020" s="4">
        <v>366543</v>
      </c>
      <c r="R1020" s="4">
        <v>214868</v>
      </c>
      <c r="S1020" s="4">
        <f>Table1[[#This Row],[Service_Revenue]]-Table1[[#This Row],[Service_Cost]]</f>
        <v>151675</v>
      </c>
      <c r="T1020" s="4">
        <v>1</v>
      </c>
      <c r="U1020" s="4">
        <f>IF(AND(Table1[[#This Row],[Rework_Flag]]="Yes",Table1[[#This Row],[Warranty_Claim]]="No"),Table1[[#This Row],[Service_Revenue]],0)</f>
        <v>0</v>
      </c>
      <c r="V1020" s="4">
        <f>IF(Table1[[#This Row],[Warranty_Claim]]="Yes",1,0)</f>
        <v>1</v>
      </c>
      <c r="W1020" s="4">
        <f>IF(Table1[[#This Row],[Rework_Flag]]="No",1,0)</f>
        <v>1</v>
      </c>
      <c r="X1020" s="4">
        <f>IF(Table1[[#This Row],[Rework_Flag]]="Yes",1,0)</f>
        <v>0</v>
      </c>
      <c r="Y1020" s="4">
        <v>1</v>
      </c>
      <c r="Z1020" s="4" t="str">
        <f>IF(Table1[[#This Row],[TAT_Days]]&gt;Table1[[#This Row],[SLA_TAT]],"Yes","No")</f>
        <v>Yes</v>
      </c>
      <c r="AA1020" s="4" t="str" cm="1">
        <f t="array" ref="AA1020">_xlfn.IFS(Table1[[#This Row],[Customer_Satisfaction]]&lt;=2,"Poor",Table1[[#This Row],[Customer_Satisfaction]]=3,"Neutral",Table1[[#This Row],[Customer_Satisfaction]]=4,"Good",Table1[[#This Row],[Customer_Satisfaction]]=5,"Good")</f>
        <v>Poor</v>
      </c>
    </row>
    <row r="1021" spans="1:27" x14ac:dyDescent="0.35">
      <c r="A1021">
        <v>21019</v>
      </c>
      <c r="B1021" s="1">
        <v>45465</v>
      </c>
      <c r="C1021" t="s">
        <v>37</v>
      </c>
      <c r="D1021" t="s">
        <v>70</v>
      </c>
      <c r="E1021" t="s">
        <v>116</v>
      </c>
      <c r="F1021" t="s">
        <v>53</v>
      </c>
      <c r="G1021" t="s">
        <v>33</v>
      </c>
      <c r="H1021" t="s">
        <v>34</v>
      </c>
      <c r="I1021" t="s">
        <v>55</v>
      </c>
      <c r="J1021" t="s">
        <v>26</v>
      </c>
      <c r="K1021" t="s">
        <v>27</v>
      </c>
      <c r="L1021" t="s">
        <v>28</v>
      </c>
      <c r="M1021" s="4">
        <v>20</v>
      </c>
      <c r="N1021" s="4">
        <v>7</v>
      </c>
      <c r="O1021" t="s">
        <v>29</v>
      </c>
      <c r="P1021" t="s">
        <v>36</v>
      </c>
      <c r="Q1021" s="4">
        <v>482036</v>
      </c>
      <c r="R1021" s="4">
        <v>284769</v>
      </c>
      <c r="S1021" s="4">
        <f>Table1[[#This Row],[Service_Revenue]]-Table1[[#This Row],[Service_Cost]]</f>
        <v>197267</v>
      </c>
      <c r="T1021" s="4">
        <v>1</v>
      </c>
      <c r="U1021" s="4">
        <f>IF(AND(Table1[[#This Row],[Rework_Flag]]="Yes",Table1[[#This Row],[Warranty_Claim]]="No"),Table1[[#This Row],[Service_Revenue]],0)</f>
        <v>482036</v>
      </c>
      <c r="V1021" s="4">
        <f>IF(Table1[[#This Row],[Warranty_Claim]]="Yes",1,0)</f>
        <v>0</v>
      </c>
      <c r="W1021" s="4">
        <f>IF(Table1[[#This Row],[Rework_Flag]]="No",1,0)</f>
        <v>0</v>
      </c>
      <c r="X1021" s="4">
        <f>IF(Table1[[#This Row],[Rework_Flag]]="Yes",1,0)</f>
        <v>1</v>
      </c>
      <c r="Y1021" s="4">
        <v>1</v>
      </c>
      <c r="Z1021" s="4" t="str">
        <f>IF(Table1[[#This Row],[TAT_Days]]&gt;Table1[[#This Row],[SLA_TAT]],"Yes","No")</f>
        <v>Yes</v>
      </c>
      <c r="AA1021" s="4" t="str" cm="1">
        <f t="array" ref="AA1021">_xlfn.IFS(Table1[[#This Row],[Customer_Satisfaction]]&lt;=2,"Poor",Table1[[#This Row],[Customer_Satisfaction]]=3,"Neutral",Table1[[#This Row],[Customer_Satisfaction]]=4,"Good",Table1[[#This Row],[Customer_Satisfaction]]=5,"Good")</f>
        <v>Poor</v>
      </c>
    </row>
    <row r="1022" spans="1:27" x14ac:dyDescent="0.35">
      <c r="A1022">
        <v>21020</v>
      </c>
      <c r="B1022" s="1">
        <v>45382</v>
      </c>
      <c r="C1022" t="s">
        <v>50</v>
      </c>
      <c r="D1022" t="s">
        <v>56</v>
      </c>
      <c r="E1022" t="s">
        <v>68</v>
      </c>
      <c r="F1022" t="s">
        <v>40</v>
      </c>
      <c r="G1022" t="s">
        <v>33</v>
      </c>
      <c r="H1022" t="s">
        <v>34</v>
      </c>
      <c r="I1022" t="s">
        <v>25</v>
      </c>
      <c r="J1022" t="s">
        <v>26</v>
      </c>
      <c r="K1022" t="s">
        <v>61</v>
      </c>
      <c r="L1022" t="s">
        <v>28</v>
      </c>
      <c r="M1022" s="4">
        <v>21</v>
      </c>
      <c r="N1022" s="4">
        <v>7</v>
      </c>
      <c r="O1022" t="s">
        <v>36</v>
      </c>
      <c r="P1022" t="s">
        <v>36</v>
      </c>
      <c r="Q1022" s="4">
        <v>121085</v>
      </c>
      <c r="R1022" s="4">
        <v>61292</v>
      </c>
      <c r="S1022" s="4">
        <f>Table1[[#This Row],[Service_Revenue]]-Table1[[#This Row],[Service_Cost]]</f>
        <v>59793</v>
      </c>
      <c r="T1022" s="4">
        <v>1</v>
      </c>
      <c r="U1022" s="4">
        <f>IF(AND(Table1[[#This Row],[Rework_Flag]]="Yes",Table1[[#This Row],[Warranty_Claim]]="No"),Table1[[#This Row],[Service_Revenue]],0)</f>
        <v>0</v>
      </c>
      <c r="V1022" s="4">
        <f>IF(Table1[[#This Row],[Warranty_Claim]]="Yes",1,0)</f>
        <v>0</v>
      </c>
      <c r="W1022" s="4">
        <f>IF(Table1[[#This Row],[Rework_Flag]]="No",1,0)</f>
        <v>1</v>
      </c>
      <c r="X1022" s="4">
        <f>IF(Table1[[#This Row],[Rework_Flag]]="Yes",1,0)</f>
        <v>0</v>
      </c>
      <c r="Y1022" s="4">
        <v>1</v>
      </c>
      <c r="Z1022" s="4" t="str">
        <f>IF(Table1[[#This Row],[TAT_Days]]&gt;Table1[[#This Row],[SLA_TAT]],"Yes","No")</f>
        <v>Yes</v>
      </c>
      <c r="AA1022" s="4" t="str" cm="1">
        <f t="array" ref="AA1022">_xlfn.IFS(Table1[[#This Row],[Customer_Satisfaction]]&lt;=2,"Poor",Table1[[#This Row],[Customer_Satisfaction]]=3,"Neutral",Table1[[#This Row],[Customer_Satisfaction]]=4,"Good",Table1[[#This Row],[Customer_Satisfaction]]=5,"Good")</f>
        <v>Poor</v>
      </c>
    </row>
    <row r="1023" spans="1:27" x14ac:dyDescent="0.35">
      <c r="A1023">
        <v>21021</v>
      </c>
      <c r="B1023" s="1">
        <v>45311</v>
      </c>
      <c r="C1023" t="s">
        <v>30</v>
      </c>
      <c r="D1023" t="s">
        <v>31</v>
      </c>
      <c r="E1023" t="s">
        <v>62</v>
      </c>
      <c r="F1023" t="s">
        <v>40</v>
      </c>
      <c r="G1023" t="s">
        <v>23</v>
      </c>
      <c r="H1023" t="s">
        <v>24</v>
      </c>
      <c r="I1023" t="s">
        <v>55</v>
      </c>
      <c r="J1023" t="s">
        <v>58</v>
      </c>
      <c r="K1023" t="s">
        <v>61</v>
      </c>
      <c r="L1023" t="s">
        <v>28</v>
      </c>
      <c r="M1023" s="4">
        <v>22</v>
      </c>
      <c r="N1023" s="4">
        <v>7</v>
      </c>
      <c r="O1023" t="s">
        <v>29</v>
      </c>
      <c r="P1023" t="s">
        <v>36</v>
      </c>
      <c r="Q1023" s="4">
        <v>388257</v>
      </c>
      <c r="R1023" s="4">
        <v>259552</v>
      </c>
      <c r="S1023" s="4">
        <f>Table1[[#This Row],[Service_Revenue]]-Table1[[#This Row],[Service_Cost]]</f>
        <v>128705</v>
      </c>
      <c r="T1023" s="4">
        <v>1</v>
      </c>
      <c r="U1023" s="4">
        <f>IF(AND(Table1[[#This Row],[Rework_Flag]]="Yes",Table1[[#This Row],[Warranty_Claim]]="No"),Table1[[#This Row],[Service_Revenue]],0)</f>
        <v>388257</v>
      </c>
      <c r="V1023" s="4">
        <f>IF(Table1[[#This Row],[Warranty_Claim]]="Yes",1,0)</f>
        <v>0</v>
      </c>
      <c r="W1023" s="4">
        <f>IF(Table1[[#This Row],[Rework_Flag]]="No",1,0)</f>
        <v>0</v>
      </c>
      <c r="X1023" s="4">
        <f>IF(Table1[[#This Row],[Rework_Flag]]="Yes",1,0)</f>
        <v>1</v>
      </c>
      <c r="Y1023" s="4">
        <v>1</v>
      </c>
      <c r="Z1023" s="4" t="str">
        <f>IF(Table1[[#This Row],[TAT_Days]]&gt;Table1[[#This Row],[SLA_TAT]],"Yes","No")</f>
        <v>Yes</v>
      </c>
      <c r="AA1023" s="4" t="str" cm="1">
        <f t="array" ref="AA1023">_xlfn.IFS(Table1[[#This Row],[Customer_Satisfaction]]&lt;=2,"Poor",Table1[[#This Row],[Customer_Satisfaction]]=3,"Neutral",Table1[[#This Row],[Customer_Satisfaction]]=4,"Good",Table1[[#This Row],[Customer_Satisfaction]]=5,"Good")</f>
        <v>Poor</v>
      </c>
    </row>
    <row r="1024" spans="1:27" x14ac:dyDescent="0.35">
      <c r="A1024">
        <v>21022</v>
      </c>
      <c r="B1024" s="1">
        <v>45469</v>
      </c>
      <c r="C1024" t="s">
        <v>50</v>
      </c>
      <c r="D1024" t="s">
        <v>56</v>
      </c>
      <c r="E1024" t="s">
        <v>101</v>
      </c>
      <c r="F1024" t="s">
        <v>40</v>
      </c>
      <c r="G1024" t="s">
        <v>33</v>
      </c>
      <c r="H1024" t="s">
        <v>34</v>
      </c>
      <c r="I1024" t="s">
        <v>25</v>
      </c>
      <c r="J1024" t="s">
        <v>43</v>
      </c>
      <c r="K1024" t="s">
        <v>27</v>
      </c>
      <c r="L1024" t="s">
        <v>28</v>
      </c>
      <c r="M1024" s="4">
        <v>22</v>
      </c>
      <c r="N1024" s="4">
        <v>7</v>
      </c>
      <c r="O1024" t="s">
        <v>29</v>
      </c>
      <c r="P1024" t="s">
        <v>36</v>
      </c>
      <c r="Q1024" s="4">
        <v>251078</v>
      </c>
      <c r="R1024" s="4">
        <v>155261</v>
      </c>
      <c r="S1024" s="4">
        <f>Table1[[#This Row],[Service_Revenue]]-Table1[[#This Row],[Service_Cost]]</f>
        <v>95817</v>
      </c>
      <c r="T1024" s="4">
        <v>1</v>
      </c>
      <c r="U1024" s="4">
        <f>IF(AND(Table1[[#This Row],[Rework_Flag]]="Yes",Table1[[#This Row],[Warranty_Claim]]="No"),Table1[[#This Row],[Service_Revenue]],0)</f>
        <v>251078</v>
      </c>
      <c r="V1024" s="4">
        <f>IF(Table1[[#This Row],[Warranty_Claim]]="Yes",1,0)</f>
        <v>0</v>
      </c>
      <c r="W1024" s="4">
        <f>IF(Table1[[#This Row],[Rework_Flag]]="No",1,0)</f>
        <v>0</v>
      </c>
      <c r="X1024" s="4">
        <f>IF(Table1[[#This Row],[Rework_Flag]]="Yes",1,0)</f>
        <v>1</v>
      </c>
      <c r="Y1024" s="4">
        <v>1</v>
      </c>
      <c r="Z1024" s="4" t="str">
        <f>IF(Table1[[#This Row],[TAT_Days]]&gt;Table1[[#This Row],[SLA_TAT]],"Yes","No")</f>
        <v>Yes</v>
      </c>
      <c r="AA1024" s="4" t="str" cm="1">
        <f t="array" ref="AA1024">_xlfn.IFS(Table1[[#This Row],[Customer_Satisfaction]]&lt;=2,"Poor",Table1[[#This Row],[Customer_Satisfaction]]=3,"Neutral",Table1[[#This Row],[Customer_Satisfaction]]=4,"Good",Table1[[#This Row],[Customer_Satisfaction]]=5,"Good")</f>
        <v>Poor</v>
      </c>
    </row>
    <row r="1025" spans="1:27" x14ac:dyDescent="0.35">
      <c r="A1025">
        <v>21023</v>
      </c>
      <c r="B1025" s="1">
        <v>45450</v>
      </c>
      <c r="C1025" t="s">
        <v>30</v>
      </c>
      <c r="D1025" t="s">
        <v>83</v>
      </c>
      <c r="E1025" t="s">
        <v>119</v>
      </c>
      <c r="F1025" t="s">
        <v>53</v>
      </c>
      <c r="G1025" t="s">
        <v>33</v>
      </c>
      <c r="H1025" t="s">
        <v>34</v>
      </c>
      <c r="I1025" t="s">
        <v>25</v>
      </c>
      <c r="J1025" t="s">
        <v>35</v>
      </c>
      <c r="K1025" t="s">
        <v>27</v>
      </c>
      <c r="L1025" t="s">
        <v>49</v>
      </c>
      <c r="M1025" s="4">
        <v>4</v>
      </c>
      <c r="N1025" s="4">
        <v>7</v>
      </c>
      <c r="O1025" t="s">
        <v>29</v>
      </c>
      <c r="P1025" t="s">
        <v>36</v>
      </c>
      <c r="Q1025" s="4">
        <v>583440</v>
      </c>
      <c r="R1025" s="4">
        <v>361859</v>
      </c>
      <c r="S1025" s="4">
        <f>Table1[[#This Row],[Service_Revenue]]-Table1[[#This Row],[Service_Cost]]</f>
        <v>221581</v>
      </c>
      <c r="T1025" s="4">
        <v>4</v>
      </c>
      <c r="U1025" s="4">
        <f>IF(AND(Table1[[#This Row],[Rework_Flag]]="Yes",Table1[[#This Row],[Warranty_Claim]]="No"),Table1[[#This Row],[Service_Revenue]],0)</f>
        <v>583440</v>
      </c>
      <c r="V1025" s="4">
        <f>IF(Table1[[#This Row],[Warranty_Claim]]="Yes",1,0)</f>
        <v>0</v>
      </c>
      <c r="W1025" s="4">
        <f>IF(Table1[[#This Row],[Rework_Flag]]="No",1,0)</f>
        <v>0</v>
      </c>
      <c r="X1025" s="4">
        <f>IF(Table1[[#This Row],[Rework_Flag]]="Yes",1,0)</f>
        <v>1</v>
      </c>
      <c r="Y1025" s="4">
        <v>1</v>
      </c>
      <c r="Z1025" s="4" t="str">
        <f>IF(Table1[[#This Row],[TAT_Days]]&gt;Table1[[#This Row],[SLA_TAT]],"Yes","No")</f>
        <v>No</v>
      </c>
      <c r="AA1025" s="4" t="str" cm="1">
        <f t="array" ref="AA1025">_xlfn.IFS(Table1[[#This Row],[Customer_Satisfaction]]&lt;=2,"Poor",Table1[[#This Row],[Customer_Satisfaction]]=3,"Neutral",Table1[[#This Row],[Customer_Satisfaction]]=4,"Good",Table1[[#This Row],[Customer_Satisfaction]]=5,"Good")</f>
        <v>Good</v>
      </c>
    </row>
    <row r="1026" spans="1:27" x14ac:dyDescent="0.35">
      <c r="A1026">
        <v>21024</v>
      </c>
      <c r="B1026" s="1">
        <v>45438</v>
      </c>
      <c r="C1026" t="s">
        <v>19</v>
      </c>
      <c r="D1026" t="s">
        <v>45</v>
      </c>
      <c r="E1026" t="s">
        <v>114</v>
      </c>
      <c r="F1026" t="s">
        <v>40</v>
      </c>
      <c r="G1026" t="s">
        <v>41</v>
      </c>
      <c r="H1026" t="s">
        <v>42</v>
      </c>
      <c r="I1026" t="s">
        <v>55</v>
      </c>
      <c r="J1026" t="s">
        <v>35</v>
      </c>
      <c r="K1026" t="s">
        <v>27</v>
      </c>
      <c r="L1026" t="s">
        <v>28</v>
      </c>
      <c r="M1026" s="4">
        <v>25</v>
      </c>
      <c r="N1026" s="4">
        <v>7</v>
      </c>
      <c r="O1026" t="s">
        <v>29</v>
      </c>
      <c r="P1026" t="s">
        <v>36</v>
      </c>
      <c r="Q1026" s="4">
        <v>259246</v>
      </c>
      <c r="R1026" s="4">
        <v>192125</v>
      </c>
      <c r="S1026" s="4">
        <f>Table1[[#This Row],[Service_Revenue]]-Table1[[#This Row],[Service_Cost]]</f>
        <v>67121</v>
      </c>
      <c r="T1026" s="4">
        <v>1</v>
      </c>
      <c r="U1026" s="4">
        <f>IF(AND(Table1[[#This Row],[Rework_Flag]]="Yes",Table1[[#This Row],[Warranty_Claim]]="No"),Table1[[#This Row],[Service_Revenue]],0)</f>
        <v>259246</v>
      </c>
      <c r="V1026" s="4">
        <f>IF(Table1[[#This Row],[Warranty_Claim]]="Yes",1,0)</f>
        <v>0</v>
      </c>
      <c r="W1026" s="4">
        <f>IF(Table1[[#This Row],[Rework_Flag]]="No",1,0)</f>
        <v>0</v>
      </c>
      <c r="X1026" s="4">
        <f>IF(Table1[[#This Row],[Rework_Flag]]="Yes",1,0)</f>
        <v>1</v>
      </c>
      <c r="Y1026" s="4">
        <v>1</v>
      </c>
      <c r="Z1026" s="4" t="str">
        <f>IF(Table1[[#This Row],[TAT_Days]]&gt;Table1[[#This Row],[SLA_TAT]],"Yes","No")</f>
        <v>Yes</v>
      </c>
      <c r="AA1026" s="4" t="str" cm="1">
        <f t="array" ref="AA1026">_xlfn.IFS(Table1[[#This Row],[Customer_Satisfaction]]&lt;=2,"Poor",Table1[[#This Row],[Customer_Satisfaction]]=3,"Neutral",Table1[[#This Row],[Customer_Satisfaction]]=4,"Good",Table1[[#This Row],[Customer_Satisfaction]]=5,"Good")</f>
        <v>Poor</v>
      </c>
    </row>
    <row r="1027" spans="1:27" x14ac:dyDescent="0.35">
      <c r="A1027">
        <v>21025</v>
      </c>
      <c r="B1027" s="1">
        <v>45402</v>
      </c>
      <c r="C1027" t="s">
        <v>19</v>
      </c>
      <c r="D1027" t="s">
        <v>96</v>
      </c>
      <c r="E1027" t="s">
        <v>97</v>
      </c>
      <c r="F1027" t="s">
        <v>22</v>
      </c>
      <c r="G1027" t="s">
        <v>47</v>
      </c>
      <c r="H1027" t="s">
        <v>48</v>
      </c>
      <c r="I1027" t="s">
        <v>55</v>
      </c>
      <c r="J1027" t="s">
        <v>35</v>
      </c>
      <c r="K1027" t="s">
        <v>61</v>
      </c>
      <c r="L1027" t="s">
        <v>28</v>
      </c>
      <c r="M1027" s="4">
        <v>4</v>
      </c>
      <c r="N1027" s="4">
        <v>7</v>
      </c>
      <c r="O1027" t="s">
        <v>36</v>
      </c>
      <c r="P1027" t="s">
        <v>36</v>
      </c>
      <c r="Q1027" s="4">
        <v>594247</v>
      </c>
      <c r="R1027" s="4">
        <v>307896</v>
      </c>
      <c r="S1027" s="4">
        <f>Table1[[#This Row],[Service_Revenue]]-Table1[[#This Row],[Service_Cost]]</f>
        <v>286351</v>
      </c>
      <c r="T1027" s="4">
        <v>5</v>
      </c>
      <c r="U1027" s="4">
        <f>IF(AND(Table1[[#This Row],[Rework_Flag]]="Yes",Table1[[#This Row],[Warranty_Claim]]="No"),Table1[[#This Row],[Service_Revenue]],0)</f>
        <v>0</v>
      </c>
      <c r="V1027" s="4">
        <f>IF(Table1[[#This Row],[Warranty_Claim]]="Yes",1,0)</f>
        <v>0</v>
      </c>
      <c r="W1027" s="4">
        <f>IF(Table1[[#This Row],[Rework_Flag]]="No",1,0)</f>
        <v>1</v>
      </c>
      <c r="X1027" s="4">
        <f>IF(Table1[[#This Row],[Rework_Flag]]="Yes",1,0)</f>
        <v>0</v>
      </c>
      <c r="Y1027" s="4">
        <v>1</v>
      </c>
      <c r="Z1027" s="4" t="str">
        <f>IF(Table1[[#This Row],[TAT_Days]]&gt;Table1[[#This Row],[SLA_TAT]],"Yes","No")</f>
        <v>No</v>
      </c>
      <c r="AA1027" s="4" t="str" cm="1">
        <f t="array" ref="AA1027">_xlfn.IFS(Table1[[#This Row],[Customer_Satisfaction]]&lt;=2,"Poor",Table1[[#This Row],[Customer_Satisfaction]]=3,"Neutral",Table1[[#This Row],[Customer_Satisfaction]]=4,"Good",Table1[[#This Row],[Customer_Satisfaction]]=5,"Good")</f>
        <v>Good</v>
      </c>
    </row>
    <row r="1028" spans="1:27" x14ac:dyDescent="0.35">
      <c r="A1028">
        <v>21026</v>
      </c>
      <c r="B1028" s="1">
        <v>45458</v>
      </c>
      <c r="C1028" t="s">
        <v>37</v>
      </c>
      <c r="D1028" t="s">
        <v>38</v>
      </c>
      <c r="E1028" t="s">
        <v>112</v>
      </c>
      <c r="F1028" t="s">
        <v>22</v>
      </c>
      <c r="G1028" t="s">
        <v>47</v>
      </c>
      <c r="H1028" t="s">
        <v>48</v>
      </c>
      <c r="I1028" t="s">
        <v>55</v>
      </c>
      <c r="J1028" t="s">
        <v>26</v>
      </c>
      <c r="K1028" t="s">
        <v>27</v>
      </c>
      <c r="L1028" t="s">
        <v>28</v>
      </c>
      <c r="M1028" s="4">
        <v>8</v>
      </c>
      <c r="N1028" s="4">
        <v>7</v>
      </c>
      <c r="O1028" t="s">
        <v>29</v>
      </c>
      <c r="P1028" t="s">
        <v>29</v>
      </c>
      <c r="Q1028" s="4">
        <v>422890</v>
      </c>
      <c r="R1028" s="4">
        <v>284497</v>
      </c>
      <c r="S1028" s="4">
        <f>Table1[[#This Row],[Service_Revenue]]-Table1[[#This Row],[Service_Cost]]</f>
        <v>138393</v>
      </c>
      <c r="T1028" s="4">
        <v>3</v>
      </c>
      <c r="U1028" s="4">
        <f>IF(AND(Table1[[#This Row],[Rework_Flag]]="Yes",Table1[[#This Row],[Warranty_Claim]]="No"),Table1[[#This Row],[Service_Revenue]],0)</f>
        <v>0</v>
      </c>
      <c r="V1028" s="4">
        <f>IF(Table1[[#This Row],[Warranty_Claim]]="Yes",1,0)</f>
        <v>1</v>
      </c>
      <c r="W1028" s="4">
        <f>IF(Table1[[#This Row],[Rework_Flag]]="No",1,0)</f>
        <v>0</v>
      </c>
      <c r="X1028" s="4">
        <f>IF(Table1[[#This Row],[Rework_Flag]]="Yes",1,0)</f>
        <v>1</v>
      </c>
      <c r="Y1028" s="4">
        <v>1</v>
      </c>
      <c r="Z1028" s="4" t="str">
        <f>IF(Table1[[#This Row],[TAT_Days]]&gt;Table1[[#This Row],[SLA_TAT]],"Yes","No")</f>
        <v>Yes</v>
      </c>
      <c r="AA1028" s="4" t="str" cm="1">
        <f t="array" ref="AA1028">_xlfn.IFS(Table1[[#This Row],[Customer_Satisfaction]]&lt;=2,"Poor",Table1[[#This Row],[Customer_Satisfaction]]=3,"Neutral",Table1[[#This Row],[Customer_Satisfaction]]=4,"Good",Table1[[#This Row],[Customer_Satisfaction]]=5,"Good")</f>
        <v>Neutral</v>
      </c>
    </row>
    <row r="1029" spans="1:27" x14ac:dyDescent="0.35">
      <c r="A1029">
        <v>21027</v>
      </c>
      <c r="B1029" s="1">
        <v>45321</v>
      </c>
      <c r="C1029" t="s">
        <v>19</v>
      </c>
      <c r="D1029" t="s">
        <v>96</v>
      </c>
      <c r="E1029" t="s">
        <v>108</v>
      </c>
      <c r="F1029" t="s">
        <v>40</v>
      </c>
      <c r="G1029" t="s">
        <v>74</v>
      </c>
      <c r="H1029" t="s">
        <v>34</v>
      </c>
      <c r="I1029" t="s">
        <v>55</v>
      </c>
      <c r="J1029" t="s">
        <v>35</v>
      </c>
      <c r="K1029" t="s">
        <v>44</v>
      </c>
      <c r="L1029" t="s">
        <v>28</v>
      </c>
      <c r="M1029" s="4">
        <v>18</v>
      </c>
      <c r="N1029" s="4">
        <v>7</v>
      </c>
      <c r="O1029" t="s">
        <v>29</v>
      </c>
      <c r="P1029" t="s">
        <v>29</v>
      </c>
      <c r="Q1029" s="4">
        <v>415008</v>
      </c>
      <c r="R1029" s="4">
        <v>348249</v>
      </c>
      <c r="S1029" s="4">
        <f>Table1[[#This Row],[Service_Revenue]]-Table1[[#This Row],[Service_Cost]]</f>
        <v>66759</v>
      </c>
      <c r="T1029" s="4">
        <v>1</v>
      </c>
      <c r="U1029" s="4">
        <f>IF(AND(Table1[[#This Row],[Rework_Flag]]="Yes",Table1[[#This Row],[Warranty_Claim]]="No"),Table1[[#This Row],[Service_Revenue]],0)</f>
        <v>0</v>
      </c>
      <c r="V1029" s="4">
        <f>IF(Table1[[#This Row],[Warranty_Claim]]="Yes",1,0)</f>
        <v>1</v>
      </c>
      <c r="W1029" s="4">
        <f>IF(Table1[[#This Row],[Rework_Flag]]="No",1,0)</f>
        <v>0</v>
      </c>
      <c r="X1029" s="4">
        <f>IF(Table1[[#This Row],[Rework_Flag]]="Yes",1,0)</f>
        <v>1</v>
      </c>
      <c r="Y1029" s="4">
        <v>1</v>
      </c>
      <c r="Z1029" s="4" t="str">
        <f>IF(Table1[[#This Row],[TAT_Days]]&gt;Table1[[#This Row],[SLA_TAT]],"Yes","No")</f>
        <v>Yes</v>
      </c>
      <c r="AA1029" s="4" t="str" cm="1">
        <f t="array" ref="AA1029">_xlfn.IFS(Table1[[#This Row],[Customer_Satisfaction]]&lt;=2,"Poor",Table1[[#This Row],[Customer_Satisfaction]]=3,"Neutral",Table1[[#This Row],[Customer_Satisfaction]]=4,"Good",Table1[[#This Row],[Customer_Satisfaction]]=5,"Good")</f>
        <v>Poor</v>
      </c>
    </row>
    <row r="1030" spans="1:27" x14ac:dyDescent="0.35">
      <c r="A1030">
        <v>21028</v>
      </c>
      <c r="B1030" s="1">
        <v>45386</v>
      </c>
      <c r="C1030" t="s">
        <v>50</v>
      </c>
      <c r="D1030" t="s">
        <v>80</v>
      </c>
      <c r="E1030" t="s">
        <v>118</v>
      </c>
      <c r="F1030" t="s">
        <v>40</v>
      </c>
      <c r="G1030" t="s">
        <v>63</v>
      </c>
      <c r="H1030" t="s">
        <v>24</v>
      </c>
      <c r="I1030" t="s">
        <v>25</v>
      </c>
      <c r="J1030" t="s">
        <v>35</v>
      </c>
      <c r="K1030" t="s">
        <v>27</v>
      </c>
      <c r="L1030" t="s">
        <v>28</v>
      </c>
      <c r="M1030" s="4">
        <v>19</v>
      </c>
      <c r="N1030" s="4">
        <v>7</v>
      </c>
      <c r="O1030" t="s">
        <v>29</v>
      </c>
      <c r="P1030" t="s">
        <v>36</v>
      </c>
      <c r="Q1030" s="4">
        <v>270400</v>
      </c>
      <c r="R1030" s="4">
        <v>168882</v>
      </c>
      <c r="S1030" s="4">
        <f>Table1[[#This Row],[Service_Revenue]]-Table1[[#This Row],[Service_Cost]]</f>
        <v>101518</v>
      </c>
      <c r="T1030" s="4">
        <v>1</v>
      </c>
      <c r="U1030" s="4">
        <f>IF(AND(Table1[[#This Row],[Rework_Flag]]="Yes",Table1[[#This Row],[Warranty_Claim]]="No"),Table1[[#This Row],[Service_Revenue]],0)</f>
        <v>270400</v>
      </c>
      <c r="V1030" s="4">
        <f>IF(Table1[[#This Row],[Warranty_Claim]]="Yes",1,0)</f>
        <v>0</v>
      </c>
      <c r="W1030" s="4">
        <f>IF(Table1[[#This Row],[Rework_Flag]]="No",1,0)</f>
        <v>0</v>
      </c>
      <c r="X1030" s="4">
        <f>IF(Table1[[#This Row],[Rework_Flag]]="Yes",1,0)</f>
        <v>1</v>
      </c>
      <c r="Y1030" s="4">
        <v>1</v>
      </c>
      <c r="Z1030" s="4" t="str">
        <f>IF(Table1[[#This Row],[TAT_Days]]&gt;Table1[[#This Row],[SLA_TAT]],"Yes","No")</f>
        <v>Yes</v>
      </c>
      <c r="AA1030" s="4" t="str" cm="1">
        <f t="array" ref="AA1030">_xlfn.IFS(Table1[[#This Row],[Customer_Satisfaction]]&lt;=2,"Poor",Table1[[#This Row],[Customer_Satisfaction]]=3,"Neutral",Table1[[#This Row],[Customer_Satisfaction]]=4,"Good",Table1[[#This Row],[Customer_Satisfaction]]=5,"Good")</f>
        <v>Poor</v>
      </c>
    </row>
    <row r="1031" spans="1:27" x14ac:dyDescent="0.35">
      <c r="A1031">
        <v>21029</v>
      </c>
      <c r="B1031" s="1">
        <v>45423</v>
      </c>
      <c r="C1031" t="s">
        <v>50</v>
      </c>
      <c r="D1031" t="s">
        <v>80</v>
      </c>
      <c r="E1031" t="s">
        <v>121</v>
      </c>
      <c r="F1031" t="s">
        <v>22</v>
      </c>
      <c r="G1031" t="s">
        <v>23</v>
      </c>
      <c r="H1031" t="s">
        <v>24</v>
      </c>
      <c r="I1031" t="s">
        <v>25</v>
      </c>
      <c r="J1031" t="s">
        <v>67</v>
      </c>
      <c r="K1031" t="s">
        <v>27</v>
      </c>
      <c r="L1031" t="s">
        <v>28</v>
      </c>
      <c r="M1031" s="4">
        <v>20</v>
      </c>
      <c r="N1031" s="4">
        <v>7</v>
      </c>
      <c r="O1031" t="s">
        <v>29</v>
      </c>
      <c r="P1031" t="s">
        <v>29</v>
      </c>
      <c r="Q1031" s="4">
        <v>270153</v>
      </c>
      <c r="R1031" s="4">
        <v>226395</v>
      </c>
      <c r="S1031" s="4">
        <f>Table1[[#This Row],[Service_Revenue]]-Table1[[#This Row],[Service_Cost]]</f>
        <v>43758</v>
      </c>
      <c r="T1031" s="4">
        <v>1</v>
      </c>
      <c r="U1031" s="4">
        <f>IF(AND(Table1[[#This Row],[Rework_Flag]]="Yes",Table1[[#This Row],[Warranty_Claim]]="No"),Table1[[#This Row],[Service_Revenue]],0)</f>
        <v>0</v>
      </c>
      <c r="V1031" s="4">
        <f>IF(Table1[[#This Row],[Warranty_Claim]]="Yes",1,0)</f>
        <v>1</v>
      </c>
      <c r="W1031" s="4">
        <f>IF(Table1[[#This Row],[Rework_Flag]]="No",1,0)</f>
        <v>0</v>
      </c>
      <c r="X1031" s="4">
        <f>IF(Table1[[#This Row],[Rework_Flag]]="Yes",1,0)</f>
        <v>1</v>
      </c>
      <c r="Y1031" s="4">
        <v>1</v>
      </c>
      <c r="Z1031" s="4" t="str">
        <f>IF(Table1[[#This Row],[TAT_Days]]&gt;Table1[[#This Row],[SLA_TAT]],"Yes","No")</f>
        <v>Yes</v>
      </c>
      <c r="AA1031" s="4" t="str" cm="1">
        <f t="array" ref="AA1031">_xlfn.IFS(Table1[[#This Row],[Customer_Satisfaction]]&lt;=2,"Poor",Table1[[#This Row],[Customer_Satisfaction]]=3,"Neutral",Table1[[#This Row],[Customer_Satisfaction]]=4,"Good",Table1[[#This Row],[Customer_Satisfaction]]=5,"Good")</f>
        <v>Poor</v>
      </c>
    </row>
    <row r="1032" spans="1:27" x14ac:dyDescent="0.35">
      <c r="A1032">
        <v>21030</v>
      </c>
      <c r="B1032" s="1">
        <v>45429</v>
      </c>
      <c r="C1032" t="s">
        <v>37</v>
      </c>
      <c r="D1032" t="s">
        <v>70</v>
      </c>
      <c r="E1032" t="s">
        <v>116</v>
      </c>
      <c r="F1032" t="s">
        <v>53</v>
      </c>
      <c r="G1032" t="s">
        <v>63</v>
      </c>
      <c r="H1032" t="s">
        <v>24</v>
      </c>
      <c r="I1032" t="s">
        <v>25</v>
      </c>
      <c r="J1032" t="s">
        <v>35</v>
      </c>
      <c r="K1032" t="s">
        <v>61</v>
      </c>
      <c r="L1032" t="s">
        <v>28</v>
      </c>
      <c r="M1032" s="4">
        <v>8</v>
      </c>
      <c r="N1032" s="4">
        <v>7</v>
      </c>
      <c r="O1032" t="s">
        <v>36</v>
      </c>
      <c r="P1032" t="s">
        <v>36</v>
      </c>
      <c r="Q1032" s="4">
        <v>521134</v>
      </c>
      <c r="R1032" s="4">
        <v>307882</v>
      </c>
      <c r="S1032" s="4">
        <f>Table1[[#This Row],[Service_Revenue]]-Table1[[#This Row],[Service_Cost]]</f>
        <v>213252</v>
      </c>
      <c r="T1032" s="4">
        <v>4</v>
      </c>
      <c r="U1032" s="4">
        <f>IF(AND(Table1[[#This Row],[Rework_Flag]]="Yes",Table1[[#This Row],[Warranty_Claim]]="No"),Table1[[#This Row],[Service_Revenue]],0)</f>
        <v>0</v>
      </c>
      <c r="V1032" s="4">
        <f>IF(Table1[[#This Row],[Warranty_Claim]]="Yes",1,0)</f>
        <v>0</v>
      </c>
      <c r="W1032" s="4">
        <f>IF(Table1[[#This Row],[Rework_Flag]]="No",1,0)</f>
        <v>1</v>
      </c>
      <c r="X1032" s="4">
        <f>IF(Table1[[#This Row],[Rework_Flag]]="Yes",1,0)</f>
        <v>0</v>
      </c>
      <c r="Y1032" s="4">
        <v>1</v>
      </c>
      <c r="Z1032" s="4" t="str">
        <f>IF(Table1[[#This Row],[TAT_Days]]&gt;Table1[[#This Row],[SLA_TAT]],"Yes","No")</f>
        <v>Yes</v>
      </c>
      <c r="AA1032" s="4" t="str" cm="1">
        <f t="array" ref="AA1032">_xlfn.IFS(Table1[[#This Row],[Customer_Satisfaction]]&lt;=2,"Poor",Table1[[#This Row],[Customer_Satisfaction]]=3,"Neutral",Table1[[#This Row],[Customer_Satisfaction]]=4,"Good",Table1[[#This Row],[Customer_Satisfaction]]=5,"Good")</f>
        <v>Good</v>
      </c>
    </row>
    <row r="1033" spans="1:27" x14ac:dyDescent="0.35">
      <c r="A1033">
        <v>21031</v>
      </c>
      <c r="B1033" s="1">
        <v>45469</v>
      </c>
      <c r="C1033" t="s">
        <v>37</v>
      </c>
      <c r="D1033" t="s">
        <v>70</v>
      </c>
      <c r="E1033" t="s">
        <v>100</v>
      </c>
      <c r="F1033" t="s">
        <v>53</v>
      </c>
      <c r="G1033" t="s">
        <v>63</v>
      </c>
      <c r="H1033" t="s">
        <v>24</v>
      </c>
      <c r="I1033" t="s">
        <v>55</v>
      </c>
      <c r="J1033" t="s">
        <v>67</v>
      </c>
      <c r="K1033" t="s">
        <v>27</v>
      </c>
      <c r="L1033" t="s">
        <v>49</v>
      </c>
      <c r="M1033" s="4">
        <v>3</v>
      </c>
      <c r="N1033" s="4">
        <v>7</v>
      </c>
      <c r="O1033" t="s">
        <v>36</v>
      </c>
      <c r="P1033" t="s">
        <v>29</v>
      </c>
      <c r="Q1033" s="4">
        <v>239401</v>
      </c>
      <c r="R1033" s="4">
        <v>164526</v>
      </c>
      <c r="S1033" s="4">
        <f>Table1[[#This Row],[Service_Revenue]]-Table1[[#This Row],[Service_Cost]]</f>
        <v>74875</v>
      </c>
      <c r="T1033" s="4">
        <v>5</v>
      </c>
      <c r="U1033" s="4">
        <f>IF(AND(Table1[[#This Row],[Rework_Flag]]="Yes",Table1[[#This Row],[Warranty_Claim]]="No"),Table1[[#This Row],[Service_Revenue]],0)</f>
        <v>0</v>
      </c>
      <c r="V1033" s="4">
        <f>IF(Table1[[#This Row],[Warranty_Claim]]="Yes",1,0)</f>
        <v>1</v>
      </c>
      <c r="W1033" s="4">
        <f>IF(Table1[[#This Row],[Rework_Flag]]="No",1,0)</f>
        <v>1</v>
      </c>
      <c r="X1033" s="4">
        <f>IF(Table1[[#This Row],[Rework_Flag]]="Yes",1,0)</f>
        <v>0</v>
      </c>
      <c r="Y1033" s="4">
        <v>1</v>
      </c>
      <c r="Z1033" s="4" t="str">
        <f>IF(Table1[[#This Row],[TAT_Days]]&gt;Table1[[#This Row],[SLA_TAT]],"Yes","No")</f>
        <v>No</v>
      </c>
      <c r="AA1033" s="4" t="str" cm="1">
        <f t="array" ref="AA1033">_xlfn.IFS(Table1[[#This Row],[Customer_Satisfaction]]&lt;=2,"Poor",Table1[[#This Row],[Customer_Satisfaction]]=3,"Neutral",Table1[[#This Row],[Customer_Satisfaction]]=4,"Good",Table1[[#This Row],[Customer_Satisfaction]]=5,"Good")</f>
        <v>Good</v>
      </c>
    </row>
    <row r="1034" spans="1:27" x14ac:dyDescent="0.35">
      <c r="A1034">
        <v>21032</v>
      </c>
      <c r="B1034" s="1">
        <v>45416</v>
      </c>
      <c r="C1034" t="s">
        <v>30</v>
      </c>
      <c r="D1034" t="s">
        <v>31</v>
      </c>
      <c r="E1034" t="s">
        <v>62</v>
      </c>
      <c r="F1034" t="s">
        <v>22</v>
      </c>
      <c r="G1034" t="s">
        <v>74</v>
      </c>
      <c r="H1034" t="s">
        <v>34</v>
      </c>
      <c r="I1034" t="s">
        <v>55</v>
      </c>
      <c r="J1034" t="s">
        <v>43</v>
      </c>
      <c r="K1034" t="s">
        <v>27</v>
      </c>
      <c r="L1034" t="s">
        <v>28</v>
      </c>
      <c r="M1034" s="4">
        <v>13</v>
      </c>
      <c r="N1034" s="4">
        <v>7</v>
      </c>
      <c r="O1034" t="s">
        <v>29</v>
      </c>
      <c r="P1034" t="s">
        <v>36</v>
      </c>
      <c r="Q1034" s="4">
        <v>308157</v>
      </c>
      <c r="R1034" s="4">
        <v>235412</v>
      </c>
      <c r="S1034" s="4">
        <f>Table1[[#This Row],[Service_Revenue]]-Table1[[#This Row],[Service_Cost]]</f>
        <v>72745</v>
      </c>
      <c r="T1034" s="4">
        <v>2</v>
      </c>
      <c r="U1034" s="4">
        <f>IF(AND(Table1[[#This Row],[Rework_Flag]]="Yes",Table1[[#This Row],[Warranty_Claim]]="No"),Table1[[#This Row],[Service_Revenue]],0)</f>
        <v>308157</v>
      </c>
      <c r="V1034" s="4">
        <f>IF(Table1[[#This Row],[Warranty_Claim]]="Yes",1,0)</f>
        <v>0</v>
      </c>
      <c r="W1034" s="4">
        <f>IF(Table1[[#This Row],[Rework_Flag]]="No",1,0)</f>
        <v>0</v>
      </c>
      <c r="X1034" s="4">
        <f>IF(Table1[[#This Row],[Rework_Flag]]="Yes",1,0)</f>
        <v>1</v>
      </c>
      <c r="Y1034" s="4">
        <v>1</v>
      </c>
      <c r="Z1034" s="4" t="str">
        <f>IF(Table1[[#This Row],[TAT_Days]]&gt;Table1[[#This Row],[SLA_TAT]],"Yes","No")</f>
        <v>Yes</v>
      </c>
      <c r="AA1034" s="4" t="str" cm="1">
        <f t="array" ref="AA1034">_xlfn.IFS(Table1[[#This Row],[Customer_Satisfaction]]&lt;=2,"Poor",Table1[[#This Row],[Customer_Satisfaction]]=3,"Neutral",Table1[[#This Row],[Customer_Satisfaction]]=4,"Good",Table1[[#This Row],[Customer_Satisfaction]]=5,"Good")</f>
        <v>Poor</v>
      </c>
    </row>
    <row r="1035" spans="1:27" x14ac:dyDescent="0.35">
      <c r="A1035">
        <v>21033</v>
      </c>
      <c r="B1035" s="1">
        <v>45314</v>
      </c>
      <c r="C1035" t="s">
        <v>19</v>
      </c>
      <c r="D1035" t="s">
        <v>96</v>
      </c>
      <c r="E1035" t="s">
        <v>98</v>
      </c>
      <c r="F1035" t="s">
        <v>22</v>
      </c>
      <c r="G1035" t="s">
        <v>63</v>
      </c>
      <c r="H1035" t="s">
        <v>24</v>
      </c>
      <c r="I1035" t="s">
        <v>55</v>
      </c>
      <c r="J1035" t="s">
        <v>43</v>
      </c>
      <c r="K1035" t="s">
        <v>44</v>
      </c>
      <c r="L1035" t="s">
        <v>28</v>
      </c>
      <c r="M1035" s="4">
        <v>8</v>
      </c>
      <c r="N1035" s="4">
        <v>7</v>
      </c>
      <c r="O1035" t="s">
        <v>36</v>
      </c>
      <c r="P1035" t="s">
        <v>36</v>
      </c>
      <c r="Q1035" s="4">
        <v>539104</v>
      </c>
      <c r="R1035" s="4">
        <v>370053</v>
      </c>
      <c r="S1035" s="4">
        <f>Table1[[#This Row],[Service_Revenue]]-Table1[[#This Row],[Service_Cost]]</f>
        <v>169051</v>
      </c>
      <c r="T1035" s="4">
        <v>4</v>
      </c>
      <c r="U1035" s="4">
        <f>IF(AND(Table1[[#This Row],[Rework_Flag]]="Yes",Table1[[#This Row],[Warranty_Claim]]="No"),Table1[[#This Row],[Service_Revenue]],0)</f>
        <v>0</v>
      </c>
      <c r="V1035" s="4">
        <f>IF(Table1[[#This Row],[Warranty_Claim]]="Yes",1,0)</f>
        <v>0</v>
      </c>
      <c r="W1035" s="4">
        <f>IF(Table1[[#This Row],[Rework_Flag]]="No",1,0)</f>
        <v>1</v>
      </c>
      <c r="X1035" s="4">
        <f>IF(Table1[[#This Row],[Rework_Flag]]="Yes",1,0)</f>
        <v>0</v>
      </c>
      <c r="Y1035" s="4">
        <v>1</v>
      </c>
      <c r="Z1035" s="4" t="str">
        <f>IF(Table1[[#This Row],[TAT_Days]]&gt;Table1[[#This Row],[SLA_TAT]],"Yes","No")</f>
        <v>Yes</v>
      </c>
      <c r="AA1035" s="4" t="str" cm="1">
        <f t="array" ref="AA1035">_xlfn.IFS(Table1[[#This Row],[Customer_Satisfaction]]&lt;=2,"Poor",Table1[[#This Row],[Customer_Satisfaction]]=3,"Neutral",Table1[[#This Row],[Customer_Satisfaction]]=4,"Good",Table1[[#This Row],[Customer_Satisfaction]]=5,"Good")</f>
        <v>Good</v>
      </c>
    </row>
    <row r="1036" spans="1:27" x14ac:dyDescent="0.35">
      <c r="A1036">
        <v>21034</v>
      </c>
      <c r="B1036" s="1">
        <v>45341</v>
      </c>
      <c r="C1036" t="s">
        <v>30</v>
      </c>
      <c r="D1036" t="s">
        <v>59</v>
      </c>
      <c r="E1036" t="s">
        <v>66</v>
      </c>
      <c r="F1036" t="s">
        <v>22</v>
      </c>
      <c r="G1036" t="s">
        <v>74</v>
      </c>
      <c r="H1036" t="s">
        <v>34</v>
      </c>
      <c r="I1036" t="s">
        <v>25</v>
      </c>
      <c r="J1036" t="s">
        <v>43</v>
      </c>
      <c r="K1036" t="s">
        <v>61</v>
      </c>
      <c r="L1036" t="s">
        <v>49</v>
      </c>
      <c r="M1036" s="4">
        <v>19</v>
      </c>
      <c r="N1036" s="4">
        <v>7</v>
      </c>
      <c r="O1036" t="s">
        <v>36</v>
      </c>
      <c r="P1036" t="s">
        <v>29</v>
      </c>
      <c r="Q1036" s="4">
        <v>418575</v>
      </c>
      <c r="R1036" s="4">
        <v>348353</v>
      </c>
      <c r="S1036" s="4">
        <f>Table1[[#This Row],[Service_Revenue]]-Table1[[#This Row],[Service_Cost]]</f>
        <v>70222</v>
      </c>
      <c r="T1036" s="4">
        <v>2</v>
      </c>
      <c r="U1036" s="4">
        <f>IF(AND(Table1[[#This Row],[Rework_Flag]]="Yes",Table1[[#This Row],[Warranty_Claim]]="No"),Table1[[#This Row],[Service_Revenue]],0)</f>
        <v>0</v>
      </c>
      <c r="V1036" s="4">
        <f>IF(Table1[[#This Row],[Warranty_Claim]]="Yes",1,0)</f>
        <v>1</v>
      </c>
      <c r="W1036" s="4">
        <f>IF(Table1[[#This Row],[Rework_Flag]]="No",1,0)</f>
        <v>1</v>
      </c>
      <c r="X1036" s="4">
        <f>IF(Table1[[#This Row],[Rework_Flag]]="Yes",1,0)</f>
        <v>0</v>
      </c>
      <c r="Y1036" s="4">
        <v>1</v>
      </c>
      <c r="Z1036" s="4" t="str">
        <f>IF(Table1[[#This Row],[TAT_Days]]&gt;Table1[[#This Row],[SLA_TAT]],"Yes","No")</f>
        <v>Yes</v>
      </c>
      <c r="AA1036" s="4" t="str" cm="1">
        <f t="array" ref="AA1036">_xlfn.IFS(Table1[[#This Row],[Customer_Satisfaction]]&lt;=2,"Poor",Table1[[#This Row],[Customer_Satisfaction]]=3,"Neutral",Table1[[#This Row],[Customer_Satisfaction]]=4,"Good",Table1[[#This Row],[Customer_Satisfaction]]=5,"Good")</f>
        <v>Poor</v>
      </c>
    </row>
    <row r="1037" spans="1:27" x14ac:dyDescent="0.35">
      <c r="A1037">
        <v>21035</v>
      </c>
      <c r="B1037" s="1">
        <v>45336</v>
      </c>
      <c r="C1037" t="s">
        <v>50</v>
      </c>
      <c r="D1037" t="s">
        <v>56</v>
      </c>
      <c r="E1037" t="s">
        <v>88</v>
      </c>
      <c r="F1037" t="s">
        <v>40</v>
      </c>
      <c r="G1037" t="s">
        <v>41</v>
      </c>
      <c r="H1037" t="s">
        <v>42</v>
      </c>
      <c r="I1037" t="s">
        <v>55</v>
      </c>
      <c r="J1037" t="s">
        <v>67</v>
      </c>
      <c r="K1037" t="s">
        <v>61</v>
      </c>
      <c r="L1037" t="s">
        <v>28</v>
      </c>
      <c r="M1037" s="4">
        <v>2</v>
      </c>
      <c r="N1037" s="4">
        <v>7</v>
      </c>
      <c r="O1037" t="s">
        <v>29</v>
      </c>
      <c r="P1037" t="s">
        <v>36</v>
      </c>
      <c r="Q1037" s="4">
        <v>134644</v>
      </c>
      <c r="R1037" s="4">
        <v>86404</v>
      </c>
      <c r="S1037" s="4">
        <f>Table1[[#This Row],[Service_Revenue]]-Table1[[#This Row],[Service_Cost]]</f>
        <v>48240</v>
      </c>
      <c r="T1037" s="4">
        <v>4</v>
      </c>
      <c r="U1037" s="4">
        <f>IF(AND(Table1[[#This Row],[Rework_Flag]]="Yes",Table1[[#This Row],[Warranty_Claim]]="No"),Table1[[#This Row],[Service_Revenue]],0)</f>
        <v>134644</v>
      </c>
      <c r="V1037" s="4">
        <f>IF(Table1[[#This Row],[Warranty_Claim]]="Yes",1,0)</f>
        <v>0</v>
      </c>
      <c r="W1037" s="4">
        <f>IF(Table1[[#This Row],[Rework_Flag]]="No",1,0)</f>
        <v>0</v>
      </c>
      <c r="X1037" s="4">
        <f>IF(Table1[[#This Row],[Rework_Flag]]="Yes",1,0)</f>
        <v>1</v>
      </c>
      <c r="Y1037" s="4">
        <v>1</v>
      </c>
      <c r="Z1037" s="4" t="str">
        <f>IF(Table1[[#This Row],[TAT_Days]]&gt;Table1[[#This Row],[SLA_TAT]],"Yes","No")</f>
        <v>No</v>
      </c>
      <c r="AA1037" s="4" t="str" cm="1">
        <f t="array" ref="AA1037">_xlfn.IFS(Table1[[#This Row],[Customer_Satisfaction]]&lt;=2,"Poor",Table1[[#This Row],[Customer_Satisfaction]]=3,"Neutral",Table1[[#This Row],[Customer_Satisfaction]]=4,"Good",Table1[[#This Row],[Customer_Satisfaction]]=5,"Good")</f>
        <v>Good</v>
      </c>
    </row>
    <row r="1038" spans="1:27" x14ac:dyDescent="0.35">
      <c r="A1038">
        <v>21036</v>
      </c>
      <c r="B1038" s="1">
        <v>45353</v>
      </c>
      <c r="C1038" t="s">
        <v>19</v>
      </c>
      <c r="D1038" t="s">
        <v>96</v>
      </c>
      <c r="E1038" t="s">
        <v>97</v>
      </c>
      <c r="F1038" t="s">
        <v>53</v>
      </c>
      <c r="G1038" t="s">
        <v>41</v>
      </c>
      <c r="H1038" t="s">
        <v>42</v>
      </c>
      <c r="I1038" t="s">
        <v>55</v>
      </c>
      <c r="J1038" t="s">
        <v>58</v>
      </c>
      <c r="K1038" t="s">
        <v>44</v>
      </c>
      <c r="L1038" t="s">
        <v>49</v>
      </c>
      <c r="M1038" s="4">
        <v>11</v>
      </c>
      <c r="N1038" s="4">
        <v>7</v>
      </c>
      <c r="O1038" t="s">
        <v>36</v>
      </c>
      <c r="P1038" t="s">
        <v>36</v>
      </c>
      <c r="Q1038" s="4">
        <v>419257</v>
      </c>
      <c r="R1038" s="4">
        <v>274999</v>
      </c>
      <c r="S1038" s="4">
        <f>Table1[[#This Row],[Service_Revenue]]-Table1[[#This Row],[Service_Cost]]</f>
        <v>144258</v>
      </c>
      <c r="T1038" s="4">
        <v>3</v>
      </c>
      <c r="U1038" s="4">
        <f>IF(AND(Table1[[#This Row],[Rework_Flag]]="Yes",Table1[[#This Row],[Warranty_Claim]]="No"),Table1[[#This Row],[Service_Revenue]],0)</f>
        <v>0</v>
      </c>
      <c r="V1038" s="4">
        <f>IF(Table1[[#This Row],[Warranty_Claim]]="Yes",1,0)</f>
        <v>0</v>
      </c>
      <c r="W1038" s="4">
        <f>IF(Table1[[#This Row],[Rework_Flag]]="No",1,0)</f>
        <v>1</v>
      </c>
      <c r="X1038" s="4">
        <f>IF(Table1[[#This Row],[Rework_Flag]]="Yes",1,0)</f>
        <v>0</v>
      </c>
      <c r="Y1038" s="4">
        <v>1</v>
      </c>
      <c r="Z1038" s="4" t="str">
        <f>IF(Table1[[#This Row],[TAT_Days]]&gt;Table1[[#This Row],[SLA_TAT]],"Yes","No")</f>
        <v>Yes</v>
      </c>
      <c r="AA1038" s="4" t="str" cm="1">
        <f t="array" ref="AA1038">_xlfn.IFS(Table1[[#This Row],[Customer_Satisfaction]]&lt;=2,"Poor",Table1[[#This Row],[Customer_Satisfaction]]=3,"Neutral",Table1[[#This Row],[Customer_Satisfaction]]=4,"Good",Table1[[#This Row],[Customer_Satisfaction]]=5,"Good")</f>
        <v>Neutral</v>
      </c>
    </row>
    <row r="1039" spans="1:27" x14ac:dyDescent="0.35">
      <c r="A1039">
        <v>21037</v>
      </c>
      <c r="B1039" s="1">
        <v>45309</v>
      </c>
      <c r="C1039" t="s">
        <v>50</v>
      </c>
      <c r="D1039" t="s">
        <v>80</v>
      </c>
      <c r="E1039" t="s">
        <v>121</v>
      </c>
      <c r="F1039" t="s">
        <v>53</v>
      </c>
      <c r="G1039" t="s">
        <v>63</v>
      </c>
      <c r="H1039" t="s">
        <v>24</v>
      </c>
      <c r="I1039" t="s">
        <v>25</v>
      </c>
      <c r="J1039" t="s">
        <v>35</v>
      </c>
      <c r="K1039" t="s">
        <v>61</v>
      </c>
      <c r="L1039" t="s">
        <v>49</v>
      </c>
      <c r="M1039" s="4">
        <v>14</v>
      </c>
      <c r="N1039" s="4">
        <v>7</v>
      </c>
      <c r="O1039" t="s">
        <v>36</v>
      </c>
      <c r="P1039" t="s">
        <v>29</v>
      </c>
      <c r="Q1039" s="4">
        <v>211604</v>
      </c>
      <c r="R1039" s="4">
        <v>152652</v>
      </c>
      <c r="S1039" s="4">
        <f>Table1[[#This Row],[Service_Revenue]]-Table1[[#This Row],[Service_Cost]]</f>
        <v>58952</v>
      </c>
      <c r="T1039" s="4">
        <v>3</v>
      </c>
      <c r="U1039" s="4">
        <f>IF(AND(Table1[[#This Row],[Rework_Flag]]="Yes",Table1[[#This Row],[Warranty_Claim]]="No"),Table1[[#This Row],[Service_Revenue]],0)</f>
        <v>0</v>
      </c>
      <c r="V1039" s="4">
        <f>IF(Table1[[#This Row],[Warranty_Claim]]="Yes",1,0)</f>
        <v>1</v>
      </c>
      <c r="W1039" s="4">
        <f>IF(Table1[[#This Row],[Rework_Flag]]="No",1,0)</f>
        <v>1</v>
      </c>
      <c r="X1039" s="4">
        <f>IF(Table1[[#This Row],[Rework_Flag]]="Yes",1,0)</f>
        <v>0</v>
      </c>
      <c r="Y1039" s="4">
        <v>1</v>
      </c>
      <c r="Z1039" s="4" t="str">
        <f>IF(Table1[[#This Row],[TAT_Days]]&gt;Table1[[#This Row],[SLA_TAT]],"Yes","No")</f>
        <v>Yes</v>
      </c>
      <c r="AA1039" s="4" t="str" cm="1">
        <f t="array" ref="AA1039">_xlfn.IFS(Table1[[#This Row],[Customer_Satisfaction]]&lt;=2,"Poor",Table1[[#This Row],[Customer_Satisfaction]]=3,"Neutral",Table1[[#This Row],[Customer_Satisfaction]]=4,"Good",Table1[[#This Row],[Customer_Satisfaction]]=5,"Good")</f>
        <v>Neutral</v>
      </c>
    </row>
    <row r="1040" spans="1:27" x14ac:dyDescent="0.35">
      <c r="A1040">
        <v>21038</v>
      </c>
      <c r="B1040" s="1">
        <v>45406</v>
      </c>
      <c r="C1040" t="s">
        <v>37</v>
      </c>
      <c r="D1040" t="s">
        <v>70</v>
      </c>
      <c r="E1040" t="s">
        <v>82</v>
      </c>
      <c r="F1040" t="s">
        <v>22</v>
      </c>
      <c r="G1040" t="s">
        <v>63</v>
      </c>
      <c r="H1040" t="s">
        <v>24</v>
      </c>
      <c r="I1040" t="s">
        <v>25</v>
      </c>
      <c r="J1040" t="s">
        <v>35</v>
      </c>
      <c r="K1040" t="s">
        <v>44</v>
      </c>
      <c r="L1040" t="s">
        <v>28</v>
      </c>
      <c r="M1040" s="4">
        <v>23</v>
      </c>
      <c r="N1040" s="4">
        <v>7</v>
      </c>
      <c r="O1040" t="s">
        <v>36</v>
      </c>
      <c r="P1040" t="s">
        <v>36</v>
      </c>
      <c r="Q1040" s="4">
        <v>250670</v>
      </c>
      <c r="R1040" s="4">
        <v>167919</v>
      </c>
      <c r="S1040" s="4">
        <f>Table1[[#This Row],[Service_Revenue]]-Table1[[#This Row],[Service_Cost]]</f>
        <v>82751</v>
      </c>
      <c r="T1040" s="4">
        <v>1</v>
      </c>
      <c r="U1040" s="4">
        <f>IF(AND(Table1[[#This Row],[Rework_Flag]]="Yes",Table1[[#This Row],[Warranty_Claim]]="No"),Table1[[#This Row],[Service_Revenue]],0)</f>
        <v>0</v>
      </c>
      <c r="V1040" s="4">
        <f>IF(Table1[[#This Row],[Warranty_Claim]]="Yes",1,0)</f>
        <v>0</v>
      </c>
      <c r="W1040" s="4">
        <f>IF(Table1[[#This Row],[Rework_Flag]]="No",1,0)</f>
        <v>1</v>
      </c>
      <c r="X1040" s="4">
        <f>IF(Table1[[#This Row],[Rework_Flag]]="Yes",1,0)</f>
        <v>0</v>
      </c>
      <c r="Y1040" s="4">
        <v>1</v>
      </c>
      <c r="Z1040" s="4" t="str">
        <f>IF(Table1[[#This Row],[TAT_Days]]&gt;Table1[[#This Row],[SLA_TAT]],"Yes","No")</f>
        <v>Yes</v>
      </c>
      <c r="AA1040" s="4" t="str" cm="1">
        <f t="array" ref="AA1040">_xlfn.IFS(Table1[[#This Row],[Customer_Satisfaction]]&lt;=2,"Poor",Table1[[#This Row],[Customer_Satisfaction]]=3,"Neutral",Table1[[#This Row],[Customer_Satisfaction]]=4,"Good",Table1[[#This Row],[Customer_Satisfaction]]=5,"Good")</f>
        <v>Poor</v>
      </c>
    </row>
    <row r="1041" spans="1:27" x14ac:dyDescent="0.35">
      <c r="A1041">
        <v>21039</v>
      </c>
      <c r="B1041" s="1">
        <v>45460</v>
      </c>
      <c r="C1041" t="s">
        <v>50</v>
      </c>
      <c r="D1041" t="s">
        <v>51</v>
      </c>
      <c r="E1041" t="s">
        <v>75</v>
      </c>
      <c r="F1041" t="s">
        <v>40</v>
      </c>
      <c r="G1041" t="s">
        <v>47</v>
      </c>
      <c r="H1041" t="s">
        <v>48</v>
      </c>
      <c r="I1041" t="s">
        <v>55</v>
      </c>
      <c r="J1041" t="s">
        <v>58</v>
      </c>
      <c r="K1041" t="s">
        <v>61</v>
      </c>
      <c r="L1041" t="s">
        <v>49</v>
      </c>
      <c r="M1041" s="4">
        <v>13</v>
      </c>
      <c r="N1041" s="4">
        <v>7</v>
      </c>
      <c r="O1041" t="s">
        <v>36</v>
      </c>
      <c r="P1041" t="s">
        <v>29</v>
      </c>
      <c r="Q1041" s="4">
        <v>557531</v>
      </c>
      <c r="R1041" s="4">
        <v>428201</v>
      </c>
      <c r="S1041" s="4">
        <f>Table1[[#This Row],[Service_Revenue]]-Table1[[#This Row],[Service_Cost]]</f>
        <v>129330</v>
      </c>
      <c r="T1041" s="4">
        <v>3</v>
      </c>
      <c r="U1041" s="4">
        <f>IF(AND(Table1[[#This Row],[Rework_Flag]]="Yes",Table1[[#This Row],[Warranty_Claim]]="No"),Table1[[#This Row],[Service_Revenue]],0)</f>
        <v>0</v>
      </c>
      <c r="V1041" s="4">
        <f>IF(Table1[[#This Row],[Warranty_Claim]]="Yes",1,0)</f>
        <v>1</v>
      </c>
      <c r="W1041" s="4">
        <f>IF(Table1[[#This Row],[Rework_Flag]]="No",1,0)</f>
        <v>1</v>
      </c>
      <c r="X1041" s="4">
        <f>IF(Table1[[#This Row],[Rework_Flag]]="Yes",1,0)</f>
        <v>0</v>
      </c>
      <c r="Y1041" s="4">
        <v>1</v>
      </c>
      <c r="Z1041" s="4" t="str">
        <f>IF(Table1[[#This Row],[TAT_Days]]&gt;Table1[[#This Row],[SLA_TAT]],"Yes","No")</f>
        <v>Yes</v>
      </c>
      <c r="AA1041" s="4" t="str" cm="1">
        <f t="array" ref="AA1041">_xlfn.IFS(Table1[[#This Row],[Customer_Satisfaction]]&lt;=2,"Poor",Table1[[#This Row],[Customer_Satisfaction]]=3,"Neutral",Table1[[#This Row],[Customer_Satisfaction]]=4,"Good",Table1[[#This Row],[Customer_Satisfaction]]=5,"Good")</f>
        <v>Neutral</v>
      </c>
    </row>
    <row r="1042" spans="1:27" x14ac:dyDescent="0.35">
      <c r="A1042">
        <v>21040</v>
      </c>
      <c r="B1042" s="1">
        <v>45323</v>
      </c>
      <c r="C1042" t="s">
        <v>30</v>
      </c>
      <c r="D1042" t="s">
        <v>83</v>
      </c>
      <c r="E1042" t="s">
        <v>119</v>
      </c>
      <c r="F1042" t="s">
        <v>22</v>
      </c>
      <c r="G1042" t="s">
        <v>74</v>
      </c>
      <c r="H1042" t="s">
        <v>34</v>
      </c>
      <c r="I1042" t="s">
        <v>55</v>
      </c>
      <c r="J1042" t="s">
        <v>35</v>
      </c>
      <c r="K1042" t="s">
        <v>61</v>
      </c>
      <c r="L1042" t="s">
        <v>28</v>
      </c>
      <c r="M1042" s="4">
        <v>19</v>
      </c>
      <c r="N1042" s="4">
        <v>7</v>
      </c>
      <c r="O1042" t="s">
        <v>29</v>
      </c>
      <c r="P1042" t="s">
        <v>36</v>
      </c>
      <c r="Q1042" s="4">
        <v>273964</v>
      </c>
      <c r="R1042" s="4">
        <v>155543</v>
      </c>
      <c r="S1042" s="4">
        <f>Table1[[#This Row],[Service_Revenue]]-Table1[[#This Row],[Service_Cost]]</f>
        <v>118421</v>
      </c>
      <c r="T1042" s="4">
        <v>1</v>
      </c>
      <c r="U1042" s="4">
        <f>IF(AND(Table1[[#This Row],[Rework_Flag]]="Yes",Table1[[#This Row],[Warranty_Claim]]="No"),Table1[[#This Row],[Service_Revenue]],0)</f>
        <v>273964</v>
      </c>
      <c r="V1042" s="4">
        <f>IF(Table1[[#This Row],[Warranty_Claim]]="Yes",1,0)</f>
        <v>0</v>
      </c>
      <c r="W1042" s="4">
        <f>IF(Table1[[#This Row],[Rework_Flag]]="No",1,0)</f>
        <v>0</v>
      </c>
      <c r="X1042" s="4">
        <f>IF(Table1[[#This Row],[Rework_Flag]]="Yes",1,0)</f>
        <v>1</v>
      </c>
      <c r="Y1042" s="4">
        <v>1</v>
      </c>
      <c r="Z1042" s="4" t="str">
        <f>IF(Table1[[#This Row],[TAT_Days]]&gt;Table1[[#This Row],[SLA_TAT]],"Yes","No")</f>
        <v>Yes</v>
      </c>
      <c r="AA1042" s="4" t="str" cm="1">
        <f t="array" ref="AA1042">_xlfn.IFS(Table1[[#This Row],[Customer_Satisfaction]]&lt;=2,"Poor",Table1[[#This Row],[Customer_Satisfaction]]=3,"Neutral",Table1[[#This Row],[Customer_Satisfaction]]=4,"Good",Table1[[#This Row],[Customer_Satisfaction]]=5,"Good")</f>
        <v>Poor</v>
      </c>
    </row>
    <row r="1043" spans="1:27" x14ac:dyDescent="0.35">
      <c r="A1043">
        <v>21041</v>
      </c>
      <c r="B1043" s="1">
        <v>45371</v>
      </c>
      <c r="C1043" t="s">
        <v>19</v>
      </c>
      <c r="D1043" t="s">
        <v>20</v>
      </c>
      <c r="E1043" t="s">
        <v>89</v>
      </c>
      <c r="F1043" t="s">
        <v>53</v>
      </c>
      <c r="G1043" t="s">
        <v>33</v>
      </c>
      <c r="H1043" t="s">
        <v>34</v>
      </c>
      <c r="I1043" t="s">
        <v>55</v>
      </c>
      <c r="J1043" t="s">
        <v>67</v>
      </c>
      <c r="K1043" t="s">
        <v>61</v>
      </c>
      <c r="L1043" t="s">
        <v>28</v>
      </c>
      <c r="M1043" s="4">
        <v>16</v>
      </c>
      <c r="N1043" s="4">
        <v>7</v>
      </c>
      <c r="O1043" t="s">
        <v>36</v>
      </c>
      <c r="P1043" t="s">
        <v>29</v>
      </c>
      <c r="Q1043" s="4">
        <v>554617</v>
      </c>
      <c r="R1043" s="4">
        <v>341226</v>
      </c>
      <c r="S1043" s="4">
        <f>Table1[[#This Row],[Service_Revenue]]-Table1[[#This Row],[Service_Cost]]</f>
        <v>213391</v>
      </c>
      <c r="T1043" s="4">
        <v>2</v>
      </c>
      <c r="U1043" s="4">
        <f>IF(AND(Table1[[#This Row],[Rework_Flag]]="Yes",Table1[[#This Row],[Warranty_Claim]]="No"),Table1[[#This Row],[Service_Revenue]],0)</f>
        <v>0</v>
      </c>
      <c r="V1043" s="4">
        <f>IF(Table1[[#This Row],[Warranty_Claim]]="Yes",1,0)</f>
        <v>1</v>
      </c>
      <c r="W1043" s="4">
        <f>IF(Table1[[#This Row],[Rework_Flag]]="No",1,0)</f>
        <v>1</v>
      </c>
      <c r="X1043" s="4">
        <f>IF(Table1[[#This Row],[Rework_Flag]]="Yes",1,0)</f>
        <v>0</v>
      </c>
      <c r="Y1043" s="4">
        <v>1</v>
      </c>
      <c r="Z1043" s="4" t="str">
        <f>IF(Table1[[#This Row],[TAT_Days]]&gt;Table1[[#This Row],[SLA_TAT]],"Yes","No")</f>
        <v>Yes</v>
      </c>
      <c r="AA1043" s="4" t="str" cm="1">
        <f t="array" ref="AA1043">_xlfn.IFS(Table1[[#This Row],[Customer_Satisfaction]]&lt;=2,"Poor",Table1[[#This Row],[Customer_Satisfaction]]=3,"Neutral",Table1[[#This Row],[Customer_Satisfaction]]=4,"Good",Table1[[#This Row],[Customer_Satisfaction]]=5,"Good")</f>
        <v>Poor</v>
      </c>
    </row>
    <row r="1044" spans="1:27" x14ac:dyDescent="0.35">
      <c r="A1044">
        <v>21042</v>
      </c>
      <c r="B1044" s="1">
        <v>45426</v>
      </c>
      <c r="C1044" t="s">
        <v>30</v>
      </c>
      <c r="D1044" t="s">
        <v>31</v>
      </c>
      <c r="E1044" t="s">
        <v>122</v>
      </c>
      <c r="F1044" t="s">
        <v>22</v>
      </c>
      <c r="G1044" t="s">
        <v>74</v>
      </c>
      <c r="H1044" t="s">
        <v>34</v>
      </c>
      <c r="I1044" t="s">
        <v>55</v>
      </c>
      <c r="J1044" t="s">
        <v>58</v>
      </c>
      <c r="K1044" t="s">
        <v>44</v>
      </c>
      <c r="L1044" t="s">
        <v>49</v>
      </c>
      <c r="M1044" s="4">
        <v>9</v>
      </c>
      <c r="N1044" s="4">
        <v>7</v>
      </c>
      <c r="O1044" t="s">
        <v>36</v>
      </c>
      <c r="P1044" t="s">
        <v>29</v>
      </c>
      <c r="Q1044" s="4">
        <v>516048</v>
      </c>
      <c r="R1044" s="4">
        <v>437234</v>
      </c>
      <c r="S1044" s="4">
        <f>Table1[[#This Row],[Service_Revenue]]-Table1[[#This Row],[Service_Cost]]</f>
        <v>78814</v>
      </c>
      <c r="T1044" s="4">
        <v>4</v>
      </c>
      <c r="U1044" s="4">
        <f>IF(AND(Table1[[#This Row],[Rework_Flag]]="Yes",Table1[[#This Row],[Warranty_Claim]]="No"),Table1[[#This Row],[Service_Revenue]],0)</f>
        <v>0</v>
      </c>
      <c r="V1044" s="4">
        <f>IF(Table1[[#This Row],[Warranty_Claim]]="Yes",1,0)</f>
        <v>1</v>
      </c>
      <c r="W1044" s="4">
        <f>IF(Table1[[#This Row],[Rework_Flag]]="No",1,0)</f>
        <v>1</v>
      </c>
      <c r="X1044" s="4">
        <f>IF(Table1[[#This Row],[Rework_Flag]]="Yes",1,0)</f>
        <v>0</v>
      </c>
      <c r="Y1044" s="4">
        <v>1</v>
      </c>
      <c r="Z1044" s="4" t="str">
        <f>IF(Table1[[#This Row],[TAT_Days]]&gt;Table1[[#This Row],[SLA_TAT]],"Yes","No")</f>
        <v>Yes</v>
      </c>
      <c r="AA1044" s="4" t="str" cm="1">
        <f t="array" ref="AA1044">_xlfn.IFS(Table1[[#This Row],[Customer_Satisfaction]]&lt;=2,"Poor",Table1[[#This Row],[Customer_Satisfaction]]=3,"Neutral",Table1[[#This Row],[Customer_Satisfaction]]=4,"Good",Table1[[#This Row],[Customer_Satisfaction]]=5,"Good")</f>
        <v>Good</v>
      </c>
    </row>
    <row r="1045" spans="1:27" x14ac:dyDescent="0.35">
      <c r="A1045">
        <v>21043</v>
      </c>
      <c r="B1045" s="1">
        <v>45342</v>
      </c>
      <c r="C1045" t="s">
        <v>19</v>
      </c>
      <c r="D1045" t="s">
        <v>45</v>
      </c>
      <c r="E1045" t="s">
        <v>111</v>
      </c>
      <c r="F1045" t="s">
        <v>22</v>
      </c>
      <c r="G1045" t="s">
        <v>41</v>
      </c>
      <c r="H1045" t="s">
        <v>42</v>
      </c>
      <c r="I1045" t="s">
        <v>55</v>
      </c>
      <c r="J1045" t="s">
        <v>35</v>
      </c>
      <c r="K1045" t="s">
        <v>61</v>
      </c>
      <c r="L1045" t="s">
        <v>28</v>
      </c>
      <c r="M1045" s="4">
        <v>9</v>
      </c>
      <c r="N1045" s="4">
        <v>7</v>
      </c>
      <c r="O1045" t="s">
        <v>36</v>
      </c>
      <c r="P1045" t="s">
        <v>36</v>
      </c>
      <c r="Q1045" s="4">
        <v>353851</v>
      </c>
      <c r="R1045" s="4">
        <v>210659</v>
      </c>
      <c r="S1045" s="4">
        <f>Table1[[#This Row],[Service_Revenue]]-Table1[[#This Row],[Service_Cost]]</f>
        <v>143192</v>
      </c>
      <c r="T1045" s="4">
        <v>4</v>
      </c>
      <c r="U1045" s="4">
        <f>IF(AND(Table1[[#This Row],[Rework_Flag]]="Yes",Table1[[#This Row],[Warranty_Claim]]="No"),Table1[[#This Row],[Service_Revenue]],0)</f>
        <v>0</v>
      </c>
      <c r="V1045" s="4">
        <f>IF(Table1[[#This Row],[Warranty_Claim]]="Yes",1,0)</f>
        <v>0</v>
      </c>
      <c r="W1045" s="4">
        <f>IF(Table1[[#This Row],[Rework_Flag]]="No",1,0)</f>
        <v>1</v>
      </c>
      <c r="X1045" s="4">
        <f>IF(Table1[[#This Row],[Rework_Flag]]="Yes",1,0)</f>
        <v>0</v>
      </c>
      <c r="Y1045" s="4">
        <v>1</v>
      </c>
      <c r="Z1045" s="4" t="str">
        <f>IF(Table1[[#This Row],[TAT_Days]]&gt;Table1[[#This Row],[SLA_TAT]],"Yes","No")</f>
        <v>Yes</v>
      </c>
      <c r="AA1045" s="4" t="str" cm="1">
        <f t="array" ref="AA1045">_xlfn.IFS(Table1[[#This Row],[Customer_Satisfaction]]&lt;=2,"Poor",Table1[[#This Row],[Customer_Satisfaction]]=3,"Neutral",Table1[[#This Row],[Customer_Satisfaction]]=4,"Good",Table1[[#This Row],[Customer_Satisfaction]]=5,"Good")</f>
        <v>Good</v>
      </c>
    </row>
    <row r="1046" spans="1:27" x14ac:dyDescent="0.35">
      <c r="A1046">
        <v>21044</v>
      </c>
      <c r="B1046" s="1">
        <v>45458</v>
      </c>
      <c r="C1046" t="s">
        <v>50</v>
      </c>
      <c r="D1046" t="s">
        <v>80</v>
      </c>
      <c r="E1046" t="s">
        <v>104</v>
      </c>
      <c r="F1046" t="s">
        <v>22</v>
      </c>
      <c r="G1046" t="s">
        <v>33</v>
      </c>
      <c r="H1046" t="s">
        <v>34</v>
      </c>
      <c r="I1046" t="s">
        <v>55</v>
      </c>
      <c r="J1046" t="s">
        <v>35</v>
      </c>
      <c r="K1046" t="s">
        <v>61</v>
      </c>
      <c r="L1046" t="s">
        <v>49</v>
      </c>
      <c r="M1046" s="4">
        <v>21</v>
      </c>
      <c r="N1046" s="4">
        <v>7</v>
      </c>
      <c r="O1046" t="s">
        <v>36</v>
      </c>
      <c r="P1046" t="s">
        <v>36</v>
      </c>
      <c r="Q1046" s="4">
        <v>265330</v>
      </c>
      <c r="R1046" s="4">
        <v>198015</v>
      </c>
      <c r="S1046" s="4">
        <f>Table1[[#This Row],[Service_Revenue]]-Table1[[#This Row],[Service_Cost]]</f>
        <v>67315</v>
      </c>
      <c r="T1046" s="4">
        <v>1</v>
      </c>
      <c r="U1046" s="4">
        <f>IF(AND(Table1[[#This Row],[Rework_Flag]]="Yes",Table1[[#This Row],[Warranty_Claim]]="No"),Table1[[#This Row],[Service_Revenue]],0)</f>
        <v>0</v>
      </c>
      <c r="V1046" s="4">
        <f>IF(Table1[[#This Row],[Warranty_Claim]]="Yes",1,0)</f>
        <v>0</v>
      </c>
      <c r="W1046" s="4">
        <f>IF(Table1[[#This Row],[Rework_Flag]]="No",1,0)</f>
        <v>1</v>
      </c>
      <c r="X1046" s="4">
        <f>IF(Table1[[#This Row],[Rework_Flag]]="Yes",1,0)</f>
        <v>0</v>
      </c>
      <c r="Y1046" s="4">
        <v>1</v>
      </c>
      <c r="Z1046" s="4" t="str">
        <f>IF(Table1[[#This Row],[TAT_Days]]&gt;Table1[[#This Row],[SLA_TAT]],"Yes","No")</f>
        <v>Yes</v>
      </c>
      <c r="AA1046" s="4" t="str" cm="1">
        <f t="array" ref="AA1046">_xlfn.IFS(Table1[[#This Row],[Customer_Satisfaction]]&lt;=2,"Poor",Table1[[#This Row],[Customer_Satisfaction]]=3,"Neutral",Table1[[#This Row],[Customer_Satisfaction]]=4,"Good",Table1[[#This Row],[Customer_Satisfaction]]=5,"Good")</f>
        <v>Poor</v>
      </c>
    </row>
    <row r="1047" spans="1:27" x14ac:dyDescent="0.35">
      <c r="A1047">
        <v>21045</v>
      </c>
      <c r="B1047" s="1">
        <v>45381</v>
      </c>
      <c r="C1047" t="s">
        <v>30</v>
      </c>
      <c r="D1047" t="s">
        <v>31</v>
      </c>
      <c r="E1047" t="s">
        <v>106</v>
      </c>
      <c r="F1047" t="s">
        <v>22</v>
      </c>
      <c r="G1047" t="s">
        <v>23</v>
      </c>
      <c r="H1047" t="s">
        <v>24</v>
      </c>
      <c r="I1047" t="s">
        <v>55</v>
      </c>
      <c r="J1047" t="s">
        <v>43</v>
      </c>
      <c r="K1047" t="s">
        <v>61</v>
      </c>
      <c r="L1047" t="s">
        <v>28</v>
      </c>
      <c r="M1047" s="4">
        <v>10</v>
      </c>
      <c r="N1047" s="4">
        <v>7</v>
      </c>
      <c r="O1047" t="s">
        <v>36</v>
      </c>
      <c r="P1047" t="s">
        <v>29</v>
      </c>
      <c r="Q1047" s="4">
        <v>350835</v>
      </c>
      <c r="R1047" s="4">
        <v>255718</v>
      </c>
      <c r="S1047" s="4">
        <f>Table1[[#This Row],[Service_Revenue]]-Table1[[#This Row],[Service_Cost]]</f>
        <v>95117</v>
      </c>
      <c r="T1047" s="4">
        <v>3</v>
      </c>
      <c r="U1047" s="4">
        <f>IF(AND(Table1[[#This Row],[Rework_Flag]]="Yes",Table1[[#This Row],[Warranty_Claim]]="No"),Table1[[#This Row],[Service_Revenue]],0)</f>
        <v>0</v>
      </c>
      <c r="V1047" s="4">
        <f>IF(Table1[[#This Row],[Warranty_Claim]]="Yes",1,0)</f>
        <v>1</v>
      </c>
      <c r="W1047" s="4">
        <f>IF(Table1[[#This Row],[Rework_Flag]]="No",1,0)</f>
        <v>1</v>
      </c>
      <c r="X1047" s="4">
        <f>IF(Table1[[#This Row],[Rework_Flag]]="Yes",1,0)</f>
        <v>0</v>
      </c>
      <c r="Y1047" s="4">
        <v>1</v>
      </c>
      <c r="Z1047" s="4" t="str">
        <f>IF(Table1[[#This Row],[TAT_Days]]&gt;Table1[[#This Row],[SLA_TAT]],"Yes","No")</f>
        <v>Yes</v>
      </c>
      <c r="AA1047" s="4" t="str" cm="1">
        <f t="array" ref="AA1047">_xlfn.IFS(Table1[[#This Row],[Customer_Satisfaction]]&lt;=2,"Poor",Table1[[#This Row],[Customer_Satisfaction]]=3,"Neutral",Table1[[#This Row],[Customer_Satisfaction]]=4,"Good",Table1[[#This Row],[Customer_Satisfaction]]=5,"Good")</f>
        <v>Neutral</v>
      </c>
    </row>
    <row r="1048" spans="1:27" x14ac:dyDescent="0.35">
      <c r="A1048">
        <v>21046</v>
      </c>
      <c r="B1048" s="1">
        <v>45435</v>
      </c>
      <c r="C1048" t="s">
        <v>50</v>
      </c>
      <c r="D1048" t="s">
        <v>80</v>
      </c>
      <c r="E1048" t="s">
        <v>104</v>
      </c>
      <c r="F1048" t="s">
        <v>53</v>
      </c>
      <c r="G1048" t="s">
        <v>41</v>
      </c>
      <c r="H1048" t="s">
        <v>42</v>
      </c>
      <c r="I1048" t="s">
        <v>55</v>
      </c>
      <c r="J1048" t="s">
        <v>43</v>
      </c>
      <c r="K1048" t="s">
        <v>61</v>
      </c>
      <c r="L1048" t="s">
        <v>49</v>
      </c>
      <c r="M1048" s="4">
        <v>5</v>
      </c>
      <c r="N1048" s="4">
        <v>7</v>
      </c>
      <c r="O1048" t="s">
        <v>36</v>
      </c>
      <c r="P1048" t="s">
        <v>29</v>
      </c>
      <c r="Q1048" s="4">
        <v>374556</v>
      </c>
      <c r="R1048" s="4">
        <v>225935</v>
      </c>
      <c r="S1048" s="4">
        <f>Table1[[#This Row],[Service_Revenue]]-Table1[[#This Row],[Service_Cost]]</f>
        <v>148621</v>
      </c>
      <c r="T1048" s="4">
        <v>4</v>
      </c>
      <c r="U1048" s="4">
        <f>IF(AND(Table1[[#This Row],[Rework_Flag]]="Yes",Table1[[#This Row],[Warranty_Claim]]="No"),Table1[[#This Row],[Service_Revenue]],0)</f>
        <v>0</v>
      </c>
      <c r="V1048" s="4">
        <f>IF(Table1[[#This Row],[Warranty_Claim]]="Yes",1,0)</f>
        <v>1</v>
      </c>
      <c r="W1048" s="4">
        <f>IF(Table1[[#This Row],[Rework_Flag]]="No",1,0)</f>
        <v>1</v>
      </c>
      <c r="X1048" s="4">
        <f>IF(Table1[[#This Row],[Rework_Flag]]="Yes",1,0)</f>
        <v>0</v>
      </c>
      <c r="Y1048" s="4">
        <v>1</v>
      </c>
      <c r="Z1048" s="4" t="str">
        <f>IF(Table1[[#This Row],[TAT_Days]]&gt;Table1[[#This Row],[SLA_TAT]],"Yes","No")</f>
        <v>No</v>
      </c>
      <c r="AA1048" s="4" t="str" cm="1">
        <f t="array" ref="AA1048">_xlfn.IFS(Table1[[#This Row],[Customer_Satisfaction]]&lt;=2,"Poor",Table1[[#This Row],[Customer_Satisfaction]]=3,"Neutral",Table1[[#This Row],[Customer_Satisfaction]]=4,"Good",Table1[[#This Row],[Customer_Satisfaction]]=5,"Good")</f>
        <v>Good</v>
      </c>
    </row>
    <row r="1049" spans="1:27" x14ac:dyDescent="0.35">
      <c r="A1049">
        <v>21047</v>
      </c>
      <c r="B1049" s="1">
        <v>45398</v>
      </c>
      <c r="C1049" t="s">
        <v>37</v>
      </c>
      <c r="D1049" t="s">
        <v>38</v>
      </c>
      <c r="E1049" t="s">
        <v>39</v>
      </c>
      <c r="F1049" t="s">
        <v>40</v>
      </c>
      <c r="G1049" t="s">
        <v>54</v>
      </c>
      <c r="H1049" t="s">
        <v>42</v>
      </c>
      <c r="I1049" t="s">
        <v>25</v>
      </c>
      <c r="J1049" t="s">
        <v>67</v>
      </c>
      <c r="K1049" t="s">
        <v>27</v>
      </c>
      <c r="L1049" t="s">
        <v>49</v>
      </c>
      <c r="M1049" s="4">
        <v>20</v>
      </c>
      <c r="N1049" s="4">
        <v>7</v>
      </c>
      <c r="O1049" t="s">
        <v>29</v>
      </c>
      <c r="P1049" t="s">
        <v>36</v>
      </c>
      <c r="Q1049" s="4">
        <v>482924</v>
      </c>
      <c r="R1049" s="4">
        <v>284323</v>
      </c>
      <c r="S1049" s="4">
        <f>Table1[[#This Row],[Service_Revenue]]-Table1[[#This Row],[Service_Cost]]</f>
        <v>198601</v>
      </c>
      <c r="T1049" s="4">
        <v>1</v>
      </c>
      <c r="U1049" s="4">
        <f>IF(AND(Table1[[#This Row],[Rework_Flag]]="Yes",Table1[[#This Row],[Warranty_Claim]]="No"),Table1[[#This Row],[Service_Revenue]],0)</f>
        <v>482924</v>
      </c>
      <c r="V1049" s="4">
        <f>IF(Table1[[#This Row],[Warranty_Claim]]="Yes",1,0)</f>
        <v>0</v>
      </c>
      <c r="W1049" s="4">
        <f>IF(Table1[[#This Row],[Rework_Flag]]="No",1,0)</f>
        <v>0</v>
      </c>
      <c r="X1049" s="4">
        <f>IF(Table1[[#This Row],[Rework_Flag]]="Yes",1,0)</f>
        <v>1</v>
      </c>
      <c r="Y1049" s="4">
        <v>1</v>
      </c>
      <c r="Z1049" s="4" t="str">
        <f>IF(Table1[[#This Row],[TAT_Days]]&gt;Table1[[#This Row],[SLA_TAT]],"Yes","No")</f>
        <v>Yes</v>
      </c>
      <c r="AA1049" s="4" t="str" cm="1">
        <f t="array" ref="AA1049">_xlfn.IFS(Table1[[#This Row],[Customer_Satisfaction]]&lt;=2,"Poor",Table1[[#This Row],[Customer_Satisfaction]]=3,"Neutral",Table1[[#This Row],[Customer_Satisfaction]]=4,"Good",Table1[[#This Row],[Customer_Satisfaction]]=5,"Good")</f>
        <v>Poor</v>
      </c>
    </row>
    <row r="1050" spans="1:27" x14ac:dyDescent="0.35">
      <c r="A1050">
        <v>21048</v>
      </c>
      <c r="B1050" s="1">
        <v>45466</v>
      </c>
      <c r="C1050" t="s">
        <v>50</v>
      </c>
      <c r="D1050" t="s">
        <v>80</v>
      </c>
      <c r="E1050" t="s">
        <v>121</v>
      </c>
      <c r="F1050" t="s">
        <v>22</v>
      </c>
      <c r="G1050" t="s">
        <v>63</v>
      </c>
      <c r="H1050" t="s">
        <v>24</v>
      </c>
      <c r="I1050" t="s">
        <v>55</v>
      </c>
      <c r="J1050" t="s">
        <v>35</v>
      </c>
      <c r="K1050" t="s">
        <v>44</v>
      </c>
      <c r="L1050" t="s">
        <v>28</v>
      </c>
      <c r="M1050" s="4">
        <v>10</v>
      </c>
      <c r="N1050" s="4">
        <v>7</v>
      </c>
      <c r="O1050" t="s">
        <v>36</v>
      </c>
      <c r="P1050" t="s">
        <v>29</v>
      </c>
      <c r="Q1050" s="4">
        <v>273489</v>
      </c>
      <c r="R1050" s="4">
        <v>186824</v>
      </c>
      <c r="S1050" s="4">
        <f>Table1[[#This Row],[Service_Revenue]]-Table1[[#This Row],[Service_Cost]]</f>
        <v>86665</v>
      </c>
      <c r="T1050" s="4">
        <v>3</v>
      </c>
      <c r="U1050" s="4">
        <f>IF(AND(Table1[[#This Row],[Rework_Flag]]="Yes",Table1[[#This Row],[Warranty_Claim]]="No"),Table1[[#This Row],[Service_Revenue]],0)</f>
        <v>0</v>
      </c>
      <c r="V1050" s="4">
        <f>IF(Table1[[#This Row],[Warranty_Claim]]="Yes",1,0)</f>
        <v>1</v>
      </c>
      <c r="W1050" s="4">
        <f>IF(Table1[[#This Row],[Rework_Flag]]="No",1,0)</f>
        <v>1</v>
      </c>
      <c r="X1050" s="4">
        <f>IF(Table1[[#This Row],[Rework_Flag]]="Yes",1,0)</f>
        <v>0</v>
      </c>
      <c r="Y1050" s="4">
        <v>1</v>
      </c>
      <c r="Z1050" s="4" t="str">
        <f>IF(Table1[[#This Row],[TAT_Days]]&gt;Table1[[#This Row],[SLA_TAT]],"Yes","No")</f>
        <v>Yes</v>
      </c>
      <c r="AA1050" s="4" t="str" cm="1">
        <f t="array" ref="AA1050">_xlfn.IFS(Table1[[#This Row],[Customer_Satisfaction]]&lt;=2,"Poor",Table1[[#This Row],[Customer_Satisfaction]]=3,"Neutral",Table1[[#This Row],[Customer_Satisfaction]]=4,"Good",Table1[[#This Row],[Customer_Satisfaction]]=5,"Good")</f>
        <v>Neutral</v>
      </c>
    </row>
    <row r="1051" spans="1:27" x14ac:dyDescent="0.35">
      <c r="A1051">
        <v>21049</v>
      </c>
      <c r="B1051" s="1">
        <v>45404</v>
      </c>
      <c r="C1051" t="s">
        <v>30</v>
      </c>
      <c r="D1051" t="s">
        <v>31</v>
      </c>
      <c r="E1051" t="s">
        <v>106</v>
      </c>
      <c r="F1051" t="s">
        <v>40</v>
      </c>
      <c r="G1051" t="s">
        <v>74</v>
      </c>
      <c r="H1051" t="s">
        <v>34</v>
      </c>
      <c r="I1051" t="s">
        <v>55</v>
      </c>
      <c r="J1051" t="s">
        <v>67</v>
      </c>
      <c r="K1051" t="s">
        <v>27</v>
      </c>
      <c r="L1051" t="s">
        <v>28</v>
      </c>
      <c r="M1051" s="4">
        <v>22</v>
      </c>
      <c r="N1051" s="4">
        <v>7</v>
      </c>
      <c r="O1051" t="s">
        <v>29</v>
      </c>
      <c r="P1051" t="s">
        <v>36</v>
      </c>
      <c r="Q1051" s="4">
        <v>101791</v>
      </c>
      <c r="R1051" s="4">
        <v>58391</v>
      </c>
      <c r="S1051" s="4">
        <f>Table1[[#This Row],[Service_Revenue]]-Table1[[#This Row],[Service_Cost]]</f>
        <v>43400</v>
      </c>
      <c r="T1051" s="4">
        <v>1</v>
      </c>
      <c r="U1051" s="4">
        <f>IF(AND(Table1[[#This Row],[Rework_Flag]]="Yes",Table1[[#This Row],[Warranty_Claim]]="No"),Table1[[#This Row],[Service_Revenue]],0)</f>
        <v>101791</v>
      </c>
      <c r="V1051" s="4">
        <f>IF(Table1[[#This Row],[Warranty_Claim]]="Yes",1,0)</f>
        <v>0</v>
      </c>
      <c r="W1051" s="4">
        <f>IF(Table1[[#This Row],[Rework_Flag]]="No",1,0)</f>
        <v>0</v>
      </c>
      <c r="X1051" s="4">
        <f>IF(Table1[[#This Row],[Rework_Flag]]="Yes",1,0)</f>
        <v>1</v>
      </c>
      <c r="Y1051" s="4">
        <v>1</v>
      </c>
      <c r="Z1051" s="4" t="str">
        <f>IF(Table1[[#This Row],[TAT_Days]]&gt;Table1[[#This Row],[SLA_TAT]],"Yes","No")</f>
        <v>Yes</v>
      </c>
      <c r="AA1051" s="4" t="str" cm="1">
        <f t="array" ref="AA1051">_xlfn.IFS(Table1[[#This Row],[Customer_Satisfaction]]&lt;=2,"Poor",Table1[[#This Row],[Customer_Satisfaction]]=3,"Neutral",Table1[[#This Row],[Customer_Satisfaction]]=4,"Good",Table1[[#This Row],[Customer_Satisfaction]]=5,"Good")</f>
        <v>Poor</v>
      </c>
    </row>
    <row r="1052" spans="1:27" x14ac:dyDescent="0.35">
      <c r="A1052">
        <v>21050</v>
      </c>
      <c r="B1052" s="1">
        <v>45456</v>
      </c>
      <c r="C1052" t="s">
        <v>50</v>
      </c>
      <c r="D1052" t="s">
        <v>56</v>
      </c>
      <c r="E1052" t="s">
        <v>57</v>
      </c>
      <c r="F1052" t="s">
        <v>53</v>
      </c>
      <c r="G1052" t="s">
        <v>23</v>
      </c>
      <c r="H1052" t="s">
        <v>24</v>
      </c>
      <c r="I1052" t="s">
        <v>55</v>
      </c>
      <c r="J1052" t="s">
        <v>35</v>
      </c>
      <c r="K1052" t="s">
        <v>27</v>
      </c>
      <c r="L1052" t="s">
        <v>28</v>
      </c>
      <c r="M1052" s="4">
        <v>12</v>
      </c>
      <c r="N1052" s="4">
        <v>7</v>
      </c>
      <c r="O1052" t="s">
        <v>29</v>
      </c>
      <c r="P1052" t="s">
        <v>29</v>
      </c>
      <c r="Q1052" s="4">
        <v>483251</v>
      </c>
      <c r="R1052" s="4">
        <v>403424</v>
      </c>
      <c r="S1052" s="4">
        <f>Table1[[#This Row],[Service_Revenue]]-Table1[[#This Row],[Service_Cost]]</f>
        <v>79827</v>
      </c>
      <c r="T1052" s="4">
        <v>2</v>
      </c>
      <c r="U1052" s="4">
        <f>IF(AND(Table1[[#This Row],[Rework_Flag]]="Yes",Table1[[#This Row],[Warranty_Claim]]="No"),Table1[[#This Row],[Service_Revenue]],0)</f>
        <v>0</v>
      </c>
      <c r="V1052" s="4">
        <f>IF(Table1[[#This Row],[Warranty_Claim]]="Yes",1,0)</f>
        <v>1</v>
      </c>
      <c r="W1052" s="4">
        <f>IF(Table1[[#This Row],[Rework_Flag]]="No",1,0)</f>
        <v>0</v>
      </c>
      <c r="X1052" s="4">
        <f>IF(Table1[[#This Row],[Rework_Flag]]="Yes",1,0)</f>
        <v>1</v>
      </c>
      <c r="Y1052" s="4">
        <v>1</v>
      </c>
      <c r="Z1052" s="4" t="str">
        <f>IF(Table1[[#This Row],[TAT_Days]]&gt;Table1[[#This Row],[SLA_TAT]],"Yes","No")</f>
        <v>Yes</v>
      </c>
      <c r="AA1052" s="4" t="str" cm="1">
        <f t="array" ref="AA1052">_xlfn.IFS(Table1[[#This Row],[Customer_Satisfaction]]&lt;=2,"Poor",Table1[[#This Row],[Customer_Satisfaction]]=3,"Neutral",Table1[[#This Row],[Customer_Satisfaction]]=4,"Good",Table1[[#This Row],[Customer_Satisfaction]]=5,"Good")</f>
        <v>Poor</v>
      </c>
    </row>
    <row r="1053" spans="1:27" x14ac:dyDescent="0.35">
      <c r="A1053">
        <v>21051</v>
      </c>
      <c r="B1053" s="1">
        <v>45457</v>
      </c>
      <c r="C1053" t="s">
        <v>30</v>
      </c>
      <c r="D1053" t="s">
        <v>59</v>
      </c>
      <c r="E1053" t="s">
        <v>60</v>
      </c>
      <c r="F1053" t="s">
        <v>22</v>
      </c>
      <c r="G1053" t="s">
        <v>33</v>
      </c>
      <c r="H1053" t="s">
        <v>34</v>
      </c>
      <c r="I1053" t="s">
        <v>55</v>
      </c>
      <c r="J1053" t="s">
        <v>26</v>
      </c>
      <c r="K1053" t="s">
        <v>44</v>
      </c>
      <c r="L1053" t="s">
        <v>28</v>
      </c>
      <c r="M1053" s="4">
        <v>20</v>
      </c>
      <c r="N1053" s="4">
        <v>7</v>
      </c>
      <c r="O1053" t="s">
        <v>29</v>
      </c>
      <c r="P1053" t="s">
        <v>36</v>
      </c>
      <c r="Q1053" s="4">
        <v>162374</v>
      </c>
      <c r="R1053" s="4">
        <v>135511</v>
      </c>
      <c r="S1053" s="4">
        <f>Table1[[#This Row],[Service_Revenue]]-Table1[[#This Row],[Service_Cost]]</f>
        <v>26863</v>
      </c>
      <c r="T1053" s="4">
        <v>1</v>
      </c>
      <c r="U1053" s="4">
        <f>IF(AND(Table1[[#This Row],[Rework_Flag]]="Yes",Table1[[#This Row],[Warranty_Claim]]="No"),Table1[[#This Row],[Service_Revenue]],0)</f>
        <v>162374</v>
      </c>
      <c r="V1053" s="4">
        <f>IF(Table1[[#This Row],[Warranty_Claim]]="Yes",1,0)</f>
        <v>0</v>
      </c>
      <c r="W1053" s="4">
        <f>IF(Table1[[#This Row],[Rework_Flag]]="No",1,0)</f>
        <v>0</v>
      </c>
      <c r="X1053" s="4">
        <f>IF(Table1[[#This Row],[Rework_Flag]]="Yes",1,0)</f>
        <v>1</v>
      </c>
      <c r="Y1053" s="4">
        <v>1</v>
      </c>
      <c r="Z1053" s="4" t="str">
        <f>IF(Table1[[#This Row],[TAT_Days]]&gt;Table1[[#This Row],[SLA_TAT]],"Yes","No")</f>
        <v>Yes</v>
      </c>
      <c r="AA1053" s="4" t="str" cm="1">
        <f t="array" ref="AA1053">_xlfn.IFS(Table1[[#This Row],[Customer_Satisfaction]]&lt;=2,"Poor",Table1[[#This Row],[Customer_Satisfaction]]=3,"Neutral",Table1[[#This Row],[Customer_Satisfaction]]=4,"Good",Table1[[#This Row],[Customer_Satisfaction]]=5,"Good")</f>
        <v>Poor</v>
      </c>
    </row>
    <row r="1054" spans="1:27" x14ac:dyDescent="0.35">
      <c r="A1054">
        <v>21052</v>
      </c>
      <c r="B1054" s="1">
        <v>45304</v>
      </c>
      <c r="C1054" t="s">
        <v>19</v>
      </c>
      <c r="D1054" t="s">
        <v>96</v>
      </c>
      <c r="E1054" t="s">
        <v>108</v>
      </c>
      <c r="F1054" t="s">
        <v>53</v>
      </c>
      <c r="G1054" t="s">
        <v>74</v>
      </c>
      <c r="H1054" t="s">
        <v>34</v>
      </c>
      <c r="I1054" t="s">
        <v>55</v>
      </c>
      <c r="J1054" t="s">
        <v>67</v>
      </c>
      <c r="K1054" t="s">
        <v>61</v>
      </c>
      <c r="L1054" t="s">
        <v>49</v>
      </c>
      <c r="M1054" s="4">
        <v>18</v>
      </c>
      <c r="N1054" s="4">
        <v>7</v>
      </c>
      <c r="O1054" t="s">
        <v>29</v>
      </c>
      <c r="P1054" t="s">
        <v>36</v>
      </c>
      <c r="Q1054" s="4">
        <v>223335</v>
      </c>
      <c r="R1054" s="4">
        <v>160900</v>
      </c>
      <c r="S1054" s="4">
        <f>Table1[[#This Row],[Service_Revenue]]-Table1[[#This Row],[Service_Cost]]</f>
        <v>62435</v>
      </c>
      <c r="T1054" s="4">
        <v>1</v>
      </c>
      <c r="U1054" s="4">
        <f>IF(AND(Table1[[#This Row],[Rework_Flag]]="Yes",Table1[[#This Row],[Warranty_Claim]]="No"),Table1[[#This Row],[Service_Revenue]],0)</f>
        <v>223335</v>
      </c>
      <c r="V1054" s="4">
        <f>IF(Table1[[#This Row],[Warranty_Claim]]="Yes",1,0)</f>
        <v>0</v>
      </c>
      <c r="W1054" s="4">
        <f>IF(Table1[[#This Row],[Rework_Flag]]="No",1,0)</f>
        <v>0</v>
      </c>
      <c r="X1054" s="4">
        <f>IF(Table1[[#This Row],[Rework_Flag]]="Yes",1,0)</f>
        <v>1</v>
      </c>
      <c r="Y1054" s="4">
        <v>1</v>
      </c>
      <c r="Z1054" s="4" t="str">
        <f>IF(Table1[[#This Row],[TAT_Days]]&gt;Table1[[#This Row],[SLA_TAT]],"Yes","No")</f>
        <v>Yes</v>
      </c>
      <c r="AA1054" s="4" t="str" cm="1">
        <f t="array" ref="AA1054">_xlfn.IFS(Table1[[#This Row],[Customer_Satisfaction]]&lt;=2,"Poor",Table1[[#This Row],[Customer_Satisfaction]]=3,"Neutral",Table1[[#This Row],[Customer_Satisfaction]]=4,"Good",Table1[[#This Row],[Customer_Satisfaction]]=5,"Good")</f>
        <v>Poor</v>
      </c>
    </row>
    <row r="1055" spans="1:27" x14ac:dyDescent="0.35">
      <c r="A1055">
        <v>21053</v>
      </c>
      <c r="B1055" s="1">
        <v>45327</v>
      </c>
      <c r="C1055" t="s">
        <v>19</v>
      </c>
      <c r="D1055" t="s">
        <v>96</v>
      </c>
      <c r="E1055" t="s">
        <v>98</v>
      </c>
      <c r="F1055" t="s">
        <v>40</v>
      </c>
      <c r="G1055" t="s">
        <v>54</v>
      </c>
      <c r="H1055" t="s">
        <v>42</v>
      </c>
      <c r="I1055" t="s">
        <v>55</v>
      </c>
      <c r="J1055" t="s">
        <v>67</v>
      </c>
      <c r="K1055" t="s">
        <v>61</v>
      </c>
      <c r="L1055" t="s">
        <v>28</v>
      </c>
      <c r="M1055" s="4">
        <v>2</v>
      </c>
      <c r="N1055" s="4">
        <v>7</v>
      </c>
      <c r="O1055" t="s">
        <v>29</v>
      </c>
      <c r="P1055" t="s">
        <v>29</v>
      </c>
      <c r="Q1055" s="4">
        <v>295665</v>
      </c>
      <c r="R1055" s="4">
        <v>185379</v>
      </c>
      <c r="S1055" s="4">
        <f>Table1[[#This Row],[Service_Revenue]]-Table1[[#This Row],[Service_Cost]]</f>
        <v>110286</v>
      </c>
      <c r="T1055" s="4">
        <v>4</v>
      </c>
      <c r="U1055" s="4">
        <f>IF(AND(Table1[[#This Row],[Rework_Flag]]="Yes",Table1[[#This Row],[Warranty_Claim]]="No"),Table1[[#This Row],[Service_Revenue]],0)</f>
        <v>0</v>
      </c>
      <c r="V1055" s="4">
        <f>IF(Table1[[#This Row],[Warranty_Claim]]="Yes",1,0)</f>
        <v>1</v>
      </c>
      <c r="W1055" s="4">
        <f>IF(Table1[[#This Row],[Rework_Flag]]="No",1,0)</f>
        <v>0</v>
      </c>
      <c r="X1055" s="4">
        <f>IF(Table1[[#This Row],[Rework_Flag]]="Yes",1,0)</f>
        <v>1</v>
      </c>
      <c r="Y1055" s="4">
        <v>1</v>
      </c>
      <c r="Z1055" s="4" t="str">
        <f>IF(Table1[[#This Row],[TAT_Days]]&gt;Table1[[#This Row],[SLA_TAT]],"Yes","No")</f>
        <v>No</v>
      </c>
      <c r="AA1055" s="4" t="str" cm="1">
        <f t="array" ref="AA1055">_xlfn.IFS(Table1[[#This Row],[Customer_Satisfaction]]&lt;=2,"Poor",Table1[[#This Row],[Customer_Satisfaction]]=3,"Neutral",Table1[[#This Row],[Customer_Satisfaction]]=4,"Good",Table1[[#This Row],[Customer_Satisfaction]]=5,"Good")</f>
        <v>Good</v>
      </c>
    </row>
    <row r="1056" spans="1:27" x14ac:dyDescent="0.35">
      <c r="A1056">
        <v>21054</v>
      </c>
      <c r="B1056" s="1">
        <v>45340</v>
      </c>
      <c r="C1056" t="s">
        <v>19</v>
      </c>
      <c r="D1056" t="s">
        <v>20</v>
      </c>
      <c r="E1056" t="s">
        <v>89</v>
      </c>
      <c r="F1056" t="s">
        <v>40</v>
      </c>
      <c r="G1056" t="s">
        <v>63</v>
      </c>
      <c r="H1056" t="s">
        <v>24</v>
      </c>
      <c r="I1056" t="s">
        <v>55</v>
      </c>
      <c r="J1056" t="s">
        <v>43</v>
      </c>
      <c r="K1056" t="s">
        <v>27</v>
      </c>
      <c r="L1056" t="s">
        <v>49</v>
      </c>
      <c r="M1056" s="4">
        <v>9</v>
      </c>
      <c r="N1056" s="4">
        <v>7</v>
      </c>
      <c r="O1056" t="s">
        <v>36</v>
      </c>
      <c r="P1056" t="s">
        <v>36</v>
      </c>
      <c r="Q1056" s="4">
        <v>276694</v>
      </c>
      <c r="R1056" s="4">
        <v>217246</v>
      </c>
      <c r="S1056" s="4">
        <f>Table1[[#This Row],[Service_Revenue]]-Table1[[#This Row],[Service_Cost]]</f>
        <v>59448</v>
      </c>
      <c r="T1056" s="4">
        <v>4</v>
      </c>
      <c r="U1056" s="4">
        <f>IF(AND(Table1[[#This Row],[Rework_Flag]]="Yes",Table1[[#This Row],[Warranty_Claim]]="No"),Table1[[#This Row],[Service_Revenue]],0)</f>
        <v>0</v>
      </c>
      <c r="V1056" s="4">
        <f>IF(Table1[[#This Row],[Warranty_Claim]]="Yes",1,0)</f>
        <v>0</v>
      </c>
      <c r="W1056" s="4">
        <f>IF(Table1[[#This Row],[Rework_Flag]]="No",1,0)</f>
        <v>1</v>
      </c>
      <c r="X1056" s="4">
        <f>IF(Table1[[#This Row],[Rework_Flag]]="Yes",1,0)</f>
        <v>0</v>
      </c>
      <c r="Y1056" s="4">
        <v>1</v>
      </c>
      <c r="Z1056" s="4" t="str">
        <f>IF(Table1[[#This Row],[TAT_Days]]&gt;Table1[[#This Row],[SLA_TAT]],"Yes","No")</f>
        <v>Yes</v>
      </c>
      <c r="AA1056" s="4" t="str" cm="1">
        <f t="array" ref="AA1056">_xlfn.IFS(Table1[[#This Row],[Customer_Satisfaction]]&lt;=2,"Poor",Table1[[#This Row],[Customer_Satisfaction]]=3,"Neutral",Table1[[#This Row],[Customer_Satisfaction]]=4,"Good",Table1[[#This Row],[Customer_Satisfaction]]=5,"Good")</f>
        <v>Good</v>
      </c>
    </row>
    <row r="1057" spans="1:27" x14ac:dyDescent="0.35">
      <c r="A1057">
        <v>21055</v>
      </c>
      <c r="B1057" s="1">
        <v>45333</v>
      </c>
      <c r="C1057" t="s">
        <v>37</v>
      </c>
      <c r="D1057" t="s">
        <v>70</v>
      </c>
      <c r="E1057" t="s">
        <v>100</v>
      </c>
      <c r="F1057" t="s">
        <v>40</v>
      </c>
      <c r="G1057" t="s">
        <v>33</v>
      </c>
      <c r="H1057" t="s">
        <v>34</v>
      </c>
      <c r="I1057" t="s">
        <v>55</v>
      </c>
      <c r="J1057" t="s">
        <v>58</v>
      </c>
      <c r="K1057" t="s">
        <v>44</v>
      </c>
      <c r="L1057" t="s">
        <v>49</v>
      </c>
      <c r="M1057" s="4">
        <v>2</v>
      </c>
      <c r="N1057" s="4">
        <v>7</v>
      </c>
      <c r="O1057" t="s">
        <v>29</v>
      </c>
      <c r="P1057" t="s">
        <v>29</v>
      </c>
      <c r="Q1057" s="4">
        <v>359218</v>
      </c>
      <c r="R1057" s="4">
        <v>298089</v>
      </c>
      <c r="S1057" s="4">
        <f>Table1[[#This Row],[Service_Revenue]]-Table1[[#This Row],[Service_Cost]]</f>
        <v>61129</v>
      </c>
      <c r="T1057" s="4">
        <v>4</v>
      </c>
      <c r="U1057" s="4">
        <f>IF(AND(Table1[[#This Row],[Rework_Flag]]="Yes",Table1[[#This Row],[Warranty_Claim]]="No"),Table1[[#This Row],[Service_Revenue]],0)</f>
        <v>0</v>
      </c>
      <c r="V1057" s="4">
        <f>IF(Table1[[#This Row],[Warranty_Claim]]="Yes",1,0)</f>
        <v>1</v>
      </c>
      <c r="W1057" s="4">
        <f>IF(Table1[[#This Row],[Rework_Flag]]="No",1,0)</f>
        <v>0</v>
      </c>
      <c r="X1057" s="4">
        <f>IF(Table1[[#This Row],[Rework_Flag]]="Yes",1,0)</f>
        <v>1</v>
      </c>
      <c r="Y1057" s="4">
        <v>1</v>
      </c>
      <c r="Z1057" s="4" t="str">
        <f>IF(Table1[[#This Row],[TAT_Days]]&gt;Table1[[#This Row],[SLA_TAT]],"Yes","No")</f>
        <v>No</v>
      </c>
      <c r="AA1057" s="4" t="str" cm="1">
        <f t="array" ref="AA1057">_xlfn.IFS(Table1[[#This Row],[Customer_Satisfaction]]&lt;=2,"Poor",Table1[[#This Row],[Customer_Satisfaction]]=3,"Neutral",Table1[[#This Row],[Customer_Satisfaction]]=4,"Good",Table1[[#This Row],[Customer_Satisfaction]]=5,"Good")</f>
        <v>Good</v>
      </c>
    </row>
    <row r="1058" spans="1:27" x14ac:dyDescent="0.35">
      <c r="A1058">
        <v>21056</v>
      </c>
      <c r="B1058" s="1">
        <v>45350</v>
      </c>
      <c r="C1058" t="s">
        <v>37</v>
      </c>
      <c r="D1058" t="s">
        <v>64</v>
      </c>
      <c r="E1058" t="s">
        <v>72</v>
      </c>
      <c r="F1058" t="s">
        <v>40</v>
      </c>
      <c r="G1058" t="s">
        <v>47</v>
      </c>
      <c r="H1058" t="s">
        <v>48</v>
      </c>
      <c r="I1058" t="s">
        <v>55</v>
      </c>
      <c r="J1058" t="s">
        <v>58</v>
      </c>
      <c r="K1058" t="s">
        <v>27</v>
      </c>
      <c r="L1058" t="s">
        <v>28</v>
      </c>
      <c r="M1058" s="4">
        <v>6</v>
      </c>
      <c r="N1058" s="4">
        <v>7</v>
      </c>
      <c r="O1058" t="s">
        <v>36</v>
      </c>
      <c r="P1058" t="s">
        <v>36</v>
      </c>
      <c r="Q1058" s="4">
        <v>353790</v>
      </c>
      <c r="R1058" s="4">
        <v>192247</v>
      </c>
      <c r="S1058" s="4">
        <f>Table1[[#This Row],[Service_Revenue]]-Table1[[#This Row],[Service_Cost]]</f>
        <v>161543</v>
      </c>
      <c r="T1058" s="4">
        <v>4</v>
      </c>
      <c r="U1058" s="4">
        <f>IF(AND(Table1[[#This Row],[Rework_Flag]]="Yes",Table1[[#This Row],[Warranty_Claim]]="No"),Table1[[#This Row],[Service_Revenue]],0)</f>
        <v>0</v>
      </c>
      <c r="V1058" s="4">
        <f>IF(Table1[[#This Row],[Warranty_Claim]]="Yes",1,0)</f>
        <v>0</v>
      </c>
      <c r="W1058" s="4">
        <f>IF(Table1[[#This Row],[Rework_Flag]]="No",1,0)</f>
        <v>1</v>
      </c>
      <c r="X1058" s="4">
        <f>IF(Table1[[#This Row],[Rework_Flag]]="Yes",1,0)</f>
        <v>0</v>
      </c>
      <c r="Y1058" s="4">
        <v>1</v>
      </c>
      <c r="Z1058" s="4" t="str">
        <f>IF(Table1[[#This Row],[TAT_Days]]&gt;Table1[[#This Row],[SLA_TAT]],"Yes","No")</f>
        <v>No</v>
      </c>
      <c r="AA1058" s="4" t="str" cm="1">
        <f t="array" ref="AA1058">_xlfn.IFS(Table1[[#This Row],[Customer_Satisfaction]]&lt;=2,"Poor",Table1[[#This Row],[Customer_Satisfaction]]=3,"Neutral",Table1[[#This Row],[Customer_Satisfaction]]=4,"Good",Table1[[#This Row],[Customer_Satisfaction]]=5,"Good")</f>
        <v>Good</v>
      </c>
    </row>
    <row r="1059" spans="1:27" x14ac:dyDescent="0.35">
      <c r="A1059">
        <v>21057</v>
      </c>
      <c r="B1059" s="1">
        <v>45295</v>
      </c>
      <c r="C1059" t="s">
        <v>50</v>
      </c>
      <c r="D1059" t="s">
        <v>51</v>
      </c>
      <c r="E1059" t="s">
        <v>73</v>
      </c>
      <c r="F1059" t="s">
        <v>22</v>
      </c>
      <c r="G1059" t="s">
        <v>54</v>
      </c>
      <c r="H1059" t="s">
        <v>42</v>
      </c>
      <c r="I1059" t="s">
        <v>55</v>
      </c>
      <c r="J1059" t="s">
        <v>35</v>
      </c>
      <c r="K1059" t="s">
        <v>61</v>
      </c>
      <c r="L1059" t="s">
        <v>28</v>
      </c>
      <c r="M1059" s="4">
        <v>24</v>
      </c>
      <c r="N1059" s="4">
        <v>7</v>
      </c>
      <c r="O1059" t="s">
        <v>36</v>
      </c>
      <c r="P1059" t="s">
        <v>36</v>
      </c>
      <c r="Q1059" s="4">
        <v>302098</v>
      </c>
      <c r="R1059" s="4">
        <v>187111</v>
      </c>
      <c r="S1059" s="4">
        <f>Table1[[#This Row],[Service_Revenue]]-Table1[[#This Row],[Service_Cost]]</f>
        <v>114987</v>
      </c>
      <c r="T1059" s="4">
        <v>1</v>
      </c>
      <c r="U1059" s="4">
        <f>IF(AND(Table1[[#This Row],[Rework_Flag]]="Yes",Table1[[#This Row],[Warranty_Claim]]="No"),Table1[[#This Row],[Service_Revenue]],0)</f>
        <v>0</v>
      </c>
      <c r="V1059" s="4">
        <f>IF(Table1[[#This Row],[Warranty_Claim]]="Yes",1,0)</f>
        <v>0</v>
      </c>
      <c r="W1059" s="4">
        <f>IF(Table1[[#This Row],[Rework_Flag]]="No",1,0)</f>
        <v>1</v>
      </c>
      <c r="X1059" s="4">
        <f>IF(Table1[[#This Row],[Rework_Flag]]="Yes",1,0)</f>
        <v>0</v>
      </c>
      <c r="Y1059" s="4">
        <v>1</v>
      </c>
      <c r="Z1059" s="4" t="str">
        <f>IF(Table1[[#This Row],[TAT_Days]]&gt;Table1[[#This Row],[SLA_TAT]],"Yes","No")</f>
        <v>Yes</v>
      </c>
      <c r="AA1059" s="4" t="str" cm="1">
        <f t="array" ref="AA1059">_xlfn.IFS(Table1[[#This Row],[Customer_Satisfaction]]&lt;=2,"Poor",Table1[[#This Row],[Customer_Satisfaction]]=3,"Neutral",Table1[[#This Row],[Customer_Satisfaction]]=4,"Good",Table1[[#This Row],[Customer_Satisfaction]]=5,"Good")</f>
        <v>Poor</v>
      </c>
    </row>
    <row r="1060" spans="1:27" x14ac:dyDescent="0.35">
      <c r="A1060">
        <v>21058</v>
      </c>
      <c r="B1060" s="1">
        <v>45372</v>
      </c>
      <c r="C1060" t="s">
        <v>30</v>
      </c>
      <c r="D1060" t="s">
        <v>83</v>
      </c>
      <c r="E1060" t="s">
        <v>95</v>
      </c>
      <c r="F1060" t="s">
        <v>53</v>
      </c>
      <c r="G1060" t="s">
        <v>41</v>
      </c>
      <c r="H1060" t="s">
        <v>42</v>
      </c>
      <c r="I1060" t="s">
        <v>55</v>
      </c>
      <c r="J1060" t="s">
        <v>26</v>
      </c>
      <c r="K1060" t="s">
        <v>44</v>
      </c>
      <c r="L1060" t="s">
        <v>28</v>
      </c>
      <c r="M1060" s="4">
        <v>10</v>
      </c>
      <c r="N1060" s="4">
        <v>7</v>
      </c>
      <c r="O1060" t="s">
        <v>36</v>
      </c>
      <c r="P1060" t="s">
        <v>36</v>
      </c>
      <c r="Q1060" s="4">
        <v>270996</v>
      </c>
      <c r="R1060" s="4">
        <v>159128</v>
      </c>
      <c r="S1060" s="4">
        <f>Table1[[#This Row],[Service_Revenue]]-Table1[[#This Row],[Service_Cost]]</f>
        <v>111868</v>
      </c>
      <c r="T1060" s="4">
        <v>3</v>
      </c>
      <c r="U1060" s="4">
        <f>IF(AND(Table1[[#This Row],[Rework_Flag]]="Yes",Table1[[#This Row],[Warranty_Claim]]="No"),Table1[[#This Row],[Service_Revenue]],0)</f>
        <v>0</v>
      </c>
      <c r="V1060" s="4">
        <f>IF(Table1[[#This Row],[Warranty_Claim]]="Yes",1,0)</f>
        <v>0</v>
      </c>
      <c r="W1060" s="4">
        <f>IF(Table1[[#This Row],[Rework_Flag]]="No",1,0)</f>
        <v>1</v>
      </c>
      <c r="X1060" s="4">
        <f>IF(Table1[[#This Row],[Rework_Flag]]="Yes",1,0)</f>
        <v>0</v>
      </c>
      <c r="Y1060" s="4">
        <v>1</v>
      </c>
      <c r="Z1060" s="4" t="str">
        <f>IF(Table1[[#This Row],[TAT_Days]]&gt;Table1[[#This Row],[SLA_TAT]],"Yes","No")</f>
        <v>Yes</v>
      </c>
      <c r="AA1060" s="4" t="str" cm="1">
        <f t="array" ref="AA1060">_xlfn.IFS(Table1[[#This Row],[Customer_Satisfaction]]&lt;=2,"Poor",Table1[[#This Row],[Customer_Satisfaction]]=3,"Neutral",Table1[[#This Row],[Customer_Satisfaction]]=4,"Good",Table1[[#This Row],[Customer_Satisfaction]]=5,"Good")</f>
        <v>Neutral</v>
      </c>
    </row>
    <row r="1061" spans="1:27" x14ac:dyDescent="0.35">
      <c r="A1061">
        <v>21059</v>
      </c>
      <c r="B1061" s="1">
        <v>45347</v>
      </c>
      <c r="C1061" t="s">
        <v>30</v>
      </c>
      <c r="D1061" t="s">
        <v>31</v>
      </c>
      <c r="E1061" t="s">
        <v>122</v>
      </c>
      <c r="F1061" t="s">
        <v>40</v>
      </c>
      <c r="G1061" t="s">
        <v>23</v>
      </c>
      <c r="H1061" t="s">
        <v>24</v>
      </c>
      <c r="I1061" t="s">
        <v>25</v>
      </c>
      <c r="J1061" t="s">
        <v>67</v>
      </c>
      <c r="K1061" t="s">
        <v>44</v>
      </c>
      <c r="L1061" t="s">
        <v>28</v>
      </c>
      <c r="M1061" s="4">
        <v>6</v>
      </c>
      <c r="N1061" s="4">
        <v>7</v>
      </c>
      <c r="O1061" t="s">
        <v>29</v>
      </c>
      <c r="P1061" t="s">
        <v>29</v>
      </c>
      <c r="Q1061" s="4">
        <v>353918</v>
      </c>
      <c r="R1061" s="4">
        <v>229329</v>
      </c>
      <c r="S1061" s="4">
        <f>Table1[[#This Row],[Service_Revenue]]-Table1[[#This Row],[Service_Cost]]</f>
        <v>124589</v>
      </c>
      <c r="T1061" s="4">
        <v>3</v>
      </c>
      <c r="U1061" s="4">
        <f>IF(AND(Table1[[#This Row],[Rework_Flag]]="Yes",Table1[[#This Row],[Warranty_Claim]]="No"),Table1[[#This Row],[Service_Revenue]],0)</f>
        <v>0</v>
      </c>
      <c r="V1061" s="4">
        <f>IF(Table1[[#This Row],[Warranty_Claim]]="Yes",1,0)</f>
        <v>1</v>
      </c>
      <c r="W1061" s="4">
        <f>IF(Table1[[#This Row],[Rework_Flag]]="No",1,0)</f>
        <v>0</v>
      </c>
      <c r="X1061" s="4">
        <f>IF(Table1[[#This Row],[Rework_Flag]]="Yes",1,0)</f>
        <v>1</v>
      </c>
      <c r="Y1061" s="4">
        <v>1</v>
      </c>
      <c r="Z1061" s="4" t="str">
        <f>IF(Table1[[#This Row],[TAT_Days]]&gt;Table1[[#This Row],[SLA_TAT]],"Yes","No")</f>
        <v>No</v>
      </c>
      <c r="AA1061" s="4" t="str" cm="1">
        <f t="array" ref="AA1061">_xlfn.IFS(Table1[[#This Row],[Customer_Satisfaction]]&lt;=2,"Poor",Table1[[#This Row],[Customer_Satisfaction]]=3,"Neutral",Table1[[#This Row],[Customer_Satisfaction]]=4,"Good",Table1[[#This Row],[Customer_Satisfaction]]=5,"Good")</f>
        <v>Neutral</v>
      </c>
    </row>
    <row r="1062" spans="1:27" x14ac:dyDescent="0.35">
      <c r="A1062">
        <v>21060</v>
      </c>
      <c r="B1062" s="1">
        <v>45453</v>
      </c>
      <c r="C1062" t="s">
        <v>37</v>
      </c>
      <c r="D1062" t="s">
        <v>70</v>
      </c>
      <c r="E1062" t="s">
        <v>100</v>
      </c>
      <c r="F1062" t="s">
        <v>40</v>
      </c>
      <c r="G1062" t="s">
        <v>47</v>
      </c>
      <c r="H1062" t="s">
        <v>48</v>
      </c>
      <c r="I1062" t="s">
        <v>55</v>
      </c>
      <c r="J1062" t="s">
        <v>43</v>
      </c>
      <c r="K1062" t="s">
        <v>61</v>
      </c>
      <c r="L1062" t="s">
        <v>28</v>
      </c>
      <c r="M1062" s="4">
        <v>8</v>
      </c>
      <c r="N1062" s="4">
        <v>7</v>
      </c>
      <c r="O1062" t="s">
        <v>29</v>
      </c>
      <c r="P1062" t="s">
        <v>29</v>
      </c>
      <c r="Q1062" s="4">
        <v>244704</v>
      </c>
      <c r="R1062" s="4">
        <v>174822</v>
      </c>
      <c r="S1062" s="4">
        <f>Table1[[#This Row],[Service_Revenue]]-Table1[[#This Row],[Service_Cost]]</f>
        <v>69882</v>
      </c>
      <c r="T1062" s="4">
        <v>3</v>
      </c>
      <c r="U1062" s="4">
        <f>IF(AND(Table1[[#This Row],[Rework_Flag]]="Yes",Table1[[#This Row],[Warranty_Claim]]="No"),Table1[[#This Row],[Service_Revenue]],0)</f>
        <v>0</v>
      </c>
      <c r="V1062" s="4">
        <f>IF(Table1[[#This Row],[Warranty_Claim]]="Yes",1,0)</f>
        <v>1</v>
      </c>
      <c r="W1062" s="4">
        <f>IF(Table1[[#This Row],[Rework_Flag]]="No",1,0)</f>
        <v>0</v>
      </c>
      <c r="X1062" s="4">
        <f>IF(Table1[[#This Row],[Rework_Flag]]="Yes",1,0)</f>
        <v>1</v>
      </c>
      <c r="Y1062" s="4">
        <v>1</v>
      </c>
      <c r="Z1062" s="4" t="str">
        <f>IF(Table1[[#This Row],[TAT_Days]]&gt;Table1[[#This Row],[SLA_TAT]],"Yes","No")</f>
        <v>Yes</v>
      </c>
      <c r="AA1062" s="4" t="str" cm="1">
        <f t="array" ref="AA1062">_xlfn.IFS(Table1[[#This Row],[Customer_Satisfaction]]&lt;=2,"Poor",Table1[[#This Row],[Customer_Satisfaction]]=3,"Neutral",Table1[[#This Row],[Customer_Satisfaction]]=4,"Good",Table1[[#This Row],[Customer_Satisfaction]]=5,"Good")</f>
        <v>Neutral</v>
      </c>
    </row>
    <row r="1063" spans="1:27" x14ac:dyDescent="0.35">
      <c r="A1063">
        <v>21061</v>
      </c>
      <c r="B1063" s="1">
        <v>45364</v>
      </c>
      <c r="C1063" t="s">
        <v>37</v>
      </c>
      <c r="D1063" t="s">
        <v>70</v>
      </c>
      <c r="E1063" t="s">
        <v>116</v>
      </c>
      <c r="F1063" t="s">
        <v>22</v>
      </c>
      <c r="G1063" t="s">
        <v>23</v>
      </c>
      <c r="H1063" t="s">
        <v>24</v>
      </c>
      <c r="I1063" t="s">
        <v>25</v>
      </c>
      <c r="J1063" t="s">
        <v>35</v>
      </c>
      <c r="K1063" t="s">
        <v>61</v>
      </c>
      <c r="L1063" t="s">
        <v>49</v>
      </c>
      <c r="M1063" s="4">
        <v>9</v>
      </c>
      <c r="N1063" s="4">
        <v>7</v>
      </c>
      <c r="O1063" t="s">
        <v>29</v>
      </c>
      <c r="P1063" t="s">
        <v>36</v>
      </c>
      <c r="Q1063" s="4">
        <v>495766</v>
      </c>
      <c r="R1063" s="4">
        <v>329148</v>
      </c>
      <c r="S1063" s="4">
        <f>Table1[[#This Row],[Service_Revenue]]-Table1[[#This Row],[Service_Cost]]</f>
        <v>166618</v>
      </c>
      <c r="T1063" s="4">
        <v>3</v>
      </c>
      <c r="U1063" s="4">
        <f>IF(AND(Table1[[#This Row],[Rework_Flag]]="Yes",Table1[[#This Row],[Warranty_Claim]]="No"),Table1[[#This Row],[Service_Revenue]],0)</f>
        <v>495766</v>
      </c>
      <c r="V1063" s="4">
        <f>IF(Table1[[#This Row],[Warranty_Claim]]="Yes",1,0)</f>
        <v>0</v>
      </c>
      <c r="W1063" s="4">
        <f>IF(Table1[[#This Row],[Rework_Flag]]="No",1,0)</f>
        <v>0</v>
      </c>
      <c r="X1063" s="4">
        <f>IF(Table1[[#This Row],[Rework_Flag]]="Yes",1,0)</f>
        <v>1</v>
      </c>
      <c r="Y1063" s="4">
        <v>1</v>
      </c>
      <c r="Z1063" s="4" t="str">
        <f>IF(Table1[[#This Row],[TAT_Days]]&gt;Table1[[#This Row],[SLA_TAT]],"Yes","No")</f>
        <v>Yes</v>
      </c>
      <c r="AA1063" s="4" t="str" cm="1">
        <f t="array" ref="AA1063">_xlfn.IFS(Table1[[#This Row],[Customer_Satisfaction]]&lt;=2,"Poor",Table1[[#This Row],[Customer_Satisfaction]]=3,"Neutral",Table1[[#This Row],[Customer_Satisfaction]]=4,"Good",Table1[[#This Row],[Customer_Satisfaction]]=5,"Good")</f>
        <v>Neutral</v>
      </c>
    </row>
    <row r="1064" spans="1:27" x14ac:dyDescent="0.35">
      <c r="A1064">
        <v>21062</v>
      </c>
      <c r="B1064" s="1">
        <v>45450</v>
      </c>
      <c r="C1064" t="s">
        <v>30</v>
      </c>
      <c r="D1064" t="s">
        <v>83</v>
      </c>
      <c r="E1064" t="s">
        <v>95</v>
      </c>
      <c r="F1064" t="s">
        <v>40</v>
      </c>
      <c r="G1064" t="s">
        <v>63</v>
      </c>
      <c r="H1064" t="s">
        <v>24</v>
      </c>
      <c r="I1064" t="s">
        <v>55</v>
      </c>
      <c r="J1064" t="s">
        <v>35</v>
      </c>
      <c r="K1064" t="s">
        <v>61</v>
      </c>
      <c r="L1064" t="s">
        <v>28</v>
      </c>
      <c r="M1064" s="4">
        <v>6</v>
      </c>
      <c r="N1064" s="4">
        <v>7</v>
      </c>
      <c r="O1064" t="s">
        <v>29</v>
      </c>
      <c r="P1064" t="s">
        <v>36</v>
      </c>
      <c r="Q1064" s="4">
        <v>167986</v>
      </c>
      <c r="R1064" s="4">
        <v>95407</v>
      </c>
      <c r="S1064" s="4">
        <f>Table1[[#This Row],[Service_Revenue]]-Table1[[#This Row],[Service_Cost]]</f>
        <v>72579</v>
      </c>
      <c r="T1064" s="4">
        <v>3</v>
      </c>
      <c r="U1064" s="4">
        <f>IF(AND(Table1[[#This Row],[Rework_Flag]]="Yes",Table1[[#This Row],[Warranty_Claim]]="No"),Table1[[#This Row],[Service_Revenue]],0)</f>
        <v>167986</v>
      </c>
      <c r="V1064" s="4">
        <f>IF(Table1[[#This Row],[Warranty_Claim]]="Yes",1,0)</f>
        <v>0</v>
      </c>
      <c r="W1064" s="4">
        <f>IF(Table1[[#This Row],[Rework_Flag]]="No",1,0)</f>
        <v>0</v>
      </c>
      <c r="X1064" s="4">
        <f>IF(Table1[[#This Row],[Rework_Flag]]="Yes",1,0)</f>
        <v>1</v>
      </c>
      <c r="Y1064" s="4">
        <v>1</v>
      </c>
      <c r="Z1064" s="4" t="str">
        <f>IF(Table1[[#This Row],[TAT_Days]]&gt;Table1[[#This Row],[SLA_TAT]],"Yes","No")</f>
        <v>No</v>
      </c>
      <c r="AA1064" s="4" t="str" cm="1">
        <f t="array" ref="AA1064">_xlfn.IFS(Table1[[#This Row],[Customer_Satisfaction]]&lt;=2,"Poor",Table1[[#This Row],[Customer_Satisfaction]]=3,"Neutral",Table1[[#This Row],[Customer_Satisfaction]]=4,"Good",Table1[[#This Row],[Customer_Satisfaction]]=5,"Good")</f>
        <v>Neutral</v>
      </c>
    </row>
    <row r="1065" spans="1:27" x14ac:dyDescent="0.35">
      <c r="A1065">
        <v>21063</v>
      </c>
      <c r="B1065" s="1">
        <v>45448</v>
      </c>
      <c r="C1065" t="s">
        <v>30</v>
      </c>
      <c r="D1065" t="s">
        <v>59</v>
      </c>
      <c r="E1065" t="s">
        <v>69</v>
      </c>
      <c r="F1065" t="s">
        <v>40</v>
      </c>
      <c r="G1065" t="s">
        <v>41</v>
      </c>
      <c r="H1065" t="s">
        <v>42</v>
      </c>
      <c r="I1065" t="s">
        <v>25</v>
      </c>
      <c r="J1065" t="s">
        <v>26</v>
      </c>
      <c r="K1065" t="s">
        <v>61</v>
      </c>
      <c r="L1065" t="s">
        <v>49</v>
      </c>
      <c r="M1065" s="4">
        <v>7</v>
      </c>
      <c r="N1065" s="4">
        <v>7</v>
      </c>
      <c r="O1065" t="s">
        <v>36</v>
      </c>
      <c r="P1065" t="s">
        <v>29</v>
      </c>
      <c r="Q1065" s="4">
        <v>471004</v>
      </c>
      <c r="R1065" s="4">
        <v>236953</v>
      </c>
      <c r="S1065" s="4">
        <f>Table1[[#This Row],[Service_Revenue]]-Table1[[#This Row],[Service_Cost]]</f>
        <v>234051</v>
      </c>
      <c r="T1065" s="4">
        <v>4</v>
      </c>
      <c r="U1065" s="4">
        <f>IF(AND(Table1[[#This Row],[Rework_Flag]]="Yes",Table1[[#This Row],[Warranty_Claim]]="No"),Table1[[#This Row],[Service_Revenue]],0)</f>
        <v>0</v>
      </c>
      <c r="V1065" s="4">
        <f>IF(Table1[[#This Row],[Warranty_Claim]]="Yes",1,0)</f>
        <v>1</v>
      </c>
      <c r="W1065" s="4">
        <f>IF(Table1[[#This Row],[Rework_Flag]]="No",1,0)</f>
        <v>1</v>
      </c>
      <c r="X1065" s="4">
        <f>IF(Table1[[#This Row],[Rework_Flag]]="Yes",1,0)</f>
        <v>0</v>
      </c>
      <c r="Y1065" s="4">
        <v>1</v>
      </c>
      <c r="Z1065" s="4" t="str">
        <f>IF(Table1[[#This Row],[TAT_Days]]&gt;Table1[[#This Row],[SLA_TAT]],"Yes","No")</f>
        <v>No</v>
      </c>
      <c r="AA1065" s="4" t="str" cm="1">
        <f t="array" ref="AA1065">_xlfn.IFS(Table1[[#This Row],[Customer_Satisfaction]]&lt;=2,"Poor",Table1[[#This Row],[Customer_Satisfaction]]=3,"Neutral",Table1[[#This Row],[Customer_Satisfaction]]=4,"Good",Table1[[#This Row],[Customer_Satisfaction]]=5,"Good")</f>
        <v>Good</v>
      </c>
    </row>
    <row r="1066" spans="1:27" x14ac:dyDescent="0.35">
      <c r="A1066">
        <v>21064</v>
      </c>
      <c r="B1066" s="1">
        <v>45364</v>
      </c>
      <c r="C1066" t="s">
        <v>19</v>
      </c>
      <c r="D1066" t="s">
        <v>20</v>
      </c>
      <c r="E1066" t="s">
        <v>117</v>
      </c>
      <c r="F1066" t="s">
        <v>22</v>
      </c>
      <c r="G1066" t="s">
        <v>47</v>
      </c>
      <c r="H1066" t="s">
        <v>48</v>
      </c>
      <c r="I1066" t="s">
        <v>55</v>
      </c>
      <c r="J1066" t="s">
        <v>35</v>
      </c>
      <c r="K1066" t="s">
        <v>61</v>
      </c>
      <c r="L1066" t="s">
        <v>28</v>
      </c>
      <c r="M1066" s="4">
        <v>15</v>
      </c>
      <c r="N1066" s="4">
        <v>7</v>
      </c>
      <c r="O1066" t="s">
        <v>36</v>
      </c>
      <c r="P1066" t="s">
        <v>36</v>
      </c>
      <c r="Q1066" s="4">
        <v>515877</v>
      </c>
      <c r="R1066" s="4">
        <v>360656</v>
      </c>
      <c r="S1066" s="4">
        <f>Table1[[#This Row],[Service_Revenue]]-Table1[[#This Row],[Service_Cost]]</f>
        <v>155221</v>
      </c>
      <c r="T1066" s="4">
        <v>2</v>
      </c>
      <c r="U1066" s="4">
        <f>IF(AND(Table1[[#This Row],[Rework_Flag]]="Yes",Table1[[#This Row],[Warranty_Claim]]="No"),Table1[[#This Row],[Service_Revenue]],0)</f>
        <v>0</v>
      </c>
      <c r="V1066" s="4">
        <f>IF(Table1[[#This Row],[Warranty_Claim]]="Yes",1,0)</f>
        <v>0</v>
      </c>
      <c r="W1066" s="4">
        <f>IF(Table1[[#This Row],[Rework_Flag]]="No",1,0)</f>
        <v>1</v>
      </c>
      <c r="X1066" s="4">
        <f>IF(Table1[[#This Row],[Rework_Flag]]="Yes",1,0)</f>
        <v>0</v>
      </c>
      <c r="Y1066" s="4">
        <v>1</v>
      </c>
      <c r="Z1066" s="4" t="str">
        <f>IF(Table1[[#This Row],[TAT_Days]]&gt;Table1[[#This Row],[SLA_TAT]],"Yes","No")</f>
        <v>Yes</v>
      </c>
      <c r="AA1066" s="4" t="str" cm="1">
        <f t="array" ref="AA1066">_xlfn.IFS(Table1[[#This Row],[Customer_Satisfaction]]&lt;=2,"Poor",Table1[[#This Row],[Customer_Satisfaction]]=3,"Neutral",Table1[[#This Row],[Customer_Satisfaction]]=4,"Good",Table1[[#This Row],[Customer_Satisfaction]]=5,"Good")</f>
        <v>Poor</v>
      </c>
    </row>
    <row r="1067" spans="1:27" x14ac:dyDescent="0.35">
      <c r="A1067">
        <v>21065</v>
      </c>
      <c r="B1067" s="1">
        <v>45421</v>
      </c>
      <c r="C1067" t="s">
        <v>19</v>
      </c>
      <c r="D1067" t="s">
        <v>96</v>
      </c>
      <c r="E1067" t="s">
        <v>98</v>
      </c>
      <c r="F1067" t="s">
        <v>53</v>
      </c>
      <c r="G1067" t="s">
        <v>74</v>
      </c>
      <c r="H1067" t="s">
        <v>34</v>
      </c>
      <c r="I1067" t="s">
        <v>25</v>
      </c>
      <c r="J1067" t="s">
        <v>26</v>
      </c>
      <c r="K1067" t="s">
        <v>44</v>
      </c>
      <c r="L1067" t="s">
        <v>28</v>
      </c>
      <c r="M1067" s="4">
        <v>19</v>
      </c>
      <c r="N1067" s="4">
        <v>7</v>
      </c>
      <c r="O1067" t="s">
        <v>36</v>
      </c>
      <c r="P1067" t="s">
        <v>29</v>
      </c>
      <c r="Q1067" s="4">
        <v>354083</v>
      </c>
      <c r="R1067" s="4">
        <v>205711</v>
      </c>
      <c r="S1067" s="4">
        <f>Table1[[#This Row],[Service_Revenue]]-Table1[[#This Row],[Service_Cost]]</f>
        <v>148372</v>
      </c>
      <c r="T1067" s="4">
        <v>2</v>
      </c>
      <c r="U1067" s="4">
        <f>IF(AND(Table1[[#This Row],[Rework_Flag]]="Yes",Table1[[#This Row],[Warranty_Claim]]="No"),Table1[[#This Row],[Service_Revenue]],0)</f>
        <v>0</v>
      </c>
      <c r="V1067" s="4">
        <f>IF(Table1[[#This Row],[Warranty_Claim]]="Yes",1,0)</f>
        <v>1</v>
      </c>
      <c r="W1067" s="4">
        <f>IF(Table1[[#This Row],[Rework_Flag]]="No",1,0)</f>
        <v>1</v>
      </c>
      <c r="X1067" s="4">
        <f>IF(Table1[[#This Row],[Rework_Flag]]="Yes",1,0)</f>
        <v>0</v>
      </c>
      <c r="Y1067" s="4">
        <v>1</v>
      </c>
      <c r="Z1067" s="4" t="str">
        <f>IF(Table1[[#This Row],[TAT_Days]]&gt;Table1[[#This Row],[SLA_TAT]],"Yes","No")</f>
        <v>Yes</v>
      </c>
      <c r="AA1067" s="4" t="str" cm="1">
        <f t="array" ref="AA1067">_xlfn.IFS(Table1[[#This Row],[Customer_Satisfaction]]&lt;=2,"Poor",Table1[[#This Row],[Customer_Satisfaction]]=3,"Neutral",Table1[[#This Row],[Customer_Satisfaction]]=4,"Good",Table1[[#This Row],[Customer_Satisfaction]]=5,"Good")</f>
        <v>Poor</v>
      </c>
    </row>
    <row r="1068" spans="1:27" x14ac:dyDescent="0.35">
      <c r="A1068">
        <v>21066</v>
      </c>
      <c r="B1068" s="1">
        <v>45425</v>
      </c>
      <c r="C1068" t="s">
        <v>50</v>
      </c>
      <c r="D1068" t="s">
        <v>51</v>
      </c>
      <c r="E1068" t="s">
        <v>75</v>
      </c>
      <c r="F1068" t="s">
        <v>53</v>
      </c>
      <c r="G1068" t="s">
        <v>47</v>
      </c>
      <c r="H1068" t="s">
        <v>48</v>
      </c>
      <c r="I1068" t="s">
        <v>25</v>
      </c>
      <c r="J1068" t="s">
        <v>58</v>
      </c>
      <c r="K1068" t="s">
        <v>44</v>
      </c>
      <c r="L1068" t="s">
        <v>49</v>
      </c>
      <c r="M1068" s="4">
        <v>21</v>
      </c>
      <c r="N1068" s="4">
        <v>7</v>
      </c>
      <c r="O1068" t="s">
        <v>29</v>
      </c>
      <c r="P1068" t="s">
        <v>29</v>
      </c>
      <c r="Q1068" s="4">
        <v>222801</v>
      </c>
      <c r="R1068" s="4">
        <v>143427</v>
      </c>
      <c r="S1068" s="4">
        <f>Table1[[#This Row],[Service_Revenue]]-Table1[[#This Row],[Service_Cost]]</f>
        <v>79374</v>
      </c>
      <c r="T1068" s="4">
        <v>1</v>
      </c>
      <c r="U1068" s="4">
        <f>IF(AND(Table1[[#This Row],[Rework_Flag]]="Yes",Table1[[#This Row],[Warranty_Claim]]="No"),Table1[[#This Row],[Service_Revenue]],0)</f>
        <v>0</v>
      </c>
      <c r="V1068" s="4">
        <f>IF(Table1[[#This Row],[Warranty_Claim]]="Yes",1,0)</f>
        <v>1</v>
      </c>
      <c r="W1068" s="4">
        <f>IF(Table1[[#This Row],[Rework_Flag]]="No",1,0)</f>
        <v>0</v>
      </c>
      <c r="X1068" s="4">
        <f>IF(Table1[[#This Row],[Rework_Flag]]="Yes",1,0)</f>
        <v>1</v>
      </c>
      <c r="Y1068" s="4">
        <v>1</v>
      </c>
      <c r="Z1068" s="4" t="str">
        <f>IF(Table1[[#This Row],[TAT_Days]]&gt;Table1[[#This Row],[SLA_TAT]],"Yes","No")</f>
        <v>Yes</v>
      </c>
      <c r="AA1068" s="4" t="str" cm="1">
        <f t="array" ref="AA1068">_xlfn.IFS(Table1[[#This Row],[Customer_Satisfaction]]&lt;=2,"Poor",Table1[[#This Row],[Customer_Satisfaction]]=3,"Neutral",Table1[[#This Row],[Customer_Satisfaction]]=4,"Good",Table1[[#This Row],[Customer_Satisfaction]]=5,"Good")</f>
        <v>Poor</v>
      </c>
    </row>
    <row r="1069" spans="1:27" x14ac:dyDescent="0.35">
      <c r="A1069">
        <v>21067</v>
      </c>
      <c r="B1069" s="1">
        <v>45390</v>
      </c>
      <c r="C1069" t="s">
        <v>37</v>
      </c>
      <c r="D1069" t="s">
        <v>38</v>
      </c>
      <c r="E1069" t="s">
        <v>93</v>
      </c>
      <c r="F1069" t="s">
        <v>22</v>
      </c>
      <c r="G1069" t="s">
        <v>74</v>
      </c>
      <c r="H1069" t="s">
        <v>34</v>
      </c>
      <c r="I1069" t="s">
        <v>55</v>
      </c>
      <c r="J1069" t="s">
        <v>26</v>
      </c>
      <c r="K1069" t="s">
        <v>27</v>
      </c>
      <c r="L1069" t="s">
        <v>49</v>
      </c>
      <c r="M1069" s="4">
        <v>3</v>
      </c>
      <c r="N1069" s="4">
        <v>7</v>
      </c>
      <c r="O1069" t="s">
        <v>36</v>
      </c>
      <c r="P1069" t="s">
        <v>29</v>
      </c>
      <c r="Q1069" s="4">
        <v>131499</v>
      </c>
      <c r="R1069" s="4">
        <v>90553</v>
      </c>
      <c r="S1069" s="4">
        <f>Table1[[#This Row],[Service_Revenue]]-Table1[[#This Row],[Service_Cost]]</f>
        <v>40946</v>
      </c>
      <c r="T1069" s="4">
        <v>5</v>
      </c>
      <c r="U1069" s="4">
        <f>IF(AND(Table1[[#This Row],[Rework_Flag]]="Yes",Table1[[#This Row],[Warranty_Claim]]="No"),Table1[[#This Row],[Service_Revenue]],0)</f>
        <v>0</v>
      </c>
      <c r="V1069" s="4">
        <f>IF(Table1[[#This Row],[Warranty_Claim]]="Yes",1,0)</f>
        <v>1</v>
      </c>
      <c r="W1069" s="4">
        <f>IF(Table1[[#This Row],[Rework_Flag]]="No",1,0)</f>
        <v>1</v>
      </c>
      <c r="X1069" s="4">
        <f>IF(Table1[[#This Row],[Rework_Flag]]="Yes",1,0)</f>
        <v>0</v>
      </c>
      <c r="Y1069" s="4">
        <v>1</v>
      </c>
      <c r="Z1069" s="4" t="str">
        <f>IF(Table1[[#This Row],[TAT_Days]]&gt;Table1[[#This Row],[SLA_TAT]],"Yes","No")</f>
        <v>No</v>
      </c>
      <c r="AA1069" s="4" t="str" cm="1">
        <f t="array" ref="AA1069">_xlfn.IFS(Table1[[#This Row],[Customer_Satisfaction]]&lt;=2,"Poor",Table1[[#This Row],[Customer_Satisfaction]]=3,"Neutral",Table1[[#This Row],[Customer_Satisfaction]]=4,"Good",Table1[[#This Row],[Customer_Satisfaction]]=5,"Good")</f>
        <v>Good</v>
      </c>
    </row>
    <row r="1070" spans="1:27" x14ac:dyDescent="0.35">
      <c r="A1070">
        <v>21068</v>
      </c>
      <c r="B1070" s="1">
        <v>45405</v>
      </c>
      <c r="C1070" t="s">
        <v>50</v>
      </c>
      <c r="D1070" t="s">
        <v>80</v>
      </c>
      <c r="E1070" t="s">
        <v>118</v>
      </c>
      <c r="F1070" t="s">
        <v>22</v>
      </c>
      <c r="G1070" t="s">
        <v>23</v>
      </c>
      <c r="H1070" t="s">
        <v>24</v>
      </c>
      <c r="I1070" t="s">
        <v>25</v>
      </c>
      <c r="J1070" t="s">
        <v>35</v>
      </c>
      <c r="K1070" t="s">
        <v>61</v>
      </c>
      <c r="L1070" t="s">
        <v>28</v>
      </c>
      <c r="M1070" s="4">
        <v>11</v>
      </c>
      <c r="N1070" s="4">
        <v>7</v>
      </c>
      <c r="O1070" t="s">
        <v>29</v>
      </c>
      <c r="P1070" t="s">
        <v>29</v>
      </c>
      <c r="Q1070" s="4">
        <v>236688</v>
      </c>
      <c r="R1070" s="4">
        <v>189194</v>
      </c>
      <c r="S1070" s="4">
        <f>Table1[[#This Row],[Service_Revenue]]-Table1[[#This Row],[Service_Cost]]</f>
        <v>47494</v>
      </c>
      <c r="T1070" s="4">
        <v>2</v>
      </c>
      <c r="U1070" s="4">
        <f>IF(AND(Table1[[#This Row],[Rework_Flag]]="Yes",Table1[[#This Row],[Warranty_Claim]]="No"),Table1[[#This Row],[Service_Revenue]],0)</f>
        <v>0</v>
      </c>
      <c r="V1070" s="4">
        <f>IF(Table1[[#This Row],[Warranty_Claim]]="Yes",1,0)</f>
        <v>1</v>
      </c>
      <c r="W1070" s="4">
        <f>IF(Table1[[#This Row],[Rework_Flag]]="No",1,0)</f>
        <v>0</v>
      </c>
      <c r="X1070" s="4">
        <f>IF(Table1[[#This Row],[Rework_Flag]]="Yes",1,0)</f>
        <v>1</v>
      </c>
      <c r="Y1070" s="4">
        <v>1</v>
      </c>
      <c r="Z1070" s="4" t="str">
        <f>IF(Table1[[#This Row],[TAT_Days]]&gt;Table1[[#This Row],[SLA_TAT]],"Yes","No")</f>
        <v>Yes</v>
      </c>
      <c r="AA1070" s="4" t="str" cm="1">
        <f t="array" ref="AA1070">_xlfn.IFS(Table1[[#This Row],[Customer_Satisfaction]]&lt;=2,"Poor",Table1[[#This Row],[Customer_Satisfaction]]=3,"Neutral",Table1[[#This Row],[Customer_Satisfaction]]=4,"Good",Table1[[#This Row],[Customer_Satisfaction]]=5,"Good")</f>
        <v>Poor</v>
      </c>
    </row>
    <row r="1071" spans="1:27" x14ac:dyDescent="0.35">
      <c r="A1071">
        <v>21069</v>
      </c>
      <c r="B1071" s="1">
        <v>45467</v>
      </c>
      <c r="C1071" t="s">
        <v>50</v>
      </c>
      <c r="D1071" t="s">
        <v>80</v>
      </c>
      <c r="E1071" t="s">
        <v>81</v>
      </c>
      <c r="F1071" t="s">
        <v>22</v>
      </c>
      <c r="G1071" t="s">
        <v>54</v>
      </c>
      <c r="H1071" t="s">
        <v>42</v>
      </c>
      <c r="I1071" t="s">
        <v>25</v>
      </c>
      <c r="J1071" t="s">
        <v>58</v>
      </c>
      <c r="K1071" t="s">
        <v>44</v>
      </c>
      <c r="L1071" t="s">
        <v>28</v>
      </c>
      <c r="M1071" s="4">
        <v>18</v>
      </c>
      <c r="N1071" s="4">
        <v>7</v>
      </c>
      <c r="O1071" t="s">
        <v>36</v>
      </c>
      <c r="P1071" t="s">
        <v>36</v>
      </c>
      <c r="Q1071" s="4">
        <v>216527</v>
      </c>
      <c r="R1071" s="4">
        <v>166590</v>
      </c>
      <c r="S1071" s="4">
        <f>Table1[[#This Row],[Service_Revenue]]-Table1[[#This Row],[Service_Cost]]</f>
        <v>49937</v>
      </c>
      <c r="T1071" s="4">
        <v>2</v>
      </c>
      <c r="U1071" s="4">
        <f>IF(AND(Table1[[#This Row],[Rework_Flag]]="Yes",Table1[[#This Row],[Warranty_Claim]]="No"),Table1[[#This Row],[Service_Revenue]],0)</f>
        <v>0</v>
      </c>
      <c r="V1071" s="4">
        <f>IF(Table1[[#This Row],[Warranty_Claim]]="Yes",1,0)</f>
        <v>0</v>
      </c>
      <c r="W1071" s="4">
        <f>IF(Table1[[#This Row],[Rework_Flag]]="No",1,0)</f>
        <v>1</v>
      </c>
      <c r="X1071" s="4">
        <f>IF(Table1[[#This Row],[Rework_Flag]]="Yes",1,0)</f>
        <v>0</v>
      </c>
      <c r="Y1071" s="4">
        <v>1</v>
      </c>
      <c r="Z1071" s="4" t="str">
        <f>IF(Table1[[#This Row],[TAT_Days]]&gt;Table1[[#This Row],[SLA_TAT]],"Yes","No")</f>
        <v>Yes</v>
      </c>
      <c r="AA1071" s="4" t="str" cm="1">
        <f t="array" ref="AA1071">_xlfn.IFS(Table1[[#This Row],[Customer_Satisfaction]]&lt;=2,"Poor",Table1[[#This Row],[Customer_Satisfaction]]=3,"Neutral",Table1[[#This Row],[Customer_Satisfaction]]=4,"Good",Table1[[#This Row],[Customer_Satisfaction]]=5,"Good")</f>
        <v>Poor</v>
      </c>
    </row>
    <row r="1072" spans="1:27" x14ac:dyDescent="0.35">
      <c r="A1072">
        <v>21070</v>
      </c>
      <c r="B1072" s="1">
        <v>45296</v>
      </c>
      <c r="C1072" t="s">
        <v>30</v>
      </c>
      <c r="D1072" t="s">
        <v>31</v>
      </c>
      <c r="E1072" t="s">
        <v>106</v>
      </c>
      <c r="F1072" t="s">
        <v>40</v>
      </c>
      <c r="G1072" t="s">
        <v>33</v>
      </c>
      <c r="H1072" t="s">
        <v>34</v>
      </c>
      <c r="I1072" t="s">
        <v>55</v>
      </c>
      <c r="J1072" t="s">
        <v>43</v>
      </c>
      <c r="K1072" t="s">
        <v>27</v>
      </c>
      <c r="L1072" t="s">
        <v>49</v>
      </c>
      <c r="M1072" s="4">
        <v>11</v>
      </c>
      <c r="N1072" s="4">
        <v>7</v>
      </c>
      <c r="O1072" t="s">
        <v>29</v>
      </c>
      <c r="P1072" t="s">
        <v>29</v>
      </c>
      <c r="Q1072" s="4">
        <v>380655</v>
      </c>
      <c r="R1072" s="4">
        <v>195191</v>
      </c>
      <c r="S1072" s="4">
        <f>Table1[[#This Row],[Service_Revenue]]-Table1[[#This Row],[Service_Cost]]</f>
        <v>185464</v>
      </c>
      <c r="T1072" s="4">
        <v>2</v>
      </c>
      <c r="U1072" s="4">
        <f>IF(AND(Table1[[#This Row],[Rework_Flag]]="Yes",Table1[[#This Row],[Warranty_Claim]]="No"),Table1[[#This Row],[Service_Revenue]],0)</f>
        <v>0</v>
      </c>
      <c r="V1072" s="4">
        <f>IF(Table1[[#This Row],[Warranty_Claim]]="Yes",1,0)</f>
        <v>1</v>
      </c>
      <c r="W1072" s="4">
        <f>IF(Table1[[#This Row],[Rework_Flag]]="No",1,0)</f>
        <v>0</v>
      </c>
      <c r="X1072" s="4">
        <f>IF(Table1[[#This Row],[Rework_Flag]]="Yes",1,0)</f>
        <v>1</v>
      </c>
      <c r="Y1072" s="4">
        <v>1</v>
      </c>
      <c r="Z1072" s="4" t="str">
        <f>IF(Table1[[#This Row],[TAT_Days]]&gt;Table1[[#This Row],[SLA_TAT]],"Yes","No")</f>
        <v>Yes</v>
      </c>
      <c r="AA1072" s="4" t="str" cm="1">
        <f t="array" ref="AA1072">_xlfn.IFS(Table1[[#This Row],[Customer_Satisfaction]]&lt;=2,"Poor",Table1[[#This Row],[Customer_Satisfaction]]=3,"Neutral",Table1[[#This Row],[Customer_Satisfaction]]=4,"Good",Table1[[#This Row],[Customer_Satisfaction]]=5,"Good")</f>
        <v>Poor</v>
      </c>
    </row>
    <row r="1073" spans="1:27" x14ac:dyDescent="0.35">
      <c r="A1073">
        <v>21071</v>
      </c>
      <c r="B1073" s="1">
        <v>45395</v>
      </c>
      <c r="C1073" t="s">
        <v>19</v>
      </c>
      <c r="D1073" t="s">
        <v>20</v>
      </c>
      <c r="E1073" t="s">
        <v>21</v>
      </c>
      <c r="F1073" t="s">
        <v>22</v>
      </c>
      <c r="G1073" t="s">
        <v>23</v>
      </c>
      <c r="H1073" t="s">
        <v>24</v>
      </c>
      <c r="I1073" t="s">
        <v>25</v>
      </c>
      <c r="J1073" t="s">
        <v>43</v>
      </c>
      <c r="K1073" t="s">
        <v>27</v>
      </c>
      <c r="L1073" t="s">
        <v>28</v>
      </c>
      <c r="M1073" s="4">
        <v>18</v>
      </c>
      <c r="N1073" s="4">
        <v>7</v>
      </c>
      <c r="O1073" t="s">
        <v>29</v>
      </c>
      <c r="P1073" t="s">
        <v>29</v>
      </c>
      <c r="Q1073" s="4">
        <v>494981</v>
      </c>
      <c r="R1073" s="4">
        <v>348830</v>
      </c>
      <c r="S1073" s="4">
        <f>Table1[[#This Row],[Service_Revenue]]-Table1[[#This Row],[Service_Cost]]</f>
        <v>146151</v>
      </c>
      <c r="T1073" s="4">
        <v>1</v>
      </c>
      <c r="U1073" s="4">
        <f>IF(AND(Table1[[#This Row],[Rework_Flag]]="Yes",Table1[[#This Row],[Warranty_Claim]]="No"),Table1[[#This Row],[Service_Revenue]],0)</f>
        <v>0</v>
      </c>
      <c r="V1073" s="4">
        <f>IF(Table1[[#This Row],[Warranty_Claim]]="Yes",1,0)</f>
        <v>1</v>
      </c>
      <c r="W1073" s="4">
        <f>IF(Table1[[#This Row],[Rework_Flag]]="No",1,0)</f>
        <v>0</v>
      </c>
      <c r="X1073" s="4">
        <f>IF(Table1[[#This Row],[Rework_Flag]]="Yes",1,0)</f>
        <v>1</v>
      </c>
      <c r="Y1073" s="4">
        <v>1</v>
      </c>
      <c r="Z1073" s="4" t="str">
        <f>IF(Table1[[#This Row],[TAT_Days]]&gt;Table1[[#This Row],[SLA_TAT]],"Yes","No")</f>
        <v>Yes</v>
      </c>
      <c r="AA1073" s="4" t="str" cm="1">
        <f t="array" ref="AA1073">_xlfn.IFS(Table1[[#This Row],[Customer_Satisfaction]]&lt;=2,"Poor",Table1[[#This Row],[Customer_Satisfaction]]=3,"Neutral",Table1[[#This Row],[Customer_Satisfaction]]=4,"Good",Table1[[#This Row],[Customer_Satisfaction]]=5,"Good")</f>
        <v>Poor</v>
      </c>
    </row>
    <row r="1074" spans="1:27" x14ac:dyDescent="0.35">
      <c r="A1074">
        <v>21072</v>
      </c>
      <c r="B1074" s="1">
        <v>45402</v>
      </c>
      <c r="C1074" t="s">
        <v>19</v>
      </c>
      <c r="D1074" t="s">
        <v>20</v>
      </c>
      <c r="E1074" t="s">
        <v>21</v>
      </c>
      <c r="F1074" t="s">
        <v>40</v>
      </c>
      <c r="G1074" t="s">
        <v>63</v>
      </c>
      <c r="H1074" t="s">
        <v>24</v>
      </c>
      <c r="I1074" t="s">
        <v>55</v>
      </c>
      <c r="J1074" t="s">
        <v>35</v>
      </c>
      <c r="K1074" t="s">
        <v>27</v>
      </c>
      <c r="L1074" t="s">
        <v>49</v>
      </c>
      <c r="M1074" s="4">
        <v>7</v>
      </c>
      <c r="N1074" s="4">
        <v>7</v>
      </c>
      <c r="O1074" t="s">
        <v>29</v>
      </c>
      <c r="P1074" t="s">
        <v>29</v>
      </c>
      <c r="Q1074" s="4">
        <v>532113</v>
      </c>
      <c r="R1074" s="4">
        <v>314370</v>
      </c>
      <c r="S1074" s="4">
        <f>Table1[[#This Row],[Service_Revenue]]-Table1[[#This Row],[Service_Cost]]</f>
        <v>217743</v>
      </c>
      <c r="T1074" s="4">
        <v>3</v>
      </c>
      <c r="U1074" s="4">
        <f>IF(AND(Table1[[#This Row],[Rework_Flag]]="Yes",Table1[[#This Row],[Warranty_Claim]]="No"),Table1[[#This Row],[Service_Revenue]],0)</f>
        <v>0</v>
      </c>
      <c r="V1074" s="4">
        <f>IF(Table1[[#This Row],[Warranty_Claim]]="Yes",1,0)</f>
        <v>1</v>
      </c>
      <c r="W1074" s="4">
        <f>IF(Table1[[#This Row],[Rework_Flag]]="No",1,0)</f>
        <v>0</v>
      </c>
      <c r="X1074" s="4">
        <f>IF(Table1[[#This Row],[Rework_Flag]]="Yes",1,0)</f>
        <v>1</v>
      </c>
      <c r="Y1074" s="4">
        <v>1</v>
      </c>
      <c r="Z1074" s="4" t="str">
        <f>IF(Table1[[#This Row],[TAT_Days]]&gt;Table1[[#This Row],[SLA_TAT]],"Yes","No")</f>
        <v>No</v>
      </c>
      <c r="AA1074" s="4" t="str" cm="1">
        <f t="array" ref="AA1074">_xlfn.IFS(Table1[[#This Row],[Customer_Satisfaction]]&lt;=2,"Poor",Table1[[#This Row],[Customer_Satisfaction]]=3,"Neutral",Table1[[#This Row],[Customer_Satisfaction]]=4,"Good",Table1[[#This Row],[Customer_Satisfaction]]=5,"Good")</f>
        <v>Neutral</v>
      </c>
    </row>
    <row r="1075" spans="1:27" x14ac:dyDescent="0.35">
      <c r="A1075">
        <v>21073</v>
      </c>
      <c r="B1075" s="1">
        <v>45447</v>
      </c>
      <c r="C1075" t="s">
        <v>30</v>
      </c>
      <c r="D1075" t="s">
        <v>31</v>
      </c>
      <c r="E1075" t="s">
        <v>122</v>
      </c>
      <c r="F1075" t="s">
        <v>40</v>
      </c>
      <c r="G1075" t="s">
        <v>54</v>
      </c>
      <c r="H1075" t="s">
        <v>42</v>
      </c>
      <c r="I1075" t="s">
        <v>25</v>
      </c>
      <c r="J1075" t="s">
        <v>35</v>
      </c>
      <c r="K1075" t="s">
        <v>61</v>
      </c>
      <c r="L1075" t="s">
        <v>28</v>
      </c>
      <c r="M1075" s="4">
        <v>14</v>
      </c>
      <c r="N1075" s="4">
        <v>7</v>
      </c>
      <c r="O1075" t="s">
        <v>36</v>
      </c>
      <c r="P1075" t="s">
        <v>36</v>
      </c>
      <c r="Q1075" s="4">
        <v>156829</v>
      </c>
      <c r="R1075" s="4">
        <v>101350</v>
      </c>
      <c r="S1075" s="4">
        <f>Table1[[#This Row],[Service_Revenue]]-Table1[[#This Row],[Service_Cost]]</f>
        <v>55479</v>
      </c>
      <c r="T1075" s="4">
        <v>3</v>
      </c>
      <c r="U1075" s="4">
        <f>IF(AND(Table1[[#This Row],[Rework_Flag]]="Yes",Table1[[#This Row],[Warranty_Claim]]="No"),Table1[[#This Row],[Service_Revenue]],0)</f>
        <v>0</v>
      </c>
      <c r="V1075" s="4">
        <f>IF(Table1[[#This Row],[Warranty_Claim]]="Yes",1,0)</f>
        <v>0</v>
      </c>
      <c r="W1075" s="4">
        <f>IF(Table1[[#This Row],[Rework_Flag]]="No",1,0)</f>
        <v>1</v>
      </c>
      <c r="X1075" s="4">
        <f>IF(Table1[[#This Row],[Rework_Flag]]="Yes",1,0)</f>
        <v>0</v>
      </c>
      <c r="Y1075" s="4">
        <v>1</v>
      </c>
      <c r="Z1075" s="4" t="str">
        <f>IF(Table1[[#This Row],[TAT_Days]]&gt;Table1[[#This Row],[SLA_TAT]],"Yes","No")</f>
        <v>Yes</v>
      </c>
      <c r="AA1075" s="4" t="str" cm="1">
        <f t="array" ref="AA1075">_xlfn.IFS(Table1[[#This Row],[Customer_Satisfaction]]&lt;=2,"Poor",Table1[[#This Row],[Customer_Satisfaction]]=3,"Neutral",Table1[[#This Row],[Customer_Satisfaction]]=4,"Good",Table1[[#This Row],[Customer_Satisfaction]]=5,"Good")</f>
        <v>Neutral</v>
      </c>
    </row>
    <row r="1076" spans="1:27" x14ac:dyDescent="0.35">
      <c r="A1076">
        <v>21074</v>
      </c>
      <c r="B1076" s="1">
        <v>45377</v>
      </c>
      <c r="C1076" t="s">
        <v>30</v>
      </c>
      <c r="D1076" t="s">
        <v>31</v>
      </c>
      <c r="E1076" t="s">
        <v>122</v>
      </c>
      <c r="F1076" t="s">
        <v>40</v>
      </c>
      <c r="G1076" t="s">
        <v>74</v>
      </c>
      <c r="H1076" t="s">
        <v>34</v>
      </c>
      <c r="I1076" t="s">
        <v>55</v>
      </c>
      <c r="J1076" t="s">
        <v>67</v>
      </c>
      <c r="K1076" t="s">
        <v>44</v>
      </c>
      <c r="L1076" t="s">
        <v>28</v>
      </c>
      <c r="M1076" s="4">
        <v>18</v>
      </c>
      <c r="N1076" s="4">
        <v>7</v>
      </c>
      <c r="O1076" t="s">
        <v>29</v>
      </c>
      <c r="P1076" t="s">
        <v>36</v>
      </c>
      <c r="Q1076" s="4">
        <v>480268</v>
      </c>
      <c r="R1076" s="4">
        <v>334234</v>
      </c>
      <c r="S1076" s="4">
        <f>Table1[[#This Row],[Service_Revenue]]-Table1[[#This Row],[Service_Cost]]</f>
        <v>146034</v>
      </c>
      <c r="T1076" s="4">
        <v>1</v>
      </c>
      <c r="U1076" s="4">
        <f>IF(AND(Table1[[#This Row],[Rework_Flag]]="Yes",Table1[[#This Row],[Warranty_Claim]]="No"),Table1[[#This Row],[Service_Revenue]],0)</f>
        <v>480268</v>
      </c>
      <c r="V1076" s="4">
        <f>IF(Table1[[#This Row],[Warranty_Claim]]="Yes",1,0)</f>
        <v>0</v>
      </c>
      <c r="W1076" s="4">
        <f>IF(Table1[[#This Row],[Rework_Flag]]="No",1,0)</f>
        <v>0</v>
      </c>
      <c r="X1076" s="4">
        <f>IF(Table1[[#This Row],[Rework_Flag]]="Yes",1,0)</f>
        <v>1</v>
      </c>
      <c r="Y1076" s="4">
        <v>1</v>
      </c>
      <c r="Z1076" s="4" t="str">
        <f>IF(Table1[[#This Row],[TAT_Days]]&gt;Table1[[#This Row],[SLA_TAT]],"Yes","No")</f>
        <v>Yes</v>
      </c>
      <c r="AA1076" s="4" t="str" cm="1">
        <f t="array" ref="AA1076">_xlfn.IFS(Table1[[#This Row],[Customer_Satisfaction]]&lt;=2,"Poor",Table1[[#This Row],[Customer_Satisfaction]]=3,"Neutral",Table1[[#This Row],[Customer_Satisfaction]]=4,"Good",Table1[[#This Row],[Customer_Satisfaction]]=5,"Good")</f>
        <v>Poor</v>
      </c>
    </row>
    <row r="1077" spans="1:27" x14ac:dyDescent="0.35">
      <c r="A1077">
        <v>21075</v>
      </c>
      <c r="B1077" s="1">
        <v>45366</v>
      </c>
      <c r="C1077" t="s">
        <v>19</v>
      </c>
      <c r="D1077" t="s">
        <v>20</v>
      </c>
      <c r="E1077" t="s">
        <v>110</v>
      </c>
      <c r="F1077" t="s">
        <v>40</v>
      </c>
      <c r="G1077" t="s">
        <v>74</v>
      </c>
      <c r="H1077" t="s">
        <v>34</v>
      </c>
      <c r="I1077" t="s">
        <v>25</v>
      </c>
      <c r="J1077" t="s">
        <v>43</v>
      </c>
      <c r="K1077" t="s">
        <v>61</v>
      </c>
      <c r="L1077" t="s">
        <v>28</v>
      </c>
      <c r="M1077" s="4">
        <v>8</v>
      </c>
      <c r="N1077" s="4">
        <v>7</v>
      </c>
      <c r="O1077" t="s">
        <v>29</v>
      </c>
      <c r="P1077" t="s">
        <v>36</v>
      </c>
      <c r="Q1077" s="4">
        <v>516544</v>
      </c>
      <c r="R1077" s="4">
        <v>359453</v>
      </c>
      <c r="S1077" s="4">
        <f>Table1[[#This Row],[Service_Revenue]]-Table1[[#This Row],[Service_Cost]]</f>
        <v>157091</v>
      </c>
      <c r="T1077" s="4">
        <v>3</v>
      </c>
      <c r="U1077" s="4">
        <f>IF(AND(Table1[[#This Row],[Rework_Flag]]="Yes",Table1[[#This Row],[Warranty_Claim]]="No"),Table1[[#This Row],[Service_Revenue]],0)</f>
        <v>516544</v>
      </c>
      <c r="V1077" s="4">
        <f>IF(Table1[[#This Row],[Warranty_Claim]]="Yes",1,0)</f>
        <v>0</v>
      </c>
      <c r="W1077" s="4">
        <f>IF(Table1[[#This Row],[Rework_Flag]]="No",1,0)</f>
        <v>0</v>
      </c>
      <c r="X1077" s="4">
        <f>IF(Table1[[#This Row],[Rework_Flag]]="Yes",1,0)</f>
        <v>1</v>
      </c>
      <c r="Y1077" s="4">
        <v>1</v>
      </c>
      <c r="Z1077" s="4" t="str">
        <f>IF(Table1[[#This Row],[TAT_Days]]&gt;Table1[[#This Row],[SLA_TAT]],"Yes","No")</f>
        <v>Yes</v>
      </c>
      <c r="AA1077" s="4" t="str" cm="1">
        <f t="array" ref="AA1077">_xlfn.IFS(Table1[[#This Row],[Customer_Satisfaction]]&lt;=2,"Poor",Table1[[#This Row],[Customer_Satisfaction]]=3,"Neutral",Table1[[#This Row],[Customer_Satisfaction]]=4,"Good",Table1[[#This Row],[Customer_Satisfaction]]=5,"Good")</f>
        <v>Neutral</v>
      </c>
    </row>
    <row r="1078" spans="1:27" x14ac:dyDescent="0.35">
      <c r="A1078">
        <v>21076</v>
      </c>
      <c r="B1078" s="1">
        <v>45451</v>
      </c>
      <c r="C1078" t="s">
        <v>50</v>
      </c>
      <c r="D1078" t="s">
        <v>51</v>
      </c>
      <c r="E1078" t="s">
        <v>75</v>
      </c>
      <c r="F1078" t="s">
        <v>22</v>
      </c>
      <c r="G1078" t="s">
        <v>74</v>
      </c>
      <c r="H1078" t="s">
        <v>34</v>
      </c>
      <c r="I1078" t="s">
        <v>55</v>
      </c>
      <c r="J1078" t="s">
        <v>67</v>
      </c>
      <c r="K1078" t="s">
        <v>61</v>
      </c>
      <c r="L1078" t="s">
        <v>28</v>
      </c>
      <c r="M1078" s="4">
        <v>11</v>
      </c>
      <c r="N1078" s="4">
        <v>7</v>
      </c>
      <c r="O1078" t="s">
        <v>29</v>
      </c>
      <c r="P1078" t="s">
        <v>36</v>
      </c>
      <c r="Q1078" s="4">
        <v>313640</v>
      </c>
      <c r="R1078" s="4">
        <v>266109</v>
      </c>
      <c r="S1078" s="4">
        <f>Table1[[#This Row],[Service_Revenue]]-Table1[[#This Row],[Service_Cost]]</f>
        <v>47531</v>
      </c>
      <c r="T1078" s="4">
        <v>2</v>
      </c>
      <c r="U1078" s="4">
        <f>IF(AND(Table1[[#This Row],[Rework_Flag]]="Yes",Table1[[#This Row],[Warranty_Claim]]="No"),Table1[[#This Row],[Service_Revenue]],0)</f>
        <v>313640</v>
      </c>
      <c r="V1078" s="4">
        <f>IF(Table1[[#This Row],[Warranty_Claim]]="Yes",1,0)</f>
        <v>0</v>
      </c>
      <c r="W1078" s="4">
        <f>IF(Table1[[#This Row],[Rework_Flag]]="No",1,0)</f>
        <v>0</v>
      </c>
      <c r="X1078" s="4">
        <f>IF(Table1[[#This Row],[Rework_Flag]]="Yes",1,0)</f>
        <v>1</v>
      </c>
      <c r="Y1078" s="4">
        <v>1</v>
      </c>
      <c r="Z1078" s="4" t="str">
        <f>IF(Table1[[#This Row],[TAT_Days]]&gt;Table1[[#This Row],[SLA_TAT]],"Yes","No")</f>
        <v>Yes</v>
      </c>
      <c r="AA1078" s="4" t="str" cm="1">
        <f t="array" ref="AA1078">_xlfn.IFS(Table1[[#This Row],[Customer_Satisfaction]]&lt;=2,"Poor",Table1[[#This Row],[Customer_Satisfaction]]=3,"Neutral",Table1[[#This Row],[Customer_Satisfaction]]=4,"Good",Table1[[#This Row],[Customer_Satisfaction]]=5,"Good")</f>
        <v>Poor</v>
      </c>
    </row>
    <row r="1079" spans="1:27" x14ac:dyDescent="0.35">
      <c r="A1079">
        <v>21077</v>
      </c>
      <c r="B1079" s="1">
        <v>45465</v>
      </c>
      <c r="C1079" t="s">
        <v>30</v>
      </c>
      <c r="D1079" t="s">
        <v>31</v>
      </c>
      <c r="E1079" t="s">
        <v>106</v>
      </c>
      <c r="F1079" t="s">
        <v>40</v>
      </c>
      <c r="G1079" t="s">
        <v>33</v>
      </c>
      <c r="H1079" t="s">
        <v>34</v>
      </c>
      <c r="I1079" t="s">
        <v>25</v>
      </c>
      <c r="J1079" t="s">
        <v>35</v>
      </c>
      <c r="K1079" t="s">
        <v>27</v>
      </c>
      <c r="L1079" t="s">
        <v>28</v>
      </c>
      <c r="M1079" s="4">
        <v>4</v>
      </c>
      <c r="N1079" s="4">
        <v>7</v>
      </c>
      <c r="O1079" t="s">
        <v>36</v>
      </c>
      <c r="P1079" t="s">
        <v>29</v>
      </c>
      <c r="Q1079" s="4">
        <v>163558</v>
      </c>
      <c r="R1079" s="4">
        <v>92085</v>
      </c>
      <c r="S1079" s="4">
        <f>Table1[[#This Row],[Service_Revenue]]-Table1[[#This Row],[Service_Cost]]</f>
        <v>71473</v>
      </c>
      <c r="T1079" s="4">
        <v>5</v>
      </c>
      <c r="U1079" s="4">
        <f>IF(AND(Table1[[#This Row],[Rework_Flag]]="Yes",Table1[[#This Row],[Warranty_Claim]]="No"),Table1[[#This Row],[Service_Revenue]],0)</f>
        <v>0</v>
      </c>
      <c r="V1079" s="4">
        <f>IF(Table1[[#This Row],[Warranty_Claim]]="Yes",1,0)</f>
        <v>1</v>
      </c>
      <c r="W1079" s="4">
        <f>IF(Table1[[#This Row],[Rework_Flag]]="No",1,0)</f>
        <v>1</v>
      </c>
      <c r="X1079" s="4">
        <f>IF(Table1[[#This Row],[Rework_Flag]]="Yes",1,0)</f>
        <v>0</v>
      </c>
      <c r="Y1079" s="4">
        <v>1</v>
      </c>
      <c r="Z1079" s="4" t="str">
        <f>IF(Table1[[#This Row],[TAT_Days]]&gt;Table1[[#This Row],[SLA_TAT]],"Yes","No")</f>
        <v>No</v>
      </c>
      <c r="AA1079" s="4" t="str" cm="1">
        <f t="array" ref="AA1079">_xlfn.IFS(Table1[[#This Row],[Customer_Satisfaction]]&lt;=2,"Poor",Table1[[#This Row],[Customer_Satisfaction]]=3,"Neutral",Table1[[#This Row],[Customer_Satisfaction]]=4,"Good",Table1[[#This Row],[Customer_Satisfaction]]=5,"Good")</f>
        <v>Good</v>
      </c>
    </row>
    <row r="1080" spans="1:27" x14ac:dyDescent="0.35">
      <c r="A1080">
        <v>21078</v>
      </c>
      <c r="B1080" s="1">
        <v>45333</v>
      </c>
      <c r="C1080" t="s">
        <v>50</v>
      </c>
      <c r="D1080" t="s">
        <v>56</v>
      </c>
      <c r="E1080" t="s">
        <v>88</v>
      </c>
      <c r="F1080" t="s">
        <v>22</v>
      </c>
      <c r="G1080" t="s">
        <v>41</v>
      </c>
      <c r="H1080" t="s">
        <v>42</v>
      </c>
      <c r="I1080" t="s">
        <v>25</v>
      </c>
      <c r="J1080" t="s">
        <v>35</v>
      </c>
      <c r="K1080" t="s">
        <v>27</v>
      </c>
      <c r="L1080" t="s">
        <v>49</v>
      </c>
      <c r="M1080" s="4">
        <v>18</v>
      </c>
      <c r="N1080" s="4">
        <v>7</v>
      </c>
      <c r="O1080" t="s">
        <v>29</v>
      </c>
      <c r="P1080" t="s">
        <v>36</v>
      </c>
      <c r="Q1080" s="4">
        <v>277129</v>
      </c>
      <c r="R1080" s="4">
        <v>154740</v>
      </c>
      <c r="S1080" s="4">
        <f>Table1[[#This Row],[Service_Revenue]]-Table1[[#This Row],[Service_Cost]]</f>
        <v>122389</v>
      </c>
      <c r="T1080" s="4">
        <v>1</v>
      </c>
      <c r="U1080" s="4">
        <f>IF(AND(Table1[[#This Row],[Rework_Flag]]="Yes",Table1[[#This Row],[Warranty_Claim]]="No"),Table1[[#This Row],[Service_Revenue]],0)</f>
        <v>277129</v>
      </c>
      <c r="V1080" s="4">
        <f>IF(Table1[[#This Row],[Warranty_Claim]]="Yes",1,0)</f>
        <v>0</v>
      </c>
      <c r="W1080" s="4">
        <f>IF(Table1[[#This Row],[Rework_Flag]]="No",1,0)</f>
        <v>0</v>
      </c>
      <c r="X1080" s="4">
        <f>IF(Table1[[#This Row],[Rework_Flag]]="Yes",1,0)</f>
        <v>1</v>
      </c>
      <c r="Y1080" s="4">
        <v>1</v>
      </c>
      <c r="Z1080" s="4" t="str">
        <f>IF(Table1[[#This Row],[TAT_Days]]&gt;Table1[[#This Row],[SLA_TAT]],"Yes","No")</f>
        <v>Yes</v>
      </c>
      <c r="AA1080" s="4" t="str" cm="1">
        <f t="array" ref="AA1080">_xlfn.IFS(Table1[[#This Row],[Customer_Satisfaction]]&lt;=2,"Poor",Table1[[#This Row],[Customer_Satisfaction]]=3,"Neutral",Table1[[#This Row],[Customer_Satisfaction]]=4,"Good",Table1[[#This Row],[Customer_Satisfaction]]=5,"Good")</f>
        <v>Poor</v>
      </c>
    </row>
    <row r="1081" spans="1:27" x14ac:dyDescent="0.35">
      <c r="A1081">
        <v>21079</v>
      </c>
      <c r="B1081" s="1">
        <v>45390</v>
      </c>
      <c r="C1081" t="s">
        <v>50</v>
      </c>
      <c r="D1081" t="s">
        <v>56</v>
      </c>
      <c r="E1081" t="s">
        <v>57</v>
      </c>
      <c r="F1081" t="s">
        <v>22</v>
      </c>
      <c r="G1081" t="s">
        <v>63</v>
      </c>
      <c r="H1081" t="s">
        <v>24</v>
      </c>
      <c r="I1081" t="s">
        <v>55</v>
      </c>
      <c r="J1081" t="s">
        <v>58</v>
      </c>
      <c r="K1081" t="s">
        <v>44</v>
      </c>
      <c r="L1081" t="s">
        <v>28</v>
      </c>
      <c r="M1081" s="4">
        <v>12</v>
      </c>
      <c r="N1081" s="4">
        <v>7</v>
      </c>
      <c r="O1081" t="s">
        <v>36</v>
      </c>
      <c r="P1081" t="s">
        <v>29</v>
      </c>
      <c r="Q1081" s="4">
        <v>347872</v>
      </c>
      <c r="R1081" s="4">
        <v>236820</v>
      </c>
      <c r="S1081" s="4">
        <f>Table1[[#This Row],[Service_Revenue]]-Table1[[#This Row],[Service_Cost]]</f>
        <v>111052</v>
      </c>
      <c r="T1081" s="4">
        <v>3</v>
      </c>
      <c r="U1081" s="4">
        <f>IF(AND(Table1[[#This Row],[Rework_Flag]]="Yes",Table1[[#This Row],[Warranty_Claim]]="No"),Table1[[#This Row],[Service_Revenue]],0)</f>
        <v>0</v>
      </c>
      <c r="V1081" s="4">
        <f>IF(Table1[[#This Row],[Warranty_Claim]]="Yes",1,0)</f>
        <v>1</v>
      </c>
      <c r="W1081" s="4">
        <f>IF(Table1[[#This Row],[Rework_Flag]]="No",1,0)</f>
        <v>1</v>
      </c>
      <c r="X1081" s="4">
        <f>IF(Table1[[#This Row],[Rework_Flag]]="Yes",1,0)</f>
        <v>0</v>
      </c>
      <c r="Y1081" s="4">
        <v>1</v>
      </c>
      <c r="Z1081" s="4" t="str">
        <f>IF(Table1[[#This Row],[TAT_Days]]&gt;Table1[[#This Row],[SLA_TAT]],"Yes","No")</f>
        <v>Yes</v>
      </c>
      <c r="AA1081" s="4" t="str" cm="1">
        <f t="array" ref="AA1081">_xlfn.IFS(Table1[[#This Row],[Customer_Satisfaction]]&lt;=2,"Poor",Table1[[#This Row],[Customer_Satisfaction]]=3,"Neutral",Table1[[#This Row],[Customer_Satisfaction]]=4,"Good",Table1[[#This Row],[Customer_Satisfaction]]=5,"Good")</f>
        <v>Neutral</v>
      </c>
    </row>
    <row r="1082" spans="1:27" x14ac:dyDescent="0.35">
      <c r="A1082">
        <v>21080</v>
      </c>
      <c r="B1082" s="1">
        <v>45340</v>
      </c>
      <c r="C1082" t="s">
        <v>30</v>
      </c>
      <c r="D1082" t="s">
        <v>83</v>
      </c>
      <c r="E1082" t="s">
        <v>90</v>
      </c>
      <c r="F1082" t="s">
        <v>40</v>
      </c>
      <c r="G1082" t="s">
        <v>23</v>
      </c>
      <c r="H1082" t="s">
        <v>24</v>
      </c>
      <c r="I1082" t="s">
        <v>55</v>
      </c>
      <c r="J1082" t="s">
        <v>58</v>
      </c>
      <c r="K1082" t="s">
        <v>61</v>
      </c>
      <c r="L1082" t="s">
        <v>28</v>
      </c>
      <c r="M1082" s="4">
        <v>18</v>
      </c>
      <c r="N1082" s="4">
        <v>7</v>
      </c>
      <c r="O1082" t="s">
        <v>29</v>
      </c>
      <c r="P1082" t="s">
        <v>29</v>
      </c>
      <c r="Q1082" s="4">
        <v>546864</v>
      </c>
      <c r="R1082" s="4">
        <v>374823</v>
      </c>
      <c r="S1082" s="4">
        <f>Table1[[#This Row],[Service_Revenue]]-Table1[[#This Row],[Service_Cost]]</f>
        <v>172041</v>
      </c>
      <c r="T1082" s="4">
        <v>1</v>
      </c>
      <c r="U1082" s="4">
        <f>IF(AND(Table1[[#This Row],[Rework_Flag]]="Yes",Table1[[#This Row],[Warranty_Claim]]="No"),Table1[[#This Row],[Service_Revenue]],0)</f>
        <v>0</v>
      </c>
      <c r="V1082" s="4">
        <f>IF(Table1[[#This Row],[Warranty_Claim]]="Yes",1,0)</f>
        <v>1</v>
      </c>
      <c r="W1082" s="4">
        <f>IF(Table1[[#This Row],[Rework_Flag]]="No",1,0)</f>
        <v>0</v>
      </c>
      <c r="X1082" s="4">
        <f>IF(Table1[[#This Row],[Rework_Flag]]="Yes",1,0)</f>
        <v>1</v>
      </c>
      <c r="Y1082" s="4">
        <v>1</v>
      </c>
      <c r="Z1082" s="4" t="str">
        <f>IF(Table1[[#This Row],[TAT_Days]]&gt;Table1[[#This Row],[SLA_TAT]],"Yes","No")</f>
        <v>Yes</v>
      </c>
      <c r="AA1082" s="4" t="str" cm="1">
        <f t="array" ref="AA1082">_xlfn.IFS(Table1[[#This Row],[Customer_Satisfaction]]&lt;=2,"Poor",Table1[[#This Row],[Customer_Satisfaction]]=3,"Neutral",Table1[[#This Row],[Customer_Satisfaction]]=4,"Good",Table1[[#This Row],[Customer_Satisfaction]]=5,"Good")</f>
        <v>Poor</v>
      </c>
    </row>
    <row r="1083" spans="1:27" x14ac:dyDescent="0.35">
      <c r="A1083">
        <v>21081</v>
      </c>
      <c r="B1083" s="1">
        <v>45421</v>
      </c>
      <c r="C1083" t="s">
        <v>50</v>
      </c>
      <c r="D1083" t="s">
        <v>51</v>
      </c>
      <c r="E1083" t="s">
        <v>73</v>
      </c>
      <c r="F1083" t="s">
        <v>40</v>
      </c>
      <c r="G1083" t="s">
        <v>41</v>
      </c>
      <c r="H1083" t="s">
        <v>42</v>
      </c>
      <c r="I1083" t="s">
        <v>25</v>
      </c>
      <c r="J1083" t="s">
        <v>58</v>
      </c>
      <c r="K1083" t="s">
        <v>61</v>
      </c>
      <c r="L1083" t="s">
        <v>28</v>
      </c>
      <c r="M1083" s="4">
        <v>4</v>
      </c>
      <c r="N1083" s="4">
        <v>7</v>
      </c>
      <c r="O1083" t="s">
        <v>29</v>
      </c>
      <c r="P1083" t="s">
        <v>36</v>
      </c>
      <c r="Q1083" s="4">
        <v>547913</v>
      </c>
      <c r="R1083" s="4">
        <v>366872</v>
      </c>
      <c r="S1083" s="4">
        <f>Table1[[#This Row],[Service_Revenue]]-Table1[[#This Row],[Service_Cost]]</f>
        <v>181041</v>
      </c>
      <c r="T1083" s="4">
        <v>4</v>
      </c>
      <c r="U1083" s="4">
        <f>IF(AND(Table1[[#This Row],[Rework_Flag]]="Yes",Table1[[#This Row],[Warranty_Claim]]="No"),Table1[[#This Row],[Service_Revenue]],0)</f>
        <v>547913</v>
      </c>
      <c r="V1083" s="4">
        <f>IF(Table1[[#This Row],[Warranty_Claim]]="Yes",1,0)</f>
        <v>0</v>
      </c>
      <c r="W1083" s="4">
        <f>IF(Table1[[#This Row],[Rework_Flag]]="No",1,0)</f>
        <v>0</v>
      </c>
      <c r="X1083" s="4">
        <f>IF(Table1[[#This Row],[Rework_Flag]]="Yes",1,0)</f>
        <v>1</v>
      </c>
      <c r="Y1083" s="4">
        <v>1</v>
      </c>
      <c r="Z1083" s="4" t="str">
        <f>IF(Table1[[#This Row],[TAT_Days]]&gt;Table1[[#This Row],[SLA_TAT]],"Yes","No")</f>
        <v>No</v>
      </c>
      <c r="AA1083" s="4" t="str" cm="1">
        <f t="array" ref="AA1083">_xlfn.IFS(Table1[[#This Row],[Customer_Satisfaction]]&lt;=2,"Poor",Table1[[#This Row],[Customer_Satisfaction]]=3,"Neutral",Table1[[#This Row],[Customer_Satisfaction]]=4,"Good",Table1[[#This Row],[Customer_Satisfaction]]=5,"Good")</f>
        <v>Good</v>
      </c>
    </row>
    <row r="1084" spans="1:27" x14ac:dyDescent="0.35">
      <c r="A1084">
        <v>21082</v>
      </c>
      <c r="B1084" s="1">
        <v>45366</v>
      </c>
      <c r="C1084" t="s">
        <v>19</v>
      </c>
      <c r="D1084" t="s">
        <v>20</v>
      </c>
      <c r="E1084" t="s">
        <v>86</v>
      </c>
      <c r="F1084" t="s">
        <v>40</v>
      </c>
      <c r="G1084" t="s">
        <v>74</v>
      </c>
      <c r="H1084" t="s">
        <v>34</v>
      </c>
      <c r="I1084" t="s">
        <v>55</v>
      </c>
      <c r="J1084" t="s">
        <v>67</v>
      </c>
      <c r="K1084" t="s">
        <v>61</v>
      </c>
      <c r="L1084" t="s">
        <v>49</v>
      </c>
      <c r="M1084" s="4">
        <v>2</v>
      </c>
      <c r="N1084" s="4">
        <v>7</v>
      </c>
      <c r="O1084" t="s">
        <v>36</v>
      </c>
      <c r="P1084" t="s">
        <v>36</v>
      </c>
      <c r="Q1084" s="4">
        <v>407093</v>
      </c>
      <c r="R1084" s="4">
        <v>289591</v>
      </c>
      <c r="S1084" s="4">
        <f>Table1[[#This Row],[Service_Revenue]]-Table1[[#This Row],[Service_Cost]]</f>
        <v>117502</v>
      </c>
      <c r="T1084" s="4">
        <v>5</v>
      </c>
      <c r="U1084" s="4">
        <f>IF(AND(Table1[[#This Row],[Rework_Flag]]="Yes",Table1[[#This Row],[Warranty_Claim]]="No"),Table1[[#This Row],[Service_Revenue]],0)</f>
        <v>0</v>
      </c>
      <c r="V1084" s="4">
        <f>IF(Table1[[#This Row],[Warranty_Claim]]="Yes",1,0)</f>
        <v>0</v>
      </c>
      <c r="W1084" s="4">
        <f>IF(Table1[[#This Row],[Rework_Flag]]="No",1,0)</f>
        <v>1</v>
      </c>
      <c r="X1084" s="4">
        <f>IF(Table1[[#This Row],[Rework_Flag]]="Yes",1,0)</f>
        <v>0</v>
      </c>
      <c r="Y1084" s="4">
        <v>1</v>
      </c>
      <c r="Z1084" s="4" t="str">
        <f>IF(Table1[[#This Row],[TAT_Days]]&gt;Table1[[#This Row],[SLA_TAT]],"Yes","No")</f>
        <v>No</v>
      </c>
      <c r="AA1084" s="4" t="str" cm="1">
        <f t="array" ref="AA1084">_xlfn.IFS(Table1[[#This Row],[Customer_Satisfaction]]&lt;=2,"Poor",Table1[[#This Row],[Customer_Satisfaction]]=3,"Neutral",Table1[[#This Row],[Customer_Satisfaction]]=4,"Good",Table1[[#This Row],[Customer_Satisfaction]]=5,"Good")</f>
        <v>Good</v>
      </c>
    </row>
    <row r="1085" spans="1:27" x14ac:dyDescent="0.35">
      <c r="A1085">
        <v>21083</v>
      </c>
      <c r="B1085" s="1">
        <v>45304</v>
      </c>
      <c r="C1085" t="s">
        <v>19</v>
      </c>
      <c r="D1085" t="s">
        <v>96</v>
      </c>
      <c r="E1085" t="s">
        <v>105</v>
      </c>
      <c r="F1085" t="s">
        <v>53</v>
      </c>
      <c r="G1085" t="s">
        <v>33</v>
      </c>
      <c r="H1085" t="s">
        <v>34</v>
      </c>
      <c r="I1085" t="s">
        <v>55</v>
      </c>
      <c r="J1085" t="s">
        <v>67</v>
      </c>
      <c r="K1085" t="s">
        <v>44</v>
      </c>
      <c r="L1085" t="s">
        <v>49</v>
      </c>
      <c r="M1085" s="4">
        <v>16</v>
      </c>
      <c r="N1085" s="4">
        <v>7</v>
      </c>
      <c r="O1085" t="s">
        <v>36</v>
      </c>
      <c r="P1085" t="s">
        <v>36</v>
      </c>
      <c r="Q1085" s="4">
        <v>416887</v>
      </c>
      <c r="R1085" s="4">
        <v>330795</v>
      </c>
      <c r="S1085" s="4">
        <f>Table1[[#This Row],[Service_Revenue]]-Table1[[#This Row],[Service_Cost]]</f>
        <v>86092</v>
      </c>
      <c r="T1085" s="4">
        <v>2</v>
      </c>
      <c r="U1085" s="4">
        <f>IF(AND(Table1[[#This Row],[Rework_Flag]]="Yes",Table1[[#This Row],[Warranty_Claim]]="No"),Table1[[#This Row],[Service_Revenue]],0)</f>
        <v>0</v>
      </c>
      <c r="V1085" s="4">
        <f>IF(Table1[[#This Row],[Warranty_Claim]]="Yes",1,0)</f>
        <v>0</v>
      </c>
      <c r="W1085" s="4">
        <f>IF(Table1[[#This Row],[Rework_Flag]]="No",1,0)</f>
        <v>1</v>
      </c>
      <c r="X1085" s="4">
        <f>IF(Table1[[#This Row],[Rework_Flag]]="Yes",1,0)</f>
        <v>0</v>
      </c>
      <c r="Y1085" s="4">
        <v>1</v>
      </c>
      <c r="Z1085" s="4" t="str">
        <f>IF(Table1[[#This Row],[TAT_Days]]&gt;Table1[[#This Row],[SLA_TAT]],"Yes","No")</f>
        <v>Yes</v>
      </c>
      <c r="AA1085" s="4" t="str" cm="1">
        <f t="array" ref="AA1085">_xlfn.IFS(Table1[[#This Row],[Customer_Satisfaction]]&lt;=2,"Poor",Table1[[#This Row],[Customer_Satisfaction]]=3,"Neutral",Table1[[#This Row],[Customer_Satisfaction]]=4,"Good",Table1[[#This Row],[Customer_Satisfaction]]=5,"Good")</f>
        <v>Poor</v>
      </c>
    </row>
    <row r="1086" spans="1:27" x14ac:dyDescent="0.35">
      <c r="A1086">
        <v>21084</v>
      </c>
      <c r="B1086" s="1">
        <v>45371</v>
      </c>
      <c r="C1086" t="s">
        <v>50</v>
      </c>
      <c r="D1086" t="s">
        <v>51</v>
      </c>
      <c r="E1086" t="s">
        <v>113</v>
      </c>
      <c r="F1086" t="s">
        <v>53</v>
      </c>
      <c r="G1086" t="s">
        <v>41</v>
      </c>
      <c r="H1086" t="s">
        <v>42</v>
      </c>
      <c r="I1086" t="s">
        <v>55</v>
      </c>
      <c r="J1086" t="s">
        <v>43</v>
      </c>
      <c r="K1086" t="s">
        <v>27</v>
      </c>
      <c r="L1086" t="s">
        <v>28</v>
      </c>
      <c r="M1086" s="4">
        <v>25</v>
      </c>
      <c r="N1086" s="4">
        <v>7</v>
      </c>
      <c r="O1086" t="s">
        <v>29</v>
      </c>
      <c r="P1086" t="s">
        <v>29</v>
      </c>
      <c r="Q1086" s="4">
        <v>486773</v>
      </c>
      <c r="R1086" s="4">
        <v>319477</v>
      </c>
      <c r="S1086" s="4">
        <f>Table1[[#This Row],[Service_Revenue]]-Table1[[#This Row],[Service_Cost]]</f>
        <v>167296</v>
      </c>
      <c r="T1086" s="4">
        <v>1</v>
      </c>
      <c r="U1086" s="4">
        <f>IF(AND(Table1[[#This Row],[Rework_Flag]]="Yes",Table1[[#This Row],[Warranty_Claim]]="No"),Table1[[#This Row],[Service_Revenue]],0)</f>
        <v>0</v>
      </c>
      <c r="V1086" s="4">
        <f>IF(Table1[[#This Row],[Warranty_Claim]]="Yes",1,0)</f>
        <v>1</v>
      </c>
      <c r="W1086" s="4">
        <f>IF(Table1[[#This Row],[Rework_Flag]]="No",1,0)</f>
        <v>0</v>
      </c>
      <c r="X1086" s="4">
        <f>IF(Table1[[#This Row],[Rework_Flag]]="Yes",1,0)</f>
        <v>1</v>
      </c>
      <c r="Y1086" s="4">
        <v>1</v>
      </c>
      <c r="Z1086" s="4" t="str">
        <f>IF(Table1[[#This Row],[TAT_Days]]&gt;Table1[[#This Row],[SLA_TAT]],"Yes","No")</f>
        <v>Yes</v>
      </c>
      <c r="AA1086" s="4" t="str" cm="1">
        <f t="array" ref="AA1086">_xlfn.IFS(Table1[[#This Row],[Customer_Satisfaction]]&lt;=2,"Poor",Table1[[#This Row],[Customer_Satisfaction]]=3,"Neutral",Table1[[#This Row],[Customer_Satisfaction]]=4,"Good",Table1[[#This Row],[Customer_Satisfaction]]=5,"Good")</f>
        <v>Poor</v>
      </c>
    </row>
    <row r="1087" spans="1:27" x14ac:dyDescent="0.35">
      <c r="A1087">
        <v>21085</v>
      </c>
      <c r="B1087" s="1">
        <v>45316</v>
      </c>
      <c r="C1087" t="s">
        <v>37</v>
      </c>
      <c r="D1087" t="s">
        <v>64</v>
      </c>
      <c r="E1087" t="s">
        <v>103</v>
      </c>
      <c r="F1087" t="s">
        <v>22</v>
      </c>
      <c r="G1087" t="s">
        <v>47</v>
      </c>
      <c r="H1087" t="s">
        <v>48</v>
      </c>
      <c r="I1087" t="s">
        <v>25</v>
      </c>
      <c r="J1087" t="s">
        <v>67</v>
      </c>
      <c r="K1087" t="s">
        <v>61</v>
      </c>
      <c r="L1087" t="s">
        <v>49</v>
      </c>
      <c r="M1087" s="4">
        <v>18</v>
      </c>
      <c r="N1087" s="4">
        <v>7</v>
      </c>
      <c r="O1087" t="s">
        <v>36</v>
      </c>
      <c r="P1087" t="s">
        <v>36</v>
      </c>
      <c r="Q1087" s="4">
        <v>260251</v>
      </c>
      <c r="R1087" s="4">
        <v>208350</v>
      </c>
      <c r="S1087" s="4">
        <f>Table1[[#This Row],[Service_Revenue]]-Table1[[#This Row],[Service_Cost]]</f>
        <v>51901</v>
      </c>
      <c r="T1087" s="4">
        <v>2</v>
      </c>
      <c r="U1087" s="4">
        <f>IF(AND(Table1[[#This Row],[Rework_Flag]]="Yes",Table1[[#This Row],[Warranty_Claim]]="No"),Table1[[#This Row],[Service_Revenue]],0)</f>
        <v>0</v>
      </c>
      <c r="V1087" s="4">
        <f>IF(Table1[[#This Row],[Warranty_Claim]]="Yes",1,0)</f>
        <v>0</v>
      </c>
      <c r="W1087" s="4">
        <f>IF(Table1[[#This Row],[Rework_Flag]]="No",1,0)</f>
        <v>1</v>
      </c>
      <c r="X1087" s="4">
        <f>IF(Table1[[#This Row],[Rework_Flag]]="Yes",1,0)</f>
        <v>0</v>
      </c>
      <c r="Y1087" s="4">
        <v>1</v>
      </c>
      <c r="Z1087" s="4" t="str">
        <f>IF(Table1[[#This Row],[TAT_Days]]&gt;Table1[[#This Row],[SLA_TAT]],"Yes","No")</f>
        <v>Yes</v>
      </c>
      <c r="AA1087" s="4" t="str" cm="1">
        <f t="array" ref="AA1087">_xlfn.IFS(Table1[[#This Row],[Customer_Satisfaction]]&lt;=2,"Poor",Table1[[#This Row],[Customer_Satisfaction]]=3,"Neutral",Table1[[#This Row],[Customer_Satisfaction]]=4,"Good",Table1[[#This Row],[Customer_Satisfaction]]=5,"Good")</f>
        <v>Poor</v>
      </c>
    </row>
    <row r="1088" spans="1:27" x14ac:dyDescent="0.35">
      <c r="A1088">
        <v>21086</v>
      </c>
      <c r="B1088" s="1">
        <v>45449</v>
      </c>
      <c r="C1088" t="s">
        <v>19</v>
      </c>
      <c r="D1088" t="s">
        <v>45</v>
      </c>
      <c r="E1088" t="s">
        <v>111</v>
      </c>
      <c r="F1088" t="s">
        <v>53</v>
      </c>
      <c r="G1088" t="s">
        <v>41</v>
      </c>
      <c r="H1088" t="s">
        <v>42</v>
      </c>
      <c r="I1088" t="s">
        <v>25</v>
      </c>
      <c r="J1088" t="s">
        <v>26</v>
      </c>
      <c r="K1088" t="s">
        <v>44</v>
      </c>
      <c r="L1088" t="s">
        <v>49</v>
      </c>
      <c r="M1088" s="4">
        <v>2</v>
      </c>
      <c r="N1088" s="4">
        <v>7</v>
      </c>
      <c r="O1088" t="s">
        <v>36</v>
      </c>
      <c r="P1088" t="s">
        <v>29</v>
      </c>
      <c r="Q1088" s="4">
        <v>580937</v>
      </c>
      <c r="R1088" s="4">
        <v>349494</v>
      </c>
      <c r="S1088" s="4">
        <f>Table1[[#This Row],[Service_Revenue]]-Table1[[#This Row],[Service_Cost]]</f>
        <v>231443</v>
      </c>
      <c r="T1088" s="4">
        <v>5</v>
      </c>
      <c r="U1088" s="4">
        <f>IF(AND(Table1[[#This Row],[Rework_Flag]]="Yes",Table1[[#This Row],[Warranty_Claim]]="No"),Table1[[#This Row],[Service_Revenue]],0)</f>
        <v>0</v>
      </c>
      <c r="V1088" s="4">
        <f>IF(Table1[[#This Row],[Warranty_Claim]]="Yes",1,0)</f>
        <v>1</v>
      </c>
      <c r="W1088" s="4">
        <f>IF(Table1[[#This Row],[Rework_Flag]]="No",1,0)</f>
        <v>1</v>
      </c>
      <c r="X1088" s="4">
        <f>IF(Table1[[#This Row],[Rework_Flag]]="Yes",1,0)</f>
        <v>0</v>
      </c>
      <c r="Y1088" s="4">
        <v>1</v>
      </c>
      <c r="Z1088" s="4" t="str">
        <f>IF(Table1[[#This Row],[TAT_Days]]&gt;Table1[[#This Row],[SLA_TAT]],"Yes","No")</f>
        <v>No</v>
      </c>
      <c r="AA1088" s="4" t="str" cm="1">
        <f t="array" ref="AA1088">_xlfn.IFS(Table1[[#This Row],[Customer_Satisfaction]]&lt;=2,"Poor",Table1[[#This Row],[Customer_Satisfaction]]=3,"Neutral",Table1[[#This Row],[Customer_Satisfaction]]=4,"Good",Table1[[#This Row],[Customer_Satisfaction]]=5,"Good")</f>
        <v>Good</v>
      </c>
    </row>
    <row r="1089" spans="1:27" x14ac:dyDescent="0.35">
      <c r="A1089">
        <v>21087</v>
      </c>
      <c r="B1089" s="1">
        <v>45426</v>
      </c>
      <c r="C1089" t="s">
        <v>37</v>
      </c>
      <c r="D1089" t="s">
        <v>70</v>
      </c>
      <c r="E1089" t="s">
        <v>100</v>
      </c>
      <c r="F1089" t="s">
        <v>22</v>
      </c>
      <c r="G1089" t="s">
        <v>74</v>
      </c>
      <c r="H1089" t="s">
        <v>34</v>
      </c>
      <c r="I1089" t="s">
        <v>55</v>
      </c>
      <c r="J1089" t="s">
        <v>26</v>
      </c>
      <c r="K1089" t="s">
        <v>61</v>
      </c>
      <c r="L1089" t="s">
        <v>28</v>
      </c>
      <c r="M1089" s="4">
        <v>5</v>
      </c>
      <c r="N1089" s="4">
        <v>7</v>
      </c>
      <c r="O1089" t="s">
        <v>36</v>
      </c>
      <c r="P1089" t="s">
        <v>29</v>
      </c>
      <c r="Q1089" s="4">
        <v>501908</v>
      </c>
      <c r="R1089" s="4">
        <v>341788</v>
      </c>
      <c r="S1089" s="4">
        <f>Table1[[#This Row],[Service_Revenue]]-Table1[[#This Row],[Service_Cost]]</f>
        <v>160120</v>
      </c>
      <c r="T1089" s="4">
        <v>4</v>
      </c>
      <c r="U1089" s="4">
        <f>IF(AND(Table1[[#This Row],[Rework_Flag]]="Yes",Table1[[#This Row],[Warranty_Claim]]="No"),Table1[[#This Row],[Service_Revenue]],0)</f>
        <v>0</v>
      </c>
      <c r="V1089" s="4">
        <f>IF(Table1[[#This Row],[Warranty_Claim]]="Yes",1,0)</f>
        <v>1</v>
      </c>
      <c r="W1089" s="4">
        <f>IF(Table1[[#This Row],[Rework_Flag]]="No",1,0)</f>
        <v>1</v>
      </c>
      <c r="X1089" s="4">
        <f>IF(Table1[[#This Row],[Rework_Flag]]="Yes",1,0)</f>
        <v>0</v>
      </c>
      <c r="Y1089" s="4">
        <v>1</v>
      </c>
      <c r="Z1089" s="4" t="str">
        <f>IF(Table1[[#This Row],[TAT_Days]]&gt;Table1[[#This Row],[SLA_TAT]],"Yes","No")</f>
        <v>No</v>
      </c>
      <c r="AA1089" s="4" t="str" cm="1">
        <f t="array" ref="AA1089">_xlfn.IFS(Table1[[#This Row],[Customer_Satisfaction]]&lt;=2,"Poor",Table1[[#This Row],[Customer_Satisfaction]]=3,"Neutral",Table1[[#This Row],[Customer_Satisfaction]]=4,"Good",Table1[[#This Row],[Customer_Satisfaction]]=5,"Good")</f>
        <v>Good</v>
      </c>
    </row>
    <row r="1090" spans="1:27" x14ac:dyDescent="0.35">
      <c r="A1090">
        <v>21088</v>
      </c>
      <c r="B1090" s="1">
        <v>45407</v>
      </c>
      <c r="C1090" t="s">
        <v>30</v>
      </c>
      <c r="D1090" t="s">
        <v>59</v>
      </c>
      <c r="E1090" t="s">
        <v>78</v>
      </c>
      <c r="F1090" t="s">
        <v>40</v>
      </c>
      <c r="G1090" t="s">
        <v>54</v>
      </c>
      <c r="H1090" t="s">
        <v>42</v>
      </c>
      <c r="I1090" t="s">
        <v>55</v>
      </c>
      <c r="J1090" t="s">
        <v>43</v>
      </c>
      <c r="K1090" t="s">
        <v>44</v>
      </c>
      <c r="L1090" t="s">
        <v>28</v>
      </c>
      <c r="M1090" s="4">
        <v>7</v>
      </c>
      <c r="N1090" s="4">
        <v>7</v>
      </c>
      <c r="O1090" t="s">
        <v>36</v>
      </c>
      <c r="P1090" t="s">
        <v>36</v>
      </c>
      <c r="Q1090" s="4">
        <v>347128</v>
      </c>
      <c r="R1090" s="4">
        <v>274886</v>
      </c>
      <c r="S1090" s="4">
        <f>Table1[[#This Row],[Service_Revenue]]-Table1[[#This Row],[Service_Cost]]</f>
        <v>72242</v>
      </c>
      <c r="T1090" s="4">
        <v>4</v>
      </c>
      <c r="U1090" s="4">
        <f>IF(AND(Table1[[#This Row],[Rework_Flag]]="Yes",Table1[[#This Row],[Warranty_Claim]]="No"),Table1[[#This Row],[Service_Revenue]],0)</f>
        <v>0</v>
      </c>
      <c r="V1090" s="4">
        <f>IF(Table1[[#This Row],[Warranty_Claim]]="Yes",1,0)</f>
        <v>0</v>
      </c>
      <c r="W1090" s="4">
        <f>IF(Table1[[#This Row],[Rework_Flag]]="No",1,0)</f>
        <v>1</v>
      </c>
      <c r="X1090" s="4">
        <f>IF(Table1[[#This Row],[Rework_Flag]]="Yes",1,0)</f>
        <v>0</v>
      </c>
      <c r="Y1090" s="4">
        <v>1</v>
      </c>
      <c r="Z1090" s="4" t="str">
        <f>IF(Table1[[#This Row],[TAT_Days]]&gt;Table1[[#This Row],[SLA_TAT]],"Yes","No")</f>
        <v>No</v>
      </c>
      <c r="AA1090" s="4" t="str" cm="1">
        <f t="array" ref="AA1090">_xlfn.IFS(Table1[[#This Row],[Customer_Satisfaction]]&lt;=2,"Poor",Table1[[#This Row],[Customer_Satisfaction]]=3,"Neutral",Table1[[#This Row],[Customer_Satisfaction]]=4,"Good",Table1[[#This Row],[Customer_Satisfaction]]=5,"Good")</f>
        <v>Good</v>
      </c>
    </row>
    <row r="1091" spans="1:27" x14ac:dyDescent="0.35">
      <c r="A1091">
        <v>21089</v>
      </c>
      <c r="B1091" s="1">
        <v>45463</v>
      </c>
      <c r="C1091" t="s">
        <v>19</v>
      </c>
      <c r="D1091" t="s">
        <v>96</v>
      </c>
      <c r="E1091" t="s">
        <v>105</v>
      </c>
      <c r="F1091" t="s">
        <v>22</v>
      </c>
      <c r="G1091" t="s">
        <v>54</v>
      </c>
      <c r="H1091" t="s">
        <v>42</v>
      </c>
      <c r="I1091" t="s">
        <v>25</v>
      </c>
      <c r="J1091" t="s">
        <v>35</v>
      </c>
      <c r="K1091" t="s">
        <v>44</v>
      </c>
      <c r="L1091" t="s">
        <v>28</v>
      </c>
      <c r="M1091" s="4">
        <v>12</v>
      </c>
      <c r="N1091" s="4">
        <v>7</v>
      </c>
      <c r="O1091" t="s">
        <v>36</v>
      </c>
      <c r="P1091" t="s">
        <v>29</v>
      </c>
      <c r="Q1091" s="4">
        <v>311609</v>
      </c>
      <c r="R1091" s="4">
        <v>191219</v>
      </c>
      <c r="S1091" s="4">
        <f>Table1[[#This Row],[Service_Revenue]]-Table1[[#This Row],[Service_Cost]]</f>
        <v>120390</v>
      </c>
      <c r="T1091" s="4">
        <v>3</v>
      </c>
      <c r="U1091" s="4">
        <f>IF(AND(Table1[[#This Row],[Rework_Flag]]="Yes",Table1[[#This Row],[Warranty_Claim]]="No"),Table1[[#This Row],[Service_Revenue]],0)</f>
        <v>0</v>
      </c>
      <c r="V1091" s="4">
        <f>IF(Table1[[#This Row],[Warranty_Claim]]="Yes",1,0)</f>
        <v>1</v>
      </c>
      <c r="W1091" s="4">
        <f>IF(Table1[[#This Row],[Rework_Flag]]="No",1,0)</f>
        <v>1</v>
      </c>
      <c r="X1091" s="4">
        <f>IF(Table1[[#This Row],[Rework_Flag]]="Yes",1,0)</f>
        <v>0</v>
      </c>
      <c r="Y1091" s="4">
        <v>1</v>
      </c>
      <c r="Z1091" s="4" t="str">
        <f>IF(Table1[[#This Row],[TAT_Days]]&gt;Table1[[#This Row],[SLA_TAT]],"Yes","No")</f>
        <v>Yes</v>
      </c>
      <c r="AA1091" s="4" t="str" cm="1">
        <f t="array" ref="AA1091">_xlfn.IFS(Table1[[#This Row],[Customer_Satisfaction]]&lt;=2,"Poor",Table1[[#This Row],[Customer_Satisfaction]]=3,"Neutral",Table1[[#This Row],[Customer_Satisfaction]]=4,"Good",Table1[[#This Row],[Customer_Satisfaction]]=5,"Good")</f>
        <v>Neutral</v>
      </c>
    </row>
    <row r="1092" spans="1:27" x14ac:dyDescent="0.35">
      <c r="A1092">
        <v>21090</v>
      </c>
      <c r="B1092" s="1">
        <v>45349</v>
      </c>
      <c r="C1092" t="s">
        <v>19</v>
      </c>
      <c r="D1092" t="s">
        <v>20</v>
      </c>
      <c r="E1092" t="s">
        <v>86</v>
      </c>
      <c r="F1092" t="s">
        <v>40</v>
      </c>
      <c r="G1092" t="s">
        <v>33</v>
      </c>
      <c r="H1092" t="s">
        <v>34</v>
      </c>
      <c r="I1092" t="s">
        <v>25</v>
      </c>
      <c r="J1092" t="s">
        <v>43</v>
      </c>
      <c r="K1092" t="s">
        <v>61</v>
      </c>
      <c r="L1092" t="s">
        <v>28</v>
      </c>
      <c r="M1092" s="4">
        <v>22</v>
      </c>
      <c r="N1092" s="4">
        <v>7</v>
      </c>
      <c r="O1092" t="s">
        <v>29</v>
      </c>
      <c r="P1092" t="s">
        <v>36</v>
      </c>
      <c r="Q1092" s="4">
        <v>533028</v>
      </c>
      <c r="R1092" s="4">
        <v>323752</v>
      </c>
      <c r="S1092" s="4">
        <f>Table1[[#This Row],[Service_Revenue]]-Table1[[#This Row],[Service_Cost]]</f>
        <v>209276</v>
      </c>
      <c r="T1092" s="4">
        <v>1</v>
      </c>
      <c r="U1092" s="4">
        <f>IF(AND(Table1[[#This Row],[Rework_Flag]]="Yes",Table1[[#This Row],[Warranty_Claim]]="No"),Table1[[#This Row],[Service_Revenue]],0)</f>
        <v>533028</v>
      </c>
      <c r="V1092" s="4">
        <f>IF(Table1[[#This Row],[Warranty_Claim]]="Yes",1,0)</f>
        <v>0</v>
      </c>
      <c r="W1092" s="4">
        <f>IF(Table1[[#This Row],[Rework_Flag]]="No",1,0)</f>
        <v>0</v>
      </c>
      <c r="X1092" s="4">
        <f>IF(Table1[[#This Row],[Rework_Flag]]="Yes",1,0)</f>
        <v>1</v>
      </c>
      <c r="Y1092" s="4">
        <v>1</v>
      </c>
      <c r="Z1092" s="4" t="str">
        <f>IF(Table1[[#This Row],[TAT_Days]]&gt;Table1[[#This Row],[SLA_TAT]],"Yes","No")</f>
        <v>Yes</v>
      </c>
      <c r="AA1092" s="4" t="str" cm="1">
        <f t="array" ref="AA1092">_xlfn.IFS(Table1[[#This Row],[Customer_Satisfaction]]&lt;=2,"Poor",Table1[[#This Row],[Customer_Satisfaction]]=3,"Neutral",Table1[[#This Row],[Customer_Satisfaction]]=4,"Good",Table1[[#This Row],[Customer_Satisfaction]]=5,"Good")</f>
        <v>Poor</v>
      </c>
    </row>
    <row r="1093" spans="1:27" x14ac:dyDescent="0.35">
      <c r="A1093">
        <v>21091</v>
      </c>
      <c r="B1093" s="1">
        <v>45418</v>
      </c>
      <c r="C1093" t="s">
        <v>19</v>
      </c>
      <c r="D1093" t="s">
        <v>45</v>
      </c>
      <c r="E1093" t="s">
        <v>114</v>
      </c>
      <c r="F1093" t="s">
        <v>40</v>
      </c>
      <c r="G1093" t="s">
        <v>23</v>
      </c>
      <c r="H1093" t="s">
        <v>24</v>
      </c>
      <c r="I1093" t="s">
        <v>55</v>
      </c>
      <c r="J1093" t="s">
        <v>26</v>
      </c>
      <c r="K1093" t="s">
        <v>27</v>
      </c>
      <c r="L1093" t="s">
        <v>28</v>
      </c>
      <c r="M1093" s="4">
        <v>25</v>
      </c>
      <c r="N1093" s="4">
        <v>7</v>
      </c>
      <c r="O1093" t="s">
        <v>29</v>
      </c>
      <c r="P1093" t="s">
        <v>29</v>
      </c>
      <c r="Q1093" s="4">
        <v>176597</v>
      </c>
      <c r="R1093" s="4">
        <v>106699</v>
      </c>
      <c r="S1093" s="4">
        <f>Table1[[#This Row],[Service_Revenue]]-Table1[[#This Row],[Service_Cost]]</f>
        <v>69898</v>
      </c>
      <c r="T1093" s="4">
        <v>1</v>
      </c>
      <c r="U1093" s="4">
        <f>IF(AND(Table1[[#This Row],[Rework_Flag]]="Yes",Table1[[#This Row],[Warranty_Claim]]="No"),Table1[[#This Row],[Service_Revenue]],0)</f>
        <v>0</v>
      </c>
      <c r="V1093" s="4">
        <f>IF(Table1[[#This Row],[Warranty_Claim]]="Yes",1,0)</f>
        <v>1</v>
      </c>
      <c r="W1093" s="4">
        <f>IF(Table1[[#This Row],[Rework_Flag]]="No",1,0)</f>
        <v>0</v>
      </c>
      <c r="X1093" s="4">
        <f>IF(Table1[[#This Row],[Rework_Flag]]="Yes",1,0)</f>
        <v>1</v>
      </c>
      <c r="Y1093" s="4">
        <v>1</v>
      </c>
      <c r="Z1093" s="4" t="str">
        <f>IF(Table1[[#This Row],[TAT_Days]]&gt;Table1[[#This Row],[SLA_TAT]],"Yes","No")</f>
        <v>Yes</v>
      </c>
      <c r="AA1093" s="4" t="str" cm="1">
        <f t="array" ref="AA1093">_xlfn.IFS(Table1[[#This Row],[Customer_Satisfaction]]&lt;=2,"Poor",Table1[[#This Row],[Customer_Satisfaction]]=3,"Neutral",Table1[[#This Row],[Customer_Satisfaction]]=4,"Good",Table1[[#This Row],[Customer_Satisfaction]]=5,"Good")</f>
        <v>Poor</v>
      </c>
    </row>
    <row r="1094" spans="1:27" x14ac:dyDescent="0.35">
      <c r="A1094">
        <v>21092</v>
      </c>
      <c r="B1094" s="1">
        <v>45459</v>
      </c>
      <c r="C1094" t="s">
        <v>50</v>
      </c>
      <c r="D1094" t="s">
        <v>56</v>
      </c>
      <c r="E1094" t="s">
        <v>68</v>
      </c>
      <c r="F1094" t="s">
        <v>22</v>
      </c>
      <c r="G1094" t="s">
        <v>74</v>
      </c>
      <c r="H1094" t="s">
        <v>34</v>
      </c>
      <c r="I1094" t="s">
        <v>25</v>
      </c>
      <c r="J1094" t="s">
        <v>67</v>
      </c>
      <c r="K1094" t="s">
        <v>61</v>
      </c>
      <c r="L1094" t="s">
        <v>28</v>
      </c>
      <c r="M1094" s="4">
        <v>10</v>
      </c>
      <c r="N1094" s="4">
        <v>7</v>
      </c>
      <c r="O1094" t="s">
        <v>29</v>
      </c>
      <c r="P1094" t="s">
        <v>29</v>
      </c>
      <c r="Q1094" s="4">
        <v>338904</v>
      </c>
      <c r="R1094" s="4">
        <v>232928</v>
      </c>
      <c r="S1094" s="4">
        <f>Table1[[#This Row],[Service_Revenue]]-Table1[[#This Row],[Service_Cost]]</f>
        <v>105976</v>
      </c>
      <c r="T1094" s="4">
        <v>2</v>
      </c>
      <c r="U1094" s="4">
        <f>IF(AND(Table1[[#This Row],[Rework_Flag]]="Yes",Table1[[#This Row],[Warranty_Claim]]="No"),Table1[[#This Row],[Service_Revenue]],0)</f>
        <v>0</v>
      </c>
      <c r="V1094" s="4">
        <f>IF(Table1[[#This Row],[Warranty_Claim]]="Yes",1,0)</f>
        <v>1</v>
      </c>
      <c r="W1094" s="4">
        <f>IF(Table1[[#This Row],[Rework_Flag]]="No",1,0)</f>
        <v>0</v>
      </c>
      <c r="X1094" s="4">
        <f>IF(Table1[[#This Row],[Rework_Flag]]="Yes",1,0)</f>
        <v>1</v>
      </c>
      <c r="Y1094" s="4">
        <v>1</v>
      </c>
      <c r="Z1094" s="4" t="str">
        <f>IF(Table1[[#This Row],[TAT_Days]]&gt;Table1[[#This Row],[SLA_TAT]],"Yes","No")</f>
        <v>Yes</v>
      </c>
      <c r="AA1094" s="4" t="str" cm="1">
        <f t="array" ref="AA1094">_xlfn.IFS(Table1[[#This Row],[Customer_Satisfaction]]&lt;=2,"Poor",Table1[[#This Row],[Customer_Satisfaction]]=3,"Neutral",Table1[[#This Row],[Customer_Satisfaction]]=4,"Good",Table1[[#This Row],[Customer_Satisfaction]]=5,"Good")</f>
        <v>Poor</v>
      </c>
    </row>
    <row r="1095" spans="1:27" x14ac:dyDescent="0.35">
      <c r="A1095">
        <v>21093</v>
      </c>
      <c r="B1095" s="1">
        <v>45449</v>
      </c>
      <c r="C1095" t="s">
        <v>19</v>
      </c>
      <c r="D1095" t="s">
        <v>96</v>
      </c>
      <c r="E1095" t="s">
        <v>98</v>
      </c>
      <c r="F1095" t="s">
        <v>22</v>
      </c>
      <c r="G1095" t="s">
        <v>63</v>
      </c>
      <c r="H1095" t="s">
        <v>24</v>
      </c>
      <c r="I1095" t="s">
        <v>55</v>
      </c>
      <c r="J1095" t="s">
        <v>43</v>
      </c>
      <c r="K1095" t="s">
        <v>27</v>
      </c>
      <c r="L1095" t="s">
        <v>28</v>
      </c>
      <c r="M1095" s="4">
        <v>21</v>
      </c>
      <c r="N1095" s="4">
        <v>7</v>
      </c>
      <c r="O1095" t="s">
        <v>29</v>
      </c>
      <c r="P1095" t="s">
        <v>36</v>
      </c>
      <c r="Q1095" s="4">
        <v>163206</v>
      </c>
      <c r="R1095" s="4">
        <v>107043</v>
      </c>
      <c r="S1095" s="4">
        <f>Table1[[#This Row],[Service_Revenue]]-Table1[[#This Row],[Service_Cost]]</f>
        <v>56163</v>
      </c>
      <c r="T1095" s="4">
        <v>1</v>
      </c>
      <c r="U1095" s="4">
        <f>IF(AND(Table1[[#This Row],[Rework_Flag]]="Yes",Table1[[#This Row],[Warranty_Claim]]="No"),Table1[[#This Row],[Service_Revenue]],0)</f>
        <v>163206</v>
      </c>
      <c r="V1095" s="4">
        <f>IF(Table1[[#This Row],[Warranty_Claim]]="Yes",1,0)</f>
        <v>0</v>
      </c>
      <c r="W1095" s="4">
        <f>IF(Table1[[#This Row],[Rework_Flag]]="No",1,0)</f>
        <v>0</v>
      </c>
      <c r="X1095" s="4">
        <f>IF(Table1[[#This Row],[Rework_Flag]]="Yes",1,0)</f>
        <v>1</v>
      </c>
      <c r="Y1095" s="4">
        <v>1</v>
      </c>
      <c r="Z1095" s="4" t="str">
        <f>IF(Table1[[#This Row],[TAT_Days]]&gt;Table1[[#This Row],[SLA_TAT]],"Yes","No")</f>
        <v>Yes</v>
      </c>
      <c r="AA1095" s="4" t="str" cm="1">
        <f t="array" ref="AA1095">_xlfn.IFS(Table1[[#This Row],[Customer_Satisfaction]]&lt;=2,"Poor",Table1[[#This Row],[Customer_Satisfaction]]=3,"Neutral",Table1[[#This Row],[Customer_Satisfaction]]=4,"Good",Table1[[#This Row],[Customer_Satisfaction]]=5,"Good")</f>
        <v>Poor</v>
      </c>
    </row>
    <row r="1096" spans="1:27" x14ac:dyDescent="0.35">
      <c r="A1096">
        <v>21094</v>
      </c>
      <c r="B1096" s="1">
        <v>45437</v>
      </c>
      <c r="C1096" t="s">
        <v>50</v>
      </c>
      <c r="D1096" t="s">
        <v>80</v>
      </c>
      <c r="E1096" t="s">
        <v>121</v>
      </c>
      <c r="F1096" t="s">
        <v>22</v>
      </c>
      <c r="G1096" t="s">
        <v>41</v>
      </c>
      <c r="H1096" t="s">
        <v>42</v>
      </c>
      <c r="I1096" t="s">
        <v>55</v>
      </c>
      <c r="J1096" t="s">
        <v>67</v>
      </c>
      <c r="K1096" t="s">
        <v>44</v>
      </c>
      <c r="L1096" t="s">
        <v>49</v>
      </c>
      <c r="M1096" s="4">
        <v>17</v>
      </c>
      <c r="N1096" s="4">
        <v>7</v>
      </c>
      <c r="O1096" t="s">
        <v>29</v>
      </c>
      <c r="P1096" t="s">
        <v>36</v>
      </c>
      <c r="Q1096" s="4">
        <v>284255</v>
      </c>
      <c r="R1096" s="4">
        <v>146059</v>
      </c>
      <c r="S1096" s="4">
        <f>Table1[[#This Row],[Service_Revenue]]-Table1[[#This Row],[Service_Cost]]</f>
        <v>138196</v>
      </c>
      <c r="T1096" s="4">
        <v>1</v>
      </c>
      <c r="U1096" s="4">
        <f>IF(AND(Table1[[#This Row],[Rework_Flag]]="Yes",Table1[[#This Row],[Warranty_Claim]]="No"),Table1[[#This Row],[Service_Revenue]],0)</f>
        <v>284255</v>
      </c>
      <c r="V1096" s="4">
        <f>IF(Table1[[#This Row],[Warranty_Claim]]="Yes",1,0)</f>
        <v>0</v>
      </c>
      <c r="W1096" s="4">
        <f>IF(Table1[[#This Row],[Rework_Flag]]="No",1,0)</f>
        <v>0</v>
      </c>
      <c r="X1096" s="4">
        <f>IF(Table1[[#This Row],[Rework_Flag]]="Yes",1,0)</f>
        <v>1</v>
      </c>
      <c r="Y1096" s="4">
        <v>1</v>
      </c>
      <c r="Z1096" s="4" t="str">
        <f>IF(Table1[[#This Row],[TAT_Days]]&gt;Table1[[#This Row],[SLA_TAT]],"Yes","No")</f>
        <v>Yes</v>
      </c>
      <c r="AA1096" s="4" t="str" cm="1">
        <f t="array" ref="AA1096">_xlfn.IFS(Table1[[#This Row],[Customer_Satisfaction]]&lt;=2,"Poor",Table1[[#This Row],[Customer_Satisfaction]]=3,"Neutral",Table1[[#This Row],[Customer_Satisfaction]]=4,"Good",Table1[[#This Row],[Customer_Satisfaction]]=5,"Good")</f>
        <v>Poor</v>
      </c>
    </row>
    <row r="1097" spans="1:27" x14ac:dyDescent="0.35">
      <c r="A1097">
        <v>21095</v>
      </c>
      <c r="B1097" s="1">
        <v>45338</v>
      </c>
      <c r="C1097" t="s">
        <v>37</v>
      </c>
      <c r="D1097" t="s">
        <v>38</v>
      </c>
      <c r="E1097" t="s">
        <v>107</v>
      </c>
      <c r="F1097" t="s">
        <v>53</v>
      </c>
      <c r="G1097" t="s">
        <v>41</v>
      </c>
      <c r="H1097" t="s">
        <v>42</v>
      </c>
      <c r="I1097" t="s">
        <v>55</v>
      </c>
      <c r="J1097" t="s">
        <v>35</v>
      </c>
      <c r="K1097" t="s">
        <v>44</v>
      </c>
      <c r="L1097" t="s">
        <v>49</v>
      </c>
      <c r="M1097" s="4">
        <v>7</v>
      </c>
      <c r="N1097" s="4">
        <v>7</v>
      </c>
      <c r="O1097" t="s">
        <v>36</v>
      </c>
      <c r="P1097" t="s">
        <v>29</v>
      </c>
      <c r="Q1097" s="4">
        <v>338155</v>
      </c>
      <c r="R1097" s="4">
        <v>251026</v>
      </c>
      <c r="S1097" s="4">
        <f>Table1[[#This Row],[Service_Revenue]]-Table1[[#This Row],[Service_Cost]]</f>
        <v>87129</v>
      </c>
      <c r="T1097" s="4">
        <v>4</v>
      </c>
      <c r="U1097" s="4">
        <f>IF(AND(Table1[[#This Row],[Rework_Flag]]="Yes",Table1[[#This Row],[Warranty_Claim]]="No"),Table1[[#This Row],[Service_Revenue]],0)</f>
        <v>0</v>
      </c>
      <c r="V1097" s="4">
        <f>IF(Table1[[#This Row],[Warranty_Claim]]="Yes",1,0)</f>
        <v>1</v>
      </c>
      <c r="W1097" s="4">
        <f>IF(Table1[[#This Row],[Rework_Flag]]="No",1,0)</f>
        <v>1</v>
      </c>
      <c r="X1097" s="4">
        <f>IF(Table1[[#This Row],[Rework_Flag]]="Yes",1,0)</f>
        <v>0</v>
      </c>
      <c r="Y1097" s="4">
        <v>1</v>
      </c>
      <c r="Z1097" s="4" t="str">
        <f>IF(Table1[[#This Row],[TAT_Days]]&gt;Table1[[#This Row],[SLA_TAT]],"Yes","No")</f>
        <v>No</v>
      </c>
      <c r="AA1097" s="4" t="str" cm="1">
        <f t="array" ref="AA1097">_xlfn.IFS(Table1[[#This Row],[Customer_Satisfaction]]&lt;=2,"Poor",Table1[[#This Row],[Customer_Satisfaction]]=3,"Neutral",Table1[[#This Row],[Customer_Satisfaction]]=4,"Good",Table1[[#This Row],[Customer_Satisfaction]]=5,"Good")</f>
        <v>Good</v>
      </c>
    </row>
    <row r="1098" spans="1:27" x14ac:dyDescent="0.35">
      <c r="A1098">
        <v>21096</v>
      </c>
      <c r="B1098" s="1">
        <v>45444</v>
      </c>
      <c r="C1098" t="s">
        <v>30</v>
      </c>
      <c r="D1098" t="s">
        <v>31</v>
      </c>
      <c r="E1098" t="s">
        <v>79</v>
      </c>
      <c r="F1098" t="s">
        <v>40</v>
      </c>
      <c r="G1098" t="s">
        <v>47</v>
      </c>
      <c r="H1098" t="s">
        <v>48</v>
      </c>
      <c r="I1098" t="s">
        <v>25</v>
      </c>
      <c r="J1098" t="s">
        <v>26</v>
      </c>
      <c r="K1098" t="s">
        <v>61</v>
      </c>
      <c r="L1098" t="s">
        <v>28</v>
      </c>
      <c r="M1098" s="4">
        <v>21</v>
      </c>
      <c r="N1098" s="4">
        <v>7</v>
      </c>
      <c r="O1098" t="s">
        <v>29</v>
      </c>
      <c r="P1098" t="s">
        <v>36</v>
      </c>
      <c r="Q1098" s="4">
        <v>242246</v>
      </c>
      <c r="R1098" s="4">
        <v>170675</v>
      </c>
      <c r="S1098" s="4">
        <f>Table1[[#This Row],[Service_Revenue]]-Table1[[#This Row],[Service_Cost]]</f>
        <v>71571</v>
      </c>
      <c r="T1098" s="4">
        <v>1</v>
      </c>
      <c r="U1098" s="4">
        <f>IF(AND(Table1[[#This Row],[Rework_Flag]]="Yes",Table1[[#This Row],[Warranty_Claim]]="No"),Table1[[#This Row],[Service_Revenue]],0)</f>
        <v>242246</v>
      </c>
      <c r="V1098" s="4">
        <f>IF(Table1[[#This Row],[Warranty_Claim]]="Yes",1,0)</f>
        <v>0</v>
      </c>
      <c r="W1098" s="4">
        <f>IF(Table1[[#This Row],[Rework_Flag]]="No",1,0)</f>
        <v>0</v>
      </c>
      <c r="X1098" s="4">
        <f>IF(Table1[[#This Row],[Rework_Flag]]="Yes",1,0)</f>
        <v>1</v>
      </c>
      <c r="Y1098" s="4">
        <v>1</v>
      </c>
      <c r="Z1098" s="4" t="str">
        <f>IF(Table1[[#This Row],[TAT_Days]]&gt;Table1[[#This Row],[SLA_TAT]],"Yes","No")</f>
        <v>Yes</v>
      </c>
      <c r="AA1098" s="4" t="str" cm="1">
        <f t="array" ref="AA1098">_xlfn.IFS(Table1[[#This Row],[Customer_Satisfaction]]&lt;=2,"Poor",Table1[[#This Row],[Customer_Satisfaction]]=3,"Neutral",Table1[[#This Row],[Customer_Satisfaction]]=4,"Good",Table1[[#This Row],[Customer_Satisfaction]]=5,"Good")</f>
        <v>Poor</v>
      </c>
    </row>
    <row r="1099" spans="1:27" x14ac:dyDescent="0.35">
      <c r="A1099">
        <v>21097</v>
      </c>
      <c r="B1099" s="1">
        <v>45429</v>
      </c>
      <c r="C1099" t="s">
        <v>30</v>
      </c>
      <c r="D1099" t="s">
        <v>83</v>
      </c>
      <c r="E1099" t="s">
        <v>92</v>
      </c>
      <c r="F1099" t="s">
        <v>53</v>
      </c>
      <c r="G1099" t="s">
        <v>41</v>
      </c>
      <c r="H1099" t="s">
        <v>42</v>
      </c>
      <c r="I1099" t="s">
        <v>25</v>
      </c>
      <c r="J1099" t="s">
        <v>58</v>
      </c>
      <c r="K1099" t="s">
        <v>27</v>
      </c>
      <c r="L1099" t="s">
        <v>28</v>
      </c>
      <c r="M1099" s="4">
        <v>16</v>
      </c>
      <c r="N1099" s="4">
        <v>7</v>
      </c>
      <c r="O1099" t="s">
        <v>29</v>
      </c>
      <c r="P1099" t="s">
        <v>29</v>
      </c>
      <c r="Q1099" s="4">
        <v>406144</v>
      </c>
      <c r="R1099" s="4">
        <v>293972</v>
      </c>
      <c r="S1099" s="4">
        <f>Table1[[#This Row],[Service_Revenue]]-Table1[[#This Row],[Service_Cost]]</f>
        <v>112172</v>
      </c>
      <c r="T1099" s="4">
        <v>1</v>
      </c>
      <c r="U1099" s="4">
        <f>IF(AND(Table1[[#This Row],[Rework_Flag]]="Yes",Table1[[#This Row],[Warranty_Claim]]="No"),Table1[[#This Row],[Service_Revenue]],0)</f>
        <v>0</v>
      </c>
      <c r="V1099" s="4">
        <f>IF(Table1[[#This Row],[Warranty_Claim]]="Yes",1,0)</f>
        <v>1</v>
      </c>
      <c r="W1099" s="4">
        <f>IF(Table1[[#This Row],[Rework_Flag]]="No",1,0)</f>
        <v>0</v>
      </c>
      <c r="X1099" s="4">
        <f>IF(Table1[[#This Row],[Rework_Flag]]="Yes",1,0)</f>
        <v>1</v>
      </c>
      <c r="Y1099" s="4">
        <v>1</v>
      </c>
      <c r="Z1099" s="4" t="str">
        <f>IF(Table1[[#This Row],[TAT_Days]]&gt;Table1[[#This Row],[SLA_TAT]],"Yes","No")</f>
        <v>Yes</v>
      </c>
      <c r="AA1099" s="4" t="str" cm="1">
        <f t="array" ref="AA1099">_xlfn.IFS(Table1[[#This Row],[Customer_Satisfaction]]&lt;=2,"Poor",Table1[[#This Row],[Customer_Satisfaction]]=3,"Neutral",Table1[[#This Row],[Customer_Satisfaction]]=4,"Good",Table1[[#This Row],[Customer_Satisfaction]]=5,"Good")</f>
        <v>Poor</v>
      </c>
    </row>
    <row r="1100" spans="1:27" x14ac:dyDescent="0.35">
      <c r="A1100">
        <v>21098</v>
      </c>
      <c r="B1100" s="1">
        <v>45416</v>
      </c>
      <c r="C1100" t="s">
        <v>50</v>
      </c>
      <c r="D1100" t="s">
        <v>80</v>
      </c>
      <c r="E1100" t="s">
        <v>121</v>
      </c>
      <c r="F1100" t="s">
        <v>22</v>
      </c>
      <c r="G1100" t="s">
        <v>54</v>
      </c>
      <c r="H1100" t="s">
        <v>42</v>
      </c>
      <c r="I1100" t="s">
        <v>55</v>
      </c>
      <c r="J1100" t="s">
        <v>58</v>
      </c>
      <c r="K1100" t="s">
        <v>61</v>
      </c>
      <c r="L1100" t="s">
        <v>49</v>
      </c>
      <c r="M1100" s="4">
        <v>3</v>
      </c>
      <c r="N1100" s="4">
        <v>7</v>
      </c>
      <c r="O1100" t="s">
        <v>29</v>
      </c>
      <c r="P1100" t="s">
        <v>36</v>
      </c>
      <c r="Q1100" s="4">
        <v>487563</v>
      </c>
      <c r="R1100" s="4">
        <v>380858</v>
      </c>
      <c r="S1100" s="4">
        <f>Table1[[#This Row],[Service_Revenue]]-Table1[[#This Row],[Service_Cost]]</f>
        <v>106705</v>
      </c>
      <c r="T1100" s="4">
        <v>4</v>
      </c>
      <c r="U1100" s="4">
        <f>IF(AND(Table1[[#This Row],[Rework_Flag]]="Yes",Table1[[#This Row],[Warranty_Claim]]="No"),Table1[[#This Row],[Service_Revenue]],0)</f>
        <v>487563</v>
      </c>
      <c r="V1100" s="4">
        <f>IF(Table1[[#This Row],[Warranty_Claim]]="Yes",1,0)</f>
        <v>0</v>
      </c>
      <c r="W1100" s="4">
        <f>IF(Table1[[#This Row],[Rework_Flag]]="No",1,0)</f>
        <v>0</v>
      </c>
      <c r="X1100" s="4">
        <f>IF(Table1[[#This Row],[Rework_Flag]]="Yes",1,0)</f>
        <v>1</v>
      </c>
      <c r="Y1100" s="4">
        <v>1</v>
      </c>
      <c r="Z1100" s="4" t="str">
        <f>IF(Table1[[#This Row],[TAT_Days]]&gt;Table1[[#This Row],[SLA_TAT]],"Yes","No")</f>
        <v>No</v>
      </c>
      <c r="AA1100" s="4" t="str" cm="1">
        <f t="array" ref="AA1100">_xlfn.IFS(Table1[[#This Row],[Customer_Satisfaction]]&lt;=2,"Poor",Table1[[#This Row],[Customer_Satisfaction]]=3,"Neutral",Table1[[#This Row],[Customer_Satisfaction]]=4,"Good",Table1[[#This Row],[Customer_Satisfaction]]=5,"Good")</f>
        <v>Good</v>
      </c>
    </row>
    <row r="1101" spans="1:27" x14ac:dyDescent="0.35">
      <c r="A1101">
        <v>21099</v>
      </c>
      <c r="B1101" s="1">
        <v>45329</v>
      </c>
      <c r="C1101" t="s">
        <v>37</v>
      </c>
      <c r="D1101" t="s">
        <v>70</v>
      </c>
      <c r="E1101" t="s">
        <v>82</v>
      </c>
      <c r="F1101" t="s">
        <v>40</v>
      </c>
      <c r="G1101" t="s">
        <v>33</v>
      </c>
      <c r="H1101" t="s">
        <v>34</v>
      </c>
      <c r="I1101" t="s">
        <v>55</v>
      </c>
      <c r="J1101" t="s">
        <v>67</v>
      </c>
      <c r="K1101" t="s">
        <v>27</v>
      </c>
      <c r="L1101" t="s">
        <v>49</v>
      </c>
      <c r="M1101" s="4">
        <v>24</v>
      </c>
      <c r="N1101" s="4">
        <v>7</v>
      </c>
      <c r="O1101" t="s">
        <v>29</v>
      </c>
      <c r="P1101" t="s">
        <v>36</v>
      </c>
      <c r="Q1101" s="4">
        <v>303275</v>
      </c>
      <c r="R1101" s="4">
        <v>204181</v>
      </c>
      <c r="S1101" s="4">
        <f>Table1[[#This Row],[Service_Revenue]]-Table1[[#This Row],[Service_Cost]]</f>
        <v>99094</v>
      </c>
      <c r="T1101" s="4">
        <v>1</v>
      </c>
      <c r="U1101" s="4">
        <f>IF(AND(Table1[[#This Row],[Rework_Flag]]="Yes",Table1[[#This Row],[Warranty_Claim]]="No"),Table1[[#This Row],[Service_Revenue]],0)</f>
        <v>303275</v>
      </c>
      <c r="V1101" s="4">
        <f>IF(Table1[[#This Row],[Warranty_Claim]]="Yes",1,0)</f>
        <v>0</v>
      </c>
      <c r="W1101" s="4">
        <f>IF(Table1[[#This Row],[Rework_Flag]]="No",1,0)</f>
        <v>0</v>
      </c>
      <c r="X1101" s="4">
        <f>IF(Table1[[#This Row],[Rework_Flag]]="Yes",1,0)</f>
        <v>1</v>
      </c>
      <c r="Y1101" s="4">
        <v>1</v>
      </c>
      <c r="Z1101" s="4" t="str">
        <f>IF(Table1[[#This Row],[TAT_Days]]&gt;Table1[[#This Row],[SLA_TAT]],"Yes","No")</f>
        <v>Yes</v>
      </c>
      <c r="AA1101" s="4" t="str" cm="1">
        <f t="array" ref="AA1101">_xlfn.IFS(Table1[[#This Row],[Customer_Satisfaction]]&lt;=2,"Poor",Table1[[#This Row],[Customer_Satisfaction]]=3,"Neutral",Table1[[#This Row],[Customer_Satisfaction]]=4,"Good",Table1[[#This Row],[Customer_Satisfaction]]=5,"Good")</f>
        <v>Poor</v>
      </c>
    </row>
    <row r="1102" spans="1:27" x14ac:dyDescent="0.35">
      <c r="A1102">
        <v>21100</v>
      </c>
      <c r="B1102" s="1">
        <v>45432</v>
      </c>
      <c r="C1102" t="s">
        <v>19</v>
      </c>
      <c r="D1102" t="s">
        <v>96</v>
      </c>
      <c r="E1102" t="s">
        <v>98</v>
      </c>
      <c r="F1102" t="s">
        <v>53</v>
      </c>
      <c r="G1102" t="s">
        <v>63</v>
      </c>
      <c r="H1102" t="s">
        <v>24</v>
      </c>
      <c r="I1102" t="s">
        <v>25</v>
      </c>
      <c r="J1102" t="s">
        <v>26</v>
      </c>
      <c r="K1102" t="s">
        <v>61</v>
      </c>
      <c r="L1102" t="s">
        <v>49</v>
      </c>
      <c r="M1102" s="4">
        <v>4</v>
      </c>
      <c r="N1102" s="4">
        <v>7</v>
      </c>
      <c r="O1102" t="s">
        <v>29</v>
      </c>
      <c r="P1102" t="s">
        <v>36</v>
      </c>
      <c r="Q1102" s="4">
        <v>90118</v>
      </c>
      <c r="R1102" s="4">
        <v>65368</v>
      </c>
      <c r="S1102" s="4">
        <f>Table1[[#This Row],[Service_Revenue]]-Table1[[#This Row],[Service_Cost]]</f>
        <v>24750</v>
      </c>
      <c r="T1102" s="4">
        <v>4</v>
      </c>
      <c r="U1102" s="4">
        <f>IF(AND(Table1[[#This Row],[Rework_Flag]]="Yes",Table1[[#This Row],[Warranty_Claim]]="No"),Table1[[#This Row],[Service_Revenue]],0)</f>
        <v>90118</v>
      </c>
      <c r="V1102" s="4">
        <f>IF(Table1[[#This Row],[Warranty_Claim]]="Yes",1,0)</f>
        <v>0</v>
      </c>
      <c r="W1102" s="4">
        <f>IF(Table1[[#This Row],[Rework_Flag]]="No",1,0)</f>
        <v>0</v>
      </c>
      <c r="X1102" s="4">
        <f>IF(Table1[[#This Row],[Rework_Flag]]="Yes",1,0)</f>
        <v>1</v>
      </c>
      <c r="Y1102" s="4">
        <v>1</v>
      </c>
      <c r="Z1102" s="4" t="str">
        <f>IF(Table1[[#This Row],[TAT_Days]]&gt;Table1[[#This Row],[SLA_TAT]],"Yes","No")</f>
        <v>No</v>
      </c>
      <c r="AA1102" s="4" t="str" cm="1">
        <f t="array" ref="AA1102">_xlfn.IFS(Table1[[#This Row],[Customer_Satisfaction]]&lt;=2,"Poor",Table1[[#This Row],[Customer_Satisfaction]]=3,"Neutral",Table1[[#This Row],[Customer_Satisfaction]]=4,"Good",Table1[[#This Row],[Customer_Satisfaction]]=5,"Good")</f>
        <v>Good</v>
      </c>
    </row>
    <row r="1103" spans="1:27" x14ac:dyDescent="0.35">
      <c r="A1103">
        <v>21101</v>
      </c>
      <c r="B1103" s="1">
        <v>45343</v>
      </c>
      <c r="C1103" t="s">
        <v>30</v>
      </c>
      <c r="D1103" t="s">
        <v>31</v>
      </c>
      <c r="E1103" t="s">
        <v>79</v>
      </c>
      <c r="F1103" t="s">
        <v>53</v>
      </c>
      <c r="G1103" t="s">
        <v>54</v>
      </c>
      <c r="H1103" t="s">
        <v>42</v>
      </c>
      <c r="I1103" t="s">
        <v>25</v>
      </c>
      <c r="J1103" t="s">
        <v>58</v>
      </c>
      <c r="K1103" t="s">
        <v>27</v>
      </c>
      <c r="L1103" t="s">
        <v>28</v>
      </c>
      <c r="M1103" s="4">
        <v>7</v>
      </c>
      <c r="N1103" s="4">
        <v>7</v>
      </c>
      <c r="O1103" t="s">
        <v>29</v>
      </c>
      <c r="P1103" t="s">
        <v>36</v>
      </c>
      <c r="Q1103" s="4">
        <v>438940</v>
      </c>
      <c r="R1103" s="4">
        <v>332410</v>
      </c>
      <c r="S1103" s="4">
        <f>Table1[[#This Row],[Service_Revenue]]-Table1[[#This Row],[Service_Cost]]</f>
        <v>106530</v>
      </c>
      <c r="T1103" s="4">
        <v>3</v>
      </c>
      <c r="U1103" s="4">
        <f>IF(AND(Table1[[#This Row],[Rework_Flag]]="Yes",Table1[[#This Row],[Warranty_Claim]]="No"),Table1[[#This Row],[Service_Revenue]],0)</f>
        <v>438940</v>
      </c>
      <c r="V1103" s="4">
        <f>IF(Table1[[#This Row],[Warranty_Claim]]="Yes",1,0)</f>
        <v>0</v>
      </c>
      <c r="W1103" s="4">
        <f>IF(Table1[[#This Row],[Rework_Flag]]="No",1,0)</f>
        <v>0</v>
      </c>
      <c r="X1103" s="4">
        <f>IF(Table1[[#This Row],[Rework_Flag]]="Yes",1,0)</f>
        <v>1</v>
      </c>
      <c r="Y1103" s="4">
        <v>1</v>
      </c>
      <c r="Z1103" s="4" t="str">
        <f>IF(Table1[[#This Row],[TAT_Days]]&gt;Table1[[#This Row],[SLA_TAT]],"Yes","No")</f>
        <v>No</v>
      </c>
      <c r="AA1103" s="4" t="str" cm="1">
        <f t="array" ref="AA1103">_xlfn.IFS(Table1[[#This Row],[Customer_Satisfaction]]&lt;=2,"Poor",Table1[[#This Row],[Customer_Satisfaction]]=3,"Neutral",Table1[[#This Row],[Customer_Satisfaction]]=4,"Good",Table1[[#This Row],[Customer_Satisfaction]]=5,"Good")</f>
        <v>Neutral</v>
      </c>
    </row>
    <row r="1104" spans="1:27" x14ac:dyDescent="0.35">
      <c r="A1104">
        <v>21102</v>
      </c>
      <c r="B1104" s="1">
        <v>45418</v>
      </c>
      <c r="C1104" t="s">
        <v>19</v>
      </c>
      <c r="D1104" t="s">
        <v>20</v>
      </c>
      <c r="E1104" t="s">
        <v>110</v>
      </c>
      <c r="F1104" t="s">
        <v>53</v>
      </c>
      <c r="G1104" t="s">
        <v>33</v>
      </c>
      <c r="H1104" t="s">
        <v>34</v>
      </c>
      <c r="I1104" t="s">
        <v>55</v>
      </c>
      <c r="J1104" t="s">
        <v>26</v>
      </c>
      <c r="K1104" t="s">
        <v>61</v>
      </c>
      <c r="L1104" t="s">
        <v>28</v>
      </c>
      <c r="M1104" s="4">
        <v>7</v>
      </c>
      <c r="N1104" s="4">
        <v>7</v>
      </c>
      <c r="O1104" t="s">
        <v>29</v>
      </c>
      <c r="P1104" t="s">
        <v>36</v>
      </c>
      <c r="Q1104" s="4">
        <v>427572</v>
      </c>
      <c r="R1104" s="4">
        <v>333540</v>
      </c>
      <c r="S1104" s="4">
        <f>Table1[[#This Row],[Service_Revenue]]-Table1[[#This Row],[Service_Cost]]</f>
        <v>94032</v>
      </c>
      <c r="T1104" s="4">
        <v>3</v>
      </c>
      <c r="U1104" s="4">
        <f>IF(AND(Table1[[#This Row],[Rework_Flag]]="Yes",Table1[[#This Row],[Warranty_Claim]]="No"),Table1[[#This Row],[Service_Revenue]],0)</f>
        <v>427572</v>
      </c>
      <c r="V1104" s="4">
        <f>IF(Table1[[#This Row],[Warranty_Claim]]="Yes",1,0)</f>
        <v>0</v>
      </c>
      <c r="W1104" s="4">
        <f>IF(Table1[[#This Row],[Rework_Flag]]="No",1,0)</f>
        <v>0</v>
      </c>
      <c r="X1104" s="4">
        <f>IF(Table1[[#This Row],[Rework_Flag]]="Yes",1,0)</f>
        <v>1</v>
      </c>
      <c r="Y1104" s="4">
        <v>1</v>
      </c>
      <c r="Z1104" s="4" t="str">
        <f>IF(Table1[[#This Row],[TAT_Days]]&gt;Table1[[#This Row],[SLA_TAT]],"Yes","No")</f>
        <v>No</v>
      </c>
      <c r="AA1104" s="4" t="str" cm="1">
        <f t="array" ref="AA1104">_xlfn.IFS(Table1[[#This Row],[Customer_Satisfaction]]&lt;=2,"Poor",Table1[[#This Row],[Customer_Satisfaction]]=3,"Neutral",Table1[[#This Row],[Customer_Satisfaction]]=4,"Good",Table1[[#This Row],[Customer_Satisfaction]]=5,"Good")</f>
        <v>Neutral</v>
      </c>
    </row>
    <row r="1105" spans="1:27" x14ac:dyDescent="0.35">
      <c r="A1105">
        <v>21103</v>
      </c>
      <c r="B1105" s="1">
        <v>45341</v>
      </c>
      <c r="C1105" t="s">
        <v>37</v>
      </c>
      <c r="D1105" t="s">
        <v>70</v>
      </c>
      <c r="E1105" t="s">
        <v>71</v>
      </c>
      <c r="F1105" t="s">
        <v>53</v>
      </c>
      <c r="G1105" t="s">
        <v>23</v>
      </c>
      <c r="H1105" t="s">
        <v>24</v>
      </c>
      <c r="I1105" t="s">
        <v>25</v>
      </c>
      <c r="J1105" t="s">
        <v>43</v>
      </c>
      <c r="K1105" t="s">
        <v>27</v>
      </c>
      <c r="L1105" t="s">
        <v>49</v>
      </c>
      <c r="M1105" s="4">
        <v>25</v>
      </c>
      <c r="N1105" s="4">
        <v>7</v>
      </c>
      <c r="O1105" t="s">
        <v>29</v>
      </c>
      <c r="P1105" t="s">
        <v>36</v>
      </c>
      <c r="Q1105" s="4">
        <v>208775</v>
      </c>
      <c r="R1105" s="4">
        <v>109157</v>
      </c>
      <c r="S1105" s="4">
        <f>Table1[[#This Row],[Service_Revenue]]-Table1[[#This Row],[Service_Cost]]</f>
        <v>99618</v>
      </c>
      <c r="T1105" s="4">
        <v>1</v>
      </c>
      <c r="U1105" s="4">
        <f>IF(AND(Table1[[#This Row],[Rework_Flag]]="Yes",Table1[[#This Row],[Warranty_Claim]]="No"),Table1[[#This Row],[Service_Revenue]],0)</f>
        <v>208775</v>
      </c>
      <c r="V1105" s="4">
        <f>IF(Table1[[#This Row],[Warranty_Claim]]="Yes",1,0)</f>
        <v>0</v>
      </c>
      <c r="W1105" s="4">
        <f>IF(Table1[[#This Row],[Rework_Flag]]="No",1,0)</f>
        <v>0</v>
      </c>
      <c r="X1105" s="4">
        <f>IF(Table1[[#This Row],[Rework_Flag]]="Yes",1,0)</f>
        <v>1</v>
      </c>
      <c r="Y1105" s="4">
        <v>1</v>
      </c>
      <c r="Z1105" s="4" t="str">
        <f>IF(Table1[[#This Row],[TAT_Days]]&gt;Table1[[#This Row],[SLA_TAT]],"Yes","No")</f>
        <v>Yes</v>
      </c>
      <c r="AA1105" s="4" t="str" cm="1">
        <f t="array" ref="AA1105">_xlfn.IFS(Table1[[#This Row],[Customer_Satisfaction]]&lt;=2,"Poor",Table1[[#This Row],[Customer_Satisfaction]]=3,"Neutral",Table1[[#This Row],[Customer_Satisfaction]]=4,"Good",Table1[[#This Row],[Customer_Satisfaction]]=5,"Good")</f>
        <v>Poor</v>
      </c>
    </row>
    <row r="1106" spans="1:27" x14ac:dyDescent="0.35">
      <c r="A1106">
        <v>21104</v>
      </c>
      <c r="B1106" s="1">
        <v>45463</v>
      </c>
      <c r="C1106" t="s">
        <v>37</v>
      </c>
      <c r="D1106" t="s">
        <v>64</v>
      </c>
      <c r="E1106" t="s">
        <v>65</v>
      </c>
      <c r="F1106" t="s">
        <v>53</v>
      </c>
      <c r="G1106" t="s">
        <v>54</v>
      </c>
      <c r="H1106" t="s">
        <v>42</v>
      </c>
      <c r="I1106" t="s">
        <v>55</v>
      </c>
      <c r="J1106" t="s">
        <v>67</v>
      </c>
      <c r="K1106" t="s">
        <v>27</v>
      </c>
      <c r="L1106" t="s">
        <v>28</v>
      </c>
      <c r="M1106" s="4">
        <v>10</v>
      </c>
      <c r="N1106" s="4">
        <v>7</v>
      </c>
      <c r="O1106" t="s">
        <v>29</v>
      </c>
      <c r="P1106" t="s">
        <v>36</v>
      </c>
      <c r="Q1106" s="4">
        <v>177147</v>
      </c>
      <c r="R1106" s="4">
        <v>118060</v>
      </c>
      <c r="S1106" s="4">
        <f>Table1[[#This Row],[Service_Revenue]]-Table1[[#This Row],[Service_Cost]]</f>
        <v>59087</v>
      </c>
      <c r="T1106" s="4">
        <v>2</v>
      </c>
      <c r="U1106" s="4">
        <f>IF(AND(Table1[[#This Row],[Rework_Flag]]="Yes",Table1[[#This Row],[Warranty_Claim]]="No"),Table1[[#This Row],[Service_Revenue]],0)</f>
        <v>177147</v>
      </c>
      <c r="V1106" s="4">
        <f>IF(Table1[[#This Row],[Warranty_Claim]]="Yes",1,0)</f>
        <v>0</v>
      </c>
      <c r="W1106" s="4">
        <f>IF(Table1[[#This Row],[Rework_Flag]]="No",1,0)</f>
        <v>0</v>
      </c>
      <c r="X1106" s="4">
        <f>IF(Table1[[#This Row],[Rework_Flag]]="Yes",1,0)</f>
        <v>1</v>
      </c>
      <c r="Y1106" s="4">
        <v>1</v>
      </c>
      <c r="Z1106" s="4" t="str">
        <f>IF(Table1[[#This Row],[TAT_Days]]&gt;Table1[[#This Row],[SLA_TAT]],"Yes","No")</f>
        <v>Yes</v>
      </c>
      <c r="AA1106" s="4" t="str" cm="1">
        <f t="array" ref="AA1106">_xlfn.IFS(Table1[[#This Row],[Customer_Satisfaction]]&lt;=2,"Poor",Table1[[#This Row],[Customer_Satisfaction]]=3,"Neutral",Table1[[#This Row],[Customer_Satisfaction]]=4,"Good",Table1[[#This Row],[Customer_Satisfaction]]=5,"Good")</f>
        <v>Poor</v>
      </c>
    </row>
    <row r="1107" spans="1:27" x14ac:dyDescent="0.35">
      <c r="A1107">
        <v>21105</v>
      </c>
      <c r="B1107" s="1">
        <v>45441</v>
      </c>
      <c r="C1107" t="s">
        <v>37</v>
      </c>
      <c r="D1107" t="s">
        <v>38</v>
      </c>
      <c r="E1107" t="s">
        <v>39</v>
      </c>
      <c r="F1107" t="s">
        <v>40</v>
      </c>
      <c r="G1107" t="s">
        <v>74</v>
      </c>
      <c r="H1107" t="s">
        <v>34</v>
      </c>
      <c r="I1107" t="s">
        <v>25</v>
      </c>
      <c r="J1107" t="s">
        <v>58</v>
      </c>
      <c r="K1107" t="s">
        <v>27</v>
      </c>
      <c r="L1107" t="s">
        <v>28</v>
      </c>
      <c r="M1107" s="4">
        <v>2</v>
      </c>
      <c r="N1107" s="4">
        <v>7</v>
      </c>
      <c r="O1107" t="s">
        <v>29</v>
      </c>
      <c r="P1107" t="s">
        <v>36</v>
      </c>
      <c r="Q1107" s="4">
        <v>427542</v>
      </c>
      <c r="R1107" s="4">
        <v>346836</v>
      </c>
      <c r="S1107" s="4">
        <f>Table1[[#This Row],[Service_Revenue]]-Table1[[#This Row],[Service_Cost]]</f>
        <v>80706</v>
      </c>
      <c r="T1107" s="4">
        <v>4</v>
      </c>
      <c r="U1107" s="4">
        <f>IF(AND(Table1[[#This Row],[Rework_Flag]]="Yes",Table1[[#This Row],[Warranty_Claim]]="No"),Table1[[#This Row],[Service_Revenue]],0)</f>
        <v>427542</v>
      </c>
      <c r="V1107" s="4">
        <f>IF(Table1[[#This Row],[Warranty_Claim]]="Yes",1,0)</f>
        <v>0</v>
      </c>
      <c r="W1107" s="4">
        <f>IF(Table1[[#This Row],[Rework_Flag]]="No",1,0)</f>
        <v>0</v>
      </c>
      <c r="X1107" s="4">
        <f>IF(Table1[[#This Row],[Rework_Flag]]="Yes",1,0)</f>
        <v>1</v>
      </c>
      <c r="Y1107" s="4">
        <v>1</v>
      </c>
      <c r="Z1107" s="4" t="str">
        <f>IF(Table1[[#This Row],[TAT_Days]]&gt;Table1[[#This Row],[SLA_TAT]],"Yes","No")</f>
        <v>No</v>
      </c>
      <c r="AA1107" s="4" t="str" cm="1">
        <f t="array" ref="AA1107">_xlfn.IFS(Table1[[#This Row],[Customer_Satisfaction]]&lt;=2,"Poor",Table1[[#This Row],[Customer_Satisfaction]]=3,"Neutral",Table1[[#This Row],[Customer_Satisfaction]]=4,"Good",Table1[[#This Row],[Customer_Satisfaction]]=5,"Good")</f>
        <v>Good</v>
      </c>
    </row>
    <row r="1108" spans="1:27" x14ac:dyDescent="0.35">
      <c r="A1108">
        <v>21106</v>
      </c>
      <c r="B1108" s="1">
        <v>45339</v>
      </c>
      <c r="C1108" t="s">
        <v>19</v>
      </c>
      <c r="D1108" t="s">
        <v>20</v>
      </c>
      <c r="E1108" t="s">
        <v>89</v>
      </c>
      <c r="F1108" t="s">
        <v>22</v>
      </c>
      <c r="G1108" t="s">
        <v>47</v>
      </c>
      <c r="H1108" t="s">
        <v>48</v>
      </c>
      <c r="I1108" t="s">
        <v>55</v>
      </c>
      <c r="J1108" t="s">
        <v>67</v>
      </c>
      <c r="K1108" t="s">
        <v>44</v>
      </c>
      <c r="L1108" t="s">
        <v>28</v>
      </c>
      <c r="M1108" s="4">
        <v>13</v>
      </c>
      <c r="N1108" s="4">
        <v>7</v>
      </c>
      <c r="O1108" t="s">
        <v>36</v>
      </c>
      <c r="P1108" t="s">
        <v>36</v>
      </c>
      <c r="Q1108" s="4">
        <v>104856</v>
      </c>
      <c r="R1108" s="4">
        <v>78226</v>
      </c>
      <c r="S1108" s="4">
        <f>Table1[[#This Row],[Service_Revenue]]-Table1[[#This Row],[Service_Cost]]</f>
        <v>26630</v>
      </c>
      <c r="T1108" s="4">
        <v>3</v>
      </c>
      <c r="U1108" s="4">
        <f>IF(AND(Table1[[#This Row],[Rework_Flag]]="Yes",Table1[[#This Row],[Warranty_Claim]]="No"),Table1[[#This Row],[Service_Revenue]],0)</f>
        <v>0</v>
      </c>
      <c r="V1108" s="4">
        <f>IF(Table1[[#This Row],[Warranty_Claim]]="Yes",1,0)</f>
        <v>0</v>
      </c>
      <c r="W1108" s="4">
        <f>IF(Table1[[#This Row],[Rework_Flag]]="No",1,0)</f>
        <v>1</v>
      </c>
      <c r="X1108" s="4">
        <f>IF(Table1[[#This Row],[Rework_Flag]]="Yes",1,0)</f>
        <v>0</v>
      </c>
      <c r="Y1108" s="4">
        <v>1</v>
      </c>
      <c r="Z1108" s="4" t="str">
        <f>IF(Table1[[#This Row],[TAT_Days]]&gt;Table1[[#This Row],[SLA_TAT]],"Yes","No")</f>
        <v>Yes</v>
      </c>
      <c r="AA1108" s="4" t="str" cm="1">
        <f t="array" ref="AA1108">_xlfn.IFS(Table1[[#This Row],[Customer_Satisfaction]]&lt;=2,"Poor",Table1[[#This Row],[Customer_Satisfaction]]=3,"Neutral",Table1[[#This Row],[Customer_Satisfaction]]=4,"Good",Table1[[#This Row],[Customer_Satisfaction]]=5,"Good")</f>
        <v>Neutral</v>
      </c>
    </row>
    <row r="1109" spans="1:27" x14ac:dyDescent="0.35">
      <c r="A1109">
        <v>21107</v>
      </c>
      <c r="B1109" s="1">
        <v>45343</v>
      </c>
      <c r="C1109" t="s">
        <v>50</v>
      </c>
      <c r="D1109" t="s">
        <v>51</v>
      </c>
      <c r="E1109" t="s">
        <v>52</v>
      </c>
      <c r="F1109" t="s">
        <v>22</v>
      </c>
      <c r="G1109" t="s">
        <v>41</v>
      </c>
      <c r="H1109" t="s">
        <v>42</v>
      </c>
      <c r="I1109" t="s">
        <v>55</v>
      </c>
      <c r="J1109" t="s">
        <v>35</v>
      </c>
      <c r="K1109" t="s">
        <v>27</v>
      </c>
      <c r="L1109" t="s">
        <v>28</v>
      </c>
      <c r="M1109" s="4">
        <v>5</v>
      </c>
      <c r="N1109" s="4">
        <v>7</v>
      </c>
      <c r="O1109" t="s">
        <v>29</v>
      </c>
      <c r="P1109" t="s">
        <v>36</v>
      </c>
      <c r="Q1109" s="4">
        <v>539213</v>
      </c>
      <c r="R1109" s="4">
        <v>287107</v>
      </c>
      <c r="S1109" s="4">
        <f>Table1[[#This Row],[Service_Revenue]]-Table1[[#This Row],[Service_Cost]]</f>
        <v>252106</v>
      </c>
      <c r="T1109" s="4">
        <v>3</v>
      </c>
      <c r="U1109" s="4">
        <f>IF(AND(Table1[[#This Row],[Rework_Flag]]="Yes",Table1[[#This Row],[Warranty_Claim]]="No"),Table1[[#This Row],[Service_Revenue]],0)</f>
        <v>539213</v>
      </c>
      <c r="V1109" s="4">
        <f>IF(Table1[[#This Row],[Warranty_Claim]]="Yes",1,0)</f>
        <v>0</v>
      </c>
      <c r="W1109" s="4">
        <f>IF(Table1[[#This Row],[Rework_Flag]]="No",1,0)</f>
        <v>0</v>
      </c>
      <c r="X1109" s="4">
        <f>IF(Table1[[#This Row],[Rework_Flag]]="Yes",1,0)</f>
        <v>1</v>
      </c>
      <c r="Y1109" s="4">
        <v>1</v>
      </c>
      <c r="Z1109" s="4" t="str">
        <f>IF(Table1[[#This Row],[TAT_Days]]&gt;Table1[[#This Row],[SLA_TAT]],"Yes","No")</f>
        <v>No</v>
      </c>
      <c r="AA1109" s="4" t="str" cm="1">
        <f t="array" ref="AA1109">_xlfn.IFS(Table1[[#This Row],[Customer_Satisfaction]]&lt;=2,"Poor",Table1[[#This Row],[Customer_Satisfaction]]=3,"Neutral",Table1[[#This Row],[Customer_Satisfaction]]=4,"Good",Table1[[#This Row],[Customer_Satisfaction]]=5,"Good")</f>
        <v>Neutral</v>
      </c>
    </row>
    <row r="1110" spans="1:27" x14ac:dyDescent="0.35">
      <c r="A1110">
        <v>21108</v>
      </c>
      <c r="B1110" s="1">
        <v>45308</v>
      </c>
      <c r="C1110" t="s">
        <v>30</v>
      </c>
      <c r="D1110" t="s">
        <v>59</v>
      </c>
      <c r="E1110" t="s">
        <v>69</v>
      </c>
      <c r="F1110" t="s">
        <v>22</v>
      </c>
      <c r="G1110" t="s">
        <v>47</v>
      </c>
      <c r="H1110" t="s">
        <v>48</v>
      </c>
      <c r="I1110" t="s">
        <v>25</v>
      </c>
      <c r="J1110" t="s">
        <v>43</v>
      </c>
      <c r="K1110" t="s">
        <v>44</v>
      </c>
      <c r="L1110" t="s">
        <v>49</v>
      </c>
      <c r="M1110" s="4">
        <v>14</v>
      </c>
      <c r="N1110" s="4">
        <v>7</v>
      </c>
      <c r="O1110" t="s">
        <v>29</v>
      </c>
      <c r="P1110" t="s">
        <v>36</v>
      </c>
      <c r="Q1110" s="4">
        <v>251394</v>
      </c>
      <c r="R1110" s="4">
        <v>176517</v>
      </c>
      <c r="S1110" s="4">
        <f>Table1[[#This Row],[Service_Revenue]]-Table1[[#This Row],[Service_Cost]]</f>
        <v>74877</v>
      </c>
      <c r="T1110" s="4">
        <v>2</v>
      </c>
      <c r="U1110" s="4">
        <f>IF(AND(Table1[[#This Row],[Rework_Flag]]="Yes",Table1[[#This Row],[Warranty_Claim]]="No"),Table1[[#This Row],[Service_Revenue]],0)</f>
        <v>251394</v>
      </c>
      <c r="V1110" s="4">
        <f>IF(Table1[[#This Row],[Warranty_Claim]]="Yes",1,0)</f>
        <v>0</v>
      </c>
      <c r="W1110" s="4">
        <f>IF(Table1[[#This Row],[Rework_Flag]]="No",1,0)</f>
        <v>0</v>
      </c>
      <c r="X1110" s="4">
        <f>IF(Table1[[#This Row],[Rework_Flag]]="Yes",1,0)</f>
        <v>1</v>
      </c>
      <c r="Y1110" s="4">
        <v>1</v>
      </c>
      <c r="Z1110" s="4" t="str">
        <f>IF(Table1[[#This Row],[TAT_Days]]&gt;Table1[[#This Row],[SLA_TAT]],"Yes","No")</f>
        <v>Yes</v>
      </c>
      <c r="AA1110" s="4" t="str" cm="1">
        <f t="array" ref="AA1110">_xlfn.IFS(Table1[[#This Row],[Customer_Satisfaction]]&lt;=2,"Poor",Table1[[#This Row],[Customer_Satisfaction]]=3,"Neutral",Table1[[#This Row],[Customer_Satisfaction]]=4,"Good",Table1[[#This Row],[Customer_Satisfaction]]=5,"Good")</f>
        <v>Poor</v>
      </c>
    </row>
    <row r="1111" spans="1:27" x14ac:dyDescent="0.35">
      <c r="A1111">
        <v>21109</v>
      </c>
      <c r="B1111" s="1">
        <v>45410</v>
      </c>
      <c r="C1111" t="s">
        <v>19</v>
      </c>
      <c r="D1111" t="s">
        <v>96</v>
      </c>
      <c r="E1111" t="s">
        <v>97</v>
      </c>
      <c r="F1111" t="s">
        <v>22</v>
      </c>
      <c r="G1111" t="s">
        <v>47</v>
      </c>
      <c r="H1111" t="s">
        <v>48</v>
      </c>
      <c r="I1111" t="s">
        <v>25</v>
      </c>
      <c r="J1111" t="s">
        <v>35</v>
      </c>
      <c r="K1111" t="s">
        <v>27</v>
      </c>
      <c r="L1111" t="s">
        <v>28</v>
      </c>
      <c r="M1111" s="4">
        <v>22</v>
      </c>
      <c r="N1111" s="4">
        <v>7</v>
      </c>
      <c r="O1111" t="s">
        <v>29</v>
      </c>
      <c r="P1111" t="s">
        <v>36</v>
      </c>
      <c r="Q1111" s="4">
        <v>355246</v>
      </c>
      <c r="R1111" s="4">
        <v>179066</v>
      </c>
      <c r="S1111" s="4">
        <f>Table1[[#This Row],[Service_Revenue]]-Table1[[#This Row],[Service_Cost]]</f>
        <v>176180</v>
      </c>
      <c r="T1111" s="4">
        <v>1</v>
      </c>
      <c r="U1111" s="4">
        <f>IF(AND(Table1[[#This Row],[Rework_Flag]]="Yes",Table1[[#This Row],[Warranty_Claim]]="No"),Table1[[#This Row],[Service_Revenue]],0)</f>
        <v>355246</v>
      </c>
      <c r="V1111" s="4">
        <f>IF(Table1[[#This Row],[Warranty_Claim]]="Yes",1,0)</f>
        <v>0</v>
      </c>
      <c r="W1111" s="4">
        <f>IF(Table1[[#This Row],[Rework_Flag]]="No",1,0)</f>
        <v>0</v>
      </c>
      <c r="X1111" s="4">
        <f>IF(Table1[[#This Row],[Rework_Flag]]="Yes",1,0)</f>
        <v>1</v>
      </c>
      <c r="Y1111" s="4">
        <v>1</v>
      </c>
      <c r="Z1111" s="4" t="str">
        <f>IF(Table1[[#This Row],[TAT_Days]]&gt;Table1[[#This Row],[SLA_TAT]],"Yes","No")</f>
        <v>Yes</v>
      </c>
      <c r="AA1111" s="4" t="str" cm="1">
        <f t="array" ref="AA1111">_xlfn.IFS(Table1[[#This Row],[Customer_Satisfaction]]&lt;=2,"Poor",Table1[[#This Row],[Customer_Satisfaction]]=3,"Neutral",Table1[[#This Row],[Customer_Satisfaction]]=4,"Good",Table1[[#This Row],[Customer_Satisfaction]]=5,"Good")</f>
        <v>Poor</v>
      </c>
    </row>
    <row r="1112" spans="1:27" x14ac:dyDescent="0.35">
      <c r="A1112">
        <v>21110</v>
      </c>
      <c r="B1112" s="1">
        <v>45415</v>
      </c>
      <c r="C1112" t="s">
        <v>50</v>
      </c>
      <c r="D1112" t="s">
        <v>80</v>
      </c>
      <c r="E1112" t="s">
        <v>118</v>
      </c>
      <c r="F1112" t="s">
        <v>40</v>
      </c>
      <c r="G1112" t="s">
        <v>23</v>
      </c>
      <c r="H1112" t="s">
        <v>24</v>
      </c>
      <c r="I1112" t="s">
        <v>55</v>
      </c>
      <c r="J1112" t="s">
        <v>67</v>
      </c>
      <c r="K1112" t="s">
        <v>61</v>
      </c>
      <c r="L1112" t="s">
        <v>28</v>
      </c>
      <c r="M1112" s="4">
        <v>9</v>
      </c>
      <c r="N1112" s="4">
        <v>7</v>
      </c>
      <c r="O1112" t="s">
        <v>36</v>
      </c>
      <c r="P1112" t="s">
        <v>29</v>
      </c>
      <c r="Q1112" s="4">
        <v>584883</v>
      </c>
      <c r="R1112" s="4">
        <v>316127</v>
      </c>
      <c r="S1112" s="4">
        <f>Table1[[#This Row],[Service_Revenue]]-Table1[[#This Row],[Service_Cost]]</f>
        <v>268756</v>
      </c>
      <c r="T1112" s="4">
        <v>4</v>
      </c>
      <c r="U1112" s="4">
        <f>IF(AND(Table1[[#This Row],[Rework_Flag]]="Yes",Table1[[#This Row],[Warranty_Claim]]="No"),Table1[[#This Row],[Service_Revenue]],0)</f>
        <v>0</v>
      </c>
      <c r="V1112" s="4">
        <f>IF(Table1[[#This Row],[Warranty_Claim]]="Yes",1,0)</f>
        <v>1</v>
      </c>
      <c r="W1112" s="4">
        <f>IF(Table1[[#This Row],[Rework_Flag]]="No",1,0)</f>
        <v>1</v>
      </c>
      <c r="X1112" s="4">
        <f>IF(Table1[[#This Row],[Rework_Flag]]="Yes",1,0)</f>
        <v>0</v>
      </c>
      <c r="Y1112" s="4">
        <v>1</v>
      </c>
      <c r="Z1112" s="4" t="str">
        <f>IF(Table1[[#This Row],[TAT_Days]]&gt;Table1[[#This Row],[SLA_TAT]],"Yes","No")</f>
        <v>Yes</v>
      </c>
      <c r="AA1112" s="4" t="str" cm="1">
        <f t="array" ref="AA1112">_xlfn.IFS(Table1[[#This Row],[Customer_Satisfaction]]&lt;=2,"Poor",Table1[[#This Row],[Customer_Satisfaction]]=3,"Neutral",Table1[[#This Row],[Customer_Satisfaction]]=4,"Good",Table1[[#This Row],[Customer_Satisfaction]]=5,"Good")</f>
        <v>Good</v>
      </c>
    </row>
    <row r="1113" spans="1:27" x14ac:dyDescent="0.35">
      <c r="A1113">
        <v>21111</v>
      </c>
      <c r="B1113" s="1">
        <v>45395</v>
      </c>
      <c r="C1113" t="s">
        <v>37</v>
      </c>
      <c r="D1113" t="s">
        <v>38</v>
      </c>
      <c r="E1113" t="s">
        <v>93</v>
      </c>
      <c r="F1113" t="s">
        <v>53</v>
      </c>
      <c r="G1113" t="s">
        <v>23</v>
      </c>
      <c r="H1113" t="s">
        <v>24</v>
      </c>
      <c r="I1113" t="s">
        <v>25</v>
      </c>
      <c r="J1113" t="s">
        <v>58</v>
      </c>
      <c r="K1113" t="s">
        <v>61</v>
      </c>
      <c r="L1113" t="s">
        <v>28</v>
      </c>
      <c r="M1113" s="4">
        <v>4</v>
      </c>
      <c r="N1113" s="4">
        <v>7</v>
      </c>
      <c r="O1113" t="s">
        <v>36</v>
      </c>
      <c r="P1113" t="s">
        <v>36</v>
      </c>
      <c r="Q1113" s="4">
        <v>561158</v>
      </c>
      <c r="R1113" s="4">
        <v>352600</v>
      </c>
      <c r="S1113" s="4">
        <f>Table1[[#This Row],[Service_Revenue]]-Table1[[#This Row],[Service_Cost]]</f>
        <v>208558</v>
      </c>
      <c r="T1113" s="4">
        <v>5</v>
      </c>
      <c r="U1113" s="4">
        <f>IF(AND(Table1[[#This Row],[Rework_Flag]]="Yes",Table1[[#This Row],[Warranty_Claim]]="No"),Table1[[#This Row],[Service_Revenue]],0)</f>
        <v>0</v>
      </c>
      <c r="V1113" s="4">
        <f>IF(Table1[[#This Row],[Warranty_Claim]]="Yes",1,0)</f>
        <v>0</v>
      </c>
      <c r="W1113" s="4">
        <f>IF(Table1[[#This Row],[Rework_Flag]]="No",1,0)</f>
        <v>1</v>
      </c>
      <c r="X1113" s="4">
        <f>IF(Table1[[#This Row],[Rework_Flag]]="Yes",1,0)</f>
        <v>0</v>
      </c>
      <c r="Y1113" s="4">
        <v>1</v>
      </c>
      <c r="Z1113" s="4" t="str">
        <f>IF(Table1[[#This Row],[TAT_Days]]&gt;Table1[[#This Row],[SLA_TAT]],"Yes","No")</f>
        <v>No</v>
      </c>
      <c r="AA1113" s="4" t="str" cm="1">
        <f t="array" ref="AA1113">_xlfn.IFS(Table1[[#This Row],[Customer_Satisfaction]]&lt;=2,"Poor",Table1[[#This Row],[Customer_Satisfaction]]=3,"Neutral",Table1[[#This Row],[Customer_Satisfaction]]=4,"Good",Table1[[#This Row],[Customer_Satisfaction]]=5,"Good")</f>
        <v>Good</v>
      </c>
    </row>
    <row r="1114" spans="1:27" x14ac:dyDescent="0.35">
      <c r="A1114">
        <v>21112</v>
      </c>
      <c r="B1114" s="1">
        <v>45349</v>
      </c>
      <c r="C1114" t="s">
        <v>30</v>
      </c>
      <c r="D1114" t="s">
        <v>59</v>
      </c>
      <c r="E1114" t="s">
        <v>60</v>
      </c>
      <c r="F1114" t="s">
        <v>40</v>
      </c>
      <c r="G1114" t="s">
        <v>47</v>
      </c>
      <c r="H1114" t="s">
        <v>48</v>
      </c>
      <c r="I1114" t="s">
        <v>55</v>
      </c>
      <c r="J1114" t="s">
        <v>58</v>
      </c>
      <c r="K1114" t="s">
        <v>61</v>
      </c>
      <c r="L1114" t="s">
        <v>28</v>
      </c>
      <c r="M1114" s="4">
        <v>3</v>
      </c>
      <c r="N1114" s="4">
        <v>7</v>
      </c>
      <c r="O1114" t="s">
        <v>29</v>
      </c>
      <c r="P1114" t="s">
        <v>29</v>
      </c>
      <c r="Q1114" s="4">
        <v>98632</v>
      </c>
      <c r="R1114" s="4">
        <v>62194</v>
      </c>
      <c r="S1114" s="4">
        <f>Table1[[#This Row],[Service_Revenue]]-Table1[[#This Row],[Service_Cost]]</f>
        <v>36438</v>
      </c>
      <c r="T1114" s="4">
        <v>4</v>
      </c>
      <c r="U1114" s="4">
        <f>IF(AND(Table1[[#This Row],[Rework_Flag]]="Yes",Table1[[#This Row],[Warranty_Claim]]="No"),Table1[[#This Row],[Service_Revenue]],0)</f>
        <v>0</v>
      </c>
      <c r="V1114" s="4">
        <f>IF(Table1[[#This Row],[Warranty_Claim]]="Yes",1,0)</f>
        <v>1</v>
      </c>
      <c r="W1114" s="4">
        <f>IF(Table1[[#This Row],[Rework_Flag]]="No",1,0)</f>
        <v>0</v>
      </c>
      <c r="X1114" s="4">
        <f>IF(Table1[[#This Row],[Rework_Flag]]="Yes",1,0)</f>
        <v>1</v>
      </c>
      <c r="Y1114" s="4">
        <v>1</v>
      </c>
      <c r="Z1114" s="4" t="str">
        <f>IF(Table1[[#This Row],[TAT_Days]]&gt;Table1[[#This Row],[SLA_TAT]],"Yes","No")</f>
        <v>No</v>
      </c>
      <c r="AA1114" s="4" t="str" cm="1">
        <f t="array" ref="AA1114">_xlfn.IFS(Table1[[#This Row],[Customer_Satisfaction]]&lt;=2,"Poor",Table1[[#This Row],[Customer_Satisfaction]]=3,"Neutral",Table1[[#This Row],[Customer_Satisfaction]]=4,"Good",Table1[[#This Row],[Customer_Satisfaction]]=5,"Good")</f>
        <v>Good</v>
      </c>
    </row>
    <row r="1115" spans="1:27" x14ac:dyDescent="0.35">
      <c r="A1115">
        <v>21113</v>
      </c>
      <c r="B1115" s="1">
        <v>45294</v>
      </c>
      <c r="C1115" t="s">
        <v>50</v>
      </c>
      <c r="D1115" t="s">
        <v>56</v>
      </c>
      <c r="E1115" t="s">
        <v>68</v>
      </c>
      <c r="F1115" t="s">
        <v>22</v>
      </c>
      <c r="G1115" t="s">
        <v>63</v>
      </c>
      <c r="H1115" t="s">
        <v>24</v>
      </c>
      <c r="I1115" t="s">
        <v>55</v>
      </c>
      <c r="J1115" t="s">
        <v>26</v>
      </c>
      <c r="K1115" t="s">
        <v>44</v>
      </c>
      <c r="L1115" t="s">
        <v>28</v>
      </c>
      <c r="M1115" s="4">
        <v>24</v>
      </c>
      <c r="N1115" s="4">
        <v>7</v>
      </c>
      <c r="O1115" t="s">
        <v>29</v>
      </c>
      <c r="P1115" t="s">
        <v>36</v>
      </c>
      <c r="Q1115" s="4">
        <v>176743</v>
      </c>
      <c r="R1115" s="4">
        <v>101885</v>
      </c>
      <c r="S1115" s="4">
        <f>Table1[[#This Row],[Service_Revenue]]-Table1[[#This Row],[Service_Cost]]</f>
        <v>74858</v>
      </c>
      <c r="T1115" s="4">
        <v>1</v>
      </c>
      <c r="U1115" s="4">
        <f>IF(AND(Table1[[#This Row],[Rework_Flag]]="Yes",Table1[[#This Row],[Warranty_Claim]]="No"),Table1[[#This Row],[Service_Revenue]],0)</f>
        <v>176743</v>
      </c>
      <c r="V1115" s="4">
        <f>IF(Table1[[#This Row],[Warranty_Claim]]="Yes",1,0)</f>
        <v>0</v>
      </c>
      <c r="W1115" s="4">
        <f>IF(Table1[[#This Row],[Rework_Flag]]="No",1,0)</f>
        <v>0</v>
      </c>
      <c r="X1115" s="4">
        <f>IF(Table1[[#This Row],[Rework_Flag]]="Yes",1,0)</f>
        <v>1</v>
      </c>
      <c r="Y1115" s="4">
        <v>1</v>
      </c>
      <c r="Z1115" s="4" t="str">
        <f>IF(Table1[[#This Row],[TAT_Days]]&gt;Table1[[#This Row],[SLA_TAT]],"Yes","No")</f>
        <v>Yes</v>
      </c>
      <c r="AA1115" s="4" t="str" cm="1">
        <f t="array" ref="AA1115">_xlfn.IFS(Table1[[#This Row],[Customer_Satisfaction]]&lt;=2,"Poor",Table1[[#This Row],[Customer_Satisfaction]]=3,"Neutral",Table1[[#This Row],[Customer_Satisfaction]]=4,"Good",Table1[[#This Row],[Customer_Satisfaction]]=5,"Good")</f>
        <v>Poor</v>
      </c>
    </row>
    <row r="1116" spans="1:27" x14ac:dyDescent="0.35">
      <c r="A1116">
        <v>21114</v>
      </c>
      <c r="B1116" s="1">
        <v>45414</v>
      </c>
      <c r="C1116" t="s">
        <v>37</v>
      </c>
      <c r="D1116" t="s">
        <v>70</v>
      </c>
      <c r="E1116" t="s">
        <v>100</v>
      </c>
      <c r="F1116" t="s">
        <v>40</v>
      </c>
      <c r="G1116" t="s">
        <v>47</v>
      </c>
      <c r="H1116" t="s">
        <v>48</v>
      </c>
      <c r="I1116" t="s">
        <v>25</v>
      </c>
      <c r="J1116" t="s">
        <v>26</v>
      </c>
      <c r="K1116" t="s">
        <v>61</v>
      </c>
      <c r="L1116" t="s">
        <v>49</v>
      </c>
      <c r="M1116" s="4">
        <v>19</v>
      </c>
      <c r="N1116" s="4">
        <v>7</v>
      </c>
      <c r="O1116" t="s">
        <v>29</v>
      </c>
      <c r="P1116" t="s">
        <v>36</v>
      </c>
      <c r="Q1116" s="4">
        <v>282447</v>
      </c>
      <c r="R1116" s="4">
        <v>204387</v>
      </c>
      <c r="S1116" s="4">
        <f>Table1[[#This Row],[Service_Revenue]]-Table1[[#This Row],[Service_Cost]]</f>
        <v>78060</v>
      </c>
      <c r="T1116" s="4">
        <v>1</v>
      </c>
      <c r="U1116" s="4">
        <f>IF(AND(Table1[[#This Row],[Rework_Flag]]="Yes",Table1[[#This Row],[Warranty_Claim]]="No"),Table1[[#This Row],[Service_Revenue]],0)</f>
        <v>282447</v>
      </c>
      <c r="V1116" s="4">
        <f>IF(Table1[[#This Row],[Warranty_Claim]]="Yes",1,0)</f>
        <v>0</v>
      </c>
      <c r="W1116" s="4">
        <f>IF(Table1[[#This Row],[Rework_Flag]]="No",1,0)</f>
        <v>0</v>
      </c>
      <c r="X1116" s="4">
        <f>IF(Table1[[#This Row],[Rework_Flag]]="Yes",1,0)</f>
        <v>1</v>
      </c>
      <c r="Y1116" s="4">
        <v>1</v>
      </c>
      <c r="Z1116" s="4" t="str">
        <f>IF(Table1[[#This Row],[TAT_Days]]&gt;Table1[[#This Row],[SLA_TAT]],"Yes","No")</f>
        <v>Yes</v>
      </c>
      <c r="AA1116" s="4" t="str" cm="1">
        <f t="array" ref="AA1116">_xlfn.IFS(Table1[[#This Row],[Customer_Satisfaction]]&lt;=2,"Poor",Table1[[#This Row],[Customer_Satisfaction]]=3,"Neutral",Table1[[#This Row],[Customer_Satisfaction]]=4,"Good",Table1[[#This Row],[Customer_Satisfaction]]=5,"Good")</f>
        <v>Poor</v>
      </c>
    </row>
    <row r="1117" spans="1:27" x14ac:dyDescent="0.35">
      <c r="A1117">
        <v>21115</v>
      </c>
      <c r="B1117" s="1">
        <v>45359</v>
      </c>
      <c r="C1117" t="s">
        <v>30</v>
      </c>
      <c r="D1117" t="s">
        <v>31</v>
      </c>
      <c r="E1117" t="s">
        <v>79</v>
      </c>
      <c r="F1117" t="s">
        <v>53</v>
      </c>
      <c r="G1117" t="s">
        <v>54</v>
      </c>
      <c r="H1117" t="s">
        <v>42</v>
      </c>
      <c r="I1117" t="s">
        <v>55</v>
      </c>
      <c r="J1117" t="s">
        <v>67</v>
      </c>
      <c r="K1117" t="s">
        <v>61</v>
      </c>
      <c r="L1117" t="s">
        <v>28</v>
      </c>
      <c r="M1117" s="4">
        <v>3</v>
      </c>
      <c r="N1117" s="4">
        <v>7</v>
      </c>
      <c r="O1117" t="s">
        <v>29</v>
      </c>
      <c r="P1117" t="s">
        <v>29</v>
      </c>
      <c r="Q1117" s="4">
        <v>124678</v>
      </c>
      <c r="R1117" s="4">
        <v>75099</v>
      </c>
      <c r="S1117" s="4">
        <f>Table1[[#This Row],[Service_Revenue]]-Table1[[#This Row],[Service_Cost]]</f>
        <v>49579</v>
      </c>
      <c r="T1117" s="4">
        <v>4</v>
      </c>
      <c r="U1117" s="4">
        <f>IF(AND(Table1[[#This Row],[Rework_Flag]]="Yes",Table1[[#This Row],[Warranty_Claim]]="No"),Table1[[#This Row],[Service_Revenue]],0)</f>
        <v>0</v>
      </c>
      <c r="V1117" s="4">
        <f>IF(Table1[[#This Row],[Warranty_Claim]]="Yes",1,0)</f>
        <v>1</v>
      </c>
      <c r="W1117" s="4">
        <f>IF(Table1[[#This Row],[Rework_Flag]]="No",1,0)</f>
        <v>0</v>
      </c>
      <c r="X1117" s="4">
        <f>IF(Table1[[#This Row],[Rework_Flag]]="Yes",1,0)</f>
        <v>1</v>
      </c>
      <c r="Y1117" s="4">
        <v>1</v>
      </c>
      <c r="Z1117" s="4" t="str">
        <f>IF(Table1[[#This Row],[TAT_Days]]&gt;Table1[[#This Row],[SLA_TAT]],"Yes","No")</f>
        <v>No</v>
      </c>
      <c r="AA1117" s="4" t="str" cm="1">
        <f t="array" ref="AA1117">_xlfn.IFS(Table1[[#This Row],[Customer_Satisfaction]]&lt;=2,"Poor",Table1[[#This Row],[Customer_Satisfaction]]=3,"Neutral",Table1[[#This Row],[Customer_Satisfaction]]=4,"Good",Table1[[#This Row],[Customer_Satisfaction]]=5,"Good")</f>
        <v>Good</v>
      </c>
    </row>
    <row r="1118" spans="1:27" x14ac:dyDescent="0.35">
      <c r="A1118">
        <v>21116</v>
      </c>
      <c r="B1118" s="1">
        <v>45408</v>
      </c>
      <c r="C1118" t="s">
        <v>50</v>
      </c>
      <c r="D1118" t="s">
        <v>56</v>
      </c>
      <c r="E1118" t="s">
        <v>68</v>
      </c>
      <c r="F1118" t="s">
        <v>40</v>
      </c>
      <c r="G1118" t="s">
        <v>47</v>
      </c>
      <c r="H1118" t="s">
        <v>48</v>
      </c>
      <c r="I1118" t="s">
        <v>25</v>
      </c>
      <c r="J1118" t="s">
        <v>43</v>
      </c>
      <c r="K1118" t="s">
        <v>61</v>
      </c>
      <c r="L1118" t="s">
        <v>28</v>
      </c>
      <c r="M1118" s="4">
        <v>11</v>
      </c>
      <c r="N1118" s="4">
        <v>7</v>
      </c>
      <c r="O1118" t="s">
        <v>29</v>
      </c>
      <c r="P1118" t="s">
        <v>36</v>
      </c>
      <c r="Q1118" s="4">
        <v>343114</v>
      </c>
      <c r="R1118" s="4">
        <v>255916</v>
      </c>
      <c r="S1118" s="4">
        <f>Table1[[#This Row],[Service_Revenue]]-Table1[[#This Row],[Service_Cost]]</f>
        <v>87198</v>
      </c>
      <c r="T1118" s="4">
        <v>2</v>
      </c>
      <c r="U1118" s="4">
        <f>IF(AND(Table1[[#This Row],[Rework_Flag]]="Yes",Table1[[#This Row],[Warranty_Claim]]="No"),Table1[[#This Row],[Service_Revenue]],0)</f>
        <v>343114</v>
      </c>
      <c r="V1118" s="4">
        <f>IF(Table1[[#This Row],[Warranty_Claim]]="Yes",1,0)</f>
        <v>0</v>
      </c>
      <c r="W1118" s="4">
        <f>IF(Table1[[#This Row],[Rework_Flag]]="No",1,0)</f>
        <v>0</v>
      </c>
      <c r="X1118" s="4">
        <f>IF(Table1[[#This Row],[Rework_Flag]]="Yes",1,0)</f>
        <v>1</v>
      </c>
      <c r="Y1118" s="4">
        <v>1</v>
      </c>
      <c r="Z1118" s="4" t="str">
        <f>IF(Table1[[#This Row],[TAT_Days]]&gt;Table1[[#This Row],[SLA_TAT]],"Yes","No")</f>
        <v>Yes</v>
      </c>
      <c r="AA1118" s="4" t="str" cm="1">
        <f t="array" ref="AA1118">_xlfn.IFS(Table1[[#This Row],[Customer_Satisfaction]]&lt;=2,"Poor",Table1[[#This Row],[Customer_Satisfaction]]=3,"Neutral",Table1[[#This Row],[Customer_Satisfaction]]=4,"Good",Table1[[#This Row],[Customer_Satisfaction]]=5,"Good")</f>
        <v>Poor</v>
      </c>
    </row>
    <row r="1119" spans="1:27" x14ac:dyDescent="0.35">
      <c r="A1119">
        <v>21117</v>
      </c>
      <c r="B1119" s="1">
        <v>45323</v>
      </c>
      <c r="C1119" t="s">
        <v>19</v>
      </c>
      <c r="D1119" t="s">
        <v>96</v>
      </c>
      <c r="E1119" t="s">
        <v>105</v>
      </c>
      <c r="F1119" t="s">
        <v>53</v>
      </c>
      <c r="G1119" t="s">
        <v>54</v>
      </c>
      <c r="H1119" t="s">
        <v>42</v>
      </c>
      <c r="I1119" t="s">
        <v>25</v>
      </c>
      <c r="J1119" t="s">
        <v>26</v>
      </c>
      <c r="K1119" t="s">
        <v>27</v>
      </c>
      <c r="L1119" t="s">
        <v>49</v>
      </c>
      <c r="M1119" s="4">
        <v>6</v>
      </c>
      <c r="N1119" s="4">
        <v>7</v>
      </c>
      <c r="O1119" t="s">
        <v>36</v>
      </c>
      <c r="P1119" t="s">
        <v>29</v>
      </c>
      <c r="Q1119" s="4">
        <v>257760</v>
      </c>
      <c r="R1119" s="4">
        <v>173705</v>
      </c>
      <c r="S1119" s="4">
        <f>Table1[[#This Row],[Service_Revenue]]-Table1[[#This Row],[Service_Cost]]</f>
        <v>84055</v>
      </c>
      <c r="T1119" s="4">
        <v>4</v>
      </c>
      <c r="U1119" s="4">
        <f>IF(AND(Table1[[#This Row],[Rework_Flag]]="Yes",Table1[[#This Row],[Warranty_Claim]]="No"),Table1[[#This Row],[Service_Revenue]],0)</f>
        <v>0</v>
      </c>
      <c r="V1119" s="4">
        <f>IF(Table1[[#This Row],[Warranty_Claim]]="Yes",1,0)</f>
        <v>1</v>
      </c>
      <c r="W1119" s="4">
        <f>IF(Table1[[#This Row],[Rework_Flag]]="No",1,0)</f>
        <v>1</v>
      </c>
      <c r="X1119" s="4">
        <f>IF(Table1[[#This Row],[Rework_Flag]]="Yes",1,0)</f>
        <v>0</v>
      </c>
      <c r="Y1119" s="4">
        <v>1</v>
      </c>
      <c r="Z1119" s="4" t="str">
        <f>IF(Table1[[#This Row],[TAT_Days]]&gt;Table1[[#This Row],[SLA_TAT]],"Yes","No")</f>
        <v>No</v>
      </c>
      <c r="AA1119" s="4" t="str" cm="1">
        <f t="array" ref="AA1119">_xlfn.IFS(Table1[[#This Row],[Customer_Satisfaction]]&lt;=2,"Poor",Table1[[#This Row],[Customer_Satisfaction]]=3,"Neutral",Table1[[#This Row],[Customer_Satisfaction]]=4,"Good",Table1[[#This Row],[Customer_Satisfaction]]=5,"Good")</f>
        <v>Good</v>
      </c>
    </row>
    <row r="1120" spans="1:27" x14ac:dyDescent="0.35">
      <c r="A1120">
        <v>21118</v>
      </c>
      <c r="B1120" s="1">
        <v>45369</v>
      </c>
      <c r="C1120" t="s">
        <v>19</v>
      </c>
      <c r="D1120" t="s">
        <v>96</v>
      </c>
      <c r="E1120" t="s">
        <v>109</v>
      </c>
      <c r="F1120" t="s">
        <v>22</v>
      </c>
      <c r="G1120" t="s">
        <v>47</v>
      </c>
      <c r="H1120" t="s">
        <v>48</v>
      </c>
      <c r="I1120" t="s">
        <v>25</v>
      </c>
      <c r="J1120" t="s">
        <v>43</v>
      </c>
      <c r="K1120" t="s">
        <v>61</v>
      </c>
      <c r="L1120" t="s">
        <v>49</v>
      </c>
      <c r="M1120" s="4">
        <v>22</v>
      </c>
      <c r="N1120" s="4">
        <v>7</v>
      </c>
      <c r="O1120" t="s">
        <v>29</v>
      </c>
      <c r="P1120" t="s">
        <v>36</v>
      </c>
      <c r="Q1120" s="4">
        <v>317615</v>
      </c>
      <c r="R1120" s="4">
        <v>190555</v>
      </c>
      <c r="S1120" s="4">
        <f>Table1[[#This Row],[Service_Revenue]]-Table1[[#This Row],[Service_Cost]]</f>
        <v>127060</v>
      </c>
      <c r="T1120" s="4">
        <v>1</v>
      </c>
      <c r="U1120" s="4">
        <f>IF(AND(Table1[[#This Row],[Rework_Flag]]="Yes",Table1[[#This Row],[Warranty_Claim]]="No"),Table1[[#This Row],[Service_Revenue]],0)</f>
        <v>317615</v>
      </c>
      <c r="V1120" s="4">
        <f>IF(Table1[[#This Row],[Warranty_Claim]]="Yes",1,0)</f>
        <v>0</v>
      </c>
      <c r="W1120" s="4">
        <f>IF(Table1[[#This Row],[Rework_Flag]]="No",1,0)</f>
        <v>0</v>
      </c>
      <c r="X1120" s="4">
        <f>IF(Table1[[#This Row],[Rework_Flag]]="Yes",1,0)</f>
        <v>1</v>
      </c>
      <c r="Y1120" s="4">
        <v>1</v>
      </c>
      <c r="Z1120" s="4" t="str">
        <f>IF(Table1[[#This Row],[TAT_Days]]&gt;Table1[[#This Row],[SLA_TAT]],"Yes","No")</f>
        <v>Yes</v>
      </c>
      <c r="AA1120" s="4" t="str" cm="1">
        <f t="array" ref="AA1120">_xlfn.IFS(Table1[[#This Row],[Customer_Satisfaction]]&lt;=2,"Poor",Table1[[#This Row],[Customer_Satisfaction]]=3,"Neutral",Table1[[#This Row],[Customer_Satisfaction]]=4,"Good",Table1[[#This Row],[Customer_Satisfaction]]=5,"Good")</f>
        <v>Poor</v>
      </c>
    </row>
    <row r="1121" spans="1:27" x14ac:dyDescent="0.35">
      <c r="A1121">
        <v>21119</v>
      </c>
      <c r="B1121" s="1">
        <v>45297</v>
      </c>
      <c r="C1121" t="s">
        <v>50</v>
      </c>
      <c r="D1121" t="s">
        <v>80</v>
      </c>
      <c r="E1121" t="s">
        <v>118</v>
      </c>
      <c r="F1121" t="s">
        <v>22</v>
      </c>
      <c r="G1121" t="s">
        <v>33</v>
      </c>
      <c r="H1121" t="s">
        <v>34</v>
      </c>
      <c r="I1121" t="s">
        <v>25</v>
      </c>
      <c r="J1121" t="s">
        <v>67</v>
      </c>
      <c r="K1121" t="s">
        <v>44</v>
      </c>
      <c r="L1121" t="s">
        <v>49</v>
      </c>
      <c r="M1121" s="4">
        <v>10</v>
      </c>
      <c r="N1121" s="4">
        <v>7</v>
      </c>
      <c r="O1121" t="s">
        <v>29</v>
      </c>
      <c r="P1121" t="s">
        <v>36</v>
      </c>
      <c r="Q1121" s="4">
        <v>378456</v>
      </c>
      <c r="R1121" s="4">
        <v>190388</v>
      </c>
      <c r="S1121" s="4">
        <f>Table1[[#This Row],[Service_Revenue]]-Table1[[#This Row],[Service_Cost]]</f>
        <v>188068</v>
      </c>
      <c r="T1121" s="4">
        <v>2</v>
      </c>
      <c r="U1121" s="4">
        <f>IF(AND(Table1[[#This Row],[Rework_Flag]]="Yes",Table1[[#This Row],[Warranty_Claim]]="No"),Table1[[#This Row],[Service_Revenue]],0)</f>
        <v>378456</v>
      </c>
      <c r="V1121" s="4">
        <f>IF(Table1[[#This Row],[Warranty_Claim]]="Yes",1,0)</f>
        <v>0</v>
      </c>
      <c r="W1121" s="4">
        <f>IF(Table1[[#This Row],[Rework_Flag]]="No",1,0)</f>
        <v>0</v>
      </c>
      <c r="X1121" s="4">
        <f>IF(Table1[[#This Row],[Rework_Flag]]="Yes",1,0)</f>
        <v>1</v>
      </c>
      <c r="Y1121" s="4">
        <v>1</v>
      </c>
      <c r="Z1121" s="4" t="str">
        <f>IF(Table1[[#This Row],[TAT_Days]]&gt;Table1[[#This Row],[SLA_TAT]],"Yes","No")</f>
        <v>Yes</v>
      </c>
      <c r="AA1121" s="4" t="str" cm="1">
        <f t="array" ref="AA1121">_xlfn.IFS(Table1[[#This Row],[Customer_Satisfaction]]&lt;=2,"Poor",Table1[[#This Row],[Customer_Satisfaction]]=3,"Neutral",Table1[[#This Row],[Customer_Satisfaction]]=4,"Good",Table1[[#This Row],[Customer_Satisfaction]]=5,"Good")</f>
        <v>Poor</v>
      </c>
    </row>
    <row r="1122" spans="1:27" x14ac:dyDescent="0.35">
      <c r="A1122">
        <v>21120</v>
      </c>
      <c r="B1122" s="1">
        <v>45394</v>
      </c>
      <c r="C1122" t="s">
        <v>37</v>
      </c>
      <c r="D1122" t="s">
        <v>70</v>
      </c>
      <c r="E1122" t="s">
        <v>71</v>
      </c>
      <c r="F1122" t="s">
        <v>40</v>
      </c>
      <c r="G1122" t="s">
        <v>74</v>
      </c>
      <c r="H1122" t="s">
        <v>34</v>
      </c>
      <c r="I1122" t="s">
        <v>25</v>
      </c>
      <c r="J1122" t="s">
        <v>67</v>
      </c>
      <c r="K1122" t="s">
        <v>44</v>
      </c>
      <c r="L1122" t="s">
        <v>49</v>
      </c>
      <c r="M1122" s="4">
        <v>20</v>
      </c>
      <c r="N1122" s="4">
        <v>7</v>
      </c>
      <c r="O1122" t="s">
        <v>29</v>
      </c>
      <c r="P1122" t="s">
        <v>29</v>
      </c>
      <c r="Q1122" s="4">
        <v>277661</v>
      </c>
      <c r="R1122" s="4">
        <v>223308</v>
      </c>
      <c r="S1122" s="4">
        <f>Table1[[#This Row],[Service_Revenue]]-Table1[[#This Row],[Service_Cost]]</f>
        <v>54353</v>
      </c>
      <c r="T1122" s="4">
        <v>1</v>
      </c>
      <c r="U1122" s="4">
        <f>IF(AND(Table1[[#This Row],[Rework_Flag]]="Yes",Table1[[#This Row],[Warranty_Claim]]="No"),Table1[[#This Row],[Service_Revenue]],0)</f>
        <v>0</v>
      </c>
      <c r="V1122" s="4">
        <f>IF(Table1[[#This Row],[Warranty_Claim]]="Yes",1,0)</f>
        <v>1</v>
      </c>
      <c r="W1122" s="4">
        <f>IF(Table1[[#This Row],[Rework_Flag]]="No",1,0)</f>
        <v>0</v>
      </c>
      <c r="X1122" s="4">
        <f>IF(Table1[[#This Row],[Rework_Flag]]="Yes",1,0)</f>
        <v>1</v>
      </c>
      <c r="Y1122" s="4">
        <v>1</v>
      </c>
      <c r="Z1122" s="4" t="str">
        <f>IF(Table1[[#This Row],[TAT_Days]]&gt;Table1[[#This Row],[SLA_TAT]],"Yes","No")</f>
        <v>Yes</v>
      </c>
      <c r="AA1122" s="4" t="str" cm="1">
        <f t="array" ref="AA1122">_xlfn.IFS(Table1[[#This Row],[Customer_Satisfaction]]&lt;=2,"Poor",Table1[[#This Row],[Customer_Satisfaction]]=3,"Neutral",Table1[[#This Row],[Customer_Satisfaction]]=4,"Good",Table1[[#This Row],[Customer_Satisfaction]]=5,"Good")</f>
        <v>Poor</v>
      </c>
    </row>
    <row r="1123" spans="1:27" x14ac:dyDescent="0.35">
      <c r="A1123">
        <v>21121</v>
      </c>
      <c r="B1123" s="1">
        <v>45378</v>
      </c>
      <c r="C1123" t="s">
        <v>19</v>
      </c>
      <c r="D1123" t="s">
        <v>96</v>
      </c>
      <c r="E1123" t="s">
        <v>98</v>
      </c>
      <c r="F1123" t="s">
        <v>53</v>
      </c>
      <c r="G1123" t="s">
        <v>41</v>
      </c>
      <c r="H1123" t="s">
        <v>42</v>
      </c>
      <c r="I1123" t="s">
        <v>25</v>
      </c>
      <c r="J1123" t="s">
        <v>26</v>
      </c>
      <c r="K1123" t="s">
        <v>44</v>
      </c>
      <c r="L1123" t="s">
        <v>49</v>
      </c>
      <c r="M1123" s="4">
        <v>25</v>
      </c>
      <c r="N1123" s="4">
        <v>7</v>
      </c>
      <c r="O1123" t="s">
        <v>29</v>
      </c>
      <c r="P1123" t="s">
        <v>36</v>
      </c>
      <c r="Q1123" s="4">
        <v>212637</v>
      </c>
      <c r="R1123" s="4">
        <v>131661</v>
      </c>
      <c r="S1123" s="4">
        <f>Table1[[#This Row],[Service_Revenue]]-Table1[[#This Row],[Service_Cost]]</f>
        <v>80976</v>
      </c>
      <c r="T1123" s="4">
        <v>1</v>
      </c>
      <c r="U1123" s="4">
        <f>IF(AND(Table1[[#This Row],[Rework_Flag]]="Yes",Table1[[#This Row],[Warranty_Claim]]="No"),Table1[[#This Row],[Service_Revenue]],0)</f>
        <v>212637</v>
      </c>
      <c r="V1123" s="4">
        <f>IF(Table1[[#This Row],[Warranty_Claim]]="Yes",1,0)</f>
        <v>0</v>
      </c>
      <c r="W1123" s="4">
        <f>IF(Table1[[#This Row],[Rework_Flag]]="No",1,0)</f>
        <v>0</v>
      </c>
      <c r="X1123" s="4">
        <f>IF(Table1[[#This Row],[Rework_Flag]]="Yes",1,0)</f>
        <v>1</v>
      </c>
      <c r="Y1123" s="4">
        <v>1</v>
      </c>
      <c r="Z1123" s="4" t="str">
        <f>IF(Table1[[#This Row],[TAT_Days]]&gt;Table1[[#This Row],[SLA_TAT]],"Yes","No")</f>
        <v>Yes</v>
      </c>
      <c r="AA1123" s="4" t="str" cm="1">
        <f t="array" ref="AA1123">_xlfn.IFS(Table1[[#This Row],[Customer_Satisfaction]]&lt;=2,"Poor",Table1[[#This Row],[Customer_Satisfaction]]=3,"Neutral",Table1[[#This Row],[Customer_Satisfaction]]=4,"Good",Table1[[#This Row],[Customer_Satisfaction]]=5,"Good")</f>
        <v>Poor</v>
      </c>
    </row>
    <row r="1124" spans="1:27" x14ac:dyDescent="0.35">
      <c r="A1124">
        <v>21122</v>
      </c>
      <c r="B1124" s="1">
        <v>45461</v>
      </c>
      <c r="C1124" t="s">
        <v>37</v>
      </c>
      <c r="D1124" t="s">
        <v>38</v>
      </c>
      <c r="E1124" t="s">
        <v>39</v>
      </c>
      <c r="F1124" t="s">
        <v>40</v>
      </c>
      <c r="G1124" t="s">
        <v>74</v>
      </c>
      <c r="H1124" t="s">
        <v>34</v>
      </c>
      <c r="I1124" t="s">
        <v>55</v>
      </c>
      <c r="J1124" t="s">
        <v>58</v>
      </c>
      <c r="K1124" t="s">
        <v>61</v>
      </c>
      <c r="L1124" t="s">
        <v>28</v>
      </c>
      <c r="M1124" s="4">
        <v>17</v>
      </c>
      <c r="N1124" s="4">
        <v>7</v>
      </c>
      <c r="O1124" t="s">
        <v>36</v>
      </c>
      <c r="P1124" t="s">
        <v>29</v>
      </c>
      <c r="Q1124" s="4">
        <v>106420</v>
      </c>
      <c r="R1124" s="4">
        <v>63518</v>
      </c>
      <c r="S1124" s="4">
        <f>Table1[[#This Row],[Service_Revenue]]-Table1[[#This Row],[Service_Cost]]</f>
        <v>42902</v>
      </c>
      <c r="T1124" s="4">
        <v>2</v>
      </c>
      <c r="U1124" s="4">
        <f>IF(AND(Table1[[#This Row],[Rework_Flag]]="Yes",Table1[[#This Row],[Warranty_Claim]]="No"),Table1[[#This Row],[Service_Revenue]],0)</f>
        <v>0</v>
      </c>
      <c r="V1124" s="4">
        <f>IF(Table1[[#This Row],[Warranty_Claim]]="Yes",1,0)</f>
        <v>1</v>
      </c>
      <c r="W1124" s="4">
        <f>IF(Table1[[#This Row],[Rework_Flag]]="No",1,0)</f>
        <v>1</v>
      </c>
      <c r="X1124" s="4">
        <f>IF(Table1[[#This Row],[Rework_Flag]]="Yes",1,0)</f>
        <v>0</v>
      </c>
      <c r="Y1124" s="4">
        <v>1</v>
      </c>
      <c r="Z1124" s="4" t="str">
        <f>IF(Table1[[#This Row],[TAT_Days]]&gt;Table1[[#This Row],[SLA_TAT]],"Yes","No")</f>
        <v>Yes</v>
      </c>
      <c r="AA1124" s="4" t="str" cm="1">
        <f t="array" ref="AA1124">_xlfn.IFS(Table1[[#This Row],[Customer_Satisfaction]]&lt;=2,"Poor",Table1[[#This Row],[Customer_Satisfaction]]=3,"Neutral",Table1[[#This Row],[Customer_Satisfaction]]=4,"Good",Table1[[#This Row],[Customer_Satisfaction]]=5,"Good")</f>
        <v>Poor</v>
      </c>
    </row>
    <row r="1125" spans="1:27" x14ac:dyDescent="0.35">
      <c r="A1125">
        <v>21123</v>
      </c>
      <c r="B1125" s="1">
        <v>45429</v>
      </c>
      <c r="C1125" t="s">
        <v>30</v>
      </c>
      <c r="D1125" t="s">
        <v>31</v>
      </c>
      <c r="E1125" t="s">
        <v>106</v>
      </c>
      <c r="F1125" t="s">
        <v>40</v>
      </c>
      <c r="G1125" t="s">
        <v>54</v>
      </c>
      <c r="H1125" t="s">
        <v>42</v>
      </c>
      <c r="I1125" t="s">
        <v>55</v>
      </c>
      <c r="J1125" t="s">
        <v>58</v>
      </c>
      <c r="K1125" t="s">
        <v>44</v>
      </c>
      <c r="L1125" t="s">
        <v>49</v>
      </c>
      <c r="M1125" s="4">
        <v>22</v>
      </c>
      <c r="N1125" s="4">
        <v>7</v>
      </c>
      <c r="O1125" t="s">
        <v>36</v>
      </c>
      <c r="P1125" t="s">
        <v>29</v>
      </c>
      <c r="Q1125" s="4">
        <v>341192</v>
      </c>
      <c r="R1125" s="4">
        <v>249830</v>
      </c>
      <c r="S1125" s="4">
        <f>Table1[[#This Row],[Service_Revenue]]-Table1[[#This Row],[Service_Cost]]</f>
        <v>91362</v>
      </c>
      <c r="T1125" s="4">
        <v>1</v>
      </c>
      <c r="U1125" s="4">
        <f>IF(AND(Table1[[#This Row],[Rework_Flag]]="Yes",Table1[[#This Row],[Warranty_Claim]]="No"),Table1[[#This Row],[Service_Revenue]],0)</f>
        <v>0</v>
      </c>
      <c r="V1125" s="4">
        <f>IF(Table1[[#This Row],[Warranty_Claim]]="Yes",1,0)</f>
        <v>1</v>
      </c>
      <c r="W1125" s="4">
        <f>IF(Table1[[#This Row],[Rework_Flag]]="No",1,0)</f>
        <v>1</v>
      </c>
      <c r="X1125" s="4">
        <f>IF(Table1[[#This Row],[Rework_Flag]]="Yes",1,0)</f>
        <v>0</v>
      </c>
      <c r="Y1125" s="4">
        <v>1</v>
      </c>
      <c r="Z1125" s="4" t="str">
        <f>IF(Table1[[#This Row],[TAT_Days]]&gt;Table1[[#This Row],[SLA_TAT]],"Yes","No")</f>
        <v>Yes</v>
      </c>
      <c r="AA1125" s="4" t="str" cm="1">
        <f t="array" ref="AA1125">_xlfn.IFS(Table1[[#This Row],[Customer_Satisfaction]]&lt;=2,"Poor",Table1[[#This Row],[Customer_Satisfaction]]=3,"Neutral",Table1[[#This Row],[Customer_Satisfaction]]=4,"Good",Table1[[#This Row],[Customer_Satisfaction]]=5,"Good")</f>
        <v>Poor</v>
      </c>
    </row>
    <row r="1126" spans="1:27" x14ac:dyDescent="0.35">
      <c r="A1126">
        <v>21124</v>
      </c>
      <c r="B1126" s="1">
        <v>45338</v>
      </c>
      <c r="C1126" t="s">
        <v>37</v>
      </c>
      <c r="D1126" t="s">
        <v>38</v>
      </c>
      <c r="E1126" t="s">
        <v>93</v>
      </c>
      <c r="F1126" t="s">
        <v>40</v>
      </c>
      <c r="G1126" t="s">
        <v>74</v>
      </c>
      <c r="H1126" t="s">
        <v>34</v>
      </c>
      <c r="I1126" t="s">
        <v>25</v>
      </c>
      <c r="J1126" t="s">
        <v>35</v>
      </c>
      <c r="K1126" t="s">
        <v>27</v>
      </c>
      <c r="L1126" t="s">
        <v>28</v>
      </c>
      <c r="M1126" s="4">
        <v>4</v>
      </c>
      <c r="N1126" s="4">
        <v>7</v>
      </c>
      <c r="O1126" t="s">
        <v>36</v>
      </c>
      <c r="P1126" t="s">
        <v>36</v>
      </c>
      <c r="Q1126" s="4">
        <v>141858</v>
      </c>
      <c r="R1126" s="4">
        <v>106992</v>
      </c>
      <c r="S1126" s="4">
        <f>Table1[[#This Row],[Service_Revenue]]-Table1[[#This Row],[Service_Cost]]</f>
        <v>34866</v>
      </c>
      <c r="T1126" s="4">
        <v>5</v>
      </c>
      <c r="U1126" s="4">
        <f>IF(AND(Table1[[#This Row],[Rework_Flag]]="Yes",Table1[[#This Row],[Warranty_Claim]]="No"),Table1[[#This Row],[Service_Revenue]],0)</f>
        <v>0</v>
      </c>
      <c r="V1126" s="4">
        <f>IF(Table1[[#This Row],[Warranty_Claim]]="Yes",1,0)</f>
        <v>0</v>
      </c>
      <c r="W1126" s="4">
        <f>IF(Table1[[#This Row],[Rework_Flag]]="No",1,0)</f>
        <v>1</v>
      </c>
      <c r="X1126" s="4">
        <f>IF(Table1[[#This Row],[Rework_Flag]]="Yes",1,0)</f>
        <v>0</v>
      </c>
      <c r="Y1126" s="4">
        <v>1</v>
      </c>
      <c r="Z1126" s="4" t="str">
        <f>IF(Table1[[#This Row],[TAT_Days]]&gt;Table1[[#This Row],[SLA_TAT]],"Yes","No")</f>
        <v>No</v>
      </c>
      <c r="AA1126" s="4" t="str" cm="1">
        <f t="array" ref="AA1126">_xlfn.IFS(Table1[[#This Row],[Customer_Satisfaction]]&lt;=2,"Poor",Table1[[#This Row],[Customer_Satisfaction]]=3,"Neutral",Table1[[#This Row],[Customer_Satisfaction]]=4,"Good",Table1[[#This Row],[Customer_Satisfaction]]=5,"Good")</f>
        <v>Good</v>
      </c>
    </row>
    <row r="1127" spans="1:27" x14ac:dyDescent="0.35">
      <c r="A1127">
        <v>21125</v>
      </c>
      <c r="B1127" s="1">
        <v>45372</v>
      </c>
      <c r="C1127" t="s">
        <v>50</v>
      </c>
      <c r="D1127" t="s">
        <v>56</v>
      </c>
      <c r="E1127" t="s">
        <v>77</v>
      </c>
      <c r="F1127" t="s">
        <v>22</v>
      </c>
      <c r="G1127" t="s">
        <v>63</v>
      </c>
      <c r="H1127" t="s">
        <v>24</v>
      </c>
      <c r="I1127" t="s">
        <v>55</v>
      </c>
      <c r="J1127" t="s">
        <v>43</v>
      </c>
      <c r="K1127" t="s">
        <v>27</v>
      </c>
      <c r="L1127" t="s">
        <v>49</v>
      </c>
      <c r="M1127" s="4">
        <v>15</v>
      </c>
      <c r="N1127" s="4">
        <v>7</v>
      </c>
      <c r="O1127" t="s">
        <v>29</v>
      </c>
      <c r="P1127" t="s">
        <v>29</v>
      </c>
      <c r="Q1127" s="4">
        <v>105192</v>
      </c>
      <c r="R1127" s="4">
        <v>75191</v>
      </c>
      <c r="S1127" s="4">
        <f>Table1[[#This Row],[Service_Revenue]]-Table1[[#This Row],[Service_Cost]]</f>
        <v>30001</v>
      </c>
      <c r="T1127" s="4">
        <v>1</v>
      </c>
      <c r="U1127" s="4">
        <f>IF(AND(Table1[[#This Row],[Rework_Flag]]="Yes",Table1[[#This Row],[Warranty_Claim]]="No"),Table1[[#This Row],[Service_Revenue]],0)</f>
        <v>0</v>
      </c>
      <c r="V1127" s="4">
        <f>IF(Table1[[#This Row],[Warranty_Claim]]="Yes",1,0)</f>
        <v>1</v>
      </c>
      <c r="W1127" s="4">
        <f>IF(Table1[[#This Row],[Rework_Flag]]="No",1,0)</f>
        <v>0</v>
      </c>
      <c r="X1127" s="4">
        <f>IF(Table1[[#This Row],[Rework_Flag]]="Yes",1,0)</f>
        <v>1</v>
      </c>
      <c r="Y1127" s="4">
        <v>1</v>
      </c>
      <c r="Z1127" s="4" t="str">
        <f>IF(Table1[[#This Row],[TAT_Days]]&gt;Table1[[#This Row],[SLA_TAT]],"Yes","No")</f>
        <v>Yes</v>
      </c>
      <c r="AA1127" s="4" t="str" cm="1">
        <f t="array" ref="AA1127">_xlfn.IFS(Table1[[#This Row],[Customer_Satisfaction]]&lt;=2,"Poor",Table1[[#This Row],[Customer_Satisfaction]]=3,"Neutral",Table1[[#This Row],[Customer_Satisfaction]]=4,"Good",Table1[[#This Row],[Customer_Satisfaction]]=5,"Good")</f>
        <v>Poor</v>
      </c>
    </row>
    <row r="1128" spans="1:27" x14ac:dyDescent="0.35">
      <c r="A1128">
        <v>21126</v>
      </c>
      <c r="B1128" s="1">
        <v>45467</v>
      </c>
      <c r="C1128" t="s">
        <v>30</v>
      </c>
      <c r="D1128" t="s">
        <v>83</v>
      </c>
      <c r="E1128" t="s">
        <v>92</v>
      </c>
      <c r="F1128" t="s">
        <v>40</v>
      </c>
      <c r="G1128" t="s">
        <v>74</v>
      </c>
      <c r="H1128" t="s">
        <v>34</v>
      </c>
      <c r="I1128" t="s">
        <v>55</v>
      </c>
      <c r="J1128" t="s">
        <v>58</v>
      </c>
      <c r="K1128" t="s">
        <v>44</v>
      </c>
      <c r="L1128" t="s">
        <v>28</v>
      </c>
      <c r="M1128" s="4">
        <v>18</v>
      </c>
      <c r="N1128" s="4">
        <v>7</v>
      </c>
      <c r="O1128" t="s">
        <v>29</v>
      </c>
      <c r="P1128" t="s">
        <v>36</v>
      </c>
      <c r="Q1128" s="4">
        <v>484947</v>
      </c>
      <c r="R1128" s="4">
        <v>356251</v>
      </c>
      <c r="S1128" s="4">
        <f>Table1[[#This Row],[Service_Revenue]]-Table1[[#This Row],[Service_Cost]]</f>
        <v>128696</v>
      </c>
      <c r="T1128" s="4">
        <v>1</v>
      </c>
      <c r="U1128" s="4">
        <f>IF(AND(Table1[[#This Row],[Rework_Flag]]="Yes",Table1[[#This Row],[Warranty_Claim]]="No"),Table1[[#This Row],[Service_Revenue]],0)</f>
        <v>484947</v>
      </c>
      <c r="V1128" s="4">
        <f>IF(Table1[[#This Row],[Warranty_Claim]]="Yes",1,0)</f>
        <v>0</v>
      </c>
      <c r="W1128" s="4">
        <f>IF(Table1[[#This Row],[Rework_Flag]]="No",1,0)</f>
        <v>0</v>
      </c>
      <c r="X1128" s="4">
        <f>IF(Table1[[#This Row],[Rework_Flag]]="Yes",1,0)</f>
        <v>1</v>
      </c>
      <c r="Y1128" s="4">
        <v>1</v>
      </c>
      <c r="Z1128" s="4" t="str">
        <f>IF(Table1[[#This Row],[TAT_Days]]&gt;Table1[[#This Row],[SLA_TAT]],"Yes","No")</f>
        <v>Yes</v>
      </c>
      <c r="AA1128" s="4" t="str" cm="1">
        <f t="array" ref="AA1128">_xlfn.IFS(Table1[[#This Row],[Customer_Satisfaction]]&lt;=2,"Poor",Table1[[#This Row],[Customer_Satisfaction]]=3,"Neutral",Table1[[#This Row],[Customer_Satisfaction]]=4,"Good",Table1[[#This Row],[Customer_Satisfaction]]=5,"Good")</f>
        <v>Poor</v>
      </c>
    </row>
    <row r="1129" spans="1:27" x14ac:dyDescent="0.35">
      <c r="A1129">
        <v>21127</v>
      </c>
      <c r="B1129" s="1">
        <v>45375</v>
      </c>
      <c r="C1129" t="s">
        <v>30</v>
      </c>
      <c r="D1129" t="s">
        <v>31</v>
      </c>
      <c r="E1129" t="s">
        <v>79</v>
      </c>
      <c r="F1129" t="s">
        <v>53</v>
      </c>
      <c r="G1129" t="s">
        <v>23</v>
      </c>
      <c r="H1129" t="s">
        <v>24</v>
      </c>
      <c r="I1129" t="s">
        <v>55</v>
      </c>
      <c r="J1129" t="s">
        <v>35</v>
      </c>
      <c r="K1129" t="s">
        <v>61</v>
      </c>
      <c r="L1129" t="s">
        <v>28</v>
      </c>
      <c r="M1129" s="4">
        <v>7</v>
      </c>
      <c r="N1129" s="4">
        <v>7</v>
      </c>
      <c r="O1129" t="s">
        <v>29</v>
      </c>
      <c r="P1129" t="s">
        <v>36</v>
      </c>
      <c r="Q1129" s="4">
        <v>418726</v>
      </c>
      <c r="R1129" s="4">
        <v>319758</v>
      </c>
      <c r="S1129" s="4">
        <f>Table1[[#This Row],[Service_Revenue]]-Table1[[#This Row],[Service_Cost]]</f>
        <v>98968</v>
      </c>
      <c r="T1129" s="4">
        <v>3</v>
      </c>
      <c r="U1129" s="4">
        <f>IF(AND(Table1[[#This Row],[Rework_Flag]]="Yes",Table1[[#This Row],[Warranty_Claim]]="No"),Table1[[#This Row],[Service_Revenue]],0)</f>
        <v>418726</v>
      </c>
      <c r="V1129" s="4">
        <f>IF(Table1[[#This Row],[Warranty_Claim]]="Yes",1,0)</f>
        <v>0</v>
      </c>
      <c r="W1129" s="4">
        <f>IF(Table1[[#This Row],[Rework_Flag]]="No",1,0)</f>
        <v>0</v>
      </c>
      <c r="X1129" s="4">
        <f>IF(Table1[[#This Row],[Rework_Flag]]="Yes",1,0)</f>
        <v>1</v>
      </c>
      <c r="Y1129" s="4">
        <v>1</v>
      </c>
      <c r="Z1129" s="4" t="str">
        <f>IF(Table1[[#This Row],[TAT_Days]]&gt;Table1[[#This Row],[SLA_TAT]],"Yes","No")</f>
        <v>No</v>
      </c>
      <c r="AA1129" s="4" t="str" cm="1">
        <f t="array" ref="AA1129">_xlfn.IFS(Table1[[#This Row],[Customer_Satisfaction]]&lt;=2,"Poor",Table1[[#This Row],[Customer_Satisfaction]]=3,"Neutral",Table1[[#This Row],[Customer_Satisfaction]]=4,"Good",Table1[[#This Row],[Customer_Satisfaction]]=5,"Good")</f>
        <v>Neutral</v>
      </c>
    </row>
    <row r="1130" spans="1:27" x14ac:dyDescent="0.35">
      <c r="A1130">
        <v>21128</v>
      </c>
      <c r="B1130" s="1">
        <v>45393</v>
      </c>
      <c r="C1130" t="s">
        <v>30</v>
      </c>
      <c r="D1130" t="s">
        <v>59</v>
      </c>
      <c r="E1130" t="s">
        <v>78</v>
      </c>
      <c r="F1130" t="s">
        <v>53</v>
      </c>
      <c r="G1130" t="s">
        <v>54</v>
      </c>
      <c r="H1130" t="s">
        <v>42</v>
      </c>
      <c r="I1130" t="s">
        <v>25</v>
      </c>
      <c r="J1130" t="s">
        <v>26</v>
      </c>
      <c r="K1130" t="s">
        <v>61</v>
      </c>
      <c r="L1130" t="s">
        <v>28</v>
      </c>
      <c r="M1130" s="4">
        <v>16</v>
      </c>
      <c r="N1130" s="4">
        <v>7</v>
      </c>
      <c r="O1130" t="s">
        <v>36</v>
      </c>
      <c r="P1130" t="s">
        <v>36</v>
      </c>
      <c r="Q1130" s="4">
        <v>108854</v>
      </c>
      <c r="R1130" s="4">
        <v>57470</v>
      </c>
      <c r="S1130" s="4">
        <f>Table1[[#This Row],[Service_Revenue]]-Table1[[#This Row],[Service_Cost]]</f>
        <v>51384</v>
      </c>
      <c r="T1130" s="4">
        <v>2</v>
      </c>
      <c r="U1130" s="4">
        <f>IF(AND(Table1[[#This Row],[Rework_Flag]]="Yes",Table1[[#This Row],[Warranty_Claim]]="No"),Table1[[#This Row],[Service_Revenue]],0)</f>
        <v>0</v>
      </c>
      <c r="V1130" s="4">
        <f>IF(Table1[[#This Row],[Warranty_Claim]]="Yes",1,0)</f>
        <v>0</v>
      </c>
      <c r="W1130" s="4">
        <f>IF(Table1[[#This Row],[Rework_Flag]]="No",1,0)</f>
        <v>1</v>
      </c>
      <c r="X1130" s="4">
        <f>IF(Table1[[#This Row],[Rework_Flag]]="Yes",1,0)</f>
        <v>0</v>
      </c>
      <c r="Y1130" s="4">
        <v>1</v>
      </c>
      <c r="Z1130" s="4" t="str">
        <f>IF(Table1[[#This Row],[TAT_Days]]&gt;Table1[[#This Row],[SLA_TAT]],"Yes","No")</f>
        <v>Yes</v>
      </c>
      <c r="AA1130" s="4" t="str" cm="1">
        <f t="array" ref="AA1130">_xlfn.IFS(Table1[[#This Row],[Customer_Satisfaction]]&lt;=2,"Poor",Table1[[#This Row],[Customer_Satisfaction]]=3,"Neutral",Table1[[#This Row],[Customer_Satisfaction]]=4,"Good",Table1[[#This Row],[Customer_Satisfaction]]=5,"Good")</f>
        <v>Poor</v>
      </c>
    </row>
    <row r="1131" spans="1:27" x14ac:dyDescent="0.35">
      <c r="A1131">
        <v>21129</v>
      </c>
      <c r="B1131" s="1">
        <v>45465</v>
      </c>
      <c r="C1131" t="s">
        <v>37</v>
      </c>
      <c r="D1131" t="s">
        <v>38</v>
      </c>
      <c r="E1131" t="s">
        <v>102</v>
      </c>
      <c r="F1131" t="s">
        <v>40</v>
      </c>
      <c r="G1131" t="s">
        <v>33</v>
      </c>
      <c r="H1131" t="s">
        <v>34</v>
      </c>
      <c r="I1131" t="s">
        <v>55</v>
      </c>
      <c r="J1131" t="s">
        <v>67</v>
      </c>
      <c r="K1131" t="s">
        <v>27</v>
      </c>
      <c r="L1131" t="s">
        <v>28</v>
      </c>
      <c r="M1131" s="4">
        <v>6</v>
      </c>
      <c r="N1131" s="4">
        <v>7</v>
      </c>
      <c r="O1131" t="s">
        <v>29</v>
      </c>
      <c r="P1131" t="s">
        <v>36</v>
      </c>
      <c r="Q1131" s="4">
        <v>465152</v>
      </c>
      <c r="R1131" s="4">
        <v>335858</v>
      </c>
      <c r="S1131" s="4">
        <f>Table1[[#This Row],[Service_Revenue]]-Table1[[#This Row],[Service_Cost]]</f>
        <v>129294</v>
      </c>
      <c r="T1131" s="4">
        <v>3</v>
      </c>
      <c r="U1131" s="4">
        <f>IF(AND(Table1[[#This Row],[Rework_Flag]]="Yes",Table1[[#This Row],[Warranty_Claim]]="No"),Table1[[#This Row],[Service_Revenue]],0)</f>
        <v>465152</v>
      </c>
      <c r="V1131" s="4">
        <f>IF(Table1[[#This Row],[Warranty_Claim]]="Yes",1,0)</f>
        <v>0</v>
      </c>
      <c r="W1131" s="4">
        <f>IF(Table1[[#This Row],[Rework_Flag]]="No",1,0)</f>
        <v>0</v>
      </c>
      <c r="X1131" s="4">
        <f>IF(Table1[[#This Row],[Rework_Flag]]="Yes",1,0)</f>
        <v>1</v>
      </c>
      <c r="Y1131" s="4">
        <v>1</v>
      </c>
      <c r="Z1131" s="4" t="str">
        <f>IF(Table1[[#This Row],[TAT_Days]]&gt;Table1[[#This Row],[SLA_TAT]],"Yes","No")</f>
        <v>No</v>
      </c>
      <c r="AA1131" s="4" t="str" cm="1">
        <f t="array" ref="AA1131">_xlfn.IFS(Table1[[#This Row],[Customer_Satisfaction]]&lt;=2,"Poor",Table1[[#This Row],[Customer_Satisfaction]]=3,"Neutral",Table1[[#This Row],[Customer_Satisfaction]]=4,"Good",Table1[[#This Row],[Customer_Satisfaction]]=5,"Good")</f>
        <v>Neutral</v>
      </c>
    </row>
    <row r="1132" spans="1:27" x14ac:dyDescent="0.35">
      <c r="A1132">
        <v>21130</v>
      </c>
      <c r="B1132" s="1">
        <v>45382</v>
      </c>
      <c r="C1132" t="s">
        <v>30</v>
      </c>
      <c r="D1132" t="s">
        <v>83</v>
      </c>
      <c r="E1132" t="s">
        <v>84</v>
      </c>
      <c r="F1132" t="s">
        <v>22</v>
      </c>
      <c r="G1132" t="s">
        <v>74</v>
      </c>
      <c r="H1132" t="s">
        <v>34</v>
      </c>
      <c r="I1132" t="s">
        <v>55</v>
      </c>
      <c r="J1132" t="s">
        <v>35</v>
      </c>
      <c r="K1132" t="s">
        <v>44</v>
      </c>
      <c r="L1132" t="s">
        <v>28</v>
      </c>
      <c r="M1132" s="4">
        <v>25</v>
      </c>
      <c r="N1132" s="4">
        <v>7</v>
      </c>
      <c r="O1132" t="s">
        <v>29</v>
      </c>
      <c r="P1132" t="s">
        <v>36</v>
      </c>
      <c r="Q1132" s="4">
        <v>531912</v>
      </c>
      <c r="R1132" s="4">
        <v>311829</v>
      </c>
      <c r="S1132" s="4">
        <f>Table1[[#This Row],[Service_Revenue]]-Table1[[#This Row],[Service_Cost]]</f>
        <v>220083</v>
      </c>
      <c r="T1132" s="4">
        <v>1</v>
      </c>
      <c r="U1132" s="4">
        <f>IF(AND(Table1[[#This Row],[Rework_Flag]]="Yes",Table1[[#This Row],[Warranty_Claim]]="No"),Table1[[#This Row],[Service_Revenue]],0)</f>
        <v>531912</v>
      </c>
      <c r="V1132" s="4">
        <f>IF(Table1[[#This Row],[Warranty_Claim]]="Yes",1,0)</f>
        <v>0</v>
      </c>
      <c r="W1132" s="4">
        <f>IF(Table1[[#This Row],[Rework_Flag]]="No",1,0)</f>
        <v>0</v>
      </c>
      <c r="X1132" s="4">
        <f>IF(Table1[[#This Row],[Rework_Flag]]="Yes",1,0)</f>
        <v>1</v>
      </c>
      <c r="Y1132" s="4">
        <v>1</v>
      </c>
      <c r="Z1132" s="4" t="str">
        <f>IF(Table1[[#This Row],[TAT_Days]]&gt;Table1[[#This Row],[SLA_TAT]],"Yes","No")</f>
        <v>Yes</v>
      </c>
      <c r="AA1132" s="4" t="str" cm="1">
        <f t="array" ref="AA1132">_xlfn.IFS(Table1[[#This Row],[Customer_Satisfaction]]&lt;=2,"Poor",Table1[[#This Row],[Customer_Satisfaction]]=3,"Neutral",Table1[[#This Row],[Customer_Satisfaction]]=4,"Good",Table1[[#This Row],[Customer_Satisfaction]]=5,"Good")</f>
        <v>Poor</v>
      </c>
    </row>
    <row r="1133" spans="1:27" x14ac:dyDescent="0.35">
      <c r="A1133">
        <v>21131</v>
      </c>
      <c r="B1133" s="1">
        <v>45349</v>
      </c>
      <c r="C1133" t="s">
        <v>19</v>
      </c>
      <c r="D1133" t="s">
        <v>45</v>
      </c>
      <c r="E1133" t="s">
        <v>76</v>
      </c>
      <c r="F1133" t="s">
        <v>53</v>
      </c>
      <c r="G1133" t="s">
        <v>41</v>
      </c>
      <c r="H1133" t="s">
        <v>42</v>
      </c>
      <c r="I1133" t="s">
        <v>55</v>
      </c>
      <c r="J1133" t="s">
        <v>43</v>
      </c>
      <c r="K1133" t="s">
        <v>44</v>
      </c>
      <c r="L1133" t="s">
        <v>28</v>
      </c>
      <c r="M1133" s="4">
        <v>22</v>
      </c>
      <c r="N1133" s="4">
        <v>7</v>
      </c>
      <c r="O1133" t="s">
        <v>29</v>
      </c>
      <c r="P1133" t="s">
        <v>36</v>
      </c>
      <c r="Q1133" s="4">
        <v>473827</v>
      </c>
      <c r="R1133" s="4">
        <v>324174</v>
      </c>
      <c r="S1133" s="4">
        <f>Table1[[#This Row],[Service_Revenue]]-Table1[[#This Row],[Service_Cost]]</f>
        <v>149653</v>
      </c>
      <c r="T1133" s="4">
        <v>1</v>
      </c>
      <c r="U1133" s="4">
        <f>IF(AND(Table1[[#This Row],[Rework_Flag]]="Yes",Table1[[#This Row],[Warranty_Claim]]="No"),Table1[[#This Row],[Service_Revenue]],0)</f>
        <v>473827</v>
      </c>
      <c r="V1133" s="4">
        <f>IF(Table1[[#This Row],[Warranty_Claim]]="Yes",1,0)</f>
        <v>0</v>
      </c>
      <c r="W1133" s="4">
        <f>IF(Table1[[#This Row],[Rework_Flag]]="No",1,0)</f>
        <v>0</v>
      </c>
      <c r="X1133" s="4">
        <f>IF(Table1[[#This Row],[Rework_Flag]]="Yes",1,0)</f>
        <v>1</v>
      </c>
      <c r="Y1133" s="4">
        <v>1</v>
      </c>
      <c r="Z1133" s="4" t="str">
        <f>IF(Table1[[#This Row],[TAT_Days]]&gt;Table1[[#This Row],[SLA_TAT]],"Yes","No")</f>
        <v>Yes</v>
      </c>
      <c r="AA1133" s="4" t="str" cm="1">
        <f t="array" ref="AA1133">_xlfn.IFS(Table1[[#This Row],[Customer_Satisfaction]]&lt;=2,"Poor",Table1[[#This Row],[Customer_Satisfaction]]=3,"Neutral",Table1[[#This Row],[Customer_Satisfaction]]=4,"Good",Table1[[#This Row],[Customer_Satisfaction]]=5,"Good")</f>
        <v>Poor</v>
      </c>
    </row>
    <row r="1134" spans="1:27" x14ac:dyDescent="0.35">
      <c r="A1134">
        <v>21132</v>
      </c>
      <c r="B1134" s="1">
        <v>45330</v>
      </c>
      <c r="C1134" t="s">
        <v>50</v>
      </c>
      <c r="D1134" t="s">
        <v>56</v>
      </c>
      <c r="E1134" t="s">
        <v>101</v>
      </c>
      <c r="F1134" t="s">
        <v>22</v>
      </c>
      <c r="G1134" t="s">
        <v>54</v>
      </c>
      <c r="H1134" t="s">
        <v>42</v>
      </c>
      <c r="I1134" t="s">
        <v>55</v>
      </c>
      <c r="J1134" t="s">
        <v>26</v>
      </c>
      <c r="K1134" t="s">
        <v>27</v>
      </c>
      <c r="L1134" t="s">
        <v>49</v>
      </c>
      <c r="M1134" s="4">
        <v>22</v>
      </c>
      <c r="N1134" s="4">
        <v>7</v>
      </c>
      <c r="O1134" t="s">
        <v>29</v>
      </c>
      <c r="P1134" t="s">
        <v>36</v>
      </c>
      <c r="Q1134" s="4">
        <v>509779</v>
      </c>
      <c r="R1134" s="4">
        <v>351557</v>
      </c>
      <c r="S1134" s="4">
        <f>Table1[[#This Row],[Service_Revenue]]-Table1[[#This Row],[Service_Cost]]</f>
        <v>158222</v>
      </c>
      <c r="T1134" s="4">
        <v>1</v>
      </c>
      <c r="U1134" s="4">
        <f>IF(AND(Table1[[#This Row],[Rework_Flag]]="Yes",Table1[[#This Row],[Warranty_Claim]]="No"),Table1[[#This Row],[Service_Revenue]],0)</f>
        <v>509779</v>
      </c>
      <c r="V1134" s="4">
        <f>IF(Table1[[#This Row],[Warranty_Claim]]="Yes",1,0)</f>
        <v>0</v>
      </c>
      <c r="W1134" s="4">
        <f>IF(Table1[[#This Row],[Rework_Flag]]="No",1,0)</f>
        <v>0</v>
      </c>
      <c r="X1134" s="4">
        <f>IF(Table1[[#This Row],[Rework_Flag]]="Yes",1,0)</f>
        <v>1</v>
      </c>
      <c r="Y1134" s="4">
        <v>1</v>
      </c>
      <c r="Z1134" s="4" t="str">
        <f>IF(Table1[[#This Row],[TAT_Days]]&gt;Table1[[#This Row],[SLA_TAT]],"Yes","No")</f>
        <v>Yes</v>
      </c>
      <c r="AA1134" s="4" t="str" cm="1">
        <f t="array" ref="AA1134">_xlfn.IFS(Table1[[#This Row],[Customer_Satisfaction]]&lt;=2,"Poor",Table1[[#This Row],[Customer_Satisfaction]]=3,"Neutral",Table1[[#This Row],[Customer_Satisfaction]]=4,"Good",Table1[[#This Row],[Customer_Satisfaction]]=5,"Good")</f>
        <v>Poor</v>
      </c>
    </row>
    <row r="1135" spans="1:27" x14ac:dyDescent="0.35">
      <c r="A1135">
        <v>21133</v>
      </c>
      <c r="B1135" s="1">
        <v>45296</v>
      </c>
      <c r="C1135" t="s">
        <v>37</v>
      </c>
      <c r="D1135" t="s">
        <v>38</v>
      </c>
      <c r="E1135" t="s">
        <v>102</v>
      </c>
      <c r="F1135" t="s">
        <v>22</v>
      </c>
      <c r="G1135" t="s">
        <v>47</v>
      </c>
      <c r="H1135" t="s">
        <v>48</v>
      </c>
      <c r="I1135" t="s">
        <v>55</v>
      </c>
      <c r="J1135" t="s">
        <v>58</v>
      </c>
      <c r="K1135" t="s">
        <v>27</v>
      </c>
      <c r="L1135" t="s">
        <v>49</v>
      </c>
      <c r="M1135" s="4">
        <v>6</v>
      </c>
      <c r="N1135" s="4">
        <v>7</v>
      </c>
      <c r="O1135" t="s">
        <v>29</v>
      </c>
      <c r="P1135" t="s">
        <v>36</v>
      </c>
      <c r="Q1135" s="4">
        <v>310652</v>
      </c>
      <c r="R1135" s="4">
        <v>248009</v>
      </c>
      <c r="S1135" s="4">
        <f>Table1[[#This Row],[Service_Revenue]]-Table1[[#This Row],[Service_Cost]]</f>
        <v>62643</v>
      </c>
      <c r="T1135" s="4">
        <v>3</v>
      </c>
      <c r="U1135" s="4">
        <f>IF(AND(Table1[[#This Row],[Rework_Flag]]="Yes",Table1[[#This Row],[Warranty_Claim]]="No"),Table1[[#This Row],[Service_Revenue]],0)</f>
        <v>310652</v>
      </c>
      <c r="V1135" s="4">
        <f>IF(Table1[[#This Row],[Warranty_Claim]]="Yes",1,0)</f>
        <v>0</v>
      </c>
      <c r="W1135" s="4">
        <f>IF(Table1[[#This Row],[Rework_Flag]]="No",1,0)</f>
        <v>0</v>
      </c>
      <c r="X1135" s="4">
        <f>IF(Table1[[#This Row],[Rework_Flag]]="Yes",1,0)</f>
        <v>1</v>
      </c>
      <c r="Y1135" s="4">
        <v>1</v>
      </c>
      <c r="Z1135" s="4" t="str">
        <f>IF(Table1[[#This Row],[TAT_Days]]&gt;Table1[[#This Row],[SLA_TAT]],"Yes","No")</f>
        <v>No</v>
      </c>
      <c r="AA1135" s="4" t="str" cm="1">
        <f t="array" ref="AA1135">_xlfn.IFS(Table1[[#This Row],[Customer_Satisfaction]]&lt;=2,"Poor",Table1[[#This Row],[Customer_Satisfaction]]=3,"Neutral",Table1[[#This Row],[Customer_Satisfaction]]=4,"Good",Table1[[#This Row],[Customer_Satisfaction]]=5,"Good")</f>
        <v>Neutral</v>
      </c>
    </row>
    <row r="1136" spans="1:27" x14ac:dyDescent="0.35">
      <c r="A1136">
        <v>21134</v>
      </c>
      <c r="B1136" s="1">
        <v>45352</v>
      </c>
      <c r="C1136" t="s">
        <v>19</v>
      </c>
      <c r="D1136" t="s">
        <v>96</v>
      </c>
      <c r="E1136" t="s">
        <v>98</v>
      </c>
      <c r="F1136" t="s">
        <v>22</v>
      </c>
      <c r="G1136" t="s">
        <v>41</v>
      </c>
      <c r="H1136" t="s">
        <v>42</v>
      </c>
      <c r="I1136" t="s">
        <v>55</v>
      </c>
      <c r="J1136" t="s">
        <v>67</v>
      </c>
      <c r="K1136" t="s">
        <v>44</v>
      </c>
      <c r="L1136" t="s">
        <v>49</v>
      </c>
      <c r="M1136" s="4">
        <v>15</v>
      </c>
      <c r="N1136" s="4">
        <v>7</v>
      </c>
      <c r="O1136" t="s">
        <v>36</v>
      </c>
      <c r="P1136" t="s">
        <v>36</v>
      </c>
      <c r="Q1136" s="4">
        <v>479130</v>
      </c>
      <c r="R1136" s="4">
        <v>374468</v>
      </c>
      <c r="S1136" s="4">
        <f>Table1[[#This Row],[Service_Revenue]]-Table1[[#This Row],[Service_Cost]]</f>
        <v>104662</v>
      </c>
      <c r="T1136" s="4">
        <v>2</v>
      </c>
      <c r="U1136" s="4">
        <f>IF(AND(Table1[[#This Row],[Rework_Flag]]="Yes",Table1[[#This Row],[Warranty_Claim]]="No"),Table1[[#This Row],[Service_Revenue]],0)</f>
        <v>0</v>
      </c>
      <c r="V1136" s="4">
        <f>IF(Table1[[#This Row],[Warranty_Claim]]="Yes",1,0)</f>
        <v>0</v>
      </c>
      <c r="W1136" s="4">
        <f>IF(Table1[[#This Row],[Rework_Flag]]="No",1,0)</f>
        <v>1</v>
      </c>
      <c r="X1136" s="4">
        <f>IF(Table1[[#This Row],[Rework_Flag]]="Yes",1,0)</f>
        <v>0</v>
      </c>
      <c r="Y1136" s="4">
        <v>1</v>
      </c>
      <c r="Z1136" s="4" t="str">
        <f>IF(Table1[[#This Row],[TAT_Days]]&gt;Table1[[#This Row],[SLA_TAT]],"Yes","No")</f>
        <v>Yes</v>
      </c>
      <c r="AA1136" s="4" t="str" cm="1">
        <f t="array" ref="AA1136">_xlfn.IFS(Table1[[#This Row],[Customer_Satisfaction]]&lt;=2,"Poor",Table1[[#This Row],[Customer_Satisfaction]]=3,"Neutral",Table1[[#This Row],[Customer_Satisfaction]]=4,"Good",Table1[[#This Row],[Customer_Satisfaction]]=5,"Good")</f>
        <v>Poor</v>
      </c>
    </row>
    <row r="1137" spans="1:27" x14ac:dyDescent="0.35">
      <c r="A1137">
        <v>21135</v>
      </c>
      <c r="B1137" s="1">
        <v>45380</v>
      </c>
      <c r="C1137" t="s">
        <v>50</v>
      </c>
      <c r="D1137" t="s">
        <v>56</v>
      </c>
      <c r="E1137" t="s">
        <v>77</v>
      </c>
      <c r="F1137" t="s">
        <v>40</v>
      </c>
      <c r="G1137" t="s">
        <v>33</v>
      </c>
      <c r="H1137" t="s">
        <v>34</v>
      </c>
      <c r="I1137" t="s">
        <v>55</v>
      </c>
      <c r="J1137" t="s">
        <v>67</v>
      </c>
      <c r="K1137" t="s">
        <v>44</v>
      </c>
      <c r="L1137" t="s">
        <v>28</v>
      </c>
      <c r="M1137" s="4">
        <v>21</v>
      </c>
      <c r="N1137" s="4">
        <v>7</v>
      </c>
      <c r="O1137" t="s">
        <v>36</v>
      </c>
      <c r="P1137" t="s">
        <v>36</v>
      </c>
      <c r="Q1137" s="4">
        <v>338209</v>
      </c>
      <c r="R1137" s="4">
        <v>197206</v>
      </c>
      <c r="S1137" s="4">
        <f>Table1[[#This Row],[Service_Revenue]]-Table1[[#This Row],[Service_Cost]]</f>
        <v>141003</v>
      </c>
      <c r="T1137" s="4">
        <v>1</v>
      </c>
      <c r="U1137" s="4">
        <f>IF(AND(Table1[[#This Row],[Rework_Flag]]="Yes",Table1[[#This Row],[Warranty_Claim]]="No"),Table1[[#This Row],[Service_Revenue]],0)</f>
        <v>0</v>
      </c>
      <c r="V1137" s="4">
        <f>IF(Table1[[#This Row],[Warranty_Claim]]="Yes",1,0)</f>
        <v>0</v>
      </c>
      <c r="W1137" s="4">
        <f>IF(Table1[[#This Row],[Rework_Flag]]="No",1,0)</f>
        <v>1</v>
      </c>
      <c r="X1137" s="4">
        <f>IF(Table1[[#This Row],[Rework_Flag]]="Yes",1,0)</f>
        <v>0</v>
      </c>
      <c r="Y1137" s="4">
        <v>1</v>
      </c>
      <c r="Z1137" s="4" t="str">
        <f>IF(Table1[[#This Row],[TAT_Days]]&gt;Table1[[#This Row],[SLA_TAT]],"Yes","No")</f>
        <v>Yes</v>
      </c>
      <c r="AA1137" s="4" t="str" cm="1">
        <f t="array" ref="AA1137">_xlfn.IFS(Table1[[#This Row],[Customer_Satisfaction]]&lt;=2,"Poor",Table1[[#This Row],[Customer_Satisfaction]]=3,"Neutral",Table1[[#This Row],[Customer_Satisfaction]]=4,"Good",Table1[[#This Row],[Customer_Satisfaction]]=5,"Good")</f>
        <v>Poor</v>
      </c>
    </row>
    <row r="1138" spans="1:27" x14ac:dyDescent="0.35">
      <c r="A1138">
        <v>21136</v>
      </c>
      <c r="B1138" s="1">
        <v>45430</v>
      </c>
      <c r="C1138" t="s">
        <v>50</v>
      </c>
      <c r="D1138" t="s">
        <v>56</v>
      </c>
      <c r="E1138" t="s">
        <v>101</v>
      </c>
      <c r="F1138" t="s">
        <v>40</v>
      </c>
      <c r="G1138" t="s">
        <v>63</v>
      </c>
      <c r="H1138" t="s">
        <v>24</v>
      </c>
      <c r="I1138" t="s">
        <v>55</v>
      </c>
      <c r="J1138" t="s">
        <v>35</v>
      </c>
      <c r="K1138" t="s">
        <v>44</v>
      </c>
      <c r="L1138" t="s">
        <v>49</v>
      </c>
      <c r="M1138" s="4">
        <v>15</v>
      </c>
      <c r="N1138" s="4">
        <v>7</v>
      </c>
      <c r="O1138" t="s">
        <v>36</v>
      </c>
      <c r="P1138" t="s">
        <v>36</v>
      </c>
      <c r="Q1138" s="4">
        <v>263659</v>
      </c>
      <c r="R1138" s="4">
        <v>154073</v>
      </c>
      <c r="S1138" s="4">
        <f>Table1[[#This Row],[Service_Revenue]]-Table1[[#This Row],[Service_Cost]]</f>
        <v>109586</v>
      </c>
      <c r="T1138" s="4">
        <v>2</v>
      </c>
      <c r="U1138" s="4">
        <f>IF(AND(Table1[[#This Row],[Rework_Flag]]="Yes",Table1[[#This Row],[Warranty_Claim]]="No"),Table1[[#This Row],[Service_Revenue]],0)</f>
        <v>0</v>
      </c>
      <c r="V1138" s="4">
        <f>IF(Table1[[#This Row],[Warranty_Claim]]="Yes",1,0)</f>
        <v>0</v>
      </c>
      <c r="W1138" s="4">
        <f>IF(Table1[[#This Row],[Rework_Flag]]="No",1,0)</f>
        <v>1</v>
      </c>
      <c r="X1138" s="4">
        <f>IF(Table1[[#This Row],[Rework_Flag]]="Yes",1,0)</f>
        <v>0</v>
      </c>
      <c r="Y1138" s="4">
        <v>1</v>
      </c>
      <c r="Z1138" s="4" t="str">
        <f>IF(Table1[[#This Row],[TAT_Days]]&gt;Table1[[#This Row],[SLA_TAT]],"Yes","No")</f>
        <v>Yes</v>
      </c>
      <c r="AA1138" s="4" t="str" cm="1">
        <f t="array" ref="AA1138">_xlfn.IFS(Table1[[#This Row],[Customer_Satisfaction]]&lt;=2,"Poor",Table1[[#This Row],[Customer_Satisfaction]]=3,"Neutral",Table1[[#This Row],[Customer_Satisfaction]]=4,"Good",Table1[[#This Row],[Customer_Satisfaction]]=5,"Good")</f>
        <v>Poor</v>
      </c>
    </row>
    <row r="1139" spans="1:27" x14ac:dyDescent="0.35">
      <c r="A1139">
        <v>21137</v>
      </c>
      <c r="B1139" s="1">
        <v>45367</v>
      </c>
      <c r="C1139" t="s">
        <v>19</v>
      </c>
      <c r="D1139" t="s">
        <v>96</v>
      </c>
      <c r="E1139" t="s">
        <v>97</v>
      </c>
      <c r="F1139" t="s">
        <v>40</v>
      </c>
      <c r="G1139" t="s">
        <v>23</v>
      </c>
      <c r="H1139" t="s">
        <v>24</v>
      </c>
      <c r="I1139" t="s">
        <v>25</v>
      </c>
      <c r="J1139" t="s">
        <v>58</v>
      </c>
      <c r="K1139" t="s">
        <v>44</v>
      </c>
      <c r="L1139" t="s">
        <v>28</v>
      </c>
      <c r="M1139" s="4">
        <v>15</v>
      </c>
      <c r="N1139" s="4">
        <v>7</v>
      </c>
      <c r="O1139" t="s">
        <v>29</v>
      </c>
      <c r="P1139" t="s">
        <v>36</v>
      </c>
      <c r="Q1139" s="4">
        <v>124184</v>
      </c>
      <c r="R1139" s="4">
        <v>98743</v>
      </c>
      <c r="S1139" s="4">
        <f>Table1[[#This Row],[Service_Revenue]]-Table1[[#This Row],[Service_Cost]]</f>
        <v>25441</v>
      </c>
      <c r="T1139" s="4">
        <v>1</v>
      </c>
      <c r="U1139" s="4">
        <f>IF(AND(Table1[[#This Row],[Rework_Flag]]="Yes",Table1[[#This Row],[Warranty_Claim]]="No"),Table1[[#This Row],[Service_Revenue]],0)</f>
        <v>124184</v>
      </c>
      <c r="V1139" s="4">
        <f>IF(Table1[[#This Row],[Warranty_Claim]]="Yes",1,0)</f>
        <v>0</v>
      </c>
      <c r="W1139" s="4">
        <f>IF(Table1[[#This Row],[Rework_Flag]]="No",1,0)</f>
        <v>0</v>
      </c>
      <c r="X1139" s="4">
        <f>IF(Table1[[#This Row],[Rework_Flag]]="Yes",1,0)</f>
        <v>1</v>
      </c>
      <c r="Y1139" s="4">
        <v>1</v>
      </c>
      <c r="Z1139" s="4" t="str">
        <f>IF(Table1[[#This Row],[TAT_Days]]&gt;Table1[[#This Row],[SLA_TAT]],"Yes","No")</f>
        <v>Yes</v>
      </c>
      <c r="AA1139" s="4" t="str" cm="1">
        <f t="array" ref="AA1139">_xlfn.IFS(Table1[[#This Row],[Customer_Satisfaction]]&lt;=2,"Poor",Table1[[#This Row],[Customer_Satisfaction]]=3,"Neutral",Table1[[#This Row],[Customer_Satisfaction]]=4,"Good",Table1[[#This Row],[Customer_Satisfaction]]=5,"Good")</f>
        <v>Poor</v>
      </c>
    </row>
    <row r="1140" spans="1:27" x14ac:dyDescent="0.35">
      <c r="A1140">
        <v>21138</v>
      </c>
      <c r="B1140" s="1">
        <v>45294</v>
      </c>
      <c r="C1140" t="s">
        <v>37</v>
      </c>
      <c r="D1140" t="s">
        <v>70</v>
      </c>
      <c r="E1140" t="s">
        <v>100</v>
      </c>
      <c r="F1140" t="s">
        <v>22</v>
      </c>
      <c r="G1140" t="s">
        <v>33</v>
      </c>
      <c r="H1140" t="s">
        <v>34</v>
      </c>
      <c r="I1140" t="s">
        <v>55</v>
      </c>
      <c r="J1140" t="s">
        <v>58</v>
      </c>
      <c r="K1140" t="s">
        <v>44</v>
      </c>
      <c r="L1140" t="s">
        <v>28</v>
      </c>
      <c r="M1140" s="4">
        <v>9</v>
      </c>
      <c r="N1140" s="4">
        <v>7</v>
      </c>
      <c r="O1140" t="s">
        <v>29</v>
      </c>
      <c r="P1140" t="s">
        <v>36</v>
      </c>
      <c r="Q1140" s="4">
        <v>180739</v>
      </c>
      <c r="R1140" s="4">
        <v>112054</v>
      </c>
      <c r="S1140" s="4">
        <f>Table1[[#This Row],[Service_Revenue]]-Table1[[#This Row],[Service_Cost]]</f>
        <v>68685</v>
      </c>
      <c r="T1140" s="4">
        <v>3</v>
      </c>
      <c r="U1140" s="4">
        <f>IF(AND(Table1[[#This Row],[Rework_Flag]]="Yes",Table1[[#This Row],[Warranty_Claim]]="No"),Table1[[#This Row],[Service_Revenue]],0)</f>
        <v>180739</v>
      </c>
      <c r="V1140" s="4">
        <f>IF(Table1[[#This Row],[Warranty_Claim]]="Yes",1,0)</f>
        <v>0</v>
      </c>
      <c r="W1140" s="4">
        <f>IF(Table1[[#This Row],[Rework_Flag]]="No",1,0)</f>
        <v>0</v>
      </c>
      <c r="X1140" s="4">
        <f>IF(Table1[[#This Row],[Rework_Flag]]="Yes",1,0)</f>
        <v>1</v>
      </c>
      <c r="Y1140" s="4">
        <v>1</v>
      </c>
      <c r="Z1140" s="4" t="str">
        <f>IF(Table1[[#This Row],[TAT_Days]]&gt;Table1[[#This Row],[SLA_TAT]],"Yes","No")</f>
        <v>Yes</v>
      </c>
      <c r="AA1140" s="4" t="str" cm="1">
        <f t="array" ref="AA1140">_xlfn.IFS(Table1[[#This Row],[Customer_Satisfaction]]&lt;=2,"Poor",Table1[[#This Row],[Customer_Satisfaction]]=3,"Neutral",Table1[[#This Row],[Customer_Satisfaction]]=4,"Good",Table1[[#This Row],[Customer_Satisfaction]]=5,"Good")</f>
        <v>Neutral</v>
      </c>
    </row>
    <row r="1141" spans="1:27" x14ac:dyDescent="0.35">
      <c r="A1141">
        <v>21139</v>
      </c>
      <c r="B1141" s="1">
        <v>45392</v>
      </c>
      <c r="C1141" t="s">
        <v>30</v>
      </c>
      <c r="D1141" t="s">
        <v>31</v>
      </c>
      <c r="E1141" t="s">
        <v>62</v>
      </c>
      <c r="F1141" t="s">
        <v>22</v>
      </c>
      <c r="G1141" t="s">
        <v>41</v>
      </c>
      <c r="H1141" t="s">
        <v>42</v>
      </c>
      <c r="I1141" t="s">
        <v>25</v>
      </c>
      <c r="J1141" t="s">
        <v>67</v>
      </c>
      <c r="K1141" t="s">
        <v>61</v>
      </c>
      <c r="L1141" t="s">
        <v>28</v>
      </c>
      <c r="M1141" s="4">
        <v>15</v>
      </c>
      <c r="N1141" s="4">
        <v>7</v>
      </c>
      <c r="O1141" t="s">
        <v>29</v>
      </c>
      <c r="P1141" t="s">
        <v>36</v>
      </c>
      <c r="Q1141" s="4">
        <v>105913</v>
      </c>
      <c r="R1141" s="4">
        <v>64432</v>
      </c>
      <c r="S1141" s="4">
        <f>Table1[[#This Row],[Service_Revenue]]-Table1[[#This Row],[Service_Cost]]</f>
        <v>41481</v>
      </c>
      <c r="T1141" s="4">
        <v>1</v>
      </c>
      <c r="U1141" s="4">
        <f>IF(AND(Table1[[#This Row],[Rework_Flag]]="Yes",Table1[[#This Row],[Warranty_Claim]]="No"),Table1[[#This Row],[Service_Revenue]],0)</f>
        <v>105913</v>
      </c>
      <c r="V1141" s="4">
        <f>IF(Table1[[#This Row],[Warranty_Claim]]="Yes",1,0)</f>
        <v>0</v>
      </c>
      <c r="W1141" s="4">
        <f>IF(Table1[[#This Row],[Rework_Flag]]="No",1,0)</f>
        <v>0</v>
      </c>
      <c r="X1141" s="4">
        <f>IF(Table1[[#This Row],[Rework_Flag]]="Yes",1,0)</f>
        <v>1</v>
      </c>
      <c r="Y1141" s="4">
        <v>1</v>
      </c>
      <c r="Z1141" s="4" t="str">
        <f>IF(Table1[[#This Row],[TAT_Days]]&gt;Table1[[#This Row],[SLA_TAT]],"Yes","No")</f>
        <v>Yes</v>
      </c>
      <c r="AA1141" s="4" t="str" cm="1">
        <f t="array" ref="AA1141">_xlfn.IFS(Table1[[#This Row],[Customer_Satisfaction]]&lt;=2,"Poor",Table1[[#This Row],[Customer_Satisfaction]]=3,"Neutral",Table1[[#This Row],[Customer_Satisfaction]]=4,"Good",Table1[[#This Row],[Customer_Satisfaction]]=5,"Good")</f>
        <v>Poor</v>
      </c>
    </row>
    <row r="1142" spans="1:27" x14ac:dyDescent="0.35">
      <c r="A1142">
        <v>21140</v>
      </c>
      <c r="B1142" s="1">
        <v>45366</v>
      </c>
      <c r="C1142" t="s">
        <v>37</v>
      </c>
      <c r="D1142" t="s">
        <v>64</v>
      </c>
      <c r="E1142" t="s">
        <v>115</v>
      </c>
      <c r="F1142" t="s">
        <v>22</v>
      </c>
      <c r="G1142" t="s">
        <v>41</v>
      </c>
      <c r="H1142" t="s">
        <v>42</v>
      </c>
      <c r="I1142" t="s">
        <v>55</v>
      </c>
      <c r="J1142" t="s">
        <v>67</v>
      </c>
      <c r="K1142" t="s">
        <v>44</v>
      </c>
      <c r="L1142" t="s">
        <v>28</v>
      </c>
      <c r="M1142" s="4">
        <v>10</v>
      </c>
      <c r="N1142" s="4">
        <v>7</v>
      </c>
      <c r="O1142" t="s">
        <v>29</v>
      </c>
      <c r="P1142" t="s">
        <v>36</v>
      </c>
      <c r="Q1142" s="4">
        <v>484975</v>
      </c>
      <c r="R1142" s="4">
        <v>275571</v>
      </c>
      <c r="S1142" s="4">
        <f>Table1[[#This Row],[Service_Revenue]]-Table1[[#This Row],[Service_Cost]]</f>
        <v>209404</v>
      </c>
      <c r="T1142" s="4">
        <v>2</v>
      </c>
      <c r="U1142" s="4">
        <f>IF(AND(Table1[[#This Row],[Rework_Flag]]="Yes",Table1[[#This Row],[Warranty_Claim]]="No"),Table1[[#This Row],[Service_Revenue]],0)</f>
        <v>484975</v>
      </c>
      <c r="V1142" s="4">
        <f>IF(Table1[[#This Row],[Warranty_Claim]]="Yes",1,0)</f>
        <v>0</v>
      </c>
      <c r="W1142" s="4">
        <f>IF(Table1[[#This Row],[Rework_Flag]]="No",1,0)</f>
        <v>0</v>
      </c>
      <c r="X1142" s="4">
        <f>IF(Table1[[#This Row],[Rework_Flag]]="Yes",1,0)</f>
        <v>1</v>
      </c>
      <c r="Y1142" s="4">
        <v>1</v>
      </c>
      <c r="Z1142" s="4" t="str">
        <f>IF(Table1[[#This Row],[TAT_Days]]&gt;Table1[[#This Row],[SLA_TAT]],"Yes","No")</f>
        <v>Yes</v>
      </c>
      <c r="AA1142" s="4" t="str" cm="1">
        <f t="array" ref="AA1142">_xlfn.IFS(Table1[[#This Row],[Customer_Satisfaction]]&lt;=2,"Poor",Table1[[#This Row],[Customer_Satisfaction]]=3,"Neutral",Table1[[#This Row],[Customer_Satisfaction]]=4,"Good",Table1[[#This Row],[Customer_Satisfaction]]=5,"Good")</f>
        <v>Poor</v>
      </c>
    </row>
    <row r="1143" spans="1:27" x14ac:dyDescent="0.35">
      <c r="A1143">
        <v>21141</v>
      </c>
      <c r="B1143" s="1">
        <v>45296</v>
      </c>
      <c r="C1143" t="s">
        <v>30</v>
      </c>
      <c r="D1143" t="s">
        <v>31</v>
      </c>
      <c r="E1143" t="s">
        <v>32</v>
      </c>
      <c r="F1143" t="s">
        <v>53</v>
      </c>
      <c r="G1143" t="s">
        <v>54</v>
      </c>
      <c r="H1143" t="s">
        <v>42</v>
      </c>
      <c r="I1143" t="s">
        <v>55</v>
      </c>
      <c r="J1143" t="s">
        <v>58</v>
      </c>
      <c r="K1143" t="s">
        <v>27</v>
      </c>
      <c r="L1143" t="s">
        <v>28</v>
      </c>
      <c r="M1143" s="4">
        <v>10</v>
      </c>
      <c r="N1143" s="4">
        <v>7</v>
      </c>
      <c r="O1143" t="s">
        <v>29</v>
      </c>
      <c r="P1143" t="s">
        <v>29</v>
      </c>
      <c r="Q1143" s="4">
        <v>527857</v>
      </c>
      <c r="R1143" s="4">
        <v>398099</v>
      </c>
      <c r="S1143" s="4">
        <f>Table1[[#This Row],[Service_Revenue]]-Table1[[#This Row],[Service_Cost]]</f>
        <v>129758</v>
      </c>
      <c r="T1143" s="4">
        <v>2</v>
      </c>
      <c r="U1143" s="4">
        <f>IF(AND(Table1[[#This Row],[Rework_Flag]]="Yes",Table1[[#This Row],[Warranty_Claim]]="No"),Table1[[#This Row],[Service_Revenue]],0)</f>
        <v>0</v>
      </c>
      <c r="V1143" s="4">
        <f>IF(Table1[[#This Row],[Warranty_Claim]]="Yes",1,0)</f>
        <v>1</v>
      </c>
      <c r="W1143" s="4">
        <f>IF(Table1[[#This Row],[Rework_Flag]]="No",1,0)</f>
        <v>0</v>
      </c>
      <c r="X1143" s="4">
        <f>IF(Table1[[#This Row],[Rework_Flag]]="Yes",1,0)</f>
        <v>1</v>
      </c>
      <c r="Y1143" s="4">
        <v>1</v>
      </c>
      <c r="Z1143" s="4" t="str">
        <f>IF(Table1[[#This Row],[TAT_Days]]&gt;Table1[[#This Row],[SLA_TAT]],"Yes","No")</f>
        <v>Yes</v>
      </c>
      <c r="AA1143" s="4" t="str" cm="1">
        <f t="array" ref="AA1143">_xlfn.IFS(Table1[[#This Row],[Customer_Satisfaction]]&lt;=2,"Poor",Table1[[#This Row],[Customer_Satisfaction]]=3,"Neutral",Table1[[#This Row],[Customer_Satisfaction]]=4,"Good",Table1[[#This Row],[Customer_Satisfaction]]=5,"Good")</f>
        <v>Poor</v>
      </c>
    </row>
    <row r="1144" spans="1:27" x14ac:dyDescent="0.35">
      <c r="A1144">
        <v>21142</v>
      </c>
      <c r="B1144" s="1">
        <v>45320</v>
      </c>
      <c r="C1144" t="s">
        <v>37</v>
      </c>
      <c r="D1144" t="s">
        <v>64</v>
      </c>
      <c r="E1144" t="s">
        <v>72</v>
      </c>
      <c r="F1144" t="s">
        <v>53</v>
      </c>
      <c r="G1144" t="s">
        <v>54</v>
      </c>
      <c r="H1144" t="s">
        <v>42</v>
      </c>
      <c r="I1144" t="s">
        <v>55</v>
      </c>
      <c r="J1144" t="s">
        <v>26</v>
      </c>
      <c r="K1144" t="s">
        <v>27</v>
      </c>
      <c r="L1144" t="s">
        <v>28</v>
      </c>
      <c r="M1144" s="4">
        <v>25</v>
      </c>
      <c r="N1144" s="4">
        <v>7</v>
      </c>
      <c r="O1144" t="s">
        <v>29</v>
      </c>
      <c r="P1144" t="s">
        <v>36</v>
      </c>
      <c r="Q1144" s="4">
        <v>159595</v>
      </c>
      <c r="R1144" s="4">
        <v>93767</v>
      </c>
      <c r="S1144" s="4">
        <f>Table1[[#This Row],[Service_Revenue]]-Table1[[#This Row],[Service_Cost]]</f>
        <v>65828</v>
      </c>
      <c r="T1144" s="4">
        <v>1</v>
      </c>
      <c r="U1144" s="4">
        <f>IF(AND(Table1[[#This Row],[Rework_Flag]]="Yes",Table1[[#This Row],[Warranty_Claim]]="No"),Table1[[#This Row],[Service_Revenue]],0)</f>
        <v>159595</v>
      </c>
      <c r="V1144" s="4">
        <f>IF(Table1[[#This Row],[Warranty_Claim]]="Yes",1,0)</f>
        <v>0</v>
      </c>
      <c r="W1144" s="4">
        <f>IF(Table1[[#This Row],[Rework_Flag]]="No",1,0)</f>
        <v>0</v>
      </c>
      <c r="X1144" s="4">
        <f>IF(Table1[[#This Row],[Rework_Flag]]="Yes",1,0)</f>
        <v>1</v>
      </c>
      <c r="Y1144" s="4">
        <v>1</v>
      </c>
      <c r="Z1144" s="4" t="str">
        <f>IF(Table1[[#This Row],[TAT_Days]]&gt;Table1[[#This Row],[SLA_TAT]],"Yes","No")</f>
        <v>Yes</v>
      </c>
      <c r="AA1144" s="4" t="str" cm="1">
        <f t="array" ref="AA1144">_xlfn.IFS(Table1[[#This Row],[Customer_Satisfaction]]&lt;=2,"Poor",Table1[[#This Row],[Customer_Satisfaction]]=3,"Neutral",Table1[[#This Row],[Customer_Satisfaction]]=4,"Good",Table1[[#This Row],[Customer_Satisfaction]]=5,"Good")</f>
        <v>Poor</v>
      </c>
    </row>
    <row r="1145" spans="1:27" x14ac:dyDescent="0.35">
      <c r="A1145">
        <v>21143</v>
      </c>
      <c r="B1145" s="1">
        <v>45443</v>
      </c>
      <c r="C1145" t="s">
        <v>50</v>
      </c>
      <c r="D1145" t="s">
        <v>80</v>
      </c>
      <c r="E1145" t="s">
        <v>104</v>
      </c>
      <c r="F1145" t="s">
        <v>53</v>
      </c>
      <c r="G1145" t="s">
        <v>33</v>
      </c>
      <c r="H1145" t="s">
        <v>34</v>
      </c>
      <c r="I1145" t="s">
        <v>55</v>
      </c>
      <c r="J1145" t="s">
        <v>67</v>
      </c>
      <c r="K1145" t="s">
        <v>27</v>
      </c>
      <c r="L1145" t="s">
        <v>28</v>
      </c>
      <c r="M1145" s="4">
        <v>25</v>
      </c>
      <c r="N1145" s="4">
        <v>7</v>
      </c>
      <c r="O1145" t="s">
        <v>29</v>
      </c>
      <c r="P1145" t="s">
        <v>29</v>
      </c>
      <c r="Q1145" s="4">
        <v>306170</v>
      </c>
      <c r="R1145" s="4">
        <v>157033</v>
      </c>
      <c r="S1145" s="4">
        <f>Table1[[#This Row],[Service_Revenue]]-Table1[[#This Row],[Service_Cost]]</f>
        <v>149137</v>
      </c>
      <c r="T1145" s="4">
        <v>1</v>
      </c>
      <c r="U1145" s="4">
        <f>IF(AND(Table1[[#This Row],[Rework_Flag]]="Yes",Table1[[#This Row],[Warranty_Claim]]="No"),Table1[[#This Row],[Service_Revenue]],0)</f>
        <v>0</v>
      </c>
      <c r="V1145" s="4">
        <f>IF(Table1[[#This Row],[Warranty_Claim]]="Yes",1,0)</f>
        <v>1</v>
      </c>
      <c r="W1145" s="4">
        <f>IF(Table1[[#This Row],[Rework_Flag]]="No",1,0)</f>
        <v>0</v>
      </c>
      <c r="X1145" s="4">
        <f>IF(Table1[[#This Row],[Rework_Flag]]="Yes",1,0)</f>
        <v>1</v>
      </c>
      <c r="Y1145" s="4">
        <v>1</v>
      </c>
      <c r="Z1145" s="4" t="str">
        <f>IF(Table1[[#This Row],[TAT_Days]]&gt;Table1[[#This Row],[SLA_TAT]],"Yes","No")</f>
        <v>Yes</v>
      </c>
      <c r="AA1145" s="4" t="str" cm="1">
        <f t="array" ref="AA1145">_xlfn.IFS(Table1[[#This Row],[Customer_Satisfaction]]&lt;=2,"Poor",Table1[[#This Row],[Customer_Satisfaction]]=3,"Neutral",Table1[[#This Row],[Customer_Satisfaction]]=4,"Good",Table1[[#This Row],[Customer_Satisfaction]]=5,"Good")</f>
        <v>Poor</v>
      </c>
    </row>
    <row r="1146" spans="1:27" x14ac:dyDescent="0.35">
      <c r="A1146">
        <v>21144</v>
      </c>
      <c r="B1146" s="1">
        <v>45428</v>
      </c>
      <c r="C1146" t="s">
        <v>19</v>
      </c>
      <c r="D1146" t="s">
        <v>20</v>
      </c>
      <c r="E1146" t="s">
        <v>89</v>
      </c>
      <c r="F1146" t="s">
        <v>22</v>
      </c>
      <c r="G1146" t="s">
        <v>47</v>
      </c>
      <c r="H1146" t="s">
        <v>48</v>
      </c>
      <c r="I1146" t="s">
        <v>55</v>
      </c>
      <c r="J1146" t="s">
        <v>58</v>
      </c>
      <c r="K1146" t="s">
        <v>27</v>
      </c>
      <c r="L1146" t="s">
        <v>28</v>
      </c>
      <c r="M1146" s="4">
        <v>13</v>
      </c>
      <c r="N1146" s="4">
        <v>7</v>
      </c>
      <c r="O1146" t="s">
        <v>29</v>
      </c>
      <c r="P1146" t="s">
        <v>29</v>
      </c>
      <c r="Q1146" s="4">
        <v>503411</v>
      </c>
      <c r="R1146" s="4">
        <v>318836</v>
      </c>
      <c r="S1146" s="4">
        <f>Table1[[#This Row],[Service_Revenue]]-Table1[[#This Row],[Service_Cost]]</f>
        <v>184575</v>
      </c>
      <c r="T1146" s="4">
        <v>2</v>
      </c>
      <c r="U1146" s="4">
        <f>IF(AND(Table1[[#This Row],[Rework_Flag]]="Yes",Table1[[#This Row],[Warranty_Claim]]="No"),Table1[[#This Row],[Service_Revenue]],0)</f>
        <v>0</v>
      </c>
      <c r="V1146" s="4">
        <f>IF(Table1[[#This Row],[Warranty_Claim]]="Yes",1,0)</f>
        <v>1</v>
      </c>
      <c r="W1146" s="4">
        <f>IF(Table1[[#This Row],[Rework_Flag]]="No",1,0)</f>
        <v>0</v>
      </c>
      <c r="X1146" s="4">
        <f>IF(Table1[[#This Row],[Rework_Flag]]="Yes",1,0)</f>
        <v>1</v>
      </c>
      <c r="Y1146" s="4">
        <v>1</v>
      </c>
      <c r="Z1146" s="4" t="str">
        <f>IF(Table1[[#This Row],[TAT_Days]]&gt;Table1[[#This Row],[SLA_TAT]],"Yes","No")</f>
        <v>Yes</v>
      </c>
      <c r="AA1146" s="4" t="str" cm="1">
        <f t="array" ref="AA1146">_xlfn.IFS(Table1[[#This Row],[Customer_Satisfaction]]&lt;=2,"Poor",Table1[[#This Row],[Customer_Satisfaction]]=3,"Neutral",Table1[[#This Row],[Customer_Satisfaction]]=4,"Good",Table1[[#This Row],[Customer_Satisfaction]]=5,"Good")</f>
        <v>Poor</v>
      </c>
    </row>
    <row r="1147" spans="1:27" x14ac:dyDescent="0.35">
      <c r="A1147">
        <v>21145</v>
      </c>
      <c r="B1147" s="1">
        <v>45408</v>
      </c>
      <c r="C1147" t="s">
        <v>50</v>
      </c>
      <c r="D1147" t="s">
        <v>56</v>
      </c>
      <c r="E1147" t="s">
        <v>77</v>
      </c>
      <c r="F1147" t="s">
        <v>22</v>
      </c>
      <c r="G1147" t="s">
        <v>54</v>
      </c>
      <c r="H1147" t="s">
        <v>42</v>
      </c>
      <c r="I1147" t="s">
        <v>55</v>
      </c>
      <c r="J1147" t="s">
        <v>35</v>
      </c>
      <c r="K1147" t="s">
        <v>27</v>
      </c>
      <c r="L1147" t="s">
        <v>28</v>
      </c>
      <c r="M1147" s="4">
        <v>4</v>
      </c>
      <c r="N1147" s="4">
        <v>7</v>
      </c>
      <c r="O1147" t="s">
        <v>29</v>
      </c>
      <c r="P1147" t="s">
        <v>36</v>
      </c>
      <c r="Q1147" s="4">
        <v>569327</v>
      </c>
      <c r="R1147" s="4">
        <v>337541</v>
      </c>
      <c r="S1147" s="4">
        <f>Table1[[#This Row],[Service_Revenue]]-Table1[[#This Row],[Service_Cost]]</f>
        <v>231786</v>
      </c>
      <c r="T1147" s="4">
        <v>4</v>
      </c>
      <c r="U1147" s="4">
        <f>IF(AND(Table1[[#This Row],[Rework_Flag]]="Yes",Table1[[#This Row],[Warranty_Claim]]="No"),Table1[[#This Row],[Service_Revenue]],0)</f>
        <v>569327</v>
      </c>
      <c r="V1147" s="4">
        <f>IF(Table1[[#This Row],[Warranty_Claim]]="Yes",1,0)</f>
        <v>0</v>
      </c>
      <c r="W1147" s="4">
        <f>IF(Table1[[#This Row],[Rework_Flag]]="No",1,0)</f>
        <v>0</v>
      </c>
      <c r="X1147" s="4">
        <f>IF(Table1[[#This Row],[Rework_Flag]]="Yes",1,0)</f>
        <v>1</v>
      </c>
      <c r="Y1147" s="4">
        <v>1</v>
      </c>
      <c r="Z1147" s="4" t="str">
        <f>IF(Table1[[#This Row],[TAT_Days]]&gt;Table1[[#This Row],[SLA_TAT]],"Yes","No")</f>
        <v>No</v>
      </c>
      <c r="AA1147" s="4" t="str" cm="1">
        <f t="array" ref="AA1147">_xlfn.IFS(Table1[[#This Row],[Customer_Satisfaction]]&lt;=2,"Poor",Table1[[#This Row],[Customer_Satisfaction]]=3,"Neutral",Table1[[#This Row],[Customer_Satisfaction]]=4,"Good",Table1[[#This Row],[Customer_Satisfaction]]=5,"Good")</f>
        <v>Good</v>
      </c>
    </row>
    <row r="1148" spans="1:27" x14ac:dyDescent="0.35">
      <c r="A1148">
        <v>21146</v>
      </c>
      <c r="B1148" s="1">
        <v>45360</v>
      </c>
      <c r="C1148" t="s">
        <v>30</v>
      </c>
      <c r="D1148" t="s">
        <v>31</v>
      </c>
      <c r="E1148" t="s">
        <v>32</v>
      </c>
      <c r="F1148" t="s">
        <v>22</v>
      </c>
      <c r="G1148" t="s">
        <v>74</v>
      </c>
      <c r="H1148" t="s">
        <v>34</v>
      </c>
      <c r="I1148" t="s">
        <v>55</v>
      </c>
      <c r="J1148" t="s">
        <v>43</v>
      </c>
      <c r="K1148" t="s">
        <v>44</v>
      </c>
      <c r="L1148" t="s">
        <v>28</v>
      </c>
      <c r="M1148" s="4">
        <v>13</v>
      </c>
      <c r="N1148" s="4">
        <v>7</v>
      </c>
      <c r="O1148" t="s">
        <v>29</v>
      </c>
      <c r="P1148" t="s">
        <v>36</v>
      </c>
      <c r="Q1148" s="4">
        <v>305335</v>
      </c>
      <c r="R1148" s="4">
        <v>186505</v>
      </c>
      <c r="S1148" s="4">
        <f>Table1[[#This Row],[Service_Revenue]]-Table1[[#This Row],[Service_Cost]]</f>
        <v>118830</v>
      </c>
      <c r="T1148" s="4">
        <v>2</v>
      </c>
      <c r="U1148" s="4">
        <f>IF(AND(Table1[[#This Row],[Rework_Flag]]="Yes",Table1[[#This Row],[Warranty_Claim]]="No"),Table1[[#This Row],[Service_Revenue]],0)</f>
        <v>305335</v>
      </c>
      <c r="V1148" s="4">
        <f>IF(Table1[[#This Row],[Warranty_Claim]]="Yes",1,0)</f>
        <v>0</v>
      </c>
      <c r="W1148" s="4">
        <f>IF(Table1[[#This Row],[Rework_Flag]]="No",1,0)</f>
        <v>0</v>
      </c>
      <c r="X1148" s="4">
        <f>IF(Table1[[#This Row],[Rework_Flag]]="Yes",1,0)</f>
        <v>1</v>
      </c>
      <c r="Y1148" s="4">
        <v>1</v>
      </c>
      <c r="Z1148" s="4" t="str">
        <f>IF(Table1[[#This Row],[TAT_Days]]&gt;Table1[[#This Row],[SLA_TAT]],"Yes","No")</f>
        <v>Yes</v>
      </c>
      <c r="AA1148" s="4" t="str" cm="1">
        <f t="array" ref="AA1148">_xlfn.IFS(Table1[[#This Row],[Customer_Satisfaction]]&lt;=2,"Poor",Table1[[#This Row],[Customer_Satisfaction]]=3,"Neutral",Table1[[#This Row],[Customer_Satisfaction]]=4,"Good",Table1[[#This Row],[Customer_Satisfaction]]=5,"Good")</f>
        <v>Poor</v>
      </c>
    </row>
    <row r="1149" spans="1:27" x14ac:dyDescent="0.35">
      <c r="A1149">
        <v>21147</v>
      </c>
      <c r="B1149" s="1">
        <v>45303</v>
      </c>
      <c r="C1149" t="s">
        <v>19</v>
      </c>
      <c r="D1149" t="s">
        <v>96</v>
      </c>
      <c r="E1149" t="s">
        <v>97</v>
      </c>
      <c r="F1149" t="s">
        <v>40</v>
      </c>
      <c r="G1149" t="s">
        <v>23</v>
      </c>
      <c r="H1149" t="s">
        <v>24</v>
      </c>
      <c r="I1149" t="s">
        <v>25</v>
      </c>
      <c r="J1149" t="s">
        <v>43</v>
      </c>
      <c r="K1149" t="s">
        <v>61</v>
      </c>
      <c r="L1149" t="s">
        <v>49</v>
      </c>
      <c r="M1149" s="4">
        <v>25</v>
      </c>
      <c r="N1149" s="4">
        <v>7</v>
      </c>
      <c r="O1149" t="s">
        <v>36</v>
      </c>
      <c r="P1149" t="s">
        <v>36</v>
      </c>
      <c r="Q1149" s="4">
        <v>288050</v>
      </c>
      <c r="R1149" s="4">
        <v>199063</v>
      </c>
      <c r="S1149" s="4">
        <f>Table1[[#This Row],[Service_Revenue]]-Table1[[#This Row],[Service_Cost]]</f>
        <v>88987</v>
      </c>
      <c r="T1149" s="4">
        <v>1</v>
      </c>
      <c r="U1149" s="4">
        <f>IF(AND(Table1[[#This Row],[Rework_Flag]]="Yes",Table1[[#This Row],[Warranty_Claim]]="No"),Table1[[#This Row],[Service_Revenue]],0)</f>
        <v>0</v>
      </c>
      <c r="V1149" s="4">
        <f>IF(Table1[[#This Row],[Warranty_Claim]]="Yes",1,0)</f>
        <v>0</v>
      </c>
      <c r="W1149" s="4">
        <f>IF(Table1[[#This Row],[Rework_Flag]]="No",1,0)</f>
        <v>1</v>
      </c>
      <c r="X1149" s="4">
        <f>IF(Table1[[#This Row],[Rework_Flag]]="Yes",1,0)</f>
        <v>0</v>
      </c>
      <c r="Y1149" s="4">
        <v>1</v>
      </c>
      <c r="Z1149" s="4" t="str">
        <f>IF(Table1[[#This Row],[TAT_Days]]&gt;Table1[[#This Row],[SLA_TAT]],"Yes","No")</f>
        <v>Yes</v>
      </c>
      <c r="AA1149" s="4" t="str" cm="1">
        <f t="array" ref="AA1149">_xlfn.IFS(Table1[[#This Row],[Customer_Satisfaction]]&lt;=2,"Poor",Table1[[#This Row],[Customer_Satisfaction]]=3,"Neutral",Table1[[#This Row],[Customer_Satisfaction]]=4,"Good",Table1[[#This Row],[Customer_Satisfaction]]=5,"Good")</f>
        <v>Poor</v>
      </c>
    </row>
    <row r="1150" spans="1:27" x14ac:dyDescent="0.35">
      <c r="A1150">
        <v>21148</v>
      </c>
      <c r="B1150" s="1">
        <v>45388</v>
      </c>
      <c r="C1150" t="s">
        <v>37</v>
      </c>
      <c r="D1150" t="s">
        <v>38</v>
      </c>
      <c r="E1150" t="s">
        <v>112</v>
      </c>
      <c r="F1150" t="s">
        <v>53</v>
      </c>
      <c r="G1150" t="s">
        <v>47</v>
      </c>
      <c r="H1150" t="s">
        <v>48</v>
      </c>
      <c r="I1150" t="s">
        <v>25</v>
      </c>
      <c r="J1150" t="s">
        <v>58</v>
      </c>
      <c r="K1150" t="s">
        <v>61</v>
      </c>
      <c r="L1150" t="s">
        <v>28</v>
      </c>
      <c r="M1150" s="4">
        <v>10</v>
      </c>
      <c r="N1150" s="4">
        <v>7</v>
      </c>
      <c r="O1150" t="s">
        <v>36</v>
      </c>
      <c r="P1150" t="s">
        <v>36</v>
      </c>
      <c r="Q1150" s="4">
        <v>363643</v>
      </c>
      <c r="R1150" s="4">
        <v>209921</v>
      </c>
      <c r="S1150" s="4">
        <f>Table1[[#This Row],[Service_Revenue]]-Table1[[#This Row],[Service_Cost]]</f>
        <v>153722</v>
      </c>
      <c r="T1150" s="4">
        <v>3</v>
      </c>
      <c r="U1150" s="4">
        <f>IF(AND(Table1[[#This Row],[Rework_Flag]]="Yes",Table1[[#This Row],[Warranty_Claim]]="No"),Table1[[#This Row],[Service_Revenue]],0)</f>
        <v>0</v>
      </c>
      <c r="V1150" s="4">
        <f>IF(Table1[[#This Row],[Warranty_Claim]]="Yes",1,0)</f>
        <v>0</v>
      </c>
      <c r="W1150" s="4">
        <f>IF(Table1[[#This Row],[Rework_Flag]]="No",1,0)</f>
        <v>1</v>
      </c>
      <c r="X1150" s="4">
        <f>IF(Table1[[#This Row],[Rework_Flag]]="Yes",1,0)</f>
        <v>0</v>
      </c>
      <c r="Y1150" s="4">
        <v>1</v>
      </c>
      <c r="Z1150" s="4" t="str">
        <f>IF(Table1[[#This Row],[TAT_Days]]&gt;Table1[[#This Row],[SLA_TAT]],"Yes","No")</f>
        <v>Yes</v>
      </c>
      <c r="AA1150" s="4" t="str" cm="1">
        <f t="array" ref="AA1150">_xlfn.IFS(Table1[[#This Row],[Customer_Satisfaction]]&lt;=2,"Poor",Table1[[#This Row],[Customer_Satisfaction]]=3,"Neutral",Table1[[#This Row],[Customer_Satisfaction]]=4,"Good",Table1[[#This Row],[Customer_Satisfaction]]=5,"Good")</f>
        <v>Neutral</v>
      </c>
    </row>
    <row r="1151" spans="1:27" x14ac:dyDescent="0.35">
      <c r="A1151">
        <v>21149</v>
      </c>
      <c r="B1151" s="1">
        <v>45403</v>
      </c>
      <c r="C1151" t="s">
        <v>37</v>
      </c>
      <c r="D1151" t="s">
        <v>38</v>
      </c>
      <c r="E1151" t="s">
        <v>102</v>
      </c>
      <c r="F1151" t="s">
        <v>53</v>
      </c>
      <c r="G1151" t="s">
        <v>74</v>
      </c>
      <c r="H1151" t="s">
        <v>34</v>
      </c>
      <c r="I1151" t="s">
        <v>25</v>
      </c>
      <c r="J1151" t="s">
        <v>67</v>
      </c>
      <c r="K1151" t="s">
        <v>27</v>
      </c>
      <c r="L1151" t="s">
        <v>49</v>
      </c>
      <c r="M1151" s="4">
        <v>5</v>
      </c>
      <c r="N1151" s="4">
        <v>7</v>
      </c>
      <c r="O1151" t="s">
        <v>29</v>
      </c>
      <c r="P1151" t="s">
        <v>36</v>
      </c>
      <c r="Q1151" s="4">
        <v>562428</v>
      </c>
      <c r="R1151" s="4">
        <v>439179</v>
      </c>
      <c r="S1151" s="4">
        <f>Table1[[#This Row],[Service_Revenue]]-Table1[[#This Row],[Service_Cost]]</f>
        <v>123249</v>
      </c>
      <c r="T1151" s="4">
        <v>3</v>
      </c>
      <c r="U1151" s="4">
        <f>IF(AND(Table1[[#This Row],[Rework_Flag]]="Yes",Table1[[#This Row],[Warranty_Claim]]="No"),Table1[[#This Row],[Service_Revenue]],0)</f>
        <v>562428</v>
      </c>
      <c r="V1151" s="4">
        <f>IF(Table1[[#This Row],[Warranty_Claim]]="Yes",1,0)</f>
        <v>0</v>
      </c>
      <c r="W1151" s="4">
        <f>IF(Table1[[#This Row],[Rework_Flag]]="No",1,0)</f>
        <v>0</v>
      </c>
      <c r="X1151" s="4">
        <f>IF(Table1[[#This Row],[Rework_Flag]]="Yes",1,0)</f>
        <v>1</v>
      </c>
      <c r="Y1151" s="4">
        <v>1</v>
      </c>
      <c r="Z1151" s="4" t="str">
        <f>IF(Table1[[#This Row],[TAT_Days]]&gt;Table1[[#This Row],[SLA_TAT]],"Yes","No")</f>
        <v>No</v>
      </c>
      <c r="AA1151" s="4" t="str" cm="1">
        <f t="array" ref="AA1151">_xlfn.IFS(Table1[[#This Row],[Customer_Satisfaction]]&lt;=2,"Poor",Table1[[#This Row],[Customer_Satisfaction]]=3,"Neutral",Table1[[#This Row],[Customer_Satisfaction]]=4,"Good",Table1[[#This Row],[Customer_Satisfaction]]=5,"Good")</f>
        <v>Neutral</v>
      </c>
    </row>
    <row r="1152" spans="1:27" x14ac:dyDescent="0.35">
      <c r="A1152">
        <v>21150</v>
      </c>
      <c r="B1152" s="1">
        <v>45407</v>
      </c>
      <c r="C1152" t="s">
        <v>50</v>
      </c>
      <c r="D1152" t="s">
        <v>56</v>
      </c>
      <c r="E1152" t="s">
        <v>68</v>
      </c>
      <c r="F1152" t="s">
        <v>40</v>
      </c>
      <c r="G1152" t="s">
        <v>47</v>
      </c>
      <c r="H1152" t="s">
        <v>48</v>
      </c>
      <c r="I1152" t="s">
        <v>55</v>
      </c>
      <c r="J1152" t="s">
        <v>58</v>
      </c>
      <c r="K1152" t="s">
        <v>27</v>
      </c>
      <c r="L1152" t="s">
        <v>28</v>
      </c>
      <c r="M1152" s="4">
        <v>20</v>
      </c>
      <c r="N1152" s="4">
        <v>7</v>
      </c>
      <c r="O1152" t="s">
        <v>29</v>
      </c>
      <c r="P1152" t="s">
        <v>29</v>
      </c>
      <c r="Q1152" s="4">
        <v>137488</v>
      </c>
      <c r="R1152" s="4">
        <v>83504</v>
      </c>
      <c r="S1152" s="4">
        <f>Table1[[#This Row],[Service_Revenue]]-Table1[[#This Row],[Service_Cost]]</f>
        <v>53984</v>
      </c>
      <c r="T1152" s="4">
        <v>1</v>
      </c>
      <c r="U1152" s="4">
        <f>IF(AND(Table1[[#This Row],[Rework_Flag]]="Yes",Table1[[#This Row],[Warranty_Claim]]="No"),Table1[[#This Row],[Service_Revenue]],0)</f>
        <v>0</v>
      </c>
      <c r="V1152" s="4">
        <f>IF(Table1[[#This Row],[Warranty_Claim]]="Yes",1,0)</f>
        <v>1</v>
      </c>
      <c r="W1152" s="4">
        <f>IF(Table1[[#This Row],[Rework_Flag]]="No",1,0)</f>
        <v>0</v>
      </c>
      <c r="X1152" s="4">
        <f>IF(Table1[[#This Row],[Rework_Flag]]="Yes",1,0)</f>
        <v>1</v>
      </c>
      <c r="Y1152" s="4">
        <v>1</v>
      </c>
      <c r="Z1152" s="4" t="str">
        <f>IF(Table1[[#This Row],[TAT_Days]]&gt;Table1[[#This Row],[SLA_TAT]],"Yes","No")</f>
        <v>Yes</v>
      </c>
      <c r="AA1152" s="4" t="str" cm="1">
        <f t="array" ref="AA1152">_xlfn.IFS(Table1[[#This Row],[Customer_Satisfaction]]&lt;=2,"Poor",Table1[[#This Row],[Customer_Satisfaction]]=3,"Neutral",Table1[[#This Row],[Customer_Satisfaction]]=4,"Good",Table1[[#This Row],[Customer_Satisfaction]]=5,"Good")</f>
        <v>Poor</v>
      </c>
    </row>
    <row r="1153" spans="1:27" x14ac:dyDescent="0.35">
      <c r="A1153">
        <v>21151</v>
      </c>
      <c r="B1153" s="1">
        <v>45309</v>
      </c>
      <c r="C1153" t="s">
        <v>37</v>
      </c>
      <c r="D1153" t="s">
        <v>64</v>
      </c>
      <c r="E1153" t="s">
        <v>115</v>
      </c>
      <c r="F1153" t="s">
        <v>40</v>
      </c>
      <c r="G1153" t="s">
        <v>23</v>
      </c>
      <c r="H1153" t="s">
        <v>24</v>
      </c>
      <c r="I1153" t="s">
        <v>55</v>
      </c>
      <c r="J1153" t="s">
        <v>58</v>
      </c>
      <c r="K1153" t="s">
        <v>61</v>
      </c>
      <c r="L1153" t="s">
        <v>28</v>
      </c>
      <c r="M1153" s="4">
        <v>12</v>
      </c>
      <c r="N1153" s="4">
        <v>7</v>
      </c>
      <c r="O1153" t="s">
        <v>36</v>
      </c>
      <c r="P1153" t="s">
        <v>36</v>
      </c>
      <c r="Q1153" s="4">
        <v>153596</v>
      </c>
      <c r="R1153" s="4">
        <v>98247</v>
      </c>
      <c r="S1153" s="4">
        <f>Table1[[#This Row],[Service_Revenue]]-Table1[[#This Row],[Service_Cost]]</f>
        <v>55349</v>
      </c>
      <c r="T1153" s="4">
        <v>3</v>
      </c>
      <c r="U1153" s="4">
        <f>IF(AND(Table1[[#This Row],[Rework_Flag]]="Yes",Table1[[#This Row],[Warranty_Claim]]="No"),Table1[[#This Row],[Service_Revenue]],0)</f>
        <v>0</v>
      </c>
      <c r="V1153" s="4">
        <f>IF(Table1[[#This Row],[Warranty_Claim]]="Yes",1,0)</f>
        <v>0</v>
      </c>
      <c r="W1153" s="4">
        <f>IF(Table1[[#This Row],[Rework_Flag]]="No",1,0)</f>
        <v>1</v>
      </c>
      <c r="X1153" s="4">
        <f>IF(Table1[[#This Row],[Rework_Flag]]="Yes",1,0)</f>
        <v>0</v>
      </c>
      <c r="Y1153" s="4">
        <v>1</v>
      </c>
      <c r="Z1153" s="4" t="str">
        <f>IF(Table1[[#This Row],[TAT_Days]]&gt;Table1[[#This Row],[SLA_TAT]],"Yes","No")</f>
        <v>Yes</v>
      </c>
      <c r="AA1153" s="4" t="str" cm="1">
        <f t="array" ref="AA1153">_xlfn.IFS(Table1[[#This Row],[Customer_Satisfaction]]&lt;=2,"Poor",Table1[[#This Row],[Customer_Satisfaction]]=3,"Neutral",Table1[[#This Row],[Customer_Satisfaction]]=4,"Good",Table1[[#This Row],[Customer_Satisfaction]]=5,"Good")</f>
        <v>Neutral</v>
      </c>
    </row>
    <row r="1154" spans="1:27" x14ac:dyDescent="0.35">
      <c r="A1154">
        <v>21152</v>
      </c>
      <c r="B1154" s="1">
        <v>45382</v>
      </c>
      <c r="C1154" t="s">
        <v>50</v>
      </c>
      <c r="D1154" t="s">
        <v>51</v>
      </c>
      <c r="E1154" t="s">
        <v>120</v>
      </c>
      <c r="F1154" t="s">
        <v>53</v>
      </c>
      <c r="G1154" t="s">
        <v>63</v>
      </c>
      <c r="H1154" t="s">
        <v>24</v>
      </c>
      <c r="I1154" t="s">
        <v>55</v>
      </c>
      <c r="J1154" t="s">
        <v>35</v>
      </c>
      <c r="K1154" t="s">
        <v>61</v>
      </c>
      <c r="L1154" t="s">
        <v>28</v>
      </c>
      <c r="M1154" s="4">
        <v>16</v>
      </c>
      <c r="N1154" s="4">
        <v>7</v>
      </c>
      <c r="O1154" t="s">
        <v>29</v>
      </c>
      <c r="P1154" t="s">
        <v>36</v>
      </c>
      <c r="Q1154" s="4">
        <v>244370</v>
      </c>
      <c r="R1154" s="4">
        <v>136467</v>
      </c>
      <c r="S1154" s="4">
        <f>Table1[[#This Row],[Service_Revenue]]-Table1[[#This Row],[Service_Cost]]</f>
        <v>107903</v>
      </c>
      <c r="T1154" s="4">
        <v>1</v>
      </c>
      <c r="U1154" s="4">
        <f>IF(AND(Table1[[#This Row],[Rework_Flag]]="Yes",Table1[[#This Row],[Warranty_Claim]]="No"),Table1[[#This Row],[Service_Revenue]],0)</f>
        <v>244370</v>
      </c>
      <c r="V1154" s="4">
        <f>IF(Table1[[#This Row],[Warranty_Claim]]="Yes",1,0)</f>
        <v>0</v>
      </c>
      <c r="W1154" s="4">
        <f>IF(Table1[[#This Row],[Rework_Flag]]="No",1,0)</f>
        <v>0</v>
      </c>
      <c r="X1154" s="4">
        <f>IF(Table1[[#This Row],[Rework_Flag]]="Yes",1,0)</f>
        <v>1</v>
      </c>
      <c r="Y1154" s="4">
        <v>1</v>
      </c>
      <c r="Z1154" s="4" t="str">
        <f>IF(Table1[[#This Row],[TAT_Days]]&gt;Table1[[#This Row],[SLA_TAT]],"Yes","No")</f>
        <v>Yes</v>
      </c>
      <c r="AA1154" s="4" t="str" cm="1">
        <f t="array" ref="AA1154">_xlfn.IFS(Table1[[#This Row],[Customer_Satisfaction]]&lt;=2,"Poor",Table1[[#This Row],[Customer_Satisfaction]]=3,"Neutral",Table1[[#This Row],[Customer_Satisfaction]]=4,"Good",Table1[[#This Row],[Customer_Satisfaction]]=5,"Good")</f>
        <v>Poor</v>
      </c>
    </row>
    <row r="1155" spans="1:27" x14ac:dyDescent="0.35">
      <c r="A1155">
        <v>21153</v>
      </c>
      <c r="B1155" s="1">
        <v>45425</v>
      </c>
      <c r="C1155" t="s">
        <v>37</v>
      </c>
      <c r="D1155" t="s">
        <v>38</v>
      </c>
      <c r="E1155" t="s">
        <v>93</v>
      </c>
      <c r="F1155" t="s">
        <v>40</v>
      </c>
      <c r="G1155" t="s">
        <v>33</v>
      </c>
      <c r="H1155" t="s">
        <v>34</v>
      </c>
      <c r="I1155" t="s">
        <v>55</v>
      </c>
      <c r="J1155" t="s">
        <v>26</v>
      </c>
      <c r="K1155" t="s">
        <v>61</v>
      </c>
      <c r="L1155" t="s">
        <v>28</v>
      </c>
      <c r="M1155" s="4">
        <v>9</v>
      </c>
      <c r="N1155" s="4">
        <v>7</v>
      </c>
      <c r="O1155" t="s">
        <v>29</v>
      </c>
      <c r="P1155" t="s">
        <v>36</v>
      </c>
      <c r="Q1155" s="4">
        <v>594608</v>
      </c>
      <c r="R1155" s="4">
        <v>341099</v>
      </c>
      <c r="S1155" s="4">
        <f>Table1[[#This Row],[Service_Revenue]]-Table1[[#This Row],[Service_Cost]]</f>
        <v>253509</v>
      </c>
      <c r="T1155" s="4">
        <v>3</v>
      </c>
      <c r="U1155" s="4">
        <f>IF(AND(Table1[[#This Row],[Rework_Flag]]="Yes",Table1[[#This Row],[Warranty_Claim]]="No"),Table1[[#This Row],[Service_Revenue]],0)</f>
        <v>594608</v>
      </c>
      <c r="V1155" s="4">
        <f>IF(Table1[[#This Row],[Warranty_Claim]]="Yes",1,0)</f>
        <v>0</v>
      </c>
      <c r="W1155" s="4">
        <f>IF(Table1[[#This Row],[Rework_Flag]]="No",1,0)</f>
        <v>0</v>
      </c>
      <c r="X1155" s="4">
        <f>IF(Table1[[#This Row],[Rework_Flag]]="Yes",1,0)</f>
        <v>1</v>
      </c>
      <c r="Y1155" s="4">
        <v>1</v>
      </c>
      <c r="Z1155" s="4" t="str">
        <f>IF(Table1[[#This Row],[TAT_Days]]&gt;Table1[[#This Row],[SLA_TAT]],"Yes","No")</f>
        <v>Yes</v>
      </c>
      <c r="AA1155" s="4" t="str" cm="1">
        <f t="array" ref="AA1155">_xlfn.IFS(Table1[[#This Row],[Customer_Satisfaction]]&lt;=2,"Poor",Table1[[#This Row],[Customer_Satisfaction]]=3,"Neutral",Table1[[#This Row],[Customer_Satisfaction]]=4,"Good",Table1[[#This Row],[Customer_Satisfaction]]=5,"Good")</f>
        <v>Neutral</v>
      </c>
    </row>
    <row r="1156" spans="1:27" x14ac:dyDescent="0.35">
      <c r="A1156">
        <v>21154</v>
      </c>
      <c r="B1156" s="1">
        <v>45425</v>
      </c>
      <c r="C1156" t="s">
        <v>37</v>
      </c>
      <c r="D1156" t="s">
        <v>38</v>
      </c>
      <c r="E1156" t="s">
        <v>93</v>
      </c>
      <c r="F1156" t="s">
        <v>22</v>
      </c>
      <c r="G1156" t="s">
        <v>63</v>
      </c>
      <c r="H1156" t="s">
        <v>24</v>
      </c>
      <c r="I1156" t="s">
        <v>25</v>
      </c>
      <c r="J1156" t="s">
        <v>67</v>
      </c>
      <c r="K1156" t="s">
        <v>44</v>
      </c>
      <c r="L1156" t="s">
        <v>49</v>
      </c>
      <c r="M1156" s="4">
        <v>11</v>
      </c>
      <c r="N1156" s="4">
        <v>7</v>
      </c>
      <c r="O1156" t="s">
        <v>36</v>
      </c>
      <c r="P1156" t="s">
        <v>29</v>
      </c>
      <c r="Q1156" s="4">
        <v>260916</v>
      </c>
      <c r="R1156" s="4">
        <v>172517</v>
      </c>
      <c r="S1156" s="4">
        <f>Table1[[#This Row],[Service_Revenue]]-Table1[[#This Row],[Service_Cost]]</f>
        <v>88399</v>
      </c>
      <c r="T1156" s="4">
        <v>3</v>
      </c>
      <c r="U1156" s="4">
        <f>IF(AND(Table1[[#This Row],[Rework_Flag]]="Yes",Table1[[#This Row],[Warranty_Claim]]="No"),Table1[[#This Row],[Service_Revenue]],0)</f>
        <v>0</v>
      </c>
      <c r="V1156" s="4">
        <f>IF(Table1[[#This Row],[Warranty_Claim]]="Yes",1,0)</f>
        <v>1</v>
      </c>
      <c r="W1156" s="4">
        <f>IF(Table1[[#This Row],[Rework_Flag]]="No",1,0)</f>
        <v>1</v>
      </c>
      <c r="X1156" s="4">
        <f>IF(Table1[[#This Row],[Rework_Flag]]="Yes",1,0)</f>
        <v>0</v>
      </c>
      <c r="Y1156" s="4">
        <v>1</v>
      </c>
      <c r="Z1156" s="4" t="str">
        <f>IF(Table1[[#This Row],[TAT_Days]]&gt;Table1[[#This Row],[SLA_TAT]],"Yes","No")</f>
        <v>Yes</v>
      </c>
      <c r="AA1156" s="4" t="str" cm="1">
        <f t="array" ref="AA1156">_xlfn.IFS(Table1[[#This Row],[Customer_Satisfaction]]&lt;=2,"Poor",Table1[[#This Row],[Customer_Satisfaction]]=3,"Neutral",Table1[[#This Row],[Customer_Satisfaction]]=4,"Good",Table1[[#This Row],[Customer_Satisfaction]]=5,"Good")</f>
        <v>Neutral</v>
      </c>
    </row>
    <row r="1157" spans="1:27" x14ac:dyDescent="0.35">
      <c r="A1157">
        <v>21155</v>
      </c>
      <c r="B1157" s="1">
        <v>45411</v>
      </c>
      <c r="C1157" t="s">
        <v>19</v>
      </c>
      <c r="D1157" t="s">
        <v>20</v>
      </c>
      <c r="E1157" t="s">
        <v>21</v>
      </c>
      <c r="F1157" t="s">
        <v>22</v>
      </c>
      <c r="G1157" t="s">
        <v>74</v>
      </c>
      <c r="H1157" t="s">
        <v>34</v>
      </c>
      <c r="I1157" t="s">
        <v>55</v>
      </c>
      <c r="J1157" t="s">
        <v>58</v>
      </c>
      <c r="K1157" t="s">
        <v>44</v>
      </c>
      <c r="L1157" t="s">
        <v>49</v>
      </c>
      <c r="M1157" s="4">
        <v>11</v>
      </c>
      <c r="N1157" s="4">
        <v>7</v>
      </c>
      <c r="O1157" t="s">
        <v>29</v>
      </c>
      <c r="P1157" t="s">
        <v>36</v>
      </c>
      <c r="Q1157" s="4">
        <v>519176</v>
      </c>
      <c r="R1157" s="4">
        <v>323071</v>
      </c>
      <c r="S1157" s="4">
        <f>Table1[[#This Row],[Service_Revenue]]-Table1[[#This Row],[Service_Cost]]</f>
        <v>196105</v>
      </c>
      <c r="T1157" s="4">
        <v>2</v>
      </c>
      <c r="U1157" s="4">
        <f>IF(AND(Table1[[#This Row],[Rework_Flag]]="Yes",Table1[[#This Row],[Warranty_Claim]]="No"),Table1[[#This Row],[Service_Revenue]],0)</f>
        <v>519176</v>
      </c>
      <c r="V1157" s="4">
        <f>IF(Table1[[#This Row],[Warranty_Claim]]="Yes",1,0)</f>
        <v>0</v>
      </c>
      <c r="W1157" s="4">
        <f>IF(Table1[[#This Row],[Rework_Flag]]="No",1,0)</f>
        <v>0</v>
      </c>
      <c r="X1157" s="4">
        <f>IF(Table1[[#This Row],[Rework_Flag]]="Yes",1,0)</f>
        <v>1</v>
      </c>
      <c r="Y1157" s="4">
        <v>1</v>
      </c>
      <c r="Z1157" s="4" t="str">
        <f>IF(Table1[[#This Row],[TAT_Days]]&gt;Table1[[#This Row],[SLA_TAT]],"Yes","No")</f>
        <v>Yes</v>
      </c>
      <c r="AA1157" s="4" t="str" cm="1">
        <f t="array" ref="AA1157">_xlfn.IFS(Table1[[#This Row],[Customer_Satisfaction]]&lt;=2,"Poor",Table1[[#This Row],[Customer_Satisfaction]]=3,"Neutral",Table1[[#This Row],[Customer_Satisfaction]]=4,"Good",Table1[[#This Row],[Customer_Satisfaction]]=5,"Good")</f>
        <v>Poor</v>
      </c>
    </row>
    <row r="1158" spans="1:27" x14ac:dyDescent="0.35">
      <c r="A1158">
        <v>21156</v>
      </c>
      <c r="B1158" s="1">
        <v>45394</v>
      </c>
      <c r="C1158" t="s">
        <v>19</v>
      </c>
      <c r="D1158" t="s">
        <v>96</v>
      </c>
      <c r="E1158" t="s">
        <v>105</v>
      </c>
      <c r="F1158" t="s">
        <v>40</v>
      </c>
      <c r="G1158" t="s">
        <v>23</v>
      </c>
      <c r="H1158" t="s">
        <v>24</v>
      </c>
      <c r="I1158" t="s">
        <v>55</v>
      </c>
      <c r="J1158" t="s">
        <v>35</v>
      </c>
      <c r="K1158" t="s">
        <v>44</v>
      </c>
      <c r="L1158" t="s">
        <v>28</v>
      </c>
      <c r="M1158" s="4">
        <v>10</v>
      </c>
      <c r="N1158" s="4">
        <v>7</v>
      </c>
      <c r="O1158" t="s">
        <v>29</v>
      </c>
      <c r="P1158" t="s">
        <v>36</v>
      </c>
      <c r="Q1158" s="4">
        <v>450438</v>
      </c>
      <c r="R1158" s="4">
        <v>273643</v>
      </c>
      <c r="S1158" s="4">
        <f>Table1[[#This Row],[Service_Revenue]]-Table1[[#This Row],[Service_Cost]]</f>
        <v>176795</v>
      </c>
      <c r="T1158" s="4">
        <v>2</v>
      </c>
      <c r="U1158" s="4">
        <f>IF(AND(Table1[[#This Row],[Rework_Flag]]="Yes",Table1[[#This Row],[Warranty_Claim]]="No"),Table1[[#This Row],[Service_Revenue]],0)</f>
        <v>450438</v>
      </c>
      <c r="V1158" s="4">
        <f>IF(Table1[[#This Row],[Warranty_Claim]]="Yes",1,0)</f>
        <v>0</v>
      </c>
      <c r="W1158" s="4">
        <f>IF(Table1[[#This Row],[Rework_Flag]]="No",1,0)</f>
        <v>0</v>
      </c>
      <c r="X1158" s="4">
        <f>IF(Table1[[#This Row],[Rework_Flag]]="Yes",1,0)</f>
        <v>1</v>
      </c>
      <c r="Y1158" s="4">
        <v>1</v>
      </c>
      <c r="Z1158" s="4" t="str">
        <f>IF(Table1[[#This Row],[TAT_Days]]&gt;Table1[[#This Row],[SLA_TAT]],"Yes","No")</f>
        <v>Yes</v>
      </c>
      <c r="AA1158" s="4" t="str" cm="1">
        <f t="array" ref="AA1158">_xlfn.IFS(Table1[[#This Row],[Customer_Satisfaction]]&lt;=2,"Poor",Table1[[#This Row],[Customer_Satisfaction]]=3,"Neutral",Table1[[#This Row],[Customer_Satisfaction]]=4,"Good",Table1[[#This Row],[Customer_Satisfaction]]=5,"Good")</f>
        <v>Poor</v>
      </c>
    </row>
    <row r="1159" spans="1:27" x14ac:dyDescent="0.35">
      <c r="A1159">
        <v>21157</v>
      </c>
      <c r="B1159" s="1">
        <v>45416</v>
      </c>
      <c r="C1159" t="s">
        <v>30</v>
      </c>
      <c r="D1159" t="s">
        <v>59</v>
      </c>
      <c r="E1159" t="s">
        <v>94</v>
      </c>
      <c r="F1159" t="s">
        <v>40</v>
      </c>
      <c r="G1159" t="s">
        <v>41</v>
      </c>
      <c r="H1159" t="s">
        <v>42</v>
      </c>
      <c r="I1159" t="s">
        <v>25</v>
      </c>
      <c r="J1159" t="s">
        <v>43</v>
      </c>
      <c r="K1159" t="s">
        <v>44</v>
      </c>
      <c r="L1159" t="s">
        <v>49</v>
      </c>
      <c r="M1159" s="4">
        <v>14</v>
      </c>
      <c r="N1159" s="4">
        <v>7</v>
      </c>
      <c r="O1159" t="s">
        <v>29</v>
      </c>
      <c r="P1159" t="s">
        <v>29</v>
      </c>
      <c r="Q1159" s="4">
        <v>591549</v>
      </c>
      <c r="R1159" s="4">
        <v>375826</v>
      </c>
      <c r="S1159" s="4">
        <f>Table1[[#This Row],[Service_Revenue]]-Table1[[#This Row],[Service_Cost]]</f>
        <v>215723</v>
      </c>
      <c r="T1159" s="4">
        <v>2</v>
      </c>
      <c r="U1159" s="4">
        <f>IF(AND(Table1[[#This Row],[Rework_Flag]]="Yes",Table1[[#This Row],[Warranty_Claim]]="No"),Table1[[#This Row],[Service_Revenue]],0)</f>
        <v>0</v>
      </c>
      <c r="V1159" s="4">
        <f>IF(Table1[[#This Row],[Warranty_Claim]]="Yes",1,0)</f>
        <v>1</v>
      </c>
      <c r="W1159" s="4">
        <f>IF(Table1[[#This Row],[Rework_Flag]]="No",1,0)</f>
        <v>0</v>
      </c>
      <c r="X1159" s="4">
        <f>IF(Table1[[#This Row],[Rework_Flag]]="Yes",1,0)</f>
        <v>1</v>
      </c>
      <c r="Y1159" s="4">
        <v>1</v>
      </c>
      <c r="Z1159" s="4" t="str">
        <f>IF(Table1[[#This Row],[TAT_Days]]&gt;Table1[[#This Row],[SLA_TAT]],"Yes","No")</f>
        <v>Yes</v>
      </c>
      <c r="AA1159" s="4" t="str" cm="1">
        <f t="array" ref="AA1159">_xlfn.IFS(Table1[[#This Row],[Customer_Satisfaction]]&lt;=2,"Poor",Table1[[#This Row],[Customer_Satisfaction]]=3,"Neutral",Table1[[#This Row],[Customer_Satisfaction]]=4,"Good",Table1[[#This Row],[Customer_Satisfaction]]=5,"Good")</f>
        <v>Poor</v>
      </c>
    </row>
    <row r="1160" spans="1:27" x14ac:dyDescent="0.35">
      <c r="A1160">
        <v>21158</v>
      </c>
      <c r="B1160" s="1">
        <v>45397</v>
      </c>
      <c r="C1160" t="s">
        <v>30</v>
      </c>
      <c r="D1160" t="s">
        <v>31</v>
      </c>
      <c r="E1160" t="s">
        <v>79</v>
      </c>
      <c r="F1160" t="s">
        <v>40</v>
      </c>
      <c r="G1160" t="s">
        <v>47</v>
      </c>
      <c r="H1160" t="s">
        <v>48</v>
      </c>
      <c r="I1160" t="s">
        <v>25</v>
      </c>
      <c r="J1160" t="s">
        <v>58</v>
      </c>
      <c r="K1160" t="s">
        <v>27</v>
      </c>
      <c r="L1160" t="s">
        <v>28</v>
      </c>
      <c r="M1160" s="4">
        <v>25</v>
      </c>
      <c r="N1160" s="4">
        <v>7</v>
      </c>
      <c r="O1160" t="s">
        <v>29</v>
      </c>
      <c r="P1160" t="s">
        <v>36</v>
      </c>
      <c r="Q1160" s="4">
        <v>395686</v>
      </c>
      <c r="R1160" s="4">
        <v>261870</v>
      </c>
      <c r="S1160" s="4">
        <f>Table1[[#This Row],[Service_Revenue]]-Table1[[#This Row],[Service_Cost]]</f>
        <v>133816</v>
      </c>
      <c r="T1160" s="4">
        <v>1</v>
      </c>
      <c r="U1160" s="4">
        <f>IF(AND(Table1[[#This Row],[Rework_Flag]]="Yes",Table1[[#This Row],[Warranty_Claim]]="No"),Table1[[#This Row],[Service_Revenue]],0)</f>
        <v>395686</v>
      </c>
      <c r="V1160" s="4">
        <f>IF(Table1[[#This Row],[Warranty_Claim]]="Yes",1,0)</f>
        <v>0</v>
      </c>
      <c r="W1160" s="4">
        <f>IF(Table1[[#This Row],[Rework_Flag]]="No",1,0)</f>
        <v>0</v>
      </c>
      <c r="X1160" s="4">
        <f>IF(Table1[[#This Row],[Rework_Flag]]="Yes",1,0)</f>
        <v>1</v>
      </c>
      <c r="Y1160" s="4">
        <v>1</v>
      </c>
      <c r="Z1160" s="4" t="str">
        <f>IF(Table1[[#This Row],[TAT_Days]]&gt;Table1[[#This Row],[SLA_TAT]],"Yes","No")</f>
        <v>Yes</v>
      </c>
      <c r="AA1160" s="4" t="str" cm="1">
        <f t="array" ref="AA1160">_xlfn.IFS(Table1[[#This Row],[Customer_Satisfaction]]&lt;=2,"Poor",Table1[[#This Row],[Customer_Satisfaction]]=3,"Neutral",Table1[[#This Row],[Customer_Satisfaction]]=4,"Good",Table1[[#This Row],[Customer_Satisfaction]]=5,"Good")</f>
        <v>Poor</v>
      </c>
    </row>
    <row r="1161" spans="1:27" x14ac:dyDescent="0.35">
      <c r="A1161">
        <v>21159</v>
      </c>
      <c r="B1161" s="1">
        <v>45459</v>
      </c>
      <c r="C1161" t="s">
        <v>37</v>
      </c>
      <c r="D1161" t="s">
        <v>70</v>
      </c>
      <c r="E1161" t="s">
        <v>116</v>
      </c>
      <c r="F1161" t="s">
        <v>53</v>
      </c>
      <c r="G1161" t="s">
        <v>47</v>
      </c>
      <c r="H1161" t="s">
        <v>48</v>
      </c>
      <c r="I1161" t="s">
        <v>25</v>
      </c>
      <c r="J1161" t="s">
        <v>58</v>
      </c>
      <c r="K1161" t="s">
        <v>44</v>
      </c>
      <c r="L1161" t="s">
        <v>28</v>
      </c>
      <c r="M1161" s="4">
        <v>20</v>
      </c>
      <c r="N1161" s="4">
        <v>7</v>
      </c>
      <c r="O1161" t="s">
        <v>36</v>
      </c>
      <c r="P1161" t="s">
        <v>29</v>
      </c>
      <c r="Q1161" s="4">
        <v>181295</v>
      </c>
      <c r="R1161" s="4">
        <v>118668</v>
      </c>
      <c r="S1161" s="4">
        <f>Table1[[#This Row],[Service_Revenue]]-Table1[[#This Row],[Service_Cost]]</f>
        <v>62627</v>
      </c>
      <c r="T1161" s="4">
        <v>1</v>
      </c>
      <c r="U1161" s="4">
        <f>IF(AND(Table1[[#This Row],[Rework_Flag]]="Yes",Table1[[#This Row],[Warranty_Claim]]="No"),Table1[[#This Row],[Service_Revenue]],0)</f>
        <v>0</v>
      </c>
      <c r="V1161" s="4">
        <f>IF(Table1[[#This Row],[Warranty_Claim]]="Yes",1,0)</f>
        <v>1</v>
      </c>
      <c r="W1161" s="4">
        <f>IF(Table1[[#This Row],[Rework_Flag]]="No",1,0)</f>
        <v>1</v>
      </c>
      <c r="X1161" s="4">
        <f>IF(Table1[[#This Row],[Rework_Flag]]="Yes",1,0)</f>
        <v>0</v>
      </c>
      <c r="Y1161" s="4">
        <v>1</v>
      </c>
      <c r="Z1161" s="4" t="str">
        <f>IF(Table1[[#This Row],[TAT_Days]]&gt;Table1[[#This Row],[SLA_TAT]],"Yes","No")</f>
        <v>Yes</v>
      </c>
      <c r="AA1161" s="4" t="str" cm="1">
        <f t="array" ref="AA1161">_xlfn.IFS(Table1[[#This Row],[Customer_Satisfaction]]&lt;=2,"Poor",Table1[[#This Row],[Customer_Satisfaction]]=3,"Neutral",Table1[[#This Row],[Customer_Satisfaction]]=4,"Good",Table1[[#This Row],[Customer_Satisfaction]]=5,"Good")</f>
        <v>Poor</v>
      </c>
    </row>
    <row r="1162" spans="1:27" x14ac:dyDescent="0.35">
      <c r="A1162">
        <v>21160</v>
      </c>
      <c r="B1162" s="1">
        <v>45379</v>
      </c>
      <c r="C1162" t="s">
        <v>30</v>
      </c>
      <c r="D1162" t="s">
        <v>59</v>
      </c>
      <c r="E1162" t="s">
        <v>94</v>
      </c>
      <c r="F1162" t="s">
        <v>53</v>
      </c>
      <c r="G1162" t="s">
        <v>54</v>
      </c>
      <c r="H1162" t="s">
        <v>42</v>
      </c>
      <c r="I1162" t="s">
        <v>25</v>
      </c>
      <c r="J1162" t="s">
        <v>67</v>
      </c>
      <c r="K1162" t="s">
        <v>61</v>
      </c>
      <c r="L1162" t="s">
        <v>28</v>
      </c>
      <c r="M1162" s="4">
        <v>11</v>
      </c>
      <c r="N1162" s="4">
        <v>7</v>
      </c>
      <c r="O1162" t="s">
        <v>36</v>
      </c>
      <c r="P1162" t="s">
        <v>29</v>
      </c>
      <c r="Q1162" s="4">
        <v>192321</v>
      </c>
      <c r="R1162" s="4">
        <v>132261</v>
      </c>
      <c r="S1162" s="4">
        <f>Table1[[#This Row],[Service_Revenue]]-Table1[[#This Row],[Service_Cost]]</f>
        <v>60060</v>
      </c>
      <c r="T1162" s="4">
        <v>3</v>
      </c>
      <c r="U1162" s="4">
        <f>IF(AND(Table1[[#This Row],[Rework_Flag]]="Yes",Table1[[#This Row],[Warranty_Claim]]="No"),Table1[[#This Row],[Service_Revenue]],0)</f>
        <v>0</v>
      </c>
      <c r="V1162" s="4">
        <f>IF(Table1[[#This Row],[Warranty_Claim]]="Yes",1,0)</f>
        <v>1</v>
      </c>
      <c r="W1162" s="4">
        <f>IF(Table1[[#This Row],[Rework_Flag]]="No",1,0)</f>
        <v>1</v>
      </c>
      <c r="X1162" s="4">
        <f>IF(Table1[[#This Row],[Rework_Flag]]="Yes",1,0)</f>
        <v>0</v>
      </c>
      <c r="Y1162" s="4">
        <v>1</v>
      </c>
      <c r="Z1162" s="4" t="str">
        <f>IF(Table1[[#This Row],[TAT_Days]]&gt;Table1[[#This Row],[SLA_TAT]],"Yes","No")</f>
        <v>Yes</v>
      </c>
      <c r="AA1162" s="4" t="str" cm="1">
        <f t="array" ref="AA1162">_xlfn.IFS(Table1[[#This Row],[Customer_Satisfaction]]&lt;=2,"Poor",Table1[[#This Row],[Customer_Satisfaction]]=3,"Neutral",Table1[[#This Row],[Customer_Satisfaction]]=4,"Good",Table1[[#This Row],[Customer_Satisfaction]]=5,"Good")</f>
        <v>Neutral</v>
      </c>
    </row>
    <row r="1163" spans="1:27" x14ac:dyDescent="0.35">
      <c r="A1163">
        <v>21161</v>
      </c>
      <c r="B1163" s="1">
        <v>45419</v>
      </c>
      <c r="C1163" t="s">
        <v>50</v>
      </c>
      <c r="D1163" t="s">
        <v>56</v>
      </c>
      <c r="E1163" t="s">
        <v>88</v>
      </c>
      <c r="F1163" t="s">
        <v>53</v>
      </c>
      <c r="G1163" t="s">
        <v>33</v>
      </c>
      <c r="H1163" t="s">
        <v>34</v>
      </c>
      <c r="I1163" t="s">
        <v>25</v>
      </c>
      <c r="J1163" t="s">
        <v>58</v>
      </c>
      <c r="K1163" t="s">
        <v>61</v>
      </c>
      <c r="L1163" t="s">
        <v>49</v>
      </c>
      <c r="M1163" s="4">
        <v>4</v>
      </c>
      <c r="N1163" s="4">
        <v>7</v>
      </c>
      <c r="O1163" t="s">
        <v>36</v>
      </c>
      <c r="P1163" t="s">
        <v>29</v>
      </c>
      <c r="Q1163" s="4">
        <v>534340</v>
      </c>
      <c r="R1163" s="4">
        <v>287544</v>
      </c>
      <c r="S1163" s="4">
        <f>Table1[[#This Row],[Service_Revenue]]-Table1[[#This Row],[Service_Cost]]</f>
        <v>246796</v>
      </c>
      <c r="T1163" s="4">
        <v>5</v>
      </c>
      <c r="U1163" s="4">
        <f>IF(AND(Table1[[#This Row],[Rework_Flag]]="Yes",Table1[[#This Row],[Warranty_Claim]]="No"),Table1[[#This Row],[Service_Revenue]],0)</f>
        <v>0</v>
      </c>
      <c r="V1163" s="4">
        <f>IF(Table1[[#This Row],[Warranty_Claim]]="Yes",1,0)</f>
        <v>1</v>
      </c>
      <c r="W1163" s="4">
        <f>IF(Table1[[#This Row],[Rework_Flag]]="No",1,0)</f>
        <v>1</v>
      </c>
      <c r="X1163" s="4">
        <f>IF(Table1[[#This Row],[Rework_Flag]]="Yes",1,0)</f>
        <v>0</v>
      </c>
      <c r="Y1163" s="4">
        <v>1</v>
      </c>
      <c r="Z1163" s="4" t="str">
        <f>IF(Table1[[#This Row],[TAT_Days]]&gt;Table1[[#This Row],[SLA_TAT]],"Yes","No")</f>
        <v>No</v>
      </c>
      <c r="AA1163" s="4" t="str" cm="1">
        <f t="array" ref="AA1163">_xlfn.IFS(Table1[[#This Row],[Customer_Satisfaction]]&lt;=2,"Poor",Table1[[#This Row],[Customer_Satisfaction]]=3,"Neutral",Table1[[#This Row],[Customer_Satisfaction]]=4,"Good",Table1[[#This Row],[Customer_Satisfaction]]=5,"Good")</f>
        <v>Good</v>
      </c>
    </row>
    <row r="1164" spans="1:27" x14ac:dyDescent="0.35">
      <c r="A1164">
        <v>21162</v>
      </c>
      <c r="B1164" s="1">
        <v>45409</v>
      </c>
      <c r="C1164" t="s">
        <v>50</v>
      </c>
      <c r="D1164" t="s">
        <v>51</v>
      </c>
      <c r="E1164" t="s">
        <v>75</v>
      </c>
      <c r="F1164" t="s">
        <v>53</v>
      </c>
      <c r="G1164" t="s">
        <v>54</v>
      </c>
      <c r="H1164" t="s">
        <v>42</v>
      </c>
      <c r="I1164" t="s">
        <v>25</v>
      </c>
      <c r="J1164" t="s">
        <v>67</v>
      </c>
      <c r="K1164" t="s">
        <v>61</v>
      </c>
      <c r="L1164" t="s">
        <v>49</v>
      </c>
      <c r="M1164" s="4">
        <v>24</v>
      </c>
      <c r="N1164" s="4">
        <v>7</v>
      </c>
      <c r="O1164" t="s">
        <v>36</v>
      </c>
      <c r="P1164" t="s">
        <v>36</v>
      </c>
      <c r="Q1164" s="4">
        <v>538039</v>
      </c>
      <c r="R1164" s="4">
        <v>364965</v>
      </c>
      <c r="S1164" s="4">
        <f>Table1[[#This Row],[Service_Revenue]]-Table1[[#This Row],[Service_Cost]]</f>
        <v>173074</v>
      </c>
      <c r="T1164" s="4">
        <v>1</v>
      </c>
      <c r="U1164" s="4">
        <f>IF(AND(Table1[[#This Row],[Rework_Flag]]="Yes",Table1[[#This Row],[Warranty_Claim]]="No"),Table1[[#This Row],[Service_Revenue]],0)</f>
        <v>0</v>
      </c>
      <c r="V1164" s="4">
        <f>IF(Table1[[#This Row],[Warranty_Claim]]="Yes",1,0)</f>
        <v>0</v>
      </c>
      <c r="W1164" s="4">
        <f>IF(Table1[[#This Row],[Rework_Flag]]="No",1,0)</f>
        <v>1</v>
      </c>
      <c r="X1164" s="4">
        <f>IF(Table1[[#This Row],[Rework_Flag]]="Yes",1,0)</f>
        <v>0</v>
      </c>
      <c r="Y1164" s="4">
        <v>1</v>
      </c>
      <c r="Z1164" s="4" t="str">
        <f>IF(Table1[[#This Row],[TAT_Days]]&gt;Table1[[#This Row],[SLA_TAT]],"Yes","No")</f>
        <v>Yes</v>
      </c>
      <c r="AA1164" s="4" t="str" cm="1">
        <f t="array" ref="AA1164">_xlfn.IFS(Table1[[#This Row],[Customer_Satisfaction]]&lt;=2,"Poor",Table1[[#This Row],[Customer_Satisfaction]]=3,"Neutral",Table1[[#This Row],[Customer_Satisfaction]]=4,"Good",Table1[[#This Row],[Customer_Satisfaction]]=5,"Good")</f>
        <v>Poor</v>
      </c>
    </row>
    <row r="1165" spans="1:27" x14ac:dyDescent="0.35">
      <c r="A1165">
        <v>21163</v>
      </c>
      <c r="B1165" s="1">
        <v>45376</v>
      </c>
      <c r="C1165" t="s">
        <v>19</v>
      </c>
      <c r="D1165" t="s">
        <v>96</v>
      </c>
      <c r="E1165" t="s">
        <v>108</v>
      </c>
      <c r="F1165" t="s">
        <v>53</v>
      </c>
      <c r="G1165" t="s">
        <v>74</v>
      </c>
      <c r="H1165" t="s">
        <v>34</v>
      </c>
      <c r="I1165" t="s">
        <v>25</v>
      </c>
      <c r="J1165" t="s">
        <v>67</v>
      </c>
      <c r="K1165" t="s">
        <v>27</v>
      </c>
      <c r="L1165" t="s">
        <v>28</v>
      </c>
      <c r="M1165" s="4">
        <v>11</v>
      </c>
      <c r="N1165" s="4">
        <v>7</v>
      </c>
      <c r="O1165" t="s">
        <v>29</v>
      </c>
      <c r="P1165" t="s">
        <v>36</v>
      </c>
      <c r="Q1165" s="4">
        <v>135323</v>
      </c>
      <c r="R1165" s="4">
        <v>71015</v>
      </c>
      <c r="S1165" s="4">
        <f>Table1[[#This Row],[Service_Revenue]]-Table1[[#This Row],[Service_Cost]]</f>
        <v>64308</v>
      </c>
      <c r="T1165" s="4">
        <v>2</v>
      </c>
      <c r="U1165" s="4">
        <f>IF(AND(Table1[[#This Row],[Rework_Flag]]="Yes",Table1[[#This Row],[Warranty_Claim]]="No"),Table1[[#This Row],[Service_Revenue]],0)</f>
        <v>135323</v>
      </c>
      <c r="V1165" s="4">
        <f>IF(Table1[[#This Row],[Warranty_Claim]]="Yes",1,0)</f>
        <v>0</v>
      </c>
      <c r="W1165" s="4">
        <f>IF(Table1[[#This Row],[Rework_Flag]]="No",1,0)</f>
        <v>0</v>
      </c>
      <c r="X1165" s="4">
        <f>IF(Table1[[#This Row],[Rework_Flag]]="Yes",1,0)</f>
        <v>1</v>
      </c>
      <c r="Y1165" s="4">
        <v>1</v>
      </c>
      <c r="Z1165" s="4" t="str">
        <f>IF(Table1[[#This Row],[TAT_Days]]&gt;Table1[[#This Row],[SLA_TAT]],"Yes","No")</f>
        <v>Yes</v>
      </c>
      <c r="AA1165" s="4" t="str" cm="1">
        <f t="array" ref="AA1165">_xlfn.IFS(Table1[[#This Row],[Customer_Satisfaction]]&lt;=2,"Poor",Table1[[#This Row],[Customer_Satisfaction]]=3,"Neutral",Table1[[#This Row],[Customer_Satisfaction]]=4,"Good",Table1[[#This Row],[Customer_Satisfaction]]=5,"Good")</f>
        <v>Poor</v>
      </c>
    </row>
    <row r="1166" spans="1:27" x14ac:dyDescent="0.35">
      <c r="A1166">
        <v>21164</v>
      </c>
      <c r="B1166" s="1">
        <v>45305</v>
      </c>
      <c r="C1166" t="s">
        <v>19</v>
      </c>
      <c r="D1166" t="s">
        <v>20</v>
      </c>
      <c r="E1166" t="s">
        <v>110</v>
      </c>
      <c r="F1166" t="s">
        <v>22</v>
      </c>
      <c r="G1166" t="s">
        <v>23</v>
      </c>
      <c r="H1166" t="s">
        <v>24</v>
      </c>
      <c r="I1166" t="s">
        <v>55</v>
      </c>
      <c r="J1166" t="s">
        <v>26</v>
      </c>
      <c r="K1166" t="s">
        <v>44</v>
      </c>
      <c r="L1166" t="s">
        <v>28</v>
      </c>
      <c r="M1166" s="4">
        <v>5</v>
      </c>
      <c r="N1166" s="4">
        <v>7</v>
      </c>
      <c r="O1166" t="s">
        <v>29</v>
      </c>
      <c r="P1166" t="s">
        <v>36</v>
      </c>
      <c r="Q1166" s="4">
        <v>202730</v>
      </c>
      <c r="R1166" s="4">
        <v>151206</v>
      </c>
      <c r="S1166" s="4">
        <f>Table1[[#This Row],[Service_Revenue]]-Table1[[#This Row],[Service_Cost]]</f>
        <v>51524</v>
      </c>
      <c r="T1166" s="4">
        <v>3</v>
      </c>
      <c r="U1166" s="4">
        <f>IF(AND(Table1[[#This Row],[Rework_Flag]]="Yes",Table1[[#This Row],[Warranty_Claim]]="No"),Table1[[#This Row],[Service_Revenue]],0)</f>
        <v>202730</v>
      </c>
      <c r="V1166" s="4">
        <f>IF(Table1[[#This Row],[Warranty_Claim]]="Yes",1,0)</f>
        <v>0</v>
      </c>
      <c r="W1166" s="4">
        <f>IF(Table1[[#This Row],[Rework_Flag]]="No",1,0)</f>
        <v>0</v>
      </c>
      <c r="X1166" s="4">
        <f>IF(Table1[[#This Row],[Rework_Flag]]="Yes",1,0)</f>
        <v>1</v>
      </c>
      <c r="Y1166" s="4">
        <v>1</v>
      </c>
      <c r="Z1166" s="4" t="str">
        <f>IF(Table1[[#This Row],[TAT_Days]]&gt;Table1[[#This Row],[SLA_TAT]],"Yes","No")</f>
        <v>No</v>
      </c>
      <c r="AA1166" s="4" t="str" cm="1">
        <f t="array" ref="AA1166">_xlfn.IFS(Table1[[#This Row],[Customer_Satisfaction]]&lt;=2,"Poor",Table1[[#This Row],[Customer_Satisfaction]]=3,"Neutral",Table1[[#This Row],[Customer_Satisfaction]]=4,"Good",Table1[[#This Row],[Customer_Satisfaction]]=5,"Good")</f>
        <v>Neutral</v>
      </c>
    </row>
    <row r="1167" spans="1:27" x14ac:dyDescent="0.35">
      <c r="A1167">
        <v>21165</v>
      </c>
      <c r="B1167" s="1">
        <v>45361</v>
      </c>
      <c r="C1167" t="s">
        <v>37</v>
      </c>
      <c r="D1167" t="s">
        <v>38</v>
      </c>
      <c r="E1167" t="s">
        <v>93</v>
      </c>
      <c r="F1167" t="s">
        <v>40</v>
      </c>
      <c r="G1167" t="s">
        <v>54</v>
      </c>
      <c r="H1167" t="s">
        <v>42</v>
      </c>
      <c r="I1167" t="s">
        <v>55</v>
      </c>
      <c r="J1167" t="s">
        <v>43</v>
      </c>
      <c r="K1167" t="s">
        <v>27</v>
      </c>
      <c r="L1167" t="s">
        <v>49</v>
      </c>
      <c r="M1167" s="4">
        <v>17</v>
      </c>
      <c r="N1167" s="4">
        <v>7</v>
      </c>
      <c r="O1167" t="s">
        <v>29</v>
      </c>
      <c r="P1167" t="s">
        <v>29</v>
      </c>
      <c r="Q1167" s="4">
        <v>99699</v>
      </c>
      <c r="R1167" s="4">
        <v>75051</v>
      </c>
      <c r="S1167" s="4">
        <f>Table1[[#This Row],[Service_Revenue]]-Table1[[#This Row],[Service_Cost]]</f>
        <v>24648</v>
      </c>
      <c r="T1167" s="4">
        <v>1</v>
      </c>
      <c r="U1167" s="4">
        <f>IF(AND(Table1[[#This Row],[Rework_Flag]]="Yes",Table1[[#This Row],[Warranty_Claim]]="No"),Table1[[#This Row],[Service_Revenue]],0)</f>
        <v>0</v>
      </c>
      <c r="V1167" s="4">
        <f>IF(Table1[[#This Row],[Warranty_Claim]]="Yes",1,0)</f>
        <v>1</v>
      </c>
      <c r="W1167" s="4">
        <f>IF(Table1[[#This Row],[Rework_Flag]]="No",1,0)</f>
        <v>0</v>
      </c>
      <c r="X1167" s="4">
        <f>IF(Table1[[#This Row],[Rework_Flag]]="Yes",1,0)</f>
        <v>1</v>
      </c>
      <c r="Y1167" s="4">
        <v>1</v>
      </c>
      <c r="Z1167" s="4" t="str">
        <f>IF(Table1[[#This Row],[TAT_Days]]&gt;Table1[[#This Row],[SLA_TAT]],"Yes","No")</f>
        <v>Yes</v>
      </c>
      <c r="AA1167" s="4" t="str" cm="1">
        <f t="array" ref="AA1167">_xlfn.IFS(Table1[[#This Row],[Customer_Satisfaction]]&lt;=2,"Poor",Table1[[#This Row],[Customer_Satisfaction]]=3,"Neutral",Table1[[#This Row],[Customer_Satisfaction]]=4,"Good",Table1[[#This Row],[Customer_Satisfaction]]=5,"Good")</f>
        <v>Poor</v>
      </c>
    </row>
    <row r="1168" spans="1:27" x14ac:dyDescent="0.35">
      <c r="A1168">
        <v>21166</v>
      </c>
      <c r="B1168" s="1">
        <v>45364</v>
      </c>
      <c r="C1168" t="s">
        <v>50</v>
      </c>
      <c r="D1168" t="s">
        <v>80</v>
      </c>
      <c r="E1168" t="s">
        <v>85</v>
      </c>
      <c r="F1168" t="s">
        <v>40</v>
      </c>
      <c r="G1168" t="s">
        <v>54</v>
      </c>
      <c r="H1168" t="s">
        <v>42</v>
      </c>
      <c r="I1168" t="s">
        <v>55</v>
      </c>
      <c r="J1168" t="s">
        <v>67</v>
      </c>
      <c r="K1168" t="s">
        <v>27</v>
      </c>
      <c r="L1168" t="s">
        <v>49</v>
      </c>
      <c r="M1168" s="4">
        <v>16</v>
      </c>
      <c r="N1168" s="4">
        <v>7</v>
      </c>
      <c r="O1168" t="s">
        <v>29</v>
      </c>
      <c r="P1168" t="s">
        <v>29</v>
      </c>
      <c r="Q1168" s="4">
        <v>134476</v>
      </c>
      <c r="R1168" s="4">
        <v>71294</v>
      </c>
      <c r="S1168" s="4">
        <f>Table1[[#This Row],[Service_Revenue]]-Table1[[#This Row],[Service_Cost]]</f>
        <v>63182</v>
      </c>
      <c r="T1168" s="4">
        <v>1</v>
      </c>
      <c r="U1168" s="4">
        <f>IF(AND(Table1[[#This Row],[Rework_Flag]]="Yes",Table1[[#This Row],[Warranty_Claim]]="No"),Table1[[#This Row],[Service_Revenue]],0)</f>
        <v>0</v>
      </c>
      <c r="V1168" s="4">
        <f>IF(Table1[[#This Row],[Warranty_Claim]]="Yes",1,0)</f>
        <v>1</v>
      </c>
      <c r="W1168" s="4">
        <f>IF(Table1[[#This Row],[Rework_Flag]]="No",1,0)</f>
        <v>0</v>
      </c>
      <c r="X1168" s="4">
        <f>IF(Table1[[#This Row],[Rework_Flag]]="Yes",1,0)</f>
        <v>1</v>
      </c>
      <c r="Y1168" s="4">
        <v>1</v>
      </c>
      <c r="Z1168" s="4" t="str">
        <f>IF(Table1[[#This Row],[TAT_Days]]&gt;Table1[[#This Row],[SLA_TAT]],"Yes","No")</f>
        <v>Yes</v>
      </c>
      <c r="AA1168" s="4" t="str" cm="1">
        <f t="array" ref="AA1168">_xlfn.IFS(Table1[[#This Row],[Customer_Satisfaction]]&lt;=2,"Poor",Table1[[#This Row],[Customer_Satisfaction]]=3,"Neutral",Table1[[#This Row],[Customer_Satisfaction]]=4,"Good",Table1[[#This Row],[Customer_Satisfaction]]=5,"Good")</f>
        <v>Poor</v>
      </c>
    </row>
    <row r="1169" spans="1:27" x14ac:dyDescent="0.35">
      <c r="A1169">
        <v>21167</v>
      </c>
      <c r="B1169" s="1">
        <v>45403</v>
      </c>
      <c r="C1169" t="s">
        <v>19</v>
      </c>
      <c r="D1169" t="s">
        <v>96</v>
      </c>
      <c r="E1169" t="s">
        <v>105</v>
      </c>
      <c r="F1169" t="s">
        <v>22</v>
      </c>
      <c r="G1169" t="s">
        <v>47</v>
      </c>
      <c r="H1169" t="s">
        <v>48</v>
      </c>
      <c r="I1169" t="s">
        <v>25</v>
      </c>
      <c r="J1169" t="s">
        <v>35</v>
      </c>
      <c r="K1169" t="s">
        <v>61</v>
      </c>
      <c r="L1169" t="s">
        <v>28</v>
      </c>
      <c r="M1169" s="4">
        <v>19</v>
      </c>
      <c r="N1169" s="4">
        <v>7</v>
      </c>
      <c r="O1169" t="s">
        <v>36</v>
      </c>
      <c r="P1169" t="s">
        <v>36</v>
      </c>
      <c r="Q1169" s="4">
        <v>120849</v>
      </c>
      <c r="R1169" s="4">
        <v>89907</v>
      </c>
      <c r="S1169" s="4">
        <f>Table1[[#This Row],[Service_Revenue]]-Table1[[#This Row],[Service_Cost]]</f>
        <v>30942</v>
      </c>
      <c r="T1169" s="4">
        <v>2</v>
      </c>
      <c r="U1169" s="4">
        <f>IF(AND(Table1[[#This Row],[Rework_Flag]]="Yes",Table1[[#This Row],[Warranty_Claim]]="No"),Table1[[#This Row],[Service_Revenue]],0)</f>
        <v>0</v>
      </c>
      <c r="V1169" s="4">
        <f>IF(Table1[[#This Row],[Warranty_Claim]]="Yes",1,0)</f>
        <v>0</v>
      </c>
      <c r="W1169" s="4">
        <f>IF(Table1[[#This Row],[Rework_Flag]]="No",1,0)</f>
        <v>1</v>
      </c>
      <c r="X1169" s="4">
        <f>IF(Table1[[#This Row],[Rework_Flag]]="Yes",1,0)</f>
        <v>0</v>
      </c>
      <c r="Y1169" s="4">
        <v>1</v>
      </c>
      <c r="Z1169" s="4" t="str">
        <f>IF(Table1[[#This Row],[TAT_Days]]&gt;Table1[[#This Row],[SLA_TAT]],"Yes","No")</f>
        <v>Yes</v>
      </c>
      <c r="AA1169" s="4" t="str" cm="1">
        <f t="array" ref="AA1169">_xlfn.IFS(Table1[[#This Row],[Customer_Satisfaction]]&lt;=2,"Poor",Table1[[#This Row],[Customer_Satisfaction]]=3,"Neutral",Table1[[#This Row],[Customer_Satisfaction]]=4,"Good",Table1[[#This Row],[Customer_Satisfaction]]=5,"Good")</f>
        <v>Poor</v>
      </c>
    </row>
    <row r="1170" spans="1:27" x14ac:dyDescent="0.35">
      <c r="A1170">
        <v>21168</v>
      </c>
      <c r="B1170" s="1">
        <v>45324</v>
      </c>
      <c r="C1170" t="s">
        <v>30</v>
      </c>
      <c r="D1170" t="s">
        <v>59</v>
      </c>
      <c r="E1170" t="s">
        <v>94</v>
      </c>
      <c r="F1170" t="s">
        <v>22</v>
      </c>
      <c r="G1170" t="s">
        <v>41</v>
      </c>
      <c r="H1170" t="s">
        <v>42</v>
      </c>
      <c r="I1170" t="s">
        <v>25</v>
      </c>
      <c r="J1170" t="s">
        <v>43</v>
      </c>
      <c r="K1170" t="s">
        <v>61</v>
      </c>
      <c r="L1170" t="s">
        <v>49</v>
      </c>
      <c r="M1170" s="4">
        <v>16</v>
      </c>
      <c r="N1170" s="4">
        <v>7</v>
      </c>
      <c r="O1170" t="s">
        <v>36</v>
      </c>
      <c r="P1170" t="s">
        <v>29</v>
      </c>
      <c r="Q1170" s="4">
        <v>519560</v>
      </c>
      <c r="R1170" s="4">
        <v>385990</v>
      </c>
      <c r="S1170" s="4">
        <f>Table1[[#This Row],[Service_Revenue]]-Table1[[#This Row],[Service_Cost]]</f>
        <v>133570</v>
      </c>
      <c r="T1170" s="4">
        <v>2</v>
      </c>
      <c r="U1170" s="4">
        <f>IF(AND(Table1[[#This Row],[Rework_Flag]]="Yes",Table1[[#This Row],[Warranty_Claim]]="No"),Table1[[#This Row],[Service_Revenue]],0)</f>
        <v>0</v>
      </c>
      <c r="V1170" s="4">
        <f>IF(Table1[[#This Row],[Warranty_Claim]]="Yes",1,0)</f>
        <v>1</v>
      </c>
      <c r="W1170" s="4">
        <f>IF(Table1[[#This Row],[Rework_Flag]]="No",1,0)</f>
        <v>1</v>
      </c>
      <c r="X1170" s="4">
        <f>IF(Table1[[#This Row],[Rework_Flag]]="Yes",1,0)</f>
        <v>0</v>
      </c>
      <c r="Y1170" s="4">
        <v>1</v>
      </c>
      <c r="Z1170" s="4" t="str">
        <f>IF(Table1[[#This Row],[TAT_Days]]&gt;Table1[[#This Row],[SLA_TAT]],"Yes","No")</f>
        <v>Yes</v>
      </c>
      <c r="AA1170" s="4" t="str" cm="1">
        <f t="array" ref="AA1170">_xlfn.IFS(Table1[[#This Row],[Customer_Satisfaction]]&lt;=2,"Poor",Table1[[#This Row],[Customer_Satisfaction]]=3,"Neutral",Table1[[#This Row],[Customer_Satisfaction]]=4,"Good",Table1[[#This Row],[Customer_Satisfaction]]=5,"Good")</f>
        <v>Poor</v>
      </c>
    </row>
    <row r="1171" spans="1:27" x14ac:dyDescent="0.35">
      <c r="A1171">
        <v>21169</v>
      </c>
      <c r="B1171" s="1">
        <v>45328</v>
      </c>
      <c r="C1171" t="s">
        <v>19</v>
      </c>
      <c r="D1171" t="s">
        <v>20</v>
      </c>
      <c r="E1171" t="s">
        <v>89</v>
      </c>
      <c r="F1171" t="s">
        <v>40</v>
      </c>
      <c r="G1171" t="s">
        <v>23</v>
      </c>
      <c r="H1171" t="s">
        <v>24</v>
      </c>
      <c r="I1171" t="s">
        <v>25</v>
      </c>
      <c r="J1171" t="s">
        <v>43</v>
      </c>
      <c r="K1171" t="s">
        <v>27</v>
      </c>
      <c r="L1171" t="s">
        <v>49</v>
      </c>
      <c r="M1171" s="4">
        <v>22</v>
      </c>
      <c r="N1171" s="4">
        <v>7</v>
      </c>
      <c r="O1171" t="s">
        <v>29</v>
      </c>
      <c r="P1171" t="s">
        <v>36</v>
      </c>
      <c r="Q1171" s="4">
        <v>539680</v>
      </c>
      <c r="R1171" s="4">
        <v>446726</v>
      </c>
      <c r="S1171" s="4">
        <f>Table1[[#This Row],[Service_Revenue]]-Table1[[#This Row],[Service_Cost]]</f>
        <v>92954</v>
      </c>
      <c r="T1171" s="4">
        <v>1</v>
      </c>
      <c r="U1171" s="4">
        <f>IF(AND(Table1[[#This Row],[Rework_Flag]]="Yes",Table1[[#This Row],[Warranty_Claim]]="No"),Table1[[#This Row],[Service_Revenue]],0)</f>
        <v>539680</v>
      </c>
      <c r="V1171" s="4">
        <f>IF(Table1[[#This Row],[Warranty_Claim]]="Yes",1,0)</f>
        <v>0</v>
      </c>
      <c r="W1171" s="4">
        <f>IF(Table1[[#This Row],[Rework_Flag]]="No",1,0)</f>
        <v>0</v>
      </c>
      <c r="X1171" s="4">
        <f>IF(Table1[[#This Row],[Rework_Flag]]="Yes",1,0)</f>
        <v>1</v>
      </c>
      <c r="Y1171" s="4">
        <v>1</v>
      </c>
      <c r="Z1171" s="4" t="str">
        <f>IF(Table1[[#This Row],[TAT_Days]]&gt;Table1[[#This Row],[SLA_TAT]],"Yes","No")</f>
        <v>Yes</v>
      </c>
      <c r="AA1171" s="4" t="str" cm="1">
        <f t="array" ref="AA1171">_xlfn.IFS(Table1[[#This Row],[Customer_Satisfaction]]&lt;=2,"Poor",Table1[[#This Row],[Customer_Satisfaction]]=3,"Neutral",Table1[[#This Row],[Customer_Satisfaction]]=4,"Good",Table1[[#This Row],[Customer_Satisfaction]]=5,"Good")</f>
        <v>Poor</v>
      </c>
    </row>
    <row r="1172" spans="1:27" x14ac:dyDescent="0.35">
      <c r="A1172">
        <v>21170</v>
      </c>
      <c r="B1172" s="1">
        <v>45427</v>
      </c>
      <c r="C1172" t="s">
        <v>50</v>
      </c>
      <c r="D1172" t="s">
        <v>51</v>
      </c>
      <c r="E1172" t="s">
        <v>113</v>
      </c>
      <c r="F1172" t="s">
        <v>53</v>
      </c>
      <c r="G1172" t="s">
        <v>63</v>
      </c>
      <c r="H1172" t="s">
        <v>24</v>
      </c>
      <c r="I1172" t="s">
        <v>25</v>
      </c>
      <c r="J1172" t="s">
        <v>43</v>
      </c>
      <c r="K1172" t="s">
        <v>61</v>
      </c>
      <c r="L1172" t="s">
        <v>28</v>
      </c>
      <c r="M1172" s="4">
        <v>6</v>
      </c>
      <c r="N1172" s="4">
        <v>7</v>
      </c>
      <c r="O1172" t="s">
        <v>29</v>
      </c>
      <c r="P1172" t="s">
        <v>36</v>
      </c>
      <c r="Q1172" s="4">
        <v>209260</v>
      </c>
      <c r="R1172" s="4">
        <v>142859</v>
      </c>
      <c r="S1172" s="4">
        <f>Table1[[#This Row],[Service_Revenue]]-Table1[[#This Row],[Service_Cost]]</f>
        <v>66401</v>
      </c>
      <c r="T1172" s="4">
        <v>3</v>
      </c>
      <c r="U1172" s="4">
        <f>IF(AND(Table1[[#This Row],[Rework_Flag]]="Yes",Table1[[#This Row],[Warranty_Claim]]="No"),Table1[[#This Row],[Service_Revenue]],0)</f>
        <v>209260</v>
      </c>
      <c r="V1172" s="4">
        <f>IF(Table1[[#This Row],[Warranty_Claim]]="Yes",1,0)</f>
        <v>0</v>
      </c>
      <c r="W1172" s="4">
        <f>IF(Table1[[#This Row],[Rework_Flag]]="No",1,0)</f>
        <v>0</v>
      </c>
      <c r="X1172" s="4">
        <f>IF(Table1[[#This Row],[Rework_Flag]]="Yes",1,0)</f>
        <v>1</v>
      </c>
      <c r="Y1172" s="4">
        <v>1</v>
      </c>
      <c r="Z1172" s="4" t="str">
        <f>IF(Table1[[#This Row],[TAT_Days]]&gt;Table1[[#This Row],[SLA_TAT]],"Yes","No")</f>
        <v>No</v>
      </c>
      <c r="AA1172" s="4" t="str" cm="1">
        <f t="array" ref="AA1172">_xlfn.IFS(Table1[[#This Row],[Customer_Satisfaction]]&lt;=2,"Poor",Table1[[#This Row],[Customer_Satisfaction]]=3,"Neutral",Table1[[#This Row],[Customer_Satisfaction]]=4,"Good",Table1[[#This Row],[Customer_Satisfaction]]=5,"Good")</f>
        <v>Neutral</v>
      </c>
    </row>
    <row r="1173" spans="1:27" x14ac:dyDescent="0.35">
      <c r="A1173">
        <v>21171</v>
      </c>
      <c r="B1173" s="1">
        <v>45377</v>
      </c>
      <c r="C1173" t="s">
        <v>37</v>
      </c>
      <c r="D1173" t="s">
        <v>38</v>
      </c>
      <c r="E1173" t="s">
        <v>107</v>
      </c>
      <c r="F1173" t="s">
        <v>53</v>
      </c>
      <c r="G1173" t="s">
        <v>47</v>
      </c>
      <c r="H1173" t="s">
        <v>48</v>
      </c>
      <c r="I1173" t="s">
        <v>25</v>
      </c>
      <c r="J1173" t="s">
        <v>67</v>
      </c>
      <c r="K1173" t="s">
        <v>61</v>
      </c>
      <c r="L1173" t="s">
        <v>28</v>
      </c>
      <c r="M1173" s="4">
        <v>2</v>
      </c>
      <c r="N1173" s="4">
        <v>7</v>
      </c>
      <c r="O1173" t="s">
        <v>36</v>
      </c>
      <c r="P1173" t="s">
        <v>36</v>
      </c>
      <c r="Q1173" s="4">
        <v>579468</v>
      </c>
      <c r="R1173" s="4">
        <v>457248</v>
      </c>
      <c r="S1173" s="4">
        <f>Table1[[#This Row],[Service_Revenue]]-Table1[[#This Row],[Service_Cost]]</f>
        <v>122220</v>
      </c>
      <c r="T1173" s="4">
        <v>5</v>
      </c>
      <c r="U1173" s="4">
        <f>IF(AND(Table1[[#This Row],[Rework_Flag]]="Yes",Table1[[#This Row],[Warranty_Claim]]="No"),Table1[[#This Row],[Service_Revenue]],0)</f>
        <v>0</v>
      </c>
      <c r="V1173" s="4">
        <f>IF(Table1[[#This Row],[Warranty_Claim]]="Yes",1,0)</f>
        <v>0</v>
      </c>
      <c r="W1173" s="4">
        <f>IF(Table1[[#This Row],[Rework_Flag]]="No",1,0)</f>
        <v>1</v>
      </c>
      <c r="X1173" s="4">
        <f>IF(Table1[[#This Row],[Rework_Flag]]="Yes",1,0)</f>
        <v>0</v>
      </c>
      <c r="Y1173" s="4">
        <v>1</v>
      </c>
      <c r="Z1173" s="4" t="str">
        <f>IF(Table1[[#This Row],[TAT_Days]]&gt;Table1[[#This Row],[SLA_TAT]],"Yes","No")</f>
        <v>No</v>
      </c>
      <c r="AA1173" s="4" t="str" cm="1">
        <f t="array" ref="AA1173">_xlfn.IFS(Table1[[#This Row],[Customer_Satisfaction]]&lt;=2,"Poor",Table1[[#This Row],[Customer_Satisfaction]]=3,"Neutral",Table1[[#This Row],[Customer_Satisfaction]]=4,"Good",Table1[[#This Row],[Customer_Satisfaction]]=5,"Good")</f>
        <v>Good</v>
      </c>
    </row>
    <row r="1174" spans="1:27" x14ac:dyDescent="0.35">
      <c r="A1174">
        <v>21172</v>
      </c>
      <c r="B1174" s="1">
        <v>45423</v>
      </c>
      <c r="C1174" t="s">
        <v>30</v>
      </c>
      <c r="D1174" t="s">
        <v>83</v>
      </c>
      <c r="E1174" t="s">
        <v>92</v>
      </c>
      <c r="F1174" t="s">
        <v>22</v>
      </c>
      <c r="G1174" t="s">
        <v>33</v>
      </c>
      <c r="H1174" t="s">
        <v>34</v>
      </c>
      <c r="I1174" t="s">
        <v>25</v>
      </c>
      <c r="J1174" t="s">
        <v>67</v>
      </c>
      <c r="K1174" t="s">
        <v>44</v>
      </c>
      <c r="L1174" t="s">
        <v>28</v>
      </c>
      <c r="M1174" s="4">
        <v>15</v>
      </c>
      <c r="N1174" s="4">
        <v>7</v>
      </c>
      <c r="O1174" t="s">
        <v>36</v>
      </c>
      <c r="P1174" t="s">
        <v>36</v>
      </c>
      <c r="Q1174" s="4">
        <v>135770</v>
      </c>
      <c r="R1174" s="4">
        <v>68779</v>
      </c>
      <c r="S1174" s="4">
        <f>Table1[[#This Row],[Service_Revenue]]-Table1[[#This Row],[Service_Cost]]</f>
        <v>66991</v>
      </c>
      <c r="T1174" s="4">
        <v>2</v>
      </c>
      <c r="U1174" s="4">
        <f>IF(AND(Table1[[#This Row],[Rework_Flag]]="Yes",Table1[[#This Row],[Warranty_Claim]]="No"),Table1[[#This Row],[Service_Revenue]],0)</f>
        <v>0</v>
      </c>
      <c r="V1174" s="4">
        <f>IF(Table1[[#This Row],[Warranty_Claim]]="Yes",1,0)</f>
        <v>0</v>
      </c>
      <c r="W1174" s="4">
        <f>IF(Table1[[#This Row],[Rework_Flag]]="No",1,0)</f>
        <v>1</v>
      </c>
      <c r="X1174" s="4">
        <f>IF(Table1[[#This Row],[Rework_Flag]]="Yes",1,0)</f>
        <v>0</v>
      </c>
      <c r="Y1174" s="4">
        <v>1</v>
      </c>
      <c r="Z1174" s="4" t="str">
        <f>IF(Table1[[#This Row],[TAT_Days]]&gt;Table1[[#This Row],[SLA_TAT]],"Yes","No")</f>
        <v>Yes</v>
      </c>
      <c r="AA1174" s="4" t="str" cm="1">
        <f t="array" ref="AA1174">_xlfn.IFS(Table1[[#This Row],[Customer_Satisfaction]]&lt;=2,"Poor",Table1[[#This Row],[Customer_Satisfaction]]=3,"Neutral",Table1[[#This Row],[Customer_Satisfaction]]=4,"Good",Table1[[#This Row],[Customer_Satisfaction]]=5,"Good")</f>
        <v>Poor</v>
      </c>
    </row>
    <row r="1175" spans="1:27" x14ac:dyDescent="0.35">
      <c r="A1175">
        <v>21173</v>
      </c>
      <c r="B1175" s="1">
        <v>45358</v>
      </c>
      <c r="C1175" t="s">
        <v>30</v>
      </c>
      <c r="D1175" t="s">
        <v>31</v>
      </c>
      <c r="E1175" t="s">
        <v>106</v>
      </c>
      <c r="F1175" t="s">
        <v>53</v>
      </c>
      <c r="G1175" t="s">
        <v>33</v>
      </c>
      <c r="H1175" t="s">
        <v>34</v>
      </c>
      <c r="I1175" t="s">
        <v>55</v>
      </c>
      <c r="J1175" t="s">
        <v>26</v>
      </c>
      <c r="K1175" t="s">
        <v>44</v>
      </c>
      <c r="L1175" t="s">
        <v>28</v>
      </c>
      <c r="M1175" s="4">
        <v>9</v>
      </c>
      <c r="N1175" s="4">
        <v>7</v>
      </c>
      <c r="O1175" t="s">
        <v>36</v>
      </c>
      <c r="P1175" t="s">
        <v>36</v>
      </c>
      <c r="Q1175" s="4">
        <v>428220</v>
      </c>
      <c r="R1175" s="4">
        <v>214889</v>
      </c>
      <c r="S1175" s="4">
        <f>Table1[[#This Row],[Service_Revenue]]-Table1[[#This Row],[Service_Cost]]</f>
        <v>213331</v>
      </c>
      <c r="T1175" s="4">
        <v>4</v>
      </c>
      <c r="U1175" s="4">
        <f>IF(AND(Table1[[#This Row],[Rework_Flag]]="Yes",Table1[[#This Row],[Warranty_Claim]]="No"),Table1[[#This Row],[Service_Revenue]],0)</f>
        <v>0</v>
      </c>
      <c r="V1175" s="4">
        <f>IF(Table1[[#This Row],[Warranty_Claim]]="Yes",1,0)</f>
        <v>0</v>
      </c>
      <c r="W1175" s="4">
        <f>IF(Table1[[#This Row],[Rework_Flag]]="No",1,0)</f>
        <v>1</v>
      </c>
      <c r="X1175" s="4">
        <f>IF(Table1[[#This Row],[Rework_Flag]]="Yes",1,0)</f>
        <v>0</v>
      </c>
      <c r="Y1175" s="4">
        <v>1</v>
      </c>
      <c r="Z1175" s="4" t="str">
        <f>IF(Table1[[#This Row],[TAT_Days]]&gt;Table1[[#This Row],[SLA_TAT]],"Yes","No")</f>
        <v>Yes</v>
      </c>
      <c r="AA1175" s="4" t="str" cm="1">
        <f t="array" ref="AA1175">_xlfn.IFS(Table1[[#This Row],[Customer_Satisfaction]]&lt;=2,"Poor",Table1[[#This Row],[Customer_Satisfaction]]=3,"Neutral",Table1[[#This Row],[Customer_Satisfaction]]=4,"Good",Table1[[#This Row],[Customer_Satisfaction]]=5,"Good")</f>
        <v>Good</v>
      </c>
    </row>
    <row r="1176" spans="1:27" x14ac:dyDescent="0.35">
      <c r="A1176">
        <v>21174</v>
      </c>
      <c r="B1176" s="1">
        <v>45421</v>
      </c>
      <c r="C1176" t="s">
        <v>19</v>
      </c>
      <c r="D1176" t="s">
        <v>45</v>
      </c>
      <c r="E1176" t="s">
        <v>111</v>
      </c>
      <c r="F1176" t="s">
        <v>22</v>
      </c>
      <c r="G1176" t="s">
        <v>41</v>
      </c>
      <c r="H1176" t="s">
        <v>42</v>
      </c>
      <c r="I1176" t="s">
        <v>25</v>
      </c>
      <c r="J1176" t="s">
        <v>67</v>
      </c>
      <c r="K1176" t="s">
        <v>27</v>
      </c>
      <c r="L1176" t="s">
        <v>28</v>
      </c>
      <c r="M1176" s="4">
        <v>18</v>
      </c>
      <c r="N1176" s="4">
        <v>7</v>
      </c>
      <c r="O1176" t="s">
        <v>29</v>
      </c>
      <c r="P1176" t="s">
        <v>36</v>
      </c>
      <c r="Q1176" s="4">
        <v>119670</v>
      </c>
      <c r="R1176" s="4">
        <v>72350</v>
      </c>
      <c r="S1176" s="4">
        <f>Table1[[#This Row],[Service_Revenue]]-Table1[[#This Row],[Service_Cost]]</f>
        <v>47320</v>
      </c>
      <c r="T1176" s="4">
        <v>1</v>
      </c>
      <c r="U1176" s="4">
        <f>IF(AND(Table1[[#This Row],[Rework_Flag]]="Yes",Table1[[#This Row],[Warranty_Claim]]="No"),Table1[[#This Row],[Service_Revenue]],0)</f>
        <v>119670</v>
      </c>
      <c r="V1176" s="4">
        <f>IF(Table1[[#This Row],[Warranty_Claim]]="Yes",1,0)</f>
        <v>0</v>
      </c>
      <c r="W1176" s="4">
        <f>IF(Table1[[#This Row],[Rework_Flag]]="No",1,0)</f>
        <v>0</v>
      </c>
      <c r="X1176" s="4">
        <f>IF(Table1[[#This Row],[Rework_Flag]]="Yes",1,0)</f>
        <v>1</v>
      </c>
      <c r="Y1176" s="4">
        <v>1</v>
      </c>
      <c r="Z1176" s="4" t="str">
        <f>IF(Table1[[#This Row],[TAT_Days]]&gt;Table1[[#This Row],[SLA_TAT]],"Yes","No")</f>
        <v>Yes</v>
      </c>
      <c r="AA1176" s="4" t="str" cm="1">
        <f t="array" ref="AA1176">_xlfn.IFS(Table1[[#This Row],[Customer_Satisfaction]]&lt;=2,"Poor",Table1[[#This Row],[Customer_Satisfaction]]=3,"Neutral",Table1[[#This Row],[Customer_Satisfaction]]=4,"Good",Table1[[#This Row],[Customer_Satisfaction]]=5,"Good")</f>
        <v>Poor</v>
      </c>
    </row>
    <row r="1177" spans="1:27" x14ac:dyDescent="0.35">
      <c r="A1177">
        <v>21175</v>
      </c>
      <c r="B1177" s="1">
        <v>45375</v>
      </c>
      <c r="C1177" t="s">
        <v>37</v>
      </c>
      <c r="D1177" t="s">
        <v>70</v>
      </c>
      <c r="E1177" t="s">
        <v>100</v>
      </c>
      <c r="F1177" t="s">
        <v>22</v>
      </c>
      <c r="G1177" t="s">
        <v>54</v>
      </c>
      <c r="H1177" t="s">
        <v>42</v>
      </c>
      <c r="I1177" t="s">
        <v>55</v>
      </c>
      <c r="J1177" t="s">
        <v>43</v>
      </c>
      <c r="K1177" t="s">
        <v>44</v>
      </c>
      <c r="L1177" t="s">
        <v>49</v>
      </c>
      <c r="M1177" s="4">
        <v>4</v>
      </c>
      <c r="N1177" s="4">
        <v>7</v>
      </c>
      <c r="O1177" t="s">
        <v>29</v>
      </c>
      <c r="P1177" t="s">
        <v>29</v>
      </c>
      <c r="Q1177" s="4">
        <v>207465</v>
      </c>
      <c r="R1177" s="4">
        <v>108587</v>
      </c>
      <c r="S1177" s="4">
        <f>Table1[[#This Row],[Service_Revenue]]-Table1[[#This Row],[Service_Cost]]</f>
        <v>98878</v>
      </c>
      <c r="T1177" s="4">
        <v>4</v>
      </c>
      <c r="U1177" s="4">
        <f>IF(AND(Table1[[#This Row],[Rework_Flag]]="Yes",Table1[[#This Row],[Warranty_Claim]]="No"),Table1[[#This Row],[Service_Revenue]],0)</f>
        <v>0</v>
      </c>
      <c r="V1177" s="4">
        <f>IF(Table1[[#This Row],[Warranty_Claim]]="Yes",1,0)</f>
        <v>1</v>
      </c>
      <c r="W1177" s="4">
        <f>IF(Table1[[#This Row],[Rework_Flag]]="No",1,0)</f>
        <v>0</v>
      </c>
      <c r="X1177" s="4">
        <f>IF(Table1[[#This Row],[Rework_Flag]]="Yes",1,0)</f>
        <v>1</v>
      </c>
      <c r="Y1177" s="4">
        <v>1</v>
      </c>
      <c r="Z1177" s="4" t="str">
        <f>IF(Table1[[#This Row],[TAT_Days]]&gt;Table1[[#This Row],[SLA_TAT]],"Yes","No")</f>
        <v>No</v>
      </c>
      <c r="AA1177" s="4" t="str" cm="1">
        <f t="array" ref="AA1177">_xlfn.IFS(Table1[[#This Row],[Customer_Satisfaction]]&lt;=2,"Poor",Table1[[#This Row],[Customer_Satisfaction]]=3,"Neutral",Table1[[#This Row],[Customer_Satisfaction]]=4,"Good",Table1[[#This Row],[Customer_Satisfaction]]=5,"Good")</f>
        <v>Good</v>
      </c>
    </row>
    <row r="1178" spans="1:27" x14ac:dyDescent="0.35">
      <c r="A1178">
        <v>21176</v>
      </c>
      <c r="B1178" s="1">
        <v>45405</v>
      </c>
      <c r="C1178" t="s">
        <v>19</v>
      </c>
      <c r="D1178" t="s">
        <v>20</v>
      </c>
      <c r="E1178" t="s">
        <v>89</v>
      </c>
      <c r="F1178" t="s">
        <v>22</v>
      </c>
      <c r="G1178" t="s">
        <v>63</v>
      </c>
      <c r="H1178" t="s">
        <v>24</v>
      </c>
      <c r="I1178" t="s">
        <v>55</v>
      </c>
      <c r="J1178" t="s">
        <v>67</v>
      </c>
      <c r="K1178" t="s">
        <v>61</v>
      </c>
      <c r="L1178" t="s">
        <v>28</v>
      </c>
      <c r="M1178" s="4">
        <v>18</v>
      </c>
      <c r="N1178" s="4">
        <v>7</v>
      </c>
      <c r="O1178" t="s">
        <v>29</v>
      </c>
      <c r="P1178" t="s">
        <v>36</v>
      </c>
      <c r="Q1178" s="4">
        <v>220568</v>
      </c>
      <c r="R1178" s="4">
        <v>158059</v>
      </c>
      <c r="S1178" s="4">
        <f>Table1[[#This Row],[Service_Revenue]]-Table1[[#This Row],[Service_Cost]]</f>
        <v>62509</v>
      </c>
      <c r="T1178" s="4">
        <v>1</v>
      </c>
      <c r="U1178" s="4">
        <f>IF(AND(Table1[[#This Row],[Rework_Flag]]="Yes",Table1[[#This Row],[Warranty_Claim]]="No"),Table1[[#This Row],[Service_Revenue]],0)</f>
        <v>220568</v>
      </c>
      <c r="V1178" s="4">
        <f>IF(Table1[[#This Row],[Warranty_Claim]]="Yes",1,0)</f>
        <v>0</v>
      </c>
      <c r="W1178" s="4">
        <f>IF(Table1[[#This Row],[Rework_Flag]]="No",1,0)</f>
        <v>0</v>
      </c>
      <c r="X1178" s="4">
        <f>IF(Table1[[#This Row],[Rework_Flag]]="Yes",1,0)</f>
        <v>1</v>
      </c>
      <c r="Y1178" s="4">
        <v>1</v>
      </c>
      <c r="Z1178" s="4" t="str">
        <f>IF(Table1[[#This Row],[TAT_Days]]&gt;Table1[[#This Row],[SLA_TAT]],"Yes","No")</f>
        <v>Yes</v>
      </c>
      <c r="AA1178" s="4" t="str" cm="1">
        <f t="array" ref="AA1178">_xlfn.IFS(Table1[[#This Row],[Customer_Satisfaction]]&lt;=2,"Poor",Table1[[#This Row],[Customer_Satisfaction]]=3,"Neutral",Table1[[#This Row],[Customer_Satisfaction]]=4,"Good",Table1[[#This Row],[Customer_Satisfaction]]=5,"Good")</f>
        <v>Poor</v>
      </c>
    </row>
    <row r="1179" spans="1:27" x14ac:dyDescent="0.35">
      <c r="A1179">
        <v>21177</v>
      </c>
      <c r="B1179" s="1">
        <v>45292</v>
      </c>
      <c r="C1179" t="s">
        <v>30</v>
      </c>
      <c r="D1179" t="s">
        <v>83</v>
      </c>
      <c r="E1179" t="s">
        <v>92</v>
      </c>
      <c r="F1179" t="s">
        <v>40</v>
      </c>
      <c r="G1179" t="s">
        <v>47</v>
      </c>
      <c r="H1179" t="s">
        <v>48</v>
      </c>
      <c r="I1179" t="s">
        <v>25</v>
      </c>
      <c r="J1179" t="s">
        <v>67</v>
      </c>
      <c r="K1179" t="s">
        <v>27</v>
      </c>
      <c r="L1179" t="s">
        <v>49</v>
      </c>
      <c r="M1179" s="4">
        <v>2</v>
      </c>
      <c r="N1179" s="4">
        <v>7</v>
      </c>
      <c r="O1179" t="s">
        <v>36</v>
      </c>
      <c r="P1179" t="s">
        <v>36</v>
      </c>
      <c r="Q1179" s="4">
        <v>349701</v>
      </c>
      <c r="R1179" s="4">
        <v>192052</v>
      </c>
      <c r="S1179" s="4">
        <f>Table1[[#This Row],[Service_Revenue]]-Table1[[#This Row],[Service_Cost]]</f>
        <v>157649</v>
      </c>
      <c r="T1179" s="4">
        <v>5</v>
      </c>
      <c r="U1179" s="4">
        <f>IF(AND(Table1[[#This Row],[Rework_Flag]]="Yes",Table1[[#This Row],[Warranty_Claim]]="No"),Table1[[#This Row],[Service_Revenue]],0)</f>
        <v>0</v>
      </c>
      <c r="V1179" s="4">
        <f>IF(Table1[[#This Row],[Warranty_Claim]]="Yes",1,0)</f>
        <v>0</v>
      </c>
      <c r="W1179" s="4">
        <f>IF(Table1[[#This Row],[Rework_Flag]]="No",1,0)</f>
        <v>1</v>
      </c>
      <c r="X1179" s="4">
        <f>IF(Table1[[#This Row],[Rework_Flag]]="Yes",1,0)</f>
        <v>0</v>
      </c>
      <c r="Y1179" s="4">
        <v>1</v>
      </c>
      <c r="Z1179" s="4" t="str">
        <f>IF(Table1[[#This Row],[TAT_Days]]&gt;Table1[[#This Row],[SLA_TAT]],"Yes","No")</f>
        <v>No</v>
      </c>
      <c r="AA1179" s="4" t="str" cm="1">
        <f t="array" ref="AA1179">_xlfn.IFS(Table1[[#This Row],[Customer_Satisfaction]]&lt;=2,"Poor",Table1[[#This Row],[Customer_Satisfaction]]=3,"Neutral",Table1[[#This Row],[Customer_Satisfaction]]=4,"Good",Table1[[#This Row],[Customer_Satisfaction]]=5,"Good")</f>
        <v>Good</v>
      </c>
    </row>
    <row r="1180" spans="1:27" x14ac:dyDescent="0.35">
      <c r="A1180">
        <v>21178</v>
      </c>
      <c r="B1180" s="1">
        <v>45321</v>
      </c>
      <c r="C1180" t="s">
        <v>37</v>
      </c>
      <c r="D1180" t="s">
        <v>38</v>
      </c>
      <c r="E1180" t="s">
        <v>112</v>
      </c>
      <c r="F1180" t="s">
        <v>40</v>
      </c>
      <c r="G1180" t="s">
        <v>23</v>
      </c>
      <c r="H1180" t="s">
        <v>24</v>
      </c>
      <c r="I1180" t="s">
        <v>55</v>
      </c>
      <c r="J1180" t="s">
        <v>35</v>
      </c>
      <c r="K1180" t="s">
        <v>61</v>
      </c>
      <c r="L1180" t="s">
        <v>28</v>
      </c>
      <c r="M1180" s="4">
        <v>8</v>
      </c>
      <c r="N1180" s="4">
        <v>7</v>
      </c>
      <c r="O1180" t="s">
        <v>29</v>
      </c>
      <c r="P1180" t="s">
        <v>36</v>
      </c>
      <c r="Q1180" s="4">
        <v>371059</v>
      </c>
      <c r="R1180" s="4">
        <v>224770</v>
      </c>
      <c r="S1180" s="4">
        <f>Table1[[#This Row],[Service_Revenue]]-Table1[[#This Row],[Service_Cost]]</f>
        <v>146289</v>
      </c>
      <c r="T1180" s="4">
        <v>3</v>
      </c>
      <c r="U1180" s="4">
        <f>IF(AND(Table1[[#This Row],[Rework_Flag]]="Yes",Table1[[#This Row],[Warranty_Claim]]="No"),Table1[[#This Row],[Service_Revenue]],0)</f>
        <v>371059</v>
      </c>
      <c r="V1180" s="4">
        <f>IF(Table1[[#This Row],[Warranty_Claim]]="Yes",1,0)</f>
        <v>0</v>
      </c>
      <c r="W1180" s="4">
        <f>IF(Table1[[#This Row],[Rework_Flag]]="No",1,0)</f>
        <v>0</v>
      </c>
      <c r="X1180" s="4">
        <f>IF(Table1[[#This Row],[Rework_Flag]]="Yes",1,0)</f>
        <v>1</v>
      </c>
      <c r="Y1180" s="4">
        <v>1</v>
      </c>
      <c r="Z1180" s="4" t="str">
        <f>IF(Table1[[#This Row],[TAT_Days]]&gt;Table1[[#This Row],[SLA_TAT]],"Yes","No")</f>
        <v>Yes</v>
      </c>
      <c r="AA1180" s="4" t="str" cm="1">
        <f t="array" ref="AA1180">_xlfn.IFS(Table1[[#This Row],[Customer_Satisfaction]]&lt;=2,"Poor",Table1[[#This Row],[Customer_Satisfaction]]=3,"Neutral",Table1[[#This Row],[Customer_Satisfaction]]=4,"Good",Table1[[#This Row],[Customer_Satisfaction]]=5,"Good")</f>
        <v>Neutral</v>
      </c>
    </row>
    <row r="1181" spans="1:27" x14ac:dyDescent="0.35">
      <c r="A1181">
        <v>21179</v>
      </c>
      <c r="B1181" s="1">
        <v>45406</v>
      </c>
      <c r="C1181" t="s">
        <v>30</v>
      </c>
      <c r="D1181" t="s">
        <v>59</v>
      </c>
      <c r="E1181" t="s">
        <v>69</v>
      </c>
      <c r="F1181" t="s">
        <v>22</v>
      </c>
      <c r="G1181" t="s">
        <v>23</v>
      </c>
      <c r="H1181" t="s">
        <v>24</v>
      </c>
      <c r="I1181" t="s">
        <v>55</v>
      </c>
      <c r="J1181" t="s">
        <v>43</v>
      </c>
      <c r="K1181" t="s">
        <v>61</v>
      </c>
      <c r="L1181" t="s">
        <v>28</v>
      </c>
      <c r="M1181" s="4">
        <v>18</v>
      </c>
      <c r="N1181" s="4">
        <v>7</v>
      </c>
      <c r="O1181" t="s">
        <v>36</v>
      </c>
      <c r="P1181" t="s">
        <v>29</v>
      </c>
      <c r="Q1181" s="4">
        <v>572485</v>
      </c>
      <c r="R1181" s="4">
        <v>305359</v>
      </c>
      <c r="S1181" s="4">
        <f>Table1[[#This Row],[Service_Revenue]]-Table1[[#This Row],[Service_Cost]]</f>
        <v>267126</v>
      </c>
      <c r="T1181" s="4">
        <v>2</v>
      </c>
      <c r="U1181" s="4">
        <f>IF(AND(Table1[[#This Row],[Rework_Flag]]="Yes",Table1[[#This Row],[Warranty_Claim]]="No"),Table1[[#This Row],[Service_Revenue]],0)</f>
        <v>0</v>
      </c>
      <c r="V1181" s="4">
        <f>IF(Table1[[#This Row],[Warranty_Claim]]="Yes",1,0)</f>
        <v>1</v>
      </c>
      <c r="W1181" s="4">
        <f>IF(Table1[[#This Row],[Rework_Flag]]="No",1,0)</f>
        <v>1</v>
      </c>
      <c r="X1181" s="4">
        <f>IF(Table1[[#This Row],[Rework_Flag]]="Yes",1,0)</f>
        <v>0</v>
      </c>
      <c r="Y1181" s="4">
        <v>1</v>
      </c>
      <c r="Z1181" s="4" t="str">
        <f>IF(Table1[[#This Row],[TAT_Days]]&gt;Table1[[#This Row],[SLA_TAT]],"Yes","No")</f>
        <v>Yes</v>
      </c>
      <c r="AA1181" s="4" t="str" cm="1">
        <f t="array" ref="AA1181">_xlfn.IFS(Table1[[#This Row],[Customer_Satisfaction]]&lt;=2,"Poor",Table1[[#This Row],[Customer_Satisfaction]]=3,"Neutral",Table1[[#This Row],[Customer_Satisfaction]]=4,"Good",Table1[[#This Row],[Customer_Satisfaction]]=5,"Good")</f>
        <v>Poor</v>
      </c>
    </row>
    <row r="1182" spans="1:27" x14ac:dyDescent="0.35">
      <c r="A1182">
        <v>21180</v>
      </c>
      <c r="B1182" s="1">
        <v>45421</v>
      </c>
      <c r="C1182" t="s">
        <v>37</v>
      </c>
      <c r="D1182" t="s">
        <v>64</v>
      </c>
      <c r="E1182" t="s">
        <v>72</v>
      </c>
      <c r="F1182" t="s">
        <v>53</v>
      </c>
      <c r="G1182" t="s">
        <v>63</v>
      </c>
      <c r="H1182" t="s">
        <v>24</v>
      </c>
      <c r="I1182" t="s">
        <v>25</v>
      </c>
      <c r="J1182" t="s">
        <v>58</v>
      </c>
      <c r="K1182" t="s">
        <v>61</v>
      </c>
      <c r="L1182" t="s">
        <v>28</v>
      </c>
      <c r="M1182" s="4">
        <v>18</v>
      </c>
      <c r="N1182" s="4">
        <v>7</v>
      </c>
      <c r="O1182" t="s">
        <v>29</v>
      </c>
      <c r="P1182" t="s">
        <v>29</v>
      </c>
      <c r="Q1182" s="4">
        <v>363350</v>
      </c>
      <c r="R1182" s="4">
        <v>216943</v>
      </c>
      <c r="S1182" s="4">
        <f>Table1[[#This Row],[Service_Revenue]]-Table1[[#This Row],[Service_Cost]]</f>
        <v>146407</v>
      </c>
      <c r="T1182" s="4">
        <v>1</v>
      </c>
      <c r="U1182" s="4">
        <f>IF(AND(Table1[[#This Row],[Rework_Flag]]="Yes",Table1[[#This Row],[Warranty_Claim]]="No"),Table1[[#This Row],[Service_Revenue]],0)</f>
        <v>0</v>
      </c>
      <c r="V1182" s="4">
        <f>IF(Table1[[#This Row],[Warranty_Claim]]="Yes",1,0)</f>
        <v>1</v>
      </c>
      <c r="W1182" s="4">
        <f>IF(Table1[[#This Row],[Rework_Flag]]="No",1,0)</f>
        <v>0</v>
      </c>
      <c r="X1182" s="4">
        <f>IF(Table1[[#This Row],[Rework_Flag]]="Yes",1,0)</f>
        <v>1</v>
      </c>
      <c r="Y1182" s="4">
        <v>1</v>
      </c>
      <c r="Z1182" s="4" t="str">
        <f>IF(Table1[[#This Row],[TAT_Days]]&gt;Table1[[#This Row],[SLA_TAT]],"Yes","No")</f>
        <v>Yes</v>
      </c>
      <c r="AA1182" s="4" t="str" cm="1">
        <f t="array" ref="AA1182">_xlfn.IFS(Table1[[#This Row],[Customer_Satisfaction]]&lt;=2,"Poor",Table1[[#This Row],[Customer_Satisfaction]]=3,"Neutral",Table1[[#This Row],[Customer_Satisfaction]]=4,"Good",Table1[[#This Row],[Customer_Satisfaction]]=5,"Good")</f>
        <v>Poor</v>
      </c>
    </row>
    <row r="1183" spans="1:27" x14ac:dyDescent="0.35">
      <c r="A1183">
        <v>21181</v>
      </c>
      <c r="B1183" s="1">
        <v>45455</v>
      </c>
      <c r="C1183" t="s">
        <v>30</v>
      </c>
      <c r="D1183" t="s">
        <v>31</v>
      </c>
      <c r="E1183" t="s">
        <v>106</v>
      </c>
      <c r="F1183" t="s">
        <v>40</v>
      </c>
      <c r="G1183" t="s">
        <v>47</v>
      </c>
      <c r="H1183" t="s">
        <v>48</v>
      </c>
      <c r="I1183" t="s">
        <v>25</v>
      </c>
      <c r="J1183" t="s">
        <v>26</v>
      </c>
      <c r="K1183" t="s">
        <v>27</v>
      </c>
      <c r="L1183" t="s">
        <v>49</v>
      </c>
      <c r="M1183" s="4">
        <v>22</v>
      </c>
      <c r="N1183" s="4">
        <v>7</v>
      </c>
      <c r="O1183" t="s">
        <v>29</v>
      </c>
      <c r="P1183" t="s">
        <v>36</v>
      </c>
      <c r="Q1183" s="4">
        <v>329286</v>
      </c>
      <c r="R1183" s="4">
        <v>206881</v>
      </c>
      <c r="S1183" s="4">
        <f>Table1[[#This Row],[Service_Revenue]]-Table1[[#This Row],[Service_Cost]]</f>
        <v>122405</v>
      </c>
      <c r="T1183" s="4">
        <v>1</v>
      </c>
      <c r="U1183" s="4">
        <f>IF(AND(Table1[[#This Row],[Rework_Flag]]="Yes",Table1[[#This Row],[Warranty_Claim]]="No"),Table1[[#This Row],[Service_Revenue]],0)</f>
        <v>329286</v>
      </c>
      <c r="V1183" s="4">
        <f>IF(Table1[[#This Row],[Warranty_Claim]]="Yes",1,0)</f>
        <v>0</v>
      </c>
      <c r="W1183" s="4">
        <f>IF(Table1[[#This Row],[Rework_Flag]]="No",1,0)</f>
        <v>0</v>
      </c>
      <c r="X1183" s="4">
        <f>IF(Table1[[#This Row],[Rework_Flag]]="Yes",1,0)</f>
        <v>1</v>
      </c>
      <c r="Y1183" s="4">
        <v>1</v>
      </c>
      <c r="Z1183" s="4" t="str">
        <f>IF(Table1[[#This Row],[TAT_Days]]&gt;Table1[[#This Row],[SLA_TAT]],"Yes","No")</f>
        <v>Yes</v>
      </c>
      <c r="AA1183" s="4" t="str" cm="1">
        <f t="array" ref="AA1183">_xlfn.IFS(Table1[[#This Row],[Customer_Satisfaction]]&lt;=2,"Poor",Table1[[#This Row],[Customer_Satisfaction]]=3,"Neutral",Table1[[#This Row],[Customer_Satisfaction]]=4,"Good",Table1[[#This Row],[Customer_Satisfaction]]=5,"Good")</f>
        <v>Poor</v>
      </c>
    </row>
    <row r="1184" spans="1:27" x14ac:dyDescent="0.35">
      <c r="A1184">
        <v>21182</v>
      </c>
      <c r="B1184" s="1">
        <v>45399</v>
      </c>
      <c r="C1184" t="s">
        <v>50</v>
      </c>
      <c r="D1184" t="s">
        <v>80</v>
      </c>
      <c r="E1184" t="s">
        <v>85</v>
      </c>
      <c r="F1184" t="s">
        <v>40</v>
      </c>
      <c r="G1184" t="s">
        <v>47</v>
      </c>
      <c r="H1184" t="s">
        <v>48</v>
      </c>
      <c r="I1184" t="s">
        <v>25</v>
      </c>
      <c r="J1184" t="s">
        <v>35</v>
      </c>
      <c r="K1184" t="s">
        <v>27</v>
      </c>
      <c r="L1184" t="s">
        <v>28</v>
      </c>
      <c r="M1184" s="4">
        <v>9</v>
      </c>
      <c r="N1184" s="4">
        <v>7</v>
      </c>
      <c r="O1184" t="s">
        <v>36</v>
      </c>
      <c r="P1184" t="s">
        <v>36</v>
      </c>
      <c r="Q1184" s="4">
        <v>499797</v>
      </c>
      <c r="R1184" s="4">
        <v>283518</v>
      </c>
      <c r="S1184" s="4">
        <f>Table1[[#This Row],[Service_Revenue]]-Table1[[#This Row],[Service_Cost]]</f>
        <v>216279</v>
      </c>
      <c r="T1184" s="4">
        <v>4</v>
      </c>
      <c r="U1184" s="4">
        <f>IF(AND(Table1[[#This Row],[Rework_Flag]]="Yes",Table1[[#This Row],[Warranty_Claim]]="No"),Table1[[#This Row],[Service_Revenue]],0)</f>
        <v>0</v>
      </c>
      <c r="V1184" s="4">
        <f>IF(Table1[[#This Row],[Warranty_Claim]]="Yes",1,0)</f>
        <v>0</v>
      </c>
      <c r="W1184" s="4">
        <f>IF(Table1[[#This Row],[Rework_Flag]]="No",1,0)</f>
        <v>1</v>
      </c>
      <c r="X1184" s="4">
        <f>IF(Table1[[#This Row],[Rework_Flag]]="Yes",1,0)</f>
        <v>0</v>
      </c>
      <c r="Y1184" s="4">
        <v>1</v>
      </c>
      <c r="Z1184" s="4" t="str">
        <f>IF(Table1[[#This Row],[TAT_Days]]&gt;Table1[[#This Row],[SLA_TAT]],"Yes","No")</f>
        <v>Yes</v>
      </c>
      <c r="AA1184" s="4" t="str" cm="1">
        <f t="array" ref="AA1184">_xlfn.IFS(Table1[[#This Row],[Customer_Satisfaction]]&lt;=2,"Poor",Table1[[#This Row],[Customer_Satisfaction]]=3,"Neutral",Table1[[#This Row],[Customer_Satisfaction]]=4,"Good",Table1[[#This Row],[Customer_Satisfaction]]=5,"Good")</f>
        <v>Good</v>
      </c>
    </row>
    <row r="1185" spans="1:27" x14ac:dyDescent="0.35">
      <c r="A1185">
        <v>21183</v>
      </c>
      <c r="B1185" s="1">
        <v>45412</v>
      </c>
      <c r="C1185" t="s">
        <v>37</v>
      </c>
      <c r="D1185" t="s">
        <v>38</v>
      </c>
      <c r="E1185" t="s">
        <v>112</v>
      </c>
      <c r="F1185" t="s">
        <v>53</v>
      </c>
      <c r="G1185" t="s">
        <v>33</v>
      </c>
      <c r="H1185" t="s">
        <v>34</v>
      </c>
      <c r="I1185" t="s">
        <v>25</v>
      </c>
      <c r="J1185" t="s">
        <v>43</v>
      </c>
      <c r="K1185" t="s">
        <v>27</v>
      </c>
      <c r="L1185" t="s">
        <v>28</v>
      </c>
      <c r="M1185" s="4">
        <v>7</v>
      </c>
      <c r="N1185" s="4">
        <v>7</v>
      </c>
      <c r="O1185" t="s">
        <v>29</v>
      </c>
      <c r="P1185" t="s">
        <v>36</v>
      </c>
      <c r="Q1185" s="4">
        <v>414219</v>
      </c>
      <c r="R1185" s="4">
        <v>314505</v>
      </c>
      <c r="S1185" s="4">
        <f>Table1[[#This Row],[Service_Revenue]]-Table1[[#This Row],[Service_Cost]]</f>
        <v>99714</v>
      </c>
      <c r="T1185" s="4">
        <v>3</v>
      </c>
      <c r="U1185" s="4">
        <f>IF(AND(Table1[[#This Row],[Rework_Flag]]="Yes",Table1[[#This Row],[Warranty_Claim]]="No"),Table1[[#This Row],[Service_Revenue]],0)</f>
        <v>414219</v>
      </c>
      <c r="V1185" s="4">
        <f>IF(Table1[[#This Row],[Warranty_Claim]]="Yes",1,0)</f>
        <v>0</v>
      </c>
      <c r="W1185" s="4">
        <f>IF(Table1[[#This Row],[Rework_Flag]]="No",1,0)</f>
        <v>0</v>
      </c>
      <c r="X1185" s="4">
        <f>IF(Table1[[#This Row],[Rework_Flag]]="Yes",1,0)</f>
        <v>1</v>
      </c>
      <c r="Y1185" s="4">
        <v>1</v>
      </c>
      <c r="Z1185" s="4" t="str">
        <f>IF(Table1[[#This Row],[TAT_Days]]&gt;Table1[[#This Row],[SLA_TAT]],"Yes","No")</f>
        <v>No</v>
      </c>
      <c r="AA1185" s="4" t="str" cm="1">
        <f t="array" ref="AA1185">_xlfn.IFS(Table1[[#This Row],[Customer_Satisfaction]]&lt;=2,"Poor",Table1[[#This Row],[Customer_Satisfaction]]=3,"Neutral",Table1[[#This Row],[Customer_Satisfaction]]=4,"Good",Table1[[#This Row],[Customer_Satisfaction]]=5,"Good")</f>
        <v>Neutral</v>
      </c>
    </row>
    <row r="1186" spans="1:27" x14ac:dyDescent="0.35">
      <c r="A1186">
        <v>21184</v>
      </c>
      <c r="B1186" s="1">
        <v>45320</v>
      </c>
      <c r="C1186" t="s">
        <v>50</v>
      </c>
      <c r="D1186" t="s">
        <v>51</v>
      </c>
      <c r="E1186" t="s">
        <v>75</v>
      </c>
      <c r="F1186" t="s">
        <v>53</v>
      </c>
      <c r="G1186" t="s">
        <v>41</v>
      </c>
      <c r="H1186" t="s">
        <v>42</v>
      </c>
      <c r="I1186" t="s">
        <v>55</v>
      </c>
      <c r="J1186" t="s">
        <v>43</v>
      </c>
      <c r="K1186" t="s">
        <v>44</v>
      </c>
      <c r="L1186" t="s">
        <v>28</v>
      </c>
      <c r="M1186" s="4">
        <v>9</v>
      </c>
      <c r="N1186" s="4">
        <v>7</v>
      </c>
      <c r="O1186" t="s">
        <v>36</v>
      </c>
      <c r="P1186" t="s">
        <v>36</v>
      </c>
      <c r="Q1186" s="4">
        <v>314723</v>
      </c>
      <c r="R1186" s="4">
        <v>230746</v>
      </c>
      <c r="S1186" s="4">
        <f>Table1[[#This Row],[Service_Revenue]]-Table1[[#This Row],[Service_Cost]]</f>
        <v>83977</v>
      </c>
      <c r="T1186" s="4">
        <v>4</v>
      </c>
      <c r="U1186" s="4">
        <f>IF(AND(Table1[[#This Row],[Rework_Flag]]="Yes",Table1[[#This Row],[Warranty_Claim]]="No"),Table1[[#This Row],[Service_Revenue]],0)</f>
        <v>0</v>
      </c>
      <c r="V1186" s="4">
        <f>IF(Table1[[#This Row],[Warranty_Claim]]="Yes",1,0)</f>
        <v>0</v>
      </c>
      <c r="W1186" s="4">
        <f>IF(Table1[[#This Row],[Rework_Flag]]="No",1,0)</f>
        <v>1</v>
      </c>
      <c r="X1186" s="4">
        <f>IF(Table1[[#This Row],[Rework_Flag]]="Yes",1,0)</f>
        <v>0</v>
      </c>
      <c r="Y1186" s="4">
        <v>1</v>
      </c>
      <c r="Z1186" s="4" t="str">
        <f>IF(Table1[[#This Row],[TAT_Days]]&gt;Table1[[#This Row],[SLA_TAT]],"Yes","No")</f>
        <v>Yes</v>
      </c>
      <c r="AA1186" s="4" t="str" cm="1">
        <f t="array" ref="AA1186">_xlfn.IFS(Table1[[#This Row],[Customer_Satisfaction]]&lt;=2,"Poor",Table1[[#This Row],[Customer_Satisfaction]]=3,"Neutral",Table1[[#This Row],[Customer_Satisfaction]]=4,"Good",Table1[[#This Row],[Customer_Satisfaction]]=5,"Good")</f>
        <v>Good</v>
      </c>
    </row>
    <row r="1187" spans="1:27" x14ac:dyDescent="0.35">
      <c r="A1187">
        <v>21185</v>
      </c>
      <c r="B1187" s="1">
        <v>45322</v>
      </c>
      <c r="C1187" t="s">
        <v>19</v>
      </c>
      <c r="D1187" t="s">
        <v>45</v>
      </c>
      <c r="E1187" t="s">
        <v>114</v>
      </c>
      <c r="F1187" t="s">
        <v>40</v>
      </c>
      <c r="G1187" t="s">
        <v>33</v>
      </c>
      <c r="H1187" t="s">
        <v>34</v>
      </c>
      <c r="I1187" t="s">
        <v>55</v>
      </c>
      <c r="J1187" t="s">
        <v>43</v>
      </c>
      <c r="K1187" t="s">
        <v>27</v>
      </c>
      <c r="L1187" t="s">
        <v>49</v>
      </c>
      <c r="M1187" s="4">
        <v>25</v>
      </c>
      <c r="N1187" s="4">
        <v>7</v>
      </c>
      <c r="O1187" t="s">
        <v>29</v>
      </c>
      <c r="P1187" t="s">
        <v>36</v>
      </c>
      <c r="Q1187" s="4">
        <v>253336</v>
      </c>
      <c r="R1187" s="4">
        <v>185048</v>
      </c>
      <c r="S1187" s="4">
        <f>Table1[[#This Row],[Service_Revenue]]-Table1[[#This Row],[Service_Cost]]</f>
        <v>68288</v>
      </c>
      <c r="T1187" s="4">
        <v>1</v>
      </c>
      <c r="U1187" s="4">
        <f>IF(AND(Table1[[#This Row],[Rework_Flag]]="Yes",Table1[[#This Row],[Warranty_Claim]]="No"),Table1[[#This Row],[Service_Revenue]],0)</f>
        <v>253336</v>
      </c>
      <c r="V1187" s="4">
        <f>IF(Table1[[#This Row],[Warranty_Claim]]="Yes",1,0)</f>
        <v>0</v>
      </c>
      <c r="W1187" s="4">
        <f>IF(Table1[[#This Row],[Rework_Flag]]="No",1,0)</f>
        <v>0</v>
      </c>
      <c r="X1187" s="4">
        <f>IF(Table1[[#This Row],[Rework_Flag]]="Yes",1,0)</f>
        <v>1</v>
      </c>
      <c r="Y1187" s="4">
        <v>1</v>
      </c>
      <c r="Z1187" s="4" t="str">
        <f>IF(Table1[[#This Row],[TAT_Days]]&gt;Table1[[#This Row],[SLA_TAT]],"Yes","No")</f>
        <v>Yes</v>
      </c>
      <c r="AA1187" s="4" t="str" cm="1">
        <f t="array" ref="AA1187">_xlfn.IFS(Table1[[#This Row],[Customer_Satisfaction]]&lt;=2,"Poor",Table1[[#This Row],[Customer_Satisfaction]]=3,"Neutral",Table1[[#This Row],[Customer_Satisfaction]]=4,"Good",Table1[[#This Row],[Customer_Satisfaction]]=5,"Good")</f>
        <v>Poor</v>
      </c>
    </row>
    <row r="1188" spans="1:27" x14ac:dyDescent="0.35">
      <c r="A1188">
        <v>21186</v>
      </c>
      <c r="B1188" s="1">
        <v>45471</v>
      </c>
      <c r="C1188" t="s">
        <v>30</v>
      </c>
      <c r="D1188" t="s">
        <v>83</v>
      </c>
      <c r="E1188" t="s">
        <v>90</v>
      </c>
      <c r="F1188" t="s">
        <v>22</v>
      </c>
      <c r="G1188" t="s">
        <v>41</v>
      </c>
      <c r="H1188" t="s">
        <v>42</v>
      </c>
      <c r="I1188" t="s">
        <v>25</v>
      </c>
      <c r="J1188" t="s">
        <v>43</v>
      </c>
      <c r="K1188" t="s">
        <v>44</v>
      </c>
      <c r="L1188" t="s">
        <v>28</v>
      </c>
      <c r="M1188" s="4">
        <v>8</v>
      </c>
      <c r="N1188" s="4">
        <v>7</v>
      </c>
      <c r="O1188" t="s">
        <v>36</v>
      </c>
      <c r="P1188" t="s">
        <v>36</v>
      </c>
      <c r="Q1188" s="4">
        <v>115802</v>
      </c>
      <c r="R1188" s="4">
        <v>79251</v>
      </c>
      <c r="S1188" s="4">
        <f>Table1[[#This Row],[Service_Revenue]]-Table1[[#This Row],[Service_Cost]]</f>
        <v>36551</v>
      </c>
      <c r="T1188" s="4">
        <v>4</v>
      </c>
      <c r="U1188" s="4">
        <f>IF(AND(Table1[[#This Row],[Rework_Flag]]="Yes",Table1[[#This Row],[Warranty_Claim]]="No"),Table1[[#This Row],[Service_Revenue]],0)</f>
        <v>0</v>
      </c>
      <c r="V1188" s="4">
        <f>IF(Table1[[#This Row],[Warranty_Claim]]="Yes",1,0)</f>
        <v>0</v>
      </c>
      <c r="W1188" s="4">
        <f>IF(Table1[[#This Row],[Rework_Flag]]="No",1,0)</f>
        <v>1</v>
      </c>
      <c r="X1188" s="4">
        <f>IF(Table1[[#This Row],[Rework_Flag]]="Yes",1,0)</f>
        <v>0</v>
      </c>
      <c r="Y1188" s="4">
        <v>1</v>
      </c>
      <c r="Z1188" s="4" t="str">
        <f>IF(Table1[[#This Row],[TAT_Days]]&gt;Table1[[#This Row],[SLA_TAT]],"Yes","No")</f>
        <v>Yes</v>
      </c>
      <c r="AA1188" s="4" t="str" cm="1">
        <f t="array" ref="AA1188">_xlfn.IFS(Table1[[#This Row],[Customer_Satisfaction]]&lt;=2,"Poor",Table1[[#This Row],[Customer_Satisfaction]]=3,"Neutral",Table1[[#This Row],[Customer_Satisfaction]]=4,"Good",Table1[[#This Row],[Customer_Satisfaction]]=5,"Good")</f>
        <v>Good</v>
      </c>
    </row>
    <row r="1189" spans="1:27" x14ac:dyDescent="0.35">
      <c r="A1189">
        <v>21187</v>
      </c>
      <c r="B1189" s="1">
        <v>45316</v>
      </c>
      <c r="C1189" t="s">
        <v>37</v>
      </c>
      <c r="D1189" t="s">
        <v>64</v>
      </c>
      <c r="E1189" t="s">
        <v>103</v>
      </c>
      <c r="F1189" t="s">
        <v>53</v>
      </c>
      <c r="G1189" t="s">
        <v>63</v>
      </c>
      <c r="H1189" t="s">
        <v>24</v>
      </c>
      <c r="I1189" t="s">
        <v>55</v>
      </c>
      <c r="J1189" t="s">
        <v>26</v>
      </c>
      <c r="K1189" t="s">
        <v>44</v>
      </c>
      <c r="L1189" t="s">
        <v>49</v>
      </c>
      <c r="M1189" s="4">
        <v>15</v>
      </c>
      <c r="N1189" s="4">
        <v>7</v>
      </c>
      <c r="O1189" t="s">
        <v>29</v>
      </c>
      <c r="P1189" t="s">
        <v>29</v>
      </c>
      <c r="Q1189" s="4">
        <v>219533</v>
      </c>
      <c r="R1189" s="4">
        <v>121527</v>
      </c>
      <c r="S1189" s="4">
        <f>Table1[[#This Row],[Service_Revenue]]-Table1[[#This Row],[Service_Cost]]</f>
        <v>98006</v>
      </c>
      <c r="T1189" s="4">
        <v>1</v>
      </c>
      <c r="U1189" s="4">
        <f>IF(AND(Table1[[#This Row],[Rework_Flag]]="Yes",Table1[[#This Row],[Warranty_Claim]]="No"),Table1[[#This Row],[Service_Revenue]],0)</f>
        <v>0</v>
      </c>
      <c r="V1189" s="4">
        <f>IF(Table1[[#This Row],[Warranty_Claim]]="Yes",1,0)</f>
        <v>1</v>
      </c>
      <c r="W1189" s="4">
        <f>IF(Table1[[#This Row],[Rework_Flag]]="No",1,0)</f>
        <v>0</v>
      </c>
      <c r="X1189" s="4">
        <f>IF(Table1[[#This Row],[Rework_Flag]]="Yes",1,0)</f>
        <v>1</v>
      </c>
      <c r="Y1189" s="4">
        <v>1</v>
      </c>
      <c r="Z1189" s="4" t="str">
        <f>IF(Table1[[#This Row],[TAT_Days]]&gt;Table1[[#This Row],[SLA_TAT]],"Yes","No")</f>
        <v>Yes</v>
      </c>
      <c r="AA1189" s="4" t="str" cm="1">
        <f t="array" ref="AA1189">_xlfn.IFS(Table1[[#This Row],[Customer_Satisfaction]]&lt;=2,"Poor",Table1[[#This Row],[Customer_Satisfaction]]=3,"Neutral",Table1[[#This Row],[Customer_Satisfaction]]=4,"Good",Table1[[#This Row],[Customer_Satisfaction]]=5,"Good")</f>
        <v>Poor</v>
      </c>
    </row>
    <row r="1190" spans="1:27" x14ac:dyDescent="0.35">
      <c r="A1190">
        <v>21188</v>
      </c>
      <c r="B1190" s="1">
        <v>45455</v>
      </c>
      <c r="C1190" t="s">
        <v>30</v>
      </c>
      <c r="D1190" t="s">
        <v>59</v>
      </c>
      <c r="E1190" t="s">
        <v>78</v>
      </c>
      <c r="F1190" t="s">
        <v>22</v>
      </c>
      <c r="G1190" t="s">
        <v>54</v>
      </c>
      <c r="H1190" t="s">
        <v>42</v>
      </c>
      <c r="I1190" t="s">
        <v>25</v>
      </c>
      <c r="J1190" t="s">
        <v>35</v>
      </c>
      <c r="K1190" t="s">
        <v>27</v>
      </c>
      <c r="L1190" t="s">
        <v>49</v>
      </c>
      <c r="M1190" s="4">
        <v>25</v>
      </c>
      <c r="N1190" s="4">
        <v>7</v>
      </c>
      <c r="O1190" t="s">
        <v>29</v>
      </c>
      <c r="P1190" t="s">
        <v>36</v>
      </c>
      <c r="Q1190" s="4">
        <v>246336</v>
      </c>
      <c r="R1190" s="4">
        <v>168240</v>
      </c>
      <c r="S1190" s="4">
        <f>Table1[[#This Row],[Service_Revenue]]-Table1[[#This Row],[Service_Cost]]</f>
        <v>78096</v>
      </c>
      <c r="T1190" s="4">
        <v>1</v>
      </c>
      <c r="U1190" s="4">
        <f>IF(AND(Table1[[#This Row],[Rework_Flag]]="Yes",Table1[[#This Row],[Warranty_Claim]]="No"),Table1[[#This Row],[Service_Revenue]],0)</f>
        <v>246336</v>
      </c>
      <c r="V1190" s="4">
        <f>IF(Table1[[#This Row],[Warranty_Claim]]="Yes",1,0)</f>
        <v>0</v>
      </c>
      <c r="W1190" s="4">
        <f>IF(Table1[[#This Row],[Rework_Flag]]="No",1,0)</f>
        <v>0</v>
      </c>
      <c r="X1190" s="4">
        <f>IF(Table1[[#This Row],[Rework_Flag]]="Yes",1,0)</f>
        <v>1</v>
      </c>
      <c r="Y1190" s="4">
        <v>1</v>
      </c>
      <c r="Z1190" s="4" t="str">
        <f>IF(Table1[[#This Row],[TAT_Days]]&gt;Table1[[#This Row],[SLA_TAT]],"Yes","No")</f>
        <v>Yes</v>
      </c>
      <c r="AA1190" s="4" t="str" cm="1">
        <f t="array" ref="AA1190">_xlfn.IFS(Table1[[#This Row],[Customer_Satisfaction]]&lt;=2,"Poor",Table1[[#This Row],[Customer_Satisfaction]]=3,"Neutral",Table1[[#This Row],[Customer_Satisfaction]]=4,"Good",Table1[[#This Row],[Customer_Satisfaction]]=5,"Good")</f>
        <v>Poor</v>
      </c>
    </row>
    <row r="1191" spans="1:27" x14ac:dyDescent="0.35">
      <c r="A1191">
        <v>21189</v>
      </c>
      <c r="B1191" s="1">
        <v>45403</v>
      </c>
      <c r="C1191" t="s">
        <v>30</v>
      </c>
      <c r="D1191" t="s">
        <v>83</v>
      </c>
      <c r="E1191" t="s">
        <v>95</v>
      </c>
      <c r="F1191" t="s">
        <v>40</v>
      </c>
      <c r="G1191" t="s">
        <v>74</v>
      </c>
      <c r="H1191" t="s">
        <v>34</v>
      </c>
      <c r="I1191" t="s">
        <v>25</v>
      </c>
      <c r="J1191" t="s">
        <v>43</v>
      </c>
      <c r="K1191" t="s">
        <v>27</v>
      </c>
      <c r="L1191" t="s">
        <v>49</v>
      </c>
      <c r="M1191" s="4">
        <v>3</v>
      </c>
      <c r="N1191" s="4">
        <v>7</v>
      </c>
      <c r="O1191" t="s">
        <v>36</v>
      </c>
      <c r="P1191" t="s">
        <v>29</v>
      </c>
      <c r="Q1191" s="4">
        <v>219167</v>
      </c>
      <c r="R1191" s="4">
        <v>177563</v>
      </c>
      <c r="S1191" s="4">
        <f>Table1[[#This Row],[Service_Revenue]]-Table1[[#This Row],[Service_Cost]]</f>
        <v>41604</v>
      </c>
      <c r="T1191" s="4">
        <v>5</v>
      </c>
      <c r="U1191" s="4">
        <f>IF(AND(Table1[[#This Row],[Rework_Flag]]="Yes",Table1[[#This Row],[Warranty_Claim]]="No"),Table1[[#This Row],[Service_Revenue]],0)</f>
        <v>0</v>
      </c>
      <c r="V1191" s="4">
        <f>IF(Table1[[#This Row],[Warranty_Claim]]="Yes",1,0)</f>
        <v>1</v>
      </c>
      <c r="W1191" s="4">
        <f>IF(Table1[[#This Row],[Rework_Flag]]="No",1,0)</f>
        <v>1</v>
      </c>
      <c r="X1191" s="4">
        <f>IF(Table1[[#This Row],[Rework_Flag]]="Yes",1,0)</f>
        <v>0</v>
      </c>
      <c r="Y1191" s="4">
        <v>1</v>
      </c>
      <c r="Z1191" s="4" t="str">
        <f>IF(Table1[[#This Row],[TAT_Days]]&gt;Table1[[#This Row],[SLA_TAT]],"Yes","No")</f>
        <v>No</v>
      </c>
      <c r="AA1191" s="4" t="str" cm="1">
        <f t="array" ref="AA1191">_xlfn.IFS(Table1[[#This Row],[Customer_Satisfaction]]&lt;=2,"Poor",Table1[[#This Row],[Customer_Satisfaction]]=3,"Neutral",Table1[[#This Row],[Customer_Satisfaction]]=4,"Good",Table1[[#This Row],[Customer_Satisfaction]]=5,"Good")</f>
        <v>Good</v>
      </c>
    </row>
    <row r="1192" spans="1:27" x14ac:dyDescent="0.35">
      <c r="A1192">
        <v>21190</v>
      </c>
      <c r="B1192" s="1">
        <v>45452</v>
      </c>
      <c r="C1192" t="s">
        <v>19</v>
      </c>
      <c r="D1192" t="s">
        <v>45</v>
      </c>
      <c r="E1192" t="s">
        <v>114</v>
      </c>
      <c r="F1192" t="s">
        <v>53</v>
      </c>
      <c r="G1192" t="s">
        <v>63</v>
      </c>
      <c r="H1192" t="s">
        <v>24</v>
      </c>
      <c r="I1192" t="s">
        <v>55</v>
      </c>
      <c r="J1192" t="s">
        <v>43</v>
      </c>
      <c r="K1192" t="s">
        <v>44</v>
      </c>
      <c r="L1192" t="s">
        <v>28</v>
      </c>
      <c r="M1192" s="4">
        <v>18</v>
      </c>
      <c r="N1192" s="4">
        <v>7</v>
      </c>
      <c r="O1192" t="s">
        <v>29</v>
      </c>
      <c r="P1192" t="s">
        <v>36</v>
      </c>
      <c r="Q1192" s="4">
        <v>594026</v>
      </c>
      <c r="R1192" s="4">
        <v>397970</v>
      </c>
      <c r="S1192" s="4">
        <f>Table1[[#This Row],[Service_Revenue]]-Table1[[#This Row],[Service_Cost]]</f>
        <v>196056</v>
      </c>
      <c r="T1192" s="4">
        <v>1</v>
      </c>
      <c r="U1192" s="4">
        <f>IF(AND(Table1[[#This Row],[Rework_Flag]]="Yes",Table1[[#This Row],[Warranty_Claim]]="No"),Table1[[#This Row],[Service_Revenue]],0)</f>
        <v>594026</v>
      </c>
      <c r="V1192" s="4">
        <f>IF(Table1[[#This Row],[Warranty_Claim]]="Yes",1,0)</f>
        <v>0</v>
      </c>
      <c r="W1192" s="4">
        <f>IF(Table1[[#This Row],[Rework_Flag]]="No",1,0)</f>
        <v>0</v>
      </c>
      <c r="X1192" s="4">
        <f>IF(Table1[[#This Row],[Rework_Flag]]="Yes",1,0)</f>
        <v>1</v>
      </c>
      <c r="Y1192" s="4">
        <v>1</v>
      </c>
      <c r="Z1192" s="4" t="str">
        <f>IF(Table1[[#This Row],[TAT_Days]]&gt;Table1[[#This Row],[SLA_TAT]],"Yes","No")</f>
        <v>Yes</v>
      </c>
      <c r="AA1192" s="4" t="str" cm="1">
        <f t="array" ref="AA1192">_xlfn.IFS(Table1[[#This Row],[Customer_Satisfaction]]&lt;=2,"Poor",Table1[[#This Row],[Customer_Satisfaction]]=3,"Neutral",Table1[[#This Row],[Customer_Satisfaction]]=4,"Good",Table1[[#This Row],[Customer_Satisfaction]]=5,"Good")</f>
        <v>Poor</v>
      </c>
    </row>
    <row r="1193" spans="1:27" x14ac:dyDescent="0.35">
      <c r="A1193">
        <v>21191</v>
      </c>
      <c r="B1193" s="1">
        <v>45317</v>
      </c>
      <c r="C1193" t="s">
        <v>37</v>
      </c>
      <c r="D1193" t="s">
        <v>70</v>
      </c>
      <c r="E1193" t="s">
        <v>100</v>
      </c>
      <c r="F1193" t="s">
        <v>40</v>
      </c>
      <c r="G1193" t="s">
        <v>63</v>
      </c>
      <c r="H1193" t="s">
        <v>24</v>
      </c>
      <c r="I1193" t="s">
        <v>25</v>
      </c>
      <c r="J1193" t="s">
        <v>67</v>
      </c>
      <c r="K1193" t="s">
        <v>61</v>
      </c>
      <c r="L1193" t="s">
        <v>49</v>
      </c>
      <c r="M1193" s="4">
        <v>14</v>
      </c>
      <c r="N1193" s="4">
        <v>7</v>
      </c>
      <c r="O1193" t="s">
        <v>36</v>
      </c>
      <c r="P1193" t="s">
        <v>36</v>
      </c>
      <c r="Q1193" s="4">
        <v>256319</v>
      </c>
      <c r="R1193" s="4">
        <v>157525</v>
      </c>
      <c r="S1193" s="4">
        <f>Table1[[#This Row],[Service_Revenue]]-Table1[[#This Row],[Service_Cost]]</f>
        <v>98794</v>
      </c>
      <c r="T1193" s="4">
        <v>3</v>
      </c>
      <c r="U1193" s="4">
        <f>IF(AND(Table1[[#This Row],[Rework_Flag]]="Yes",Table1[[#This Row],[Warranty_Claim]]="No"),Table1[[#This Row],[Service_Revenue]],0)</f>
        <v>0</v>
      </c>
      <c r="V1193" s="4">
        <f>IF(Table1[[#This Row],[Warranty_Claim]]="Yes",1,0)</f>
        <v>0</v>
      </c>
      <c r="W1193" s="4">
        <f>IF(Table1[[#This Row],[Rework_Flag]]="No",1,0)</f>
        <v>1</v>
      </c>
      <c r="X1193" s="4">
        <f>IF(Table1[[#This Row],[Rework_Flag]]="Yes",1,0)</f>
        <v>0</v>
      </c>
      <c r="Y1193" s="4">
        <v>1</v>
      </c>
      <c r="Z1193" s="4" t="str">
        <f>IF(Table1[[#This Row],[TAT_Days]]&gt;Table1[[#This Row],[SLA_TAT]],"Yes","No")</f>
        <v>Yes</v>
      </c>
      <c r="AA1193" s="4" t="str" cm="1">
        <f t="array" ref="AA1193">_xlfn.IFS(Table1[[#This Row],[Customer_Satisfaction]]&lt;=2,"Poor",Table1[[#This Row],[Customer_Satisfaction]]=3,"Neutral",Table1[[#This Row],[Customer_Satisfaction]]=4,"Good",Table1[[#This Row],[Customer_Satisfaction]]=5,"Good")</f>
        <v>Neutral</v>
      </c>
    </row>
    <row r="1194" spans="1:27" x14ac:dyDescent="0.35">
      <c r="A1194">
        <v>21192</v>
      </c>
      <c r="B1194" s="1">
        <v>45384</v>
      </c>
      <c r="C1194" t="s">
        <v>30</v>
      </c>
      <c r="D1194" t="s">
        <v>59</v>
      </c>
      <c r="E1194" t="s">
        <v>69</v>
      </c>
      <c r="F1194" t="s">
        <v>53</v>
      </c>
      <c r="G1194" t="s">
        <v>23</v>
      </c>
      <c r="H1194" t="s">
        <v>24</v>
      </c>
      <c r="I1194" t="s">
        <v>55</v>
      </c>
      <c r="J1194" t="s">
        <v>43</v>
      </c>
      <c r="K1194" t="s">
        <v>44</v>
      </c>
      <c r="L1194" t="s">
        <v>28</v>
      </c>
      <c r="M1194" s="4">
        <v>25</v>
      </c>
      <c r="N1194" s="4">
        <v>7</v>
      </c>
      <c r="O1194" t="s">
        <v>29</v>
      </c>
      <c r="P1194" t="s">
        <v>36</v>
      </c>
      <c r="Q1194" s="4">
        <v>115559</v>
      </c>
      <c r="R1194" s="4">
        <v>66764</v>
      </c>
      <c r="S1194" s="4">
        <f>Table1[[#This Row],[Service_Revenue]]-Table1[[#This Row],[Service_Cost]]</f>
        <v>48795</v>
      </c>
      <c r="T1194" s="4">
        <v>1</v>
      </c>
      <c r="U1194" s="4">
        <f>IF(AND(Table1[[#This Row],[Rework_Flag]]="Yes",Table1[[#This Row],[Warranty_Claim]]="No"),Table1[[#This Row],[Service_Revenue]],0)</f>
        <v>115559</v>
      </c>
      <c r="V1194" s="4">
        <f>IF(Table1[[#This Row],[Warranty_Claim]]="Yes",1,0)</f>
        <v>0</v>
      </c>
      <c r="W1194" s="4">
        <f>IF(Table1[[#This Row],[Rework_Flag]]="No",1,0)</f>
        <v>0</v>
      </c>
      <c r="X1194" s="4">
        <f>IF(Table1[[#This Row],[Rework_Flag]]="Yes",1,0)</f>
        <v>1</v>
      </c>
      <c r="Y1194" s="4">
        <v>1</v>
      </c>
      <c r="Z1194" s="4" t="str">
        <f>IF(Table1[[#This Row],[TAT_Days]]&gt;Table1[[#This Row],[SLA_TAT]],"Yes","No")</f>
        <v>Yes</v>
      </c>
      <c r="AA1194" s="4" t="str" cm="1">
        <f t="array" ref="AA1194">_xlfn.IFS(Table1[[#This Row],[Customer_Satisfaction]]&lt;=2,"Poor",Table1[[#This Row],[Customer_Satisfaction]]=3,"Neutral",Table1[[#This Row],[Customer_Satisfaction]]=4,"Good",Table1[[#This Row],[Customer_Satisfaction]]=5,"Good")</f>
        <v>Poor</v>
      </c>
    </row>
    <row r="1195" spans="1:27" x14ac:dyDescent="0.35">
      <c r="A1195">
        <v>21193</v>
      </c>
      <c r="B1195" s="1">
        <v>45431</v>
      </c>
      <c r="C1195" t="s">
        <v>50</v>
      </c>
      <c r="D1195" t="s">
        <v>51</v>
      </c>
      <c r="E1195" t="s">
        <v>73</v>
      </c>
      <c r="F1195" t="s">
        <v>53</v>
      </c>
      <c r="G1195" t="s">
        <v>33</v>
      </c>
      <c r="H1195" t="s">
        <v>34</v>
      </c>
      <c r="I1195" t="s">
        <v>55</v>
      </c>
      <c r="J1195" t="s">
        <v>67</v>
      </c>
      <c r="K1195" t="s">
        <v>61</v>
      </c>
      <c r="L1195" t="s">
        <v>49</v>
      </c>
      <c r="M1195" s="4">
        <v>25</v>
      </c>
      <c r="N1195" s="4">
        <v>7</v>
      </c>
      <c r="O1195" t="s">
        <v>36</v>
      </c>
      <c r="P1195" t="s">
        <v>29</v>
      </c>
      <c r="Q1195" s="4">
        <v>327593</v>
      </c>
      <c r="R1195" s="4">
        <v>259530</v>
      </c>
      <c r="S1195" s="4">
        <f>Table1[[#This Row],[Service_Revenue]]-Table1[[#This Row],[Service_Cost]]</f>
        <v>68063</v>
      </c>
      <c r="T1195" s="4">
        <v>1</v>
      </c>
      <c r="U1195" s="4">
        <f>IF(AND(Table1[[#This Row],[Rework_Flag]]="Yes",Table1[[#This Row],[Warranty_Claim]]="No"),Table1[[#This Row],[Service_Revenue]],0)</f>
        <v>0</v>
      </c>
      <c r="V1195" s="4">
        <f>IF(Table1[[#This Row],[Warranty_Claim]]="Yes",1,0)</f>
        <v>1</v>
      </c>
      <c r="W1195" s="4">
        <f>IF(Table1[[#This Row],[Rework_Flag]]="No",1,0)</f>
        <v>1</v>
      </c>
      <c r="X1195" s="4">
        <f>IF(Table1[[#This Row],[Rework_Flag]]="Yes",1,0)</f>
        <v>0</v>
      </c>
      <c r="Y1195" s="4">
        <v>1</v>
      </c>
      <c r="Z1195" s="4" t="str">
        <f>IF(Table1[[#This Row],[TAT_Days]]&gt;Table1[[#This Row],[SLA_TAT]],"Yes","No")</f>
        <v>Yes</v>
      </c>
      <c r="AA1195" s="4" t="str" cm="1">
        <f t="array" ref="AA1195">_xlfn.IFS(Table1[[#This Row],[Customer_Satisfaction]]&lt;=2,"Poor",Table1[[#This Row],[Customer_Satisfaction]]=3,"Neutral",Table1[[#This Row],[Customer_Satisfaction]]=4,"Good",Table1[[#This Row],[Customer_Satisfaction]]=5,"Good")</f>
        <v>Poor</v>
      </c>
    </row>
    <row r="1196" spans="1:27" x14ac:dyDescent="0.35">
      <c r="A1196">
        <v>21194</v>
      </c>
      <c r="B1196" s="1">
        <v>45362</v>
      </c>
      <c r="C1196" t="s">
        <v>30</v>
      </c>
      <c r="D1196" t="s">
        <v>31</v>
      </c>
      <c r="E1196" t="s">
        <v>106</v>
      </c>
      <c r="F1196" t="s">
        <v>22</v>
      </c>
      <c r="G1196" t="s">
        <v>47</v>
      </c>
      <c r="H1196" t="s">
        <v>48</v>
      </c>
      <c r="I1196" t="s">
        <v>55</v>
      </c>
      <c r="J1196" t="s">
        <v>26</v>
      </c>
      <c r="K1196" t="s">
        <v>61</v>
      </c>
      <c r="L1196" t="s">
        <v>49</v>
      </c>
      <c r="M1196" s="4">
        <v>20</v>
      </c>
      <c r="N1196" s="4">
        <v>7</v>
      </c>
      <c r="O1196" t="s">
        <v>29</v>
      </c>
      <c r="P1196" t="s">
        <v>36</v>
      </c>
      <c r="Q1196" s="4">
        <v>221882</v>
      </c>
      <c r="R1196" s="4">
        <v>113808</v>
      </c>
      <c r="S1196" s="4">
        <f>Table1[[#This Row],[Service_Revenue]]-Table1[[#This Row],[Service_Cost]]</f>
        <v>108074</v>
      </c>
      <c r="T1196" s="4">
        <v>1</v>
      </c>
      <c r="U1196" s="4">
        <f>IF(AND(Table1[[#This Row],[Rework_Flag]]="Yes",Table1[[#This Row],[Warranty_Claim]]="No"),Table1[[#This Row],[Service_Revenue]],0)</f>
        <v>221882</v>
      </c>
      <c r="V1196" s="4">
        <f>IF(Table1[[#This Row],[Warranty_Claim]]="Yes",1,0)</f>
        <v>0</v>
      </c>
      <c r="W1196" s="4">
        <f>IF(Table1[[#This Row],[Rework_Flag]]="No",1,0)</f>
        <v>0</v>
      </c>
      <c r="X1196" s="4">
        <f>IF(Table1[[#This Row],[Rework_Flag]]="Yes",1,0)</f>
        <v>1</v>
      </c>
      <c r="Y1196" s="4">
        <v>1</v>
      </c>
      <c r="Z1196" s="4" t="str">
        <f>IF(Table1[[#This Row],[TAT_Days]]&gt;Table1[[#This Row],[SLA_TAT]],"Yes","No")</f>
        <v>Yes</v>
      </c>
      <c r="AA1196" s="4" t="str" cm="1">
        <f t="array" ref="AA1196">_xlfn.IFS(Table1[[#This Row],[Customer_Satisfaction]]&lt;=2,"Poor",Table1[[#This Row],[Customer_Satisfaction]]=3,"Neutral",Table1[[#This Row],[Customer_Satisfaction]]=4,"Good",Table1[[#This Row],[Customer_Satisfaction]]=5,"Good")</f>
        <v>Poor</v>
      </c>
    </row>
    <row r="1197" spans="1:27" x14ac:dyDescent="0.35">
      <c r="A1197">
        <v>21195</v>
      </c>
      <c r="B1197" s="1">
        <v>45363</v>
      </c>
      <c r="C1197" t="s">
        <v>19</v>
      </c>
      <c r="D1197" t="s">
        <v>45</v>
      </c>
      <c r="E1197" t="s">
        <v>76</v>
      </c>
      <c r="F1197" t="s">
        <v>53</v>
      </c>
      <c r="G1197" t="s">
        <v>41</v>
      </c>
      <c r="H1197" t="s">
        <v>42</v>
      </c>
      <c r="I1197" t="s">
        <v>25</v>
      </c>
      <c r="J1197" t="s">
        <v>58</v>
      </c>
      <c r="K1197" t="s">
        <v>61</v>
      </c>
      <c r="L1197" t="s">
        <v>49</v>
      </c>
      <c r="M1197" s="4">
        <v>21</v>
      </c>
      <c r="N1197" s="4">
        <v>7</v>
      </c>
      <c r="O1197" t="s">
        <v>36</v>
      </c>
      <c r="P1197" t="s">
        <v>29</v>
      </c>
      <c r="Q1197" s="4">
        <v>343338</v>
      </c>
      <c r="R1197" s="4">
        <v>291037</v>
      </c>
      <c r="S1197" s="4">
        <f>Table1[[#This Row],[Service_Revenue]]-Table1[[#This Row],[Service_Cost]]</f>
        <v>52301</v>
      </c>
      <c r="T1197" s="4">
        <v>1</v>
      </c>
      <c r="U1197" s="4">
        <f>IF(AND(Table1[[#This Row],[Rework_Flag]]="Yes",Table1[[#This Row],[Warranty_Claim]]="No"),Table1[[#This Row],[Service_Revenue]],0)</f>
        <v>0</v>
      </c>
      <c r="V1197" s="4">
        <f>IF(Table1[[#This Row],[Warranty_Claim]]="Yes",1,0)</f>
        <v>1</v>
      </c>
      <c r="W1197" s="4">
        <f>IF(Table1[[#This Row],[Rework_Flag]]="No",1,0)</f>
        <v>1</v>
      </c>
      <c r="X1197" s="4">
        <f>IF(Table1[[#This Row],[Rework_Flag]]="Yes",1,0)</f>
        <v>0</v>
      </c>
      <c r="Y1197" s="4">
        <v>1</v>
      </c>
      <c r="Z1197" s="4" t="str">
        <f>IF(Table1[[#This Row],[TAT_Days]]&gt;Table1[[#This Row],[SLA_TAT]],"Yes","No")</f>
        <v>Yes</v>
      </c>
      <c r="AA1197" s="4" t="str" cm="1">
        <f t="array" ref="AA1197">_xlfn.IFS(Table1[[#This Row],[Customer_Satisfaction]]&lt;=2,"Poor",Table1[[#This Row],[Customer_Satisfaction]]=3,"Neutral",Table1[[#This Row],[Customer_Satisfaction]]=4,"Good",Table1[[#This Row],[Customer_Satisfaction]]=5,"Good")</f>
        <v>Poor</v>
      </c>
    </row>
    <row r="1198" spans="1:27" x14ac:dyDescent="0.35">
      <c r="A1198">
        <v>21196</v>
      </c>
      <c r="B1198" s="1">
        <v>45428</v>
      </c>
      <c r="C1198" t="s">
        <v>37</v>
      </c>
      <c r="D1198" t="s">
        <v>70</v>
      </c>
      <c r="E1198" t="s">
        <v>100</v>
      </c>
      <c r="F1198" t="s">
        <v>22</v>
      </c>
      <c r="G1198" t="s">
        <v>54</v>
      </c>
      <c r="H1198" t="s">
        <v>42</v>
      </c>
      <c r="I1198" t="s">
        <v>25</v>
      </c>
      <c r="J1198" t="s">
        <v>35</v>
      </c>
      <c r="K1198" t="s">
        <v>27</v>
      </c>
      <c r="L1198" t="s">
        <v>49</v>
      </c>
      <c r="M1198" s="4">
        <v>6</v>
      </c>
      <c r="N1198" s="4">
        <v>7</v>
      </c>
      <c r="O1198" t="s">
        <v>29</v>
      </c>
      <c r="P1198" t="s">
        <v>36</v>
      </c>
      <c r="Q1198" s="4">
        <v>128348</v>
      </c>
      <c r="R1198" s="4">
        <v>81789</v>
      </c>
      <c r="S1198" s="4">
        <f>Table1[[#This Row],[Service_Revenue]]-Table1[[#This Row],[Service_Cost]]</f>
        <v>46559</v>
      </c>
      <c r="T1198" s="4">
        <v>3</v>
      </c>
      <c r="U1198" s="4">
        <f>IF(AND(Table1[[#This Row],[Rework_Flag]]="Yes",Table1[[#This Row],[Warranty_Claim]]="No"),Table1[[#This Row],[Service_Revenue]],0)</f>
        <v>128348</v>
      </c>
      <c r="V1198" s="4">
        <f>IF(Table1[[#This Row],[Warranty_Claim]]="Yes",1,0)</f>
        <v>0</v>
      </c>
      <c r="W1198" s="4">
        <f>IF(Table1[[#This Row],[Rework_Flag]]="No",1,0)</f>
        <v>0</v>
      </c>
      <c r="X1198" s="4">
        <f>IF(Table1[[#This Row],[Rework_Flag]]="Yes",1,0)</f>
        <v>1</v>
      </c>
      <c r="Y1198" s="4">
        <v>1</v>
      </c>
      <c r="Z1198" s="4" t="str">
        <f>IF(Table1[[#This Row],[TAT_Days]]&gt;Table1[[#This Row],[SLA_TAT]],"Yes","No")</f>
        <v>No</v>
      </c>
      <c r="AA1198" s="4" t="str" cm="1">
        <f t="array" ref="AA1198">_xlfn.IFS(Table1[[#This Row],[Customer_Satisfaction]]&lt;=2,"Poor",Table1[[#This Row],[Customer_Satisfaction]]=3,"Neutral",Table1[[#This Row],[Customer_Satisfaction]]=4,"Good",Table1[[#This Row],[Customer_Satisfaction]]=5,"Good")</f>
        <v>Neutral</v>
      </c>
    </row>
    <row r="1199" spans="1:27" x14ac:dyDescent="0.35">
      <c r="A1199">
        <v>21197</v>
      </c>
      <c r="B1199" s="1">
        <v>45462</v>
      </c>
      <c r="C1199" t="s">
        <v>19</v>
      </c>
      <c r="D1199" t="s">
        <v>96</v>
      </c>
      <c r="E1199" t="s">
        <v>105</v>
      </c>
      <c r="F1199" t="s">
        <v>40</v>
      </c>
      <c r="G1199" t="s">
        <v>63</v>
      </c>
      <c r="H1199" t="s">
        <v>24</v>
      </c>
      <c r="I1199" t="s">
        <v>25</v>
      </c>
      <c r="J1199" t="s">
        <v>43</v>
      </c>
      <c r="K1199" t="s">
        <v>44</v>
      </c>
      <c r="L1199" t="s">
        <v>28</v>
      </c>
      <c r="M1199" s="4">
        <v>10</v>
      </c>
      <c r="N1199" s="4">
        <v>7</v>
      </c>
      <c r="O1199" t="s">
        <v>29</v>
      </c>
      <c r="P1199" t="s">
        <v>36</v>
      </c>
      <c r="Q1199" s="4">
        <v>335491</v>
      </c>
      <c r="R1199" s="4">
        <v>250100</v>
      </c>
      <c r="S1199" s="4">
        <f>Table1[[#This Row],[Service_Revenue]]-Table1[[#This Row],[Service_Cost]]</f>
        <v>85391</v>
      </c>
      <c r="T1199" s="4">
        <v>2</v>
      </c>
      <c r="U1199" s="4">
        <f>IF(AND(Table1[[#This Row],[Rework_Flag]]="Yes",Table1[[#This Row],[Warranty_Claim]]="No"),Table1[[#This Row],[Service_Revenue]],0)</f>
        <v>335491</v>
      </c>
      <c r="V1199" s="4">
        <f>IF(Table1[[#This Row],[Warranty_Claim]]="Yes",1,0)</f>
        <v>0</v>
      </c>
      <c r="W1199" s="4">
        <f>IF(Table1[[#This Row],[Rework_Flag]]="No",1,0)</f>
        <v>0</v>
      </c>
      <c r="X1199" s="4">
        <f>IF(Table1[[#This Row],[Rework_Flag]]="Yes",1,0)</f>
        <v>1</v>
      </c>
      <c r="Y1199" s="4">
        <v>1</v>
      </c>
      <c r="Z1199" s="4" t="str">
        <f>IF(Table1[[#This Row],[TAT_Days]]&gt;Table1[[#This Row],[SLA_TAT]],"Yes","No")</f>
        <v>Yes</v>
      </c>
      <c r="AA1199" s="4" t="str" cm="1">
        <f t="array" ref="AA1199">_xlfn.IFS(Table1[[#This Row],[Customer_Satisfaction]]&lt;=2,"Poor",Table1[[#This Row],[Customer_Satisfaction]]=3,"Neutral",Table1[[#This Row],[Customer_Satisfaction]]=4,"Good",Table1[[#This Row],[Customer_Satisfaction]]=5,"Good")</f>
        <v>Poor</v>
      </c>
    </row>
    <row r="1200" spans="1:27" x14ac:dyDescent="0.35">
      <c r="A1200">
        <v>21198</v>
      </c>
      <c r="B1200" s="1">
        <v>45409</v>
      </c>
      <c r="C1200" t="s">
        <v>30</v>
      </c>
      <c r="D1200" t="s">
        <v>83</v>
      </c>
      <c r="E1200" t="s">
        <v>119</v>
      </c>
      <c r="F1200" t="s">
        <v>40</v>
      </c>
      <c r="G1200" t="s">
        <v>47</v>
      </c>
      <c r="H1200" t="s">
        <v>48</v>
      </c>
      <c r="I1200" t="s">
        <v>55</v>
      </c>
      <c r="J1200" t="s">
        <v>67</v>
      </c>
      <c r="K1200" t="s">
        <v>61</v>
      </c>
      <c r="L1200" t="s">
        <v>49</v>
      </c>
      <c r="M1200" s="4">
        <v>19</v>
      </c>
      <c r="N1200" s="4">
        <v>7</v>
      </c>
      <c r="O1200" t="s">
        <v>29</v>
      </c>
      <c r="P1200" t="s">
        <v>29</v>
      </c>
      <c r="Q1200" s="4">
        <v>502465</v>
      </c>
      <c r="R1200" s="4">
        <v>256033</v>
      </c>
      <c r="S1200" s="4">
        <f>Table1[[#This Row],[Service_Revenue]]-Table1[[#This Row],[Service_Cost]]</f>
        <v>246432</v>
      </c>
      <c r="T1200" s="4">
        <v>1</v>
      </c>
      <c r="U1200" s="4">
        <f>IF(AND(Table1[[#This Row],[Rework_Flag]]="Yes",Table1[[#This Row],[Warranty_Claim]]="No"),Table1[[#This Row],[Service_Revenue]],0)</f>
        <v>0</v>
      </c>
      <c r="V1200" s="4">
        <f>IF(Table1[[#This Row],[Warranty_Claim]]="Yes",1,0)</f>
        <v>1</v>
      </c>
      <c r="W1200" s="4">
        <f>IF(Table1[[#This Row],[Rework_Flag]]="No",1,0)</f>
        <v>0</v>
      </c>
      <c r="X1200" s="4">
        <f>IF(Table1[[#This Row],[Rework_Flag]]="Yes",1,0)</f>
        <v>1</v>
      </c>
      <c r="Y1200" s="4">
        <v>1</v>
      </c>
      <c r="Z1200" s="4" t="str">
        <f>IF(Table1[[#This Row],[TAT_Days]]&gt;Table1[[#This Row],[SLA_TAT]],"Yes","No")</f>
        <v>Yes</v>
      </c>
      <c r="AA1200" s="4" t="str" cm="1">
        <f t="array" ref="AA1200">_xlfn.IFS(Table1[[#This Row],[Customer_Satisfaction]]&lt;=2,"Poor",Table1[[#This Row],[Customer_Satisfaction]]=3,"Neutral",Table1[[#This Row],[Customer_Satisfaction]]=4,"Good",Table1[[#This Row],[Customer_Satisfaction]]=5,"Good")</f>
        <v>Poor</v>
      </c>
    </row>
    <row r="1201" spans="1:27" x14ac:dyDescent="0.35">
      <c r="A1201">
        <v>21199</v>
      </c>
      <c r="B1201" s="1">
        <v>45462</v>
      </c>
      <c r="C1201" t="s">
        <v>37</v>
      </c>
      <c r="D1201" t="s">
        <v>70</v>
      </c>
      <c r="E1201" t="s">
        <v>82</v>
      </c>
      <c r="F1201" t="s">
        <v>22</v>
      </c>
      <c r="G1201" t="s">
        <v>33</v>
      </c>
      <c r="H1201" t="s">
        <v>34</v>
      </c>
      <c r="I1201" t="s">
        <v>55</v>
      </c>
      <c r="J1201" t="s">
        <v>43</v>
      </c>
      <c r="K1201" t="s">
        <v>44</v>
      </c>
      <c r="L1201" t="s">
        <v>28</v>
      </c>
      <c r="M1201" s="4">
        <v>22</v>
      </c>
      <c r="N1201" s="4">
        <v>7</v>
      </c>
      <c r="O1201" t="s">
        <v>36</v>
      </c>
      <c r="P1201" t="s">
        <v>36</v>
      </c>
      <c r="Q1201" s="4">
        <v>532129</v>
      </c>
      <c r="R1201" s="4">
        <v>304558</v>
      </c>
      <c r="S1201" s="4">
        <f>Table1[[#This Row],[Service_Revenue]]-Table1[[#This Row],[Service_Cost]]</f>
        <v>227571</v>
      </c>
      <c r="T1201" s="4">
        <v>1</v>
      </c>
      <c r="U1201" s="4">
        <f>IF(AND(Table1[[#This Row],[Rework_Flag]]="Yes",Table1[[#This Row],[Warranty_Claim]]="No"),Table1[[#This Row],[Service_Revenue]],0)</f>
        <v>0</v>
      </c>
      <c r="V1201" s="4">
        <f>IF(Table1[[#This Row],[Warranty_Claim]]="Yes",1,0)</f>
        <v>0</v>
      </c>
      <c r="W1201" s="4">
        <f>IF(Table1[[#This Row],[Rework_Flag]]="No",1,0)</f>
        <v>1</v>
      </c>
      <c r="X1201" s="4">
        <f>IF(Table1[[#This Row],[Rework_Flag]]="Yes",1,0)</f>
        <v>0</v>
      </c>
      <c r="Y1201" s="4">
        <v>1</v>
      </c>
      <c r="Z1201" s="4" t="str">
        <f>IF(Table1[[#This Row],[TAT_Days]]&gt;Table1[[#This Row],[SLA_TAT]],"Yes","No")</f>
        <v>Yes</v>
      </c>
      <c r="AA1201" s="4" t="str" cm="1">
        <f t="array" ref="AA1201">_xlfn.IFS(Table1[[#This Row],[Customer_Satisfaction]]&lt;=2,"Poor",Table1[[#This Row],[Customer_Satisfaction]]=3,"Neutral",Table1[[#This Row],[Customer_Satisfaction]]=4,"Good",Table1[[#This Row],[Customer_Satisfaction]]=5,"Good")</f>
        <v>Poor</v>
      </c>
    </row>
    <row r="1202" spans="1:27" x14ac:dyDescent="0.35">
      <c r="A1202">
        <v>21200</v>
      </c>
      <c r="B1202" s="1">
        <v>45349</v>
      </c>
      <c r="C1202" t="s">
        <v>19</v>
      </c>
      <c r="D1202" t="s">
        <v>45</v>
      </c>
      <c r="E1202" t="s">
        <v>46</v>
      </c>
      <c r="F1202" t="s">
        <v>53</v>
      </c>
      <c r="G1202" t="s">
        <v>54</v>
      </c>
      <c r="H1202" t="s">
        <v>42</v>
      </c>
      <c r="I1202" t="s">
        <v>25</v>
      </c>
      <c r="J1202" t="s">
        <v>67</v>
      </c>
      <c r="K1202" t="s">
        <v>61</v>
      </c>
      <c r="L1202" t="s">
        <v>49</v>
      </c>
      <c r="M1202" s="4">
        <v>3</v>
      </c>
      <c r="N1202" s="4">
        <v>7</v>
      </c>
      <c r="O1202" t="s">
        <v>29</v>
      </c>
      <c r="P1202" t="s">
        <v>36</v>
      </c>
      <c r="Q1202" s="4">
        <v>197732</v>
      </c>
      <c r="R1202" s="4">
        <v>101079</v>
      </c>
      <c r="S1202" s="4">
        <f>Table1[[#This Row],[Service_Revenue]]-Table1[[#This Row],[Service_Cost]]</f>
        <v>96653</v>
      </c>
      <c r="T1202" s="4">
        <v>4</v>
      </c>
      <c r="U1202" s="4">
        <f>IF(AND(Table1[[#This Row],[Rework_Flag]]="Yes",Table1[[#This Row],[Warranty_Claim]]="No"),Table1[[#This Row],[Service_Revenue]],0)</f>
        <v>197732</v>
      </c>
      <c r="V1202" s="4">
        <f>IF(Table1[[#This Row],[Warranty_Claim]]="Yes",1,0)</f>
        <v>0</v>
      </c>
      <c r="W1202" s="4">
        <f>IF(Table1[[#This Row],[Rework_Flag]]="No",1,0)</f>
        <v>0</v>
      </c>
      <c r="X1202" s="4">
        <f>IF(Table1[[#This Row],[Rework_Flag]]="Yes",1,0)</f>
        <v>1</v>
      </c>
      <c r="Y1202" s="4">
        <v>1</v>
      </c>
      <c r="Z1202" s="4" t="str">
        <f>IF(Table1[[#This Row],[TAT_Days]]&gt;Table1[[#This Row],[SLA_TAT]],"Yes","No")</f>
        <v>No</v>
      </c>
      <c r="AA1202" s="4" t="str" cm="1">
        <f t="array" ref="AA1202">_xlfn.IFS(Table1[[#This Row],[Customer_Satisfaction]]&lt;=2,"Poor",Table1[[#This Row],[Customer_Satisfaction]]=3,"Neutral",Table1[[#This Row],[Customer_Satisfaction]]=4,"Good",Table1[[#This Row],[Customer_Satisfaction]]=5,"Good")</f>
        <v>Good</v>
      </c>
    </row>
    <row r="1203" spans="1:27" x14ac:dyDescent="0.35">
      <c r="A1203">
        <v>21201</v>
      </c>
      <c r="B1203" s="1">
        <v>45366</v>
      </c>
      <c r="C1203" t="s">
        <v>30</v>
      </c>
      <c r="D1203" t="s">
        <v>31</v>
      </c>
      <c r="E1203" t="s">
        <v>106</v>
      </c>
      <c r="F1203" t="s">
        <v>53</v>
      </c>
      <c r="G1203" t="s">
        <v>33</v>
      </c>
      <c r="H1203" t="s">
        <v>34</v>
      </c>
      <c r="I1203" t="s">
        <v>25</v>
      </c>
      <c r="J1203" t="s">
        <v>67</v>
      </c>
      <c r="K1203" t="s">
        <v>27</v>
      </c>
      <c r="L1203" t="s">
        <v>49</v>
      </c>
      <c r="M1203" s="4">
        <v>23</v>
      </c>
      <c r="N1203" s="4">
        <v>7</v>
      </c>
      <c r="O1203" t="s">
        <v>29</v>
      </c>
      <c r="P1203" t="s">
        <v>29</v>
      </c>
      <c r="Q1203" s="4">
        <v>290409</v>
      </c>
      <c r="R1203" s="4">
        <v>171707</v>
      </c>
      <c r="S1203" s="4">
        <f>Table1[[#This Row],[Service_Revenue]]-Table1[[#This Row],[Service_Cost]]</f>
        <v>118702</v>
      </c>
      <c r="T1203" s="4">
        <v>1</v>
      </c>
      <c r="U1203" s="4">
        <f>IF(AND(Table1[[#This Row],[Rework_Flag]]="Yes",Table1[[#This Row],[Warranty_Claim]]="No"),Table1[[#This Row],[Service_Revenue]],0)</f>
        <v>0</v>
      </c>
      <c r="V1203" s="4">
        <f>IF(Table1[[#This Row],[Warranty_Claim]]="Yes",1,0)</f>
        <v>1</v>
      </c>
      <c r="W1203" s="4">
        <f>IF(Table1[[#This Row],[Rework_Flag]]="No",1,0)</f>
        <v>0</v>
      </c>
      <c r="X1203" s="4">
        <f>IF(Table1[[#This Row],[Rework_Flag]]="Yes",1,0)</f>
        <v>1</v>
      </c>
      <c r="Y1203" s="4">
        <v>1</v>
      </c>
      <c r="Z1203" s="4" t="str">
        <f>IF(Table1[[#This Row],[TAT_Days]]&gt;Table1[[#This Row],[SLA_TAT]],"Yes","No")</f>
        <v>Yes</v>
      </c>
      <c r="AA1203" s="4" t="str" cm="1">
        <f t="array" ref="AA1203">_xlfn.IFS(Table1[[#This Row],[Customer_Satisfaction]]&lt;=2,"Poor",Table1[[#This Row],[Customer_Satisfaction]]=3,"Neutral",Table1[[#This Row],[Customer_Satisfaction]]=4,"Good",Table1[[#This Row],[Customer_Satisfaction]]=5,"Good")</f>
        <v>Poor</v>
      </c>
    </row>
    <row r="1204" spans="1:27" x14ac:dyDescent="0.35">
      <c r="A1204">
        <v>21202</v>
      </c>
      <c r="B1204" s="1">
        <v>45339</v>
      </c>
      <c r="C1204" t="s">
        <v>19</v>
      </c>
      <c r="D1204" t="s">
        <v>45</v>
      </c>
      <c r="E1204" t="s">
        <v>99</v>
      </c>
      <c r="F1204" t="s">
        <v>53</v>
      </c>
      <c r="G1204" t="s">
        <v>63</v>
      </c>
      <c r="H1204" t="s">
        <v>24</v>
      </c>
      <c r="I1204" t="s">
        <v>55</v>
      </c>
      <c r="J1204" t="s">
        <v>43</v>
      </c>
      <c r="K1204" t="s">
        <v>44</v>
      </c>
      <c r="L1204" t="s">
        <v>28</v>
      </c>
      <c r="M1204" s="4">
        <v>14</v>
      </c>
      <c r="N1204" s="4">
        <v>7</v>
      </c>
      <c r="O1204" t="s">
        <v>29</v>
      </c>
      <c r="P1204" t="s">
        <v>36</v>
      </c>
      <c r="Q1204" s="4">
        <v>380380</v>
      </c>
      <c r="R1204" s="4">
        <v>314256</v>
      </c>
      <c r="S1204" s="4">
        <f>Table1[[#This Row],[Service_Revenue]]-Table1[[#This Row],[Service_Cost]]</f>
        <v>66124</v>
      </c>
      <c r="T1204" s="4">
        <v>2</v>
      </c>
      <c r="U1204" s="4">
        <f>IF(AND(Table1[[#This Row],[Rework_Flag]]="Yes",Table1[[#This Row],[Warranty_Claim]]="No"),Table1[[#This Row],[Service_Revenue]],0)</f>
        <v>380380</v>
      </c>
      <c r="V1204" s="4">
        <f>IF(Table1[[#This Row],[Warranty_Claim]]="Yes",1,0)</f>
        <v>0</v>
      </c>
      <c r="W1204" s="4">
        <f>IF(Table1[[#This Row],[Rework_Flag]]="No",1,0)</f>
        <v>0</v>
      </c>
      <c r="X1204" s="4">
        <f>IF(Table1[[#This Row],[Rework_Flag]]="Yes",1,0)</f>
        <v>1</v>
      </c>
      <c r="Y1204" s="4">
        <v>1</v>
      </c>
      <c r="Z1204" s="4" t="str">
        <f>IF(Table1[[#This Row],[TAT_Days]]&gt;Table1[[#This Row],[SLA_TAT]],"Yes","No")</f>
        <v>Yes</v>
      </c>
      <c r="AA1204" s="4" t="str" cm="1">
        <f t="array" ref="AA1204">_xlfn.IFS(Table1[[#This Row],[Customer_Satisfaction]]&lt;=2,"Poor",Table1[[#This Row],[Customer_Satisfaction]]=3,"Neutral",Table1[[#This Row],[Customer_Satisfaction]]=4,"Good",Table1[[#This Row],[Customer_Satisfaction]]=5,"Good")</f>
        <v>Poor</v>
      </c>
    </row>
    <row r="1205" spans="1:27" x14ac:dyDescent="0.35">
      <c r="A1205">
        <v>21203</v>
      </c>
      <c r="B1205" s="1">
        <v>45297</v>
      </c>
      <c r="C1205" t="s">
        <v>37</v>
      </c>
      <c r="D1205" t="s">
        <v>70</v>
      </c>
      <c r="E1205" t="s">
        <v>91</v>
      </c>
      <c r="F1205" t="s">
        <v>40</v>
      </c>
      <c r="G1205" t="s">
        <v>63</v>
      </c>
      <c r="H1205" t="s">
        <v>24</v>
      </c>
      <c r="I1205" t="s">
        <v>55</v>
      </c>
      <c r="J1205" t="s">
        <v>43</v>
      </c>
      <c r="K1205" t="s">
        <v>27</v>
      </c>
      <c r="L1205" t="s">
        <v>28</v>
      </c>
      <c r="M1205" s="4">
        <v>5</v>
      </c>
      <c r="N1205" s="4">
        <v>7</v>
      </c>
      <c r="O1205" t="s">
        <v>29</v>
      </c>
      <c r="P1205" t="s">
        <v>29</v>
      </c>
      <c r="Q1205" s="4">
        <v>392560</v>
      </c>
      <c r="R1205" s="4">
        <v>237205</v>
      </c>
      <c r="S1205" s="4">
        <f>Table1[[#This Row],[Service_Revenue]]-Table1[[#This Row],[Service_Cost]]</f>
        <v>155355</v>
      </c>
      <c r="T1205" s="4">
        <v>3</v>
      </c>
      <c r="U1205" s="4">
        <f>IF(AND(Table1[[#This Row],[Rework_Flag]]="Yes",Table1[[#This Row],[Warranty_Claim]]="No"),Table1[[#This Row],[Service_Revenue]],0)</f>
        <v>0</v>
      </c>
      <c r="V1205" s="4">
        <f>IF(Table1[[#This Row],[Warranty_Claim]]="Yes",1,0)</f>
        <v>1</v>
      </c>
      <c r="W1205" s="4">
        <f>IF(Table1[[#This Row],[Rework_Flag]]="No",1,0)</f>
        <v>0</v>
      </c>
      <c r="X1205" s="4">
        <f>IF(Table1[[#This Row],[Rework_Flag]]="Yes",1,0)</f>
        <v>1</v>
      </c>
      <c r="Y1205" s="4">
        <v>1</v>
      </c>
      <c r="Z1205" s="4" t="str">
        <f>IF(Table1[[#This Row],[TAT_Days]]&gt;Table1[[#This Row],[SLA_TAT]],"Yes","No")</f>
        <v>No</v>
      </c>
      <c r="AA1205" s="4" t="str" cm="1">
        <f t="array" ref="AA1205">_xlfn.IFS(Table1[[#This Row],[Customer_Satisfaction]]&lt;=2,"Poor",Table1[[#This Row],[Customer_Satisfaction]]=3,"Neutral",Table1[[#This Row],[Customer_Satisfaction]]=4,"Good",Table1[[#This Row],[Customer_Satisfaction]]=5,"Good")</f>
        <v>Neutral</v>
      </c>
    </row>
    <row r="1206" spans="1:27" x14ac:dyDescent="0.35">
      <c r="A1206">
        <v>21204</v>
      </c>
      <c r="B1206" s="1">
        <v>45309</v>
      </c>
      <c r="C1206" t="s">
        <v>30</v>
      </c>
      <c r="D1206" t="s">
        <v>59</v>
      </c>
      <c r="E1206" t="s">
        <v>66</v>
      </c>
      <c r="F1206" t="s">
        <v>40</v>
      </c>
      <c r="G1206" t="s">
        <v>74</v>
      </c>
      <c r="H1206" t="s">
        <v>34</v>
      </c>
      <c r="I1206" t="s">
        <v>55</v>
      </c>
      <c r="J1206" t="s">
        <v>58</v>
      </c>
      <c r="K1206" t="s">
        <v>44</v>
      </c>
      <c r="L1206" t="s">
        <v>49</v>
      </c>
      <c r="M1206" s="4">
        <v>7</v>
      </c>
      <c r="N1206" s="4">
        <v>7</v>
      </c>
      <c r="O1206" t="s">
        <v>36</v>
      </c>
      <c r="P1206" t="s">
        <v>29</v>
      </c>
      <c r="Q1206" s="4">
        <v>381462</v>
      </c>
      <c r="R1206" s="4">
        <v>322364</v>
      </c>
      <c r="S1206" s="4">
        <f>Table1[[#This Row],[Service_Revenue]]-Table1[[#This Row],[Service_Cost]]</f>
        <v>59098</v>
      </c>
      <c r="T1206" s="4">
        <v>4</v>
      </c>
      <c r="U1206" s="4">
        <f>IF(AND(Table1[[#This Row],[Rework_Flag]]="Yes",Table1[[#This Row],[Warranty_Claim]]="No"),Table1[[#This Row],[Service_Revenue]],0)</f>
        <v>0</v>
      </c>
      <c r="V1206" s="4">
        <f>IF(Table1[[#This Row],[Warranty_Claim]]="Yes",1,0)</f>
        <v>1</v>
      </c>
      <c r="W1206" s="4">
        <f>IF(Table1[[#This Row],[Rework_Flag]]="No",1,0)</f>
        <v>1</v>
      </c>
      <c r="X1206" s="4">
        <f>IF(Table1[[#This Row],[Rework_Flag]]="Yes",1,0)</f>
        <v>0</v>
      </c>
      <c r="Y1206" s="4">
        <v>1</v>
      </c>
      <c r="Z1206" s="4" t="str">
        <f>IF(Table1[[#This Row],[TAT_Days]]&gt;Table1[[#This Row],[SLA_TAT]],"Yes","No")</f>
        <v>No</v>
      </c>
      <c r="AA1206" s="4" t="str" cm="1">
        <f t="array" ref="AA1206">_xlfn.IFS(Table1[[#This Row],[Customer_Satisfaction]]&lt;=2,"Poor",Table1[[#This Row],[Customer_Satisfaction]]=3,"Neutral",Table1[[#This Row],[Customer_Satisfaction]]=4,"Good",Table1[[#This Row],[Customer_Satisfaction]]=5,"Good")</f>
        <v>Good</v>
      </c>
    </row>
    <row r="1207" spans="1:27" x14ac:dyDescent="0.35">
      <c r="A1207">
        <v>21205</v>
      </c>
      <c r="B1207" s="1">
        <v>45337</v>
      </c>
      <c r="C1207" t="s">
        <v>19</v>
      </c>
      <c r="D1207" t="s">
        <v>96</v>
      </c>
      <c r="E1207" t="s">
        <v>108</v>
      </c>
      <c r="F1207" t="s">
        <v>22</v>
      </c>
      <c r="G1207" t="s">
        <v>63</v>
      </c>
      <c r="H1207" t="s">
        <v>24</v>
      </c>
      <c r="I1207" t="s">
        <v>55</v>
      </c>
      <c r="J1207" t="s">
        <v>26</v>
      </c>
      <c r="K1207" t="s">
        <v>44</v>
      </c>
      <c r="L1207" t="s">
        <v>28</v>
      </c>
      <c r="M1207" s="4">
        <v>25</v>
      </c>
      <c r="N1207" s="4">
        <v>7</v>
      </c>
      <c r="O1207" t="s">
        <v>29</v>
      </c>
      <c r="P1207" t="s">
        <v>36</v>
      </c>
      <c r="Q1207" s="4">
        <v>454030</v>
      </c>
      <c r="R1207" s="4">
        <v>322840</v>
      </c>
      <c r="S1207" s="4">
        <f>Table1[[#This Row],[Service_Revenue]]-Table1[[#This Row],[Service_Cost]]</f>
        <v>131190</v>
      </c>
      <c r="T1207" s="4">
        <v>1</v>
      </c>
      <c r="U1207" s="4">
        <f>IF(AND(Table1[[#This Row],[Rework_Flag]]="Yes",Table1[[#This Row],[Warranty_Claim]]="No"),Table1[[#This Row],[Service_Revenue]],0)</f>
        <v>454030</v>
      </c>
      <c r="V1207" s="4">
        <f>IF(Table1[[#This Row],[Warranty_Claim]]="Yes",1,0)</f>
        <v>0</v>
      </c>
      <c r="W1207" s="4">
        <f>IF(Table1[[#This Row],[Rework_Flag]]="No",1,0)</f>
        <v>0</v>
      </c>
      <c r="X1207" s="4">
        <f>IF(Table1[[#This Row],[Rework_Flag]]="Yes",1,0)</f>
        <v>1</v>
      </c>
      <c r="Y1207" s="4">
        <v>1</v>
      </c>
      <c r="Z1207" s="4" t="str">
        <f>IF(Table1[[#This Row],[TAT_Days]]&gt;Table1[[#This Row],[SLA_TAT]],"Yes","No")</f>
        <v>Yes</v>
      </c>
      <c r="AA1207" s="4" t="str" cm="1">
        <f t="array" ref="AA1207">_xlfn.IFS(Table1[[#This Row],[Customer_Satisfaction]]&lt;=2,"Poor",Table1[[#This Row],[Customer_Satisfaction]]=3,"Neutral",Table1[[#This Row],[Customer_Satisfaction]]=4,"Good",Table1[[#This Row],[Customer_Satisfaction]]=5,"Good")</f>
        <v>Poor</v>
      </c>
    </row>
    <row r="1208" spans="1:27" x14ac:dyDescent="0.35">
      <c r="A1208">
        <v>21206</v>
      </c>
      <c r="B1208" s="1">
        <v>45334</v>
      </c>
      <c r="C1208" t="s">
        <v>37</v>
      </c>
      <c r="D1208" t="s">
        <v>38</v>
      </c>
      <c r="E1208" t="s">
        <v>102</v>
      </c>
      <c r="F1208" t="s">
        <v>53</v>
      </c>
      <c r="G1208" t="s">
        <v>33</v>
      </c>
      <c r="H1208" t="s">
        <v>34</v>
      </c>
      <c r="I1208" t="s">
        <v>25</v>
      </c>
      <c r="J1208" t="s">
        <v>43</v>
      </c>
      <c r="K1208" t="s">
        <v>44</v>
      </c>
      <c r="L1208" t="s">
        <v>49</v>
      </c>
      <c r="M1208" s="4">
        <v>5</v>
      </c>
      <c r="N1208" s="4">
        <v>7</v>
      </c>
      <c r="O1208" t="s">
        <v>36</v>
      </c>
      <c r="P1208" t="s">
        <v>29</v>
      </c>
      <c r="Q1208" s="4">
        <v>469808</v>
      </c>
      <c r="R1208" s="4">
        <v>318646</v>
      </c>
      <c r="S1208" s="4">
        <f>Table1[[#This Row],[Service_Revenue]]-Table1[[#This Row],[Service_Cost]]</f>
        <v>151162</v>
      </c>
      <c r="T1208" s="4">
        <v>4</v>
      </c>
      <c r="U1208" s="4">
        <f>IF(AND(Table1[[#This Row],[Rework_Flag]]="Yes",Table1[[#This Row],[Warranty_Claim]]="No"),Table1[[#This Row],[Service_Revenue]],0)</f>
        <v>0</v>
      </c>
      <c r="V1208" s="4">
        <f>IF(Table1[[#This Row],[Warranty_Claim]]="Yes",1,0)</f>
        <v>1</v>
      </c>
      <c r="W1208" s="4">
        <f>IF(Table1[[#This Row],[Rework_Flag]]="No",1,0)</f>
        <v>1</v>
      </c>
      <c r="X1208" s="4">
        <f>IF(Table1[[#This Row],[Rework_Flag]]="Yes",1,0)</f>
        <v>0</v>
      </c>
      <c r="Y1208" s="4">
        <v>1</v>
      </c>
      <c r="Z1208" s="4" t="str">
        <f>IF(Table1[[#This Row],[TAT_Days]]&gt;Table1[[#This Row],[SLA_TAT]],"Yes","No")</f>
        <v>No</v>
      </c>
      <c r="AA1208" s="4" t="str" cm="1">
        <f t="array" ref="AA1208">_xlfn.IFS(Table1[[#This Row],[Customer_Satisfaction]]&lt;=2,"Poor",Table1[[#This Row],[Customer_Satisfaction]]=3,"Neutral",Table1[[#This Row],[Customer_Satisfaction]]=4,"Good",Table1[[#This Row],[Customer_Satisfaction]]=5,"Good")</f>
        <v>Good</v>
      </c>
    </row>
    <row r="1209" spans="1:27" x14ac:dyDescent="0.35">
      <c r="A1209">
        <v>21207</v>
      </c>
      <c r="B1209" s="1">
        <v>45345</v>
      </c>
      <c r="C1209" t="s">
        <v>19</v>
      </c>
      <c r="D1209" t="s">
        <v>20</v>
      </c>
      <c r="E1209" t="s">
        <v>86</v>
      </c>
      <c r="F1209" t="s">
        <v>40</v>
      </c>
      <c r="G1209" t="s">
        <v>33</v>
      </c>
      <c r="H1209" t="s">
        <v>34</v>
      </c>
      <c r="I1209" t="s">
        <v>55</v>
      </c>
      <c r="J1209" t="s">
        <v>43</v>
      </c>
      <c r="K1209" t="s">
        <v>27</v>
      </c>
      <c r="L1209" t="s">
        <v>28</v>
      </c>
      <c r="M1209" s="4">
        <v>6</v>
      </c>
      <c r="N1209" s="4">
        <v>7</v>
      </c>
      <c r="O1209" t="s">
        <v>36</v>
      </c>
      <c r="P1209" t="s">
        <v>36</v>
      </c>
      <c r="Q1209" s="4">
        <v>175835</v>
      </c>
      <c r="R1209" s="4">
        <v>98156</v>
      </c>
      <c r="S1209" s="4">
        <f>Table1[[#This Row],[Service_Revenue]]-Table1[[#This Row],[Service_Cost]]</f>
        <v>77679</v>
      </c>
      <c r="T1209" s="4">
        <v>4</v>
      </c>
      <c r="U1209" s="4">
        <f>IF(AND(Table1[[#This Row],[Rework_Flag]]="Yes",Table1[[#This Row],[Warranty_Claim]]="No"),Table1[[#This Row],[Service_Revenue]],0)</f>
        <v>0</v>
      </c>
      <c r="V1209" s="4">
        <f>IF(Table1[[#This Row],[Warranty_Claim]]="Yes",1,0)</f>
        <v>0</v>
      </c>
      <c r="W1209" s="4">
        <f>IF(Table1[[#This Row],[Rework_Flag]]="No",1,0)</f>
        <v>1</v>
      </c>
      <c r="X1209" s="4">
        <f>IF(Table1[[#This Row],[Rework_Flag]]="Yes",1,0)</f>
        <v>0</v>
      </c>
      <c r="Y1209" s="4">
        <v>1</v>
      </c>
      <c r="Z1209" s="4" t="str">
        <f>IF(Table1[[#This Row],[TAT_Days]]&gt;Table1[[#This Row],[SLA_TAT]],"Yes","No")</f>
        <v>No</v>
      </c>
      <c r="AA1209" s="4" t="str" cm="1">
        <f t="array" ref="AA1209">_xlfn.IFS(Table1[[#This Row],[Customer_Satisfaction]]&lt;=2,"Poor",Table1[[#This Row],[Customer_Satisfaction]]=3,"Neutral",Table1[[#This Row],[Customer_Satisfaction]]=4,"Good",Table1[[#This Row],[Customer_Satisfaction]]=5,"Good")</f>
        <v>Good</v>
      </c>
    </row>
    <row r="1210" spans="1:27" x14ac:dyDescent="0.35">
      <c r="A1210">
        <v>21208</v>
      </c>
      <c r="B1210" s="1">
        <v>45421</v>
      </c>
      <c r="C1210" t="s">
        <v>50</v>
      </c>
      <c r="D1210" t="s">
        <v>51</v>
      </c>
      <c r="E1210" t="s">
        <v>52</v>
      </c>
      <c r="F1210" t="s">
        <v>40</v>
      </c>
      <c r="G1210" t="s">
        <v>74</v>
      </c>
      <c r="H1210" t="s">
        <v>34</v>
      </c>
      <c r="I1210" t="s">
        <v>55</v>
      </c>
      <c r="J1210" t="s">
        <v>58</v>
      </c>
      <c r="K1210" t="s">
        <v>61</v>
      </c>
      <c r="L1210" t="s">
        <v>28</v>
      </c>
      <c r="M1210" s="4">
        <v>10</v>
      </c>
      <c r="N1210" s="4">
        <v>7</v>
      </c>
      <c r="O1210" t="s">
        <v>36</v>
      </c>
      <c r="P1210" t="s">
        <v>29</v>
      </c>
      <c r="Q1210" s="4">
        <v>535145</v>
      </c>
      <c r="R1210" s="4">
        <v>400215</v>
      </c>
      <c r="S1210" s="4">
        <f>Table1[[#This Row],[Service_Revenue]]-Table1[[#This Row],[Service_Cost]]</f>
        <v>134930</v>
      </c>
      <c r="T1210" s="4">
        <v>3</v>
      </c>
      <c r="U1210" s="4">
        <f>IF(AND(Table1[[#This Row],[Rework_Flag]]="Yes",Table1[[#This Row],[Warranty_Claim]]="No"),Table1[[#This Row],[Service_Revenue]],0)</f>
        <v>0</v>
      </c>
      <c r="V1210" s="4">
        <f>IF(Table1[[#This Row],[Warranty_Claim]]="Yes",1,0)</f>
        <v>1</v>
      </c>
      <c r="W1210" s="4">
        <f>IF(Table1[[#This Row],[Rework_Flag]]="No",1,0)</f>
        <v>1</v>
      </c>
      <c r="X1210" s="4">
        <f>IF(Table1[[#This Row],[Rework_Flag]]="Yes",1,0)</f>
        <v>0</v>
      </c>
      <c r="Y1210" s="4">
        <v>1</v>
      </c>
      <c r="Z1210" s="4" t="str">
        <f>IF(Table1[[#This Row],[TAT_Days]]&gt;Table1[[#This Row],[SLA_TAT]],"Yes","No")</f>
        <v>Yes</v>
      </c>
      <c r="AA1210" s="4" t="str" cm="1">
        <f t="array" ref="AA1210">_xlfn.IFS(Table1[[#This Row],[Customer_Satisfaction]]&lt;=2,"Poor",Table1[[#This Row],[Customer_Satisfaction]]=3,"Neutral",Table1[[#This Row],[Customer_Satisfaction]]=4,"Good",Table1[[#This Row],[Customer_Satisfaction]]=5,"Good")</f>
        <v>Neutral</v>
      </c>
    </row>
    <row r="1211" spans="1:27" x14ac:dyDescent="0.35">
      <c r="A1211">
        <v>21209</v>
      </c>
      <c r="B1211" s="1">
        <v>45352</v>
      </c>
      <c r="C1211" t="s">
        <v>30</v>
      </c>
      <c r="D1211" t="s">
        <v>31</v>
      </c>
      <c r="E1211" t="s">
        <v>79</v>
      </c>
      <c r="F1211" t="s">
        <v>53</v>
      </c>
      <c r="G1211" t="s">
        <v>47</v>
      </c>
      <c r="H1211" t="s">
        <v>48</v>
      </c>
      <c r="I1211" t="s">
        <v>55</v>
      </c>
      <c r="J1211" t="s">
        <v>26</v>
      </c>
      <c r="K1211" t="s">
        <v>27</v>
      </c>
      <c r="L1211" t="s">
        <v>28</v>
      </c>
      <c r="M1211" s="4">
        <v>16</v>
      </c>
      <c r="N1211" s="4">
        <v>7</v>
      </c>
      <c r="O1211" t="s">
        <v>29</v>
      </c>
      <c r="P1211" t="s">
        <v>36</v>
      </c>
      <c r="Q1211" s="4">
        <v>195399</v>
      </c>
      <c r="R1211" s="4">
        <v>131816</v>
      </c>
      <c r="S1211" s="4">
        <f>Table1[[#This Row],[Service_Revenue]]-Table1[[#This Row],[Service_Cost]]</f>
        <v>63583</v>
      </c>
      <c r="T1211" s="4">
        <v>1</v>
      </c>
      <c r="U1211" s="4">
        <f>IF(AND(Table1[[#This Row],[Rework_Flag]]="Yes",Table1[[#This Row],[Warranty_Claim]]="No"),Table1[[#This Row],[Service_Revenue]],0)</f>
        <v>195399</v>
      </c>
      <c r="V1211" s="4">
        <f>IF(Table1[[#This Row],[Warranty_Claim]]="Yes",1,0)</f>
        <v>0</v>
      </c>
      <c r="W1211" s="4">
        <f>IF(Table1[[#This Row],[Rework_Flag]]="No",1,0)</f>
        <v>0</v>
      </c>
      <c r="X1211" s="4">
        <f>IF(Table1[[#This Row],[Rework_Flag]]="Yes",1,0)</f>
        <v>1</v>
      </c>
      <c r="Y1211" s="4">
        <v>1</v>
      </c>
      <c r="Z1211" s="4" t="str">
        <f>IF(Table1[[#This Row],[TAT_Days]]&gt;Table1[[#This Row],[SLA_TAT]],"Yes","No")</f>
        <v>Yes</v>
      </c>
      <c r="AA1211" s="4" t="str" cm="1">
        <f t="array" ref="AA1211">_xlfn.IFS(Table1[[#This Row],[Customer_Satisfaction]]&lt;=2,"Poor",Table1[[#This Row],[Customer_Satisfaction]]=3,"Neutral",Table1[[#This Row],[Customer_Satisfaction]]=4,"Good",Table1[[#This Row],[Customer_Satisfaction]]=5,"Good")</f>
        <v>Poor</v>
      </c>
    </row>
    <row r="1212" spans="1:27" x14ac:dyDescent="0.35">
      <c r="A1212">
        <v>21210</v>
      </c>
      <c r="B1212" s="1">
        <v>45370</v>
      </c>
      <c r="C1212" t="s">
        <v>37</v>
      </c>
      <c r="D1212" t="s">
        <v>38</v>
      </c>
      <c r="E1212" t="s">
        <v>112</v>
      </c>
      <c r="F1212" t="s">
        <v>53</v>
      </c>
      <c r="G1212" t="s">
        <v>54</v>
      </c>
      <c r="H1212" t="s">
        <v>42</v>
      </c>
      <c r="I1212" t="s">
        <v>25</v>
      </c>
      <c r="J1212" t="s">
        <v>26</v>
      </c>
      <c r="K1212" t="s">
        <v>61</v>
      </c>
      <c r="L1212" t="s">
        <v>28</v>
      </c>
      <c r="M1212" s="4">
        <v>4</v>
      </c>
      <c r="N1212" s="4">
        <v>7</v>
      </c>
      <c r="O1212" t="s">
        <v>36</v>
      </c>
      <c r="P1212" t="s">
        <v>36</v>
      </c>
      <c r="Q1212" s="4">
        <v>418302</v>
      </c>
      <c r="R1212" s="4">
        <v>261781</v>
      </c>
      <c r="S1212" s="4">
        <f>Table1[[#This Row],[Service_Revenue]]-Table1[[#This Row],[Service_Cost]]</f>
        <v>156521</v>
      </c>
      <c r="T1212" s="4">
        <v>5</v>
      </c>
      <c r="U1212" s="4">
        <f>IF(AND(Table1[[#This Row],[Rework_Flag]]="Yes",Table1[[#This Row],[Warranty_Claim]]="No"),Table1[[#This Row],[Service_Revenue]],0)</f>
        <v>0</v>
      </c>
      <c r="V1212" s="4">
        <f>IF(Table1[[#This Row],[Warranty_Claim]]="Yes",1,0)</f>
        <v>0</v>
      </c>
      <c r="W1212" s="4">
        <f>IF(Table1[[#This Row],[Rework_Flag]]="No",1,0)</f>
        <v>1</v>
      </c>
      <c r="X1212" s="4">
        <f>IF(Table1[[#This Row],[Rework_Flag]]="Yes",1,0)</f>
        <v>0</v>
      </c>
      <c r="Y1212" s="4">
        <v>1</v>
      </c>
      <c r="Z1212" s="4" t="str">
        <f>IF(Table1[[#This Row],[TAT_Days]]&gt;Table1[[#This Row],[SLA_TAT]],"Yes","No")</f>
        <v>No</v>
      </c>
      <c r="AA1212" s="4" t="str" cm="1">
        <f t="array" ref="AA1212">_xlfn.IFS(Table1[[#This Row],[Customer_Satisfaction]]&lt;=2,"Poor",Table1[[#This Row],[Customer_Satisfaction]]=3,"Neutral",Table1[[#This Row],[Customer_Satisfaction]]=4,"Good",Table1[[#This Row],[Customer_Satisfaction]]=5,"Good")</f>
        <v>Good</v>
      </c>
    </row>
    <row r="1213" spans="1:27" x14ac:dyDescent="0.35">
      <c r="A1213">
        <v>21211</v>
      </c>
      <c r="B1213" s="1">
        <v>45311</v>
      </c>
      <c r="C1213" t="s">
        <v>30</v>
      </c>
      <c r="D1213" t="s">
        <v>59</v>
      </c>
      <c r="E1213" t="s">
        <v>69</v>
      </c>
      <c r="F1213" t="s">
        <v>40</v>
      </c>
      <c r="G1213" t="s">
        <v>63</v>
      </c>
      <c r="H1213" t="s">
        <v>24</v>
      </c>
      <c r="I1213" t="s">
        <v>55</v>
      </c>
      <c r="J1213" t="s">
        <v>67</v>
      </c>
      <c r="K1213" t="s">
        <v>61</v>
      </c>
      <c r="L1213" t="s">
        <v>28</v>
      </c>
      <c r="M1213" s="4">
        <v>22</v>
      </c>
      <c r="N1213" s="4">
        <v>7</v>
      </c>
      <c r="O1213" t="s">
        <v>29</v>
      </c>
      <c r="P1213" t="s">
        <v>36</v>
      </c>
      <c r="Q1213" s="4">
        <v>117899</v>
      </c>
      <c r="R1213" s="4">
        <v>64313</v>
      </c>
      <c r="S1213" s="4">
        <f>Table1[[#This Row],[Service_Revenue]]-Table1[[#This Row],[Service_Cost]]</f>
        <v>53586</v>
      </c>
      <c r="T1213" s="4">
        <v>1</v>
      </c>
      <c r="U1213" s="4">
        <f>IF(AND(Table1[[#This Row],[Rework_Flag]]="Yes",Table1[[#This Row],[Warranty_Claim]]="No"),Table1[[#This Row],[Service_Revenue]],0)</f>
        <v>117899</v>
      </c>
      <c r="V1213" s="4">
        <f>IF(Table1[[#This Row],[Warranty_Claim]]="Yes",1,0)</f>
        <v>0</v>
      </c>
      <c r="W1213" s="4">
        <f>IF(Table1[[#This Row],[Rework_Flag]]="No",1,0)</f>
        <v>0</v>
      </c>
      <c r="X1213" s="4">
        <f>IF(Table1[[#This Row],[Rework_Flag]]="Yes",1,0)</f>
        <v>1</v>
      </c>
      <c r="Y1213" s="4">
        <v>1</v>
      </c>
      <c r="Z1213" s="4" t="str">
        <f>IF(Table1[[#This Row],[TAT_Days]]&gt;Table1[[#This Row],[SLA_TAT]],"Yes","No")</f>
        <v>Yes</v>
      </c>
      <c r="AA1213" s="4" t="str" cm="1">
        <f t="array" ref="AA1213">_xlfn.IFS(Table1[[#This Row],[Customer_Satisfaction]]&lt;=2,"Poor",Table1[[#This Row],[Customer_Satisfaction]]=3,"Neutral",Table1[[#This Row],[Customer_Satisfaction]]=4,"Good",Table1[[#This Row],[Customer_Satisfaction]]=5,"Good")</f>
        <v>Poor</v>
      </c>
    </row>
    <row r="1214" spans="1:27" x14ac:dyDescent="0.35">
      <c r="A1214">
        <v>21212</v>
      </c>
      <c r="B1214" s="1">
        <v>45347</v>
      </c>
      <c r="C1214" t="s">
        <v>50</v>
      </c>
      <c r="D1214" t="s">
        <v>80</v>
      </c>
      <c r="E1214" t="s">
        <v>104</v>
      </c>
      <c r="F1214" t="s">
        <v>53</v>
      </c>
      <c r="G1214" t="s">
        <v>41</v>
      </c>
      <c r="H1214" t="s">
        <v>42</v>
      </c>
      <c r="I1214" t="s">
        <v>25</v>
      </c>
      <c r="J1214" t="s">
        <v>26</v>
      </c>
      <c r="K1214" t="s">
        <v>27</v>
      </c>
      <c r="L1214" t="s">
        <v>28</v>
      </c>
      <c r="M1214" s="4">
        <v>8</v>
      </c>
      <c r="N1214" s="4">
        <v>7</v>
      </c>
      <c r="O1214" t="s">
        <v>36</v>
      </c>
      <c r="P1214" t="s">
        <v>36</v>
      </c>
      <c r="Q1214" s="4">
        <v>254149</v>
      </c>
      <c r="R1214" s="4">
        <v>173089</v>
      </c>
      <c r="S1214" s="4">
        <f>Table1[[#This Row],[Service_Revenue]]-Table1[[#This Row],[Service_Cost]]</f>
        <v>81060</v>
      </c>
      <c r="T1214" s="4">
        <v>4</v>
      </c>
      <c r="U1214" s="4">
        <f>IF(AND(Table1[[#This Row],[Rework_Flag]]="Yes",Table1[[#This Row],[Warranty_Claim]]="No"),Table1[[#This Row],[Service_Revenue]],0)</f>
        <v>0</v>
      </c>
      <c r="V1214" s="4">
        <f>IF(Table1[[#This Row],[Warranty_Claim]]="Yes",1,0)</f>
        <v>0</v>
      </c>
      <c r="W1214" s="4">
        <f>IF(Table1[[#This Row],[Rework_Flag]]="No",1,0)</f>
        <v>1</v>
      </c>
      <c r="X1214" s="4">
        <f>IF(Table1[[#This Row],[Rework_Flag]]="Yes",1,0)</f>
        <v>0</v>
      </c>
      <c r="Y1214" s="4">
        <v>1</v>
      </c>
      <c r="Z1214" s="4" t="str">
        <f>IF(Table1[[#This Row],[TAT_Days]]&gt;Table1[[#This Row],[SLA_TAT]],"Yes","No")</f>
        <v>Yes</v>
      </c>
      <c r="AA1214" s="4" t="str" cm="1">
        <f t="array" ref="AA1214">_xlfn.IFS(Table1[[#This Row],[Customer_Satisfaction]]&lt;=2,"Poor",Table1[[#This Row],[Customer_Satisfaction]]=3,"Neutral",Table1[[#This Row],[Customer_Satisfaction]]=4,"Good",Table1[[#This Row],[Customer_Satisfaction]]=5,"Good")</f>
        <v>Good</v>
      </c>
    </row>
    <row r="1215" spans="1:27" x14ac:dyDescent="0.35">
      <c r="A1215">
        <v>21213</v>
      </c>
      <c r="B1215" s="1">
        <v>45326</v>
      </c>
      <c r="C1215" t="s">
        <v>50</v>
      </c>
      <c r="D1215" t="s">
        <v>80</v>
      </c>
      <c r="E1215" t="s">
        <v>85</v>
      </c>
      <c r="F1215" t="s">
        <v>22</v>
      </c>
      <c r="G1215" t="s">
        <v>74</v>
      </c>
      <c r="H1215" t="s">
        <v>34</v>
      </c>
      <c r="I1215" t="s">
        <v>25</v>
      </c>
      <c r="J1215" t="s">
        <v>67</v>
      </c>
      <c r="K1215" t="s">
        <v>44</v>
      </c>
      <c r="L1215" t="s">
        <v>49</v>
      </c>
      <c r="M1215" s="4">
        <v>20</v>
      </c>
      <c r="N1215" s="4">
        <v>7</v>
      </c>
      <c r="O1215" t="s">
        <v>36</v>
      </c>
      <c r="P1215" t="s">
        <v>29</v>
      </c>
      <c r="Q1215" s="4">
        <v>430366</v>
      </c>
      <c r="R1215" s="4">
        <v>235764</v>
      </c>
      <c r="S1215" s="4">
        <f>Table1[[#This Row],[Service_Revenue]]-Table1[[#This Row],[Service_Cost]]</f>
        <v>194602</v>
      </c>
      <c r="T1215" s="4">
        <v>1</v>
      </c>
      <c r="U1215" s="4">
        <f>IF(AND(Table1[[#This Row],[Rework_Flag]]="Yes",Table1[[#This Row],[Warranty_Claim]]="No"),Table1[[#This Row],[Service_Revenue]],0)</f>
        <v>0</v>
      </c>
      <c r="V1215" s="4">
        <f>IF(Table1[[#This Row],[Warranty_Claim]]="Yes",1,0)</f>
        <v>1</v>
      </c>
      <c r="W1215" s="4">
        <f>IF(Table1[[#This Row],[Rework_Flag]]="No",1,0)</f>
        <v>1</v>
      </c>
      <c r="X1215" s="4">
        <f>IF(Table1[[#This Row],[Rework_Flag]]="Yes",1,0)</f>
        <v>0</v>
      </c>
      <c r="Y1215" s="4">
        <v>1</v>
      </c>
      <c r="Z1215" s="4" t="str">
        <f>IF(Table1[[#This Row],[TAT_Days]]&gt;Table1[[#This Row],[SLA_TAT]],"Yes","No")</f>
        <v>Yes</v>
      </c>
      <c r="AA1215" s="4" t="str" cm="1">
        <f t="array" ref="AA1215">_xlfn.IFS(Table1[[#This Row],[Customer_Satisfaction]]&lt;=2,"Poor",Table1[[#This Row],[Customer_Satisfaction]]=3,"Neutral",Table1[[#This Row],[Customer_Satisfaction]]=4,"Good",Table1[[#This Row],[Customer_Satisfaction]]=5,"Good")</f>
        <v>Poor</v>
      </c>
    </row>
    <row r="1216" spans="1:27" x14ac:dyDescent="0.35">
      <c r="A1216">
        <v>21214</v>
      </c>
      <c r="B1216" s="1">
        <v>45361</v>
      </c>
      <c r="C1216" t="s">
        <v>30</v>
      </c>
      <c r="D1216" t="s">
        <v>59</v>
      </c>
      <c r="E1216" t="s">
        <v>60</v>
      </c>
      <c r="F1216" t="s">
        <v>53</v>
      </c>
      <c r="G1216" t="s">
        <v>63</v>
      </c>
      <c r="H1216" t="s">
        <v>24</v>
      </c>
      <c r="I1216" t="s">
        <v>55</v>
      </c>
      <c r="J1216" t="s">
        <v>43</v>
      </c>
      <c r="K1216" t="s">
        <v>44</v>
      </c>
      <c r="L1216" t="s">
        <v>28</v>
      </c>
      <c r="M1216" s="4">
        <v>20</v>
      </c>
      <c r="N1216" s="4">
        <v>7</v>
      </c>
      <c r="O1216" t="s">
        <v>29</v>
      </c>
      <c r="P1216" t="s">
        <v>36</v>
      </c>
      <c r="Q1216" s="4">
        <v>231311</v>
      </c>
      <c r="R1216" s="4">
        <v>157090</v>
      </c>
      <c r="S1216" s="4">
        <f>Table1[[#This Row],[Service_Revenue]]-Table1[[#This Row],[Service_Cost]]</f>
        <v>74221</v>
      </c>
      <c r="T1216" s="4">
        <v>1</v>
      </c>
      <c r="U1216" s="4">
        <f>IF(AND(Table1[[#This Row],[Rework_Flag]]="Yes",Table1[[#This Row],[Warranty_Claim]]="No"),Table1[[#This Row],[Service_Revenue]],0)</f>
        <v>231311</v>
      </c>
      <c r="V1216" s="4">
        <f>IF(Table1[[#This Row],[Warranty_Claim]]="Yes",1,0)</f>
        <v>0</v>
      </c>
      <c r="W1216" s="4">
        <f>IF(Table1[[#This Row],[Rework_Flag]]="No",1,0)</f>
        <v>0</v>
      </c>
      <c r="X1216" s="4">
        <f>IF(Table1[[#This Row],[Rework_Flag]]="Yes",1,0)</f>
        <v>1</v>
      </c>
      <c r="Y1216" s="4">
        <v>1</v>
      </c>
      <c r="Z1216" s="4" t="str">
        <f>IF(Table1[[#This Row],[TAT_Days]]&gt;Table1[[#This Row],[SLA_TAT]],"Yes","No")</f>
        <v>Yes</v>
      </c>
      <c r="AA1216" s="4" t="str" cm="1">
        <f t="array" ref="AA1216">_xlfn.IFS(Table1[[#This Row],[Customer_Satisfaction]]&lt;=2,"Poor",Table1[[#This Row],[Customer_Satisfaction]]=3,"Neutral",Table1[[#This Row],[Customer_Satisfaction]]=4,"Good",Table1[[#This Row],[Customer_Satisfaction]]=5,"Good")</f>
        <v>Poor</v>
      </c>
    </row>
    <row r="1217" spans="1:27" x14ac:dyDescent="0.35">
      <c r="A1217">
        <v>21215</v>
      </c>
      <c r="B1217" s="1">
        <v>45407</v>
      </c>
      <c r="C1217" t="s">
        <v>50</v>
      </c>
      <c r="D1217" t="s">
        <v>51</v>
      </c>
      <c r="E1217" t="s">
        <v>120</v>
      </c>
      <c r="F1217" t="s">
        <v>53</v>
      </c>
      <c r="G1217" t="s">
        <v>54</v>
      </c>
      <c r="H1217" t="s">
        <v>42</v>
      </c>
      <c r="I1217" t="s">
        <v>55</v>
      </c>
      <c r="J1217" t="s">
        <v>43</v>
      </c>
      <c r="K1217" t="s">
        <v>61</v>
      </c>
      <c r="L1217" t="s">
        <v>49</v>
      </c>
      <c r="M1217" s="4">
        <v>2</v>
      </c>
      <c r="N1217" s="4">
        <v>7</v>
      </c>
      <c r="O1217" t="s">
        <v>29</v>
      </c>
      <c r="P1217" t="s">
        <v>29</v>
      </c>
      <c r="Q1217" s="4">
        <v>287930</v>
      </c>
      <c r="R1217" s="4">
        <v>225721</v>
      </c>
      <c r="S1217" s="4">
        <f>Table1[[#This Row],[Service_Revenue]]-Table1[[#This Row],[Service_Cost]]</f>
        <v>62209</v>
      </c>
      <c r="T1217" s="4">
        <v>4</v>
      </c>
      <c r="U1217" s="4">
        <f>IF(AND(Table1[[#This Row],[Rework_Flag]]="Yes",Table1[[#This Row],[Warranty_Claim]]="No"),Table1[[#This Row],[Service_Revenue]],0)</f>
        <v>0</v>
      </c>
      <c r="V1217" s="4">
        <f>IF(Table1[[#This Row],[Warranty_Claim]]="Yes",1,0)</f>
        <v>1</v>
      </c>
      <c r="W1217" s="4">
        <f>IF(Table1[[#This Row],[Rework_Flag]]="No",1,0)</f>
        <v>0</v>
      </c>
      <c r="X1217" s="4">
        <f>IF(Table1[[#This Row],[Rework_Flag]]="Yes",1,0)</f>
        <v>1</v>
      </c>
      <c r="Y1217" s="4">
        <v>1</v>
      </c>
      <c r="Z1217" s="4" t="str">
        <f>IF(Table1[[#This Row],[TAT_Days]]&gt;Table1[[#This Row],[SLA_TAT]],"Yes","No")</f>
        <v>No</v>
      </c>
      <c r="AA1217" s="4" t="str" cm="1">
        <f t="array" ref="AA1217">_xlfn.IFS(Table1[[#This Row],[Customer_Satisfaction]]&lt;=2,"Poor",Table1[[#This Row],[Customer_Satisfaction]]=3,"Neutral",Table1[[#This Row],[Customer_Satisfaction]]=4,"Good",Table1[[#This Row],[Customer_Satisfaction]]=5,"Good")</f>
        <v>Good</v>
      </c>
    </row>
    <row r="1218" spans="1:27" x14ac:dyDescent="0.35">
      <c r="A1218">
        <v>21216</v>
      </c>
      <c r="B1218" s="1">
        <v>45374</v>
      </c>
      <c r="C1218" t="s">
        <v>19</v>
      </c>
      <c r="D1218" t="s">
        <v>20</v>
      </c>
      <c r="E1218" t="s">
        <v>89</v>
      </c>
      <c r="F1218" t="s">
        <v>53</v>
      </c>
      <c r="G1218" t="s">
        <v>74</v>
      </c>
      <c r="H1218" t="s">
        <v>34</v>
      </c>
      <c r="I1218" t="s">
        <v>25</v>
      </c>
      <c r="J1218" t="s">
        <v>43</v>
      </c>
      <c r="K1218" t="s">
        <v>61</v>
      </c>
      <c r="L1218" t="s">
        <v>28</v>
      </c>
      <c r="M1218" s="4">
        <v>24</v>
      </c>
      <c r="N1218" s="4">
        <v>7</v>
      </c>
      <c r="O1218" t="s">
        <v>29</v>
      </c>
      <c r="P1218" t="s">
        <v>36</v>
      </c>
      <c r="Q1218" s="4">
        <v>348336</v>
      </c>
      <c r="R1218" s="4">
        <v>185488</v>
      </c>
      <c r="S1218" s="4">
        <f>Table1[[#This Row],[Service_Revenue]]-Table1[[#This Row],[Service_Cost]]</f>
        <v>162848</v>
      </c>
      <c r="T1218" s="4">
        <v>1</v>
      </c>
      <c r="U1218" s="4">
        <f>IF(AND(Table1[[#This Row],[Rework_Flag]]="Yes",Table1[[#This Row],[Warranty_Claim]]="No"),Table1[[#This Row],[Service_Revenue]],0)</f>
        <v>348336</v>
      </c>
      <c r="V1218" s="4">
        <f>IF(Table1[[#This Row],[Warranty_Claim]]="Yes",1,0)</f>
        <v>0</v>
      </c>
      <c r="W1218" s="4">
        <f>IF(Table1[[#This Row],[Rework_Flag]]="No",1,0)</f>
        <v>0</v>
      </c>
      <c r="X1218" s="4">
        <f>IF(Table1[[#This Row],[Rework_Flag]]="Yes",1,0)</f>
        <v>1</v>
      </c>
      <c r="Y1218" s="4">
        <v>1</v>
      </c>
      <c r="Z1218" s="4" t="str">
        <f>IF(Table1[[#This Row],[TAT_Days]]&gt;Table1[[#This Row],[SLA_TAT]],"Yes","No")</f>
        <v>Yes</v>
      </c>
      <c r="AA1218" s="4" t="str" cm="1">
        <f t="array" ref="AA1218">_xlfn.IFS(Table1[[#This Row],[Customer_Satisfaction]]&lt;=2,"Poor",Table1[[#This Row],[Customer_Satisfaction]]=3,"Neutral",Table1[[#This Row],[Customer_Satisfaction]]=4,"Good",Table1[[#This Row],[Customer_Satisfaction]]=5,"Good")</f>
        <v>Poor</v>
      </c>
    </row>
    <row r="1219" spans="1:27" x14ac:dyDescent="0.35">
      <c r="A1219">
        <v>21217</v>
      </c>
      <c r="B1219" s="1">
        <v>45356</v>
      </c>
      <c r="C1219" t="s">
        <v>19</v>
      </c>
      <c r="D1219" t="s">
        <v>20</v>
      </c>
      <c r="E1219" t="s">
        <v>89</v>
      </c>
      <c r="F1219" t="s">
        <v>40</v>
      </c>
      <c r="G1219" t="s">
        <v>63</v>
      </c>
      <c r="H1219" t="s">
        <v>24</v>
      </c>
      <c r="I1219" t="s">
        <v>25</v>
      </c>
      <c r="J1219" t="s">
        <v>26</v>
      </c>
      <c r="K1219" t="s">
        <v>61</v>
      </c>
      <c r="L1219" t="s">
        <v>28</v>
      </c>
      <c r="M1219" s="4">
        <v>4</v>
      </c>
      <c r="N1219" s="4">
        <v>7</v>
      </c>
      <c r="O1219" t="s">
        <v>36</v>
      </c>
      <c r="P1219" t="s">
        <v>29</v>
      </c>
      <c r="Q1219" s="4">
        <v>504508</v>
      </c>
      <c r="R1219" s="4">
        <v>327238</v>
      </c>
      <c r="S1219" s="4">
        <f>Table1[[#This Row],[Service_Revenue]]-Table1[[#This Row],[Service_Cost]]</f>
        <v>177270</v>
      </c>
      <c r="T1219" s="4">
        <v>5</v>
      </c>
      <c r="U1219" s="4">
        <f>IF(AND(Table1[[#This Row],[Rework_Flag]]="Yes",Table1[[#This Row],[Warranty_Claim]]="No"),Table1[[#This Row],[Service_Revenue]],0)</f>
        <v>0</v>
      </c>
      <c r="V1219" s="4">
        <f>IF(Table1[[#This Row],[Warranty_Claim]]="Yes",1,0)</f>
        <v>1</v>
      </c>
      <c r="W1219" s="4">
        <f>IF(Table1[[#This Row],[Rework_Flag]]="No",1,0)</f>
        <v>1</v>
      </c>
      <c r="X1219" s="4">
        <f>IF(Table1[[#This Row],[Rework_Flag]]="Yes",1,0)</f>
        <v>0</v>
      </c>
      <c r="Y1219" s="4">
        <v>1</v>
      </c>
      <c r="Z1219" s="4" t="str">
        <f>IF(Table1[[#This Row],[TAT_Days]]&gt;Table1[[#This Row],[SLA_TAT]],"Yes","No")</f>
        <v>No</v>
      </c>
      <c r="AA1219" s="4" t="str" cm="1">
        <f t="array" ref="AA1219">_xlfn.IFS(Table1[[#This Row],[Customer_Satisfaction]]&lt;=2,"Poor",Table1[[#This Row],[Customer_Satisfaction]]=3,"Neutral",Table1[[#This Row],[Customer_Satisfaction]]=4,"Good",Table1[[#This Row],[Customer_Satisfaction]]=5,"Good")</f>
        <v>Good</v>
      </c>
    </row>
    <row r="1220" spans="1:27" x14ac:dyDescent="0.35">
      <c r="A1220">
        <v>21218</v>
      </c>
      <c r="B1220" s="1">
        <v>45415</v>
      </c>
      <c r="C1220" t="s">
        <v>50</v>
      </c>
      <c r="D1220" t="s">
        <v>80</v>
      </c>
      <c r="E1220" t="s">
        <v>85</v>
      </c>
      <c r="F1220" t="s">
        <v>40</v>
      </c>
      <c r="G1220" t="s">
        <v>54</v>
      </c>
      <c r="H1220" t="s">
        <v>42</v>
      </c>
      <c r="I1220" t="s">
        <v>25</v>
      </c>
      <c r="J1220" t="s">
        <v>35</v>
      </c>
      <c r="K1220" t="s">
        <v>61</v>
      </c>
      <c r="L1220" t="s">
        <v>49</v>
      </c>
      <c r="M1220" s="4">
        <v>10</v>
      </c>
      <c r="N1220" s="4">
        <v>7</v>
      </c>
      <c r="O1220" t="s">
        <v>29</v>
      </c>
      <c r="P1220" t="s">
        <v>36</v>
      </c>
      <c r="Q1220" s="4">
        <v>307714</v>
      </c>
      <c r="R1220" s="4">
        <v>256794</v>
      </c>
      <c r="S1220" s="4">
        <f>Table1[[#This Row],[Service_Revenue]]-Table1[[#This Row],[Service_Cost]]</f>
        <v>50920</v>
      </c>
      <c r="T1220" s="4">
        <v>2</v>
      </c>
      <c r="U1220" s="4">
        <f>IF(AND(Table1[[#This Row],[Rework_Flag]]="Yes",Table1[[#This Row],[Warranty_Claim]]="No"),Table1[[#This Row],[Service_Revenue]],0)</f>
        <v>307714</v>
      </c>
      <c r="V1220" s="4">
        <f>IF(Table1[[#This Row],[Warranty_Claim]]="Yes",1,0)</f>
        <v>0</v>
      </c>
      <c r="W1220" s="4">
        <f>IF(Table1[[#This Row],[Rework_Flag]]="No",1,0)</f>
        <v>0</v>
      </c>
      <c r="X1220" s="4">
        <f>IF(Table1[[#This Row],[Rework_Flag]]="Yes",1,0)</f>
        <v>1</v>
      </c>
      <c r="Y1220" s="4">
        <v>1</v>
      </c>
      <c r="Z1220" s="4" t="str">
        <f>IF(Table1[[#This Row],[TAT_Days]]&gt;Table1[[#This Row],[SLA_TAT]],"Yes","No")</f>
        <v>Yes</v>
      </c>
      <c r="AA1220" s="4" t="str" cm="1">
        <f t="array" ref="AA1220">_xlfn.IFS(Table1[[#This Row],[Customer_Satisfaction]]&lt;=2,"Poor",Table1[[#This Row],[Customer_Satisfaction]]=3,"Neutral",Table1[[#This Row],[Customer_Satisfaction]]=4,"Good",Table1[[#This Row],[Customer_Satisfaction]]=5,"Good")</f>
        <v>Poor</v>
      </c>
    </row>
    <row r="1221" spans="1:27" x14ac:dyDescent="0.35">
      <c r="A1221">
        <v>21219</v>
      </c>
      <c r="B1221" s="1">
        <v>45444</v>
      </c>
      <c r="C1221" t="s">
        <v>50</v>
      </c>
      <c r="D1221" t="s">
        <v>51</v>
      </c>
      <c r="E1221" t="s">
        <v>113</v>
      </c>
      <c r="F1221" t="s">
        <v>40</v>
      </c>
      <c r="G1221" t="s">
        <v>41</v>
      </c>
      <c r="H1221" t="s">
        <v>42</v>
      </c>
      <c r="I1221" t="s">
        <v>55</v>
      </c>
      <c r="J1221" t="s">
        <v>43</v>
      </c>
      <c r="K1221" t="s">
        <v>27</v>
      </c>
      <c r="L1221" t="s">
        <v>28</v>
      </c>
      <c r="M1221" s="4">
        <v>7</v>
      </c>
      <c r="N1221" s="4">
        <v>7</v>
      </c>
      <c r="O1221" t="s">
        <v>29</v>
      </c>
      <c r="P1221" t="s">
        <v>36</v>
      </c>
      <c r="Q1221" s="4">
        <v>310790</v>
      </c>
      <c r="R1221" s="4">
        <v>161335</v>
      </c>
      <c r="S1221" s="4">
        <f>Table1[[#This Row],[Service_Revenue]]-Table1[[#This Row],[Service_Cost]]</f>
        <v>149455</v>
      </c>
      <c r="T1221" s="4">
        <v>3</v>
      </c>
      <c r="U1221" s="4">
        <f>IF(AND(Table1[[#This Row],[Rework_Flag]]="Yes",Table1[[#This Row],[Warranty_Claim]]="No"),Table1[[#This Row],[Service_Revenue]],0)</f>
        <v>310790</v>
      </c>
      <c r="V1221" s="4">
        <f>IF(Table1[[#This Row],[Warranty_Claim]]="Yes",1,0)</f>
        <v>0</v>
      </c>
      <c r="W1221" s="4">
        <f>IF(Table1[[#This Row],[Rework_Flag]]="No",1,0)</f>
        <v>0</v>
      </c>
      <c r="X1221" s="4">
        <f>IF(Table1[[#This Row],[Rework_Flag]]="Yes",1,0)</f>
        <v>1</v>
      </c>
      <c r="Y1221" s="4">
        <v>1</v>
      </c>
      <c r="Z1221" s="4" t="str">
        <f>IF(Table1[[#This Row],[TAT_Days]]&gt;Table1[[#This Row],[SLA_TAT]],"Yes","No")</f>
        <v>No</v>
      </c>
      <c r="AA1221" s="4" t="str" cm="1">
        <f t="array" ref="AA1221">_xlfn.IFS(Table1[[#This Row],[Customer_Satisfaction]]&lt;=2,"Poor",Table1[[#This Row],[Customer_Satisfaction]]=3,"Neutral",Table1[[#This Row],[Customer_Satisfaction]]=4,"Good",Table1[[#This Row],[Customer_Satisfaction]]=5,"Good")</f>
        <v>Neutral</v>
      </c>
    </row>
    <row r="1222" spans="1:27" x14ac:dyDescent="0.35">
      <c r="A1222">
        <v>21220</v>
      </c>
      <c r="B1222" s="1">
        <v>45411</v>
      </c>
      <c r="C1222" t="s">
        <v>50</v>
      </c>
      <c r="D1222" t="s">
        <v>80</v>
      </c>
      <c r="E1222" t="s">
        <v>85</v>
      </c>
      <c r="F1222" t="s">
        <v>40</v>
      </c>
      <c r="G1222" t="s">
        <v>23</v>
      </c>
      <c r="H1222" t="s">
        <v>24</v>
      </c>
      <c r="I1222" t="s">
        <v>55</v>
      </c>
      <c r="J1222" t="s">
        <v>67</v>
      </c>
      <c r="K1222" t="s">
        <v>61</v>
      </c>
      <c r="L1222" t="s">
        <v>28</v>
      </c>
      <c r="M1222" s="4">
        <v>25</v>
      </c>
      <c r="N1222" s="4">
        <v>7</v>
      </c>
      <c r="O1222" t="s">
        <v>29</v>
      </c>
      <c r="P1222" t="s">
        <v>29</v>
      </c>
      <c r="Q1222" s="4">
        <v>355256</v>
      </c>
      <c r="R1222" s="4">
        <v>208482</v>
      </c>
      <c r="S1222" s="4">
        <f>Table1[[#This Row],[Service_Revenue]]-Table1[[#This Row],[Service_Cost]]</f>
        <v>146774</v>
      </c>
      <c r="T1222" s="4">
        <v>1</v>
      </c>
      <c r="U1222" s="4">
        <f>IF(AND(Table1[[#This Row],[Rework_Flag]]="Yes",Table1[[#This Row],[Warranty_Claim]]="No"),Table1[[#This Row],[Service_Revenue]],0)</f>
        <v>0</v>
      </c>
      <c r="V1222" s="4">
        <f>IF(Table1[[#This Row],[Warranty_Claim]]="Yes",1,0)</f>
        <v>1</v>
      </c>
      <c r="W1222" s="4">
        <f>IF(Table1[[#This Row],[Rework_Flag]]="No",1,0)</f>
        <v>0</v>
      </c>
      <c r="X1222" s="4">
        <f>IF(Table1[[#This Row],[Rework_Flag]]="Yes",1,0)</f>
        <v>1</v>
      </c>
      <c r="Y1222" s="4">
        <v>1</v>
      </c>
      <c r="Z1222" s="4" t="str">
        <f>IF(Table1[[#This Row],[TAT_Days]]&gt;Table1[[#This Row],[SLA_TAT]],"Yes","No")</f>
        <v>Yes</v>
      </c>
      <c r="AA1222" s="4" t="str" cm="1">
        <f t="array" ref="AA1222">_xlfn.IFS(Table1[[#This Row],[Customer_Satisfaction]]&lt;=2,"Poor",Table1[[#This Row],[Customer_Satisfaction]]=3,"Neutral",Table1[[#This Row],[Customer_Satisfaction]]=4,"Good",Table1[[#This Row],[Customer_Satisfaction]]=5,"Good")</f>
        <v>Poor</v>
      </c>
    </row>
    <row r="1223" spans="1:27" x14ac:dyDescent="0.35">
      <c r="A1223">
        <v>21221</v>
      </c>
      <c r="B1223" s="1">
        <v>45382</v>
      </c>
      <c r="C1223" t="s">
        <v>50</v>
      </c>
      <c r="D1223" t="s">
        <v>80</v>
      </c>
      <c r="E1223" t="s">
        <v>104</v>
      </c>
      <c r="F1223" t="s">
        <v>53</v>
      </c>
      <c r="G1223" t="s">
        <v>33</v>
      </c>
      <c r="H1223" t="s">
        <v>34</v>
      </c>
      <c r="I1223" t="s">
        <v>55</v>
      </c>
      <c r="J1223" t="s">
        <v>26</v>
      </c>
      <c r="K1223" t="s">
        <v>27</v>
      </c>
      <c r="L1223" t="s">
        <v>28</v>
      </c>
      <c r="M1223" s="4">
        <v>3</v>
      </c>
      <c r="N1223" s="4">
        <v>7</v>
      </c>
      <c r="O1223" t="s">
        <v>29</v>
      </c>
      <c r="P1223" t="s">
        <v>36</v>
      </c>
      <c r="Q1223" s="4">
        <v>347476</v>
      </c>
      <c r="R1223" s="4">
        <v>261433</v>
      </c>
      <c r="S1223" s="4">
        <f>Table1[[#This Row],[Service_Revenue]]-Table1[[#This Row],[Service_Cost]]</f>
        <v>86043</v>
      </c>
      <c r="T1223" s="4">
        <v>4</v>
      </c>
      <c r="U1223" s="4">
        <f>IF(AND(Table1[[#This Row],[Rework_Flag]]="Yes",Table1[[#This Row],[Warranty_Claim]]="No"),Table1[[#This Row],[Service_Revenue]],0)</f>
        <v>347476</v>
      </c>
      <c r="V1223" s="4">
        <f>IF(Table1[[#This Row],[Warranty_Claim]]="Yes",1,0)</f>
        <v>0</v>
      </c>
      <c r="W1223" s="4">
        <f>IF(Table1[[#This Row],[Rework_Flag]]="No",1,0)</f>
        <v>0</v>
      </c>
      <c r="X1223" s="4">
        <f>IF(Table1[[#This Row],[Rework_Flag]]="Yes",1,0)</f>
        <v>1</v>
      </c>
      <c r="Y1223" s="4">
        <v>1</v>
      </c>
      <c r="Z1223" s="4" t="str">
        <f>IF(Table1[[#This Row],[TAT_Days]]&gt;Table1[[#This Row],[SLA_TAT]],"Yes","No")</f>
        <v>No</v>
      </c>
      <c r="AA1223" s="4" t="str" cm="1">
        <f t="array" ref="AA1223">_xlfn.IFS(Table1[[#This Row],[Customer_Satisfaction]]&lt;=2,"Poor",Table1[[#This Row],[Customer_Satisfaction]]=3,"Neutral",Table1[[#This Row],[Customer_Satisfaction]]=4,"Good",Table1[[#This Row],[Customer_Satisfaction]]=5,"Good")</f>
        <v>Good</v>
      </c>
    </row>
    <row r="1224" spans="1:27" x14ac:dyDescent="0.35">
      <c r="A1224">
        <v>21222</v>
      </c>
      <c r="B1224" s="1">
        <v>45421</v>
      </c>
      <c r="C1224" t="s">
        <v>19</v>
      </c>
      <c r="D1224" t="s">
        <v>96</v>
      </c>
      <c r="E1224" t="s">
        <v>97</v>
      </c>
      <c r="F1224" t="s">
        <v>53</v>
      </c>
      <c r="G1224" t="s">
        <v>54</v>
      </c>
      <c r="H1224" t="s">
        <v>42</v>
      </c>
      <c r="I1224" t="s">
        <v>25</v>
      </c>
      <c r="J1224" t="s">
        <v>26</v>
      </c>
      <c r="K1224" t="s">
        <v>61</v>
      </c>
      <c r="L1224" t="s">
        <v>28</v>
      </c>
      <c r="M1224" s="4">
        <v>8</v>
      </c>
      <c r="N1224" s="4">
        <v>7</v>
      </c>
      <c r="O1224" t="s">
        <v>36</v>
      </c>
      <c r="P1224" t="s">
        <v>36</v>
      </c>
      <c r="Q1224" s="4">
        <v>141279</v>
      </c>
      <c r="R1224" s="4">
        <v>96672</v>
      </c>
      <c r="S1224" s="4">
        <f>Table1[[#This Row],[Service_Revenue]]-Table1[[#This Row],[Service_Cost]]</f>
        <v>44607</v>
      </c>
      <c r="T1224" s="4">
        <v>4</v>
      </c>
      <c r="U1224" s="4">
        <f>IF(AND(Table1[[#This Row],[Rework_Flag]]="Yes",Table1[[#This Row],[Warranty_Claim]]="No"),Table1[[#This Row],[Service_Revenue]],0)</f>
        <v>0</v>
      </c>
      <c r="V1224" s="4">
        <f>IF(Table1[[#This Row],[Warranty_Claim]]="Yes",1,0)</f>
        <v>0</v>
      </c>
      <c r="W1224" s="4">
        <f>IF(Table1[[#This Row],[Rework_Flag]]="No",1,0)</f>
        <v>1</v>
      </c>
      <c r="X1224" s="4">
        <f>IF(Table1[[#This Row],[Rework_Flag]]="Yes",1,0)</f>
        <v>0</v>
      </c>
      <c r="Y1224" s="4">
        <v>1</v>
      </c>
      <c r="Z1224" s="4" t="str">
        <f>IF(Table1[[#This Row],[TAT_Days]]&gt;Table1[[#This Row],[SLA_TAT]],"Yes","No")</f>
        <v>Yes</v>
      </c>
      <c r="AA1224" s="4" t="str" cm="1">
        <f t="array" ref="AA1224">_xlfn.IFS(Table1[[#This Row],[Customer_Satisfaction]]&lt;=2,"Poor",Table1[[#This Row],[Customer_Satisfaction]]=3,"Neutral",Table1[[#This Row],[Customer_Satisfaction]]=4,"Good",Table1[[#This Row],[Customer_Satisfaction]]=5,"Good")</f>
        <v>Good</v>
      </c>
    </row>
    <row r="1225" spans="1:27" x14ac:dyDescent="0.35">
      <c r="A1225">
        <v>21223</v>
      </c>
      <c r="B1225" s="1">
        <v>45363</v>
      </c>
      <c r="C1225" t="s">
        <v>19</v>
      </c>
      <c r="D1225" t="s">
        <v>96</v>
      </c>
      <c r="E1225" t="s">
        <v>105</v>
      </c>
      <c r="F1225" t="s">
        <v>53</v>
      </c>
      <c r="G1225" t="s">
        <v>23</v>
      </c>
      <c r="H1225" t="s">
        <v>24</v>
      </c>
      <c r="I1225" t="s">
        <v>25</v>
      </c>
      <c r="J1225" t="s">
        <v>67</v>
      </c>
      <c r="K1225" t="s">
        <v>61</v>
      </c>
      <c r="L1225" t="s">
        <v>28</v>
      </c>
      <c r="M1225" s="4">
        <v>15</v>
      </c>
      <c r="N1225" s="4">
        <v>7</v>
      </c>
      <c r="O1225" t="s">
        <v>29</v>
      </c>
      <c r="P1225" t="s">
        <v>36</v>
      </c>
      <c r="Q1225" s="4">
        <v>377374</v>
      </c>
      <c r="R1225" s="4">
        <v>308430</v>
      </c>
      <c r="S1225" s="4">
        <f>Table1[[#This Row],[Service_Revenue]]-Table1[[#This Row],[Service_Cost]]</f>
        <v>68944</v>
      </c>
      <c r="T1225" s="4">
        <v>1</v>
      </c>
      <c r="U1225" s="4">
        <f>IF(AND(Table1[[#This Row],[Rework_Flag]]="Yes",Table1[[#This Row],[Warranty_Claim]]="No"),Table1[[#This Row],[Service_Revenue]],0)</f>
        <v>377374</v>
      </c>
      <c r="V1225" s="4">
        <f>IF(Table1[[#This Row],[Warranty_Claim]]="Yes",1,0)</f>
        <v>0</v>
      </c>
      <c r="W1225" s="4">
        <f>IF(Table1[[#This Row],[Rework_Flag]]="No",1,0)</f>
        <v>0</v>
      </c>
      <c r="X1225" s="4">
        <f>IF(Table1[[#This Row],[Rework_Flag]]="Yes",1,0)</f>
        <v>1</v>
      </c>
      <c r="Y1225" s="4">
        <v>1</v>
      </c>
      <c r="Z1225" s="4" t="str">
        <f>IF(Table1[[#This Row],[TAT_Days]]&gt;Table1[[#This Row],[SLA_TAT]],"Yes","No")</f>
        <v>Yes</v>
      </c>
      <c r="AA1225" s="4" t="str" cm="1">
        <f t="array" ref="AA1225">_xlfn.IFS(Table1[[#This Row],[Customer_Satisfaction]]&lt;=2,"Poor",Table1[[#This Row],[Customer_Satisfaction]]=3,"Neutral",Table1[[#This Row],[Customer_Satisfaction]]=4,"Good",Table1[[#This Row],[Customer_Satisfaction]]=5,"Good")</f>
        <v>Poor</v>
      </c>
    </row>
    <row r="1226" spans="1:27" x14ac:dyDescent="0.35">
      <c r="A1226">
        <v>21224</v>
      </c>
      <c r="B1226" s="1">
        <v>45298</v>
      </c>
      <c r="C1226" t="s">
        <v>19</v>
      </c>
      <c r="D1226" t="s">
        <v>45</v>
      </c>
      <c r="E1226" t="s">
        <v>114</v>
      </c>
      <c r="F1226" t="s">
        <v>22</v>
      </c>
      <c r="G1226" t="s">
        <v>54</v>
      </c>
      <c r="H1226" t="s">
        <v>42</v>
      </c>
      <c r="I1226" t="s">
        <v>55</v>
      </c>
      <c r="J1226" t="s">
        <v>67</v>
      </c>
      <c r="K1226" t="s">
        <v>44</v>
      </c>
      <c r="L1226" t="s">
        <v>49</v>
      </c>
      <c r="M1226" s="4">
        <v>16</v>
      </c>
      <c r="N1226" s="4">
        <v>7</v>
      </c>
      <c r="O1226" t="s">
        <v>36</v>
      </c>
      <c r="P1226" t="s">
        <v>36</v>
      </c>
      <c r="Q1226" s="4">
        <v>522924</v>
      </c>
      <c r="R1226" s="4">
        <v>383390</v>
      </c>
      <c r="S1226" s="4">
        <f>Table1[[#This Row],[Service_Revenue]]-Table1[[#This Row],[Service_Cost]]</f>
        <v>139534</v>
      </c>
      <c r="T1226" s="4">
        <v>2</v>
      </c>
      <c r="U1226" s="4">
        <f>IF(AND(Table1[[#This Row],[Rework_Flag]]="Yes",Table1[[#This Row],[Warranty_Claim]]="No"),Table1[[#This Row],[Service_Revenue]],0)</f>
        <v>0</v>
      </c>
      <c r="V1226" s="4">
        <f>IF(Table1[[#This Row],[Warranty_Claim]]="Yes",1,0)</f>
        <v>0</v>
      </c>
      <c r="W1226" s="4">
        <f>IF(Table1[[#This Row],[Rework_Flag]]="No",1,0)</f>
        <v>1</v>
      </c>
      <c r="X1226" s="4">
        <f>IF(Table1[[#This Row],[Rework_Flag]]="Yes",1,0)</f>
        <v>0</v>
      </c>
      <c r="Y1226" s="4">
        <v>1</v>
      </c>
      <c r="Z1226" s="4" t="str">
        <f>IF(Table1[[#This Row],[TAT_Days]]&gt;Table1[[#This Row],[SLA_TAT]],"Yes","No")</f>
        <v>Yes</v>
      </c>
      <c r="AA1226" s="4" t="str" cm="1">
        <f t="array" ref="AA1226">_xlfn.IFS(Table1[[#This Row],[Customer_Satisfaction]]&lt;=2,"Poor",Table1[[#This Row],[Customer_Satisfaction]]=3,"Neutral",Table1[[#This Row],[Customer_Satisfaction]]=4,"Good",Table1[[#This Row],[Customer_Satisfaction]]=5,"Good")</f>
        <v>Poor</v>
      </c>
    </row>
    <row r="1227" spans="1:27" x14ac:dyDescent="0.35">
      <c r="A1227">
        <v>21225</v>
      </c>
      <c r="B1227" s="1">
        <v>45337</v>
      </c>
      <c r="C1227" t="s">
        <v>30</v>
      </c>
      <c r="D1227" t="s">
        <v>31</v>
      </c>
      <c r="E1227" t="s">
        <v>62</v>
      </c>
      <c r="F1227" t="s">
        <v>53</v>
      </c>
      <c r="G1227" t="s">
        <v>74</v>
      </c>
      <c r="H1227" t="s">
        <v>34</v>
      </c>
      <c r="I1227" t="s">
        <v>25</v>
      </c>
      <c r="J1227" t="s">
        <v>26</v>
      </c>
      <c r="K1227" t="s">
        <v>61</v>
      </c>
      <c r="L1227" t="s">
        <v>28</v>
      </c>
      <c r="M1227" s="4">
        <v>13</v>
      </c>
      <c r="N1227" s="4">
        <v>7</v>
      </c>
      <c r="O1227" t="s">
        <v>36</v>
      </c>
      <c r="P1227" t="s">
        <v>36</v>
      </c>
      <c r="Q1227" s="4">
        <v>443895</v>
      </c>
      <c r="R1227" s="4">
        <v>289164</v>
      </c>
      <c r="S1227" s="4">
        <f>Table1[[#This Row],[Service_Revenue]]-Table1[[#This Row],[Service_Cost]]</f>
        <v>154731</v>
      </c>
      <c r="T1227" s="4">
        <v>3</v>
      </c>
      <c r="U1227" s="4">
        <f>IF(AND(Table1[[#This Row],[Rework_Flag]]="Yes",Table1[[#This Row],[Warranty_Claim]]="No"),Table1[[#This Row],[Service_Revenue]],0)</f>
        <v>0</v>
      </c>
      <c r="V1227" s="4">
        <f>IF(Table1[[#This Row],[Warranty_Claim]]="Yes",1,0)</f>
        <v>0</v>
      </c>
      <c r="W1227" s="4">
        <f>IF(Table1[[#This Row],[Rework_Flag]]="No",1,0)</f>
        <v>1</v>
      </c>
      <c r="X1227" s="4">
        <f>IF(Table1[[#This Row],[Rework_Flag]]="Yes",1,0)</f>
        <v>0</v>
      </c>
      <c r="Y1227" s="4">
        <v>1</v>
      </c>
      <c r="Z1227" s="4" t="str">
        <f>IF(Table1[[#This Row],[TAT_Days]]&gt;Table1[[#This Row],[SLA_TAT]],"Yes","No")</f>
        <v>Yes</v>
      </c>
      <c r="AA1227" s="4" t="str" cm="1">
        <f t="array" ref="AA1227">_xlfn.IFS(Table1[[#This Row],[Customer_Satisfaction]]&lt;=2,"Poor",Table1[[#This Row],[Customer_Satisfaction]]=3,"Neutral",Table1[[#This Row],[Customer_Satisfaction]]=4,"Good",Table1[[#This Row],[Customer_Satisfaction]]=5,"Good")</f>
        <v>Neutral</v>
      </c>
    </row>
    <row r="1228" spans="1:27" x14ac:dyDescent="0.35">
      <c r="A1228">
        <v>21226</v>
      </c>
      <c r="B1228" s="1">
        <v>45355</v>
      </c>
      <c r="C1228" t="s">
        <v>30</v>
      </c>
      <c r="D1228" t="s">
        <v>31</v>
      </c>
      <c r="E1228" t="s">
        <v>106</v>
      </c>
      <c r="F1228" t="s">
        <v>40</v>
      </c>
      <c r="G1228" t="s">
        <v>23</v>
      </c>
      <c r="H1228" t="s">
        <v>24</v>
      </c>
      <c r="I1228" t="s">
        <v>25</v>
      </c>
      <c r="J1228" t="s">
        <v>67</v>
      </c>
      <c r="K1228" t="s">
        <v>27</v>
      </c>
      <c r="L1228" t="s">
        <v>28</v>
      </c>
      <c r="M1228" s="4">
        <v>22</v>
      </c>
      <c r="N1228" s="4">
        <v>7</v>
      </c>
      <c r="O1228" t="s">
        <v>29</v>
      </c>
      <c r="P1228" t="s">
        <v>36</v>
      </c>
      <c r="Q1228" s="4">
        <v>467658</v>
      </c>
      <c r="R1228" s="4">
        <v>394694</v>
      </c>
      <c r="S1228" s="4">
        <f>Table1[[#This Row],[Service_Revenue]]-Table1[[#This Row],[Service_Cost]]</f>
        <v>72964</v>
      </c>
      <c r="T1228" s="4">
        <v>1</v>
      </c>
      <c r="U1228" s="4">
        <f>IF(AND(Table1[[#This Row],[Rework_Flag]]="Yes",Table1[[#This Row],[Warranty_Claim]]="No"),Table1[[#This Row],[Service_Revenue]],0)</f>
        <v>467658</v>
      </c>
      <c r="V1228" s="4">
        <f>IF(Table1[[#This Row],[Warranty_Claim]]="Yes",1,0)</f>
        <v>0</v>
      </c>
      <c r="W1228" s="4">
        <f>IF(Table1[[#This Row],[Rework_Flag]]="No",1,0)</f>
        <v>0</v>
      </c>
      <c r="X1228" s="4">
        <f>IF(Table1[[#This Row],[Rework_Flag]]="Yes",1,0)</f>
        <v>1</v>
      </c>
      <c r="Y1228" s="4">
        <v>1</v>
      </c>
      <c r="Z1228" s="4" t="str">
        <f>IF(Table1[[#This Row],[TAT_Days]]&gt;Table1[[#This Row],[SLA_TAT]],"Yes","No")</f>
        <v>Yes</v>
      </c>
      <c r="AA1228" s="4" t="str" cm="1">
        <f t="array" ref="AA1228">_xlfn.IFS(Table1[[#This Row],[Customer_Satisfaction]]&lt;=2,"Poor",Table1[[#This Row],[Customer_Satisfaction]]=3,"Neutral",Table1[[#This Row],[Customer_Satisfaction]]=4,"Good",Table1[[#This Row],[Customer_Satisfaction]]=5,"Good")</f>
        <v>Poor</v>
      </c>
    </row>
    <row r="1229" spans="1:27" x14ac:dyDescent="0.35">
      <c r="A1229">
        <v>21227</v>
      </c>
      <c r="B1229" s="1">
        <v>45418</v>
      </c>
      <c r="C1229" t="s">
        <v>30</v>
      </c>
      <c r="D1229" t="s">
        <v>31</v>
      </c>
      <c r="E1229" t="s">
        <v>62</v>
      </c>
      <c r="F1229" t="s">
        <v>40</v>
      </c>
      <c r="G1229" t="s">
        <v>54</v>
      </c>
      <c r="H1229" t="s">
        <v>42</v>
      </c>
      <c r="I1229" t="s">
        <v>25</v>
      </c>
      <c r="J1229" t="s">
        <v>67</v>
      </c>
      <c r="K1229" t="s">
        <v>27</v>
      </c>
      <c r="L1229" t="s">
        <v>49</v>
      </c>
      <c r="M1229" s="4">
        <v>10</v>
      </c>
      <c r="N1229" s="4">
        <v>7</v>
      </c>
      <c r="O1229" t="s">
        <v>36</v>
      </c>
      <c r="P1229" t="s">
        <v>29</v>
      </c>
      <c r="Q1229" s="4">
        <v>123031</v>
      </c>
      <c r="R1229" s="4">
        <v>85165</v>
      </c>
      <c r="S1229" s="4">
        <f>Table1[[#This Row],[Service_Revenue]]-Table1[[#This Row],[Service_Cost]]</f>
        <v>37866</v>
      </c>
      <c r="T1229" s="4">
        <v>3</v>
      </c>
      <c r="U1229" s="4">
        <f>IF(AND(Table1[[#This Row],[Rework_Flag]]="Yes",Table1[[#This Row],[Warranty_Claim]]="No"),Table1[[#This Row],[Service_Revenue]],0)</f>
        <v>0</v>
      </c>
      <c r="V1229" s="4">
        <f>IF(Table1[[#This Row],[Warranty_Claim]]="Yes",1,0)</f>
        <v>1</v>
      </c>
      <c r="W1229" s="4">
        <f>IF(Table1[[#This Row],[Rework_Flag]]="No",1,0)</f>
        <v>1</v>
      </c>
      <c r="X1229" s="4">
        <f>IF(Table1[[#This Row],[Rework_Flag]]="Yes",1,0)</f>
        <v>0</v>
      </c>
      <c r="Y1229" s="4">
        <v>1</v>
      </c>
      <c r="Z1229" s="4" t="str">
        <f>IF(Table1[[#This Row],[TAT_Days]]&gt;Table1[[#This Row],[SLA_TAT]],"Yes","No")</f>
        <v>Yes</v>
      </c>
      <c r="AA1229" s="4" t="str" cm="1">
        <f t="array" ref="AA1229">_xlfn.IFS(Table1[[#This Row],[Customer_Satisfaction]]&lt;=2,"Poor",Table1[[#This Row],[Customer_Satisfaction]]=3,"Neutral",Table1[[#This Row],[Customer_Satisfaction]]=4,"Good",Table1[[#This Row],[Customer_Satisfaction]]=5,"Good")</f>
        <v>Neutral</v>
      </c>
    </row>
    <row r="1230" spans="1:27" x14ac:dyDescent="0.35">
      <c r="A1230">
        <v>21228</v>
      </c>
      <c r="B1230" s="1">
        <v>45347</v>
      </c>
      <c r="C1230" t="s">
        <v>50</v>
      </c>
      <c r="D1230" t="s">
        <v>51</v>
      </c>
      <c r="E1230" t="s">
        <v>120</v>
      </c>
      <c r="F1230" t="s">
        <v>40</v>
      </c>
      <c r="G1230" t="s">
        <v>47</v>
      </c>
      <c r="H1230" t="s">
        <v>48</v>
      </c>
      <c r="I1230" t="s">
        <v>55</v>
      </c>
      <c r="J1230" t="s">
        <v>35</v>
      </c>
      <c r="K1230" t="s">
        <v>61</v>
      </c>
      <c r="L1230" t="s">
        <v>49</v>
      </c>
      <c r="M1230" s="4">
        <v>5</v>
      </c>
      <c r="N1230" s="4">
        <v>7</v>
      </c>
      <c r="O1230" t="s">
        <v>36</v>
      </c>
      <c r="P1230" t="s">
        <v>36</v>
      </c>
      <c r="Q1230" s="4">
        <v>148852</v>
      </c>
      <c r="R1230" s="4">
        <v>81985</v>
      </c>
      <c r="S1230" s="4">
        <f>Table1[[#This Row],[Service_Revenue]]-Table1[[#This Row],[Service_Cost]]</f>
        <v>66867</v>
      </c>
      <c r="T1230" s="4">
        <v>4</v>
      </c>
      <c r="U1230" s="4">
        <f>IF(AND(Table1[[#This Row],[Rework_Flag]]="Yes",Table1[[#This Row],[Warranty_Claim]]="No"),Table1[[#This Row],[Service_Revenue]],0)</f>
        <v>0</v>
      </c>
      <c r="V1230" s="4">
        <f>IF(Table1[[#This Row],[Warranty_Claim]]="Yes",1,0)</f>
        <v>0</v>
      </c>
      <c r="W1230" s="4">
        <f>IF(Table1[[#This Row],[Rework_Flag]]="No",1,0)</f>
        <v>1</v>
      </c>
      <c r="X1230" s="4">
        <f>IF(Table1[[#This Row],[Rework_Flag]]="Yes",1,0)</f>
        <v>0</v>
      </c>
      <c r="Y1230" s="4">
        <v>1</v>
      </c>
      <c r="Z1230" s="4" t="str">
        <f>IF(Table1[[#This Row],[TAT_Days]]&gt;Table1[[#This Row],[SLA_TAT]],"Yes","No")</f>
        <v>No</v>
      </c>
      <c r="AA1230" s="4" t="str" cm="1">
        <f t="array" ref="AA1230">_xlfn.IFS(Table1[[#This Row],[Customer_Satisfaction]]&lt;=2,"Poor",Table1[[#This Row],[Customer_Satisfaction]]=3,"Neutral",Table1[[#This Row],[Customer_Satisfaction]]=4,"Good",Table1[[#This Row],[Customer_Satisfaction]]=5,"Good")</f>
        <v>Good</v>
      </c>
    </row>
    <row r="1231" spans="1:27" x14ac:dyDescent="0.35">
      <c r="A1231">
        <v>21229</v>
      </c>
      <c r="B1231" s="1">
        <v>45374</v>
      </c>
      <c r="C1231" t="s">
        <v>19</v>
      </c>
      <c r="D1231" t="s">
        <v>20</v>
      </c>
      <c r="E1231" t="s">
        <v>110</v>
      </c>
      <c r="F1231" t="s">
        <v>53</v>
      </c>
      <c r="G1231" t="s">
        <v>54</v>
      </c>
      <c r="H1231" t="s">
        <v>42</v>
      </c>
      <c r="I1231" t="s">
        <v>55</v>
      </c>
      <c r="J1231" t="s">
        <v>26</v>
      </c>
      <c r="K1231" t="s">
        <v>61</v>
      </c>
      <c r="L1231" t="s">
        <v>28</v>
      </c>
      <c r="M1231" s="4">
        <v>7</v>
      </c>
      <c r="N1231" s="4">
        <v>7</v>
      </c>
      <c r="O1231" t="s">
        <v>36</v>
      </c>
      <c r="P1231" t="s">
        <v>29</v>
      </c>
      <c r="Q1231" s="4">
        <v>426324</v>
      </c>
      <c r="R1231" s="4">
        <v>230510</v>
      </c>
      <c r="S1231" s="4">
        <f>Table1[[#This Row],[Service_Revenue]]-Table1[[#This Row],[Service_Cost]]</f>
        <v>195814</v>
      </c>
      <c r="T1231" s="4">
        <v>4</v>
      </c>
      <c r="U1231" s="4">
        <f>IF(AND(Table1[[#This Row],[Rework_Flag]]="Yes",Table1[[#This Row],[Warranty_Claim]]="No"),Table1[[#This Row],[Service_Revenue]],0)</f>
        <v>0</v>
      </c>
      <c r="V1231" s="4">
        <f>IF(Table1[[#This Row],[Warranty_Claim]]="Yes",1,0)</f>
        <v>1</v>
      </c>
      <c r="W1231" s="4">
        <f>IF(Table1[[#This Row],[Rework_Flag]]="No",1,0)</f>
        <v>1</v>
      </c>
      <c r="X1231" s="4">
        <f>IF(Table1[[#This Row],[Rework_Flag]]="Yes",1,0)</f>
        <v>0</v>
      </c>
      <c r="Y1231" s="4">
        <v>1</v>
      </c>
      <c r="Z1231" s="4" t="str">
        <f>IF(Table1[[#This Row],[TAT_Days]]&gt;Table1[[#This Row],[SLA_TAT]],"Yes","No")</f>
        <v>No</v>
      </c>
      <c r="AA1231" s="4" t="str" cm="1">
        <f t="array" ref="AA1231">_xlfn.IFS(Table1[[#This Row],[Customer_Satisfaction]]&lt;=2,"Poor",Table1[[#This Row],[Customer_Satisfaction]]=3,"Neutral",Table1[[#This Row],[Customer_Satisfaction]]=4,"Good",Table1[[#This Row],[Customer_Satisfaction]]=5,"Good")</f>
        <v>Good</v>
      </c>
    </row>
    <row r="1232" spans="1:27" x14ac:dyDescent="0.35">
      <c r="A1232">
        <v>21230</v>
      </c>
      <c r="B1232" s="1">
        <v>45467</v>
      </c>
      <c r="C1232" t="s">
        <v>30</v>
      </c>
      <c r="D1232" t="s">
        <v>83</v>
      </c>
      <c r="E1232" t="s">
        <v>92</v>
      </c>
      <c r="F1232" t="s">
        <v>53</v>
      </c>
      <c r="G1232" t="s">
        <v>41</v>
      </c>
      <c r="H1232" t="s">
        <v>42</v>
      </c>
      <c r="I1232" t="s">
        <v>25</v>
      </c>
      <c r="J1232" t="s">
        <v>26</v>
      </c>
      <c r="K1232" t="s">
        <v>61</v>
      </c>
      <c r="L1232" t="s">
        <v>49</v>
      </c>
      <c r="M1232" s="4">
        <v>15</v>
      </c>
      <c r="N1232" s="4">
        <v>7</v>
      </c>
      <c r="O1232" t="s">
        <v>29</v>
      </c>
      <c r="P1232" t="s">
        <v>36</v>
      </c>
      <c r="Q1232" s="4">
        <v>145172</v>
      </c>
      <c r="R1232" s="4">
        <v>99728</v>
      </c>
      <c r="S1232" s="4">
        <f>Table1[[#This Row],[Service_Revenue]]-Table1[[#This Row],[Service_Cost]]</f>
        <v>45444</v>
      </c>
      <c r="T1232" s="4">
        <v>1</v>
      </c>
      <c r="U1232" s="4">
        <f>IF(AND(Table1[[#This Row],[Rework_Flag]]="Yes",Table1[[#This Row],[Warranty_Claim]]="No"),Table1[[#This Row],[Service_Revenue]],0)</f>
        <v>145172</v>
      </c>
      <c r="V1232" s="4">
        <f>IF(Table1[[#This Row],[Warranty_Claim]]="Yes",1,0)</f>
        <v>0</v>
      </c>
      <c r="W1232" s="4">
        <f>IF(Table1[[#This Row],[Rework_Flag]]="No",1,0)</f>
        <v>0</v>
      </c>
      <c r="X1232" s="4">
        <f>IF(Table1[[#This Row],[Rework_Flag]]="Yes",1,0)</f>
        <v>1</v>
      </c>
      <c r="Y1232" s="4">
        <v>1</v>
      </c>
      <c r="Z1232" s="4" t="str">
        <f>IF(Table1[[#This Row],[TAT_Days]]&gt;Table1[[#This Row],[SLA_TAT]],"Yes","No")</f>
        <v>Yes</v>
      </c>
      <c r="AA1232" s="4" t="str" cm="1">
        <f t="array" ref="AA1232">_xlfn.IFS(Table1[[#This Row],[Customer_Satisfaction]]&lt;=2,"Poor",Table1[[#This Row],[Customer_Satisfaction]]=3,"Neutral",Table1[[#This Row],[Customer_Satisfaction]]=4,"Good",Table1[[#This Row],[Customer_Satisfaction]]=5,"Good")</f>
        <v>Poor</v>
      </c>
    </row>
    <row r="1233" spans="1:27" x14ac:dyDescent="0.35">
      <c r="A1233">
        <v>21231</v>
      </c>
      <c r="B1233" s="1">
        <v>45372</v>
      </c>
      <c r="C1233" t="s">
        <v>50</v>
      </c>
      <c r="D1233" t="s">
        <v>80</v>
      </c>
      <c r="E1233" t="s">
        <v>81</v>
      </c>
      <c r="F1233" t="s">
        <v>40</v>
      </c>
      <c r="G1233" t="s">
        <v>41</v>
      </c>
      <c r="H1233" t="s">
        <v>42</v>
      </c>
      <c r="I1233" t="s">
        <v>55</v>
      </c>
      <c r="J1233" t="s">
        <v>43</v>
      </c>
      <c r="K1233" t="s">
        <v>44</v>
      </c>
      <c r="L1233" t="s">
        <v>28</v>
      </c>
      <c r="M1233" s="4">
        <v>13</v>
      </c>
      <c r="N1233" s="4">
        <v>7</v>
      </c>
      <c r="O1233" t="s">
        <v>29</v>
      </c>
      <c r="P1233" t="s">
        <v>29</v>
      </c>
      <c r="Q1233" s="4">
        <v>227569</v>
      </c>
      <c r="R1233" s="4">
        <v>165124</v>
      </c>
      <c r="S1233" s="4">
        <f>Table1[[#This Row],[Service_Revenue]]-Table1[[#This Row],[Service_Cost]]</f>
        <v>62445</v>
      </c>
      <c r="T1233" s="4">
        <v>2</v>
      </c>
      <c r="U1233" s="4">
        <f>IF(AND(Table1[[#This Row],[Rework_Flag]]="Yes",Table1[[#This Row],[Warranty_Claim]]="No"),Table1[[#This Row],[Service_Revenue]],0)</f>
        <v>0</v>
      </c>
      <c r="V1233" s="4">
        <f>IF(Table1[[#This Row],[Warranty_Claim]]="Yes",1,0)</f>
        <v>1</v>
      </c>
      <c r="W1233" s="4">
        <f>IF(Table1[[#This Row],[Rework_Flag]]="No",1,0)</f>
        <v>0</v>
      </c>
      <c r="X1233" s="4">
        <f>IF(Table1[[#This Row],[Rework_Flag]]="Yes",1,0)</f>
        <v>1</v>
      </c>
      <c r="Y1233" s="4">
        <v>1</v>
      </c>
      <c r="Z1233" s="4" t="str">
        <f>IF(Table1[[#This Row],[TAT_Days]]&gt;Table1[[#This Row],[SLA_TAT]],"Yes","No")</f>
        <v>Yes</v>
      </c>
      <c r="AA1233" s="4" t="str" cm="1">
        <f t="array" ref="AA1233">_xlfn.IFS(Table1[[#This Row],[Customer_Satisfaction]]&lt;=2,"Poor",Table1[[#This Row],[Customer_Satisfaction]]=3,"Neutral",Table1[[#This Row],[Customer_Satisfaction]]=4,"Good",Table1[[#This Row],[Customer_Satisfaction]]=5,"Good")</f>
        <v>Poor</v>
      </c>
    </row>
    <row r="1234" spans="1:27" x14ac:dyDescent="0.35">
      <c r="A1234">
        <v>21232</v>
      </c>
      <c r="B1234" s="1">
        <v>45376</v>
      </c>
      <c r="C1234" t="s">
        <v>30</v>
      </c>
      <c r="D1234" t="s">
        <v>83</v>
      </c>
      <c r="E1234" t="s">
        <v>119</v>
      </c>
      <c r="F1234" t="s">
        <v>40</v>
      </c>
      <c r="G1234" t="s">
        <v>23</v>
      </c>
      <c r="H1234" t="s">
        <v>24</v>
      </c>
      <c r="I1234" t="s">
        <v>25</v>
      </c>
      <c r="J1234" t="s">
        <v>67</v>
      </c>
      <c r="K1234" t="s">
        <v>44</v>
      </c>
      <c r="L1234" t="s">
        <v>49</v>
      </c>
      <c r="M1234" s="4">
        <v>20</v>
      </c>
      <c r="N1234" s="4">
        <v>7</v>
      </c>
      <c r="O1234" t="s">
        <v>29</v>
      </c>
      <c r="P1234" t="s">
        <v>29</v>
      </c>
      <c r="Q1234" s="4">
        <v>203116</v>
      </c>
      <c r="R1234" s="4">
        <v>119137</v>
      </c>
      <c r="S1234" s="4">
        <f>Table1[[#This Row],[Service_Revenue]]-Table1[[#This Row],[Service_Cost]]</f>
        <v>83979</v>
      </c>
      <c r="T1234" s="4">
        <v>1</v>
      </c>
      <c r="U1234" s="4">
        <f>IF(AND(Table1[[#This Row],[Rework_Flag]]="Yes",Table1[[#This Row],[Warranty_Claim]]="No"),Table1[[#This Row],[Service_Revenue]],0)</f>
        <v>0</v>
      </c>
      <c r="V1234" s="4">
        <f>IF(Table1[[#This Row],[Warranty_Claim]]="Yes",1,0)</f>
        <v>1</v>
      </c>
      <c r="W1234" s="4">
        <f>IF(Table1[[#This Row],[Rework_Flag]]="No",1,0)</f>
        <v>0</v>
      </c>
      <c r="X1234" s="4">
        <f>IF(Table1[[#This Row],[Rework_Flag]]="Yes",1,0)</f>
        <v>1</v>
      </c>
      <c r="Y1234" s="4">
        <v>1</v>
      </c>
      <c r="Z1234" s="4" t="str">
        <f>IF(Table1[[#This Row],[TAT_Days]]&gt;Table1[[#This Row],[SLA_TAT]],"Yes","No")</f>
        <v>Yes</v>
      </c>
      <c r="AA1234" s="4" t="str" cm="1">
        <f t="array" ref="AA1234">_xlfn.IFS(Table1[[#This Row],[Customer_Satisfaction]]&lt;=2,"Poor",Table1[[#This Row],[Customer_Satisfaction]]=3,"Neutral",Table1[[#This Row],[Customer_Satisfaction]]=4,"Good",Table1[[#This Row],[Customer_Satisfaction]]=5,"Good")</f>
        <v>Poor</v>
      </c>
    </row>
    <row r="1235" spans="1:27" x14ac:dyDescent="0.35">
      <c r="A1235">
        <v>21233</v>
      </c>
      <c r="B1235" s="1">
        <v>45368</v>
      </c>
      <c r="C1235" t="s">
        <v>37</v>
      </c>
      <c r="D1235" t="s">
        <v>70</v>
      </c>
      <c r="E1235" t="s">
        <v>116</v>
      </c>
      <c r="F1235" t="s">
        <v>40</v>
      </c>
      <c r="G1235" t="s">
        <v>54</v>
      </c>
      <c r="H1235" t="s">
        <v>42</v>
      </c>
      <c r="I1235" t="s">
        <v>55</v>
      </c>
      <c r="J1235" t="s">
        <v>35</v>
      </c>
      <c r="K1235" t="s">
        <v>27</v>
      </c>
      <c r="L1235" t="s">
        <v>49</v>
      </c>
      <c r="M1235" s="4">
        <v>3</v>
      </c>
      <c r="N1235" s="4">
        <v>7</v>
      </c>
      <c r="O1235" t="s">
        <v>29</v>
      </c>
      <c r="P1235" t="s">
        <v>29</v>
      </c>
      <c r="Q1235" s="4">
        <v>148588</v>
      </c>
      <c r="R1235" s="4">
        <v>116494</v>
      </c>
      <c r="S1235" s="4">
        <f>Table1[[#This Row],[Service_Revenue]]-Table1[[#This Row],[Service_Cost]]</f>
        <v>32094</v>
      </c>
      <c r="T1235" s="4">
        <v>4</v>
      </c>
      <c r="U1235" s="4">
        <f>IF(AND(Table1[[#This Row],[Rework_Flag]]="Yes",Table1[[#This Row],[Warranty_Claim]]="No"),Table1[[#This Row],[Service_Revenue]],0)</f>
        <v>0</v>
      </c>
      <c r="V1235" s="4">
        <f>IF(Table1[[#This Row],[Warranty_Claim]]="Yes",1,0)</f>
        <v>1</v>
      </c>
      <c r="W1235" s="4">
        <f>IF(Table1[[#This Row],[Rework_Flag]]="No",1,0)</f>
        <v>0</v>
      </c>
      <c r="X1235" s="4">
        <f>IF(Table1[[#This Row],[Rework_Flag]]="Yes",1,0)</f>
        <v>1</v>
      </c>
      <c r="Y1235" s="4">
        <v>1</v>
      </c>
      <c r="Z1235" s="4" t="str">
        <f>IF(Table1[[#This Row],[TAT_Days]]&gt;Table1[[#This Row],[SLA_TAT]],"Yes","No")</f>
        <v>No</v>
      </c>
      <c r="AA1235" s="4" t="str" cm="1">
        <f t="array" ref="AA1235">_xlfn.IFS(Table1[[#This Row],[Customer_Satisfaction]]&lt;=2,"Poor",Table1[[#This Row],[Customer_Satisfaction]]=3,"Neutral",Table1[[#This Row],[Customer_Satisfaction]]=4,"Good",Table1[[#This Row],[Customer_Satisfaction]]=5,"Good")</f>
        <v>Good</v>
      </c>
    </row>
    <row r="1236" spans="1:27" x14ac:dyDescent="0.35">
      <c r="A1236">
        <v>21234</v>
      </c>
      <c r="B1236" s="1">
        <v>45338</v>
      </c>
      <c r="C1236" t="s">
        <v>30</v>
      </c>
      <c r="D1236" t="s">
        <v>83</v>
      </c>
      <c r="E1236" t="s">
        <v>92</v>
      </c>
      <c r="F1236" t="s">
        <v>22</v>
      </c>
      <c r="G1236" t="s">
        <v>23</v>
      </c>
      <c r="H1236" t="s">
        <v>24</v>
      </c>
      <c r="I1236" t="s">
        <v>25</v>
      </c>
      <c r="J1236" t="s">
        <v>58</v>
      </c>
      <c r="K1236" t="s">
        <v>61</v>
      </c>
      <c r="L1236" t="s">
        <v>28</v>
      </c>
      <c r="M1236" s="4">
        <v>6</v>
      </c>
      <c r="N1236" s="4">
        <v>7</v>
      </c>
      <c r="O1236" t="s">
        <v>36</v>
      </c>
      <c r="P1236" t="s">
        <v>36</v>
      </c>
      <c r="Q1236" s="4">
        <v>366955</v>
      </c>
      <c r="R1236" s="4">
        <v>185610</v>
      </c>
      <c r="S1236" s="4">
        <f>Table1[[#This Row],[Service_Revenue]]-Table1[[#This Row],[Service_Cost]]</f>
        <v>181345</v>
      </c>
      <c r="T1236" s="4">
        <v>4</v>
      </c>
      <c r="U1236" s="4">
        <f>IF(AND(Table1[[#This Row],[Rework_Flag]]="Yes",Table1[[#This Row],[Warranty_Claim]]="No"),Table1[[#This Row],[Service_Revenue]],0)</f>
        <v>0</v>
      </c>
      <c r="V1236" s="4">
        <f>IF(Table1[[#This Row],[Warranty_Claim]]="Yes",1,0)</f>
        <v>0</v>
      </c>
      <c r="W1236" s="4">
        <f>IF(Table1[[#This Row],[Rework_Flag]]="No",1,0)</f>
        <v>1</v>
      </c>
      <c r="X1236" s="4">
        <f>IF(Table1[[#This Row],[Rework_Flag]]="Yes",1,0)</f>
        <v>0</v>
      </c>
      <c r="Y1236" s="4">
        <v>1</v>
      </c>
      <c r="Z1236" s="4" t="str">
        <f>IF(Table1[[#This Row],[TAT_Days]]&gt;Table1[[#This Row],[SLA_TAT]],"Yes","No")</f>
        <v>No</v>
      </c>
      <c r="AA1236" s="4" t="str" cm="1">
        <f t="array" ref="AA1236">_xlfn.IFS(Table1[[#This Row],[Customer_Satisfaction]]&lt;=2,"Poor",Table1[[#This Row],[Customer_Satisfaction]]=3,"Neutral",Table1[[#This Row],[Customer_Satisfaction]]=4,"Good",Table1[[#This Row],[Customer_Satisfaction]]=5,"Good")</f>
        <v>Good</v>
      </c>
    </row>
    <row r="1237" spans="1:27" x14ac:dyDescent="0.35">
      <c r="A1237">
        <v>21235</v>
      </c>
      <c r="B1237" s="1">
        <v>45457</v>
      </c>
      <c r="C1237" t="s">
        <v>19</v>
      </c>
      <c r="D1237" t="s">
        <v>45</v>
      </c>
      <c r="E1237" t="s">
        <v>46</v>
      </c>
      <c r="F1237" t="s">
        <v>40</v>
      </c>
      <c r="G1237" t="s">
        <v>74</v>
      </c>
      <c r="H1237" t="s">
        <v>34</v>
      </c>
      <c r="I1237" t="s">
        <v>25</v>
      </c>
      <c r="J1237" t="s">
        <v>35</v>
      </c>
      <c r="K1237" t="s">
        <v>61</v>
      </c>
      <c r="L1237" t="s">
        <v>28</v>
      </c>
      <c r="M1237" s="4">
        <v>19</v>
      </c>
      <c r="N1237" s="4">
        <v>7</v>
      </c>
      <c r="O1237" t="s">
        <v>29</v>
      </c>
      <c r="P1237" t="s">
        <v>29</v>
      </c>
      <c r="Q1237" s="4">
        <v>130149</v>
      </c>
      <c r="R1237" s="4">
        <v>71619</v>
      </c>
      <c r="S1237" s="4">
        <f>Table1[[#This Row],[Service_Revenue]]-Table1[[#This Row],[Service_Cost]]</f>
        <v>58530</v>
      </c>
      <c r="T1237" s="4">
        <v>1</v>
      </c>
      <c r="U1237" s="4">
        <f>IF(AND(Table1[[#This Row],[Rework_Flag]]="Yes",Table1[[#This Row],[Warranty_Claim]]="No"),Table1[[#This Row],[Service_Revenue]],0)</f>
        <v>0</v>
      </c>
      <c r="V1237" s="4">
        <f>IF(Table1[[#This Row],[Warranty_Claim]]="Yes",1,0)</f>
        <v>1</v>
      </c>
      <c r="W1237" s="4">
        <f>IF(Table1[[#This Row],[Rework_Flag]]="No",1,0)</f>
        <v>0</v>
      </c>
      <c r="X1237" s="4">
        <f>IF(Table1[[#This Row],[Rework_Flag]]="Yes",1,0)</f>
        <v>1</v>
      </c>
      <c r="Y1237" s="4">
        <v>1</v>
      </c>
      <c r="Z1237" s="4" t="str">
        <f>IF(Table1[[#This Row],[TAT_Days]]&gt;Table1[[#This Row],[SLA_TAT]],"Yes","No")</f>
        <v>Yes</v>
      </c>
      <c r="AA1237" s="4" t="str" cm="1">
        <f t="array" ref="AA1237">_xlfn.IFS(Table1[[#This Row],[Customer_Satisfaction]]&lt;=2,"Poor",Table1[[#This Row],[Customer_Satisfaction]]=3,"Neutral",Table1[[#This Row],[Customer_Satisfaction]]=4,"Good",Table1[[#This Row],[Customer_Satisfaction]]=5,"Good")</f>
        <v>Poor</v>
      </c>
    </row>
    <row r="1238" spans="1:27" x14ac:dyDescent="0.35">
      <c r="A1238">
        <v>21236</v>
      </c>
      <c r="B1238" s="1">
        <v>45463</v>
      </c>
      <c r="C1238" t="s">
        <v>37</v>
      </c>
      <c r="D1238" t="s">
        <v>64</v>
      </c>
      <c r="E1238" t="s">
        <v>103</v>
      </c>
      <c r="F1238" t="s">
        <v>22</v>
      </c>
      <c r="G1238" t="s">
        <v>47</v>
      </c>
      <c r="H1238" t="s">
        <v>48</v>
      </c>
      <c r="I1238" t="s">
        <v>55</v>
      </c>
      <c r="J1238" t="s">
        <v>43</v>
      </c>
      <c r="K1238" t="s">
        <v>61</v>
      </c>
      <c r="L1238" t="s">
        <v>28</v>
      </c>
      <c r="M1238" s="4">
        <v>20</v>
      </c>
      <c r="N1238" s="4">
        <v>7</v>
      </c>
      <c r="O1238" t="s">
        <v>29</v>
      </c>
      <c r="P1238" t="s">
        <v>36</v>
      </c>
      <c r="Q1238" s="4">
        <v>228723</v>
      </c>
      <c r="R1238" s="4">
        <v>172493</v>
      </c>
      <c r="S1238" s="4">
        <f>Table1[[#This Row],[Service_Revenue]]-Table1[[#This Row],[Service_Cost]]</f>
        <v>56230</v>
      </c>
      <c r="T1238" s="4">
        <v>1</v>
      </c>
      <c r="U1238" s="4">
        <f>IF(AND(Table1[[#This Row],[Rework_Flag]]="Yes",Table1[[#This Row],[Warranty_Claim]]="No"),Table1[[#This Row],[Service_Revenue]],0)</f>
        <v>228723</v>
      </c>
      <c r="V1238" s="4">
        <f>IF(Table1[[#This Row],[Warranty_Claim]]="Yes",1,0)</f>
        <v>0</v>
      </c>
      <c r="W1238" s="4">
        <f>IF(Table1[[#This Row],[Rework_Flag]]="No",1,0)</f>
        <v>0</v>
      </c>
      <c r="X1238" s="4">
        <f>IF(Table1[[#This Row],[Rework_Flag]]="Yes",1,0)</f>
        <v>1</v>
      </c>
      <c r="Y1238" s="4">
        <v>1</v>
      </c>
      <c r="Z1238" s="4" t="str">
        <f>IF(Table1[[#This Row],[TAT_Days]]&gt;Table1[[#This Row],[SLA_TAT]],"Yes","No")</f>
        <v>Yes</v>
      </c>
      <c r="AA1238" s="4" t="str" cm="1">
        <f t="array" ref="AA1238">_xlfn.IFS(Table1[[#This Row],[Customer_Satisfaction]]&lt;=2,"Poor",Table1[[#This Row],[Customer_Satisfaction]]=3,"Neutral",Table1[[#This Row],[Customer_Satisfaction]]=4,"Good",Table1[[#This Row],[Customer_Satisfaction]]=5,"Good")</f>
        <v>Poor</v>
      </c>
    </row>
    <row r="1239" spans="1:27" x14ac:dyDescent="0.35">
      <c r="A1239">
        <v>21237</v>
      </c>
      <c r="B1239" s="1">
        <v>45349</v>
      </c>
      <c r="C1239" t="s">
        <v>30</v>
      </c>
      <c r="D1239" t="s">
        <v>31</v>
      </c>
      <c r="E1239" t="s">
        <v>79</v>
      </c>
      <c r="F1239" t="s">
        <v>53</v>
      </c>
      <c r="G1239" t="s">
        <v>63</v>
      </c>
      <c r="H1239" t="s">
        <v>24</v>
      </c>
      <c r="I1239" t="s">
        <v>25</v>
      </c>
      <c r="J1239" t="s">
        <v>35</v>
      </c>
      <c r="K1239" t="s">
        <v>27</v>
      </c>
      <c r="L1239" t="s">
        <v>28</v>
      </c>
      <c r="M1239" s="4">
        <v>11</v>
      </c>
      <c r="N1239" s="4">
        <v>7</v>
      </c>
      <c r="O1239" t="s">
        <v>29</v>
      </c>
      <c r="P1239" t="s">
        <v>29</v>
      </c>
      <c r="Q1239" s="4">
        <v>345774</v>
      </c>
      <c r="R1239" s="4">
        <v>253300</v>
      </c>
      <c r="S1239" s="4">
        <f>Table1[[#This Row],[Service_Revenue]]-Table1[[#This Row],[Service_Cost]]</f>
        <v>92474</v>
      </c>
      <c r="T1239" s="4">
        <v>2</v>
      </c>
      <c r="U1239" s="4">
        <f>IF(AND(Table1[[#This Row],[Rework_Flag]]="Yes",Table1[[#This Row],[Warranty_Claim]]="No"),Table1[[#This Row],[Service_Revenue]],0)</f>
        <v>0</v>
      </c>
      <c r="V1239" s="4">
        <f>IF(Table1[[#This Row],[Warranty_Claim]]="Yes",1,0)</f>
        <v>1</v>
      </c>
      <c r="W1239" s="4">
        <f>IF(Table1[[#This Row],[Rework_Flag]]="No",1,0)</f>
        <v>0</v>
      </c>
      <c r="X1239" s="4">
        <f>IF(Table1[[#This Row],[Rework_Flag]]="Yes",1,0)</f>
        <v>1</v>
      </c>
      <c r="Y1239" s="4">
        <v>1</v>
      </c>
      <c r="Z1239" s="4" t="str">
        <f>IF(Table1[[#This Row],[TAT_Days]]&gt;Table1[[#This Row],[SLA_TAT]],"Yes","No")</f>
        <v>Yes</v>
      </c>
      <c r="AA1239" s="4" t="str" cm="1">
        <f t="array" ref="AA1239">_xlfn.IFS(Table1[[#This Row],[Customer_Satisfaction]]&lt;=2,"Poor",Table1[[#This Row],[Customer_Satisfaction]]=3,"Neutral",Table1[[#This Row],[Customer_Satisfaction]]=4,"Good",Table1[[#This Row],[Customer_Satisfaction]]=5,"Good")</f>
        <v>Poor</v>
      </c>
    </row>
    <row r="1240" spans="1:27" x14ac:dyDescent="0.35">
      <c r="A1240">
        <v>21238</v>
      </c>
      <c r="B1240" s="1">
        <v>45386</v>
      </c>
      <c r="C1240" t="s">
        <v>37</v>
      </c>
      <c r="D1240" t="s">
        <v>70</v>
      </c>
      <c r="E1240" t="s">
        <v>71</v>
      </c>
      <c r="F1240" t="s">
        <v>40</v>
      </c>
      <c r="G1240" t="s">
        <v>47</v>
      </c>
      <c r="H1240" t="s">
        <v>48</v>
      </c>
      <c r="I1240" t="s">
        <v>55</v>
      </c>
      <c r="J1240" t="s">
        <v>43</v>
      </c>
      <c r="K1240" t="s">
        <v>27</v>
      </c>
      <c r="L1240" t="s">
        <v>28</v>
      </c>
      <c r="M1240" s="4">
        <v>7</v>
      </c>
      <c r="N1240" s="4">
        <v>7</v>
      </c>
      <c r="O1240" t="s">
        <v>36</v>
      </c>
      <c r="P1240" t="s">
        <v>36</v>
      </c>
      <c r="Q1240" s="4">
        <v>548994</v>
      </c>
      <c r="R1240" s="4">
        <v>406282</v>
      </c>
      <c r="S1240" s="4">
        <f>Table1[[#This Row],[Service_Revenue]]-Table1[[#This Row],[Service_Cost]]</f>
        <v>142712</v>
      </c>
      <c r="T1240" s="4">
        <v>4</v>
      </c>
      <c r="U1240" s="4">
        <f>IF(AND(Table1[[#This Row],[Rework_Flag]]="Yes",Table1[[#This Row],[Warranty_Claim]]="No"),Table1[[#This Row],[Service_Revenue]],0)</f>
        <v>0</v>
      </c>
      <c r="V1240" s="4">
        <f>IF(Table1[[#This Row],[Warranty_Claim]]="Yes",1,0)</f>
        <v>0</v>
      </c>
      <c r="W1240" s="4">
        <f>IF(Table1[[#This Row],[Rework_Flag]]="No",1,0)</f>
        <v>1</v>
      </c>
      <c r="X1240" s="4">
        <f>IF(Table1[[#This Row],[Rework_Flag]]="Yes",1,0)</f>
        <v>0</v>
      </c>
      <c r="Y1240" s="4">
        <v>1</v>
      </c>
      <c r="Z1240" s="4" t="str">
        <f>IF(Table1[[#This Row],[TAT_Days]]&gt;Table1[[#This Row],[SLA_TAT]],"Yes","No")</f>
        <v>No</v>
      </c>
      <c r="AA1240" s="4" t="str" cm="1">
        <f t="array" ref="AA1240">_xlfn.IFS(Table1[[#This Row],[Customer_Satisfaction]]&lt;=2,"Poor",Table1[[#This Row],[Customer_Satisfaction]]=3,"Neutral",Table1[[#This Row],[Customer_Satisfaction]]=4,"Good",Table1[[#This Row],[Customer_Satisfaction]]=5,"Good")</f>
        <v>Good</v>
      </c>
    </row>
    <row r="1241" spans="1:27" x14ac:dyDescent="0.35">
      <c r="A1241">
        <v>21239</v>
      </c>
      <c r="B1241" s="1">
        <v>45368</v>
      </c>
      <c r="C1241" t="s">
        <v>19</v>
      </c>
      <c r="D1241" t="s">
        <v>96</v>
      </c>
      <c r="E1241" t="s">
        <v>108</v>
      </c>
      <c r="F1241" t="s">
        <v>53</v>
      </c>
      <c r="G1241" t="s">
        <v>33</v>
      </c>
      <c r="H1241" t="s">
        <v>34</v>
      </c>
      <c r="I1241" t="s">
        <v>55</v>
      </c>
      <c r="J1241" t="s">
        <v>67</v>
      </c>
      <c r="K1241" t="s">
        <v>27</v>
      </c>
      <c r="L1241" t="s">
        <v>49</v>
      </c>
      <c r="M1241" s="4">
        <v>20</v>
      </c>
      <c r="N1241" s="4">
        <v>7</v>
      </c>
      <c r="O1241" t="s">
        <v>29</v>
      </c>
      <c r="P1241" t="s">
        <v>36</v>
      </c>
      <c r="Q1241" s="4">
        <v>300478</v>
      </c>
      <c r="R1241" s="4">
        <v>161172</v>
      </c>
      <c r="S1241" s="4">
        <f>Table1[[#This Row],[Service_Revenue]]-Table1[[#This Row],[Service_Cost]]</f>
        <v>139306</v>
      </c>
      <c r="T1241" s="4">
        <v>1</v>
      </c>
      <c r="U1241" s="4">
        <f>IF(AND(Table1[[#This Row],[Rework_Flag]]="Yes",Table1[[#This Row],[Warranty_Claim]]="No"),Table1[[#This Row],[Service_Revenue]],0)</f>
        <v>300478</v>
      </c>
      <c r="V1241" s="4">
        <f>IF(Table1[[#This Row],[Warranty_Claim]]="Yes",1,0)</f>
        <v>0</v>
      </c>
      <c r="W1241" s="4">
        <f>IF(Table1[[#This Row],[Rework_Flag]]="No",1,0)</f>
        <v>0</v>
      </c>
      <c r="X1241" s="4">
        <f>IF(Table1[[#This Row],[Rework_Flag]]="Yes",1,0)</f>
        <v>1</v>
      </c>
      <c r="Y1241" s="4">
        <v>1</v>
      </c>
      <c r="Z1241" s="4" t="str">
        <f>IF(Table1[[#This Row],[TAT_Days]]&gt;Table1[[#This Row],[SLA_TAT]],"Yes","No")</f>
        <v>Yes</v>
      </c>
      <c r="AA1241" s="4" t="str" cm="1">
        <f t="array" ref="AA1241">_xlfn.IFS(Table1[[#This Row],[Customer_Satisfaction]]&lt;=2,"Poor",Table1[[#This Row],[Customer_Satisfaction]]=3,"Neutral",Table1[[#This Row],[Customer_Satisfaction]]=4,"Good",Table1[[#This Row],[Customer_Satisfaction]]=5,"Good")</f>
        <v>Poor</v>
      </c>
    </row>
    <row r="1242" spans="1:27" x14ac:dyDescent="0.35">
      <c r="A1242">
        <v>21240</v>
      </c>
      <c r="B1242" s="1">
        <v>45422</v>
      </c>
      <c r="C1242" t="s">
        <v>30</v>
      </c>
      <c r="D1242" t="s">
        <v>31</v>
      </c>
      <c r="E1242" t="s">
        <v>79</v>
      </c>
      <c r="F1242" t="s">
        <v>22</v>
      </c>
      <c r="G1242" t="s">
        <v>41</v>
      </c>
      <c r="H1242" t="s">
        <v>42</v>
      </c>
      <c r="I1242" t="s">
        <v>25</v>
      </c>
      <c r="J1242" t="s">
        <v>67</v>
      </c>
      <c r="K1242" t="s">
        <v>44</v>
      </c>
      <c r="L1242" t="s">
        <v>49</v>
      </c>
      <c r="M1242" s="4">
        <v>18</v>
      </c>
      <c r="N1242" s="4">
        <v>7</v>
      </c>
      <c r="O1242" t="s">
        <v>29</v>
      </c>
      <c r="P1242" t="s">
        <v>36</v>
      </c>
      <c r="Q1242" s="4">
        <v>256555</v>
      </c>
      <c r="R1242" s="4">
        <v>143444</v>
      </c>
      <c r="S1242" s="4">
        <f>Table1[[#This Row],[Service_Revenue]]-Table1[[#This Row],[Service_Cost]]</f>
        <v>113111</v>
      </c>
      <c r="T1242" s="4">
        <v>1</v>
      </c>
      <c r="U1242" s="4">
        <f>IF(AND(Table1[[#This Row],[Rework_Flag]]="Yes",Table1[[#This Row],[Warranty_Claim]]="No"),Table1[[#This Row],[Service_Revenue]],0)</f>
        <v>256555</v>
      </c>
      <c r="V1242" s="4">
        <f>IF(Table1[[#This Row],[Warranty_Claim]]="Yes",1,0)</f>
        <v>0</v>
      </c>
      <c r="W1242" s="4">
        <f>IF(Table1[[#This Row],[Rework_Flag]]="No",1,0)</f>
        <v>0</v>
      </c>
      <c r="X1242" s="4">
        <f>IF(Table1[[#This Row],[Rework_Flag]]="Yes",1,0)</f>
        <v>1</v>
      </c>
      <c r="Y1242" s="4">
        <v>1</v>
      </c>
      <c r="Z1242" s="4" t="str">
        <f>IF(Table1[[#This Row],[TAT_Days]]&gt;Table1[[#This Row],[SLA_TAT]],"Yes","No")</f>
        <v>Yes</v>
      </c>
      <c r="AA1242" s="4" t="str" cm="1">
        <f t="array" ref="AA1242">_xlfn.IFS(Table1[[#This Row],[Customer_Satisfaction]]&lt;=2,"Poor",Table1[[#This Row],[Customer_Satisfaction]]=3,"Neutral",Table1[[#This Row],[Customer_Satisfaction]]=4,"Good",Table1[[#This Row],[Customer_Satisfaction]]=5,"Good")</f>
        <v>Poor</v>
      </c>
    </row>
    <row r="1243" spans="1:27" x14ac:dyDescent="0.35">
      <c r="A1243">
        <v>21241</v>
      </c>
      <c r="B1243" s="1">
        <v>45378</v>
      </c>
      <c r="C1243" t="s">
        <v>19</v>
      </c>
      <c r="D1243" t="s">
        <v>45</v>
      </c>
      <c r="E1243" t="s">
        <v>99</v>
      </c>
      <c r="F1243" t="s">
        <v>53</v>
      </c>
      <c r="G1243" t="s">
        <v>47</v>
      </c>
      <c r="H1243" t="s">
        <v>48</v>
      </c>
      <c r="I1243" t="s">
        <v>55</v>
      </c>
      <c r="J1243" t="s">
        <v>67</v>
      </c>
      <c r="K1243" t="s">
        <v>44</v>
      </c>
      <c r="L1243" t="s">
        <v>28</v>
      </c>
      <c r="M1243" s="4">
        <v>6</v>
      </c>
      <c r="N1243" s="4">
        <v>7</v>
      </c>
      <c r="O1243" t="s">
        <v>29</v>
      </c>
      <c r="P1243" t="s">
        <v>36</v>
      </c>
      <c r="Q1243" s="4">
        <v>522758</v>
      </c>
      <c r="R1243" s="4">
        <v>364056</v>
      </c>
      <c r="S1243" s="4">
        <f>Table1[[#This Row],[Service_Revenue]]-Table1[[#This Row],[Service_Cost]]</f>
        <v>158702</v>
      </c>
      <c r="T1243" s="4">
        <v>3</v>
      </c>
      <c r="U1243" s="4">
        <f>IF(AND(Table1[[#This Row],[Rework_Flag]]="Yes",Table1[[#This Row],[Warranty_Claim]]="No"),Table1[[#This Row],[Service_Revenue]],0)</f>
        <v>522758</v>
      </c>
      <c r="V1243" s="4">
        <f>IF(Table1[[#This Row],[Warranty_Claim]]="Yes",1,0)</f>
        <v>0</v>
      </c>
      <c r="W1243" s="4">
        <f>IF(Table1[[#This Row],[Rework_Flag]]="No",1,0)</f>
        <v>0</v>
      </c>
      <c r="X1243" s="4">
        <f>IF(Table1[[#This Row],[Rework_Flag]]="Yes",1,0)</f>
        <v>1</v>
      </c>
      <c r="Y1243" s="4">
        <v>1</v>
      </c>
      <c r="Z1243" s="4" t="str">
        <f>IF(Table1[[#This Row],[TAT_Days]]&gt;Table1[[#This Row],[SLA_TAT]],"Yes","No")</f>
        <v>No</v>
      </c>
      <c r="AA1243" s="4" t="str" cm="1">
        <f t="array" ref="AA1243">_xlfn.IFS(Table1[[#This Row],[Customer_Satisfaction]]&lt;=2,"Poor",Table1[[#This Row],[Customer_Satisfaction]]=3,"Neutral",Table1[[#This Row],[Customer_Satisfaction]]=4,"Good",Table1[[#This Row],[Customer_Satisfaction]]=5,"Good")</f>
        <v>Neutral</v>
      </c>
    </row>
    <row r="1244" spans="1:27" x14ac:dyDescent="0.35">
      <c r="A1244">
        <v>21242</v>
      </c>
      <c r="B1244" s="1">
        <v>45394</v>
      </c>
      <c r="C1244" t="s">
        <v>37</v>
      </c>
      <c r="D1244" t="s">
        <v>70</v>
      </c>
      <c r="E1244" t="s">
        <v>82</v>
      </c>
      <c r="F1244" t="s">
        <v>40</v>
      </c>
      <c r="G1244" t="s">
        <v>47</v>
      </c>
      <c r="H1244" t="s">
        <v>48</v>
      </c>
      <c r="I1244" t="s">
        <v>55</v>
      </c>
      <c r="J1244" t="s">
        <v>58</v>
      </c>
      <c r="K1244" t="s">
        <v>61</v>
      </c>
      <c r="L1244" t="s">
        <v>49</v>
      </c>
      <c r="M1244" s="4">
        <v>16</v>
      </c>
      <c r="N1244" s="4">
        <v>7</v>
      </c>
      <c r="O1244" t="s">
        <v>29</v>
      </c>
      <c r="P1244" t="s">
        <v>36</v>
      </c>
      <c r="Q1244" s="4">
        <v>197377</v>
      </c>
      <c r="R1244" s="4">
        <v>142013</v>
      </c>
      <c r="S1244" s="4">
        <f>Table1[[#This Row],[Service_Revenue]]-Table1[[#This Row],[Service_Cost]]</f>
        <v>55364</v>
      </c>
      <c r="T1244" s="4">
        <v>1</v>
      </c>
      <c r="U1244" s="4">
        <f>IF(AND(Table1[[#This Row],[Rework_Flag]]="Yes",Table1[[#This Row],[Warranty_Claim]]="No"),Table1[[#This Row],[Service_Revenue]],0)</f>
        <v>197377</v>
      </c>
      <c r="V1244" s="4">
        <f>IF(Table1[[#This Row],[Warranty_Claim]]="Yes",1,0)</f>
        <v>0</v>
      </c>
      <c r="W1244" s="4">
        <f>IF(Table1[[#This Row],[Rework_Flag]]="No",1,0)</f>
        <v>0</v>
      </c>
      <c r="X1244" s="4">
        <f>IF(Table1[[#This Row],[Rework_Flag]]="Yes",1,0)</f>
        <v>1</v>
      </c>
      <c r="Y1244" s="4">
        <v>1</v>
      </c>
      <c r="Z1244" s="4" t="str">
        <f>IF(Table1[[#This Row],[TAT_Days]]&gt;Table1[[#This Row],[SLA_TAT]],"Yes","No")</f>
        <v>Yes</v>
      </c>
      <c r="AA1244" s="4" t="str" cm="1">
        <f t="array" ref="AA1244">_xlfn.IFS(Table1[[#This Row],[Customer_Satisfaction]]&lt;=2,"Poor",Table1[[#This Row],[Customer_Satisfaction]]=3,"Neutral",Table1[[#This Row],[Customer_Satisfaction]]=4,"Good",Table1[[#This Row],[Customer_Satisfaction]]=5,"Good")</f>
        <v>Poor</v>
      </c>
    </row>
    <row r="1245" spans="1:27" x14ac:dyDescent="0.35">
      <c r="A1245">
        <v>21243</v>
      </c>
      <c r="B1245" s="1">
        <v>45334</v>
      </c>
      <c r="C1245" t="s">
        <v>30</v>
      </c>
      <c r="D1245" t="s">
        <v>83</v>
      </c>
      <c r="E1245" t="s">
        <v>119</v>
      </c>
      <c r="F1245" t="s">
        <v>53</v>
      </c>
      <c r="G1245" t="s">
        <v>41</v>
      </c>
      <c r="H1245" t="s">
        <v>42</v>
      </c>
      <c r="I1245" t="s">
        <v>55</v>
      </c>
      <c r="J1245" t="s">
        <v>35</v>
      </c>
      <c r="K1245" t="s">
        <v>61</v>
      </c>
      <c r="L1245" t="s">
        <v>28</v>
      </c>
      <c r="M1245" s="4">
        <v>16</v>
      </c>
      <c r="N1245" s="4">
        <v>7</v>
      </c>
      <c r="O1245" t="s">
        <v>36</v>
      </c>
      <c r="P1245" t="s">
        <v>29</v>
      </c>
      <c r="Q1245" s="4">
        <v>307440</v>
      </c>
      <c r="R1245" s="4">
        <v>170758</v>
      </c>
      <c r="S1245" s="4">
        <f>Table1[[#This Row],[Service_Revenue]]-Table1[[#This Row],[Service_Cost]]</f>
        <v>136682</v>
      </c>
      <c r="T1245" s="4">
        <v>2</v>
      </c>
      <c r="U1245" s="4">
        <f>IF(AND(Table1[[#This Row],[Rework_Flag]]="Yes",Table1[[#This Row],[Warranty_Claim]]="No"),Table1[[#This Row],[Service_Revenue]],0)</f>
        <v>0</v>
      </c>
      <c r="V1245" s="4">
        <f>IF(Table1[[#This Row],[Warranty_Claim]]="Yes",1,0)</f>
        <v>1</v>
      </c>
      <c r="W1245" s="4">
        <f>IF(Table1[[#This Row],[Rework_Flag]]="No",1,0)</f>
        <v>1</v>
      </c>
      <c r="X1245" s="4">
        <f>IF(Table1[[#This Row],[Rework_Flag]]="Yes",1,0)</f>
        <v>0</v>
      </c>
      <c r="Y1245" s="4">
        <v>1</v>
      </c>
      <c r="Z1245" s="4" t="str">
        <f>IF(Table1[[#This Row],[TAT_Days]]&gt;Table1[[#This Row],[SLA_TAT]],"Yes","No")</f>
        <v>Yes</v>
      </c>
      <c r="AA1245" s="4" t="str" cm="1">
        <f t="array" ref="AA1245">_xlfn.IFS(Table1[[#This Row],[Customer_Satisfaction]]&lt;=2,"Poor",Table1[[#This Row],[Customer_Satisfaction]]=3,"Neutral",Table1[[#This Row],[Customer_Satisfaction]]=4,"Good",Table1[[#This Row],[Customer_Satisfaction]]=5,"Good")</f>
        <v>Poor</v>
      </c>
    </row>
    <row r="1246" spans="1:27" x14ac:dyDescent="0.35">
      <c r="A1246">
        <v>21244</v>
      </c>
      <c r="B1246" s="1">
        <v>45465</v>
      </c>
      <c r="C1246" t="s">
        <v>30</v>
      </c>
      <c r="D1246" t="s">
        <v>59</v>
      </c>
      <c r="E1246" t="s">
        <v>94</v>
      </c>
      <c r="F1246" t="s">
        <v>53</v>
      </c>
      <c r="G1246" t="s">
        <v>47</v>
      </c>
      <c r="H1246" t="s">
        <v>48</v>
      </c>
      <c r="I1246" t="s">
        <v>25</v>
      </c>
      <c r="J1246" t="s">
        <v>58</v>
      </c>
      <c r="K1246" t="s">
        <v>61</v>
      </c>
      <c r="L1246" t="s">
        <v>28</v>
      </c>
      <c r="M1246" s="4">
        <v>4</v>
      </c>
      <c r="N1246" s="4">
        <v>7</v>
      </c>
      <c r="O1246" t="s">
        <v>29</v>
      </c>
      <c r="P1246" t="s">
        <v>36</v>
      </c>
      <c r="Q1246" s="4">
        <v>374926</v>
      </c>
      <c r="R1246" s="4">
        <v>230857</v>
      </c>
      <c r="S1246" s="4">
        <f>Table1[[#This Row],[Service_Revenue]]-Table1[[#This Row],[Service_Cost]]</f>
        <v>144069</v>
      </c>
      <c r="T1246" s="4">
        <v>4</v>
      </c>
      <c r="U1246" s="4">
        <f>IF(AND(Table1[[#This Row],[Rework_Flag]]="Yes",Table1[[#This Row],[Warranty_Claim]]="No"),Table1[[#This Row],[Service_Revenue]],0)</f>
        <v>374926</v>
      </c>
      <c r="V1246" s="4">
        <f>IF(Table1[[#This Row],[Warranty_Claim]]="Yes",1,0)</f>
        <v>0</v>
      </c>
      <c r="W1246" s="4">
        <f>IF(Table1[[#This Row],[Rework_Flag]]="No",1,0)</f>
        <v>0</v>
      </c>
      <c r="X1246" s="4">
        <f>IF(Table1[[#This Row],[Rework_Flag]]="Yes",1,0)</f>
        <v>1</v>
      </c>
      <c r="Y1246" s="4">
        <v>1</v>
      </c>
      <c r="Z1246" s="4" t="str">
        <f>IF(Table1[[#This Row],[TAT_Days]]&gt;Table1[[#This Row],[SLA_TAT]],"Yes","No")</f>
        <v>No</v>
      </c>
      <c r="AA1246" s="4" t="str" cm="1">
        <f t="array" ref="AA1246">_xlfn.IFS(Table1[[#This Row],[Customer_Satisfaction]]&lt;=2,"Poor",Table1[[#This Row],[Customer_Satisfaction]]=3,"Neutral",Table1[[#This Row],[Customer_Satisfaction]]=4,"Good",Table1[[#This Row],[Customer_Satisfaction]]=5,"Good")</f>
        <v>Good</v>
      </c>
    </row>
    <row r="1247" spans="1:27" x14ac:dyDescent="0.35">
      <c r="A1247">
        <v>21245</v>
      </c>
      <c r="B1247" s="1">
        <v>45425</v>
      </c>
      <c r="C1247" t="s">
        <v>37</v>
      </c>
      <c r="D1247" t="s">
        <v>70</v>
      </c>
      <c r="E1247" t="s">
        <v>71</v>
      </c>
      <c r="F1247" t="s">
        <v>22</v>
      </c>
      <c r="G1247" t="s">
        <v>47</v>
      </c>
      <c r="H1247" t="s">
        <v>48</v>
      </c>
      <c r="I1247" t="s">
        <v>55</v>
      </c>
      <c r="J1247" t="s">
        <v>26</v>
      </c>
      <c r="K1247" t="s">
        <v>61</v>
      </c>
      <c r="L1247" t="s">
        <v>28</v>
      </c>
      <c r="M1247" s="4">
        <v>24</v>
      </c>
      <c r="N1247" s="4">
        <v>7</v>
      </c>
      <c r="O1247" t="s">
        <v>36</v>
      </c>
      <c r="P1247" t="s">
        <v>29</v>
      </c>
      <c r="Q1247" s="4">
        <v>387940</v>
      </c>
      <c r="R1247" s="4">
        <v>287262</v>
      </c>
      <c r="S1247" s="4">
        <f>Table1[[#This Row],[Service_Revenue]]-Table1[[#This Row],[Service_Cost]]</f>
        <v>100678</v>
      </c>
      <c r="T1247" s="4">
        <v>1</v>
      </c>
      <c r="U1247" s="4">
        <f>IF(AND(Table1[[#This Row],[Rework_Flag]]="Yes",Table1[[#This Row],[Warranty_Claim]]="No"),Table1[[#This Row],[Service_Revenue]],0)</f>
        <v>0</v>
      </c>
      <c r="V1247" s="4">
        <f>IF(Table1[[#This Row],[Warranty_Claim]]="Yes",1,0)</f>
        <v>1</v>
      </c>
      <c r="W1247" s="4">
        <f>IF(Table1[[#This Row],[Rework_Flag]]="No",1,0)</f>
        <v>1</v>
      </c>
      <c r="X1247" s="4">
        <f>IF(Table1[[#This Row],[Rework_Flag]]="Yes",1,0)</f>
        <v>0</v>
      </c>
      <c r="Y1247" s="4">
        <v>1</v>
      </c>
      <c r="Z1247" s="4" t="str">
        <f>IF(Table1[[#This Row],[TAT_Days]]&gt;Table1[[#This Row],[SLA_TAT]],"Yes","No")</f>
        <v>Yes</v>
      </c>
      <c r="AA1247" s="4" t="str" cm="1">
        <f t="array" ref="AA1247">_xlfn.IFS(Table1[[#This Row],[Customer_Satisfaction]]&lt;=2,"Poor",Table1[[#This Row],[Customer_Satisfaction]]=3,"Neutral",Table1[[#This Row],[Customer_Satisfaction]]=4,"Good",Table1[[#This Row],[Customer_Satisfaction]]=5,"Good")</f>
        <v>Poor</v>
      </c>
    </row>
    <row r="1248" spans="1:27" x14ac:dyDescent="0.35">
      <c r="A1248">
        <v>21246</v>
      </c>
      <c r="B1248" s="1">
        <v>45445</v>
      </c>
      <c r="C1248" t="s">
        <v>19</v>
      </c>
      <c r="D1248" t="s">
        <v>96</v>
      </c>
      <c r="E1248" t="s">
        <v>108</v>
      </c>
      <c r="F1248" t="s">
        <v>40</v>
      </c>
      <c r="G1248" t="s">
        <v>63</v>
      </c>
      <c r="H1248" t="s">
        <v>24</v>
      </c>
      <c r="I1248" t="s">
        <v>25</v>
      </c>
      <c r="J1248" t="s">
        <v>43</v>
      </c>
      <c r="K1248" t="s">
        <v>27</v>
      </c>
      <c r="L1248" t="s">
        <v>49</v>
      </c>
      <c r="M1248" s="4">
        <v>2</v>
      </c>
      <c r="N1248" s="4">
        <v>7</v>
      </c>
      <c r="O1248" t="s">
        <v>29</v>
      </c>
      <c r="P1248" t="s">
        <v>36</v>
      </c>
      <c r="Q1248" s="4">
        <v>178375</v>
      </c>
      <c r="R1248" s="4">
        <v>117394</v>
      </c>
      <c r="S1248" s="4">
        <f>Table1[[#This Row],[Service_Revenue]]-Table1[[#This Row],[Service_Cost]]</f>
        <v>60981</v>
      </c>
      <c r="T1248" s="4">
        <v>4</v>
      </c>
      <c r="U1248" s="4">
        <f>IF(AND(Table1[[#This Row],[Rework_Flag]]="Yes",Table1[[#This Row],[Warranty_Claim]]="No"),Table1[[#This Row],[Service_Revenue]],0)</f>
        <v>178375</v>
      </c>
      <c r="V1248" s="4">
        <f>IF(Table1[[#This Row],[Warranty_Claim]]="Yes",1,0)</f>
        <v>0</v>
      </c>
      <c r="W1248" s="4">
        <f>IF(Table1[[#This Row],[Rework_Flag]]="No",1,0)</f>
        <v>0</v>
      </c>
      <c r="X1248" s="4">
        <f>IF(Table1[[#This Row],[Rework_Flag]]="Yes",1,0)</f>
        <v>1</v>
      </c>
      <c r="Y1248" s="4">
        <v>1</v>
      </c>
      <c r="Z1248" s="4" t="str">
        <f>IF(Table1[[#This Row],[TAT_Days]]&gt;Table1[[#This Row],[SLA_TAT]],"Yes","No")</f>
        <v>No</v>
      </c>
      <c r="AA1248" s="4" t="str" cm="1">
        <f t="array" ref="AA1248">_xlfn.IFS(Table1[[#This Row],[Customer_Satisfaction]]&lt;=2,"Poor",Table1[[#This Row],[Customer_Satisfaction]]=3,"Neutral",Table1[[#This Row],[Customer_Satisfaction]]=4,"Good",Table1[[#This Row],[Customer_Satisfaction]]=5,"Good")</f>
        <v>Good</v>
      </c>
    </row>
    <row r="1249" spans="1:27" x14ac:dyDescent="0.35">
      <c r="A1249">
        <v>21247</v>
      </c>
      <c r="B1249" s="1">
        <v>45374</v>
      </c>
      <c r="C1249" t="s">
        <v>19</v>
      </c>
      <c r="D1249" t="s">
        <v>20</v>
      </c>
      <c r="E1249" t="s">
        <v>117</v>
      </c>
      <c r="F1249" t="s">
        <v>22</v>
      </c>
      <c r="G1249" t="s">
        <v>33</v>
      </c>
      <c r="H1249" t="s">
        <v>34</v>
      </c>
      <c r="I1249" t="s">
        <v>25</v>
      </c>
      <c r="J1249" t="s">
        <v>43</v>
      </c>
      <c r="K1249" t="s">
        <v>44</v>
      </c>
      <c r="L1249" t="s">
        <v>28</v>
      </c>
      <c r="M1249" s="4">
        <v>5</v>
      </c>
      <c r="N1249" s="4">
        <v>7</v>
      </c>
      <c r="O1249" t="s">
        <v>29</v>
      </c>
      <c r="P1249" t="s">
        <v>36</v>
      </c>
      <c r="Q1249" s="4">
        <v>270280</v>
      </c>
      <c r="R1249" s="4">
        <v>181680</v>
      </c>
      <c r="S1249" s="4">
        <f>Table1[[#This Row],[Service_Revenue]]-Table1[[#This Row],[Service_Cost]]</f>
        <v>88600</v>
      </c>
      <c r="T1249" s="4">
        <v>3</v>
      </c>
      <c r="U1249" s="4">
        <f>IF(AND(Table1[[#This Row],[Rework_Flag]]="Yes",Table1[[#This Row],[Warranty_Claim]]="No"),Table1[[#This Row],[Service_Revenue]],0)</f>
        <v>270280</v>
      </c>
      <c r="V1249" s="4">
        <f>IF(Table1[[#This Row],[Warranty_Claim]]="Yes",1,0)</f>
        <v>0</v>
      </c>
      <c r="W1249" s="4">
        <f>IF(Table1[[#This Row],[Rework_Flag]]="No",1,0)</f>
        <v>0</v>
      </c>
      <c r="X1249" s="4">
        <f>IF(Table1[[#This Row],[Rework_Flag]]="Yes",1,0)</f>
        <v>1</v>
      </c>
      <c r="Y1249" s="4">
        <v>1</v>
      </c>
      <c r="Z1249" s="4" t="str">
        <f>IF(Table1[[#This Row],[TAT_Days]]&gt;Table1[[#This Row],[SLA_TAT]],"Yes","No")</f>
        <v>No</v>
      </c>
      <c r="AA1249" s="4" t="str" cm="1">
        <f t="array" ref="AA1249">_xlfn.IFS(Table1[[#This Row],[Customer_Satisfaction]]&lt;=2,"Poor",Table1[[#This Row],[Customer_Satisfaction]]=3,"Neutral",Table1[[#This Row],[Customer_Satisfaction]]=4,"Good",Table1[[#This Row],[Customer_Satisfaction]]=5,"Good")</f>
        <v>Neutral</v>
      </c>
    </row>
    <row r="1250" spans="1:27" x14ac:dyDescent="0.35">
      <c r="A1250">
        <v>21248</v>
      </c>
      <c r="B1250" s="1">
        <v>45296</v>
      </c>
      <c r="C1250" t="s">
        <v>19</v>
      </c>
      <c r="D1250" t="s">
        <v>96</v>
      </c>
      <c r="E1250" t="s">
        <v>98</v>
      </c>
      <c r="F1250" t="s">
        <v>22</v>
      </c>
      <c r="G1250" t="s">
        <v>47</v>
      </c>
      <c r="H1250" t="s">
        <v>48</v>
      </c>
      <c r="I1250" t="s">
        <v>55</v>
      </c>
      <c r="J1250" t="s">
        <v>58</v>
      </c>
      <c r="K1250" t="s">
        <v>61</v>
      </c>
      <c r="L1250" t="s">
        <v>49</v>
      </c>
      <c r="M1250" s="4">
        <v>23</v>
      </c>
      <c r="N1250" s="4">
        <v>7</v>
      </c>
      <c r="O1250" t="s">
        <v>29</v>
      </c>
      <c r="P1250" t="s">
        <v>36</v>
      </c>
      <c r="Q1250" s="4">
        <v>423634</v>
      </c>
      <c r="R1250" s="4">
        <v>246022</v>
      </c>
      <c r="S1250" s="4">
        <f>Table1[[#This Row],[Service_Revenue]]-Table1[[#This Row],[Service_Cost]]</f>
        <v>177612</v>
      </c>
      <c r="T1250" s="4">
        <v>1</v>
      </c>
      <c r="U1250" s="4">
        <f>IF(AND(Table1[[#This Row],[Rework_Flag]]="Yes",Table1[[#This Row],[Warranty_Claim]]="No"),Table1[[#This Row],[Service_Revenue]],0)</f>
        <v>423634</v>
      </c>
      <c r="V1250" s="4">
        <f>IF(Table1[[#This Row],[Warranty_Claim]]="Yes",1,0)</f>
        <v>0</v>
      </c>
      <c r="W1250" s="4">
        <f>IF(Table1[[#This Row],[Rework_Flag]]="No",1,0)</f>
        <v>0</v>
      </c>
      <c r="X1250" s="4">
        <f>IF(Table1[[#This Row],[Rework_Flag]]="Yes",1,0)</f>
        <v>1</v>
      </c>
      <c r="Y1250" s="4">
        <v>1</v>
      </c>
      <c r="Z1250" s="4" t="str">
        <f>IF(Table1[[#This Row],[TAT_Days]]&gt;Table1[[#This Row],[SLA_TAT]],"Yes","No")</f>
        <v>Yes</v>
      </c>
      <c r="AA1250" s="4" t="str" cm="1">
        <f t="array" ref="AA1250">_xlfn.IFS(Table1[[#This Row],[Customer_Satisfaction]]&lt;=2,"Poor",Table1[[#This Row],[Customer_Satisfaction]]=3,"Neutral",Table1[[#This Row],[Customer_Satisfaction]]=4,"Good",Table1[[#This Row],[Customer_Satisfaction]]=5,"Good")</f>
        <v>Poor</v>
      </c>
    </row>
    <row r="1251" spans="1:27" x14ac:dyDescent="0.35">
      <c r="A1251">
        <v>21249</v>
      </c>
      <c r="B1251" s="1">
        <v>45324</v>
      </c>
      <c r="C1251" t="s">
        <v>30</v>
      </c>
      <c r="D1251" t="s">
        <v>59</v>
      </c>
      <c r="E1251" t="s">
        <v>60</v>
      </c>
      <c r="F1251" t="s">
        <v>53</v>
      </c>
      <c r="G1251" t="s">
        <v>23</v>
      </c>
      <c r="H1251" t="s">
        <v>24</v>
      </c>
      <c r="I1251" t="s">
        <v>25</v>
      </c>
      <c r="J1251" t="s">
        <v>26</v>
      </c>
      <c r="K1251" t="s">
        <v>61</v>
      </c>
      <c r="L1251" t="s">
        <v>49</v>
      </c>
      <c r="M1251" s="4">
        <v>21</v>
      </c>
      <c r="N1251" s="4">
        <v>7</v>
      </c>
      <c r="O1251" t="s">
        <v>36</v>
      </c>
      <c r="P1251" t="s">
        <v>29</v>
      </c>
      <c r="Q1251" s="4">
        <v>140645</v>
      </c>
      <c r="R1251" s="4">
        <v>77621</v>
      </c>
      <c r="S1251" s="4">
        <f>Table1[[#This Row],[Service_Revenue]]-Table1[[#This Row],[Service_Cost]]</f>
        <v>63024</v>
      </c>
      <c r="T1251" s="4">
        <v>1</v>
      </c>
      <c r="U1251" s="4">
        <f>IF(AND(Table1[[#This Row],[Rework_Flag]]="Yes",Table1[[#This Row],[Warranty_Claim]]="No"),Table1[[#This Row],[Service_Revenue]],0)</f>
        <v>0</v>
      </c>
      <c r="V1251" s="4">
        <f>IF(Table1[[#This Row],[Warranty_Claim]]="Yes",1,0)</f>
        <v>1</v>
      </c>
      <c r="W1251" s="4">
        <f>IF(Table1[[#This Row],[Rework_Flag]]="No",1,0)</f>
        <v>1</v>
      </c>
      <c r="X1251" s="4">
        <f>IF(Table1[[#This Row],[Rework_Flag]]="Yes",1,0)</f>
        <v>0</v>
      </c>
      <c r="Y1251" s="4">
        <v>1</v>
      </c>
      <c r="Z1251" s="4" t="str">
        <f>IF(Table1[[#This Row],[TAT_Days]]&gt;Table1[[#This Row],[SLA_TAT]],"Yes","No")</f>
        <v>Yes</v>
      </c>
      <c r="AA1251" s="4" t="str" cm="1">
        <f t="array" ref="AA1251">_xlfn.IFS(Table1[[#This Row],[Customer_Satisfaction]]&lt;=2,"Poor",Table1[[#This Row],[Customer_Satisfaction]]=3,"Neutral",Table1[[#This Row],[Customer_Satisfaction]]=4,"Good",Table1[[#This Row],[Customer_Satisfaction]]=5,"Good")</f>
        <v>Poor</v>
      </c>
    </row>
    <row r="1252" spans="1:27" x14ac:dyDescent="0.35">
      <c r="A1252">
        <v>21250</v>
      </c>
      <c r="B1252" s="1">
        <v>45468</v>
      </c>
      <c r="C1252" t="s">
        <v>19</v>
      </c>
      <c r="D1252" t="s">
        <v>45</v>
      </c>
      <c r="E1252" t="s">
        <v>46</v>
      </c>
      <c r="F1252" t="s">
        <v>53</v>
      </c>
      <c r="G1252" t="s">
        <v>63</v>
      </c>
      <c r="H1252" t="s">
        <v>24</v>
      </c>
      <c r="I1252" t="s">
        <v>25</v>
      </c>
      <c r="J1252" t="s">
        <v>67</v>
      </c>
      <c r="K1252" t="s">
        <v>27</v>
      </c>
      <c r="L1252" t="s">
        <v>49</v>
      </c>
      <c r="M1252" s="4">
        <v>11</v>
      </c>
      <c r="N1252" s="4">
        <v>7</v>
      </c>
      <c r="O1252" t="s">
        <v>29</v>
      </c>
      <c r="P1252" t="s">
        <v>36</v>
      </c>
      <c r="Q1252" s="4">
        <v>354641</v>
      </c>
      <c r="R1252" s="4">
        <v>266195</v>
      </c>
      <c r="S1252" s="4">
        <f>Table1[[#This Row],[Service_Revenue]]-Table1[[#This Row],[Service_Cost]]</f>
        <v>88446</v>
      </c>
      <c r="T1252" s="4">
        <v>2</v>
      </c>
      <c r="U1252" s="4">
        <f>IF(AND(Table1[[#This Row],[Rework_Flag]]="Yes",Table1[[#This Row],[Warranty_Claim]]="No"),Table1[[#This Row],[Service_Revenue]],0)</f>
        <v>354641</v>
      </c>
      <c r="V1252" s="4">
        <f>IF(Table1[[#This Row],[Warranty_Claim]]="Yes",1,0)</f>
        <v>0</v>
      </c>
      <c r="W1252" s="4">
        <f>IF(Table1[[#This Row],[Rework_Flag]]="No",1,0)</f>
        <v>0</v>
      </c>
      <c r="X1252" s="4">
        <f>IF(Table1[[#This Row],[Rework_Flag]]="Yes",1,0)</f>
        <v>1</v>
      </c>
      <c r="Y1252" s="4">
        <v>1</v>
      </c>
      <c r="Z1252" s="4" t="str">
        <f>IF(Table1[[#This Row],[TAT_Days]]&gt;Table1[[#This Row],[SLA_TAT]],"Yes","No")</f>
        <v>Yes</v>
      </c>
      <c r="AA1252" s="4" t="str" cm="1">
        <f t="array" ref="AA1252">_xlfn.IFS(Table1[[#This Row],[Customer_Satisfaction]]&lt;=2,"Poor",Table1[[#This Row],[Customer_Satisfaction]]=3,"Neutral",Table1[[#This Row],[Customer_Satisfaction]]=4,"Good",Table1[[#This Row],[Customer_Satisfaction]]=5,"Good")</f>
        <v>Poor</v>
      </c>
    </row>
    <row r="1253" spans="1:27" x14ac:dyDescent="0.35">
      <c r="A1253">
        <v>21251</v>
      </c>
      <c r="B1253" s="1">
        <v>45467</v>
      </c>
      <c r="C1253" t="s">
        <v>50</v>
      </c>
      <c r="D1253" t="s">
        <v>51</v>
      </c>
      <c r="E1253" t="s">
        <v>52</v>
      </c>
      <c r="F1253" t="s">
        <v>53</v>
      </c>
      <c r="G1253" t="s">
        <v>47</v>
      </c>
      <c r="H1253" t="s">
        <v>48</v>
      </c>
      <c r="I1253" t="s">
        <v>55</v>
      </c>
      <c r="J1253" t="s">
        <v>67</v>
      </c>
      <c r="K1253" t="s">
        <v>44</v>
      </c>
      <c r="L1253" t="s">
        <v>28</v>
      </c>
      <c r="M1253" s="4">
        <v>5</v>
      </c>
      <c r="N1253" s="4">
        <v>7</v>
      </c>
      <c r="O1253" t="s">
        <v>36</v>
      </c>
      <c r="P1253" t="s">
        <v>36</v>
      </c>
      <c r="Q1253" s="4">
        <v>518515</v>
      </c>
      <c r="R1253" s="4">
        <v>333978</v>
      </c>
      <c r="S1253" s="4">
        <f>Table1[[#This Row],[Service_Revenue]]-Table1[[#This Row],[Service_Cost]]</f>
        <v>184537</v>
      </c>
      <c r="T1253" s="4">
        <v>4</v>
      </c>
      <c r="U1253" s="4">
        <f>IF(AND(Table1[[#This Row],[Rework_Flag]]="Yes",Table1[[#This Row],[Warranty_Claim]]="No"),Table1[[#This Row],[Service_Revenue]],0)</f>
        <v>0</v>
      </c>
      <c r="V1253" s="4">
        <f>IF(Table1[[#This Row],[Warranty_Claim]]="Yes",1,0)</f>
        <v>0</v>
      </c>
      <c r="W1253" s="4">
        <f>IF(Table1[[#This Row],[Rework_Flag]]="No",1,0)</f>
        <v>1</v>
      </c>
      <c r="X1253" s="4">
        <f>IF(Table1[[#This Row],[Rework_Flag]]="Yes",1,0)</f>
        <v>0</v>
      </c>
      <c r="Y1253" s="4">
        <v>1</v>
      </c>
      <c r="Z1253" s="4" t="str">
        <f>IF(Table1[[#This Row],[TAT_Days]]&gt;Table1[[#This Row],[SLA_TAT]],"Yes","No")</f>
        <v>No</v>
      </c>
      <c r="AA1253" s="4" t="str" cm="1">
        <f t="array" ref="AA1253">_xlfn.IFS(Table1[[#This Row],[Customer_Satisfaction]]&lt;=2,"Poor",Table1[[#This Row],[Customer_Satisfaction]]=3,"Neutral",Table1[[#This Row],[Customer_Satisfaction]]=4,"Good",Table1[[#This Row],[Customer_Satisfaction]]=5,"Good")</f>
        <v>Good</v>
      </c>
    </row>
    <row r="1254" spans="1:27" x14ac:dyDescent="0.35">
      <c r="A1254">
        <v>21252</v>
      </c>
      <c r="B1254" s="1">
        <v>45312</v>
      </c>
      <c r="C1254" t="s">
        <v>19</v>
      </c>
      <c r="D1254" t="s">
        <v>20</v>
      </c>
      <c r="E1254" t="s">
        <v>110</v>
      </c>
      <c r="F1254" t="s">
        <v>40</v>
      </c>
      <c r="G1254" t="s">
        <v>23</v>
      </c>
      <c r="H1254" t="s">
        <v>24</v>
      </c>
      <c r="I1254" t="s">
        <v>55</v>
      </c>
      <c r="J1254" t="s">
        <v>26</v>
      </c>
      <c r="K1254" t="s">
        <v>61</v>
      </c>
      <c r="L1254" t="s">
        <v>49</v>
      </c>
      <c r="M1254" s="4">
        <v>2</v>
      </c>
      <c r="N1254" s="4">
        <v>7</v>
      </c>
      <c r="O1254" t="s">
        <v>36</v>
      </c>
      <c r="P1254" t="s">
        <v>36</v>
      </c>
      <c r="Q1254" s="4">
        <v>499869</v>
      </c>
      <c r="R1254" s="4">
        <v>271834</v>
      </c>
      <c r="S1254" s="4">
        <f>Table1[[#This Row],[Service_Revenue]]-Table1[[#This Row],[Service_Cost]]</f>
        <v>228035</v>
      </c>
      <c r="T1254" s="4">
        <v>5</v>
      </c>
      <c r="U1254" s="4">
        <f>IF(AND(Table1[[#This Row],[Rework_Flag]]="Yes",Table1[[#This Row],[Warranty_Claim]]="No"),Table1[[#This Row],[Service_Revenue]],0)</f>
        <v>0</v>
      </c>
      <c r="V1254" s="4">
        <f>IF(Table1[[#This Row],[Warranty_Claim]]="Yes",1,0)</f>
        <v>0</v>
      </c>
      <c r="W1254" s="4">
        <f>IF(Table1[[#This Row],[Rework_Flag]]="No",1,0)</f>
        <v>1</v>
      </c>
      <c r="X1254" s="4">
        <f>IF(Table1[[#This Row],[Rework_Flag]]="Yes",1,0)</f>
        <v>0</v>
      </c>
      <c r="Y1254" s="4">
        <v>1</v>
      </c>
      <c r="Z1254" s="4" t="str">
        <f>IF(Table1[[#This Row],[TAT_Days]]&gt;Table1[[#This Row],[SLA_TAT]],"Yes","No")</f>
        <v>No</v>
      </c>
      <c r="AA1254" s="4" t="str" cm="1">
        <f t="array" ref="AA1254">_xlfn.IFS(Table1[[#This Row],[Customer_Satisfaction]]&lt;=2,"Poor",Table1[[#This Row],[Customer_Satisfaction]]=3,"Neutral",Table1[[#This Row],[Customer_Satisfaction]]=4,"Good",Table1[[#This Row],[Customer_Satisfaction]]=5,"Good")</f>
        <v>Good</v>
      </c>
    </row>
    <row r="1255" spans="1:27" x14ac:dyDescent="0.35">
      <c r="A1255">
        <v>21253</v>
      </c>
      <c r="B1255" s="1">
        <v>45339</v>
      </c>
      <c r="C1255" t="s">
        <v>50</v>
      </c>
      <c r="D1255" t="s">
        <v>56</v>
      </c>
      <c r="E1255" t="s">
        <v>101</v>
      </c>
      <c r="F1255" t="s">
        <v>22</v>
      </c>
      <c r="G1255" t="s">
        <v>33</v>
      </c>
      <c r="H1255" t="s">
        <v>34</v>
      </c>
      <c r="I1255" t="s">
        <v>25</v>
      </c>
      <c r="J1255" t="s">
        <v>43</v>
      </c>
      <c r="K1255" t="s">
        <v>44</v>
      </c>
      <c r="L1255" t="s">
        <v>49</v>
      </c>
      <c r="M1255" s="4">
        <v>25</v>
      </c>
      <c r="N1255" s="4">
        <v>7</v>
      </c>
      <c r="O1255" t="s">
        <v>36</v>
      </c>
      <c r="P1255" t="s">
        <v>36</v>
      </c>
      <c r="Q1255" s="4">
        <v>185489</v>
      </c>
      <c r="R1255" s="4">
        <v>129303</v>
      </c>
      <c r="S1255" s="4">
        <f>Table1[[#This Row],[Service_Revenue]]-Table1[[#This Row],[Service_Cost]]</f>
        <v>56186</v>
      </c>
      <c r="T1255" s="4">
        <v>1</v>
      </c>
      <c r="U1255" s="4">
        <f>IF(AND(Table1[[#This Row],[Rework_Flag]]="Yes",Table1[[#This Row],[Warranty_Claim]]="No"),Table1[[#This Row],[Service_Revenue]],0)</f>
        <v>0</v>
      </c>
      <c r="V1255" s="4">
        <f>IF(Table1[[#This Row],[Warranty_Claim]]="Yes",1,0)</f>
        <v>0</v>
      </c>
      <c r="W1255" s="4">
        <f>IF(Table1[[#This Row],[Rework_Flag]]="No",1,0)</f>
        <v>1</v>
      </c>
      <c r="X1255" s="4">
        <f>IF(Table1[[#This Row],[Rework_Flag]]="Yes",1,0)</f>
        <v>0</v>
      </c>
      <c r="Y1255" s="4">
        <v>1</v>
      </c>
      <c r="Z1255" s="4" t="str">
        <f>IF(Table1[[#This Row],[TAT_Days]]&gt;Table1[[#This Row],[SLA_TAT]],"Yes","No")</f>
        <v>Yes</v>
      </c>
      <c r="AA1255" s="4" t="str" cm="1">
        <f t="array" ref="AA1255">_xlfn.IFS(Table1[[#This Row],[Customer_Satisfaction]]&lt;=2,"Poor",Table1[[#This Row],[Customer_Satisfaction]]=3,"Neutral",Table1[[#This Row],[Customer_Satisfaction]]=4,"Good",Table1[[#This Row],[Customer_Satisfaction]]=5,"Good")</f>
        <v>Poor</v>
      </c>
    </row>
    <row r="1256" spans="1:27" x14ac:dyDescent="0.35">
      <c r="A1256">
        <v>21254</v>
      </c>
      <c r="B1256" s="1">
        <v>45304</v>
      </c>
      <c r="C1256" t="s">
        <v>30</v>
      </c>
      <c r="D1256" t="s">
        <v>31</v>
      </c>
      <c r="E1256" t="s">
        <v>32</v>
      </c>
      <c r="F1256" t="s">
        <v>53</v>
      </c>
      <c r="G1256" t="s">
        <v>33</v>
      </c>
      <c r="H1256" t="s">
        <v>34</v>
      </c>
      <c r="I1256" t="s">
        <v>25</v>
      </c>
      <c r="J1256" t="s">
        <v>58</v>
      </c>
      <c r="K1256" t="s">
        <v>44</v>
      </c>
      <c r="L1256" t="s">
        <v>28</v>
      </c>
      <c r="M1256" s="4">
        <v>11</v>
      </c>
      <c r="N1256" s="4">
        <v>7</v>
      </c>
      <c r="O1256" t="s">
        <v>36</v>
      </c>
      <c r="P1256" t="s">
        <v>29</v>
      </c>
      <c r="Q1256" s="4">
        <v>101072</v>
      </c>
      <c r="R1256" s="4">
        <v>59530</v>
      </c>
      <c r="S1256" s="4">
        <f>Table1[[#This Row],[Service_Revenue]]-Table1[[#This Row],[Service_Cost]]</f>
        <v>41542</v>
      </c>
      <c r="T1256" s="4">
        <v>3</v>
      </c>
      <c r="U1256" s="4">
        <f>IF(AND(Table1[[#This Row],[Rework_Flag]]="Yes",Table1[[#This Row],[Warranty_Claim]]="No"),Table1[[#This Row],[Service_Revenue]],0)</f>
        <v>0</v>
      </c>
      <c r="V1256" s="4">
        <f>IF(Table1[[#This Row],[Warranty_Claim]]="Yes",1,0)</f>
        <v>1</v>
      </c>
      <c r="W1256" s="4">
        <f>IF(Table1[[#This Row],[Rework_Flag]]="No",1,0)</f>
        <v>1</v>
      </c>
      <c r="X1256" s="4">
        <f>IF(Table1[[#This Row],[Rework_Flag]]="Yes",1,0)</f>
        <v>0</v>
      </c>
      <c r="Y1256" s="4">
        <v>1</v>
      </c>
      <c r="Z1256" s="4" t="str">
        <f>IF(Table1[[#This Row],[TAT_Days]]&gt;Table1[[#This Row],[SLA_TAT]],"Yes","No")</f>
        <v>Yes</v>
      </c>
      <c r="AA1256" s="4" t="str" cm="1">
        <f t="array" ref="AA1256">_xlfn.IFS(Table1[[#This Row],[Customer_Satisfaction]]&lt;=2,"Poor",Table1[[#This Row],[Customer_Satisfaction]]=3,"Neutral",Table1[[#This Row],[Customer_Satisfaction]]=4,"Good",Table1[[#This Row],[Customer_Satisfaction]]=5,"Good")</f>
        <v>Neutral</v>
      </c>
    </row>
    <row r="1257" spans="1:27" x14ac:dyDescent="0.35">
      <c r="A1257">
        <v>21255</v>
      </c>
      <c r="B1257" s="1">
        <v>45332</v>
      </c>
      <c r="C1257" t="s">
        <v>19</v>
      </c>
      <c r="D1257" t="s">
        <v>20</v>
      </c>
      <c r="E1257" t="s">
        <v>21</v>
      </c>
      <c r="F1257" t="s">
        <v>22</v>
      </c>
      <c r="G1257" t="s">
        <v>74</v>
      </c>
      <c r="H1257" t="s">
        <v>34</v>
      </c>
      <c r="I1257" t="s">
        <v>55</v>
      </c>
      <c r="J1257" t="s">
        <v>35</v>
      </c>
      <c r="K1257" t="s">
        <v>27</v>
      </c>
      <c r="L1257" t="s">
        <v>49</v>
      </c>
      <c r="M1257" s="4">
        <v>17</v>
      </c>
      <c r="N1257" s="4">
        <v>7</v>
      </c>
      <c r="O1257" t="s">
        <v>29</v>
      </c>
      <c r="P1257" t="s">
        <v>36</v>
      </c>
      <c r="Q1257" s="4">
        <v>456664</v>
      </c>
      <c r="R1257" s="4">
        <v>351175</v>
      </c>
      <c r="S1257" s="4">
        <f>Table1[[#This Row],[Service_Revenue]]-Table1[[#This Row],[Service_Cost]]</f>
        <v>105489</v>
      </c>
      <c r="T1257" s="4">
        <v>1</v>
      </c>
      <c r="U1257" s="4">
        <f>IF(AND(Table1[[#This Row],[Rework_Flag]]="Yes",Table1[[#This Row],[Warranty_Claim]]="No"),Table1[[#This Row],[Service_Revenue]],0)</f>
        <v>456664</v>
      </c>
      <c r="V1257" s="4">
        <f>IF(Table1[[#This Row],[Warranty_Claim]]="Yes",1,0)</f>
        <v>0</v>
      </c>
      <c r="W1257" s="4">
        <f>IF(Table1[[#This Row],[Rework_Flag]]="No",1,0)</f>
        <v>0</v>
      </c>
      <c r="X1257" s="4">
        <f>IF(Table1[[#This Row],[Rework_Flag]]="Yes",1,0)</f>
        <v>1</v>
      </c>
      <c r="Y1257" s="4">
        <v>1</v>
      </c>
      <c r="Z1257" s="4" t="str">
        <f>IF(Table1[[#This Row],[TAT_Days]]&gt;Table1[[#This Row],[SLA_TAT]],"Yes","No")</f>
        <v>Yes</v>
      </c>
      <c r="AA1257" s="4" t="str" cm="1">
        <f t="array" ref="AA1257">_xlfn.IFS(Table1[[#This Row],[Customer_Satisfaction]]&lt;=2,"Poor",Table1[[#This Row],[Customer_Satisfaction]]=3,"Neutral",Table1[[#This Row],[Customer_Satisfaction]]=4,"Good",Table1[[#This Row],[Customer_Satisfaction]]=5,"Good")</f>
        <v>Poor</v>
      </c>
    </row>
    <row r="1258" spans="1:27" x14ac:dyDescent="0.35">
      <c r="A1258">
        <v>21256</v>
      </c>
      <c r="B1258" s="1">
        <v>45325</v>
      </c>
      <c r="C1258" t="s">
        <v>37</v>
      </c>
      <c r="D1258" t="s">
        <v>64</v>
      </c>
      <c r="E1258" t="s">
        <v>65</v>
      </c>
      <c r="F1258" t="s">
        <v>53</v>
      </c>
      <c r="G1258" t="s">
        <v>33</v>
      </c>
      <c r="H1258" t="s">
        <v>34</v>
      </c>
      <c r="I1258" t="s">
        <v>55</v>
      </c>
      <c r="J1258" t="s">
        <v>26</v>
      </c>
      <c r="K1258" t="s">
        <v>27</v>
      </c>
      <c r="L1258" t="s">
        <v>28</v>
      </c>
      <c r="M1258" s="4">
        <v>20</v>
      </c>
      <c r="N1258" s="4">
        <v>7</v>
      </c>
      <c r="O1258" t="s">
        <v>29</v>
      </c>
      <c r="P1258" t="s">
        <v>29</v>
      </c>
      <c r="Q1258" s="4">
        <v>180176</v>
      </c>
      <c r="R1258" s="4">
        <v>127288</v>
      </c>
      <c r="S1258" s="4">
        <f>Table1[[#This Row],[Service_Revenue]]-Table1[[#This Row],[Service_Cost]]</f>
        <v>52888</v>
      </c>
      <c r="T1258" s="4">
        <v>1</v>
      </c>
      <c r="U1258" s="4">
        <f>IF(AND(Table1[[#This Row],[Rework_Flag]]="Yes",Table1[[#This Row],[Warranty_Claim]]="No"),Table1[[#This Row],[Service_Revenue]],0)</f>
        <v>0</v>
      </c>
      <c r="V1258" s="4">
        <f>IF(Table1[[#This Row],[Warranty_Claim]]="Yes",1,0)</f>
        <v>1</v>
      </c>
      <c r="W1258" s="4">
        <f>IF(Table1[[#This Row],[Rework_Flag]]="No",1,0)</f>
        <v>0</v>
      </c>
      <c r="X1258" s="4">
        <f>IF(Table1[[#This Row],[Rework_Flag]]="Yes",1,0)</f>
        <v>1</v>
      </c>
      <c r="Y1258" s="4">
        <v>1</v>
      </c>
      <c r="Z1258" s="4" t="str">
        <f>IF(Table1[[#This Row],[TAT_Days]]&gt;Table1[[#This Row],[SLA_TAT]],"Yes","No")</f>
        <v>Yes</v>
      </c>
      <c r="AA1258" s="4" t="str" cm="1">
        <f t="array" ref="AA1258">_xlfn.IFS(Table1[[#This Row],[Customer_Satisfaction]]&lt;=2,"Poor",Table1[[#This Row],[Customer_Satisfaction]]=3,"Neutral",Table1[[#This Row],[Customer_Satisfaction]]=4,"Good",Table1[[#This Row],[Customer_Satisfaction]]=5,"Good")</f>
        <v>Poor</v>
      </c>
    </row>
    <row r="1259" spans="1:27" x14ac:dyDescent="0.35">
      <c r="A1259">
        <v>21257</v>
      </c>
      <c r="B1259" s="1">
        <v>45367</v>
      </c>
      <c r="C1259" t="s">
        <v>19</v>
      </c>
      <c r="D1259" t="s">
        <v>45</v>
      </c>
      <c r="E1259" t="s">
        <v>46</v>
      </c>
      <c r="F1259" t="s">
        <v>53</v>
      </c>
      <c r="G1259" t="s">
        <v>33</v>
      </c>
      <c r="H1259" t="s">
        <v>34</v>
      </c>
      <c r="I1259" t="s">
        <v>25</v>
      </c>
      <c r="J1259" t="s">
        <v>67</v>
      </c>
      <c r="K1259" t="s">
        <v>27</v>
      </c>
      <c r="L1259" t="s">
        <v>28</v>
      </c>
      <c r="M1259" s="4">
        <v>9</v>
      </c>
      <c r="N1259" s="4">
        <v>7</v>
      </c>
      <c r="O1259" t="s">
        <v>36</v>
      </c>
      <c r="P1259" t="s">
        <v>29</v>
      </c>
      <c r="Q1259" s="4">
        <v>340081</v>
      </c>
      <c r="R1259" s="4">
        <v>246912</v>
      </c>
      <c r="S1259" s="4">
        <f>Table1[[#This Row],[Service_Revenue]]-Table1[[#This Row],[Service_Cost]]</f>
        <v>93169</v>
      </c>
      <c r="T1259" s="4">
        <v>4</v>
      </c>
      <c r="U1259" s="4">
        <f>IF(AND(Table1[[#This Row],[Rework_Flag]]="Yes",Table1[[#This Row],[Warranty_Claim]]="No"),Table1[[#This Row],[Service_Revenue]],0)</f>
        <v>0</v>
      </c>
      <c r="V1259" s="4">
        <f>IF(Table1[[#This Row],[Warranty_Claim]]="Yes",1,0)</f>
        <v>1</v>
      </c>
      <c r="W1259" s="4">
        <f>IF(Table1[[#This Row],[Rework_Flag]]="No",1,0)</f>
        <v>1</v>
      </c>
      <c r="X1259" s="4">
        <f>IF(Table1[[#This Row],[Rework_Flag]]="Yes",1,0)</f>
        <v>0</v>
      </c>
      <c r="Y1259" s="4">
        <v>1</v>
      </c>
      <c r="Z1259" s="4" t="str">
        <f>IF(Table1[[#This Row],[TAT_Days]]&gt;Table1[[#This Row],[SLA_TAT]],"Yes","No")</f>
        <v>Yes</v>
      </c>
      <c r="AA1259" s="4" t="str" cm="1">
        <f t="array" ref="AA1259">_xlfn.IFS(Table1[[#This Row],[Customer_Satisfaction]]&lt;=2,"Poor",Table1[[#This Row],[Customer_Satisfaction]]=3,"Neutral",Table1[[#This Row],[Customer_Satisfaction]]=4,"Good",Table1[[#This Row],[Customer_Satisfaction]]=5,"Good")</f>
        <v>Good</v>
      </c>
    </row>
    <row r="1260" spans="1:27" x14ac:dyDescent="0.35">
      <c r="A1260">
        <v>21258</v>
      </c>
      <c r="B1260" s="1">
        <v>45364</v>
      </c>
      <c r="C1260" t="s">
        <v>30</v>
      </c>
      <c r="D1260" t="s">
        <v>31</v>
      </c>
      <c r="E1260" t="s">
        <v>32</v>
      </c>
      <c r="F1260" t="s">
        <v>40</v>
      </c>
      <c r="G1260" t="s">
        <v>47</v>
      </c>
      <c r="H1260" t="s">
        <v>48</v>
      </c>
      <c r="I1260" t="s">
        <v>25</v>
      </c>
      <c r="J1260" t="s">
        <v>26</v>
      </c>
      <c r="K1260" t="s">
        <v>61</v>
      </c>
      <c r="L1260" t="s">
        <v>28</v>
      </c>
      <c r="M1260" s="4">
        <v>2</v>
      </c>
      <c r="N1260" s="4">
        <v>7</v>
      </c>
      <c r="O1260" t="s">
        <v>36</v>
      </c>
      <c r="P1260" t="s">
        <v>36</v>
      </c>
      <c r="Q1260" s="4">
        <v>567292</v>
      </c>
      <c r="R1260" s="4">
        <v>398361</v>
      </c>
      <c r="S1260" s="4">
        <f>Table1[[#This Row],[Service_Revenue]]-Table1[[#This Row],[Service_Cost]]</f>
        <v>168931</v>
      </c>
      <c r="T1260" s="4">
        <v>5</v>
      </c>
      <c r="U1260" s="4">
        <f>IF(AND(Table1[[#This Row],[Rework_Flag]]="Yes",Table1[[#This Row],[Warranty_Claim]]="No"),Table1[[#This Row],[Service_Revenue]],0)</f>
        <v>0</v>
      </c>
      <c r="V1260" s="4">
        <f>IF(Table1[[#This Row],[Warranty_Claim]]="Yes",1,0)</f>
        <v>0</v>
      </c>
      <c r="W1260" s="4">
        <f>IF(Table1[[#This Row],[Rework_Flag]]="No",1,0)</f>
        <v>1</v>
      </c>
      <c r="X1260" s="4">
        <f>IF(Table1[[#This Row],[Rework_Flag]]="Yes",1,0)</f>
        <v>0</v>
      </c>
      <c r="Y1260" s="4">
        <v>1</v>
      </c>
      <c r="Z1260" s="4" t="str">
        <f>IF(Table1[[#This Row],[TAT_Days]]&gt;Table1[[#This Row],[SLA_TAT]],"Yes","No")</f>
        <v>No</v>
      </c>
      <c r="AA1260" s="4" t="str" cm="1">
        <f t="array" ref="AA1260">_xlfn.IFS(Table1[[#This Row],[Customer_Satisfaction]]&lt;=2,"Poor",Table1[[#This Row],[Customer_Satisfaction]]=3,"Neutral",Table1[[#This Row],[Customer_Satisfaction]]=4,"Good",Table1[[#This Row],[Customer_Satisfaction]]=5,"Good")</f>
        <v>Good</v>
      </c>
    </row>
    <row r="1261" spans="1:27" x14ac:dyDescent="0.35">
      <c r="A1261">
        <v>21259</v>
      </c>
      <c r="B1261" s="1">
        <v>45344</v>
      </c>
      <c r="C1261" t="s">
        <v>50</v>
      </c>
      <c r="D1261" t="s">
        <v>56</v>
      </c>
      <c r="E1261" t="s">
        <v>101</v>
      </c>
      <c r="F1261" t="s">
        <v>40</v>
      </c>
      <c r="G1261" t="s">
        <v>54</v>
      </c>
      <c r="H1261" t="s">
        <v>42</v>
      </c>
      <c r="I1261" t="s">
        <v>25</v>
      </c>
      <c r="J1261" t="s">
        <v>26</v>
      </c>
      <c r="K1261" t="s">
        <v>27</v>
      </c>
      <c r="L1261" t="s">
        <v>49</v>
      </c>
      <c r="M1261" s="4">
        <v>10</v>
      </c>
      <c r="N1261" s="4">
        <v>7</v>
      </c>
      <c r="O1261" t="s">
        <v>36</v>
      </c>
      <c r="P1261" t="s">
        <v>29</v>
      </c>
      <c r="Q1261" s="4">
        <v>388795</v>
      </c>
      <c r="R1261" s="4">
        <v>312133</v>
      </c>
      <c r="S1261" s="4">
        <f>Table1[[#This Row],[Service_Revenue]]-Table1[[#This Row],[Service_Cost]]</f>
        <v>76662</v>
      </c>
      <c r="T1261" s="4">
        <v>3</v>
      </c>
      <c r="U1261" s="4">
        <f>IF(AND(Table1[[#This Row],[Rework_Flag]]="Yes",Table1[[#This Row],[Warranty_Claim]]="No"),Table1[[#This Row],[Service_Revenue]],0)</f>
        <v>0</v>
      </c>
      <c r="V1261" s="4">
        <f>IF(Table1[[#This Row],[Warranty_Claim]]="Yes",1,0)</f>
        <v>1</v>
      </c>
      <c r="W1261" s="4">
        <f>IF(Table1[[#This Row],[Rework_Flag]]="No",1,0)</f>
        <v>1</v>
      </c>
      <c r="X1261" s="4">
        <f>IF(Table1[[#This Row],[Rework_Flag]]="Yes",1,0)</f>
        <v>0</v>
      </c>
      <c r="Y1261" s="4">
        <v>1</v>
      </c>
      <c r="Z1261" s="4" t="str">
        <f>IF(Table1[[#This Row],[TAT_Days]]&gt;Table1[[#This Row],[SLA_TAT]],"Yes","No")</f>
        <v>Yes</v>
      </c>
      <c r="AA1261" s="4" t="str" cm="1">
        <f t="array" ref="AA1261">_xlfn.IFS(Table1[[#This Row],[Customer_Satisfaction]]&lt;=2,"Poor",Table1[[#This Row],[Customer_Satisfaction]]=3,"Neutral",Table1[[#This Row],[Customer_Satisfaction]]=4,"Good",Table1[[#This Row],[Customer_Satisfaction]]=5,"Good")</f>
        <v>Neutral</v>
      </c>
    </row>
    <row r="1262" spans="1:27" x14ac:dyDescent="0.35">
      <c r="A1262">
        <v>21260</v>
      </c>
      <c r="B1262" s="1">
        <v>45311</v>
      </c>
      <c r="C1262" t="s">
        <v>19</v>
      </c>
      <c r="D1262" t="s">
        <v>96</v>
      </c>
      <c r="E1262" t="s">
        <v>109</v>
      </c>
      <c r="F1262" t="s">
        <v>53</v>
      </c>
      <c r="G1262" t="s">
        <v>47</v>
      </c>
      <c r="H1262" t="s">
        <v>48</v>
      </c>
      <c r="I1262" t="s">
        <v>55</v>
      </c>
      <c r="J1262" t="s">
        <v>58</v>
      </c>
      <c r="K1262" t="s">
        <v>44</v>
      </c>
      <c r="L1262" t="s">
        <v>28</v>
      </c>
      <c r="M1262" s="4">
        <v>19</v>
      </c>
      <c r="N1262" s="4">
        <v>7</v>
      </c>
      <c r="O1262" t="s">
        <v>29</v>
      </c>
      <c r="P1262" t="s">
        <v>36</v>
      </c>
      <c r="Q1262" s="4">
        <v>295838</v>
      </c>
      <c r="R1262" s="4">
        <v>218308</v>
      </c>
      <c r="S1262" s="4">
        <f>Table1[[#This Row],[Service_Revenue]]-Table1[[#This Row],[Service_Cost]]</f>
        <v>77530</v>
      </c>
      <c r="T1262" s="4">
        <v>1</v>
      </c>
      <c r="U1262" s="4">
        <f>IF(AND(Table1[[#This Row],[Rework_Flag]]="Yes",Table1[[#This Row],[Warranty_Claim]]="No"),Table1[[#This Row],[Service_Revenue]],0)</f>
        <v>295838</v>
      </c>
      <c r="V1262" s="4">
        <f>IF(Table1[[#This Row],[Warranty_Claim]]="Yes",1,0)</f>
        <v>0</v>
      </c>
      <c r="W1262" s="4">
        <f>IF(Table1[[#This Row],[Rework_Flag]]="No",1,0)</f>
        <v>0</v>
      </c>
      <c r="X1262" s="4">
        <f>IF(Table1[[#This Row],[Rework_Flag]]="Yes",1,0)</f>
        <v>1</v>
      </c>
      <c r="Y1262" s="4">
        <v>1</v>
      </c>
      <c r="Z1262" s="4" t="str">
        <f>IF(Table1[[#This Row],[TAT_Days]]&gt;Table1[[#This Row],[SLA_TAT]],"Yes","No")</f>
        <v>Yes</v>
      </c>
      <c r="AA1262" s="4" t="str" cm="1">
        <f t="array" ref="AA1262">_xlfn.IFS(Table1[[#This Row],[Customer_Satisfaction]]&lt;=2,"Poor",Table1[[#This Row],[Customer_Satisfaction]]=3,"Neutral",Table1[[#This Row],[Customer_Satisfaction]]=4,"Good",Table1[[#This Row],[Customer_Satisfaction]]=5,"Good")</f>
        <v>Poor</v>
      </c>
    </row>
    <row r="1263" spans="1:27" x14ac:dyDescent="0.35">
      <c r="A1263">
        <v>21261</v>
      </c>
      <c r="B1263" s="1">
        <v>45397</v>
      </c>
      <c r="C1263" t="s">
        <v>19</v>
      </c>
      <c r="D1263" t="s">
        <v>45</v>
      </c>
      <c r="E1263" t="s">
        <v>111</v>
      </c>
      <c r="F1263" t="s">
        <v>22</v>
      </c>
      <c r="G1263" t="s">
        <v>33</v>
      </c>
      <c r="H1263" t="s">
        <v>34</v>
      </c>
      <c r="I1263" t="s">
        <v>55</v>
      </c>
      <c r="J1263" t="s">
        <v>58</v>
      </c>
      <c r="K1263" t="s">
        <v>61</v>
      </c>
      <c r="L1263" t="s">
        <v>49</v>
      </c>
      <c r="M1263" s="4">
        <v>14</v>
      </c>
      <c r="N1263" s="4">
        <v>7</v>
      </c>
      <c r="O1263" t="s">
        <v>29</v>
      </c>
      <c r="P1263" t="s">
        <v>36</v>
      </c>
      <c r="Q1263" s="4">
        <v>130581</v>
      </c>
      <c r="R1263" s="4">
        <v>100811</v>
      </c>
      <c r="S1263" s="4">
        <f>Table1[[#This Row],[Service_Revenue]]-Table1[[#This Row],[Service_Cost]]</f>
        <v>29770</v>
      </c>
      <c r="T1263" s="4">
        <v>2</v>
      </c>
      <c r="U1263" s="4">
        <f>IF(AND(Table1[[#This Row],[Rework_Flag]]="Yes",Table1[[#This Row],[Warranty_Claim]]="No"),Table1[[#This Row],[Service_Revenue]],0)</f>
        <v>130581</v>
      </c>
      <c r="V1263" s="4">
        <f>IF(Table1[[#This Row],[Warranty_Claim]]="Yes",1,0)</f>
        <v>0</v>
      </c>
      <c r="W1263" s="4">
        <f>IF(Table1[[#This Row],[Rework_Flag]]="No",1,0)</f>
        <v>0</v>
      </c>
      <c r="X1263" s="4">
        <f>IF(Table1[[#This Row],[Rework_Flag]]="Yes",1,0)</f>
        <v>1</v>
      </c>
      <c r="Y1263" s="4">
        <v>1</v>
      </c>
      <c r="Z1263" s="4" t="str">
        <f>IF(Table1[[#This Row],[TAT_Days]]&gt;Table1[[#This Row],[SLA_TAT]],"Yes","No")</f>
        <v>Yes</v>
      </c>
      <c r="AA1263" s="4" t="str" cm="1">
        <f t="array" ref="AA1263">_xlfn.IFS(Table1[[#This Row],[Customer_Satisfaction]]&lt;=2,"Poor",Table1[[#This Row],[Customer_Satisfaction]]=3,"Neutral",Table1[[#This Row],[Customer_Satisfaction]]=4,"Good",Table1[[#This Row],[Customer_Satisfaction]]=5,"Good")</f>
        <v>Poor</v>
      </c>
    </row>
    <row r="1264" spans="1:27" x14ac:dyDescent="0.35">
      <c r="A1264">
        <v>21262</v>
      </c>
      <c r="B1264" s="1">
        <v>45385</v>
      </c>
      <c r="C1264" t="s">
        <v>19</v>
      </c>
      <c r="D1264" t="s">
        <v>20</v>
      </c>
      <c r="E1264" t="s">
        <v>117</v>
      </c>
      <c r="F1264" t="s">
        <v>53</v>
      </c>
      <c r="G1264" t="s">
        <v>74</v>
      </c>
      <c r="H1264" t="s">
        <v>34</v>
      </c>
      <c r="I1264" t="s">
        <v>55</v>
      </c>
      <c r="J1264" t="s">
        <v>58</v>
      </c>
      <c r="K1264" t="s">
        <v>27</v>
      </c>
      <c r="L1264" t="s">
        <v>28</v>
      </c>
      <c r="M1264" s="4">
        <v>11</v>
      </c>
      <c r="N1264" s="4">
        <v>7</v>
      </c>
      <c r="O1264" t="s">
        <v>29</v>
      </c>
      <c r="P1264" t="s">
        <v>29</v>
      </c>
      <c r="Q1264" s="4">
        <v>314276</v>
      </c>
      <c r="R1264" s="4">
        <v>247756</v>
      </c>
      <c r="S1264" s="4">
        <f>Table1[[#This Row],[Service_Revenue]]-Table1[[#This Row],[Service_Cost]]</f>
        <v>66520</v>
      </c>
      <c r="T1264" s="4">
        <v>2</v>
      </c>
      <c r="U1264" s="4">
        <f>IF(AND(Table1[[#This Row],[Rework_Flag]]="Yes",Table1[[#This Row],[Warranty_Claim]]="No"),Table1[[#This Row],[Service_Revenue]],0)</f>
        <v>0</v>
      </c>
      <c r="V1264" s="4">
        <f>IF(Table1[[#This Row],[Warranty_Claim]]="Yes",1,0)</f>
        <v>1</v>
      </c>
      <c r="W1264" s="4">
        <f>IF(Table1[[#This Row],[Rework_Flag]]="No",1,0)</f>
        <v>0</v>
      </c>
      <c r="X1264" s="4">
        <f>IF(Table1[[#This Row],[Rework_Flag]]="Yes",1,0)</f>
        <v>1</v>
      </c>
      <c r="Y1264" s="4">
        <v>1</v>
      </c>
      <c r="Z1264" s="4" t="str">
        <f>IF(Table1[[#This Row],[TAT_Days]]&gt;Table1[[#This Row],[SLA_TAT]],"Yes","No")</f>
        <v>Yes</v>
      </c>
      <c r="AA1264" s="4" t="str" cm="1">
        <f t="array" ref="AA1264">_xlfn.IFS(Table1[[#This Row],[Customer_Satisfaction]]&lt;=2,"Poor",Table1[[#This Row],[Customer_Satisfaction]]=3,"Neutral",Table1[[#This Row],[Customer_Satisfaction]]=4,"Good",Table1[[#This Row],[Customer_Satisfaction]]=5,"Good")</f>
        <v>Poor</v>
      </c>
    </row>
    <row r="1265" spans="1:27" x14ac:dyDescent="0.35">
      <c r="A1265">
        <v>21263</v>
      </c>
      <c r="B1265" s="1">
        <v>45306</v>
      </c>
      <c r="C1265" t="s">
        <v>30</v>
      </c>
      <c r="D1265" t="s">
        <v>83</v>
      </c>
      <c r="E1265" t="s">
        <v>90</v>
      </c>
      <c r="F1265" t="s">
        <v>40</v>
      </c>
      <c r="G1265" t="s">
        <v>41</v>
      </c>
      <c r="H1265" t="s">
        <v>42</v>
      </c>
      <c r="I1265" t="s">
        <v>25</v>
      </c>
      <c r="J1265" t="s">
        <v>67</v>
      </c>
      <c r="K1265" t="s">
        <v>61</v>
      </c>
      <c r="L1265" t="s">
        <v>28</v>
      </c>
      <c r="M1265" s="4">
        <v>12</v>
      </c>
      <c r="N1265" s="4">
        <v>7</v>
      </c>
      <c r="O1265" t="s">
        <v>36</v>
      </c>
      <c r="P1265" t="s">
        <v>36</v>
      </c>
      <c r="Q1265" s="4">
        <v>143135</v>
      </c>
      <c r="R1265" s="4">
        <v>112432</v>
      </c>
      <c r="S1265" s="4">
        <f>Table1[[#This Row],[Service_Revenue]]-Table1[[#This Row],[Service_Cost]]</f>
        <v>30703</v>
      </c>
      <c r="T1265" s="4">
        <v>3</v>
      </c>
      <c r="U1265" s="4">
        <f>IF(AND(Table1[[#This Row],[Rework_Flag]]="Yes",Table1[[#This Row],[Warranty_Claim]]="No"),Table1[[#This Row],[Service_Revenue]],0)</f>
        <v>0</v>
      </c>
      <c r="V1265" s="4">
        <f>IF(Table1[[#This Row],[Warranty_Claim]]="Yes",1,0)</f>
        <v>0</v>
      </c>
      <c r="W1265" s="4">
        <f>IF(Table1[[#This Row],[Rework_Flag]]="No",1,0)</f>
        <v>1</v>
      </c>
      <c r="X1265" s="4">
        <f>IF(Table1[[#This Row],[Rework_Flag]]="Yes",1,0)</f>
        <v>0</v>
      </c>
      <c r="Y1265" s="4">
        <v>1</v>
      </c>
      <c r="Z1265" s="4" t="str">
        <f>IF(Table1[[#This Row],[TAT_Days]]&gt;Table1[[#This Row],[SLA_TAT]],"Yes","No")</f>
        <v>Yes</v>
      </c>
      <c r="AA1265" s="4" t="str" cm="1">
        <f t="array" ref="AA1265">_xlfn.IFS(Table1[[#This Row],[Customer_Satisfaction]]&lt;=2,"Poor",Table1[[#This Row],[Customer_Satisfaction]]=3,"Neutral",Table1[[#This Row],[Customer_Satisfaction]]=4,"Good",Table1[[#This Row],[Customer_Satisfaction]]=5,"Good")</f>
        <v>Neutral</v>
      </c>
    </row>
    <row r="1266" spans="1:27" x14ac:dyDescent="0.35">
      <c r="A1266">
        <v>21264</v>
      </c>
      <c r="B1266" s="1">
        <v>45327</v>
      </c>
      <c r="C1266" t="s">
        <v>19</v>
      </c>
      <c r="D1266" t="s">
        <v>45</v>
      </c>
      <c r="E1266" t="s">
        <v>111</v>
      </c>
      <c r="F1266" t="s">
        <v>22</v>
      </c>
      <c r="G1266" t="s">
        <v>54</v>
      </c>
      <c r="H1266" t="s">
        <v>42</v>
      </c>
      <c r="I1266" t="s">
        <v>25</v>
      </c>
      <c r="J1266" t="s">
        <v>58</v>
      </c>
      <c r="K1266" t="s">
        <v>61</v>
      </c>
      <c r="L1266" t="s">
        <v>28</v>
      </c>
      <c r="M1266" s="4">
        <v>19</v>
      </c>
      <c r="N1266" s="4">
        <v>7</v>
      </c>
      <c r="O1266" t="s">
        <v>36</v>
      </c>
      <c r="P1266" t="s">
        <v>29</v>
      </c>
      <c r="Q1266" s="4">
        <v>341900</v>
      </c>
      <c r="R1266" s="4">
        <v>249826</v>
      </c>
      <c r="S1266" s="4">
        <f>Table1[[#This Row],[Service_Revenue]]-Table1[[#This Row],[Service_Cost]]</f>
        <v>92074</v>
      </c>
      <c r="T1266" s="4">
        <v>2</v>
      </c>
      <c r="U1266" s="4">
        <f>IF(AND(Table1[[#This Row],[Rework_Flag]]="Yes",Table1[[#This Row],[Warranty_Claim]]="No"),Table1[[#This Row],[Service_Revenue]],0)</f>
        <v>0</v>
      </c>
      <c r="V1266" s="4">
        <f>IF(Table1[[#This Row],[Warranty_Claim]]="Yes",1,0)</f>
        <v>1</v>
      </c>
      <c r="W1266" s="4">
        <f>IF(Table1[[#This Row],[Rework_Flag]]="No",1,0)</f>
        <v>1</v>
      </c>
      <c r="X1266" s="4">
        <f>IF(Table1[[#This Row],[Rework_Flag]]="Yes",1,0)</f>
        <v>0</v>
      </c>
      <c r="Y1266" s="4">
        <v>1</v>
      </c>
      <c r="Z1266" s="4" t="str">
        <f>IF(Table1[[#This Row],[TAT_Days]]&gt;Table1[[#This Row],[SLA_TAT]],"Yes","No")</f>
        <v>Yes</v>
      </c>
      <c r="AA1266" s="4" t="str" cm="1">
        <f t="array" ref="AA1266">_xlfn.IFS(Table1[[#This Row],[Customer_Satisfaction]]&lt;=2,"Poor",Table1[[#This Row],[Customer_Satisfaction]]=3,"Neutral",Table1[[#This Row],[Customer_Satisfaction]]=4,"Good",Table1[[#This Row],[Customer_Satisfaction]]=5,"Good")</f>
        <v>Poor</v>
      </c>
    </row>
    <row r="1267" spans="1:27" x14ac:dyDescent="0.35">
      <c r="A1267">
        <v>21265</v>
      </c>
      <c r="B1267" s="1">
        <v>45456</v>
      </c>
      <c r="C1267" t="s">
        <v>19</v>
      </c>
      <c r="D1267" t="s">
        <v>45</v>
      </c>
      <c r="E1267" t="s">
        <v>114</v>
      </c>
      <c r="F1267" t="s">
        <v>22</v>
      </c>
      <c r="G1267" t="s">
        <v>47</v>
      </c>
      <c r="H1267" t="s">
        <v>48</v>
      </c>
      <c r="I1267" t="s">
        <v>55</v>
      </c>
      <c r="J1267" t="s">
        <v>43</v>
      </c>
      <c r="K1267" t="s">
        <v>61</v>
      </c>
      <c r="L1267" t="s">
        <v>28</v>
      </c>
      <c r="M1267" s="4">
        <v>23</v>
      </c>
      <c r="N1267" s="4">
        <v>7</v>
      </c>
      <c r="O1267" t="s">
        <v>29</v>
      </c>
      <c r="P1267" t="s">
        <v>29</v>
      </c>
      <c r="Q1267" s="4">
        <v>476737</v>
      </c>
      <c r="R1267" s="4">
        <v>367146</v>
      </c>
      <c r="S1267" s="4">
        <f>Table1[[#This Row],[Service_Revenue]]-Table1[[#This Row],[Service_Cost]]</f>
        <v>109591</v>
      </c>
      <c r="T1267" s="4">
        <v>1</v>
      </c>
      <c r="U1267" s="4">
        <f>IF(AND(Table1[[#This Row],[Rework_Flag]]="Yes",Table1[[#This Row],[Warranty_Claim]]="No"),Table1[[#This Row],[Service_Revenue]],0)</f>
        <v>0</v>
      </c>
      <c r="V1267" s="4">
        <f>IF(Table1[[#This Row],[Warranty_Claim]]="Yes",1,0)</f>
        <v>1</v>
      </c>
      <c r="W1267" s="4">
        <f>IF(Table1[[#This Row],[Rework_Flag]]="No",1,0)</f>
        <v>0</v>
      </c>
      <c r="X1267" s="4">
        <f>IF(Table1[[#This Row],[Rework_Flag]]="Yes",1,0)</f>
        <v>1</v>
      </c>
      <c r="Y1267" s="4">
        <v>1</v>
      </c>
      <c r="Z1267" s="4" t="str">
        <f>IF(Table1[[#This Row],[TAT_Days]]&gt;Table1[[#This Row],[SLA_TAT]],"Yes","No")</f>
        <v>Yes</v>
      </c>
      <c r="AA1267" s="4" t="str" cm="1">
        <f t="array" ref="AA1267">_xlfn.IFS(Table1[[#This Row],[Customer_Satisfaction]]&lt;=2,"Poor",Table1[[#This Row],[Customer_Satisfaction]]=3,"Neutral",Table1[[#This Row],[Customer_Satisfaction]]=4,"Good",Table1[[#This Row],[Customer_Satisfaction]]=5,"Good")</f>
        <v>Poor</v>
      </c>
    </row>
    <row r="1268" spans="1:27" x14ac:dyDescent="0.35">
      <c r="A1268">
        <v>21266</v>
      </c>
      <c r="B1268" s="1">
        <v>45365</v>
      </c>
      <c r="C1268" t="s">
        <v>30</v>
      </c>
      <c r="D1268" t="s">
        <v>59</v>
      </c>
      <c r="E1268" t="s">
        <v>78</v>
      </c>
      <c r="F1268" t="s">
        <v>22</v>
      </c>
      <c r="G1268" t="s">
        <v>54</v>
      </c>
      <c r="H1268" t="s">
        <v>42</v>
      </c>
      <c r="I1268" t="s">
        <v>25</v>
      </c>
      <c r="J1268" t="s">
        <v>58</v>
      </c>
      <c r="K1268" t="s">
        <v>44</v>
      </c>
      <c r="L1268" t="s">
        <v>28</v>
      </c>
      <c r="M1268" s="4">
        <v>24</v>
      </c>
      <c r="N1268" s="4">
        <v>7</v>
      </c>
      <c r="O1268" t="s">
        <v>29</v>
      </c>
      <c r="P1268" t="s">
        <v>36</v>
      </c>
      <c r="Q1268" s="4">
        <v>170546</v>
      </c>
      <c r="R1268" s="4">
        <v>122397</v>
      </c>
      <c r="S1268" s="4">
        <f>Table1[[#This Row],[Service_Revenue]]-Table1[[#This Row],[Service_Cost]]</f>
        <v>48149</v>
      </c>
      <c r="T1268" s="4">
        <v>1</v>
      </c>
      <c r="U1268" s="4">
        <f>IF(AND(Table1[[#This Row],[Rework_Flag]]="Yes",Table1[[#This Row],[Warranty_Claim]]="No"),Table1[[#This Row],[Service_Revenue]],0)</f>
        <v>170546</v>
      </c>
      <c r="V1268" s="4">
        <f>IF(Table1[[#This Row],[Warranty_Claim]]="Yes",1,0)</f>
        <v>0</v>
      </c>
      <c r="W1268" s="4">
        <f>IF(Table1[[#This Row],[Rework_Flag]]="No",1,0)</f>
        <v>0</v>
      </c>
      <c r="X1268" s="4">
        <f>IF(Table1[[#This Row],[Rework_Flag]]="Yes",1,0)</f>
        <v>1</v>
      </c>
      <c r="Y1268" s="4">
        <v>1</v>
      </c>
      <c r="Z1268" s="4" t="str">
        <f>IF(Table1[[#This Row],[TAT_Days]]&gt;Table1[[#This Row],[SLA_TAT]],"Yes","No")</f>
        <v>Yes</v>
      </c>
      <c r="AA1268" s="4" t="str" cm="1">
        <f t="array" ref="AA1268">_xlfn.IFS(Table1[[#This Row],[Customer_Satisfaction]]&lt;=2,"Poor",Table1[[#This Row],[Customer_Satisfaction]]=3,"Neutral",Table1[[#This Row],[Customer_Satisfaction]]=4,"Good",Table1[[#This Row],[Customer_Satisfaction]]=5,"Good")</f>
        <v>Poor</v>
      </c>
    </row>
    <row r="1269" spans="1:27" x14ac:dyDescent="0.35">
      <c r="A1269">
        <v>21267</v>
      </c>
      <c r="B1269" s="1">
        <v>45297</v>
      </c>
      <c r="C1269" t="s">
        <v>50</v>
      </c>
      <c r="D1269" t="s">
        <v>80</v>
      </c>
      <c r="E1269" t="s">
        <v>104</v>
      </c>
      <c r="F1269" t="s">
        <v>53</v>
      </c>
      <c r="G1269" t="s">
        <v>41</v>
      </c>
      <c r="H1269" t="s">
        <v>42</v>
      </c>
      <c r="I1269" t="s">
        <v>55</v>
      </c>
      <c r="J1269" t="s">
        <v>35</v>
      </c>
      <c r="K1269" t="s">
        <v>61</v>
      </c>
      <c r="L1269" t="s">
        <v>28</v>
      </c>
      <c r="M1269" s="4">
        <v>15</v>
      </c>
      <c r="N1269" s="4">
        <v>7</v>
      </c>
      <c r="O1269" t="s">
        <v>29</v>
      </c>
      <c r="P1269" t="s">
        <v>29</v>
      </c>
      <c r="Q1269" s="4">
        <v>458318</v>
      </c>
      <c r="R1269" s="4">
        <v>346514</v>
      </c>
      <c r="S1269" s="4">
        <f>Table1[[#This Row],[Service_Revenue]]-Table1[[#This Row],[Service_Cost]]</f>
        <v>111804</v>
      </c>
      <c r="T1269" s="4">
        <v>1</v>
      </c>
      <c r="U1269" s="4">
        <f>IF(AND(Table1[[#This Row],[Rework_Flag]]="Yes",Table1[[#This Row],[Warranty_Claim]]="No"),Table1[[#This Row],[Service_Revenue]],0)</f>
        <v>0</v>
      </c>
      <c r="V1269" s="4">
        <f>IF(Table1[[#This Row],[Warranty_Claim]]="Yes",1,0)</f>
        <v>1</v>
      </c>
      <c r="W1269" s="4">
        <f>IF(Table1[[#This Row],[Rework_Flag]]="No",1,0)</f>
        <v>0</v>
      </c>
      <c r="X1269" s="4">
        <f>IF(Table1[[#This Row],[Rework_Flag]]="Yes",1,0)</f>
        <v>1</v>
      </c>
      <c r="Y1269" s="4">
        <v>1</v>
      </c>
      <c r="Z1269" s="4" t="str">
        <f>IF(Table1[[#This Row],[TAT_Days]]&gt;Table1[[#This Row],[SLA_TAT]],"Yes","No")</f>
        <v>Yes</v>
      </c>
      <c r="AA1269" s="4" t="str" cm="1">
        <f t="array" ref="AA1269">_xlfn.IFS(Table1[[#This Row],[Customer_Satisfaction]]&lt;=2,"Poor",Table1[[#This Row],[Customer_Satisfaction]]=3,"Neutral",Table1[[#This Row],[Customer_Satisfaction]]=4,"Good",Table1[[#This Row],[Customer_Satisfaction]]=5,"Good")</f>
        <v>Poor</v>
      </c>
    </row>
    <row r="1270" spans="1:27" x14ac:dyDescent="0.35">
      <c r="A1270">
        <v>21268</v>
      </c>
      <c r="B1270" s="1">
        <v>45359</v>
      </c>
      <c r="C1270" t="s">
        <v>37</v>
      </c>
      <c r="D1270" t="s">
        <v>64</v>
      </c>
      <c r="E1270" t="s">
        <v>87</v>
      </c>
      <c r="F1270" t="s">
        <v>22</v>
      </c>
      <c r="G1270" t="s">
        <v>23</v>
      </c>
      <c r="H1270" t="s">
        <v>24</v>
      </c>
      <c r="I1270" t="s">
        <v>55</v>
      </c>
      <c r="J1270" t="s">
        <v>26</v>
      </c>
      <c r="K1270" t="s">
        <v>44</v>
      </c>
      <c r="L1270" t="s">
        <v>49</v>
      </c>
      <c r="M1270" s="4">
        <v>12</v>
      </c>
      <c r="N1270" s="4">
        <v>7</v>
      </c>
      <c r="O1270" t="s">
        <v>36</v>
      </c>
      <c r="P1270" t="s">
        <v>36</v>
      </c>
      <c r="Q1270" s="4">
        <v>525098</v>
      </c>
      <c r="R1270" s="4">
        <v>330061</v>
      </c>
      <c r="S1270" s="4">
        <f>Table1[[#This Row],[Service_Revenue]]-Table1[[#This Row],[Service_Cost]]</f>
        <v>195037</v>
      </c>
      <c r="T1270" s="4">
        <v>3</v>
      </c>
      <c r="U1270" s="4">
        <f>IF(AND(Table1[[#This Row],[Rework_Flag]]="Yes",Table1[[#This Row],[Warranty_Claim]]="No"),Table1[[#This Row],[Service_Revenue]],0)</f>
        <v>0</v>
      </c>
      <c r="V1270" s="4">
        <f>IF(Table1[[#This Row],[Warranty_Claim]]="Yes",1,0)</f>
        <v>0</v>
      </c>
      <c r="W1270" s="4">
        <f>IF(Table1[[#This Row],[Rework_Flag]]="No",1,0)</f>
        <v>1</v>
      </c>
      <c r="X1270" s="4">
        <f>IF(Table1[[#This Row],[Rework_Flag]]="Yes",1,0)</f>
        <v>0</v>
      </c>
      <c r="Y1270" s="4">
        <v>1</v>
      </c>
      <c r="Z1270" s="4" t="str">
        <f>IF(Table1[[#This Row],[TAT_Days]]&gt;Table1[[#This Row],[SLA_TAT]],"Yes","No")</f>
        <v>Yes</v>
      </c>
      <c r="AA1270" s="4" t="str" cm="1">
        <f t="array" ref="AA1270">_xlfn.IFS(Table1[[#This Row],[Customer_Satisfaction]]&lt;=2,"Poor",Table1[[#This Row],[Customer_Satisfaction]]=3,"Neutral",Table1[[#This Row],[Customer_Satisfaction]]=4,"Good",Table1[[#This Row],[Customer_Satisfaction]]=5,"Good")</f>
        <v>Neutral</v>
      </c>
    </row>
    <row r="1271" spans="1:27" x14ac:dyDescent="0.35">
      <c r="A1271">
        <v>21269</v>
      </c>
      <c r="B1271" s="1">
        <v>45419</v>
      </c>
      <c r="C1271" t="s">
        <v>30</v>
      </c>
      <c r="D1271" t="s">
        <v>59</v>
      </c>
      <c r="E1271" t="s">
        <v>78</v>
      </c>
      <c r="F1271" t="s">
        <v>22</v>
      </c>
      <c r="G1271" t="s">
        <v>47</v>
      </c>
      <c r="H1271" t="s">
        <v>48</v>
      </c>
      <c r="I1271" t="s">
        <v>55</v>
      </c>
      <c r="J1271" t="s">
        <v>26</v>
      </c>
      <c r="K1271" t="s">
        <v>61</v>
      </c>
      <c r="L1271" t="s">
        <v>49</v>
      </c>
      <c r="M1271" s="4">
        <v>7</v>
      </c>
      <c r="N1271" s="4">
        <v>7</v>
      </c>
      <c r="O1271" t="s">
        <v>29</v>
      </c>
      <c r="P1271" t="s">
        <v>29</v>
      </c>
      <c r="Q1271" s="4">
        <v>320678</v>
      </c>
      <c r="R1271" s="4">
        <v>186586</v>
      </c>
      <c r="S1271" s="4">
        <f>Table1[[#This Row],[Service_Revenue]]-Table1[[#This Row],[Service_Cost]]</f>
        <v>134092</v>
      </c>
      <c r="T1271" s="4">
        <v>3</v>
      </c>
      <c r="U1271" s="4">
        <f>IF(AND(Table1[[#This Row],[Rework_Flag]]="Yes",Table1[[#This Row],[Warranty_Claim]]="No"),Table1[[#This Row],[Service_Revenue]],0)</f>
        <v>0</v>
      </c>
      <c r="V1271" s="4">
        <f>IF(Table1[[#This Row],[Warranty_Claim]]="Yes",1,0)</f>
        <v>1</v>
      </c>
      <c r="W1271" s="4">
        <f>IF(Table1[[#This Row],[Rework_Flag]]="No",1,0)</f>
        <v>0</v>
      </c>
      <c r="X1271" s="4">
        <f>IF(Table1[[#This Row],[Rework_Flag]]="Yes",1,0)</f>
        <v>1</v>
      </c>
      <c r="Y1271" s="4">
        <v>1</v>
      </c>
      <c r="Z1271" s="4" t="str">
        <f>IF(Table1[[#This Row],[TAT_Days]]&gt;Table1[[#This Row],[SLA_TAT]],"Yes","No")</f>
        <v>No</v>
      </c>
      <c r="AA1271" s="4" t="str" cm="1">
        <f t="array" ref="AA1271">_xlfn.IFS(Table1[[#This Row],[Customer_Satisfaction]]&lt;=2,"Poor",Table1[[#This Row],[Customer_Satisfaction]]=3,"Neutral",Table1[[#This Row],[Customer_Satisfaction]]=4,"Good",Table1[[#This Row],[Customer_Satisfaction]]=5,"Good")</f>
        <v>Neutral</v>
      </c>
    </row>
    <row r="1272" spans="1:27" x14ac:dyDescent="0.35">
      <c r="A1272">
        <v>21270</v>
      </c>
      <c r="B1272" s="1">
        <v>45410</v>
      </c>
      <c r="C1272" t="s">
        <v>50</v>
      </c>
      <c r="D1272" t="s">
        <v>80</v>
      </c>
      <c r="E1272" t="s">
        <v>104</v>
      </c>
      <c r="F1272" t="s">
        <v>53</v>
      </c>
      <c r="G1272" t="s">
        <v>74</v>
      </c>
      <c r="H1272" t="s">
        <v>34</v>
      </c>
      <c r="I1272" t="s">
        <v>25</v>
      </c>
      <c r="J1272" t="s">
        <v>58</v>
      </c>
      <c r="K1272" t="s">
        <v>44</v>
      </c>
      <c r="L1272" t="s">
        <v>28</v>
      </c>
      <c r="M1272" s="4">
        <v>24</v>
      </c>
      <c r="N1272" s="4">
        <v>7</v>
      </c>
      <c r="O1272" t="s">
        <v>36</v>
      </c>
      <c r="P1272" t="s">
        <v>29</v>
      </c>
      <c r="Q1272" s="4">
        <v>130311</v>
      </c>
      <c r="R1272" s="4">
        <v>73230</v>
      </c>
      <c r="S1272" s="4">
        <f>Table1[[#This Row],[Service_Revenue]]-Table1[[#This Row],[Service_Cost]]</f>
        <v>57081</v>
      </c>
      <c r="T1272" s="4">
        <v>1</v>
      </c>
      <c r="U1272" s="4">
        <f>IF(AND(Table1[[#This Row],[Rework_Flag]]="Yes",Table1[[#This Row],[Warranty_Claim]]="No"),Table1[[#This Row],[Service_Revenue]],0)</f>
        <v>0</v>
      </c>
      <c r="V1272" s="4">
        <f>IF(Table1[[#This Row],[Warranty_Claim]]="Yes",1,0)</f>
        <v>1</v>
      </c>
      <c r="W1272" s="4">
        <f>IF(Table1[[#This Row],[Rework_Flag]]="No",1,0)</f>
        <v>1</v>
      </c>
      <c r="X1272" s="4">
        <f>IF(Table1[[#This Row],[Rework_Flag]]="Yes",1,0)</f>
        <v>0</v>
      </c>
      <c r="Y1272" s="4">
        <v>1</v>
      </c>
      <c r="Z1272" s="4" t="str">
        <f>IF(Table1[[#This Row],[TAT_Days]]&gt;Table1[[#This Row],[SLA_TAT]],"Yes","No")</f>
        <v>Yes</v>
      </c>
      <c r="AA1272" s="4" t="str" cm="1">
        <f t="array" ref="AA1272">_xlfn.IFS(Table1[[#This Row],[Customer_Satisfaction]]&lt;=2,"Poor",Table1[[#This Row],[Customer_Satisfaction]]=3,"Neutral",Table1[[#This Row],[Customer_Satisfaction]]=4,"Good",Table1[[#This Row],[Customer_Satisfaction]]=5,"Good")</f>
        <v>Poor</v>
      </c>
    </row>
    <row r="1273" spans="1:27" x14ac:dyDescent="0.35">
      <c r="A1273">
        <v>21271</v>
      </c>
      <c r="B1273" s="1">
        <v>45337</v>
      </c>
      <c r="C1273" t="s">
        <v>19</v>
      </c>
      <c r="D1273" t="s">
        <v>20</v>
      </c>
      <c r="E1273" t="s">
        <v>21</v>
      </c>
      <c r="F1273" t="s">
        <v>40</v>
      </c>
      <c r="G1273" t="s">
        <v>54</v>
      </c>
      <c r="H1273" t="s">
        <v>42</v>
      </c>
      <c r="I1273" t="s">
        <v>55</v>
      </c>
      <c r="J1273" t="s">
        <v>43</v>
      </c>
      <c r="K1273" t="s">
        <v>27</v>
      </c>
      <c r="L1273" t="s">
        <v>28</v>
      </c>
      <c r="M1273" s="4">
        <v>6</v>
      </c>
      <c r="N1273" s="4">
        <v>7</v>
      </c>
      <c r="O1273" t="s">
        <v>36</v>
      </c>
      <c r="P1273" t="s">
        <v>36</v>
      </c>
      <c r="Q1273" s="4">
        <v>218512</v>
      </c>
      <c r="R1273" s="4">
        <v>120321</v>
      </c>
      <c r="S1273" s="4">
        <f>Table1[[#This Row],[Service_Revenue]]-Table1[[#This Row],[Service_Cost]]</f>
        <v>98191</v>
      </c>
      <c r="T1273" s="4">
        <v>4</v>
      </c>
      <c r="U1273" s="4">
        <f>IF(AND(Table1[[#This Row],[Rework_Flag]]="Yes",Table1[[#This Row],[Warranty_Claim]]="No"),Table1[[#This Row],[Service_Revenue]],0)</f>
        <v>0</v>
      </c>
      <c r="V1273" s="4">
        <f>IF(Table1[[#This Row],[Warranty_Claim]]="Yes",1,0)</f>
        <v>0</v>
      </c>
      <c r="W1273" s="4">
        <f>IF(Table1[[#This Row],[Rework_Flag]]="No",1,0)</f>
        <v>1</v>
      </c>
      <c r="X1273" s="4">
        <f>IF(Table1[[#This Row],[Rework_Flag]]="Yes",1,0)</f>
        <v>0</v>
      </c>
      <c r="Y1273" s="4">
        <v>1</v>
      </c>
      <c r="Z1273" s="4" t="str">
        <f>IF(Table1[[#This Row],[TAT_Days]]&gt;Table1[[#This Row],[SLA_TAT]],"Yes","No")</f>
        <v>No</v>
      </c>
      <c r="AA1273" s="4" t="str" cm="1">
        <f t="array" ref="AA1273">_xlfn.IFS(Table1[[#This Row],[Customer_Satisfaction]]&lt;=2,"Poor",Table1[[#This Row],[Customer_Satisfaction]]=3,"Neutral",Table1[[#This Row],[Customer_Satisfaction]]=4,"Good",Table1[[#This Row],[Customer_Satisfaction]]=5,"Good")</f>
        <v>Good</v>
      </c>
    </row>
    <row r="1274" spans="1:27" x14ac:dyDescent="0.35">
      <c r="A1274">
        <v>21272</v>
      </c>
      <c r="B1274" s="1">
        <v>45368</v>
      </c>
      <c r="C1274" t="s">
        <v>19</v>
      </c>
      <c r="D1274" t="s">
        <v>96</v>
      </c>
      <c r="E1274" t="s">
        <v>109</v>
      </c>
      <c r="F1274" t="s">
        <v>53</v>
      </c>
      <c r="G1274" t="s">
        <v>54</v>
      </c>
      <c r="H1274" t="s">
        <v>42</v>
      </c>
      <c r="I1274" t="s">
        <v>55</v>
      </c>
      <c r="J1274" t="s">
        <v>43</v>
      </c>
      <c r="K1274" t="s">
        <v>44</v>
      </c>
      <c r="L1274" t="s">
        <v>49</v>
      </c>
      <c r="M1274" s="4">
        <v>21</v>
      </c>
      <c r="N1274" s="4">
        <v>7</v>
      </c>
      <c r="O1274" t="s">
        <v>29</v>
      </c>
      <c r="P1274" t="s">
        <v>36</v>
      </c>
      <c r="Q1274" s="4">
        <v>564493</v>
      </c>
      <c r="R1274" s="4">
        <v>439405</v>
      </c>
      <c r="S1274" s="4">
        <f>Table1[[#This Row],[Service_Revenue]]-Table1[[#This Row],[Service_Cost]]</f>
        <v>125088</v>
      </c>
      <c r="T1274" s="4">
        <v>1</v>
      </c>
      <c r="U1274" s="4">
        <f>IF(AND(Table1[[#This Row],[Rework_Flag]]="Yes",Table1[[#This Row],[Warranty_Claim]]="No"),Table1[[#This Row],[Service_Revenue]],0)</f>
        <v>564493</v>
      </c>
      <c r="V1274" s="4">
        <f>IF(Table1[[#This Row],[Warranty_Claim]]="Yes",1,0)</f>
        <v>0</v>
      </c>
      <c r="W1274" s="4">
        <f>IF(Table1[[#This Row],[Rework_Flag]]="No",1,0)</f>
        <v>0</v>
      </c>
      <c r="X1274" s="4">
        <f>IF(Table1[[#This Row],[Rework_Flag]]="Yes",1,0)</f>
        <v>1</v>
      </c>
      <c r="Y1274" s="4">
        <v>1</v>
      </c>
      <c r="Z1274" s="4" t="str">
        <f>IF(Table1[[#This Row],[TAT_Days]]&gt;Table1[[#This Row],[SLA_TAT]],"Yes","No")</f>
        <v>Yes</v>
      </c>
      <c r="AA1274" s="4" t="str" cm="1">
        <f t="array" ref="AA1274">_xlfn.IFS(Table1[[#This Row],[Customer_Satisfaction]]&lt;=2,"Poor",Table1[[#This Row],[Customer_Satisfaction]]=3,"Neutral",Table1[[#This Row],[Customer_Satisfaction]]=4,"Good",Table1[[#This Row],[Customer_Satisfaction]]=5,"Good")</f>
        <v>Poor</v>
      </c>
    </row>
    <row r="1275" spans="1:27" x14ac:dyDescent="0.35">
      <c r="A1275">
        <v>21273</v>
      </c>
      <c r="B1275" s="1">
        <v>45381</v>
      </c>
      <c r="C1275" t="s">
        <v>30</v>
      </c>
      <c r="D1275" t="s">
        <v>59</v>
      </c>
      <c r="E1275" t="s">
        <v>69</v>
      </c>
      <c r="F1275" t="s">
        <v>22</v>
      </c>
      <c r="G1275" t="s">
        <v>23</v>
      </c>
      <c r="H1275" t="s">
        <v>24</v>
      </c>
      <c r="I1275" t="s">
        <v>25</v>
      </c>
      <c r="J1275" t="s">
        <v>58</v>
      </c>
      <c r="K1275" t="s">
        <v>27</v>
      </c>
      <c r="L1275" t="s">
        <v>28</v>
      </c>
      <c r="M1275" s="4">
        <v>12</v>
      </c>
      <c r="N1275" s="4">
        <v>7</v>
      </c>
      <c r="O1275" t="s">
        <v>29</v>
      </c>
      <c r="P1275" t="s">
        <v>36</v>
      </c>
      <c r="Q1275" s="4">
        <v>536876</v>
      </c>
      <c r="R1275" s="4">
        <v>373016</v>
      </c>
      <c r="S1275" s="4">
        <f>Table1[[#This Row],[Service_Revenue]]-Table1[[#This Row],[Service_Cost]]</f>
        <v>163860</v>
      </c>
      <c r="T1275" s="4">
        <v>2</v>
      </c>
      <c r="U1275" s="4">
        <f>IF(AND(Table1[[#This Row],[Rework_Flag]]="Yes",Table1[[#This Row],[Warranty_Claim]]="No"),Table1[[#This Row],[Service_Revenue]],0)</f>
        <v>536876</v>
      </c>
      <c r="V1275" s="4">
        <f>IF(Table1[[#This Row],[Warranty_Claim]]="Yes",1,0)</f>
        <v>0</v>
      </c>
      <c r="W1275" s="4">
        <f>IF(Table1[[#This Row],[Rework_Flag]]="No",1,0)</f>
        <v>0</v>
      </c>
      <c r="X1275" s="4">
        <f>IF(Table1[[#This Row],[Rework_Flag]]="Yes",1,0)</f>
        <v>1</v>
      </c>
      <c r="Y1275" s="4">
        <v>1</v>
      </c>
      <c r="Z1275" s="4" t="str">
        <f>IF(Table1[[#This Row],[TAT_Days]]&gt;Table1[[#This Row],[SLA_TAT]],"Yes","No")</f>
        <v>Yes</v>
      </c>
      <c r="AA1275" s="4" t="str" cm="1">
        <f t="array" ref="AA1275">_xlfn.IFS(Table1[[#This Row],[Customer_Satisfaction]]&lt;=2,"Poor",Table1[[#This Row],[Customer_Satisfaction]]=3,"Neutral",Table1[[#This Row],[Customer_Satisfaction]]=4,"Good",Table1[[#This Row],[Customer_Satisfaction]]=5,"Good")</f>
        <v>Poor</v>
      </c>
    </row>
    <row r="1276" spans="1:27" x14ac:dyDescent="0.35">
      <c r="A1276">
        <v>21274</v>
      </c>
      <c r="B1276" s="1">
        <v>45438</v>
      </c>
      <c r="C1276" t="s">
        <v>50</v>
      </c>
      <c r="D1276" t="s">
        <v>56</v>
      </c>
      <c r="E1276" t="s">
        <v>57</v>
      </c>
      <c r="F1276" t="s">
        <v>53</v>
      </c>
      <c r="G1276" t="s">
        <v>23</v>
      </c>
      <c r="H1276" t="s">
        <v>24</v>
      </c>
      <c r="I1276" t="s">
        <v>55</v>
      </c>
      <c r="J1276" t="s">
        <v>67</v>
      </c>
      <c r="K1276" t="s">
        <v>44</v>
      </c>
      <c r="L1276" t="s">
        <v>28</v>
      </c>
      <c r="M1276" s="4">
        <v>18</v>
      </c>
      <c r="N1276" s="4">
        <v>7</v>
      </c>
      <c r="O1276" t="s">
        <v>36</v>
      </c>
      <c r="P1276" t="s">
        <v>29</v>
      </c>
      <c r="Q1276" s="4">
        <v>561129</v>
      </c>
      <c r="R1276" s="4">
        <v>351693</v>
      </c>
      <c r="S1276" s="4">
        <f>Table1[[#This Row],[Service_Revenue]]-Table1[[#This Row],[Service_Cost]]</f>
        <v>209436</v>
      </c>
      <c r="T1276" s="4">
        <v>2</v>
      </c>
      <c r="U1276" s="4">
        <f>IF(AND(Table1[[#This Row],[Rework_Flag]]="Yes",Table1[[#This Row],[Warranty_Claim]]="No"),Table1[[#This Row],[Service_Revenue]],0)</f>
        <v>0</v>
      </c>
      <c r="V1276" s="4">
        <f>IF(Table1[[#This Row],[Warranty_Claim]]="Yes",1,0)</f>
        <v>1</v>
      </c>
      <c r="W1276" s="4">
        <f>IF(Table1[[#This Row],[Rework_Flag]]="No",1,0)</f>
        <v>1</v>
      </c>
      <c r="X1276" s="4">
        <f>IF(Table1[[#This Row],[Rework_Flag]]="Yes",1,0)</f>
        <v>0</v>
      </c>
      <c r="Y1276" s="4">
        <v>1</v>
      </c>
      <c r="Z1276" s="4" t="str">
        <f>IF(Table1[[#This Row],[TAT_Days]]&gt;Table1[[#This Row],[SLA_TAT]],"Yes","No")</f>
        <v>Yes</v>
      </c>
      <c r="AA1276" s="4" t="str" cm="1">
        <f t="array" ref="AA1276">_xlfn.IFS(Table1[[#This Row],[Customer_Satisfaction]]&lt;=2,"Poor",Table1[[#This Row],[Customer_Satisfaction]]=3,"Neutral",Table1[[#This Row],[Customer_Satisfaction]]=4,"Good",Table1[[#This Row],[Customer_Satisfaction]]=5,"Good")</f>
        <v>Poor</v>
      </c>
    </row>
    <row r="1277" spans="1:27" x14ac:dyDescent="0.35">
      <c r="A1277">
        <v>21275</v>
      </c>
      <c r="B1277" s="1">
        <v>45398</v>
      </c>
      <c r="C1277" t="s">
        <v>30</v>
      </c>
      <c r="D1277" t="s">
        <v>31</v>
      </c>
      <c r="E1277" t="s">
        <v>79</v>
      </c>
      <c r="F1277" t="s">
        <v>22</v>
      </c>
      <c r="G1277" t="s">
        <v>54</v>
      </c>
      <c r="H1277" t="s">
        <v>42</v>
      </c>
      <c r="I1277" t="s">
        <v>25</v>
      </c>
      <c r="J1277" t="s">
        <v>26</v>
      </c>
      <c r="K1277" t="s">
        <v>44</v>
      </c>
      <c r="L1277" t="s">
        <v>49</v>
      </c>
      <c r="M1277" s="4">
        <v>22</v>
      </c>
      <c r="N1277" s="4">
        <v>7</v>
      </c>
      <c r="O1277" t="s">
        <v>29</v>
      </c>
      <c r="P1277" t="s">
        <v>36</v>
      </c>
      <c r="Q1277" s="4">
        <v>433084</v>
      </c>
      <c r="R1277" s="4">
        <v>354885</v>
      </c>
      <c r="S1277" s="4">
        <f>Table1[[#This Row],[Service_Revenue]]-Table1[[#This Row],[Service_Cost]]</f>
        <v>78199</v>
      </c>
      <c r="T1277" s="4">
        <v>1</v>
      </c>
      <c r="U1277" s="4">
        <f>IF(AND(Table1[[#This Row],[Rework_Flag]]="Yes",Table1[[#This Row],[Warranty_Claim]]="No"),Table1[[#This Row],[Service_Revenue]],0)</f>
        <v>433084</v>
      </c>
      <c r="V1277" s="4">
        <f>IF(Table1[[#This Row],[Warranty_Claim]]="Yes",1,0)</f>
        <v>0</v>
      </c>
      <c r="W1277" s="4">
        <f>IF(Table1[[#This Row],[Rework_Flag]]="No",1,0)</f>
        <v>0</v>
      </c>
      <c r="X1277" s="4">
        <f>IF(Table1[[#This Row],[Rework_Flag]]="Yes",1,0)</f>
        <v>1</v>
      </c>
      <c r="Y1277" s="4">
        <v>1</v>
      </c>
      <c r="Z1277" s="4" t="str">
        <f>IF(Table1[[#This Row],[TAT_Days]]&gt;Table1[[#This Row],[SLA_TAT]],"Yes","No")</f>
        <v>Yes</v>
      </c>
      <c r="AA1277" s="4" t="str" cm="1">
        <f t="array" ref="AA1277">_xlfn.IFS(Table1[[#This Row],[Customer_Satisfaction]]&lt;=2,"Poor",Table1[[#This Row],[Customer_Satisfaction]]=3,"Neutral",Table1[[#This Row],[Customer_Satisfaction]]=4,"Good",Table1[[#This Row],[Customer_Satisfaction]]=5,"Good")</f>
        <v>Poor</v>
      </c>
    </row>
    <row r="1278" spans="1:27" x14ac:dyDescent="0.35">
      <c r="A1278">
        <v>21276</v>
      </c>
      <c r="B1278" s="1">
        <v>45336</v>
      </c>
      <c r="C1278" t="s">
        <v>19</v>
      </c>
      <c r="D1278" t="s">
        <v>20</v>
      </c>
      <c r="E1278" t="s">
        <v>89</v>
      </c>
      <c r="F1278" t="s">
        <v>40</v>
      </c>
      <c r="G1278" t="s">
        <v>33</v>
      </c>
      <c r="H1278" t="s">
        <v>34</v>
      </c>
      <c r="I1278" t="s">
        <v>55</v>
      </c>
      <c r="J1278" t="s">
        <v>43</v>
      </c>
      <c r="K1278" t="s">
        <v>27</v>
      </c>
      <c r="L1278" t="s">
        <v>28</v>
      </c>
      <c r="M1278" s="4">
        <v>24</v>
      </c>
      <c r="N1278" s="4">
        <v>7</v>
      </c>
      <c r="O1278" t="s">
        <v>29</v>
      </c>
      <c r="P1278" t="s">
        <v>29</v>
      </c>
      <c r="Q1278" s="4">
        <v>194442</v>
      </c>
      <c r="R1278" s="4">
        <v>146410</v>
      </c>
      <c r="S1278" s="4">
        <f>Table1[[#This Row],[Service_Revenue]]-Table1[[#This Row],[Service_Cost]]</f>
        <v>48032</v>
      </c>
      <c r="T1278" s="4">
        <v>1</v>
      </c>
      <c r="U1278" s="4">
        <f>IF(AND(Table1[[#This Row],[Rework_Flag]]="Yes",Table1[[#This Row],[Warranty_Claim]]="No"),Table1[[#This Row],[Service_Revenue]],0)</f>
        <v>0</v>
      </c>
      <c r="V1278" s="4">
        <f>IF(Table1[[#This Row],[Warranty_Claim]]="Yes",1,0)</f>
        <v>1</v>
      </c>
      <c r="W1278" s="4">
        <f>IF(Table1[[#This Row],[Rework_Flag]]="No",1,0)</f>
        <v>0</v>
      </c>
      <c r="X1278" s="4">
        <f>IF(Table1[[#This Row],[Rework_Flag]]="Yes",1,0)</f>
        <v>1</v>
      </c>
      <c r="Y1278" s="4">
        <v>1</v>
      </c>
      <c r="Z1278" s="4" t="str">
        <f>IF(Table1[[#This Row],[TAT_Days]]&gt;Table1[[#This Row],[SLA_TAT]],"Yes","No")</f>
        <v>Yes</v>
      </c>
      <c r="AA1278" s="4" t="str" cm="1">
        <f t="array" ref="AA1278">_xlfn.IFS(Table1[[#This Row],[Customer_Satisfaction]]&lt;=2,"Poor",Table1[[#This Row],[Customer_Satisfaction]]=3,"Neutral",Table1[[#This Row],[Customer_Satisfaction]]=4,"Good",Table1[[#This Row],[Customer_Satisfaction]]=5,"Good")</f>
        <v>Poor</v>
      </c>
    </row>
    <row r="1279" spans="1:27" x14ac:dyDescent="0.35">
      <c r="A1279">
        <v>21277</v>
      </c>
      <c r="B1279" s="1">
        <v>45458</v>
      </c>
      <c r="C1279" t="s">
        <v>50</v>
      </c>
      <c r="D1279" t="s">
        <v>80</v>
      </c>
      <c r="E1279" t="s">
        <v>104</v>
      </c>
      <c r="F1279" t="s">
        <v>22</v>
      </c>
      <c r="G1279" t="s">
        <v>74</v>
      </c>
      <c r="H1279" t="s">
        <v>34</v>
      </c>
      <c r="I1279" t="s">
        <v>25</v>
      </c>
      <c r="J1279" t="s">
        <v>35</v>
      </c>
      <c r="K1279" t="s">
        <v>27</v>
      </c>
      <c r="L1279" t="s">
        <v>49</v>
      </c>
      <c r="M1279" s="4">
        <v>12</v>
      </c>
      <c r="N1279" s="4">
        <v>7</v>
      </c>
      <c r="O1279" t="s">
        <v>29</v>
      </c>
      <c r="P1279" t="s">
        <v>29</v>
      </c>
      <c r="Q1279" s="4">
        <v>521332</v>
      </c>
      <c r="R1279" s="4">
        <v>277933</v>
      </c>
      <c r="S1279" s="4">
        <f>Table1[[#This Row],[Service_Revenue]]-Table1[[#This Row],[Service_Cost]]</f>
        <v>243399</v>
      </c>
      <c r="T1279" s="4">
        <v>2</v>
      </c>
      <c r="U1279" s="4">
        <f>IF(AND(Table1[[#This Row],[Rework_Flag]]="Yes",Table1[[#This Row],[Warranty_Claim]]="No"),Table1[[#This Row],[Service_Revenue]],0)</f>
        <v>0</v>
      </c>
      <c r="V1279" s="4">
        <f>IF(Table1[[#This Row],[Warranty_Claim]]="Yes",1,0)</f>
        <v>1</v>
      </c>
      <c r="W1279" s="4">
        <f>IF(Table1[[#This Row],[Rework_Flag]]="No",1,0)</f>
        <v>0</v>
      </c>
      <c r="X1279" s="4">
        <f>IF(Table1[[#This Row],[Rework_Flag]]="Yes",1,0)</f>
        <v>1</v>
      </c>
      <c r="Y1279" s="4">
        <v>1</v>
      </c>
      <c r="Z1279" s="4" t="str">
        <f>IF(Table1[[#This Row],[TAT_Days]]&gt;Table1[[#This Row],[SLA_TAT]],"Yes","No")</f>
        <v>Yes</v>
      </c>
      <c r="AA1279" s="4" t="str" cm="1">
        <f t="array" ref="AA1279">_xlfn.IFS(Table1[[#This Row],[Customer_Satisfaction]]&lt;=2,"Poor",Table1[[#This Row],[Customer_Satisfaction]]=3,"Neutral",Table1[[#This Row],[Customer_Satisfaction]]=4,"Good",Table1[[#This Row],[Customer_Satisfaction]]=5,"Good")</f>
        <v>Poor</v>
      </c>
    </row>
    <row r="1280" spans="1:27" x14ac:dyDescent="0.35">
      <c r="A1280">
        <v>21278</v>
      </c>
      <c r="B1280" s="1">
        <v>45439</v>
      </c>
      <c r="C1280" t="s">
        <v>50</v>
      </c>
      <c r="D1280" t="s">
        <v>51</v>
      </c>
      <c r="E1280" t="s">
        <v>73</v>
      </c>
      <c r="F1280" t="s">
        <v>53</v>
      </c>
      <c r="G1280" t="s">
        <v>23</v>
      </c>
      <c r="H1280" t="s">
        <v>24</v>
      </c>
      <c r="I1280" t="s">
        <v>55</v>
      </c>
      <c r="J1280" t="s">
        <v>43</v>
      </c>
      <c r="K1280" t="s">
        <v>44</v>
      </c>
      <c r="L1280" t="s">
        <v>28</v>
      </c>
      <c r="M1280" s="4">
        <v>14</v>
      </c>
      <c r="N1280" s="4">
        <v>7</v>
      </c>
      <c r="O1280" t="s">
        <v>29</v>
      </c>
      <c r="P1280" t="s">
        <v>29</v>
      </c>
      <c r="Q1280" s="4">
        <v>574861</v>
      </c>
      <c r="R1280" s="4">
        <v>369659</v>
      </c>
      <c r="S1280" s="4">
        <f>Table1[[#This Row],[Service_Revenue]]-Table1[[#This Row],[Service_Cost]]</f>
        <v>205202</v>
      </c>
      <c r="T1280" s="4">
        <v>2</v>
      </c>
      <c r="U1280" s="4">
        <f>IF(AND(Table1[[#This Row],[Rework_Flag]]="Yes",Table1[[#This Row],[Warranty_Claim]]="No"),Table1[[#This Row],[Service_Revenue]],0)</f>
        <v>0</v>
      </c>
      <c r="V1280" s="4">
        <f>IF(Table1[[#This Row],[Warranty_Claim]]="Yes",1,0)</f>
        <v>1</v>
      </c>
      <c r="W1280" s="4">
        <f>IF(Table1[[#This Row],[Rework_Flag]]="No",1,0)</f>
        <v>0</v>
      </c>
      <c r="X1280" s="4">
        <f>IF(Table1[[#This Row],[Rework_Flag]]="Yes",1,0)</f>
        <v>1</v>
      </c>
      <c r="Y1280" s="4">
        <v>1</v>
      </c>
      <c r="Z1280" s="4" t="str">
        <f>IF(Table1[[#This Row],[TAT_Days]]&gt;Table1[[#This Row],[SLA_TAT]],"Yes","No")</f>
        <v>Yes</v>
      </c>
      <c r="AA1280" s="4" t="str" cm="1">
        <f t="array" ref="AA1280">_xlfn.IFS(Table1[[#This Row],[Customer_Satisfaction]]&lt;=2,"Poor",Table1[[#This Row],[Customer_Satisfaction]]=3,"Neutral",Table1[[#This Row],[Customer_Satisfaction]]=4,"Good",Table1[[#This Row],[Customer_Satisfaction]]=5,"Good")</f>
        <v>Poor</v>
      </c>
    </row>
    <row r="1281" spans="1:27" x14ac:dyDescent="0.35">
      <c r="A1281">
        <v>21279</v>
      </c>
      <c r="B1281" s="1">
        <v>45420</v>
      </c>
      <c r="C1281" t="s">
        <v>19</v>
      </c>
      <c r="D1281" t="s">
        <v>45</v>
      </c>
      <c r="E1281" t="s">
        <v>76</v>
      </c>
      <c r="F1281" t="s">
        <v>53</v>
      </c>
      <c r="G1281" t="s">
        <v>23</v>
      </c>
      <c r="H1281" t="s">
        <v>24</v>
      </c>
      <c r="I1281" t="s">
        <v>55</v>
      </c>
      <c r="J1281" t="s">
        <v>35</v>
      </c>
      <c r="K1281" t="s">
        <v>27</v>
      </c>
      <c r="L1281" t="s">
        <v>49</v>
      </c>
      <c r="M1281" s="4">
        <v>15</v>
      </c>
      <c r="N1281" s="4">
        <v>7</v>
      </c>
      <c r="O1281" t="s">
        <v>29</v>
      </c>
      <c r="P1281" t="s">
        <v>29</v>
      </c>
      <c r="Q1281" s="4">
        <v>556276</v>
      </c>
      <c r="R1281" s="4">
        <v>459426</v>
      </c>
      <c r="S1281" s="4">
        <f>Table1[[#This Row],[Service_Revenue]]-Table1[[#This Row],[Service_Cost]]</f>
        <v>96850</v>
      </c>
      <c r="T1281" s="4">
        <v>1</v>
      </c>
      <c r="U1281" s="4">
        <f>IF(AND(Table1[[#This Row],[Rework_Flag]]="Yes",Table1[[#This Row],[Warranty_Claim]]="No"),Table1[[#This Row],[Service_Revenue]],0)</f>
        <v>0</v>
      </c>
      <c r="V1281" s="4">
        <f>IF(Table1[[#This Row],[Warranty_Claim]]="Yes",1,0)</f>
        <v>1</v>
      </c>
      <c r="W1281" s="4">
        <f>IF(Table1[[#This Row],[Rework_Flag]]="No",1,0)</f>
        <v>0</v>
      </c>
      <c r="X1281" s="4">
        <f>IF(Table1[[#This Row],[Rework_Flag]]="Yes",1,0)</f>
        <v>1</v>
      </c>
      <c r="Y1281" s="4">
        <v>1</v>
      </c>
      <c r="Z1281" s="4" t="str">
        <f>IF(Table1[[#This Row],[TAT_Days]]&gt;Table1[[#This Row],[SLA_TAT]],"Yes","No")</f>
        <v>Yes</v>
      </c>
      <c r="AA1281" s="4" t="str" cm="1">
        <f t="array" ref="AA1281">_xlfn.IFS(Table1[[#This Row],[Customer_Satisfaction]]&lt;=2,"Poor",Table1[[#This Row],[Customer_Satisfaction]]=3,"Neutral",Table1[[#This Row],[Customer_Satisfaction]]=4,"Good",Table1[[#This Row],[Customer_Satisfaction]]=5,"Good")</f>
        <v>Poor</v>
      </c>
    </row>
    <row r="1282" spans="1:27" x14ac:dyDescent="0.35">
      <c r="A1282">
        <v>21280</v>
      </c>
      <c r="B1282" s="1">
        <v>45312</v>
      </c>
      <c r="C1282" t="s">
        <v>30</v>
      </c>
      <c r="D1282" t="s">
        <v>83</v>
      </c>
      <c r="E1282" t="s">
        <v>119</v>
      </c>
      <c r="F1282" t="s">
        <v>53</v>
      </c>
      <c r="G1282" t="s">
        <v>63</v>
      </c>
      <c r="H1282" t="s">
        <v>24</v>
      </c>
      <c r="I1282" t="s">
        <v>55</v>
      </c>
      <c r="J1282" t="s">
        <v>26</v>
      </c>
      <c r="K1282" t="s">
        <v>61</v>
      </c>
      <c r="L1282" t="s">
        <v>28</v>
      </c>
      <c r="M1282" s="4">
        <v>20</v>
      </c>
      <c r="N1282" s="4">
        <v>7</v>
      </c>
      <c r="O1282" t="s">
        <v>29</v>
      </c>
      <c r="P1282" t="s">
        <v>36</v>
      </c>
      <c r="Q1282" s="4">
        <v>183251</v>
      </c>
      <c r="R1282" s="4">
        <v>146447</v>
      </c>
      <c r="S1282" s="4">
        <f>Table1[[#This Row],[Service_Revenue]]-Table1[[#This Row],[Service_Cost]]</f>
        <v>36804</v>
      </c>
      <c r="T1282" s="4">
        <v>1</v>
      </c>
      <c r="U1282" s="4">
        <f>IF(AND(Table1[[#This Row],[Rework_Flag]]="Yes",Table1[[#This Row],[Warranty_Claim]]="No"),Table1[[#This Row],[Service_Revenue]],0)</f>
        <v>183251</v>
      </c>
      <c r="V1282" s="4">
        <f>IF(Table1[[#This Row],[Warranty_Claim]]="Yes",1,0)</f>
        <v>0</v>
      </c>
      <c r="W1282" s="4">
        <f>IF(Table1[[#This Row],[Rework_Flag]]="No",1,0)</f>
        <v>0</v>
      </c>
      <c r="X1282" s="4">
        <f>IF(Table1[[#This Row],[Rework_Flag]]="Yes",1,0)</f>
        <v>1</v>
      </c>
      <c r="Y1282" s="4">
        <v>1</v>
      </c>
      <c r="Z1282" s="4" t="str">
        <f>IF(Table1[[#This Row],[TAT_Days]]&gt;Table1[[#This Row],[SLA_TAT]],"Yes","No")</f>
        <v>Yes</v>
      </c>
      <c r="AA1282" s="4" t="str" cm="1">
        <f t="array" ref="AA1282">_xlfn.IFS(Table1[[#This Row],[Customer_Satisfaction]]&lt;=2,"Poor",Table1[[#This Row],[Customer_Satisfaction]]=3,"Neutral",Table1[[#This Row],[Customer_Satisfaction]]=4,"Good",Table1[[#This Row],[Customer_Satisfaction]]=5,"Good")</f>
        <v>Poor</v>
      </c>
    </row>
    <row r="1283" spans="1:27" x14ac:dyDescent="0.35">
      <c r="A1283">
        <v>21281</v>
      </c>
      <c r="B1283" s="1">
        <v>45349</v>
      </c>
      <c r="C1283" t="s">
        <v>30</v>
      </c>
      <c r="D1283" t="s">
        <v>83</v>
      </c>
      <c r="E1283" t="s">
        <v>95</v>
      </c>
      <c r="F1283" t="s">
        <v>22</v>
      </c>
      <c r="G1283" t="s">
        <v>23</v>
      </c>
      <c r="H1283" t="s">
        <v>24</v>
      </c>
      <c r="I1283" t="s">
        <v>55</v>
      </c>
      <c r="J1283" t="s">
        <v>35</v>
      </c>
      <c r="K1283" t="s">
        <v>44</v>
      </c>
      <c r="L1283" t="s">
        <v>49</v>
      </c>
      <c r="M1283" s="4">
        <v>10</v>
      </c>
      <c r="N1283" s="4">
        <v>7</v>
      </c>
      <c r="O1283" t="s">
        <v>36</v>
      </c>
      <c r="P1283" t="s">
        <v>36</v>
      </c>
      <c r="Q1283" s="4">
        <v>480545</v>
      </c>
      <c r="R1283" s="4">
        <v>271048</v>
      </c>
      <c r="S1283" s="4">
        <f>Table1[[#This Row],[Service_Revenue]]-Table1[[#This Row],[Service_Cost]]</f>
        <v>209497</v>
      </c>
      <c r="T1283" s="4">
        <v>3</v>
      </c>
      <c r="U1283" s="4">
        <f>IF(AND(Table1[[#This Row],[Rework_Flag]]="Yes",Table1[[#This Row],[Warranty_Claim]]="No"),Table1[[#This Row],[Service_Revenue]],0)</f>
        <v>0</v>
      </c>
      <c r="V1283" s="4">
        <f>IF(Table1[[#This Row],[Warranty_Claim]]="Yes",1,0)</f>
        <v>0</v>
      </c>
      <c r="W1283" s="4">
        <f>IF(Table1[[#This Row],[Rework_Flag]]="No",1,0)</f>
        <v>1</v>
      </c>
      <c r="X1283" s="4">
        <f>IF(Table1[[#This Row],[Rework_Flag]]="Yes",1,0)</f>
        <v>0</v>
      </c>
      <c r="Y1283" s="4">
        <v>1</v>
      </c>
      <c r="Z1283" s="4" t="str">
        <f>IF(Table1[[#This Row],[TAT_Days]]&gt;Table1[[#This Row],[SLA_TAT]],"Yes","No")</f>
        <v>Yes</v>
      </c>
      <c r="AA1283" s="4" t="str" cm="1">
        <f t="array" ref="AA1283">_xlfn.IFS(Table1[[#This Row],[Customer_Satisfaction]]&lt;=2,"Poor",Table1[[#This Row],[Customer_Satisfaction]]=3,"Neutral",Table1[[#This Row],[Customer_Satisfaction]]=4,"Good",Table1[[#This Row],[Customer_Satisfaction]]=5,"Good")</f>
        <v>Neutral</v>
      </c>
    </row>
    <row r="1284" spans="1:27" x14ac:dyDescent="0.35">
      <c r="A1284">
        <v>21282</v>
      </c>
      <c r="B1284" s="1">
        <v>45295</v>
      </c>
      <c r="C1284" t="s">
        <v>30</v>
      </c>
      <c r="D1284" t="s">
        <v>83</v>
      </c>
      <c r="E1284" t="s">
        <v>95</v>
      </c>
      <c r="F1284" t="s">
        <v>53</v>
      </c>
      <c r="G1284" t="s">
        <v>33</v>
      </c>
      <c r="H1284" t="s">
        <v>34</v>
      </c>
      <c r="I1284" t="s">
        <v>25</v>
      </c>
      <c r="J1284" t="s">
        <v>35</v>
      </c>
      <c r="K1284" t="s">
        <v>44</v>
      </c>
      <c r="L1284" t="s">
        <v>28</v>
      </c>
      <c r="M1284" s="4">
        <v>7</v>
      </c>
      <c r="N1284" s="4">
        <v>7</v>
      </c>
      <c r="O1284" t="s">
        <v>36</v>
      </c>
      <c r="P1284" t="s">
        <v>36</v>
      </c>
      <c r="Q1284" s="4">
        <v>299016</v>
      </c>
      <c r="R1284" s="4">
        <v>252496</v>
      </c>
      <c r="S1284" s="4">
        <f>Table1[[#This Row],[Service_Revenue]]-Table1[[#This Row],[Service_Cost]]</f>
        <v>46520</v>
      </c>
      <c r="T1284" s="4">
        <v>4</v>
      </c>
      <c r="U1284" s="4">
        <f>IF(AND(Table1[[#This Row],[Rework_Flag]]="Yes",Table1[[#This Row],[Warranty_Claim]]="No"),Table1[[#This Row],[Service_Revenue]],0)</f>
        <v>0</v>
      </c>
      <c r="V1284" s="4">
        <f>IF(Table1[[#This Row],[Warranty_Claim]]="Yes",1,0)</f>
        <v>0</v>
      </c>
      <c r="W1284" s="4">
        <f>IF(Table1[[#This Row],[Rework_Flag]]="No",1,0)</f>
        <v>1</v>
      </c>
      <c r="X1284" s="4">
        <f>IF(Table1[[#This Row],[Rework_Flag]]="Yes",1,0)</f>
        <v>0</v>
      </c>
      <c r="Y1284" s="4">
        <v>1</v>
      </c>
      <c r="Z1284" s="4" t="str">
        <f>IF(Table1[[#This Row],[TAT_Days]]&gt;Table1[[#This Row],[SLA_TAT]],"Yes","No")</f>
        <v>No</v>
      </c>
      <c r="AA1284" s="4" t="str" cm="1">
        <f t="array" ref="AA1284">_xlfn.IFS(Table1[[#This Row],[Customer_Satisfaction]]&lt;=2,"Poor",Table1[[#This Row],[Customer_Satisfaction]]=3,"Neutral",Table1[[#This Row],[Customer_Satisfaction]]=4,"Good",Table1[[#This Row],[Customer_Satisfaction]]=5,"Good")</f>
        <v>Good</v>
      </c>
    </row>
    <row r="1285" spans="1:27" x14ac:dyDescent="0.35">
      <c r="A1285">
        <v>21283</v>
      </c>
      <c r="B1285" s="1">
        <v>45463</v>
      </c>
      <c r="C1285" t="s">
        <v>30</v>
      </c>
      <c r="D1285" t="s">
        <v>83</v>
      </c>
      <c r="E1285" t="s">
        <v>84</v>
      </c>
      <c r="F1285" t="s">
        <v>53</v>
      </c>
      <c r="G1285" t="s">
        <v>47</v>
      </c>
      <c r="H1285" t="s">
        <v>48</v>
      </c>
      <c r="I1285" t="s">
        <v>25</v>
      </c>
      <c r="J1285" t="s">
        <v>43</v>
      </c>
      <c r="K1285" t="s">
        <v>44</v>
      </c>
      <c r="L1285" t="s">
        <v>28</v>
      </c>
      <c r="M1285" s="4">
        <v>5</v>
      </c>
      <c r="N1285" s="4">
        <v>7</v>
      </c>
      <c r="O1285" t="s">
        <v>29</v>
      </c>
      <c r="P1285" t="s">
        <v>29</v>
      </c>
      <c r="Q1285" s="4">
        <v>264962</v>
      </c>
      <c r="R1285" s="4">
        <v>140732</v>
      </c>
      <c r="S1285" s="4">
        <f>Table1[[#This Row],[Service_Revenue]]-Table1[[#This Row],[Service_Cost]]</f>
        <v>124230</v>
      </c>
      <c r="T1285" s="4">
        <v>3</v>
      </c>
      <c r="U1285" s="4">
        <f>IF(AND(Table1[[#This Row],[Rework_Flag]]="Yes",Table1[[#This Row],[Warranty_Claim]]="No"),Table1[[#This Row],[Service_Revenue]],0)</f>
        <v>0</v>
      </c>
      <c r="V1285" s="4">
        <f>IF(Table1[[#This Row],[Warranty_Claim]]="Yes",1,0)</f>
        <v>1</v>
      </c>
      <c r="W1285" s="4">
        <f>IF(Table1[[#This Row],[Rework_Flag]]="No",1,0)</f>
        <v>0</v>
      </c>
      <c r="X1285" s="4">
        <f>IF(Table1[[#This Row],[Rework_Flag]]="Yes",1,0)</f>
        <v>1</v>
      </c>
      <c r="Y1285" s="4">
        <v>1</v>
      </c>
      <c r="Z1285" s="4" t="str">
        <f>IF(Table1[[#This Row],[TAT_Days]]&gt;Table1[[#This Row],[SLA_TAT]],"Yes","No")</f>
        <v>No</v>
      </c>
      <c r="AA1285" s="4" t="str" cm="1">
        <f t="array" ref="AA1285">_xlfn.IFS(Table1[[#This Row],[Customer_Satisfaction]]&lt;=2,"Poor",Table1[[#This Row],[Customer_Satisfaction]]=3,"Neutral",Table1[[#This Row],[Customer_Satisfaction]]=4,"Good",Table1[[#This Row],[Customer_Satisfaction]]=5,"Good")</f>
        <v>Neutral</v>
      </c>
    </row>
    <row r="1286" spans="1:27" x14ac:dyDescent="0.35">
      <c r="A1286">
        <v>21284</v>
      </c>
      <c r="B1286" s="1">
        <v>45460</v>
      </c>
      <c r="C1286" t="s">
        <v>19</v>
      </c>
      <c r="D1286" t="s">
        <v>45</v>
      </c>
      <c r="E1286" t="s">
        <v>76</v>
      </c>
      <c r="F1286" t="s">
        <v>53</v>
      </c>
      <c r="G1286" t="s">
        <v>63</v>
      </c>
      <c r="H1286" t="s">
        <v>24</v>
      </c>
      <c r="I1286" t="s">
        <v>55</v>
      </c>
      <c r="J1286" t="s">
        <v>26</v>
      </c>
      <c r="K1286" t="s">
        <v>44</v>
      </c>
      <c r="L1286" t="s">
        <v>49</v>
      </c>
      <c r="M1286" s="4">
        <v>20</v>
      </c>
      <c r="N1286" s="4">
        <v>7</v>
      </c>
      <c r="O1286" t="s">
        <v>36</v>
      </c>
      <c r="P1286" t="s">
        <v>29</v>
      </c>
      <c r="Q1286" s="4">
        <v>295517</v>
      </c>
      <c r="R1286" s="4">
        <v>196415</v>
      </c>
      <c r="S1286" s="4">
        <f>Table1[[#This Row],[Service_Revenue]]-Table1[[#This Row],[Service_Cost]]</f>
        <v>99102</v>
      </c>
      <c r="T1286" s="4">
        <v>1</v>
      </c>
      <c r="U1286" s="4">
        <f>IF(AND(Table1[[#This Row],[Rework_Flag]]="Yes",Table1[[#This Row],[Warranty_Claim]]="No"),Table1[[#This Row],[Service_Revenue]],0)</f>
        <v>0</v>
      </c>
      <c r="V1286" s="4">
        <f>IF(Table1[[#This Row],[Warranty_Claim]]="Yes",1,0)</f>
        <v>1</v>
      </c>
      <c r="W1286" s="4">
        <f>IF(Table1[[#This Row],[Rework_Flag]]="No",1,0)</f>
        <v>1</v>
      </c>
      <c r="X1286" s="4">
        <f>IF(Table1[[#This Row],[Rework_Flag]]="Yes",1,0)</f>
        <v>0</v>
      </c>
      <c r="Y1286" s="4">
        <v>1</v>
      </c>
      <c r="Z1286" s="4" t="str">
        <f>IF(Table1[[#This Row],[TAT_Days]]&gt;Table1[[#This Row],[SLA_TAT]],"Yes","No")</f>
        <v>Yes</v>
      </c>
      <c r="AA1286" s="4" t="str" cm="1">
        <f t="array" ref="AA1286">_xlfn.IFS(Table1[[#This Row],[Customer_Satisfaction]]&lt;=2,"Poor",Table1[[#This Row],[Customer_Satisfaction]]=3,"Neutral",Table1[[#This Row],[Customer_Satisfaction]]=4,"Good",Table1[[#This Row],[Customer_Satisfaction]]=5,"Good")</f>
        <v>Poor</v>
      </c>
    </row>
    <row r="1287" spans="1:27" x14ac:dyDescent="0.35">
      <c r="A1287">
        <v>21285</v>
      </c>
      <c r="B1287" s="1">
        <v>45391</v>
      </c>
      <c r="C1287" t="s">
        <v>50</v>
      </c>
      <c r="D1287" t="s">
        <v>56</v>
      </c>
      <c r="E1287" t="s">
        <v>88</v>
      </c>
      <c r="F1287" t="s">
        <v>40</v>
      </c>
      <c r="G1287" t="s">
        <v>33</v>
      </c>
      <c r="H1287" t="s">
        <v>34</v>
      </c>
      <c r="I1287" t="s">
        <v>25</v>
      </c>
      <c r="J1287" t="s">
        <v>43</v>
      </c>
      <c r="K1287" t="s">
        <v>61</v>
      </c>
      <c r="L1287" t="s">
        <v>49</v>
      </c>
      <c r="M1287" s="4">
        <v>9</v>
      </c>
      <c r="N1287" s="4">
        <v>7</v>
      </c>
      <c r="O1287" t="s">
        <v>29</v>
      </c>
      <c r="P1287" t="s">
        <v>36</v>
      </c>
      <c r="Q1287" s="4">
        <v>445667</v>
      </c>
      <c r="R1287" s="4">
        <v>306676</v>
      </c>
      <c r="S1287" s="4">
        <f>Table1[[#This Row],[Service_Revenue]]-Table1[[#This Row],[Service_Cost]]</f>
        <v>138991</v>
      </c>
      <c r="T1287" s="4">
        <v>3</v>
      </c>
      <c r="U1287" s="4">
        <f>IF(AND(Table1[[#This Row],[Rework_Flag]]="Yes",Table1[[#This Row],[Warranty_Claim]]="No"),Table1[[#This Row],[Service_Revenue]],0)</f>
        <v>445667</v>
      </c>
      <c r="V1287" s="4">
        <f>IF(Table1[[#This Row],[Warranty_Claim]]="Yes",1,0)</f>
        <v>0</v>
      </c>
      <c r="W1287" s="4">
        <f>IF(Table1[[#This Row],[Rework_Flag]]="No",1,0)</f>
        <v>0</v>
      </c>
      <c r="X1287" s="4">
        <f>IF(Table1[[#This Row],[Rework_Flag]]="Yes",1,0)</f>
        <v>1</v>
      </c>
      <c r="Y1287" s="4">
        <v>1</v>
      </c>
      <c r="Z1287" s="4" t="str">
        <f>IF(Table1[[#This Row],[TAT_Days]]&gt;Table1[[#This Row],[SLA_TAT]],"Yes","No")</f>
        <v>Yes</v>
      </c>
      <c r="AA1287" s="4" t="str" cm="1">
        <f t="array" ref="AA1287">_xlfn.IFS(Table1[[#This Row],[Customer_Satisfaction]]&lt;=2,"Poor",Table1[[#This Row],[Customer_Satisfaction]]=3,"Neutral",Table1[[#This Row],[Customer_Satisfaction]]=4,"Good",Table1[[#This Row],[Customer_Satisfaction]]=5,"Good")</f>
        <v>Neutral</v>
      </c>
    </row>
    <row r="1288" spans="1:27" x14ac:dyDescent="0.35">
      <c r="A1288">
        <v>21286</v>
      </c>
      <c r="B1288" s="1">
        <v>45404</v>
      </c>
      <c r="C1288" t="s">
        <v>30</v>
      </c>
      <c r="D1288" t="s">
        <v>83</v>
      </c>
      <c r="E1288" t="s">
        <v>95</v>
      </c>
      <c r="F1288" t="s">
        <v>40</v>
      </c>
      <c r="G1288" t="s">
        <v>47</v>
      </c>
      <c r="H1288" t="s">
        <v>48</v>
      </c>
      <c r="I1288" t="s">
        <v>25</v>
      </c>
      <c r="J1288" t="s">
        <v>58</v>
      </c>
      <c r="K1288" t="s">
        <v>61</v>
      </c>
      <c r="L1288" t="s">
        <v>28</v>
      </c>
      <c r="M1288" s="4">
        <v>6</v>
      </c>
      <c r="N1288" s="4">
        <v>7</v>
      </c>
      <c r="O1288" t="s">
        <v>36</v>
      </c>
      <c r="P1288" t="s">
        <v>36</v>
      </c>
      <c r="Q1288" s="4">
        <v>370608</v>
      </c>
      <c r="R1288" s="4">
        <v>274737</v>
      </c>
      <c r="S1288" s="4">
        <f>Table1[[#This Row],[Service_Revenue]]-Table1[[#This Row],[Service_Cost]]</f>
        <v>95871</v>
      </c>
      <c r="T1288" s="4">
        <v>4</v>
      </c>
      <c r="U1288" s="4">
        <f>IF(AND(Table1[[#This Row],[Rework_Flag]]="Yes",Table1[[#This Row],[Warranty_Claim]]="No"),Table1[[#This Row],[Service_Revenue]],0)</f>
        <v>0</v>
      </c>
      <c r="V1288" s="4">
        <f>IF(Table1[[#This Row],[Warranty_Claim]]="Yes",1,0)</f>
        <v>0</v>
      </c>
      <c r="W1288" s="4">
        <f>IF(Table1[[#This Row],[Rework_Flag]]="No",1,0)</f>
        <v>1</v>
      </c>
      <c r="X1288" s="4">
        <f>IF(Table1[[#This Row],[Rework_Flag]]="Yes",1,0)</f>
        <v>0</v>
      </c>
      <c r="Y1288" s="4">
        <v>1</v>
      </c>
      <c r="Z1288" s="4" t="str">
        <f>IF(Table1[[#This Row],[TAT_Days]]&gt;Table1[[#This Row],[SLA_TAT]],"Yes","No")</f>
        <v>No</v>
      </c>
      <c r="AA1288" s="4" t="str" cm="1">
        <f t="array" ref="AA1288">_xlfn.IFS(Table1[[#This Row],[Customer_Satisfaction]]&lt;=2,"Poor",Table1[[#This Row],[Customer_Satisfaction]]=3,"Neutral",Table1[[#This Row],[Customer_Satisfaction]]=4,"Good",Table1[[#This Row],[Customer_Satisfaction]]=5,"Good")</f>
        <v>Good</v>
      </c>
    </row>
    <row r="1289" spans="1:27" x14ac:dyDescent="0.35">
      <c r="A1289">
        <v>21287</v>
      </c>
      <c r="B1289" s="1">
        <v>45308</v>
      </c>
      <c r="C1289" t="s">
        <v>37</v>
      </c>
      <c r="D1289" t="s">
        <v>64</v>
      </c>
      <c r="E1289" t="s">
        <v>65</v>
      </c>
      <c r="F1289" t="s">
        <v>22</v>
      </c>
      <c r="G1289" t="s">
        <v>63</v>
      </c>
      <c r="H1289" t="s">
        <v>24</v>
      </c>
      <c r="I1289" t="s">
        <v>25</v>
      </c>
      <c r="J1289" t="s">
        <v>26</v>
      </c>
      <c r="K1289" t="s">
        <v>27</v>
      </c>
      <c r="L1289" t="s">
        <v>49</v>
      </c>
      <c r="M1289" s="4">
        <v>20</v>
      </c>
      <c r="N1289" s="4">
        <v>7</v>
      </c>
      <c r="O1289" t="s">
        <v>29</v>
      </c>
      <c r="P1289" t="s">
        <v>29</v>
      </c>
      <c r="Q1289" s="4">
        <v>431935</v>
      </c>
      <c r="R1289" s="4">
        <v>320852</v>
      </c>
      <c r="S1289" s="4">
        <f>Table1[[#This Row],[Service_Revenue]]-Table1[[#This Row],[Service_Cost]]</f>
        <v>111083</v>
      </c>
      <c r="T1289" s="4">
        <v>1</v>
      </c>
      <c r="U1289" s="4">
        <f>IF(AND(Table1[[#This Row],[Rework_Flag]]="Yes",Table1[[#This Row],[Warranty_Claim]]="No"),Table1[[#This Row],[Service_Revenue]],0)</f>
        <v>0</v>
      </c>
      <c r="V1289" s="4">
        <f>IF(Table1[[#This Row],[Warranty_Claim]]="Yes",1,0)</f>
        <v>1</v>
      </c>
      <c r="W1289" s="4">
        <f>IF(Table1[[#This Row],[Rework_Flag]]="No",1,0)</f>
        <v>0</v>
      </c>
      <c r="X1289" s="4">
        <f>IF(Table1[[#This Row],[Rework_Flag]]="Yes",1,0)</f>
        <v>1</v>
      </c>
      <c r="Y1289" s="4">
        <v>1</v>
      </c>
      <c r="Z1289" s="4" t="str">
        <f>IF(Table1[[#This Row],[TAT_Days]]&gt;Table1[[#This Row],[SLA_TAT]],"Yes","No")</f>
        <v>Yes</v>
      </c>
      <c r="AA1289" s="4" t="str" cm="1">
        <f t="array" ref="AA1289">_xlfn.IFS(Table1[[#This Row],[Customer_Satisfaction]]&lt;=2,"Poor",Table1[[#This Row],[Customer_Satisfaction]]=3,"Neutral",Table1[[#This Row],[Customer_Satisfaction]]=4,"Good",Table1[[#This Row],[Customer_Satisfaction]]=5,"Good")</f>
        <v>Poor</v>
      </c>
    </row>
    <row r="1290" spans="1:27" x14ac:dyDescent="0.35">
      <c r="A1290">
        <v>21288</v>
      </c>
      <c r="B1290" s="1">
        <v>45351</v>
      </c>
      <c r="C1290" t="s">
        <v>30</v>
      </c>
      <c r="D1290" t="s">
        <v>31</v>
      </c>
      <c r="E1290" t="s">
        <v>106</v>
      </c>
      <c r="F1290" t="s">
        <v>53</v>
      </c>
      <c r="G1290" t="s">
        <v>74</v>
      </c>
      <c r="H1290" t="s">
        <v>34</v>
      </c>
      <c r="I1290" t="s">
        <v>25</v>
      </c>
      <c r="J1290" t="s">
        <v>26</v>
      </c>
      <c r="K1290" t="s">
        <v>61</v>
      </c>
      <c r="L1290" t="s">
        <v>28</v>
      </c>
      <c r="M1290" s="4">
        <v>12</v>
      </c>
      <c r="N1290" s="4">
        <v>7</v>
      </c>
      <c r="O1290" t="s">
        <v>36</v>
      </c>
      <c r="P1290" t="s">
        <v>36</v>
      </c>
      <c r="Q1290" s="4">
        <v>193343</v>
      </c>
      <c r="R1290" s="4">
        <v>149109</v>
      </c>
      <c r="S1290" s="4">
        <f>Table1[[#This Row],[Service_Revenue]]-Table1[[#This Row],[Service_Cost]]</f>
        <v>44234</v>
      </c>
      <c r="T1290" s="4">
        <v>3</v>
      </c>
      <c r="U1290" s="4">
        <f>IF(AND(Table1[[#This Row],[Rework_Flag]]="Yes",Table1[[#This Row],[Warranty_Claim]]="No"),Table1[[#This Row],[Service_Revenue]],0)</f>
        <v>0</v>
      </c>
      <c r="V1290" s="4">
        <f>IF(Table1[[#This Row],[Warranty_Claim]]="Yes",1,0)</f>
        <v>0</v>
      </c>
      <c r="W1290" s="4">
        <f>IF(Table1[[#This Row],[Rework_Flag]]="No",1,0)</f>
        <v>1</v>
      </c>
      <c r="X1290" s="4">
        <f>IF(Table1[[#This Row],[Rework_Flag]]="Yes",1,0)</f>
        <v>0</v>
      </c>
      <c r="Y1290" s="4">
        <v>1</v>
      </c>
      <c r="Z1290" s="4" t="str">
        <f>IF(Table1[[#This Row],[TAT_Days]]&gt;Table1[[#This Row],[SLA_TAT]],"Yes","No")</f>
        <v>Yes</v>
      </c>
      <c r="AA1290" s="4" t="str" cm="1">
        <f t="array" ref="AA1290">_xlfn.IFS(Table1[[#This Row],[Customer_Satisfaction]]&lt;=2,"Poor",Table1[[#This Row],[Customer_Satisfaction]]=3,"Neutral",Table1[[#This Row],[Customer_Satisfaction]]=4,"Good",Table1[[#This Row],[Customer_Satisfaction]]=5,"Good")</f>
        <v>Neutral</v>
      </c>
    </row>
    <row r="1291" spans="1:27" x14ac:dyDescent="0.35">
      <c r="A1291">
        <v>21289</v>
      </c>
      <c r="B1291" s="1">
        <v>45379</v>
      </c>
      <c r="C1291" t="s">
        <v>30</v>
      </c>
      <c r="D1291" t="s">
        <v>59</v>
      </c>
      <c r="E1291" t="s">
        <v>66</v>
      </c>
      <c r="F1291" t="s">
        <v>40</v>
      </c>
      <c r="G1291" t="s">
        <v>47</v>
      </c>
      <c r="H1291" t="s">
        <v>48</v>
      </c>
      <c r="I1291" t="s">
        <v>55</v>
      </c>
      <c r="J1291" t="s">
        <v>58</v>
      </c>
      <c r="K1291" t="s">
        <v>44</v>
      </c>
      <c r="L1291" t="s">
        <v>28</v>
      </c>
      <c r="M1291" s="4">
        <v>17</v>
      </c>
      <c r="N1291" s="4">
        <v>7</v>
      </c>
      <c r="O1291" t="s">
        <v>36</v>
      </c>
      <c r="P1291" t="s">
        <v>36</v>
      </c>
      <c r="Q1291" s="4">
        <v>172318</v>
      </c>
      <c r="R1291" s="4">
        <v>128130</v>
      </c>
      <c r="S1291" s="4">
        <f>Table1[[#This Row],[Service_Revenue]]-Table1[[#This Row],[Service_Cost]]</f>
        <v>44188</v>
      </c>
      <c r="T1291" s="4">
        <v>2</v>
      </c>
      <c r="U1291" s="4">
        <f>IF(AND(Table1[[#This Row],[Rework_Flag]]="Yes",Table1[[#This Row],[Warranty_Claim]]="No"),Table1[[#This Row],[Service_Revenue]],0)</f>
        <v>0</v>
      </c>
      <c r="V1291" s="4">
        <f>IF(Table1[[#This Row],[Warranty_Claim]]="Yes",1,0)</f>
        <v>0</v>
      </c>
      <c r="W1291" s="4">
        <f>IF(Table1[[#This Row],[Rework_Flag]]="No",1,0)</f>
        <v>1</v>
      </c>
      <c r="X1291" s="4">
        <f>IF(Table1[[#This Row],[Rework_Flag]]="Yes",1,0)</f>
        <v>0</v>
      </c>
      <c r="Y1291" s="4">
        <v>1</v>
      </c>
      <c r="Z1291" s="4" t="str">
        <f>IF(Table1[[#This Row],[TAT_Days]]&gt;Table1[[#This Row],[SLA_TAT]],"Yes","No")</f>
        <v>Yes</v>
      </c>
      <c r="AA1291" s="4" t="str" cm="1">
        <f t="array" ref="AA1291">_xlfn.IFS(Table1[[#This Row],[Customer_Satisfaction]]&lt;=2,"Poor",Table1[[#This Row],[Customer_Satisfaction]]=3,"Neutral",Table1[[#This Row],[Customer_Satisfaction]]=4,"Good",Table1[[#This Row],[Customer_Satisfaction]]=5,"Good")</f>
        <v>Poor</v>
      </c>
    </row>
    <row r="1292" spans="1:27" x14ac:dyDescent="0.35">
      <c r="A1292">
        <v>21290</v>
      </c>
      <c r="B1292" s="1">
        <v>45458</v>
      </c>
      <c r="C1292" t="s">
        <v>50</v>
      </c>
      <c r="D1292" t="s">
        <v>51</v>
      </c>
      <c r="E1292" t="s">
        <v>73</v>
      </c>
      <c r="F1292" t="s">
        <v>53</v>
      </c>
      <c r="G1292" t="s">
        <v>54</v>
      </c>
      <c r="H1292" t="s">
        <v>42</v>
      </c>
      <c r="I1292" t="s">
        <v>55</v>
      </c>
      <c r="J1292" t="s">
        <v>26</v>
      </c>
      <c r="K1292" t="s">
        <v>44</v>
      </c>
      <c r="L1292" t="s">
        <v>49</v>
      </c>
      <c r="M1292" s="4">
        <v>7</v>
      </c>
      <c r="N1292" s="4">
        <v>7</v>
      </c>
      <c r="O1292" t="s">
        <v>29</v>
      </c>
      <c r="P1292" t="s">
        <v>36</v>
      </c>
      <c r="Q1292" s="4">
        <v>535965</v>
      </c>
      <c r="R1292" s="4">
        <v>283791</v>
      </c>
      <c r="S1292" s="4">
        <f>Table1[[#This Row],[Service_Revenue]]-Table1[[#This Row],[Service_Cost]]</f>
        <v>252174</v>
      </c>
      <c r="T1292" s="4">
        <v>3</v>
      </c>
      <c r="U1292" s="4">
        <f>IF(AND(Table1[[#This Row],[Rework_Flag]]="Yes",Table1[[#This Row],[Warranty_Claim]]="No"),Table1[[#This Row],[Service_Revenue]],0)</f>
        <v>535965</v>
      </c>
      <c r="V1292" s="4">
        <f>IF(Table1[[#This Row],[Warranty_Claim]]="Yes",1,0)</f>
        <v>0</v>
      </c>
      <c r="W1292" s="4">
        <f>IF(Table1[[#This Row],[Rework_Flag]]="No",1,0)</f>
        <v>0</v>
      </c>
      <c r="X1292" s="4">
        <f>IF(Table1[[#This Row],[Rework_Flag]]="Yes",1,0)</f>
        <v>1</v>
      </c>
      <c r="Y1292" s="4">
        <v>1</v>
      </c>
      <c r="Z1292" s="4" t="str">
        <f>IF(Table1[[#This Row],[TAT_Days]]&gt;Table1[[#This Row],[SLA_TAT]],"Yes","No")</f>
        <v>No</v>
      </c>
      <c r="AA1292" s="4" t="str" cm="1">
        <f t="array" ref="AA1292">_xlfn.IFS(Table1[[#This Row],[Customer_Satisfaction]]&lt;=2,"Poor",Table1[[#This Row],[Customer_Satisfaction]]=3,"Neutral",Table1[[#This Row],[Customer_Satisfaction]]=4,"Good",Table1[[#This Row],[Customer_Satisfaction]]=5,"Good")</f>
        <v>Neutral</v>
      </c>
    </row>
    <row r="1293" spans="1:27" x14ac:dyDescent="0.35">
      <c r="A1293">
        <v>21291</v>
      </c>
      <c r="B1293" s="1">
        <v>45347</v>
      </c>
      <c r="C1293" t="s">
        <v>30</v>
      </c>
      <c r="D1293" t="s">
        <v>83</v>
      </c>
      <c r="E1293" t="s">
        <v>92</v>
      </c>
      <c r="F1293" t="s">
        <v>53</v>
      </c>
      <c r="G1293" t="s">
        <v>23</v>
      </c>
      <c r="H1293" t="s">
        <v>24</v>
      </c>
      <c r="I1293" t="s">
        <v>25</v>
      </c>
      <c r="J1293" t="s">
        <v>26</v>
      </c>
      <c r="K1293" t="s">
        <v>44</v>
      </c>
      <c r="L1293" t="s">
        <v>28</v>
      </c>
      <c r="M1293" s="4">
        <v>16</v>
      </c>
      <c r="N1293" s="4">
        <v>7</v>
      </c>
      <c r="O1293" t="s">
        <v>36</v>
      </c>
      <c r="P1293" t="s">
        <v>29</v>
      </c>
      <c r="Q1293" s="4">
        <v>515235</v>
      </c>
      <c r="R1293" s="4">
        <v>402070</v>
      </c>
      <c r="S1293" s="4">
        <f>Table1[[#This Row],[Service_Revenue]]-Table1[[#This Row],[Service_Cost]]</f>
        <v>113165</v>
      </c>
      <c r="T1293" s="4">
        <v>2</v>
      </c>
      <c r="U1293" s="4">
        <f>IF(AND(Table1[[#This Row],[Rework_Flag]]="Yes",Table1[[#This Row],[Warranty_Claim]]="No"),Table1[[#This Row],[Service_Revenue]],0)</f>
        <v>0</v>
      </c>
      <c r="V1293" s="4">
        <f>IF(Table1[[#This Row],[Warranty_Claim]]="Yes",1,0)</f>
        <v>1</v>
      </c>
      <c r="W1293" s="4">
        <f>IF(Table1[[#This Row],[Rework_Flag]]="No",1,0)</f>
        <v>1</v>
      </c>
      <c r="X1293" s="4">
        <f>IF(Table1[[#This Row],[Rework_Flag]]="Yes",1,0)</f>
        <v>0</v>
      </c>
      <c r="Y1293" s="4">
        <v>1</v>
      </c>
      <c r="Z1293" s="4" t="str">
        <f>IF(Table1[[#This Row],[TAT_Days]]&gt;Table1[[#This Row],[SLA_TAT]],"Yes","No")</f>
        <v>Yes</v>
      </c>
      <c r="AA1293" s="4" t="str" cm="1">
        <f t="array" ref="AA1293">_xlfn.IFS(Table1[[#This Row],[Customer_Satisfaction]]&lt;=2,"Poor",Table1[[#This Row],[Customer_Satisfaction]]=3,"Neutral",Table1[[#This Row],[Customer_Satisfaction]]=4,"Good",Table1[[#This Row],[Customer_Satisfaction]]=5,"Good")</f>
        <v>Poor</v>
      </c>
    </row>
    <row r="1294" spans="1:27" x14ac:dyDescent="0.35">
      <c r="A1294">
        <v>21292</v>
      </c>
      <c r="B1294" s="1">
        <v>45352</v>
      </c>
      <c r="C1294" t="s">
        <v>19</v>
      </c>
      <c r="D1294" t="s">
        <v>20</v>
      </c>
      <c r="E1294" t="s">
        <v>117</v>
      </c>
      <c r="F1294" t="s">
        <v>22</v>
      </c>
      <c r="G1294" t="s">
        <v>47</v>
      </c>
      <c r="H1294" t="s">
        <v>48</v>
      </c>
      <c r="I1294" t="s">
        <v>55</v>
      </c>
      <c r="J1294" t="s">
        <v>67</v>
      </c>
      <c r="K1294" t="s">
        <v>27</v>
      </c>
      <c r="L1294" t="s">
        <v>28</v>
      </c>
      <c r="M1294" s="4">
        <v>17</v>
      </c>
      <c r="N1294" s="4">
        <v>7</v>
      </c>
      <c r="O1294" t="s">
        <v>29</v>
      </c>
      <c r="P1294" t="s">
        <v>36</v>
      </c>
      <c r="Q1294" s="4">
        <v>482043</v>
      </c>
      <c r="R1294" s="4">
        <v>330443</v>
      </c>
      <c r="S1294" s="4">
        <f>Table1[[#This Row],[Service_Revenue]]-Table1[[#This Row],[Service_Cost]]</f>
        <v>151600</v>
      </c>
      <c r="T1294" s="4">
        <v>1</v>
      </c>
      <c r="U1294" s="4">
        <f>IF(AND(Table1[[#This Row],[Rework_Flag]]="Yes",Table1[[#This Row],[Warranty_Claim]]="No"),Table1[[#This Row],[Service_Revenue]],0)</f>
        <v>482043</v>
      </c>
      <c r="V1294" s="4">
        <f>IF(Table1[[#This Row],[Warranty_Claim]]="Yes",1,0)</f>
        <v>0</v>
      </c>
      <c r="W1294" s="4">
        <f>IF(Table1[[#This Row],[Rework_Flag]]="No",1,0)</f>
        <v>0</v>
      </c>
      <c r="X1294" s="4">
        <f>IF(Table1[[#This Row],[Rework_Flag]]="Yes",1,0)</f>
        <v>1</v>
      </c>
      <c r="Y1294" s="4">
        <v>1</v>
      </c>
      <c r="Z1294" s="4" t="str">
        <f>IF(Table1[[#This Row],[TAT_Days]]&gt;Table1[[#This Row],[SLA_TAT]],"Yes","No")</f>
        <v>Yes</v>
      </c>
      <c r="AA1294" s="4" t="str" cm="1">
        <f t="array" ref="AA1294">_xlfn.IFS(Table1[[#This Row],[Customer_Satisfaction]]&lt;=2,"Poor",Table1[[#This Row],[Customer_Satisfaction]]=3,"Neutral",Table1[[#This Row],[Customer_Satisfaction]]=4,"Good",Table1[[#This Row],[Customer_Satisfaction]]=5,"Good")</f>
        <v>Poor</v>
      </c>
    </row>
    <row r="1295" spans="1:27" x14ac:dyDescent="0.35">
      <c r="A1295">
        <v>21293</v>
      </c>
      <c r="B1295" s="1">
        <v>45435</v>
      </c>
      <c r="C1295" t="s">
        <v>50</v>
      </c>
      <c r="D1295" t="s">
        <v>80</v>
      </c>
      <c r="E1295" t="s">
        <v>85</v>
      </c>
      <c r="F1295" t="s">
        <v>53</v>
      </c>
      <c r="G1295" t="s">
        <v>41</v>
      </c>
      <c r="H1295" t="s">
        <v>42</v>
      </c>
      <c r="I1295" t="s">
        <v>25</v>
      </c>
      <c r="J1295" t="s">
        <v>67</v>
      </c>
      <c r="K1295" t="s">
        <v>61</v>
      </c>
      <c r="L1295" t="s">
        <v>28</v>
      </c>
      <c r="M1295" s="4">
        <v>21</v>
      </c>
      <c r="N1295" s="4">
        <v>7</v>
      </c>
      <c r="O1295" t="s">
        <v>29</v>
      </c>
      <c r="P1295" t="s">
        <v>36</v>
      </c>
      <c r="Q1295" s="4">
        <v>410842</v>
      </c>
      <c r="R1295" s="4">
        <v>288615</v>
      </c>
      <c r="S1295" s="4">
        <f>Table1[[#This Row],[Service_Revenue]]-Table1[[#This Row],[Service_Cost]]</f>
        <v>122227</v>
      </c>
      <c r="T1295" s="4">
        <v>1</v>
      </c>
      <c r="U1295" s="4">
        <f>IF(AND(Table1[[#This Row],[Rework_Flag]]="Yes",Table1[[#This Row],[Warranty_Claim]]="No"),Table1[[#This Row],[Service_Revenue]],0)</f>
        <v>410842</v>
      </c>
      <c r="V1295" s="4">
        <f>IF(Table1[[#This Row],[Warranty_Claim]]="Yes",1,0)</f>
        <v>0</v>
      </c>
      <c r="W1295" s="4">
        <f>IF(Table1[[#This Row],[Rework_Flag]]="No",1,0)</f>
        <v>0</v>
      </c>
      <c r="X1295" s="4">
        <f>IF(Table1[[#This Row],[Rework_Flag]]="Yes",1,0)</f>
        <v>1</v>
      </c>
      <c r="Y1295" s="4">
        <v>1</v>
      </c>
      <c r="Z1295" s="4" t="str">
        <f>IF(Table1[[#This Row],[TAT_Days]]&gt;Table1[[#This Row],[SLA_TAT]],"Yes","No")</f>
        <v>Yes</v>
      </c>
      <c r="AA1295" s="4" t="str" cm="1">
        <f t="array" ref="AA1295">_xlfn.IFS(Table1[[#This Row],[Customer_Satisfaction]]&lt;=2,"Poor",Table1[[#This Row],[Customer_Satisfaction]]=3,"Neutral",Table1[[#This Row],[Customer_Satisfaction]]=4,"Good",Table1[[#This Row],[Customer_Satisfaction]]=5,"Good")</f>
        <v>Poor</v>
      </c>
    </row>
    <row r="1296" spans="1:27" x14ac:dyDescent="0.35">
      <c r="A1296">
        <v>21294</v>
      </c>
      <c r="B1296" s="1">
        <v>45409</v>
      </c>
      <c r="C1296" t="s">
        <v>50</v>
      </c>
      <c r="D1296" t="s">
        <v>56</v>
      </c>
      <c r="E1296" t="s">
        <v>57</v>
      </c>
      <c r="F1296" t="s">
        <v>22</v>
      </c>
      <c r="G1296" t="s">
        <v>47</v>
      </c>
      <c r="H1296" t="s">
        <v>48</v>
      </c>
      <c r="I1296" t="s">
        <v>25</v>
      </c>
      <c r="J1296" t="s">
        <v>26</v>
      </c>
      <c r="K1296" t="s">
        <v>27</v>
      </c>
      <c r="L1296" t="s">
        <v>49</v>
      </c>
      <c r="M1296" s="4">
        <v>21</v>
      </c>
      <c r="N1296" s="4">
        <v>7</v>
      </c>
      <c r="O1296" t="s">
        <v>29</v>
      </c>
      <c r="P1296" t="s">
        <v>29</v>
      </c>
      <c r="Q1296" s="4">
        <v>432213</v>
      </c>
      <c r="R1296" s="4">
        <v>307438</v>
      </c>
      <c r="S1296" s="4">
        <f>Table1[[#This Row],[Service_Revenue]]-Table1[[#This Row],[Service_Cost]]</f>
        <v>124775</v>
      </c>
      <c r="T1296" s="4">
        <v>1</v>
      </c>
      <c r="U1296" s="4">
        <f>IF(AND(Table1[[#This Row],[Rework_Flag]]="Yes",Table1[[#This Row],[Warranty_Claim]]="No"),Table1[[#This Row],[Service_Revenue]],0)</f>
        <v>0</v>
      </c>
      <c r="V1296" s="4">
        <f>IF(Table1[[#This Row],[Warranty_Claim]]="Yes",1,0)</f>
        <v>1</v>
      </c>
      <c r="W1296" s="4">
        <f>IF(Table1[[#This Row],[Rework_Flag]]="No",1,0)</f>
        <v>0</v>
      </c>
      <c r="X1296" s="4">
        <f>IF(Table1[[#This Row],[Rework_Flag]]="Yes",1,0)</f>
        <v>1</v>
      </c>
      <c r="Y1296" s="4">
        <v>1</v>
      </c>
      <c r="Z1296" s="4" t="str">
        <f>IF(Table1[[#This Row],[TAT_Days]]&gt;Table1[[#This Row],[SLA_TAT]],"Yes","No")</f>
        <v>Yes</v>
      </c>
      <c r="AA1296" s="4" t="str" cm="1">
        <f t="array" ref="AA1296">_xlfn.IFS(Table1[[#This Row],[Customer_Satisfaction]]&lt;=2,"Poor",Table1[[#This Row],[Customer_Satisfaction]]=3,"Neutral",Table1[[#This Row],[Customer_Satisfaction]]=4,"Good",Table1[[#This Row],[Customer_Satisfaction]]=5,"Good")</f>
        <v>Poor</v>
      </c>
    </row>
    <row r="1297" spans="1:27" x14ac:dyDescent="0.35">
      <c r="A1297">
        <v>21295</v>
      </c>
      <c r="B1297" s="1">
        <v>45455</v>
      </c>
      <c r="C1297" t="s">
        <v>19</v>
      </c>
      <c r="D1297" t="s">
        <v>45</v>
      </c>
      <c r="E1297" t="s">
        <v>46</v>
      </c>
      <c r="F1297" t="s">
        <v>40</v>
      </c>
      <c r="G1297" t="s">
        <v>74</v>
      </c>
      <c r="H1297" t="s">
        <v>34</v>
      </c>
      <c r="I1297" t="s">
        <v>25</v>
      </c>
      <c r="J1297" t="s">
        <v>43</v>
      </c>
      <c r="K1297" t="s">
        <v>27</v>
      </c>
      <c r="L1297" t="s">
        <v>28</v>
      </c>
      <c r="M1297" s="4">
        <v>23</v>
      </c>
      <c r="N1297" s="4">
        <v>7</v>
      </c>
      <c r="O1297" t="s">
        <v>29</v>
      </c>
      <c r="P1297" t="s">
        <v>36</v>
      </c>
      <c r="Q1297" s="4">
        <v>467848</v>
      </c>
      <c r="R1297" s="4">
        <v>298151</v>
      </c>
      <c r="S1297" s="4">
        <f>Table1[[#This Row],[Service_Revenue]]-Table1[[#This Row],[Service_Cost]]</f>
        <v>169697</v>
      </c>
      <c r="T1297" s="4">
        <v>1</v>
      </c>
      <c r="U1297" s="4">
        <f>IF(AND(Table1[[#This Row],[Rework_Flag]]="Yes",Table1[[#This Row],[Warranty_Claim]]="No"),Table1[[#This Row],[Service_Revenue]],0)</f>
        <v>467848</v>
      </c>
      <c r="V1297" s="4">
        <f>IF(Table1[[#This Row],[Warranty_Claim]]="Yes",1,0)</f>
        <v>0</v>
      </c>
      <c r="W1297" s="4">
        <f>IF(Table1[[#This Row],[Rework_Flag]]="No",1,0)</f>
        <v>0</v>
      </c>
      <c r="X1297" s="4">
        <f>IF(Table1[[#This Row],[Rework_Flag]]="Yes",1,0)</f>
        <v>1</v>
      </c>
      <c r="Y1297" s="4">
        <v>1</v>
      </c>
      <c r="Z1297" s="4" t="str">
        <f>IF(Table1[[#This Row],[TAT_Days]]&gt;Table1[[#This Row],[SLA_TAT]],"Yes","No")</f>
        <v>Yes</v>
      </c>
      <c r="AA1297" s="4" t="str" cm="1">
        <f t="array" ref="AA1297">_xlfn.IFS(Table1[[#This Row],[Customer_Satisfaction]]&lt;=2,"Poor",Table1[[#This Row],[Customer_Satisfaction]]=3,"Neutral",Table1[[#This Row],[Customer_Satisfaction]]=4,"Good",Table1[[#This Row],[Customer_Satisfaction]]=5,"Good")</f>
        <v>Poor</v>
      </c>
    </row>
    <row r="1298" spans="1:27" x14ac:dyDescent="0.35">
      <c r="A1298">
        <v>21296</v>
      </c>
      <c r="B1298" s="1">
        <v>45431</v>
      </c>
      <c r="C1298" t="s">
        <v>30</v>
      </c>
      <c r="D1298" t="s">
        <v>31</v>
      </c>
      <c r="E1298" t="s">
        <v>32</v>
      </c>
      <c r="F1298" t="s">
        <v>22</v>
      </c>
      <c r="G1298" t="s">
        <v>23</v>
      </c>
      <c r="H1298" t="s">
        <v>24</v>
      </c>
      <c r="I1298" t="s">
        <v>25</v>
      </c>
      <c r="J1298" t="s">
        <v>58</v>
      </c>
      <c r="K1298" t="s">
        <v>61</v>
      </c>
      <c r="L1298" t="s">
        <v>49</v>
      </c>
      <c r="M1298" s="4">
        <v>8</v>
      </c>
      <c r="N1298" s="4">
        <v>7</v>
      </c>
      <c r="O1298" t="s">
        <v>29</v>
      </c>
      <c r="P1298" t="s">
        <v>36</v>
      </c>
      <c r="Q1298" s="4">
        <v>186548</v>
      </c>
      <c r="R1298" s="4">
        <v>110204</v>
      </c>
      <c r="S1298" s="4">
        <f>Table1[[#This Row],[Service_Revenue]]-Table1[[#This Row],[Service_Cost]]</f>
        <v>76344</v>
      </c>
      <c r="T1298" s="4">
        <v>3</v>
      </c>
      <c r="U1298" s="4">
        <f>IF(AND(Table1[[#This Row],[Rework_Flag]]="Yes",Table1[[#This Row],[Warranty_Claim]]="No"),Table1[[#This Row],[Service_Revenue]],0)</f>
        <v>186548</v>
      </c>
      <c r="V1298" s="4">
        <f>IF(Table1[[#This Row],[Warranty_Claim]]="Yes",1,0)</f>
        <v>0</v>
      </c>
      <c r="W1298" s="4">
        <f>IF(Table1[[#This Row],[Rework_Flag]]="No",1,0)</f>
        <v>0</v>
      </c>
      <c r="X1298" s="4">
        <f>IF(Table1[[#This Row],[Rework_Flag]]="Yes",1,0)</f>
        <v>1</v>
      </c>
      <c r="Y1298" s="4">
        <v>1</v>
      </c>
      <c r="Z1298" s="4" t="str">
        <f>IF(Table1[[#This Row],[TAT_Days]]&gt;Table1[[#This Row],[SLA_TAT]],"Yes","No")</f>
        <v>Yes</v>
      </c>
      <c r="AA1298" s="4" t="str" cm="1">
        <f t="array" ref="AA1298">_xlfn.IFS(Table1[[#This Row],[Customer_Satisfaction]]&lt;=2,"Poor",Table1[[#This Row],[Customer_Satisfaction]]=3,"Neutral",Table1[[#This Row],[Customer_Satisfaction]]=4,"Good",Table1[[#This Row],[Customer_Satisfaction]]=5,"Good")</f>
        <v>Neutral</v>
      </c>
    </row>
    <row r="1299" spans="1:27" x14ac:dyDescent="0.35">
      <c r="A1299">
        <v>21297</v>
      </c>
      <c r="B1299" s="1">
        <v>45432</v>
      </c>
      <c r="C1299" t="s">
        <v>50</v>
      </c>
      <c r="D1299" t="s">
        <v>80</v>
      </c>
      <c r="E1299" t="s">
        <v>81</v>
      </c>
      <c r="F1299" t="s">
        <v>53</v>
      </c>
      <c r="G1299" t="s">
        <v>54</v>
      </c>
      <c r="H1299" t="s">
        <v>42</v>
      </c>
      <c r="I1299" t="s">
        <v>25</v>
      </c>
      <c r="J1299" t="s">
        <v>26</v>
      </c>
      <c r="K1299" t="s">
        <v>27</v>
      </c>
      <c r="L1299" t="s">
        <v>28</v>
      </c>
      <c r="M1299" s="4">
        <v>3</v>
      </c>
      <c r="N1299" s="4">
        <v>7</v>
      </c>
      <c r="O1299" t="s">
        <v>29</v>
      </c>
      <c r="P1299" t="s">
        <v>36</v>
      </c>
      <c r="Q1299" s="4">
        <v>306766</v>
      </c>
      <c r="R1299" s="4">
        <v>185045</v>
      </c>
      <c r="S1299" s="4">
        <f>Table1[[#This Row],[Service_Revenue]]-Table1[[#This Row],[Service_Cost]]</f>
        <v>121721</v>
      </c>
      <c r="T1299" s="4">
        <v>4</v>
      </c>
      <c r="U1299" s="4">
        <f>IF(AND(Table1[[#This Row],[Rework_Flag]]="Yes",Table1[[#This Row],[Warranty_Claim]]="No"),Table1[[#This Row],[Service_Revenue]],0)</f>
        <v>306766</v>
      </c>
      <c r="V1299" s="4">
        <f>IF(Table1[[#This Row],[Warranty_Claim]]="Yes",1,0)</f>
        <v>0</v>
      </c>
      <c r="W1299" s="4">
        <f>IF(Table1[[#This Row],[Rework_Flag]]="No",1,0)</f>
        <v>0</v>
      </c>
      <c r="X1299" s="4">
        <f>IF(Table1[[#This Row],[Rework_Flag]]="Yes",1,0)</f>
        <v>1</v>
      </c>
      <c r="Y1299" s="4">
        <v>1</v>
      </c>
      <c r="Z1299" s="4" t="str">
        <f>IF(Table1[[#This Row],[TAT_Days]]&gt;Table1[[#This Row],[SLA_TAT]],"Yes","No")</f>
        <v>No</v>
      </c>
      <c r="AA1299" s="4" t="str" cm="1">
        <f t="array" ref="AA1299">_xlfn.IFS(Table1[[#This Row],[Customer_Satisfaction]]&lt;=2,"Poor",Table1[[#This Row],[Customer_Satisfaction]]=3,"Neutral",Table1[[#This Row],[Customer_Satisfaction]]=4,"Good",Table1[[#This Row],[Customer_Satisfaction]]=5,"Good")</f>
        <v>Good</v>
      </c>
    </row>
    <row r="1300" spans="1:27" x14ac:dyDescent="0.35">
      <c r="A1300">
        <v>21298</v>
      </c>
      <c r="B1300" s="1">
        <v>45323</v>
      </c>
      <c r="C1300" t="s">
        <v>37</v>
      </c>
      <c r="D1300" t="s">
        <v>38</v>
      </c>
      <c r="E1300" t="s">
        <v>112</v>
      </c>
      <c r="F1300" t="s">
        <v>40</v>
      </c>
      <c r="G1300" t="s">
        <v>23</v>
      </c>
      <c r="H1300" t="s">
        <v>24</v>
      </c>
      <c r="I1300" t="s">
        <v>25</v>
      </c>
      <c r="J1300" t="s">
        <v>26</v>
      </c>
      <c r="K1300" t="s">
        <v>61</v>
      </c>
      <c r="L1300" t="s">
        <v>28</v>
      </c>
      <c r="M1300" s="4">
        <v>2</v>
      </c>
      <c r="N1300" s="4">
        <v>7</v>
      </c>
      <c r="O1300" t="s">
        <v>36</v>
      </c>
      <c r="P1300" t="s">
        <v>29</v>
      </c>
      <c r="Q1300" s="4">
        <v>408707</v>
      </c>
      <c r="R1300" s="4">
        <v>278056</v>
      </c>
      <c r="S1300" s="4">
        <f>Table1[[#This Row],[Service_Revenue]]-Table1[[#This Row],[Service_Cost]]</f>
        <v>130651</v>
      </c>
      <c r="T1300" s="4">
        <v>5</v>
      </c>
      <c r="U1300" s="4">
        <f>IF(AND(Table1[[#This Row],[Rework_Flag]]="Yes",Table1[[#This Row],[Warranty_Claim]]="No"),Table1[[#This Row],[Service_Revenue]],0)</f>
        <v>0</v>
      </c>
      <c r="V1300" s="4">
        <f>IF(Table1[[#This Row],[Warranty_Claim]]="Yes",1,0)</f>
        <v>1</v>
      </c>
      <c r="W1300" s="4">
        <f>IF(Table1[[#This Row],[Rework_Flag]]="No",1,0)</f>
        <v>1</v>
      </c>
      <c r="X1300" s="4">
        <f>IF(Table1[[#This Row],[Rework_Flag]]="Yes",1,0)</f>
        <v>0</v>
      </c>
      <c r="Y1300" s="4">
        <v>1</v>
      </c>
      <c r="Z1300" s="4" t="str">
        <f>IF(Table1[[#This Row],[TAT_Days]]&gt;Table1[[#This Row],[SLA_TAT]],"Yes","No")</f>
        <v>No</v>
      </c>
      <c r="AA1300" s="4" t="str" cm="1">
        <f t="array" ref="AA1300">_xlfn.IFS(Table1[[#This Row],[Customer_Satisfaction]]&lt;=2,"Poor",Table1[[#This Row],[Customer_Satisfaction]]=3,"Neutral",Table1[[#This Row],[Customer_Satisfaction]]=4,"Good",Table1[[#This Row],[Customer_Satisfaction]]=5,"Good")</f>
        <v>Good</v>
      </c>
    </row>
    <row r="1301" spans="1:27" x14ac:dyDescent="0.35">
      <c r="A1301">
        <v>21299</v>
      </c>
      <c r="B1301" s="1">
        <v>45452</v>
      </c>
      <c r="C1301" t="s">
        <v>37</v>
      </c>
      <c r="D1301" t="s">
        <v>64</v>
      </c>
      <c r="E1301" t="s">
        <v>65</v>
      </c>
      <c r="F1301" t="s">
        <v>53</v>
      </c>
      <c r="G1301" t="s">
        <v>23</v>
      </c>
      <c r="H1301" t="s">
        <v>24</v>
      </c>
      <c r="I1301" t="s">
        <v>55</v>
      </c>
      <c r="J1301" t="s">
        <v>35</v>
      </c>
      <c r="K1301" t="s">
        <v>44</v>
      </c>
      <c r="L1301" t="s">
        <v>28</v>
      </c>
      <c r="M1301" s="4">
        <v>22</v>
      </c>
      <c r="N1301" s="4">
        <v>7</v>
      </c>
      <c r="O1301" t="s">
        <v>29</v>
      </c>
      <c r="P1301" t="s">
        <v>36</v>
      </c>
      <c r="Q1301" s="4">
        <v>505706</v>
      </c>
      <c r="R1301" s="4">
        <v>254208</v>
      </c>
      <c r="S1301" s="4">
        <f>Table1[[#This Row],[Service_Revenue]]-Table1[[#This Row],[Service_Cost]]</f>
        <v>251498</v>
      </c>
      <c r="T1301" s="4">
        <v>1</v>
      </c>
      <c r="U1301" s="4">
        <f>IF(AND(Table1[[#This Row],[Rework_Flag]]="Yes",Table1[[#This Row],[Warranty_Claim]]="No"),Table1[[#This Row],[Service_Revenue]],0)</f>
        <v>505706</v>
      </c>
      <c r="V1301" s="4">
        <f>IF(Table1[[#This Row],[Warranty_Claim]]="Yes",1,0)</f>
        <v>0</v>
      </c>
      <c r="W1301" s="4">
        <f>IF(Table1[[#This Row],[Rework_Flag]]="No",1,0)</f>
        <v>0</v>
      </c>
      <c r="X1301" s="4">
        <f>IF(Table1[[#This Row],[Rework_Flag]]="Yes",1,0)</f>
        <v>1</v>
      </c>
      <c r="Y1301" s="4">
        <v>1</v>
      </c>
      <c r="Z1301" s="4" t="str">
        <f>IF(Table1[[#This Row],[TAT_Days]]&gt;Table1[[#This Row],[SLA_TAT]],"Yes","No")</f>
        <v>Yes</v>
      </c>
      <c r="AA1301" s="4" t="str" cm="1">
        <f t="array" ref="AA1301">_xlfn.IFS(Table1[[#This Row],[Customer_Satisfaction]]&lt;=2,"Poor",Table1[[#This Row],[Customer_Satisfaction]]=3,"Neutral",Table1[[#This Row],[Customer_Satisfaction]]=4,"Good",Table1[[#This Row],[Customer_Satisfaction]]=5,"Good")</f>
        <v>Poor</v>
      </c>
    </row>
    <row r="1302" spans="1:27" x14ac:dyDescent="0.35">
      <c r="A1302">
        <v>21300</v>
      </c>
      <c r="B1302" s="1">
        <v>45345</v>
      </c>
      <c r="C1302" t="s">
        <v>30</v>
      </c>
      <c r="D1302" t="s">
        <v>59</v>
      </c>
      <c r="E1302" t="s">
        <v>69</v>
      </c>
      <c r="F1302" t="s">
        <v>22</v>
      </c>
      <c r="G1302" t="s">
        <v>33</v>
      </c>
      <c r="H1302" t="s">
        <v>34</v>
      </c>
      <c r="I1302" t="s">
        <v>55</v>
      </c>
      <c r="J1302" t="s">
        <v>67</v>
      </c>
      <c r="K1302" t="s">
        <v>61</v>
      </c>
      <c r="L1302" t="s">
        <v>28</v>
      </c>
      <c r="M1302" s="4">
        <v>17</v>
      </c>
      <c r="N1302" s="4">
        <v>7</v>
      </c>
      <c r="O1302" t="s">
        <v>36</v>
      </c>
      <c r="P1302" t="s">
        <v>36</v>
      </c>
      <c r="Q1302" s="4">
        <v>419053</v>
      </c>
      <c r="R1302" s="4">
        <v>241102</v>
      </c>
      <c r="S1302" s="4">
        <f>Table1[[#This Row],[Service_Revenue]]-Table1[[#This Row],[Service_Cost]]</f>
        <v>177951</v>
      </c>
      <c r="T1302" s="4">
        <v>2</v>
      </c>
      <c r="U1302" s="4">
        <f>IF(AND(Table1[[#This Row],[Rework_Flag]]="Yes",Table1[[#This Row],[Warranty_Claim]]="No"),Table1[[#This Row],[Service_Revenue]],0)</f>
        <v>0</v>
      </c>
      <c r="V1302" s="4">
        <f>IF(Table1[[#This Row],[Warranty_Claim]]="Yes",1,0)</f>
        <v>0</v>
      </c>
      <c r="W1302" s="4">
        <f>IF(Table1[[#This Row],[Rework_Flag]]="No",1,0)</f>
        <v>1</v>
      </c>
      <c r="X1302" s="4">
        <f>IF(Table1[[#This Row],[Rework_Flag]]="Yes",1,0)</f>
        <v>0</v>
      </c>
      <c r="Y1302" s="4">
        <v>1</v>
      </c>
      <c r="Z1302" s="4" t="str">
        <f>IF(Table1[[#This Row],[TAT_Days]]&gt;Table1[[#This Row],[SLA_TAT]],"Yes","No")</f>
        <v>Yes</v>
      </c>
      <c r="AA1302" s="4" t="str" cm="1">
        <f t="array" ref="AA1302">_xlfn.IFS(Table1[[#This Row],[Customer_Satisfaction]]&lt;=2,"Poor",Table1[[#This Row],[Customer_Satisfaction]]=3,"Neutral",Table1[[#This Row],[Customer_Satisfaction]]=4,"Good",Table1[[#This Row],[Customer_Satisfaction]]=5,"Good")</f>
        <v>Poor</v>
      </c>
    </row>
    <row r="1303" spans="1:27" x14ac:dyDescent="0.35">
      <c r="A1303">
        <v>21301</v>
      </c>
      <c r="B1303" s="1">
        <v>45376</v>
      </c>
      <c r="C1303" t="s">
        <v>19</v>
      </c>
      <c r="D1303" t="s">
        <v>45</v>
      </c>
      <c r="E1303" t="s">
        <v>111</v>
      </c>
      <c r="F1303" t="s">
        <v>40</v>
      </c>
      <c r="G1303" t="s">
        <v>33</v>
      </c>
      <c r="H1303" t="s">
        <v>34</v>
      </c>
      <c r="I1303" t="s">
        <v>25</v>
      </c>
      <c r="J1303" t="s">
        <v>35</v>
      </c>
      <c r="K1303" t="s">
        <v>44</v>
      </c>
      <c r="L1303" t="s">
        <v>49</v>
      </c>
      <c r="M1303" s="4">
        <v>18</v>
      </c>
      <c r="N1303" s="4">
        <v>7</v>
      </c>
      <c r="O1303" t="s">
        <v>36</v>
      </c>
      <c r="P1303" t="s">
        <v>36</v>
      </c>
      <c r="Q1303" s="4">
        <v>190252</v>
      </c>
      <c r="R1303" s="4">
        <v>125248</v>
      </c>
      <c r="S1303" s="4">
        <f>Table1[[#This Row],[Service_Revenue]]-Table1[[#This Row],[Service_Cost]]</f>
        <v>65004</v>
      </c>
      <c r="T1303" s="4">
        <v>2</v>
      </c>
      <c r="U1303" s="4">
        <f>IF(AND(Table1[[#This Row],[Rework_Flag]]="Yes",Table1[[#This Row],[Warranty_Claim]]="No"),Table1[[#This Row],[Service_Revenue]],0)</f>
        <v>0</v>
      </c>
      <c r="V1303" s="4">
        <f>IF(Table1[[#This Row],[Warranty_Claim]]="Yes",1,0)</f>
        <v>0</v>
      </c>
      <c r="W1303" s="4">
        <f>IF(Table1[[#This Row],[Rework_Flag]]="No",1,0)</f>
        <v>1</v>
      </c>
      <c r="X1303" s="4">
        <f>IF(Table1[[#This Row],[Rework_Flag]]="Yes",1,0)</f>
        <v>0</v>
      </c>
      <c r="Y1303" s="4">
        <v>1</v>
      </c>
      <c r="Z1303" s="4" t="str">
        <f>IF(Table1[[#This Row],[TAT_Days]]&gt;Table1[[#This Row],[SLA_TAT]],"Yes","No")</f>
        <v>Yes</v>
      </c>
      <c r="AA1303" s="4" t="str" cm="1">
        <f t="array" ref="AA1303">_xlfn.IFS(Table1[[#This Row],[Customer_Satisfaction]]&lt;=2,"Poor",Table1[[#This Row],[Customer_Satisfaction]]=3,"Neutral",Table1[[#This Row],[Customer_Satisfaction]]=4,"Good",Table1[[#This Row],[Customer_Satisfaction]]=5,"Good")</f>
        <v>Poor</v>
      </c>
    </row>
    <row r="1304" spans="1:27" x14ac:dyDescent="0.35">
      <c r="A1304">
        <v>21302</v>
      </c>
      <c r="B1304" s="1">
        <v>45338</v>
      </c>
      <c r="C1304" t="s">
        <v>50</v>
      </c>
      <c r="D1304" t="s">
        <v>80</v>
      </c>
      <c r="E1304" t="s">
        <v>118</v>
      </c>
      <c r="F1304" t="s">
        <v>53</v>
      </c>
      <c r="G1304" t="s">
        <v>41</v>
      </c>
      <c r="H1304" t="s">
        <v>42</v>
      </c>
      <c r="I1304" t="s">
        <v>25</v>
      </c>
      <c r="J1304" t="s">
        <v>26</v>
      </c>
      <c r="K1304" t="s">
        <v>44</v>
      </c>
      <c r="L1304" t="s">
        <v>28</v>
      </c>
      <c r="M1304" s="4">
        <v>21</v>
      </c>
      <c r="N1304" s="4">
        <v>7</v>
      </c>
      <c r="O1304" t="s">
        <v>29</v>
      </c>
      <c r="P1304" t="s">
        <v>29</v>
      </c>
      <c r="Q1304" s="4">
        <v>594781</v>
      </c>
      <c r="R1304" s="4">
        <v>380820</v>
      </c>
      <c r="S1304" s="4">
        <f>Table1[[#This Row],[Service_Revenue]]-Table1[[#This Row],[Service_Cost]]</f>
        <v>213961</v>
      </c>
      <c r="T1304" s="4">
        <v>1</v>
      </c>
      <c r="U1304" s="4">
        <f>IF(AND(Table1[[#This Row],[Rework_Flag]]="Yes",Table1[[#This Row],[Warranty_Claim]]="No"),Table1[[#This Row],[Service_Revenue]],0)</f>
        <v>0</v>
      </c>
      <c r="V1304" s="4">
        <f>IF(Table1[[#This Row],[Warranty_Claim]]="Yes",1,0)</f>
        <v>1</v>
      </c>
      <c r="W1304" s="4">
        <f>IF(Table1[[#This Row],[Rework_Flag]]="No",1,0)</f>
        <v>0</v>
      </c>
      <c r="X1304" s="4">
        <f>IF(Table1[[#This Row],[Rework_Flag]]="Yes",1,0)</f>
        <v>1</v>
      </c>
      <c r="Y1304" s="4">
        <v>1</v>
      </c>
      <c r="Z1304" s="4" t="str">
        <f>IF(Table1[[#This Row],[TAT_Days]]&gt;Table1[[#This Row],[SLA_TAT]],"Yes","No")</f>
        <v>Yes</v>
      </c>
      <c r="AA1304" s="4" t="str" cm="1">
        <f t="array" ref="AA1304">_xlfn.IFS(Table1[[#This Row],[Customer_Satisfaction]]&lt;=2,"Poor",Table1[[#This Row],[Customer_Satisfaction]]=3,"Neutral",Table1[[#This Row],[Customer_Satisfaction]]=4,"Good",Table1[[#This Row],[Customer_Satisfaction]]=5,"Good")</f>
        <v>Poor</v>
      </c>
    </row>
    <row r="1305" spans="1:27" x14ac:dyDescent="0.35">
      <c r="A1305">
        <v>21303</v>
      </c>
      <c r="B1305" s="1">
        <v>45458</v>
      </c>
      <c r="C1305" t="s">
        <v>30</v>
      </c>
      <c r="D1305" t="s">
        <v>59</v>
      </c>
      <c r="E1305" t="s">
        <v>78</v>
      </c>
      <c r="F1305" t="s">
        <v>40</v>
      </c>
      <c r="G1305" t="s">
        <v>63</v>
      </c>
      <c r="H1305" t="s">
        <v>24</v>
      </c>
      <c r="I1305" t="s">
        <v>25</v>
      </c>
      <c r="J1305" t="s">
        <v>67</v>
      </c>
      <c r="K1305" t="s">
        <v>27</v>
      </c>
      <c r="L1305" t="s">
        <v>28</v>
      </c>
      <c r="M1305" s="4">
        <v>4</v>
      </c>
      <c r="N1305" s="4">
        <v>7</v>
      </c>
      <c r="O1305" t="s">
        <v>29</v>
      </c>
      <c r="P1305" t="s">
        <v>29</v>
      </c>
      <c r="Q1305" s="4">
        <v>558182</v>
      </c>
      <c r="R1305" s="4">
        <v>304152</v>
      </c>
      <c r="S1305" s="4">
        <f>Table1[[#This Row],[Service_Revenue]]-Table1[[#This Row],[Service_Cost]]</f>
        <v>254030</v>
      </c>
      <c r="T1305" s="4">
        <v>4</v>
      </c>
      <c r="U1305" s="4">
        <f>IF(AND(Table1[[#This Row],[Rework_Flag]]="Yes",Table1[[#This Row],[Warranty_Claim]]="No"),Table1[[#This Row],[Service_Revenue]],0)</f>
        <v>0</v>
      </c>
      <c r="V1305" s="4">
        <f>IF(Table1[[#This Row],[Warranty_Claim]]="Yes",1,0)</f>
        <v>1</v>
      </c>
      <c r="W1305" s="4">
        <f>IF(Table1[[#This Row],[Rework_Flag]]="No",1,0)</f>
        <v>0</v>
      </c>
      <c r="X1305" s="4">
        <f>IF(Table1[[#This Row],[Rework_Flag]]="Yes",1,0)</f>
        <v>1</v>
      </c>
      <c r="Y1305" s="4">
        <v>1</v>
      </c>
      <c r="Z1305" s="4" t="str">
        <f>IF(Table1[[#This Row],[TAT_Days]]&gt;Table1[[#This Row],[SLA_TAT]],"Yes","No")</f>
        <v>No</v>
      </c>
      <c r="AA1305" s="4" t="str" cm="1">
        <f t="array" ref="AA1305">_xlfn.IFS(Table1[[#This Row],[Customer_Satisfaction]]&lt;=2,"Poor",Table1[[#This Row],[Customer_Satisfaction]]=3,"Neutral",Table1[[#This Row],[Customer_Satisfaction]]=4,"Good",Table1[[#This Row],[Customer_Satisfaction]]=5,"Good")</f>
        <v>Good</v>
      </c>
    </row>
    <row r="1306" spans="1:27" x14ac:dyDescent="0.35">
      <c r="A1306">
        <v>21304</v>
      </c>
      <c r="B1306" s="1">
        <v>45292</v>
      </c>
      <c r="C1306" t="s">
        <v>50</v>
      </c>
      <c r="D1306" t="s">
        <v>56</v>
      </c>
      <c r="E1306" t="s">
        <v>77</v>
      </c>
      <c r="F1306" t="s">
        <v>22</v>
      </c>
      <c r="G1306" t="s">
        <v>54</v>
      </c>
      <c r="H1306" t="s">
        <v>42</v>
      </c>
      <c r="I1306" t="s">
        <v>55</v>
      </c>
      <c r="J1306" t="s">
        <v>26</v>
      </c>
      <c r="K1306" t="s">
        <v>61</v>
      </c>
      <c r="L1306" t="s">
        <v>49</v>
      </c>
      <c r="M1306" s="4">
        <v>4</v>
      </c>
      <c r="N1306" s="4">
        <v>7</v>
      </c>
      <c r="O1306" t="s">
        <v>36</v>
      </c>
      <c r="P1306" t="s">
        <v>36</v>
      </c>
      <c r="Q1306" s="4">
        <v>192998</v>
      </c>
      <c r="R1306" s="4">
        <v>127406</v>
      </c>
      <c r="S1306" s="4">
        <f>Table1[[#This Row],[Service_Revenue]]-Table1[[#This Row],[Service_Cost]]</f>
        <v>65592</v>
      </c>
      <c r="T1306" s="4">
        <v>5</v>
      </c>
      <c r="U1306" s="4">
        <f>IF(AND(Table1[[#This Row],[Rework_Flag]]="Yes",Table1[[#This Row],[Warranty_Claim]]="No"),Table1[[#This Row],[Service_Revenue]],0)</f>
        <v>0</v>
      </c>
      <c r="V1306" s="4">
        <f>IF(Table1[[#This Row],[Warranty_Claim]]="Yes",1,0)</f>
        <v>0</v>
      </c>
      <c r="W1306" s="4">
        <f>IF(Table1[[#This Row],[Rework_Flag]]="No",1,0)</f>
        <v>1</v>
      </c>
      <c r="X1306" s="4">
        <f>IF(Table1[[#This Row],[Rework_Flag]]="Yes",1,0)</f>
        <v>0</v>
      </c>
      <c r="Y1306" s="4">
        <v>1</v>
      </c>
      <c r="Z1306" s="4" t="str">
        <f>IF(Table1[[#This Row],[TAT_Days]]&gt;Table1[[#This Row],[SLA_TAT]],"Yes","No")</f>
        <v>No</v>
      </c>
      <c r="AA1306" s="4" t="str" cm="1">
        <f t="array" ref="AA1306">_xlfn.IFS(Table1[[#This Row],[Customer_Satisfaction]]&lt;=2,"Poor",Table1[[#This Row],[Customer_Satisfaction]]=3,"Neutral",Table1[[#This Row],[Customer_Satisfaction]]=4,"Good",Table1[[#This Row],[Customer_Satisfaction]]=5,"Good")</f>
        <v>Good</v>
      </c>
    </row>
    <row r="1307" spans="1:27" x14ac:dyDescent="0.35">
      <c r="A1307">
        <v>21305</v>
      </c>
      <c r="B1307" s="1">
        <v>45408</v>
      </c>
      <c r="C1307" t="s">
        <v>19</v>
      </c>
      <c r="D1307" t="s">
        <v>20</v>
      </c>
      <c r="E1307" t="s">
        <v>110</v>
      </c>
      <c r="F1307" t="s">
        <v>40</v>
      </c>
      <c r="G1307" t="s">
        <v>63</v>
      </c>
      <c r="H1307" t="s">
        <v>24</v>
      </c>
      <c r="I1307" t="s">
        <v>25</v>
      </c>
      <c r="J1307" t="s">
        <v>35</v>
      </c>
      <c r="K1307" t="s">
        <v>44</v>
      </c>
      <c r="L1307" t="s">
        <v>49</v>
      </c>
      <c r="M1307" s="4">
        <v>17</v>
      </c>
      <c r="N1307" s="4">
        <v>7</v>
      </c>
      <c r="O1307" t="s">
        <v>29</v>
      </c>
      <c r="P1307" t="s">
        <v>29</v>
      </c>
      <c r="Q1307" s="4">
        <v>265844</v>
      </c>
      <c r="R1307" s="4">
        <v>186615</v>
      </c>
      <c r="S1307" s="4">
        <f>Table1[[#This Row],[Service_Revenue]]-Table1[[#This Row],[Service_Cost]]</f>
        <v>79229</v>
      </c>
      <c r="T1307" s="4">
        <v>1</v>
      </c>
      <c r="U1307" s="4">
        <f>IF(AND(Table1[[#This Row],[Rework_Flag]]="Yes",Table1[[#This Row],[Warranty_Claim]]="No"),Table1[[#This Row],[Service_Revenue]],0)</f>
        <v>0</v>
      </c>
      <c r="V1307" s="4">
        <f>IF(Table1[[#This Row],[Warranty_Claim]]="Yes",1,0)</f>
        <v>1</v>
      </c>
      <c r="W1307" s="4">
        <f>IF(Table1[[#This Row],[Rework_Flag]]="No",1,0)</f>
        <v>0</v>
      </c>
      <c r="X1307" s="4">
        <f>IF(Table1[[#This Row],[Rework_Flag]]="Yes",1,0)</f>
        <v>1</v>
      </c>
      <c r="Y1307" s="4">
        <v>1</v>
      </c>
      <c r="Z1307" s="4" t="str">
        <f>IF(Table1[[#This Row],[TAT_Days]]&gt;Table1[[#This Row],[SLA_TAT]],"Yes","No")</f>
        <v>Yes</v>
      </c>
      <c r="AA1307" s="4" t="str" cm="1">
        <f t="array" ref="AA1307">_xlfn.IFS(Table1[[#This Row],[Customer_Satisfaction]]&lt;=2,"Poor",Table1[[#This Row],[Customer_Satisfaction]]=3,"Neutral",Table1[[#This Row],[Customer_Satisfaction]]=4,"Good",Table1[[#This Row],[Customer_Satisfaction]]=5,"Good")</f>
        <v>Poor</v>
      </c>
    </row>
    <row r="1308" spans="1:27" x14ac:dyDescent="0.35">
      <c r="A1308">
        <v>21306</v>
      </c>
      <c r="B1308" s="1">
        <v>45302</v>
      </c>
      <c r="C1308" t="s">
        <v>37</v>
      </c>
      <c r="D1308" t="s">
        <v>70</v>
      </c>
      <c r="E1308" t="s">
        <v>82</v>
      </c>
      <c r="F1308" t="s">
        <v>53</v>
      </c>
      <c r="G1308" t="s">
        <v>47</v>
      </c>
      <c r="H1308" t="s">
        <v>48</v>
      </c>
      <c r="I1308" t="s">
        <v>25</v>
      </c>
      <c r="J1308" t="s">
        <v>43</v>
      </c>
      <c r="K1308" t="s">
        <v>61</v>
      </c>
      <c r="L1308" t="s">
        <v>28</v>
      </c>
      <c r="M1308" s="4">
        <v>15</v>
      </c>
      <c r="N1308" s="4">
        <v>7</v>
      </c>
      <c r="O1308" t="s">
        <v>29</v>
      </c>
      <c r="P1308" t="s">
        <v>36</v>
      </c>
      <c r="Q1308" s="4">
        <v>227908</v>
      </c>
      <c r="R1308" s="4">
        <v>174296</v>
      </c>
      <c r="S1308" s="4">
        <f>Table1[[#This Row],[Service_Revenue]]-Table1[[#This Row],[Service_Cost]]</f>
        <v>53612</v>
      </c>
      <c r="T1308" s="4">
        <v>1</v>
      </c>
      <c r="U1308" s="4">
        <f>IF(AND(Table1[[#This Row],[Rework_Flag]]="Yes",Table1[[#This Row],[Warranty_Claim]]="No"),Table1[[#This Row],[Service_Revenue]],0)</f>
        <v>227908</v>
      </c>
      <c r="V1308" s="4">
        <f>IF(Table1[[#This Row],[Warranty_Claim]]="Yes",1,0)</f>
        <v>0</v>
      </c>
      <c r="W1308" s="4">
        <f>IF(Table1[[#This Row],[Rework_Flag]]="No",1,0)</f>
        <v>0</v>
      </c>
      <c r="X1308" s="4">
        <f>IF(Table1[[#This Row],[Rework_Flag]]="Yes",1,0)</f>
        <v>1</v>
      </c>
      <c r="Y1308" s="4">
        <v>1</v>
      </c>
      <c r="Z1308" s="4" t="str">
        <f>IF(Table1[[#This Row],[TAT_Days]]&gt;Table1[[#This Row],[SLA_TAT]],"Yes","No")</f>
        <v>Yes</v>
      </c>
      <c r="AA1308" s="4" t="str" cm="1">
        <f t="array" ref="AA1308">_xlfn.IFS(Table1[[#This Row],[Customer_Satisfaction]]&lt;=2,"Poor",Table1[[#This Row],[Customer_Satisfaction]]=3,"Neutral",Table1[[#This Row],[Customer_Satisfaction]]=4,"Good",Table1[[#This Row],[Customer_Satisfaction]]=5,"Good")</f>
        <v>Poor</v>
      </c>
    </row>
    <row r="1309" spans="1:27" x14ac:dyDescent="0.35">
      <c r="A1309">
        <v>21307</v>
      </c>
      <c r="B1309" s="1">
        <v>45319</v>
      </c>
      <c r="C1309" t="s">
        <v>50</v>
      </c>
      <c r="D1309" t="s">
        <v>56</v>
      </c>
      <c r="E1309" t="s">
        <v>68</v>
      </c>
      <c r="F1309" t="s">
        <v>40</v>
      </c>
      <c r="G1309" t="s">
        <v>33</v>
      </c>
      <c r="H1309" t="s">
        <v>34</v>
      </c>
      <c r="I1309" t="s">
        <v>55</v>
      </c>
      <c r="J1309" t="s">
        <v>43</v>
      </c>
      <c r="K1309" t="s">
        <v>61</v>
      </c>
      <c r="L1309" t="s">
        <v>49</v>
      </c>
      <c r="M1309" s="4">
        <v>19</v>
      </c>
      <c r="N1309" s="4">
        <v>7</v>
      </c>
      <c r="O1309" t="s">
        <v>29</v>
      </c>
      <c r="P1309" t="s">
        <v>29</v>
      </c>
      <c r="Q1309" s="4">
        <v>172043</v>
      </c>
      <c r="R1309" s="4">
        <v>96047</v>
      </c>
      <c r="S1309" s="4">
        <f>Table1[[#This Row],[Service_Revenue]]-Table1[[#This Row],[Service_Cost]]</f>
        <v>75996</v>
      </c>
      <c r="T1309" s="4">
        <v>1</v>
      </c>
      <c r="U1309" s="4">
        <f>IF(AND(Table1[[#This Row],[Rework_Flag]]="Yes",Table1[[#This Row],[Warranty_Claim]]="No"),Table1[[#This Row],[Service_Revenue]],0)</f>
        <v>0</v>
      </c>
      <c r="V1309" s="4">
        <f>IF(Table1[[#This Row],[Warranty_Claim]]="Yes",1,0)</f>
        <v>1</v>
      </c>
      <c r="W1309" s="4">
        <f>IF(Table1[[#This Row],[Rework_Flag]]="No",1,0)</f>
        <v>0</v>
      </c>
      <c r="X1309" s="4">
        <f>IF(Table1[[#This Row],[Rework_Flag]]="Yes",1,0)</f>
        <v>1</v>
      </c>
      <c r="Y1309" s="4">
        <v>1</v>
      </c>
      <c r="Z1309" s="4" t="str">
        <f>IF(Table1[[#This Row],[TAT_Days]]&gt;Table1[[#This Row],[SLA_TAT]],"Yes","No")</f>
        <v>Yes</v>
      </c>
      <c r="AA1309" s="4" t="str" cm="1">
        <f t="array" ref="AA1309">_xlfn.IFS(Table1[[#This Row],[Customer_Satisfaction]]&lt;=2,"Poor",Table1[[#This Row],[Customer_Satisfaction]]=3,"Neutral",Table1[[#This Row],[Customer_Satisfaction]]=4,"Good",Table1[[#This Row],[Customer_Satisfaction]]=5,"Good")</f>
        <v>Poor</v>
      </c>
    </row>
    <row r="1310" spans="1:27" x14ac:dyDescent="0.35">
      <c r="A1310">
        <v>21308</v>
      </c>
      <c r="B1310" s="1">
        <v>45404</v>
      </c>
      <c r="C1310" t="s">
        <v>50</v>
      </c>
      <c r="D1310" t="s">
        <v>80</v>
      </c>
      <c r="E1310" t="s">
        <v>118</v>
      </c>
      <c r="F1310" t="s">
        <v>40</v>
      </c>
      <c r="G1310" t="s">
        <v>33</v>
      </c>
      <c r="H1310" t="s">
        <v>34</v>
      </c>
      <c r="I1310" t="s">
        <v>55</v>
      </c>
      <c r="J1310" t="s">
        <v>35</v>
      </c>
      <c r="K1310" t="s">
        <v>44</v>
      </c>
      <c r="L1310" t="s">
        <v>49</v>
      </c>
      <c r="M1310" s="4">
        <v>5</v>
      </c>
      <c r="N1310" s="4">
        <v>7</v>
      </c>
      <c r="O1310" t="s">
        <v>29</v>
      </c>
      <c r="P1310" t="s">
        <v>36</v>
      </c>
      <c r="Q1310" s="4">
        <v>315137</v>
      </c>
      <c r="R1310" s="4">
        <v>252114</v>
      </c>
      <c r="S1310" s="4">
        <f>Table1[[#This Row],[Service_Revenue]]-Table1[[#This Row],[Service_Cost]]</f>
        <v>63023</v>
      </c>
      <c r="T1310" s="4">
        <v>3</v>
      </c>
      <c r="U1310" s="4">
        <f>IF(AND(Table1[[#This Row],[Rework_Flag]]="Yes",Table1[[#This Row],[Warranty_Claim]]="No"),Table1[[#This Row],[Service_Revenue]],0)</f>
        <v>315137</v>
      </c>
      <c r="V1310" s="4">
        <f>IF(Table1[[#This Row],[Warranty_Claim]]="Yes",1,0)</f>
        <v>0</v>
      </c>
      <c r="W1310" s="4">
        <f>IF(Table1[[#This Row],[Rework_Flag]]="No",1,0)</f>
        <v>0</v>
      </c>
      <c r="X1310" s="4">
        <f>IF(Table1[[#This Row],[Rework_Flag]]="Yes",1,0)</f>
        <v>1</v>
      </c>
      <c r="Y1310" s="4">
        <v>1</v>
      </c>
      <c r="Z1310" s="4" t="str">
        <f>IF(Table1[[#This Row],[TAT_Days]]&gt;Table1[[#This Row],[SLA_TAT]],"Yes","No")</f>
        <v>No</v>
      </c>
      <c r="AA1310" s="4" t="str" cm="1">
        <f t="array" ref="AA1310">_xlfn.IFS(Table1[[#This Row],[Customer_Satisfaction]]&lt;=2,"Poor",Table1[[#This Row],[Customer_Satisfaction]]=3,"Neutral",Table1[[#This Row],[Customer_Satisfaction]]=4,"Good",Table1[[#This Row],[Customer_Satisfaction]]=5,"Good")</f>
        <v>Neutral</v>
      </c>
    </row>
    <row r="1311" spans="1:27" x14ac:dyDescent="0.35">
      <c r="A1311">
        <v>21309</v>
      </c>
      <c r="B1311" s="1">
        <v>45415</v>
      </c>
      <c r="C1311" t="s">
        <v>30</v>
      </c>
      <c r="D1311" t="s">
        <v>59</v>
      </c>
      <c r="E1311" t="s">
        <v>69</v>
      </c>
      <c r="F1311" t="s">
        <v>53</v>
      </c>
      <c r="G1311" t="s">
        <v>54</v>
      </c>
      <c r="H1311" t="s">
        <v>42</v>
      </c>
      <c r="I1311" t="s">
        <v>55</v>
      </c>
      <c r="J1311" t="s">
        <v>67</v>
      </c>
      <c r="K1311" t="s">
        <v>61</v>
      </c>
      <c r="L1311" t="s">
        <v>28</v>
      </c>
      <c r="M1311" s="4">
        <v>4</v>
      </c>
      <c r="N1311" s="4">
        <v>7</v>
      </c>
      <c r="O1311" t="s">
        <v>29</v>
      </c>
      <c r="P1311" t="s">
        <v>36</v>
      </c>
      <c r="Q1311" s="4">
        <v>261351</v>
      </c>
      <c r="R1311" s="4">
        <v>217282</v>
      </c>
      <c r="S1311" s="4">
        <f>Table1[[#This Row],[Service_Revenue]]-Table1[[#This Row],[Service_Cost]]</f>
        <v>44069</v>
      </c>
      <c r="T1311" s="4">
        <v>4</v>
      </c>
      <c r="U1311" s="4">
        <f>IF(AND(Table1[[#This Row],[Rework_Flag]]="Yes",Table1[[#This Row],[Warranty_Claim]]="No"),Table1[[#This Row],[Service_Revenue]],0)</f>
        <v>261351</v>
      </c>
      <c r="V1311" s="4">
        <f>IF(Table1[[#This Row],[Warranty_Claim]]="Yes",1,0)</f>
        <v>0</v>
      </c>
      <c r="W1311" s="4">
        <f>IF(Table1[[#This Row],[Rework_Flag]]="No",1,0)</f>
        <v>0</v>
      </c>
      <c r="X1311" s="4">
        <f>IF(Table1[[#This Row],[Rework_Flag]]="Yes",1,0)</f>
        <v>1</v>
      </c>
      <c r="Y1311" s="4">
        <v>1</v>
      </c>
      <c r="Z1311" s="4" t="str">
        <f>IF(Table1[[#This Row],[TAT_Days]]&gt;Table1[[#This Row],[SLA_TAT]],"Yes","No")</f>
        <v>No</v>
      </c>
      <c r="AA1311" s="4" t="str" cm="1">
        <f t="array" ref="AA1311">_xlfn.IFS(Table1[[#This Row],[Customer_Satisfaction]]&lt;=2,"Poor",Table1[[#This Row],[Customer_Satisfaction]]=3,"Neutral",Table1[[#This Row],[Customer_Satisfaction]]=4,"Good",Table1[[#This Row],[Customer_Satisfaction]]=5,"Good")</f>
        <v>Good</v>
      </c>
    </row>
    <row r="1312" spans="1:27" x14ac:dyDescent="0.35">
      <c r="A1312">
        <v>21310</v>
      </c>
      <c r="B1312" s="1">
        <v>45443</v>
      </c>
      <c r="C1312" t="s">
        <v>50</v>
      </c>
      <c r="D1312" t="s">
        <v>51</v>
      </c>
      <c r="E1312" t="s">
        <v>73</v>
      </c>
      <c r="F1312" t="s">
        <v>53</v>
      </c>
      <c r="G1312" t="s">
        <v>54</v>
      </c>
      <c r="H1312" t="s">
        <v>42</v>
      </c>
      <c r="I1312" t="s">
        <v>25</v>
      </c>
      <c r="J1312" t="s">
        <v>26</v>
      </c>
      <c r="K1312" t="s">
        <v>61</v>
      </c>
      <c r="L1312" t="s">
        <v>49</v>
      </c>
      <c r="M1312" s="4">
        <v>22</v>
      </c>
      <c r="N1312" s="4">
        <v>7</v>
      </c>
      <c r="O1312" t="s">
        <v>29</v>
      </c>
      <c r="P1312" t="s">
        <v>29</v>
      </c>
      <c r="Q1312" s="4">
        <v>417771</v>
      </c>
      <c r="R1312" s="4">
        <v>278530</v>
      </c>
      <c r="S1312" s="4">
        <f>Table1[[#This Row],[Service_Revenue]]-Table1[[#This Row],[Service_Cost]]</f>
        <v>139241</v>
      </c>
      <c r="T1312" s="4">
        <v>1</v>
      </c>
      <c r="U1312" s="4">
        <f>IF(AND(Table1[[#This Row],[Rework_Flag]]="Yes",Table1[[#This Row],[Warranty_Claim]]="No"),Table1[[#This Row],[Service_Revenue]],0)</f>
        <v>0</v>
      </c>
      <c r="V1312" s="4">
        <f>IF(Table1[[#This Row],[Warranty_Claim]]="Yes",1,0)</f>
        <v>1</v>
      </c>
      <c r="W1312" s="4">
        <f>IF(Table1[[#This Row],[Rework_Flag]]="No",1,0)</f>
        <v>0</v>
      </c>
      <c r="X1312" s="4">
        <f>IF(Table1[[#This Row],[Rework_Flag]]="Yes",1,0)</f>
        <v>1</v>
      </c>
      <c r="Y1312" s="4">
        <v>1</v>
      </c>
      <c r="Z1312" s="4" t="str">
        <f>IF(Table1[[#This Row],[TAT_Days]]&gt;Table1[[#This Row],[SLA_TAT]],"Yes","No")</f>
        <v>Yes</v>
      </c>
      <c r="AA1312" s="4" t="str" cm="1">
        <f t="array" ref="AA1312">_xlfn.IFS(Table1[[#This Row],[Customer_Satisfaction]]&lt;=2,"Poor",Table1[[#This Row],[Customer_Satisfaction]]=3,"Neutral",Table1[[#This Row],[Customer_Satisfaction]]=4,"Good",Table1[[#This Row],[Customer_Satisfaction]]=5,"Good")</f>
        <v>Poor</v>
      </c>
    </row>
    <row r="1313" spans="1:27" x14ac:dyDescent="0.35">
      <c r="A1313">
        <v>21311</v>
      </c>
      <c r="B1313" s="1">
        <v>45373</v>
      </c>
      <c r="C1313" t="s">
        <v>30</v>
      </c>
      <c r="D1313" t="s">
        <v>83</v>
      </c>
      <c r="E1313" t="s">
        <v>119</v>
      </c>
      <c r="F1313" t="s">
        <v>22</v>
      </c>
      <c r="G1313" t="s">
        <v>47</v>
      </c>
      <c r="H1313" t="s">
        <v>48</v>
      </c>
      <c r="I1313" t="s">
        <v>55</v>
      </c>
      <c r="J1313" t="s">
        <v>43</v>
      </c>
      <c r="K1313" t="s">
        <v>61</v>
      </c>
      <c r="L1313" t="s">
        <v>49</v>
      </c>
      <c r="M1313" s="4">
        <v>16</v>
      </c>
      <c r="N1313" s="4">
        <v>7</v>
      </c>
      <c r="O1313" t="s">
        <v>29</v>
      </c>
      <c r="P1313" t="s">
        <v>36</v>
      </c>
      <c r="Q1313" s="4">
        <v>384826</v>
      </c>
      <c r="R1313" s="4">
        <v>269547</v>
      </c>
      <c r="S1313" s="4">
        <f>Table1[[#This Row],[Service_Revenue]]-Table1[[#This Row],[Service_Cost]]</f>
        <v>115279</v>
      </c>
      <c r="T1313" s="4">
        <v>1</v>
      </c>
      <c r="U1313" s="4">
        <f>IF(AND(Table1[[#This Row],[Rework_Flag]]="Yes",Table1[[#This Row],[Warranty_Claim]]="No"),Table1[[#This Row],[Service_Revenue]],0)</f>
        <v>384826</v>
      </c>
      <c r="V1313" s="4">
        <f>IF(Table1[[#This Row],[Warranty_Claim]]="Yes",1,0)</f>
        <v>0</v>
      </c>
      <c r="W1313" s="4">
        <f>IF(Table1[[#This Row],[Rework_Flag]]="No",1,0)</f>
        <v>0</v>
      </c>
      <c r="X1313" s="4">
        <f>IF(Table1[[#This Row],[Rework_Flag]]="Yes",1,0)</f>
        <v>1</v>
      </c>
      <c r="Y1313" s="4">
        <v>1</v>
      </c>
      <c r="Z1313" s="4" t="str">
        <f>IF(Table1[[#This Row],[TAT_Days]]&gt;Table1[[#This Row],[SLA_TAT]],"Yes","No")</f>
        <v>Yes</v>
      </c>
      <c r="AA1313" s="4" t="str" cm="1">
        <f t="array" ref="AA1313">_xlfn.IFS(Table1[[#This Row],[Customer_Satisfaction]]&lt;=2,"Poor",Table1[[#This Row],[Customer_Satisfaction]]=3,"Neutral",Table1[[#This Row],[Customer_Satisfaction]]=4,"Good",Table1[[#This Row],[Customer_Satisfaction]]=5,"Good")</f>
        <v>Poor</v>
      </c>
    </row>
    <row r="1314" spans="1:27" x14ac:dyDescent="0.35">
      <c r="A1314">
        <v>21312</v>
      </c>
      <c r="B1314" s="1">
        <v>45298</v>
      </c>
      <c r="C1314" t="s">
        <v>19</v>
      </c>
      <c r="D1314" t="s">
        <v>45</v>
      </c>
      <c r="E1314" t="s">
        <v>114</v>
      </c>
      <c r="F1314" t="s">
        <v>22</v>
      </c>
      <c r="G1314" t="s">
        <v>54</v>
      </c>
      <c r="H1314" t="s">
        <v>42</v>
      </c>
      <c r="I1314" t="s">
        <v>25</v>
      </c>
      <c r="J1314" t="s">
        <v>58</v>
      </c>
      <c r="K1314" t="s">
        <v>27</v>
      </c>
      <c r="L1314" t="s">
        <v>28</v>
      </c>
      <c r="M1314" s="4">
        <v>21</v>
      </c>
      <c r="N1314" s="4">
        <v>7</v>
      </c>
      <c r="O1314" t="s">
        <v>29</v>
      </c>
      <c r="P1314" t="s">
        <v>36</v>
      </c>
      <c r="Q1314" s="4">
        <v>375212</v>
      </c>
      <c r="R1314" s="4">
        <v>189425</v>
      </c>
      <c r="S1314" s="4">
        <f>Table1[[#This Row],[Service_Revenue]]-Table1[[#This Row],[Service_Cost]]</f>
        <v>185787</v>
      </c>
      <c r="T1314" s="4">
        <v>1</v>
      </c>
      <c r="U1314" s="4">
        <f>IF(AND(Table1[[#This Row],[Rework_Flag]]="Yes",Table1[[#This Row],[Warranty_Claim]]="No"),Table1[[#This Row],[Service_Revenue]],0)</f>
        <v>375212</v>
      </c>
      <c r="V1314" s="4">
        <f>IF(Table1[[#This Row],[Warranty_Claim]]="Yes",1,0)</f>
        <v>0</v>
      </c>
      <c r="W1314" s="4">
        <f>IF(Table1[[#This Row],[Rework_Flag]]="No",1,0)</f>
        <v>0</v>
      </c>
      <c r="X1314" s="4">
        <f>IF(Table1[[#This Row],[Rework_Flag]]="Yes",1,0)</f>
        <v>1</v>
      </c>
      <c r="Y1314" s="4">
        <v>1</v>
      </c>
      <c r="Z1314" s="4" t="str">
        <f>IF(Table1[[#This Row],[TAT_Days]]&gt;Table1[[#This Row],[SLA_TAT]],"Yes","No")</f>
        <v>Yes</v>
      </c>
      <c r="AA1314" s="4" t="str" cm="1">
        <f t="array" ref="AA1314">_xlfn.IFS(Table1[[#This Row],[Customer_Satisfaction]]&lt;=2,"Poor",Table1[[#This Row],[Customer_Satisfaction]]=3,"Neutral",Table1[[#This Row],[Customer_Satisfaction]]=4,"Good",Table1[[#This Row],[Customer_Satisfaction]]=5,"Good")</f>
        <v>Poor</v>
      </c>
    </row>
    <row r="1315" spans="1:27" x14ac:dyDescent="0.35">
      <c r="A1315">
        <v>21313</v>
      </c>
      <c r="B1315" s="1">
        <v>45408</v>
      </c>
      <c r="C1315" t="s">
        <v>50</v>
      </c>
      <c r="D1315" t="s">
        <v>80</v>
      </c>
      <c r="E1315" t="s">
        <v>81</v>
      </c>
      <c r="F1315" t="s">
        <v>22</v>
      </c>
      <c r="G1315" t="s">
        <v>63</v>
      </c>
      <c r="H1315" t="s">
        <v>24</v>
      </c>
      <c r="I1315" t="s">
        <v>55</v>
      </c>
      <c r="J1315" t="s">
        <v>67</v>
      </c>
      <c r="K1315" t="s">
        <v>61</v>
      </c>
      <c r="L1315" t="s">
        <v>49</v>
      </c>
      <c r="M1315" s="4">
        <v>11</v>
      </c>
      <c r="N1315" s="4">
        <v>7</v>
      </c>
      <c r="O1315" t="s">
        <v>36</v>
      </c>
      <c r="P1315" t="s">
        <v>36</v>
      </c>
      <c r="Q1315" s="4">
        <v>117513</v>
      </c>
      <c r="R1315" s="4">
        <v>61564</v>
      </c>
      <c r="S1315" s="4">
        <f>Table1[[#This Row],[Service_Revenue]]-Table1[[#This Row],[Service_Cost]]</f>
        <v>55949</v>
      </c>
      <c r="T1315" s="4">
        <v>3</v>
      </c>
      <c r="U1315" s="4">
        <f>IF(AND(Table1[[#This Row],[Rework_Flag]]="Yes",Table1[[#This Row],[Warranty_Claim]]="No"),Table1[[#This Row],[Service_Revenue]],0)</f>
        <v>0</v>
      </c>
      <c r="V1315" s="4">
        <f>IF(Table1[[#This Row],[Warranty_Claim]]="Yes",1,0)</f>
        <v>0</v>
      </c>
      <c r="W1315" s="4">
        <f>IF(Table1[[#This Row],[Rework_Flag]]="No",1,0)</f>
        <v>1</v>
      </c>
      <c r="X1315" s="4">
        <f>IF(Table1[[#This Row],[Rework_Flag]]="Yes",1,0)</f>
        <v>0</v>
      </c>
      <c r="Y1315" s="4">
        <v>1</v>
      </c>
      <c r="Z1315" s="4" t="str">
        <f>IF(Table1[[#This Row],[TAT_Days]]&gt;Table1[[#This Row],[SLA_TAT]],"Yes","No")</f>
        <v>Yes</v>
      </c>
      <c r="AA1315" s="4" t="str" cm="1">
        <f t="array" ref="AA1315">_xlfn.IFS(Table1[[#This Row],[Customer_Satisfaction]]&lt;=2,"Poor",Table1[[#This Row],[Customer_Satisfaction]]=3,"Neutral",Table1[[#This Row],[Customer_Satisfaction]]=4,"Good",Table1[[#This Row],[Customer_Satisfaction]]=5,"Good")</f>
        <v>Neutral</v>
      </c>
    </row>
    <row r="1316" spans="1:27" x14ac:dyDescent="0.35">
      <c r="A1316">
        <v>21314</v>
      </c>
      <c r="B1316" s="1">
        <v>45460</v>
      </c>
      <c r="C1316" t="s">
        <v>19</v>
      </c>
      <c r="D1316" t="s">
        <v>20</v>
      </c>
      <c r="E1316" t="s">
        <v>86</v>
      </c>
      <c r="F1316" t="s">
        <v>53</v>
      </c>
      <c r="G1316" t="s">
        <v>63</v>
      </c>
      <c r="H1316" t="s">
        <v>24</v>
      </c>
      <c r="I1316" t="s">
        <v>25</v>
      </c>
      <c r="J1316" t="s">
        <v>67</v>
      </c>
      <c r="K1316" t="s">
        <v>61</v>
      </c>
      <c r="L1316" t="s">
        <v>49</v>
      </c>
      <c r="M1316" s="4">
        <v>18</v>
      </c>
      <c r="N1316" s="4">
        <v>7</v>
      </c>
      <c r="O1316" t="s">
        <v>36</v>
      </c>
      <c r="P1316" t="s">
        <v>29</v>
      </c>
      <c r="Q1316" s="4">
        <v>158018</v>
      </c>
      <c r="R1316" s="4">
        <v>129761</v>
      </c>
      <c r="S1316" s="4">
        <f>Table1[[#This Row],[Service_Revenue]]-Table1[[#This Row],[Service_Cost]]</f>
        <v>28257</v>
      </c>
      <c r="T1316" s="4">
        <v>2</v>
      </c>
      <c r="U1316" s="4">
        <f>IF(AND(Table1[[#This Row],[Rework_Flag]]="Yes",Table1[[#This Row],[Warranty_Claim]]="No"),Table1[[#This Row],[Service_Revenue]],0)</f>
        <v>0</v>
      </c>
      <c r="V1316" s="4">
        <f>IF(Table1[[#This Row],[Warranty_Claim]]="Yes",1,0)</f>
        <v>1</v>
      </c>
      <c r="W1316" s="4">
        <f>IF(Table1[[#This Row],[Rework_Flag]]="No",1,0)</f>
        <v>1</v>
      </c>
      <c r="X1316" s="4">
        <f>IF(Table1[[#This Row],[Rework_Flag]]="Yes",1,0)</f>
        <v>0</v>
      </c>
      <c r="Y1316" s="4">
        <v>1</v>
      </c>
      <c r="Z1316" s="4" t="str">
        <f>IF(Table1[[#This Row],[TAT_Days]]&gt;Table1[[#This Row],[SLA_TAT]],"Yes","No")</f>
        <v>Yes</v>
      </c>
      <c r="AA1316" s="4" t="str" cm="1">
        <f t="array" ref="AA1316">_xlfn.IFS(Table1[[#This Row],[Customer_Satisfaction]]&lt;=2,"Poor",Table1[[#This Row],[Customer_Satisfaction]]=3,"Neutral",Table1[[#This Row],[Customer_Satisfaction]]=4,"Good",Table1[[#This Row],[Customer_Satisfaction]]=5,"Good")</f>
        <v>Poor</v>
      </c>
    </row>
    <row r="1317" spans="1:27" x14ac:dyDescent="0.35">
      <c r="A1317">
        <v>21315</v>
      </c>
      <c r="B1317" s="1">
        <v>45406</v>
      </c>
      <c r="C1317" t="s">
        <v>50</v>
      </c>
      <c r="D1317" t="s">
        <v>56</v>
      </c>
      <c r="E1317" t="s">
        <v>68</v>
      </c>
      <c r="F1317" t="s">
        <v>40</v>
      </c>
      <c r="G1317" t="s">
        <v>33</v>
      </c>
      <c r="H1317" t="s">
        <v>34</v>
      </c>
      <c r="I1317" t="s">
        <v>55</v>
      </c>
      <c r="J1317" t="s">
        <v>35</v>
      </c>
      <c r="K1317" t="s">
        <v>27</v>
      </c>
      <c r="L1317" t="s">
        <v>49</v>
      </c>
      <c r="M1317" s="4">
        <v>20</v>
      </c>
      <c r="N1317" s="4">
        <v>7</v>
      </c>
      <c r="O1317" t="s">
        <v>29</v>
      </c>
      <c r="P1317" t="s">
        <v>36</v>
      </c>
      <c r="Q1317" s="4">
        <v>400482</v>
      </c>
      <c r="R1317" s="4">
        <v>235331</v>
      </c>
      <c r="S1317" s="4">
        <f>Table1[[#This Row],[Service_Revenue]]-Table1[[#This Row],[Service_Cost]]</f>
        <v>165151</v>
      </c>
      <c r="T1317" s="4">
        <v>1</v>
      </c>
      <c r="U1317" s="4">
        <f>IF(AND(Table1[[#This Row],[Rework_Flag]]="Yes",Table1[[#This Row],[Warranty_Claim]]="No"),Table1[[#This Row],[Service_Revenue]],0)</f>
        <v>400482</v>
      </c>
      <c r="V1317" s="4">
        <f>IF(Table1[[#This Row],[Warranty_Claim]]="Yes",1,0)</f>
        <v>0</v>
      </c>
      <c r="W1317" s="4">
        <f>IF(Table1[[#This Row],[Rework_Flag]]="No",1,0)</f>
        <v>0</v>
      </c>
      <c r="X1317" s="4">
        <f>IF(Table1[[#This Row],[Rework_Flag]]="Yes",1,0)</f>
        <v>1</v>
      </c>
      <c r="Y1317" s="4">
        <v>1</v>
      </c>
      <c r="Z1317" s="4" t="str">
        <f>IF(Table1[[#This Row],[TAT_Days]]&gt;Table1[[#This Row],[SLA_TAT]],"Yes","No")</f>
        <v>Yes</v>
      </c>
      <c r="AA1317" s="4" t="str" cm="1">
        <f t="array" ref="AA1317">_xlfn.IFS(Table1[[#This Row],[Customer_Satisfaction]]&lt;=2,"Poor",Table1[[#This Row],[Customer_Satisfaction]]=3,"Neutral",Table1[[#This Row],[Customer_Satisfaction]]=4,"Good",Table1[[#This Row],[Customer_Satisfaction]]=5,"Good")</f>
        <v>Poor</v>
      </c>
    </row>
    <row r="1318" spans="1:27" x14ac:dyDescent="0.35">
      <c r="A1318">
        <v>21316</v>
      </c>
      <c r="B1318" s="1">
        <v>45335</v>
      </c>
      <c r="C1318" t="s">
        <v>30</v>
      </c>
      <c r="D1318" t="s">
        <v>83</v>
      </c>
      <c r="E1318" t="s">
        <v>92</v>
      </c>
      <c r="F1318" t="s">
        <v>40</v>
      </c>
      <c r="G1318" t="s">
        <v>41</v>
      </c>
      <c r="H1318" t="s">
        <v>42</v>
      </c>
      <c r="I1318" t="s">
        <v>55</v>
      </c>
      <c r="J1318" t="s">
        <v>26</v>
      </c>
      <c r="K1318" t="s">
        <v>44</v>
      </c>
      <c r="L1318" t="s">
        <v>28</v>
      </c>
      <c r="M1318" s="4">
        <v>5</v>
      </c>
      <c r="N1318" s="4">
        <v>7</v>
      </c>
      <c r="O1318" t="s">
        <v>36</v>
      </c>
      <c r="P1318" t="s">
        <v>36</v>
      </c>
      <c r="Q1318" s="4">
        <v>188313</v>
      </c>
      <c r="R1318" s="4">
        <v>95853</v>
      </c>
      <c r="S1318" s="4">
        <f>Table1[[#This Row],[Service_Revenue]]-Table1[[#This Row],[Service_Cost]]</f>
        <v>92460</v>
      </c>
      <c r="T1318" s="4">
        <v>4</v>
      </c>
      <c r="U1318" s="4">
        <f>IF(AND(Table1[[#This Row],[Rework_Flag]]="Yes",Table1[[#This Row],[Warranty_Claim]]="No"),Table1[[#This Row],[Service_Revenue]],0)</f>
        <v>0</v>
      </c>
      <c r="V1318" s="4">
        <f>IF(Table1[[#This Row],[Warranty_Claim]]="Yes",1,0)</f>
        <v>0</v>
      </c>
      <c r="W1318" s="4">
        <f>IF(Table1[[#This Row],[Rework_Flag]]="No",1,0)</f>
        <v>1</v>
      </c>
      <c r="X1318" s="4">
        <f>IF(Table1[[#This Row],[Rework_Flag]]="Yes",1,0)</f>
        <v>0</v>
      </c>
      <c r="Y1318" s="4">
        <v>1</v>
      </c>
      <c r="Z1318" s="4" t="str">
        <f>IF(Table1[[#This Row],[TAT_Days]]&gt;Table1[[#This Row],[SLA_TAT]],"Yes","No")</f>
        <v>No</v>
      </c>
      <c r="AA1318" s="4" t="str" cm="1">
        <f t="array" ref="AA1318">_xlfn.IFS(Table1[[#This Row],[Customer_Satisfaction]]&lt;=2,"Poor",Table1[[#This Row],[Customer_Satisfaction]]=3,"Neutral",Table1[[#This Row],[Customer_Satisfaction]]=4,"Good",Table1[[#This Row],[Customer_Satisfaction]]=5,"Good")</f>
        <v>Good</v>
      </c>
    </row>
    <row r="1319" spans="1:27" x14ac:dyDescent="0.35">
      <c r="A1319">
        <v>21317</v>
      </c>
      <c r="B1319" s="1">
        <v>45427</v>
      </c>
      <c r="C1319" t="s">
        <v>37</v>
      </c>
      <c r="D1319" t="s">
        <v>70</v>
      </c>
      <c r="E1319" t="s">
        <v>116</v>
      </c>
      <c r="F1319" t="s">
        <v>40</v>
      </c>
      <c r="G1319" t="s">
        <v>74</v>
      </c>
      <c r="H1319" t="s">
        <v>34</v>
      </c>
      <c r="I1319" t="s">
        <v>25</v>
      </c>
      <c r="J1319" t="s">
        <v>35</v>
      </c>
      <c r="K1319" t="s">
        <v>44</v>
      </c>
      <c r="L1319" t="s">
        <v>28</v>
      </c>
      <c r="M1319" s="4">
        <v>18</v>
      </c>
      <c r="N1319" s="4">
        <v>7</v>
      </c>
      <c r="O1319" t="s">
        <v>29</v>
      </c>
      <c r="P1319" t="s">
        <v>36</v>
      </c>
      <c r="Q1319" s="4">
        <v>456412</v>
      </c>
      <c r="R1319" s="4">
        <v>334232</v>
      </c>
      <c r="S1319" s="4">
        <f>Table1[[#This Row],[Service_Revenue]]-Table1[[#This Row],[Service_Cost]]</f>
        <v>122180</v>
      </c>
      <c r="T1319" s="4">
        <v>1</v>
      </c>
      <c r="U1319" s="4">
        <f>IF(AND(Table1[[#This Row],[Rework_Flag]]="Yes",Table1[[#This Row],[Warranty_Claim]]="No"),Table1[[#This Row],[Service_Revenue]],0)</f>
        <v>456412</v>
      </c>
      <c r="V1319" s="4">
        <f>IF(Table1[[#This Row],[Warranty_Claim]]="Yes",1,0)</f>
        <v>0</v>
      </c>
      <c r="W1319" s="4">
        <f>IF(Table1[[#This Row],[Rework_Flag]]="No",1,0)</f>
        <v>0</v>
      </c>
      <c r="X1319" s="4">
        <f>IF(Table1[[#This Row],[Rework_Flag]]="Yes",1,0)</f>
        <v>1</v>
      </c>
      <c r="Y1319" s="4">
        <v>1</v>
      </c>
      <c r="Z1319" s="4" t="str">
        <f>IF(Table1[[#This Row],[TAT_Days]]&gt;Table1[[#This Row],[SLA_TAT]],"Yes","No")</f>
        <v>Yes</v>
      </c>
      <c r="AA1319" s="4" t="str" cm="1">
        <f t="array" ref="AA1319">_xlfn.IFS(Table1[[#This Row],[Customer_Satisfaction]]&lt;=2,"Poor",Table1[[#This Row],[Customer_Satisfaction]]=3,"Neutral",Table1[[#This Row],[Customer_Satisfaction]]=4,"Good",Table1[[#This Row],[Customer_Satisfaction]]=5,"Good")</f>
        <v>Poor</v>
      </c>
    </row>
    <row r="1320" spans="1:27" x14ac:dyDescent="0.35">
      <c r="A1320">
        <v>21318</v>
      </c>
      <c r="B1320" s="1">
        <v>45451</v>
      </c>
      <c r="C1320" t="s">
        <v>37</v>
      </c>
      <c r="D1320" t="s">
        <v>38</v>
      </c>
      <c r="E1320" t="s">
        <v>107</v>
      </c>
      <c r="F1320" t="s">
        <v>40</v>
      </c>
      <c r="G1320" t="s">
        <v>41</v>
      </c>
      <c r="H1320" t="s">
        <v>42</v>
      </c>
      <c r="I1320" t="s">
        <v>25</v>
      </c>
      <c r="J1320" t="s">
        <v>35</v>
      </c>
      <c r="K1320" t="s">
        <v>27</v>
      </c>
      <c r="L1320" t="s">
        <v>49</v>
      </c>
      <c r="M1320" s="4">
        <v>23</v>
      </c>
      <c r="N1320" s="4">
        <v>7</v>
      </c>
      <c r="O1320" t="s">
        <v>29</v>
      </c>
      <c r="P1320" t="s">
        <v>36</v>
      </c>
      <c r="Q1320" s="4">
        <v>253114</v>
      </c>
      <c r="R1320" s="4">
        <v>128798</v>
      </c>
      <c r="S1320" s="4">
        <f>Table1[[#This Row],[Service_Revenue]]-Table1[[#This Row],[Service_Cost]]</f>
        <v>124316</v>
      </c>
      <c r="T1320" s="4">
        <v>1</v>
      </c>
      <c r="U1320" s="4">
        <f>IF(AND(Table1[[#This Row],[Rework_Flag]]="Yes",Table1[[#This Row],[Warranty_Claim]]="No"),Table1[[#This Row],[Service_Revenue]],0)</f>
        <v>253114</v>
      </c>
      <c r="V1320" s="4">
        <f>IF(Table1[[#This Row],[Warranty_Claim]]="Yes",1,0)</f>
        <v>0</v>
      </c>
      <c r="W1320" s="4">
        <f>IF(Table1[[#This Row],[Rework_Flag]]="No",1,0)</f>
        <v>0</v>
      </c>
      <c r="X1320" s="4">
        <f>IF(Table1[[#This Row],[Rework_Flag]]="Yes",1,0)</f>
        <v>1</v>
      </c>
      <c r="Y1320" s="4">
        <v>1</v>
      </c>
      <c r="Z1320" s="4" t="str">
        <f>IF(Table1[[#This Row],[TAT_Days]]&gt;Table1[[#This Row],[SLA_TAT]],"Yes","No")</f>
        <v>Yes</v>
      </c>
      <c r="AA1320" s="4" t="str" cm="1">
        <f t="array" ref="AA1320">_xlfn.IFS(Table1[[#This Row],[Customer_Satisfaction]]&lt;=2,"Poor",Table1[[#This Row],[Customer_Satisfaction]]=3,"Neutral",Table1[[#This Row],[Customer_Satisfaction]]=4,"Good",Table1[[#This Row],[Customer_Satisfaction]]=5,"Good")</f>
        <v>Poor</v>
      </c>
    </row>
    <row r="1321" spans="1:27" x14ac:dyDescent="0.35">
      <c r="A1321">
        <v>21319</v>
      </c>
      <c r="B1321" s="1">
        <v>45456</v>
      </c>
      <c r="C1321" t="s">
        <v>37</v>
      </c>
      <c r="D1321" t="s">
        <v>64</v>
      </c>
      <c r="E1321" t="s">
        <v>115</v>
      </c>
      <c r="F1321" t="s">
        <v>53</v>
      </c>
      <c r="G1321" t="s">
        <v>74</v>
      </c>
      <c r="H1321" t="s">
        <v>34</v>
      </c>
      <c r="I1321" t="s">
        <v>25</v>
      </c>
      <c r="J1321" t="s">
        <v>35</v>
      </c>
      <c r="K1321" t="s">
        <v>61</v>
      </c>
      <c r="L1321" t="s">
        <v>49</v>
      </c>
      <c r="M1321" s="4">
        <v>19</v>
      </c>
      <c r="N1321" s="4">
        <v>7</v>
      </c>
      <c r="O1321" t="s">
        <v>29</v>
      </c>
      <c r="P1321" t="s">
        <v>36</v>
      </c>
      <c r="Q1321" s="4">
        <v>537215</v>
      </c>
      <c r="R1321" s="4">
        <v>375160</v>
      </c>
      <c r="S1321" s="4">
        <f>Table1[[#This Row],[Service_Revenue]]-Table1[[#This Row],[Service_Cost]]</f>
        <v>162055</v>
      </c>
      <c r="T1321" s="4">
        <v>1</v>
      </c>
      <c r="U1321" s="4">
        <f>IF(AND(Table1[[#This Row],[Rework_Flag]]="Yes",Table1[[#This Row],[Warranty_Claim]]="No"),Table1[[#This Row],[Service_Revenue]],0)</f>
        <v>537215</v>
      </c>
      <c r="V1321" s="4">
        <f>IF(Table1[[#This Row],[Warranty_Claim]]="Yes",1,0)</f>
        <v>0</v>
      </c>
      <c r="W1321" s="4">
        <f>IF(Table1[[#This Row],[Rework_Flag]]="No",1,0)</f>
        <v>0</v>
      </c>
      <c r="X1321" s="4">
        <f>IF(Table1[[#This Row],[Rework_Flag]]="Yes",1,0)</f>
        <v>1</v>
      </c>
      <c r="Y1321" s="4">
        <v>1</v>
      </c>
      <c r="Z1321" s="4" t="str">
        <f>IF(Table1[[#This Row],[TAT_Days]]&gt;Table1[[#This Row],[SLA_TAT]],"Yes","No")</f>
        <v>Yes</v>
      </c>
      <c r="AA1321" s="4" t="str" cm="1">
        <f t="array" ref="AA1321">_xlfn.IFS(Table1[[#This Row],[Customer_Satisfaction]]&lt;=2,"Poor",Table1[[#This Row],[Customer_Satisfaction]]=3,"Neutral",Table1[[#This Row],[Customer_Satisfaction]]=4,"Good",Table1[[#This Row],[Customer_Satisfaction]]=5,"Good")</f>
        <v>Poor</v>
      </c>
    </row>
    <row r="1322" spans="1:27" x14ac:dyDescent="0.35">
      <c r="A1322">
        <v>21320</v>
      </c>
      <c r="B1322" s="1">
        <v>45386</v>
      </c>
      <c r="C1322" t="s">
        <v>37</v>
      </c>
      <c r="D1322" t="s">
        <v>70</v>
      </c>
      <c r="E1322" t="s">
        <v>71</v>
      </c>
      <c r="F1322" t="s">
        <v>53</v>
      </c>
      <c r="G1322" t="s">
        <v>33</v>
      </c>
      <c r="H1322" t="s">
        <v>34</v>
      </c>
      <c r="I1322" t="s">
        <v>25</v>
      </c>
      <c r="J1322" t="s">
        <v>67</v>
      </c>
      <c r="K1322" t="s">
        <v>61</v>
      </c>
      <c r="L1322" t="s">
        <v>49</v>
      </c>
      <c r="M1322" s="4">
        <v>11</v>
      </c>
      <c r="N1322" s="4">
        <v>7</v>
      </c>
      <c r="O1322" t="s">
        <v>29</v>
      </c>
      <c r="P1322" t="s">
        <v>29</v>
      </c>
      <c r="Q1322" s="4">
        <v>513331</v>
      </c>
      <c r="R1322" s="4">
        <v>408583</v>
      </c>
      <c r="S1322" s="4">
        <f>Table1[[#This Row],[Service_Revenue]]-Table1[[#This Row],[Service_Cost]]</f>
        <v>104748</v>
      </c>
      <c r="T1322" s="4">
        <v>2</v>
      </c>
      <c r="U1322" s="4">
        <f>IF(AND(Table1[[#This Row],[Rework_Flag]]="Yes",Table1[[#This Row],[Warranty_Claim]]="No"),Table1[[#This Row],[Service_Revenue]],0)</f>
        <v>0</v>
      </c>
      <c r="V1322" s="4">
        <f>IF(Table1[[#This Row],[Warranty_Claim]]="Yes",1,0)</f>
        <v>1</v>
      </c>
      <c r="W1322" s="4">
        <f>IF(Table1[[#This Row],[Rework_Flag]]="No",1,0)</f>
        <v>0</v>
      </c>
      <c r="X1322" s="4">
        <f>IF(Table1[[#This Row],[Rework_Flag]]="Yes",1,0)</f>
        <v>1</v>
      </c>
      <c r="Y1322" s="4">
        <v>1</v>
      </c>
      <c r="Z1322" s="4" t="str">
        <f>IF(Table1[[#This Row],[TAT_Days]]&gt;Table1[[#This Row],[SLA_TAT]],"Yes","No")</f>
        <v>Yes</v>
      </c>
      <c r="AA1322" s="4" t="str" cm="1">
        <f t="array" ref="AA1322">_xlfn.IFS(Table1[[#This Row],[Customer_Satisfaction]]&lt;=2,"Poor",Table1[[#This Row],[Customer_Satisfaction]]=3,"Neutral",Table1[[#This Row],[Customer_Satisfaction]]=4,"Good",Table1[[#This Row],[Customer_Satisfaction]]=5,"Good")</f>
        <v>Poor</v>
      </c>
    </row>
    <row r="1323" spans="1:27" x14ac:dyDescent="0.35">
      <c r="A1323">
        <v>21321</v>
      </c>
      <c r="B1323" s="1">
        <v>45468</v>
      </c>
      <c r="C1323" t="s">
        <v>30</v>
      </c>
      <c r="D1323" t="s">
        <v>59</v>
      </c>
      <c r="E1323" t="s">
        <v>94</v>
      </c>
      <c r="F1323" t="s">
        <v>53</v>
      </c>
      <c r="G1323" t="s">
        <v>41</v>
      </c>
      <c r="H1323" t="s">
        <v>42</v>
      </c>
      <c r="I1323" t="s">
        <v>55</v>
      </c>
      <c r="J1323" t="s">
        <v>26</v>
      </c>
      <c r="K1323" t="s">
        <v>27</v>
      </c>
      <c r="L1323" t="s">
        <v>28</v>
      </c>
      <c r="M1323" s="4">
        <v>6</v>
      </c>
      <c r="N1323" s="4">
        <v>7</v>
      </c>
      <c r="O1323" t="s">
        <v>36</v>
      </c>
      <c r="P1323" t="s">
        <v>29</v>
      </c>
      <c r="Q1323" s="4">
        <v>373181</v>
      </c>
      <c r="R1323" s="4">
        <v>254943</v>
      </c>
      <c r="S1323" s="4">
        <f>Table1[[#This Row],[Service_Revenue]]-Table1[[#This Row],[Service_Cost]]</f>
        <v>118238</v>
      </c>
      <c r="T1323" s="4">
        <v>4</v>
      </c>
      <c r="U1323" s="4">
        <f>IF(AND(Table1[[#This Row],[Rework_Flag]]="Yes",Table1[[#This Row],[Warranty_Claim]]="No"),Table1[[#This Row],[Service_Revenue]],0)</f>
        <v>0</v>
      </c>
      <c r="V1323" s="4">
        <f>IF(Table1[[#This Row],[Warranty_Claim]]="Yes",1,0)</f>
        <v>1</v>
      </c>
      <c r="W1323" s="4">
        <f>IF(Table1[[#This Row],[Rework_Flag]]="No",1,0)</f>
        <v>1</v>
      </c>
      <c r="X1323" s="4">
        <f>IF(Table1[[#This Row],[Rework_Flag]]="Yes",1,0)</f>
        <v>0</v>
      </c>
      <c r="Y1323" s="4">
        <v>1</v>
      </c>
      <c r="Z1323" s="4" t="str">
        <f>IF(Table1[[#This Row],[TAT_Days]]&gt;Table1[[#This Row],[SLA_TAT]],"Yes","No")</f>
        <v>No</v>
      </c>
      <c r="AA1323" s="4" t="str" cm="1">
        <f t="array" ref="AA1323">_xlfn.IFS(Table1[[#This Row],[Customer_Satisfaction]]&lt;=2,"Poor",Table1[[#This Row],[Customer_Satisfaction]]=3,"Neutral",Table1[[#This Row],[Customer_Satisfaction]]=4,"Good",Table1[[#This Row],[Customer_Satisfaction]]=5,"Good")</f>
        <v>Good</v>
      </c>
    </row>
    <row r="1324" spans="1:27" x14ac:dyDescent="0.35">
      <c r="A1324">
        <v>21322</v>
      </c>
      <c r="B1324" s="1">
        <v>45341</v>
      </c>
      <c r="C1324" t="s">
        <v>50</v>
      </c>
      <c r="D1324" t="s">
        <v>51</v>
      </c>
      <c r="E1324" t="s">
        <v>120</v>
      </c>
      <c r="F1324" t="s">
        <v>53</v>
      </c>
      <c r="G1324" t="s">
        <v>47</v>
      </c>
      <c r="H1324" t="s">
        <v>48</v>
      </c>
      <c r="I1324" t="s">
        <v>25</v>
      </c>
      <c r="J1324" t="s">
        <v>67</v>
      </c>
      <c r="K1324" t="s">
        <v>27</v>
      </c>
      <c r="L1324" t="s">
        <v>49</v>
      </c>
      <c r="M1324" s="4">
        <v>17</v>
      </c>
      <c r="N1324" s="4">
        <v>7</v>
      </c>
      <c r="O1324" t="s">
        <v>29</v>
      </c>
      <c r="P1324" t="s">
        <v>29</v>
      </c>
      <c r="Q1324" s="4">
        <v>346418</v>
      </c>
      <c r="R1324" s="4">
        <v>293684</v>
      </c>
      <c r="S1324" s="4">
        <f>Table1[[#This Row],[Service_Revenue]]-Table1[[#This Row],[Service_Cost]]</f>
        <v>52734</v>
      </c>
      <c r="T1324" s="4">
        <v>1</v>
      </c>
      <c r="U1324" s="4">
        <f>IF(AND(Table1[[#This Row],[Rework_Flag]]="Yes",Table1[[#This Row],[Warranty_Claim]]="No"),Table1[[#This Row],[Service_Revenue]],0)</f>
        <v>0</v>
      </c>
      <c r="V1324" s="4">
        <f>IF(Table1[[#This Row],[Warranty_Claim]]="Yes",1,0)</f>
        <v>1</v>
      </c>
      <c r="W1324" s="4">
        <f>IF(Table1[[#This Row],[Rework_Flag]]="No",1,0)</f>
        <v>0</v>
      </c>
      <c r="X1324" s="4">
        <f>IF(Table1[[#This Row],[Rework_Flag]]="Yes",1,0)</f>
        <v>1</v>
      </c>
      <c r="Y1324" s="4">
        <v>1</v>
      </c>
      <c r="Z1324" s="4" t="str">
        <f>IF(Table1[[#This Row],[TAT_Days]]&gt;Table1[[#This Row],[SLA_TAT]],"Yes","No")</f>
        <v>Yes</v>
      </c>
      <c r="AA1324" s="4" t="str" cm="1">
        <f t="array" ref="AA1324">_xlfn.IFS(Table1[[#This Row],[Customer_Satisfaction]]&lt;=2,"Poor",Table1[[#This Row],[Customer_Satisfaction]]=3,"Neutral",Table1[[#This Row],[Customer_Satisfaction]]=4,"Good",Table1[[#This Row],[Customer_Satisfaction]]=5,"Good")</f>
        <v>Poor</v>
      </c>
    </row>
    <row r="1325" spans="1:27" x14ac:dyDescent="0.35">
      <c r="A1325">
        <v>21323</v>
      </c>
      <c r="B1325" s="1">
        <v>45445</v>
      </c>
      <c r="C1325" t="s">
        <v>30</v>
      </c>
      <c r="D1325" t="s">
        <v>59</v>
      </c>
      <c r="E1325" t="s">
        <v>60</v>
      </c>
      <c r="F1325" t="s">
        <v>22</v>
      </c>
      <c r="G1325" t="s">
        <v>74</v>
      </c>
      <c r="H1325" t="s">
        <v>34</v>
      </c>
      <c r="I1325" t="s">
        <v>25</v>
      </c>
      <c r="J1325" t="s">
        <v>58</v>
      </c>
      <c r="K1325" t="s">
        <v>44</v>
      </c>
      <c r="L1325" t="s">
        <v>49</v>
      </c>
      <c r="M1325" s="4">
        <v>3</v>
      </c>
      <c r="N1325" s="4">
        <v>7</v>
      </c>
      <c r="O1325" t="s">
        <v>36</v>
      </c>
      <c r="P1325" t="s">
        <v>29</v>
      </c>
      <c r="Q1325" s="4">
        <v>97965</v>
      </c>
      <c r="R1325" s="4">
        <v>82229</v>
      </c>
      <c r="S1325" s="4">
        <f>Table1[[#This Row],[Service_Revenue]]-Table1[[#This Row],[Service_Cost]]</f>
        <v>15736</v>
      </c>
      <c r="T1325" s="4">
        <v>5</v>
      </c>
      <c r="U1325" s="4">
        <f>IF(AND(Table1[[#This Row],[Rework_Flag]]="Yes",Table1[[#This Row],[Warranty_Claim]]="No"),Table1[[#This Row],[Service_Revenue]],0)</f>
        <v>0</v>
      </c>
      <c r="V1325" s="4">
        <f>IF(Table1[[#This Row],[Warranty_Claim]]="Yes",1,0)</f>
        <v>1</v>
      </c>
      <c r="W1325" s="4">
        <f>IF(Table1[[#This Row],[Rework_Flag]]="No",1,0)</f>
        <v>1</v>
      </c>
      <c r="X1325" s="4">
        <f>IF(Table1[[#This Row],[Rework_Flag]]="Yes",1,0)</f>
        <v>0</v>
      </c>
      <c r="Y1325" s="4">
        <v>1</v>
      </c>
      <c r="Z1325" s="4" t="str">
        <f>IF(Table1[[#This Row],[TAT_Days]]&gt;Table1[[#This Row],[SLA_TAT]],"Yes","No")</f>
        <v>No</v>
      </c>
      <c r="AA1325" s="4" t="str" cm="1">
        <f t="array" ref="AA1325">_xlfn.IFS(Table1[[#This Row],[Customer_Satisfaction]]&lt;=2,"Poor",Table1[[#This Row],[Customer_Satisfaction]]=3,"Neutral",Table1[[#This Row],[Customer_Satisfaction]]=4,"Good",Table1[[#This Row],[Customer_Satisfaction]]=5,"Good")</f>
        <v>Good</v>
      </c>
    </row>
    <row r="1326" spans="1:27" x14ac:dyDescent="0.35">
      <c r="A1326">
        <v>21324</v>
      </c>
      <c r="B1326" s="1">
        <v>45388</v>
      </c>
      <c r="C1326" t="s">
        <v>30</v>
      </c>
      <c r="D1326" t="s">
        <v>59</v>
      </c>
      <c r="E1326" t="s">
        <v>69</v>
      </c>
      <c r="F1326" t="s">
        <v>53</v>
      </c>
      <c r="G1326" t="s">
        <v>54</v>
      </c>
      <c r="H1326" t="s">
        <v>42</v>
      </c>
      <c r="I1326" t="s">
        <v>55</v>
      </c>
      <c r="J1326" t="s">
        <v>35</v>
      </c>
      <c r="K1326" t="s">
        <v>27</v>
      </c>
      <c r="L1326" t="s">
        <v>49</v>
      </c>
      <c r="M1326" s="4">
        <v>12</v>
      </c>
      <c r="N1326" s="4">
        <v>7</v>
      </c>
      <c r="O1326" t="s">
        <v>29</v>
      </c>
      <c r="P1326" t="s">
        <v>36</v>
      </c>
      <c r="Q1326" s="4">
        <v>547265</v>
      </c>
      <c r="R1326" s="4">
        <v>451736</v>
      </c>
      <c r="S1326" s="4">
        <f>Table1[[#This Row],[Service_Revenue]]-Table1[[#This Row],[Service_Cost]]</f>
        <v>95529</v>
      </c>
      <c r="T1326" s="4">
        <v>2</v>
      </c>
      <c r="U1326" s="4">
        <f>IF(AND(Table1[[#This Row],[Rework_Flag]]="Yes",Table1[[#This Row],[Warranty_Claim]]="No"),Table1[[#This Row],[Service_Revenue]],0)</f>
        <v>547265</v>
      </c>
      <c r="V1326" s="4">
        <f>IF(Table1[[#This Row],[Warranty_Claim]]="Yes",1,0)</f>
        <v>0</v>
      </c>
      <c r="W1326" s="4">
        <f>IF(Table1[[#This Row],[Rework_Flag]]="No",1,0)</f>
        <v>0</v>
      </c>
      <c r="X1326" s="4">
        <f>IF(Table1[[#This Row],[Rework_Flag]]="Yes",1,0)</f>
        <v>1</v>
      </c>
      <c r="Y1326" s="4">
        <v>1</v>
      </c>
      <c r="Z1326" s="4" t="str">
        <f>IF(Table1[[#This Row],[TAT_Days]]&gt;Table1[[#This Row],[SLA_TAT]],"Yes","No")</f>
        <v>Yes</v>
      </c>
      <c r="AA1326" s="4" t="str" cm="1">
        <f t="array" ref="AA1326">_xlfn.IFS(Table1[[#This Row],[Customer_Satisfaction]]&lt;=2,"Poor",Table1[[#This Row],[Customer_Satisfaction]]=3,"Neutral",Table1[[#This Row],[Customer_Satisfaction]]=4,"Good",Table1[[#This Row],[Customer_Satisfaction]]=5,"Good")</f>
        <v>Poor</v>
      </c>
    </row>
    <row r="1327" spans="1:27" x14ac:dyDescent="0.35">
      <c r="A1327">
        <v>21325</v>
      </c>
      <c r="B1327" s="1">
        <v>45293</v>
      </c>
      <c r="C1327" t="s">
        <v>37</v>
      </c>
      <c r="D1327" t="s">
        <v>64</v>
      </c>
      <c r="E1327" t="s">
        <v>87</v>
      </c>
      <c r="F1327" t="s">
        <v>53</v>
      </c>
      <c r="G1327" t="s">
        <v>74</v>
      </c>
      <c r="H1327" t="s">
        <v>34</v>
      </c>
      <c r="I1327" t="s">
        <v>55</v>
      </c>
      <c r="J1327" t="s">
        <v>58</v>
      </c>
      <c r="K1327" t="s">
        <v>27</v>
      </c>
      <c r="L1327" t="s">
        <v>28</v>
      </c>
      <c r="M1327" s="4">
        <v>6</v>
      </c>
      <c r="N1327" s="4">
        <v>7</v>
      </c>
      <c r="O1327" t="s">
        <v>29</v>
      </c>
      <c r="P1327" t="s">
        <v>36</v>
      </c>
      <c r="Q1327" s="4">
        <v>211841</v>
      </c>
      <c r="R1327" s="4">
        <v>173303</v>
      </c>
      <c r="S1327" s="4">
        <f>Table1[[#This Row],[Service_Revenue]]-Table1[[#This Row],[Service_Cost]]</f>
        <v>38538</v>
      </c>
      <c r="T1327" s="4">
        <v>3</v>
      </c>
      <c r="U1327" s="4">
        <f>IF(AND(Table1[[#This Row],[Rework_Flag]]="Yes",Table1[[#This Row],[Warranty_Claim]]="No"),Table1[[#This Row],[Service_Revenue]],0)</f>
        <v>211841</v>
      </c>
      <c r="V1327" s="4">
        <f>IF(Table1[[#This Row],[Warranty_Claim]]="Yes",1,0)</f>
        <v>0</v>
      </c>
      <c r="W1327" s="4">
        <f>IF(Table1[[#This Row],[Rework_Flag]]="No",1,0)</f>
        <v>0</v>
      </c>
      <c r="X1327" s="4">
        <f>IF(Table1[[#This Row],[Rework_Flag]]="Yes",1,0)</f>
        <v>1</v>
      </c>
      <c r="Y1327" s="4">
        <v>1</v>
      </c>
      <c r="Z1327" s="4" t="str">
        <f>IF(Table1[[#This Row],[TAT_Days]]&gt;Table1[[#This Row],[SLA_TAT]],"Yes","No")</f>
        <v>No</v>
      </c>
      <c r="AA1327" s="4" t="str" cm="1">
        <f t="array" ref="AA1327">_xlfn.IFS(Table1[[#This Row],[Customer_Satisfaction]]&lt;=2,"Poor",Table1[[#This Row],[Customer_Satisfaction]]=3,"Neutral",Table1[[#This Row],[Customer_Satisfaction]]=4,"Good",Table1[[#This Row],[Customer_Satisfaction]]=5,"Good")</f>
        <v>Neutral</v>
      </c>
    </row>
    <row r="1328" spans="1:27" x14ac:dyDescent="0.35">
      <c r="A1328">
        <v>21326</v>
      </c>
      <c r="B1328" s="1">
        <v>45355</v>
      </c>
      <c r="C1328" t="s">
        <v>37</v>
      </c>
      <c r="D1328" t="s">
        <v>70</v>
      </c>
      <c r="E1328" t="s">
        <v>82</v>
      </c>
      <c r="F1328" t="s">
        <v>53</v>
      </c>
      <c r="G1328" t="s">
        <v>47</v>
      </c>
      <c r="H1328" t="s">
        <v>48</v>
      </c>
      <c r="I1328" t="s">
        <v>55</v>
      </c>
      <c r="J1328" t="s">
        <v>67</v>
      </c>
      <c r="K1328" t="s">
        <v>44</v>
      </c>
      <c r="L1328" t="s">
        <v>49</v>
      </c>
      <c r="M1328" s="4">
        <v>19</v>
      </c>
      <c r="N1328" s="4">
        <v>7</v>
      </c>
      <c r="O1328" t="s">
        <v>36</v>
      </c>
      <c r="P1328" t="s">
        <v>36</v>
      </c>
      <c r="Q1328" s="4">
        <v>385107</v>
      </c>
      <c r="R1328" s="4">
        <v>284014</v>
      </c>
      <c r="S1328" s="4">
        <f>Table1[[#This Row],[Service_Revenue]]-Table1[[#This Row],[Service_Cost]]</f>
        <v>101093</v>
      </c>
      <c r="T1328" s="4">
        <v>2</v>
      </c>
      <c r="U1328" s="4">
        <f>IF(AND(Table1[[#This Row],[Rework_Flag]]="Yes",Table1[[#This Row],[Warranty_Claim]]="No"),Table1[[#This Row],[Service_Revenue]],0)</f>
        <v>0</v>
      </c>
      <c r="V1328" s="4">
        <f>IF(Table1[[#This Row],[Warranty_Claim]]="Yes",1,0)</f>
        <v>0</v>
      </c>
      <c r="W1328" s="4">
        <f>IF(Table1[[#This Row],[Rework_Flag]]="No",1,0)</f>
        <v>1</v>
      </c>
      <c r="X1328" s="4">
        <f>IF(Table1[[#This Row],[Rework_Flag]]="Yes",1,0)</f>
        <v>0</v>
      </c>
      <c r="Y1328" s="4">
        <v>1</v>
      </c>
      <c r="Z1328" s="4" t="str">
        <f>IF(Table1[[#This Row],[TAT_Days]]&gt;Table1[[#This Row],[SLA_TAT]],"Yes","No")</f>
        <v>Yes</v>
      </c>
      <c r="AA1328" s="4" t="str" cm="1">
        <f t="array" ref="AA1328">_xlfn.IFS(Table1[[#This Row],[Customer_Satisfaction]]&lt;=2,"Poor",Table1[[#This Row],[Customer_Satisfaction]]=3,"Neutral",Table1[[#This Row],[Customer_Satisfaction]]=4,"Good",Table1[[#This Row],[Customer_Satisfaction]]=5,"Good")</f>
        <v>Poor</v>
      </c>
    </row>
    <row r="1329" spans="1:27" x14ac:dyDescent="0.35">
      <c r="A1329">
        <v>21327</v>
      </c>
      <c r="B1329" s="1">
        <v>45347</v>
      </c>
      <c r="C1329" t="s">
        <v>19</v>
      </c>
      <c r="D1329" t="s">
        <v>20</v>
      </c>
      <c r="E1329" t="s">
        <v>86</v>
      </c>
      <c r="F1329" t="s">
        <v>40</v>
      </c>
      <c r="G1329" t="s">
        <v>47</v>
      </c>
      <c r="H1329" t="s">
        <v>48</v>
      </c>
      <c r="I1329" t="s">
        <v>25</v>
      </c>
      <c r="J1329" t="s">
        <v>58</v>
      </c>
      <c r="K1329" t="s">
        <v>44</v>
      </c>
      <c r="L1329" t="s">
        <v>49</v>
      </c>
      <c r="M1329" s="4">
        <v>15</v>
      </c>
      <c r="N1329" s="4">
        <v>7</v>
      </c>
      <c r="O1329" t="s">
        <v>29</v>
      </c>
      <c r="P1329" t="s">
        <v>36</v>
      </c>
      <c r="Q1329" s="4">
        <v>90606</v>
      </c>
      <c r="R1329" s="4">
        <v>73885</v>
      </c>
      <c r="S1329" s="4">
        <f>Table1[[#This Row],[Service_Revenue]]-Table1[[#This Row],[Service_Cost]]</f>
        <v>16721</v>
      </c>
      <c r="T1329" s="4">
        <v>1</v>
      </c>
      <c r="U1329" s="4">
        <f>IF(AND(Table1[[#This Row],[Rework_Flag]]="Yes",Table1[[#This Row],[Warranty_Claim]]="No"),Table1[[#This Row],[Service_Revenue]],0)</f>
        <v>90606</v>
      </c>
      <c r="V1329" s="4">
        <f>IF(Table1[[#This Row],[Warranty_Claim]]="Yes",1,0)</f>
        <v>0</v>
      </c>
      <c r="W1329" s="4">
        <f>IF(Table1[[#This Row],[Rework_Flag]]="No",1,0)</f>
        <v>0</v>
      </c>
      <c r="X1329" s="4">
        <f>IF(Table1[[#This Row],[Rework_Flag]]="Yes",1,0)</f>
        <v>1</v>
      </c>
      <c r="Y1329" s="4">
        <v>1</v>
      </c>
      <c r="Z1329" s="4" t="str">
        <f>IF(Table1[[#This Row],[TAT_Days]]&gt;Table1[[#This Row],[SLA_TAT]],"Yes","No")</f>
        <v>Yes</v>
      </c>
      <c r="AA1329" s="4" t="str" cm="1">
        <f t="array" ref="AA1329">_xlfn.IFS(Table1[[#This Row],[Customer_Satisfaction]]&lt;=2,"Poor",Table1[[#This Row],[Customer_Satisfaction]]=3,"Neutral",Table1[[#This Row],[Customer_Satisfaction]]=4,"Good",Table1[[#This Row],[Customer_Satisfaction]]=5,"Good")</f>
        <v>Poor</v>
      </c>
    </row>
    <row r="1330" spans="1:27" x14ac:dyDescent="0.35">
      <c r="A1330">
        <v>21328</v>
      </c>
      <c r="B1330" s="1">
        <v>45393</v>
      </c>
      <c r="C1330" t="s">
        <v>50</v>
      </c>
      <c r="D1330" t="s">
        <v>56</v>
      </c>
      <c r="E1330" t="s">
        <v>57</v>
      </c>
      <c r="F1330" t="s">
        <v>53</v>
      </c>
      <c r="G1330" t="s">
        <v>63</v>
      </c>
      <c r="H1330" t="s">
        <v>24</v>
      </c>
      <c r="I1330" t="s">
        <v>25</v>
      </c>
      <c r="J1330" t="s">
        <v>35</v>
      </c>
      <c r="K1330" t="s">
        <v>44</v>
      </c>
      <c r="L1330" t="s">
        <v>28</v>
      </c>
      <c r="M1330" s="4">
        <v>22</v>
      </c>
      <c r="N1330" s="4">
        <v>7</v>
      </c>
      <c r="O1330" t="s">
        <v>29</v>
      </c>
      <c r="P1330" t="s">
        <v>29</v>
      </c>
      <c r="Q1330" s="4">
        <v>533974</v>
      </c>
      <c r="R1330" s="4">
        <v>361050</v>
      </c>
      <c r="S1330" s="4">
        <f>Table1[[#This Row],[Service_Revenue]]-Table1[[#This Row],[Service_Cost]]</f>
        <v>172924</v>
      </c>
      <c r="T1330" s="4">
        <v>1</v>
      </c>
      <c r="U1330" s="4">
        <f>IF(AND(Table1[[#This Row],[Rework_Flag]]="Yes",Table1[[#This Row],[Warranty_Claim]]="No"),Table1[[#This Row],[Service_Revenue]],0)</f>
        <v>0</v>
      </c>
      <c r="V1330" s="4">
        <f>IF(Table1[[#This Row],[Warranty_Claim]]="Yes",1,0)</f>
        <v>1</v>
      </c>
      <c r="W1330" s="4">
        <f>IF(Table1[[#This Row],[Rework_Flag]]="No",1,0)</f>
        <v>0</v>
      </c>
      <c r="X1330" s="4">
        <f>IF(Table1[[#This Row],[Rework_Flag]]="Yes",1,0)</f>
        <v>1</v>
      </c>
      <c r="Y1330" s="4">
        <v>1</v>
      </c>
      <c r="Z1330" s="4" t="str">
        <f>IF(Table1[[#This Row],[TAT_Days]]&gt;Table1[[#This Row],[SLA_TAT]],"Yes","No")</f>
        <v>Yes</v>
      </c>
      <c r="AA1330" s="4" t="str" cm="1">
        <f t="array" ref="AA1330">_xlfn.IFS(Table1[[#This Row],[Customer_Satisfaction]]&lt;=2,"Poor",Table1[[#This Row],[Customer_Satisfaction]]=3,"Neutral",Table1[[#This Row],[Customer_Satisfaction]]=4,"Good",Table1[[#This Row],[Customer_Satisfaction]]=5,"Good")</f>
        <v>Poor</v>
      </c>
    </row>
    <row r="1331" spans="1:27" x14ac:dyDescent="0.35">
      <c r="A1331">
        <v>21329</v>
      </c>
      <c r="B1331" s="1">
        <v>45411</v>
      </c>
      <c r="C1331" t="s">
        <v>30</v>
      </c>
      <c r="D1331" t="s">
        <v>59</v>
      </c>
      <c r="E1331" t="s">
        <v>94</v>
      </c>
      <c r="F1331" t="s">
        <v>22</v>
      </c>
      <c r="G1331" t="s">
        <v>47</v>
      </c>
      <c r="H1331" t="s">
        <v>48</v>
      </c>
      <c r="I1331" t="s">
        <v>55</v>
      </c>
      <c r="J1331" t="s">
        <v>26</v>
      </c>
      <c r="K1331" t="s">
        <v>61</v>
      </c>
      <c r="L1331" t="s">
        <v>28</v>
      </c>
      <c r="M1331" s="4">
        <v>18</v>
      </c>
      <c r="N1331" s="4">
        <v>7</v>
      </c>
      <c r="O1331" t="s">
        <v>36</v>
      </c>
      <c r="P1331" t="s">
        <v>36</v>
      </c>
      <c r="Q1331" s="4">
        <v>283634</v>
      </c>
      <c r="R1331" s="4">
        <v>179413</v>
      </c>
      <c r="S1331" s="4">
        <f>Table1[[#This Row],[Service_Revenue]]-Table1[[#This Row],[Service_Cost]]</f>
        <v>104221</v>
      </c>
      <c r="T1331" s="4">
        <v>2</v>
      </c>
      <c r="U1331" s="4">
        <f>IF(AND(Table1[[#This Row],[Rework_Flag]]="Yes",Table1[[#This Row],[Warranty_Claim]]="No"),Table1[[#This Row],[Service_Revenue]],0)</f>
        <v>0</v>
      </c>
      <c r="V1331" s="4">
        <f>IF(Table1[[#This Row],[Warranty_Claim]]="Yes",1,0)</f>
        <v>0</v>
      </c>
      <c r="W1331" s="4">
        <f>IF(Table1[[#This Row],[Rework_Flag]]="No",1,0)</f>
        <v>1</v>
      </c>
      <c r="X1331" s="4">
        <f>IF(Table1[[#This Row],[Rework_Flag]]="Yes",1,0)</f>
        <v>0</v>
      </c>
      <c r="Y1331" s="4">
        <v>1</v>
      </c>
      <c r="Z1331" s="4" t="str">
        <f>IF(Table1[[#This Row],[TAT_Days]]&gt;Table1[[#This Row],[SLA_TAT]],"Yes","No")</f>
        <v>Yes</v>
      </c>
      <c r="AA1331" s="4" t="str" cm="1">
        <f t="array" ref="AA1331">_xlfn.IFS(Table1[[#This Row],[Customer_Satisfaction]]&lt;=2,"Poor",Table1[[#This Row],[Customer_Satisfaction]]=3,"Neutral",Table1[[#This Row],[Customer_Satisfaction]]=4,"Good",Table1[[#This Row],[Customer_Satisfaction]]=5,"Good")</f>
        <v>Poor</v>
      </c>
    </row>
    <row r="1332" spans="1:27" x14ac:dyDescent="0.35">
      <c r="A1332">
        <v>21330</v>
      </c>
      <c r="B1332" s="1">
        <v>45323</v>
      </c>
      <c r="C1332" t="s">
        <v>30</v>
      </c>
      <c r="D1332" t="s">
        <v>83</v>
      </c>
      <c r="E1332" t="s">
        <v>119</v>
      </c>
      <c r="F1332" t="s">
        <v>40</v>
      </c>
      <c r="G1332" t="s">
        <v>41</v>
      </c>
      <c r="H1332" t="s">
        <v>42</v>
      </c>
      <c r="I1332" t="s">
        <v>25</v>
      </c>
      <c r="J1332" t="s">
        <v>35</v>
      </c>
      <c r="K1332" t="s">
        <v>44</v>
      </c>
      <c r="L1332" t="s">
        <v>28</v>
      </c>
      <c r="M1332" s="4">
        <v>23</v>
      </c>
      <c r="N1332" s="4">
        <v>7</v>
      </c>
      <c r="O1332" t="s">
        <v>29</v>
      </c>
      <c r="P1332" t="s">
        <v>36</v>
      </c>
      <c r="Q1332" s="4">
        <v>141624</v>
      </c>
      <c r="R1332" s="4">
        <v>85575</v>
      </c>
      <c r="S1332" s="4">
        <f>Table1[[#This Row],[Service_Revenue]]-Table1[[#This Row],[Service_Cost]]</f>
        <v>56049</v>
      </c>
      <c r="T1332" s="4">
        <v>1</v>
      </c>
      <c r="U1332" s="4">
        <f>IF(AND(Table1[[#This Row],[Rework_Flag]]="Yes",Table1[[#This Row],[Warranty_Claim]]="No"),Table1[[#This Row],[Service_Revenue]],0)</f>
        <v>141624</v>
      </c>
      <c r="V1332" s="4">
        <f>IF(Table1[[#This Row],[Warranty_Claim]]="Yes",1,0)</f>
        <v>0</v>
      </c>
      <c r="W1332" s="4">
        <f>IF(Table1[[#This Row],[Rework_Flag]]="No",1,0)</f>
        <v>0</v>
      </c>
      <c r="X1332" s="4">
        <f>IF(Table1[[#This Row],[Rework_Flag]]="Yes",1,0)</f>
        <v>1</v>
      </c>
      <c r="Y1332" s="4">
        <v>1</v>
      </c>
      <c r="Z1332" s="4" t="str">
        <f>IF(Table1[[#This Row],[TAT_Days]]&gt;Table1[[#This Row],[SLA_TAT]],"Yes","No")</f>
        <v>Yes</v>
      </c>
      <c r="AA1332" s="4" t="str" cm="1">
        <f t="array" ref="AA1332">_xlfn.IFS(Table1[[#This Row],[Customer_Satisfaction]]&lt;=2,"Poor",Table1[[#This Row],[Customer_Satisfaction]]=3,"Neutral",Table1[[#This Row],[Customer_Satisfaction]]=4,"Good",Table1[[#This Row],[Customer_Satisfaction]]=5,"Good")</f>
        <v>Poor</v>
      </c>
    </row>
    <row r="1333" spans="1:27" x14ac:dyDescent="0.35">
      <c r="A1333">
        <v>21331</v>
      </c>
      <c r="B1333" s="1">
        <v>45393</v>
      </c>
      <c r="C1333" t="s">
        <v>37</v>
      </c>
      <c r="D1333" t="s">
        <v>64</v>
      </c>
      <c r="E1333" t="s">
        <v>103</v>
      </c>
      <c r="F1333" t="s">
        <v>53</v>
      </c>
      <c r="G1333" t="s">
        <v>63</v>
      </c>
      <c r="H1333" t="s">
        <v>24</v>
      </c>
      <c r="I1333" t="s">
        <v>25</v>
      </c>
      <c r="J1333" t="s">
        <v>26</v>
      </c>
      <c r="K1333" t="s">
        <v>27</v>
      </c>
      <c r="L1333" t="s">
        <v>28</v>
      </c>
      <c r="M1333" s="4">
        <v>22</v>
      </c>
      <c r="N1333" s="4">
        <v>7</v>
      </c>
      <c r="O1333" t="s">
        <v>29</v>
      </c>
      <c r="P1333" t="s">
        <v>29</v>
      </c>
      <c r="Q1333" s="4">
        <v>257955</v>
      </c>
      <c r="R1333" s="4">
        <v>204511</v>
      </c>
      <c r="S1333" s="4">
        <f>Table1[[#This Row],[Service_Revenue]]-Table1[[#This Row],[Service_Cost]]</f>
        <v>53444</v>
      </c>
      <c r="T1333" s="4">
        <v>1</v>
      </c>
      <c r="U1333" s="4">
        <f>IF(AND(Table1[[#This Row],[Rework_Flag]]="Yes",Table1[[#This Row],[Warranty_Claim]]="No"),Table1[[#This Row],[Service_Revenue]],0)</f>
        <v>0</v>
      </c>
      <c r="V1333" s="4">
        <f>IF(Table1[[#This Row],[Warranty_Claim]]="Yes",1,0)</f>
        <v>1</v>
      </c>
      <c r="W1333" s="4">
        <f>IF(Table1[[#This Row],[Rework_Flag]]="No",1,0)</f>
        <v>0</v>
      </c>
      <c r="X1333" s="4">
        <f>IF(Table1[[#This Row],[Rework_Flag]]="Yes",1,0)</f>
        <v>1</v>
      </c>
      <c r="Y1333" s="4">
        <v>1</v>
      </c>
      <c r="Z1333" s="4" t="str">
        <f>IF(Table1[[#This Row],[TAT_Days]]&gt;Table1[[#This Row],[SLA_TAT]],"Yes","No")</f>
        <v>Yes</v>
      </c>
      <c r="AA1333" s="4" t="str" cm="1">
        <f t="array" ref="AA1333">_xlfn.IFS(Table1[[#This Row],[Customer_Satisfaction]]&lt;=2,"Poor",Table1[[#This Row],[Customer_Satisfaction]]=3,"Neutral",Table1[[#This Row],[Customer_Satisfaction]]=4,"Good",Table1[[#This Row],[Customer_Satisfaction]]=5,"Good")</f>
        <v>Poor</v>
      </c>
    </row>
    <row r="1334" spans="1:27" x14ac:dyDescent="0.35">
      <c r="A1334">
        <v>21332</v>
      </c>
      <c r="B1334" s="1">
        <v>45375</v>
      </c>
      <c r="C1334" t="s">
        <v>30</v>
      </c>
      <c r="D1334" t="s">
        <v>59</v>
      </c>
      <c r="E1334" t="s">
        <v>66</v>
      </c>
      <c r="F1334" t="s">
        <v>53</v>
      </c>
      <c r="G1334" t="s">
        <v>23</v>
      </c>
      <c r="H1334" t="s">
        <v>24</v>
      </c>
      <c r="I1334" t="s">
        <v>25</v>
      </c>
      <c r="J1334" t="s">
        <v>26</v>
      </c>
      <c r="K1334" t="s">
        <v>61</v>
      </c>
      <c r="L1334" t="s">
        <v>28</v>
      </c>
      <c r="M1334" s="4">
        <v>4</v>
      </c>
      <c r="N1334" s="4">
        <v>7</v>
      </c>
      <c r="O1334" t="s">
        <v>36</v>
      </c>
      <c r="P1334" t="s">
        <v>36</v>
      </c>
      <c r="Q1334" s="4">
        <v>551404</v>
      </c>
      <c r="R1334" s="4">
        <v>395782</v>
      </c>
      <c r="S1334" s="4">
        <f>Table1[[#This Row],[Service_Revenue]]-Table1[[#This Row],[Service_Cost]]</f>
        <v>155622</v>
      </c>
      <c r="T1334" s="4">
        <v>5</v>
      </c>
      <c r="U1334" s="4">
        <f>IF(AND(Table1[[#This Row],[Rework_Flag]]="Yes",Table1[[#This Row],[Warranty_Claim]]="No"),Table1[[#This Row],[Service_Revenue]],0)</f>
        <v>0</v>
      </c>
      <c r="V1334" s="4">
        <f>IF(Table1[[#This Row],[Warranty_Claim]]="Yes",1,0)</f>
        <v>0</v>
      </c>
      <c r="W1334" s="4">
        <f>IF(Table1[[#This Row],[Rework_Flag]]="No",1,0)</f>
        <v>1</v>
      </c>
      <c r="X1334" s="4">
        <f>IF(Table1[[#This Row],[Rework_Flag]]="Yes",1,0)</f>
        <v>0</v>
      </c>
      <c r="Y1334" s="4">
        <v>1</v>
      </c>
      <c r="Z1334" s="4" t="str">
        <f>IF(Table1[[#This Row],[TAT_Days]]&gt;Table1[[#This Row],[SLA_TAT]],"Yes","No")</f>
        <v>No</v>
      </c>
      <c r="AA1334" s="4" t="str" cm="1">
        <f t="array" ref="AA1334">_xlfn.IFS(Table1[[#This Row],[Customer_Satisfaction]]&lt;=2,"Poor",Table1[[#This Row],[Customer_Satisfaction]]=3,"Neutral",Table1[[#This Row],[Customer_Satisfaction]]=4,"Good",Table1[[#This Row],[Customer_Satisfaction]]=5,"Good")</f>
        <v>Good</v>
      </c>
    </row>
    <row r="1335" spans="1:27" x14ac:dyDescent="0.35">
      <c r="A1335">
        <v>21333</v>
      </c>
      <c r="B1335" s="1">
        <v>45315</v>
      </c>
      <c r="C1335" t="s">
        <v>50</v>
      </c>
      <c r="D1335" t="s">
        <v>80</v>
      </c>
      <c r="E1335" t="s">
        <v>104</v>
      </c>
      <c r="F1335" t="s">
        <v>22</v>
      </c>
      <c r="G1335" t="s">
        <v>74</v>
      </c>
      <c r="H1335" t="s">
        <v>34</v>
      </c>
      <c r="I1335" t="s">
        <v>55</v>
      </c>
      <c r="J1335" t="s">
        <v>43</v>
      </c>
      <c r="K1335" t="s">
        <v>61</v>
      </c>
      <c r="L1335" t="s">
        <v>28</v>
      </c>
      <c r="M1335" s="4">
        <v>12</v>
      </c>
      <c r="N1335" s="4">
        <v>7</v>
      </c>
      <c r="O1335" t="s">
        <v>36</v>
      </c>
      <c r="P1335" t="s">
        <v>36</v>
      </c>
      <c r="Q1335" s="4">
        <v>380012</v>
      </c>
      <c r="R1335" s="4">
        <v>321150</v>
      </c>
      <c r="S1335" s="4">
        <f>Table1[[#This Row],[Service_Revenue]]-Table1[[#This Row],[Service_Cost]]</f>
        <v>58862</v>
      </c>
      <c r="T1335" s="4">
        <v>3</v>
      </c>
      <c r="U1335" s="4">
        <f>IF(AND(Table1[[#This Row],[Rework_Flag]]="Yes",Table1[[#This Row],[Warranty_Claim]]="No"),Table1[[#This Row],[Service_Revenue]],0)</f>
        <v>0</v>
      </c>
      <c r="V1335" s="4">
        <f>IF(Table1[[#This Row],[Warranty_Claim]]="Yes",1,0)</f>
        <v>0</v>
      </c>
      <c r="W1335" s="4">
        <f>IF(Table1[[#This Row],[Rework_Flag]]="No",1,0)</f>
        <v>1</v>
      </c>
      <c r="X1335" s="4">
        <f>IF(Table1[[#This Row],[Rework_Flag]]="Yes",1,0)</f>
        <v>0</v>
      </c>
      <c r="Y1335" s="4">
        <v>1</v>
      </c>
      <c r="Z1335" s="4" t="str">
        <f>IF(Table1[[#This Row],[TAT_Days]]&gt;Table1[[#This Row],[SLA_TAT]],"Yes","No")</f>
        <v>Yes</v>
      </c>
      <c r="AA1335" s="4" t="str" cm="1">
        <f t="array" ref="AA1335">_xlfn.IFS(Table1[[#This Row],[Customer_Satisfaction]]&lt;=2,"Poor",Table1[[#This Row],[Customer_Satisfaction]]=3,"Neutral",Table1[[#This Row],[Customer_Satisfaction]]=4,"Good",Table1[[#This Row],[Customer_Satisfaction]]=5,"Good")</f>
        <v>Neutral</v>
      </c>
    </row>
    <row r="1336" spans="1:27" x14ac:dyDescent="0.35">
      <c r="A1336">
        <v>21334</v>
      </c>
      <c r="B1336" s="1">
        <v>45449</v>
      </c>
      <c r="C1336" t="s">
        <v>37</v>
      </c>
      <c r="D1336" t="s">
        <v>64</v>
      </c>
      <c r="E1336" t="s">
        <v>87</v>
      </c>
      <c r="F1336" t="s">
        <v>22</v>
      </c>
      <c r="G1336" t="s">
        <v>23</v>
      </c>
      <c r="H1336" t="s">
        <v>24</v>
      </c>
      <c r="I1336" t="s">
        <v>25</v>
      </c>
      <c r="J1336" t="s">
        <v>26</v>
      </c>
      <c r="K1336" t="s">
        <v>44</v>
      </c>
      <c r="L1336" t="s">
        <v>28</v>
      </c>
      <c r="M1336" s="4">
        <v>6</v>
      </c>
      <c r="N1336" s="4">
        <v>7</v>
      </c>
      <c r="O1336" t="s">
        <v>36</v>
      </c>
      <c r="P1336" t="s">
        <v>36</v>
      </c>
      <c r="Q1336" s="4">
        <v>309707</v>
      </c>
      <c r="R1336" s="4">
        <v>228476</v>
      </c>
      <c r="S1336" s="4">
        <f>Table1[[#This Row],[Service_Revenue]]-Table1[[#This Row],[Service_Cost]]</f>
        <v>81231</v>
      </c>
      <c r="T1336" s="4">
        <v>4</v>
      </c>
      <c r="U1336" s="4">
        <f>IF(AND(Table1[[#This Row],[Rework_Flag]]="Yes",Table1[[#This Row],[Warranty_Claim]]="No"),Table1[[#This Row],[Service_Revenue]],0)</f>
        <v>0</v>
      </c>
      <c r="V1336" s="4">
        <f>IF(Table1[[#This Row],[Warranty_Claim]]="Yes",1,0)</f>
        <v>0</v>
      </c>
      <c r="W1336" s="4">
        <f>IF(Table1[[#This Row],[Rework_Flag]]="No",1,0)</f>
        <v>1</v>
      </c>
      <c r="X1336" s="4">
        <f>IF(Table1[[#This Row],[Rework_Flag]]="Yes",1,0)</f>
        <v>0</v>
      </c>
      <c r="Y1336" s="4">
        <v>1</v>
      </c>
      <c r="Z1336" s="4" t="str">
        <f>IF(Table1[[#This Row],[TAT_Days]]&gt;Table1[[#This Row],[SLA_TAT]],"Yes","No")</f>
        <v>No</v>
      </c>
      <c r="AA1336" s="4" t="str" cm="1">
        <f t="array" ref="AA1336">_xlfn.IFS(Table1[[#This Row],[Customer_Satisfaction]]&lt;=2,"Poor",Table1[[#This Row],[Customer_Satisfaction]]=3,"Neutral",Table1[[#This Row],[Customer_Satisfaction]]=4,"Good",Table1[[#This Row],[Customer_Satisfaction]]=5,"Good")</f>
        <v>Good</v>
      </c>
    </row>
    <row r="1337" spans="1:27" x14ac:dyDescent="0.35">
      <c r="A1337">
        <v>21335</v>
      </c>
      <c r="B1337" s="1">
        <v>45392</v>
      </c>
      <c r="C1337" t="s">
        <v>30</v>
      </c>
      <c r="D1337" t="s">
        <v>83</v>
      </c>
      <c r="E1337" t="s">
        <v>90</v>
      </c>
      <c r="F1337" t="s">
        <v>40</v>
      </c>
      <c r="G1337" t="s">
        <v>63</v>
      </c>
      <c r="H1337" t="s">
        <v>24</v>
      </c>
      <c r="I1337" t="s">
        <v>55</v>
      </c>
      <c r="J1337" t="s">
        <v>43</v>
      </c>
      <c r="K1337" t="s">
        <v>27</v>
      </c>
      <c r="L1337" t="s">
        <v>28</v>
      </c>
      <c r="M1337" s="4">
        <v>15</v>
      </c>
      <c r="N1337" s="4">
        <v>7</v>
      </c>
      <c r="O1337" t="s">
        <v>29</v>
      </c>
      <c r="P1337" t="s">
        <v>36</v>
      </c>
      <c r="Q1337" s="4">
        <v>100506</v>
      </c>
      <c r="R1337" s="4">
        <v>82465</v>
      </c>
      <c r="S1337" s="4">
        <f>Table1[[#This Row],[Service_Revenue]]-Table1[[#This Row],[Service_Cost]]</f>
        <v>18041</v>
      </c>
      <c r="T1337" s="4">
        <v>1</v>
      </c>
      <c r="U1337" s="4">
        <f>IF(AND(Table1[[#This Row],[Rework_Flag]]="Yes",Table1[[#This Row],[Warranty_Claim]]="No"),Table1[[#This Row],[Service_Revenue]],0)</f>
        <v>100506</v>
      </c>
      <c r="V1337" s="4">
        <f>IF(Table1[[#This Row],[Warranty_Claim]]="Yes",1,0)</f>
        <v>0</v>
      </c>
      <c r="W1337" s="4">
        <f>IF(Table1[[#This Row],[Rework_Flag]]="No",1,0)</f>
        <v>0</v>
      </c>
      <c r="X1337" s="4">
        <f>IF(Table1[[#This Row],[Rework_Flag]]="Yes",1,0)</f>
        <v>1</v>
      </c>
      <c r="Y1337" s="4">
        <v>1</v>
      </c>
      <c r="Z1337" s="4" t="str">
        <f>IF(Table1[[#This Row],[TAT_Days]]&gt;Table1[[#This Row],[SLA_TAT]],"Yes","No")</f>
        <v>Yes</v>
      </c>
      <c r="AA1337" s="4" t="str" cm="1">
        <f t="array" ref="AA1337">_xlfn.IFS(Table1[[#This Row],[Customer_Satisfaction]]&lt;=2,"Poor",Table1[[#This Row],[Customer_Satisfaction]]=3,"Neutral",Table1[[#This Row],[Customer_Satisfaction]]=4,"Good",Table1[[#This Row],[Customer_Satisfaction]]=5,"Good")</f>
        <v>Poor</v>
      </c>
    </row>
    <row r="1338" spans="1:27" x14ac:dyDescent="0.35">
      <c r="A1338">
        <v>21336</v>
      </c>
      <c r="B1338" s="1">
        <v>45376</v>
      </c>
      <c r="C1338" t="s">
        <v>19</v>
      </c>
      <c r="D1338" t="s">
        <v>45</v>
      </c>
      <c r="E1338" t="s">
        <v>99</v>
      </c>
      <c r="F1338" t="s">
        <v>53</v>
      </c>
      <c r="G1338" t="s">
        <v>23</v>
      </c>
      <c r="H1338" t="s">
        <v>24</v>
      </c>
      <c r="I1338" t="s">
        <v>55</v>
      </c>
      <c r="J1338" t="s">
        <v>35</v>
      </c>
      <c r="K1338" t="s">
        <v>61</v>
      </c>
      <c r="L1338" t="s">
        <v>28</v>
      </c>
      <c r="M1338" s="4">
        <v>5</v>
      </c>
      <c r="N1338" s="4">
        <v>7</v>
      </c>
      <c r="O1338" t="s">
        <v>29</v>
      </c>
      <c r="P1338" t="s">
        <v>36</v>
      </c>
      <c r="Q1338" s="4">
        <v>389332</v>
      </c>
      <c r="R1338" s="4">
        <v>215119</v>
      </c>
      <c r="S1338" s="4">
        <f>Table1[[#This Row],[Service_Revenue]]-Table1[[#This Row],[Service_Cost]]</f>
        <v>174213</v>
      </c>
      <c r="T1338" s="4">
        <v>3</v>
      </c>
      <c r="U1338" s="4">
        <f>IF(AND(Table1[[#This Row],[Rework_Flag]]="Yes",Table1[[#This Row],[Warranty_Claim]]="No"),Table1[[#This Row],[Service_Revenue]],0)</f>
        <v>389332</v>
      </c>
      <c r="V1338" s="4">
        <f>IF(Table1[[#This Row],[Warranty_Claim]]="Yes",1,0)</f>
        <v>0</v>
      </c>
      <c r="W1338" s="4">
        <f>IF(Table1[[#This Row],[Rework_Flag]]="No",1,0)</f>
        <v>0</v>
      </c>
      <c r="X1338" s="4">
        <f>IF(Table1[[#This Row],[Rework_Flag]]="Yes",1,0)</f>
        <v>1</v>
      </c>
      <c r="Y1338" s="4">
        <v>1</v>
      </c>
      <c r="Z1338" s="4" t="str">
        <f>IF(Table1[[#This Row],[TAT_Days]]&gt;Table1[[#This Row],[SLA_TAT]],"Yes","No")</f>
        <v>No</v>
      </c>
      <c r="AA1338" s="4" t="str" cm="1">
        <f t="array" ref="AA1338">_xlfn.IFS(Table1[[#This Row],[Customer_Satisfaction]]&lt;=2,"Poor",Table1[[#This Row],[Customer_Satisfaction]]=3,"Neutral",Table1[[#This Row],[Customer_Satisfaction]]=4,"Good",Table1[[#This Row],[Customer_Satisfaction]]=5,"Good")</f>
        <v>Neutral</v>
      </c>
    </row>
    <row r="1339" spans="1:27" x14ac:dyDescent="0.35">
      <c r="A1339">
        <v>21337</v>
      </c>
      <c r="B1339" s="1">
        <v>45461</v>
      </c>
      <c r="C1339" t="s">
        <v>50</v>
      </c>
      <c r="D1339" t="s">
        <v>80</v>
      </c>
      <c r="E1339" t="s">
        <v>121</v>
      </c>
      <c r="F1339" t="s">
        <v>22</v>
      </c>
      <c r="G1339" t="s">
        <v>41</v>
      </c>
      <c r="H1339" t="s">
        <v>42</v>
      </c>
      <c r="I1339" t="s">
        <v>25</v>
      </c>
      <c r="J1339" t="s">
        <v>67</v>
      </c>
      <c r="K1339" t="s">
        <v>27</v>
      </c>
      <c r="L1339" t="s">
        <v>28</v>
      </c>
      <c r="M1339" s="4">
        <v>19</v>
      </c>
      <c r="N1339" s="4">
        <v>7</v>
      </c>
      <c r="O1339" t="s">
        <v>29</v>
      </c>
      <c r="P1339" t="s">
        <v>29</v>
      </c>
      <c r="Q1339" s="4">
        <v>179046</v>
      </c>
      <c r="R1339" s="4">
        <v>117003</v>
      </c>
      <c r="S1339" s="4">
        <f>Table1[[#This Row],[Service_Revenue]]-Table1[[#This Row],[Service_Cost]]</f>
        <v>62043</v>
      </c>
      <c r="T1339" s="4">
        <v>1</v>
      </c>
      <c r="U1339" s="4">
        <f>IF(AND(Table1[[#This Row],[Rework_Flag]]="Yes",Table1[[#This Row],[Warranty_Claim]]="No"),Table1[[#This Row],[Service_Revenue]],0)</f>
        <v>0</v>
      </c>
      <c r="V1339" s="4">
        <f>IF(Table1[[#This Row],[Warranty_Claim]]="Yes",1,0)</f>
        <v>1</v>
      </c>
      <c r="W1339" s="4">
        <f>IF(Table1[[#This Row],[Rework_Flag]]="No",1,0)</f>
        <v>0</v>
      </c>
      <c r="X1339" s="4">
        <f>IF(Table1[[#This Row],[Rework_Flag]]="Yes",1,0)</f>
        <v>1</v>
      </c>
      <c r="Y1339" s="4">
        <v>1</v>
      </c>
      <c r="Z1339" s="4" t="str">
        <f>IF(Table1[[#This Row],[TAT_Days]]&gt;Table1[[#This Row],[SLA_TAT]],"Yes","No")</f>
        <v>Yes</v>
      </c>
      <c r="AA1339" s="4" t="str" cm="1">
        <f t="array" ref="AA1339">_xlfn.IFS(Table1[[#This Row],[Customer_Satisfaction]]&lt;=2,"Poor",Table1[[#This Row],[Customer_Satisfaction]]=3,"Neutral",Table1[[#This Row],[Customer_Satisfaction]]=4,"Good",Table1[[#This Row],[Customer_Satisfaction]]=5,"Good")</f>
        <v>Poor</v>
      </c>
    </row>
    <row r="1340" spans="1:27" x14ac:dyDescent="0.35">
      <c r="A1340">
        <v>21338</v>
      </c>
      <c r="B1340" s="1">
        <v>45470</v>
      </c>
      <c r="C1340" t="s">
        <v>37</v>
      </c>
      <c r="D1340" t="s">
        <v>38</v>
      </c>
      <c r="E1340" t="s">
        <v>39</v>
      </c>
      <c r="F1340" t="s">
        <v>40</v>
      </c>
      <c r="G1340" t="s">
        <v>47</v>
      </c>
      <c r="H1340" t="s">
        <v>48</v>
      </c>
      <c r="I1340" t="s">
        <v>55</v>
      </c>
      <c r="J1340" t="s">
        <v>26</v>
      </c>
      <c r="K1340" t="s">
        <v>61</v>
      </c>
      <c r="L1340" t="s">
        <v>28</v>
      </c>
      <c r="M1340" s="4">
        <v>21</v>
      </c>
      <c r="N1340" s="4">
        <v>7</v>
      </c>
      <c r="O1340" t="s">
        <v>36</v>
      </c>
      <c r="P1340" t="s">
        <v>29</v>
      </c>
      <c r="Q1340" s="4">
        <v>294912</v>
      </c>
      <c r="R1340" s="4">
        <v>209909</v>
      </c>
      <c r="S1340" s="4">
        <f>Table1[[#This Row],[Service_Revenue]]-Table1[[#This Row],[Service_Cost]]</f>
        <v>85003</v>
      </c>
      <c r="T1340" s="4">
        <v>1</v>
      </c>
      <c r="U1340" s="4">
        <f>IF(AND(Table1[[#This Row],[Rework_Flag]]="Yes",Table1[[#This Row],[Warranty_Claim]]="No"),Table1[[#This Row],[Service_Revenue]],0)</f>
        <v>0</v>
      </c>
      <c r="V1340" s="4">
        <f>IF(Table1[[#This Row],[Warranty_Claim]]="Yes",1,0)</f>
        <v>1</v>
      </c>
      <c r="W1340" s="4">
        <f>IF(Table1[[#This Row],[Rework_Flag]]="No",1,0)</f>
        <v>1</v>
      </c>
      <c r="X1340" s="4">
        <f>IF(Table1[[#This Row],[Rework_Flag]]="Yes",1,0)</f>
        <v>0</v>
      </c>
      <c r="Y1340" s="4">
        <v>1</v>
      </c>
      <c r="Z1340" s="4" t="str">
        <f>IF(Table1[[#This Row],[TAT_Days]]&gt;Table1[[#This Row],[SLA_TAT]],"Yes","No")</f>
        <v>Yes</v>
      </c>
      <c r="AA1340" s="4" t="str" cm="1">
        <f t="array" ref="AA1340">_xlfn.IFS(Table1[[#This Row],[Customer_Satisfaction]]&lt;=2,"Poor",Table1[[#This Row],[Customer_Satisfaction]]=3,"Neutral",Table1[[#This Row],[Customer_Satisfaction]]=4,"Good",Table1[[#This Row],[Customer_Satisfaction]]=5,"Good")</f>
        <v>Poor</v>
      </c>
    </row>
    <row r="1341" spans="1:27" x14ac:dyDescent="0.35">
      <c r="A1341">
        <v>21339</v>
      </c>
      <c r="B1341" s="1">
        <v>45466</v>
      </c>
      <c r="C1341" t="s">
        <v>37</v>
      </c>
      <c r="D1341" t="s">
        <v>64</v>
      </c>
      <c r="E1341" t="s">
        <v>115</v>
      </c>
      <c r="F1341" t="s">
        <v>53</v>
      </c>
      <c r="G1341" t="s">
        <v>47</v>
      </c>
      <c r="H1341" t="s">
        <v>48</v>
      </c>
      <c r="I1341" t="s">
        <v>55</v>
      </c>
      <c r="J1341" t="s">
        <v>67</v>
      </c>
      <c r="K1341" t="s">
        <v>27</v>
      </c>
      <c r="L1341" t="s">
        <v>49</v>
      </c>
      <c r="M1341" s="4">
        <v>13</v>
      </c>
      <c r="N1341" s="4">
        <v>7</v>
      </c>
      <c r="O1341" t="s">
        <v>29</v>
      </c>
      <c r="P1341" t="s">
        <v>29</v>
      </c>
      <c r="Q1341" s="4">
        <v>213725</v>
      </c>
      <c r="R1341" s="4">
        <v>150044</v>
      </c>
      <c r="S1341" s="4">
        <f>Table1[[#This Row],[Service_Revenue]]-Table1[[#This Row],[Service_Cost]]</f>
        <v>63681</v>
      </c>
      <c r="T1341" s="4">
        <v>2</v>
      </c>
      <c r="U1341" s="4">
        <f>IF(AND(Table1[[#This Row],[Rework_Flag]]="Yes",Table1[[#This Row],[Warranty_Claim]]="No"),Table1[[#This Row],[Service_Revenue]],0)</f>
        <v>0</v>
      </c>
      <c r="V1341" s="4">
        <f>IF(Table1[[#This Row],[Warranty_Claim]]="Yes",1,0)</f>
        <v>1</v>
      </c>
      <c r="W1341" s="4">
        <f>IF(Table1[[#This Row],[Rework_Flag]]="No",1,0)</f>
        <v>0</v>
      </c>
      <c r="X1341" s="4">
        <f>IF(Table1[[#This Row],[Rework_Flag]]="Yes",1,0)</f>
        <v>1</v>
      </c>
      <c r="Y1341" s="4">
        <v>1</v>
      </c>
      <c r="Z1341" s="4" t="str">
        <f>IF(Table1[[#This Row],[TAT_Days]]&gt;Table1[[#This Row],[SLA_TAT]],"Yes","No")</f>
        <v>Yes</v>
      </c>
      <c r="AA1341" s="4" t="str" cm="1">
        <f t="array" ref="AA1341">_xlfn.IFS(Table1[[#This Row],[Customer_Satisfaction]]&lt;=2,"Poor",Table1[[#This Row],[Customer_Satisfaction]]=3,"Neutral",Table1[[#This Row],[Customer_Satisfaction]]=4,"Good",Table1[[#This Row],[Customer_Satisfaction]]=5,"Good")</f>
        <v>Poor</v>
      </c>
    </row>
    <row r="1342" spans="1:27" x14ac:dyDescent="0.35">
      <c r="A1342">
        <v>21340</v>
      </c>
      <c r="B1342" s="1">
        <v>45394</v>
      </c>
      <c r="C1342" t="s">
        <v>37</v>
      </c>
      <c r="D1342" t="s">
        <v>70</v>
      </c>
      <c r="E1342" t="s">
        <v>91</v>
      </c>
      <c r="F1342" t="s">
        <v>53</v>
      </c>
      <c r="G1342" t="s">
        <v>47</v>
      </c>
      <c r="H1342" t="s">
        <v>48</v>
      </c>
      <c r="I1342" t="s">
        <v>55</v>
      </c>
      <c r="J1342" t="s">
        <v>43</v>
      </c>
      <c r="K1342" t="s">
        <v>44</v>
      </c>
      <c r="L1342" t="s">
        <v>49</v>
      </c>
      <c r="M1342" s="4">
        <v>13</v>
      </c>
      <c r="N1342" s="4">
        <v>7</v>
      </c>
      <c r="O1342" t="s">
        <v>36</v>
      </c>
      <c r="P1342" t="s">
        <v>36</v>
      </c>
      <c r="Q1342" s="4">
        <v>106682</v>
      </c>
      <c r="R1342" s="4">
        <v>67298</v>
      </c>
      <c r="S1342" s="4">
        <f>Table1[[#This Row],[Service_Revenue]]-Table1[[#This Row],[Service_Cost]]</f>
        <v>39384</v>
      </c>
      <c r="T1342" s="4">
        <v>3</v>
      </c>
      <c r="U1342" s="4">
        <f>IF(AND(Table1[[#This Row],[Rework_Flag]]="Yes",Table1[[#This Row],[Warranty_Claim]]="No"),Table1[[#This Row],[Service_Revenue]],0)</f>
        <v>0</v>
      </c>
      <c r="V1342" s="4">
        <f>IF(Table1[[#This Row],[Warranty_Claim]]="Yes",1,0)</f>
        <v>0</v>
      </c>
      <c r="W1342" s="4">
        <f>IF(Table1[[#This Row],[Rework_Flag]]="No",1,0)</f>
        <v>1</v>
      </c>
      <c r="X1342" s="4">
        <f>IF(Table1[[#This Row],[Rework_Flag]]="Yes",1,0)</f>
        <v>0</v>
      </c>
      <c r="Y1342" s="4">
        <v>1</v>
      </c>
      <c r="Z1342" s="4" t="str">
        <f>IF(Table1[[#This Row],[TAT_Days]]&gt;Table1[[#This Row],[SLA_TAT]],"Yes","No")</f>
        <v>Yes</v>
      </c>
      <c r="AA1342" s="4" t="str" cm="1">
        <f t="array" ref="AA1342">_xlfn.IFS(Table1[[#This Row],[Customer_Satisfaction]]&lt;=2,"Poor",Table1[[#This Row],[Customer_Satisfaction]]=3,"Neutral",Table1[[#This Row],[Customer_Satisfaction]]=4,"Good",Table1[[#This Row],[Customer_Satisfaction]]=5,"Good")</f>
        <v>Neutral</v>
      </c>
    </row>
    <row r="1343" spans="1:27" x14ac:dyDescent="0.35">
      <c r="A1343">
        <v>21341</v>
      </c>
      <c r="B1343" s="1">
        <v>45360</v>
      </c>
      <c r="C1343" t="s">
        <v>30</v>
      </c>
      <c r="D1343" t="s">
        <v>59</v>
      </c>
      <c r="E1343" t="s">
        <v>94</v>
      </c>
      <c r="F1343" t="s">
        <v>40</v>
      </c>
      <c r="G1343" t="s">
        <v>63</v>
      </c>
      <c r="H1343" t="s">
        <v>24</v>
      </c>
      <c r="I1343" t="s">
        <v>25</v>
      </c>
      <c r="J1343" t="s">
        <v>67</v>
      </c>
      <c r="K1343" t="s">
        <v>27</v>
      </c>
      <c r="L1343" t="s">
        <v>49</v>
      </c>
      <c r="M1343" s="4">
        <v>15</v>
      </c>
      <c r="N1343" s="4">
        <v>7</v>
      </c>
      <c r="O1343" t="s">
        <v>29</v>
      </c>
      <c r="P1343" t="s">
        <v>29</v>
      </c>
      <c r="Q1343" s="4">
        <v>145341</v>
      </c>
      <c r="R1343" s="4">
        <v>108013</v>
      </c>
      <c r="S1343" s="4">
        <f>Table1[[#This Row],[Service_Revenue]]-Table1[[#This Row],[Service_Cost]]</f>
        <v>37328</v>
      </c>
      <c r="T1343" s="4">
        <v>1</v>
      </c>
      <c r="U1343" s="4">
        <f>IF(AND(Table1[[#This Row],[Rework_Flag]]="Yes",Table1[[#This Row],[Warranty_Claim]]="No"),Table1[[#This Row],[Service_Revenue]],0)</f>
        <v>0</v>
      </c>
      <c r="V1343" s="4">
        <f>IF(Table1[[#This Row],[Warranty_Claim]]="Yes",1,0)</f>
        <v>1</v>
      </c>
      <c r="W1343" s="4">
        <f>IF(Table1[[#This Row],[Rework_Flag]]="No",1,0)</f>
        <v>0</v>
      </c>
      <c r="X1343" s="4">
        <f>IF(Table1[[#This Row],[Rework_Flag]]="Yes",1,0)</f>
        <v>1</v>
      </c>
      <c r="Y1343" s="4">
        <v>1</v>
      </c>
      <c r="Z1343" s="4" t="str">
        <f>IF(Table1[[#This Row],[TAT_Days]]&gt;Table1[[#This Row],[SLA_TAT]],"Yes","No")</f>
        <v>Yes</v>
      </c>
      <c r="AA1343" s="4" t="str" cm="1">
        <f t="array" ref="AA1343">_xlfn.IFS(Table1[[#This Row],[Customer_Satisfaction]]&lt;=2,"Poor",Table1[[#This Row],[Customer_Satisfaction]]=3,"Neutral",Table1[[#This Row],[Customer_Satisfaction]]=4,"Good",Table1[[#This Row],[Customer_Satisfaction]]=5,"Good")</f>
        <v>Poor</v>
      </c>
    </row>
    <row r="1344" spans="1:27" x14ac:dyDescent="0.35">
      <c r="A1344">
        <v>21342</v>
      </c>
      <c r="B1344" s="1">
        <v>45335</v>
      </c>
      <c r="C1344" t="s">
        <v>30</v>
      </c>
      <c r="D1344" t="s">
        <v>31</v>
      </c>
      <c r="E1344" t="s">
        <v>106</v>
      </c>
      <c r="F1344" t="s">
        <v>40</v>
      </c>
      <c r="G1344" t="s">
        <v>74</v>
      </c>
      <c r="H1344" t="s">
        <v>34</v>
      </c>
      <c r="I1344" t="s">
        <v>25</v>
      </c>
      <c r="J1344" t="s">
        <v>35</v>
      </c>
      <c r="K1344" t="s">
        <v>61</v>
      </c>
      <c r="L1344" t="s">
        <v>28</v>
      </c>
      <c r="M1344" s="4">
        <v>6</v>
      </c>
      <c r="N1344" s="4">
        <v>7</v>
      </c>
      <c r="O1344" t="s">
        <v>36</v>
      </c>
      <c r="P1344" t="s">
        <v>36</v>
      </c>
      <c r="Q1344" s="4">
        <v>460923</v>
      </c>
      <c r="R1344" s="4">
        <v>249898</v>
      </c>
      <c r="S1344" s="4">
        <f>Table1[[#This Row],[Service_Revenue]]-Table1[[#This Row],[Service_Cost]]</f>
        <v>211025</v>
      </c>
      <c r="T1344" s="4">
        <v>4</v>
      </c>
      <c r="U1344" s="4">
        <f>IF(AND(Table1[[#This Row],[Rework_Flag]]="Yes",Table1[[#This Row],[Warranty_Claim]]="No"),Table1[[#This Row],[Service_Revenue]],0)</f>
        <v>0</v>
      </c>
      <c r="V1344" s="4">
        <f>IF(Table1[[#This Row],[Warranty_Claim]]="Yes",1,0)</f>
        <v>0</v>
      </c>
      <c r="W1344" s="4">
        <f>IF(Table1[[#This Row],[Rework_Flag]]="No",1,0)</f>
        <v>1</v>
      </c>
      <c r="X1344" s="4">
        <f>IF(Table1[[#This Row],[Rework_Flag]]="Yes",1,0)</f>
        <v>0</v>
      </c>
      <c r="Y1344" s="4">
        <v>1</v>
      </c>
      <c r="Z1344" s="4" t="str">
        <f>IF(Table1[[#This Row],[TAT_Days]]&gt;Table1[[#This Row],[SLA_TAT]],"Yes","No")</f>
        <v>No</v>
      </c>
      <c r="AA1344" s="4" t="str" cm="1">
        <f t="array" ref="AA1344">_xlfn.IFS(Table1[[#This Row],[Customer_Satisfaction]]&lt;=2,"Poor",Table1[[#This Row],[Customer_Satisfaction]]=3,"Neutral",Table1[[#This Row],[Customer_Satisfaction]]=4,"Good",Table1[[#This Row],[Customer_Satisfaction]]=5,"Good")</f>
        <v>Good</v>
      </c>
    </row>
    <row r="1345" spans="1:27" x14ac:dyDescent="0.35">
      <c r="A1345">
        <v>21343</v>
      </c>
      <c r="B1345" s="1">
        <v>45437</v>
      </c>
      <c r="C1345" t="s">
        <v>19</v>
      </c>
      <c r="D1345" t="s">
        <v>45</v>
      </c>
      <c r="E1345" t="s">
        <v>114</v>
      </c>
      <c r="F1345" t="s">
        <v>40</v>
      </c>
      <c r="G1345" t="s">
        <v>41</v>
      </c>
      <c r="H1345" t="s">
        <v>42</v>
      </c>
      <c r="I1345" t="s">
        <v>25</v>
      </c>
      <c r="J1345" t="s">
        <v>58</v>
      </c>
      <c r="K1345" t="s">
        <v>27</v>
      </c>
      <c r="L1345" t="s">
        <v>28</v>
      </c>
      <c r="M1345" s="4">
        <v>14</v>
      </c>
      <c r="N1345" s="4">
        <v>7</v>
      </c>
      <c r="O1345" t="s">
        <v>29</v>
      </c>
      <c r="P1345" t="s">
        <v>36</v>
      </c>
      <c r="Q1345" s="4">
        <v>304441</v>
      </c>
      <c r="R1345" s="4">
        <v>192984</v>
      </c>
      <c r="S1345" s="4">
        <f>Table1[[#This Row],[Service_Revenue]]-Table1[[#This Row],[Service_Cost]]</f>
        <v>111457</v>
      </c>
      <c r="T1345" s="4">
        <v>2</v>
      </c>
      <c r="U1345" s="4">
        <f>IF(AND(Table1[[#This Row],[Rework_Flag]]="Yes",Table1[[#This Row],[Warranty_Claim]]="No"),Table1[[#This Row],[Service_Revenue]],0)</f>
        <v>304441</v>
      </c>
      <c r="V1345" s="4">
        <f>IF(Table1[[#This Row],[Warranty_Claim]]="Yes",1,0)</f>
        <v>0</v>
      </c>
      <c r="W1345" s="4">
        <f>IF(Table1[[#This Row],[Rework_Flag]]="No",1,0)</f>
        <v>0</v>
      </c>
      <c r="X1345" s="4">
        <f>IF(Table1[[#This Row],[Rework_Flag]]="Yes",1,0)</f>
        <v>1</v>
      </c>
      <c r="Y1345" s="4">
        <v>1</v>
      </c>
      <c r="Z1345" s="4" t="str">
        <f>IF(Table1[[#This Row],[TAT_Days]]&gt;Table1[[#This Row],[SLA_TAT]],"Yes","No")</f>
        <v>Yes</v>
      </c>
      <c r="AA1345" s="4" t="str" cm="1">
        <f t="array" ref="AA1345">_xlfn.IFS(Table1[[#This Row],[Customer_Satisfaction]]&lt;=2,"Poor",Table1[[#This Row],[Customer_Satisfaction]]=3,"Neutral",Table1[[#This Row],[Customer_Satisfaction]]=4,"Good",Table1[[#This Row],[Customer_Satisfaction]]=5,"Good")</f>
        <v>Poor</v>
      </c>
    </row>
    <row r="1346" spans="1:27" x14ac:dyDescent="0.35">
      <c r="A1346">
        <v>21344</v>
      </c>
      <c r="B1346" s="1">
        <v>45390</v>
      </c>
      <c r="C1346" t="s">
        <v>30</v>
      </c>
      <c r="D1346" t="s">
        <v>83</v>
      </c>
      <c r="E1346" t="s">
        <v>119</v>
      </c>
      <c r="F1346" t="s">
        <v>22</v>
      </c>
      <c r="G1346" t="s">
        <v>23</v>
      </c>
      <c r="H1346" t="s">
        <v>24</v>
      </c>
      <c r="I1346" t="s">
        <v>25</v>
      </c>
      <c r="J1346" t="s">
        <v>26</v>
      </c>
      <c r="K1346" t="s">
        <v>27</v>
      </c>
      <c r="L1346" t="s">
        <v>28</v>
      </c>
      <c r="M1346" s="4">
        <v>17</v>
      </c>
      <c r="N1346" s="4">
        <v>7</v>
      </c>
      <c r="O1346" t="s">
        <v>29</v>
      </c>
      <c r="P1346" t="s">
        <v>36</v>
      </c>
      <c r="Q1346" s="4">
        <v>231202</v>
      </c>
      <c r="R1346" s="4">
        <v>179977</v>
      </c>
      <c r="S1346" s="4">
        <f>Table1[[#This Row],[Service_Revenue]]-Table1[[#This Row],[Service_Cost]]</f>
        <v>51225</v>
      </c>
      <c r="T1346" s="4">
        <v>1</v>
      </c>
      <c r="U1346" s="4">
        <f>IF(AND(Table1[[#This Row],[Rework_Flag]]="Yes",Table1[[#This Row],[Warranty_Claim]]="No"),Table1[[#This Row],[Service_Revenue]],0)</f>
        <v>231202</v>
      </c>
      <c r="V1346" s="4">
        <f>IF(Table1[[#This Row],[Warranty_Claim]]="Yes",1,0)</f>
        <v>0</v>
      </c>
      <c r="W1346" s="4">
        <f>IF(Table1[[#This Row],[Rework_Flag]]="No",1,0)</f>
        <v>0</v>
      </c>
      <c r="X1346" s="4">
        <f>IF(Table1[[#This Row],[Rework_Flag]]="Yes",1,0)</f>
        <v>1</v>
      </c>
      <c r="Y1346" s="4">
        <v>1</v>
      </c>
      <c r="Z1346" s="4" t="str">
        <f>IF(Table1[[#This Row],[TAT_Days]]&gt;Table1[[#This Row],[SLA_TAT]],"Yes","No")</f>
        <v>Yes</v>
      </c>
      <c r="AA1346" s="4" t="str" cm="1">
        <f t="array" ref="AA1346">_xlfn.IFS(Table1[[#This Row],[Customer_Satisfaction]]&lt;=2,"Poor",Table1[[#This Row],[Customer_Satisfaction]]=3,"Neutral",Table1[[#This Row],[Customer_Satisfaction]]=4,"Good",Table1[[#This Row],[Customer_Satisfaction]]=5,"Good")</f>
        <v>Poor</v>
      </c>
    </row>
    <row r="1347" spans="1:27" x14ac:dyDescent="0.35">
      <c r="A1347">
        <v>21345</v>
      </c>
      <c r="B1347" s="1">
        <v>45358</v>
      </c>
      <c r="C1347" t="s">
        <v>50</v>
      </c>
      <c r="D1347" t="s">
        <v>56</v>
      </c>
      <c r="E1347" t="s">
        <v>57</v>
      </c>
      <c r="F1347" t="s">
        <v>53</v>
      </c>
      <c r="G1347" t="s">
        <v>74</v>
      </c>
      <c r="H1347" t="s">
        <v>34</v>
      </c>
      <c r="I1347" t="s">
        <v>55</v>
      </c>
      <c r="J1347" t="s">
        <v>43</v>
      </c>
      <c r="K1347" t="s">
        <v>61</v>
      </c>
      <c r="L1347" t="s">
        <v>49</v>
      </c>
      <c r="M1347" s="4">
        <v>17</v>
      </c>
      <c r="N1347" s="4">
        <v>7</v>
      </c>
      <c r="O1347" t="s">
        <v>36</v>
      </c>
      <c r="P1347" t="s">
        <v>36</v>
      </c>
      <c r="Q1347" s="4">
        <v>167578</v>
      </c>
      <c r="R1347" s="4">
        <v>109777</v>
      </c>
      <c r="S1347" s="4">
        <f>Table1[[#This Row],[Service_Revenue]]-Table1[[#This Row],[Service_Cost]]</f>
        <v>57801</v>
      </c>
      <c r="T1347" s="4">
        <v>2</v>
      </c>
      <c r="U1347" s="4">
        <f>IF(AND(Table1[[#This Row],[Rework_Flag]]="Yes",Table1[[#This Row],[Warranty_Claim]]="No"),Table1[[#This Row],[Service_Revenue]],0)</f>
        <v>0</v>
      </c>
      <c r="V1347" s="4">
        <f>IF(Table1[[#This Row],[Warranty_Claim]]="Yes",1,0)</f>
        <v>0</v>
      </c>
      <c r="W1347" s="4">
        <f>IF(Table1[[#This Row],[Rework_Flag]]="No",1,0)</f>
        <v>1</v>
      </c>
      <c r="X1347" s="4">
        <f>IF(Table1[[#This Row],[Rework_Flag]]="Yes",1,0)</f>
        <v>0</v>
      </c>
      <c r="Y1347" s="4">
        <v>1</v>
      </c>
      <c r="Z1347" s="4" t="str">
        <f>IF(Table1[[#This Row],[TAT_Days]]&gt;Table1[[#This Row],[SLA_TAT]],"Yes","No")</f>
        <v>Yes</v>
      </c>
      <c r="AA1347" s="4" t="str" cm="1">
        <f t="array" ref="AA1347">_xlfn.IFS(Table1[[#This Row],[Customer_Satisfaction]]&lt;=2,"Poor",Table1[[#This Row],[Customer_Satisfaction]]=3,"Neutral",Table1[[#This Row],[Customer_Satisfaction]]=4,"Good",Table1[[#This Row],[Customer_Satisfaction]]=5,"Good")</f>
        <v>Poor</v>
      </c>
    </row>
    <row r="1348" spans="1:27" x14ac:dyDescent="0.35">
      <c r="A1348">
        <v>21346</v>
      </c>
      <c r="B1348" s="1">
        <v>45412</v>
      </c>
      <c r="C1348" t="s">
        <v>37</v>
      </c>
      <c r="D1348" t="s">
        <v>64</v>
      </c>
      <c r="E1348" t="s">
        <v>65</v>
      </c>
      <c r="F1348" t="s">
        <v>53</v>
      </c>
      <c r="G1348" t="s">
        <v>23</v>
      </c>
      <c r="H1348" t="s">
        <v>24</v>
      </c>
      <c r="I1348" t="s">
        <v>55</v>
      </c>
      <c r="J1348" t="s">
        <v>58</v>
      </c>
      <c r="K1348" t="s">
        <v>44</v>
      </c>
      <c r="L1348" t="s">
        <v>49</v>
      </c>
      <c r="M1348" s="4">
        <v>15</v>
      </c>
      <c r="N1348" s="4">
        <v>7</v>
      </c>
      <c r="O1348" t="s">
        <v>29</v>
      </c>
      <c r="P1348" t="s">
        <v>36</v>
      </c>
      <c r="Q1348" s="4">
        <v>534316</v>
      </c>
      <c r="R1348" s="4">
        <v>339335</v>
      </c>
      <c r="S1348" s="4">
        <f>Table1[[#This Row],[Service_Revenue]]-Table1[[#This Row],[Service_Cost]]</f>
        <v>194981</v>
      </c>
      <c r="T1348" s="4">
        <v>1</v>
      </c>
      <c r="U1348" s="4">
        <f>IF(AND(Table1[[#This Row],[Rework_Flag]]="Yes",Table1[[#This Row],[Warranty_Claim]]="No"),Table1[[#This Row],[Service_Revenue]],0)</f>
        <v>534316</v>
      </c>
      <c r="V1348" s="4">
        <f>IF(Table1[[#This Row],[Warranty_Claim]]="Yes",1,0)</f>
        <v>0</v>
      </c>
      <c r="W1348" s="4">
        <f>IF(Table1[[#This Row],[Rework_Flag]]="No",1,0)</f>
        <v>0</v>
      </c>
      <c r="X1348" s="4">
        <f>IF(Table1[[#This Row],[Rework_Flag]]="Yes",1,0)</f>
        <v>1</v>
      </c>
      <c r="Y1348" s="4">
        <v>1</v>
      </c>
      <c r="Z1348" s="4" t="str">
        <f>IF(Table1[[#This Row],[TAT_Days]]&gt;Table1[[#This Row],[SLA_TAT]],"Yes","No")</f>
        <v>Yes</v>
      </c>
      <c r="AA1348" s="4" t="str" cm="1">
        <f t="array" ref="AA1348">_xlfn.IFS(Table1[[#This Row],[Customer_Satisfaction]]&lt;=2,"Poor",Table1[[#This Row],[Customer_Satisfaction]]=3,"Neutral",Table1[[#This Row],[Customer_Satisfaction]]=4,"Good",Table1[[#This Row],[Customer_Satisfaction]]=5,"Good")</f>
        <v>Poor</v>
      </c>
    </row>
    <row r="1349" spans="1:27" x14ac:dyDescent="0.35">
      <c r="A1349">
        <v>21347</v>
      </c>
      <c r="B1349" s="1">
        <v>45458</v>
      </c>
      <c r="C1349" t="s">
        <v>30</v>
      </c>
      <c r="D1349" t="s">
        <v>83</v>
      </c>
      <c r="E1349" t="s">
        <v>90</v>
      </c>
      <c r="F1349" t="s">
        <v>53</v>
      </c>
      <c r="G1349" t="s">
        <v>41</v>
      </c>
      <c r="H1349" t="s">
        <v>42</v>
      </c>
      <c r="I1349" t="s">
        <v>55</v>
      </c>
      <c r="J1349" t="s">
        <v>43</v>
      </c>
      <c r="K1349" t="s">
        <v>61</v>
      </c>
      <c r="L1349" t="s">
        <v>49</v>
      </c>
      <c r="M1349" s="4">
        <v>6</v>
      </c>
      <c r="N1349" s="4">
        <v>7</v>
      </c>
      <c r="O1349" t="s">
        <v>36</v>
      </c>
      <c r="P1349" t="s">
        <v>29</v>
      </c>
      <c r="Q1349" s="4">
        <v>483719</v>
      </c>
      <c r="R1349" s="4">
        <v>336097</v>
      </c>
      <c r="S1349" s="4">
        <f>Table1[[#This Row],[Service_Revenue]]-Table1[[#This Row],[Service_Cost]]</f>
        <v>147622</v>
      </c>
      <c r="T1349" s="4">
        <v>4</v>
      </c>
      <c r="U1349" s="4">
        <f>IF(AND(Table1[[#This Row],[Rework_Flag]]="Yes",Table1[[#This Row],[Warranty_Claim]]="No"),Table1[[#This Row],[Service_Revenue]],0)</f>
        <v>0</v>
      </c>
      <c r="V1349" s="4">
        <f>IF(Table1[[#This Row],[Warranty_Claim]]="Yes",1,0)</f>
        <v>1</v>
      </c>
      <c r="W1349" s="4">
        <f>IF(Table1[[#This Row],[Rework_Flag]]="No",1,0)</f>
        <v>1</v>
      </c>
      <c r="X1349" s="4">
        <f>IF(Table1[[#This Row],[Rework_Flag]]="Yes",1,0)</f>
        <v>0</v>
      </c>
      <c r="Y1349" s="4">
        <v>1</v>
      </c>
      <c r="Z1349" s="4" t="str">
        <f>IF(Table1[[#This Row],[TAT_Days]]&gt;Table1[[#This Row],[SLA_TAT]],"Yes","No")</f>
        <v>No</v>
      </c>
      <c r="AA1349" s="4" t="str" cm="1">
        <f t="array" ref="AA1349">_xlfn.IFS(Table1[[#This Row],[Customer_Satisfaction]]&lt;=2,"Poor",Table1[[#This Row],[Customer_Satisfaction]]=3,"Neutral",Table1[[#This Row],[Customer_Satisfaction]]=4,"Good",Table1[[#This Row],[Customer_Satisfaction]]=5,"Good")</f>
        <v>Good</v>
      </c>
    </row>
    <row r="1350" spans="1:27" x14ac:dyDescent="0.35">
      <c r="A1350">
        <v>21348</v>
      </c>
      <c r="B1350" s="1">
        <v>45371</v>
      </c>
      <c r="C1350" t="s">
        <v>30</v>
      </c>
      <c r="D1350" t="s">
        <v>83</v>
      </c>
      <c r="E1350" t="s">
        <v>119</v>
      </c>
      <c r="F1350" t="s">
        <v>40</v>
      </c>
      <c r="G1350" t="s">
        <v>33</v>
      </c>
      <c r="H1350" t="s">
        <v>34</v>
      </c>
      <c r="I1350" t="s">
        <v>25</v>
      </c>
      <c r="J1350" t="s">
        <v>43</v>
      </c>
      <c r="K1350" t="s">
        <v>61</v>
      </c>
      <c r="L1350" t="s">
        <v>28</v>
      </c>
      <c r="M1350" s="4">
        <v>14</v>
      </c>
      <c r="N1350" s="4">
        <v>7</v>
      </c>
      <c r="O1350" t="s">
        <v>36</v>
      </c>
      <c r="P1350" t="s">
        <v>36</v>
      </c>
      <c r="Q1350" s="4">
        <v>559948</v>
      </c>
      <c r="R1350" s="4">
        <v>440041</v>
      </c>
      <c r="S1350" s="4">
        <f>Table1[[#This Row],[Service_Revenue]]-Table1[[#This Row],[Service_Cost]]</f>
        <v>119907</v>
      </c>
      <c r="T1350" s="4">
        <v>3</v>
      </c>
      <c r="U1350" s="4">
        <f>IF(AND(Table1[[#This Row],[Rework_Flag]]="Yes",Table1[[#This Row],[Warranty_Claim]]="No"),Table1[[#This Row],[Service_Revenue]],0)</f>
        <v>0</v>
      </c>
      <c r="V1350" s="4">
        <f>IF(Table1[[#This Row],[Warranty_Claim]]="Yes",1,0)</f>
        <v>0</v>
      </c>
      <c r="W1350" s="4">
        <f>IF(Table1[[#This Row],[Rework_Flag]]="No",1,0)</f>
        <v>1</v>
      </c>
      <c r="X1350" s="4">
        <f>IF(Table1[[#This Row],[Rework_Flag]]="Yes",1,0)</f>
        <v>0</v>
      </c>
      <c r="Y1350" s="4">
        <v>1</v>
      </c>
      <c r="Z1350" s="4" t="str">
        <f>IF(Table1[[#This Row],[TAT_Days]]&gt;Table1[[#This Row],[SLA_TAT]],"Yes","No")</f>
        <v>Yes</v>
      </c>
      <c r="AA1350" s="4" t="str" cm="1">
        <f t="array" ref="AA1350">_xlfn.IFS(Table1[[#This Row],[Customer_Satisfaction]]&lt;=2,"Poor",Table1[[#This Row],[Customer_Satisfaction]]=3,"Neutral",Table1[[#This Row],[Customer_Satisfaction]]=4,"Good",Table1[[#This Row],[Customer_Satisfaction]]=5,"Good")</f>
        <v>Neutral</v>
      </c>
    </row>
    <row r="1351" spans="1:27" x14ac:dyDescent="0.35">
      <c r="A1351">
        <v>21349</v>
      </c>
      <c r="B1351" s="1">
        <v>45375</v>
      </c>
      <c r="C1351" t="s">
        <v>37</v>
      </c>
      <c r="D1351" t="s">
        <v>38</v>
      </c>
      <c r="E1351" t="s">
        <v>39</v>
      </c>
      <c r="F1351" t="s">
        <v>53</v>
      </c>
      <c r="G1351" t="s">
        <v>74</v>
      </c>
      <c r="H1351" t="s">
        <v>34</v>
      </c>
      <c r="I1351" t="s">
        <v>55</v>
      </c>
      <c r="J1351" t="s">
        <v>58</v>
      </c>
      <c r="K1351" t="s">
        <v>44</v>
      </c>
      <c r="L1351" t="s">
        <v>49</v>
      </c>
      <c r="M1351" s="4">
        <v>11</v>
      </c>
      <c r="N1351" s="4">
        <v>7</v>
      </c>
      <c r="O1351" t="s">
        <v>29</v>
      </c>
      <c r="P1351" t="s">
        <v>36</v>
      </c>
      <c r="Q1351" s="4">
        <v>367992</v>
      </c>
      <c r="R1351" s="4">
        <v>258634</v>
      </c>
      <c r="S1351" s="4">
        <f>Table1[[#This Row],[Service_Revenue]]-Table1[[#This Row],[Service_Cost]]</f>
        <v>109358</v>
      </c>
      <c r="T1351" s="4">
        <v>2</v>
      </c>
      <c r="U1351" s="4">
        <f>IF(AND(Table1[[#This Row],[Rework_Flag]]="Yes",Table1[[#This Row],[Warranty_Claim]]="No"),Table1[[#This Row],[Service_Revenue]],0)</f>
        <v>367992</v>
      </c>
      <c r="V1351" s="4">
        <f>IF(Table1[[#This Row],[Warranty_Claim]]="Yes",1,0)</f>
        <v>0</v>
      </c>
      <c r="W1351" s="4">
        <f>IF(Table1[[#This Row],[Rework_Flag]]="No",1,0)</f>
        <v>0</v>
      </c>
      <c r="X1351" s="4">
        <f>IF(Table1[[#This Row],[Rework_Flag]]="Yes",1,0)</f>
        <v>1</v>
      </c>
      <c r="Y1351" s="4">
        <v>1</v>
      </c>
      <c r="Z1351" s="4" t="str">
        <f>IF(Table1[[#This Row],[TAT_Days]]&gt;Table1[[#This Row],[SLA_TAT]],"Yes","No")</f>
        <v>Yes</v>
      </c>
      <c r="AA1351" s="4" t="str" cm="1">
        <f t="array" ref="AA1351">_xlfn.IFS(Table1[[#This Row],[Customer_Satisfaction]]&lt;=2,"Poor",Table1[[#This Row],[Customer_Satisfaction]]=3,"Neutral",Table1[[#This Row],[Customer_Satisfaction]]=4,"Good",Table1[[#This Row],[Customer_Satisfaction]]=5,"Good")</f>
        <v>Poor</v>
      </c>
    </row>
    <row r="1352" spans="1:27" x14ac:dyDescent="0.35">
      <c r="A1352">
        <v>21350</v>
      </c>
      <c r="B1352" s="1">
        <v>45308</v>
      </c>
      <c r="C1352" t="s">
        <v>19</v>
      </c>
      <c r="D1352" t="s">
        <v>96</v>
      </c>
      <c r="E1352" t="s">
        <v>108</v>
      </c>
      <c r="F1352" t="s">
        <v>40</v>
      </c>
      <c r="G1352" t="s">
        <v>33</v>
      </c>
      <c r="H1352" t="s">
        <v>34</v>
      </c>
      <c r="I1352" t="s">
        <v>25</v>
      </c>
      <c r="J1352" t="s">
        <v>58</v>
      </c>
      <c r="K1352" t="s">
        <v>27</v>
      </c>
      <c r="L1352" t="s">
        <v>49</v>
      </c>
      <c r="M1352" s="4">
        <v>18</v>
      </c>
      <c r="N1352" s="4">
        <v>7</v>
      </c>
      <c r="O1352" t="s">
        <v>29</v>
      </c>
      <c r="P1352" t="s">
        <v>36</v>
      </c>
      <c r="Q1352" s="4">
        <v>459709</v>
      </c>
      <c r="R1352" s="4">
        <v>244245</v>
      </c>
      <c r="S1352" s="4">
        <f>Table1[[#This Row],[Service_Revenue]]-Table1[[#This Row],[Service_Cost]]</f>
        <v>215464</v>
      </c>
      <c r="T1352" s="4">
        <v>1</v>
      </c>
      <c r="U1352" s="4">
        <f>IF(AND(Table1[[#This Row],[Rework_Flag]]="Yes",Table1[[#This Row],[Warranty_Claim]]="No"),Table1[[#This Row],[Service_Revenue]],0)</f>
        <v>459709</v>
      </c>
      <c r="V1352" s="4">
        <f>IF(Table1[[#This Row],[Warranty_Claim]]="Yes",1,0)</f>
        <v>0</v>
      </c>
      <c r="W1352" s="4">
        <f>IF(Table1[[#This Row],[Rework_Flag]]="No",1,0)</f>
        <v>0</v>
      </c>
      <c r="X1352" s="4">
        <f>IF(Table1[[#This Row],[Rework_Flag]]="Yes",1,0)</f>
        <v>1</v>
      </c>
      <c r="Y1352" s="4">
        <v>1</v>
      </c>
      <c r="Z1352" s="4" t="str">
        <f>IF(Table1[[#This Row],[TAT_Days]]&gt;Table1[[#This Row],[SLA_TAT]],"Yes","No")</f>
        <v>Yes</v>
      </c>
      <c r="AA1352" s="4" t="str" cm="1">
        <f t="array" ref="AA1352">_xlfn.IFS(Table1[[#This Row],[Customer_Satisfaction]]&lt;=2,"Poor",Table1[[#This Row],[Customer_Satisfaction]]=3,"Neutral",Table1[[#This Row],[Customer_Satisfaction]]=4,"Good",Table1[[#This Row],[Customer_Satisfaction]]=5,"Good")</f>
        <v>Poor</v>
      </c>
    </row>
    <row r="1353" spans="1:27" x14ac:dyDescent="0.35">
      <c r="A1353">
        <v>21351</v>
      </c>
      <c r="B1353" s="1">
        <v>45353</v>
      </c>
      <c r="C1353" t="s">
        <v>50</v>
      </c>
      <c r="D1353" t="s">
        <v>80</v>
      </c>
      <c r="E1353" t="s">
        <v>104</v>
      </c>
      <c r="F1353" t="s">
        <v>40</v>
      </c>
      <c r="G1353" t="s">
        <v>41</v>
      </c>
      <c r="H1353" t="s">
        <v>42</v>
      </c>
      <c r="I1353" t="s">
        <v>55</v>
      </c>
      <c r="J1353" t="s">
        <v>43</v>
      </c>
      <c r="K1353" t="s">
        <v>44</v>
      </c>
      <c r="L1353" t="s">
        <v>49</v>
      </c>
      <c r="M1353" s="4">
        <v>21</v>
      </c>
      <c r="N1353" s="4">
        <v>7</v>
      </c>
      <c r="O1353" t="s">
        <v>36</v>
      </c>
      <c r="P1353" t="s">
        <v>36</v>
      </c>
      <c r="Q1353" s="4">
        <v>227617</v>
      </c>
      <c r="R1353" s="4">
        <v>182774</v>
      </c>
      <c r="S1353" s="4">
        <f>Table1[[#This Row],[Service_Revenue]]-Table1[[#This Row],[Service_Cost]]</f>
        <v>44843</v>
      </c>
      <c r="T1353" s="4">
        <v>1</v>
      </c>
      <c r="U1353" s="4">
        <f>IF(AND(Table1[[#This Row],[Rework_Flag]]="Yes",Table1[[#This Row],[Warranty_Claim]]="No"),Table1[[#This Row],[Service_Revenue]],0)</f>
        <v>0</v>
      </c>
      <c r="V1353" s="4">
        <f>IF(Table1[[#This Row],[Warranty_Claim]]="Yes",1,0)</f>
        <v>0</v>
      </c>
      <c r="W1353" s="4">
        <f>IF(Table1[[#This Row],[Rework_Flag]]="No",1,0)</f>
        <v>1</v>
      </c>
      <c r="X1353" s="4">
        <f>IF(Table1[[#This Row],[Rework_Flag]]="Yes",1,0)</f>
        <v>0</v>
      </c>
      <c r="Y1353" s="4">
        <v>1</v>
      </c>
      <c r="Z1353" s="4" t="str">
        <f>IF(Table1[[#This Row],[TAT_Days]]&gt;Table1[[#This Row],[SLA_TAT]],"Yes","No")</f>
        <v>Yes</v>
      </c>
      <c r="AA1353" s="4" t="str" cm="1">
        <f t="array" ref="AA1353">_xlfn.IFS(Table1[[#This Row],[Customer_Satisfaction]]&lt;=2,"Poor",Table1[[#This Row],[Customer_Satisfaction]]=3,"Neutral",Table1[[#This Row],[Customer_Satisfaction]]=4,"Good",Table1[[#This Row],[Customer_Satisfaction]]=5,"Good")</f>
        <v>Poor</v>
      </c>
    </row>
    <row r="1354" spans="1:27" x14ac:dyDescent="0.35">
      <c r="A1354">
        <v>21352</v>
      </c>
      <c r="B1354" s="1">
        <v>45472</v>
      </c>
      <c r="C1354" t="s">
        <v>30</v>
      </c>
      <c r="D1354" t="s">
        <v>31</v>
      </c>
      <c r="E1354" t="s">
        <v>106</v>
      </c>
      <c r="F1354" t="s">
        <v>22</v>
      </c>
      <c r="G1354" t="s">
        <v>74</v>
      </c>
      <c r="H1354" t="s">
        <v>34</v>
      </c>
      <c r="I1354" t="s">
        <v>55</v>
      </c>
      <c r="J1354" t="s">
        <v>43</v>
      </c>
      <c r="K1354" t="s">
        <v>61</v>
      </c>
      <c r="L1354" t="s">
        <v>49</v>
      </c>
      <c r="M1354" s="4">
        <v>11</v>
      </c>
      <c r="N1354" s="4">
        <v>7</v>
      </c>
      <c r="O1354" t="s">
        <v>29</v>
      </c>
      <c r="P1354" t="s">
        <v>36</v>
      </c>
      <c r="Q1354" s="4">
        <v>278567</v>
      </c>
      <c r="R1354" s="4">
        <v>213752</v>
      </c>
      <c r="S1354" s="4">
        <f>Table1[[#This Row],[Service_Revenue]]-Table1[[#This Row],[Service_Cost]]</f>
        <v>64815</v>
      </c>
      <c r="T1354" s="4">
        <v>2</v>
      </c>
      <c r="U1354" s="4">
        <f>IF(AND(Table1[[#This Row],[Rework_Flag]]="Yes",Table1[[#This Row],[Warranty_Claim]]="No"),Table1[[#This Row],[Service_Revenue]],0)</f>
        <v>278567</v>
      </c>
      <c r="V1354" s="4">
        <f>IF(Table1[[#This Row],[Warranty_Claim]]="Yes",1,0)</f>
        <v>0</v>
      </c>
      <c r="W1354" s="4">
        <f>IF(Table1[[#This Row],[Rework_Flag]]="No",1,0)</f>
        <v>0</v>
      </c>
      <c r="X1354" s="4">
        <f>IF(Table1[[#This Row],[Rework_Flag]]="Yes",1,0)</f>
        <v>1</v>
      </c>
      <c r="Y1354" s="4">
        <v>1</v>
      </c>
      <c r="Z1354" s="4" t="str">
        <f>IF(Table1[[#This Row],[TAT_Days]]&gt;Table1[[#This Row],[SLA_TAT]],"Yes","No")</f>
        <v>Yes</v>
      </c>
      <c r="AA1354" s="4" t="str" cm="1">
        <f t="array" ref="AA1354">_xlfn.IFS(Table1[[#This Row],[Customer_Satisfaction]]&lt;=2,"Poor",Table1[[#This Row],[Customer_Satisfaction]]=3,"Neutral",Table1[[#This Row],[Customer_Satisfaction]]=4,"Good",Table1[[#This Row],[Customer_Satisfaction]]=5,"Good")</f>
        <v>Poor</v>
      </c>
    </row>
    <row r="1355" spans="1:27" x14ac:dyDescent="0.35">
      <c r="A1355">
        <v>21353</v>
      </c>
      <c r="B1355" s="1">
        <v>45383</v>
      </c>
      <c r="C1355" t="s">
        <v>50</v>
      </c>
      <c r="D1355" t="s">
        <v>51</v>
      </c>
      <c r="E1355" t="s">
        <v>120</v>
      </c>
      <c r="F1355" t="s">
        <v>53</v>
      </c>
      <c r="G1355" t="s">
        <v>54</v>
      </c>
      <c r="H1355" t="s">
        <v>42</v>
      </c>
      <c r="I1355" t="s">
        <v>25</v>
      </c>
      <c r="J1355" t="s">
        <v>35</v>
      </c>
      <c r="K1355" t="s">
        <v>44</v>
      </c>
      <c r="L1355" t="s">
        <v>49</v>
      </c>
      <c r="M1355" s="4">
        <v>19</v>
      </c>
      <c r="N1355" s="4">
        <v>7</v>
      </c>
      <c r="O1355" t="s">
        <v>29</v>
      </c>
      <c r="P1355" t="s">
        <v>36</v>
      </c>
      <c r="Q1355" s="4">
        <v>213200</v>
      </c>
      <c r="R1355" s="4">
        <v>155688</v>
      </c>
      <c r="S1355" s="4">
        <f>Table1[[#This Row],[Service_Revenue]]-Table1[[#This Row],[Service_Cost]]</f>
        <v>57512</v>
      </c>
      <c r="T1355" s="4">
        <v>1</v>
      </c>
      <c r="U1355" s="4">
        <f>IF(AND(Table1[[#This Row],[Rework_Flag]]="Yes",Table1[[#This Row],[Warranty_Claim]]="No"),Table1[[#This Row],[Service_Revenue]],0)</f>
        <v>213200</v>
      </c>
      <c r="V1355" s="4">
        <f>IF(Table1[[#This Row],[Warranty_Claim]]="Yes",1,0)</f>
        <v>0</v>
      </c>
      <c r="W1355" s="4">
        <f>IF(Table1[[#This Row],[Rework_Flag]]="No",1,0)</f>
        <v>0</v>
      </c>
      <c r="X1355" s="4">
        <f>IF(Table1[[#This Row],[Rework_Flag]]="Yes",1,0)</f>
        <v>1</v>
      </c>
      <c r="Y1355" s="4">
        <v>1</v>
      </c>
      <c r="Z1355" s="4" t="str">
        <f>IF(Table1[[#This Row],[TAT_Days]]&gt;Table1[[#This Row],[SLA_TAT]],"Yes","No")</f>
        <v>Yes</v>
      </c>
      <c r="AA1355" s="4" t="str" cm="1">
        <f t="array" ref="AA1355">_xlfn.IFS(Table1[[#This Row],[Customer_Satisfaction]]&lt;=2,"Poor",Table1[[#This Row],[Customer_Satisfaction]]=3,"Neutral",Table1[[#This Row],[Customer_Satisfaction]]=4,"Good",Table1[[#This Row],[Customer_Satisfaction]]=5,"Good")</f>
        <v>Poor</v>
      </c>
    </row>
    <row r="1356" spans="1:27" x14ac:dyDescent="0.35">
      <c r="A1356">
        <v>21354</v>
      </c>
      <c r="B1356" s="1">
        <v>45459</v>
      </c>
      <c r="C1356" t="s">
        <v>50</v>
      </c>
      <c r="D1356" t="s">
        <v>56</v>
      </c>
      <c r="E1356" t="s">
        <v>101</v>
      </c>
      <c r="F1356" t="s">
        <v>40</v>
      </c>
      <c r="G1356" t="s">
        <v>23</v>
      </c>
      <c r="H1356" t="s">
        <v>24</v>
      </c>
      <c r="I1356" t="s">
        <v>25</v>
      </c>
      <c r="J1356" t="s">
        <v>26</v>
      </c>
      <c r="K1356" t="s">
        <v>27</v>
      </c>
      <c r="L1356" t="s">
        <v>28</v>
      </c>
      <c r="M1356" s="4">
        <v>23</v>
      </c>
      <c r="N1356" s="4">
        <v>7</v>
      </c>
      <c r="O1356" t="s">
        <v>29</v>
      </c>
      <c r="P1356" t="s">
        <v>36</v>
      </c>
      <c r="Q1356" s="4">
        <v>147487</v>
      </c>
      <c r="R1356" s="4">
        <v>78268</v>
      </c>
      <c r="S1356" s="4">
        <f>Table1[[#This Row],[Service_Revenue]]-Table1[[#This Row],[Service_Cost]]</f>
        <v>69219</v>
      </c>
      <c r="T1356" s="4">
        <v>1</v>
      </c>
      <c r="U1356" s="4">
        <f>IF(AND(Table1[[#This Row],[Rework_Flag]]="Yes",Table1[[#This Row],[Warranty_Claim]]="No"),Table1[[#This Row],[Service_Revenue]],0)</f>
        <v>147487</v>
      </c>
      <c r="V1356" s="4">
        <f>IF(Table1[[#This Row],[Warranty_Claim]]="Yes",1,0)</f>
        <v>0</v>
      </c>
      <c r="W1356" s="4">
        <f>IF(Table1[[#This Row],[Rework_Flag]]="No",1,0)</f>
        <v>0</v>
      </c>
      <c r="X1356" s="4">
        <f>IF(Table1[[#This Row],[Rework_Flag]]="Yes",1,0)</f>
        <v>1</v>
      </c>
      <c r="Y1356" s="4">
        <v>1</v>
      </c>
      <c r="Z1356" s="4" t="str">
        <f>IF(Table1[[#This Row],[TAT_Days]]&gt;Table1[[#This Row],[SLA_TAT]],"Yes","No")</f>
        <v>Yes</v>
      </c>
      <c r="AA1356" s="4" t="str" cm="1">
        <f t="array" ref="AA1356">_xlfn.IFS(Table1[[#This Row],[Customer_Satisfaction]]&lt;=2,"Poor",Table1[[#This Row],[Customer_Satisfaction]]=3,"Neutral",Table1[[#This Row],[Customer_Satisfaction]]=4,"Good",Table1[[#This Row],[Customer_Satisfaction]]=5,"Good")</f>
        <v>Poor</v>
      </c>
    </row>
    <row r="1357" spans="1:27" x14ac:dyDescent="0.35">
      <c r="A1357">
        <v>21355</v>
      </c>
      <c r="B1357" s="1">
        <v>45394</v>
      </c>
      <c r="C1357" t="s">
        <v>50</v>
      </c>
      <c r="D1357" t="s">
        <v>56</v>
      </c>
      <c r="E1357" t="s">
        <v>57</v>
      </c>
      <c r="F1357" t="s">
        <v>53</v>
      </c>
      <c r="G1357" t="s">
        <v>23</v>
      </c>
      <c r="H1357" t="s">
        <v>24</v>
      </c>
      <c r="I1357" t="s">
        <v>55</v>
      </c>
      <c r="J1357" t="s">
        <v>43</v>
      </c>
      <c r="K1357" t="s">
        <v>27</v>
      </c>
      <c r="L1357" t="s">
        <v>49</v>
      </c>
      <c r="M1357" s="4">
        <v>8</v>
      </c>
      <c r="N1357" s="4">
        <v>7</v>
      </c>
      <c r="O1357" t="s">
        <v>29</v>
      </c>
      <c r="P1357" t="s">
        <v>36</v>
      </c>
      <c r="Q1357" s="4">
        <v>227171</v>
      </c>
      <c r="R1357" s="4">
        <v>126472</v>
      </c>
      <c r="S1357" s="4">
        <f>Table1[[#This Row],[Service_Revenue]]-Table1[[#This Row],[Service_Cost]]</f>
        <v>100699</v>
      </c>
      <c r="T1357" s="4">
        <v>3</v>
      </c>
      <c r="U1357" s="4">
        <f>IF(AND(Table1[[#This Row],[Rework_Flag]]="Yes",Table1[[#This Row],[Warranty_Claim]]="No"),Table1[[#This Row],[Service_Revenue]],0)</f>
        <v>227171</v>
      </c>
      <c r="V1357" s="4">
        <f>IF(Table1[[#This Row],[Warranty_Claim]]="Yes",1,0)</f>
        <v>0</v>
      </c>
      <c r="W1357" s="4">
        <f>IF(Table1[[#This Row],[Rework_Flag]]="No",1,0)</f>
        <v>0</v>
      </c>
      <c r="X1357" s="4">
        <f>IF(Table1[[#This Row],[Rework_Flag]]="Yes",1,0)</f>
        <v>1</v>
      </c>
      <c r="Y1357" s="4">
        <v>1</v>
      </c>
      <c r="Z1357" s="4" t="str">
        <f>IF(Table1[[#This Row],[TAT_Days]]&gt;Table1[[#This Row],[SLA_TAT]],"Yes","No")</f>
        <v>Yes</v>
      </c>
      <c r="AA1357" s="4" t="str" cm="1">
        <f t="array" ref="AA1357">_xlfn.IFS(Table1[[#This Row],[Customer_Satisfaction]]&lt;=2,"Poor",Table1[[#This Row],[Customer_Satisfaction]]=3,"Neutral",Table1[[#This Row],[Customer_Satisfaction]]=4,"Good",Table1[[#This Row],[Customer_Satisfaction]]=5,"Good")</f>
        <v>Neutral</v>
      </c>
    </row>
    <row r="1358" spans="1:27" x14ac:dyDescent="0.35">
      <c r="A1358">
        <v>21356</v>
      </c>
      <c r="B1358" s="1">
        <v>45459</v>
      </c>
      <c r="C1358" t="s">
        <v>37</v>
      </c>
      <c r="D1358" t="s">
        <v>64</v>
      </c>
      <c r="E1358" t="s">
        <v>87</v>
      </c>
      <c r="F1358" t="s">
        <v>53</v>
      </c>
      <c r="G1358" t="s">
        <v>41</v>
      </c>
      <c r="H1358" t="s">
        <v>42</v>
      </c>
      <c r="I1358" t="s">
        <v>55</v>
      </c>
      <c r="J1358" t="s">
        <v>58</v>
      </c>
      <c r="K1358" t="s">
        <v>44</v>
      </c>
      <c r="L1358" t="s">
        <v>28</v>
      </c>
      <c r="M1358" s="4">
        <v>10</v>
      </c>
      <c r="N1358" s="4">
        <v>7</v>
      </c>
      <c r="O1358" t="s">
        <v>36</v>
      </c>
      <c r="P1358" t="s">
        <v>36</v>
      </c>
      <c r="Q1358" s="4">
        <v>358961</v>
      </c>
      <c r="R1358" s="4">
        <v>248816</v>
      </c>
      <c r="S1358" s="4">
        <f>Table1[[#This Row],[Service_Revenue]]-Table1[[#This Row],[Service_Cost]]</f>
        <v>110145</v>
      </c>
      <c r="T1358" s="4">
        <v>3</v>
      </c>
      <c r="U1358" s="4">
        <f>IF(AND(Table1[[#This Row],[Rework_Flag]]="Yes",Table1[[#This Row],[Warranty_Claim]]="No"),Table1[[#This Row],[Service_Revenue]],0)</f>
        <v>0</v>
      </c>
      <c r="V1358" s="4">
        <f>IF(Table1[[#This Row],[Warranty_Claim]]="Yes",1,0)</f>
        <v>0</v>
      </c>
      <c r="W1358" s="4">
        <f>IF(Table1[[#This Row],[Rework_Flag]]="No",1,0)</f>
        <v>1</v>
      </c>
      <c r="X1358" s="4">
        <f>IF(Table1[[#This Row],[Rework_Flag]]="Yes",1,0)</f>
        <v>0</v>
      </c>
      <c r="Y1358" s="4">
        <v>1</v>
      </c>
      <c r="Z1358" s="4" t="str">
        <f>IF(Table1[[#This Row],[TAT_Days]]&gt;Table1[[#This Row],[SLA_TAT]],"Yes","No")</f>
        <v>Yes</v>
      </c>
      <c r="AA1358" s="4" t="str" cm="1">
        <f t="array" ref="AA1358">_xlfn.IFS(Table1[[#This Row],[Customer_Satisfaction]]&lt;=2,"Poor",Table1[[#This Row],[Customer_Satisfaction]]=3,"Neutral",Table1[[#This Row],[Customer_Satisfaction]]=4,"Good",Table1[[#This Row],[Customer_Satisfaction]]=5,"Good")</f>
        <v>Neutral</v>
      </c>
    </row>
    <row r="1359" spans="1:27" x14ac:dyDescent="0.35">
      <c r="A1359">
        <v>21357</v>
      </c>
      <c r="B1359" s="1">
        <v>45449</v>
      </c>
      <c r="C1359" t="s">
        <v>30</v>
      </c>
      <c r="D1359" t="s">
        <v>31</v>
      </c>
      <c r="E1359" t="s">
        <v>62</v>
      </c>
      <c r="F1359" t="s">
        <v>22</v>
      </c>
      <c r="G1359" t="s">
        <v>54</v>
      </c>
      <c r="H1359" t="s">
        <v>42</v>
      </c>
      <c r="I1359" t="s">
        <v>25</v>
      </c>
      <c r="J1359" t="s">
        <v>58</v>
      </c>
      <c r="K1359" t="s">
        <v>27</v>
      </c>
      <c r="L1359" t="s">
        <v>49</v>
      </c>
      <c r="M1359" s="4">
        <v>19</v>
      </c>
      <c r="N1359" s="4">
        <v>7</v>
      </c>
      <c r="O1359" t="s">
        <v>29</v>
      </c>
      <c r="P1359" t="s">
        <v>29</v>
      </c>
      <c r="Q1359" s="4">
        <v>90050</v>
      </c>
      <c r="R1359" s="4">
        <v>45709</v>
      </c>
      <c r="S1359" s="4">
        <f>Table1[[#This Row],[Service_Revenue]]-Table1[[#This Row],[Service_Cost]]</f>
        <v>44341</v>
      </c>
      <c r="T1359" s="4">
        <v>1</v>
      </c>
      <c r="U1359" s="4">
        <f>IF(AND(Table1[[#This Row],[Rework_Flag]]="Yes",Table1[[#This Row],[Warranty_Claim]]="No"),Table1[[#This Row],[Service_Revenue]],0)</f>
        <v>0</v>
      </c>
      <c r="V1359" s="4">
        <f>IF(Table1[[#This Row],[Warranty_Claim]]="Yes",1,0)</f>
        <v>1</v>
      </c>
      <c r="W1359" s="4">
        <f>IF(Table1[[#This Row],[Rework_Flag]]="No",1,0)</f>
        <v>0</v>
      </c>
      <c r="X1359" s="4">
        <f>IF(Table1[[#This Row],[Rework_Flag]]="Yes",1,0)</f>
        <v>1</v>
      </c>
      <c r="Y1359" s="4">
        <v>1</v>
      </c>
      <c r="Z1359" s="4" t="str">
        <f>IF(Table1[[#This Row],[TAT_Days]]&gt;Table1[[#This Row],[SLA_TAT]],"Yes","No")</f>
        <v>Yes</v>
      </c>
      <c r="AA1359" s="4" t="str" cm="1">
        <f t="array" ref="AA1359">_xlfn.IFS(Table1[[#This Row],[Customer_Satisfaction]]&lt;=2,"Poor",Table1[[#This Row],[Customer_Satisfaction]]=3,"Neutral",Table1[[#This Row],[Customer_Satisfaction]]=4,"Good",Table1[[#This Row],[Customer_Satisfaction]]=5,"Good")</f>
        <v>Poor</v>
      </c>
    </row>
    <row r="1360" spans="1:27" x14ac:dyDescent="0.35">
      <c r="A1360">
        <v>21358</v>
      </c>
      <c r="B1360" s="1">
        <v>45426</v>
      </c>
      <c r="C1360" t="s">
        <v>19</v>
      </c>
      <c r="D1360" t="s">
        <v>45</v>
      </c>
      <c r="E1360" t="s">
        <v>114</v>
      </c>
      <c r="F1360" t="s">
        <v>40</v>
      </c>
      <c r="G1360" t="s">
        <v>47</v>
      </c>
      <c r="H1360" t="s">
        <v>48</v>
      </c>
      <c r="I1360" t="s">
        <v>55</v>
      </c>
      <c r="J1360" t="s">
        <v>26</v>
      </c>
      <c r="K1360" t="s">
        <v>61</v>
      </c>
      <c r="L1360" t="s">
        <v>49</v>
      </c>
      <c r="M1360" s="4">
        <v>14</v>
      </c>
      <c r="N1360" s="4">
        <v>7</v>
      </c>
      <c r="O1360" t="s">
        <v>36</v>
      </c>
      <c r="P1360" t="s">
        <v>29</v>
      </c>
      <c r="Q1360" s="4">
        <v>145809</v>
      </c>
      <c r="R1360" s="4">
        <v>84522</v>
      </c>
      <c r="S1360" s="4">
        <f>Table1[[#This Row],[Service_Revenue]]-Table1[[#This Row],[Service_Cost]]</f>
        <v>61287</v>
      </c>
      <c r="T1360" s="4">
        <v>3</v>
      </c>
      <c r="U1360" s="4">
        <f>IF(AND(Table1[[#This Row],[Rework_Flag]]="Yes",Table1[[#This Row],[Warranty_Claim]]="No"),Table1[[#This Row],[Service_Revenue]],0)</f>
        <v>0</v>
      </c>
      <c r="V1360" s="4">
        <f>IF(Table1[[#This Row],[Warranty_Claim]]="Yes",1,0)</f>
        <v>1</v>
      </c>
      <c r="W1360" s="4">
        <f>IF(Table1[[#This Row],[Rework_Flag]]="No",1,0)</f>
        <v>1</v>
      </c>
      <c r="X1360" s="4">
        <f>IF(Table1[[#This Row],[Rework_Flag]]="Yes",1,0)</f>
        <v>0</v>
      </c>
      <c r="Y1360" s="4">
        <v>1</v>
      </c>
      <c r="Z1360" s="4" t="str">
        <f>IF(Table1[[#This Row],[TAT_Days]]&gt;Table1[[#This Row],[SLA_TAT]],"Yes","No")</f>
        <v>Yes</v>
      </c>
      <c r="AA1360" s="4" t="str" cm="1">
        <f t="array" ref="AA1360">_xlfn.IFS(Table1[[#This Row],[Customer_Satisfaction]]&lt;=2,"Poor",Table1[[#This Row],[Customer_Satisfaction]]=3,"Neutral",Table1[[#This Row],[Customer_Satisfaction]]=4,"Good",Table1[[#This Row],[Customer_Satisfaction]]=5,"Good")</f>
        <v>Neutral</v>
      </c>
    </row>
    <row r="1361" spans="1:27" x14ac:dyDescent="0.35">
      <c r="A1361">
        <v>21359</v>
      </c>
      <c r="B1361" s="1">
        <v>45375</v>
      </c>
      <c r="C1361" t="s">
        <v>37</v>
      </c>
      <c r="D1361" t="s">
        <v>38</v>
      </c>
      <c r="E1361" t="s">
        <v>102</v>
      </c>
      <c r="F1361" t="s">
        <v>22</v>
      </c>
      <c r="G1361" t="s">
        <v>63</v>
      </c>
      <c r="H1361" t="s">
        <v>24</v>
      </c>
      <c r="I1361" t="s">
        <v>25</v>
      </c>
      <c r="J1361" t="s">
        <v>26</v>
      </c>
      <c r="K1361" t="s">
        <v>61</v>
      </c>
      <c r="L1361" t="s">
        <v>28</v>
      </c>
      <c r="M1361" s="4">
        <v>15</v>
      </c>
      <c r="N1361" s="4">
        <v>7</v>
      </c>
      <c r="O1361" t="s">
        <v>36</v>
      </c>
      <c r="P1361" t="s">
        <v>36</v>
      </c>
      <c r="Q1361" s="4">
        <v>547968</v>
      </c>
      <c r="R1361" s="4">
        <v>465508</v>
      </c>
      <c r="S1361" s="4">
        <f>Table1[[#This Row],[Service_Revenue]]-Table1[[#This Row],[Service_Cost]]</f>
        <v>82460</v>
      </c>
      <c r="T1361" s="4">
        <v>2</v>
      </c>
      <c r="U1361" s="4">
        <f>IF(AND(Table1[[#This Row],[Rework_Flag]]="Yes",Table1[[#This Row],[Warranty_Claim]]="No"),Table1[[#This Row],[Service_Revenue]],0)</f>
        <v>0</v>
      </c>
      <c r="V1361" s="4">
        <f>IF(Table1[[#This Row],[Warranty_Claim]]="Yes",1,0)</f>
        <v>0</v>
      </c>
      <c r="W1361" s="4">
        <f>IF(Table1[[#This Row],[Rework_Flag]]="No",1,0)</f>
        <v>1</v>
      </c>
      <c r="X1361" s="4">
        <f>IF(Table1[[#This Row],[Rework_Flag]]="Yes",1,0)</f>
        <v>0</v>
      </c>
      <c r="Y1361" s="4">
        <v>1</v>
      </c>
      <c r="Z1361" s="4" t="str">
        <f>IF(Table1[[#This Row],[TAT_Days]]&gt;Table1[[#This Row],[SLA_TAT]],"Yes","No")</f>
        <v>Yes</v>
      </c>
      <c r="AA1361" s="4" t="str" cm="1">
        <f t="array" ref="AA1361">_xlfn.IFS(Table1[[#This Row],[Customer_Satisfaction]]&lt;=2,"Poor",Table1[[#This Row],[Customer_Satisfaction]]=3,"Neutral",Table1[[#This Row],[Customer_Satisfaction]]=4,"Good",Table1[[#This Row],[Customer_Satisfaction]]=5,"Good")</f>
        <v>Poor</v>
      </c>
    </row>
    <row r="1362" spans="1:27" x14ac:dyDescent="0.35">
      <c r="A1362">
        <v>21360</v>
      </c>
      <c r="B1362" s="1">
        <v>45329</v>
      </c>
      <c r="C1362" t="s">
        <v>30</v>
      </c>
      <c r="D1362" t="s">
        <v>59</v>
      </c>
      <c r="E1362" t="s">
        <v>60</v>
      </c>
      <c r="F1362" t="s">
        <v>40</v>
      </c>
      <c r="G1362" t="s">
        <v>63</v>
      </c>
      <c r="H1362" t="s">
        <v>24</v>
      </c>
      <c r="I1362" t="s">
        <v>55</v>
      </c>
      <c r="J1362" t="s">
        <v>67</v>
      </c>
      <c r="K1362" t="s">
        <v>44</v>
      </c>
      <c r="L1362" t="s">
        <v>49</v>
      </c>
      <c r="M1362" s="4">
        <v>25</v>
      </c>
      <c r="N1362" s="4">
        <v>7</v>
      </c>
      <c r="O1362" t="s">
        <v>36</v>
      </c>
      <c r="P1362" t="s">
        <v>36</v>
      </c>
      <c r="Q1362" s="4">
        <v>233823</v>
      </c>
      <c r="R1362" s="4">
        <v>129591</v>
      </c>
      <c r="S1362" s="4">
        <f>Table1[[#This Row],[Service_Revenue]]-Table1[[#This Row],[Service_Cost]]</f>
        <v>104232</v>
      </c>
      <c r="T1362" s="4">
        <v>1</v>
      </c>
      <c r="U1362" s="4">
        <f>IF(AND(Table1[[#This Row],[Rework_Flag]]="Yes",Table1[[#This Row],[Warranty_Claim]]="No"),Table1[[#This Row],[Service_Revenue]],0)</f>
        <v>0</v>
      </c>
      <c r="V1362" s="4">
        <f>IF(Table1[[#This Row],[Warranty_Claim]]="Yes",1,0)</f>
        <v>0</v>
      </c>
      <c r="W1362" s="4">
        <f>IF(Table1[[#This Row],[Rework_Flag]]="No",1,0)</f>
        <v>1</v>
      </c>
      <c r="X1362" s="4">
        <f>IF(Table1[[#This Row],[Rework_Flag]]="Yes",1,0)</f>
        <v>0</v>
      </c>
      <c r="Y1362" s="4">
        <v>1</v>
      </c>
      <c r="Z1362" s="4" t="str">
        <f>IF(Table1[[#This Row],[TAT_Days]]&gt;Table1[[#This Row],[SLA_TAT]],"Yes","No")</f>
        <v>Yes</v>
      </c>
      <c r="AA1362" s="4" t="str" cm="1">
        <f t="array" ref="AA1362">_xlfn.IFS(Table1[[#This Row],[Customer_Satisfaction]]&lt;=2,"Poor",Table1[[#This Row],[Customer_Satisfaction]]=3,"Neutral",Table1[[#This Row],[Customer_Satisfaction]]=4,"Good",Table1[[#This Row],[Customer_Satisfaction]]=5,"Good")</f>
        <v>Poor</v>
      </c>
    </row>
    <row r="1363" spans="1:27" x14ac:dyDescent="0.35">
      <c r="A1363">
        <v>21361</v>
      </c>
      <c r="B1363" s="1">
        <v>45383</v>
      </c>
      <c r="C1363" t="s">
        <v>50</v>
      </c>
      <c r="D1363" t="s">
        <v>56</v>
      </c>
      <c r="E1363" t="s">
        <v>88</v>
      </c>
      <c r="F1363" t="s">
        <v>22</v>
      </c>
      <c r="G1363" t="s">
        <v>33</v>
      </c>
      <c r="H1363" t="s">
        <v>34</v>
      </c>
      <c r="I1363" t="s">
        <v>55</v>
      </c>
      <c r="J1363" t="s">
        <v>43</v>
      </c>
      <c r="K1363" t="s">
        <v>61</v>
      </c>
      <c r="L1363" t="s">
        <v>28</v>
      </c>
      <c r="M1363" s="4">
        <v>23</v>
      </c>
      <c r="N1363" s="4">
        <v>7</v>
      </c>
      <c r="O1363" t="s">
        <v>36</v>
      </c>
      <c r="P1363" t="s">
        <v>36</v>
      </c>
      <c r="Q1363" s="4">
        <v>259277</v>
      </c>
      <c r="R1363" s="4">
        <v>205669</v>
      </c>
      <c r="S1363" s="4">
        <f>Table1[[#This Row],[Service_Revenue]]-Table1[[#This Row],[Service_Cost]]</f>
        <v>53608</v>
      </c>
      <c r="T1363" s="4">
        <v>1</v>
      </c>
      <c r="U1363" s="4">
        <f>IF(AND(Table1[[#This Row],[Rework_Flag]]="Yes",Table1[[#This Row],[Warranty_Claim]]="No"),Table1[[#This Row],[Service_Revenue]],0)</f>
        <v>0</v>
      </c>
      <c r="V1363" s="4">
        <f>IF(Table1[[#This Row],[Warranty_Claim]]="Yes",1,0)</f>
        <v>0</v>
      </c>
      <c r="W1363" s="4">
        <f>IF(Table1[[#This Row],[Rework_Flag]]="No",1,0)</f>
        <v>1</v>
      </c>
      <c r="X1363" s="4">
        <f>IF(Table1[[#This Row],[Rework_Flag]]="Yes",1,0)</f>
        <v>0</v>
      </c>
      <c r="Y1363" s="4">
        <v>1</v>
      </c>
      <c r="Z1363" s="4" t="str">
        <f>IF(Table1[[#This Row],[TAT_Days]]&gt;Table1[[#This Row],[SLA_TAT]],"Yes","No")</f>
        <v>Yes</v>
      </c>
      <c r="AA1363" s="4" t="str" cm="1">
        <f t="array" ref="AA1363">_xlfn.IFS(Table1[[#This Row],[Customer_Satisfaction]]&lt;=2,"Poor",Table1[[#This Row],[Customer_Satisfaction]]=3,"Neutral",Table1[[#This Row],[Customer_Satisfaction]]=4,"Good",Table1[[#This Row],[Customer_Satisfaction]]=5,"Good")</f>
        <v>Poor</v>
      </c>
    </row>
    <row r="1364" spans="1:27" x14ac:dyDescent="0.35">
      <c r="A1364">
        <v>21362</v>
      </c>
      <c r="B1364" s="1">
        <v>45354</v>
      </c>
      <c r="C1364" t="s">
        <v>19</v>
      </c>
      <c r="D1364" t="s">
        <v>45</v>
      </c>
      <c r="E1364" t="s">
        <v>99</v>
      </c>
      <c r="F1364" t="s">
        <v>40</v>
      </c>
      <c r="G1364" t="s">
        <v>33</v>
      </c>
      <c r="H1364" t="s">
        <v>34</v>
      </c>
      <c r="I1364" t="s">
        <v>55</v>
      </c>
      <c r="J1364" t="s">
        <v>67</v>
      </c>
      <c r="K1364" t="s">
        <v>44</v>
      </c>
      <c r="L1364" t="s">
        <v>28</v>
      </c>
      <c r="M1364" s="4">
        <v>12</v>
      </c>
      <c r="N1364" s="4">
        <v>7</v>
      </c>
      <c r="O1364" t="s">
        <v>36</v>
      </c>
      <c r="P1364" t="s">
        <v>36</v>
      </c>
      <c r="Q1364" s="4">
        <v>305133</v>
      </c>
      <c r="R1364" s="4">
        <v>255722</v>
      </c>
      <c r="S1364" s="4">
        <f>Table1[[#This Row],[Service_Revenue]]-Table1[[#This Row],[Service_Cost]]</f>
        <v>49411</v>
      </c>
      <c r="T1364" s="4">
        <v>3</v>
      </c>
      <c r="U1364" s="4">
        <f>IF(AND(Table1[[#This Row],[Rework_Flag]]="Yes",Table1[[#This Row],[Warranty_Claim]]="No"),Table1[[#This Row],[Service_Revenue]],0)</f>
        <v>0</v>
      </c>
      <c r="V1364" s="4">
        <f>IF(Table1[[#This Row],[Warranty_Claim]]="Yes",1,0)</f>
        <v>0</v>
      </c>
      <c r="W1364" s="4">
        <f>IF(Table1[[#This Row],[Rework_Flag]]="No",1,0)</f>
        <v>1</v>
      </c>
      <c r="X1364" s="4">
        <f>IF(Table1[[#This Row],[Rework_Flag]]="Yes",1,0)</f>
        <v>0</v>
      </c>
      <c r="Y1364" s="4">
        <v>1</v>
      </c>
      <c r="Z1364" s="4" t="str">
        <f>IF(Table1[[#This Row],[TAT_Days]]&gt;Table1[[#This Row],[SLA_TAT]],"Yes","No")</f>
        <v>Yes</v>
      </c>
      <c r="AA1364" s="4" t="str" cm="1">
        <f t="array" ref="AA1364">_xlfn.IFS(Table1[[#This Row],[Customer_Satisfaction]]&lt;=2,"Poor",Table1[[#This Row],[Customer_Satisfaction]]=3,"Neutral",Table1[[#This Row],[Customer_Satisfaction]]=4,"Good",Table1[[#This Row],[Customer_Satisfaction]]=5,"Good")</f>
        <v>Neutral</v>
      </c>
    </row>
    <row r="1365" spans="1:27" x14ac:dyDescent="0.35">
      <c r="A1365">
        <v>21363</v>
      </c>
      <c r="B1365" s="1">
        <v>45464</v>
      </c>
      <c r="C1365" t="s">
        <v>37</v>
      </c>
      <c r="D1365" t="s">
        <v>70</v>
      </c>
      <c r="E1365" t="s">
        <v>71</v>
      </c>
      <c r="F1365" t="s">
        <v>22</v>
      </c>
      <c r="G1365" t="s">
        <v>54</v>
      </c>
      <c r="H1365" t="s">
        <v>42</v>
      </c>
      <c r="I1365" t="s">
        <v>25</v>
      </c>
      <c r="J1365" t="s">
        <v>67</v>
      </c>
      <c r="K1365" t="s">
        <v>27</v>
      </c>
      <c r="L1365" t="s">
        <v>28</v>
      </c>
      <c r="M1365" s="4">
        <v>19</v>
      </c>
      <c r="N1365" s="4">
        <v>7</v>
      </c>
      <c r="O1365" t="s">
        <v>29</v>
      </c>
      <c r="P1365" t="s">
        <v>36</v>
      </c>
      <c r="Q1365" s="4">
        <v>181605</v>
      </c>
      <c r="R1365" s="4">
        <v>97770</v>
      </c>
      <c r="S1365" s="4">
        <f>Table1[[#This Row],[Service_Revenue]]-Table1[[#This Row],[Service_Cost]]</f>
        <v>83835</v>
      </c>
      <c r="T1365" s="4">
        <v>1</v>
      </c>
      <c r="U1365" s="4">
        <f>IF(AND(Table1[[#This Row],[Rework_Flag]]="Yes",Table1[[#This Row],[Warranty_Claim]]="No"),Table1[[#This Row],[Service_Revenue]],0)</f>
        <v>181605</v>
      </c>
      <c r="V1365" s="4">
        <f>IF(Table1[[#This Row],[Warranty_Claim]]="Yes",1,0)</f>
        <v>0</v>
      </c>
      <c r="W1365" s="4">
        <f>IF(Table1[[#This Row],[Rework_Flag]]="No",1,0)</f>
        <v>0</v>
      </c>
      <c r="X1365" s="4">
        <f>IF(Table1[[#This Row],[Rework_Flag]]="Yes",1,0)</f>
        <v>1</v>
      </c>
      <c r="Y1365" s="4">
        <v>1</v>
      </c>
      <c r="Z1365" s="4" t="str">
        <f>IF(Table1[[#This Row],[TAT_Days]]&gt;Table1[[#This Row],[SLA_TAT]],"Yes","No")</f>
        <v>Yes</v>
      </c>
      <c r="AA1365" s="4" t="str" cm="1">
        <f t="array" ref="AA1365">_xlfn.IFS(Table1[[#This Row],[Customer_Satisfaction]]&lt;=2,"Poor",Table1[[#This Row],[Customer_Satisfaction]]=3,"Neutral",Table1[[#This Row],[Customer_Satisfaction]]=4,"Good",Table1[[#This Row],[Customer_Satisfaction]]=5,"Good")</f>
        <v>Poor</v>
      </c>
    </row>
    <row r="1366" spans="1:27" x14ac:dyDescent="0.35">
      <c r="A1366">
        <v>21364</v>
      </c>
      <c r="B1366" s="1">
        <v>45438</v>
      </c>
      <c r="C1366" t="s">
        <v>30</v>
      </c>
      <c r="D1366" t="s">
        <v>59</v>
      </c>
      <c r="E1366" t="s">
        <v>69</v>
      </c>
      <c r="F1366" t="s">
        <v>40</v>
      </c>
      <c r="G1366" t="s">
        <v>23</v>
      </c>
      <c r="H1366" t="s">
        <v>24</v>
      </c>
      <c r="I1366" t="s">
        <v>55</v>
      </c>
      <c r="J1366" t="s">
        <v>35</v>
      </c>
      <c r="K1366" t="s">
        <v>61</v>
      </c>
      <c r="L1366" t="s">
        <v>49</v>
      </c>
      <c r="M1366" s="4">
        <v>9</v>
      </c>
      <c r="N1366" s="4">
        <v>7</v>
      </c>
      <c r="O1366" t="s">
        <v>36</v>
      </c>
      <c r="P1366" t="s">
        <v>36</v>
      </c>
      <c r="Q1366" s="4">
        <v>243634</v>
      </c>
      <c r="R1366" s="4">
        <v>179300</v>
      </c>
      <c r="S1366" s="4">
        <f>Table1[[#This Row],[Service_Revenue]]-Table1[[#This Row],[Service_Cost]]</f>
        <v>64334</v>
      </c>
      <c r="T1366" s="4">
        <v>4</v>
      </c>
      <c r="U1366" s="4">
        <f>IF(AND(Table1[[#This Row],[Rework_Flag]]="Yes",Table1[[#This Row],[Warranty_Claim]]="No"),Table1[[#This Row],[Service_Revenue]],0)</f>
        <v>0</v>
      </c>
      <c r="V1366" s="4">
        <f>IF(Table1[[#This Row],[Warranty_Claim]]="Yes",1,0)</f>
        <v>0</v>
      </c>
      <c r="W1366" s="4">
        <f>IF(Table1[[#This Row],[Rework_Flag]]="No",1,0)</f>
        <v>1</v>
      </c>
      <c r="X1366" s="4">
        <f>IF(Table1[[#This Row],[Rework_Flag]]="Yes",1,0)</f>
        <v>0</v>
      </c>
      <c r="Y1366" s="4">
        <v>1</v>
      </c>
      <c r="Z1366" s="4" t="str">
        <f>IF(Table1[[#This Row],[TAT_Days]]&gt;Table1[[#This Row],[SLA_TAT]],"Yes","No")</f>
        <v>Yes</v>
      </c>
      <c r="AA1366" s="4" t="str" cm="1">
        <f t="array" ref="AA1366">_xlfn.IFS(Table1[[#This Row],[Customer_Satisfaction]]&lt;=2,"Poor",Table1[[#This Row],[Customer_Satisfaction]]=3,"Neutral",Table1[[#This Row],[Customer_Satisfaction]]=4,"Good",Table1[[#This Row],[Customer_Satisfaction]]=5,"Good")</f>
        <v>Good</v>
      </c>
    </row>
    <row r="1367" spans="1:27" x14ac:dyDescent="0.35">
      <c r="A1367">
        <v>21365</v>
      </c>
      <c r="B1367" s="1">
        <v>45323</v>
      </c>
      <c r="C1367" t="s">
        <v>50</v>
      </c>
      <c r="D1367" t="s">
        <v>80</v>
      </c>
      <c r="E1367" t="s">
        <v>85</v>
      </c>
      <c r="F1367" t="s">
        <v>53</v>
      </c>
      <c r="G1367" t="s">
        <v>47</v>
      </c>
      <c r="H1367" t="s">
        <v>48</v>
      </c>
      <c r="I1367" t="s">
        <v>55</v>
      </c>
      <c r="J1367" t="s">
        <v>58</v>
      </c>
      <c r="K1367" t="s">
        <v>61</v>
      </c>
      <c r="L1367" t="s">
        <v>28</v>
      </c>
      <c r="M1367" s="4">
        <v>12</v>
      </c>
      <c r="N1367" s="4">
        <v>7</v>
      </c>
      <c r="O1367" t="s">
        <v>36</v>
      </c>
      <c r="P1367" t="s">
        <v>36</v>
      </c>
      <c r="Q1367" s="4">
        <v>307213</v>
      </c>
      <c r="R1367" s="4">
        <v>259407</v>
      </c>
      <c r="S1367" s="4">
        <f>Table1[[#This Row],[Service_Revenue]]-Table1[[#This Row],[Service_Cost]]</f>
        <v>47806</v>
      </c>
      <c r="T1367" s="4">
        <v>3</v>
      </c>
      <c r="U1367" s="4">
        <f>IF(AND(Table1[[#This Row],[Rework_Flag]]="Yes",Table1[[#This Row],[Warranty_Claim]]="No"),Table1[[#This Row],[Service_Revenue]],0)</f>
        <v>0</v>
      </c>
      <c r="V1367" s="4">
        <f>IF(Table1[[#This Row],[Warranty_Claim]]="Yes",1,0)</f>
        <v>0</v>
      </c>
      <c r="W1367" s="4">
        <f>IF(Table1[[#This Row],[Rework_Flag]]="No",1,0)</f>
        <v>1</v>
      </c>
      <c r="X1367" s="4">
        <f>IF(Table1[[#This Row],[Rework_Flag]]="Yes",1,0)</f>
        <v>0</v>
      </c>
      <c r="Y1367" s="4">
        <v>1</v>
      </c>
      <c r="Z1367" s="4" t="str">
        <f>IF(Table1[[#This Row],[TAT_Days]]&gt;Table1[[#This Row],[SLA_TAT]],"Yes","No")</f>
        <v>Yes</v>
      </c>
      <c r="AA1367" s="4" t="str" cm="1">
        <f t="array" ref="AA1367">_xlfn.IFS(Table1[[#This Row],[Customer_Satisfaction]]&lt;=2,"Poor",Table1[[#This Row],[Customer_Satisfaction]]=3,"Neutral",Table1[[#This Row],[Customer_Satisfaction]]=4,"Good",Table1[[#This Row],[Customer_Satisfaction]]=5,"Good")</f>
        <v>Neutral</v>
      </c>
    </row>
    <row r="1368" spans="1:27" x14ac:dyDescent="0.35">
      <c r="A1368">
        <v>21366</v>
      </c>
      <c r="B1368" s="1">
        <v>45427</v>
      </c>
      <c r="C1368" t="s">
        <v>30</v>
      </c>
      <c r="D1368" t="s">
        <v>59</v>
      </c>
      <c r="E1368" t="s">
        <v>78</v>
      </c>
      <c r="F1368" t="s">
        <v>53</v>
      </c>
      <c r="G1368" t="s">
        <v>23</v>
      </c>
      <c r="H1368" t="s">
        <v>24</v>
      </c>
      <c r="I1368" t="s">
        <v>25</v>
      </c>
      <c r="J1368" t="s">
        <v>67</v>
      </c>
      <c r="K1368" t="s">
        <v>44</v>
      </c>
      <c r="L1368" t="s">
        <v>49</v>
      </c>
      <c r="M1368" s="4">
        <v>14</v>
      </c>
      <c r="N1368" s="4">
        <v>7</v>
      </c>
      <c r="O1368" t="s">
        <v>36</v>
      </c>
      <c r="P1368" t="s">
        <v>36</v>
      </c>
      <c r="Q1368" s="4">
        <v>426336</v>
      </c>
      <c r="R1368" s="4">
        <v>353507</v>
      </c>
      <c r="S1368" s="4">
        <f>Table1[[#This Row],[Service_Revenue]]-Table1[[#This Row],[Service_Cost]]</f>
        <v>72829</v>
      </c>
      <c r="T1368" s="4">
        <v>3</v>
      </c>
      <c r="U1368" s="4">
        <f>IF(AND(Table1[[#This Row],[Rework_Flag]]="Yes",Table1[[#This Row],[Warranty_Claim]]="No"),Table1[[#This Row],[Service_Revenue]],0)</f>
        <v>0</v>
      </c>
      <c r="V1368" s="4">
        <f>IF(Table1[[#This Row],[Warranty_Claim]]="Yes",1,0)</f>
        <v>0</v>
      </c>
      <c r="W1368" s="4">
        <f>IF(Table1[[#This Row],[Rework_Flag]]="No",1,0)</f>
        <v>1</v>
      </c>
      <c r="X1368" s="4">
        <f>IF(Table1[[#This Row],[Rework_Flag]]="Yes",1,0)</f>
        <v>0</v>
      </c>
      <c r="Y1368" s="4">
        <v>1</v>
      </c>
      <c r="Z1368" s="4" t="str">
        <f>IF(Table1[[#This Row],[TAT_Days]]&gt;Table1[[#This Row],[SLA_TAT]],"Yes","No")</f>
        <v>Yes</v>
      </c>
      <c r="AA1368" s="4" t="str" cm="1">
        <f t="array" ref="AA1368">_xlfn.IFS(Table1[[#This Row],[Customer_Satisfaction]]&lt;=2,"Poor",Table1[[#This Row],[Customer_Satisfaction]]=3,"Neutral",Table1[[#This Row],[Customer_Satisfaction]]=4,"Good",Table1[[#This Row],[Customer_Satisfaction]]=5,"Good")</f>
        <v>Neutral</v>
      </c>
    </row>
    <row r="1369" spans="1:27" x14ac:dyDescent="0.35">
      <c r="A1369">
        <v>21367</v>
      </c>
      <c r="B1369" s="1">
        <v>45436</v>
      </c>
      <c r="C1369" t="s">
        <v>19</v>
      </c>
      <c r="D1369" t="s">
        <v>96</v>
      </c>
      <c r="E1369" t="s">
        <v>97</v>
      </c>
      <c r="F1369" t="s">
        <v>40</v>
      </c>
      <c r="G1369" t="s">
        <v>41</v>
      </c>
      <c r="H1369" t="s">
        <v>42</v>
      </c>
      <c r="I1369" t="s">
        <v>25</v>
      </c>
      <c r="J1369" t="s">
        <v>58</v>
      </c>
      <c r="K1369" t="s">
        <v>44</v>
      </c>
      <c r="L1369" t="s">
        <v>28</v>
      </c>
      <c r="M1369" s="4">
        <v>16</v>
      </c>
      <c r="N1369" s="4">
        <v>7</v>
      </c>
      <c r="O1369" t="s">
        <v>36</v>
      </c>
      <c r="P1369" t="s">
        <v>29</v>
      </c>
      <c r="Q1369" s="4">
        <v>410735</v>
      </c>
      <c r="R1369" s="4">
        <v>233356</v>
      </c>
      <c r="S1369" s="4">
        <f>Table1[[#This Row],[Service_Revenue]]-Table1[[#This Row],[Service_Cost]]</f>
        <v>177379</v>
      </c>
      <c r="T1369" s="4">
        <v>2</v>
      </c>
      <c r="U1369" s="4">
        <f>IF(AND(Table1[[#This Row],[Rework_Flag]]="Yes",Table1[[#This Row],[Warranty_Claim]]="No"),Table1[[#This Row],[Service_Revenue]],0)</f>
        <v>0</v>
      </c>
      <c r="V1369" s="4">
        <f>IF(Table1[[#This Row],[Warranty_Claim]]="Yes",1,0)</f>
        <v>1</v>
      </c>
      <c r="W1369" s="4">
        <f>IF(Table1[[#This Row],[Rework_Flag]]="No",1,0)</f>
        <v>1</v>
      </c>
      <c r="X1369" s="4">
        <f>IF(Table1[[#This Row],[Rework_Flag]]="Yes",1,0)</f>
        <v>0</v>
      </c>
      <c r="Y1369" s="4">
        <v>1</v>
      </c>
      <c r="Z1369" s="4" t="str">
        <f>IF(Table1[[#This Row],[TAT_Days]]&gt;Table1[[#This Row],[SLA_TAT]],"Yes","No")</f>
        <v>Yes</v>
      </c>
      <c r="AA1369" s="4" t="str" cm="1">
        <f t="array" ref="AA1369">_xlfn.IFS(Table1[[#This Row],[Customer_Satisfaction]]&lt;=2,"Poor",Table1[[#This Row],[Customer_Satisfaction]]=3,"Neutral",Table1[[#This Row],[Customer_Satisfaction]]=4,"Good",Table1[[#This Row],[Customer_Satisfaction]]=5,"Good")</f>
        <v>Poor</v>
      </c>
    </row>
    <row r="1370" spans="1:27" x14ac:dyDescent="0.35">
      <c r="A1370">
        <v>21368</v>
      </c>
      <c r="B1370" s="1">
        <v>45307</v>
      </c>
      <c r="C1370" t="s">
        <v>19</v>
      </c>
      <c r="D1370" t="s">
        <v>96</v>
      </c>
      <c r="E1370" t="s">
        <v>105</v>
      </c>
      <c r="F1370" t="s">
        <v>53</v>
      </c>
      <c r="G1370" t="s">
        <v>63</v>
      </c>
      <c r="H1370" t="s">
        <v>24</v>
      </c>
      <c r="I1370" t="s">
        <v>25</v>
      </c>
      <c r="J1370" t="s">
        <v>35</v>
      </c>
      <c r="K1370" t="s">
        <v>27</v>
      </c>
      <c r="L1370" t="s">
        <v>49</v>
      </c>
      <c r="M1370" s="4">
        <v>4</v>
      </c>
      <c r="N1370" s="4">
        <v>7</v>
      </c>
      <c r="O1370" t="s">
        <v>36</v>
      </c>
      <c r="P1370" t="s">
        <v>36</v>
      </c>
      <c r="Q1370" s="4">
        <v>475774</v>
      </c>
      <c r="R1370" s="4">
        <v>240134</v>
      </c>
      <c r="S1370" s="4">
        <f>Table1[[#This Row],[Service_Revenue]]-Table1[[#This Row],[Service_Cost]]</f>
        <v>235640</v>
      </c>
      <c r="T1370" s="4">
        <v>5</v>
      </c>
      <c r="U1370" s="4">
        <f>IF(AND(Table1[[#This Row],[Rework_Flag]]="Yes",Table1[[#This Row],[Warranty_Claim]]="No"),Table1[[#This Row],[Service_Revenue]],0)</f>
        <v>0</v>
      </c>
      <c r="V1370" s="4">
        <f>IF(Table1[[#This Row],[Warranty_Claim]]="Yes",1,0)</f>
        <v>0</v>
      </c>
      <c r="W1370" s="4">
        <f>IF(Table1[[#This Row],[Rework_Flag]]="No",1,0)</f>
        <v>1</v>
      </c>
      <c r="X1370" s="4">
        <f>IF(Table1[[#This Row],[Rework_Flag]]="Yes",1,0)</f>
        <v>0</v>
      </c>
      <c r="Y1370" s="4">
        <v>1</v>
      </c>
      <c r="Z1370" s="4" t="str">
        <f>IF(Table1[[#This Row],[TAT_Days]]&gt;Table1[[#This Row],[SLA_TAT]],"Yes","No")</f>
        <v>No</v>
      </c>
      <c r="AA1370" s="4" t="str" cm="1">
        <f t="array" ref="AA1370">_xlfn.IFS(Table1[[#This Row],[Customer_Satisfaction]]&lt;=2,"Poor",Table1[[#This Row],[Customer_Satisfaction]]=3,"Neutral",Table1[[#This Row],[Customer_Satisfaction]]=4,"Good",Table1[[#This Row],[Customer_Satisfaction]]=5,"Good")</f>
        <v>Good</v>
      </c>
    </row>
    <row r="1371" spans="1:27" x14ac:dyDescent="0.35">
      <c r="A1371">
        <v>21369</v>
      </c>
      <c r="B1371" s="1">
        <v>45440</v>
      </c>
      <c r="C1371" t="s">
        <v>37</v>
      </c>
      <c r="D1371" t="s">
        <v>70</v>
      </c>
      <c r="E1371" t="s">
        <v>82</v>
      </c>
      <c r="F1371" t="s">
        <v>53</v>
      </c>
      <c r="G1371" t="s">
        <v>63</v>
      </c>
      <c r="H1371" t="s">
        <v>24</v>
      </c>
      <c r="I1371" t="s">
        <v>25</v>
      </c>
      <c r="J1371" t="s">
        <v>43</v>
      </c>
      <c r="K1371" t="s">
        <v>44</v>
      </c>
      <c r="L1371" t="s">
        <v>49</v>
      </c>
      <c r="M1371" s="4">
        <v>8</v>
      </c>
      <c r="N1371" s="4">
        <v>7</v>
      </c>
      <c r="O1371" t="s">
        <v>29</v>
      </c>
      <c r="P1371" t="s">
        <v>29</v>
      </c>
      <c r="Q1371" s="4">
        <v>227338</v>
      </c>
      <c r="R1371" s="4">
        <v>172498</v>
      </c>
      <c r="S1371" s="4">
        <f>Table1[[#This Row],[Service_Revenue]]-Table1[[#This Row],[Service_Cost]]</f>
        <v>54840</v>
      </c>
      <c r="T1371" s="4">
        <v>3</v>
      </c>
      <c r="U1371" s="4">
        <f>IF(AND(Table1[[#This Row],[Rework_Flag]]="Yes",Table1[[#This Row],[Warranty_Claim]]="No"),Table1[[#This Row],[Service_Revenue]],0)</f>
        <v>0</v>
      </c>
      <c r="V1371" s="4">
        <f>IF(Table1[[#This Row],[Warranty_Claim]]="Yes",1,0)</f>
        <v>1</v>
      </c>
      <c r="W1371" s="4">
        <f>IF(Table1[[#This Row],[Rework_Flag]]="No",1,0)</f>
        <v>0</v>
      </c>
      <c r="X1371" s="4">
        <f>IF(Table1[[#This Row],[Rework_Flag]]="Yes",1,0)</f>
        <v>1</v>
      </c>
      <c r="Y1371" s="4">
        <v>1</v>
      </c>
      <c r="Z1371" s="4" t="str">
        <f>IF(Table1[[#This Row],[TAT_Days]]&gt;Table1[[#This Row],[SLA_TAT]],"Yes","No")</f>
        <v>Yes</v>
      </c>
      <c r="AA1371" s="4" t="str" cm="1">
        <f t="array" ref="AA1371">_xlfn.IFS(Table1[[#This Row],[Customer_Satisfaction]]&lt;=2,"Poor",Table1[[#This Row],[Customer_Satisfaction]]=3,"Neutral",Table1[[#This Row],[Customer_Satisfaction]]=4,"Good",Table1[[#This Row],[Customer_Satisfaction]]=5,"Good")</f>
        <v>Neutral</v>
      </c>
    </row>
    <row r="1372" spans="1:27" x14ac:dyDescent="0.35">
      <c r="A1372">
        <v>21370</v>
      </c>
      <c r="B1372" s="1">
        <v>45438</v>
      </c>
      <c r="C1372" t="s">
        <v>30</v>
      </c>
      <c r="D1372" t="s">
        <v>31</v>
      </c>
      <c r="E1372" t="s">
        <v>106</v>
      </c>
      <c r="F1372" t="s">
        <v>53</v>
      </c>
      <c r="G1372" t="s">
        <v>23</v>
      </c>
      <c r="H1372" t="s">
        <v>24</v>
      </c>
      <c r="I1372" t="s">
        <v>25</v>
      </c>
      <c r="J1372" t="s">
        <v>67</v>
      </c>
      <c r="K1372" t="s">
        <v>61</v>
      </c>
      <c r="L1372" t="s">
        <v>28</v>
      </c>
      <c r="M1372" s="4">
        <v>8</v>
      </c>
      <c r="N1372" s="4">
        <v>7</v>
      </c>
      <c r="O1372" t="s">
        <v>29</v>
      </c>
      <c r="P1372" t="s">
        <v>36</v>
      </c>
      <c r="Q1372" s="4">
        <v>265805</v>
      </c>
      <c r="R1372" s="4">
        <v>222034</v>
      </c>
      <c r="S1372" s="4">
        <f>Table1[[#This Row],[Service_Revenue]]-Table1[[#This Row],[Service_Cost]]</f>
        <v>43771</v>
      </c>
      <c r="T1372" s="4">
        <v>3</v>
      </c>
      <c r="U1372" s="4">
        <f>IF(AND(Table1[[#This Row],[Rework_Flag]]="Yes",Table1[[#This Row],[Warranty_Claim]]="No"),Table1[[#This Row],[Service_Revenue]],0)</f>
        <v>265805</v>
      </c>
      <c r="V1372" s="4">
        <f>IF(Table1[[#This Row],[Warranty_Claim]]="Yes",1,0)</f>
        <v>0</v>
      </c>
      <c r="W1372" s="4">
        <f>IF(Table1[[#This Row],[Rework_Flag]]="No",1,0)</f>
        <v>0</v>
      </c>
      <c r="X1372" s="4">
        <f>IF(Table1[[#This Row],[Rework_Flag]]="Yes",1,0)</f>
        <v>1</v>
      </c>
      <c r="Y1372" s="4">
        <v>1</v>
      </c>
      <c r="Z1372" s="4" t="str">
        <f>IF(Table1[[#This Row],[TAT_Days]]&gt;Table1[[#This Row],[SLA_TAT]],"Yes","No")</f>
        <v>Yes</v>
      </c>
      <c r="AA1372" s="4" t="str" cm="1">
        <f t="array" ref="AA1372">_xlfn.IFS(Table1[[#This Row],[Customer_Satisfaction]]&lt;=2,"Poor",Table1[[#This Row],[Customer_Satisfaction]]=3,"Neutral",Table1[[#This Row],[Customer_Satisfaction]]=4,"Good",Table1[[#This Row],[Customer_Satisfaction]]=5,"Good")</f>
        <v>Neutral</v>
      </c>
    </row>
    <row r="1373" spans="1:27" x14ac:dyDescent="0.35">
      <c r="A1373">
        <v>21371</v>
      </c>
      <c r="B1373" s="1">
        <v>45440</v>
      </c>
      <c r="C1373" t="s">
        <v>30</v>
      </c>
      <c r="D1373" t="s">
        <v>59</v>
      </c>
      <c r="E1373" t="s">
        <v>69</v>
      </c>
      <c r="F1373" t="s">
        <v>53</v>
      </c>
      <c r="G1373" t="s">
        <v>33</v>
      </c>
      <c r="H1373" t="s">
        <v>34</v>
      </c>
      <c r="I1373" t="s">
        <v>55</v>
      </c>
      <c r="J1373" t="s">
        <v>43</v>
      </c>
      <c r="K1373" t="s">
        <v>61</v>
      </c>
      <c r="L1373" t="s">
        <v>28</v>
      </c>
      <c r="M1373" s="4">
        <v>3</v>
      </c>
      <c r="N1373" s="4">
        <v>7</v>
      </c>
      <c r="O1373" t="s">
        <v>36</v>
      </c>
      <c r="P1373" t="s">
        <v>29</v>
      </c>
      <c r="Q1373" s="4">
        <v>111184</v>
      </c>
      <c r="R1373" s="4">
        <v>69813</v>
      </c>
      <c r="S1373" s="4">
        <f>Table1[[#This Row],[Service_Revenue]]-Table1[[#This Row],[Service_Cost]]</f>
        <v>41371</v>
      </c>
      <c r="T1373" s="4">
        <v>5</v>
      </c>
      <c r="U1373" s="4">
        <f>IF(AND(Table1[[#This Row],[Rework_Flag]]="Yes",Table1[[#This Row],[Warranty_Claim]]="No"),Table1[[#This Row],[Service_Revenue]],0)</f>
        <v>0</v>
      </c>
      <c r="V1373" s="4">
        <f>IF(Table1[[#This Row],[Warranty_Claim]]="Yes",1,0)</f>
        <v>1</v>
      </c>
      <c r="W1373" s="4">
        <f>IF(Table1[[#This Row],[Rework_Flag]]="No",1,0)</f>
        <v>1</v>
      </c>
      <c r="X1373" s="4">
        <f>IF(Table1[[#This Row],[Rework_Flag]]="Yes",1,0)</f>
        <v>0</v>
      </c>
      <c r="Y1373" s="4">
        <v>1</v>
      </c>
      <c r="Z1373" s="4" t="str">
        <f>IF(Table1[[#This Row],[TAT_Days]]&gt;Table1[[#This Row],[SLA_TAT]],"Yes","No")</f>
        <v>No</v>
      </c>
      <c r="AA1373" s="4" t="str" cm="1">
        <f t="array" ref="AA1373">_xlfn.IFS(Table1[[#This Row],[Customer_Satisfaction]]&lt;=2,"Poor",Table1[[#This Row],[Customer_Satisfaction]]=3,"Neutral",Table1[[#This Row],[Customer_Satisfaction]]=4,"Good",Table1[[#This Row],[Customer_Satisfaction]]=5,"Good")</f>
        <v>Good</v>
      </c>
    </row>
    <row r="1374" spans="1:27" x14ac:dyDescent="0.35">
      <c r="A1374">
        <v>21372</v>
      </c>
      <c r="B1374" s="1">
        <v>45401</v>
      </c>
      <c r="C1374" t="s">
        <v>19</v>
      </c>
      <c r="D1374" t="s">
        <v>96</v>
      </c>
      <c r="E1374" t="s">
        <v>109</v>
      </c>
      <c r="F1374" t="s">
        <v>40</v>
      </c>
      <c r="G1374" t="s">
        <v>47</v>
      </c>
      <c r="H1374" t="s">
        <v>48</v>
      </c>
      <c r="I1374" t="s">
        <v>25</v>
      </c>
      <c r="J1374" t="s">
        <v>43</v>
      </c>
      <c r="K1374" t="s">
        <v>61</v>
      </c>
      <c r="L1374" t="s">
        <v>49</v>
      </c>
      <c r="M1374" s="4">
        <v>17</v>
      </c>
      <c r="N1374" s="4">
        <v>7</v>
      </c>
      <c r="O1374" t="s">
        <v>36</v>
      </c>
      <c r="P1374" t="s">
        <v>36</v>
      </c>
      <c r="Q1374" s="4">
        <v>312560</v>
      </c>
      <c r="R1374" s="4">
        <v>195491</v>
      </c>
      <c r="S1374" s="4">
        <f>Table1[[#This Row],[Service_Revenue]]-Table1[[#This Row],[Service_Cost]]</f>
        <v>117069</v>
      </c>
      <c r="T1374" s="4">
        <v>2</v>
      </c>
      <c r="U1374" s="4">
        <f>IF(AND(Table1[[#This Row],[Rework_Flag]]="Yes",Table1[[#This Row],[Warranty_Claim]]="No"),Table1[[#This Row],[Service_Revenue]],0)</f>
        <v>0</v>
      </c>
      <c r="V1374" s="4">
        <f>IF(Table1[[#This Row],[Warranty_Claim]]="Yes",1,0)</f>
        <v>0</v>
      </c>
      <c r="W1374" s="4">
        <f>IF(Table1[[#This Row],[Rework_Flag]]="No",1,0)</f>
        <v>1</v>
      </c>
      <c r="X1374" s="4">
        <f>IF(Table1[[#This Row],[Rework_Flag]]="Yes",1,0)</f>
        <v>0</v>
      </c>
      <c r="Y1374" s="4">
        <v>1</v>
      </c>
      <c r="Z1374" s="4" t="str">
        <f>IF(Table1[[#This Row],[TAT_Days]]&gt;Table1[[#This Row],[SLA_TAT]],"Yes","No")</f>
        <v>Yes</v>
      </c>
      <c r="AA1374" s="4" t="str" cm="1">
        <f t="array" ref="AA1374">_xlfn.IFS(Table1[[#This Row],[Customer_Satisfaction]]&lt;=2,"Poor",Table1[[#This Row],[Customer_Satisfaction]]=3,"Neutral",Table1[[#This Row],[Customer_Satisfaction]]=4,"Good",Table1[[#This Row],[Customer_Satisfaction]]=5,"Good")</f>
        <v>Poor</v>
      </c>
    </row>
    <row r="1375" spans="1:27" x14ac:dyDescent="0.35">
      <c r="A1375">
        <v>21373</v>
      </c>
      <c r="B1375" s="1">
        <v>45329</v>
      </c>
      <c r="C1375" t="s">
        <v>37</v>
      </c>
      <c r="D1375" t="s">
        <v>70</v>
      </c>
      <c r="E1375" t="s">
        <v>71</v>
      </c>
      <c r="F1375" t="s">
        <v>40</v>
      </c>
      <c r="G1375" t="s">
        <v>54</v>
      </c>
      <c r="H1375" t="s">
        <v>42</v>
      </c>
      <c r="I1375" t="s">
        <v>25</v>
      </c>
      <c r="J1375" t="s">
        <v>67</v>
      </c>
      <c r="K1375" t="s">
        <v>61</v>
      </c>
      <c r="L1375" t="s">
        <v>28</v>
      </c>
      <c r="M1375" s="4">
        <v>20</v>
      </c>
      <c r="N1375" s="4">
        <v>7</v>
      </c>
      <c r="O1375" t="s">
        <v>29</v>
      </c>
      <c r="P1375" t="s">
        <v>36</v>
      </c>
      <c r="Q1375" s="4">
        <v>385259</v>
      </c>
      <c r="R1375" s="4">
        <v>248218</v>
      </c>
      <c r="S1375" s="4">
        <f>Table1[[#This Row],[Service_Revenue]]-Table1[[#This Row],[Service_Cost]]</f>
        <v>137041</v>
      </c>
      <c r="T1375" s="4">
        <v>1</v>
      </c>
      <c r="U1375" s="4">
        <f>IF(AND(Table1[[#This Row],[Rework_Flag]]="Yes",Table1[[#This Row],[Warranty_Claim]]="No"),Table1[[#This Row],[Service_Revenue]],0)</f>
        <v>385259</v>
      </c>
      <c r="V1375" s="4">
        <f>IF(Table1[[#This Row],[Warranty_Claim]]="Yes",1,0)</f>
        <v>0</v>
      </c>
      <c r="W1375" s="4">
        <f>IF(Table1[[#This Row],[Rework_Flag]]="No",1,0)</f>
        <v>0</v>
      </c>
      <c r="X1375" s="4">
        <f>IF(Table1[[#This Row],[Rework_Flag]]="Yes",1,0)</f>
        <v>1</v>
      </c>
      <c r="Y1375" s="4">
        <v>1</v>
      </c>
      <c r="Z1375" s="4" t="str">
        <f>IF(Table1[[#This Row],[TAT_Days]]&gt;Table1[[#This Row],[SLA_TAT]],"Yes","No")</f>
        <v>Yes</v>
      </c>
      <c r="AA1375" s="4" t="str" cm="1">
        <f t="array" ref="AA1375">_xlfn.IFS(Table1[[#This Row],[Customer_Satisfaction]]&lt;=2,"Poor",Table1[[#This Row],[Customer_Satisfaction]]=3,"Neutral",Table1[[#This Row],[Customer_Satisfaction]]=4,"Good",Table1[[#This Row],[Customer_Satisfaction]]=5,"Good")</f>
        <v>Poor</v>
      </c>
    </row>
    <row r="1376" spans="1:27" x14ac:dyDescent="0.35">
      <c r="A1376">
        <v>21374</v>
      </c>
      <c r="B1376" s="1">
        <v>45387</v>
      </c>
      <c r="C1376" t="s">
        <v>37</v>
      </c>
      <c r="D1376" t="s">
        <v>64</v>
      </c>
      <c r="E1376" t="s">
        <v>103</v>
      </c>
      <c r="F1376" t="s">
        <v>40</v>
      </c>
      <c r="G1376" t="s">
        <v>63</v>
      </c>
      <c r="H1376" t="s">
        <v>24</v>
      </c>
      <c r="I1376" t="s">
        <v>55</v>
      </c>
      <c r="J1376" t="s">
        <v>43</v>
      </c>
      <c r="K1376" t="s">
        <v>61</v>
      </c>
      <c r="L1376" t="s">
        <v>28</v>
      </c>
      <c r="M1376" s="4">
        <v>8</v>
      </c>
      <c r="N1376" s="4">
        <v>7</v>
      </c>
      <c r="O1376" t="s">
        <v>29</v>
      </c>
      <c r="P1376" t="s">
        <v>36</v>
      </c>
      <c r="Q1376" s="4">
        <v>138958</v>
      </c>
      <c r="R1376" s="4">
        <v>93105</v>
      </c>
      <c r="S1376" s="4">
        <f>Table1[[#This Row],[Service_Revenue]]-Table1[[#This Row],[Service_Cost]]</f>
        <v>45853</v>
      </c>
      <c r="T1376" s="4">
        <v>3</v>
      </c>
      <c r="U1376" s="4">
        <f>IF(AND(Table1[[#This Row],[Rework_Flag]]="Yes",Table1[[#This Row],[Warranty_Claim]]="No"),Table1[[#This Row],[Service_Revenue]],0)</f>
        <v>138958</v>
      </c>
      <c r="V1376" s="4">
        <f>IF(Table1[[#This Row],[Warranty_Claim]]="Yes",1,0)</f>
        <v>0</v>
      </c>
      <c r="W1376" s="4">
        <f>IF(Table1[[#This Row],[Rework_Flag]]="No",1,0)</f>
        <v>0</v>
      </c>
      <c r="X1376" s="4">
        <f>IF(Table1[[#This Row],[Rework_Flag]]="Yes",1,0)</f>
        <v>1</v>
      </c>
      <c r="Y1376" s="4">
        <v>1</v>
      </c>
      <c r="Z1376" s="4" t="str">
        <f>IF(Table1[[#This Row],[TAT_Days]]&gt;Table1[[#This Row],[SLA_TAT]],"Yes","No")</f>
        <v>Yes</v>
      </c>
      <c r="AA1376" s="4" t="str" cm="1">
        <f t="array" ref="AA1376">_xlfn.IFS(Table1[[#This Row],[Customer_Satisfaction]]&lt;=2,"Poor",Table1[[#This Row],[Customer_Satisfaction]]=3,"Neutral",Table1[[#This Row],[Customer_Satisfaction]]=4,"Good",Table1[[#This Row],[Customer_Satisfaction]]=5,"Good")</f>
        <v>Neutral</v>
      </c>
    </row>
    <row r="1377" spans="1:27" x14ac:dyDescent="0.35">
      <c r="A1377">
        <v>21375</v>
      </c>
      <c r="B1377" s="1">
        <v>45307</v>
      </c>
      <c r="C1377" t="s">
        <v>37</v>
      </c>
      <c r="D1377" t="s">
        <v>70</v>
      </c>
      <c r="E1377" t="s">
        <v>116</v>
      </c>
      <c r="F1377" t="s">
        <v>22</v>
      </c>
      <c r="G1377" t="s">
        <v>63</v>
      </c>
      <c r="H1377" t="s">
        <v>24</v>
      </c>
      <c r="I1377" t="s">
        <v>25</v>
      </c>
      <c r="J1377" t="s">
        <v>26</v>
      </c>
      <c r="K1377" t="s">
        <v>61</v>
      </c>
      <c r="L1377" t="s">
        <v>49</v>
      </c>
      <c r="M1377" s="4">
        <v>23</v>
      </c>
      <c r="N1377" s="4">
        <v>7</v>
      </c>
      <c r="O1377" t="s">
        <v>29</v>
      </c>
      <c r="P1377" t="s">
        <v>36</v>
      </c>
      <c r="Q1377" s="4">
        <v>486327</v>
      </c>
      <c r="R1377" s="4">
        <v>248314</v>
      </c>
      <c r="S1377" s="4">
        <f>Table1[[#This Row],[Service_Revenue]]-Table1[[#This Row],[Service_Cost]]</f>
        <v>238013</v>
      </c>
      <c r="T1377" s="4">
        <v>1</v>
      </c>
      <c r="U1377" s="4">
        <f>IF(AND(Table1[[#This Row],[Rework_Flag]]="Yes",Table1[[#This Row],[Warranty_Claim]]="No"),Table1[[#This Row],[Service_Revenue]],0)</f>
        <v>486327</v>
      </c>
      <c r="V1377" s="4">
        <f>IF(Table1[[#This Row],[Warranty_Claim]]="Yes",1,0)</f>
        <v>0</v>
      </c>
      <c r="W1377" s="4">
        <f>IF(Table1[[#This Row],[Rework_Flag]]="No",1,0)</f>
        <v>0</v>
      </c>
      <c r="X1377" s="4">
        <f>IF(Table1[[#This Row],[Rework_Flag]]="Yes",1,0)</f>
        <v>1</v>
      </c>
      <c r="Y1377" s="4">
        <v>1</v>
      </c>
      <c r="Z1377" s="4" t="str">
        <f>IF(Table1[[#This Row],[TAT_Days]]&gt;Table1[[#This Row],[SLA_TAT]],"Yes","No")</f>
        <v>Yes</v>
      </c>
      <c r="AA1377" s="4" t="str" cm="1">
        <f t="array" ref="AA1377">_xlfn.IFS(Table1[[#This Row],[Customer_Satisfaction]]&lt;=2,"Poor",Table1[[#This Row],[Customer_Satisfaction]]=3,"Neutral",Table1[[#This Row],[Customer_Satisfaction]]=4,"Good",Table1[[#This Row],[Customer_Satisfaction]]=5,"Good")</f>
        <v>Poor</v>
      </c>
    </row>
    <row r="1378" spans="1:27" x14ac:dyDescent="0.35">
      <c r="A1378">
        <v>21376</v>
      </c>
      <c r="B1378" s="1">
        <v>45386</v>
      </c>
      <c r="C1378" t="s">
        <v>37</v>
      </c>
      <c r="D1378" t="s">
        <v>38</v>
      </c>
      <c r="E1378" t="s">
        <v>107</v>
      </c>
      <c r="F1378" t="s">
        <v>53</v>
      </c>
      <c r="G1378" t="s">
        <v>33</v>
      </c>
      <c r="H1378" t="s">
        <v>34</v>
      </c>
      <c r="I1378" t="s">
        <v>55</v>
      </c>
      <c r="J1378" t="s">
        <v>58</v>
      </c>
      <c r="K1378" t="s">
        <v>61</v>
      </c>
      <c r="L1378" t="s">
        <v>28</v>
      </c>
      <c r="M1378" s="4">
        <v>19</v>
      </c>
      <c r="N1378" s="4">
        <v>7</v>
      </c>
      <c r="O1378" t="s">
        <v>36</v>
      </c>
      <c r="P1378" t="s">
        <v>36</v>
      </c>
      <c r="Q1378" s="4">
        <v>399473</v>
      </c>
      <c r="R1378" s="4">
        <v>258594</v>
      </c>
      <c r="S1378" s="4">
        <f>Table1[[#This Row],[Service_Revenue]]-Table1[[#This Row],[Service_Cost]]</f>
        <v>140879</v>
      </c>
      <c r="T1378" s="4">
        <v>2</v>
      </c>
      <c r="U1378" s="4">
        <f>IF(AND(Table1[[#This Row],[Rework_Flag]]="Yes",Table1[[#This Row],[Warranty_Claim]]="No"),Table1[[#This Row],[Service_Revenue]],0)</f>
        <v>0</v>
      </c>
      <c r="V1378" s="4">
        <f>IF(Table1[[#This Row],[Warranty_Claim]]="Yes",1,0)</f>
        <v>0</v>
      </c>
      <c r="W1378" s="4">
        <f>IF(Table1[[#This Row],[Rework_Flag]]="No",1,0)</f>
        <v>1</v>
      </c>
      <c r="X1378" s="4">
        <f>IF(Table1[[#This Row],[Rework_Flag]]="Yes",1,0)</f>
        <v>0</v>
      </c>
      <c r="Y1378" s="4">
        <v>1</v>
      </c>
      <c r="Z1378" s="4" t="str">
        <f>IF(Table1[[#This Row],[TAT_Days]]&gt;Table1[[#This Row],[SLA_TAT]],"Yes","No")</f>
        <v>Yes</v>
      </c>
      <c r="AA1378" s="4" t="str" cm="1">
        <f t="array" ref="AA1378">_xlfn.IFS(Table1[[#This Row],[Customer_Satisfaction]]&lt;=2,"Poor",Table1[[#This Row],[Customer_Satisfaction]]=3,"Neutral",Table1[[#This Row],[Customer_Satisfaction]]=4,"Good",Table1[[#This Row],[Customer_Satisfaction]]=5,"Good")</f>
        <v>Poor</v>
      </c>
    </row>
    <row r="1379" spans="1:27" x14ac:dyDescent="0.35">
      <c r="A1379">
        <v>21377</v>
      </c>
      <c r="B1379" s="1">
        <v>45378</v>
      </c>
      <c r="C1379" t="s">
        <v>30</v>
      </c>
      <c r="D1379" t="s">
        <v>31</v>
      </c>
      <c r="E1379" t="s">
        <v>79</v>
      </c>
      <c r="F1379" t="s">
        <v>22</v>
      </c>
      <c r="G1379" t="s">
        <v>54</v>
      </c>
      <c r="H1379" t="s">
        <v>42</v>
      </c>
      <c r="I1379" t="s">
        <v>25</v>
      </c>
      <c r="J1379" t="s">
        <v>58</v>
      </c>
      <c r="K1379" t="s">
        <v>44</v>
      </c>
      <c r="L1379" t="s">
        <v>28</v>
      </c>
      <c r="M1379" s="4">
        <v>25</v>
      </c>
      <c r="N1379" s="4">
        <v>7</v>
      </c>
      <c r="O1379" t="s">
        <v>29</v>
      </c>
      <c r="P1379" t="s">
        <v>36</v>
      </c>
      <c r="Q1379" s="4">
        <v>328507</v>
      </c>
      <c r="R1379" s="4">
        <v>218557</v>
      </c>
      <c r="S1379" s="4">
        <f>Table1[[#This Row],[Service_Revenue]]-Table1[[#This Row],[Service_Cost]]</f>
        <v>109950</v>
      </c>
      <c r="T1379" s="4">
        <v>1</v>
      </c>
      <c r="U1379" s="4">
        <f>IF(AND(Table1[[#This Row],[Rework_Flag]]="Yes",Table1[[#This Row],[Warranty_Claim]]="No"),Table1[[#This Row],[Service_Revenue]],0)</f>
        <v>328507</v>
      </c>
      <c r="V1379" s="4">
        <f>IF(Table1[[#This Row],[Warranty_Claim]]="Yes",1,0)</f>
        <v>0</v>
      </c>
      <c r="W1379" s="4">
        <f>IF(Table1[[#This Row],[Rework_Flag]]="No",1,0)</f>
        <v>0</v>
      </c>
      <c r="X1379" s="4">
        <f>IF(Table1[[#This Row],[Rework_Flag]]="Yes",1,0)</f>
        <v>1</v>
      </c>
      <c r="Y1379" s="4">
        <v>1</v>
      </c>
      <c r="Z1379" s="4" t="str">
        <f>IF(Table1[[#This Row],[TAT_Days]]&gt;Table1[[#This Row],[SLA_TAT]],"Yes","No")</f>
        <v>Yes</v>
      </c>
      <c r="AA1379" s="4" t="str" cm="1">
        <f t="array" ref="AA1379">_xlfn.IFS(Table1[[#This Row],[Customer_Satisfaction]]&lt;=2,"Poor",Table1[[#This Row],[Customer_Satisfaction]]=3,"Neutral",Table1[[#This Row],[Customer_Satisfaction]]=4,"Good",Table1[[#This Row],[Customer_Satisfaction]]=5,"Good")</f>
        <v>Poor</v>
      </c>
    </row>
    <row r="1380" spans="1:27" x14ac:dyDescent="0.35">
      <c r="A1380">
        <v>21378</v>
      </c>
      <c r="B1380" s="1">
        <v>45311</v>
      </c>
      <c r="C1380" t="s">
        <v>50</v>
      </c>
      <c r="D1380" t="s">
        <v>51</v>
      </c>
      <c r="E1380" t="s">
        <v>73</v>
      </c>
      <c r="F1380" t="s">
        <v>53</v>
      </c>
      <c r="G1380" t="s">
        <v>47</v>
      </c>
      <c r="H1380" t="s">
        <v>48</v>
      </c>
      <c r="I1380" t="s">
        <v>55</v>
      </c>
      <c r="J1380" t="s">
        <v>43</v>
      </c>
      <c r="K1380" t="s">
        <v>27</v>
      </c>
      <c r="L1380" t="s">
        <v>28</v>
      </c>
      <c r="M1380" s="4">
        <v>5</v>
      </c>
      <c r="N1380" s="4">
        <v>7</v>
      </c>
      <c r="O1380" t="s">
        <v>36</v>
      </c>
      <c r="P1380" t="s">
        <v>36</v>
      </c>
      <c r="Q1380" s="4">
        <v>291858</v>
      </c>
      <c r="R1380" s="4">
        <v>193898</v>
      </c>
      <c r="S1380" s="4">
        <f>Table1[[#This Row],[Service_Revenue]]-Table1[[#This Row],[Service_Cost]]</f>
        <v>97960</v>
      </c>
      <c r="T1380" s="4">
        <v>4</v>
      </c>
      <c r="U1380" s="4">
        <f>IF(AND(Table1[[#This Row],[Rework_Flag]]="Yes",Table1[[#This Row],[Warranty_Claim]]="No"),Table1[[#This Row],[Service_Revenue]],0)</f>
        <v>0</v>
      </c>
      <c r="V1380" s="4">
        <f>IF(Table1[[#This Row],[Warranty_Claim]]="Yes",1,0)</f>
        <v>0</v>
      </c>
      <c r="W1380" s="4">
        <f>IF(Table1[[#This Row],[Rework_Flag]]="No",1,0)</f>
        <v>1</v>
      </c>
      <c r="X1380" s="4">
        <f>IF(Table1[[#This Row],[Rework_Flag]]="Yes",1,0)</f>
        <v>0</v>
      </c>
      <c r="Y1380" s="4">
        <v>1</v>
      </c>
      <c r="Z1380" s="4" t="str">
        <f>IF(Table1[[#This Row],[TAT_Days]]&gt;Table1[[#This Row],[SLA_TAT]],"Yes","No")</f>
        <v>No</v>
      </c>
      <c r="AA1380" s="4" t="str" cm="1">
        <f t="array" ref="AA1380">_xlfn.IFS(Table1[[#This Row],[Customer_Satisfaction]]&lt;=2,"Poor",Table1[[#This Row],[Customer_Satisfaction]]=3,"Neutral",Table1[[#This Row],[Customer_Satisfaction]]=4,"Good",Table1[[#This Row],[Customer_Satisfaction]]=5,"Good")</f>
        <v>Good</v>
      </c>
    </row>
    <row r="1381" spans="1:27" x14ac:dyDescent="0.35">
      <c r="A1381">
        <v>21379</v>
      </c>
      <c r="B1381" s="1">
        <v>45464</v>
      </c>
      <c r="C1381" t="s">
        <v>37</v>
      </c>
      <c r="D1381" t="s">
        <v>64</v>
      </c>
      <c r="E1381" t="s">
        <v>87</v>
      </c>
      <c r="F1381" t="s">
        <v>40</v>
      </c>
      <c r="G1381" t="s">
        <v>74</v>
      </c>
      <c r="H1381" t="s">
        <v>34</v>
      </c>
      <c r="I1381" t="s">
        <v>55</v>
      </c>
      <c r="J1381" t="s">
        <v>43</v>
      </c>
      <c r="K1381" t="s">
        <v>61</v>
      </c>
      <c r="L1381" t="s">
        <v>28</v>
      </c>
      <c r="M1381" s="4">
        <v>5</v>
      </c>
      <c r="N1381" s="4">
        <v>7</v>
      </c>
      <c r="O1381" t="s">
        <v>36</v>
      </c>
      <c r="P1381" t="s">
        <v>36</v>
      </c>
      <c r="Q1381" s="4">
        <v>220518</v>
      </c>
      <c r="R1381" s="4">
        <v>115806</v>
      </c>
      <c r="S1381" s="4">
        <f>Table1[[#This Row],[Service_Revenue]]-Table1[[#This Row],[Service_Cost]]</f>
        <v>104712</v>
      </c>
      <c r="T1381" s="4">
        <v>4</v>
      </c>
      <c r="U1381" s="4">
        <f>IF(AND(Table1[[#This Row],[Rework_Flag]]="Yes",Table1[[#This Row],[Warranty_Claim]]="No"),Table1[[#This Row],[Service_Revenue]],0)</f>
        <v>0</v>
      </c>
      <c r="V1381" s="4">
        <f>IF(Table1[[#This Row],[Warranty_Claim]]="Yes",1,0)</f>
        <v>0</v>
      </c>
      <c r="W1381" s="4">
        <f>IF(Table1[[#This Row],[Rework_Flag]]="No",1,0)</f>
        <v>1</v>
      </c>
      <c r="X1381" s="4">
        <f>IF(Table1[[#This Row],[Rework_Flag]]="Yes",1,0)</f>
        <v>0</v>
      </c>
      <c r="Y1381" s="4">
        <v>1</v>
      </c>
      <c r="Z1381" s="4" t="str">
        <f>IF(Table1[[#This Row],[TAT_Days]]&gt;Table1[[#This Row],[SLA_TAT]],"Yes","No")</f>
        <v>No</v>
      </c>
      <c r="AA1381" s="4" t="str" cm="1">
        <f t="array" ref="AA1381">_xlfn.IFS(Table1[[#This Row],[Customer_Satisfaction]]&lt;=2,"Poor",Table1[[#This Row],[Customer_Satisfaction]]=3,"Neutral",Table1[[#This Row],[Customer_Satisfaction]]=4,"Good",Table1[[#This Row],[Customer_Satisfaction]]=5,"Good")</f>
        <v>Good</v>
      </c>
    </row>
    <row r="1382" spans="1:27" x14ac:dyDescent="0.35">
      <c r="A1382">
        <v>21380</v>
      </c>
      <c r="B1382" s="1">
        <v>45323</v>
      </c>
      <c r="C1382" t="s">
        <v>19</v>
      </c>
      <c r="D1382" t="s">
        <v>96</v>
      </c>
      <c r="E1382" t="s">
        <v>105</v>
      </c>
      <c r="F1382" t="s">
        <v>53</v>
      </c>
      <c r="G1382" t="s">
        <v>47</v>
      </c>
      <c r="H1382" t="s">
        <v>48</v>
      </c>
      <c r="I1382" t="s">
        <v>25</v>
      </c>
      <c r="J1382" t="s">
        <v>67</v>
      </c>
      <c r="K1382" t="s">
        <v>61</v>
      </c>
      <c r="L1382" t="s">
        <v>28</v>
      </c>
      <c r="M1382" s="4">
        <v>7</v>
      </c>
      <c r="N1382" s="4">
        <v>7</v>
      </c>
      <c r="O1382" t="s">
        <v>36</v>
      </c>
      <c r="P1382" t="s">
        <v>36</v>
      </c>
      <c r="Q1382" s="4">
        <v>203192</v>
      </c>
      <c r="R1382" s="4">
        <v>129492</v>
      </c>
      <c r="S1382" s="4">
        <f>Table1[[#This Row],[Service_Revenue]]-Table1[[#This Row],[Service_Cost]]</f>
        <v>73700</v>
      </c>
      <c r="T1382" s="4">
        <v>4</v>
      </c>
      <c r="U1382" s="4">
        <f>IF(AND(Table1[[#This Row],[Rework_Flag]]="Yes",Table1[[#This Row],[Warranty_Claim]]="No"),Table1[[#This Row],[Service_Revenue]],0)</f>
        <v>0</v>
      </c>
      <c r="V1382" s="4">
        <f>IF(Table1[[#This Row],[Warranty_Claim]]="Yes",1,0)</f>
        <v>0</v>
      </c>
      <c r="W1382" s="4">
        <f>IF(Table1[[#This Row],[Rework_Flag]]="No",1,0)</f>
        <v>1</v>
      </c>
      <c r="X1382" s="4">
        <f>IF(Table1[[#This Row],[Rework_Flag]]="Yes",1,0)</f>
        <v>0</v>
      </c>
      <c r="Y1382" s="4">
        <v>1</v>
      </c>
      <c r="Z1382" s="4" t="str">
        <f>IF(Table1[[#This Row],[TAT_Days]]&gt;Table1[[#This Row],[SLA_TAT]],"Yes","No")</f>
        <v>No</v>
      </c>
      <c r="AA1382" s="4" t="str" cm="1">
        <f t="array" ref="AA1382">_xlfn.IFS(Table1[[#This Row],[Customer_Satisfaction]]&lt;=2,"Poor",Table1[[#This Row],[Customer_Satisfaction]]=3,"Neutral",Table1[[#This Row],[Customer_Satisfaction]]=4,"Good",Table1[[#This Row],[Customer_Satisfaction]]=5,"Good")</f>
        <v>Good</v>
      </c>
    </row>
    <row r="1383" spans="1:27" x14ac:dyDescent="0.35">
      <c r="A1383">
        <v>21381</v>
      </c>
      <c r="B1383" s="1">
        <v>45369</v>
      </c>
      <c r="C1383" t="s">
        <v>37</v>
      </c>
      <c r="D1383" t="s">
        <v>70</v>
      </c>
      <c r="E1383" t="s">
        <v>116</v>
      </c>
      <c r="F1383" t="s">
        <v>53</v>
      </c>
      <c r="G1383" t="s">
        <v>41</v>
      </c>
      <c r="H1383" t="s">
        <v>42</v>
      </c>
      <c r="I1383" t="s">
        <v>55</v>
      </c>
      <c r="J1383" t="s">
        <v>35</v>
      </c>
      <c r="K1383" t="s">
        <v>61</v>
      </c>
      <c r="L1383" t="s">
        <v>49</v>
      </c>
      <c r="M1383" s="4">
        <v>22</v>
      </c>
      <c r="N1383" s="4">
        <v>7</v>
      </c>
      <c r="O1383" t="s">
        <v>29</v>
      </c>
      <c r="P1383" t="s">
        <v>29</v>
      </c>
      <c r="Q1383" s="4">
        <v>508335</v>
      </c>
      <c r="R1383" s="4">
        <v>396353</v>
      </c>
      <c r="S1383" s="4">
        <f>Table1[[#This Row],[Service_Revenue]]-Table1[[#This Row],[Service_Cost]]</f>
        <v>111982</v>
      </c>
      <c r="T1383" s="4">
        <v>1</v>
      </c>
      <c r="U1383" s="4">
        <f>IF(AND(Table1[[#This Row],[Rework_Flag]]="Yes",Table1[[#This Row],[Warranty_Claim]]="No"),Table1[[#This Row],[Service_Revenue]],0)</f>
        <v>0</v>
      </c>
      <c r="V1383" s="4">
        <f>IF(Table1[[#This Row],[Warranty_Claim]]="Yes",1,0)</f>
        <v>1</v>
      </c>
      <c r="W1383" s="4">
        <f>IF(Table1[[#This Row],[Rework_Flag]]="No",1,0)</f>
        <v>0</v>
      </c>
      <c r="X1383" s="4">
        <f>IF(Table1[[#This Row],[Rework_Flag]]="Yes",1,0)</f>
        <v>1</v>
      </c>
      <c r="Y1383" s="4">
        <v>1</v>
      </c>
      <c r="Z1383" s="4" t="str">
        <f>IF(Table1[[#This Row],[TAT_Days]]&gt;Table1[[#This Row],[SLA_TAT]],"Yes","No")</f>
        <v>Yes</v>
      </c>
      <c r="AA1383" s="4" t="str" cm="1">
        <f t="array" ref="AA1383">_xlfn.IFS(Table1[[#This Row],[Customer_Satisfaction]]&lt;=2,"Poor",Table1[[#This Row],[Customer_Satisfaction]]=3,"Neutral",Table1[[#This Row],[Customer_Satisfaction]]=4,"Good",Table1[[#This Row],[Customer_Satisfaction]]=5,"Good")</f>
        <v>Poor</v>
      </c>
    </row>
    <row r="1384" spans="1:27" x14ac:dyDescent="0.35">
      <c r="A1384">
        <v>21382</v>
      </c>
      <c r="B1384" s="1">
        <v>45351</v>
      </c>
      <c r="C1384" t="s">
        <v>30</v>
      </c>
      <c r="D1384" t="s">
        <v>31</v>
      </c>
      <c r="E1384" t="s">
        <v>62</v>
      </c>
      <c r="F1384" t="s">
        <v>40</v>
      </c>
      <c r="G1384" t="s">
        <v>41</v>
      </c>
      <c r="H1384" t="s">
        <v>42</v>
      </c>
      <c r="I1384" t="s">
        <v>25</v>
      </c>
      <c r="J1384" t="s">
        <v>35</v>
      </c>
      <c r="K1384" t="s">
        <v>61</v>
      </c>
      <c r="L1384" t="s">
        <v>28</v>
      </c>
      <c r="M1384" s="4">
        <v>13</v>
      </c>
      <c r="N1384" s="4">
        <v>7</v>
      </c>
      <c r="O1384" t="s">
        <v>29</v>
      </c>
      <c r="P1384" t="s">
        <v>36</v>
      </c>
      <c r="Q1384" s="4">
        <v>284332</v>
      </c>
      <c r="R1384" s="4">
        <v>196172</v>
      </c>
      <c r="S1384" s="4">
        <f>Table1[[#This Row],[Service_Revenue]]-Table1[[#This Row],[Service_Cost]]</f>
        <v>88160</v>
      </c>
      <c r="T1384" s="4">
        <v>2</v>
      </c>
      <c r="U1384" s="4">
        <f>IF(AND(Table1[[#This Row],[Rework_Flag]]="Yes",Table1[[#This Row],[Warranty_Claim]]="No"),Table1[[#This Row],[Service_Revenue]],0)</f>
        <v>284332</v>
      </c>
      <c r="V1384" s="4">
        <f>IF(Table1[[#This Row],[Warranty_Claim]]="Yes",1,0)</f>
        <v>0</v>
      </c>
      <c r="W1384" s="4">
        <f>IF(Table1[[#This Row],[Rework_Flag]]="No",1,0)</f>
        <v>0</v>
      </c>
      <c r="X1384" s="4">
        <f>IF(Table1[[#This Row],[Rework_Flag]]="Yes",1,0)</f>
        <v>1</v>
      </c>
      <c r="Y1384" s="4">
        <v>1</v>
      </c>
      <c r="Z1384" s="4" t="str">
        <f>IF(Table1[[#This Row],[TAT_Days]]&gt;Table1[[#This Row],[SLA_TAT]],"Yes","No")</f>
        <v>Yes</v>
      </c>
      <c r="AA1384" s="4" t="str" cm="1">
        <f t="array" ref="AA1384">_xlfn.IFS(Table1[[#This Row],[Customer_Satisfaction]]&lt;=2,"Poor",Table1[[#This Row],[Customer_Satisfaction]]=3,"Neutral",Table1[[#This Row],[Customer_Satisfaction]]=4,"Good",Table1[[#This Row],[Customer_Satisfaction]]=5,"Good")</f>
        <v>Poor</v>
      </c>
    </row>
    <row r="1385" spans="1:27" x14ac:dyDescent="0.35">
      <c r="A1385">
        <v>21383</v>
      </c>
      <c r="B1385" s="1">
        <v>45399</v>
      </c>
      <c r="C1385" t="s">
        <v>19</v>
      </c>
      <c r="D1385" t="s">
        <v>20</v>
      </c>
      <c r="E1385" t="s">
        <v>21</v>
      </c>
      <c r="F1385" t="s">
        <v>40</v>
      </c>
      <c r="G1385" t="s">
        <v>74</v>
      </c>
      <c r="H1385" t="s">
        <v>34</v>
      </c>
      <c r="I1385" t="s">
        <v>25</v>
      </c>
      <c r="J1385" t="s">
        <v>67</v>
      </c>
      <c r="K1385" t="s">
        <v>44</v>
      </c>
      <c r="L1385" t="s">
        <v>49</v>
      </c>
      <c r="M1385" s="4">
        <v>14</v>
      </c>
      <c r="N1385" s="4">
        <v>7</v>
      </c>
      <c r="O1385" t="s">
        <v>29</v>
      </c>
      <c r="P1385" t="s">
        <v>36</v>
      </c>
      <c r="Q1385" s="4">
        <v>513871</v>
      </c>
      <c r="R1385" s="4">
        <v>340303</v>
      </c>
      <c r="S1385" s="4">
        <f>Table1[[#This Row],[Service_Revenue]]-Table1[[#This Row],[Service_Cost]]</f>
        <v>173568</v>
      </c>
      <c r="T1385" s="4">
        <v>2</v>
      </c>
      <c r="U1385" s="4">
        <f>IF(AND(Table1[[#This Row],[Rework_Flag]]="Yes",Table1[[#This Row],[Warranty_Claim]]="No"),Table1[[#This Row],[Service_Revenue]],0)</f>
        <v>513871</v>
      </c>
      <c r="V1385" s="4">
        <f>IF(Table1[[#This Row],[Warranty_Claim]]="Yes",1,0)</f>
        <v>0</v>
      </c>
      <c r="W1385" s="4">
        <f>IF(Table1[[#This Row],[Rework_Flag]]="No",1,0)</f>
        <v>0</v>
      </c>
      <c r="X1385" s="4">
        <f>IF(Table1[[#This Row],[Rework_Flag]]="Yes",1,0)</f>
        <v>1</v>
      </c>
      <c r="Y1385" s="4">
        <v>1</v>
      </c>
      <c r="Z1385" s="4" t="str">
        <f>IF(Table1[[#This Row],[TAT_Days]]&gt;Table1[[#This Row],[SLA_TAT]],"Yes","No")</f>
        <v>Yes</v>
      </c>
      <c r="AA1385" s="4" t="str" cm="1">
        <f t="array" ref="AA1385">_xlfn.IFS(Table1[[#This Row],[Customer_Satisfaction]]&lt;=2,"Poor",Table1[[#This Row],[Customer_Satisfaction]]=3,"Neutral",Table1[[#This Row],[Customer_Satisfaction]]=4,"Good",Table1[[#This Row],[Customer_Satisfaction]]=5,"Good")</f>
        <v>Poor</v>
      </c>
    </row>
    <row r="1386" spans="1:27" x14ac:dyDescent="0.35">
      <c r="A1386">
        <v>21384</v>
      </c>
      <c r="B1386" s="1">
        <v>45389</v>
      </c>
      <c r="C1386" t="s">
        <v>50</v>
      </c>
      <c r="D1386" t="s">
        <v>80</v>
      </c>
      <c r="E1386" t="s">
        <v>81</v>
      </c>
      <c r="F1386" t="s">
        <v>40</v>
      </c>
      <c r="G1386" t="s">
        <v>47</v>
      </c>
      <c r="H1386" t="s">
        <v>48</v>
      </c>
      <c r="I1386" t="s">
        <v>55</v>
      </c>
      <c r="J1386" t="s">
        <v>35</v>
      </c>
      <c r="K1386" t="s">
        <v>61</v>
      </c>
      <c r="L1386" t="s">
        <v>49</v>
      </c>
      <c r="M1386" s="4">
        <v>22</v>
      </c>
      <c r="N1386" s="4">
        <v>7</v>
      </c>
      <c r="O1386" t="s">
        <v>29</v>
      </c>
      <c r="P1386" t="s">
        <v>36</v>
      </c>
      <c r="Q1386" s="4">
        <v>419833</v>
      </c>
      <c r="R1386" s="4">
        <v>332441</v>
      </c>
      <c r="S1386" s="4">
        <f>Table1[[#This Row],[Service_Revenue]]-Table1[[#This Row],[Service_Cost]]</f>
        <v>87392</v>
      </c>
      <c r="T1386" s="4">
        <v>1</v>
      </c>
      <c r="U1386" s="4">
        <f>IF(AND(Table1[[#This Row],[Rework_Flag]]="Yes",Table1[[#This Row],[Warranty_Claim]]="No"),Table1[[#This Row],[Service_Revenue]],0)</f>
        <v>419833</v>
      </c>
      <c r="V1386" s="4">
        <f>IF(Table1[[#This Row],[Warranty_Claim]]="Yes",1,0)</f>
        <v>0</v>
      </c>
      <c r="W1386" s="4">
        <f>IF(Table1[[#This Row],[Rework_Flag]]="No",1,0)</f>
        <v>0</v>
      </c>
      <c r="X1386" s="4">
        <f>IF(Table1[[#This Row],[Rework_Flag]]="Yes",1,0)</f>
        <v>1</v>
      </c>
      <c r="Y1386" s="4">
        <v>1</v>
      </c>
      <c r="Z1386" s="4" t="str">
        <f>IF(Table1[[#This Row],[TAT_Days]]&gt;Table1[[#This Row],[SLA_TAT]],"Yes","No")</f>
        <v>Yes</v>
      </c>
      <c r="AA1386" s="4" t="str" cm="1">
        <f t="array" ref="AA1386">_xlfn.IFS(Table1[[#This Row],[Customer_Satisfaction]]&lt;=2,"Poor",Table1[[#This Row],[Customer_Satisfaction]]=3,"Neutral",Table1[[#This Row],[Customer_Satisfaction]]=4,"Good",Table1[[#This Row],[Customer_Satisfaction]]=5,"Good")</f>
        <v>Poor</v>
      </c>
    </row>
    <row r="1387" spans="1:27" x14ac:dyDescent="0.35">
      <c r="A1387">
        <v>21385</v>
      </c>
      <c r="B1387" s="1">
        <v>45400</v>
      </c>
      <c r="C1387" t="s">
        <v>37</v>
      </c>
      <c r="D1387" t="s">
        <v>38</v>
      </c>
      <c r="E1387" t="s">
        <v>39</v>
      </c>
      <c r="F1387" t="s">
        <v>22</v>
      </c>
      <c r="G1387" t="s">
        <v>33</v>
      </c>
      <c r="H1387" t="s">
        <v>34</v>
      </c>
      <c r="I1387" t="s">
        <v>25</v>
      </c>
      <c r="J1387" t="s">
        <v>67</v>
      </c>
      <c r="K1387" t="s">
        <v>27</v>
      </c>
      <c r="L1387" t="s">
        <v>49</v>
      </c>
      <c r="M1387" s="4">
        <v>7</v>
      </c>
      <c r="N1387" s="4">
        <v>7</v>
      </c>
      <c r="O1387" t="s">
        <v>29</v>
      </c>
      <c r="P1387" t="s">
        <v>36</v>
      </c>
      <c r="Q1387" s="4">
        <v>497520</v>
      </c>
      <c r="R1387" s="4">
        <v>343789</v>
      </c>
      <c r="S1387" s="4">
        <f>Table1[[#This Row],[Service_Revenue]]-Table1[[#This Row],[Service_Cost]]</f>
        <v>153731</v>
      </c>
      <c r="T1387" s="4">
        <v>3</v>
      </c>
      <c r="U1387" s="4">
        <f>IF(AND(Table1[[#This Row],[Rework_Flag]]="Yes",Table1[[#This Row],[Warranty_Claim]]="No"),Table1[[#This Row],[Service_Revenue]],0)</f>
        <v>497520</v>
      </c>
      <c r="V1387" s="4">
        <f>IF(Table1[[#This Row],[Warranty_Claim]]="Yes",1,0)</f>
        <v>0</v>
      </c>
      <c r="W1387" s="4">
        <f>IF(Table1[[#This Row],[Rework_Flag]]="No",1,0)</f>
        <v>0</v>
      </c>
      <c r="X1387" s="4">
        <f>IF(Table1[[#This Row],[Rework_Flag]]="Yes",1,0)</f>
        <v>1</v>
      </c>
      <c r="Y1387" s="4">
        <v>1</v>
      </c>
      <c r="Z1387" s="4" t="str">
        <f>IF(Table1[[#This Row],[TAT_Days]]&gt;Table1[[#This Row],[SLA_TAT]],"Yes","No")</f>
        <v>No</v>
      </c>
      <c r="AA1387" s="4" t="str" cm="1">
        <f t="array" ref="AA1387">_xlfn.IFS(Table1[[#This Row],[Customer_Satisfaction]]&lt;=2,"Poor",Table1[[#This Row],[Customer_Satisfaction]]=3,"Neutral",Table1[[#This Row],[Customer_Satisfaction]]=4,"Good",Table1[[#This Row],[Customer_Satisfaction]]=5,"Good")</f>
        <v>Neutral</v>
      </c>
    </row>
    <row r="1388" spans="1:27" x14ac:dyDescent="0.35">
      <c r="A1388">
        <v>21386</v>
      </c>
      <c r="B1388" s="1">
        <v>45397</v>
      </c>
      <c r="C1388" t="s">
        <v>19</v>
      </c>
      <c r="D1388" t="s">
        <v>20</v>
      </c>
      <c r="E1388" t="s">
        <v>89</v>
      </c>
      <c r="F1388" t="s">
        <v>40</v>
      </c>
      <c r="G1388" t="s">
        <v>54</v>
      </c>
      <c r="H1388" t="s">
        <v>42</v>
      </c>
      <c r="I1388" t="s">
        <v>25</v>
      </c>
      <c r="J1388" t="s">
        <v>35</v>
      </c>
      <c r="K1388" t="s">
        <v>44</v>
      </c>
      <c r="L1388" t="s">
        <v>28</v>
      </c>
      <c r="M1388" s="4">
        <v>4</v>
      </c>
      <c r="N1388" s="4">
        <v>7</v>
      </c>
      <c r="O1388" t="s">
        <v>29</v>
      </c>
      <c r="P1388" t="s">
        <v>29</v>
      </c>
      <c r="Q1388" s="4">
        <v>498018</v>
      </c>
      <c r="R1388" s="4">
        <v>385910</v>
      </c>
      <c r="S1388" s="4">
        <f>Table1[[#This Row],[Service_Revenue]]-Table1[[#This Row],[Service_Cost]]</f>
        <v>112108</v>
      </c>
      <c r="T1388" s="4">
        <v>4</v>
      </c>
      <c r="U1388" s="4">
        <f>IF(AND(Table1[[#This Row],[Rework_Flag]]="Yes",Table1[[#This Row],[Warranty_Claim]]="No"),Table1[[#This Row],[Service_Revenue]],0)</f>
        <v>0</v>
      </c>
      <c r="V1388" s="4">
        <f>IF(Table1[[#This Row],[Warranty_Claim]]="Yes",1,0)</f>
        <v>1</v>
      </c>
      <c r="W1388" s="4">
        <f>IF(Table1[[#This Row],[Rework_Flag]]="No",1,0)</f>
        <v>0</v>
      </c>
      <c r="X1388" s="4">
        <f>IF(Table1[[#This Row],[Rework_Flag]]="Yes",1,0)</f>
        <v>1</v>
      </c>
      <c r="Y1388" s="4">
        <v>1</v>
      </c>
      <c r="Z1388" s="4" t="str">
        <f>IF(Table1[[#This Row],[TAT_Days]]&gt;Table1[[#This Row],[SLA_TAT]],"Yes","No")</f>
        <v>No</v>
      </c>
      <c r="AA1388" s="4" t="str" cm="1">
        <f t="array" ref="AA1388">_xlfn.IFS(Table1[[#This Row],[Customer_Satisfaction]]&lt;=2,"Poor",Table1[[#This Row],[Customer_Satisfaction]]=3,"Neutral",Table1[[#This Row],[Customer_Satisfaction]]=4,"Good",Table1[[#This Row],[Customer_Satisfaction]]=5,"Good")</f>
        <v>Good</v>
      </c>
    </row>
    <row r="1389" spans="1:27" x14ac:dyDescent="0.35">
      <c r="A1389">
        <v>21387</v>
      </c>
      <c r="B1389" s="1">
        <v>45412</v>
      </c>
      <c r="C1389" t="s">
        <v>30</v>
      </c>
      <c r="D1389" t="s">
        <v>83</v>
      </c>
      <c r="E1389" t="s">
        <v>92</v>
      </c>
      <c r="F1389" t="s">
        <v>40</v>
      </c>
      <c r="G1389" t="s">
        <v>23</v>
      </c>
      <c r="H1389" t="s">
        <v>24</v>
      </c>
      <c r="I1389" t="s">
        <v>25</v>
      </c>
      <c r="J1389" t="s">
        <v>35</v>
      </c>
      <c r="K1389" t="s">
        <v>27</v>
      </c>
      <c r="L1389" t="s">
        <v>28</v>
      </c>
      <c r="M1389" s="4">
        <v>14</v>
      </c>
      <c r="N1389" s="4">
        <v>7</v>
      </c>
      <c r="O1389" t="s">
        <v>29</v>
      </c>
      <c r="P1389" t="s">
        <v>29</v>
      </c>
      <c r="Q1389" s="4">
        <v>101438</v>
      </c>
      <c r="R1389" s="4">
        <v>74133</v>
      </c>
      <c r="S1389" s="4">
        <f>Table1[[#This Row],[Service_Revenue]]-Table1[[#This Row],[Service_Cost]]</f>
        <v>27305</v>
      </c>
      <c r="T1389" s="4">
        <v>2</v>
      </c>
      <c r="U1389" s="4">
        <f>IF(AND(Table1[[#This Row],[Rework_Flag]]="Yes",Table1[[#This Row],[Warranty_Claim]]="No"),Table1[[#This Row],[Service_Revenue]],0)</f>
        <v>0</v>
      </c>
      <c r="V1389" s="4">
        <f>IF(Table1[[#This Row],[Warranty_Claim]]="Yes",1,0)</f>
        <v>1</v>
      </c>
      <c r="W1389" s="4">
        <f>IF(Table1[[#This Row],[Rework_Flag]]="No",1,0)</f>
        <v>0</v>
      </c>
      <c r="X1389" s="4">
        <f>IF(Table1[[#This Row],[Rework_Flag]]="Yes",1,0)</f>
        <v>1</v>
      </c>
      <c r="Y1389" s="4">
        <v>1</v>
      </c>
      <c r="Z1389" s="4" t="str">
        <f>IF(Table1[[#This Row],[TAT_Days]]&gt;Table1[[#This Row],[SLA_TAT]],"Yes","No")</f>
        <v>Yes</v>
      </c>
      <c r="AA1389" s="4" t="str" cm="1">
        <f t="array" ref="AA1389">_xlfn.IFS(Table1[[#This Row],[Customer_Satisfaction]]&lt;=2,"Poor",Table1[[#This Row],[Customer_Satisfaction]]=3,"Neutral",Table1[[#This Row],[Customer_Satisfaction]]=4,"Good",Table1[[#This Row],[Customer_Satisfaction]]=5,"Good")</f>
        <v>Poor</v>
      </c>
    </row>
    <row r="1390" spans="1:27" x14ac:dyDescent="0.35">
      <c r="A1390">
        <v>21388</v>
      </c>
      <c r="B1390" s="1">
        <v>45420</v>
      </c>
      <c r="C1390" t="s">
        <v>30</v>
      </c>
      <c r="D1390" t="s">
        <v>31</v>
      </c>
      <c r="E1390" t="s">
        <v>32</v>
      </c>
      <c r="F1390" t="s">
        <v>40</v>
      </c>
      <c r="G1390" t="s">
        <v>63</v>
      </c>
      <c r="H1390" t="s">
        <v>24</v>
      </c>
      <c r="I1390" t="s">
        <v>25</v>
      </c>
      <c r="J1390" t="s">
        <v>58</v>
      </c>
      <c r="K1390" t="s">
        <v>44</v>
      </c>
      <c r="L1390" t="s">
        <v>49</v>
      </c>
      <c r="M1390" s="4">
        <v>14</v>
      </c>
      <c r="N1390" s="4">
        <v>7</v>
      </c>
      <c r="O1390" t="s">
        <v>29</v>
      </c>
      <c r="P1390" t="s">
        <v>36</v>
      </c>
      <c r="Q1390" s="4">
        <v>391247</v>
      </c>
      <c r="R1390" s="4">
        <v>316369</v>
      </c>
      <c r="S1390" s="4">
        <f>Table1[[#This Row],[Service_Revenue]]-Table1[[#This Row],[Service_Cost]]</f>
        <v>74878</v>
      </c>
      <c r="T1390" s="4">
        <v>2</v>
      </c>
      <c r="U1390" s="4">
        <f>IF(AND(Table1[[#This Row],[Rework_Flag]]="Yes",Table1[[#This Row],[Warranty_Claim]]="No"),Table1[[#This Row],[Service_Revenue]],0)</f>
        <v>391247</v>
      </c>
      <c r="V1390" s="4">
        <f>IF(Table1[[#This Row],[Warranty_Claim]]="Yes",1,0)</f>
        <v>0</v>
      </c>
      <c r="W1390" s="4">
        <f>IF(Table1[[#This Row],[Rework_Flag]]="No",1,0)</f>
        <v>0</v>
      </c>
      <c r="X1390" s="4">
        <f>IF(Table1[[#This Row],[Rework_Flag]]="Yes",1,0)</f>
        <v>1</v>
      </c>
      <c r="Y1390" s="4">
        <v>1</v>
      </c>
      <c r="Z1390" s="4" t="str">
        <f>IF(Table1[[#This Row],[TAT_Days]]&gt;Table1[[#This Row],[SLA_TAT]],"Yes","No")</f>
        <v>Yes</v>
      </c>
      <c r="AA1390" s="4" t="str" cm="1">
        <f t="array" ref="AA1390">_xlfn.IFS(Table1[[#This Row],[Customer_Satisfaction]]&lt;=2,"Poor",Table1[[#This Row],[Customer_Satisfaction]]=3,"Neutral",Table1[[#This Row],[Customer_Satisfaction]]=4,"Good",Table1[[#This Row],[Customer_Satisfaction]]=5,"Good")</f>
        <v>Poor</v>
      </c>
    </row>
    <row r="1391" spans="1:27" x14ac:dyDescent="0.35">
      <c r="A1391">
        <v>21389</v>
      </c>
      <c r="B1391" s="1">
        <v>45461</v>
      </c>
      <c r="C1391" t="s">
        <v>50</v>
      </c>
      <c r="D1391" t="s">
        <v>51</v>
      </c>
      <c r="E1391" t="s">
        <v>120</v>
      </c>
      <c r="F1391" t="s">
        <v>53</v>
      </c>
      <c r="G1391" t="s">
        <v>23</v>
      </c>
      <c r="H1391" t="s">
        <v>24</v>
      </c>
      <c r="I1391" t="s">
        <v>25</v>
      </c>
      <c r="J1391" t="s">
        <v>67</v>
      </c>
      <c r="K1391" t="s">
        <v>61</v>
      </c>
      <c r="L1391" t="s">
        <v>49</v>
      </c>
      <c r="M1391" s="4">
        <v>14</v>
      </c>
      <c r="N1391" s="4">
        <v>7</v>
      </c>
      <c r="O1391" t="s">
        <v>29</v>
      </c>
      <c r="P1391" t="s">
        <v>36</v>
      </c>
      <c r="Q1391" s="4">
        <v>330245</v>
      </c>
      <c r="R1391" s="4">
        <v>257691</v>
      </c>
      <c r="S1391" s="4">
        <f>Table1[[#This Row],[Service_Revenue]]-Table1[[#This Row],[Service_Cost]]</f>
        <v>72554</v>
      </c>
      <c r="T1391" s="4">
        <v>2</v>
      </c>
      <c r="U1391" s="4">
        <f>IF(AND(Table1[[#This Row],[Rework_Flag]]="Yes",Table1[[#This Row],[Warranty_Claim]]="No"),Table1[[#This Row],[Service_Revenue]],0)</f>
        <v>330245</v>
      </c>
      <c r="V1391" s="4">
        <f>IF(Table1[[#This Row],[Warranty_Claim]]="Yes",1,0)</f>
        <v>0</v>
      </c>
      <c r="W1391" s="4">
        <f>IF(Table1[[#This Row],[Rework_Flag]]="No",1,0)</f>
        <v>0</v>
      </c>
      <c r="X1391" s="4">
        <f>IF(Table1[[#This Row],[Rework_Flag]]="Yes",1,0)</f>
        <v>1</v>
      </c>
      <c r="Y1391" s="4">
        <v>1</v>
      </c>
      <c r="Z1391" s="4" t="str">
        <f>IF(Table1[[#This Row],[TAT_Days]]&gt;Table1[[#This Row],[SLA_TAT]],"Yes","No")</f>
        <v>Yes</v>
      </c>
      <c r="AA1391" s="4" t="str" cm="1">
        <f t="array" ref="AA1391">_xlfn.IFS(Table1[[#This Row],[Customer_Satisfaction]]&lt;=2,"Poor",Table1[[#This Row],[Customer_Satisfaction]]=3,"Neutral",Table1[[#This Row],[Customer_Satisfaction]]=4,"Good",Table1[[#This Row],[Customer_Satisfaction]]=5,"Good")</f>
        <v>Poor</v>
      </c>
    </row>
    <row r="1392" spans="1:27" x14ac:dyDescent="0.35">
      <c r="A1392">
        <v>21390</v>
      </c>
      <c r="B1392" s="1">
        <v>45452</v>
      </c>
      <c r="C1392" t="s">
        <v>19</v>
      </c>
      <c r="D1392" t="s">
        <v>96</v>
      </c>
      <c r="E1392" t="s">
        <v>108</v>
      </c>
      <c r="F1392" t="s">
        <v>40</v>
      </c>
      <c r="G1392" t="s">
        <v>33</v>
      </c>
      <c r="H1392" t="s">
        <v>34</v>
      </c>
      <c r="I1392" t="s">
        <v>25</v>
      </c>
      <c r="J1392" t="s">
        <v>67</v>
      </c>
      <c r="K1392" t="s">
        <v>61</v>
      </c>
      <c r="L1392" t="s">
        <v>28</v>
      </c>
      <c r="M1392" s="4">
        <v>20</v>
      </c>
      <c r="N1392" s="4">
        <v>7</v>
      </c>
      <c r="O1392" t="s">
        <v>36</v>
      </c>
      <c r="P1392" t="s">
        <v>36</v>
      </c>
      <c r="Q1392" s="4">
        <v>447858</v>
      </c>
      <c r="R1392" s="4">
        <v>308114</v>
      </c>
      <c r="S1392" s="4">
        <f>Table1[[#This Row],[Service_Revenue]]-Table1[[#This Row],[Service_Cost]]</f>
        <v>139744</v>
      </c>
      <c r="T1392" s="4">
        <v>1</v>
      </c>
      <c r="U1392" s="4">
        <f>IF(AND(Table1[[#This Row],[Rework_Flag]]="Yes",Table1[[#This Row],[Warranty_Claim]]="No"),Table1[[#This Row],[Service_Revenue]],0)</f>
        <v>0</v>
      </c>
      <c r="V1392" s="4">
        <f>IF(Table1[[#This Row],[Warranty_Claim]]="Yes",1,0)</f>
        <v>0</v>
      </c>
      <c r="W1392" s="4">
        <f>IF(Table1[[#This Row],[Rework_Flag]]="No",1,0)</f>
        <v>1</v>
      </c>
      <c r="X1392" s="4">
        <f>IF(Table1[[#This Row],[Rework_Flag]]="Yes",1,0)</f>
        <v>0</v>
      </c>
      <c r="Y1392" s="4">
        <v>1</v>
      </c>
      <c r="Z1392" s="4" t="str">
        <f>IF(Table1[[#This Row],[TAT_Days]]&gt;Table1[[#This Row],[SLA_TAT]],"Yes","No")</f>
        <v>Yes</v>
      </c>
      <c r="AA1392" s="4" t="str" cm="1">
        <f t="array" ref="AA1392">_xlfn.IFS(Table1[[#This Row],[Customer_Satisfaction]]&lt;=2,"Poor",Table1[[#This Row],[Customer_Satisfaction]]=3,"Neutral",Table1[[#This Row],[Customer_Satisfaction]]=4,"Good",Table1[[#This Row],[Customer_Satisfaction]]=5,"Good")</f>
        <v>Poor</v>
      </c>
    </row>
    <row r="1393" spans="1:27" x14ac:dyDescent="0.35">
      <c r="A1393">
        <v>21391</v>
      </c>
      <c r="B1393" s="1">
        <v>45416</v>
      </c>
      <c r="C1393" t="s">
        <v>19</v>
      </c>
      <c r="D1393" t="s">
        <v>20</v>
      </c>
      <c r="E1393" t="s">
        <v>117</v>
      </c>
      <c r="F1393" t="s">
        <v>53</v>
      </c>
      <c r="G1393" t="s">
        <v>74</v>
      </c>
      <c r="H1393" t="s">
        <v>34</v>
      </c>
      <c r="I1393" t="s">
        <v>25</v>
      </c>
      <c r="J1393" t="s">
        <v>26</v>
      </c>
      <c r="K1393" t="s">
        <v>61</v>
      </c>
      <c r="L1393" t="s">
        <v>49</v>
      </c>
      <c r="M1393" s="4">
        <v>5</v>
      </c>
      <c r="N1393" s="4">
        <v>7</v>
      </c>
      <c r="O1393" t="s">
        <v>29</v>
      </c>
      <c r="P1393" t="s">
        <v>29</v>
      </c>
      <c r="Q1393" s="4">
        <v>534236</v>
      </c>
      <c r="R1393" s="4">
        <v>371861</v>
      </c>
      <c r="S1393" s="4">
        <f>Table1[[#This Row],[Service_Revenue]]-Table1[[#This Row],[Service_Cost]]</f>
        <v>162375</v>
      </c>
      <c r="T1393" s="4">
        <v>3</v>
      </c>
      <c r="U1393" s="4">
        <f>IF(AND(Table1[[#This Row],[Rework_Flag]]="Yes",Table1[[#This Row],[Warranty_Claim]]="No"),Table1[[#This Row],[Service_Revenue]],0)</f>
        <v>0</v>
      </c>
      <c r="V1393" s="4">
        <f>IF(Table1[[#This Row],[Warranty_Claim]]="Yes",1,0)</f>
        <v>1</v>
      </c>
      <c r="W1393" s="4">
        <f>IF(Table1[[#This Row],[Rework_Flag]]="No",1,0)</f>
        <v>0</v>
      </c>
      <c r="X1393" s="4">
        <f>IF(Table1[[#This Row],[Rework_Flag]]="Yes",1,0)</f>
        <v>1</v>
      </c>
      <c r="Y1393" s="4">
        <v>1</v>
      </c>
      <c r="Z1393" s="4" t="str">
        <f>IF(Table1[[#This Row],[TAT_Days]]&gt;Table1[[#This Row],[SLA_TAT]],"Yes","No")</f>
        <v>No</v>
      </c>
      <c r="AA1393" s="4" t="str" cm="1">
        <f t="array" ref="AA1393">_xlfn.IFS(Table1[[#This Row],[Customer_Satisfaction]]&lt;=2,"Poor",Table1[[#This Row],[Customer_Satisfaction]]=3,"Neutral",Table1[[#This Row],[Customer_Satisfaction]]=4,"Good",Table1[[#This Row],[Customer_Satisfaction]]=5,"Good")</f>
        <v>Neutral</v>
      </c>
    </row>
    <row r="1394" spans="1:27" x14ac:dyDescent="0.35">
      <c r="A1394">
        <v>21392</v>
      </c>
      <c r="B1394" s="1">
        <v>45302</v>
      </c>
      <c r="C1394" t="s">
        <v>37</v>
      </c>
      <c r="D1394" t="s">
        <v>64</v>
      </c>
      <c r="E1394" t="s">
        <v>65</v>
      </c>
      <c r="F1394" t="s">
        <v>22</v>
      </c>
      <c r="G1394" t="s">
        <v>54</v>
      </c>
      <c r="H1394" t="s">
        <v>42</v>
      </c>
      <c r="I1394" t="s">
        <v>55</v>
      </c>
      <c r="J1394" t="s">
        <v>26</v>
      </c>
      <c r="K1394" t="s">
        <v>44</v>
      </c>
      <c r="L1394" t="s">
        <v>28</v>
      </c>
      <c r="M1394" s="4">
        <v>13</v>
      </c>
      <c r="N1394" s="4">
        <v>7</v>
      </c>
      <c r="O1394" t="s">
        <v>36</v>
      </c>
      <c r="P1394" t="s">
        <v>36</v>
      </c>
      <c r="Q1394" s="4">
        <v>298213</v>
      </c>
      <c r="R1394" s="4">
        <v>166838</v>
      </c>
      <c r="S1394" s="4">
        <f>Table1[[#This Row],[Service_Revenue]]-Table1[[#This Row],[Service_Cost]]</f>
        <v>131375</v>
      </c>
      <c r="T1394" s="4">
        <v>3</v>
      </c>
      <c r="U1394" s="4">
        <f>IF(AND(Table1[[#This Row],[Rework_Flag]]="Yes",Table1[[#This Row],[Warranty_Claim]]="No"),Table1[[#This Row],[Service_Revenue]],0)</f>
        <v>0</v>
      </c>
      <c r="V1394" s="4">
        <f>IF(Table1[[#This Row],[Warranty_Claim]]="Yes",1,0)</f>
        <v>0</v>
      </c>
      <c r="W1394" s="4">
        <f>IF(Table1[[#This Row],[Rework_Flag]]="No",1,0)</f>
        <v>1</v>
      </c>
      <c r="X1394" s="4">
        <f>IF(Table1[[#This Row],[Rework_Flag]]="Yes",1,0)</f>
        <v>0</v>
      </c>
      <c r="Y1394" s="4">
        <v>1</v>
      </c>
      <c r="Z1394" s="4" t="str">
        <f>IF(Table1[[#This Row],[TAT_Days]]&gt;Table1[[#This Row],[SLA_TAT]],"Yes","No")</f>
        <v>Yes</v>
      </c>
      <c r="AA1394" s="4" t="str" cm="1">
        <f t="array" ref="AA1394">_xlfn.IFS(Table1[[#This Row],[Customer_Satisfaction]]&lt;=2,"Poor",Table1[[#This Row],[Customer_Satisfaction]]=3,"Neutral",Table1[[#This Row],[Customer_Satisfaction]]=4,"Good",Table1[[#This Row],[Customer_Satisfaction]]=5,"Good")</f>
        <v>Neutral</v>
      </c>
    </row>
    <row r="1395" spans="1:27" x14ac:dyDescent="0.35">
      <c r="A1395">
        <v>21393</v>
      </c>
      <c r="B1395" s="1">
        <v>45325</v>
      </c>
      <c r="C1395" t="s">
        <v>50</v>
      </c>
      <c r="D1395" t="s">
        <v>51</v>
      </c>
      <c r="E1395" t="s">
        <v>75</v>
      </c>
      <c r="F1395" t="s">
        <v>53</v>
      </c>
      <c r="G1395" t="s">
        <v>23</v>
      </c>
      <c r="H1395" t="s">
        <v>24</v>
      </c>
      <c r="I1395" t="s">
        <v>25</v>
      </c>
      <c r="J1395" t="s">
        <v>43</v>
      </c>
      <c r="K1395" t="s">
        <v>44</v>
      </c>
      <c r="L1395" t="s">
        <v>28</v>
      </c>
      <c r="M1395" s="4">
        <v>14</v>
      </c>
      <c r="N1395" s="4">
        <v>7</v>
      </c>
      <c r="O1395" t="s">
        <v>36</v>
      </c>
      <c r="P1395" t="s">
        <v>36</v>
      </c>
      <c r="Q1395" s="4">
        <v>167436</v>
      </c>
      <c r="R1395" s="4">
        <v>111452</v>
      </c>
      <c r="S1395" s="4">
        <f>Table1[[#This Row],[Service_Revenue]]-Table1[[#This Row],[Service_Cost]]</f>
        <v>55984</v>
      </c>
      <c r="T1395" s="4">
        <v>3</v>
      </c>
      <c r="U1395" s="4">
        <f>IF(AND(Table1[[#This Row],[Rework_Flag]]="Yes",Table1[[#This Row],[Warranty_Claim]]="No"),Table1[[#This Row],[Service_Revenue]],0)</f>
        <v>0</v>
      </c>
      <c r="V1395" s="4">
        <f>IF(Table1[[#This Row],[Warranty_Claim]]="Yes",1,0)</f>
        <v>0</v>
      </c>
      <c r="W1395" s="4">
        <f>IF(Table1[[#This Row],[Rework_Flag]]="No",1,0)</f>
        <v>1</v>
      </c>
      <c r="X1395" s="4">
        <f>IF(Table1[[#This Row],[Rework_Flag]]="Yes",1,0)</f>
        <v>0</v>
      </c>
      <c r="Y1395" s="4">
        <v>1</v>
      </c>
      <c r="Z1395" s="4" t="str">
        <f>IF(Table1[[#This Row],[TAT_Days]]&gt;Table1[[#This Row],[SLA_TAT]],"Yes","No")</f>
        <v>Yes</v>
      </c>
      <c r="AA1395" s="4" t="str" cm="1">
        <f t="array" ref="AA1395">_xlfn.IFS(Table1[[#This Row],[Customer_Satisfaction]]&lt;=2,"Poor",Table1[[#This Row],[Customer_Satisfaction]]=3,"Neutral",Table1[[#This Row],[Customer_Satisfaction]]=4,"Good",Table1[[#This Row],[Customer_Satisfaction]]=5,"Good")</f>
        <v>Neutral</v>
      </c>
    </row>
    <row r="1396" spans="1:27" x14ac:dyDescent="0.35">
      <c r="A1396">
        <v>21394</v>
      </c>
      <c r="B1396" s="1">
        <v>45352</v>
      </c>
      <c r="C1396" t="s">
        <v>30</v>
      </c>
      <c r="D1396" t="s">
        <v>83</v>
      </c>
      <c r="E1396" t="s">
        <v>95</v>
      </c>
      <c r="F1396" t="s">
        <v>40</v>
      </c>
      <c r="G1396" t="s">
        <v>74</v>
      </c>
      <c r="H1396" t="s">
        <v>34</v>
      </c>
      <c r="I1396" t="s">
        <v>55</v>
      </c>
      <c r="J1396" t="s">
        <v>26</v>
      </c>
      <c r="K1396" t="s">
        <v>61</v>
      </c>
      <c r="L1396" t="s">
        <v>28</v>
      </c>
      <c r="M1396" s="4">
        <v>22</v>
      </c>
      <c r="N1396" s="4">
        <v>7</v>
      </c>
      <c r="O1396" t="s">
        <v>29</v>
      </c>
      <c r="P1396" t="s">
        <v>36</v>
      </c>
      <c r="Q1396" s="4">
        <v>366747</v>
      </c>
      <c r="R1396" s="4">
        <v>191753</v>
      </c>
      <c r="S1396" s="4">
        <f>Table1[[#This Row],[Service_Revenue]]-Table1[[#This Row],[Service_Cost]]</f>
        <v>174994</v>
      </c>
      <c r="T1396" s="4">
        <v>1</v>
      </c>
      <c r="U1396" s="4">
        <f>IF(AND(Table1[[#This Row],[Rework_Flag]]="Yes",Table1[[#This Row],[Warranty_Claim]]="No"),Table1[[#This Row],[Service_Revenue]],0)</f>
        <v>366747</v>
      </c>
      <c r="V1396" s="4">
        <f>IF(Table1[[#This Row],[Warranty_Claim]]="Yes",1,0)</f>
        <v>0</v>
      </c>
      <c r="W1396" s="4">
        <f>IF(Table1[[#This Row],[Rework_Flag]]="No",1,0)</f>
        <v>0</v>
      </c>
      <c r="X1396" s="4">
        <f>IF(Table1[[#This Row],[Rework_Flag]]="Yes",1,0)</f>
        <v>1</v>
      </c>
      <c r="Y1396" s="4">
        <v>1</v>
      </c>
      <c r="Z1396" s="4" t="str">
        <f>IF(Table1[[#This Row],[TAT_Days]]&gt;Table1[[#This Row],[SLA_TAT]],"Yes","No")</f>
        <v>Yes</v>
      </c>
      <c r="AA1396" s="4" t="str" cm="1">
        <f t="array" ref="AA1396">_xlfn.IFS(Table1[[#This Row],[Customer_Satisfaction]]&lt;=2,"Poor",Table1[[#This Row],[Customer_Satisfaction]]=3,"Neutral",Table1[[#This Row],[Customer_Satisfaction]]=4,"Good",Table1[[#This Row],[Customer_Satisfaction]]=5,"Good")</f>
        <v>Poor</v>
      </c>
    </row>
    <row r="1397" spans="1:27" x14ac:dyDescent="0.35">
      <c r="A1397">
        <v>21395</v>
      </c>
      <c r="B1397" s="1">
        <v>45424</v>
      </c>
      <c r="C1397" t="s">
        <v>37</v>
      </c>
      <c r="D1397" t="s">
        <v>38</v>
      </c>
      <c r="E1397" t="s">
        <v>102</v>
      </c>
      <c r="F1397" t="s">
        <v>22</v>
      </c>
      <c r="G1397" t="s">
        <v>54</v>
      </c>
      <c r="H1397" t="s">
        <v>42</v>
      </c>
      <c r="I1397" t="s">
        <v>25</v>
      </c>
      <c r="J1397" t="s">
        <v>58</v>
      </c>
      <c r="K1397" t="s">
        <v>44</v>
      </c>
      <c r="L1397" t="s">
        <v>49</v>
      </c>
      <c r="M1397" s="4">
        <v>17</v>
      </c>
      <c r="N1397" s="4">
        <v>7</v>
      </c>
      <c r="O1397" t="s">
        <v>29</v>
      </c>
      <c r="P1397" t="s">
        <v>29</v>
      </c>
      <c r="Q1397" s="4">
        <v>99383</v>
      </c>
      <c r="R1397" s="4">
        <v>84072</v>
      </c>
      <c r="S1397" s="4">
        <f>Table1[[#This Row],[Service_Revenue]]-Table1[[#This Row],[Service_Cost]]</f>
        <v>15311</v>
      </c>
      <c r="T1397" s="4">
        <v>1</v>
      </c>
      <c r="U1397" s="4">
        <f>IF(AND(Table1[[#This Row],[Rework_Flag]]="Yes",Table1[[#This Row],[Warranty_Claim]]="No"),Table1[[#This Row],[Service_Revenue]],0)</f>
        <v>0</v>
      </c>
      <c r="V1397" s="4">
        <f>IF(Table1[[#This Row],[Warranty_Claim]]="Yes",1,0)</f>
        <v>1</v>
      </c>
      <c r="W1397" s="4">
        <f>IF(Table1[[#This Row],[Rework_Flag]]="No",1,0)</f>
        <v>0</v>
      </c>
      <c r="X1397" s="4">
        <f>IF(Table1[[#This Row],[Rework_Flag]]="Yes",1,0)</f>
        <v>1</v>
      </c>
      <c r="Y1397" s="4">
        <v>1</v>
      </c>
      <c r="Z1397" s="4" t="str">
        <f>IF(Table1[[#This Row],[TAT_Days]]&gt;Table1[[#This Row],[SLA_TAT]],"Yes","No")</f>
        <v>Yes</v>
      </c>
      <c r="AA1397" s="4" t="str" cm="1">
        <f t="array" ref="AA1397">_xlfn.IFS(Table1[[#This Row],[Customer_Satisfaction]]&lt;=2,"Poor",Table1[[#This Row],[Customer_Satisfaction]]=3,"Neutral",Table1[[#This Row],[Customer_Satisfaction]]=4,"Good",Table1[[#This Row],[Customer_Satisfaction]]=5,"Good")</f>
        <v>Poor</v>
      </c>
    </row>
    <row r="1398" spans="1:27" x14ac:dyDescent="0.35">
      <c r="A1398">
        <v>21396</v>
      </c>
      <c r="B1398" s="1">
        <v>45303</v>
      </c>
      <c r="C1398" t="s">
        <v>37</v>
      </c>
      <c r="D1398" t="s">
        <v>70</v>
      </c>
      <c r="E1398" t="s">
        <v>91</v>
      </c>
      <c r="F1398" t="s">
        <v>22</v>
      </c>
      <c r="G1398" t="s">
        <v>54</v>
      </c>
      <c r="H1398" t="s">
        <v>42</v>
      </c>
      <c r="I1398" t="s">
        <v>25</v>
      </c>
      <c r="J1398" t="s">
        <v>58</v>
      </c>
      <c r="K1398" t="s">
        <v>61</v>
      </c>
      <c r="L1398" t="s">
        <v>49</v>
      </c>
      <c r="M1398" s="4">
        <v>23</v>
      </c>
      <c r="N1398" s="4">
        <v>7</v>
      </c>
      <c r="O1398" t="s">
        <v>36</v>
      </c>
      <c r="P1398" t="s">
        <v>36</v>
      </c>
      <c r="Q1398" s="4">
        <v>364190</v>
      </c>
      <c r="R1398" s="4">
        <v>182281</v>
      </c>
      <c r="S1398" s="4">
        <f>Table1[[#This Row],[Service_Revenue]]-Table1[[#This Row],[Service_Cost]]</f>
        <v>181909</v>
      </c>
      <c r="T1398" s="4">
        <v>1</v>
      </c>
      <c r="U1398" s="4">
        <f>IF(AND(Table1[[#This Row],[Rework_Flag]]="Yes",Table1[[#This Row],[Warranty_Claim]]="No"),Table1[[#This Row],[Service_Revenue]],0)</f>
        <v>0</v>
      </c>
      <c r="V1398" s="4">
        <f>IF(Table1[[#This Row],[Warranty_Claim]]="Yes",1,0)</f>
        <v>0</v>
      </c>
      <c r="W1398" s="4">
        <f>IF(Table1[[#This Row],[Rework_Flag]]="No",1,0)</f>
        <v>1</v>
      </c>
      <c r="X1398" s="4">
        <f>IF(Table1[[#This Row],[Rework_Flag]]="Yes",1,0)</f>
        <v>0</v>
      </c>
      <c r="Y1398" s="4">
        <v>1</v>
      </c>
      <c r="Z1398" s="4" t="str">
        <f>IF(Table1[[#This Row],[TAT_Days]]&gt;Table1[[#This Row],[SLA_TAT]],"Yes","No")</f>
        <v>Yes</v>
      </c>
      <c r="AA1398" s="4" t="str" cm="1">
        <f t="array" ref="AA1398">_xlfn.IFS(Table1[[#This Row],[Customer_Satisfaction]]&lt;=2,"Poor",Table1[[#This Row],[Customer_Satisfaction]]=3,"Neutral",Table1[[#This Row],[Customer_Satisfaction]]=4,"Good",Table1[[#This Row],[Customer_Satisfaction]]=5,"Good")</f>
        <v>Poor</v>
      </c>
    </row>
    <row r="1399" spans="1:27" x14ac:dyDescent="0.35">
      <c r="A1399">
        <v>21397</v>
      </c>
      <c r="B1399" s="1">
        <v>45419</v>
      </c>
      <c r="C1399" t="s">
        <v>37</v>
      </c>
      <c r="D1399" t="s">
        <v>70</v>
      </c>
      <c r="E1399" t="s">
        <v>91</v>
      </c>
      <c r="F1399" t="s">
        <v>40</v>
      </c>
      <c r="G1399" t="s">
        <v>33</v>
      </c>
      <c r="H1399" t="s">
        <v>34</v>
      </c>
      <c r="I1399" t="s">
        <v>55</v>
      </c>
      <c r="J1399" t="s">
        <v>26</v>
      </c>
      <c r="K1399" t="s">
        <v>27</v>
      </c>
      <c r="L1399" t="s">
        <v>28</v>
      </c>
      <c r="M1399" s="4">
        <v>9</v>
      </c>
      <c r="N1399" s="4">
        <v>7</v>
      </c>
      <c r="O1399" t="s">
        <v>29</v>
      </c>
      <c r="P1399" t="s">
        <v>36</v>
      </c>
      <c r="Q1399" s="4">
        <v>401374</v>
      </c>
      <c r="R1399" s="4">
        <v>246571</v>
      </c>
      <c r="S1399" s="4">
        <f>Table1[[#This Row],[Service_Revenue]]-Table1[[#This Row],[Service_Cost]]</f>
        <v>154803</v>
      </c>
      <c r="T1399" s="4">
        <v>3</v>
      </c>
      <c r="U1399" s="4">
        <f>IF(AND(Table1[[#This Row],[Rework_Flag]]="Yes",Table1[[#This Row],[Warranty_Claim]]="No"),Table1[[#This Row],[Service_Revenue]],0)</f>
        <v>401374</v>
      </c>
      <c r="V1399" s="4">
        <f>IF(Table1[[#This Row],[Warranty_Claim]]="Yes",1,0)</f>
        <v>0</v>
      </c>
      <c r="W1399" s="4">
        <f>IF(Table1[[#This Row],[Rework_Flag]]="No",1,0)</f>
        <v>0</v>
      </c>
      <c r="X1399" s="4">
        <f>IF(Table1[[#This Row],[Rework_Flag]]="Yes",1,0)</f>
        <v>1</v>
      </c>
      <c r="Y1399" s="4">
        <v>1</v>
      </c>
      <c r="Z1399" s="4" t="str">
        <f>IF(Table1[[#This Row],[TAT_Days]]&gt;Table1[[#This Row],[SLA_TAT]],"Yes","No")</f>
        <v>Yes</v>
      </c>
      <c r="AA1399" s="4" t="str" cm="1">
        <f t="array" ref="AA1399">_xlfn.IFS(Table1[[#This Row],[Customer_Satisfaction]]&lt;=2,"Poor",Table1[[#This Row],[Customer_Satisfaction]]=3,"Neutral",Table1[[#This Row],[Customer_Satisfaction]]=4,"Good",Table1[[#This Row],[Customer_Satisfaction]]=5,"Good")</f>
        <v>Neutral</v>
      </c>
    </row>
    <row r="1400" spans="1:27" x14ac:dyDescent="0.35">
      <c r="A1400">
        <v>21398</v>
      </c>
      <c r="B1400" s="1">
        <v>45298</v>
      </c>
      <c r="C1400" t="s">
        <v>50</v>
      </c>
      <c r="D1400" t="s">
        <v>56</v>
      </c>
      <c r="E1400" t="s">
        <v>77</v>
      </c>
      <c r="F1400" t="s">
        <v>53</v>
      </c>
      <c r="G1400" t="s">
        <v>41</v>
      </c>
      <c r="H1400" t="s">
        <v>42</v>
      </c>
      <c r="I1400" t="s">
        <v>55</v>
      </c>
      <c r="J1400" t="s">
        <v>26</v>
      </c>
      <c r="K1400" t="s">
        <v>61</v>
      </c>
      <c r="L1400" t="s">
        <v>28</v>
      </c>
      <c r="M1400" s="4">
        <v>19</v>
      </c>
      <c r="N1400" s="4">
        <v>7</v>
      </c>
      <c r="O1400" t="s">
        <v>29</v>
      </c>
      <c r="P1400" t="s">
        <v>36</v>
      </c>
      <c r="Q1400" s="4">
        <v>572839</v>
      </c>
      <c r="R1400" s="4">
        <v>376199</v>
      </c>
      <c r="S1400" s="4">
        <f>Table1[[#This Row],[Service_Revenue]]-Table1[[#This Row],[Service_Cost]]</f>
        <v>196640</v>
      </c>
      <c r="T1400" s="4">
        <v>1</v>
      </c>
      <c r="U1400" s="4">
        <f>IF(AND(Table1[[#This Row],[Rework_Flag]]="Yes",Table1[[#This Row],[Warranty_Claim]]="No"),Table1[[#This Row],[Service_Revenue]],0)</f>
        <v>572839</v>
      </c>
      <c r="V1400" s="4">
        <f>IF(Table1[[#This Row],[Warranty_Claim]]="Yes",1,0)</f>
        <v>0</v>
      </c>
      <c r="W1400" s="4">
        <f>IF(Table1[[#This Row],[Rework_Flag]]="No",1,0)</f>
        <v>0</v>
      </c>
      <c r="X1400" s="4">
        <f>IF(Table1[[#This Row],[Rework_Flag]]="Yes",1,0)</f>
        <v>1</v>
      </c>
      <c r="Y1400" s="4">
        <v>1</v>
      </c>
      <c r="Z1400" s="4" t="str">
        <f>IF(Table1[[#This Row],[TAT_Days]]&gt;Table1[[#This Row],[SLA_TAT]],"Yes","No")</f>
        <v>Yes</v>
      </c>
      <c r="AA1400" s="4" t="str" cm="1">
        <f t="array" ref="AA1400">_xlfn.IFS(Table1[[#This Row],[Customer_Satisfaction]]&lt;=2,"Poor",Table1[[#This Row],[Customer_Satisfaction]]=3,"Neutral",Table1[[#This Row],[Customer_Satisfaction]]=4,"Good",Table1[[#This Row],[Customer_Satisfaction]]=5,"Good")</f>
        <v>Poor</v>
      </c>
    </row>
    <row r="1401" spans="1:27" x14ac:dyDescent="0.35">
      <c r="A1401">
        <v>21399</v>
      </c>
      <c r="B1401" s="1">
        <v>45345</v>
      </c>
      <c r="C1401" t="s">
        <v>50</v>
      </c>
      <c r="D1401" t="s">
        <v>56</v>
      </c>
      <c r="E1401" t="s">
        <v>88</v>
      </c>
      <c r="F1401" t="s">
        <v>22</v>
      </c>
      <c r="G1401" t="s">
        <v>63</v>
      </c>
      <c r="H1401" t="s">
        <v>24</v>
      </c>
      <c r="I1401" t="s">
        <v>25</v>
      </c>
      <c r="J1401" t="s">
        <v>26</v>
      </c>
      <c r="K1401" t="s">
        <v>61</v>
      </c>
      <c r="L1401" t="s">
        <v>49</v>
      </c>
      <c r="M1401" s="4">
        <v>8</v>
      </c>
      <c r="N1401" s="4">
        <v>7</v>
      </c>
      <c r="O1401" t="s">
        <v>36</v>
      </c>
      <c r="P1401" t="s">
        <v>36</v>
      </c>
      <c r="Q1401" s="4">
        <v>240318</v>
      </c>
      <c r="R1401" s="4">
        <v>157247</v>
      </c>
      <c r="S1401" s="4">
        <f>Table1[[#This Row],[Service_Revenue]]-Table1[[#This Row],[Service_Cost]]</f>
        <v>83071</v>
      </c>
      <c r="T1401" s="4">
        <v>4</v>
      </c>
      <c r="U1401" s="4">
        <f>IF(AND(Table1[[#This Row],[Rework_Flag]]="Yes",Table1[[#This Row],[Warranty_Claim]]="No"),Table1[[#This Row],[Service_Revenue]],0)</f>
        <v>0</v>
      </c>
      <c r="V1401" s="4">
        <f>IF(Table1[[#This Row],[Warranty_Claim]]="Yes",1,0)</f>
        <v>0</v>
      </c>
      <c r="W1401" s="4">
        <f>IF(Table1[[#This Row],[Rework_Flag]]="No",1,0)</f>
        <v>1</v>
      </c>
      <c r="X1401" s="4">
        <f>IF(Table1[[#This Row],[Rework_Flag]]="Yes",1,0)</f>
        <v>0</v>
      </c>
      <c r="Y1401" s="4">
        <v>1</v>
      </c>
      <c r="Z1401" s="4" t="str">
        <f>IF(Table1[[#This Row],[TAT_Days]]&gt;Table1[[#This Row],[SLA_TAT]],"Yes","No")</f>
        <v>Yes</v>
      </c>
      <c r="AA1401" s="4" t="str" cm="1">
        <f t="array" ref="AA1401">_xlfn.IFS(Table1[[#This Row],[Customer_Satisfaction]]&lt;=2,"Poor",Table1[[#This Row],[Customer_Satisfaction]]=3,"Neutral",Table1[[#This Row],[Customer_Satisfaction]]=4,"Good",Table1[[#This Row],[Customer_Satisfaction]]=5,"Good")</f>
        <v>Good</v>
      </c>
    </row>
    <row r="1402" spans="1:27" x14ac:dyDescent="0.35">
      <c r="A1402">
        <v>21400</v>
      </c>
      <c r="B1402" s="1">
        <v>45385</v>
      </c>
      <c r="C1402" t="s">
        <v>50</v>
      </c>
      <c r="D1402" t="s">
        <v>56</v>
      </c>
      <c r="E1402" t="s">
        <v>77</v>
      </c>
      <c r="F1402" t="s">
        <v>22</v>
      </c>
      <c r="G1402" t="s">
        <v>54</v>
      </c>
      <c r="H1402" t="s">
        <v>42</v>
      </c>
      <c r="I1402" t="s">
        <v>25</v>
      </c>
      <c r="J1402" t="s">
        <v>67</v>
      </c>
      <c r="K1402" t="s">
        <v>27</v>
      </c>
      <c r="L1402" t="s">
        <v>28</v>
      </c>
      <c r="M1402" s="4">
        <v>2</v>
      </c>
      <c r="N1402" s="4">
        <v>7</v>
      </c>
      <c r="O1402" t="s">
        <v>36</v>
      </c>
      <c r="P1402" t="s">
        <v>36</v>
      </c>
      <c r="Q1402" s="4">
        <v>339955</v>
      </c>
      <c r="R1402" s="4">
        <v>264195</v>
      </c>
      <c r="S1402" s="4">
        <f>Table1[[#This Row],[Service_Revenue]]-Table1[[#This Row],[Service_Cost]]</f>
        <v>75760</v>
      </c>
      <c r="T1402" s="4">
        <v>5</v>
      </c>
      <c r="U1402" s="4">
        <f>IF(AND(Table1[[#This Row],[Rework_Flag]]="Yes",Table1[[#This Row],[Warranty_Claim]]="No"),Table1[[#This Row],[Service_Revenue]],0)</f>
        <v>0</v>
      </c>
      <c r="V1402" s="4">
        <f>IF(Table1[[#This Row],[Warranty_Claim]]="Yes",1,0)</f>
        <v>0</v>
      </c>
      <c r="W1402" s="4">
        <f>IF(Table1[[#This Row],[Rework_Flag]]="No",1,0)</f>
        <v>1</v>
      </c>
      <c r="X1402" s="4">
        <f>IF(Table1[[#This Row],[Rework_Flag]]="Yes",1,0)</f>
        <v>0</v>
      </c>
      <c r="Y1402" s="4">
        <v>1</v>
      </c>
      <c r="Z1402" s="4" t="str">
        <f>IF(Table1[[#This Row],[TAT_Days]]&gt;Table1[[#This Row],[SLA_TAT]],"Yes","No")</f>
        <v>No</v>
      </c>
      <c r="AA1402" s="4" t="str" cm="1">
        <f t="array" ref="AA1402">_xlfn.IFS(Table1[[#This Row],[Customer_Satisfaction]]&lt;=2,"Poor",Table1[[#This Row],[Customer_Satisfaction]]=3,"Neutral",Table1[[#This Row],[Customer_Satisfaction]]=4,"Good",Table1[[#This Row],[Customer_Satisfaction]]=5,"Good")</f>
        <v>Good</v>
      </c>
    </row>
    <row r="1403" spans="1:27" x14ac:dyDescent="0.35">
      <c r="A1403">
        <v>21401</v>
      </c>
      <c r="B1403" s="1">
        <v>45305</v>
      </c>
      <c r="C1403" t="s">
        <v>19</v>
      </c>
      <c r="D1403" t="s">
        <v>45</v>
      </c>
      <c r="E1403" t="s">
        <v>111</v>
      </c>
      <c r="F1403" t="s">
        <v>22</v>
      </c>
      <c r="G1403" t="s">
        <v>54</v>
      </c>
      <c r="H1403" t="s">
        <v>42</v>
      </c>
      <c r="I1403" t="s">
        <v>55</v>
      </c>
      <c r="J1403" t="s">
        <v>67</v>
      </c>
      <c r="K1403" t="s">
        <v>61</v>
      </c>
      <c r="L1403" t="s">
        <v>28</v>
      </c>
      <c r="M1403" s="4">
        <v>12</v>
      </c>
      <c r="N1403" s="4">
        <v>7</v>
      </c>
      <c r="O1403" t="s">
        <v>29</v>
      </c>
      <c r="P1403" t="s">
        <v>36</v>
      </c>
      <c r="Q1403" s="4">
        <v>404920</v>
      </c>
      <c r="R1403" s="4">
        <v>333364</v>
      </c>
      <c r="S1403" s="4">
        <f>Table1[[#This Row],[Service_Revenue]]-Table1[[#This Row],[Service_Cost]]</f>
        <v>71556</v>
      </c>
      <c r="T1403" s="4">
        <v>2</v>
      </c>
      <c r="U1403" s="4">
        <f>IF(AND(Table1[[#This Row],[Rework_Flag]]="Yes",Table1[[#This Row],[Warranty_Claim]]="No"),Table1[[#This Row],[Service_Revenue]],0)</f>
        <v>404920</v>
      </c>
      <c r="V1403" s="4">
        <f>IF(Table1[[#This Row],[Warranty_Claim]]="Yes",1,0)</f>
        <v>0</v>
      </c>
      <c r="W1403" s="4">
        <f>IF(Table1[[#This Row],[Rework_Flag]]="No",1,0)</f>
        <v>0</v>
      </c>
      <c r="X1403" s="4">
        <f>IF(Table1[[#This Row],[Rework_Flag]]="Yes",1,0)</f>
        <v>1</v>
      </c>
      <c r="Y1403" s="4">
        <v>1</v>
      </c>
      <c r="Z1403" s="4" t="str">
        <f>IF(Table1[[#This Row],[TAT_Days]]&gt;Table1[[#This Row],[SLA_TAT]],"Yes","No")</f>
        <v>Yes</v>
      </c>
      <c r="AA1403" s="4" t="str" cm="1">
        <f t="array" ref="AA1403">_xlfn.IFS(Table1[[#This Row],[Customer_Satisfaction]]&lt;=2,"Poor",Table1[[#This Row],[Customer_Satisfaction]]=3,"Neutral",Table1[[#This Row],[Customer_Satisfaction]]=4,"Good",Table1[[#This Row],[Customer_Satisfaction]]=5,"Good")</f>
        <v>Poor</v>
      </c>
    </row>
    <row r="1404" spans="1:27" x14ac:dyDescent="0.35">
      <c r="A1404">
        <v>21402</v>
      </c>
      <c r="B1404" s="1">
        <v>45382</v>
      </c>
      <c r="C1404" t="s">
        <v>19</v>
      </c>
      <c r="D1404" t="s">
        <v>96</v>
      </c>
      <c r="E1404" t="s">
        <v>105</v>
      </c>
      <c r="F1404" t="s">
        <v>22</v>
      </c>
      <c r="G1404" t="s">
        <v>33</v>
      </c>
      <c r="H1404" t="s">
        <v>34</v>
      </c>
      <c r="I1404" t="s">
        <v>55</v>
      </c>
      <c r="J1404" t="s">
        <v>58</v>
      </c>
      <c r="K1404" t="s">
        <v>27</v>
      </c>
      <c r="L1404" t="s">
        <v>28</v>
      </c>
      <c r="M1404" s="4">
        <v>7</v>
      </c>
      <c r="N1404" s="4">
        <v>7</v>
      </c>
      <c r="O1404" t="s">
        <v>36</v>
      </c>
      <c r="P1404" t="s">
        <v>29</v>
      </c>
      <c r="Q1404" s="4">
        <v>560532</v>
      </c>
      <c r="R1404" s="4">
        <v>292350</v>
      </c>
      <c r="S1404" s="4">
        <f>Table1[[#This Row],[Service_Revenue]]-Table1[[#This Row],[Service_Cost]]</f>
        <v>268182</v>
      </c>
      <c r="T1404" s="4">
        <v>4</v>
      </c>
      <c r="U1404" s="4">
        <f>IF(AND(Table1[[#This Row],[Rework_Flag]]="Yes",Table1[[#This Row],[Warranty_Claim]]="No"),Table1[[#This Row],[Service_Revenue]],0)</f>
        <v>0</v>
      </c>
      <c r="V1404" s="4">
        <f>IF(Table1[[#This Row],[Warranty_Claim]]="Yes",1,0)</f>
        <v>1</v>
      </c>
      <c r="W1404" s="4">
        <f>IF(Table1[[#This Row],[Rework_Flag]]="No",1,0)</f>
        <v>1</v>
      </c>
      <c r="X1404" s="4">
        <f>IF(Table1[[#This Row],[Rework_Flag]]="Yes",1,0)</f>
        <v>0</v>
      </c>
      <c r="Y1404" s="4">
        <v>1</v>
      </c>
      <c r="Z1404" s="4" t="str">
        <f>IF(Table1[[#This Row],[TAT_Days]]&gt;Table1[[#This Row],[SLA_TAT]],"Yes","No")</f>
        <v>No</v>
      </c>
      <c r="AA1404" s="4" t="str" cm="1">
        <f t="array" ref="AA1404">_xlfn.IFS(Table1[[#This Row],[Customer_Satisfaction]]&lt;=2,"Poor",Table1[[#This Row],[Customer_Satisfaction]]=3,"Neutral",Table1[[#This Row],[Customer_Satisfaction]]=4,"Good",Table1[[#This Row],[Customer_Satisfaction]]=5,"Good")</f>
        <v>Good</v>
      </c>
    </row>
    <row r="1405" spans="1:27" x14ac:dyDescent="0.35">
      <c r="A1405">
        <v>21403</v>
      </c>
      <c r="B1405" s="1">
        <v>45449</v>
      </c>
      <c r="C1405" t="s">
        <v>50</v>
      </c>
      <c r="D1405" t="s">
        <v>51</v>
      </c>
      <c r="E1405" t="s">
        <v>75</v>
      </c>
      <c r="F1405" t="s">
        <v>53</v>
      </c>
      <c r="G1405" t="s">
        <v>47</v>
      </c>
      <c r="H1405" t="s">
        <v>48</v>
      </c>
      <c r="I1405" t="s">
        <v>25</v>
      </c>
      <c r="J1405" t="s">
        <v>35</v>
      </c>
      <c r="K1405" t="s">
        <v>27</v>
      </c>
      <c r="L1405" t="s">
        <v>28</v>
      </c>
      <c r="M1405" s="4">
        <v>25</v>
      </c>
      <c r="N1405" s="4">
        <v>7</v>
      </c>
      <c r="O1405" t="s">
        <v>29</v>
      </c>
      <c r="P1405" t="s">
        <v>36</v>
      </c>
      <c r="Q1405" s="4">
        <v>414454</v>
      </c>
      <c r="R1405" s="4">
        <v>234856</v>
      </c>
      <c r="S1405" s="4">
        <f>Table1[[#This Row],[Service_Revenue]]-Table1[[#This Row],[Service_Cost]]</f>
        <v>179598</v>
      </c>
      <c r="T1405" s="4">
        <v>1</v>
      </c>
      <c r="U1405" s="4">
        <f>IF(AND(Table1[[#This Row],[Rework_Flag]]="Yes",Table1[[#This Row],[Warranty_Claim]]="No"),Table1[[#This Row],[Service_Revenue]],0)</f>
        <v>414454</v>
      </c>
      <c r="V1405" s="4">
        <f>IF(Table1[[#This Row],[Warranty_Claim]]="Yes",1,0)</f>
        <v>0</v>
      </c>
      <c r="W1405" s="4">
        <f>IF(Table1[[#This Row],[Rework_Flag]]="No",1,0)</f>
        <v>0</v>
      </c>
      <c r="X1405" s="4">
        <f>IF(Table1[[#This Row],[Rework_Flag]]="Yes",1,0)</f>
        <v>1</v>
      </c>
      <c r="Y1405" s="4">
        <v>1</v>
      </c>
      <c r="Z1405" s="4" t="str">
        <f>IF(Table1[[#This Row],[TAT_Days]]&gt;Table1[[#This Row],[SLA_TAT]],"Yes","No")</f>
        <v>Yes</v>
      </c>
      <c r="AA1405" s="4" t="str" cm="1">
        <f t="array" ref="AA1405">_xlfn.IFS(Table1[[#This Row],[Customer_Satisfaction]]&lt;=2,"Poor",Table1[[#This Row],[Customer_Satisfaction]]=3,"Neutral",Table1[[#This Row],[Customer_Satisfaction]]=4,"Good",Table1[[#This Row],[Customer_Satisfaction]]=5,"Good")</f>
        <v>Poor</v>
      </c>
    </row>
    <row r="1406" spans="1:27" x14ac:dyDescent="0.35">
      <c r="A1406">
        <v>21404</v>
      </c>
      <c r="B1406" s="1">
        <v>45369</v>
      </c>
      <c r="C1406" t="s">
        <v>50</v>
      </c>
      <c r="D1406" t="s">
        <v>80</v>
      </c>
      <c r="E1406" t="s">
        <v>81</v>
      </c>
      <c r="F1406" t="s">
        <v>53</v>
      </c>
      <c r="G1406" t="s">
        <v>33</v>
      </c>
      <c r="H1406" t="s">
        <v>34</v>
      </c>
      <c r="I1406" t="s">
        <v>25</v>
      </c>
      <c r="J1406" t="s">
        <v>43</v>
      </c>
      <c r="K1406" t="s">
        <v>44</v>
      </c>
      <c r="L1406" t="s">
        <v>28</v>
      </c>
      <c r="M1406" s="4">
        <v>20</v>
      </c>
      <c r="N1406" s="4">
        <v>7</v>
      </c>
      <c r="O1406" t="s">
        <v>29</v>
      </c>
      <c r="P1406" t="s">
        <v>29</v>
      </c>
      <c r="Q1406" s="4">
        <v>171331</v>
      </c>
      <c r="R1406" s="4">
        <v>129061</v>
      </c>
      <c r="S1406" s="4">
        <f>Table1[[#This Row],[Service_Revenue]]-Table1[[#This Row],[Service_Cost]]</f>
        <v>42270</v>
      </c>
      <c r="T1406" s="4">
        <v>1</v>
      </c>
      <c r="U1406" s="4">
        <f>IF(AND(Table1[[#This Row],[Rework_Flag]]="Yes",Table1[[#This Row],[Warranty_Claim]]="No"),Table1[[#This Row],[Service_Revenue]],0)</f>
        <v>0</v>
      </c>
      <c r="V1406" s="4">
        <f>IF(Table1[[#This Row],[Warranty_Claim]]="Yes",1,0)</f>
        <v>1</v>
      </c>
      <c r="W1406" s="4">
        <f>IF(Table1[[#This Row],[Rework_Flag]]="No",1,0)</f>
        <v>0</v>
      </c>
      <c r="X1406" s="4">
        <f>IF(Table1[[#This Row],[Rework_Flag]]="Yes",1,0)</f>
        <v>1</v>
      </c>
      <c r="Y1406" s="4">
        <v>1</v>
      </c>
      <c r="Z1406" s="4" t="str">
        <f>IF(Table1[[#This Row],[TAT_Days]]&gt;Table1[[#This Row],[SLA_TAT]],"Yes","No")</f>
        <v>Yes</v>
      </c>
      <c r="AA1406" s="4" t="str" cm="1">
        <f t="array" ref="AA1406">_xlfn.IFS(Table1[[#This Row],[Customer_Satisfaction]]&lt;=2,"Poor",Table1[[#This Row],[Customer_Satisfaction]]=3,"Neutral",Table1[[#This Row],[Customer_Satisfaction]]=4,"Good",Table1[[#This Row],[Customer_Satisfaction]]=5,"Good")</f>
        <v>Poor</v>
      </c>
    </row>
    <row r="1407" spans="1:27" x14ac:dyDescent="0.35">
      <c r="A1407">
        <v>21405</v>
      </c>
      <c r="B1407" s="1">
        <v>45429</v>
      </c>
      <c r="C1407" t="s">
        <v>30</v>
      </c>
      <c r="D1407" t="s">
        <v>83</v>
      </c>
      <c r="E1407" t="s">
        <v>84</v>
      </c>
      <c r="F1407" t="s">
        <v>40</v>
      </c>
      <c r="G1407" t="s">
        <v>47</v>
      </c>
      <c r="H1407" t="s">
        <v>48</v>
      </c>
      <c r="I1407" t="s">
        <v>55</v>
      </c>
      <c r="J1407" t="s">
        <v>43</v>
      </c>
      <c r="K1407" t="s">
        <v>27</v>
      </c>
      <c r="L1407" t="s">
        <v>28</v>
      </c>
      <c r="M1407" s="4">
        <v>4</v>
      </c>
      <c r="N1407" s="4">
        <v>7</v>
      </c>
      <c r="O1407" t="s">
        <v>36</v>
      </c>
      <c r="P1407" t="s">
        <v>36</v>
      </c>
      <c r="Q1407" s="4">
        <v>494755</v>
      </c>
      <c r="R1407" s="4">
        <v>401717</v>
      </c>
      <c r="S1407" s="4">
        <f>Table1[[#This Row],[Service_Revenue]]-Table1[[#This Row],[Service_Cost]]</f>
        <v>93038</v>
      </c>
      <c r="T1407" s="4">
        <v>5</v>
      </c>
      <c r="U1407" s="4">
        <f>IF(AND(Table1[[#This Row],[Rework_Flag]]="Yes",Table1[[#This Row],[Warranty_Claim]]="No"),Table1[[#This Row],[Service_Revenue]],0)</f>
        <v>0</v>
      </c>
      <c r="V1407" s="4">
        <f>IF(Table1[[#This Row],[Warranty_Claim]]="Yes",1,0)</f>
        <v>0</v>
      </c>
      <c r="W1407" s="4">
        <f>IF(Table1[[#This Row],[Rework_Flag]]="No",1,0)</f>
        <v>1</v>
      </c>
      <c r="X1407" s="4">
        <f>IF(Table1[[#This Row],[Rework_Flag]]="Yes",1,0)</f>
        <v>0</v>
      </c>
      <c r="Y1407" s="4">
        <v>1</v>
      </c>
      <c r="Z1407" s="4" t="str">
        <f>IF(Table1[[#This Row],[TAT_Days]]&gt;Table1[[#This Row],[SLA_TAT]],"Yes","No")</f>
        <v>No</v>
      </c>
      <c r="AA1407" s="4" t="str" cm="1">
        <f t="array" ref="AA1407">_xlfn.IFS(Table1[[#This Row],[Customer_Satisfaction]]&lt;=2,"Poor",Table1[[#This Row],[Customer_Satisfaction]]=3,"Neutral",Table1[[#This Row],[Customer_Satisfaction]]=4,"Good",Table1[[#This Row],[Customer_Satisfaction]]=5,"Good")</f>
        <v>Good</v>
      </c>
    </row>
    <row r="1408" spans="1:27" x14ac:dyDescent="0.35">
      <c r="A1408">
        <v>21406</v>
      </c>
      <c r="B1408" s="1">
        <v>45299</v>
      </c>
      <c r="C1408" t="s">
        <v>19</v>
      </c>
      <c r="D1408" t="s">
        <v>45</v>
      </c>
      <c r="E1408" t="s">
        <v>46</v>
      </c>
      <c r="F1408" t="s">
        <v>53</v>
      </c>
      <c r="G1408" t="s">
        <v>33</v>
      </c>
      <c r="H1408" t="s">
        <v>34</v>
      </c>
      <c r="I1408" t="s">
        <v>25</v>
      </c>
      <c r="J1408" t="s">
        <v>35</v>
      </c>
      <c r="K1408" t="s">
        <v>27</v>
      </c>
      <c r="L1408" t="s">
        <v>28</v>
      </c>
      <c r="M1408" s="4">
        <v>17</v>
      </c>
      <c r="N1408" s="4">
        <v>7</v>
      </c>
      <c r="O1408" t="s">
        <v>29</v>
      </c>
      <c r="P1408" t="s">
        <v>29</v>
      </c>
      <c r="Q1408" s="4">
        <v>245482</v>
      </c>
      <c r="R1408" s="4">
        <v>139624</v>
      </c>
      <c r="S1408" s="4">
        <f>Table1[[#This Row],[Service_Revenue]]-Table1[[#This Row],[Service_Cost]]</f>
        <v>105858</v>
      </c>
      <c r="T1408" s="4">
        <v>1</v>
      </c>
      <c r="U1408" s="4">
        <f>IF(AND(Table1[[#This Row],[Rework_Flag]]="Yes",Table1[[#This Row],[Warranty_Claim]]="No"),Table1[[#This Row],[Service_Revenue]],0)</f>
        <v>0</v>
      </c>
      <c r="V1408" s="4">
        <f>IF(Table1[[#This Row],[Warranty_Claim]]="Yes",1,0)</f>
        <v>1</v>
      </c>
      <c r="W1408" s="4">
        <f>IF(Table1[[#This Row],[Rework_Flag]]="No",1,0)</f>
        <v>0</v>
      </c>
      <c r="X1408" s="4">
        <f>IF(Table1[[#This Row],[Rework_Flag]]="Yes",1,0)</f>
        <v>1</v>
      </c>
      <c r="Y1408" s="4">
        <v>1</v>
      </c>
      <c r="Z1408" s="4" t="str">
        <f>IF(Table1[[#This Row],[TAT_Days]]&gt;Table1[[#This Row],[SLA_TAT]],"Yes","No")</f>
        <v>Yes</v>
      </c>
      <c r="AA1408" s="4" t="str" cm="1">
        <f t="array" ref="AA1408">_xlfn.IFS(Table1[[#This Row],[Customer_Satisfaction]]&lt;=2,"Poor",Table1[[#This Row],[Customer_Satisfaction]]=3,"Neutral",Table1[[#This Row],[Customer_Satisfaction]]=4,"Good",Table1[[#This Row],[Customer_Satisfaction]]=5,"Good")</f>
        <v>Poor</v>
      </c>
    </row>
    <row r="1409" spans="1:27" x14ac:dyDescent="0.35">
      <c r="A1409">
        <v>21407</v>
      </c>
      <c r="B1409" s="1">
        <v>45373</v>
      </c>
      <c r="C1409" t="s">
        <v>30</v>
      </c>
      <c r="D1409" t="s">
        <v>31</v>
      </c>
      <c r="E1409" t="s">
        <v>122</v>
      </c>
      <c r="F1409" t="s">
        <v>22</v>
      </c>
      <c r="G1409" t="s">
        <v>74</v>
      </c>
      <c r="H1409" t="s">
        <v>34</v>
      </c>
      <c r="I1409" t="s">
        <v>55</v>
      </c>
      <c r="J1409" t="s">
        <v>43</v>
      </c>
      <c r="K1409" t="s">
        <v>44</v>
      </c>
      <c r="L1409" t="s">
        <v>49</v>
      </c>
      <c r="M1409" s="4">
        <v>21</v>
      </c>
      <c r="N1409" s="4">
        <v>7</v>
      </c>
      <c r="O1409" t="s">
        <v>29</v>
      </c>
      <c r="P1409" t="s">
        <v>29</v>
      </c>
      <c r="Q1409" s="4">
        <v>223595</v>
      </c>
      <c r="R1409" s="4">
        <v>184291</v>
      </c>
      <c r="S1409" s="4">
        <f>Table1[[#This Row],[Service_Revenue]]-Table1[[#This Row],[Service_Cost]]</f>
        <v>39304</v>
      </c>
      <c r="T1409" s="4">
        <v>1</v>
      </c>
      <c r="U1409" s="4">
        <f>IF(AND(Table1[[#This Row],[Rework_Flag]]="Yes",Table1[[#This Row],[Warranty_Claim]]="No"),Table1[[#This Row],[Service_Revenue]],0)</f>
        <v>0</v>
      </c>
      <c r="V1409" s="4">
        <f>IF(Table1[[#This Row],[Warranty_Claim]]="Yes",1,0)</f>
        <v>1</v>
      </c>
      <c r="W1409" s="4">
        <f>IF(Table1[[#This Row],[Rework_Flag]]="No",1,0)</f>
        <v>0</v>
      </c>
      <c r="X1409" s="4">
        <f>IF(Table1[[#This Row],[Rework_Flag]]="Yes",1,0)</f>
        <v>1</v>
      </c>
      <c r="Y1409" s="4">
        <v>1</v>
      </c>
      <c r="Z1409" s="4" t="str">
        <f>IF(Table1[[#This Row],[TAT_Days]]&gt;Table1[[#This Row],[SLA_TAT]],"Yes","No")</f>
        <v>Yes</v>
      </c>
      <c r="AA1409" s="4" t="str" cm="1">
        <f t="array" ref="AA1409">_xlfn.IFS(Table1[[#This Row],[Customer_Satisfaction]]&lt;=2,"Poor",Table1[[#This Row],[Customer_Satisfaction]]=3,"Neutral",Table1[[#This Row],[Customer_Satisfaction]]=4,"Good",Table1[[#This Row],[Customer_Satisfaction]]=5,"Good")</f>
        <v>Poor</v>
      </c>
    </row>
    <row r="1410" spans="1:27" x14ac:dyDescent="0.35">
      <c r="A1410">
        <v>21408</v>
      </c>
      <c r="B1410" s="1">
        <v>45442</v>
      </c>
      <c r="C1410" t="s">
        <v>30</v>
      </c>
      <c r="D1410" t="s">
        <v>59</v>
      </c>
      <c r="E1410" t="s">
        <v>78</v>
      </c>
      <c r="F1410" t="s">
        <v>40</v>
      </c>
      <c r="G1410" t="s">
        <v>23</v>
      </c>
      <c r="H1410" t="s">
        <v>24</v>
      </c>
      <c r="I1410" t="s">
        <v>25</v>
      </c>
      <c r="J1410" t="s">
        <v>35</v>
      </c>
      <c r="K1410" t="s">
        <v>44</v>
      </c>
      <c r="L1410" t="s">
        <v>49</v>
      </c>
      <c r="M1410" s="4">
        <v>22</v>
      </c>
      <c r="N1410" s="4">
        <v>7</v>
      </c>
      <c r="O1410" t="s">
        <v>29</v>
      </c>
      <c r="P1410" t="s">
        <v>36</v>
      </c>
      <c r="Q1410" s="4">
        <v>414450</v>
      </c>
      <c r="R1410" s="4">
        <v>310502</v>
      </c>
      <c r="S1410" s="4">
        <f>Table1[[#This Row],[Service_Revenue]]-Table1[[#This Row],[Service_Cost]]</f>
        <v>103948</v>
      </c>
      <c r="T1410" s="4">
        <v>1</v>
      </c>
      <c r="U1410" s="4">
        <f>IF(AND(Table1[[#This Row],[Rework_Flag]]="Yes",Table1[[#This Row],[Warranty_Claim]]="No"),Table1[[#This Row],[Service_Revenue]],0)</f>
        <v>414450</v>
      </c>
      <c r="V1410" s="4">
        <f>IF(Table1[[#This Row],[Warranty_Claim]]="Yes",1,0)</f>
        <v>0</v>
      </c>
      <c r="W1410" s="4">
        <f>IF(Table1[[#This Row],[Rework_Flag]]="No",1,0)</f>
        <v>0</v>
      </c>
      <c r="X1410" s="4">
        <f>IF(Table1[[#This Row],[Rework_Flag]]="Yes",1,0)</f>
        <v>1</v>
      </c>
      <c r="Y1410" s="4">
        <v>1</v>
      </c>
      <c r="Z1410" s="4" t="str">
        <f>IF(Table1[[#This Row],[TAT_Days]]&gt;Table1[[#This Row],[SLA_TAT]],"Yes","No")</f>
        <v>Yes</v>
      </c>
      <c r="AA1410" s="4" t="str" cm="1">
        <f t="array" ref="AA1410">_xlfn.IFS(Table1[[#This Row],[Customer_Satisfaction]]&lt;=2,"Poor",Table1[[#This Row],[Customer_Satisfaction]]=3,"Neutral",Table1[[#This Row],[Customer_Satisfaction]]=4,"Good",Table1[[#This Row],[Customer_Satisfaction]]=5,"Good")</f>
        <v>Poor</v>
      </c>
    </row>
    <row r="1411" spans="1:27" x14ac:dyDescent="0.35">
      <c r="A1411">
        <v>21409</v>
      </c>
      <c r="B1411" s="1">
        <v>45293</v>
      </c>
      <c r="C1411" t="s">
        <v>19</v>
      </c>
      <c r="D1411" t="s">
        <v>45</v>
      </c>
      <c r="E1411" t="s">
        <v>114</v>
      </c>
      <c r="F1411" t="s">
        <v>40</v>
      </c>
      <c r="G1411" t="s">
        <v>47</v>
      </c>
      <c r="H1411" t="s">
        <v>48</v>
      </c>
      <c r="I1411" t="s">
        <v>55</v>
      </c>
      <c r="J1411" t="s">
        <v>43</v>
      </c>
      <c r="K1411" t="s">
        <v>44</v>
      </c>
      <c r="L1411" t="s">
        <v>28</v>
      </c>
      <c r="M1411" s="4">
        <v>15</v>
      </c>
      <c r="N1411" s="4">
        <v>7</v>
      </c>
      <c r="O1411" t="s">
        <v>36</v>
      </c>
      <c r="P1411" t="s">
        <v>29</v>
      </c>
      <c r="Q1411" s="4">
        <v>245891</v>
      </c>
      <c r="R1411" s="4">
        <v>154692</v>
      </c>
      <c r="S1411" s="4">
        <f>Table1[[#This Row],[Service_Revenue]]-Table1[[#This Row],[Service_Cost]]</f>
        <v>91199</v>
      </c>
      <c r="T1411" s="4">
        <v>2</v>
      </c>
      <c r="U1411" s="4">
        <f>IF(AND(Table1[[#This Row],[Rework_Flag]]="Yes",Table1[[#This Row],[Warranty_Claim]]="No"),Table1[[#This Row],[Service_Revenue]],0)</f>
        <v>0</v>
      </c>
      <c r="V1411" s="4">
        <f>IF(Table1[[#This Row],[Warranty_Claim]]="Yes",1,0)</f>
        <v>1</v>
      </c>
      <c r="W1411" s="4">
        <f>IF(Table1[[#This Row],[Rework_Flag]]="No",1,0)</f>
        <v>1</v>
      </c>
      <c r="X1411" s="4">
        <f>IF(Table1[[#This Row],[Rework_Flag]]="Yes",1,0)</f>
        <v>0</v>
      </c>
      <c r="Y1411" s="4">
        <v>1</v>
      </c>
      <c r="Z1411" s="4" t="str">
        <f>IF(Table1[[#This Row],[TAT_Days]]&gt;Table1[[#This Row],[SLA_TAT]],"Yes","No")</f>
        <v>Yes</v>
      </c>
      <c r="AA1411" s="4" t="str" cm="1">
        <f t="array" ref="AA1411">_xlfn.IFS(Table1[[#This Row],[Customer_Satisfaction]]&lt;=2,"Poor",Table1[[#This Row],[Customer_Satisfaction]]=3,"Neutral",Table1[[#This Row],[Customer_Satisfaction]]=4,"Good",Table1[[#This Row],[Customer_Satisfaction]]=5,"Good")</f>
        <v>Poor</v>
      </c>
    </row>
    <row r="1412" spans="1:27" x14ac:dyDescent="0.35">
      <c r="A1412">
        <v>21410</v>
      </c>
      <c r="B1412" s="1">
        <v>45347</v>
      </c>
      <c r="C1412" t="s">
        <v>37</v>
      </c>
      <c r="D1412" t="s">
        <v>64</v>
      </c>
      <c r="E1412" t="s">
        <v>103</v>
      </c>
      <c r="F1412" t="s">
        <v>22</v>
      </c>
      <c r="G1412" t="s">
        <v>41</v>
      </c>
      <c r="H1412" t="s">
        <v>42</v>
      </c>
      <c r="I1412" t="s">
        <v>25</v>
      </c>
      <c r="J1412" t="s">
        <v>35</v>
      </c>
      <c r="K1412" t="s">
        <v>44</v>
      </c>
      <c r="L1412" t="s">
        <v>49</v>
      </c>
      <c r="M1412" s="4">
        <v>14</v>
      </c>
      <c r="N1412" s="4">
        <v>7</v>
      </c>
      <c r="O1412" t="s">
        <v>36</v>
      </c>
      <c r="P1412" t="s">
        <v>36</v>
      </c>
      <c r="Q1412" s="4">
        <v>352355</v>
      </c>
      <c r="R1412" s="4">
        <v>196557</v>
      </c>
      <c r="S1412" s="4">
        <f>Table1[[#This Row],[Service_Revenue]]-Table1[[#This Row],[Service_Cost]]</f>
        <v>155798</v>
      </c>
      <c r="T1412" s="4">
        <v>3</v>
      </c>
      <c r="U1412" s="4">
        <f>IF(AND(Table1[[#This Row],[Rework_Flag]]="Yes",Table1[[#This Row],[Warranty_Claim]]="No"),Table1[[#This Row],[Service_Revenue]],0)</f>
        <v>0</v>
      </c>
      <c r="V1412" s="4">
        <f>IF(Table1[[#This Row],[Warranty_Claim]]="Yes",1,0)</f>
        <v>0</v>
      </c>
      <c r="W1412" s="4">
        <f>IF(Table1[[#This Row],[Rework_Flag]]="No",1,0)</f>
        <v>1</v>
      </c>
      <c r="X1412" s="4">
        <f>IF(Table1[[#This Row],[Rework_Flag]]="Yes",1,0)</f>
        <v>0</v>
      </c>
      <c r="Y1412" s="4">
        <v>1</v>
      </c>
      <c r="Z1412" s="4" t="str">
        <f>IF(Table1[[#This Row],[TAT_Days]]&gt;Table1[[#This Row],[SLA_TAT]],"Yes","No")</f>
        <v>Yes</v>
      </c>
      <c r="AA1412" s="4" t="str" cm="1">
        <f t="array" ref="AA1412">_xlfn.IFS(Table1[[#This Row],[Customer_Satisfaction]]&lt;=2,"Poor",Table1[[#This Row],[Customer_Satisfaction]]=3,"Neutral",Table1[[#This Row],[Customer_Satisfaction]]=4,"Good",Table1[[#This Row],[Customer_Satisfaction]]=5,"Good")</f>
        <v>Neutral</v>
      </c>
    </row>
    <row r="1413" spans="1:27" x14ac:dyDescent="0.35">
      <c r="A1413">
        <v>21411</v>
      </c>
      <c r="B1413" s="1">
        <v>45412</v>
      </c>
      <c r="C1413" t="s">
        <v>50</v>
      </c>
      <c r="D1413" t="s">
        <v>80</v>
      </c>
      <c r="E1413" t="s">
        <v>81</v>
      </c>
      <c r="F1413" t="s">
        <v>40</v>
      </c>
      <c r="G1413" t="s">
        <v>74</v>
      </c>
      <c r="H1413" t="s">
        <v>34</v>
      </c>
      <c r="I1413" t="s">
        <v>55</v>
      </c>
      <c r="J1413" t="s">
        <v>43</v>
      </c>
      <c r="K1413" t="s">
        <v>44</v>
      </c>
      <c r="L1413" t="s">
        <v>28</v>
      </c>
      <c r="M1413" s="4">
        <v>16</v>
      </c>
      <c r="N1413" s="4">
        <v>7</v>
      </c>
      <c r="O1413" t="s">
        <v>29</v>
      </c>
      <c r="P1413" t="s">
        <v>29</v>
      </c>
      <c r="Q1413" s="4">
        <v>315649</v>
      </c>
      <c r="R1413" s="4">
        <v>215919</v>
      </c>
      <c r="S1413" s="4">
        <f>Table1[[#This Row],[Service_Revenue]]-Table1[[#This Row],[Service_Cost]]</f>
        <v>99730</v>
      </c>
      <c r="T1413" s="4">
        <v>1</v>
      </c>
      <c r="U1413" s="4">
        <f>IF(AND(Table1[[#This Row],[Rework_Flag]]="Yes",Table1[[#This Row],[Warranty_Claim]]="No"),Table1[[#This Row],[Service_Revenue]],0)</f>
        <v>0</v>
      </c>
      <c r="V1413" s="4">
        <f>IF(Table1[[#This Row],[Warranty_Claim]]="Yes",1,0)</f>
        <v>1</v>
      </c>
      <c r="W1413" s="4">
        <f>IF(Table1[[#This Row],[Rework_Flag]]="No",1,0)</f>
        <v>0</v>
      </c>
      <c r="X1413" s="4">
        <f>IF(Table1[[#This Row],[Rework_Flag]]="Yes",1,0)</f>
        <v>1</v>
      </c>
      <c r="Y1413" s="4">
        <v>1</v>
      </c>
      <c r="Z1413" s="4" t="str">
        <f>IF(Table1[[#This Row],[TAT_Days]]&gt;Table1[[#This Row],[SLA_TAT]],"Yes","No")</f>
        <v>Yes</v>
      </c>
      <c r="AA1413" s="4" t="str" cm="1">
        <f t="array" ref="AA1413">_xlfn.IFS(Table1[[#This Row],[Customer_Satisfaction]]&lt;=2,"Poor",Table1[[#This Row],[Customer_Satisfaction]]=3,"Neutral",Table1[[#This Row],[Customer_Satisfaction]]=4,"Good",Table1[[#This Row],[Customer_Satisfaction]]=5,"Good")</f>
        <v>Poor</v>
      </c>
    </row>
    <row r="1414" spans="1:27" x14ac:dyDescent="0.35">
      <c r="A1414">
        <v>21412</v>
      </c>
      <c r="B1414" s="1">
        <v>45394</v>
      </c>
      <c r="C1414" t="s">
        <v>50</v>
      </c>
      <c r="D1414" t="s">
        <v>80</v>
      </c>
      <c r="E1414" t="s">
        <v>81</v>
      </c>
      <c r="F1414" t="s">
        <v>40</v>
      </c>
      <c r="G1414" t="s">
        <v>23</v>
      </c>
      <c r="H1414" t="s">
        <v>24</v>
      </c>
      <c r="I1414" t="s">
        <v>25</v>
      </c>
      <c r="J1414" t="s">
        <v>26</v>
      </c>
      <c r="K1414" t="s">
        <v>61</v>
      </c>
      <c r="L1414" t="s">
        <v>49</v>
      </c>
      <c r="M1414" s="4">
        <v>7</v>
      </c>
      <c r="N1414" s="4">
        <v>7</v>
      </c>
      <c r="O1414" t="s">
        <v>36</v>
      </c>
      <c r="P1414" t="s">
        <v>36</v>
      </c>
      <c r="Q1414" s="4">
        <v>323244</v>
      </c>
      <c r="R1414" s="4">
        <v>246800</v>
      </c>
      <c r="S1414" s="4">
        <f>Table1[[#This Row],[Service_Revenue]]-Table1[[#This Row],[Service_Cost]]</f>
        <v>76444</v>
      </c>
      <c r="T1414" s="4">
        <v>4</v>
      </c>
      <c r="U1414" s="4">
        <f>IF(AND(Table1[[#This Row],[Rework_Flag]]="Yes",Table1[[#This Row],[Warranty_Claim]]="No"),Table1[[#This Row],[Service_Revenue]],0)</f>
        <v>0</v>
      </c>
      <c r="V1414" s="4">
        <f>IF(Table1[[#This Row],[Warranty_Claim]]="Yes",1,0)</f>
        <v>0</v>
      </c>
      <c r="W1414" s="4">
        <f>IF(Table1[[#This Row],[Rework_Flag]]="No",1,0)</f>
        <v>1</v>
      </c>
      <c r="X1414" s="4">
        <f>IF(Table1[[#This Row],[Rework_Flag]]="Yes",1,0)</f>
        <v>0</v>
      </c>
      <c r="Y1414" s="4">
        <v>1</v>
      </c>
      <c r="Z1414" s="4" t="str">
        <f>IF(Table1[[#This Row],[TAT_Days]]&gt;Table1[[#This Row],[SLA_TAT]],"Yes","No")</f>
        <v>No</v>
      </c>
      <c r="AA1414" s="4" t="str" cm="1">
        <f t="array" ref="AA1414">_xlfn.IFS(Table1[[#This Row],[Customer_Satisfaction]]&lt;=2,"Poor",Table1[[#This Row],[Customer_Satisfaction]]=3,"Neutral",Table1[[#This Row],[Customer_Satisfaction]]=4,"Good",Table1[[#This Row],[Customer_Satisfaction]]=5,"Good")</f>
        <v>Good</v>
      </c>
    </row>
    <row r="1415" spans="1:27" x14ac:dyDescent="0.35">
      <c r="A1415">
        <v>21413</v>
      </c>
      <c r="B1415" s="1">
        <v>45368</v>
      </c>
      <c r="C1415" t="s">
        <v>37</v>
      </c>
      <c r="D1415" t="s">
        <v>70</v>
      </c>
      <c r="E1415" t="s">
        <v>91</v>
      </c>
      <c r="F1415" t="s">
        <v>40</v>
      </c>
      <c r="G1415" t="s">
        <v>74</v>
      </c>
      <c r="H1415" t="s">
        <v>34</v>
      </c>
      <c r="I1415" t="s">
        <v>25</v>
      </c>
      <c r="J1415" t="s">
        <v>26</v>
      </c>
      <c r="K1415" t="s">
        <v>61</v>
      </c>
      <c r="L1415" t="s">
        <v>49</v>
      </c>
      <c r="M1415" s="4">
        <v>12</v>
      </c>
      <c r="N1415" s="4">
        <v>7</v>
      </c>
      <c r="O1415" t="s">
        <v>29</v>
      </c>
      <c r="P1415" t="s">
        <v>29</v>
      </c>
      <c r="Q1415" s="4">
        <v>151909</v>
      </c>
      <c r="R1415" s="4">
        <v>105116</v>
      </c>
      <c r="S1415" s="4">
        <f>Table1[[#This Row],[Service_Revenue]]-Table1[[#This Row],[Service_Cost]]</f>
        <v>46793</v>
      </c>
      <c r="T1415" s="4">
        <v>2</v>
      </c>
      <c r="U1415" s="4">
        <f>IF(AND(Table1[[#This Row],[Rework_Flag]]="Yes",Table1[[#This Row],[Warranty_Claim]]="No"),Table1[[#This Row],[Service_Revenue]],0)</f>
        <v>0</v>
      </c>
      <c r="V1415" s="4">
        <f>IF(Table1[[#This Row],[Warranty_Claim]]="Yes",1,0)</f>
        <v>1</v>
      </c>
      <c r="W1415" s="4">
        <f>IF(Table1[[#This Row],[Rework_Flag]]="No",1,0)</f>
        <v>0</v>
      </c>
      <c r="X1415" s="4">
        <f>IF(Table1[[#This Row],[Rework_Flag]]="Yes",1,0)</f>
        <v>1</v>
      </c>
      <c r="Y1415" s="4">
        <v>1</v>
      </c>
      <c r="Z1415" s="4" t="str">
        <f>IF(Table1[[#This Row],[TAT_Days]]&gt;Table1[[#This Row],[SLA_TAT]],"Yes","No")</f>
        <v>Yes</v>
      </c>
      <c r="AA1415" s="4" t="str" cm="1">
        <f t="array" ref="AA1415">_xlfn.IFS(Table1[[#This Row],[Customer_Satisfaction]]&lt;=2,"Poor",Table1[[#This Row],[Customer_Satisfaction]]=3,"Neutral",Table1[[#This Row],[Customer_Satisfaction]]=4,"Good",Table1[[#This Row],[Customer_Satisfaction]]=5,"Good")</f>
        <v>Poor</v>
      </c>
    </row>
    <row r="1416" spans="1:27" x14ac:dyDescent="0.35">
      <c r="A1416">
        <v>21414</v>
      </c>
      <c r="B1416" s="1">
        <v>45468</v>
      </c>
      <c r="C1416" t="s">
        <v>30</v>
      </c>
      <c r="D1416" t="s">
        <v>31</v>
      </c>
      <c r="E1416" t="s">
        <v>122</v>
      </c>
      <c r="F1416" t="s">
        <v>53</v>
      </c>
      <c r="G1416" t="s">
        <v>54</v>
      </c>
      <c r="H1416" t="s">
        <v>42</v>
      </c>
      <c r="I1416" t="s">
        <v>55</v>
      </c>
      <c r="J1416" t="s">
        <v>43</v>
      </c>
      <c r="K1416" t="s">
        <v>27</v>
      </c>
      <c r="L1416" t="s">
        <v>28</v>
      </c>
      <c r="M1416" s="4">
        <v>10</v>
      </c>
      <c r="N1416" s="4">
        <v>7</v>
      </c>
      <c r="O1416" t="s">
        <v>29</v>
      </c>
      <c r="P1416" t="s">
        <v>29</v>
      </c>
      <c r="Q1416" s="4">
        <v>125275</v>
      </c>
      <c r="R1416" s="4">
        <v>89445</v>
      </c>
      <c r="S1416" s="4">
        <f>Table1[[#This Row],[Service_Revenue]]-Table1[[#This Row],[Service_Cost]]</f>
        <v>35830</v>
      </c>
      <c r="T1416" s="4">
        <v>2</v>
      </c>
      <c r="U1416" s="4">
        <f>IF(AND(Table1[[#This Row],[Rework_Flag]]="Yes",Table1[[#This Row],[Warranty_Claim]]="No"),Table1[[#This Row],[Service_Revenue]],0)</f>
        <v>0</v>
      </c>
      <c r="V1416" s="4">
        <f>IF(Table1[[#This Row],[Warranty_Claim]]="Yes",1,0)</f>
        <v>1</v>
      </c>
      <c r="W1416" s="4">
        <f>IF(Table1[[#This Row],[Rework_Flag]]="No",1,0)</f>
        <v>0</v>
      </c>
      <c r="X1416" s="4">
        <f>IF(Table1[[#This Row],[Rework_Flag]]="Yes",1,0)</f>
        <v>1</v>
      </c>
      <c r="Y1416" s="4">
        <v>1</v>
      </c>
      <c r="Z1416" s="4" t="str">
        <f>IF(Table1[[#This Row],[TAT_Days]]&gt;Table1[[#This Row],[SLA_TAT]],"Yes","No")</f>
        <v>Yes</v>
      </c>
      <c r="AA1416" s="4" t="str" cm="1">
        <f t="array" ref="AA1416">_xlfn.IFS(Table1[[#This Row],[Customer_Satisfaction]]&lt;=2,"Poor",Table1[[#This Row],[Customer_Satisfaction]]=3,"Neutral",Table1[[#This Row],[Customer_Satisfaction]]=4,"Good",Table1[[#This Row],[Customer_Satisfaction]]=5,"Good")</f>
        <v>Poor</v>
      </c>
    </row>
    <row r="1417" spans="1:27" x14ac:dyDescent="0.35">
      <c r="A1417">
        <v>21415</v>
      </c>
      <c r="B1417" s="1">
        <v>45436</v>
      </c>
      <c r="C1417" t="s">
        <v>30</v>
      </c>
      <c r="D1417" t="s">
        <v>59</v>
      </c>
      <c r="E1417" t="s">
        <v>66</v>
      </c>
      <c r="F1417" t="s">
        <v>22</v>
      </c>
      <c r="G1417" t="s">
        <v>74</v>
      </c>
      <c r="H1417" t="s">
        <v>34</v>
      </c>
      <c r="I1417" t="s">
        <v>25</v>
      </c>
      <c r="J1417" t="s">
        <v>43</v>
      </c>
      <c r="K1417" t="s">
        <v>61</v>
      </c>
      <c r="L1417" t="s">
        <v>28</v>
      </c>
      <c r="M1417" s="4">
        <v>17</v>
      </c>
      <c r="N1417" s="4">
        <v>7</v>
      </c>
      <c r="O1417" t="s">
        <v>36</v>
      </c>
      <c r="P1417" t="s">
        <v>36</v>
      </c>
      <c r="Q1417" s="4">
        <v>416291</v>
      </c>
      <c r="R1417" s="4">
        <v>309598</v>
      </c>
      <c r="S1417" s="4">
        <f>Table1[[#This Row],[Service_Revenue]]-Table1[[#This Row],[Service_Cost]]</f>
        <v>106693</v>
      </c>
      <c r="T1417" s="4">
        <v>2</v>
      </c>
      <c r="U1417" s="4">
        <f>IF(AND(Table1[[#This Row],[Rework_Flag]]="Yes",Table1[[#This Row],[Warranty_Claim]]="No"),Table1[[#This Row],[Service_Revenue]],0)</f>
        <v>0</v>
      </c>
      <c r="V1417" s="4">
        <f>IF(Table1[[#This Row],[Warranty_Claim]]="Yes",1,0)</f>
        <v>0</v>
      </c>
      <c r="W1417" s="4">
        <f>IF(Table1[[#This Row],[Rework_Flag]]="No",1,0)</f>
        <v>1</v>
      </c>
      <c r="X1417" s="4">
        <f>IF(Table1[[#This Row],[Rework_Flag]]="Yes",1,0)</f>
        <v>0</v>
      </c>
      <c r="Y1417" s="4">
        <v>1</v>
      </c>
      <c r="Z1417" s="4" t="str">
        <f>IF(Table1[[#This Row],[TAT_Days]]&gt;Table1[[#This Row],[SLA_TAT]],"Yes","No")</f>
        <v>Yes</v>
      </c>
      <c r="AA1417" s="4" t="str" cm="1">
        <f t="array" ref="AA1417">_xlfn.IFS(Table1[[#This Row],[Customer_Satisfaction]]&lt;=2,"Poor",Table1[[#This Row],[Customer_Satisfaction]]=3,"Neutral",Table1[[#This Row],[Customer_Satisfaction]]=4,"Good",Table1[[#This Row],[Customer_Satisfaction]]=5,"Good")</f>
        <v>Poor</v>
      </c>
    </row>
    <row r="1418" spans="1:27" x14ac:dyDescent="0.35">
      <c r="A1418">
        <v>21416</v>
      </c>
      <c r="B1418" s="1">
        <v>45441</v>
      </c>
      <c r="C1418" t="s">
        <v>50</v>
      </c>
      <c r="D1418" t="s">
        <v>51</v>
      </c>
      <c r="E1418" t="s">
        <v>52</v>
      </c>
      <c r="F1418" t="s">
        <v>22</v>
      </c>
      <c r="G1418" t="s">
        <v>23</v>
      </c>
      <c r="H1418" t="s">
        <v>24</v>
      </c>
      <c r="I1418" t="s">
        <v>25</v>
      </c>
      <c r="J1418" t="s">
        <v>58</v>
      </c>
      <c r="K1418" t="s">
        <v>61</v>
      </c>
      <c r="L1418" t="s">
        <v>28</v>
      </c>
      <c r="M1418" s="4">
        <v>20</v>
      </c>
      <c r="N1418" s="4">
        <v>7</v>
      </c>
      <c r="O1418" t="s">
        <v>29</v>
      </c>
      <c r="P1418" t="s">
        <v>29</v>
      </c>
      <c r="Q1418" s="4">
        <v>282519</v>
      </c>
      <c r="R1418" s="4">
        <v>235518</v>
      </c>
      <c r="S1418" s="4">
        <f>Table1[[#This Row],[Service_Revenue]]-Table1[[#This Row],[Service_Cost]]</f>
        <v>47001</v>
      </c>
      <c r="T1418" s="4">
        <v>1</v>
      </c>
      <c r="U1418" s="4">
        <f>IF(AND(Table1[[#This Row],[Rework_Flag]]="Yes",Table1[[#This Row],[Warranty_Claim]]="No"),Table1[[#This Row],[Service_Revenue]],0)</f>
        <v>0</v>
      </c>
      <c r="V1418" s="4">
        <f>IF(Table1[[#This Row],[Warranty_Claim]]="Yes",1,0)</f>
        <v>1</v>
      </c>
      <c r="W1418" s="4">
        <f>IF(Table1[[#This Row],[Rework_Flag]]="No",1,0)</f>
        <v>0</v>
      </c>
      <c r="X1418" s="4">
        <f>IF(Table1[[#This Row],[Rework_Flag]]="Yes",1,0)</f>
        <v>1</v>
      </c>
      <c r="Y1418" s="4">
        <v>1</v>
      </c>
      <c r="Z1418" s="4" t="str">
        <f>IF(Table1[[#This Row],[TAT_Days]]&gt;Table1[[#This Row],[SLA_TAT]],"Yes","No")</f>
        <v>Yes</v>
      </c>
      <c r="AA1418" s="4" t="str" cm="1">
        <f t="array" ref="AA1418">_xlfn.IFS(Table1[[#This Row],[Customer_Satisfaction]]&lt;=2,"Poor",Table1[[#This Row],[Customer_Satisfaction]]=3,"Neutral",Table1[[#This Row],[Customer_Satisfaction]]=4,"Good",Table1[[#This Row],[Customer_Satisfaction]]=5,"Good")</f>
        <v>Poor</v>
      </c>
    </row>
    <row r="1419" spans="1:27" x14ac:dyDescent="0.35">
      <c r="A1419">
        <v>21417</v>
      </c>
      <c r="B1419" s="1">
        <v>45322</v>
      </c>
      <c r="C1419" t="s">
        <v>50</v>
      </c>
      <c r="D1419" t="s">
        <v>51</v>
      </c>
      <c r="E1419" t="s">
        <v>113</v>
      </c>
      <c r="F1419" t="s">
        <v>40</v>
      </c>
      <c r="G1419" t="s">
        <v>47</v>
      </c>
      <c r="H1419" t="s">
        <v>48</v>
      </c>
      <c r="I1419" t="s">
        <v>25</v>
      </c>
      <c r="J1419" t="s">
        <v>67</v>
      </c>
      <c r="K1419" t="s">
        <v>61</v>
      </c>
      <c r="L1419" t="s">
        <v>28</v>
      </c>
      <c r="M1419" s="4">
        <v>25</v>
      </c>
      <c r="N1419" s="4">
        <v>7</v>
      </c>
      <c r="O1419" t="s">
        <v>29</v>
      </c>
      <c r="P1419" t="s">
        <v>36</v>
      </c>
      <c r="Q1419" s="4">
        <v>339616</v>
      </c>
      <c r="R1419" s="4">
        <v>226149</v>
      </c>
      <c r="S1419" s="4">
        <f>Table1[[#This Row],[Service_Revenue]]-Table1[[#This Row],[Service_Cost]]</f>
        <v>113467</v>
      </c>
      <c r="T1419" s="4">
        <v>1</v>
      </c>
      <c r="U1419" s="4">
        <f>IF(AND(Table1[[#This Row],[Rework_Flag]]="Yes",Table1[[#This Row],[Warranty_Claim]]="No"),Table1[[#This Row],[Service_Revenue]],0)</f>
        <v>339616</v>
      </c>
      <c r="V1419" s="4">
        <f>IF(Table1[[#This Row],[Warranty_Claim]]="Yes",1,0)</f>
        <v>0</v>
      </c>
      <c r="W1419" s="4">
        <f>IF(Table1[[#This Row],[Rework_Flag]]="No",1,0)</f>
        <v>0</v>
      </c>
      <c r="X1419" s="4">
        <f>IF(Table1[[#This Row],[Rework_Flag]]="Yes",1,0)</f>
        <v>1</v>
      </c>
      <c r="Y1419" s="4">
        <v>1</v>
      </c>
      <c r="Z1419" s="4" t="str">
        <f>IF(Table1[[#This Row],[TAT_Days]]&gt;Table1[[#This Row],[SLA_TAT]],"Yes","No")</f>
        <v>Yes</v>
      </c>
      <c r="AA1419" s="4" t="str" cm="1">
        <f t="array" ref="AA1419">_xlfn.IFS(Table1[[#This Row],[Customer_Satisfaction]]&lt;=2,"Poor",Table1[[#This Row],[Customer_Satisfaction]]=3,"Neutral",Table1[[#This Row],[Customer_Satisfaction]]=4,"Good",Table1[[#This Row],[Customer_Satisfaction]]=5,"Good")</f>
        <v>Poor</v>
      </c>
    </row>
    <row r="1420" spans="1:27" x14ac:dyDescent="0.35">
      <c r="A1420">
        <v>21418</v>
      </c>
      <c r="B1420" s="1">
        <v>45391</v>
      </c>
      <c r="C1420" t="s">
        <v>30</v>
      </c>
      <c r="D1420" t="s">
        <v>31</v>
      </c>
      <c r="E1420" t="s">
        <v>106</v>
      </c>
      <c r="F1420" t="s">
        <v>53</v>
      </c>
      <c r="G1420" t="s">
        <v>63</v>
      </c>
      <c r="H1420" t="s">
        <v>24</v>
      </c>
      <c r="I1420" t="s">
        <v>55</v>
      </c>
      <c r="J1420" t="s">
        <v>26</v>
      </c>
      <c r="K1420" t="s">
        <v>61</v>
      </c>
      <c r="L1420" t="s">
        <v>28</v>
      </c>
      <c r="M1420" s="4">
        <v>18</v>
      </c>
      <c r="N1420" s="4">
        <v>7</v>
      </c>
      <c r="O1420" t="s">
        <v>29</v>
      </c>
      <c r="P1420" t="s">
        <v>36</v>
      </c>
      <c r="Q1420" s="4">
        <v>549885</v>
      </c>
      <c r="R1420" s="4">
        <v>448248</v>
      </c>
      <c r="S1420" s="4">
        <f>Table1[[#This Row],[Service_Revenue]]-Table1[[#This Row],[Service_Cost]]</f>
        <v>101637</v>
      </c>
      <c r="T1420" s="4">
        <v>1</v>
      </c>
      <c r="U1420" s="4">
        <f>IF(AND(Table1[[#This Row],[Rework_Flag]]="Yes",Table1[[#This Row],[Warranty_Claim]]="No"),Table1[[#This Row],[Service_Revenue]],0)</f>
        <v>549885</v>
      </c>
      <c r="V1420" s="4">
        <f>IF(Table1[[#This Row],[Warranty_Claim]]="Yes",1,0)</f>
        <v>0</v>
      </c>
      <c r="W1420" s="4">
        <f>IF(Table1[[#This Row],[Rework_Flag]]="No",1,0)</f>
        <v>0</v>
      </c>
      <c r="X1420" s="4">
        <f>IF(Table1[[#This Row],[Rework_Flag]]="Yes",1,0)</f>
        <v>1</v>
      </c>
      <c r="Y1420" s="4">
        <v>1</v>
      </c>
      <c r="Z1420" s="4" t="str">
        <f>IF(Table1[[#This Row],[TAT_Days]]&gt;Table1[[#This Row],[SLA_TAT]],"Yes","No")</f>
        <v>Yes</v>
      </c>
      <c r="AA1420" s="4" t="str" cm="1">
        <f t="array" ref="AA1420">_xlfn.IFS(Table1[[#This Row],[Customer_Satisfaction]]&lt;=2,"Poor",Table1[[#This Row],[Customer_Satisfaction]]=3,"Neutral",Table1[[#This Row],[Customer_Satisfaction]]=4,"Good",Table1[[#This Row],[Customer_Satisfaction]]=5,"Good")</f>
        <v>Poor</v>
      </c>
    </row>
    <row r="1421" spans="1:27" x14ac:dyDescent="0.35">
      <c r="A1421">
        <v>21419</v>
      </c>
      <c r="B1421" s="1">
        <v>45294</v>
      </c>
      <c r="C1421" t="s">
        <v>37</v>
      </c>
      <c r="D1421" t="s">
        <v>64</v>
      </c>
      <c r="E1421" t="s">
        <v>115</v>
      </c>
      <c r="F1421" t="s">
        <v>53</v>
      </c>
      <c r="G1421" t="s">
        <v>33</v>
      </c>
      <c r="H1421" t="s">
        <v>34</v>
      </c>
      <c r="I1421" t="s">
        <v>55</v>
      </c>
      <c r="J1421" t="s">
        <v>67</v>
      </c>
      <c r="K1421" t="s">
        <v>27</v>
      </c>
      <c r="L1421" t="s">
        <v>49</v>
      </c>
      <c r="M1421" s="4">
        <v>4</v>
      </c>
      <c r="N1421" s="4">
        <v>7</v>
      </c>
      <c r="O1421" t="s">
        <v>36</v>
      </c>
      <c r="P1421" t="s">
        <v>29</v>
      </c>
      <c r="Q1421" s="4">
        <v>181623</v>
      </c>
      <c r="R1421" s="4">
        <v>132632</v>
      </c>
      <c r="S1421" s="4">
        <f>Table1[[#This Row],[Service_Revenue]]-Table1[[#This Row],[Service_Cost]]</f>
        <v>48991</v>
      </c>
      <c r="T1421" s="4">
        <v>5</v>
      </c>
      <c r="U1421" s="4">
        <f>IF(AND(Table1[[#This Row],[Rework_Flag]]="Yes",Table1[[#This Row],[Warranty_Claim]]="No"),Table1[[#This Row],[Service_Revenue]],0)</f>
        <v>0</v>
      </c>
      <c r="V1421" s="4">
        <f>IF(Table1[[#This Row],[Warranty_Claim]]="Yes",1,0)</f>
        <v>1</v>
      </c>
      <c r="W1421" s="4">
        <f>IF(Table1[[#This Row],[Rework_Flag]]="No",1,0)</f>
        <v>1</v>
      </c>
      <c r="X1421" s="4">
        <f>IF(Table1[[#This Row],[Rework_Flag]]="Yes",1,0)</f>
        <v>0</v>
      </c>
      <c r="Y1421" s="4">
        <v>1</v>
      </c>
      <c r="Z1421" s="4" t="str">
        <f>IF(Table1[[#This Row],[TAT_Days]]&gt;Table1[[#This Row],[SLA_TAT]],"Yes","No")</f>
        <v>No</v>
      </c>
      <c r="AA1421" s="4" t="str" cm="1">
        <f t="array" ref="AA1421">_xlfn.IFS(Table1[[#This Row],[Customer_Satisfaction]]&lt;=2,"Poor",Table1[[#This Row],[Customer_Satisfaction]]=3,"Neutral",Table1[[#This Row],[Customer_Satisfaction]]=4,"Good",Table1[[#This Row],[Customer_Satisfaction]]=5,"Good")</f>
        <v>Good</v>
      </c>
    </row>
    <row r="1422" spans="1:27" x14ac:dyDescent="0.35">
      <c r="A1422">
        <v>21420</v>
      </c>
      <c r="B1422" s="1">
        <v>45304</v>
      </c>
      <c r="C1422" t="s">
        <v>37</v>
      </c>
      <c r="D1422" t="s">
        <v>70</v>
      </c>
      <c r="E1422" t="s">
        <v>91</v>
      </c>
      <c r="F1422" t="s">
        <v>40</v>
      </c>
      <c r="G1422" t="s">
        <v>41</v>
      </c>
      <c r="H1422" t="s">
        <v>42</v>
      </c>
      <c r="I1422" t="s">
        <v>55</v>
      </c>
      <c r="J1422" t="s">
        <v>67</v>
      </c>
      <c r="K1422" t="s">
        <v>61</v>
      </c>
      <c r="L1422" t="s">
        <v>28</v>
      </c>
      <c r="M1422" s="4">
        <v>21</v>
      </c>
      <c r="N1422" s="4">
        <v>7</v>
      </c>
      <c r="O1422" t="s">
        <v>29</v>
      </c>
      <c r="P1422" t="s">
        <v>29</v>
      </c>
      <c r="Q1422" s="4">
        <v>286141</v>
      </c>
      <c r="R1422" s="4">
        <v>223117</v>
      </c>
      <c r="S1422" s="4">
        <f>Table1[[#This Row],[Service_Revenue]]-Table1[[#This Row],[Service_Cost]]</f>
        <v>63024</v>
      </c>
      <c r="T1422" s="4">
        <v>1</v>
      </c>
      <c r="U1422" s="4">
        <f>IF(AND(Table1[[#This Row],[Rework_Flag]]="Yes",Table1[[#This Row],[Warranty_Claim]]="No"),Table1[[#This Row],[Service_Revenue]],0)</f>
        <v>0</v>
      </c>
      <c r="V1422" s="4">
        <f>IF(Table1[[#This Row],[Warranty_Claim]]="Yes",1,0)</f>
        <v>1</v>
      </c>
      <c r="W1422" s="4">
        <f>IF(Table1[[#This Row],[Rework_Flag]]="No",1,0)</f>
        <v>0</v>
      </c>
      <c r="X1422" s="4">
        <f>IF(Table1[[#This Row],[Rework_Flag]]="Yes",1,0)</f>
        <v>1</v>
      </c>
      <c r="Y1422" s="4">
        <v>1</v>
      </c>
      <c r="Z1422" s="4" t="str">
        <f>IF(Table1[[#This Row],[TAT_Days]]&gt;Table1[[#This Row],[SLA_TAT]],"Yes","No")</f>
        <v>Yes</v>
      </c>
      <c r="AA1422" s="4" t="str" cm="1">
        <f t="array" ref="AA1422">_xlfn.IFS(Table1[[#This Row],[Customer_Satisfaction]]&lt;=2,"Poor",Table1[[#This Row],[Customer_Satisfaction]]=3,"Neutral",Table1[[#This Row],[Customer_Satisfaction]]=4,"Good",Table1[[#This Row],[Customer_Satisfaction]]=5,"Good")</f>
        <v>Poor</v>
      </c>
    </row>
    <row r="1423" spans="1:27" x14ac:dyDescent="0.35">
      <c r="A1423">
        <v>21421</v>
      </c>
      <c r="B1423" s="1">
        <v>45308</v>
      </c>
      <c r="C1423" t="s">
        <v>50</v>
      </c>
      <c r="D1423" t="s">
        <v>56</v>
      </c>
      <c r="E1423" t="s">
        <v>68</v>
      </c>
      <c r="F1423" t="s">
        <v>22</v>
      </c>
      <c r="G1423" t="s">
        <v>74</v>
      </c>
      <c r="H1423" t="s">
        <v>34</v>
      </c>
      <c r="I1423" t="s">
        <v>25</v>
      </c>
      <c r="J1423" t="s">
        <v>58</v>
      </c>
      <c r="K1423" t="s">
        <v>61</v>
      </c>
      <c r="L1423" t="s">
        <v>49</v>
      </c>
      <c r="M1423" s="4">
        <v>2</v>
      </c>
      <c r="N1423" s="4">
        <v>7</v>
      </c>
      <c r="O1423" t="s">
        <v>29</v>
      </c>
      <c r="P1423" t="s">
        <v>29</v>
      </c>
      <c r="Q1423" s="4">
        <v>293094</v>
      </c>
      <c r="R1423" s="4">
        <v>192261</v>
      </c>
      <c r="S1423" s="4">
        <f>Table1[[#This Row],[Service_Revenue]]-Table1[[#This Row],[Service_Cost]]</f>
        <v>100833</v>
      </c>
      <c r="T1423" s="4">
        <v>4</v>
      </c>
      <c r="U1423" s="4">
        <f>IF(AND(Table1[[#This Row],[Rework_Flag]]="Yes",Table1[[#This Row],[Warranty_Claim]]="No"),Table1[[#This Row],[Service_Revenue]],0)</f>
        <v>0</v>
      </c>
      <c r="V1423" s="4">
        <f>IF(Table1[[#This Row],[Warranty_Claim]]="Yes",1,0)</f>
        <v>1</v>
      </c>
      <c r="W1423" s="4">
        <f>IF(Table1[[#This Row],[Rework_Flag]]="No",1,0)</f>
        <v>0</v>
      </c>
      <c r="X1423" s="4">
        <f>IF(Table1[[#This Row],[Rework_Flag]]="Yes",1,0)</f>
        <v>1</v>
      </c>
      <c r="Y1423" s="4">
        <v>1</v>
      </c>
      <c r="Z1423" s="4" t="str">
        <f>IF(Table1[[#This Row],[TAT_Days]]&gt;Table1[[#This Row],[SLA_TAT]],"Yes","No")</f>
        <v>No</v>
      </c>
      <c r="AA1423" s="4" t="str" cm="1">
        <f t="array" ref="AA1423">_xlfn.IFS(Table1[[#This Row],[Customer_Satisfaction]]&lt;=2,"Poor",Table1[[#This Row],[Customer_Satisfaction]]=3,"Neutral",Table1[[#This Row],[Customer_Satisfaction]]=4,"Good",Table1[[#This Row],[Customer_Satisfaction]]=5,"Good")</f>
        <v>Good</v>
      </c>
    </row>
    <row r="1424" spans="1:27" x14ac:dyDescent="0.35">
      <c r="A1424">
        <v>21422</v>
      </c>
      <c r="B1424" s="1">
        <v>45321</v>
      </c>
      <c r="C1424" t="s">
        <v>19</v>
      </c>
      <c r="D1424" t="s">
        <v>96</v>
      </c>
      <c r="E1424" t="s">
        <v>108</v>
      </c>
      <c r="F1424" t="s">
        <v>53</v>
      </c>
      <c r="G1424" t="s">
        <v>54</v>
      </c>
      <c r="H1424" t="s">
        <v>42</v>
      </c>
      <c r="I1424" t="s">
        <v>55</v>
      </c>
      <c r="J1424" t="s">
        <v>67</v>
      </c>
      <c r="K1424" t="s">
        <v>61</v>
      </c>
      <c r="L1424" t="s">
        <v>28</v>
      </c>
      <c r="M1424" s="4">
        <v>22</v>
      </c>
      <c r="N1424" s="4">
        <v>7</v>
      </c>
      <c r="O1424" t="s">
        <v>36</v>
      </c>
      <c r="P1424" t="s">
        <v>36</v>
      </c>
      <c r="Q1424" s="4">
        <v>131251</v>
      </c>
      <c r="R1424" s="4">
        <v>86621</v>
      </c>
      <c r="S1424" s="4">
        <f>Table1[[#This Row],[Service_Revenue]]-Table1[[#This Row],[Service_Cost]]</f>
        <v>44630</v>
      </c>
      <c r="T1424" s="4">
        <v>1</v>
      </c>
      <c r="U1424" s="4">
        <f>IF(AND(Table1[[#This Row],[Rework_Flag]]="Yes",Table1[[#This Row],[Warranty_Claim]]="No"),Table1[[#This Row],[Service_Revenue]],0)</f>
        <v>0</v>
      </c>
      <c r="V1424" s="4">
        <f>IF(Table1[[#This Row],[Warranty_Claim]]="Yes",1,0)</f>
        <v>0</v>
      </c>
      <c r="W1424" s="4">
        <f>IF(Table1[[#This Row],[Rework_Flag]]="No",1,0)</f>
        <v>1</v>
      </c>
      <c r="X1424" s="4">
        <f>IF(Table1[[#This Row],[Rework_Flag]]="Yes",1,0)</f>
        <v>0</v>
      </c>
      <c r="Y1424" s="4">
        <v>1</v>
      </c>
      <c r="Z1424" s="4" t="str">
        <f>IF(Table1[[#This Row],[TAT_Days]]&gt;Table1[[#This Row],[SLA_TAT]],"Yes","No")</f>
        <v>Yes</v>
      </c>
      <c r="AA1424" s="4" t="str" cm="1">
        <f t="array" ref="AA1424">_xlfn.IFS(Table1[[#This Row],[Customer_Satisfaction]]&lt;=2,"Poor",Table1[[#This Row],[Customer_Satisfaction]]=3,"Neutral",Table1[[#This Row],[Customer_Satisfaction]]=4,"Good",Table1[[#This Row],[Customer_Satisfaction]]=5,"Good")</f>
        <v>Poor</v>
      </c>
    </row>
    <row r="1425" spans="1:27" x14ac:dyDescent="0.35">
      <c r="A1425">
        <v>21423</v>
      </c>
      <c r="B1425" s="1">
        <v>45373</v>
      </c>
      <c r="C1425" t="s">
        <v>30</v>
      </c>
      <c r="D1425" t="s">
        <v>59</v>
      </c>
      <c r="E1425" t="s">
        <v>60</v>
      </c>
      <c r="F1425" t="s">
        <v>53</v>
      </c>
      <c r="G1425" t="s">
        <v>63</v>
      </c>
      <c r="H1425" t="s">
        <v>24</v>
      </c>
      <c r="I1425" t="s">
        <v>25</v>
      </c>
      <c r="J1425" t="s">
        <v>35</v>
      </c>
      <c r="K1425" t="s">
        <v>61</v>
      </c>
      <c r="L1425" t="s">
        <v>49</v>
      </c>
      <c r="M1425" s="4">
        <v>4</v>
      </c>
      <c r="N1425" s="4">
        <v>7</v>
      </c>
      <c r="O1425" t="s">
        <v>36</v>
      </c>
      <c r="P1425" t="s">
        <v>29</v>
      </c>
      <c r="Q1425" s="4">
        <v>510454</v>
      </c>
      <c r="R1425" s="4">
        <v>257240</v>
      </c>
      <c r="S1425" s="4">
        <f>Table1[[#This Row],[Service_Revenue]]-Table1[[#This Row],[Service_Cost]]</f>
        <v>253214</v>
      </c>
      <c r="T1425" s="4">
        <v>5</v>
      </c>
      <c r="U1425" s="4">
        <f>IF(AND(Table1[[#This Row],[Rework_Flag]]="Yes",Table1[[#This Row],[Warranty_Claim]]="No"),Table1[[#This Row],[Service_Revenue]],0)</f>
        <v>0</v>
      </c>
      <c r="V1425" s="4">
        <f>IF(Table1[[#This Row],[Warranty_Claim]]="Yes",1,0)</f>
        <v>1</v>
      </c>
      <c r="W1425" s="4">
        <f>IF(Table1[[#This Row],[Rework_Flag]]="No",1,0)</f>
        <v>1</v>
      </c>
      <c r="X1425" s="4">
        <f>IF(Table1[[#This Row],[Rework_Flag]]="Yes",1,0)</f>
        <v>0</v>
      </c>
      <c r="Y1425" s="4">
        <v>1</v>
      </c>
      <c r="Z1425" s="4" t="str">
        <f>IF(Table1[[#This Row],[TAT_Days]]&gt;Table1[[#This Row],[SLA_TAT]],"Yes","No")</f>
        <v>No</v>
      </c>
      <c r="AA1425" s="4" t="str" cm="1">
        <f t="array" ref="AA1425">_xlfn.IFS(Table1[[#This Row],[Customer_Satisfaction]]&lt;=2,"Poor",Table1[[#This Row],[Customer_Satisfaction]]=3,"Neutral",Table1[[#This Row],[Customer_Satisfaction]]=4,"Good",Table1[[#This Row],[Customer_Satisfaction]]=5,"Good")</f>
        <v>Good</v>
      </c>
    </row>
    <row r="1426" spans="1:27" x14ac:dyDescent="0.35">
      <c r="A1426">
        <v>21424</v>
      </c>
      <c r="B1426" s="1">
        <v>45373</v>
      </c>
      <c r="C1426" t="s">
        <v>30</v>
      </c>
      <c r="D1426" t="s">
        <v>31</v>
      </c>
      <c r="E1426" t="s">
        <v>32</v>
      </c>
      <c r="F1426" t="s">
        <v>53</v>
      </c>
      <c r="G1426" t="s">
        <v>41</v>
      </c>
      <c r="H1426" t="s">
        <v>42</v>
      </c>
      <c r="I1426" t="s">
        <v>25</v>
      </c>
      <c r="J1426" t="s">
        <v>26</v>
      </c>
      <c r="K1426" t="s">
        <v>44</v>
      </c>
      <c r="L1426" t="s">
        <v>28</v>
      </c>
      <c r="M1426" s="4">
        <v>19</v>
      </c>
      <c r="N1426" s="4">
        <v>7</v>
      </c>
      <c r="O1426" t="s">
        <v>36</v>
      </c>
      <c r="P1426" t="s">
        <v>36</v>
      </c>
      <c r="Q1426" s="4">
        <v>538678</v>
      </c>
      <c r="R1426" s="4">
        <v>326315</v>
      </c>
      <c r="S1426" s="4">
        <f>Table1[[#This Row],[Service_Revenue]]-Table1[[#This Row],[Service_Cost]]</f>
        <v>212363</v>
      </c>
      <c r="T1426" s="4">
        <v>2</v>
      </c>
      <c r="U1426" s="4">
        <f>IF(AND(Table1[[#This Row],[Rework_Flag]]="Yes",Table1[[#This Row],[Warranty_Claim]]="No"),Table1[[#This Row],[Service_Revenue]],0)</f>
        <v>0</v>
      </c>
      <c r="V1426" s="4">
        <f>IF(Table1[[#This Row],[Warranty_Claim]]="Yes",1,0)</f>
        <v>0</v>
      </c>
      <c r="W1426" s="4">
        <f>IF(Table1[[#This Row],[Rework_Flag]]="No",1,0)</f>
        <v>1</v>
      </c>
      <c r="X1426" s="4">
        <f>IF(Table1[[#This Row],[Rework_Flag]]="Yes",1,0)</f>
        <v>0</v>
      </c>
      <c r="Y1426" s="4">
        <v>1</v>
      </c>
      <c r="Z1426" s="4" t="str">
        <f>IF(Table1[[#This Row],[TAT_Days]]&gt;Table1[[#This Row],[SLA_TAT]],"Yes","No")</f>
        <v>Yes</v>
      </c>
      <c r="AA1426" s="4" t="str" cm="1">
        <f t="array" ref="AA1426">_xlfn.IFS(Table1[[#This Row],[Customer_Satisfaction]]&lt;=2,"Poor",Table1[[#This Row],[Customer_Satisfaction]]=3,"Neutral",Table1[[#This Row],[Customer_Satisfaction]]=4,"Good",Table1[[#This Row],[Customer_Satisfaction]]=5,"Good")</f>
        <v>Poor</v>
      </c>
    </row>
    <row r="1427" spans="1:27" x14ac:dyDescent="0.35">
      <c r="A1427">
        <v>21425</v>
      </c>
      <c r="B1427" s="1">
        <v>45459</v>
      </c>
      <c r="C1427" t="s">
        <v>50</v>
      </c>
      <c r="D1427" t="s">
        <v>51</v>
      </c>
      <c r="E1427" t="s">
        <v>120</v>
      </c>
      <c r="F1427" t="s">
        <v>53</v>
      </c>
      <c r="G1427" t="s">
        <v>63</v>
      </c>
      <c r="H1427" t="s">
        <v>24</v>
      </c>
      <c r="I1427" t="s">
        <v>25</v>
      </c>
      <c r="J1427" t="s">
        <v>58</v>
      </c>
      <c r="K1427" t="s">
        <v>61</v>
      </c>
      <c r="L1427" t="s">
        <v>28</v>
      </c>
      <c r="M1427" s="4">
        <v>8</v>
      </c>
      <c r="N1427" s="4">
        <v>7</v>
      </c>
      <c r="O1427" t="s">
        <v>29</v>
      </c>
      <c r="P1427" t="s">
        <v>29</v>
      </c>
      <c r="Q1427" s="4">
        <v>531723</v>
      </c>
      <c r="R1427" s="4">
        <v>351856</v>
      </c>
      <c r="S1427" s="4">
        <f>Table1[[#This Row],[Service_Revenue]]-Table1[[#This Row],[Service_Cost]]</f>
        <v>179867</v>
      </c>
      <c r="T1427" s="4">
        <v>3</v>
      </c>
      <c r="U1427" s="4">
        <f>IF(AND(Table1[[#This Row],[Rework_Flag]]="Yes",Table1[[#This Row],[Warranty_Claim]]="No"),Table1[[#This Row],[Service_Revenue]],0)</f>
        <v>0</v>
      </c>
      <c r="V1427" s="4">
        <f>IF(Table1[[#This Row],[Warranty_Claim]]="Yes",1,0)</f>
        <v>1</v>
      </c>
      <c r="W1427" s="4">
        <f>IF(Table1[[#This Row],[Rework_Flag]]="No",1,0)</f>
        <v>0</v>
      </c>
      <c r="X1427" s="4">
        <f>IF(Table1[[#This Row],[Rework_Flag]]="Yes",1,0)</f>
        <v>1</v>
      </c>
      <c r="Y1427" s="4">
        <v>1</v>
      </c>
      <c r="Z1427" s="4" t="str">
        <f>IF(Table1[[#This Row],[TAT_Days]]&gt;Table1[[#This Row],[SLA_TAT]],"Yes","No")</f>
        <v>Yes</v>
      </c>
      <c r="AA1427" s="4" t="str" cm="1">
        <f t="array" ref="AA1427">_xlfn.IFS(Table1[[#This Row],[Customer_Satisfaction]]&lt;=2,"Poor",Table1[[#This Row],[Customer_Satisfaction]]=3,"Neutral",Table1[[#This Row],[Customer_Satisfaction]]=4,"Good",Table1[[#This Row],[Customer_Satisfaction]]=5,"Good")</f>
        <v>Neutral</v>
      </c>
    </row>
    <row r="1428" spans="1:27" x14ac:dyDescent="0.35">
      <c r="A1428">
        <v>21426</v>
      </c>
      <c r="B1428" s="1">
        <v>45324</v>
      </c>
      <c r="C1428" t="s">
        <v>50</v>
      </c>
      <c r="D1428" t="s">
        <v>51</v>
      </c>
      <c r="E1428" t="s">
        <v>52</v>
      </c>
      <c r="F1428" t="s">
        <v>40</v>
      </c>
      <c r="G1428" t="s">
        <v>23</v>
      </c>
      <c r="H1428" t="s">
        <v>24</v>
      </c>
      <c r="I1428" t="s">
        <v>55</v>
      </c>
      <c r="J1428" t="s">
        <v>26</v>
      </c>
      <c r="K1428" t="s">
        <v>27</v>
      </c>
      <c r="L1428" t="s">
        <v>28</v>
      </c>
      <c r="M1428" s="4">
        <v>14</v>
      </c>
      <c r="N1428" s="4">
        <v>7</v>
      </c>
      <c r="O1428" t="s">
        <v>29</v>
      </c>
      <c r="P1428" t="s">
        <v>29</v>
      </c>
      <c r="Q1428" s="4">
        <v>107726</v>
      </c>
      <c r="R1428" s="4">
        <v>72505</v>
      </c>
      <c r="S1428" s="4">
        <f>Table1[[#This Row],[Service_Revenue]]-Table1[[#This Row],[Service_Cost]]</f>
        <v>35221</v>
      </c>
      <c r="T1428" s="4">
        <v>2</v>
      </c>
      <c r="U1428" s="4">
        <f>IF(AND(Table1[[#This Row],[Rework_Flag]]="Yes",Table1[[#This Row],[Warranty_Claim]]="No"),Table1[[#This Row],[Service_Revenue]],0)</f>
        <v>0</v>
      </c>
      <c r="V1428" s="4">
        <f>IF(Table1[[#This Row],[Warranty_Claim]]="Yes",1,0)</f>
        <v>1</v>
      </c>
      <c r="W1428" s="4">
        <f>IF(Table1[[#This Row],[Rework_Flag]]="No",1,0)</f>
        <v>0</v>
      </c>
      <c r="X1428" s="4">
        <f>IF(Table1[[#This Row],[Rework_Flag]]="Yes",1,0)</f>
        <v>1</v>
      </c>
      <c r="Y1428" s="4">
        <v>1</v>
      </c>
      <c r="Z1428" s="4" t="str">
        <f>IF(Table1[[#This Row],[TAT_Days]]&gt;Table1[[#This Row],[SLA_TAT]],"Yes","No")</f>
        <v>Yes</v>
      </c>
      <c r="AA1428" s="4" t="str" cm="1">
        <f t="array" ref="AA1428">_xlfn.IFS(Table1[[#This Row],[Customer_Satisfaction]]&lt;=2,"Poor",Table1[[#This Row],[Customer_Satisfaction]]=3,"Neutral",Table1[[#This Row],[Customer_Satisfaction]]=4,"Good",Table1[[#This Row],[Customer_Satisfaction]]=5,"Good")</f>
        <v>Poor</v>
      </c>
    </row>
    <row r="1429" spans="1:27" x14ac:dyDescent="0.35">
      <c r="A1429">
        <v>21427</v>
      </c>
      <c r="B1429" s="1">
        <v>45442</v>
      </c>
      <c r="C1429" t="s">
        <v>19</v>
      </c>
      <c r="D1429" t="s">
        <v>45</v>
      </c>
      <c r="E1429" t="s">
        <v>99</v>
      </c>
      <c r="F1429" t="s">
        <v>22</v>
      </c>
      <c r="G1429" t="s">
        <v>74</v>
      </c>
      <c r="H1429" t="s">
        <v>34</v>
      </c>
      <c r="I1429" t="s">
        <v>25</v>
      </c>
      <c r="J1429" t="s">
        <v>67</v>
      </c>
      <c r="K1429" t="s">
        <v>61</v>
      </c>
      <c r="L1429" t="s">
        <v>49</v>
      </c>
      <c r="M1429" s="4">
        <v>5</v>
      </c>
      <c r="N1429" s="4">
        <v>7</v>
      </c>
      <c r="O1429" t="s">
        <v>29</v>
      </c>
      <c r="P1429" t="s">
        <v>29</v>
      </c>
      <c r="Q1429" s="4">
        <v>101710</v>
      </c>
      <c r="R1429" s="4">
        <v>53579</v>
      </c>
      <c r="S1429" s="4">
        <f>Table1[[#This Row],[Service_Revenue]]-Table1[[#This Row],[Service_Cost]]</f>
        <v>48131</v>
      </c>
      <c r="T1429" s="4">
        <v>3</v>
      </c>
      <c r="U1429" s="4">
        <f>IF(AND(Table1[[#This Row],[Rework_Flag]]="Yes",Table1[[#This Row],[Warranty_Claim]]="No"),Table1[[#This Row],[Service_Revenue]],0)</f>
        <v>0</v>
      </c>
      <c r="V1429" s="4">
        <f>IF(Table1[[#This Row],[Warranty_Claim]]="Yes",1,0)</f>
        <v>1</v>
      </c>
      <c r="W1429" s="4">
        <f>IF(Table1[[#This Row],[Rework_Flag]]="No",1,0)</f>
        <v>0</v>
      </c>
      <c r="X1429" s="4">
        <f>IF(Table1[[#This Row],[Rework_Flag]]="Yes",1,0)</f>
        <v>1</v>
      </c>
      <c r="Y1429" s="4">
        <v>1</v>
      </c>
      <c r="Z1429" s="4" t="str">
        <f>IF(Table1[[#This Row],[TAT_Days]]&gt;Table1[[#This Row],[SLA_TAT]],"Yes","No")</f>
        <v>No</v>
      </c>
      <c r="AA1429" s="4" t="str" cm="1">
        <f t="array" ref="AA1429">_xlfn.IFS(Table1[[#This Row],[Customer_Satisfaction]]&lt;=2,"Poor",Table1[[#This Row],[Customer_Satisfaction]]=3,"Neutral",Table1[[#This Row],[Customer_Satisfaction]]=4,"Good",Table1[[#This Row],[Customer_Satisfaction]]=5,"Good")</f>
        <v>Neutral</v>
      </c>
    </row>
    <row r="1430" spans="1:27" x14ac:dyDescent="0.35">
      <c r="A1430">
        <v>21428</v>
      </c>
      <c r="B1430" s="1">
        <v>45469</v>
      </c>
      <c r="C1430" t="s">
        <v>19</v>
      </c>
      <c r="D1430" t="s">
        <v>45</v>
      </c>
      <c r="E1430" t="s">
        <v>76</v>
      </c>
      <c r="F1430" t="s">
        <v>22</v>
      </c>
      <c r="G1430" t="s">
        <v>23</v>
      </c>
      <c r="H1430" t="s">
        <v>24</v>
      </c>
      <c r="I1430" t="s">
        <v>25</v>
      </c>
      <c r="J1430" t="s">
        <v>58</v>
      </c>
      <c r="K1430" t="s">
        <v>61</v>
      </c>
      <c r="L1430" t="s">
        <v>28</v>
      </c>
      <c r="M1430" s="4">
        <v>15</v>
      </c>
      <c r="N1430" s="4">
        <v>7</v>
      </c>
      <c r="O1430" t="s">
        <v>36</v>
      </c>
      <c r="P1430" t="s">
        <v>36</v>
      </c>
      <c r="Q1430" s="4">
        <v>440130</v>
      </c>
      <c r="R1430" s="4">
        <v>249953</v>
      </c>
      <c r="S1430" s="4">
        <f>Table1[[#This Row],[Service_Revenue]]-Table1[[#This Row],[Service_Cost]]</f>
        <v>190177</v>
      </c>
      <c r="T1430" s="4">
        <v>2</v>
      </c>
      <c r="U1430" s="4">
        <f>IF(AND(Table1[[#This Row],[Rework_Flag]]="Yes",Table1[[#This Row],[Warranty_Claim]]="No"),Table1[[#This Row],[Service_Revenue]],0)</f>
        <v>0</v>
      </c>
      <c r="V1430" s="4">
        <f>IF(Table1[[#This Row],[Warranty_Claim]]="Yes",1,0)</f>
        <v>0</v>
      </c>
      <c r="W1430" s="4">
        <f>IF(Table1[[#This Row],[Rework_Flag]]="No",1,0)</f>
        <v>1</v>
      </c>
      <c r="X1430" s="4">
        <f>IF(Table1[[#This Row],[Rework_Flag]]="Yes",1,0)</f>
        <v>0</v>
      </c>
      <c r="Y1430" s="4">
        <v>1</v>
      </c>
      <c r="Z1430" s="4" t="str">
        <f>IF(Table1[[#This Row],[TAT_Days]]&gt;Table1[[#This Row],[SLA_TAT]],"Yes","No")</f>
        <v>Yes</v>
      </c>
      <c r="AA1430" s="4" t="str" cm="1">
        <f t="array" ref="AA1430">_xlfn.IFS(Table1[[#This Row],[Customer_Satisfaction]]&lt;=2,"Poor",Table1[[#This Row],[Customer_Satisfaction]]=3,"Neutral",Table1[[#This Row],[Customer_Satisfaction]]=4,"Good",Table1[[#This Row],[Customer_Satisfaction]]=5,"Good")</f>
        <v>Poor</v>
      </c>
    </row>
    <row r="1431" spans="1:27" x14ac:dyDescent="0.35">
      <c r="A1431">
        <v>21429</v>
      </c>
      <c r="B1431" s="1">
        <v>45471</v>
      </c>
      <c r="C1431" t="s">
        <v>50</v>
      </c>
      <c r="D1431" t="s">
        <v>51</v>
      </c>
      <c r="E1431" t="s">
        <v>75</v>
      </c>
      <c r="F1431" t="s">
        <v>53</v>
      </c>
      <c r="G1431" t="s">
        <v>74</v>
      </c>
      <c r="H1431" t="s">
        <v>34</v>
      </c>
      <c r="I1431" t="s">
        <v>55</v>
      </c>
      <c r="J1431" t="s">
        <v>43</v>
      </c>
      <c r="K1431" t="s">
        <v>44</v>
      </c>
      <c r="L1431" t="s">
        <v>28</v>
      </c>
      <c r="M1431" s="4">
        <v>21</v>
      </c>
      <c r="N1431" s="4">
        <v>7</v>
      </c>
      <c r="O1431" t="s">
        <v>29</v>
      </c>
      <c r="P1431" t="s">
        <v>36</v>
      </c>
      <c r="Q1431" s="4">
        <v>421615</v>
      </c>
      <c r="R1431" s="4">
        <v>251558</v>
      </c>
      <c r="S1431" s="4">
        <f>Table1[[#This Row],[Service_Revenue]]-Table1[[#This Row],[Service_Cost]]</f>
        <v>170057</v>
      </c>
      <c r="T1431" s="4">
        <v>1</v>
      </c>
      <c r="U1431" s="4">
        <f>IF(AND(Table1[[#This Row],[Rework_Flag]]="Yes",Table1[[#This Row],[Warranty_Claim]]="No"),Table1[[#This Row],[Service_Revenue]],0)</f>
        <v>421615</v>
      </c>
      <c r="V1431" s="4">
        <f>IF(Table1[[#This Row],[Warranty_Claim]]="Yes",1,0)</f>
        <v>0</v>
      </c>
      <c r="W1431" s="4">
        <f>IF(Table1[[#This Row],[Rework_Flag]]="No",1,0)</f>
        <v>0</v>
      </c>
      <c r="X1431" s="4">
        <f>IF(Table1[[#This Row],[Rework_Flag]]="Yes",1,0)</f>
        <v>1</v>
      </c>
      <c r="Y1431" s="4">
        <v>1</v>
      </c>
      <c r="Z1431" s="4" t="str">
        <f>IF(Table1[[#This Row],[TAT_Days]]&gt;Table1[[#This Row],[SLA_TAT]],"Yes","No")</f>
        <v>Yes</v>
      </c>
      <c r="AA1431" s="4" t="str" cm="1">
        <f t="array" ref="AA1431">_xlfn.IFS(Table1[[#This Row],[Customer_Satisfaction]]&lt;=2,"Poor",Table1[[#This Row],[Customer_Satisfaction]]=3,"Neutral",Table1[[#This Row],[Customer_Satisfaction]]=4,"Good",Table1[[#This Row],[Customer_Satisfaction]]=5,"Good")</f>
        <v>Poor</v>
      </c>
    </row>
    <row r="1432" spans="1:27" x14ac:dyDescent="0.35">
      <c r="A1432">
        <v>21430</v>
      </c>
      <c r="B1432" s="1">
        <v>45431</v>
      </c>
      <c r="C1432" t="s">
        <v>30</v>
      </c>
      <c r="D1432" t="s">
        <v>83</v>
      </c>
      <c r="E1432" t="s">
        <v>92</v>
      </c>
      <c r="F1432" t="s">
        <v>40</v>
      </c>
      <c r="G1432" t="s">
        <v>63</v>
      </c>
      <c r="H1432" t="s">
        <v>24</v>
      </c>
      <c r="I1432" t="s">
        <v>55</v>
      </c>
      <c r="J1432" t="s">
        <v>58</v>
      </c>
      <c r="K1432" t="s">
        <v>61</v>
      </c>
      <c r="L1432" t="s">
        <v>49</v>
      </c>
      <c r="M1432" s="4">
        <v>4</v>
      </c>
      <c r="N1432" s="4">
        <v>7</v>
      </c>
      <c r="O1432" t="s">
        <v>29</v>
      </c>
      <c r="P1432" t="s">
        <v>36</v>
      </c>
      <c r="Q1432" s="4">
        <v>182129</v>
      </c>
      <c r="R1432" s="4">
        <v>139487</v>
      </c>
      <c r="S1432" s="4">
        <f>Table1[[#This Row],[Service_Revenue]]-Table1[[#This Row],[Service_Cost]]</f>
        <v>42642</v>
      </c>
      <c r="T1432" s="4">
        <v>4</v>
      </c>
      <c r="U1432" s="4">
        <f>IF(AND(Table1[[#This Row],[Rework_Flag]]="Yes",Table1[[#This Row],[Warranty_Claim]]="No"),Table1[[#This Row],[Service_Revenue]],0)</f>
        <v>182129</v>
      </c>
      <c r="V1432" s="4">
        <f>IF(Table1[[#This Row],[Warranty_Claim]]="Yes",1,0)</f>
        <v>0</v>
      </c>
      <c r="W1432" s="4">
        <f>IF(Table1[[#This Row],[Rework_Flag]]="No",1,0)</f>
        <v>0</v>
      </c>
      <c r="X1432" s="4">
        <f>IF(Table1[[#This Row],[Rework_Flag]]="Yes",1,0)</f>
        <v>1</v>
      </c>
      <c r="Y1432" s="4">
        <v>1</v>
      </c>
      <c r="Z1432" s="4" t="str">
        <f>IF(Table1[[#This Row],[TAT_Days]]&gt;Table1[[#This Row],[SLA_TAT]],"Yes","No")</f>
        <v>No</v>
      </c>
      <c r="AA1432" s="4" t="str" cm="1">
        <f t="array" ref="AA1432">_xlfn.IFS(Table1[[#This Row],[Customer_Satisfaction]]&lt;=2,"Poor",Table1[[#This Row],[Customer_Satisfaction]]=3,"Neutral",Table1[[#This Row],[Customer_Satisfaction]]=4,"Good",Table1[[#This Row],[Customer_Satisfaction]]=5,"Good")</f>
        <v>Good</v>
      </c>
    </row>
    <row r="1433" spans="1:27" x14ac:dyDescent="0.35">
      <c r="A1433">
        <v>21431</v>
      </c>
      <c r="B1433" s="1">
        <v>45402</v>
      </c>
      <c r="C1433" t="s">
        <v>19</v>
      </c>
      <c r="D1433" t="s">
        <v>45</v>
      </c>
      <c r="E1433" t="s">
        <v>76</v>
      </c>
      <c r="F1433" t="s">
        <v>53</v>
      </c>
      <c r="G1433" t="s">
        <v>41</v>
      </c>
      <c r="H1433" t="s">
        <v>42</v>
      </c>
      <c r="I1433" t="s">
        <v>25</v>
      </c>
      <c r="J1433" t="s">
        <v>67</v>
      </c>
      <c r="K1433" t="s">
        <v>27</v>
      </c>
      <c r="L1433" t="s">
        <v>49</v>
      </c>
      <c r="M1433" s="4">
        <v>20</v>
      </c>
      <c r="N1433" s="4">
        <v>7</v>
      </c>
      <c r="O1433" t="s">
        <v>29</v>
      </c>
      <c r="P1433" t="s">
        <v>36</v>
      </c>
      <c r="Q1433" s="4">
        <v>300895</v>
      </c>
      <c r="R1433" s="4">
        <v>151824</v>
      </c>
      <c r="S1433" s="4">
        <f>Table1[[#This Row],[Service_Revenue]]-Table1[[#This Row],[Service_Cost]]</f>
        <v>149071</v>
      </c>
      <c r="T1433" s="4">
        <v>1</v>
      </c>
      <c r="U1433" s="4">
        <f>IF(AND(Table1[[#This Row],[Rework_Flag]]="Yes",Table1[[#This Row],[Warranty_Claim]]="No"),Table1[[#This Row],[Service_Revenue]],0)</f>
        <v>300895</v>
      </c>
      <c r="V1433" s="4">
        <f>IF(Table1[[#This Row],[Warranty_Claim]]="Yes",1,0)</f>
        <v>0</v>
      </c>
      <c r="W1433" s="4">
        <f>IF(Table1[[#This Row],[Rework_Flag]]="No",1,0)</f>
        <v>0</v>
      </c>
      <c r="X1433" s="4">
        <f>IF(Table1[[#This Row],[Rework_Flag]]="Yes",1,0)</f>
        <v>1</v>
      </c>
      <c r="Y1433" s="4">
        <v>1</v>
      </c>
      <c r="Z1433" s="4" t="str">
        <f>IF(Table1[[#This Row],[TAT_Days]]&gt;Table1[[#This Row],[SLA_TAT]],"Yes","No")</f>
        <v>Yes</v>
      </c>
      <c r="AA1433" s="4" t="str" cm="1">
        <f t="array" ref="AA1433">_xlfn.IFS(Table1[[#This Row],[Customer_Satisfaction]]&lt;=2,"Poor",Table1[[#This Row],[Customer_Satisfaction]]=3,"Neutral",Table1[[#This Row],[Customer_Satisfaction]]=4,"Good",Table1[[#This Row],[Customer_Satisfaction]]=5,"Good")</f>
        <v>Poor</v>
      </c>
    </row>
    <row r="1434" spans="1:27" x14ac:dyDescent="0.35">
      <c r="A1434">
        <v>21432</v>
      </c>
      <c r="B1434" s="1">
        <v>45377</v>
      </c>
      <c r="C1434" t="s">
        <v>50</v>
      </c>
      <c r="D1434" t="s">
        <v>51</v>
      </c>
      <c r="E1434" t="s">
        <v>120</v>
      </c>
      <c r="F1434" t="s">
        <v>53</v>
      </c>
      <c r="G1434" t="s">
        <v>74</v>
      </c>
      <c r="H1434" t="s">
        <v>34</v>
      </c>
      <c r="I1434" t="s">
        <v>25</v>
      </c>
      <c r="J1434" t="s">
        <v>67</v>
      </c>
      <c r="K1434" t="s">
        <v>44</v>
      </c>
      <c r="L1434" t="s">
        <v>28</v>
      </c>
      <c r="M1434" s="4">
        <v>5</v>
      </c>
      <c r="N1434" s="4">
        <v>7</v>
      </c>
      <c r="O1434" t="s">
        <v>36</v>
      </c>
      <c r="P1434" t="s">
        <v>36</v>
      </c>
      <c r="Q1434" s="4">
        <v>129481</v>
      </c>
      <c r="R1434" s="4">
        <v>109380</v>
      </c>
      <c r="S1434" s="4">
        <f>Table1[[#This Row],[Service_Revenue]]-Table1[[#This Row],[Service_Cost]]</f>
        <v>20101</v>
      </c>
      <c r="T1434" s="4">
        <v>4</v>
      </c>
      <c r="U1434" s="4">
        <f>IF(AND(Table1[[#This Row],[Rework_Flag]]="Yes",Table1[[#This Row],[Warranty_Claim]]="No"),Table1[[#This Row],[Service_Revenue]],0)</f>
        <v>0</v>
      </c>
      <c r="V1434" s="4">
        <f>IF(Table1[[#This Row],[Warranty_Claim]]="Yes",1,0)</f>
        <v>0</v>
      </c>
      <c r="W1434" s="4">
        <f>IF(Table1[[#This Row],[Rework_Flag]]="No",1,0)</f>
        <v>1</v>
      </c>
      <c r="X1434" s="4">
        <f>IF(Table1[[#This Row],[Rework_Flag]]="Yes",1,0)</f>
        <v>0</v>
      </c>
      <c r="Y1434" s="4">
        <v>1</v>
      </c>
      <c r="Z1434" s="4" t="str">
        <f>IF(Table1[[#This Row],[TAT_Days]]&gt;Table1[[#This Row],[SLA_TAT]],"Yes","No")</f>
        <v>No</v>
      </c>
      <c r="AA1434" s="4" t="str" cm="1">
        <f t="array" ref="AA1434">_xlfn.IFS(Table1[[#This Row],[Customer_Satisfaction]]&lt;=2,"Poor",Table1[[#This Row],[Customer_Satisfaction]]=3,"Neutral",Table1[[#This Row],[Customer_Satisfaction]]=4,"Good",Table1[[#This Row],[Customer_Satisfaction]]=5,"Good")</f>
        <v>Good</v>
      </c>
    </row>
    <row r="1435" spans="1:27" x14ac:dyDescent="0.35">
      <c r="A1435">
        <v>21433</v>
      </c>
      <c r="B1435" s="1">
        <v>45302</v>
      </c>
      <c r="C1435" t="s">
        <v>30</v>
      </c>
      <c r="D1435" t="s">
        <v>31</v>
      </c>
      <c r="E1435" t="s">
        <v>62</v>
      </c>
      <c r="F1435" t="s">
        <v>22</v>
      </c>
      <c r="G1435" t="s">
        <v>23</v>
      </c>
      <c r="H1435" t="s">
        <v>24</v>
      </c>
      <c r="I1435" t="s">
        <v>55</v>
      </c>
      <c r="J1435" t="s">
        <v>58</v>
      </c>
      <c r="K1435" t="s">
        <v>61</v>
      </c>
      <c r="L1435" t="s">
        <v>49</v>
      </c>
      <c r="M1435" s="4">
        <v>3</v>
      </c>
      <c r="N1435" s="4">
        <v>7</v>
      </c>
      <c r="O1435" t="s">
        <v>29</v>
      </c>
      <c r="P1435" t="s">
        <v>36</v>
      </c>
      <c r="Q1435" s="4">
        <v>251962</v>
      </c>
      <c r="R1435" s="4">
        <v>207512</v>
      </c>
      <c r="S1435" s="4">
        <f>Table1[[#This Row],[Service_Revenue]]-Table1[[#This Row],[Service_Cost]]</f>
        <v>44450</v>
      </c>
      <c r="T1435" s="4">
        <v>4</v>
      </c>
      <c r="U1435" s="4">
        <f>IF(AND(Table1[[#This Row],[Rework_Flag]]="Yes",Table1[[#This Row],[Warranty_Claim]]="No"),Table1[[#This Row],[Service_Revenue]],0)</f>
        <v>251962</v>
      </c>
      <c r="V1435" s="4">
        <f>IF(Table1[[#This Row],[Warranty_Claim]]="Yes",1,0)</f>
        <v>0</v>
      </c>
      <c r="W1435" s="4">
        <f>IF(Table1[[#This Row],[Rework_Flag]]="No",1,0)</f>
        <v>0</v>
      </c>
      <c r="X1435" s="4">
        <f>IF(Table1[[#This Row],[Rework_Flag]]="Yes",1,0)</f>
        <v>1</v>
      </c>
      <c r="Y1435" s="4">
        <v>1</v>
      </c>
      <c r="Z1435" s="4" t="str">
        <f>IF(Table1[[#This Row],[TAT_Days]]&gt;Table1[[#This Row],[SLA_TAT]],"Yes","No")</f>
        <v>No</v>
      </c>
      <c r="AA1435" s="4" t="str" cm="1">
        <f t="array" ref="AA1435">_xlfn.IFS(Table1[[#This Row],[Customer_Satisfaction]]&lt;=2,"Poor",Table1[[#This Row],[Customer_Satisfaction]]=3,"Neutral",Table1[[#This Row],[Customer_Satisfaction]]=4,"Good",Table1[[#This Row],[Customer_Satisfaction]]=5,"Good")</f>
        <v>Good</v>
      </c>
    </row>
    <row r="1436" spans="1:27" x14ac:dyDescent="0.35">
      <c r="A1436">
        <v>21434</v>
      </c>
      <c r="B1436" s="1">
        <v>45366</v>
      </c>
      <c r="C1436" t="s">
        <v>50</v>
      </c>
      <c r="D1436" t="s">
        <v>56</v>
      </c>
      <c r="E1436" t="s">
        <v>101</v>
      </c>
      <c r="F1436" t="s">
        <v>40</v>
      </c>
      <c r="G1436" t="s">
        <v>41</v>
      </c>
      <c r="H1436" t="s">
        <v>42</v>
      </c>
      <c r="I1436" t="s">
        <v>25</v>
      </c>
      <c r="J1436" t="s">
        <v>43</v>
      </c>
      <c r="K1436" t="s">
        <v>44</v>
      </c>
      <c r="L1436" t="s">
        <v>49</v>
      </c>
      <c r="M1436" s="4">
        <v>4</v>
      </c>
      <c r="N1436" s="4">
        <v>7</v>
      </c>
      <c r="O1436" t="s">
        <v>29</v>
      </c>
      <c r="P1436" t="s">
        <v>36</v>
      </c>
      <c r="Q1436" s="4">
        <v>299931</v>
      </c>
      <c r="R1436" s="4">
        <v>208391</v>
      </c>
      <c r="S1436" s="4">
        <f>Table1[[#This Row],[Service_Revenue]]-Table1[[#This Row],[Service_Cost]]</f>
        <v>91540</v>
      </c>
      <c r="T1436" s="4">
        <v>4</v>
      </c>
      <c r="U1436" s="4">
        <f>IF(AND(Table1[[#This Row],[Rework_Flag]]="Yes",Table1[[#This Row],[Warranty_Claim]]="No"),Table1[[#This Row],[Service_Revenue]],0)</f>
        <v>299931</v>
      </c>
      <c r="V1436" s="4">
        <f>IF(Table1[[#This Row],[Warranty_Claim]]="Yes",1,0)</f>
        <v>0</v>
      </c>
      <c r="W1436" s="4">
        <f>IF(Table1[[#This Row],[Rework_Flag]]="No",1,0)</f>
        <v>0</v>
      </c>
      <c r="X1436" s="4">
        <f>IF(Table1[[#This Row],[Rework_Flag]]="Yes",1,0)</f>
        <v>1</v>
      </c>
      <c r="Y1436" s="4">
        <v>1</v>
      </c>
      <c r="Z1436" s="4" t="str">
        <f>IF(Table1[[#This Row],[TAT_Days]]&gt;Table1[[#This Row],[SLA_TAT]],"Yes","No")</f>
        <v>No</v>
      </c>
      <c r="AA1436" s="4" t="str" cm="1">
        <f t="array" ref="AA1436">_xlfn.IFS(Table1[[#This Row],[Customer_Satisfaction]]&lt;=2,"Poor",Table1[[#This Row],[Customer_Satisfaction]]=3,"Neutral",Table1[[#This Row],[Customer_Satisfaction]]=4,"Good",Table1[[#This Row],[Customer_Satisfaction]]=5,"Good")</f>
        <v>Good</v>
      </c>
    </row>
    <row r="1437" spans="1:27" x14ac:dyDescent="0.35">
      <c r="A1437">
        <v>21435</v>
      </c>
      <c r="B1437" s="1">
        <v>45418</v>
      </c>
      <c r="C1437" t="s">
        <v>19</v>
      </c>
      <c r="D1437" t="s">
        <v>96</v>
      </c>
      <c r="E1437" t="s">
        <v>105</v>
      </c>
      <c r="F1437" t="s">
        <v>22</v>
      </c>
      <c r="G1437" t="s">
        <v>33</v>
      </c>
      <c r="H1437" t="s">
        <v>34</v>
      </c>
      <c r="I1437" t="s">
        <v>25</v>
      </c>
      <c r="J1437" t="s">
        <v>35</v>
      </c>
      <c r="K1437" t="s">
        <v>61</v>
      </c>
      <c r="L1437" t="s">
        <v>49</v>
      </c>
      <c r="M1437" s="4">
        <v>8</v>
      </c>
      <c r="N1437" s="4">
        <v>7</v>
      </c>
      <c r="O1437" t="s">
        <v>36</v>
      </c>
      <c r="P1437" t="s">
        <v>36</v>
      </c>
      <c r="Q1437" s="4">
        <v>101186</v>
      </c>
      <c r="R1437" s="4">
        <v>73111</v>
      </c>
      <c r="S1437" s="4">
        <f>Table1[[#This Row],[Service_Revenue]]-Table1[[#This Row],[Service_Cost]]</f>
        <v>28075</v>
      </c>
      <c r="T1437" s="4">
        <v>4</v>
      </c>
      <c r="U1437" s="4">
        <f>IF(AND(Table1[[#This Row],[Rework_Flag]]="Yes",Table1[[#This Row],[Warranty_Claim]]="No"),Table1[[#This Row],[Service_Revenue]],0)</f>
        <v>0</v>
      </c>
      <c r="V1437" s="4">
        <f>IF(Table1[[#This Row],[Warranty_Claim]]="Yes",1,0)</f>
        <v>0</v>
      </c>
      <c r="W1437" s="4">
        <f>IF(Table1[[#This Row],[Rework_Flag]]="No",1,0)</f>
        <v>1</v>
      </c>
      <c r="X1437" s="4">
        <f>IF(Table1[[#This Row],[Rework_Flag]]="Yes",1,0)</f>
        <v>0</v>
      </c>
      <c r="Y1437" s="4">
        <v>1</v>
      </c>
      <c r="Z1437" s="4" t="str">
        <f>IF(Table1[[#This Row],[TAT_Days]]&gt;Table1[[#This Row],[SLA_TAT]],"Yes","No")</f>
        <v>Yes</v>
      </c>
      <c r="AA1437" s="4" t="str" cm="1">
        <f t="array" ref="AA1437">_xlfn.IFS(Table1[[#This Row],[Customer_Satisfaction]]&lt;=2,"Poor",Table1[[#This Row],[Customer_Satisfaction]]=3,"Neutral",Table1[[#This Row],[Customer_Satisfaction]]=4,"Good",Table1[[#This Row],[Customer_Satisfaction]]=5,"Good")</f>
        <v>Good</v>
      </c>
    </row>
    <row r="1438" spans="1:27" x14ac:dyDescent="0.35">
      <c r="A1438">
        <v>21436</v>
      </c>
      <c r="B1438" s="1">
        <v>45432</v>
      </c>
      <c r="C1438" t="s">
        <v>19</v>
      </c>
      <c r="D1438" t="s">
        <v>20</v>
      </c>
      <c r="E1438" t="s">
        <v>21</v>
      </c>
      <c r="F1438" t="s">
        <v>40</v>
      </c>
      <c r="G1438" t="s">
        <v>63</v>
      </c>
      <c r="H1438" t="s">
        <v>24</v>
      </c>
      <c r="I1438" t="s">
        <v>55</v>
      </c>
      <c r="J1438" t="s">
        <v>43</v>
      </c>
      <c r="K1438" t="s">
        <v>27</v>
      </c>
      <c r="L1438" t="s">
        <v>28</v>
      </c>
      <c r="M1438" s="4">
        <v>8</v>
      </c>
      <c r="N1438" s="4">
        <v>7</v>
      </c>
      <c r="O1438" t="s">
        <v>36</v>
      </c>
      <c r="P1438" t="s">
        <v>36</v>
      </c>
      <c r="Q1438" s="4">
        <v>331247</v>
      </c>
      <c r="R1438" s="4">
        <v>189175</v>
      </c>
      <c r="S1438" s="4">
        <f>Table1[[#This Row],[Service_Revenue]]-Table1[[#This Row],[Service_Cost]]</f>
        <v>142072</v>
      </c>
      <c r="T1438" s="4">
        <v>4</v>
      </c>
      <c r="U1438" s="4">
        <f>IF(AND(Table1[[#This Row],[Rework_Flag]]="Yes",Table1[[#This Row],[Warranty_Claim]]="No"),Table1[[#This Row],[Service_Revenue]],0)</f>
        <v>0</v>
      </c>
      <c r="V1438" s="4">
        <f>IF(Table1[[#This Row],[Warranty_Claim]]="Yes",1,0)</f>
        <v>0</v>
      </c>
      <c r="W1438" s="4">
        <f>IF(Table1[[#This Row],[Rework_Flag]]="No",1,0)</f>
        <v>1</v>
      </c>
      <c r="X1438" s="4">
        <f>IF(Table1[[#This Row],[Rework_Flag]]="Yes",1,0)</f>
        <v>0</v>
      </c>
      <c r="Y1438" s="4">
        <v>1</v>
      </c>
      <c r="Z1438" s="4" t="str">
        <f>IF(Table1[[#This Row],[TAT_Days]]&gt;Table1[[#This Row],[SLA_TAT]],"Yes","No")</f>
        <v>Yes</v>
      </c>
      <c r="AA1438" s="4" t="str" cm="1">
        <f t="array" ref="AA1438">_xlfn.IFS(Table1[[#This Row],[Customer_Satisfaction]]&lt;=2,"Poor",Table1[[#This Row],[Customer_Satisfaction]]=3,"Neutral",Table1[[#This Row],[Customer_Satisfaction]]=4,"Good",Table1[[#This Row],[Customer_Satisfaction]]=5,"Good")</f>
        <v>Good</v>
      </c>
    </row>
    <row r="1439" spans="1:27" x14ac:dyDescent="0.35">
      <c r="A1439">
        <v>21437</v>
      </c>
      <c r="B1439" s="1">
        <v>45310</v>
      </c>
      <c r="C1439" t="s">
        <v>19</v>
      </c>
      <c r="D1439" t="s">
        <v>96</v>
      </c>
      <c r="E1439" t="s">
        <v>108</v>
      </c>
      <c r="F1439" t="s">
        <v>40</v>
      </c>
      <c r="G1439" t="s">
        <v>47</v>
      </c>
      <c r="H1439" t="s">
        <v>48</v>
      </c>
      <c r="I1439" t="s">
        <v>25</v>
      </c>
      <c r="J1439" t="s">
        <v>67</v>
      </c>
      <c r="K1439" t="s">
        <v>61</v>
      </c>
      <c r="L1439" t="s">
        <v>28</v>
      </c>
      <c r="M1439" s="4">
        <v>7</v>
      </c>
      <c r="N1439" s="4">
        <v>7</v>
      </c>
      <c r="O1439" t="s">
        <v>36</v>
      </c>
      <c r="P1439" t="s">
        <v>36</v>
      </c>
      <c r="Q1439" s="4">
        <v>371225</v>
      </c>
      <c r="R1439" s="4">
        <v>282186</v>
      </c>
      <c r="S1439" s="4">
        <f>Table1[[#This Row],[Service_Revenue]]-Table1[[#This Row],[Service_Cost]]</f>
        <v>89039</v>
      </c>
      <c r="T1439" s="4">
        <v>4</v>
      </c>
      <c r="U1439" s="4">
        <f>IF(AND(Table1[[#This Row],[Rework_Flag]]="Yes",Table1[[#This Row],[Warranty_Claim]]="No"),Table1[[#This Row],[Service_Revenue]],0)</f>
        <v>0</v>
      </c>
      <c r="V1439" s="4">
        <f>IF(Table1[[#This Row],[Warranty_Claim]]="Yes",1,0)</f>
        <v>0</v>
      </c>
      <c r="W1439" s="4">
        <f>IF(Table1[[#This Row],[Rework_Flag]]="No",1,0)</f>
        <v>1</v>
      </c>
      <c r="X1439" s="4">
        <f>IF(Table1[[#This Row],[Rework_Flag]]="Yes",1,0)</f>
        <v>0</v>
      </c>
      <c r="Y1439" s="4">
        <v>1</v>
      </c>
      <c r="Z1439" s="4" t="str">
        <f>IF(Table1[[#This Row],[TAT_Days]]&gt;Table1[[#This Row],[SLA_TAT]],"Yes","No")</f>
        <v>No</v>
      </c>
      <c r="AA1439" s="4" t="str" cm="1">
        <f t="array" ref="AA1439">_xlfn.IFS(Table1[[#This Row],[Customer_Satisfaction]]&lt;=2,"Poor",Table1[[#This Row],[Customer_Satisfaction]]=3,"Neutral",Table1[[#This Row],[Customer_Satisfaction]]=4,"Good",Table1[[#This Row],[Customer_Satisfaction]]=5,"Good")</f>
        <v>Good</v>
      </c>
    </row>
    <row r="1440" spans="1:27" x14ac:dyDescent="0.35">
      <c r="A1440">
        <v>21438</v>
      </c>
      <c r="B1440" s="1">
        <v>45337</v>
      </c>
      <c r="C1440" t="s">
        <v>19</v>
      </c>
      <c r="D1440" t="s">
        <v>45</v>
      </c>
      <c r="E1440" t="s">
        <v>111</v>
      </c>
      <c r="F1440" t="s">
        <v>22</v>
      </c>
      <c r="G1440" t="s">
        <v>74</v>
      </c>
      <c r="H1440" t="s">
        <v>34</v>
      </c>
      <c r="I1440" t="s">
        <v>55</v>
      </c>
      <c r="J1440" t="s">
        <v>43</v>
      </c>
      <c r="K1440" t="s">
        <v>27</v>
      </c>
      <c r="L1440" t="s">
        <v>28</v>
      </c>
      <c r="M1440" s="4">
        <v>19</v>
      </c>
      <c r="N1440" s="4">
        <v>7</v>
      </c>
      <c r="O1440" t="s">
        <v>29</v>
      </c>
      <c r="P1440" t="s">
        <v>29</v>
      </c>
      <c r="Q1440" s="4">
        <v>187769</v>
      </c>
      <c r="R1440" s="4">
        <v>154923</v>
      </c>
      <c r="S1440" s="4">
        <f>Table1[[#This Row],[Service_Revenue]]-Table1[[#This Row],[Service_Cost]]</f>
        <v>32846</v>
      </c>
      <c r="T1440" s="4">
        <v>1</v>
      </c>
      <c r="U1440" s="4">
        <f>IF(AND(Table1[[#This Row],[Rework_Flag]]="Yes",Table1[[#This Row],[Warranty_Claim]]="No"),Table1[[#This Row],[Service_Revenue]],0)</f>
        <v>0</v>
      </c>
      <c r="V1440" s="4">
        <f>IF(Table1[[#This Row],[Warranty_Claim]]="Yes",1,0)</f>
        <v>1</v>
      </c>
      <c r="W1440" s="4">
        <f>IF(Table1[[#This Row],[Rework_Flag]]="No",1,0)</f>
        <v>0</v>
      </c>
      <c r="X1440" s="4">
        <f>IF(Table1[[#This Row],[Rework_Flag]]="Yes",1,0)</f>
        <v>1</v>
      </c>
      <c r="Y1440" s="4">
        <v>1</v>
      </c>
      <c r="Z1440" s="4" t="str">
        <f>IF(Table1[[#This Row],[TAT_Days]]&gt;Table1[[#This Row],[SLA_TAT]],"Yes","No")</f>
        <v>Yes</v>
      </c>
      <c r="AA1440" s="4" t="str" cm="1">
        <f t="array" ref="AA1440">_xlfn.IFS(Table1[[#This Row],[Customer_Satisfaction]]&lt;=2,"Poor",Table1[[#This Row],[Customer_Satisfaction]]=3,"Neutral",Table1[[#This Row],[Customer_Satisfaction]]=4,"Good",Table1[[#This Row],[Customer_Satisfaction]]=5,"Good")</f>
        <v>Poor</v>
      </c>
    </row>
    <row r="1441" spans="1:27" x14ac:dyDescent="0.35">
      <c r="A1441">
        <v>21439</v>
      </c>
      <c r="B1441" s="1">
        <v>45411</v>
      </c>
      <c r="C1441" t="s">
        <v>19</v>
      </c>
      <c r="D1441" t="s">
        <v>96</v>
      </c>
      <c r="E1441" t="s">
        <v>108</v>
      </c>
      <c r="F1441" t="s">
        <v>22</v>
      </c>
      <c r="G1441" t="s">
        <v>33</v>
      </c>
      <c r="H1441" t="s">
        <v>34</v>
      </c>
      <c r="I1441" t="s">
        <v>25</v>
      </c>
      <c r="J1441" t="s">
        <v>67</v>
      </c>
      <c r="K1441" t="s">
        <v>44</v>
      </c>
      <c r="L1441" t="s">
        <v>49</v>
      </c>
      <c r="M1441" s="4">
        <v>9</v>
      </c>
      <c r="N1441" s="4">
        <v>7</v>
      </c>
      <c r="O1441" t="s">
        <v>29</v>
      </c>
      <c r="P1441" t="s">
        <v>29</v>
      </c>
      <c r="Q1441" s="4">
        <v>348637</v>
      </c>
      <c r="R1441" s="4">
        <v>254623</v>
      </c>
      <c r="S1441" s="4">
        <f>Table1[[#This Row],[Service_Revenue]]-Table1[[#This Row],[Service_Cost]]</f>
        <v>94014</v>
      </c>
      <c r="T1441" s="4">
        <v>3</v>
      </c>
      <c r="U1441" s="4">
        <f>IF(AND(Table1[[#This Row],[Rework_Flag]]="Yes",Table1[[#This Row],[Warranty_Claim]]="No"),Table1[[#This Row],[Service_Revenue]],0)</f>
        <v>0</v>
      </c>
      <c r="V1441" s="4">
        <f>IF(Table1[[#This Row],[Warranty_Claim]]="Yes",1,0)</f>
        <v>1</v>
      </c>
      <c r="W1441" s="4">
        <f>IF(Table1[[#This Row],[Rework_Flag]]="No",1,0)</f>
        <v>0</v>
      </c>
      <c r="X1441" s="4">
        <f>IF(Table1[[#This Row],[Rework_Flag]]="Yes",1,0)</f>
        <v>1</v>
      </c>
      <c r="Y1441" s="4">
        <v>1</v>
      </c>
      <c r="Z1441" s="4" t="str">
        <f>IF(Table1[[#This Row],[TAT_Days]]&gt;Table1[[#This Row],[SLA_TAT]],"Yes","No")</f>
        <v>Yes</v>
      </c>
      <c r="AA1441" s="4" t="str" cm="1">
        <f t="array" ref="AA1441">_xlfn.IFS(Table1[[#This Row],[Customer_Satisfaction]]&lt;=2,"Poor",Table1[[#This Row],[Customer_Satisfaction]]=3,"Neutral",Table1[[#This Row],[Customer_Satisfaction]]=4,"Good",Table1[[#This Row],[Customer_Satisfaction]]=5,"Good")</f>
        <v>Neutral</v>
      </c>
    </row>
    <row r="1442" spans="1:27" x14ac:dyDescent="0.35">
      <c r="A1442">
        <v>21440</v>
      </c>
      <c r="B1442" s="1">
        <v>45430</v>
      </c>
      <c r="C1442" t="s">
        <v>37</v>
      </c>
      <c r="D1442" t="s">
        <v>70</v>
      </c>
      <c r="E1442" t="s">
        <v>91</v>
      </c>
      <c r="F1442" t="s">
        <v>53</v>
      </c>
      <c r="G1442" t="s">
        <v>41</v>
      </c>
      <c r="H1442" t="s">
        <v>42</v>
      </c>
      <c r="I1442" t="s">
        <v>25</v>
      </c>
      <c r="J1442" t="s">
        <v>67</v>
      </c>
      <c r="K1442" t="s">
        <v>27</v>
      </c>
      <c r="L1442" t="s">
        <v>28</v>
      </c>
      <c r="M1442" s="4">
        <v>25</v>
      </c>
      <c r="N1442" s="4">
        <v>7</v>
      </c>
      <c r="O1442" t="s">
        <v>29</v>
      </c>
      <c r="P1442" t="s">
        <v>36</v>
      </c>
      <c r="Q1442" s="4">
        <v>533400</v>
      </c>
      <c r="R1442" s="4">
        <v>332227</v>
      </c>
      <c r="S1442" s="4">
        <f>Table1[[#This Row],[Service_Revenue]]-Table1[[#This Row],[Service_Cost]]</f>
        <v>201173</v>
      </c>
      <c r="T1442" s="4">
        <v>1</v>
      </c>
      <c r="U1442" s="4">
        <f>IF(AND(Table1[[#This Row],[Rework_Flag]]="Yes",Table1[[#This Row],[Warranty_Claim]]="No"),Table1[[#This Row],[Service_Revenue]],0)</f>
        <v>533400</v>
      </c>
      <c r="V1442" s="4">
        <f>IF(Table1[[#This Row],[Warranty_Claim]]="Yes",1,0)</f>
        <v>0</v>
      </c>
      <c r="W1442" s="4">
        <f>IF(Table1[[#This Row],[Rework_Flag]]="No",1,0)</f>
        <v>0</v>
      </c>
      <c r="X1442" s="4">
        <f>IF(Table1[[#This Row],[Rework_Flag]]="Yes",1,0)</f>
        <v>1</v>
      </c>
      <c r="Y1442" s="4">
        <v>1</v>
      </c>
      <c r="Z1442" s="4" t="str">
        <f>IF(Table1[[#This Row],[TAT_Days]]&gt;Table1[[#This Row],[SLA_TAT]],"Yes","No")</f>
        <v>Yes</v>
      </c>
      <c r="AA1442" s="4" t="str" cm="1">
        <f t="array" ref="AA1442">_xlfn.IFS(Table1[[#This Row],[Customer_Satisfaction]]&lt;=2,"Poor",Table1[[#This Row],[Customer_Satisfaction]]=3,"Neutral",Table1[[#This Row],[Customer_Satisfaction]]=4,"Good",Table1[[#This Row],[Customer_Satisfaction]]=5,"Good")</f>
        <v>Poor</v>
      </c>
    </row>
    <row r="1443" spans="1:27" x14ac:dyDescent="0.35">
      <c r="A1443">
        <v>21441</v>
      </c>
      <c r="B1443" s="1">
        <v>45425</v>
      </c>
      <c r="C1443" t="s">
        <v>19</v>
      </c>
      <c r="D1443" t="s">
        <v>45</v>
      </c>
      <c r="E1443" t="s">
        <v>76</v>
      </c>
      <c r="F1443" t="s">
        <v>22</v>
      </c>
      <c r="G1443" t="s">
        <v>33</v>
      </c>
      <c r="H1443" t="s">
        <v>34</v>
      </c>
      <c r="I1443" t="s">
        <v>55</v>
      </c>
      <c r="J1443" t="s">
        <v>58</v>
      </c>
      <c r="K1443" t="s">
        <v>27</v>
      </c>
      <c r="L1443" t="s">
        <v>28</v>
      </c>
      <c r="M1443" s="4">
        <v>21</v>
      </c>
      <c r="N1443" s="4">
        <v>7</v>
      </c>
      <c r="O1443" t="s">
        <v>29</v>
      </c>
      <c r="P1443" t="s">
        <v>36</v>
      </c>
      <c r="Q1443" s="4">
        <v>444264</v>
      </c>
      <c r="R1443" s="4">
        <v>234336</v>
      </c>
      <c r="S1443" s="4">
        <f>Table1[[#This Row],[Service_Revenue]]-Table1[[#This Row],[Service_Cost]]</f>
        <v>209928</v>
      </c>
      <c r="T1443" s="4">
        <v>1</v>
      </c>
      <c r="U1443" s="4">
        <f>IF(AND(Table1[[#This Row],[Rework_Flag]]="Yes",Table1[[#This Row],[Warranty_Claim]]="No"),Table1[[#This Row],[Service_Revenue]],0)</f>
        <v>444264</v>
      </c>
      <c r="V1443" s="4">
        <f>IF(Table1[[#This Row],[Warranty_Claim]]="Yes",1,0)</f>
        <v>0</v>
      </c>
      <c r="W1443" s="4">
        <f>IF(Table1[[#This Row],[Rework_Flag]]="No",1,0)</f>
        <v>0</v>
      </c>
      <c r="X1443" s="4">
        <f>IF(Table1[[#This Row],[Rework_Flag]]="Yes",1,0)</f>
        <v>1</v>
      </c>
      <c r="Y1443" s="4">
        <v>1</v>
      </c>
      <c r="Z1443" s="4" t="str">
        <f>IF(Table1[[#This Row],[TAT_Days]]&gt;Table1[[#This Row],[SLA_TAT]],"Yes","No")</f>
        <v>Yes</v>
      </c>
      <c r="AA1443" s="4" t="str" cm="1">
        <f t="array" ref="AA1443">_xlfn.IFS(Table1[[#This Row],[Customer_Satisfaction]]&lt;=2,"Poor",Table1[[#This Row],[Customer_Satisfaction]]=3,"Neutral",Table1[[#This Row],[Customer_Satisfaction]]=4,"Good",Table1[[#This Row],[Customer_Satisfaction]]=5,"Good")</f>
        <v>Poor</v>
      </c>
    </row>
    <row r="1444" spans="1:27" x14ac:dyDescent="0.35">
      <c r="A1444">
        <v>21442</v>
      </c>
      <c r="B1444" s="1">
        <v>45323</v>
      </c>
      <c r="C1444" t="s">
        <v>37</v>
      </c>
      <c r="D1444" t="s">
        <v>38</v>
      </c>
      <c r="E1444" t="s">
        <v>93</v>
      </c>
      <c r="F1444" t="s">
        <v>40</v>
      </c>
      <c r="G1444" t="s">
        <v>54</v>
      </c>
      <c r="H1444" t="s">
        <v>42</v>
      </c>
      <c r="I1444" t="s">
        <v>55</v>
      </c>
      <c r="J1444" t="s">
        <v>26</v>
      </c>
      <c r="K1444" t="s">
        <v>27</v>
      </c>
      <c r="L1444" t="s">
        <v>49</v>
      </c>
      <c r="M1444" s="4">
        <v>12</v>
      </c>
      <c r="N1444" s="4">
        <v>7</v>
      </c>
      <c r="O1444" t="s">
        <v>29</v>
      </c>
      <c r="P1444" t="s">
        <v>29</v>
      </c>
      <c r="Q1444" s="4">
        <v>286700</v>
      </c>
      <c r="R1444" s="4">
        <v>204908</v>
      </c>
      <c r="S1444" s="4">
        <f>Table1[[#This Row],[Service_Revenue]]-Table1[[#This Row],[Service_Cost]]</f>
        <v>81792</v>
      </c>
      <c r="T1444" s="4">
        <v>2</v>
      </c>
      <c r="U1444" s="4">
        <f>IF(AND(Table1[[#This Row],[Rework_Flag]]="Yes",Table1[[#This Row],[Warranty_Claim]]="No"),Table1[[#This Row],[Service_Revenue]],0)</f>
        <v>0</v>
      </c>
      <c r="V1444" s="4">
        <f>IF(Table1[[#This Row],[Warranty_Claim]]="Yes",1,0)</f>
        <v>1</v>
      </c>
      <c r="W1444" s="4">
        <f>IF(Table1[[#This Row],[Rework_Flag]]="No",1,0)</f>
        <v>0</v>
      </c>
      <c r="X1444" s="4">
        <f>IF(Table1[[#This Row],[Rework_Flag]]="Yes",1,0)</f>
        <v>1</v>
      </c>
      <c r="Y1444" s="4">
        <v>1</v>
      </c>
      <c r="Z1444" s="4" t="str">
        <f>IF(Table1[[#This Row],[TAT_Days]]&gt;Table1[[#This Row],[SLA_TAT]],"Yes","No")</f>
        <v>Yes</v>
      </c>
      <c r="AA1444" s="4" t="str" cm="1">
        <f t="array" ref="AA1444">_xlfn.IFS(Table1[[#This Row],[Customer_Satisfaction]]&lt;=2,"Poor",Table1[[#This Row],[Customer_Satisfaction]]=3,"Neutral",Table1[[#This Row],[Customer_Satisfaction]]=4,"Good",Table1[[#This Row],[Customer_Satisfaction]]=5,"Good")</f>
        <v>Poor</v>
      </c>
    </row>
    <row r="1445" spans="1:27" x14ac:dyDescent="0.35">
      <c r="A1445">
        <v>21443</v>
      </c>
      <c r="B1445" s="1">
        <v>45449</v>
      </c>
      <c r="C1445" t="s">
        <v>30</v>
      </c>
      <c r="D1445" t="s">
        <v>31</v>
      </c>
      <c r="E1445" t="s">
        <v>106</v>
      </c>
      <c r="F1445" t="s">
        <v>40</v>
      </c>
      <c r="G1445" t="s">
        <v>74</v>
      </c>
      <c r="H1445" t="s">
        <v>34</v>
      </c>
      <c r="I1445" t="s">
        <v>55</v>
      </c>
      <c r="J1445" t="s">
        <v>43</v>
      </c>
      <c r="K1445" t="s">
        <v>44</v>
      </c>
      <c r="L1445" t="s">
        <v>28</v>
      </c>
      <c r="M1445" s="4">
        <v>10</v>
      </c>
      <c r="N1445" s="4">
        <v>7</v>
      </c>
      <c r="O1445" t="s">
        <v>29</v>
      </c>
      <c r="P1445" t="s">
        <v>29</v>
      </c>
      <c r="Q1445" s="4">
        <v>338801</v>
      </c>
      <c r="R1445" s="4">
        <v>211971</v>
      </c>
      <c r="S1445" s="4">
        <f>Table1[[#This Row],[Service_Revenue]]-Table1[[#This Row],[Service_Cost]]</f>
        <v>126830</v>
      </c>
      <c r="T1445" s="4">
        <v>2</v>
      </c>
      <c r="U1445" s="4">
        <f>IF(AND(Table1[[#This Row],[Rework_Flag]]="Yes",Table1[[#This Row],[Warranty_Claim]]="No"),Table1[[#This Row],[Service_Revenue]],0)</f>
        <v>0</v>
      </c>
      <c r="V1445" s="4">
        <f>IF(Table1[[#This Row],[Warranty_Claim]]="Yes",1,0)</f>
        <v>1</v>
      </c>
      <c r="W1445" s="4">
        <f>IF(Table1[[#This Row],[Rework_Flag]]="No",1,0)</f>
        <v>0</v>
      </c>
      <c r="X1445" s="4">
        <f>IF(Table1[[#This Row],[Rework_Flag]]="Yes",1,0)</f>
        <v>1</v>
      </c>
      <c r="Y1445" s="4">
        <v>1</v>
      </c>
      <c r="Z1445" s="4" t="str">
        <f>IF(Table1[[#This Row],[TAT_Days]]&gt;Table1[[#This Row],[SLA_TAT]],"Yes","No")</f>
        <v>Yes</v>
      </c>
      <c r="AA1445" s="4" t="str" cm="1">
        <f t="array" ref="AA1445">_xlfn.IFS(Table1[[#This Row],[Customer_Satisfaction]]&lt;=2,"Poor",Table1[[#This Row],[Customer_Satisfaction]]=3,"Neutral",Table1[[#This Row],[Customer_Satisfaction]]=4,"Good",Table1[[#This Row],[Customer_Satisfaction]]=5,"Good")</f>
        <v>Poor</v>
      </c>
    </row>
    <row r="1446" spans="1:27" x14ac:dyDescent="0.35">
      <c r="A1446">
        <v>21444</v>
      </c>
      <c r="B1446" s="1">
        <v>45442</v>
      </c>
      <c r="C1446" t="s">
        <v>37</v>
      </c>
      <c r="D1446" t="s">
        <v>70</v>
      </c>
      <c r="E1446" t="s">
        <v>100</v>
      </c>
      <c r="F1446" t="s">
        <v>40</v>
      </c>
      <c r="G1446" t="s">
        <v>63</v>
      </c>
      <c r="H1446" t="s">
        <v>24</v>
      </c>
      <c r="I1446" t="s">
        <v>25</v>
      </c>
      <c r="J1446" t="s">
        <v>26</v>
      </c>
      <c r="K1446" t="s">
        <v>61</v>
      </c>
      <c r="L1446" t="s">
        <v>49</v>
      </c>
      <c r="M1446" s="4">
        <v>19</v>
      </c>
      <c r="N1446" s="4">
        <v>7</v>
      </c>
      <c r="O1446" t="s">
        <v>29</v>
      </c>
      <c r="P1446" t="s">
        <v>36</v>
      </c>
      <c r="Q1446" s="4">
        <v>551707</v>
      </c>
      <c r="R1446" s="4">
        <v>310951</v>
      </c>
      <c r="S1446" s="4">
        <f>Table1[[#This Row],[Service_Revenue]]-Table1[[#This Row],[Service_Cost]]</f>
        <v>240756</v>
      </c>
      <c r="T1446" s="4">
        <v>1</v>
      </c>
      <c r="U1446" s="4">
        <f>IF(AND(Table1[[#This Row],[Rework_Flag]]="Yes",Table1[[#This Row],[Warranty_Claim]]="No"),Table1[[#This Row],[Service_Revenue]],0)</f>
        <v>551707</v>
      </c>
      <c r="V1446" s="4">
        <f>IF(Table1[[#This Row],[Warranty_Claim]]="Yes",1,0)</f>
        <v>0</v>
      </c>
      <c r="W1446" s="4">
        <f>IF(Table1[[#This Row],[Rework_Flag]]="No",1,0)</f>
        <v>0</v>
      </c>
      <c r="X1446" s="4">
        <f>IF(Table1[[#This Row],[Rework_Flag]]="Yes",1,0)</f>
        <v>1</v>
      </c>
      <c r="Y1446" s="4">
        <v>1</v>
      </c>
      <c r="Z1446" s="4" t="str">
        <f>IF(Table1[[#This Row],[TAT_Days]]&gt;Table1[[#This Row],[SLA_TAT]],"Yes","No")</f>
        <v>Yes</v>
      </c>
      <c r="AA1446" s="4" t="str" cm="1">
        <f t="array" ref="AA1446">_xlfn.IFS(Table1[[#This Row],[Customer_Satisfaction]]&lt;=2,"Poor",Table1[[#This Row],[Customer_Satisfaction]]=3,"Neutral",Table1[[#This Row],[Customer_Satisfaction]]=4,"Good",Table1[[#This Row],[Customer_Satisfaction]]=5,"Good")</f>
        <v>Poor</v>
      </c>
    </row>
    <row r="1447" spans="1:27" x14ac:dyDescent="0.35">
      <c r="A1447">
        <v>21445</v>
      </c>
      <c r="B1447" s="1">
        <v>45369</v>
      </c>
      <c r="C1447" t="s">
        <v>37</v>
      </c>
      <c r="D1447" t="s">
        <v>70</v>
      </c>
      <c r="E1447" t="s">
        <v>82</v>
      </c>
      <c r="F1447" t="s">
        <v>22</v>
      </c>
      <c r="G1447" t="s">
        <v>54</v>
      </c>
      <c r="H1447" t="s">
        <v>42</v>
      </c>
      <c r="I1447" t="s">
        <v>55</v>
      </c>
      <c r="J1447" t="s">
        <v>35</v>
      </c>
      <c r="K1447" t="s">
        <v>61</v>
      </c>
      <c r="L1447" t="s">
        <v>49</v>
      </c>
      <c r="M1447" s="4">
        <v>8</v>
      </c>
      <c r="N1447" s="4">
        <v>7</v>
      </c>
      <c r="O1447" t="s">
        <v>36</v>
      </c>
      <c r="P1447" t="s">
        <v>36</v>
      </c>
      <c r="Q1447" s="4">
        <v>95298</v>
      </c>
      <c r="R1447" s="4">
        <v>64426</v>
      </c>
      <c r="S1447" s="4">
        <f>Table1[[#This Row],[Service_Revenue]]-Table1[[#This Row],[Service_Cost]]</f>
        <v>30872</v>
      </c>
      <c r="T1447" s="4">
        <v>4</v>
      </c>
      <c r="U1447" s="4">
        <f>IF(AND(Table1[[#This Row],[Rework_Flag]]="Yes",Table1[[#This Row],[Warranty_Claim]]="No"),Table1[[#This Row],[Service_Revenue]],0)</f>
        <v>0</v>
      </c>
      <c r="V1447" s="4">
        <f>IF(Table1[[#This Row],[Warranty_Claim]]="Yes",1,0)</f>
        <v>0</v>
      </c>
      <c r="W1447" s="4">
        <f>IF(Table1[[#This Row],[Rework_Flag]]="No",1,0)</f>
        <v>1</v>
      </c>
      <c r="X1447" s="4">
        <f>IF(Table1[[#This Row],[Rework_Flag]]="Yes",1,0)</f>
        <v>0</v>
      </c>
      <c r="Y1447" s="4">
        <v>1</v>
      </c>
      <c r="Z1447" s="4" t="str">
        <f>IF(Table1[[#This Row],[TAT_Days]]&gt;Table1[[#This Row],[SLA_TAT]],"Yes","No")</f>
        <v>Yes</v>
      </c>
      <c r="AA1447" s="4" t="str" cm="1">
        <f t="array" ref="AA1447">_xlfn.IFS(Table1[[#This Row],[Customer_Satisfaction]]&lt;=2,"Poor",Table1[[#This Row],[Customer_Satisfaction]]=3,"Neutral",Table1[[#This Row],[Customer_Satisfaction]]=4,"Good",Table1[[#This Row],[Customer_Satisfaction]]=5,"Good")</f>
        <v>Good</v>
      </c>
    </row>
    <row r="1448" spans="1:27" x14ac:dyDescent="0.35">
      <c r="A1448">
        <v>21446</v>
      </c>
      <c r="B1448" s="1">
        <v>45305</v>
      </c>
      <c r="C1448" t="s">
        <v>37</v>
      </c>
      <c r="D1448" t="s">
        <v>38</v>
      </c>
      <c r="E1448" t="s">
        <v>39</v>
      </c>
      <c r="F1448" t="s">
        <v>40</v>
      </c>
      <c r="G1448" t="s">
        <v>74</v>
      </c>
      <c r="H1448" t="s">
        <v>34</v>
      </c>
      <c r="I1448" t="s">
        <v>25</v>
      </c>
      <c r="J1448" t="s">
        <v>43</v>
      </c>
      <c r="K1448" t="s">
        <v>27</v>
      </c>
      <c r="L1448" t="s">
        <v>28</v>
      </c>
      <c r="M1448" s="4">
        <v>17</v>
      </c>
      <c r="N1448" s="4">
        <v>7</v>
      </c>
      <c r="O1448" t="s">
        <v>29</v>
      </c>
      <c r="P1448" t="s">
        <v>36</v>
      </c>
      <c r="Q1448" s="4">
        <v>464423</v>
      </c>
      <c r="R1448" s="4">
        <v>265282</v>
      </c>
      <c r="S1448" s="4">
        <f>Table1[[#This Row],[Service_Revenue]]-Table1[[#This Row],[Service_Cost]]</f>
        <v>199141</v>
      </c>
      <c r="T1448" s="4">
        <v>1</v>
      </c>
      <c r="U1448" s="4">
        <f>IF(AND(Table1[[#This Row],[Rework_Flag]]="Yes",Table1[[#This Row],[Warranty_Claim]]="No"),Table1[[#This Row],[Service_Revenue]],0)</f>
        <v>464423</v>
      </c>
      <c r="V1448" s="4">
        <f>IF(Table1[[#This Row],[Warranty_Claim]]="Yes",1,0)</f>
        <v>0</v>
      </c>
      <c r="W1448" s="4">
        <f>IF(Table1[[#This Row],[Rework_Flag]]="No",1,0)</f>
        <v>0</v>
      </c>
      <c r="X1448" s="4">
        <f>IF(Table1[[#This Row],[Rework_Flag]]="Yes",1,0)</f>
        <v>1</v>
      </c>
      <c r="Y1448" s="4">
        <v>1</v>
      </c>
      <c r="Z1448" s="4" t="str">
        <f>IF(Table1[[#This Row],[TAT_Days]]&gt;Table1[[#This Row],[SLA_TAT]],"Yes","No")</f>
        <v>Yes</v>
      </c>
      <c r="AA1448" s="4" t="str" cm="1">
        <f t="array" ref="AA1448">_xlfn.IFS(Table1[[#This Row],[Customer_Satisfaction]]&lt;=2,"Poor",Table1[[#This Row],[Customer_Satisfaction]]=3,"Neutral",Table1[[#This Row],[Customer_Satisfaction]]=4,"Good",Table1[[#This Row],[Customer_Satisfaction]]=5,"Good")</f>
        <v>Poor</v>
      </c>
    </row>
    <row r="1449" spans="1:27" x14ac:dyDescent="0.35">
      <c r="A1449">
        <v>21447</v>
      </c>
      <c r="B1449" s="1">
        <v>45401</v>
      </c>
      <c r="C1449" t="s">
        <v>19</v>
      </c>
      <c r="D1449" t="s">
        <v>96</v>
      </c>
      <c r="E1449" t="s">
        <v>98</v>
      </c>
      <c r="F1449" t="s">
        <v>22</v>
      </c>
      <c r="G1449" t="s">
        <v>33</v>
      </c>
      <c r="H1449" t="s">
        <v>34</v>
      </c>
      <c r="I1449" t="s">
        <v>25</v>
      </c>
      <c r="J1449" t="s">
        <v>67</v>
      </c>
      <c r="K1449" t="s">
        <v>61</v>
      </c>
      <c r="L1449" t="s">
        <v>49</v>
      </c>
      <c r="M1449" s="4">
        <v>3</v>
      </c>
      <c r="N1449" s="4">
        <v>7</v>
      </c>
      <c r="O1449" t="s">
        <v>36</v>
      </c>
      <c r="P1449" t="s">
        <v>36</v>
      </c>
      <c r="Q1449" s="4">
        <v>330787</v>
      </c>
      <c r="R1449" s="4">
        <v>196014</v>
      </c>
      <c r="S1449" s="4">
        <f>Table1[[#This Row],[Service_Revenue]]-Table1[[#This Row],[Service_Cost]]</f>
        <v>134773</v>
      </c>
      <c r="T1449" s="4">
        <v>5</v>
      </c>
      <c r="U1449" s="4">
        <f>IF(AND(Table1[[#This Row],[Rework_Flag]]="Yes",Table1[[#This Row],[Warranty_Claim]]="No"),Table1[[#This Row],[Service_Revenue]],0)</f>
        <v>0</v>
      </c>
      <c r="V1449" s="4">
        <f>IF(Table1[[#This Row],[Warranty_Claim]]="Yes",1,0)</f>
        <v>0</v>
      </c>
      <c r="W1449" s="4">
        <f>IF(Table1[[#This Row],[Rework_Flag]]="No",1,0)</f>
        <v>1</v>
      </c>
      <c r="X1449" s="4">
        <f>IF(Table1[[#This Row],[Rework_Flag]]="Yes",1,0)</f>
        <v>0</v>
      </c>
      <c r="Y1449" s="4">
        <v>1</v>
      </c>
      <c r="Z1449" s="4" t="str">
        <f>IF(Table1[[#This Row],[TAT_Days]]&gt;Table1[[#This Row],[SLA_TAT]],"Yes","No")</f>
        <v>No</v>
      </c>
      <c r="AA1449" s="4" t="str" cm="1">
        <f t="array" ref="AA1449">_xlfn.IFS(Table1[[#This Row],[Customer_Satisfaction]]&lt;=2,"Poor",Table1[[#This Row],[Customer_Satisfaction]]=3,"Neutral",Table1[[#This Row],[Customer_Satisfaction]]=4,"Good",Table1[[#This Row],[Customer_Satisfaction]]=5,"Good")</f>
        <v>Good</v>
      </c>
    </row>
    <row r="1450" spans="1:27" x14ac:dyDescent="0.35">
      <c r="A1450">
        <v>21448</v>
      </c>
      <c r="B1450" s="1">
        <v>45354</v>
      </c>
      <c r="C1450" t="s">
        <v>19</v>
      </c>
      <c r="D1450" t="s">
        <v>96</v>
      </c>
      <c r="E1450" t="s">
        <v>98</v>
      </c>
      <c r="F1450" t="s">
        <v>40</v>
      </c>
      <c r="G1450" t="s">
        <v>41</v>
      </c>
      <c r="H1450" t="s">
        <v>42</v>
      </c>
      <c r="I1450" t="s">
        <v>55</v>
      </c>
      <c r="J1450" t="s">
        <v>58</v>
      </c>
      <c r="K1450" t="s">
        <v>61</v>
      </c>
      <c r="L1450" t="s">
        <v>49</v>
      </c>
      <c r="M1450" s="4">
        <v>23</v>
      </c>
      <c r="N1450" s="4">
        <v>7</v>
      </c>
      <c r="O1450" t="s">
        <v>36</v>
      </c>
      <c r="P1450" t="s">
        <v>36</v>
      </c>
      <c r="Q1450" s="4">
        <v>217317</v>
      </c>
      <c r="R1450" s="4">
        <v>172098</v>
      </c>
      <c r="S1450" s="4">
        <f>Table1[[#This Row],[Service_Revenue]]-Table1[[#This Row],[Service_Cost]]</f>
        <v>45219</v>
      </c>
      <c r="T1450" s="4">
        <v>1</v>
      </c>
      <c r="U1450" s="4">
        <f>IF(AND(Table1[[#This Row],[Rework_Flag]]="Yes",Table1[[#This Row],[Warranty_Claim]]="No"),Table1[[#This Row],[Service_Revenue]],0)</f>
        <v>0</v>
      </c>
      <c r="V1450" s="4">
        <f>IF(Table1[[#This Row],[Warranty_Claim]]="Yes",1,0)</f>
        <v>0</v>
      </c>
      <c r="W1450" s="4">
        <f>IF(Table1[[#This Row],[Rework_Flag]]="No",1,0)</f>
        <v>1</v>
      </c>
      <c r="X1450" s="4">
        <f>IF(Table1[[#This Row],[Rework_Flag]]="Yes",1,0)</f>
        <v>0</v>
      </c>
      <c r="Y1450" s="4">
        <v>1</v>
      </c>
      <c r="Z1450" s="4" t="str">
        <f>IF(Table1[[#This Row],[TAT_Days]]&gt;Table1[[#This Row],[SLA_TAT]],"Yes","No")</f>
        <v>Yes</v>
      </c>
      <c r="AA1450" s="4" t="str" cm="1">
        <f t="array" ref="AA1450">_xlfn.IFS(Table1[[#This Row],[Customer_Satisfaction]]&lt;=2,"Poor",Table1[[#This Row],[Customer_Satisfaction]]=3,"Neutral",Table1[[#This Row],[Customer_Satisfaction]]=4,"Good",Table1[[#This Row],[Customer_Satisfaction]]=5,"Good")</f>
        <v>Poor</v>
      </c>
    </row>
    <row r="1451" spans="1:27" x14ac:dyDescent="0.35">
      <c r="A1451">
        <v>21449</v>
      </c>
      <c r="B1451" s="1">
        <v>45458</v>
      </c>
      <c r="C1451" t="s">
        <v>19</v>
      </c>
      <c r="D1451" t="s">
        <v>20</v>
      </c>
      <c r="E1451" t="s">
        <v>89</v>
      </c>
      <c r="F1451" t="s">
        <v>53</v>
      </c>
      <c r="G1451" t="s">
        <v>74</v>
      </c>
      <c r="H1451" t="s">
        <v>34</v>
      </c>
      <c r="I1451" t="s">
        <v>55</v>
      </c>
      <c r="J1451" t="s">
        <v>67</v>
      </c>
      <c r="K1451" t="s">
        <v>61</v>
      </c>
      <c r="L1451" t="s">
        <v>49</v>
      </c>
      <c r="M1451" s="4">
        <v>24</v>
      </c>
      <c r="N1451" s="4">
        <v>7</v>
      </c>
      <c r="O1451" t="s">
        <v>36</v>
      </c>
      <c r="P1451" t="s">
        <v>29</v>
      </c>
      <c r="Q1451" s="4">
        <v>369871</v>
      </c>
      <c r="R1451" s="4">
        <v>237736</v>
      </c>
      <c r="S1451" s="4">
        <f>Table1[[#This Row],[Service_Revenue]]-Table1[[#This Row],[Service_Cost]]</f>
        <v>132135</v>
      </c>
      <c r="T1451" s="4">
        <v>1</v>
      </c>
      <c r="U1451" s="4">
        <f>IF(AND(Table1[[#This Row],[Rework_Flag]]="Yes",Table1[[#This Row],[Warranty_Claim]]="No"),Table1[[#This Row],[Service_Revenue]],0)</f>
        <v>0</v>
      </c>
      <c r="V1451" s="4">
        <f>IF(Table1[[#This Row],[Warranty_Claim]]="Yes",1,0)</f>
        <v>1</v>
      </c>
      <c r="W1451" s="4">
        <f>IF(Table1[[#This Row],[Rework_Flag]]="No",1,0)</f>
        <v>1</v>
      </c>
      <c r="X1451" s="4">
        <f>IF(Table1[[#This Row],[Rework_Flag]]="Yes",1,0)</f>
        <v>0</v>
      </c>
      <c r="Y1451" s="4">
        <v>1</v>
      </c>
      <c r="Z1451" s="4" t="str">
        <f>IF(Table1[[#This Row],[TAT_Days]]&gt;Table1[[#This Row],[SLA_TAT]],"Yes","No")</f>
        <v>Yes</v>
      </c>
      <c r="AA1451" s="4" t="str" cm="1">
        <f t="array" ref="AA1451">_xlfn.IFS(Table1[[#This Row],[Customer_Satisfaction]]&lt;=2,"Poor",Table1[[#This Row],[Customer_Satisfaction]]=3,"Neutral",Table1[[#This Row],[Customer_Satisfaction]]=4,"Good",Table1[[#This Row],[Customer_Satisfaction]]=5,"Good")</f>
        <v>Poor</v>
      </c>
    </row>
    <row r="1452" spans="1:27" x14ac:dyDescent="0.35">
      <c r="A1452">
        <v>21450</v>
      </c>
      <c r="B1452" s="1">
        <v>45321</v>
      </c>
      <c r="C1452" t="s">
        <v>30</v>
      </c>
      <c r="D1452" t="s">
        <v>59</v>
      </c>
      <c r="E1452" t="s">
        <v>69</v>
      </c>
      <c r="F1452" t="s">
        <v>53</v>
      </c>
      <c r="G1452" t="s">
        <v>41</v>
      </c>
      <c r="H1452" t="s">
        <v>42</v>
      </c>
      <c r="I1452" t="s">
        <v>25</v>
      </c>
      <c r="J1452" t="s">
        <v>26</v>
      </c>
      <c r="K1452" t="s">
        <v>44</v>
      </c>
      <c r="L1452" t="s">
        <v>28</v>
      </c>
      <c r="M1452" s="4">
        <v>5</v>
      </c>
      <c r="N1452" s="4">
        <v>7</v>
      </c>
      <c r="O1452" t="s">
        <v>36</v>
      </c>
      <c r="P1452" t="s">
        <v>29</v>
      </c>
      <c r="Q1452" s="4">
        <v>368347</v>
      </c>
      <c r="R1452" s="4">
        <v>271722</v>
      </c>
      <c r="S1452" s="4">
        <f>Table1[[#This Row],[Service_Revenue]]-Table1[[#This Row],[Service_Cost]]</f>
        <v>96625</v>
      </c>
      <c r="T1452" s="4">
        <v>4</v>
      </c>
      <c r="U1452" s="4">
        <f>IF(AND(Table1[[#This Row],[Rework_Flag]]="Yes",Table1[[#This Row],[Warranty_Claim]]="No"),Table1[[#This Row],[Service_Revenue]],0)</f>
        <v>0</v>
      </c>
      <c r="V1452" s="4">
        <f>IF(Table1[[#This Row],[Warranty_Claim]]="Yes",1,0)</f>
        <v>1</v>
      </c>
      <c r="W1452" s="4">
        <f>IF(Table1[[#This Row],[Rework_Flag]]="No",1,0)</f>
        <v>1</v>
      </c>
      <c r="X1452" s="4">
        <f>IF(Table1[[#This Row],[Rework_Flag]]="Yes",1,0)</f>
        <v>0</v>
      </c>
      <c r="Y1452" s="4">
        <v>1</v>
      </c>
      <c r="Z1452" s="4" t="str">
        <f>IF(Table1[[#This Row],[TAT_Days]]&gt;Table1[[#This Row],[SLA_TAT]],"Yes","No")</f>
        <v>No</v>
      </c>
      <c r="AA1452" s="4" t="str" cm="1">
        <f t="array" ref="AA1452">_xlfn.IFS(Table1[[#This Row],[Customer_Satisfaction]]&lt;=2,"Poor",Table1[[#This Row],[Customer_Satisfaction]]=3,"Neutral",Table1[[#This Row],[Customer_Satisfaction]]=4,"Good",Table1[[#This Row],[Customer_Satisfaction]]=5,"Good")</f>
        <v>Good</v>
      </c>
    </row>
    <row r="1453" spans="1:27" x14ac:dyDescent="0.35">
      <c r="A1453">
        <v>21451</v>
      </c>
      <c r="B1453" s="1">
        <v>45453</v>
      </c>
      <c r="C1453" t="s">
        <v>19</v>
      </c>
      <c r="D1453" t="s">
        <v>96</v>
      </c>
      <c r="E1453" t="s">
        <v>98</v>
      </c>
      <c r="F1453" t="s">
        <v>40</v>
      </c>
      <c r="G1453" t="s">
        <v>33</v>
      </c>
      <c r="H1453" t="s">
        <v>34</v>
      </c>
      <c r="I1453" t="s">
        <v>25</v>
      </c>
      <c r="J1453" t="s">
        <v>26</v>
      </c>
      <c r="K1453" t="s">
        <v>44</v>
      </c>
      <c r="L1453" t="s">
        <v>28</v>
      </c>
      <c r="M1453" s="4">
        <v>19</v>
      </c>
      <c r="N1453" s="4">
        <v>7</v>
      </c>
      <c r="O1453" t="s">
        <v>36</v>
      </c>
      <c r="P1453" t="s">
        <v>36</v>
      </c>
      <c r="Q1453" s="4">
        <v>364957</v>
      </c>
      <c r="R1453" s="4">
        <v>240452</v>
      </c>
      <c r="S1453" s="4">
        <f>Table1[[#This Row],[Service_Revenue]]-Table1[[#This Row],[Service_Cost]]</f>
        <v>124505</v>
      </c>
      <c r="T1453" s="4">
        <v>2</v>
      </c>
      <c r="U1453" s="4">
        <f>IF(AND(Table1[[#This Row],[Rework_Flag]]="Yes",Table1[[#This Row],[Warranty_Claim]]="No"),Table1[[#This Row],[Service_Revenue]],0)</f>
        <v>0</v>
      </c>
      <c r="V1453" s="4">
        <f>IF(Table1[[#This Row],[Warranty_Claim]]="Yes",1,0)</f>
        <v>0</v>
      </c>
      <c r="W1453" s="4">
        <f>IF(Table1[[#This Row],[Rework_Flag]]="No",1,0)</f>
        <v>1</v>
      </c>
      <c r="X1453" s="4">
        <f>IF(Table1[[#This Row],[Rework_Flag]]="Yes",1,0)</f>
        <v>0</v>
      </c>
      <c r="Y1453" s="4">
        <v>1</v>
      </c>
      <c r="Z1453" s="4" t="str">
        <f>IF(Table1[[#This Row],[TAT_Days]]&gt;Table1[[#This Row],[SLA_TAT]],"Yes","No")</f>
        <v>Yes</v>
      </c>
      <c r="AA1453" s="4" t="str" cm="1">
        <f t="array" ref="AA1453">_xlfn.IFS(Table1[[#This Row],[Customer_Satisfaction]]&lt;=2,"Poor",Table1[[#This Row],[Customer_Satisfaction]]=3,"Neutral",Table1[[#This Row],[Customer_Satisfaction]]=4,"Good",Table1[[#This Row],[Customer_Satisfaction]]=5,"Good")</f>
        <v>Poor</v>
      </c>
    </row>
    <row r="1454" spans="1:27" x14ac:dyDescent="0.35">
      <c r="A1454">
        <v>21452</v>
      </c>
      <c r="B1454" s="1">
        <v>45309</v>
      </c>
      <c r="C1454" t="s">
        <v>30</v>
      </c>
      <c r="D1454" t="s">
        <v>83</v>
      </c>
      <c r="E1454" t="s">
        <v>90</v>
      </c>
      <c r="F1454" t="s">
        <v>53</v>
      </c>
      <c r="G1454" t="s">
        <v>54</v>
      </c>
      <c r="H1454" t="s">
        <v>42</v>
      </c>
      <c r="I1454" t="s">
        <v>25</v>
      </c>
      <c r="J1454" t="s">
        <v>43</v>
      </c>
      <c r="K1454" t="s">
        <v>27</v>
      </c>
      <c r="L1454" t="s">
        <v>49</v>
      </c>
      <c r="M1454" s="4">
        <v>23</v>
      </c>
      <c r="N1454" s="4">
        <v>7</v>
      </c>
      <c r="O1454" t="s">
        <v>29</v>
      </c>
      <c r="P1454" t="s">
        <v>29</v>
      </c>
      <c r="Q1454" s="4">
        <v>489982</v>
      </c>
      <c r="R1454" s="4">
        <v>405483</v>
      </c>
      <c r="S1454" s="4">
        <f>Table1[[#This Row],[Service_Revenue]]-Table1[[#This Row],[Service_Cost]]</f>
        <v>84499</v>
      </c>
      <c r="T1454" s="4">
        <v>1</v>
      </c>
      <c r="U1454" s="4">
        <f>IF(AND(Table1[[#This Row],[Rework_Flag]]="Yes",Table1[[#This Row],[Warranty_Claim]]="No"),Table1[[#This Row],[Service_Revenue]],0)</f>
        <v>0</v>
      </c>
      <c r="V1454" s="4">
        <f>IF(Table1[[#This Row],[Warranty_Claim]]="Yes",1,0)</f>
        <v>1</v>
      </c>
      <c r="W1454" s="4">
        <f>IF(Table1[[#This Row],[Rework_Flag]]="No",1,0)</f>
        <v>0</v>
      </c>
      <c r="X1454" s="4">
        <f>IF(Table1[[#This Row],[Rework_Flag]]="Yes",1,0)</f>
        <v>1</v>
      </c>
      <c r="Y1454" s="4">
        <v>1</v>
      </c>
      <c r="Z1454" s="4" t="str">
        <f>IF(Table1[[#This Row],[TAT_Days]]&gt;Table1[[#This Row],[SLA_TAT]],"Yes","No")</f>
        <v>Yes</v>
      </c>
      <c r="AA1454" s="4" t="str" cm="1">
        <f t="array" ref="AA1454">_xlfn.IFS(Table1[[#This Row],[Customer_Satisfaction]]&lt;=2,"Poor",Table1[[#This Row],[Customer_Satisfaction]]=3,"Neutral",Table1[[#This Row],[Customer_Satisfaction]]=4,"Good",Table1[[#This Row],[Customer_Satisfaction]]=5,"Good")</f>
        <v>Poor</v>
      </c>
    </row>
    <row r="1455" spans="1:27" x14ac:dyDescent="0.35">
      <c r="A1455">
        <v>21453</v>
      </c>
      <c r="B1455" s="1">
        <v>45358</v>
      </c>
      <c r="C1455" t="s">
        <v>37</v>
      </c>
      <c r="D1455" t="s">
        <v>64</v>
      </c>
      <c r="E1455" t="s">
        <v>65</v>
      </c>
      <c r="F1455" t="s">
        <v>40</v>
      </c>
      <c r="G1455" t="s">
        <v>41</v>
      </c>
      <c r="H1455" t="s">
        <v>42</v>
      </c>
      <c r="I1455" t="s">
        <v>55</v>
      </c>
      <c r="J1455" t="s">
        <v>43</v>
      </c>
      <c r="K1455" t="s">
        <v>27</v>
      </c>
      <c r="L1455" t="s">
        <v>49</v>
      </c>
      <c r="M1455" s="4">
        <v>18</v>
      </c>
      <c r="N1455" s="4">
        <v>7</v>
      </c>
      <c r="O1455" t="s">
        <v>29</v>
      </c>
      <c r="P1455" t="s">
        <v>36</v>
      </c>
      <c r="Q1455" s="4">
        <v>431818</v>
      </c>
      <c r="R1455" s="4">
        <v>332439</v>
      </c>
      <c r="S1455" s="4">
        <f>Table1[[#This Row],[Service_Revenue]]-Table1[[#This Row],[Service_Cost]]</f>
        <v>99379</v>
      </c>
      <c r="T1455" s="4">
        <v>1</v>
      </c>
      <c r="U1455" s="4">
        <f>IF(AND(Table1[[#This Row],[Rework_Flag]]="Yes",Table1[[#This Row],[Warranty_Claim]]="No"),Table1[[#This Row],[Service_Revenue]],0)</f>
        <v>431818</v>
      </c>
      <c r="V1455" s="4">
        <f>IF(Table1[[#This Row],[Warranty_Claim]]="Yes",1,0)</f>
        <v>0</v>
      </c>
      <c r="W1455" s="4">
        <f>IF(Table1[[#This Row],[Rework_Flag]]="No",1,0)</f>
        <v>0</v>
      </c>
      <c r="X1455" s="4">
        <f>IF(Table1[[#This Row],[Rework_Flag]]="Yes",1,0)</f>
        <v>1</v>
      </c>
      <c r="Y1455" s="4">
        <v>1</v>
      </c>
      <c r="Z1455" s="4" t="str">
        <f>IF(Table1[[#This Row],[TAT_Days]]&gt;Table1[[#This Row],[SLA_TAT]],"Yes","No")</f>
        <v>Yes</v>
      </c>
      <c r="AA1455" s="4" t="str" cm="1">
        <f t="array" ref="AA1455">_xlfn.IFS(Table1[[#This Row],[Customer_Satisfaction]]&lt;=2,"Poor",Table1[[#This Row],[Customer_Satisfaction]]=3,"Neutral",Table1[[#This Row],[Customer_Satisfaction]]=4,"Good",Table1[[#This Row],[Customer_Satisfaction]]=5,"Good")</f>
        <v>Poor</v>
      </c>
    </row>
    <row r="1456" spans="1:27" x14ac:dyDescent="0.35">
      <c r="A1456">
        <v>21454</v>
      </c>
      <c r="B1456" s="1">
        <v>45459</v>
      </c>
      <c r="C1456" t="s">
        <v>50</v>
      </c>
      <c r="D1456" t="s">
        <v>80</v>
      </c>
      <c r="E1456" t="s">
        <v>85</v>
      </c>
      <c r="F1456" t="s">
        <v>22</v>
      </c>
      <c r="G1456" t="s">
        <v>47</v>
      </c>
      <c r="H1456" t="s">
        <v>48</v>
      </c>
      <c r="I1456" t="s">
        <v>25</v>
      </c>
      <c r="J1456" t="s">
        <v>58</v>
      </c>
      <c r="K1456" t="s">
        <v>44</v>
      </c>
      <c r="L1456" t="s">
        <v>28</v>
      </c>
      <c r="M1456" s="4">
        <v>24</v>
      </c>
      <c r="N1456" s="4">
        <v>7</v>
      </c>
      <c r="O1456" t="s">
        <v>36</v>
      </c>
      <c r="P1456" t="s">
        <v>36</v>
      </c>
      <c r="Q1456" s="4">
        <v>575909</v>
      </c>
      <c r="R1456" s="4">
        <v>450539</v>
      </c>
      <c r="S1456" s="4">
        <f>Table1[[#This Row],[Service_Revenue]]-Table1[[#This Row],[Service_Cost]]</f>
        <v>125370</v>
      </c>
      <c r="T1456" s="4">
        <v>1</v>
      </c>
      <c r="U1456" s="4">
        <f>IF(AND(Table1[[#This Row],[Rework_Flag]]="Yes",Table1[[#This Row],[Warranty_Claim]]="No"),Table1[[#This Row],[Service_Revenue]],0)</f>
        <v>0</v>
      </c>
      <c r="V1456" s="4">
        <f>IF(Table1[[#This Row],[Warranty_Claim]]="Yes",1,0)</f>
        <v>0</v>
      </c>
      <c r="W1456" s="4">
        <f>IF(Table1[[#This Row],[Rework_Flag]]="No",1,0)</f>
        <v>1</v>
      </c>
      <c r="X1456" s="4">
        <f>IF(Table1[[#This Row],[Rework_Flag]]="Yes",1,0)</f>
        <v>0</v>
      </c>
      <c r="Y1456" s="4">
        <v>1</v>
      </c>
      <c r="Z1456" s="4" t="str">
        <f>IF(Table1[[#This Row],[TAT_Days]]&gt;Table1[[#This Row],[SLA_TAT]],"Yes","No")</f>
        <v>Yes</v>
      </c>
      <c r="AA1456" s="4" t="str" cm="1">
        <f t="array" ref="AA1456">_xlfn.IFS(Table1[[#This Row],[Customer_Satisfaction]]&lt;=2,"Poor",Table1[[#This Row],[Customer_Satisfaction]]=3,"Neutral",Table1[[#This Row],[Customer_Satisfaction]]=4,"Good",Table1[[#This Row],[Customer_Satisfaction]]=5,"Good")</f>
        <v>Poor</v>
      </c>
    </row>
    <row r="1457" spans="1:27" x14ac:dyDescent="0.35">
      <c r="A1457">
        <v>21455</v>
      </c>
      <c r="B1457" s="1">
        <v>45303</v>
      </c>
      <c r="C1457" t="s">
        <v>30</v>
      </c>
      <c r="D1457" t="s">
        <v>83</v>
      </c>
      <c r="E1457" t="s">
        <v>84</v>
      </c>
      <c r="F1457" t="s">
        <v>22</v>
      </c>
      <c r="G1457" t="s">
        <v>41</v>
      </c>
      <c r="H1457" t="s">
        <v>42</v>
      </c>
      <c r="I1457" t="s">
        <v>25</v>
      </c>
      <c r="J1457" t="s">
        <v>35</v>
      </c>
      <c r="K1457" t="s">
        <v>44</v>
      </c>
      <c r="L1457" t="s">
        <v>28</v>
      </c>
      <c r="M1457" s="4">
        <v>24</v>
      </c>
      <c r="N1457" s="4">
        <v>7</v>
      </c>
      <c r="O1457" t="s">
        <v>36</v>
      </c>
      <c r="P1457" t="s">
        <v>36</v>
      </c>
      <c r="Q1457" s="4">
        <v>418450</v>
      </c>
      <c r="R1457" s="4">
        <v>251032</v>
      </c>
      <c r="S1457" s="4">
        <f>Table1[[#This Row],[Service_Revenue]]-Table1[[#This Row],[Service_Cost]]</f>
        <v>167418</v>
      </c>
      <c r="T1457" s="4">
        <v>1</v>
      </c>
      <c r="U1457" s="4">
        <f>IF(AND(Table1[[#This Row],[Rework_Flag]]="Yes",Table1[[#This Row],[Warranty_Claim]]="No"),Table1[[#This Row],[Service_Revenue]],0)</f>
        <v>0</v>
      </c>
      <c r="V1457" s="4">
        <f>IF(Table1[[#This Row],[Warranty_Claim]]="Yes",1,0)</f>
        <v>0</v>
      </c>
      <c r="W1457" s="4">
        <f>IF(Table1[[#This Row],[Rework_Flag]]="No",1,0)</f>
        <v>1</v>
      </c>
      <c r="X1457" s="4">
        <f>IF(Table1[[#This Row],[Rework_Flag]]="Yes",1,0)</f>
        <v>0</v>
      </c>
      <c r="Y1457" s="4">
        <v>1</v>
      </c>
      <c r="Z1457" s="4" t="str">
        <f>IF(Table1[[#This Row],[TAT_Days]]&gt;Table1[[#This Row],[SLA_TAT]],"Yes","No")</f>
        <v>Yes</v>
      </c>
      <c r="AA1457" s="4" t="str" cm="1">
        <f t="array" ref="AA1457">_xlfn.IFS(Table1[[#This Row],[Customer_Satisfaction]]&lt;=2,"Poor",Table1[[#This Row],[Customer_Satisfaction]]=3,"Neutral",Table1[[#This Row],[Customer_Satisfaction]]=4,"Good",Table1[[#This Row],[Customer_Satisfaction]]=5,"Good")</f>
        <v>Poor</v>
      </c>
    </row>
    <row r="1458" spans="1:27" x14ac:dyDescent="0.35">
      <c r="A1458">
        <v>21456</v>
      </c>
      <c r="B1458" s="1">
        <v>45359</v>
      </c>
      <c r="C1458" t="s">
        <v>37</v>
      </c>
      <c r="D1458" t="s">
        <v>70</v>
      </c>
      <c r="E1458" t="s">
        <v>100</v>
      </c>
      <c r="F1458" t="s">
        <v>40</v>
      </c>
      <c r="G1458" t="s">
        <v>54</v>
      </c>
      <c r="H1458" t="s">
        <v>42</v>
      </c>
      <c r="I1458" t="s">
        <v>25</v>
      </c>
      <c r="J1458" t="s">
        <v>58</v>
      </c>
      <c r="K1458" t="s">
        <v>27</v>
      </c>
      <c r="L1458" t="s">
        <v>28</v>
      </c>
      <c r="M1458" s="4">
        <v>9</v>
      </c>
      <c r="N1458" s="4">
        <v>7</v>
      </c>
      <c r="O1458" t="s">
        <v>36</v>
      </c>
      <c r="P1458" t="s">
        <v>36</v>
      </c>
      <c r="Q1458" s="4">
        <v>325798</v>
      </c>
      <c r="R1458" s="4">
        <v>185753</v>
      </c>
      <c r="S1458" s="4">
        <f>Table1[[#This Row],[Service_Revenue]]-Table1[[#This Row],[Service_Cost]]</f>
        <v>140045</v>
      </c>
      <c r="T1458" s="4">
        <v>4</v>
      </c>
      <c r="U1458" s="4">
        <f>IF(AND(Table1[[#This Row],[Rework_Flag]]="Yes",Table1[[#This Row],[Warranty_Claim]]="No"),Table1[[#This Row],[Service_Revenue]],0)</f>
        <v>0</v>
      </c>
      <c r="V1458" s="4">
        <f>IF(Table1[[#This Row],[Warranty_Claim]]="Yes",1,0)</f>
        <v>0</v>
      </c>
      <c r="W1458" s="4">
        <f>IF(Table1[[#This Row],[Rework_Flag]]="No",1,0)</f>
        <v>1</v>
      </c>
      <c r="X1458" s="4">
        <f>IF(Table1[[#This Row],[Rework_Flag]]="Yes",1,0)</f>
        <v>0</v>
      </c>
      <c r="Y1458" s="4">
        <v>1</v>
      </c>
      <c r="Z1458" s="4" t="str">
        <f>IF(Table1[[#This Row],[TAT_Days]]&gt;Table1[[#This Row],[SLA_TAT]],"Yes","No")</f>
        <v>Yes</v>
      </c>
      <c r="AA1458" s="4" t="str" cm="1">
        <f t="array" ref="AA1458">_xlfn.IFS(Table1[[#This Row],[Customer_Satisfaction]]&lt;=2,"Poor",Table1[[#This Row],[Customer_Satisfaction]]=3,"Neutral",Table1[[#This Row],[Customer_Satisfaction]]=4,"Good",Table1[[#This Row],[Customer_Satisfaction]]=5,"Good")</f>
        <v>Good</v>
      </c>
    </row>
    <row r="1459" spans="1:27" x14ac:dyDescent="0.35">
      <c r="A1459">
        <v>21457</v>
      </c>
      <c r="B1459" s="1">
        <v>45403</v>
      </c>
      <c r="C1459" t="s">
        <v>19</v>
      </c>
      <c r="D1459" t="s">
        <v>45</v>
      </c>
      <c r="E1459" t="s">
        <v>114</v>
      </c>
      <c r="F1459" t="s">
        <v>53</v>
      </c>
      <c r="G1459" t="s">
        <v>74</v>
      </c>
      <c r="H1459" t="s">
        <v>34</v>
      </c>
      <c r="I1459" t="s">
        <v>55</v>
      </c>
      <c r="J1459" t="s">
        <v>26</v>
      </c>
      <c r="K1459" t="s">
        <v>27</v>
      </c>
      <c r="L1459" t="s">
        <v>49</v>
      </c>
      <c r="M1459" s="4">
        <v>21</v>
      </c>
      <c r="N1459" s="4">
        <v>7</v>
      </c>
      <c r="O1459" t="s">
        <v>29</v>
      </c>
      <c r="P1459" t="s">
        <v>29</v>
      </c>
      <c r="Q1459" s="4">
        <v>225032</v>
      </c>
      <c r="R1459" s="4">
        <v>172686</v>
      </c>
      <c r="S1459" s="4">
        <f>Table1[[#This Row],[Service_Revenue]]-Table1[[#This Row],[Service_Cost]]</f>
        <v>52346</v>
      </c>
      <c r="T1459" s="4">
        <v>1</v>
      </c>
      <c r="U1459" s="4">
        <f>IF(AND(Table1[[#This Row],[Rework_Flag]]="Yes",Table1[[#This Row],[Warranty_Claim]]="No"),Table1[[#This Row],[Service_Revenue]],0)</f>
        <v>0</v>
      </c>
      <c r="V1459" s="4">
        <f>IF(Table1[[#This Row],[Warranty_Claim]]="Yes",1,0)</f>
        <v>1</v>
      </c>
      <c r="W1459" s="4">
        <f>IF(Table1[[#This Row],[Rework_Flag]]="No",1,0)</f>
        <v>0</v>
      </c>
      <c r="X1459" s="4">
        <f>IF(Table1[[#This Row],[Rework_Flag]]="Yes",1,0)</f>
        <v>1</v>
      </c>
      <c r="Y1459" s="4">
        <v>1</v>
      </c>
      <c r="Z1459" s="4" t="str">
        <f>IF(Table1[[#This Row],[TAT_Days]]&gt;Table1[[#This Row],[SLA_TAT]],"Yes","No")</f>
        <v>Yes</v>
      </c>
      <c r="AA1459" s="4" t="str" cm="1">
        <f t="array" ref="AA1459">_xlfn.IFS(Table1[[#This Row],[Customer_Satisfaction]]&lt;=2,"Poor",Table1[[#This Row],[Customer_Satisfaction]]=3,"Neutral",Table1[[#This Row],[Customer_Satisfaction]]=4,"Good",Table1[[#This Row],[Customer_Satisfaction]]=5,"Good")</f>
        <v>Poor</v>
      </c>
    </row>
    <row r="1460" spans="1:27" x14ac:dyDescent="0.35">
      <c r="A1460">
        <v>21458</v>
      </c>
      <c r="B1460" s="1">
        <v>45451</v>
      </c>
      <c r="C1460" t="s">
        <v>37</v>
      </c>
      <c r="D1460" t="s">
        <v>38</v>
      </c>
      <c r="E1460" t="s">
        <v>107</v>
      </c>
      <c r="F1460" t="s">
        <v>40</v>
      </c>
      <c r="G1460" t="s">
        <v>47</v>
      </c>
      <c r="H1460" t="s">
        <v>48</v>
      </c>
      <c r="I1460" t="s">
        <v>55</v>
      </c>
      <c r="J1460" t="s">
        <v>43</v>
      </c>
      <c r="K1460" t="s">
        <v>61</v>
      </c>
      <c r="L1460" t="s">
        <v>28</v>
      </c>
      <c r="M1460" s="4">
        <v>4</v>
      </c>
      <c r="N1460" s="4">
        <v>7</v>
      </c>
      <c r="O1460" t="s">
        <v>36</v>
      </c>
      <c r="P1460" t="s">
        <v>36</v>
      </c>
      <c r="Q1460" s="4">
        <v>291116</v>
      </c>
      <c r="R1460" s="4">
        <v>178883</v>
      </c>
      <c r="S1460" s="4">
        <f>Table1[[#This Row],[Service_Revenue]]-Table1[[#This Row],[Service_Cost]]</f>
        <v>112233</v>
      </c>
      <c r="T1460" s="4">
        <v>5</v>
      </c>
      <c r="U1460" s="4">
        <f>IF(AND(Table1[[#This Row],[Rework_Flag]]="Yes",Table1[[#This Row],[Warranty_Claim]]="No"),Table1[[#This Row],[Service_Revenue]],0)</f>
        <v>0</v>
      </c>
      <c r="V1460" s="4">
        <f>IF(Table1[[#This Row],[Warranty_Claim]]="Yes",1,0)</f>
        <v>0</v>
      </c>
      <c r="W1460" s="4">
        <f>IF(Table1[[#This Row],[Rework_Flag]]="No",1,0)</f>
        <v>1</v>
      </c>
      <c r="X1460" s="4">
        <f>IF(Table1[[#This Row],[Rework_Flag]]="Yes",1,0)</f>
        <v>0</v>
      </c>
      <c r="Y1460" s="4">
        <v>1</v>
      </c>
      <c r="Z1460" s="4" t="str">
        <f>IF(Table1[[#This Row],[TAT_Days]]&gt;Table1[[#This Row],[SLA_TAT]],"Yes","No")</f>
        <v>No</v>
      </c>
      <c r="AA1460" s="4" t="str" cm="1">
        <f t="array" ref="AA1460">_xlfn.IFS(Table1[[#This Row],[Customer_Satisfaction]]&lt;=2,"Poor",Table1[[#This Row],[Customer_Satisfaction]]=3,"Neutral",Table1[[#This Row],[Customer_Satisfaction]]=4,"Good",Table1[[#This Row],[Customer_Satisfaction]]=5,"Good")</f>
        <v>Good</v>
      </c>
    </row>
    <row r="1461" spans="1:27" x14ac:dyDescent="0.35">
      <c r="A1461">
        <v>21459</v>
      </c>
      <c r="B1461" s="1">
        <v>45345</v>
      </c>
      <c r="C1461" t="s">
        <v>37</v>
      </c>
      <c r="D1461" t="s">
        <v>70</v>
      </c>
      <c r="E1461" t="s">
        <v>82</v>
      </c>
      <c r="F1461" t="s">
        <v>40</v>
      </c>
      <c r="G1461" t="s">
        <v>41</v>
      </c>
      <c r="H1461" t="s">
        <v>42</v>
      </c>
      <c r="I1461" t="s">
        <v>55</v>
      </c>
      <c r="J1461" t="s">
        <v>35</v>
      </c>
      <c r="K1461" t="s">
        <v>44</v>
      </c>
      <c r="L1461" t="s">
        <v>28</v>
      </c>
      <c r="M1461" s="4">
        <v>4</v>
      </c>
      <c r="N1461" s="4">
        <v>7</v>
      </c>
      <c r="O1461" t="s">
        <v>29</v>
      </c>
      <c r="P1461" t="s">
        <v>36</v>
      </c>
      <c r="Q1461" s="4">
        <v>355189</v>
      </c>
      <c r="R1461" s="4">
        <v>238528</v>
      </c>
      <c r="S1461" s="4">
        <f>Table1[[#This Row],[Service_Revenue]]-Table1[[#This Row],[Service_Cost]]</f>
        <v>116661</v>
      </c>
      <c r="T1461" s="4">
        <v>4</v>
      </c>
      <c r="U1461" s="4">
        <f>IF(AND(Table1[[#This Row],[Rework_Flag]]="Yes",Table1[[#This Row],[Warranty_Claim]]="No"),Table1[[#This Row],[Service_Revenue]],0)</f>
        <v>355189</v>
      </c>
      <c r="V1461" s="4">
        <f>IF(Table1[[#This Row],[Warranty_Claim]]="Yes",1,0)</f>
        <v>0</v>
      </c>
      <c r="W1461" s="4">
        <f>IF(Table1[[#This Row],[Rework_Flag]]="No",1,0)</f>
        <v>0</v>
      </c>
      <c r="X1461" s="4">
        <f>IF(Table1[[#This Row],[Rework_Flag]]="Yes",1,0)</f>
        <v>1</v>
      </c>
      <c r="Y1461" s="4">
        <v>1</v>
      </c>
      <c r="Z1461" s="4" t="str">
        <f>IF(Table1[[#This Row],[TAT_Days]]&gt;Table1[[#This Row],[SLA_TAT]],"Yes","No")</f>
        <v>No</v>
      </c>
      <c r="AA1461" s="4" t="str" cm="1">
        <f t="array" ref="AA1461">_xlfn.IFS(Table1[[#This Row],[Customer_Satisfaction]]&lt;=2,"Poor",Table1[[#This Row],[Customer_Satisfaction]]=3,"Neutral",Table1[[#This Row],[Customer_Satisfaction]]=4,"Good",Table1[[#This Row],[Customer_Satisfaction]]=5,"Good")</f>
        <v>Good</v>
      </c>
    </row>
    <row r="1462" spans="1:27" x14ac:dyDescent="0.35">
      <c r="A1462">
        <v>21460</v>
      </c>
      <c r="B1462" s="1">
        <v>45465</v>
      </c>
      <c r="C1462" t="s">
        <v>30</v>
      </c>
      <c r="D1462" t="s">
        <v>59</v>
      </c>
      <c r="E1462" t="s">
        <v>94</v>
      </c>
      <c r="F1462" t="s">
        <v>22</v>
      </c>
      <c r="G1462" t="s">
        <v>41</v>
      </c>
      <c r="H1462" t="s">
        <v>42</v>
      </c>
      <c r="I1462" t="s">
        <v>25</v>
      </c>
      <c r="J1462" t="s">
        <v>26</v>
      </c>
      <c r="K1462" t="s">
        <v>61</v>
      </c>
      <c r="L1462" t="s">
        <v>28</v>
      </c>
      <c r="M1462" s="4">
        <v>19</v>
      </c>
      <c r="N1462" s="4">
        <v>7</v>
      </c>
      <c r="O1462" t="s">
        <v>36</v>
      </c>
      <c r="P1462" t="s">
        <v>29</v>
      </c>
      <c r="Q1462" s="4">
        <v>464492</v>
      </c>
      <c r="R1462" s="4">
        <v>333089</v>
      </c>
      <c r="S1462" s="4">
        <f>Table1[[#This Row],[Service_Revenue]]-Table1[[#This Row],[Service_Cost]]</f>
        <v>131403</v>
      </c>
      <c r="T1462" s="4">
        <v>2</v>
      </c>
      <c r="U1462" s="4">
        <f>IF(AND(Table1[[#This Row],[Rework_Flag]]="Yes",Table1[[#This Row],[Warranty_Claim]]="No"),Table1[[#This Row],[Service_Revenue]],0)</f>
        <v>0</v>
      </c>
      <c r="V1462" s="4">
        <f>IF(Table1[[#This Row],[Warranty_Claim]]="Yes",1,0)</f>
        <v>1</v>
      </c>
      <c r="W1462" s="4">
        <f>IF(Table1[[#This Row],[Rework_Flag]]="No",1,0)</f>
        <v>1</v>
      </c>
      <c r="X1462" s="4">
        <f>IF(Table1[[#This Row],[Rework_Flag]]="Yes",1,0)</f>
        <v>0</v>
      </c>
      <c r="Y1462" s="4">
        <v>1</v>
      </c>
      <c r="Z1462" s="4" t="str">
        <f>IF(Table1[[#This Row],[TAT_Days]]&gt;Table1[[#This Row],[SLA_TAT]],"Yes","No")</f>
        <v>Yes</v>
      </c>
      <c r="AA1462" s="4" t="str" cm="1">
        <f t="array" ref="AA1462">_xlfn.IFS(Table1[[#This Row],[Customer_Satisfaction]]&lt;=2,"Poor",Table1[[#This Row],[Customer_Satisfaction]]=3,"Neutral",Table1[[#This Row],[Customer_Satisfaction]]=4,"Good",Table1[[#This Row],[Customer_Satisfaction]]=5,"Good")</f>
        <v>Poor</v>
      </c>
    </row>
    <row r="1463" spans="1:27" x14ac:dyDescent="0.35">
      <c r="A1463">
        <v>21461</v>
      </c>
      <c r="B1463" s="1">
        <v>45319</v>
      </c>
      <c r="C1463" t="s">
        <v>50</v>
      </c>
      <c r="D1463" t="s">
        <v>80</v>
      </c>
      <c r="E1463" t="s">
        <v>121</v>
      </c>
      <c r="F1463" t="s">
        <v>40</v>
      </c>
      <c r="G1463" t="s">
        <v>54</v>
      </c>
      <c r="H1463" t="s">
        <v>42</v>
      </c>
      <c r="I1463" t="s">
        <v>25</v>
      </c>
      <c r="J1463" t="s">
        <v>26</v>
      </c>
      <c r="K1463" t="s">
        <v>61</v>
      </c>
      <c r="L1463" t="s">
        <v>28</v>
      </c>
      <c r="M1463" s="4">
        <v>12</v>
      </c>
      <c r="N1463" s="4">
        <v>7</v>
      </c>
      <c r="O1463" t="s">
        <v>29</v>
      </c>
      <c r="P1463" t="s">
        <v>29</v>
      </c>
      <c r="Q1463" s="4">
        <v>202674</v>
      </c>
      <c r="R1463" s="4">
        <v>130546</v>
      </c>
      <c r="S1463" s="4">
        <f>Table1[[#This Row],[Service_Revenue]]-Table1[[#This Row],[Service_Cost]]</f>
        <v>72128</v>
      </c>
      <c r="T1463" s="4">
        <v>2</v>
      </c>
      <c r="U1463" s="4">
        <f>IF(AND(Table1[[#This Row],[Rework_Flag]]="Yes",Table1[[#This Row],[Warranty_Claim]]="No"),Table1[[#This Row],[Service_Revenue]],0)</f>
        <v>0</v>
      </c>
      <c r="V1463" s="4">
        <f>IF(Table1[[#This Row],[Warranty_Claim]]="Yes",1,0)</f>
        <v>1</v>
      </c>
      <c r="W1463" s="4">
        <f>IF(Table1[[#This Row],[Rework_Flag]]="No",1,0)</f>
        <v>0</v>
      </c>
      <c r="X1463" s="4">
        <f>IF(Table1[[#This Row],[Rework_Flag]]="Yes",1,0)</f>
        <v>1</v>
      </c>
      <c r="Y1463" s="4">
        <v>1</v>
      </c>
      <c r="Z1463" s="4" t="str">
        <f>IF(Table1[[#This Row],[TAT_Days]]&gt;Table1[[#This Row],[SLA_TAT]],"Yes","No")</f>
        <v>Yes</v>
      </c>
      <c r="AA1463" s="4" t="str" cm="1">
        <f t="array" ref="AA1463">_xlfn.IFS(Table1[[#This Row],[Customer_Satisfaction]]&lt;=2,"Poor",Table1[[#This Row],[Customer_Satisfaction]]=3,"Neutral",Table1[[#This Row],[Customer_Satisfaction]]=4,"Good",Table1[[#This Row],[Customer_Satisfaction]]=5,"Good")</f>
        <v>Poor</v>
      </c>
    </row>
    <row r="1464" spans="1:27" x14ac:dyDescent="0.35">
      <c r="A1464">
        <v>21462</v>
      </c>
      <c r="B1464" s="1">
        <v>45416</v>
      </c>
      <c r="C1464" t="s">
        <v>30</v>
      </c>
      <c r="D1464" t="s">
        <v>59</v>
      </c>
      <c r="E1464" t="s">
        <v>66</v>
      </c>
      <c r="F1464" t="s">
        <v>53</v>
      </c>
      <c r="G1464" t="s">
        <v>54</v>
      </c>
      <c r="H1464" t="s">
        <v>42</v>
      </c>
      <c r="I1464" t="s">
        <v>55</v>
      </c>
      <c r="J1464" t="s">
        <v>67</v>
      </c>
      <c r="K1464" t="s">
        <v>61</v>
      </c>
      <c r="L1464" t="s">
        <v>28</v>
      </c>
      <c r="M1464" s="4">
        <v>12</v>
      </c>
      <c r="N1464" s="4">
        <v>7</v>
      </c>
      <c r="O1464" t="s">
        <v>29</v>
      </c>
      <c r="P1464" t="s">
        <v>29</v>
      </c>
      <c r="Q1464" s="4">
        <v>539150</v>
      </c>
      <c r="R1464" s="4">
        <v>270967</v>
      </c>
      <c r="S1464" s="4">
        <f>Table1[[#This Row],[Service_Revenue]]-Table1[[#This Row],[Service_Cost]]</f>
        <v>268183</v>
      </c>
      <c r="T1464" s="4">
        <v>2</v>
      </c>
      <c r="U1464" s="4">
        <f>IF(AND(Table1[[#This Row],[Rework_Flag]]="Yes",Table1[[#This Row],[Warranty_Claim]]="No"),Table1[[#This Row],[Service_Revenue]],0)</f>
        <v>0</v>
      </c>
      <c r="V1464" s="4">
        <f>IF(Table1[[#This Row],[Warranty_Claim]]="Yes",1,0)</f>
        <v>1</v>
      </c>
      <c r="W1464" s="4">
        <f>IF(Table1[[#This Row],[Rework_Flag]]="No",1,0)</f>
        <v>0</v>
      </c>
      <c r="X1464" s="4">
        <f>IF(Table1[[#This Row],[Rework_Flag]]="Yes",1,0)</f>
        <v>1</v>
      </c>
      <c r="Y1464" s="4">
        <v>1</v>
      </c>
      <c r="Z1464" s="4" t="str">
        <f>IF(Table1[[#This Row],[TAT_Days]]&gt;Table1[[#This Row],[SLA_TAT]],"Yes","No")</f>
        <v>Yes</v>
      </c>
      <c r="AA1464" s="4" t="str" cm="1">
        <f t="array" ref="AA1464">_xlfn.IFS(Table1[[#This Row],[Customer_Satisfaction]]&lt;=2,"Poor",Table1[[#This Row],[Customer_Satisfaction]]=3,"Neutral",Table1[[#This Row],[Customer_Satisfaction]]=4,"Good",Table1[[#This Row],[Customer_Satisfaction]]=5,"Good")</f>
        <v>Poor</v>
      </c>
    </row>
    <row r="1465" spans="1:27" x14ac:dyDescent="0.35">
      <c r="A1465">
        <v>21463</v>
      </c>
      <c r="B1465" s="1">
        <v>45305</v>
      </c>
      <c r="C1465" t="s">
        <v>37</v>
      </c>
      <c r="D1465" t="s">
        <v>70</v>
      </c>
      <c r="E1465" t="s">
        <v>91</v>
      </c>
      <c r="F1465" t="s">
        <v>40</v>
      </c>
      <c r="G1465" t="s">
        <v>23</v>
      </c>
      <c r="H1465" t="s">
        <v>24</v>
      </c>
      <c r="I1465" t="s">
        <v>25</v>
      </c>
      <c r="J1465" t="s">
        <v>35</v>
      </c>
      <c r="K1465" t="s">
        <v>61</v>
      </c>
      <c r="L1465" t="s">
        <v>28</v>
      </c>
      <c r="M1465" s="4">
        <v>14</v>
      </c>
      <c r="N1465" s="4">
        <v>7</v>
      </c>
      <c r="O1465" t="s">
        <v>36</v>
      </c>
      <c r="P1465" t="s">
        <v>36</v>
      </c>
      <c r="Q1465" s="4">
        <v>546366</v>
      </c>
      <c r="R1465" s="4">
        <v>293224</v>
      </c>
      <c r="S1465" s="4">
        <f>Table1[[#This Row],[Service_Revenue]]-Table1[[#This Row],[Service_Cost]]</f>
        <v>253142</v>
      </c>
      <c r="T1465" s="4">
        <v>3</v>
      </c>
      <c r="U1465" s="4">
        <f>IF(AND(Table1[[#This Row],[Rework_Flag]]="Yes",Table1[[#This Row],[Warranty_Claim]]="No"),Table1[[#This Row],[Service_Revenue]],0)</f>
        <v>0</v>
      </c>
      <c r="V1465" s="4">
        <f>IF(Table1[[#This Row],[Warranty_Claim]]="Yes",1,0)</f>
        <v>0</v>
      </c>
      <c r="W1465" s="4">
        <f>IF(Table1[[#This Row],[Rework_Flag]]="No",1,0)</f>
        <v>1</v>
      </c>
      <c r="X1465" s="4">
        <f>IF(Table1[[#This Row],[Rework_Flag]]="Yes",1,0)</f>
        <v>0</v>
      </c>
      <c r="Y1465" s="4">
        <v>1</v>
      </c>
      <c r="Z1465" s="4" t="str">
        <f>IF(Table1[[#This Row],[TAT_Days]]&gt;Table1[[#This Row],[SLA_TAT]],"Yes","No")</f>
        <v>Yes</v>
      </c>
      <c r="AA1465" s="4" t="str" cm="1">
        <f t="array" ref="AA1465">_xlfn.IFS(Table1[[#This Row],[Customer_Satisfaction]]&lt;=2,"Poor",Table1[[#This Row],[Customer_Satisfaction]]=3,"Neutral",Table1[[#This Row],[Customer_Satisfaction]]=4,"Good",Table1[[#This Row],[Customer_Satisfaction]]=5,"Good")</f>
        <v>Neutral</v>
      </c>
    </row>
    <row r="1466" spans="1:27" x14ac:dyDescent="0.35">
      <c r="A1466">
        <v>21464</v>
      </c>
      <c r="B1466" s="1">
        <v>45330</v>
      </c>
      <c r="C1466" t="s">
        <v>50</v>
      </c>
      <c r="D1466" t="s">
        <v>80</v>
      </c>
      <c r="E1466" t="s">
        <v>118</v>
      </c>
      <c r="F1466" t="s">
        <v>40</v>
      </c>
      <c r="G1466" t="s">
        <v>74</v>
      </c>
      <c r="H1466" t="s">
        <v>34</v>
      </c>
      <c r="I1466" t="s">
        <v>25</v>
      </c>
      <c r="J1466" t="s">
        <v>43</v>
      </c>
      <c r="K1466" t="s">
        <v>27</v>
      </c>
      <c r="L1466" t="s">
        <v>49</v>
      </c>
      <c r="M1466" s="4">
        <v>3</v>
      </c>
      <c r="N1466" s="4">
        <v>7</v>
      </c>
      <c r="O1466" t="s">
        <v>36</v>
      </c>
      <c r="P1466" t="s">
        <v>36</v>
      </c>
      <c r="Q1466" s="4">
        <v>522678</v>
      </c>
      <c r="R1466" s="4">
        <v>397541</v>
      </c>
      <c r="S1466" s="4">
        <f>Table1[[#This Row],[Service_Revenue]]-Table1[[#This Row],[Service_Cost]]</f>
        <v>125137</v>
      </c>
      <c r="T1466" s="4">
        <v>5</v>
      </c>
      <c r="U1466" s="4">
        <f>IF(AND(Table1[[#This Row],[Rework_Flag]]="Yes",Table1[[#This Row],[Warranty_Claim]]="No"),Table1[[#This Row],[Service_Revenue]],0)</f>
        <v>0</v>
      </c>
      <c r="V1466" s="4">
        <f>IF(Table1[[#This Row],[Warranty_Claim]]="Yes",1,0)</f>
        <v>0</v>
      </c>
      <c r="W1466" s="4">
        <f>IF(Table1[[#This Row],[Rework_Flag]]="No",1,0)</f>
        <v>1</v>
      </c>
      <c r="X1466" s="4">
        <f>IF(Table1[[#This Row],[Rework_Flag]]="Yes",1,0)</f>
        <v>0</v>
      </c>
      <c r="Y1466" s="4">
        <v>1</v>
      </c>
      <c r="Z1466" s="4" t="str">
        <f>IF(Table1[[#This Row],[TAT_Days]]&gt;Table1[[#This Row],[SLA_TAT]],"Yes","No")</f>
        <v>No</v>
      </c>
      <c r="AA1466" s="4" t="str" cm="1">
        <f t="array" ref="AA1466">_xlfn.IFS(Table1[[#This Row],[Customer_Satisfaction]]&lt;=2,"Poor",Table1[[#This Row],[Customer_Satisfaction]]=3,"Neutral",Table1[[#This Row],[Customer_Satisfaction]]=4,"Good",Table1[[#This Row],[Customer_Satisfaction]]=5,"Good")</f>
        <v>Good</v>
      </c>
    </row>
    <row r="1467" spans="1:27" x14ac:dyDescent="0.35">
      <c r="A1467">
        <v>21465</v>
      </c>
      <c r="B1467" s="1">
        <v>45312</v>
      </c>
      <c r="C1467" t="s">
        <v>37</v>
      </c>
      <c r="D1467" t="s">
        <v>64</v>
      </c>
      <c r="E1467" t="s">
        <v>72</v>
      </c>
      <c r="F1467" t="s">
        <v>53</v>
      </c>
      <c r="G1467" t="s">
        <v>74</v>
      </c>
      <c r="H1467" t="s">
        <v>34</v>
      </c>
      <c r="I1467" t="s">
        <v>25</v>
      </c>
      <c r="J1467" t="s">
        <v>43</v>
      </c>
      <c r="K1467" t="s">
        <v>27</v>
      </c>
      <c r="L1467" t="s">
        <v>28</v>
      </c>
      <c r="M1467" s="4">
        <v>25</v>
      </c>
      <c r="N1467" s="4">
        <v>7</v>
      </c>
      <c r="O1467" t="s">
        <v>29</v>
      </c>
      <c r="P1467" t="s">
        <v>29</v>
      </c>
      <c r="Q1467" s="4">
        <v>549509</v>
      </c>
      <c r="R1467" s="4">
        <v>371188</v>
      </c>
      <c r="S1467" s="4">
        <f>Table1[[#This Row],[Service_Revenue]]-Table1[[#This Row],[Service_Cost]]</f>
        <v>178321</v>
      </c>
      <c r="T1467" s="4">
        <v>1</v>
      </c>
      <c r="U1467" s="4">
        <f>IF(AND(Table1[[#This Row],[Rework_Flag]]="Yes",Table1[[#This Row],[Warranty_Claim]]="No"),Table1[[#This Row],[Service_Revenue]],0)</f>
        <v>0</v>
      </c>
      <c r="V1467" s="4">
        <f>IF(Table1[[#This Row],[Warranty_Claim]]="Yes",1,0)</f>
        <v>1</v>
      </c>
      <c r="W1467" s="4">
        <f>IF(Table1[[#This Row],[Rework_Flag]]="No",1,0)</f>
        <v>0</v>
      </c>
      <c r="X1467" s="4">
        <f>IF(Table1[[#This Row],[Rework_Flag]]="Yes",1,0)</f>
        <v>1</v>
      </c>
      <c r="Y1467" s="4">
        <v>1</v>
      </c>
      <c r="Z1467" s="4" t="str">
        <f>IF(Table1[[#This Row],[TAT_Days]]&gt;Table1[[#This Row],[SLA_TAT]],"Yes","No")</f>
        <v>Yes</v>
      </c>
      <c r="AA1467" s="4" t="str" cm="1">
        <f t="array" ref="AA1467">_xlfn.IFS(Table1[[#This Row],[Customer_Satisfaction]]&lt;=2,"Poor",Table1[[#This Row],[Customer_Satisfaction]]=3,"Neutral",Table1[[#This Row],[Customer_Satisfaction]]=4,"Good",Table1[[#This Row],[Customer_Satisfaction]]=5,"Good")</f>
        <v>Poor</v>
      </c>
    </row>
    <row r="1468" spans="1:27" x14ac:dyDescent="0.35">
      <c r="A1468">
        <v>21466</v>
      </c>
      <c r="B1468" s="1">
        <v>45296</v>
      </c>
      <c r="C1468" t="s">
        <v>50</v>
      </c>
      <c r="D1468" t="s">
        <v>51</v>
      </c>
      <c r="E1468" t="s">
        <v>52</v>
      </c>
      <c r="F1468" t="s">
        <v>22</v>
      </c>
      <c r="G1468" t="s">
        <v>63</v>
      </c>
      <c r="H1468" t="s">
        <v>24</v>
      </c>
      <c r="I1468" t="s">
        <v>55</v>
      </c>
      <c r="J1468" t="s">
        <v>26</v>
      </c>
      <c r="K1468" t="s">
        <v>27</v>
      </c>
      <c r="L1468" t="s">
        <v>49</v>
      </c>
      <c r="M1468" s="4">
        <v>5</v>
      </c>
      <c r="N1468" s="4">
        <v>7</v>
      </c>
      <c r="O1468" t="s">
        <v>36</v>
      </c>
      <c r="P1468" t="s">
        <v>36</v>
      </c>
      <c r="Q1468" s="4">
        <v>561739</v>
      </c>
      <c r="R1468" s="4">
        <v>463197</v>
      </c>
      <c r="S1468" s="4">
        <f>Table1[[#This Row],[Service_Revenue]]-Table1[[#This Row],[Service_Cost]]</f>
        <v>98542</v>
      </c>
      <c r="T1468" s="4">
        <v>4</v>
      </c>
      <c r="U1468" s="4">
        <f>IF(AND(Table1[[#This Row],[Rework_Flag]]="Yes",Table1[[#This Row],[Warranty_Claim]]="No"),Table1[[#This Row],[Service_Revenue]],0)</f>
        <v>0</v>
      </c>
      <c r="V1468" s="4">
        <f>IF(Table1[[#This Row],[Warranty_Claim]]="Yes",1,0)</f>
        <v>0</v>
      </c>
      <c r="W1468" s="4">
        <f>IF(Table1[[#This Row],[Rework_Flag]]="No",1,0)</f>
        <v>1</v>
      </c>
      <c r="X1468" s="4">
        <f>IF(Table1[[#This Row],[Rework_Flag]]="Yes",1,0)</f>
        <v>0</v>
      </c>
      <c r="Y1468" s="4">
        <v>1</v>
      </c>
      <c r="Z1468" s="4" t="str">
        <f>IF(Table1[[#This Row],[TAT_Days]]&gt;Table1[[#This Row],[SLA_TAT]],"Yes","No")</f>
        <v>No</v>
      </c>
      <c r="AA1468" s="4" t="str" cm="1">
        <f t="array" ref="AA1468">_xlfn.IFS(Table1[[#This Row],[Customer_Satisfaction]]&lt;=2,"Poor",Table1[[#This Row],[Customer_Satisfaction]]=3,"Neutral",Table1[[#This Row],[Customer_Satisfaction]]=4,"Good",Table1[[#This Row],[Customer_Satisfaction]]=5,"Good")</f>
        <v>Good</v>
      </c>
    </row>
    <row r="1469" spans="1:27" x14ac:dyDescent="0.35">
      <c r="A1469">
        <v>21467</v>
      </c>
      <c r="B1469" s="1">
        <v>45452</v>
      </c>
      <c r="C1469" t="s">
        <v>37</v>
      </c>
      <c r="D1469" t="s">
        <v>38</v>
      </c>
      <c r="E1469" t="s">
        <v>93</v>
      </c>
      <c r="F1469" t="s">
        <v>40</v>
      </c>
      <c r="G1469" t="s">
        <v>74</v>
      </c>
      <c r="H1469" t="s">
        <v>34</v>
      </c>
      <c r="I1469" t="s">
        <v>55</v>
      </c>
      <c r="J1469" t="s">
        <v>43</v>
      </c>
      <c r="K1469" t="s">
        <v>44</v>
      </c>
      <c r="L1469" t="s">
        <v>49</v>
      </c>
      <c r="M1469" s="4">
        <v>8</v>
      </c>
      <c r="N1469" s="4">
        <v>7</v>
      </c>
      <c r="O1469" t="s">
        <v>36</v>
      </c>
      <c r="P1469" t="s">
        <v>29</v>
      </c>
      <c r="Q1469" s="4">
        <v>194644</v>
      </c>
      <c r="R1469" s="4">
        <v>120552</v>
      </c>
      <c r="S1469" s="4">
        <f>Table1[[#This Row],[Service_Revenue]]-Table1[[#This Row],[Service_Cost]]</f>
        <v>74092</v>
      </c>
      <c r="T1469" s="4">
        <v>4</v>
      </c>
      <c r="U1469" s="4">
        <f>IF(AND(Table1[[#This Row],[Rework_Flag]]="Yes",Table1[[#This Row],[Warranty_Claim]]="No"),Table1[[#This Row],[Service_Revenue]],0)</f>
        <v>0</v>
      </c>
      <c r="V1469" s="4">
        <f>IF(Table1[[#This Row],[Warranty_Claim]]="Yes",1,0)</f>
        <v>1</v>
      </c>
      <c r="W1469" s="4">
        <f>IF(Table1[[#This Row],[Rework_Flag]]="No",1,0)</f>
        <v>1</v>
      </c>
      <c r="X1469" s="4">
        <f>IF(Table1[[#This Row],[Rework_Flag]]="Yes",1,0)</f>
        <v>0</v>
      </c>
      <c r="Y1469" s="4">
        <v>1</v>
      </c>
      <c r="Z1469" s="4" t="str">
        <f>IF(Table1[[#This Row],[TAT_Days]]&gt;Table1[[#This Row],[SLA_TAT]],"Yes","No")</f>
        <v>Yes</v>
      </c>
      <c r="AA1469" s="4" t="str" cm="1">
        <f t="array" ref="AA1469">_xlfn.IFS(Table1[[#This Row],[Customer_Satisfaction]]&lt;=2,"Poor",Table1[[#This Row],[Customer_Satisfaction]]=3,"Neutral",Table1[[#This Row],[Customer_Satisfaction]]=4,"Good",Table1[[#This Row],[Customer_Satisfaction]]=5,"Good")</f>
        <v>Good</v>
      </c>
    </row>
    <row r="1470" spans="1:27" x14ac:dyDescent="0.35">
      <c r="A1470">
        <v>21468</v>
      </c>
      <c r="B1470" s="1">
        <v>45355</v>
      </c>
      <c r="C1470" t="s">
        <v>19</v>
      </c>
      <c r="D1470" t="s">
        <v>45</v>
      </c>
      <c r="E1470" t="s">
        <v>99</v>
      </c>
      <c r="F1470" t="s">
        <v>22</v>
      </c>
      <c r="G1470" t="s">
        <v>74</v>
      </c>
      <c r="H1470" t="s">
        <v>34</v>
      </c>
      <c r="I1470" t="s">
        <v>55</v>
      </c>
      <c r="J1470" t="s">
        <v>43</v>
      </c>
      <c r="K1470" t="s">
        <v>61</v>
      </c>
      <c r="L1470" t="s">
        <v>28</v>
      </c>
      <c r="M1470" s="4">
        <v>15</v>
      </c>
      <c r="N1470" s="4">
        <v>7</v>
      </c>
      <c r="O1470" t="s">
        <v>36</v>
      </c>
      <c r="P1470" t="s">
        <v>36</v>
      </c>
      <c r="Q1470" s="4">
        <v>526276</v>
      </c>
      <c r="R1470" s="4">
        <v>276052</v>
      </c>
      <c r="S1470" s="4">
        <f>Table1[[#This Row],[Service_Revenue]]-Table1[[#This Row],[Service_Cost]]</f>
        <v>250224</v>
      </c>
      <c r="T1470" s="4">
        <v>2</v>
      </c>
      <c r="U1470" s="4">
        <f>IF(AND(Table1[[#This Row],[Rework_Flag]]="Yes",Table1[[#This Row],[Warranty_Claim]]="No"),Table1[[#This Row],[Service_Revenue]],0)</f>
        <v>0</v>
      </c>
      <c r="V1470" s="4">
        <f>IF(Table1[[#This Row],[Warranty_Claim]]="Yes",1,0)</f>
        <v>0</v>
      </c>
      <c r="W1470" s="4">
        <f>IF(Table1[[#This Row],[Rework_Flag]]="No",1,0)</f>
        <v>1</v>
      </c>
      <c r="X1470" s="4">
        <f>IF(Table1[[#This Row],[Rework_Flag]]="Yes",1,0)</f>
        <v>0</v>
      </c>
      <c r="Y1470" s="4">
        <v>1</v>
      </c>
      <c r="Z1470" s="4" t="str">
        <f>IF(Table1[[#This Row],[TAT_Days]]&gt;Table1[[#This Row],[SLA_TAT]],"Yes","No")</f>
        <v>Yes</v>
      </c>
      <c r="AA1470" s="4" t="str" cm="1">
        <f t="array" ref="AA1470">_xlfn.IFS(Table1[[#This Row],[Customer_Satisfaction]]&lt;=2,"Poor",Table1[[#This Row],[Customer_Satisfaction]]=3,"Neutral",Table1[[#This Row],[Customer_Satisfaction]]=4,"Good",Table1[[#This Row],[Customer_Satisfaction]]=5,"Good")</f>
        <v>Poor</v>
      </c>
    </row>
    <row r="1471" spans="1:27" x14ac:dyDescent="0.35">
      <c r="A1471">
        <v>21469</v>
      </c>
      <c r="B1471" s="1">
        <v>45327</v>
      </c>
      <c r="C1471" t="s">
        <v>50</v>
      </c>
      <c r="D1471" t="s">
        <v>56</v>
      </c>
      <c r="E1471" t="s">
        <v>77</v>
      </c>
      <c r="F1471" t="s">
        <v>53</v>
      </c>
      <c r="G1471" t="s">
        <v>23</v>
      </c>
      <c r="H1471" t="s">
        <v>24</v>
      </c>
      <c r="I1471" t="s">
        <v>55</v>
      </c>
      <c r="J1471" t="s">
        <v>35</v>
      </c>
      <c r="K1471" t="s">
        <v>27</v>
      </c>
      <c r="L1471" t="s">
        <v>28</v>
      </c>
      <c r="M1471" s="4">
        <v>23</v>
      </c>
      <c r="N1471" s="4">
        <v>7</v>
      </c>
      <c r="O1471" t="s">
        <v>29</v>
      </c>
      <c r="P1471" t="s">
        <v>36</v>
      </c>
      <c r="Q1471" s="4">
        <v>342134</v>
      </c>
      <c r="R1471" s="4">
        <v>251959</v>
      </c>
      <c r="S1471" s="4">
        <f>Table1[[#This Row],[Service_Revenue]]-Table1[[#This Row],[Service_Cost]]</f>
        <v>90175</v>
      </c>
      <c r="T1471" s="4">
        <v>1</v>
      </c>
      <c r="U1471" s="4">
        <f>IF(AND(Table1[[#This Row],[Rework_Flag]]="Yes",Table1[[#This Row],[Warranty_Claim]]="No"),Table1[[#This Row],[Service_Revenue]],0)</f>
        <v>342134</v>
      </c>
      <c r="V1471" s="4">
        <f>IF(Table1[[#This Row],[Warranty_Claim]]="Yes",1,0)</f>
        <v>0</v>
      </c>
      <c r="W1471" s="4">
        <f>IF(Table1[[#This Row],[Rework_Flag]]="No",1,0)</f>
        <v>0</v>
      </c>
      <c r="X1471" s="4">
        <f>IF(Table1[[#This Row],[Rework_Flag]]="Yes",1,0)</f>
        <v>1</v>
      </c>
      <c r="Y1471" s="4">
        <v>1</v>
      </c>
      <c r="Z1471" s="4" t="str">
        <f>IF(Table1[[#This Row],[TAT_Days]]&gt;Table1[[#This Row],[SLA_TAT]],"Yes","No")</f>
        <v>Yes</v>
      </c>
      <c r="AA1471" s="4" t="str" cm="1">
        <f t="array" ref="AA1471">_xlfn.IFS(Table1[[#This Row],[Customer_Satisfaction]]&lt;=2,"Poor",Table1[[#This Row],[Customer_Satisfaction]]=3,"Neutral",Table1[[#This Row],[Customer_Satisfaction]]=4,"Good",Table1[[#This Row],[Customer_Satisfaction]]=5,"Good")</f>
        <v>Poor</v>
      </c>
    </row>
    <row r="1472" spans="1:27" x14ac:dyDescent="0.35">
      <c r="A1472">
        <v>21470</v>
      </c>
      <c r="B1472" s="1">
        <v>45341</v>
      </c>
      <c r="C1472" t="s">
        <v>30</v>
      </c>
      <c r="D1472" t="s">
        <v>31</v>
      </c>
      <c r="E1472" t="s">
        <v>32</v>
      </c>
      <c r="F1472" t="s">
        <v>22</v>
      </c>
      <c r="G1472" t="s">
        <v>74</v>
      </c>
      <c r="H1472" t="s">
        <v>34</v>
      </c>
      <c r="I1472" t="s">
        <v>25</v>
      </c>
      <c r="J1472" t="s">
        <v>43</v>
      </c>
      <c r="K1472" t="s">
        <v>61</v>
      </c>
      <c r="L1472" t="s">
        <v>28</v>
      </c>
      <c r="M1472" s="4">
        <v>19</v>
      </c>
      <c r="N1472" s="4">
        <v>7</v>
      </c>
      <c r="O1472" t="s">
        <v>29</v>
      </c>
      <c r="P1472" t="s">
        <v>36</v>
      </c>
      <c r="Q1472" s="4">
        <v>226302</v>
      </c>
      <c r="R1472" s="4">
        <v>173213</v>
      </c>
      <c r="S1472" s="4">
        <f>Table1[[#This Row],[Service_Revenue]]-Table1[[#This Row],[Service_Cost]]</f>
        <v>53089</v>
      </c>
      <c r="T1472" s="4">
        <v>1</v>
      </c>
      <c r="U1472" s="4">
        <f>IF(AND(Table1[[#This Row],[Rework_Flag]]="Yes",Table1[[#This Row],[Warranty_Claim]]="No"),Table1[[#This Row],[Service_Revenue]],0)</f>
        <v>226302</v>
      </c>
      <c r="V1472" s="4">
        <f>IF(Table1[[#This Row],[Warranty_Claim]]="Yes",1,0)</f>
        <v>0</v>
      </c>
      <c r="W1472" s="4">
        <f>IF(Table1[[#This Row],[Rework_Flag]]="No",1,0)</f>
        <v>0</v>
      </c>
      <c r="X1472" s="4">
        <f>IF(Table1[[#This Row],[Rework_Flag]]="Yes",1,0)</f>
        <v>1</v>
      </c>
      <c r="Y1472" s="4">
        <v>1</v>
      </c>
      <c r="Z1472" s="4" t="str">
        <f>IF(Table1[[#This Row],[TAT_Days]]&gt;Table1[[#This Row],[SLA_TAT]],"Yes","No")</f>
        <v>Yes</v>
      </c>
      <c r="AA1472" s="4" t="str" cm="1">
        <f t="array" ref="AA1472">_xlfn.IFS(Table1[[#This Row],[Customer_Satisfaction]]&lt;=2,"Poor",Table1[[#This Row],[Customer_Satisfaction]]=3,"Neutral",Table1[[#This Row],[Customer_Satisfaction]]=4,"Good",Table1[[#This Row],[Customer_Satisfaction]]=5,"Good")</f>
        <v>Poor</v>
      </c>
    </row>
    <row r="1473" spans="1:27" x14ac:dyDescent="0.35">
      <c r="A1473">
        <v>21471</v>
      </c>
      <c r="B1473" s="1">
        <v>45375</v>
      </c>
      <c r="C1473" t="s">
        <v>37</v>
      </c>
      <c r="D1473" t="s">
        <v>38</v>
      </c>
      <c r="E1473" t="s">
        <v>93</v>
      </c>
      <c r="F1473" t="s">
        <v>40</v>
      </c>
      <c r="G1473" t="s">
        <v>41</v>
      </c>
      <c r="H1473" t="s">
        <v>42</v>
      </c>
      <c r="I1473" t="s">
        <v>55</v>
      </c>
      <c r="J1473" t="s">
        <v>26</v>
      </c>
      <c r="K1473" t="s">
        <v>61</v>
      </c>
      <c r="L1473" t="s">
        <v>28</v>
      </c>
      <c r="M1473" s="4">
        <v>9</v>
      </c>
      <c r="N1473" s="4">
        <v>7</v>
      </c>
      <c r="O1473" t="s">
        <v>36</v>
      </c>
      <c r="P1473" t="s">
        <v>36</v>
      </c>
      <c r="Q1473" s="4">
        <v>318540</v>
      </c>
      <c r="R1473" s="4">
        <v>198192</v>
      </c>
      <c r="S1473" s="4">
        <f>Table1[[#This Row],[Service_Revenue]]-Table1[[#This Row],[Service_Cost]]</f>
        <v>120348</v>
      </c>
      <c r="T1473" s="4">
        <v>4</v>
      </c>
      <c r="U1473" s="4">
        <f>IF(AND(Table1[[#This Row],[Rework_Flag]]="Yes",Table1[[#This Row],[Warranty_Claim]]="No"),Table1[[#This Row],[Service_Revenue]],0)</f>
        <v>0</v>
      </c>
      <c r="V1473" s="4">
        <f>IF(Table1[[#This Row],[Warranty_Claim]]="Yes",1,0)</f>
        <v>0</v>
      </c>
      <c r="W1473" s="4">
        <f>IF(Table1[[#This Row],[Rework_Flag]]="No",1,0)</f>
        <v>1</v>
      </c>
      <c r="X1473" s="4">
        <f>IF(Table1[[#This Row],[Rework_Flag]]="Yes",1,0)</f>
        <v>0</v>
      </c>
      <c r="Y1473" s="4">
        <v>1</v>
      </c>
      <c r="Z1473" s="4" t="str">
        <f>IF(Table1[[#This Row],[TAT_Days]]&gt;Table1[[#This Row],[SLA_TAT]],"Yes","No")</f>
        <v>Yes</v>
      </c>
      <c r="AA1473" s="4" t="str" cm="1">
        <f t="array" ref="AA1473">_xlfn.IFS(Table1[[#This Row],[Customer_Satisfaction]]&lt;=2,"Poor",Table1[[#This Row],[Customer_Satisfaction]]=3,"Neutral",Table1[[#This Row],[Customer_Satisfaction]]=4,"Good",Table1[[#This Row],[Customer_Satisfaction]]=5,"Good")</f>
        <v>Good</v>
      </c>
    </row>
    <row r="1474" spans="1:27" x14ac:dyDescent="0.35">
      <c r="A1474">
        <v>21472</v>
      </c>
      <c r="B1474" s="1">
        <v>45292</v>
      </c>
      <c r="C1474" t="s">
        <v>19</v>
      </c>
      <c r="D1474" t="s">
        <v>96</v>
      </c>
      <c r="E1474" t="s">
        <v>97</v>
      </c>
      <c r="F1474" t="s">
        <v>40</v>
      </c>
      <c r="G1474" t="s">
        <v>33</v>
      </c>
      <c r="H1474" t="s">
        <v>34</v>
      </c>
      <c r="I1474" t="s">
        <v>55</v>
      </c>
      <c r="J1474" t="s">
        <v>43</v>
      </c>
      <c r="K1474" t="s">
        <v>61</v>
      </c>
      <c r="L1474" t="s">
        <v>28</v>
      </c>
      <c r="M1474" s="4">
        <v>3</v>
      </c>
      <c r="N1474" s="4">
        <v>7</v>
      </c>
      <c r="O1474" t="s">
        <v>29</v>
      </c>
      <c r="P1474" t="s">
        <v>29</v>
      </c>
      <c r="Q1474" s="4">
        <v>477201</v>
      </c>
      <c r="R1474" s="4">
        <v>349607</v>
      </c>
      <c r="S1474" s="4">
        <f>Table1[[#This Row],[Service_Revenue]]-Table1[[#This Row],[Service_Cost]]</f>
        <v>127594</v>
      </c>
      <c r="T1474" s="4">
        <v>4</v>
      </c>
      <c r="U1474" s="4">
        <f>IF(AND(Table1[[#This Row],[Rework_Flag]]="Yes",Table1[[#This Row],[Warranty_Claim]]="No"),Table1[[#This Row],[Service_Revenue]],0)</f>
        <v>0</v>
      </c>
      <c r="V1474" s="4">
        <f>IF(Table1[[#This Row],[Warranty_Claim]]="Yes",1,0)</f>
        <v>1</v>
      </c>
      <c r="W1474" s="4">
        <f>IF(Table1[[#This Row],[Rework_Flag]]="No",1,0)</f>
        <v>0</v>
      </c>
      <c r="X1474" s="4">
        <f>IF(Table1[[#This Row],[Rework_Flag]]="Yes",1,0)</f>
        <v>1</v>
      </c>
      <c r="Y1474" s="4">
        <v>1</v>
      </c>
      <c r="Z1474" s="4" t="str">
        <f>IF(Table1[[#This Row],[TAT_Days]]&gt;Table1[[#This Row],[SLA_TAT]],"Yes","No")</f>
        <v>No</v>
      </c>
      <c r="AA1474" s="4" t="str" cm="1">
        <f t="array" ref="AA1474">_xlfn.IFS(Table1[[#This Row],[Customer_Satisfaction]]&lt;=2,"Poor",Table1[[#This Row],[Customer_Satisfaction]]=3,"Neutral",Table1[[#This Row],[Customer_Satisfaction]]=4,"Good",Table1[[#This Row],[Customer_Satisfaction]]=5,"Good")</f>
        <v>Good</v>
      </c>
    </row>
    <row r="1475" spans="1:27" x14ac:dyDescent="0.35">
      <c r="A1475">
        <v>21473</v>
      </c>
      <c r="B1475" s="1">
        <v>45385</v>
      </c>
      <c r="C1475" t="s">
        <v>37</v>
      </c>
      <c r="D1475" t="s">
        <v>70</v>
      </c>
      <c r="E1475" t="s">
        <v>116</v>
      </c>
      <c r="F1475" t="s">
        <v>53</v>
      </c>
      <c r="G1475" t="s">
        <v>54</v>
      </c>
      <c r="H1475" t="s">
        <v>42</v>
      </c>
      <c r="I1475" t="s">
        <v>55</v>
      </c>
      <c r="J1475" t="s">
        <v>35</v>
      </c>
      <c r="K1475" t="s">
        <v>61</v>
      </c>
      <c r="L1475" t="s">
        <v>28</v>
      </c>
      <c r="M1475" s="4">
        <v>9</v>
      </c>
      <c r="N1475" s="4">
        <v>7</v>
      </c>
      <c r="O1475" t="s">
        <v>29</v>
      </c>
      <c r="P1475" t="s">
        <v>29</v>
      </c>
      <c r="Q1475" s="4">
        <v>261365</v>
      </c>
      <c r="R1475" s="4">
        <v>182402</v>
      </c>
      <c r="S1475" s="4">
        <f>Table1[[#This Row],[Service_Revenue]]-Table1[[#This Row],[Service_Cost]]</f>
        <v>78963</v>
      </c>
      <c r="T1475" s="4">
        <v>3</v>
      </c>
      <c r="U1475" s="4">
        <f>IF(AND(Table1[[#This Row],[Rework_Flag]]="Yes",Table1[[#This Row],[Warranty_Claim]]="No"),Table1[[#This Row],[Service_Revenue]],0)</f>
        <v>0</v>
      </c>
      <c r="V1475" s="4">
        <f>IF(Table1[[#This Row],[Warranty_Claim]]="Yes",1,0)</f>
        <v>1</v>
      </c>
      <c r="W1475" s="4">
        <f>IF(Table1[[#This Row],[Rework_Flag]]="No",1,0)</f>
        <v>0</v>
      </c>
      <c r="X1475" s="4">
        <f>IF(Table1[[#This Row],[Rework_Flag]]="Yes",1,0)</f>
        <v>1</v>
      </c>
      <c r="Y1475" s="4">
        <v>1</v>
      </c>
      <c r="Z1475" s="4" t="str">
        <f>IF(Table1[[#This Row],[TAT_Days]]&gt;Table1[[#This Row],[SLA_TAT]],"Yes","No")</f>
        <v>Yes</v>
      </c>
      <c r="AA1475" s="4" t="str" cm="1">
        <f t="array" ref="AA1475">_xlfn.IFS(Table1[[#This Row],[Customer_Satisfaction]]&lt;=2,"Poor",Table1[[#This Row],[Customer_Satisfaction]]=3,"Neutral",Table1[[#This Row],[Customer_Satisfaction]]=4,"Good",Table1[[#This Row],[Customer_Satisfaction]]=5,"Good")</f>
        <v>Neutral</v>
      </c>
    </row>
    <row r="1476" spans="1:27" x14ac:dyDescent="0.35">
      <c r="A1476">
        <v>21474</v>
      </c>
      <c r="B1476" s="1">
        <v>45342</v>
      </c>
      <c r="C1476" t="s">
        <v>50</v>
      </c>
      <c r="D1476" t="s">
        <v>56</v>
      </c>
      <c r="E1476" t="s">
        <v>77</v>
      </c>
      <c r="F1476" t="s">
        <v>53</v>
      </c>
      <c r="G1476" t="s">
        <v>63</v>
      </c>
      <c r="H1476" t="s">
        <v>24</v>
      </c>
      <c r="I1476" t="s">
        <v>55</v>
      </c>
      <c r="J1476" t="s">
        <v>67</v>
      </c>
      <c r="K1476" t="s">
        <v>61</v>
      </c>
      <c r="L1476" t="s">
        <v>49</v>
      </c>
      <c r="M1476" s="4">
        <v>3</v>
      </c>
      <c r="N1476" s="4">
        <v>7</v>
      </c>
      <c r="O1476" t="s">
        <v>36</v>
      </c>
      <c r="P1476" t="s">
        <v>36</v>
      </c>
      <c r="Q1476" s="4">
        <v>503530</v>
      </c>
      <c r="R1476" s="4">
        <v>270810</v>
      </c>
      <c r="S1476" s="4">
        <f>Table1[[#This Row],[Service_Revenue]]-Table1[[#This Row],[Service_Cost]]</f>
        <v>232720</v>
      </c>
      <c r="T1476" s="4">
        <v>5</v>
      </c>
      <c r="U1476" s="4">
        <f>IF(AND(Table1[[#This Row],[Rework_Flag]]="Yes",Table1[[#This Row],[Warranty_Claim]]="No"),Table1[[#This Row],[Service_Revenue]],0)</f>
        <v>0</v>
      </c>
      <c r="V1476" s="4">
        <f>IF(Table1[[#This Row],[Warranty_Claim]]="Yes",1,0)</f>
        <v>0</v>
      </c>
      <c r="W1476" s="4">
        <f>IF(Table1[[#This Row],[Rework_Flag]]="No",1,0)</f>
        <v>1</v>
      </c>
      <c r="X1476" s="4">
        <f>IF(Table1[[#This Row],[Rework_Flag]]="Yes",1,0)</f>
        <v>0</v>
      </c>
      <c r="Y1476" s="4">
        <v>1</v>
      </c>
      <c r="Z1476" s="4" t="str">
        <f>IF(Table1[[#This Row],[TAT_Days]]&gt;Table1[[#This Row],[SLA_TAT]],"Yes","No")</f>
        <v>No</v>
      </c>
      <c r="AA1476" s="4" t="str" cm="1">
        <f t="array" ref="AA1476">_xlfn.IFS(Table1[[#This Row],[Customer_Satisfaction]]&lt;=2,"Poor",Table1[[#This Row],[Customer_Satisfaction]]=3,"Neutral",Table1[[#This Row],[Customer_Satisfaction]]=4,"Good",Table1[[#This Row],[Customer_Satisfaction]]=5,"Good")</f>
        <v>Good</v>
      </c>
    </row>
    <row r="1477" spans="1:27" x14ac:dyDescent="0.35">
      <c r="A1477">
        <v>21475</v>
      </c>
      <c r="B1477" s="1">
        <v>45325</v>
      </c>
      <c r="C1477" t="s">
        <v>50</v>
      </c>
      <c r="D1477" t="s">
        <v>51</v>
      </c>
      <c r="E1477" t="s">
        <v>113</v>
      </c>
      <c r="F1477" t="s">
        <v>40</v>
      </c>
      <c r="G1477" t="s">
        <v>63</v>
      </c>
      <c r="H1477" t="s">
        <v>24</v>
      </c>
      <c r="I1477" t="s">
        <v>55</v>
      </c>
      <c r="J1477" t="s">
        <v>35</v>
      </c>
      <c r="K1477" t="s">
        <v>27</v>
      </c>
      <c r="L1477" t="s">
        <v>28</v>
      </c>
      <c r="M1477" s="4">
        <v>18</v>
      </c>
      <c r="N1477" s="4">
        <v>7</v>
      </c>
      <c r="O1477" t="s">
        <v>29</v>
      </c>
      <c r="P1477" t="s">
        <v>29</v>
      </c>
      <c r="Q1477" s="4">
        <v>149226</v>
      </c>
      <c r="R1477" s="4">
        <v>118964</v>
      </c>
      <c r="S1477" s="4">
        <f>Table1[[#This Row],[Service_Revenue]]-Table1[[#This Row],[Service_Cost]]</f>
        <v>30262</v>
      </c>
      <c r="T1477" s="4">
        <v>1</v>
      </c>
      <c r="U1477" s="4">
        <f>IF(AND(Table1[[#This Row],[Rework_Flag]]="Yes",Table1[[#This Row],[Warranty_Claim]]="No"),Table1[[#This Row],[Service_Revenue]],0)</f>
        <v>0</v>
      </c>
      <c r="V1477" s="4">
        <f>IF(Table1[[#This Row],[Warranty_Claim]]="Yes",1,0)</f>
        <v>1</v>
      </c>
      <c r="W1477" s="4">
        <f>IF(Table1[[#This Row],[Rework_Flag]]="No",1,0)</f>
        <v>0</v>
      </c>
      <c r="X1477" s="4">
        <f>IF(Table1[[#This Row],[Rework_Flag]]="Yes",1,0)</f>
        <v>1</v>
      </c>
      <c r="Y1477" s="4">
        <v>1</v>
      </c>
      <c r="Z1477" s="4" t="str">
        <f>IF(Table1[[#This Row],[TAT_Days]]&gt;Table1[[#This Row],[SLA_TAT]],"Yes","No")</f>
        <v>Yes</v>
      </c>
      <c r="AA1477" s="4" t="str" cm="1">
        <f t="array" ref="AA1477">_xlfn.IFS(Table1[[#This Row],[Customer_Satisfaction]]&lt;=2,"Poor",Table1[[#This Row],[Customer_Satisfaction]]=3,"Neutral",Table1[[#This Row],[Customer_Satisfaction]]=4,"Good",Table1[[#This Row],[Customer_Satisfaction]]=5,"Good")</f>
        <v>Poor</v>
      </c>
    </row>
    <row r="1478" spans="1:27" x14ac:dyDescent="0.35">
      <c r="A1478">
        <v>21476</v>
      </c>
      <c r="B1478" s="1">
        <v>45471</v>
      </c>
      <c r="C1478" t="s">
        <v>37</v>
      </c>
      <c r="D1478" t="s">
        <v>38</v>
      </c>
      <c r="E1478" t="s">
        <v>102</v>
      </c>
      <c r="F1478" t="s">
        <v>22</v>
      </c>
      <c r="G1478" t="s">
        <v>54</v>
      </c>
      <c r="H1478" t="s">
        <v>42</v>
      </c>
      <c r="I1478" t="s">
        <v>55</v>
      </c>
      <c r="J1478" t="s">
        <v>67</v>
      </c>
      <c r="K1478" t="s">
        <v>27</v>
      </c>
      <c r="L1478" t="s">
        <v>28</v>
      </c>
      <c r="M1478" s="4">
        <v>12</v>
      </c>
      <c r="N1478" s="4">
        <v>7</v>
      </c>
      <c r="O1478" t="s">
        <v>29</v>
      </c>
      <c r="P1478" t="s">
        <v>36</v>
      </c>
      <c r="Q1478" s="4">
        <v>406485</v>
      </c>
      <c r="R1478" s="4">
        <v>251060</v>
      </c>
      <c r="S1478" s="4">
        <f>Table1[[#This Row],[Service_Revenue]]-Table1[[#This Row],[Service_Cost]]</f>
        <v>155425</v>
      </c>
      <c r="T1478" s="4">
        <v>2</v>
      </c>
      <c r="U1478" s="4">
        <f>IF(AND(Table1[[#This Row],[Rework_Flag]]="Yes",Table1[[#This Row],[Warranty_Claim]]="No"),Table1[[#This Row],[Service_Revenue]],0)</f>
        <v>406485</v>
      </c>
      <c r="V1478" s="4">
        <f>IF(Table1[[#This Row],[Warranty_Claim]]="Yes",1,0)</f>
        <v>0</v>
      </c>
      <c r="W1478" s="4">
        <f>IF(Table1[[#This Row],[Rework_Flag]]="No",1,0)</f>
        <v>0</v>
      </c>
      <c r="X1478" s="4">
        <f>IF(Table1[[#This Row],[Rework_Flag]]="Yes",1,0)</f>
        <v>1</v>
      </c>
      <c r="Y1478" s="4">
        <v>1</v>
      </c>
      <c r="Z1478" s="4" t="str">
        <f>IF(Table1[[#This Row],[TAT_Days]]&gt;Table1[[#This Row],[SLA_TAT]],"Yes","No")</f>
        <v>Yes</v>
      </c>
      <c r="AA1478" s="4" t="str" cm="1">
        <f t="array" ref="AA1478">_xlfn.IFS(Table1[[#This Row],[Customer_Satisfaction]]&lt;=2,"Poor",Table1[[#This Row],[Customer_Satisfaction]]=3,"Neutral",Table1[[#This Row],[Customer_Satisfaction]]=4,"Good",Table1[[#This Row],[Customer_Satisfaction]]=5,"Good")</f>
        <v>Poor</v>
      </c>
    </row>
    <row r="1479" spans="1:27" x14ac:dyDescent="0.35">
      <c r="A1479">
        <v>21477</v>
      </c>
      <c r="B1479" s="1">
        <v>45394</v>
      </c>
      <c r="C1479" t="s">
        <v>37</v>
      </c>
      <c r="D1479" t="s">
        <v>64</v>
      </c>
      <c r="E1479" t="s">
        <v>87</v>
      </c>
      <c r="F1479" t="s">
        <v>40</v>
      </c>
      <c r="G1479" t="s">
        <v>74</v>
      </c>
      <c r="H1479" t="s">
        <v>34</v>
      </c>
      <c r="I1479" t="s">
        <v>25</v>
      </c>
      <c r="J1479" t="s">
        <v>67</v>
      </c>
      <c r="K1479" t="s">
        <v>27</v>
      </c>
      <c r="L1479" t="s">
        <v>28</v>
      </c>
      <c r="M1479" s="4">
        <v>14</v>
      </c>
      <c r="N1479" s="4">
        <v>7</v>
      </c>
      <c r="O1479" t="s">
        <v>29</v>
      </c>
      <c r="P1479" t="s">
        <v>36</v>
      </c>
      <c r="Q1479" s="4">
        <v>216239</v>
      </c>
      <c r="R1479" s="4">
        <v>139812</v>
      </c>
      <c r="S1479" s="4">
        <f>Table1[[#This Row],[Service_Revenue]]-Table1[[#This Row],[Service_Cost]]</f>
        <v>76427</v>
      </c>
      <c r="T1479" s="4">
        <v>2</v>
      </c>
      <c r="U1479" s="4">
        <f>IF(AND(Table1[[#This Row],[Rework_Flag]]="Yes",Table1[[#This Row],[Warranty_Claim]]="No"),Table1[[#This Row],[Service_Revenue]],0)</f>
        <v>216239</v>
      </c>
      <c r="V1479" s="4">
        <f>IF(Table1[[#This Row],[Warranty_Claim]]="Yes",1,0)</f>
        <v>0</v>
      </c>
      <c r="W1479" s="4">
        <f>IF(Table1[[#This Row],[Rework_Flag]]="No",1,0)</f>
        <v>0</v>
      </c>
      <c r="X1479" s="4">
        <f>IF(Table1[[#This Row],[Rework_Flag]]="Yes",1,0)</f>
        <v>1</v>
      </c>
      <c r="Y1479" s="4">
        <v>1</v>
      </c>
      <c r="Z1479" s="4" t="str">
        <f>IF(Table1[[#This Row],[TAT_Days]]&gt;Table1[[#This Row],[SLA_TAT]],"Yes","No")</f>
        <v>Yes</v>
      </c>
      <c r="AA1479" s="4" t="str" cm="1">
        <f t="array" ref="AA1479">_xlfn.IFS(Table1[[#This Row],[Customer_Satisfaction]]&lt;=2,"Poor",Table1[[#This Row],[Customer_Satisfaction]]=3,"Neutral",Table1[[#This Row],[Customer_Satisfaction]]=4,"Good",Table1[[#This Row],[Customer_Satisfaction]]=5,"Good")</f>
        <v>Poor</v>
      </c>
    </row>
    <row r="1480" spans="1:27" x14ac:dyDescent="0.35">
      <c r="A1480">
        <v>21478</v>
      </c>
      <c r="B1480" s="1">
        <v>45300</v>
      </c>
      <c r="C1480" t="s">
        <v>19</v>
      </c>
      <c r="D1480" t="s">
        <v>20</v>
      </c>
      <c r="E1480" t="s">
        <v>117</v>
      </c>
      <c r="F1480" t="s">
        <v>40</v>
      </c>
      <c r="G1480" t="s">
        <v>74</v>
      </c>
      <c r="H1480" t="s">
        <v>34</v>
      </c>
      <c r="I1480" t="s">
        <v>55</v>
      </c>
      <c r="J1480" t="s">
        <v>43</v>
      </c>
      <c r="K1480" t="s">
        <v>44</v>
      </c>
      <c r="L1480" t="s">
        <v>28</v>
      </c>
      <c r="M1480" s="4">
        <v>15</v>
      </c>
      <c r="N1480" s="4">
        <v>7</v>
      </c>
      <c r="O1480" t="s">
        <v>36</v>
      </c>
      <c r="P1480" t="s">
        <v>36</v>
      </c>
      <c r="Q1480" s="4">
        <v>487984</v>
      </c>
      <c r="R1480" s="4">
        <v>384620</v>
      </c>
      <c r="S1480" s="4">
        <f>Table1[[#This Row],[Service_Revenue]]-Table1[[#This Row],[Service_Cost]]</f>
        <v>103364</v>
      </c>
      <c r="T1480" s="4">
        <v>2</v>
      </c>
      <c r="U1480" s="4">
        <f>IF(AND(Table1[[#This Row],[Rework_Flag]]="Yes",Table1[[#This Row],[Warranty_Claim]]="No"),Table1[[#This Row],[Service_Revenue]],0)</f>
        <v>0</v>
      </c>
      <c r="V1480" s="4">
        <f>IF(Table1[[#This Row],[Warranty_Claim]]="Yes",1,0)</f>
        <v>0</v>
      </c>
      <c r="W1480" s="4">
        <f>IF(Table1[[#This Row],[Rework_Flag]]="No",1,0)</f>
        <v>1</v>
      </c>
      <c r="X1480" s="4">
        <f>IF(Table1[[#This Row],[Rework_Flag]]="Yes",1,0)</f>
        <v>0</v>
      </c>
      <c r="Y1480" s="4">
        <v>1</v>
      </c>
      <c r="Z1480" s="4" t="str">
        <f>IF(Table1[[#This Row],[TAT_Days]]&gt;Table1[[#This Row],[SLA_TAT]],"Yes","No")</f>
        <v>Yes</v>
      </c>
      <c r="AA1480" s="4" t="str" cm="1">
        <f t="array" ref="AA1480">_xlfn.IFS(Table1[[#This Row],[Customer_Satisfaction]]&lt;=2,"Poor",Table1[[#This Row],[Customer_Satisfaction]]=3,"Neutral",Table1[[#This Row],[Customer_Satisfaction]]=4,"Good",Table1[[#This Row],[Customer_Satisfaction]]=5,"Good")</f>
        <v>Poor</v>
      </c>
    </row>
    <row r="1481" spans="1:27" x14ac:dyDescent="0.35">
      <c r="A1481">
        <v>21479</v>
      </c>
      <c r="B1481" s="1">
        <v>45436</v>
      </c>
      <c r="C1481" t="s">
        <v>37</v>
      </c>
      <c r="D1481" t="s">
        <v>70</v>
      </c>
      <c r="E1481" t="s">
        <v>71</v>
      </c>
      <c r="F1481" t="s">
        <v>40</v>
      </c>
      <c r="G1481" t="s">
        <v>23</v>
      </c>
      <c r="H1481" t="s">
        <v>24</v>
      </c>
      <c r="I1481" t="s">
        <v>55</v>
      </c>
      <c r="J1481" t="s">
        <v>43</v>
      </c>
      <c r="K1481" t="s">
        <v>61</v>
      </c>
      <c r="L1481" t="s">
        <v>28</v>
      </c>
      <c r="M1481" s="4">
        <v>18</v>
      </c>
      <c r="N1481" s="4">
        <v>7</v>
      </c>
      <c r="O1481" t="s">
        <v>29</v>
      </c>
      <c r="P1481" t="s">
        <v>36</v>
      </c>
      <c r="Q1481" s="4">
        <v>318694</v>
      </c>
      <c r="R1481" s="4">
        <v>203285</v>
      </c>
      <c r="S1481" s="4">
        <f>Table1[[#This Row],[Service_Revenue]]-Table1[[#This Row],[Service_Cost]]</f>
        <v>115409</v>
      </c>
      <c r="T1481" s="4">
        <v>1</v>
      </c>
      <c r="U1481" s="4">
        <f>IF(AND(Table1[[#This Row],[Rework_Flag]]="Yes",Table1[[#This Row],[Warranty_Claim]]="No"),Table1[[#This Row],[Service_Revenue]],0)</f>
        <v>318694</v>
      </c>
      <c r="V1481" s="4">
        <f>IF(Table1[[#This Row],[Warranty_Claim]]="Yes",1,0)</f>
        <v>0</v>
      </c>
      <c r="W1481" s="4">
        <f>IF(Table1[[#This Row],[Rework_Flag]]="No",1,0)</f>
        <v>0</v>
      </c>
      <c r="X1481" s="4">
        <f>IF(Table1[[#This Row],[Rework_Flag]]="Yes",1,0)</f>
        <v>1</v>
      </c>
      <c r="Y1481" s="4">
        <v>1</v>
      </c>
      <c r="Z1481" s="4" t="str">
        <f>IF(Table1[[#This Row],[TAT_Days]]&gt;Table1[[#This Row],[SLA_TAT]],"Yes","No")</f>
        <v>Yes</v>
      </c>
      <c r="AA1481" s="4" t="str" cm="1">
        <f t="array" ref="AA1481">_xlfn.IFS(Table1[[#This Row],[Customer_Satisfaction]]&lt;=2,"Poor",Table1[[#This Row],[Customer_Satisfaction]]=3,"Neutral",Table1[[#This Row],[Customer_Satisfaction]]=4,"Good",Table1[[#This Row],[Customer_Satisfaction]]=5,"Good")</f>
        <v>Poor</v>
      </c>
    </row>
    <row r="1482" spans="1:27" x14ac:dyDescent="0.35">
      <c r="A1482">
        <v>21480</v>
      </c>
      <c r="B1482" s="1">
        <v>45416</v>
      </c>
      <c r="C1482" t="s">
        <v>19</v>
      </c>
      <c r="D1482" t="s">
        <v>45</v>
      </c>
      <c r="E1482" t="s">
        <v>76</v>
      </c>
      <c r="F1482" t="s">
        <v>53</v>
      </c>
      <c r="G1482" t="s">
        <v>54</v>
      </c>
      <c r="H1482" t="s">
        <v>42</v>
      </c>
      <c r="I1482" t="s">
        <v>55</v>
      </c>
      <c r="J1482" t="s">
        <v>58</v>
      </c>
      <c r="K1482" t="s">
        <v>61</v>
      </c>
      <c r="L1482" t="s">
        <v>28</v>
      </c>
      <c r="M1482" s="4">
        <v>10</v>
      </c>
      <c r="N1482" s="4">
        <v>7</v>
      </c>
      <c r="O1482" t="s">
        <v>29</v>
      </c>
      <c r="P1482" t="s">
        <v>29</v>
      </c>
      <c r="Q1482" s="4">
        <v>208180</v>
      </c>
      <c r="R1482" s="4">
        <v>143933</v>
      </c>
      <c r="S1482" s="4">
        <f>Table1[[#This Row],[Service_Revenue]]-Table1[[#This Row],[Service_Cost]]</f>
        <v>64247</v>
      </c>
      <c r="T1482" s="4">
        <v>2</v>
      </c>
      <c r="U1482" s="4">
        <f>IF(AND(Table1[[#This Row],[Rework_Flag]]="Yes",Table1[[#This Row],[Warranty_Claim]]="No"),Table1[[#This Row],[Service_Revenue]],0)</f>
        <v>0</v>
      </c>
      <c r="V1482" s="4">
        <f>IF(Table1[[#This Row],[Warranty_Claim]]="Yes",1,0)</f>
        <v>1</v>
      </c>
      <c r="W1482" s="4">
        <f>IF(Table1[[#This Row],[Rework_Flag]]="No",1,0)</f>
        <v>0</v>
      </c>
      <c r="X1482" s="4">
        <f>IF(Table1[[#This Row],[Rework_Flag]]="Yes",1,0)</f>
        <v>1</v>
      </c>
      <c r="Y1482" s="4">
        <v>1</v>
      </c>
      <c r="Z1482" s="4" t="str">
        <f>IF(Table1[[#This Row],[TAT_Days]]&gt;Table1[[#This Row],[SLA_TAT]],"Yes","No")</f>
        <v>Yes</v>
      </c>
      <c r="AA1482" s="4" t="str" cm="1">
        <f t="array" ref="AA1482">_xlfn.IFS(Table1[[#This Row],[Customer_Satisfaction]]&lt;=2,"Poor",Table1[[#This Row],[Customer_Satisfaction]]=3,"Neutral",Table1[[#This Row],[Customer_Satisfaction]]=4,"Good",Table1[[#This Row],[Customer_Satisfaction]]=5,"Good")</f>
        <v>Poor</v>
      </c>
    </row>
    <row r="1483" spans="1:27" x14ac:dyDescent="0.35">
      <c r="A1483">
        <v>21481</v>
      </c>
      <c r="B1483" s="1">
        <v>45461</v>
      </c>
      <c r="C1483" t="s">
        <v>30</v>
      </c>
      <c r="D1483" t="s">
        <v>83</v>
      </c>
      <c r="E1483" t="s">
        <v>95</v>
      </c>
      <c r="F1483" t="s">
        <v>22</v>
      </c>
      <c r="G1483" t="s">
        <v>41</v>
      </c>
      <c r="H1483" t="s">
        <v>42</v>
      </c>
      <c r="I1483" t="s">
        <v>55</v>
      </c>
      <c r="J1483" t="s">
        <v>43</v>
      </c>
      <c r="K1483" t="s">
        <v>61</v>
      </c>
      <c r="L1483" t="s">
        <v>49</v>
      </c>
      <c r="M1483" s="4">
        <v>23</v>
      </c>
      <c r="N1483" s="4">
        <v>7</v>
      </c>
      <c r="O1483" t="s">
        <v>29</v>
      </c>
      <c r="P1483" t="s">
        <v>29</v>
      </c>
      <c r="Q1483" s="4">
        <v>475766</v>
      </c>
      <c r="R1483" s="4">
        <v>271510</v>
      </c>
      <c r="S1483" s="4">
        <f>Table1[[#This Row],[Service_Revenue]]-Table1[[#This Row],[Service_Cost]]</f>
        <v>204256</v>
      </c>
      <c r="T1483" s="4">
        <v>1</v>
      </c>
      <c r="U1483" s="4">
        <f>IF(AND(Table1[[#This Row],[Rework_Flag]]="Yes",Table1[[#This Row],[Warranty_Claim]]="No"),Table1[[#This Row],[Service_Revenue]],0)</f>
        <v>0</v>
      </c>
      <c r="V1483" s="4">
        <f>IF(Table1[[#This Row],[Warranty_Claim]]="Yes",1,0)</f>
        <v>1</v>
      </c>
      <c r="W1483" s="4">
        <f>IF(Table1[[#This Row],[Rework_Flag]]="No",1,0)</f>
        <v>0</v>
      </c>
      <c r="X1483" s="4">
        <f>IF(Table1[[#This Row],[Rework_Flag]]="Yes",1,0)</f>
        <v>1</v>
      </c>
      <c r="Y1483" s="4">
        <v>1</v>
      </c>
      <c r="Z1483" s="4" t="str">
        <f>IF(Table1[[#This Row],[TAT_Days]]&gt;Table1[[#This Row],[SLA_TAT]],"Yes","No")</f>
        <v>Yes</v>
      </c>
      <c r="AA1483" s="4" t="str" cm="1">
        <f t="array" ref="AA1483">_xlfn.IFS(Table1[[#This Row],[Customer_Satisfaction]]&lt;=2,"Poor",Table1[[#This Row],[Customer_Satisfaction]]=3,"Neutral",Table1[[#This Row],[Customer_Satisfaction]]=4,"Good",Table1[[#This Row],[Customer_Satisfaction]]=5,"Good")</f>
        <v>Poor</v>
      </c>
    </row>
    <row r="1484" spans="1:27" x14ac:dyDescent="0.35">
      <c r="A1484">
        <v>21482</v>
      </c>
      <c r="B1484" s="1">
        <v>45463</v>
      </c>
      <c r="C1484" t="s">
        <v>30</v>
      </c>
      <c r="D1484" t="s">
        <v>83</v>
      </c>
      <c r="E1484" t="s">
        <v>119</v>
      </c>
      <c r="F1484" t="s">
        <v>40</v>
      </c>
      <c r="G1484" t="s">
        <v>33</v>
      </c>
      <c r="H1484" t="s">
        <v>34</v>
      </c>
      <c r="I1484" t="s">
        <v>25</v>
      </c>
      <c r="J1484" t="s">
        <v>43</v>
      </c>
      <c r="K1484" t="s">
        <v>44</v>
      </c>
      <c r="L1484" t="s">
        <v>49</v>
      </c>
      <c r="M1484" s="4">
        <v>4</v>
      </c>
      <c r="N1484" s="4">
        <v>7</v>
      </c>
      <c r="O1484" t="s">
        <v>36</v>
      </c>
      <c r="P1484" t="s">
        <v>36</v>
      </c>
      <c r="Q1484" s="4">
        <v>544540</v>
      </c>
      <c r="R1484" s="4">
        <v>315823</v>
      </c>
      <c r="S1484" s="4">
        <f>Table1[[#This Row],[Service_Revenue]]-Table1[[#This Row],[Service_Cost]]</f>
        <v>228717</v>
      </c>
      <c r="T1484" s="4">
        <v>5</v>
      </c>
      <c r="U1484" s="4">
        <f>IF(AND(Table1[[#This Row],[Rework_Flag]]="Yes",Table1[[#This Row],[Warranty_Claim]]="No"),Table1[[#This Row],[Service_Revenue]],0)</f>
        <v>0</v>
      </c>
      <c r="V1484" s="4">
        <f>IF(Table1[[#This Row],[Warranty_Claim]]="Yes",1,0)</f>
        <v>0</v>
      </c>
      <c r="W1484" s="4">
        <f>IF(Table1[[#This Row],[Rework_Flag]]="No",1,0)</f>
        <v>1</v>
      </c>
      <c r="X1484" s="4">
        <f>IF(Table1[[#This Row],[Rework_Flag]]="Yes",1,0)</f>
        <v>0</v>
      </c>
      <c r="Y1484" s="4">
        <v>1</v>
      </c>
      <c r="Z1484" s="4" t="str">
        <f>IF(Table1[[#This Row],[TAT_Days]]&gt;Table1[[#This Row],[SLA_TAT]],"Yes","No")</f>
        <v>No</v>
      </c>
      <c r="AA1484" s="4" t="str" cm="1">
        <f t="array" ref="AA1484">_xlfn.IFS(Table1[[#This Row],[Customer_Satisfaction]]&lt;=2,"Poor",Table1[[#This Row],[Customer_Satisfaction]]=3,"Neutral",Table1[[#This Row],[Customer_Satisfaction]]=4,"Good",Table1[[#This Row],[Customer_Satisfaction]]=5,"Good")</f>
        <v>Good</v>
      </c>
    </row>
    <row r="1485" spans="1:27" x14ac:dyDescent="0.35">
      <c r="A1485">
        <v>21483</v>
      </c>
      <c r="B1485" s="1">
        <v>45438</v>
      </c>
      <c r="C1485" t="s">
        <v>37</v>
      </c>
      <c r="D1485" t="s">
        <v>64</v>
      </c>
      <c r="E1485" t="s">
        <v>103</v>
      </c>
      <c r="F1485" t="s">
        <v>53</v>
      </c>
      <c r="G1485" t="s">
        <v>23</v>
      </c>
      <c r="H1485" t="s">
        <v>24</v>
      </c>
      <c r="I1485" t="s">
        <v>25</v>
      </c>
      <c r="J1485" t="s">
        <v>35</v>
      </c>
      <c r="K1485" t="s">
        <v>27</v>
      </c>
      <c r="L1485" t="s">
        <v>49</v>
      </c>
      <c r="M1485" s="4">
        <v>20</v>
      </c>
      <c r="N1485" s="4">
        <v>7</v>
      </c>
      <c r="O1485" t="s">
        <v>29</v>
      </c>
      <c r="P1485" t="s">
        <v>29</v>
      </c>
      <c r="Q1485" s="4">
        <v>521080</v>
      </c>
      <c r="R1485" s="4">
        <v>318293</v>
      </c>
      <c r="S1485" s="4">
        <f>Table1[[#This Row],[Service_Revenue]]-Table1[[#This Row],[Service_Cost]]</f>
        <v>202787</v>
      </c>
      <c r="T1485" s="4">
        <v>1</v>
      </c>
      <c r="U1485" s="4">
        <f>IF(AND(Table1[[#This Row],[Rework_Flag]]="Yes",Table1[[#This Row],[Warranty_Claim]]="No"),Table1[[#This Row],[Service_Revenue]],0)</f>
        <v>0</v>
      </c>
      <c r="V1485" s="4">
        <f>IF(Table1[[#This Row],[Warranty_Claim]]="Yes",1,0)</f>
        <v>1</v>
      </c>
      <c r="W1485" s="4">
        <f>IF(Table1[[#This Row],[Rework_Flag]]="No",1,0)</f>
        <v>0</v>
      </c>
      <c r="X1485" s="4">
        <f>IF(Table1[[#This Row],[Rework_Flag]]="Yes",1,0)</f>
        <v>1</v>
      </c>
      <c r="Y1485" s="4">
        <v>1</v>
      </c>
      <c r="Z1485" s="4" t="str">
        <f>IF(Table1[[#This Row],[TAT_Days]]&gt;Table1[[#This Row],[SLA_TAT]],"Yes","No")</f>
        <v>Yes</v>
      </c>
      <c r="AA1485" s="4" t="str" cm="1">
        <f t="array" ref="AA1485">_xlfn.IFS(Table1[[#This Row],[Customer_Satisfaction]]&lt;=2,"Poor",Table1[[#This Row],[Customer_Satisfaction]]=3,"Neutral",Table1[[#This Row],[Customer_Satisfaction]]=4,"Good",Table1[[#This Row],[Customer_Satisfaction]]=5,"Good")</f>
        <v>Poor</v>
      </c>
    </row>
    <row r="1486" spans="1:27" x14ac:dyDescent="0.35">
      <c r="A1486">
        <v>21484</v>
      </c>
      <c r="B1486" s="1">
        <v>45463</v>
      </c>
      <c r="C1486" t="s">
        <v>37</v>
      </c>
      <c r="D1486" t="s">
        <v>38</v>
      </c>
      <c r="E1486" t="s">
        <v>107</v>
      </c>
      <c r="F1486" t="s">
        <v>22</v>
      </c>
      <c r="G1486" t="s">
        <v>23</v>
      </c>
      <c r="H1486" t="s">
        <v>24</v>
      </c>
      <c r="I1486" t="s">
        <v>55</v>
      </c>
      <c r="J1486" t="s">
        <v>67</v>
      </c>
      <c r="K1486" t="s">
        <v>44</v>
      </c>
      <c r="L1486" t="s">
        <v>28</v>
      </c>
      <c r="M1486" s="4">
        <v>22</v>
      </c>
      <c r="N1486" s="4">
        <v>7</v>
      </c>
      <c r="O1486" t="s">
        <v>36</v>
      </c>
      <c r="P1486" t="s">
        <v>29</v>
      </c>
      <c r="Q1486" s="4">
        <v>500470</v>
      </c>
      <c r="R1486" s="4">
        <v>340114</v>
      </c>
      <c r="S1486" s="4">
        <f>Table1[[#This Row],[Service_Revenue]]-Table1[[#This Row],[Service_Cost]]</f>
        <v>160356</v>
      </c>
      <c r="T1486" s="4">
        <v>1</v>
      </c>
      <c r="U1486" s="4">
        <f>IF(AND(Table1[[#This Row],[Rework_Flag]]="Yes",Table1[[#This Row],[Warranty_Claim]]="No"),Table1[[#This Row],[Service_Revenue]],0)</f>
        <v>0</v>
      </c>
      <c r="V1486" s="4">
        <f>IF(Table1[[#This Row],[Warranty_Claim]]="Yes",1,0)</f>
        <v>1</v>
      </c>
      <c r="W1486" s="4">
        <f>IF(Table1[[#This Row],[Rework_Flag]]="No",1,0)</f>
        <v>1</v>
      </c>
      <c r="X1486" s="4">
        <f>IF(Table1[[#This Row],[Rework_Flag]]="Yes",1,0)</f>
        <v>0</v>
      </c>
      <c r="Y1486" s="4">
        <v>1</v>
      </c>
      <c r="Z1486" s="4" t="str">
        <f>IF(Table1[[#This Row],[TAT_Days]]&gt;Table1[[#This Row],[SLA_TAT]],"Yes","No")</f>
        <v>Yes</v>
      </c>
      <c r="AA1486" s="4" t="str" cm="1">
        <f t="array" ref="AA1486">_xlfn.IFS(Table1[[#This Row],[Customer_Satisfaction]]&lt;=2,"Poor",Table1[[#This Row],[Customer_Satisfaction]]=3,"Neutral",Table1[[#This Row],[Customer_Satisfaction]]=4,"Good",Table1[[#This Row],[Customer_Satisfaction]]=5,"Good")</f>
        <v>Poor</v>
      </c>
    </row>
    <row r="1487" spans="1:27" x14ac:dyDescent="0.35">
      <c r="A1487">
        <v>21485</v>
      </c>
      <c r="B1487" s="1">
        <v>45331</v>
      </c>
      <c r="C1487" t="s">
        <v>50</v>
      </c>
      <c r="D1487" t="s">
        <v>56</v>
      </c>
      <c r="E1487" t="s">
        <v>101</v>
      </c>
      <c r="F1487" t="s">
        <v>53</v>
      </c>
      <c r="G1487" t="s">
        <v>41</v>
      </c>
      <c r="H1487" t="s">
        <v>42</v>
      </c>
      <c r="I1487" t="s">
        <v>55</v>
      </c>
      <c r="J1487" t="s">
        <v>35</v>
      </c>
      <c r="K1487" t="s">
        <v>27</v>
      </c>
      <c r="L1487" t="s">
        <v>49</v>
      </c>
      <c r="M1487" s="4">
        <v>12</v>
      </c>
      <c r="N1487" s="4">
        <v>7</v>
      </c>
      <c r="O1487" t="s">
        <v>29</v>
      </c>
      <c r="P1487" t="s">
        <v>36</v>
      </c>
      <c r="Q1487" s="4">
        <v>341757</v>
      </c>
      <c r="R1487" s="4">
        <v>285525</v>
      </c>
      <c r="S1487" s="4">
        <f>Table1[[#This Row],[Service_Revenue]]-Table1[[#This Row],[Service_Cost]]</f>
        <v>56232</v>
      </c>
      <c r="T1487" s="4">
        <v>2</v>
      </c>
      <c r="U1487" s="4">
        <f>IF(AND(Table1[[#This Row],[Rework_Flag]]="Yes",Table1[[#This Row],[Warranty_Claim]]="No"),Table1[[#This Row],[Service_Revenue]],0)</f>
        <v>341757</v>
      </c>
      <c r="V1487" s="4">
        <f>IF(Table1[[#This Row],[Warranty_Claim]]="Yes",1,0)</f>
        <v>0</v>
      </c>
      <c r="W1487" s="4">
        <f>IF(Table1[[#This Row],[Rework_Flag]]="No",1,0)</f>
        <v>0</v>
      </c>
      <c r="X1487" s="4">
        <f>IF(Table1[[#This Row],[Rework_Flag]]="Yes",1,0)</f>
        <v>1</v>
      </c>
      <c r="Y1487" s="4">
        <v>1</v>
      </c>
      <c r="Z1487" s="4" t="str">
        <f>IF(Table1[[#This Row],[TAT_Days]]&gt;Table1[[#This Row],[SLA_TAT]],"Yes","No")</f>
        <v>Yes</v>
      </c>
      <c r="AA1487" s="4" t="str" cm="1">
        <f t="array" ref="AA1487">_xlfn.IFS(Table1[[#This Row],[Customer_Satisfaction]]&lt;=2,"Poor",Table1[[#This Row],[Customer_Satisfaction]]=3,"Neutral",Table1[[#This Row],[Customer_Satisfaction]]=4,"Good",Table1[[#This Row],[Customer_Satisfaction]]=5,"Good")</f>
        <v>Poor</v>
      </c>
    </row>
    <row r="1488" spans="1:27" x14ac:dyDescent="0.35">
      <c r="A1488">
        <v>21486</v>
      </c>
      <c r="B1488" s="1">
        <v>45424</v>
      </c>
      <c r="C1488" t="s">
        <v>19</v>
      </c>
      <c r="D1488" t="s">
        <v>20</v>
      </c>
      <c r="E1488" t="s">
        <v>117</v>
      </c>
      <c r="F1488" t="s">
        <v>22</v>
      </c>
      <c r="G1488" t="s">
        <v>23</v>
      </c>
      <c r="H1488" t="s">
        <v>24</v>
      </c>
      <c r="I1488" t="s">
        <v>55</v>
      </c>
      <c r="J1488" t="s">
        <v>67</v>
      </c>
      <c r="K1488" t="s">
        <v>61</v>
      </c>
      <c r="L1488" t="s">
        <v>49</v>
      </c>
      <c r="M1488" s="4">
        <v>15</v>
      </c>
      <c r="N1488" s="4">
        <v>7</v>
      </c>
      <c r="O1488" t="s">
        <v>29</v>
      </c>
      <c r="P1488" t="s">
        <v>29</v>
      </c>
      <c r="Q1488" s="4">
        <v>555953</v>
      </c>
      <c r="R1488" s="4">
        <v>387979</v>
      </c>
      <c r="S1488" s="4">
        <f>Table1[[#This Row],[Service_Revenue]]-Table1[[#This Row],[Service_Cost]]</f>
        <v>167974</v>
      </c>
      <c r="T1488" s="4">
        <v>1</v>
      </c>
      <c r="U1488" s="4">
        <f>IF(AND(Table1[[#This Row],[Rework_Flag]]="Yes",Table1[[#This Row],[Warranty_Claim]]="No"),Table1[[#This Row],[Service_Revenue]],0)</f>
        <v>0</v>
      </c>
      <c r="V1488" s="4">
        <f>IF(Table1[[#This Row],[Warranty_Claim]]="Yes",1,0)</f>
        <v>1</v>
      </c>
      <c r="W1488" s="4">
        <f>IF(Table1[[#This Row],[Rework_Flag]]="No",1,0)</f>
        <v>0</v>
      </c>
      <c r="X1488" s="4">
        <f>IF(Table1[[#This Row],[Rework_Flag]]="Yes",1,0)</f>
        <v>1</v>
      </c>
      <c r="Y1488" s="4">
        <v>1</v>
      </c>
      <c r="Z1488" s="4" t="str">
        <f>IF(Table1[[#This Row],[TAT_Days]]&gt;Table1[[#This Row],[SLA_TAT]],"Yes","No")</f>
        <v>Yes</v>
      </c>
      <c r="AA1488" s="4" t="str" cm="1">
        <f t="array" ref="AA1488">_xlfn.IFS(Table1[[#This Row],[Customer_Satisfaction]]&lt;=2,"Poor",Table1[[#This Row],[Customer_Satisfaction]]=3,"Neutral",Table1[[#This Row],[Customer_Satisfaction]]=4,"Good",Table1[[#This Row],[Customer_Satisfaction]]=5,"Good")</f>
        <v>Poor</v>
      </c>
    </row>
    <row r="1489" spans="1:27" x14ac:dyDescent="0.35">
      <c r="A1489">
        <v>21487</v>
      </c>
      <c r="B1489" s="1">
        <v>45348</v>
      </c>
      <c r="C1489" t="s">
        <v>30</v>
      </c>
      <c r="D1489" t="s">
        <v>83</v>
      </c>
      <c r="E1489" t="s">
        <v>119</v>
      </c>
      <c r="F1489" t="s">
        <v>22</v>
      </c>
      <c r="G1489" t="s">
        <v>23</v>
      </c>
      <c r="H1489" t="s">
        <v>24</v>
      </c>
      <c r="I1489" t="s">
        <v>55</v>
      </c>
      <c r="J1489" t="s">
        <v>67</v>
      </c>
      <c r="K1489" t="s">
        <v>27</v>
      </c>
      <c r="L1489" t="s">
        <v>28</v>
      </c>
      <c r="M1489" s="4">
        <v>14</v>
      </c>
      <c r="N1489" s="4">
        <v>7</v>
      </c>
      <c r="O1489" t="s">
        <v>29</v>
      </c>
      <c r="P1489" t="s">
        <v>36</v>
      </c>
      <c r="Q1489" s="4">
        <v>145481</v>
      </c>
      <c r="R1489" s="4">
        <v>112289</v>
      </c>
      <c r="S1489" s="4">
        <f>Table1[[#This Row],[Service_Revenue]]-Table1[[#This Row],[Service_Cost]]</f>
        <v>33192</v>
      </c>
      <c r="T1489" s="4">
        <v>2</v>
      </c>
      <c r="U1489" s="4">
        <f>IF(AND(Table1[[#This Row],[Rework_Flag]]="Yes",Table1[[#This Row],[Warranty_Claim]]="No"),Table1[[#This Row],[Service_Revenue]],0)</f>
        <v>145481</v>
      </c>
      <c r="V1489" s="4">
        <f>IF(Table1[[#This Row],[Warranty_Claim]]="Yes",1,0)</f>
        <v>0</v>
      </c>
      <c r="W1489" s="4">
        <f>IF(Table1[[#This Row],[Rework_Flag]]="No",1,0)</f>
        <v>0</v>
      </c>
      <c r="X1489" s="4">
        <f>IF(Table1[[#This Row],[Rework_Flag]]="Yes",1,0)</f>
        <v>1</v>
      </c>
      <c r="Y1489" s="4">
        <v>1</v>
      </c>
      <c r="Z1489" s="4" t="str">
        <f>IF(Table1[[#This Row],[TAT_Days]]&gt;Table1[[#This Row],[SLA_TAT]],"Yes","No")</f>
        <v>Yes</v>
      </c>
      <c r="AA1489" s="4" t="str" cm="1">
        <f t="array" ref="AA1489">_xlfn.IFS(Table1[[#This Row],[Customer_Satisfaction]]&lt;=2,"Poor",Table1[[#This Row],[Customer_Satisfaction]]=3,"Neutral",Table1[[#This Row],[Customer_Satisfaction]]=4,"Good",Table1[[#This Row],[Customer_Satisfaction]]=5,"Good")</f>
        <v>Poor</v>
      </c>
    </row>
    <row r="1490" spans="1:27" x14ac:dyDescent="0.35">
      <c r="A1490">
        <v>21488</v>
      </c>
      <c r="B1490" s="1">
        <v>45334</v>
      </c>
      <c r="C1490" t="s">
        <v>37</v>
      </c>
      <c r="D1490" t="s">
        <v>38</v>
      </c>
      <c r="E1490" t="s">
        <v>39</v>
      </c>
      <c r="F1490" t="s">
        <v>53</v>
      </c>
      <c r="G1490" t="s">
        <v>63</v>
      </c>
      <c r="H1490" t="s">
        <v>24</v>
      </c>
      <c r="I1490" t="s">
        <v>25</v>
      </c>
      <c r="J1490" t="s">
        <v>35</v>
      </c>
      <c r="K1490" t="s">
        <v>27</v>
      </c>
      <c r="L1490" t="s">
        <v>49</v>
      </c>
      <c r="M1490" s="4">
        <v>8</v>
      </c>
      <c r="N1490" s="4">
        <v>7</v>
      </c>
      <c r="O1490" t="s">
        <v>29</v>
      </c>
      <c r="P1490" t="s">
        <v>29</v>
      </c>
      <c r="Q1490" s="4">
        <v>214649</v>
      </c>
      <c r="R1490" s="4">
        <v>112902</v>
      </c>
      <c r="S1490" s="4">
        <f>Table1[[#This Row],[Service_Revenue]]-Table1[[#This Row],[Service_Cost]]</f>
        <v>101747</v>
      </c>
      <c r="T1490" s="4">
        <v>3</v>
      </c>
      <c r="U1490" s="4">
        <f>IF(AND(Table1[[#This Row],[Rework_Flag]]="Yes",Table1[[#This Row],[Warranty_Claim]]="No"),Table1[[#This Row],[Service_Revenue]],0)</f>
        <v>0</v>
      </c>
      <c r="V1490" s="4">
        <f>IF(Table1[[#This Row],[Warranty_Claim]]="Yes",1,0)</f>
        <v>1</v>
      </c>
      <c r="W1490" s="4">
        <f>IF(Table1[[#This Row],[Rework_Flag]]="No",1,0)</f>
        <v>0</v>
      </c>
      <c r="X1490" s="4">
        <f>IF(Table1[[#This Row],[Rework_Flag]]="Yes",1,0)</f>
        <v>1</v>
      </c>
      <c r="Y1490" s="4">
        <v>1</v>
      </c>
      <c r="Z1490" s="4" t="str">
        <f>IF(Table1[[#This Row],[TAT_Days]]&gt;Table1[[#This Row],[SLA_TAT]],"Yes","No")</f>
        <v>Yes</v>
      </c>
      <c r="AA1490" s="4" t="str" cm="1">
        <f t="array" ref="AA1490">_xlfn.IFS(Table1[[#This Row],[Customer_Satisfaction]]&lt;=2,"Poor",Table1[[#This Row],[Customer_Satisfaction]]=3,"Neutral",Table1[[#This Row],[Customer_Satisfaction]]=4,"Good",Table1[[#This Row],[Customer_Satisfaction]]=5,"Good")</f>
        <v>Neutral</v>
      </c>
    </row>
    <row r="1491" spans="1:27" x14ac:dyDescent="0.35">
      <c r="A1491">
        <v>21489</v>
      </c>
      <c r="B1491" s="1">
        <v>45335</v>
      </c>
      <c r="C1491" t="s">
        <v>37</v>
      </c>
      <c r="D1491" t="s">
        <v>64</v>
      </c>
      <c r="E1491" t="s">
        <v>115</v>
      </c>
      <c r="F1491" t="s">
        <v>53</v>
      </c>
      <c r="G1491" t="s">
        <v>54</v>
      </c>
      <c r="H1491" t="s">
        <v>42</v>
      </c>
      <c r="I1491" t="s">
        <v>55</v>
      </c>
      <c r="J1491" t="s">
        <v>35</v>
      </c>
      <c r="K1491" t="s">
        <v>61</v>
      </c>
      <c r="L1491" t="s">
        <v>28</v>
      </c>
      <c r="M1491" s="4">
        <v>18</v>
      </c>
      <c r="N1491" s="4">
        <v>7</v>
      </c>
      <c r="O1491" t="s">
        <v>36</v>
      </c>
      <c r="P1491" t="s">
        <v>29</v>
      </c>
      <c r="Q1491" s="4">
        <v>122780</v>
      </c>
      <c r="R1491" s="4">
        <v>99806</v>
      </c>
      <c r="S1491" s="4">
        <f>Table1[[#This Row],[Service_Revenue]]-Table1[[#This Row],[Service_Cost]]</f>
        <v>22974</v>
      </c>
      <c r="T1491" s="4">
        <v>2</v>
      </c>
      <c r="U1491" s="4">
        <f>IF(AND(Table1[[#This Row],[Rework_Flag]]="Yes",Table1[[#This Row],[Warranty_Claim]]="No"),Table1[[#This Row],[Service_Revenue]],0)</f>
        <v>0</v>
      </c>
      <c r="V1491" s="4">
        <f>IF(Table1[[#This Row],[Warranty_Claim]]="Yes",1,0)</f>
        <v>1</v>
      </c>
      <c r="W1491" s="4">
        <f>IF(Table1[[#This Row],[Rework_Flag]]="No",1,0)</f>
        <v>1</v>
      </c>
      <c r="X1491" s="4">
        <f>IF(Table1[[#This Row],[Rework_Flag]]="Yes",1,0)</f>
        <v>0</v>
      </c>
      <c r="Y1491" s="4">
        <v>1</v>
      </c>
      <c r="Z1491" s="4" t="str">
        <f>IF(Table1[[#This Row],[TAT_Days]]&gt;Table1[[#This Row],[SLA_TAT]],"Yes","No")</f>
        <v>Yes</v>
      </c>
      <c r="AA1491" s="4" t="str" cm="1">
        <f t="array" ref="AA1491">_xlfn.IFS(Table1[[#This Row],[Customer_Satisfaction]]&lt;=2,"Poor",Table1[[#This Row],[Customer_Satisfaction]]=3,"Neutral",Table1[[#This Row],[Customer_Satisfaction]]=4,"Good",Table1[[#This Row],[Customer_Satisfaction]]=5,"Good")</f>
        <v>Poor</v>
      </c>
    </row>
    <row r="1492" spans="1:27" x14ac:dyDescent="0.35">
      <c r="A1492">
        <v>21490</v>
      </c>
      <c r="B1492" s="1">
        <v>45312</v>
      </c>
      <c r="C1492" t="s">
        <v>19</v>
      </c>
      <c r="D1492" t="s">
        <v>20</v>
      </c>
      <c r="E1492" t="s">
        <v>110</v>
      </c>
      <c r="F1492" t="s">
        <v>22</v>
      </c>
      <c r="G1492" t="s">
        <v>74</v>
      </c>
      <c r="H1492" t="s">
        <v>34</v>
      </c>
      <c r="I1492" t="s">
        <v>55</v>
      </c>
      <c r="J1492" t="s">
        <v>35</v>
      </c>
      <c r="K1492" t="s">
        <v>61</v>
      </c>
      <c r="L1492" t="s">
        <v>28</v>
      </c>
      <c r="M1492" s="4">
        <v>20</v>
      </c>
      <c r="N1492" s="4">
        <v>7</v>
      </c>
      <c r="O1492" t="s">
        <v>36</v>
      </c>
      <c r="P1492" t="s">
        <v>29</v>
      </c>
      <c r="Q1492" s="4">
        <v>164419</v>
      </c>
      <c r="R1492" s="4">
        <v>130945</v>
      </c>
      <c r="S1492" s="4">
        <f>Table1[[#This Row],[Service_Revenue]]-Table1[[#This Row],[Service_Cost]]</f>
        <v>33474</v>
      </c>
      <c r="T1492" s="4">
        <v>1</v>
      </c>
      <c r="U1492" s="4">
        <f>IF(AND(Table1[[#This Row],[Rework_Flag]]="Yes",Table1[[#This Row],[Warranty_Claim]]="No"),Table1[[#This Row],[Service_Revenue]],0)</f>
        <v>0</v>
      </c>
      <c r="V1492" s="4">
        <f>IF(Table1[[#This Row],[Warranty_Claim]]="Yes",1,0)</f>
        <v>1</v>
      </c>
      <c r="W1492" s="4">
        <f>IF(Table1[[#This Row],[Rework_Flag]]="No",1,0)</f>
        <v>1</v>
      </c>
      <c r="X1492" s="4">
        <f>IF(Table1[[#This Row],[Rework_Flag]]="Yes",1,0)</f>
        <v>0</v>
      </c>
      <c r="Y1492" s="4">
        <v>1</v>
      </c>
      <c r="Z1492" s="4" t="str">
        <f>IF(Table1[[#This Row],[TAT_Days]]&gt;Table1[[#This Row],[SLA_TAT]],"Yes","No")</f>
        <v>Yes</v>
      </c>
      <c r="AA1492" s="4" t="str" cm="1">
        <f t="array" ref="AA1492">_xlfn.IFS(Table1[[#This Row],[Customer_Satisfaction]]&lt;=2,"Poor",Table1[[#This Row],[Customer_Satisfaction]]=3,"Neutral",Table1[[#This Row],[Customer_Satisfaction]]=4,"Good",Table1[[#This Row],[Customer_Satisfaction]]=5,"Good")</f>
        <v>Poor</v>
      </c>
    </row>
    <row r="1493" spans="1:27" x14ac:dyDescent="0.35">
      <c r="A1493">
        <v>21491</v>
      </c>
      <c r="B1493" s="1">
        <v>45325</v>
      </c>
      <c r="C1493" t="s">
        <v>50</v>
      </c>
      <c r="D1493" t="s">
        <v>80</v>
      </c>
      <c r="E1493" t="s">
        <v>81</v>
      </c>
      <c r="F1493" t="s">
        <v>22</v>
      </c>
      <c r="G1493" t="s">
        <v>63</v>
      </c>
      <c r="H1493" t="s">
        <v>24</v>
      </c>
      <c r="I1493" t="s">
        <v>25</v>
      </c>
      <c r="J1493" t="s">
        <v>67</v>
      </c>
      <c r="K1493" t="s">
        <v>27</v>
      </c>
      <c r="L1493" t="s">
        <v>28</v>
      </c>
      <c r="M1493" s="4">
        <v>16</v>
      </c>
      <c r="N1493" s="4">
        <v>7</v>
      </c>
      <c r="O1493" t="s">
        <v>29</v>
      </c>
      <c r="P1493" t="s">
        <v>36</v>
      </c>
      <c r="Q1493" s="4">
        <v>150448</v>
      </c>
      <c r="R1493" s="4">
        <v>87894</v>
      </c>
      <c r="S1493" s="4">
        <f>Table1[[#This Row],[Service_Revenue]]-Table1[[#This Row],[Service_Cost]]</f>
        <v>62554</v>
      </c>
      <c r="T1493" s="4">
        <v>1</v>
      </c>
      <c r="U1493" s="4">
        <f>IF(AND(Table1[[#This Row],[Rework_Flag]]="Yes",Table1[[#This Row],[Warranty_Claim]]="No"),Table1[[#This Row],[Service_Revenue]],0)</f>
        <v>150448</v>
      </c>
      <c r="V1493" s="4">
        <f>IF(Table1[[#This Row],[Warranty_Claim]]="Yes",1,0)</f>
        <v>0</v>
      </c>
      <c r="W1493" s="4">
        <f>IF(Table1[[#This Row],[Rework_Flag]]="No",1,0)</f>
        <v>0</v>
      </c>
      <c r="X1493" s="4">
        <f>IF(Table1[[#This Row],[Rework_Flag]]="Yes",1,0)</f>
        <v>1</v>
      </c>
      <c r="Y1493" s="4">
        <v>1</v>
      </c>
      <c r="Z1493" s="4" t="str">
        <f>IF(Table1[[#This Row],[TAT_Days]]&gt;Table1[[#This Row],[SLA_TAT]],"Yes","No")</f>
        <v>Yes</v>
      </c>
      <c r="AA1493" s="4" t="str" cm="1">
        <f t="array" ref="AA1493">_xlfn.IFS(Table1[[#This Row],[Customer_Satisfaction]]&lt;=2,"Poor",Table1[[#This Row],[Customer_Satisfaction]]=3,"Neutral",Table1[[#This Row],[Customer_Satisfaction]]=4,"Good",Table1[[#This Row],[Customer_Satisfaction]]=5,"Good")</f>
        <v>Poor</v>
      </c>
    </row>
    <row r="1494" spans="1:27" x14ac:dyDescent="0.35">
      <c r="A1494">
        <v>21492</v>
      </c>
      <c r="B1494" s="1">
        <v>45457</v>
      </c>
      <c r="C1494" t="s">
        <v>19</v>
      </c>
      <c r="D1494" t="s">
        <v>20</v>
      </c>
      <c r="E1494" t="s">
        <v>89</v>
      </c>
      <c r="F1494" t="s">
        <v>53</v>
      </c>
      <c r="G1494" t="s">
        <v>47</v>
      </c>
      <c r="H1494" t="s">
        <v>48</v>
      </c>
      <c r="I1494" t="s">
        <v>55</v>
      </c>
      <c r="J1494" t="s">
        <v>67</v>
      </c>
      <c r="K1494" t="s">
        <v>44</v>
      </c>
      <c r="L1494" t="s">
        <v>28</v>
      </c>
      <c r="M1494" s="4">
        <v>21</v>
      </c>
      <c r="N1494" s="4">
        <v>7</v>
      </c>
      <c r="O1494" t="s">
        <v>36</v>
      </c>
      <c r="P1494" t="s">
        <v>36</v>
      </c>
      <c r="Q1494" s="4">
        <v>434669</v>
      </c>
      <c r="R1494" s="4">
        <v>217525</v>
      </c>
      <c r="S1494" s="4">
        <f>Table1[[#This Row],[Service_Revenue]]-Table1[[#This Row],[Service_Cost]]</f>
        <v>217144</v>
      </c>
      <c r="T1494" s="4">
        <v>1</v>
      </c>
      <c r="U1494" s="4">
        <f>IF(AND(Table1[[#This Row],[Rework_Flag]]="Yes",Table1[[#This Row],[Warranty_Claim]]="No"),Table1[[#This Row],[Service_Revenue]],0)</f>
        <v>0</v>
      </c>
      <c r="V1494" s="4">
        <f>IF(Table1[[#This Row],[Warranty_Claim]]="Yes",1,0)</f>
        <v>0</v>
      </c>
      <c r="W1494" s="4">
        <f>IF(Table1[[#This Row],[Rework_Flag]]="No",1,0)</f>
        <v>1</v>
      </c>
      <c r="X1494" s="4">
        <f>IF(Table1[[#This Row],[Rework_Flag]]="Yes",1,0)</f>
        <v>0</v>
      </c>
      <c r="Y1494" s="4">
        <v>1</v>
      </c>
      <c r="Z1494" s="4" t="str">
        <f>IF(Table1[[#This Row],[TAT_Days]]&gt;Table1[[#This Row],[SLA_TAT]],"Yes","No")</f>
        <v>Yes</v>
      </c>
      <c r="AA1494" s="4" t="str" cm="1">
        <f t="array" ref="AA1494">_xlfn.IFS(Table1[[#This Row],[Customer_Satisfaction]]&lt;=2,"Poor",Table1[[#This Row],[Customer_Satisfaction]]=3,"Neutral",Table1[[#This Row],[Customer_Satisfaction]]=4,"Good",Table1[[#This Row],[Customer_Satisfaction]]=5,"Good")</f>
        <v>Poor</v>
      </c>
    </row>
    <row r="1495" spans="1:27" x14ac:dyDescent="0.35">
      <c r="A1495">
        <v>21493</v>
      </c>
      <c r="B1495" s="1">
        <v>45305</v>
      </c>
      <c r="C1495" t="s">
        <v>19</v>
      </c>
      <c r="D1495" t="s">
        <v>20</v>
      </c>
      <c r="E1495" t="s">
        <v>89</v>
      </c>
      <c r="F1495" t="s">
        <v>53</v>
      </c>
      <c r="G1495" t="s">
        <v>54</v>
      </c>
      <c r="H1495" t="s">
        <v>42</v>
      </c>
      <c r="I1495" t="s">
        <v>55</v>
      </c>
      <c r="J1495" t="s">
        <v>43</v>
      </c>
      <c r="K1495" t="s">
        <v>44</v>
      </c>
      <c r="L1495" t="s">
        <v>28</v>
      </c>
      <c r="M1495" s="4">
        <v>11</v>
      </c>
      <c r="N1495" s="4">
        <v>7</v>
      </c>
      <c r="O1495" t="s">
        <v>29</v>
      </c>
      <c r="P1495" t="s">
        <v>36</v>
      </c>
      <c r="Q1495" s="4">
        <v>554910</v>
      </c>
      <c r="R1495" s="4">
        <v>352876</v>
      </c>
      <c r="S1495" s="4">
        <f>Table1[[#This Row],[Service_Revenue]]-Table1[[#This Row],[Service_Cost]]</f>
        <v>202034</v>
      </c>
      <c r="T1495" s="4">
        <v>2</v>
      </c>
      <c r="U1495" s="4">
        <f>IF(AND(Table1[[#This Row],[Rework_Flag]]="Yes",Table1[[#This Row],[Warranty_Claim]]="No"),Table1[[#This Row],[Service_Revenue]],0)</f>
        <v>554910</v>
      </c>
      <c r="V1495" s="4">
        <f>IF(Table1[[#This Row],[Warranty_Claim]]="Yes",1,0)</f>
        <v>0</v>
      </c>
      <c r="W1495" s="4">
        <f>IF(Table1[[#This Row],[Rework_Flag]]="No",1,0)</f>
        <v>0</v>
      </c>
      <c r="X1495" s="4">
        <f>IF(Table1[[#This Row],[Rework_Flag]]="Yes",1,0)</f>
        <v>1</v>
      </c>
      <c r="Y1495" s="4">
        <v>1</v>
      </c>
      <c r="Z1495" s="4" t="str">
        <f>IF(Table1[[#This Row],[TAT_Days]]&gt;Table1[[#This Row],[SLA_TAT]],"Yes","No")</f>
        <v>Yes</v>
      </c>
      <c r="AA1495" s="4" t="str" cm="1">
        <f t="array" ref="AA1495">_xlfn.IFS(Table1[[#This Row],[Customer_Satisfaction]]&lt;=2,"Poor",Table1[[#This Row],[Customer_Satisfaction]]=3,"Neutral",Table1[[#This Row],[Customer_Satisfaction]]=4,"Good",Table1[[#This Row],[Customer_Satisfaction]]=5,"Good")</f>
        <v>Poor</v>
      </c>
    </row>
    <row r="1496" spans="1:27" x14ac:dyDescent="0.35">
      <c r="A1496">
        <v>21494</v>
      </c>
      <c r="B1496" s="1">
        <v>45461</v>
      </c>
      <c r="C1496" t="s">
        <v>30</v>
      </c>
      <c r="D1496" t="s">
        <v>31</v>
      </c>
      <c r="E1496" t="s">
        <v>106</v>
      </c>
      <c r="F1496" t="s">
        <v>22</v>
      </c>
      <c r="G1496" t="s">
        <v>74</v>
      </c>
      <c r="H1496" t="s">
        <v>34</v>
      </c>
      <c r="I1496" t="s">
        <v>55</v>
      </c>
      <c r="J1496" t="s">
        <v>35</v>
      </c>
      <c r="K1496" t="s">
        <v>44</v>
      </c>
      <c r="L1496" t="s">
        <v>28</v>
      </c>
      <c r="M1496" s="4">
        <v>19</v>
      </c>
      <c r="N1496" s="4">
        <v>7</v>
      </c>
      <c r="O1496" t="s">
        <v>36</v>
      </c>
      <c r="P1496" t="s">
        <v>29</v>
      </c>
      <c r="Q1496" s="4">
        <v>447306</v>
      </c>
      <c r="R1496" s="4">
        <v>374892</v>
      </c>
      <c r="S1496" s="4">
        <f>Table1[[#This Row],[Service_Revenue]]-Table1[[#This Row],[Service_Cost]]</f>
        <v>72414</v>
      </c>
      <c r="T1496" s="4">
        <v>2</v>
      </c>
      <c r="U1496" s="4">
        <f>IF(AND(Table1[[#This Row],[Rework_Flag]]="Yes",Table1[[#This Row],[Warranty_Claim]]="No"),Table1[[#This Row],[Service_Revenue]],0)</f>
        <v>0</v>
      </c>
      <c r="V1496" s="4">
        <f>IF(Table1[[#This Row],[Warranty_Claim]]="Yes",1,0)</f>
        <v>1</v>
      </c>
      <c r="W1496" s="4">
        <f>IF(Table1[[#This Row],[Rework_Flag]]="No",1,0)</f>
        <v>1</v>
      </c>
      <c r="X1496" s="4">
        <f>IF(Table1[[#This Row],[Rework_Flag]]="Yes",1,0)</f>
        <v>0</v>
      </c>
      <c r="Y1496" s="4">
        <v>1</v>
      </c>
      <c r="Z1496" s="4" t="str">
        <f>IF(Table1[[#This Row],[TAT_Days]]&gt;Table1[[#This Row],[SLA_TAT]],"Yes","No")</f>
        <v>Yes</v>
      </c>
      <c r="AA1496" s="4" t="str" cm="1">
        <f t="array" ref="AA1496">_xlfn.IFS(Table1[[#This Row],[Customer_Satisfaction]]&lt;=2,"Poor",Table1[[#This Row],[Customer_Satisfaction]]=3,"Neutral",Table1[[#This Row],[Customer_Satisfaction]]=4,"Good",Table1[[#This Row],[Customer_Satisfaction]]=5,"Good")</f>
        <v>Poor</v>
      </c>
    </row>
    <row r="1497" spans="1:27" x14ac:dyDescent="0.35">
      <c r="A1497">
        <v>21495</v>
      </c>
      <c r="B1497" s="1">
        <v>45384</v>
      </c>
      <c r="C1497" t="s">
        <v>19</v>
      </c>
      <c r="D1497" t="s">
        <v>45</v>
      </c>
      <c r="E1497" t="s">
        <v>46</v>
      </c>
      <c r="F1497" t="s">
        <v>53</v>
      </c>
      <c r="G1497" t="s">
        <v>41</v>
      </c>
      <c r="H1497" t="s">
        <v>42</v>
      </c>
      <c r="I1497" t="s">
        <v>55</v>
      </c>
      <c r="J1497" t="s">
        <v>58</v>
      </c>
      <c r="K1497" t="s">
        <v>44</v>
      </c>
      <c r="L1497" t="s">
        <v>28</v>
      </c>
      <c r="M1497" s="4">
        <v>2</v>
      </c>
      <c r="N1497" s="4">
        <v>7</v>
      </c>
      <c r="O1497" t="s">
        <v>29</v>
      </c>
      <c r="P1497" t="s">
        <v>36</v>
      </c>
      <c r="Q1497" s="4">
        <v>333785</v>
      </c>
      <c r="R1497" s="4">
        <v>200249</v>
      </c>
      <c r="S1497" s="4">
        <f>Table1[[#This Row],[Service_Revenue]]-Table1[[#This Row],[Service_Cost]]</f>
        <v>133536</v>
      </c>
      <c r="T1497" s="4">
        <v>4</v>
      </c>
      <c r="U1497" s="4">
        <f>IF(AND(Table1[[#This Row],[Rework_Flag]]="Yes",Table1[[#This Row],[Warranty_Claim]]="No"),Table1[[#This Row],[Service_Revenue]],0)</f>
        <v>333785</v>
      </c>
      <c r="V1497" s="4">
        <f>IF(Table1[[#This Row],[Warranty_Claim]]="Yes",1,0)</f>
        <v>0</v>
      </c>
      <c r="W1497" s="4">
        <f>IF(Table1[[#This Row],[Rework_Flag]]="No",1,0)</f>
        <v>0</v>
      </c>
      <c r="X1497" s="4">
        <f>IF(Table1[[#This Row],[Rework_Flag]]="Yes",1,0)</f>
        <v>1</v>
      </c>
      <c r="Y1497" s="4">
        <v>1</v>
      </c>
      <c r="Z1497" s="4" t="str">
        <f>IF(Table1[[#This Row],[TAT_Days]]&gt;Table1[[#This Row],[SLA_TAT]],"Yes","No")</f>
        <v>No</v>
      </c>
      <c r="AA1497" s="4" t="str" cm="1">
        <f t="array" ref="AA1497">_xlfn.IFS(Table1[[#This Row],[Customer_Satisfaction]]&lt;=2,"Poor",Table1[[#This Row],[Customer_Satisfaction]]=3,"Neutral",Table1[[#This Row],[Customer_Satisfaction]]=4,"Good",Table1[[#This Row],[Customer_Satisfaction]]=5,"Good")</f>
        <v>Good</v>
      </c>
    </row>
    <row r="1498" spans="1:27" x14ac:dyDescent="0.35">
      <c r="A1498">
        <v>21496</v>
      </c>
      <c r="B1498" s="1">
        <v>45458</v>
      </c>
      <c r="C1498" t="s">
        <v>37</v>
      </c>
      <c r="D1498" t="s">
        <v>38</v>
      </c>
      <c r="E1498" t="s">
        <v>102</v>
      </c>
      <c r="F1498" t="s">
        <v>40</v>
      </c>
      <c r="G1498" t="s">
        <v>23</v>
      </c>
      <c r="H1498" t="s">
        <v>24</v>
      </c>
      <c r="I1498" t="s">
        <v>25</v>
      </c>
      <c r="J1498" t="s">
        <v>58</v>
      </c>
      <c r="K1498" t="s">
        <v>44</v>
      </c>
      <c r="L1498" t="s">
        <v>28</v>
      </c>
      <c r="M1498" s="4">
        <v>20</v>
      </c>
      <c r="N1498" s="4">
        <v>7</v>
      </c>
      <c r="O1498" t="s">
        <v>36</v>
      </c>
      <c r="P1498" t="s">
        <v>36</v>
      </c>
      <c r="Q1498" s="4">
        <v>312482</v>
      </c>
      <c r="R1498" s="4">
        <v>219786</v>
      </c>
      <c r="S1498" s="4">
        <f>Table1[[#This Row],[Service_Revenue]]-Table1[[#This Row],[Service_Cost]]</f>
        <v>92696</v>
      </c>
      <c r="T1498" s="4">
        <v>1</v>
      </c>
      <c r="U1498" s="4">
        <f>IF(AND(Table1[[#This Row],[Rework_Flag]]="Yes",Table1[[#This Row],[Warranty_Claim]]="No"),Table1[[#This Row],[Service_Revenue]],0)</f>
        <v>0</v>
      </c>
      <c r="V1498" s="4">
        <f>IF(Table1[[#This Row],[Warranty_Claim]]="Yes",1,0)</f>
        <v>0</v>
      </c>
      <c r="W1498" s="4">
        <f>IF(Table1[[#This Row],[Rework_Flag]]="No",1,0)</f>
        <v>1</v>
      </c>
      <c r="X1498" s="4">
        <f>IF(Table1[[#This Row],[Rework_Flag]]="Yes",1,0)</f>
        <v>0</v>
      </c>
      <c r="Y1498" s="4">
        <v>1</v>
      </c>
      <c r="Z1498" s="4" t="str">
        <f>IF(Table1[[#This Row],[TAT_Days]]&gt;Table1[[#This Row],[SLA_TAT]],"Yes","No")</f>
        <v>Yes</v>
      </c>
      <c r="AA1498" s="4" t="str" cm="1">
        <f t="array" ref="AA1498">_xlfn.IFS(Table1[[#This Row],[Customer_Satisfaction]]&lt;=2,"Poor",Table1[[#This Row],[Customer_Satisfaction]]=3,"Neutral",Table1[[#This Row],[Customer_Satisfaction]]=4,"Good",Table1[[#This Row],[Customer_Satisfaction]]=5,"Good")</f>
        <v>Poor</v>
      </c>
    </row>
    <row r="1499" spans="1:27" x14ac:dyDescent="0.35">
      <c r="A1499">
        <v>21497</v>
      </c>
      <c r="B1499" s="1">
        <v>45333</v>
      </c>
      <c r="C1499" t="s">
        <v>19</v>
      </c>
      <c r="D1499" t="s">
        <v>20</v>
      </c>
      <c r="E1499" t="s">
        <v>21</v>
      </c>
      <c r="F1499" t="s">
        <v>53</v>
      </c>
      <c r="G1499" t="s">
        <v>54</v>
      </c>
      <c r="H1499" t="s">
        <v>42</v>
      </c>
      <c r="I1499" t="s">
        <v>25</v>
      </c>
      <c r="J1499" t="s">
        <v>43</v>
      </c>
      <c r="K1499" t="s">
        <v>44</v>
      </c>
      <c r="L1499" t="s">
        <v>28</v>
      </c>
      <c r="M1499" s="4">
        <v>10</v>
      </c>
      <c r="N1499" s="4">
        <v>7</v>
      </c>
      <c r="O1499" t="s">
        <v>36</v>
      </c>
      <c r="P1499" t="s">
        <v>36</v>
      </c>
      <c r="Q1499" s="4">
        <v>242090</v>
      </c>
      <c r="R1499" s="4">
        <v>175859</v>
      </c>
      <c r="S1499" s="4">
        <f>Table1[[#This Row],[Service_Revenue]]-Table1[[#This Row],[Service_Cost]]</f>
        <v>66231</v>
      </c>
      <c r="T1499" s="4">
        <v>3</v>
      </c>
      <c r="U1499" s="4">
        <f>IF(AND(Table1[[#This Row],[Rework_Flag]]="Yes",Table1[[#This Row],[Warranty_Claim]]="No"),Table1[[#This Row],[Service_Revenue]],0)</f>
        <v>0</v>
      </c>
      <c r="V1499" s="4">
        <f>IF(Table1[[#This Row],[Warranty_Claim]]="Yes",1,0)</f>
        <v>0</v>
      </c>
      <c r="W1499" s="4">
        <f>IF(Table1[[#This Row],[Rework_Flag]]="No",1,0)</f>
        <v>1</v>
      </c>
      <c r="X1499" s="4">
        <f>IF(Table1[[#This Row],[Rework_Flag]]="Yes",1,0)</f>
        <v>0</v>
      </c>
      <c r="Y1499" s="4">
        <v>1</v>
      </c>
      <c r="Z1499" s="4" t="str">
        <f>IF(Table1[[#This Row],[TAT_Days]]&gt;Table1[[#This Row],[SLA_TAT]],"Yes","No")</f>
        <v>Yes</v>
      </c>
      <c r="AA1499" s="4" t="str" cm="1">
        <f t="array" ref="AA1499">_xlfn.IFS(Table1[[#This Row],[Customer_Satisfaction]]&lt;=2,"Poor",Table1[[#This Row],[Customer_Satisfaction]]=3,"Neutral",Table1[[#This Row],[Customer_Satisfaction]]=4,"Good",Table1[[#This Row],[Customer_Satisfaction]]=5,"Good")</f>
        <v>Neutral</v>
      </c>
    </row>
    <row r="1500" spans="1:27" x14ac:dyDescent="0.35">
      <c r="A1500">
        <v>21498</v>
      </c>
      <c r="B1500" s="1">
        <v>45406</v>
      </c>
      <c r="C1500" t="s">
        <v>19</v>
      </c>
      <c r="D1500" t="s">
        <v>20</v>
      </c>
      <c r="E1500" t="s">
        <v>21</v>
      </c>
      <c r="F1500" t="s">
        <v>53</v>
      </c>
      <c r="G1500" t="s">
        <v>74</v>
      </c>
      <c r="H1500" t="s">
        <v>34</v>
      </c>
      <c r="I1500" t="s">
        <v>25</v>
      </c>
      <c r="J1500" t="s">
        <v>26</v>
      </c>
      <c r="K1500" t="s">
        <v>44</v>
      </c>
      <c r="L1500" t="s">
        <v>49</v>
      </c>
      <c r="M1500" s="4">
        <v>14</v>
      </c>
      <c r="N1500" s="4">
        <v>7</v>
      </c>
      <c r="O1500" t="s">
        <v>29</v>
      </c>
      <c r="P1500" t="s">
        <v>36</v>
      </c>
      <c r="Q1500" s="4">
        <v>288997</v>
      </c>
      <c r="R1500" s="4">
        <v>221179</v>
      </c>
      <c r="S1500" s="4">
        <f>Table1[[#This Row],[Service_Revenue]]-Table1[[#This Row],[Service_Cost]]</f>
        <v>67818</v>
      </c>
      <c r="T1500" s="4">
        <v>2</v>
      </c>
      <c r="U1500" s="4">
        <f>IF(AND(Table1[[#This Row],[Rework_Flag]]="Yes",Table1[[#This Row],[Warranty_Claim]]="No"),Table1[[#This Row],[Service_Revenue]],0)</f>
        <v>288997</v>
      </c>
      <c r="V1500" s="4">
        <f>IF(Table1[[#This Row],[Warranty_Claim]]="Yes",1,0)</f>
        <v>0</v>
      </c>
      <c r="W1500" s="4">
        <f>IF(Table1[[#This Row],[Rework_Flag]]="No",1,0)</f>
        <v>0</v>
      </c>
      <c r="X1500" s="4">
        <f>IF(Table1[[#This Row],[Rework_Flag]]="Yes",1,0)</f>
        <v>1</v>
      </c>
      <c r="Y1500" s="4">
        <v>1</v>
      </c>
      <c r="Z1500" s="4" t="str">
        <f>IF(Table1[[#This Row],[TAT_Days]]&gt;Table1[[#This Row],[SLA_TAT]],"Yes","No")</f>
        <v>Yes</v>
      </c>
      <c r="AA1500" s="4" t="str" cm="1">
        <f t="array" ref="AA1500">_xlfn.IFS(Table1[[#This Row],[Customer_Satisfaction]]&lt;=2,"Poor",Table1[[#This Row],[Customer_Satisfaction]]=3,"Neutral",Table1[[#This Row],[Customer_Satisfaction]]=4,"Good",Table1[[#This Row],[Customer_Satisfaction]]=5,"Good")</f>
        <v>Poor</v>
      </c>
    </row>
    <row r="1501" spans="1:27" x14ac:dyDescent="0.35">
      <c r="A1501">
        <v>21499</v>
      </c>
      <c r="B1501" s="1">
        <v>45292</v>
      </c>
      <c r="C1501" t="s">
        <v>37</v>
      </c>
      <c r="D1501" t="s">
        <v>70</v>
      </c>
      <c r="E1501" t="s">
        <v>116</v>
      </c>
      <c r="F1501" t="s">
        <v>40</v>
      </c>
      <c r="G1501" t="s">
        <v>54</v>
      </c>
      <c r="H1501" t="s">
        <v>42</v>
      </c>
      <c r="I1501" t="s">
        <v>55</v>
      </c>
      <c r="J1501" t="s">
        <v>35</v>
      </c>
      <c r="K1501" t="s">
        <v>44</v>
      </c>
      <c r="L1501" t="s">
        <v>28</v>
      </c>
      <c r="M1501" s="4">
        <v>9</v>
      </c>
      <c r="N1501" s="4">
        <v>7</v>
      </c>
      <c r="O1501" t="s">
        <v>36</v>
      </c>
      <c r="P1501" t="s">
        <v>36</v>
      </c>
      <c r="Q1501" s="4">
        <v>111804</v>
      </c>
      <c r="R1501" s="4">
        <v>87899</v>
      </c>
      <c r="S1501" s="4">
        <f>Table1[[#This Row],[Service_Revenue]]-Table1[[#This Row],[Service_Cost]]</f>
        <v>23905</v>
      </c>
      <c r="T1501" s="4">
        <v>4</v>
      </c>
      <c r="U1501" s="4">
        <f>IF(AND(Table1[[#This Row],[Rework_Flag]]="Yes",Table1[[#This Row],[Warranty_Claim]]="No"),Table1[[#This Row],[Service_Revenue]],0)</f>
        <v>0</v>
      </c>
      <c r="V1501" s="4">
        <f>IF(Table1[[#This Row],[Warranty_Claim]]="Yes",1,0)</f>
        <v>0</v>
      </c>
      <c r="W1501" s="4">
        <f>IF(Table1[[#This Row],[Rework_Flag]]="No",1,0)</f>
        <v>1</v>
      </c>
      <c r="X1501" s="4">
        <f>IF(Table1[[#This Row],[Rework_Flag]]="Yes",1,0)</f>
        <v>0</v>
      </c>
      <c r="Y1501" s="4">
        <v>1</v>
      </c>
      <c r="Z1501" s="4" t="str">
        <f>IF(Table1[[#This Row],[TAT_Days]]&gt;Table1[[#This Row],[SLA_TAT]],"Yes","No")</f>
        <v>Yes</v>
      </c>
      <c r="AA1501" s="4" t="str" cm="1">
        <f t="array" ref="AA1501">_xlfn.IFS(Table1[[#This Row],[Customer_Satisfaction]]&lt;=2,"Poor",Table1[[#This Row],[Customer_Satisfaction]]=3,"Neutral",Table1[[#This Row],[Customer_Satisfaction]]=4,"Good",Table1[[#This Row],[Customer_Satisfaction]]=5,"Good")</f>
        <v>Good</v>
      </c>
    </row>
    <row r="1502" spans="1:27" x14ac:dyDescent="0.35">
      <c r="A1502">
        <v>21500</v>
      </c>
      <c r="B1502" s="1">
        <v>45426</v>
      </c>
      <c r="C1502" t="s">
        <v>37</v>
      </c>
      <c r="D1502" t="s">
        <v>70</v>
      </c>
      <c r="E1502" t="s">
        <v>100</v>
      </c>
      <c r="F1502" t="s">
        <v>53</v>
      </c>
      <c r="G1502" t="s">
        <v>54</v>
      </c>
      <c r="H1502" t="s">
        <v>42</v>
      </c>
      <c r="I1502" t="s">
        <v>55</v>
      </c>
      <c r="J1502" t="s">
        <v>58</v>
      </c>
      <c r="K1502" t="s">
        <v>61</v>
      </c>
      <c r="L1502" t="s">
        <v>49</v>
      </c>
      <c r="M1502" s="4">
        <v>4</v>
      </c>
      <c r="N1502" s="4">
        <v>7</v>
      </c>
      <c r="O1502" t="s">
        <v>36</v>
      </c>
      <c r="P1502" t="s">
        <v>36</v>
      </c>
      <c r="Q1502" s="4">
        <v>453963</v>
      </c>
      <c r="R1502" s="4">
        <v>329493</v>
      </c>
      <c r="S1502" s="4">
        <f>Table1[[#This Row],[Service_Revenue]]-Table1[[#This Row],[Service_Cost]]</f>
        <v>124470</v>
      </c>
      <c r="T1502" s="4">
        <v>5</v>
      </c>
      <c r="U1502" s="4">
        <f>IF(AND(Table1[[#This Row],[Rework_Flag]]="Yes",Table1[[#This Row],[Warranty_Claim]]="No"),Table1[[#This Row],[Service_Revenue]],0)</f>
        <v>0</v>
      </c>
      <c r="V1502" s="4">
        <f>IF(Table1[[#This Row],[Warranty_Claim]]="Yes",1,0)</f>
        <v>0</v>
      </c>
      <c r="W1502" s="4">
        <f>IF(Table1[[#This Row],[Rework_Flag]]="No",1,0)</f>
        <v>1</v>
      </c>
      <c r="X1502" s="4">
        <f>IF(Table1[[#This Row],[Rework_Flag]]="Yes",1,0)</f>
        <v>0</v>
      </c>
      <c r="Y1502" s="4">
        <v>1</v>
      </c>
      <c r="Z1502" s="4" t="str">
        <f>IF(Table1[[#This Row],[TAT_Days]]&gt;Table1[[#This Row],[SLA_TAT]],"Yes","No")</f>
        <v>No</v>
      </c>
      <c r="AA1502" s="4" t="str" cm="1">
        <f t="array" ref="AA1502">_xlfn.IFS(Table1[[#This Row],[Customer_Satisfaction]]&lt;=2,"Poor",Table1[[#This Row],[Customer_Satisfaction]]=3,"Neutral",Table1[[#This Row],[Customer_Satisfaction]]=4,"Good",Table1[[#This Row],[Customer_Satisfaction]]=5,"Good")</f>
        <v>Good</v>
      </c>
    </row>
    <row r="1503" spans="1:27" x14ac:dyDescent="0.35">
      <c r="A1503">
        <v>21501</v>
      </c>
      <c r="B1503" s="1">
        <v>45393</v>
      </c>
      <c r="C1503" t="s">
        <v>19</v>
      </c>
      <c r="D1503" t="s">
        <v>45</v>
      </c>
      <c r="E1503" t="s">
        <v>111</v>
      </c>
      <c r="F1503" t="s">
        <v>40</v>
      </c>
      <c r="G1503" t="s">
        <v>33</v>
      </c>
      <c r="H1503" t="s">
        <v>34</v>
      </c>
      <c r="I1503" t="s">
        <v>55</v>
      </c>
      <c r="J1503" t="s">
        <v>26</v>
      </c>
      <c r="K1503" t="s">
        <v>27</v>
      </c>
      <c r="L1503" t="s">
        <v>28</v>
      </c>
      <c r="M1503" s="4">
        <v>9</v>
      </c>
      <c r="N1503" s="4">
        <v>7</v>
      </c>
      <c r="O1503" t="s">
        <v>36</v>
      </c>
      <c r="P1503" t="s">
        <v>36</v>
      </c>
      <c r="Q1503" s="4">
        <v>462323</v>
      </c>
      <c r="R1503" s="4">
        <v>292352</v>
      </c>
      <c r="S1503" s="4">
        <f>Table1[[#This Row],[Service_Revenue]]-Table1[[#This Row],[Service_Cost]]</f>
        <v>169971</v>
      </c>
      <c r="T1503" s="4">
        <v>4</v>
      </c>
      <c r="U1503" s="4">
        <f>IF(AND(Table1[[#This Row],[Rework_Flag]]="Yes",Table1[[#This Row],[Warranty_Claim]]="No"),Table1[[#This Row],[Service_Revenue]],0)</f>
        <v>0</v>
      </c>
      <c r="V1503" s="4">
        <f>IF(Table1[[#This Row],[Warranty_Claim]]="Yes",1,0)</f>
        <v>0</v>
      </c>
      <c r="W1503" s="4">
        <f>IF(Table1[[#This Row],[Rework_Flag]]="No",1,0)</f>
        <v>1</v>
      </c>
      <c r="X1503" s="4">
        <f>IF(Table1[[#This Row],[Rework_Flag]]="Yes",1,0)</f>
        <v>0</v>
      </c>
      <c r="Y1503" s="4">
        <v>1</v>
      </c>
      <c r="Z1503" s="4" t="str">
        <f>IF(Table1[[#This Row],[TAT_Days]]&gt;Table1[[#This Row],[SLA_TAT]],"Yes","No")</f>
        <v>Yes</v>
      </c>
      <c r="AA1503" s="4" t="str" cm="1">
        <f t="array" ref="AA1503">_xlfn.IFS(Table1[[#This Row],[Customer_Satisfaction]]&lt;=2,"Poor",Table1[[#This Row],[Customer_Satisfaction]]=3,"Neutral",Table1[[#This Row],[Customer_Satisfaction]]=4,"Good",Table1[[#This Row],[Customer_Satisfaction]]=5,"Good")</f>
        <v>Good</v>
      </c>
    </row>
    <row r="1504" spans="1:27" x14ac:dyDescent="0.35">
      <c r="A1504">
        <v>21502</v>
      </c>
      <c r="B1504" s="1">
        <v>45300</v>
      </c>
      <c r="C1504" t="s">
        <v>19</v>
      </c>
      <c r="D1504" t="s">
        <v>96</v>
      </c>
      <c r="E1504" t="s">
        <v>98</v>
      </c>
      <c r="F1504" t="s">
        <v>22</v>
      </c>
      <c r="G1504" t="s">
        <v>74</v>
      </c>
      <c r="H1504" t="s">
        <v>34</v>
      </c>
      <c r="I1504" t="s">
        <v>55</v>
      </c>
      <c r="J1504" t="s">
        <v>58</v>
      </c>
      <c r="K1504" t="s">
        <v>44</v>
      </c>
      <c r="L1504" t="s">
        <v>49</v>
      </c>
      <c r="M1504" s="4">
        <v>11</v>
      </c>
      <c r="N1504" s="4">
        <v>7</v>
      </c>
      <c r="O1504" t="s">
        <v>36</v>
      </c>
      <c r="P1504" t="s">
        <v>36</v>
      </c>
      <c r="Q1504" s="4">
        <v>519327</v>
      </c>
      <c r="R1504" s="4">
        <v>290137</v>
      </c>
      <c r="S1504" s="4">
        <f>Table1[[#This Row],[Service_Revenue]]-Table1[[#This Row],[Service_Cost]]</f>
        <v>229190</v>
      </c>
      <c r="T1504" s="4">
        <v>3</v>
      </c>
      <c r="U1504" s="4">
        <f>IF(AND(Table1[[#This Row],[Rework_Flag]]="Yes",Table1[[#This Row],[Warranty_Claim]]="No"),Table1[[#This Row],[Service_Revenue]],0)</f>
        <v>0</v>
      </c>
      <c r="V1504" s="4">
        <f>IF(Table1[[#This Row],[Warranty_Claim]]="Yes",1,0)</f>
        <v>0</v>
      </c>
      <c r="W1504" s="4">
        <f>IF(Table1[[#This Row],[Rework_Flag]]="No",1,0)</f>
        <v>1</v>
      </c>
      <c r="X1504" s="4">
        <f>IF(Table1[[#This Row],[Rework_Flag]]="Yes",1,0)</f>
        <v>0</v>
      </c>
      <c r="Y1504" s="4">
        <v>1</v>
      </c>
      <c r="Z1504" s="4" t="str">
        <f>IF(Table1[[#This Row],[TAT_Days]]&gt;Table1[[#This Row],[SLA_TAT]],"Yes","No")</f>
        <v>Yes</v>
      </c>
      <c r="AA1504" s="4" t="str" cm="1">
        <f t="array" ref="AA1504">_xlfn.IFS(Table1[[#This Row],[Customer_Satisfaction]]&lt;=2,"Poor",Table1[[#This Row],[Customer_Satisfaction]]=3,"Neutral",Table1[[#This Row],[Customer_Satisfaction]]=4,"Good",Table1[[#This Row],[Customer_Satisfaction]]=5,"Good")</f>
        <v>Neutral</v>
      </c>
    </row>
    <row r="1505" spans="1:27" x14ac:dyDescent="0.35">
      <c r="A1505">
        <v>21503</v>
      </c>
      <c r="B1505" s="1">
        <v>45398</v>
      </c>
      <c r="C1505" t="s">
        <v>30</v>
      </c>
      <c r="D1505" t="s">
        <v>83</v>
      </c>
      <c r="E1505" t="s">
        <v>95</v>
      </c>
      <c r="F1505" t="s">
        <v>40</v>
      </c>
      <c r="G1505" t="s">
        <v>41</v>
      </c>
      <c r="H1505" t="s">
        <v>42</v>
      </c>
      <c r="I1505" t="s">
        <v>25</v>
      </c>
      <c r="J1505" t="s">
        <v>26</v>
      </c>
      <c r="K1505" t="s">
        <v>44</v>
      </c>
      <c r="L1505" t="s">
        <v>28</v>
      </c>
      <c r="M1505" s="4">
        <v>2</v>
      </c>
      <c r="N1505" s="4">
        <v>7</v>
      </c>
      <c r="O1505" t="s">
        <v>29</v>
      </c>
      <c r="P1505" t="s">
        <v>36</v>
      </c>
      <c r="Q1505" s="4">
        <v>248822</v>
      </c>
      <c r="R1505" s="4">
        <v>183770</v>
      </c>
      <c r="S1505" s="4">
        <f>Table1[[#This Row],[Service_Revenue]]-Table1[[#This Row],[Service_Cost]]</f>
        <v>65052</v>
      </c>
      <c r="T1505" s="4">
        <v>4</v>
      </c>
      <c r="U1505" s="4">
        <f>IF(AND(Table1[[#This Row],[Rework_Flag]]="Yes",Table1[[#This Row],[Warranty_Claim]]="No"),Table1[[#This Row],[Service_Revenue]],0)</f>
        <v>248822</v>
      </c>
      <c r="V1505" s="4">
        <f>IF(Table1[[#This Row],[Warranty_Claim]]="Yes",1,0)</f>
        <v>0</v>
      </c>
      <c r="W1505" s="4">
        <f>IF(Table1[[#This Row],[Rework_Flag]]="No",1,0)</f>
        <v>0</v>
      </c>
      <c r="X1505" s="4">
        <f>IF(Table1[[#This Row],[Rework_Flag]]="Yes",1,0)</f>
        <v>1</v>
      </c>
      <c r="Y1505" s="4">
        <v>1</v>
      </c>
      <c r="Z1505" s="4" t="str">
        <f>IF(Table1[[#This Row],[TAT_Days]]&gt;Table1[[#This Row],[SLA_TAT]],"Yes","No")</f>
        <v>No</v>
      </c>
      <c r="AA1505" s="4" t="str" cm="1">
        <f t="array" ref="AA1505">_xlfn.IFS(Table1[[#This Row],[Customer_Satisfaction]]&lt;=2,"Poor",Table1[[#This Row],[Customer_Satisfaction]]=3,"Neutral",Table1[[#This Row],[Customer_Satisfaction]]=4,"Good",Table1[[#This Row],[Customer_Satisfaction]]=5,"Good")</f>
        <v>Good</v>
      </c>
    </row>
    <row r="1506" spans="1:27" x14ac:dyDescent="0.35">
      <c r="A1506">
        <v>21504</v>
      </c>
      <c r="B1506" s="1">
        <v>45313</v>
      </c>
      <c r="C1506" t="s">
        <v>30</v>
      </c>
      <c r="D1506" t="s">
        <v>83</v>
      </c>
      <c r="E1506" t="s">
        <v>95</v>
      </c>
      <c r="F1506" t="s">
        <v>22</v>
      </c>
      <c r="G1506" t="s">
        <v>23</v>
      </c>
      <c r="H1506" t="s">
        <v>24</v>
      </c>
      <c r="I1506" t="s">
        <v>25</v>
      </c>
      <c r="J1506" t="s">
        <v>58</v>
      </c>
      <c r="K1506" t="s">
        <v>27</v>
      </c>
      <c r="L1506" t="s">
        <v>49</v>
      </c>
      <c r="M1506" s="4">
        <v>24</v>
      </c>
      <c r="N1506" s="4">
        <v>7</v>
      </c>
      <c r="O1506" t="s">
        <v>29</v>
      </c>
      <c r="P1506" t="s">
        <v>29</v>
      </c>
      <c r="Q1506" s="4">
        <v>341702</v>
      </c>
      <c r="R1506" s="4">
        <v>199609</v>
      </c>
      <c r="S1506" s="4">
        <f>Table1[[#This Row],[Service_Revenue]]-Table1[[#This Row],[Service_Cost]]</f>
        <v>142093</v>
      </c>
      <c r="T1506" s="4">
        <v>1</v>
      </c>
      <c r="U1506" s="4">
        <f>IF(AND(Table1[[#This Row],[Rework_Flag]]="Yes",Table1[[#This Row],[Warranty_Claim]]="No"),Table1[[#This Row],[Service_Revenue]],0)</f>
        <v>0</v>
      </c>
      <c r="V1506" s="4">
        <f>IF(Table1[[#This Row],[Warranty_Claim]]="Yes",1,0)</f>
        <v>1</v>
      </c>
      <c r="W1506" s="4">
        <f>IF(Table1[[#This Row],[Rework_Flag]]="No",1,0)</f>
        <v>0</v>
      </c>
      <c r="X1506" s="4">
        <f>IF(Table1[[#This Row],[Rework_Flag]]="Yes",1,0)</f>
        <v>1</v>
      </c>
      <c r="Y1506" s="4">
        <v>1</v>
      </c>
      <c r="Z1506" s="4" t="str">
        <f>IF(Table1[[#This Row],[TAT_Days]]&gt;Table1[[#This Row],[SLA_TAT]],"Yes","No")</f>
        <v>Yes</v>
      </c>
      <c r="AA1506" s="4" t="str" cm="1">
        <f t="array" ref="AA1506">_xlfn.IFS(Table1[[#This Row],[Customer_Satisfaction]]&lt;=2,"Poor",Table1[[#This Row],[Customer_Satisfaction]]=3,"Neutral",Table1[[#This Row],[Customer_Satisfaction]]=4,"Good",Table1[[#This Row],[Customer_Satisfaction]]=5,"Good")</f>
        <v>Poor</v>
      </c>
    </row>
    <row r="1507" spans="1:27" x14ac:dyDescent="0.35">
      <c r="A1507">
        <v>21505</v>
      </c>
      <c r="B1507" s="1">
        <v>45469</v>
      </c>
      <c r="C1507" t="s">
        <v>19</v>
      </c>
      <c r="D1507" t="s">
        <v>20</v>
      </c>
      <c r="E1507" t="s">
        <v>21</v>
      </c>
      <c r="F1507" t="s">
        <v>22</v>
      </c>
      <c r="G1507" t="s">
        <v>47</v>
      </c>
      <c r="H1507" t="s">
        <v>48</v>
      </c>
      <c r="I1507" t="s">
        <v>55</v>
      </c>
      <c r="J1507" t="s">
        <v>35</v>
      </c>
      <c r="K1507" t="s">
        <v>27</v>
      </c>
      <c r="L1507" t="s">
        <v>28</v>
      </c>
      <c r="M1507" s="4">
        <v>15</v>
      </c>
      <c r="N1507" s="4">
        <v>7</v>
      </c>
      <c r="O1507" t="s">
        <v>29</v>
      </c>
      <c r="P1507" t="s">
        <v>36</v>
      </c>
      <c r="Q1507" s="4">
        <v>384276</v>
      </c>
      <c r="R1507" s="4">
        <v>215676</v>
      </c>
      <c r="S1507" s="4">
        <f>Table1[[#This Row],[Service_Revenue]]-Table1[[#This Row],[Service_Cost]]</f>
        <v>168600</v>
      </c>
      <c r="T1507" s="4">
        <v>1</v>
      </c>
      <c r="U1507" s="4">
        <f>IF(AND(Table1[[#This Row],[Rework_Flag]]="Yes",Table1[[#This Row],[Warranty_Claim]]="No"),Table1[[#This Row],[Service_Revenue]],0)</f>
        <v>384276</v>
      </c>
      <c r="V1507" s="4">
        <f>IF(Table1[[#This Row],[Warranty_Claim]]="Yes",1,0)</f>
        <v>0</v>
      </c>
      <c r="W1507" s="4">
        <f>IF(Table1[[#This Row],[Rework_Flag]]="No",1,0)</f>
        <v>0</v>
      </c>
      <c r="X1507" s="4">
        <f>IF(Table1[[#This Row],[Rework_Flag]]="Yes",1,0)</f>
        <v>1</v>
      </c>
      <c r="Y1507" s="4">
        <v>1</v>
      </c>
      <c r="Z1507" s="4" t="str">
        <f>IF(Table1[[#This Row],[TAT_Days]]&gt;Table1[[#This Row],[SLA_TAT]],"Yes","No")</f>
        <v>Yes</v>
      </c>
      <c r="AA1507" s="4" t="str" cm="1">
        <f t="array" ref="AA1507">_xlfn.IFS(Table1[[#This Row],[Customer_Satisfaction]]&lt;=2,"Poor",Table1[[#This Row],[Customer_Satisfaction]]=3,"Neutral",Table1[[#This Row],[Customer_Satisfaction]]=4,"Good",Table1[[#This Row],[Customer_Satisfaction]]=5,"Good")</f>
        <v>Poor</v>
      </c>
    </row>
    <row r="1508" spans="1:27" x14ac:dyDescent="0.35">
      <c r="A1508">
        <v>21506</v>
      </c>
      <c r="B1508" s="1">
        <v>45370</v>
      </c>
      <c r="C1508" t="s">
        <v>19</v>
      </c>
      <c r="D1508" t="s">
        <v>20</v>
      </c>
      <c r="E1508" t="s">
        <v>110</v>
      </c>
      <c r="F1508" t="s">
        <v>53</v>
      </c>
      <c r="G1508" t="s">
        <v>63</v>
      </c>
      <c r="H1508" t="s">
        <v>24</v>
      </c>
      <c r="I1508" t="s">
        <v>25</v>
      </c>
      <c r="J1508" t="s">
        <v>43</v>
      </c>
      <c r="K1508" t="s">
        <v>44</v>
      </c>
      <c r="L1508" t="s">
        <v>28</v>
      </c>
      <c r="M1508" s="4">
        <v>5</v>
      </c>
      <c r="N1508" s="4">
        <v>7</v>
      </c>
      <c r="O1508" t="s">
        <v>29</v>
      </c>
      <c r="P1508" t="s">
        <v>36</v>
      </c>
      <c r="Q1508" s="4">
        <v>557714</v>
      </c>
      <c r="R1508" s="4">
        <v>347492</v>
      </c>
      <c r="S1508" s="4">
        <f>Table1[[#This Row],[Service_Revenue]]-Table1[[#This Row],[Service_Cost]]</f>
        <v>210222</v>
      </c>
      <c r="T1508" s="4">
        <v>3</v>
      </c>
      <c r="U1508" s="4">
        <f>IF(AND(Table1[[#This Row],[Rework_Flag]]="Yes",Table1[[#This Row],[Warranty_Claim]]="No"),Table1[[#This Row],[Service_Revenue]],0)</f>
        <v>557714</v>
      </c>
      <c r="V1508" s="4">
        <f>IF(Table1[[#This Row],[Warranty_Claim]]="Yes",1,0)</f>
        <v>0</v>
      </c>
      <c r="W1508" s="4">
        <f>IF(Table1[[#This Row],[Rework_Flag]]="No",1,0)</f>
        <v>0</v>
      </c>
      <c r="X1508" s="4">
        <f>IF(Table1[[#This Row],[Rework_Flag]]="Yes",1,0)</f>
        <v>1</v>
      </c>
      <c r="Y1508" s="4">
        <v>1</v>
      </c>
      <c r="Z1508" s="4" t="str">
        <f>IF(Table1[[#This Row],[TAT_Days]]&gt;Table1[[#This Row],[SLA_TAT]],"Yes","No")</f>
        <v>No</v>
      </c>
      <c r="AA1508" s="4" t="str" cm="1">
        <f t="array" ref="AA1508">_xlfn.IFS(Table1[[#This Row],[Customer_Satisfaction]]&lt;=2,"Poor",Table1[[#This Row],[Customer_Satisfaction]]=3,"Neutral",Table1[[#This Row],[Customer_Satisfaction]]=4,"Good",Table1[[#This Row],[Customer_Satisfaction]]=5,"Good")</f>
        <v>Neutral</v>
      </c>
    </row>
    <row r="1509" spans="1:27" x14ac:dyDescent="0.35">
      <c r="A1509">
        <v>21507</v>
      </c>
      <c r="B1509" s="1">
        <v>45443</v>
      </c>
      <c r="C1509" t="s">
        <v>30</v>
      </c>
      <c r="D1509" t="s">
        <v>31</v>
      </c>
      <c r="E1509" t="s">
        <v>62</v>
      </c>
      <c r="F1509" t="s">
        <v>53</v>
      </c>
      <c r="G1509" t="s">
        <v>33</v>
      </c>
      <c r="H1509" t="s">
        <v>34</v>
      </c>
      <c r="I1509" t="s">
        <v>25</v>
      </c>
      <c r="J1509" t="s">
        <v>26</v>
      </c>
      <c r="K1509" t="s">
        <v>44</v>
      </c>
      <c r="L1509" t="s">
        <v>28</v>
      </c>
      <c r="M1509" s="4">
        <v>23</v>
      </c>
      <c r="N1509" s="4">
        <v>7</v>
      </c>
      <c r="O1509" t="s">
        <v>36</v>
      </c>
      <c r="P1509" t="s">
        <v>29</v>
      </c>
      <c r="Q1509" s="4">
        <v>277340</v>
      </c>
      <c r="R1509" s="4">
        <v>192028</v>
      </c>
      <c r="S1509" s="4">
        <f>Table1[[#This Row],[Service_Revenue]]-Table1[[#This Row],[Service_Cost]]</f>
        <v>85312</v>
      </c>
      <c r="T1509" s="4">
        <v>1</v>
      </c>
      <c r="U1509" s="4">
        <f>IF(AND(Table1[[#This Row],[Rework_Flag]]="Yes",Table1[[#This Row],[Warranty_Claim]]="No"),Table1[[#This Row],[Service_Revenue]],0)</f>
        <v>0</v>
      </c>
      <c r="V1509" s="4">
        <f>IF(Table1[[#This Row],[Warranty_Claim]]="Yes",1,0)</f>
        <v>1</v>
      </c>
      <c r="W1509" s="4">
        <f>IF(Table1[[#This Row],[Rework_Flag]]="No",1,0)</f>
        <v>1</v>
      </c>
      <c r="X1509" s="4">
        <f>IF(Table1[[#This Row],[Rework_Flag]]="Yes",1,0)</f>
        <v>0</v>
      </c>
      <c r="Y1509" s="4">
        <v>1</v>
      </c>
      <c r="Z1509" s="4" t="str">
        <f>IF(Table1[[#This Row],[TAT_Days]]&gt;Table1[[#This Row],[SLA_TAT]],"Yes","No")</f>
        <v>Yes</v>
      </c>
      <c r="AA1509" s="4" t="str" cm="1">
        <f t="array" ref="AA1509">_xlfn.IFS(Table1[[#This Row],[Customer_Satisfaction]]&lt;=2,"Poor",Table1[[#This Row],[Customer_Satisfaction]]=3,"Neutral",Table1[[#This Row],[Customer_Satisfaction]]=4,"Good",Table1[[#This Row],[Customer_Satisfaction]]=5,"Good")</f>
        <v>Poor</v>
      </c>
    </row>
    <row r="1510" spans="1:27" x14ac:dyDescent="0.35">
      <c r="A1510">
        <v>21508</v>
      </c>
      <c r="B1510" s="1">
        <v>45432</v>
      </c>
      <c r="C1510" t="s">
        <v>30</v>
      </c>
      <c r="D1510" t="s">
        <v>31</v>
      </c>
      <c r="E1510" t="s">
        <v>106</v>
      </c>
      <c r="F1510" t="s">
        <v>40</v>
      </c>
      <c r="G1510" t="s">
        <v>41</v>
      </c>
      <c r="H1510" t="s">
        <v>42</v>
      </c>
      <c r="I1510" t="s">
        <v>25</v>
      </c>
      <c r="J1510" t="s">
        <v>43</v>
      </c>
      <c r="K1510" t="s">
        <v>61</v>
      </c>
      <c r="L1510" t="s">
        <v>28</v>
      </c>
      <c r="M1510" s="4">
        <v>20</v>
      </c>
      <c r="N1510" s="4">
        <v>7</v>
      </c>
      <c r="O1510" t="s">
        <v>29</v>
      </c>
      <c r="P1510" t="s">
        <v>29</v>
      </c>
      <c r="Q1510" s="4">
        <v>459209</v>
      </c>
      <c r="R1510" s="4">
        <v>233670</v>
      </c>
      <c r="S1510" s="4">
        <f>Table1[[#This Row],[Service_Revenue]]-Table1[[#This Row],[Service_Cost]]</f>
        <v>225539</v>
      </c>
      <c r="T1510" s="4">
        <v>1</v>
      </c>
      <c r="U1510" s="4">
        <f>IF(AND(Table1[[#This Row],[Rework_Flag]]="Yes",Table1[[#This Row],[Warranty_Claim]]="No"),Table1[[#This Row],[Service_Revenue]],0)</f>
        <v>0</v>
      </c>
      <c r="V1510" s="4">
        <f>IF(Table1[[#This Row],[Warranty_Claim]]="Yes",1,0)</f>
        <v>1</v>
      </c>
      <c r="W1510" s="4">
        <f>IF(Table1[[#This Row],[Rework_Flag]]="No",1,0)</f>
        <v>0</v>
      </c>
      <c r="X1510" s="4">
        <f>IF(Table1[[#This Row],[Rework_Flag]]="Yes",1,0)</f>
        <v>1</v>
      </c>
      <c r="Y1510" s="4">
        <v>1</v>
      </c>
      <c r="Z1510" s="4" t="str">
        <f>IF(Table1[[#This Row],[TAT_Days]]&gt;Table1[[#This Row],[SLA_TAT]],"Yes","No")</f>
        <v>Yes</v>
      </c>
      <c r="AA1510" s="4" t="str" cm="1">
        <f t="array" ref="AA1510">_xlfn.IFS(Table1[[#This Row],[Customer_Satisfaction]]&lt;=2,"Poor",Table1[[#This Row],[Customer_Satisfaction]]=3,"Neutral",Table1[[#This Row],[Customer_Satisfaction]]=4,"Good",Table1[[#This Row],[Customer_Satisfaction]]=5,"Good")</f>
        <v>Poor</v>
      </c>
    </row>
    <row r="1511" spans="1:27" x14ac:dyDescent="0.35">
      <c r="A1511">
        <v>21509</v>
      </c>
      <c r="B1511" s="1">
        <v>45434</v>
      </c>
      <c r="C1511" t="s">
        <v>50</v>
      </c>
      <c r="D1511" t="s">
        <v>51</v>
      </c>
      <c r="E1511" t="s">
        <v>52</v>
      </c>
      <c r="F1511" t="s">
        <v>40</v>
      </c>
      <c r="G1511" t="s">
        <v>41</v>
      </c>
      <c r="H1511" t="s">
        <v>42</v>
      </c>
      <c r="I1511" t="s">
        <v>55</v>
      </c>
      <c r="J1511" t="s">
        <v>35</v>
      </c>
      <c r="K1511" t="s">
        <v>27</v>
      </c>
      <c r="L1511" t="s">
        <v>49</v>
      </c>
      <c r="M1511" s="4">
        <v>17</v>
      </c>
      <c r="N1511" s="4">
        <v>7</v>
      </c>
      <c r="O1511" t="s">
        <v>29</v>
      </c>
      <c r="P1511" t="s">
        <v>36</v>
      </c>
      <c r="Q1511" s="4">
        <v>149002</v>
      </c>
      <c r="R1511" s="4">
        <v>98228</v>
      </c>
      <c r="S1511" s="4">
        <f>Table1[[#This Row],[Service_Revenue]]-Table1[[#This Row],[Service_Cost]]</f>
        <v>50774</v>
      </c>
      <c r="T1511" s="4">
        <v>1</v>
      </c>
      <c r="U1511" s="4">
        <f>IF(AND(Table1[[#This Row],[Rework_Flag]]="Yes",Table1[[#This Row],[Warranty_Claim]]="No"),Table1[[#This Row],[Service_Revenue]],0)</f>
        <v>149002</v>
      </c>
      <c r="V1511" s="4">
        <f>IF(Table1[[#This Row],[Warranty_Claim]]="Yes",1,0)</f>
        <v>0</v>
      </c>
      <c r="W1511" s="4">
        <f>IF(Table1[[#This Row],[Rework_Flag]]="No",1,0)</f>
        <v>0</v>
      </c>
      <c r="X1511" s="4">
        <f>IF(Table1[[#This Row],[Rework_Flag]]="Yes",1,0)</f>
        <v>1</v>
      </c>
      <c r="Y1511" s="4">
        <v>1</v>
      </c>
      <c r="Z1511" s="4" t="str">
        <f>IF(Table1[[#This Row],[TAT_Days]]&gt;Table1[[#This Row],[SLA_TAT]],"Yes","No")</f>
        <v>Yes</v>
      </c>
      <c r="AA1511" s="4" t="str" cm="1">
        <f t="array" ref="AA1511">_xlfn.IFS(Table1[[#This Row],[Customer_Satisfaction]]&lt;=2,"Poor",Table1[[#This Row],[Customer_Satisfaction]]=3,"Neutral",Table1[[#This Row],[Customer_Satisfaction]]=4,"Good",Table1[[#This Row],[Customer_Satisfaction]]=5,"Good")</f>
        <v>Poor</v>
      </c>
    </row>
    <row r="1512" spans="1:27" x14ac:dyDescent="0.35">
      <c r="A1512">
        <v>21510</v>
      </c>
      <c r="B1512" s="1">
        <v>45370</v>
      </c>
      <c r="C1512" t="s">
        <v>37</v>
      </c>
      <c r="D1512" t="s">
        <v>64</v>
      </c>
      <c r="E1512" t="s">
        <v>72</v>
      </c>
      <c r="F1512" t="s">
        <v>53</v>
      </c>
      <c r="G1512" t="s">
        <v>54</v>
      </c>
      <c r="H1512" t="s">
        <v>42</v>
      </c>
      <c r="I1512" t="s">
        <v>55</v>
      </c>
      <c r="J1512" t="s">
        <v>43</v>
      </c>
      <c r="K1512" t="s">
        <v>61</v>
      </c>
      <c r="L1512" t="s">
        <v>49</v>
      </c>
      <c r="M1512" s="4">
        <v>13</v>
      </c>
      <c r="N1512" s="4">
        <v>7</v>
      </c>
      <c r="O1512" t="s">
        <v>36</v>
      </c>
      <c r="P1512" t="s">
        <v>36</v>
      </c>
      <c r="Q1512" s="4">
        <v>541217</v>
      </c>
      <c r="R1512" s="4">
        <v>393199</v>
      </c>
      <c r="S1512" s="4">
        <f>Table1[[#This Row],[Service_Revenue]]-Table1[[#This Row],[Service_Cost]]</f>
        <v>148018</v>
      </c>
      <c r="T1512" s="4">
        <v>3</v>
      </c>
      <c r="U1512" s="4">
        <f>IF(AND(Table1[[#This Row],[Rework_Flag]]="Yes",Table1[[#This Row],[Warranty_Claim]]="No"),Table1[[#This Row],[Service_Revenue]],0)</f>
        <v>0</v>
      </c>
      <c r="V1512" s="4">
        <f>IF(Table1[[#This Row],[Warranty_Claim]]="Yes",1,0)</f>
        <v>0</v>
      </c>
      <c r="W1512" s="4">
        <f>IF(Table1[[#This Row],[Rework_Flag]]="No",1,0)</f>
        <v>1</v>
      </c>
      <c r="X1512" s="4">
        <f>IF(Table1[[#This Row],[Rework_Flag]]="Yes",1,0)</f>
        <v>0</v>
      </c>
      <c r="Y1512" s="4">
        <v>1</v>
      </c>
      <c r="Z1512" s="4" t="str">
        <f>IF(Table1[[#This Row],[TAT_Days]]&gt;Table1[[#This Row],[SLA_TAT]],"Yes","No")</f>
        <v>Yes</v>
      </c>
      <c r="AA1512" s="4" t="str" cm="1">
        <f t="array" ref="AA1512">_xlfn.IFS(Table1[[#This Row],[Customer_Satisfaction]]&lt;=2,"Poor",Table1[[#This Row],[Customer_Satisfaction]]=3,"Neutral",Table1[[#This Row],[Customer_Satisfaction]]=4,"Good",Table1[[#This Row],[Customer_Satisfaction]]=5,"Good")</f>
        <v>Neutral</v>
      </c>
    </row>
    <row r="1513" spans="1:27" x14ac:dyDescent="0.35">
      <c r="A1513">
        <v>21511</v>
      </c>
      <c r="B1513" s="1">
        <v>45428</v>
      </c>
      <c r="C1513" t="s">
        <v>19</v>
      </c>
      <c r="D1513" t="s">
        <v>45</v>
      </c>
      <c r="E1513" t="s">
        <v>76</v>
      </c>
      <c r="F1513" t="s">
        <v>40</v>
      </c>
      <c r="G1513" t="s">
        <v>63</v>
      </c>
      <c r="H1513" t="s">
        <v>24</v>
      </c>
      <c r="I1513" t="s">
        <v>55</v>
      </c>
      <c r="J1513" t="s">
        <v>43</v>
      </c>
      <c r="K1513" t="s">
        <v>61</v>
      </c>
      <c r="L1513" t="s">
        <v>28</v>
      </c>
      <c r="M1513" s="4">
        <v>21</v>
      </c>
      <c r="N1513" s="4">
        <v>7</v>
      </c>
      <c r="O1513" t="s">
        <v>29</v>
      </c>
      <c r="P1513" t="s">
        <v>36</v>
      </c>
      <c r="Q1513" s="4">
        <v>305534</v>
      </c>
      <c r="R1513" s="4">
        <v>238067</v>
      </c>
      <c r="S1513" s="4">
        <f>Table1[[#This Row],[Service_Revenue]]-Table1[[#This Row],[Service_Cost]]</f>
        <v>67467</v>
      </c>
      <c r="T1513" s="4">
        <v>1</v>
      </c>
      <c r="U1513" s="4">
        <f>IF(AND(Table1[[#This Row],[Rework_Flag]]="Yes",Table1[[#This Row],[Warranty_Claim]]="No"),Table1[[#This Row],[Service_Revenue]],0)</f>
        <v>305534</v>
      </c>
      <c r="V1513" s="4">
        <f>IF(Table1[[#This Row],[Warranty_Claim]]="Yes",1,0)</f>
        <v>0</v>
      </c>
      <c r="W1513" s="4">
        <f>IF(Table1[[#This Row],[Rework_Flag]]="No",1,0)</f>
        <v>0</v>
      </c>
      <c r="X1513" s="4">
        <f>IF(Table1[[#This Row],[Rework_Flag]]="Yes",1,0)</f>
        <v>1</v>
      </c>
      <c r="Y1513" s="4">
        <v>1</v>
      </c>
      <c r="Z1513" s="4" t="str">
        <f>IF(Table1[[#This Row],[TAT_Days]]&gt;Table1[[#This Row],[SLA_TAT]],"Yes","No")</f>
        <v>Yes</v>
      </c>
      <c r="AA1513" s="4" t="str" cm="1">
        <f t="array" ref="AA1513">_xlfn.IFS(Table1[[#This Row],[Customer_Satisfaction]]&lt;=2,"Poor",Table1[[#This Row],[Customer_Satisfaction]]=3,"Neutral",Table1[[#This Row],[Customer_Satisfaction]]=4,"Good",Table1[[#This Row],[Customer_Satisfaction]]=5,"Good")</f>
        <v>Poor</v>
      </c>
    </row>
    <row r="1514" spans="1:27" x14ac:dyDescent="0.35">
      <c r="A1514">
        <v>21512</v>
      </c>
      <c r="B1514" s="1">
        <v>45359</v>
      </c>
      <c r="C1514" t="s">
        <v>19</v>
      </c>
      <c r="D1514" t="s">
        <v>45</v>
      </c>
      <c r="E1514" t="s">
        <v>46</v>
      </c>
      <c r="F1514" t="s">
        <v>40</v>
      </c>
      <c r="G1514" t="s">
        <v>33</v>
      </c>
      <c r="H1514" t="s">
        <v>34</v>
      </c>
      <c r="I1514" t="s">
        <v>25</v>
      </c>
      <c r="J1514" t="s">
        <v>26</v>
      </c>
      <c r="K1514" t="s">
        <v>61</v>
      </c>
      <c r="L1514" t="s">
        <v>49</v>
      </c>
      <c r="M1514" s="4">
        <v>24</v>
      </c>
      <c r="N1514" s="4">
        <v>7</v>
      </c>
      <c r="O1514" t="s">
        <v>29</v>
      </c>
      <c r="P1514" t="s">
        <v>36</v>
      </c>
      <c r="Q1514" s="4">
        <v>559440</v>
      </c>
      <c r="R1514" s="4">
        <v>412844</v>
      </c>
      <c r="S1514" s="4">
        <f>Table1[[#This Row],[Service_Revenue]]-Table1[[#This Row],[Service_Cost]]</f>
        <v>146596</v>
      </c>
      <c r="T1514" s="4">
        <v>1</v>
      </c>
      <c r="U1514" s="4">
        <f>IF(AND(Table1[[#This Row],[Rework_Flag]]="Yes",Table1[[#This Row],[Warranty_Claim]]="No"),Table1[[#This Row],[Service_Revenue]],0)</f>
        <v>559440</v>
      </c>
      <c r="V1514" s="4">
        <f>IF(Table1[[#This Row],[Warranty_Claim]]="Yes",1,0)</f>
        <v>0</v>
      </c>
      <c r="W1514" s="4">
        <f>IF(Table1[[#This Row],[Rework_Flag]]="No",1,0)</f>
        <v>0</v>
      </c>
      <c r="X1514" s="4">
        <f>IF(Table1[[#This Row],[Rework_Flag]]="Yes",1,0)</f>
        <v>1</v>
      </c>
      <c r="Y1514" s="4">
        <v>1</v>
      </c>
      <c r="Z1514" s="4" t="str">
        <f>IF(Table1[[#This Row],[TAT_Days]]&gt;Table1[[#This Row],[SLA_TAT]],"Yes","No")</f>
        <v>Yes</v>
      </c>
      <c r="AA1514" s="4" t="str" cm="1">
        <f t="array" ref="AA1514">_xlfn.IFS(Table1[[#This Row],[Customer_Satisfaction]]&lt;=2,"Poor",Table1[[#This Row],[Customer_Satisfaction]]=3,"Neutral",Table1[[#This Row],[Customer_Satisfaction]]=4,"Good",Table1[[#This Row],[Customer_Satisfaction]]=5,"Good")</f>
        <v>Poor</v>
      </c>
    </row>
    <row r="1515" spans="1:27" x14ac:dyDescent="0.35">
      <c r="A1515">
        <v>21513</v>
      </c>
      <c r="B1515" s="1">
        <v>45347</v>
      </c>
      <c r="C1515" t="s">
        <v>37</v>
      </c>
      <c r="D1515" t="s">
        <v>38</v>
      </c>
      <c r="E1515" t="s">
        <v>93</v>
      </c>
      <c r="F1515" t="s">
        <v>22</v>
      </c>
      <c r="G1515" t="s">
        <v>47</v>
      </c>
      <c r="H1515" t="s">
        <v>48</v>
      </c>
      <c r="I1515" t="s">
        <v>25</v>
      </c>
      <c r="J1515" t="s">
        <v>67</v>
      </c>
      <c r="K1515" t="s">
        <v>27</v>
      </c>
      <c r="L1515" t="s">
        <v>49</v>
      </c>
      <c r="M1515" s="4">
        <v>10</v>
      </c>
      <c r="N1515" s="4">
        <v>7</v>
      </c>
      <c r="O1515" t="s">
        <v>29</v>
      </c>
      <c r="P1515" t="s">
        <v>29</v>
      </c>
      <c r="Q1515" s="4">
        <v>459442</v>
      </c>
      <c r="R1515" s="4">
        <v>248798</v>
      </c>
      <c r="S1515" s="4">
        <f>Table1[[#This Row],[Service_Revenue]]-Table1[[#This Row],[Service_Cost]]</f>
        <v>210644</v>
      </c>
      <c r="T1515" s="4">
        <v>2</v>
      </c>
      <c r="U1515" s="4">
        <f>IF(AND(Table1[[#This Row],[Rework_Flag]]="Yes",Table1[[#This Row],[Warranty_Claim]]="No"),Table1[[#This Row],[Service_Revenue]],0)</f>
        <v>0</v>
      </c>
      <c r="V1515" s="4">
        <f>IF(Table1[[#This Row],[Warranty_Claim]]="Yes",1,0)</f>
        <v>1</v>
      </c>
      <c r="W1515" s="4">
        <f>IF(Table1[[#This Row],[Rework_Flag]]="No",1,0)</f>
        <v>0</v>
      </c>
      <c r="X1515" s="4">
        <f>IF(Table1[[#This Row],[Rework_Flag]]="Yes",1,0)</f>
        <v>1</v>
      </c>
      <c r="Y1515" s="4">
        <v>1</v>
      </c>
      <c r="Z1515" s="4" t="str">
        <f>IF(Table1[[#This Row],[TAT_Days]]&gt;Table1[[#This Row],[SLA_TAT]],"Yes","No")</f>
        <v>Yes</v>
      </c>
      <c r="AA1515" s="4" t="str" cm="1">
        <f t="array" ref="AA1515">_xlfn.IFS(Table1[[#This Row],[Customer_Satisfaction]]&lt;=2,"Poor",Table1[[#This Row],[Customer_Satisfaction]]=3,"Neutral",Table1[[#This Row],[Customer_Satisfaction]]=4,"Good",Table1[[#This Row],[Customer_Satisfaction]]=5,"Good")</f>
        <v>Poor</v>
      </c>
    </row>
    <row r="1516" spans="1:27" x14ac:dyDescent="0.35">
      <c r="A1516">
        <v>21514</v>
      </c>
      <c r="B1516" s="1">
        <v>45443</v>
      </c>
      <c r="C1516" t="s">
        <v>30</v>
      </c>
      <c r="D1516" t="s">
        <v>59</v>
      </c>
      <c r="E1516" t="s">
        <v>94</v>
      </c>
      <c r="F1516" t="s">
        <v>22</v>
      </c>
      <c r="G1516" t="s">
        <v>47</v>
      </c>
      <c r="H1516" t="s">
        <v>48</v>
      </c>
      <c r="I1516" t="s">
        <v>55</v>
      </c>
      <c r="J1516" t="s">
        <v>58</v>
      </c>
      <c r="K1516" t="s">
        <v>27</v>
      </c>
      <c r="L1516" t="s">
        <v>49</v>
      </c>
      <c r="M1516" s="4">
        <v>7</v>
      </c>
      <c r="N1516" s="4">
        <v>7</v>
      </c>
      <c r="O1516" t="s">
        <v>29</v>
      </c>
      <c r="P1516" t="s">
        <v>36</v>
      </c>
      <c r="Q1516" s="4">
        <v>281510</v>
      </c>
      <c r="R1516" s="4">
        <v>155168</v>
      </c>
      <c r="S1516" s="4">
        <f>Table1[[#This Row],[Service_Revenue]]-Table1[[#This Row],[Service_Cost]]</f>
        <v>126342</v>
      </c>
      <c r="T1516" s="4">
        <v>3</v>
      </c>
      <c r="U1516" s="4">
        <f>IF(AND(Table1[[#This Row],[Rework_Flag]]="Yes",Table1[[#This Row],[Warranty_Claim]]="No"),Table1[[#This Row],[Service_Revenue]],0)</f>
        <v>281510</v>
      </c>
      <c r="V1516" s="4">
        <f>IF(Table1[[#This Row],[Warranty_Claim]]="Yes",1,0)</f>
        <v>0</v>
      </c>
      <c r="W1516" s="4">
        <f>IF(Table1[[#This Row],[Rework_Flag]]="No",1,0)</f>
        <v>0</v>
      </c>
      <c r="X1516" s="4">
        <f>IF(Table1[[#This Row],[Rework_Flag]]="Yes",1,0)</f>
        <v>1</v>
      </c>
      <c r="Y1516" s="4">
        <v>1</v>
      </c>
      <c r="Z1516" s="4" t="str">
        <f>IF(Table1[[#This Row],[TAT_Days]]&gt;Table1[[#This Row],[SLA_TAT]],"Yes","No")</f>
        <v>No</v>
      </c>
      <c r="AA1516" s="4" t="str" cm="1">
        <f t="array" ref="AA1516">_xlfn.IFS(Table1[[#This Row],[Customer_Satisfaction]]&lt;=2,"Poor",Table1[[#This Row],[Customer_Satisfaction]]=3,"Neutral",Table1[[#This Row],[Customer_Satisfaction]]=4,"Good",Table1[[#This Row],[Customer_Satisfaction]]=5,"Good")</f>
        <v>Neutral</v>
      </c>
    </row>
    <row r="1517" spans="1:27" x14ac:dyDescent="0.35">
      <c r="A1517">
        <v>21515</v>
      </c>
      <c r="B1517" s="1">
        <v>45303</v>
      </c>
      <c r="C1517" t="s">
        <v>30</v>
      </c>
      <c r="D1517" t="s">
        <v>83</v>
      </c>
      <c r="E1517" t="s">
        <v>90</v>
      </c>
      <c r="F1517" t="s">
        <v>53</v>
      </c>
      <c r="G1517" t="s">
        <v>54</v>
      </c>
      <c r="H1517" t="s">
        <v>42</v>
      </c>
      <c r="I1517" t="s">
        <v>55</v>
      </c>
      <c r="J1517" t="s">
        <v>26</v>
      </c>
      <c r="K1517" t="s">
        <v>44</v>
      </c>
      <c r="L1517" t="s">
        <v>28</v>
      </c>
      <c r="M1517" s="4">
        <v>7</v>
      </c>
      <c r="N1517" s="4">
        <v>7</v>
      </c>
      <c r="O1517" t="s">
        <v>36</v>
      </c>
      <c r="P1517" t="s">
        <v>29</v>
      </c>
      <c r="Q1517" s="4">
        <v>132448</v>
      </c>
      <c r="R1517" s="4">
        <v>87758</v>
      </c>
      <c r="S1517" s="4">
        <f>Table1[[#This Row],[Service_Revenue]]-Table1[[#This Row],[Service_Cost]]</f>
        <v>44690</v>
      </c>
      <c r="T1517" s="4">
        <v>4</v>
      </c>
      <c r="U1517" s="4">
        <f>IF(AND(Table1[[#This Row],[Rework_Flag]]="Yes",Table1[[#This Row],[Warranty_Claim]]="No"),Table1[[#This Row],[Service_Revenue]],0)</f>
        <v>0</v>
      </c>
      <c r="V1517" s="4">
        <f>IF(Table1[[#This Row],[Warranty_Claim]]="Yes",1,0)</f>
        <v>1</v>
      </c>
      <c r="W1517" s="4">
        <f>IF(Table1[[#This Row],[Rework_Flag]]="No",1,0)</f>
        <v>1</v>
      </c>
      <c r="X1517" s="4">
        <f>IF(Table1[[#This Row],[Rework_Flag]]="Yes",1,0)</f>
        <v>0</v>
      </c>
      <c r="Y1517" s="4">
        <v>1</v>
      </c>
      <c r="Z1517" s="4" t="str">
        <f>IF(Table1[[#This Row],[TAT_Days]]&gt;Table1[[#This Row],[SLA_TAT]],"Yes","No")</f>
        <v>No</v>
      </c>
      <c r="AA1517" s="4" t="str" cm="1">
        <f t="array" ref="AA1517">_xlfn.IFS(Table1[[#This Row],[Customer_Satisfaction]]&lt;=2,"Poor",Table1[[#This Row],[Customer_Satisfaction]]=3,"Neutral",Table1[[#This Row],[Customer_Satisfaction]]=4,"Good",Table1[[#This Row],[Customer_Satisfaction]]=5,"Good")</f>
        <v>Good</v>
      </c>
    </row>
    <row r="1518" spans="1:27" x14ac:dyDescent="0.35">
      <c r="A1518">
        <v>21516</v>
      </c>
      <c r="B1518" s="1">
        <v>45365</v>
      </c>
      <c r="C1518" t="s">
        <v>30</v>
      </c>
      <c r="D1518" t="s">
        <v>83</v>
      </c>
      <c r="E1518" t="s">
        <v>90</v>
      </c>
      <c r="F1518" t="s">
        <v>40</v>
      </c>
      <c r="G1518" t="s">
        <v>54</v>
      </c>
      <c r="H1518" t="s">
        <v>42</v>
      </c>
      <c r="I1518" t="s">
        <v>25</v>
      </c>
      <c r="J1518" t="s">
        <v>58</v>
      </c>
      <c r="K1518" t="s">
        <v>27</v>
      </c>
      <c r="L1518" t="s">
        <v>28</v>
      </c>
      <c r="M1518" s="4">
        <v>5</v>
      </c>
      <c r="N1518" s="4">
        <v>7</v>
      </c>
      <c r="O1518" t="s">
        <v>36</v>
      </c>
      <c r="P1518" t="s">
        <v>36</v>
      </c>
      <c r="Q1518" s="4">
        <v>531602</v>
      </c>
      <c r="R1518" s="4">
        <v>357937</v>
      </c>
      <c r="S1518" s="4">
        <f>Table1[[#This Row],[Service_Revenue]]-Table1[[#This Row],[Service_Cost]]</f>
        <v>173665</v>
      </c>
      <c r="T1518" s="4">
        <v>4</v>
      </c>
      <c r="U1518" s="4">
        <f>IF(AND(Table1[[#This Row],[Rework_Flag]]="Yes",Table1[[#This Row],[Warranty_Claim]]="No"),Table1[[#This Row],[Service_Revenue]],0)</f>
        <v>0</v>
      </c>
      <c r="V1518" s="4">
        <f>IF(Table1[[#This Row],[Warranty_Claim]]="Yes",1,0)</f>
        <v>0</v>
      </c>
      <c r="W1518" s="4">
        <f>IF(Table1[[#This Row],[Rework_Flag]]="No",1,0)</f>
        <v>1</v>
      </c>
      <c r="X1518" s="4">
        <f>IF(Table1[[#This Row],[Rework_Flag]]="Yes",1,0)</f>
        <v>0</v>
      </c>
      <c r="Y1518" s="4">
        <v>1</v>
      </c>
      <c r="Z1518" s="4" t="str">
        <f>IF(Table1[[#This Row],[TAT_Days]]&gt;Table1[[#This Row],[SLA_TAT]],"Yes","No")</f>
        <v>No</v>
      </c>
      <c r="AA1518" s="4" t="str" cm="1">
        <f t="array" ref="AA1518">_xlfn.IFS(Table1[[#This Row],[Customer_Satisfaction]]&lt;=2,"Poor",Table1[[#This Row],[Customer_Satisfaction]]=3,"Neutral",Table1[[#This Row],[Customer_Satisfaction]]=4,"Good",Table1[[#This Row],[Customer_Satisfaction]]=5,"Good")</f>
        <v>Good</v>
      </c>
    </row>
    <row r="1519" spans="1:27" x14ac:dyDescent="0.35">
      <c r="A1519">
        <v>21517</v>
      </c>
      <c r="B1519" s="1">
        <v>45328</v>
      </c>
      <c r="C1519" t="s">
        <v>30</v>
      </c>
      <c r="D1519" t="s">
        <v>31</v>
      </c>
      <c r="E1519" t="s">
        <v>122</v>
      </c>
      <c r="F1519" t="s">
        <v>22</v>
      </c>
      <c r="G1519" t="s">
        <v>54</v>
      </c>
      <c r="H1519" t="s">
        <v>42</v>
      </c>
      <c r="I1519" t="s">
        <v>25</v>
      </c>
      <c r="J1519" t="s">
        <v>43</v>
      </c>
      <c r="K1519" t="s">
        <v>44</v>
      </c>
      <c r="L1519" t="s">
        <v>28</v>
      </c>
      <c r="M1519" s="4">
        <v>2</v>
      </c>
      <c r="N1519" s="4">
        <v>7</v>
      </c>
      <c r="O1519" t="s">
        <v>29</v>
      </c>
      <c r="P1519" t="s">
        <v>29</v>
      </c>
      <c r="Q1519" s="4">
        <v>140694</v>
      </c>
      <c r="R1519" s="4">
        <v>114182</v>
      </c>
      <c r="S1519" s="4">
        <f>Table1[[#This Row],[Service_Revenue]]-Table1[[#This Row],[Service_Cost]]</f>
        <v>26512</v>
      </c>
      <c r="T1519" s="4">
        <v>4</v>
      </c>
      <c r="U1519" s="4">
        <f>IF(AND(Table1[[#This Row],[Rework_Flag]]="Yes",Table1[[#This Row],[Warranty_Claim]]="No"),Table1[[#This Row],[Service_Revenue]],0)</f>
        <v>0</v>
      </c>
      <c r="V1519" s="4">
        <f>IF(Table1[[#This Row],[Warranty_Claim]]="Yes",1,0)</f>
        <v>1</v>
      </c>
      <c r="W1519" s="4">
        <f>IF(Table1[[#This Row],[Rework_Flag]]="No",1,0)</f>
        <v>0</v>
      </c>
      <c r="X1519" s="4">
        <f>IF(Table1[[#This Row],[Rework_Flag]]="Yes",1,0)</f>
        <v>1</v>
      </c>
      <c r="Y1519" s="4">
        <v>1</v>
      </c>
      <c r="Z1519" s="4" t="str">
        <f>IF(Table1[[#This Row],[TAT_Days]]&gt;Table1[[#This Row],[SLA_TAT]],"Yes","No")</f>
        <v>No</v>
      </c>
      <c r="AA1519" s="4" t="str" cm="1">
        <f t="array" ref="AA1519">_xlfn.IFS(Table1[[#This Row],[Customer_Satisfaction]]&lt;=2,"Poor",Table1[[#This Row],[Customer_Satisfaction]]=3,"Neutral",Table1[[#This Row],[Customer_Satisfaction]]=4,"Good",Table1[[#This Row],[Customer_Satisfaction]]=5,"Good")</f>
        <v>Good</v>
      </c>
    </row>
    <row r="1520" spans="1:27" x14ac:dyDescent="0.35">
      <c r="A1520">
        <v>21518</v>
      </c>
      <c r="B1520" s="1">
        <v>45342</v>
      </c>
      <c r="C1520" t="s">
        <v>30</v>
      </c>
      <c r="D1520" t="s">
        <v>83</v>
      </c>
      <c r="E1520" t="s">
        <v>95</v>
      </c>
      <c r="F1520" t="s">
        <v>53</v>
      </c>
      <c r="G1520" t="s">
        <v>63</v>
      </c>
      <c r="H1520" t="s">
        <v>24</v>
      </c>
      <c r="I1520" t="s">
        <v>55</v>
      </c>
      <c r="J1520" t="s">
        <v>35</v>
      </c>
      <c r="K1520" t="s">
        <v>27</v>
      </c>
      <c r="L1520" t="s">
        <v>49</v>
      </c>
      <c r="M1520" s="4">
        <v>16</v>
      </c>
      <c r="N1520" s="4">
        <v>7</v>
      </c>
      <c r="O1520" t="s">
        <v>29</v>
      </c>
      <c r="P1520" t="s">
        <v>36</v>
      </c>
      <c r="Q1520" s="4">
        <v>396078</v>
      </c>
      <c r="R1520" s="4">
        <v>264659</v>
      </c>
      <c r="S1520" s="4">
        <f>Table1[[#This Row],[Service_Revenue]]-Table1[[#This Row],[Service_Cost]]</f>
        <v>131419</v>
      </c>
      <c r="T1520" s="4">
        <v>1</v>
      </c>
      <c r="U1520" s="4">
        <f>IF(AND(Table1[[#This Row],[Rework_Flag]]="Yes",Table1[[#This Row],[Warranty_Claim]]="No"),Table1[[#This Row],[Service_Revenue]],0)</f>
        <v>396078</v>
      </c>
      <c r="V1520" s="4">
        <f>IF(Table1[[#This Row],[Warranty_Claim]]="Yes",1,0)</f>
        <v>0</v>
      </c>
      <c r="W1520" s="4">
        <f>IF(Table1[[#This Row],[Rework_Flag]]="No",1,0)</f>
        <v>0</v>
      </c>
      <c r="X1520" s="4">
        <f>IF(Table1[[#This Row],[Rework_Flag]]="Yes",1,0)</f>
        <v>1</v>
      </c>
      <c r="Y1520" s="4">
        <v>1</v>
      </c>
      <c r="Z1520" s="4" t="str">
        <f>IF(Table1[[#This Row],[TAT_Days]]&gt;Table1[[#This Row],[SLA_TAT]],"Yes","No")</f>
        <v>Yes</v>
      </c>
      <c r="AA1520" s="4" t="str" cm="1">
        <f t="array" ref="AA1520">_xlfn.IFS(Table1[[#This Row],[Customer_Satisfaction]]&lt;=2,"Poor",Table1[[#This Row],[Customer_Satisfaction]]=3,"Neutral",Table1[[#This Row],[Customer_Satisfaction]]=4,"Good",Table1[[#This Row],[Customer_Satisfaction]]=5,"Good")</f>
        <v>Poor</v>
      </c>
    </row>
    <row r="1521" spans="1:27" x14ac:dyDescent="0.35">
      <c r="A1521">
        <v>21519</v>
      </c>
      <c r="B1521" s="1">
        <v>45459</v>
      </c>
      <c r="C1521" t="s">
        <v>30</v>
      </c>
      <c r="D1521" t="s">
        <v>31</v>
      </c>
      <c r="E1521" t="s">
        <v>62</v>
      </c>
      <c r="F1521" t="s">
        <v>22</v>
      </c>
      <c r="G1521" t="s">
        <v>63</v>
      </c>
      <c r="H1521" t="s">
        <v>24</v>
      </c>
      <c r="I1521" t="s">
        <v>25</v>
      </c>
      <c r="J1521" t="s">
        <v>43</v>
      </c>
      <c r="K1521" t="s">
        <v>61</v>
      </c>
      <c r="L1521" t="s">
        <v>28</v>
      </c>
      <c r="M1521" s="4">
        <v>24</v>
      </c>
      <c r="N1521" s="4">
        <v>7</v>
      </c>
      <c r="O1521" t="s">
        <v>29</v>
      </c>
      <c r="P1521" t="s">
        <v>29</v>
      </c>
      <c r="Q1521" s="4">
        <v>274948</v>
      </c>
      <c r="R1521" s="4">
        <v>190731</v>
      </c>
      <c r="S1521" s="4">
        <f>Table1[[#This Row],[Service_Revenue]]-Table1[[#This Row],[Service_Cost]]</f>
        <v>84217</v>
      </c>
      <c r="T1521" s="4">
        <v>1</v>
      </c>
      <c r="U1521" s="4">
        <f>IF(AND(Table1[[#This Row],[Rework_Flag]]="Yes",Table1[[#This Row],[Warranty_Claim]]="No"),Table1[[#This Row],[Service_Revenue]],0)</f>
        <v>0</v>
      </c>
      <c r="V1521" s="4">
        <f>IF(Table1[[#This Row],[Warranty_Claim]]="Yes",1,0)</f>
        <v>1</v>
      </c>
      <c r="W1521" s="4">
        <f>IF(Table1[[#This Row],[Rework_Flag]]="No",1,0)</f>
        <v>0</v>
      </c>
      <c r="X1521" s="4">
        <f>IF(Table1[[#This Row],[Rework_Flag]]="Yes",1,0)</f>
        <v>1</v>
      </c>
      <c r="Y1521" s="4">
        <v>1</v>
      </c>
      <c r="Z1521" s="4" t="str">
        <f>IF(Table1[[#This Row],[TAT_Days]]&gt;Table1[[#This Row],[SLA_TAT]],"Yes","No")</f>
        <v>Yes</v>
      </c>
      <c r="AA1521" s="4" t="str" cm="1">
        <f t="array" ref="AA1521">_xlfn.IFS(Table1[[#This Row],[Customer_Satisfaction]]&lt;=2,"Poor",Table1[[#This Row],[Customer_Satisfaction]]=3,"Neutral",Table1[[#This Row],[Customer_Satisfaction]]=4,"Good",Table1[[#This Row],[Customer_Satisfaction]]=5,"Good")</f>
        <v>Poor</v>
      </c>
    </row>
    <row r="1522" spans="1:27" x14ac:dyDescent="0.35">
      <c r="A1522">
        <v>21520</v>
      </c>
      <c r="B1522" s="1">
        <v>45420</v>
      </c>
      <c r="C1522" t="s">
        <v>30</v>
      </c>
      <c r="D1522" t="s">
        <v>83</v>
      </c>
      <c r="E1522" t="s">
        <v>92</v>
      </c>
      <c r="F1522" t="s">
        <v>53</v>
      </c>
      <c r="G1522" t="s">
        <v>23</v>
      </c>
      <c r="H1522" t="s">
        <v>24</v>
      </c>
      <c r="I1522" t="s">
        <v>55</v>
      </c>
      <c r="J1522" t="s">
        <v>26</v>
      </c>
      <c r="K1522" t="s">
        <v>61</v>
      </c>
      <c r="L1522" t="s">
        <v>49</v>
      </c>
      <c r="M1522" s="4">
        <v>4</v>
      </c>
      <c r="N1522" s="4">
        <v>7</v>
      </c>
      <c r="O1522" t="s">
        <v>36</v>
      </c>
      <c r="P1522" t="s">
        <v>29</v>
      </c>
      <c r="Q1522" s="4">
        <v>243109</v>
      </c>
      <c r="R1522" s="4">
        <v>172003</v>
      </c>
      <c r="S1522" s="4">
        <f>Table1[[#This Row],[Service_Revenue]]-Table1[[#This Row],[Service_Cost]]</f>
        <v>71106</v>
      </c>
      <c r="T1522" s="4">
        <v>5</v>
      </c>
      <c r="U1522" s="4">
        <f>IF(AND(Table1[[#This Row],[Rework_Flag]]="Yes",Table1[[#This Row],[Warranty_Claim]]="No"),Table1[[#This Row],[Service_Revenue]],0)</f>
        <v>0</v>
      </c>
      <c r="V1522" s="4">
        <f>IF(Table1[[#This Row],[Warranty_Claim]]="Yes",1,0)</f>
        <v>1</v>
      </c>
      <c r="W1522" s="4">
        <f>IF(Table1[[#This Row],[Rework_Flag]]="No",1,0)</f>
        <v>1</v>
      </c>
      <c r="X1522" s="4">
        <f>IF(Table1[[#This Row],[Rework_Flag]]="Yes",1,0)</f>
        <v>0</v>
      </c>
      <c r="Y1522" s="4">
        <v>1</v>
      </c>
      <c r="Z1522" s="4" t="str">
        <f>IF(Table1[[#This Row],[TAT_Days]]&gt;Table1[[#This Row],[SLA_TAT]],"Yes","No")</f>
        <v>No</v>
      </c>
      <c r="AA1522" s="4" t="str" cm="1">
        <f t="array" ref="AA1522">_xlfn.IFS(Table1[[#This Row],[Customer_Satisfaction]]&lt;=2,"Poor",Table1[[#This Row],[Customer_Satisfaction]]=3,"Neutral",Table1[[#This Row],[Customer_Satisfaction]]=4,"Good",Table1[[#This Row],[Customer_Satisfaction]]=5,"Good")</f>
        <v>Good</v>
      </c>
    </row>
    <row r="1523" spans="1:27" x14ac:dyDescent="0.35">
      <c r="A1523">
        <v>21521</v>
      </c>
      <c r="B1523" s="1">
        <v>45360</v>
      </c>
      <c r="C1523" t="s">
        <v>50</v>
      </c>
      <c r="D1523" t="s">
        <v>80</v>
      </c>
      <c r="E1523" t="s">
        <v>85</v>
      </c>
      <c r="F1523" t="s">
        <v>40</v>
      </c>
      <c r="G1523" t="s">
        <v>41</v>
      </c>
      <c r="H1523" t="s">
        <v>42</v>
      </c>
      <c r="I1523" t="s">
        <v>55</v>
      </c>
      <c r="J1523" t="s">
        <v>35</v>
      </c>
      <c r="K1523" t="s">
        <v>44</v>
      </c>
      <c r="L1523" t="s">
        <v>28</v>
      </c>
      <c r="M1523" s="4">
        <v>14</v>
      </c>
      <c r="N1523" s="4">
        <v>7</v>
      </c>
      <c r="O1523" t="s">
        <v>29</v>
      </c>
      <c r="P1523" t="s">
        <v>36</v>
      </c>
      <c r="Q1523" s="4">
        <v>100325</v>
      </c>
      <c r="R1523" s="4">
        <v>72035</v>
      </c>
      <c r="S1523" s="4">
        <f>Table1[[#This Row],[Service_Revenue]]-Table1[[#This Row],[Service_Cost]]</f>
        <v>28290</v>
      </c>
      <c r="T1523" s="4">
        <v>2</v>
      </c>
      <c r="U1523" s="4">
        <f>IF(AND(Table1[[#This Row],[Rework_Flag]]="Yes",Table1[[#This Row],[Warranty_Claim]]="No"),Table1[[#This Row],[Service_Revenue]],0)</f>
        <v>100325</v>
      </c>
      <c r="V1523" s="4">
        <f>IF(Table1[[#This Row],[Warranty_Claim]]="Yes",1,0)</f>
        <v>0</v>
      </c>
      <c r="W1523" s="4">
        <f>IF(Table1[[#This Row],[Rework_Flag]]="No",1,0)</f>
        <v>0</v>
      </c>
      <c r="X1523" s="4">
        <f>IF(Table1[[#This Row],[Rework_Flag]]="Yes",1,0)</f>
        <v>1</v>
      </c>
      <c r="Y1523" s="4">
        <v>1</v>
      </c>
      <c r="Z1523" s="4" t="str">
        <f>IF(Table1[[#This Row],[TAT_Days]]&gt;Table1[[#This Row],[SLA_TAT]],"Yes","No")</f>
        <v>Yes</v>
      </c>
      <c r="AA1523" s="4" t="str" cm="1">
        <f t="array" ref="AA1523">_xlfn.IFS(Table1[[#This Row],[Customer_Satisfaction]]&lt;=2,"Poor",Table1[[#This Row],[Customer_Satisfaction]]=3,"Neutral",Table1[[#This Row],[Customer_Satisfaction]]=4,"Good",Table1[[#This Row],[Customer_Satisfaction]]=5,"Good")</f>
        <v>Poor</v>
      </c>
    </row>
    <row r="1524" spans="1:27" x14ac:dyDescent="0.35">
      <c r="A1524">
        <v>21522</v>
      </c>
      <c r="B1524" s="1">
        <v>45339</v>
      </c>
      <c r="C1524" t="s">
        <v>50</v>
      </c>
      <c r="D1524" t="s">
        <v>56</v>
      </c>
      <c r="E1524" t="s">
        <v>101</v>
      </c>
      <c r="F1524" t="s">
        <v>40</v>
      </c>
      <c r="G1524" t="s">
        <v>54</v>
      </c>
      <c r="H1524" t="s">
        <v>42</v>
      </c>
      <c r="I1524" t="s">
        <v>55</v>
      </c>
      <c r="J1524" t="s">
        <v>43</v>
      </c>
      <c r="K1524" t="s">
        <v>27</v>
      </c>
      <c r="L1524" t="s">
        <v>28</v>
      </c>
      <c r="M1524" s="4">
        <v>17</v>
      </c>
      <c r="N1524" s="4">
        <v>7</v>
      </c>
      <c r="O1524" t="s">
        <v>29</v>
      </c>
      <c r="P1524" t="s">
        <v>36</v>
      </c>
      <c r="Q1524" s="4">
        <v>550904</v>
      </c>
      <c r="R1524" s="4">
        <v>430692</v>
      </c>
      <c r="S1524" s="4">
        <f>Table1[[#This Row],[Service_Revenue]]-Table1[[#This Row],[Service_Cost]]</f>
        <v>120212</v>
      </c>
      <c r="T1524" s="4">
        <v>1</v>
      </c>
      <c r="U1524" s="4">
        <f>IF(AND(Table1[[#This Row],[Rework_Flag]]="Yes",Table1[[#This Row],[Warranty_Claim]]="No"),Table1[[#This Row],[Service_Revenue]],0)</f>
        <v>550904</v>
      </c>
      <c r="V1524" s="4">
        <f>IF(Table1[[#This Row],[Warranty_Claim]]="Yes",1,0)</f>
        <v>0</v>
      </c>
      <c r="W1524" s="4">
        <f>IF(Table1[[#This Row],[Rework_Flag]]="No",1,0)</f>
        <v>0</v>
      </c>
      <c r="X1524" s="4">
        <f>IF(Table1[[#This Row],[Rework_Flag]]="Yes",1,0)</f>
        <v>1</v>
      </c>
      <c r="Y1524" s="4">
        <v>1</v>
      </c>
      <c r="Z1524" s="4" t="str">
        <f>IF(Table1[[#This Row],[TAT_Days]]&gt;Table1[[#This Row],[SLA_TAT]],"Yes","No")</f>
        <v>Yes</v>
      </c>
      <c r="AA1524" s="4" t="str" cm="1">
        <f t="array" ref="AA1524">_xlfn.IFS(Table1[[#This Row],[Customer_Satisfaction]]&lt;=2,"Poor",Table1[[#This Row],[Customer_Satisfaction]]=3,"Neutral",Table1[[#This Row],[Customer_Satisfaction]]=4,"Good",Table1[[#This Row],[Customer_Satisfaction]]=5,"Good")</f>
        <v>Poor</v>
      </c>
    </row>
    <row r="1525" spans="1:27" x14ac:dyDescent="0.35">
      <c r="A1525">
        <v>21523</v>
      </c>
      <c r="B1525" s="1">
        <v>45413</v>
      </c>
      <c r="C1525" t="s">
        <v>50</v>
      </c>
      <c r="D1525" t="s">
        <v>56</v>
      </c>
      <c r="E1525" t="s">
        <v>77</v>
      </c>
      <c r="F1525" t="s">
        <v>53</v>
      </c>
      <c r="G1525" t="s">
        <v>23</v>
      </c>
      <c r="H1525" t="s">
        <v>24</v>
      </c>
      <c r="I1525" t="s">
        <v>55</v>
      </c>
      <c r="J1525" t="s">
        <v>58</v>
      </c>
      <c r="K1525" t="s">
        <v>61</v>
      </c>
      <c r="L1525" t="s">
        <v>28</v>
      </c>
      <c r="M1525" s="4">
        <v>12</v>
      </c>
      <c r="N1525" s="4">
        <v>7</v>
      </c>
      <c r="O1525" t="s">
        <v>36</v>
      </c>
      <c r="P1525" t="s">
        <v>36</v>
      </c>
      <c r="Q1525" s="4">
        <v>288150</v>
      </c>
      <c r="R1525" s="4">
        <v>217516</v>
      </c>
      <c r="S1525" s="4">
        <f>Table1[[#This Row],[Service_Revenue]]-Table1[[#This Row],[Service_Cost]]</f>
        <v>70634</v>
      </c>
      <c r="T1525" s="4">
        <v>3</v>
      </c>
      <c r="U1525" s="4">
        <f>IF(AND(Table1[[#This Row],[Rework_Flag]]="Yes",Table1[[#This Row],[Warranty_Claim]]="No"),Table1[[#This Row],[Service_Revenue]],0)</f>
        <v>0</v>
      </c>
      <c r="V1525" s="4">
        <f>IF(Table1[[#This Row],[Warranty_Claim]]="Yes",1,0)</f>
        <v>0</v>
      </c>
      <c r="W1525" s="4">
        <f>IF(Table1[[#This Row],[Rework_Flag]]="No",1,0)</f>
        <v>1</v>
      </c>
      <c r="X1525" s="4">
        <f>IF(Table1[[#This Row],[Rework_Flag]]="Yes",1,0)</f>
        <v>0</v>
      </c>
      <c r="Y1525" s="4">
        <v>1</v>
      </c>
      <c r="Z1525" s="4" t="str">
        <f>IF(Table1[[#This Row],[TAT_Days]]&gt;Table1[[#This Row],[SLA_TAT]],"Yes","No")</f>
        <v>Yes</v>
      </c>
      <c r="AA1525" s="4" t="str" cm="1">
        <f t="array" ref="AA1525">_xlfn.IFS(Table1[[#This Row],[Customer_Satisfaction]]&lt;=2,"Poor",Table1[[#This Row],[Customer_Satisfaction]]=3,"Neutral",Table1[[#This Row],[Customer_Satisfaction]]=4,"Good",Table1[[#This Row],[Customer_Satisfaction]]=5,"Good")</f>
        <v>Neutral</v>
      </c>
    </row>
    <row r="1526" spans="1:27" x14ac:dyDescent="0.35">
      <c r="A1526">
        <v>21524</v>
      </c>
      <c r="B1526" s="1">
        <v>45400</v>
      </c>
      <c r="C1526" t="s">
        <v>19</v>
      </c>
      <c r="D1526" t="s">
        <v>20</v>
      </c>
      <c r="E1526" t="s">
        <v>21</v>
      </c>
      <c r="F1526" t="s">
        <v>22</v>
      </c>
      <c r="G1526" t="s">
        <v>54</v>
      </c>
      <c r="H1526" t="s">
        <v>42</v>
      </c>
      <c r="I1526" t="s">
        <v>55</v>
      </c>
      <c r="J1526" t="s">
        <v>43</v>
      </c>
      <c r="K1526" t="s">
        <v>61</v>
      </c>
      <c r="L1526" t="s">
        <v>28</v>
      </c>
      <c r="M1526" s="4">
        <v>21</v>
      </c>
      <c r="N1526" s="4">
        <v>7</v>
      </c>
      <c r="O1526" t="s">
        <v>29</v>
      </c>
      <c r="P1526" t="s">
        <v>36</v>
      </c>
      <c r="Q1526" s="4">
        <v>153911</v>
      </c>
      <c r="R1526" s="4">
        <v>86899</v>
      </c>
      <c r="S1526" s="4">
        <f>Table1[[#This Row],[Service_Revenue]]-Table1[[#This Row],[Service_Cost]]</f>
        <v>67012</v>
      </c>
      <c r="T1526" s="4">
        <v>1</v>
      </c>
      <c r="U1526" s="4">
        <f>IF(AND(Table1[[#This Row],[Rework_Flag]]="Yes",Table1[[#This Row],[Warranty_Claim]]="No"),Table1[[#This Row],[Service_Revenue]],0)</f>
        <v>153911</v>
      </c>
      <c r="V1526" s="4">
        <f>IF(Table1[[#This Row],[Warranty_Claim]]="Yes",1,0)</f>
        <v>0</v>
      </c>
      <c r="W1526" s="4">
        <f>IF(Table1[[#This Row],[Rework_Flag]]="No",1,0)</f>
        <v>0</v>
      </c>
      <c r="X1526" s="4">
        <f>IF(Table1[[#This Row],[Rework_Flag]]="Yes",1,0)</f>
        <v>1</v>
      </c>
      <c r="Y1526" s="4">
        <v>1</v>
      </c>
      <c r="Z1526" s="4" t="str">
        <f>IF(Table1[[#This Row],[TAT_Days]]&gt;Table1[[#This Row],[SLA_TAT]],"Yes","No")</f>
        <v>Yes</v>
      </c>
      <c r="AA1526" s="4" t="str" cm="1">
        <f t="array" ref="AA1526">_xlfn.IFS(Table1[[#This Row],[Customer_Satisfaction]]&lt;=2,"Poor",Table1[[#This Row],[Customer_Satisfaction]]=3,"Neutral",Table1[[#This Row],[Customer_Satisfaction]]=4,"Good",Table1[[#This Row],[Customer_Satisfaction]]=5,"Good")</f>
        <v>Poor</v>
      </c>
    </row>
    <row r="1527" spans="1:27" x14ac:dyDescent="0.35">
      <c r="A1527">
        <v>21525</v>
      </c>
      <c r="B1527" s="1">
        <v>45460</v>
      </c>
      <c r="C1527" t="s">
        <v>30</v>
      </c>
      <c r="D1527" t="s">
        <v>31</v>
      </c>
      <c r="E1527" t="s">
        <v>122</v>
      </c>
      <c r="F1527" t="s">
        <v>40</v>
      </c>
      <c r="G1527" t="s">
        <v>54</v>
      </c>
      <c r="H1527" t="s">
        <v>42</v>
      </c>
      <c r="I1527" t="s">
        <v>25</v>
      </c>
      <c r="J1527" t="s">
        <v>26</v>
      </c>
      <c r="K1527" t="s">
        <v>44</v>
      </c>
      <c r="L1527" t="s">
        <v>49</v>
      </c>
      <c r="M1527" s="4">
        <v>24</v>
      </c>
      <c r="N1527" s="4">
        <v>7</v>
      </c>
      <c r="O1527" t="s">
        <v>29</v>
      </c>
      <c r="P1527" t="s">
        <v>36</v>
      </c>
      <c r="Q1527" s="4">
        <v>140828</v>
      </c>
      <c r="R1527" s="4">
        <v>110704</v>
      </c>
      <c r="S1527" s="4">
        <f>Table1[[#This Row],[Service_Revenue]]-Table1[[#This Row],[Service_Cost]]</f>
        <v>30124</v>
      </c>
      <c r="T1527" s="4">
        <v>1</v>
      </c>
      <c r="U1527" s="4">
        <f>IF(AND(Table1[[#This Row],[Rework_Flag]]="Yes",Table1[[#This Row],[Warranty_Claim]]="No"),Table1[[#This Row],[Service_Revenue]],0)</f>
        <v>140828</v>
      </c>
      <c r="V1527" s="4">
        <f>IF(Table1[[#This Row],[Warranty_Claim]]="Yes",1,0)</f>
        <v>0</v>
      </c>
      <c r="W1527" s="4">
        <f>IF(Table1[[#This Row],[Rework_Flag]]="No",1,0)</f>
        <v>0</v>
      </c>
      <c r="X1527" s="4">
        <f>IF(Table1[[#This Row],[Rework_Flag]]="Yes",1,0)</f>
        <v>1</v>
      </c>
      <c r="Y1527" s="4">
        <v>1</v>
      </c>
      <c r="Z1527" s="4" t="str">
        <f>IF(Table1[[#This Row],[TAT_Days]]&gt;Table1[[#This Row],[SLA_TAT]],"Yes","No")</f>
        <v>Yes</v>
      </c>
      <c r="AA1527" s="4" t="str" cm="1">
        <f t="array" ref="AA1527">_xlfn.IFS(Table1[[#This Row],[Customer_Satisfaction]]&lt;=2,"Poor",Table1[[#This Row],[Customer_Satisfaction]]=3,"Neutral",Table1[[#This Row],[Customer_Satisfaction]]=4,"Good",Table1[[#This Row],[Customer_Satisfaction]]=5,"Good")</f>
        <v>Poor</v>
      </c>
    </row>
    <row r="1528" spans="1:27" x14ac:dyDescent="0.35">
      <c r="A1528">
        <v>21526</v>
      </c>
      <c r="B1528" s="1">
        <v>45397</v>
      </c>
      <c r="C1528" t="s">
        <v>37</v>
      </c>
      <c r="D1528" t="s">
        <v>38</v>
      </c>
      <c r="E1528" t="s">
        <v>112</v>
      </c>
      <c r="F1528" t="s">
        <v>22</v>
      </c>
      <c r="G1528" t="s">
        <v>54</v>
      </c>
      <c r="H1528" t="s">
        <v>42</v>
      </c>
      <c r="I1528" t="s">
        <v>55</v>
      </c>
      <c r="J1528" t="s">
        <v>35</v>
      </c>
      <c r="K1528" t="s">
        <v>61</v>
      </c>
      <c r="L1528" t="s">
        <v>28</v>
      </c>
      <c r="M1528" s="4">
        <v>22</v>
      </c>
      <c r="N1528" s="4">
        <v>7</v>
      </c>
      <c r="O1528" t="s">
        <v>36</v>
      </c>
      <c r="P1528" t="s">
        <v>36</v>
      </c>
      <c r="Q1528" s="4">
        <v>540285</v>
      </c>
      <c r="R1528" s="4">
        <v>354934</v>
      </c>
      <c r="S1528" s="4">
        <f>Table1[[#This Row],[Service_Revenue]]-Table1[[#This Row],[Service_Cost]]</f>
        <v>185351</v>
      </c>
      <c r="T1528" s="4">
        <v>1</v>
      </c>
      <c r="U1528" s="4">
        <f>IF(AND(Table1[[#This Row],[Rework_Flag]]="Yes",Table1[[#This Row],[Warranty_Claim]]="No"),Table1[[#This Row],[Service_Revenue]],0)</f>
        <v>0</v>
      </c>
      <c r="V1528" s="4">
        <f>IF(Table1[[#This Row],[Warranty_Claim]]="Yes",1,0)</f>
        <v>0</v>
      </c>
      <c r="W1528" s="4">
        <f>IF(Table1[[#This Row],[Rework_Flag]]="No",1,0)</f>
        <v>1</v>
      </c>
      <c r="X1528" s="4">
        <f>IF(Table1[[#This Row],[Rework_Flag]]="Yes",1,0)</f>
        <v>0</v>
      </c>
      <c r="Y1528" s="4">
        <v>1</v>
      </c>
      <c r="Z1528" s="4" t="str">
        <f>IF(Table1[[#This Row],[TAT_Days]]&gt;Table1[[#This Row],[SLA_TAT]],"Yes","No")</f>
        <v>Yes</v>
      </c>
      <c r="AA1528" s="4" t="str" cm="1">
        <f t="array" ref="AA1528">_xlfn.IFS(Table1[[#This Row],[Customer_Satisfaction]]&lt;=2,"Poor",Table1[[#This Row],[Customer_Satisfaction]]=3,"Neutral",Table1[[#This Row],[Customer_Satisfaction]]=4,"Good",Table1[[#This Row],[Customer_Satisfaction]]=5,"Good")</f>
        <v>Poor</v>
      </c>
    </row>
    <row r="1529" spans="1:27" x14ac:dyDescent="0.35">
      <c r="A1529">
        <v>21527</v>
      </c>
      <c r="B1529" s="1">
        <v>45440</v>
      </c>
      <c r="C1529" t="s">
        <v>50</v>
      </c>
      <c r="D1529" t="s">
        <v>51</v>
      </c>
      <c r="E1529" t="s">
        <v>120</v>
      </c>
      <c r="F1529" t="s">
        <v>40</v>
      </c>
      <c r="G1529" t="s">
        <v>74</v>
      </c>
      <c r="H1529" t="s">
        <v>34</v>
      </c>
      <c r="I1529" t="s">
        <v>55</v>
      </c>
      <c r="J1529" t="s">
        <v>35</v>
      </c>
      <c r="K1529" t="s">
        <v>61</v>
      </c>
      <c r="L1529" t="s">
        <v>28</v>
      </c>
      <c r="M1529" s="4">
        <v>9</v>
      </c>
      <c r="N1529" s="4">
        <v>7</v>
      </c>
      <c r="O1529" t="s">
        <v>29</v>
      </c>
      <c r="P1529" t="s">
        <v>36</v>
      </c>
      <c r="Q1529" s="4">
        <v>454061</v>
      </c>
      <c r="R1529" s="4">
        <v>230167</v>
      </c>
      <c r="S1529" s="4">
        <f>Table1[[#This Row],[Service_Revenue]]-Table1[[#This Row],[Service_Cost]]</f>
        <v>223894</v>
      </c>
      <c r="T1529" s="4">
        <v>3</v>
      </c>
      <c r="U1529" s="4">
        <f>IF(AND(Table1[[#This Row],[Rework_Flag]]="Yes",Table1[[#This Row],[Warranty_Claim]]="No"),Table1[[#This Row],[Service_Revenue]],0)</f>
        <v>454061</v>
      </c>
      <c r="V1529" s="4">
        <f>IF(Table1[[#This Row],[Warranty_Claim]]="Yes",1,0)</f>
        <v>0</v>
      </c>
      <c r="W1529" s="4">
        <f>IF(Table1[[#This Row],[Rework_Flag]]="No",1,0)</f>
        <v>0</v>
      </c>
      <c r="X1529" s="4">
        <f>IF(Table1[[#This Row],[Rework_Flag]]="Yes",1,0)</f>
        <v>1</v>
      </c>
      <c r="Y1529" s="4">
        <v>1</v>
      </c>
      <c r="Z1529" s="4" t="str">
        <f>IF(Table1[[#This Row],[TAT_Days]]&gt;Table1[[#This Row],[SLA_TAT]],"Yes","No")</f>
        <v>Yes</v>
      </c>
      <c r="AA1529" s="4" t="str" cm="1">
        <f t="array" ref="AA1529">_xlfn.IFS(Table1[[#This Row],[Customer_Satisfaction]]&lt;=2,"Poor",Table1[[#This Row],[Customer_Satisfaction]]=3,"Neutral",Table1[[#This Row],[Customer_Satisfaction]]=4,"Good",Table1[[#This Row],[Customer_Satisfaction]]=5,"Good")</f>
        <v>Neutral</v>
      </c>
    </row>
    <row r="1530" spans="1:27" x14ac:dyDescent="0.35">
      <c r="A1530">
        <v>21528</v>
      </c>
      <c r="B1530" s="1">
        <v>45432</v>
      </c>
      <c r="C1530" t="s">
        <v>30</v>
      </c>
      <c r="D1530" t="s">
        <v>59</v>
      </c>
      <c r="E1530" t="s">
        <v>94</v>
      </c>
      <c r="F1530" t="s">
        <v>40</v>
      </c>
      <c r="G1530" t="s">
        <v>41</v>
      </c>
      <c r="H1530" t="s">
        <v>42</v>
      </c>
      <c r="I1530" t="s">
        <v>55</v>
      </c>
      <c r="J1530" t="s">
        <v>35</v>
      </c>
      <c r="K1530" t="s">
        <v>27</v>
      </c>
      <c r="L1530" t="s">
        <v>28</v>
      </c>
      <c r="M1530" s="4">
        <v>20</v>
      </c>
      <c r="N1530" s="4">
        <v>7</v>
      </c>
      <c r="O1530" t="s">
        <v>29</v>
      </c>
      <c r="P1530" t="s">
        <v>29</v>
      </c>
      <c r="Q1530" s="4">
        <v>206291</v>
      </c>
      <c r="R1530" s="4">
        <v>162255</v>
      </c>
      <c r="S1530" s="4">
        <f>Table1[[#This Row],[Service_Revenue]]-Table1[[#This Row],[Service_Cost]]</f>
        <v>44036</v>
      </c>
      <c r="T1530" s="4">
        <v>1</v>
      </c>
      <c r="U1530" s="4">
        <f>IF(AND(Table1[[#This Row],[Rework_Flag]]="Yes",Table1[[#This Row],[Warranty_Claim]]="No"),Table1[[#This Row],[Service_Revenue]],0)</f>
        <v>0</v>
      </c>
      <c r="V1530" s="4">
        <f>IF(Table1[[#This Row],[Warranty_Claim]]="Yes",1,0)</f>
        <v>1</v>
      </c>
      <c r="W1530" s="4">
        <f>IF(Table1[[#This Row],[Rework_Flag]]="No",1,0)</f>
        <v>0</v>
      </c>
      <c r="X1530" s="4">
        <f>IF(Table1[[#This Row],[Rework_Flag]]="Yes",1,0)</f>
        <v>1</v>
      </c>
      <c r="Y1530" s="4">
        <v>1</v>
      </c>
      <c r="Z1530" s="4" t="str">
        <f>IF(Table1[[#This Row],[TAT_Days]]&gt;Table1[[#This Row],[SLA_TAT]],"Yes","No")</f>
        <v>Yes</v>
      </c>
      <c r="AA1530" s="4" t="str" cm="1">
        <f t="array" ref="AA1530">_xlfn.IFS(Table1[[#This Row],[Customer_Satisfaction]]&lt;=2,"Poor",Table1[[#This Row],[Customer_Satisfaction]]=3,"Neutral",Table1[[#This Row],[Customer_Satisfaction]]=4,"Good",Table1[[#This Row],[Customer_Satisfaction]]=5,"Good")</f>
        <v>Poor</v>
      </c>
    </row>
    <row r="1531" spans="1:27" x14ac:dyDescent="0.35">
      <c r="A1531">
        <v>21529</v>
      </c>
      <c r="B1531" s="1">
        <v>45400</v>
      </c>
      <c r="C1531" t="s">
        <v>30</v>
      </c>
      <c r="D1531" t="s">
        <v>83</v>
      </c>
      <c r="E1531" t="s">
        <v>95</v>
      </c>
      <c r="F1531" t="s">
        <v>40</v>
      </c>
      <c r="G1531" t="s">
        <v>47</v>
      </c>
      <c r="H1531" t="s">
        <v>48</v>
      </c>
      <c r="I1531" t="s">
        <v>25</v>
      </c>
      <c r="J1531" t="s">
        <v>43</v>
      </c>
      <c r="K1531" t="s">
        <v>44</v>
      </c>
      <c r="L1531" t="s">
        <v>28</v>
      </c>
      <c r="M1531" s="4">
        <v>22</v>
      </c>
      <c r="N1531" s="4">
        <v>7</v>
      </c>
      <c r="O1531" t="s">
        <v>29</v>
      </c>
      <c r="P1531" t="s">
        <v>36</v>
      </c>
      <c r="Q1531" s="4">
        <v>555722</v>
      </c>
      <c r="R1531" s="4">
        <v>300987</v>
      </c>
      <c r="S1531" s="4">
        <f>Table1[[#This Row],[Service_Revenue]]-Table1[[#This Row],[Service_Cost]]</f>
        <v>254735</v>
      </c>
      <c r="T1531" s="4">
        <v>1</v>
      </c>
      <c r="U1531" s="4">
        <f>IF(AND(Table1[[#This Row],[Rework_Flag]]="Yes",Table1[[#This Row],[Warranty_Claim]]="No"),Table1[[#This Row],[Service_Revenue]],0)</f>
        <v>555722</v>
      </c>
      <c r="V1531" s="4">
        <f>IF(Table1[[#This Row],[Warranty_Claim]]="Yes",1,0)</f>
        <v>0</v>
      </c>
      <c r="W1531" s="4">
        <f>IF(Table1[[#This Row],[Rework_Flag]]="No",1,0)</f>
        <v>0</v>
      </c>
      <c r="X1531" s="4">
        <f>IF(Table1[[#This Row],[Rework_Flag]]="Yes",1,0)</f>
        <v>1</v>
      </c>
      <c r="Y1531" s="4">
        <v>1</v>
      </c>
      <c r="Z1531" s="4" t="str">
        <f>IF(Table1[[#This Row],[TAT_Days]]&gt;Table1[[#This Row],[SLA_TAT]],"Yes","No")</f>
        <v>Yes</v>
      </c>
      <c r="AA1531" s="4" t="str" cm="1">
        <f t="array" ref="AA1531">_xlfn.IFS(Table1[[#This Row],[Customer_Satisfaction]]&lt;=2,"Poor",Table1[[#This Row],[Customer_Satisfaction]]=3,"Neutral",Table1[[#This Row],[Customer_Satisfaction]]=4,"Good",Table1[[#This Row],[Customer_Satisfaction]]=5,"Good")</f>
        <v>Poor</v>
      </c>
    </row>
    <row r="1532" spans="1:27" x14ac:dyDescent="0.35">
      <c r="A1532">
        <v>21530</v>
      </c>
      <c r="B1532" s="1">
        <v>45363</v>
      </c>
      <c r="C1532" t="s">
        <v>37</v>
      </c>
      <c r="D1532" t="s">
        <v>38</v>
      </c>
      <c r="E1532" t="s">
        <v>102</v>
      </c>
      <c r="F1532" t="s">
        <v>53</v>
      </c>
      <c r="G1532" t="s">
        <v>23</v>
      </c>
      <c r="H1532" t="s">
        <v>24</v>
      </c>
      <c r="I1532" t="s">
        <v>25</v>
      </c>
      <c r="J1532" t="s">
        <v>26</v>
      </c>
      <c r="K1532" t="s">
        <v>61</v>
      </c>
      <c r="L1532" t="s">
        <v>49</v>
      </c>
      <c r="M1532" s="4">
        <v>15</v>
      </c>
      <c r="N1532" s="4">
        <v>7</v>
      </c>
      <c r="O1532" t="s">
        <v>29</v>
      </c>
      <c r="P1532" t="s">
        <v>36</v>
      </c>
      <c r="Q1532" s="4">
        <v>453077</v>
      </c>
      <c r="R1532" s="4">
        <v>339281</v>
      </c>
      <c r="S1532" s="4">
        <f>Table1[[#This Row],[Service_Revenue]]-Table1[[#This Row],[Service_Cost]]</f>
        <v>113796</v>
      </c>
      <c r="T1532" s="4">
        <v>1</v>
      </c>
      <c r="U1532" s="4">
        <f>IF(AND(Table1[[#This Row],[Rework_Flag]]="Yes",Table1[[#This Row],[Warranty_Claim]]="No"),Table1[[#This Row],[Service_Revenue]],0)</f>
        <v>453077</v>
      </c>
      <c r="V1532" s="4">
        <f>IF(Table1[[#This Row],[Warranty_Claim]]="Yes",1,0)</f>
        <v>0</v>
      </c>
      <c r="W1532" s="4">
        <f>IF(Table1[[#This Row],[Rework_Flag]]="No",1,0)</f>
        <v>0</v>
      </c>
      <c r="X1532" s="4">
        <f>IF(Table1[[#This Row],[Rework_Flag]]="Yes",1,0)</f>
        <v>1</v>
      </c>
      <c r="Y1532" s="4">
        <v>1</v>
      </c>
      <c r="Z1532" s="4" t="str">
        <f>IF(Table1[[#This Row],[TAT_Days]]&gt;Table1[[#This Row],[SLA_TAT]],"Yes","No")</f>
        <v>Yes</v>
      </c>
      <c r="AA1532" s="4" t="str" cm="1">
        <f t="array" ref="AA1532">_xlfn.IFS(Table1[[#This Row],[Customer_Satisfaction]]&lt;=2,"Poor",Table1[[#This Row],[Customer_Satisfaction]]=3,"Neutral",Table1[[#This Row],[Customer_Satisfaction]]=4,"Good",Table1[[#This Row],[Customer_Satisfaction]]=5,"Good")</f>
        <v>Poor</v>
      </c>
    </row>
    <row r="1533" spans="1:27" x14ac:dyDescent="0.35">
      <c r="A1533">
        <v>21531</v>
      </c>
      <c r="B1533" s="1">
        <v>45383</v>
      </c>
      <c r="C1533" t="s">
        <v>50</v>
      </c>
      <c r="D1533" t="s">
        <v>51</v>
      </c>
      <c r="E1533" t="s">
        <v>120</v>
      </c>
      <c r="F1533" t="s">
        <v>40</v>
      </c>
      <c r="G1533" t="s">
        <v>47</v>
      </c>
      <c r="H1533" t="s">
        <v>48</v>
      </c>
      <c r="I1533" t="s">
        <v>55</v>
      </c>
      <c r="J1533" t="s">
        <v>35</v>
      </c>
      <c r="K1533" t="s">
        <v>61</v>
      </c>
      <c r="L1533" t="s">
        <v>28</v>
      </c>
      <c r="M1533" s="4">
        <v>16</v>
      </c>
      <c r="N1533" s="4">
        <v>7</v>
      </c>
      <c r="O1533" t="s">
        <v>29</v>
      </c>
      <c r="P1533" t="s">
        <v>36</v>
      </c>
      <c r="Q1533" s="4">
        <v>444792</v>
      </c>
      <c r="R1533" s="4">
        <v>228659</v>
      </c>
      <c r="S1533" s="4">
        <f>Table1[[#This Row],[Service_Revenue]]-Table1[[#This Row],[Service_Cost]]</f>
        <v>216133</v>
      </c>
      <c r="T1533" s="4">
        <v>1</v>
      </c>
      <c r="U1533" s="4">
        <f>IF(AND(Table1[[#This Row],[Rework_Flag]]="Yes",Table1[[#This Row],[Warranty_Claim]]="No"),Table1[[#This Row],[Service_Revenue]],0)</f>
        <v>444792</v>
      </c>
      <c r="V1533" s="4">
        <f>IF(Table1[[#This Row],[Warranty_Claim]]="Yes",1,0)</f>
        <v>0</v>
      </c>
      <c r="W1533" s="4">
        <f>IF(Table1[[#This Row],[Rework_Flag]]="No",1,0)</f>
        <v>0</v>
      </c>
      <c r="X1533" s="4">
        <f>IF(Table1[[#This Row],[Rework_Flag]]="Yes",1,0)</f>
        <v>1</v>
      </c>
      <c r="Y1533" s="4">
        <v>1</v>
      </c>
      <c r="Z1533" s="4" t="str">
        <f>IF(Table1[[#This Row],[TAT_Days]]&gt;Table1[[#This Row],[SLA_TAT]],"Yes","No")</f>
        <v>Yes</v>
      </c>
      <c r="AA1533" s="4" t="str" cm="1">
        <f t="array" ref="AA1533">_xlfn.IFS(Table1[[#This Row],[Customer_Satisfaction]]&lt;=2,"Poor",Table1[[#This Row],[Customer_Satisfaction]]=3,"Neutral",Table1[[#This Row],[Customer_Satisfaction]]=4,"Good",Table1[[#This Row],[Customer_Satisfaction]]=5,"Good")</f>
        <v>Poor</v>
      </c>
    </row>
    <row r="1534" spans="1:27" x14ac:dyDescent="0.35">
      <c r="A1534">
        <v>21532</v>
      </c>
      <c r="B1534" s="1">
        <v>45303</v>
      </c>
      <c r="C1534" t="s">
        <v>19</v>
      </c>
      <c r="D1534" t="s">
        <v>20</v>
      </c>
      <c r="E1534" t="s">
        <v>86</v>
      </c>
      <c r="F1534" t="s">
        <v>53</v>
      </c>
      <c r="G1534" t="s">
        <v>33</v>
      </c>
      <c r="H1534" t="s">
        <v>34</v>
      </c>
      <c r="I1534" t="s">
        <v>55</v>
      </c>
      <c r="J1534" t="s">
        <v>43</v>
      </c>
      <c r="K1534" t="s">
        <v>27</v>
      </c>
      <c r="L1534" t="s">
        <v>49</v>
      </c>
      <c r="M1534" s="4">
        <v>25</v>
      </c>
      <c r="N1534" s="4">
        <v>7</v>
      </c>
      <c r="O1534" t="s">
        <v>29</v>
      </c>
      <c r="P1534" t="s">
        <v>36</v>
      </c>
      <c r="Q1534" s="4">
        <v>277818</v>
      </c>
      <c r="R1534" s="4">
        <v>160329</v>
      </c>
      <c r="S1534" s="4">
        <f>Table1[[#This Row],[Service_Revenue]]-Table1[[#This Row],[Service_Cost]]</f>
        <v>117489</v>
      </c>
      <c r="T1534" s="4">
        <v>1</v>
      </c>
      <c r="U1534" s="4">
        <f>IF(AND(Table1[[#This Row],[Rework_Flag]]="Yes",Table1[[#This Row],[Warranty_Claim]]="No"),Table1[[#This Row],[Service_Revenue]],0)</f>
        <v>277818</v>
      </c>
      <c r="V1534" s="4">
        <f>IF(Table1[[#This Row],[Warranty_Claim]]="Yes",1,0)</f>
        <v>0</v>
      </c>
      <c r="W1534" s="4">
        <f>IF(Table1[[#This Row],[Rework_Flag]]="No",1,0)</f>
        <v>0</v>
      </c>
      <c r="X1534" s="4">
        <f>IF(Table1[[#This Row],[Rework_Flag]]="Yes",1,0)</f>
        <v>1</v>
      </c>
      <c r="Y1534" s="4">
        <v>1</v>
      </c>
      <c r="Z1534" s="4" t="str">
        <f>IF(Table1[[#This Row],[TAT_Days]]&gt;Table1[[#This Row],[SLA_TAT]],"Yes","No")</f>
        <v>Yes</v>
      </c>
      <c r="AA1534" s="4" t="str" cm="1">
        <f t="array" ref="AA1534">_xlfn.IFS(Table1[[#This Row],[Customer_Satisfaction]]&lt;=2,"Poor",Table1[[#This Row],[Customer_Satisfaction]]=3,"Neutral",Table1[[#This Row],[Customer_Satisfaction]]=4,"Good",Table1[[#This Row],[Customer_Satisfaction]]=5,"Good")</f>
        <v>Poor</v>
      </c>
    </row>
    <row r="1535" spans="1:27" x14ac:dyDescent="0.35">
      <c r="A1535">
        <v>21533</v>
      </c>
      <c r="B1535" s="1">
        <v>45331</v>
      </c>
      <c r="C1535" t="s">
        <v>50</v>
      </c>
      <c r="D1535" t="s">
        <v>51</v>
      </c>
      <c r="E1535" t="s">
        <v>73</v>
      </c>
      <c r="F1535" t="s">
        <v>53</v>
      </c>
      <c r="G1535" t="s">
        <v>74</v>
      </c>
      <c r="H1535" t="s">
        <v>34</v>
      </c>
      <c r="I1535" t="s">
        <v>25</v>
      </c>
      <c r="J1535" t="s">
        <v>67</v>
      </c>
      <c r="K1535" t="s">
        <v>61</v>
      </c>
      <c r="L1535" t="s">
        <v>28</v>
      </c>
      <c r="M1535" s="4">
        <v>18</v>
      </c>
      <c r="N1535" s="4">
        <v>7</v>
      </c>
      <c r="O1535" t="s">
        <v>36</v>
      </c>
      <c r="P1535" t="s">
        <v>36</v>
      </c>
      <c r="Q1535" s="4">
        <v>342400</v>
      </c>
      <c r="R1535" s="4">
        <v>201346</v>
      </c>
      <c r="S1535" s="4">
        <f>Table1[[#This Row],[Service_Revenue]]-Table1[[#This Row],[Service_Cost]]</f>
        <v>141054</v>
      </c>
      <c r="T1535" s="4">
        <v>2</v>
      </c>
      <c r="U1535" s="4">
        <f>IF(AND(Table1[[#This Row],[Rework_Flag]]="Yes",Table1[[#This Row],[Warranty_Claim]]="No"),Table1[[#This Row],[Service_Revenue]],0)</f>
        <v>0</v>
      </c>
      <c r="V1535" s="4">
        <f>IF(Table1[[#This Row],[Warranty_Claim]]="Yes",1,0)</f>
        <v>0</v>
      </c>
      <c r="W1535" s="4">
        <f>IF(Table1[[#This Row],[Rework_Flag]]="No",1,0)</f>
        <v>1</v>
      </c>
      <c r="X1535" s="4">
        <f>IF(Table1[[#This Row],[Rework_Flag]]="Yes",1,0)</f>
        <v>0</v>
      </c>
      <c r="Y1535" s="4">
        <v>1</v>
      </c>
      <c r="Z1535" s="4" t="str">
        <f>IF(Table1[[#This Row],[TAT_Days]]&gt;Table1[[#This Row],[SLA_TAT]],"Yes","No")</f>
        <v>Yes</v>
      </c>
      <c r="AA1535" s="4" t="str" cm="1">
        <f t="array" ref="AA1535">_xlfn.IFS(Table1[[#This Row],[Customer_Satisfaction]]&lt;=2,"Poor",Table1[[#This Row],[Customer_Satisfaction]]=3,"Neutral",Table1[[#This Row],[Customer_Satisfaction]]=4,"Good",Table1[[#This Row],[Customer_Satisfaction]]=5,"Good")</f>
        <v>Poor</v>
      </c>
    </row>
    <row r="1536" spans="1:27" x14ac:dyDescent="0.35">
      <c r="A1536">
        <v>21534</v>
      </c>
      <c r="B1536" s="1">
        <v>45373</v>
      </c>
      <c r="C1536" t="s">
        <v>37</v>
      </c>
      <c r="D1536" t="s">
        <v>70</v>
      </c>
      <c r="E1536" t="s">
        <v>100</v>
      </c>
      <c r="F1536" t="s">
        <v>53</v>
      </c>
      <c r="G1536" t="s">
        <v>54</v>
      </c>
      <c r="H1536" t="s">
        <v>42</v>
      </c>
      <c r="I1536" t="s">
        <v>25</v>
      </c>
      <c r="J1536" t="s">
        <v>43</v>
      </c>
      <c r="K1536" t="s">
        <v>61</v>
      </c>
      <c r="L1536" t="s">
        <v>49</v>
      </c>
      <c r="M1536" s="4">
        <v>7</v>
      </c>
      <c r="N1536" s="4">
        <v>7</v>
      </c>
      <c r="O1536" t="s">
        <v>29</v>
      </c>
      <c r="P1536" t="s">
        <v>36</v>
      </c>
      <c r="Q1536" s="4">
        <v>257253</v>
      </c>
      <c r="R1536" s="4">
        <v>153500</v>
      </c>
      <c r="S1536" s="4">
        <f>Table1[[#This Row],[Service_Revenue]]-Table1[[#This Row],[Service_Cost]]</f>
        <v>103753</v>
      </c>
      <c r="T1536" s="4">
        <v>3</v>
      </c>
      <c r="U1536" s="4">
        <f>IF(AND(Table1[[#This Row],[Rework_Flag]]="Yes",Table1[[#This Row],[Warranty_Claim]]="No"),Table1[[#This Row],[Service_Revenue]],0)</f>
        <v>257253</v>
      </c>
      <c r="V1536" s="4">
        <f>IF(Table1[[#This Row],[Warranty_Claim]]="Yes",1,0)</f>
        <v>0</v>
      </c>
      <c r="W1536" s="4">
        <f>IF(Table1[[#This Row],[Rework_Flag]]="No",1,0)</f>
        <v>0</v>
      </c>
      <c r="X1536" s="4">
        <f>IF(Table1[[#This Row],[Rework_Flag]]="Yes",1,0)</f>
        <v>1</v>
      </c>
      <c r="Y1536" s="4">
        <v>1</v>
      </c>
      <c r="Z1536" s="4" t="str">
        <f>IF(Table1[[#This Row],[TAT_Days]]&gt;Table1[[#This Row],[SLA_TAT]],"Yes","No")</f>
        <v>No</v>
      </c>
      <c r="AA1536" s="4" t="str" cm="1">
        <f t="array" ref="AA1536">_xlfn.IFS(Table1[[#This Row],[Customer_Satisfaction]]&lt;=2,"Poor",Table1[[#This Row],[Customer_Satisfaction]]=3,"Neutral",Table1[[#This Row],[Customer_Satisfaction]]=4,"Good",Table1[[#This Row],[Customer_Satisfaction]]=5,"Good")</f>
        <v>Neutral</v>
      </c>
    </row>
    <row r="1537" spans="1:27" x14ac:dyDescent="0.35">
      <c r="A1537">
        <v>21535</v>
      </c>
      <c r="B1537" s="1">
        <v>45387</v>
      </c>
      <c r="C1537" t="s">
        <v>37</v>
      </c>
      <c r="D1537" t="s">
        <v>38</v>
      </c>
      <c r="E1537" t="s">
        <v>93</v>
      </c>
      <c r="F1537" t="s">
        <v>53</v>
      </c>
      <c r="G1537" t="s">
        <v>23</v>
      </c>
      <c r="H1537" t="s">
        <v>24</v>
      </c>
      <c r="I1537" t="s">
        <v>25</v>
      </c>
      <c r="J1537" t="s">
        <v>35</v>
      </c>
      <c r="K1537" t="s">
        <v>61</v>
      </c>
      <c r="L1537" t="s">
        <v>49</v>
      </c>
      <c r="M1537" s="4">
        <v>7</v>
      </c>
      <c r="N1537" s="4">
        <v>7</v>
      </c>
      <c r="O1537" t="s">
        <v>29</v>
      </c>
      <c r="P1537" t="s">
        <v>36</v>
      </c>
      <c r="Q1537" s="4">
        <v>221484</v>
      </c>
      <c r="R1537" s="4">
        <v>134323</v>
      </c>
      <c r="S1537" s="4">
        <f>Table1[[#This Row],[Service_Revenue]]-Table1[[#This Row],[Service_Cost]]</f>
        <v>87161</v>
      </c>
      <c r="T1537" s="4">
        <v>3</v>
      </c>
      <c r="U1537" s="4">
        <f>IF(AND(Table1[[#This Row],[Rework_Flag]]="Yes",Table1[[#This Row],[Warranty_Claim]]="No"),Table1[[#This Row],[Service_Revenue]],0)</f>
        <v>221484</v>
      </c>
      <c r="V1537" s="4">
        <f>IF(Table1[[#This Row],[Warranty_Claim]]="Yes",1,0)</f>
        <v>0</v>
      </c>
      <c r="W1537" s="4">
        <f>IF(Table1[[#This Row],[Rework_Flag]]="No",1,0)</f>
        <v>0</v>
      </c>
      <c r="X1537" s="4">
        <f>IF(Table1[[#This Row],[Rework_Flag]]="Yes",1,0)</f>
        <v>1</v>
      </c>
      <c r="Y1537" s="4">
        <v>1</v>
      </c>
      <c r="Z1537" s="4" t="str">
        <f>IF(Table1[[#This Row],[TAT_Days]]&gt;Table1[[#This Row],[SLA_TAT]],"Yes","No")</f>
        <v>No</v>
      </c>
      <c r="AA1537" s="4" t="str" cm="1">
        <f t="array" ref="AA1537">_xlfn.IFS(Table1[[#This Row],[Customer_Satisfaction]]&lt;=2,"Poor",Table1[[#This Row],[Customer_Satisfaction]]=3,"Neutral",Table1[[#This Row],[Customer_Satisfaction]]=4,"Good",Table1[[#This Row],[Customer_Satisfaction]]=5,"Good")</f>
        <v>Neutral</v>
      </c>
    </row>
    <row r="1538" spans="1:27" x14ac:dyDescent="0.35">
      <c r="A1538">
        <v>21536</v>
      </c>
      <c r="B1538" s="1">
        <v>45404</v>
      </c>
      <c r="C1538" t="s">
        <v>50</v>
      </c>
      <c r="D1538" t="s">
        <v>56</v>
      </c>
      <c r="E1538" t="s">
        <v>88</v>
      </c>
      <c r="F1538" t="s">
        <v>53</v>
      </c>
      <c r="G1538" t="s">
        <v>63</v>
      </c>
      <c r="H1538" t="s">
        <v>24</v>
      </c>
      <c r="I1538" t="s">
        <v>55</v>
      </c>
      <c r="J1538" t="s">
        <v>35</v>
      </c>
      <c r="K1538" t="s">
        <v>61</v>
      </c>
      <c r="L1538" t="s">
        <v>28</v>
      </c>
      <c r="M1538" s="4">
        <v>22</v>
      </c>
      <c r="N1538" s="4">
        <v>7</v>
      </c>
      <c r="O1538" t="s">
        <v>29</v>
      </c>
      <c r="P1538" t="s">
        <v>29</v>
      </c>
      <c r="Q1538" s="4">
        <v>547953</v>
      </c>
      <c r="R1538" s="4">
        <v>401621</v>
      </c>
      <c r="S1538" s="4">
        <f>Table1[[#This Row],[Service_Revenue]]-Table1[[#This Row],[Service_Cost]]</f>
        <v>146332</v>
      </c>
      <c r="T1538" s="4">
        <v>1</v>
      </c>
      <c r="U1538" s="4">
        <f>IF(AND(Table1[[#This Row],[Rework_Flag]]="Yes",Table1[[#This Row],[Warranty_Claim]]="No"),Table1[[#This Row],[Service_Revenue]],0)</f>
        <v>0</v>
      </c>
      <c r="V1538" s="4">
        <f>IF(Table1[[#This Row],[Warranty_Claim]]="Yes",1,0)</f>
        <v>1</v>
      </c>
      <c r="W1538" s="4">
        <f>IF(Table1[[#This Row],[Rework_Flag]]="No",1,0)</f>
        <v>0</v>
      </c>
      <c r="X1538" s="4">
        <f>IF(Table1[[#This Row],[Rework_Flag]]="Yes",1,0)</f>
        <v>1</v>
      </c>
      <c r="Y1538" s="4">
        <v>1</v>
      </c>
      <c r="Z1538" s="4" t="str">
        <f>IF(Table1[[#This Row],[TAT_Days]]&gt;Table1[[#This Row],[SLA_TAT]],"Yes","No")</f>
        <v>Yes</v>
      </c>
      <c r="AA1538" s="4" t="str" cm="1">
        <f t="array" ref="AA1538">_xlfn.IFS(Table1[[#This Row],[Customer_Satisfaction]]&lt;=2,"Poor",Table1[[#This Row],[Customer_Satisfaction]]=3,"Neutral",Table1[[#This Row],[Customer_Satisfaction]]=4,"Good",Table1[[#This Row],[Customer_Satisfaction]]=5,"Good")</f>
        <v>Poor</v>
      </c>
    </row>
    <row r="1539" spans="1:27" x14ac:dyDescent="0.35">
      <c r="A1539">
        <v>21537</v>
      </c>
      <c r="B1539" s="1">
        <v>45303</v>
      </c>
      <c r="C1539" t="s">
        <v>19</v>
      </c>
      <c r="D1539" t="s">
        <v>45</v>
      </c>
      <c r="E1539" t="s">
        <v>76</v>
      </c>
      <c r="F1539" t="s">
        <v>40</v>
      </c>
      <c r="G1539" t="s">
        <v>54</v>
      </c>
      <c r="H1539" t="s">
        <v>42</v>
      </c>
      <c r="I1539" t="s">
        <v>25</v>
      </c>
      <c r="J1539" t="s">
        <v>43</v>
      </c>
      <c r="K1539" t="s">
        <v>27</v>
      </c>
      <c r="L1539" t="s">
        <v>49</v>
      </c>
      <c r="M1539" s="4">
        <v>11</v>
      </c>
      <c r="N1539" s="4">
        <v>7</v>
      </c>
      <c r="O1539" t="s">
        <v>29</v>
      </c>
      <c r="P1539" t="s">
        <v>29</v>
      </c>
      <c r="Q1539" s="4">
        <v>110118</v>
      </c>
      <c r="R1539" s="4">
        <v>89747</v>
      </c>
      <c r="S1539" s="4">
        <f>Table1[[#This Row],[Service_Revenue]]-Table1[[#This Row],[Service_Cost]]</f>
        <v>20371</v>
      </c>
      <c r="T1539" s="4">
        <v>2</v>
      </c>
      <c r="U1539" s="4">
        <f>IF(AND(Table1[[#This Row],[Rework_Flag]]="Yes",Table1[[#This Row],[Warranty_Claim]]="No"),Table1[[#This Row],[Service_Revenue]],0)</f>
        <v>0</v>
      </c>
      <c r="V1539" s="4">
        <f>IF(Table1[[#This Row],[Warranty_Claim]]="Yes",1,0)</f>
        <v>1</v>
      </c>
      <c r="W1539" s="4">
        <f>IF(Table1[[#This Row],[Rework_Flag]]="No",1,0)</f>
        <v>0</v>
      </c>
      <c r="X1539" s="4">
        <f>IF(Table1[[#This Row],[Rework_Flag]]="Yes",1,0)</f>
        <v>1</v>
      </c>
      <c r="Y1539" s="4">
        <v>1</v>
      </c>
      <c r="Z1539" s="4" t="str">
        <f>IF(Table1[[#This Row],[TAT_Days]]&gt;Table1[[#This Row],[SLA_TAT]],"Yes","No")</f>
        <v>Yes</v>
      </c>
      <c r="AA1539" s="4" t="str" cm="1">
        <f t="array" ref="AA1539">_xlfn.IFS(Table1[[#This Row],[Customer_Satisfaction]]&lt;=2,"Poor",Table1[[#This Row],[Customer_Satisfaction]]=3,"Neutral",Table1[[#This Row],[Customer_Satisfaction]]=4,"Good",Table1[[#This Row],[Customer_Satisfaction]]=5,"Good")</f>
        <v>Poor</v>
      </c>
    </row>
    <row r="1540" spans="1:27" x14ac:dyDescent="0.35">
      <c r="A1540">
        <v>21538</v>
      </c>
      <c r="B1540" s="1">
        <v>45437</v>
      </c>
      <c r="C1540" t="s">
        <v>50</v>
      </c>
      <c r="D1540" t="s">
        <v>56</v>
      </c>
      <c r="E1540" t="s">
        <v>68</v>
      </c>
      <c r="F1540" t="s">
        <v>40</v>
      </c>
      <c r="G1540" t="s">
        <v>23</v>
      </c>
      <c r="H1540" t="s">
        <v>24</v>
      </c>
      <c r="I1540" t="s">
        <v>55</v>
      </c>
      <c r="J1540" t="s">
        <v>43</v>
      </c>
      <c r="K1540" t="s">
        <v>44</v>
      </c>
      <c r="L1540" t="s">
        <v>49</v>
      </c>
      <c r="M1540" s="4">
        <v>6</v>
      </c>
      <c r="N1540" s="4">
        <v>7</v>
      </c>
      <c r="O1540" t="s">
        <v>36</v>
      </c>
      <c r="P1540" t="s">
        <v>29</v>
      </c>
      <c r="Q1540" s="4">
        <v>145939</v>
      </c>
      <c r="R1540" s="4">
        <v>90608</v>
      </c>
      <c r="S1540" s="4">
        <f>Table1[[#This Row],[Service_Revenue]]-Table1[[#This Row],[Service_Cost]]</f>
        <v>55331</v>
      </c>
      <c r="T1540" s="4">
        <v>4</v>
      </c>
      <c r="U1540" s="4">
        <f>IF(AND(Table1[[#This Row],[Rework_Flag]]="Yes",Table1[[#This Row],[Warranty_Claim]]="No"),Table1[[#This Row],[Service_Revenue]],0)</f>
        <v>0</v>
      </c>
      <c r="V1540" s="4">
        <f>IF(Table1[[#This Row],[Warranty_Claim]]="Yes",1,0)</f>
        <v>1</v>
      </c>
      <c r="W1540" s="4">
        <f>IF(Table1[[#This Row],[Rework_Flag]]="No",1,0)</f>
        <v>1</v>
      </c>
      <c r="X1540" s="4">
        <f>IF(Table1[[#This Row],[Rework_Flag]]="Yes",1,0)</f>
        <v>0</v>
      </c>
      <c r="Y1540" s="4">
        <v>1</v>
      </c>
      <c r="Z1540" s="4" t="str">
        <f>IF(Table1[[#This Row],[TAT_Days]]&gt;Table1[[#This Row],[SLA_TAT]],"Yes","No")</f>
        <v>No</v>
      </c>
      <c r="AA1540" s="4" t="str" cm="1">
        <f t="array" ref="AA1540">_xlfn.IFS(Table1[[#This Row],[Customer_Satisfaction]]&lt;=2,"Poor",Table1[[#This Row],[Customer_Satisfaction]]=3,"Neutral",Table1[[#This Row],[Customer_Satisfaction]]=4,"Good",Table1[[#This Row],[Customer_Satisfaction]]=5,"Good")</f>
        <v>Good</v>
      </c>
    </row>
    <row r="1541" spans="1:27" x14ac:dyDescent="0.35">
      <c r="A1541">
        <v>21539</v>
      </c>
      <c r="B1541" s="1">
        <v>45351</v>
      </c>
      <c r="C1541" t="s">
        <v>37</v>
      </c>
      <c r="D1541" t="s">
        <v>70</v>
      </c>
      <c r="E1541" t="s">
        <v>71</v>
      </c>
      <c r="F1541" t="s">
        <v>22</v>
      </c>
      <c r="G1541" t="s">
        <v>33</v>
      </c>
      <c r="H1541" t="s">
        <v>34</v>
      </c>
      <c r="I1541" t="s">
        <v>55</v>
      </c>
      <c r="J1541" t="s">
        <v>67</v>
      </c>
      <c r="K1541" t="s">
        <v>61</v>
      </c>
      <c r="L1541" t="s">
        <v>49</v>
      </c>
      <c r="M1541" s="4">
        <v>21</v>
      </c>
      <c r="N1541" s="4">
        <v>7</v>
      </c>
      <c r="O1541" t="s">
        <v>36</v>
      </c>
      <c r="P1541" t="s">
        <v>36</v>
      </c>
      <c r="Q1541" s="4">
        <v>541154</v>
      </c>
      <c r="R1541" s="4">
        <v>347837</v>
      </c>
      <c r="S1541" s="4">
        <f>Table1[[#This Row],[Service_Revenue]]-Table1[[#This Row],[Service_Cost]]</f>
        <v>193317</v>
      </c>
      <c r="T1541" s="4">
        <v>1</v>
      </c>
      <c r="U1541" s="4">
        <f>IF(AND(Table1[[#This Row],[Rework_Flag]]="Yes",Table1[[#This Row],[Warranty_Claim]]="No"),Table1[[#This Row],[Service_Revenue]],0)</f>
        <v>0</v>
      </c>
      <c r="V1541" s="4">
        <f>IF(Table1[[#This Row],[Warranty_Claim]]="Yes",1,0)</f>
        <v>0</v>
      </c>
      <c r="W1541" s="4">
        <f>IF(Table1[[#This Row],[Rework_Flag]]="No",1,0)</f>
        <v>1</v>
      </c>
      <c r="X1541" s="4">
        <f>IF(Table1[[#This Row],[Rework_Flag]]="Yes",1,0)</f>
        <v>0</v>
      </c>
      <c r="Y1541" s="4">
        <v>1</v>
      </c>
      <c r="Z1541" s="4" t="str">
        <f>IF(Table1[[#This Row],[TAT_Days]]&gt;Table1[[#This Row],[SLA_TAT]],"Yes","No")</f>
        <v>Yes</v>
      </c>
      <c r="AA1541" s="4" t="str" cm="1">
        <f t="array" ref="AA1541">_xlfn.IFS(Table1[[#This Row],[Customer_Satisfaction]]&lt;=2,"Poor",Table1[[#This Row],[Customer_Satisfaction]]=3,"Neutral",Table1[[#This Row],[Customer_Satisfaction]]=4,"Good",Table1[[#This Row],[Customer_Satisfaction]]=5,"Good")</f>
        <v>Poor</v>
      </c>
    </row>
    <row r="1542" spans="1:27" x14ac:dyDescent="0.35">
      <c r="A1542">
        <v>21540</v>
      </c>
      <c r="B1542" s="1">
        <v>45296</v>
      </c>
      <c r="C1542" t="s">
        <v>50</v>
      </c>
      <c r="D1542" t="s">
        <v>56</v>
      </c>
      <c r="E1542" t="s">
        <v>77</v>
      </c>
      <c r="F1542" t="s">
        <v>40</v>
      </c>
      <c r="G1542" t="s">
        <v>47</v>
      </c>
      <c r="H1542" t="s">
        <v>48</v>
      </c>
      <c r="I1542" t="s">
        <v>25</v>
      </c>
      <c r="J1542" t="s">
        <v>67</v>
      </c>
      <c r="K1542" t="s">
        <v>61</v>
      </c>
      <c r="L1542" t="s">
        <v>28</v>
      </c>
      <c r="M1542" s="4">
        <v>8</v>
      </c>
      <c r="N1542" s="4">
        <v>7</v>
      </c>
      <c r="O1542" t="s">
        <v>29</v>
      </c>
      <c r="P1542" t="s">
        <v>36</v>
      </c>
      <c r="Q1542" s="4">
        <v>476673</v>
      </c>
      <c r="R1542" s="4">
        <v>260352</v>
      </c>
      <c r="S1542" s="4">
        <f>Table1[[#This Row],[Service_Revenue]]-Table1[[#This Row],[Service_Cost]]</f>
        <v>216321</v>
      </c>
      <c r="T1542" s="4">
        <v>3</v>
      </c>
      <c r="U1542" s="4">
        <f>IF(AND(Table1[[#This Row],[Rework_Flag]]="Yes",Table1[[#This Row],[Warranty_Claim]]="No"),Table1[[#This Row],[Service_Revenue]],0)</f>
        <v>476673</v>
      </c>
      <c r="V1542" s="4">
        <f>IF(Table1[[#This Row],[Warranty_Claim]]="Yes",1,0)</f>
        <v>0</v>
      </c>
      <c r="W1542" s="4">
        <f>IF(Table1[[#This Row],[Rework_Flag]]="No",1,0)</f>
        <v>0</v>
      </c>
      <c r="X1542" s="4">
        <f>IF(Table1[[#This Row],[Rework_Flag]]="Yes",1,0)</f>
        <v>1</v>
      </c>
      <c r="Y1542" s="4">
        <v>1</v>
      </c>
      <c r="Z1542" s="4" t="str">
        <f>IF(Table1[[#This Row],[TAT_Days]]&gt;Table1[[#This Row],[SLA_TAT]],"Yes","No")</f>
        <v>Yes</v>
      </c>
      <c r="AA1542" s="4" t="str" cm="1">
        <f t="array" ref="AA1542">_xlfn.IFS(Table1[[#This Row],[Customer_Satisfaction]]&lt;=2,"Poor",Table1[[#This Row],[Customer_Satisfaction]]=3,"Neutral",Table1[[#This Row],[Customer_Satisfaction]]=4,"Good",Table1[[#This Row],[Customer_Satisfaction]]=5,"Good")</f>
        <v>Neutral</v>
      </c>
    </row>
    <row r="1543" spans="1:27" x14ac:dyDescent="0.35">
      <c r="A1543">
        <v>21541</v>
      </c>
      <c r="B1543" s="1">
        <v>45334</v>
      </c>
      <c r="C1543" t="s">
        <v>19</v>
      </c>
      <c r="D1543" t="s">
        <v>45</v>
      </c>
      <c r="E1543" t="s">
        <v>111</v>
      </c>
      <c r="F1543" t="s">
        <v>22</v>
      </c>
      <c r="G1543" t="s">
        <v>74</v>
      </c>
      <c r="H1543" t="s">
        <v>34</v>
      </c>
      <c r="I1543" t="s">
        <v>25</v>
      </c>
      <c r="J1543" t="s">
        <v>43</v>
      </c>
      <c r="K1543" t="s">
        <v>44</v>
      </c>
      <c r="L1543" t="s">
        <v>49</v>
      </c>
      <c r="M1543" s="4">
        <v>13</v>
      </c>
      <c r="N1543" s="4">
        <v>7</v>
      </c>
      <c r="O1543" t="s">
        <v>36</v>
      </c>
      <c r="P1543" t="s">
        <v>29</v>
      </c>
      <c r="Q1543" s="4">
        <v>253154</v>
      </c>
      <c r="R1543" s="4">
        <v>130209</v>
      </c>
      <c r="S1543" s="4">
        <f>Table1[[#This Row],[Service_Revenue]]-Table1[[#This Row],[Service_Cost]]</f>
        <v>122945</v>
      </c>
      <c r="T1543" s="4">
        <v>3</v>
      </c>
      <c r="U1543" s="4">
        <f>IF(AND(Table1[[#This Row],[Rework_Flag]]="Yes",Table1[[#This Row],[Warranty_Claim]]="No"),Table1[[#This Row],[Service_Revenue]],0)</f>
        <v>0</v>
      </c>
      <c r="V1543" s="4">
        <f>IF(Table1[[#This Row],[Warranty_Claim]]="Yes",1,0)</f>
        <v>1</v>
      </c>
      <c r="W1543" s="4">
        <f>IF(Table1[[#This Row],[Rework_Flag]]="No",1,0)</f>
        <v>1</v>
      </c>
      <c r="X1543" s="4">
        <f>IF(Table1[[#This Row],[Rework_Flag]]="Yes",1,0)</f>
        <v>0</v>
      </c>
      <c r="Y1543" s="4">
        <v>1</v>
      </c>
      <c r="Z1543" s="4" t="str">
        <f>IF(Table1[[#This Row],[TAT_Days]]&gt;Table1[[#This Row],[SLA_TAT]],"Yes","No")</f>
        <v>Yes</v>
      </c>
      <c r="AA1543" s="4" t="str" cm="1">
        <f t="array" ref="AA1543">_xlfn.IFS(Table1[[#This Row],[Customer_Satisfaction]]&lt;=2,"Poor",Table1[[#This Row],[Customer_Satisfaction]]=3,"Neutral",Table1[[#This Row],[Customer_Satisfaction]]=4,"Good",Table1[[#This Row],[Customer_Satisfaction]]=5,"Good")</f>
        <v>Neutral</v>
      </c>
    </row>
    <row r="1544" spans="1:27" x14ac:dyDescent="0.35">
      <c r="A1544">
        <v>21542</v>
      </c>
      <c r="B1544" s="1">
        <v>45364</v>
      </c>
      <c r="C1544" t="s">
        <v>19</v>
      </c>
      <c r="D1544" t="s">
        <v>20</v>
      </c>
      <c r="E1544" t="s">
        <v>86</v>
      </c>
      <c r="F1544" t="s">
        <v>40</v>
      </c>
      <c r="G1544" t="s">
        <v>74</v>
      </c>
      <c r="H1544" t="s">
        <v>34</v>
      </c>
      <c r="I1544" t="s">
        <v>25</v>
      </c>
      <c r="J1544" t="s">
        <v>43</v>
      </c>
      <c r="K1544" t="s">
        <v>44</v>
      </c>
      <c r="L1544" t="s">
        <v>28</v>
      </c>
      <c r="M1544" s="4">
        <v>22</v>
      </c>
      <c r="N1544" s="4">
        <v>7</v>
      </c>
      <c r="O1544" t="s">
        <v>36</v>
      </c>
      <c r="P1544" t="s">
        <v>36</v>
      </c>
      <c r="Q1544" s="4">
        <v>481553</v>
      </c>
      <c r="R1544" s="4">
        <v>289973</v>
      </c>
      <c r="S1544" s="4">
        <f>Table1[[#This Row],[Service_Revenue]]-Table1[[#This Row],[Service_Cost]]</f>
        <v>191580</v>
      </c>
      <c r="T1544" s="4">
        <v>1</v>
      </c>
      <c r="U1544" s="4">
        <f>IF(AND(Table1[[#This Row],[Rework_Flag]]="Yes",Table1[[#This Row],[Warranty_Claim]]="No"),Table1[[#This Row],[Service_Revenue]],0)</f>
        <v>0</v>
      </c>
      <c r="V1544" s="4">
        <f>IF(Table1[[#This Row],[Warranty_Claim]]="Yes",1,0)</f>
        <v>0</v>
      </c>
      <c r="W1544" s="4">
        <f>IF(Table1[[#This Row],[Rework_Flag]]="No",1,0)</f>
        <v>1</v>
      </c>
      <c r="X1544" s="4">
        <f>IF(Table1[[#This Row],[Rework_Flag]]="Yes",1,0)</f>
        <v>0</v>
      </c>
      <c r="Y1544" s="4">
        <v>1</v>
      </c>
      <c r="Z1544" s="4" t="str">
        <f>IF(Table1[[#This Row],[TAT_Days]]&gt;Table1[[#This Row],[SLA_TAT]],"Yes","No")</f>
        <v>Yes</v>
      </c>
      <c r="AA1544" s="4" t="str" cm="1">
        <f t="array" ref="AA1544">_xlfn.IFS(Table1[[#This Row],[Customer_Satisfaction]]&lt;=2,"Poor",Table1[[#This Row],[Customer_Satisfaction]]=3,"Neutral",Table1[[#This Row],[Customer_Satisfaction]]=4,"Good",Table1[[#This Row],[Customer_Satisfaction]]=5,"Good")</f>
        <v>Poor</v>
      </c>
    </row>
    <row r="1545" spans="1:27" x14ac:dyDescent="0.35">
      <c r="A1545">
        <v>21543</v>
      </c>
      <c r="B1545" s="1">
        <v>45393</v>
      </c>
      <c r="C1545" t="s">
        <v>30</v>
      </c>
      <c r="D1545" t="s">
        <v>59</v>
      </c>
      <c r="E1545" t="s">
        <v>78</v>
      </c>
      <c r="F1545" t="s">
        <v>22</v>
      </c>
      <c r="G1545" t="s">
        <v>47</v>
      </c>
      <c r="H1545" t="s">
        <v>48</v>
      </c>
      <c r="I1545" t="s">
        <v>25</v>
      </c>
      <c r="J1545" t="s">
        <v>67</v>
      </c>
      <c r="K1545" t="s">
        <v>61</v>
      </c>
      <c r="L1545" t="s">
        <v>28</v>
      </c>
      <c r="M1545" s="4">
        <v>10</v>
      </c>
      <c r="N1545" s="4">
        <v>7</v>
      </c>
      <c r="O1545" t="s">
        <v>29</v>
      </c>
      <c r="P1545" t="s">
        <v>29</v>
      </c>
      <c r="Q1545" s="4">
        <v>426226</v>
      </c>
      <c r="R1545" s="4">
        <v>250926</v>
      </c>
      <c r="S1545" s="4">
        <f>Table1[[#This Row],[Service_Revenue]]-Table1[[#This Row],[Service_Cost]]</f>
        <v>175300</v>
      </c>
      <c r="T1545" s="4">
        <v>2</v>
      </c>
      <c r="U1545" s="4">
        <f>IF(AND(Table1[[#This Row],[Rework_Flag]]="Yes",Table1[[#This Row],[Warranty_Claim]]="No"),Table1[[#This Row],[Service_Revenue]],0)</f>
        <v>0</v>
      </c>
      <c r="V1545" s="4">
        <f>IF(Table1[[#This Row],[Warranty_Claim]]="Yes",1,0)</f>
        <v>1</v>
      </c>
      <c r="W1545" s="4">
        <f>IF(Table1[[#This Row],[Rework_Flag]]="No",1,0)</f>
        <v>0</v>
      </c>
      <c r="X1545" s="4">
        <f>IF(Table1[[#This Row],[Rework_Flag]]="Yes",1,0)</f>
        <v>1</v>
      </c>
      <c r="Y1545" s="4">
        <v>1</v>
      </c>
      <c r="Z1545" s="4" t="str">
        <f>IF(Table1[[#This Row],[TAT_Days]]&gt;Table1[[#This Row],[SLA_TAT]],"Yes","No")</f>
        <v>Yes</v>
      </c>
      <c r="AA1545" s="4" t="str" cm="1">
        <f t="array" ref="AA1545">_xlfn.IFS(Table1[[#This Row],[Customer_Satisfaction]]&lt;=2,"Poor",Table1[[#This Row],[Customer_Satisfaction]]=3,"Neutral",Table1[[#This Row],[Customer_Satisfaction]]=4,"Good",Table1[[#This Row],[Customer_Satisfaction]]=5,"Good")</f>
        <v>Poor</v>
      </c>
    </row>
    <row r="1546" spans="1:27" x14ac:dyDescent="0.35">
      <c r="A1546">
        <v>21544</v>
      </c>
      <c r="B1546" s="1">
        <v>45426</v>
      </c>
      <c r="C1546" t="s">
        <v>50</v>
      </c>
      <c r="D1546" t="s">
        <v>56</v>
      </c>
      <c r="E1546" t="s">
        <v>88</v>
      </c>
      <c r="F1546" t="s">
        <v>53</v>
      </c>
      <c r="G1546" t="s">
        <v>47</v>
      </c>
      <c r="H1546" t="s">
        <v>48</v>
      </c>
      <c r="I1546" t="s">
        <v>55</v>
      </c>
      <c r="J1546" t="s">
        <v>43</v>
      </c>
      <c r="K1546" t="s">
        <v>44</v>
      </c>
      <c r="L1546" t="s">
        <v>49</v>
      </c>
      <c r="M1546" s="4">
        <v>3</v>
      </c>
      <c r="N1546" s="4">
        <v>7</v>
      </c>
      <c r="O1546" t="s">
        <v>36</v>
      </c>
      <c r="P1546" t="s">
        <v>36</v>
      </c>
      <c r="Q1546" s="4">
        <v>221377</v>
      </c>
      <c r="R1546" s="4">
        <v>133331</v>
      </c>
      <c r="S1546" s="4">
        <f>Table1[[#This Row],[Service_Revenue]]-Table1[[#This Row],[Service_Cost]]</f>
        <v>88046</v>
      </c>
      <c r="T1546" s="4">
        <v>5</v>
      </c>
      <c r="U1546" s="4">
        <f>IF(AND(Table1[[#This Row],[Rework_Flag]]="Yes",Table1[[#This Row],[Warranty_Claim]]="No"),Table1[[#This Row],[Service_Revenue]],0)</f>
        <v>0</v>
      </c>
      <c r="V1546" s="4">
        <f>IF(Table1[[#This Row],[Warranty_Claim]]="Yes",1,0)</f>
        <v>0</v>
      </c>
      <c r="W1546" s="4">
        <f>IF(Table1[[#This Row],[Rework_Flag]]="No",1,0)</f>
        <v>1</v>
      </c>
      <c r="X1546" s="4">
        <f>IF(Table1[[#This Row],[Rework_Flag]]="Yes",1,0)</f>
        <v>0</v>
      </c>
      <c r="Y1546" s="4">
        <v>1</v>
      </c>
      <c r="Z1546" s="4" t="str">
        <f>IF(Table1[[#This Row],[TAT_Days]]&gt;Table1[[#This Row],[SLA_TAT]],"Yes","No")</f>
        <v>No</v>
      </c>
      <c r="AA1546" s="4" t="str" cm="1">
        <f t="array" ref="AA1546">_xlfn.IFS(Table1[[#This Row],[Customer_Satisfaction]]&lt;=2,"Poor",Table1[[#This Row],[Customer_Satisfaction]]=3,"Neutral",Table1[[#This Row],[Customer_Satisfaction]]=4,"Good",Table1[[#This Row],[Customer_Satisfaction]]=5,"Good")</f>
        <v>Good</v>
      </c>
    </row>
    <row r="1547" spans="1:27" x14ac:dyDescent="0.35">
      <c r="A1547">
        <v>21545</v>
      </c>
      <c r="B1547" s="1">
        <v>45333</v>
      </c>
      <c r="C1547" t="s">
        <v>30</v>
      </c>
      <c r="D1547" t="s">
        <v>59</v>
      </c>
      <c r="E1547" t="s">
        <v>69</v>
      </c>
      <c r="F1547" t="s">
        <v>22</v>
      </c>
      <c r="G1547" t="s">
        <v>63</v>
      </c>
      <c r="H1547" t="s">
        <v>24</v>
      </c>
      <c r="I1547" t="s">
        <v>25</v>
      </c>
      <c r="J1547" t="s">
        <v>67</v>
      </c>
      <c r="K1547" t="s">
        <v>61</v>
      </c>
      <c r="L1547" t="s">
        <v>28</v>
      </c>
      <c r="M1547" s="4">
        <v>22</v>
      </c>
      <c r="N1547" s="4">
        <v>7</v>
      </c>
      <c r="O1547" t="s">
        <v>36</v>
      </c>
      <c r="P1547" t="s">
        <v>36</v>
      </c>
      <c r="Q1547" s="4">
        <v>587110</v>
      </c>
      <c r="R1547" s="4">
        <v>366044</v>
      </c>
      <c r="S1547" s="4">
        <f>Table1[[#This Row],[Service_Revenue]]-Table1[[#This Row],[Service_Cost]]</f>
        <v>221066</v>
      </c>
      <c r="T1547" s="4">
        <v>1</v>
      </c>
      <c r="U1547" s="4">
        <f>IF(AND(Table1[[#This Row],[Rework_Flag]]="Yes",Table1[[#This Row],[Warranty_Claim]]="No"),Table1[[#This Row],[Service_Revenue]],0)</f>
        <v>0</v>
      </c>
      <c r="V1547" s="4">
        <f>IF(Table1[[#This Row],[Warranty_Claim]]="Yes",1,0)</f>
        <v>0</v>
      </c>
      <c r="W1547" s="4">
        <f>IF(Table1[[#This Row],[Rework_Flag]]="No",1,0)</f>
        <v>1</v>
      </c>
      <c r="X1547" s="4">
        <f>IF(Table1[[#This Row],[Rework_Flag]]="Yes",1,0)</f>
        <v>0</v>
      </c>
      <c r="Y1547" s="4">
        <v>1</v>
      </c>
      <c r="Z1547" s="4" t="str">
        <f>IF(Table1[[#This Row],[TAT_Days]]&gt;Table1[[#This Row],[SLA_TAT]],"Yes","No")</f>
        <v>Yes</v>
      </c>
      <c r="AA1547" s="4" t="str" cm="1">
        <f t="array" ref="AA1547">_xlfn.IFS(Table1[[#This Row],[Customer_Satisfaction]]&lt;=2,"Poor",Table1[[#This Row],[Customer_Satisfaction]]=3,"Neutral",Table1[[#This Row],[Customer_Satisfaction]]=4,"Good",Table1[[#This Row],[Customer_Satisfaction]]=5,"Good")</f>
        <v>Poor</v>
      </c>
    </row>
    <row r="1548" spans="1:27" x14ac:dyDescent="0.35">
      <c r="A1548">
        <v>21546</v>
      </c>
      <c r="B1548" s="1">
        <v>45449</v>
      </c>
      <c r="C1548" t="s">
        <v>30</v>
      </c>
      <c r="D1548" t="s">
        <v>59</v>
      </c>
      <c r="E1548" t="s">
        <v>78</v>
      </c>
      <c r="F1548" t="s">
        <v>22</v>
      </c>
      <c r="G1548" t="s">
        <v>54</v>
      </c>
      <c r="H1548" t="s">
        <v>42</v>
      </c>
      <c r="I1548" t="s">
        <v>25</v>
      </c>
      <c r="J1548" t="s">
        <v>43</v>
      </c>
      <c r="K1548" t="s">
        <v>61</v>
      </c>
      <c r="L1548" t="s">
        <v>49</v>
      </c>
      <c r="M1548" s="4">
        <v>15</v>
      </c>
      <c r="N1548" s="4">
        <v>7</v>
      </c>
      <c r="O1548" t="s">
        <v>36</v>
      </c>
      <c r="P1548" t="s">
        <v>36</v>
      </c>
      <c r="Q1548" s="4">
        <v>238626</v>
      </c>
      <c r="R1548" s="4">
        <v>132007</v>
      </c>
      <c r="S1548" s="4">
        <f>Table1[[#This Row],[Service_Revenue]]-Table1[[#This Row],[Service_Cost]]</f>
        <v>106619</v>
      </c>
      <c r="T1548" s="4">
        <v>2</v>
      </c>
      <c r="U1548" s="4">
        <f>IF(AND(Table1[[#This Row],[Rework_Flag]]="Yes",Table1[[#This Row],[Warranty_Claim]]="No"),Table1[[#This Row],[Service_Revenue]],0)</f>
        <v>0</v>
      </c>
      <c r="V1548" s="4">
        <f>IF(Table1[[#This Row],[Warranty_Claim]]="Yes",1,0)</f>
        <v>0</v>
      </c>
      <c r="W1548" s="4">
        <f>IF(Table1[[#This Row],[Rework_Flag]]="No",1,0)</f>
        <v>1</v>
      </c>
      <c r="X1548" s="4">
        <f>IF(Table1[[#This Row],[Rework_Flag]]="Yes",1,0)</f>
        <v>0</v>
      </c>
      <c r="Y1548" s="4">
        <v>1</v>
      </c>
      <c r="Z1548" s="4" t="str">
        <f>IF(Table1[[#This Row],[TAT_Days]]&gt;Table1[[#This Row],[SLA_TAT]],"Yes","No")</f>
        <v>Yes</v>
      </c>
      <c r="AA1548" s="4" t="str" cm="1">
        <f t="array" ref="AA1548">_xlfn.IFS(Table1[[#This Row],[Customer_Satisfaction]]&lt;=2,"Poor",Table1[[#This Row],[Customer_Satisfaction]]=3,"Neutral",Table1[[#This Row],[Customer_Satisfaction]]=4,"Good",Table1[[#This Row],[Customer_Satisfaction]]=5,"Good")</f>
        <v>Poor</v>
      </c>
    </row>
    <row r="1549" spans="1:27" x14ac:dyDescent="0.35">
      <c r="A1549">
        <v>21547</v>
      </c>
      <c r="B1549" s="1">
        <v>45458</v>
      </c>
      <c r="C1549" t="s">
        <v>30</v>
      </c>
      <c r="D1549" t="s">
        <v>59</v>
      </c>
      <c r="E1549" t="s">
        <v>60</v>
      </c>
      <c r="F1549" t="s">
        <v>40</v>
      </c>
      <c r="G1549" t="s">
        <v>54</v>
      </c>
      <c r="H1549" t="s">
        <v>42</v>
      </c>
      <c r="I1549" t="s">
        <v>55</v>
      </c>
      <c r="J1549" t="s">
        <v>43</v>
      </c>
      <c r="K1549" t="s">
        <v>44</v>
      </c>
      <c r="L1549" t="s">
        <v>28</v>
      </c>
      <c r="M1549" s="4">
        <v>24</v>
      </c>
      <c r="N1549" s="4">
        <v>7</v>
      </c>
      <c r="O1549" t="s">
        <v>29</v>
      </c>
      <c r="P1549" t="s">
        <v>29</v>
      </c>
      <c r="Q1549" s="4">
        <v>595430</v>
      </c>
      <c r="R1549" s="4">
        <v>365899</v>
      </c>
      <c r="S1549" s="4">
        <f>Table1[[#This Row],[Service_Revenue]]-Table1[[#This Row],[Service_Cost]]</f>
        <v>229531</v>
      </c>
      <c r="T1549" s="4">
        <v>1</v>
      </c>
      <c r="U1549" s="4">
        <f>IF(AND(Table1[[#This Row],[Rework_Flag]]="Yes",Table1[[#This Row],[Warranty_Claim]]="No"),Table1[[#This Row],[Service_Revenue]],0)</f>
        <v>0</v>
      </c>
      <c r="V1549" s="4">
        <f>IF(Table1[[#This Row],[Warranty_Claim]]="Yes",1,0)</f>
        <v>1</v>
      </c>
      <c r="W1549" s="4">
        <f>IF(Table1[[#This Row],[Rework_Flag]]="No",1,0)</f>
        <v>0</v>
      </c>
      <c r="X1549" s="4">
        <f>IF(Table1[[#This Row],[Rework_Flag]]="Yes",1,0)</f>
        <v>1</v>
      </c>
      <c r="Y1549" s="4">
        <v>1</v>
      </c>
      <c r="Z1549" s="4" t="str">
        <f>IF(Table1[[#This Row],[TAT_Days]]&gt;Table1[[#This Row],[SLA_TAT]],"Yes","No")</f>
        <v>Yes</v>
      </c>
      <c r="AA1549" s="4" t="str" cm="1">
        <f t="array" ref="AA1549">_xlfn.IFS(Table1[[#This Row],[Customer_Satisfaction]]&lt;=2,"Poor",Table1[[#This Row],[Customer_Satisfaction]]=3,"Neutral",Table1[[#This Row],[Customer_Satisfaction]]=4,"Good",Table1[[#This Row],[Customer_Satisfaction]]=5,"Good")</f>
        <v>Poor</v>
      </c>
    </row>
    <row r="1550" spans="1:27" x14ac:dyDescent="0.35">
      <c r="A1550">
        <v>21548</v>
      </c>
      <c r="B1550" s="1">
        <v>45423</v>
      </c>
      <c r="C1550" t="s">
        <v>19</v>
      </c>
      <c r="D1550" t="s">
        <v>45</v>
      </c>
      <c r="E1550" t="s">
        <v>111</v>
      </c>
      <c r="F1550" t="s">
        <v>40</v>
      </c>
      <c r="G1550" t="s">
        <v>33</v>
      </c>
      <c r="H1550" t="s">
        <v>34</v>
      </c>
      <c r="I1550" t="s">
        <v>55</v>
      </c>
      <c r="J1550" t="s">
        <v>26</v>
      </c>
      <c r="K1550" t="s">
        <v>44</v>
      </c>
      <c r="L1550" t="s">
        <v>49</v>
      </c>
      <c r="M1550" s="4">
        <v>6</v>
      </c>
      <c r="N1550" s="4">
        <v>7</v>
      </c>
      <c r="O1550" t="s">
        <v>29</v>
      </c>
      <c r="P1550" t="s">
        <v>29</v>
      </c>
      <c r="Q1550" s="4">
        <v>393676</v>
      </c>
      <c r="R1550" s="4">
        <v>297422</v>
      </c>
      <c r="S1550" s="4">
        <f>Table1[[#This Row],[Service_Revenue]]-Table1[[#This Row],[Service_Cost]]</f>
        <v>96254</v>
      </c>
      <c r="T1550" s="4">
        <v>3</v>
      </c>
      <c r="U1550" s="4">
        <f>IF(AND(Table1[[#This Row],[Rework_Flag]]="Yes",Table1[[#This Row],[Warranty_Claim]]="No"),Table1[[#This Row],[Service_Revenue]],0)</f>
        <v>0</v>
      </c>
      <c r="V1550" s="4">
        <f>IF(Table1[[#This Row],[Warranty_Claim]]="Yes",1,0)</f>
        <v>1</v>
      </c>
      <c r="W1550" s="4">
        <f>IF(Table1[[#This Row],[Rework_Flag]]="No",1,0)</f>
        <v>0</v>
      </c>
      <c r="X1550" s="4">
        <f>IF(Table1[[#This Row],[Rework_Flag]]="Yes",1,0)</f>
        <v>1</v>
      </c>
      <c r="Y1550" s="4">
        <v>1</v>
      </c>
      <c r="Z1550" s="4" t="str">
        <f>IF(Table1[[#This Row],[TAT_Days]]&gt;Table1[[#This Row],[SLA_TAT]],"Yes","No")</f>
        <v>No</v>
      </c>
      <c r="AA1550" s="4" t="str" cm="1">
        <f t="array" ref="AA1550">_xlfn.IFS(Table1[[#This Row],[Customer_Satisfaction]]&lt;=2,"Poor",Table1[[#This Row],[Customer_Satisfaction]]=3,"Neutral",Table1[[#This Row],[Customer_Satisfaction]]=4,"Good",Table1[[#This Row],[Customer_Satisfaction]]=5,"Good")</f>
        <v>Neutral</v>
      </c>
    </row>
    <row r="1551" spans="1:27" x14ac:dyDescent="0.35">
      <c r="A1551">
        <v>21549</v>
      </c>
      <c r="B1551" s="1">
        <v>45328</v>
      </c>
      <c r="C1551" t="s">
        <v>19</v>
      </c>
      <c r="D1551" t="s">
        <v>20</v>
      </c>
      <c r="E1551" t="s">
        <v>117</v>
      </c>
      <c r="F1551" t="s">
        <v>22</v>
      </c>
      <c r="G1551" t="s">
        <v>54</v>
      </c>
      <c r="H1551" t="s">
        <v>42</v>
      </c>
      <c r="I1551" t="s">
        <v>55</v>
      </c>
      <c r="J1551" t="s">
        <v>43</v>
      </c>
      <c r="K1551" t="s">
        <v>27</v>
      </c>
      <c r="L1551" t="s">
        <v>28</v>
      </c>
      <c r="M1551" s="4">
        <v>17</v>
      </c>
      <c r="N1551" s="4">
        <v>7</v>
      </c>
      <c r="O1551" t="s">
        <v>29</v>
      </c>
      <c r="P1551" t="s">
        <v>36</v>
      </c>
      <c r="Q1551" s="4">
        <v>309865</v>
      </c>
      <c r="R1551" s="4">
        <v>255773</v>
      </c>
      <c r="S1551" s="4">
        <f>Table1[[#This Row],[Service_Revenue]]-Table1[[#This Row],[Service_Cost]]</f>
        <v>54092</v>
      </c>
      <c r="T1551" s="4">
        <v>1</v>
      </c>
      <c r="U1551" s="4">
        <f>IF(AND(Table1[[#This Row],[Rework_Flag]]="Yes",Table1[[#This Row],[Warranty_Claim]]="No"),Table1[[#This Row],[Service_Revenue]],0)</f>
        <v>309865</v>
      </c>
      <c r="V1551" s="4">
        <f>IF(Table1[[#This Row],[Warranty_Claim]]="Yes",1,0)</f>
        <v>0</v>
      </c>
      <c r="W1551" s="4">
        <f>IF(Table1[[#This Row],[Rework_Flag]]="No",1,0)</f>
        <v>0</v>
      </c>
      <c r="X1551" s="4">
        <f>IF(Table1[[#This Row],[Rework_Flag]]="Yes",1,0)</f>
        <v>1</v>
      </c>
      <c r="Y1551" s="4">
        <v>1</v>
      </c>
      <c r="Z1551" s="4" t="str">
        <f>IF(Table1[[#This Row],[TAT_Days]]&gt;Table1[[#This Row],[SLA_TAT]],"Yes","No")</f>
        <v>Yes</v>
      </c>
      <c r="AA1551" s="4" t="str" cm="1">
        <f t="array" ref="AA1551">_xlfn.IFS(Table1[[#This Row],[Customer_Satisfaction]]&lt;=2,"Poor",Table1[[#This Row],[Customer_Satisfaction]]=3,"Neutral",Table1[[#This Row],[Customer_Satisfaction]]=4,"Good",Table1[[#This Row],[Customer_Satisfaction]]=5,"Good")</f>
        <v>Poor</v>
      </c>
    </row>
    <row r="1552" spans="1:27" x14ac:dyDescent="0.35">
      <c r="A1552">
        <v>21550</v>
      </c>
      <c r="B1552" s="1">
        <v>45337</v>
      </c>
      <c r="C1552" t="s">
        <v>30</v>
      </c>
      <c r="D1552" t="s">
        <v>31</v>
      </c>
      <c r="E1552" t="s">
        <v>62</v>
      </c>
      <c r="F1552" t="s">
        <v>53</v>
      </c>
      <c r="G1552" t="s">
        <v>41</v>
      </c>
      <c r="H1552" t="s">
        <v>42</v>
      </c>
      <c r="I1552" t="s">
        <v>55</v>
      </c>
      <c r="J1552" t="s">
        <v>35</v>
      </c>
      <c r="K1552" t="s">
        <v>44</v>
      </c>
      <c r="L1552" t="s">
        <v>28</v>
      </c>
      <c r="M1552" s="4">
        <v>25</v>
      </c>
      <c r="N1552" s="4">
        <v>7</v>
      </c>
      <c r="O1552" t="s">
        <v>29</v>
      </c>
      <c r="P1552" t="s">
        <v>29</v>
      </c>
      <c r="Q1552" s="4">
        <v>116159</v>
      </c>
      <c r="R1552" s="4">
        <v>79972</v>
      </c>
      <c r="S1552" s="4">
        <f>Table1[[#This Row],[Service_Revenue]]-Table1[[#This Row],[Service_Cost]]</f>
        <v>36187</v>
      </c>
      <c r="T1552" s="4">
        <v>1</v>
      </c>
      <c r="U1552" s="4">
        <f>IF(AND(Table1[[#This Row],[Rework_Flag]]="Yes",Table1[[#This Row],[Warranty_Claim]]="No"),Table1[[#This Row],[Service_Revenue]],0)</f>
        <v>0</v>
      </c>
      <c r="V1552" s="4">
        <f>IF(Table1[[#This Row],[Warranty_Claim]]="Yes",1,0)</f>
        <v>1</v>
      </c>
      <c r="W1552" s="4">
        <f>IF(Table1[[#This Row],[Rework_Flag]]="No",1,0)</f>
        <v>0</v>
      </c>
      <c r="X1552" s="4">
        <f>IF(Table1[[#This Row],[Rework_Flag]]="Yes",1,0)</f>
        <v>1</v>
      </c>
      <c r="Y1552" s="4">
        <v>1</v>
      </c>
      <c r="Z1552" s="4" t="str">
        <f>IF(Table1[[#This Row],[TAT_Days]]&gt;Table1[[#This Row],[SLA_TAT]],"Yes","No")</f>
        <v>Yes</v>
      </c>
      <c r="AA1552" s="4" t="str" cm="1">
        <f t="array" ref="AA1552">_xlfn.IFS(Table1[[#This Row],[Customer_Satisfaction]]&lt;=2,"Poor",Table1[[#This Row],[Customer_Satisfaction]]=3,"Neutral",Table1[[#This Row],[Customer_Satisfaction]]=4,"Good",Table1[[#This Row],[Customer_Satisfaction]]=5,"Good")</f>
        <v>Poor</v>
      </c>
    </row>
    <row r="1553" spans="1:27" x14ac:dyDescent="0.35">
      <c r="A1553">
        <v>21551</v>
      </c>
      <c r="B1553" s="1">
        <v>45302</v>
      </c>
      <c r="C1553" t="s">
        <v>19</v>
      </c>
      <c r="D1553" t="s">
        <v>45</v>
      </c>
      <c r="E1553" t="s">
        <v>76</v>
      </c>
      <c r="F1553" t="s">
        <v>22</v>
      </c>
      <c r="G1553" t="s">
        <v>41</v>
      </c>
      <c r="H1553" t="s">
        <v>42</v>
      </c>
      <c r="I1553" t="s">
        <v>55</v>
      </c>
      <c r="J1553" t="s">
        <v>43</v>
      </c>
      <c r="K1553" t="s">
        <v>44</v>
      </c>
      <c r="L1553" t="s">
        <v>28</v>
      </c>
      <c r="M1553" s="4">
        <v>2</v>
      </c>
      <c r="N1553" s="4">
        <v>7</v>
      </c>
      <c r="O1553" t="s">
        <v>36</v>
      </c>
      <c r="P1553" t="s">
        <v>29</v>
      </c>
      <c r="Q1553" s="4">
        <v>406385</v>
      </c>
      <c r="R1553" s="4">
        <v>291440</v>
      </c>
      <c r="S1553" s="4">
        <f>Table1[[#This Row],[Service_Revenue]]-Table1[[#This Row],[Service_Cost]]</f>
        <v>114945</v>
      </c>
      <c r="T1553" s="4">
        <v>5</v>
      </c>
      <c r="U1553" s="4">
        <f>IF(AND(Table1[[#This Row],[Rework_Flag]]="Yes",Table1[[#This Row],[Warranty_Claim]]="No"),Table1[[#This Row],[Service_Revenue]],0)</f>
        <v>0</v>
      </c>
      <c r="V1553" s="4">
        <f>IF(Table1[[#This Row],[Warranty_Claim]]="Yes",1,0)</f>
        <v>1</v>
      </c>
      <c r="W1553" s="4">
        <f>IF(Table1[[#This Row],[Rework_Flag]]="No",1,0)</f>
        <v>1</v>
      </c>
      <c r="X1553" s="4">
        <f>IF(Table1[[#This Row],[Rework_Flag]]="Yes",1,0)</f>
        <v>0</v>
      </c>
      <c r="Y1553" s="4">
        <v>1</v>
      </c>
      <c r="Z1553" s="4" t="str">
        <f>IF(Table1[[#This Row],[TAT_Days]]&gt;Table1[[#This Row],[SLA_TAT]],"Yes","No")</f>
        <v>No</v>
      </c>
      <c r="AA1553" s="4" t="str" cm="1">
        <f t="array" ref="AA1553">_xlfn.IFS(Table1[[#This Row],[Customer_Satisfaction]]&lt;=2,"Poor",Table1[[#This Row],[Customer_Satisfaction]]=3,"Neutral",Table1[[#This Row],[Customer_Satisfaction]]=4,"Good",Table1[[#This Row],[Customer_Satisfaction]]=5,"Good")</f>
        <v>Good</v>
      </c>
    </row>
    <row r="1554" spans="1:27" x14ac:dyDescent="0.35">
      <c r="A1554">
        <v>21552</v>
      </c>
      <c r="B1554" s="1">
        <v>45451</v>
      </c>
      <c r="C1554" t="s">
        <v>50</v>
      </c>
      <c r="D1554" t="s">
        <v>80</v>
      </c>
      <c r="E1554" t="s">
        <v>85</v>
      </c>
      <c r="F1554" t="s">
        <v>53</v>
      </c>
      <c r="G1554" t="s">
        <v>63</v>
      </c>
      <c r="H1554" t="s">
        <v>24</v>
      </c>
      <c r="I1554" t="s">
        <v>55</v>
      </c>
      <c r="J1554" t="s">
        <v>43</v>
      </c>
      <c r="K1554" t="s">
        <v>27</v>
      </c>
      <c r="L1554" t="s">
        <v>49</v>
      </c>
      <c r="M1554" s="4">
        <v>20</v>
      </c>
      <c r="N1554" s="4">
        <v>7</v>
      </c>
      <c r="O1554" t="s">
        <v>29</v>
      </c>
      <c r="P1554" t="s">
        <v>36</v>
      </c>
      <c r="Q1554" s="4">
        <v>558534</v>
      </c>
      <c r="R1554" s="4">
        <v>313325</v>
      </c>
      <c r="S1554" s="4">
        <f>Table1[[#This Row],[Service_Revenue]]-Table1[[#This Row],[Service_Cost]]</f>
        <v>245209</v>
      </c>
      <c r="T1554" s="4">
        <v>1</v>
      </c>
      <c r="U1554" s="4">
        <f>IF(AND(Table1[[#This Row],[Rework_Flag]]="Yes",Table1[[#This Row],[Warranty_Claim]]="No"),Table1[[#This Row],[Service_Revenue]],0)</f>
        <v>558534</v>
      </c>
      <c r="V1554" s="4">
        <f>IF(Table1[[#This Row],[Warranty_Claim]]="Yes",1,0)</f>
        <v>0</v>
      </c>
      <c r="W1554" s="4">
        <f>IF(Table1[[#This Row],[Rework_Flag]]="No",1,0)</f>
        <v>0</v>
      </c>
      <c r="X1554" s="4">
        <f>IF(Table1[[#This Row],[Rework_Flag]]="Yes",1,0)</f>
        <v>1</v>
      </c>
      <c r="Y1554" s="4">
        <v>1</v>
      </c>
      <c r="Z1554" s="4" t="str">
        <f>IF(Table1[[#This Row],[TAT_Days]]&gt;Table1[[#This Row],[SLA_TAT]],"Yes","No")</f>
        <v>Yes</v>
      </c>
      <c r="AA1554" s="4" t="str" cm="1">
        <f t="array" ref="AA1554">_xlfn.IFS(Table1[[#This Row],[Customer_Satisfaction]]&lt;=2,"Poor",Table1[[#This Row],[Customer_Satisfaction]]=3,"Neutral",Table1[[#This Row],[Customer_Satisfaction]]=4,"Good",Table1[[#This Row],[Customer_Satisfaction]]=5,"Good")</f>
        <v>Poor</v>
      </c>
    </row>
    <row r="1555" spans="1:27" x14ac:dyDescent="0.35">
      <c r="A1555">
        <v>21553</v>
      </c>
      <c r="B1555" s="1">
        <v>45302</v>
      </c>
      <c r="C1555" t="s">
        <v>30</v>
      </c>
      <c r="D1555" t="s">
        <v>31</v>
      </c>
      <c r="E1555" t="s">
        <v>62</v>
      </c>
      <c r="F1555" t="s">
        <v>40</v>
      </c>
      <c r="G1555" t="s">
        <v>33</v>
      </c>
      <c r="H1555" t="s">
        <v>34</v>
      </c>
      <c r="I1555" t="s">
        <v>55</v>
      </c>
      <c r="J1555" t="s">
        <v>26</v>
      </c>
      <c r="K1555" t="s">
        <v>44</v>
      </c>
      <c r="L1555" t="s">
        <v>28</v>
      </c>
      <c r="M1555" s="4">
        <v>21</v>
      </c>
      <c r="N1555" s="4">
        <v>7</v>
      </c>
      <c r="O1555" t="s">
        <v>36</v>
      </c>
      <c r="P1555" t="s">
        <v>36</v>
      </c>
      <c r="Q1555" s="4">
        <v>102578</v>
      </c>
      <c r="R1555" s="4">
        <v>70763</v>
      </c>
      <c r="S1555" s="4">
        <f>Table1[[#This Row],[Service_Revenue]]-Table1[[#This Row],[Service_Cost]]</f>
        <v>31815</v>
      </c>
      <c r="T1555" s="4">
        <v>1</v>
      </c>
      <c r="U1555" s="4">
        <f>IF(AND(Table1[[#This Row],[Rework_Flag]]="Yes",Table1[[#This Row],[Warranty_Claim]]="No"),Table1[[#This Row],[Service_Revenue]],0)</f>
        <v>0</v>
      </c>
      <c r="V1555" s="4">
        <f>IF(Table1[[#This Row],[Warranty_Claim]]="Yes",1,0)</f>
        <v>0</v>
      </c>
      <c r="W1555" s="4">
        <f>IF(Table1[[#This Row],[Rework_Flag]]="No",1,0)</f>
        <v>1</v>
      </c>
      <c r="X1555" s="4">
        <f>IF(Table1[[#This Row],[Rework_Flag]]="Yes",1,0)</f>
        <v>0</v>
      </c>
      <c r="Y1555" s="4">
        <v>1</v>
      </c>
      <c r="Z1555" s="4" t="str">
        <f>IF(Table1[[#This Row],[TAT_Days]]&gt;Table1[[#This Row],[SLA_TAT]],"Yes","No")</f>
        <v>Yes</v>
      </c>
      <c r="AA1555" s="4" t="str" cm="1">
        <f t="array" ref="AA1555">_xlfn.IFS(Table1[[#This Row],[Customer_Satisfaction]]&lt;=2,"Poor",Table1[[#This Row],[Customer_Satisfaction]]=3,"Neutral",Table1[[#This Row],[Customer_Satisfaction]]=4,"Good",Table1[[#This Row],[Customer_Satisfaction]]=5,"Good")</f>
        <v>Poor</v>
      </c>
    </row>
    <row r="1556" spans="1:27" x14ac:dyDescent="0.35">
      <c r="A1556">
        <v>21554</v>
      </c>
      <c r="B1556" s="1">
        <v>45431</v>
      </c>
      <c r="C1556" t="s">
        <v>19</v>
      </c>
      <c r="D1556" t="s">
        <v>45</v>
      </c>
      <c r="E1556" t="s">
        <v>99</v>
      </c>
      <c r="F1556" t="s">
        <v>40</v>
      </c>
      <c r="G1556" t="s">
        <v>41</v>
      </c>
      <c r="H1556" t="s">
        <v>42</v>
      </c>
      <c r="I1556" t="s">
        <v>25</v>
      </c>
      <c r="J1556" t="s">
        <v>43</v>
      </c>
      <c r="K1556" t="s">
        <v>44</v>
      </c>
      <c r="L1556" t="s">
        <v>28</v>
      </c>
      <c r="M1556" s="4">
        <v>3</v>
      </c>
      <c r="N1556" s="4">
        <v>7</v>
      </c>
      <c r="O1556" t="s">
        <v>29</v>
      </c>
      <c r="P1556" t="s">
        <v>36</v>
      </c>
      <c r="Q1556" s="4">
        <v>288518</v>
      </c>
      <c r="R1556" s="4">
        <v>203215</v>
      </c>
      <c r="S1556" s="4">
        <f>Table1[[#This Row],[Service_Revenue]]-Table1[[#This Row],[Service_Cost]]</f>
        <v>85303</v>
      </c>
      <c r="T1556" s="4">
        <v>4</v>
      </c>
      <c r="U1556" s="4">
        <f>IF(AND(Table1[[#This Row],[Rework_Flag]]="Yes",Table1[[#This Row],[Warranty_Claim]]="No"),Table1[[#This Row],[Service_Revenue]],0)</f>
        <v>288518</v>
      </c>
      <c r="V1556" s="4">
        <f>IF(Table1[[#This Row],[Warranty_Claim]]="Yes",1,0)</f>
        <v>0</v>
      </c>
      <c r="W1556" s="4">
        <f>IF(Table1[[#This Row],[Rework_Flag]]="No",1,0)</f>
        <v>0</v>
      </c>
      <c r="X1556" s="4">
        <f>IF(Table1[[#This Row],[Rework_Flag]]="Yes",1,0)</f>
        <v>1</v>
      </c>
      <c r="Y1556" s="4">
        <v>1</v>
      </c>
      <c r="Z1556" s="4" t="str">
        <f>IF(Table1[[#This Row],[TAT_Days]]&gt;Table1[[#This Row],[SLA_TAT]],"Yes","No")</f>
        <v>No</v>
      </c>
      <c r="AA1556" s="4" t="str" cm="1">
        <f t="array" ref="AA1556">_xlfn.IFS(Table1[[#This Row],[Customer_Satisfaction]]&lt;=2,"Poor",Table1[[#This Row],[Customer_Satisfaction]]=3,"Neutral",Table1[[#This Row],[Customer_Satisfaction]]=4,"Good",Table1[[#This Row],[Customer_Satisfaction]]=5,"Good")</f>
        <v>Good</v>
      </c>
    </row>
    <row r="1557" spans="1:27" x14ac:dyDescent="0.35">
      <c r="A1557">
        <v>21555</v>
      </c>
      <c r="B1557" s="1">
        <v>45382</v>
      </c>
      <c r="C1557" t="s">
        <v>19</v>
      </c>
      <c r="D1557" t="s">
        <v>45</v>
      </c>
      <c r="E1557" t="s">
        <v>114</v>
      </c>
      <c r="F1557" t="s">
        <v>53</v>
      </c>
      <c r="G1557" t="s">
        <v>63</v>
      </c>
      <c r="H1557" t="s">
        <v>24</v>
      </c>
      <c r="I1557" t="s">
        <v>25</v>
      </c>
      <c r="J1557" t="s">
        <v>67</v>
      </c>
      <c r="K1557" t="s">
        <v>27</v>
      </c>
      <c r="L1557" t="s">
        <v>49</v>
      </c>
      <c r="M1557" s="4">
        <v>13</v>
      </c>
      <c r="N1557" s="4">
        <v>7</v>
      </c>
      <c r="O1557" t="s">
        <v>29</v>
      </c>
      <c r="P1557" t="s">
        <v>36</v>
      </c>
      <c r="Q1557" s="4">
        <v>382185</v>
      </c>
      <c r="R1557" s="4">
        <v>212346</v>
      </c>
      <c r="S1557" s="4">
        <f>Table1[[#This Row],[Service_Revenue]]-Table1[[#This Row],[Service_Cost]]</f>
        <v>169839</v>
      </c>
      <c r="T1557" s="4">
        <v>2</v>
      </c>
      <c r="U1557" s="4">
        <f>IF(AND(Table1[[#This Row],[Rework_Flag]]="Yes",Table1[[#This Row],[Warranty_Claim]]="No"),Table1[[#This Row],[Service_Revenue]],0)</f>
        <v>382185</v>
      </c>
      <c r="V1557" s="4">
        <f>IF(Table1[[#This Row],[Warranty_Claim]]="Yes",1,0)</f>
        <v>0</v>
      </c>
      <c r="W1557" s="4">
        <f>IF(Table1[[#This Row],[Rework_Flag]]="No",1,0)</f>
        <v>0</v>
      </c>
      <c r="X1557" s="4">
        <f>IF(Table1[[#This Row],[Rework_Flag]]="Yes",1,0)</f>
        <v>1</v>
      </c>
      <c r="Y1557" s="4">
        <v>1</v>
      </c>
      <c r="Z1557" s="4" t="str">
        <f>IF(Table1[[#This Row],[TAT_Days]]&gt;Table1[[#This Row],[SLA_TAT]],"Yes","No")</f>
        <v>Yes</v>
      </c>
      <c r="AA1557" s="4" t="str" cm="1">
        <f t="array" ref="AA1557">_xlfn.IFS(Table1[[#This Row],[Customer_Satisfaction]]&lt;=2,"Poor",Table1[[#This Row],[Customer_Satisfaction]]=3,"Neutral",Table1[[#This Row],[Customer_Satisfaction]]=4,"Good",Table1[[#This Row],[Customer_Satisfaction]]=5,"Good")</f>
        <v>Poor</v>
      </c>
    </row>
    <row r="1558" spans="1:27" x14ac:dyDescent="0.35">
      <c r="A1558">
        <v>21556</v>
      </c>
      <c r="B1558" s="1">
        <v>45435</v>
      </c>
      <c r="C1558" t="s">
        <v>37</v>
      </c>
      <c r="D1558" t="s">
        <v>38</v>
      </c>
      <c r="E1558" t="s">
        <v>112</v>
      </c>
      <c r="F1558" t="s">
        <v>40</v>
      </c>
      <c r="G1558" t="s">
        <v>47</v>
      </c>
      <c r="H1558" t="s">
        <v>48</v>
      </c>
      <c r="I1558" t="s">
        <v>55</v>
      </c>
      <c r="J1558" t="s">
        <v>35</v>
      </c>
      <c r="K1558" t="s">
        <v>27</v>
      </c>
      <c r="L1558" t="s">
        <v>49</v>
      </c>
      <c r="M1558" s="4">
        <v>11</v>
      </c>
      <c r="N1558" s="4">
        <v>7</v>
      </c>
      <c r="O1558" t="s">
        <v>29</v>
      </c>
      <c r="P1558" t="s">
        <v>36</v>
      </c>
      <c r="Q1558" s="4">
        <v>164546</v>
      </c>
      <c r="R1558" s="4">
        <v>127874</v>
      </c>
      <c r="S1558" s="4">
        <f>Table1[[#This Row],[Service_Revenue]]-Table1[[#This Row],[Service_Cost]]</f>
        <v>36672</v>
      </c>
      <c r="T1558" s="4">
        <v>2</v>
      </c>
      <c r="U1558" s="4">
        <f>IF(AND(Table1[[#This Row],[Rework_Flag]]="Yes",Table1[[#This Row],[Warranty_Claim]]="No"),Table1[[#This Row],[Service_Revenue]],0)</f>
        <v>164546</v>
      </c>
      <c r="V1558" s="4">
        <f>IF(Table1[[#This Row],[Warranty_Claim]]="Yes",1,0)</f>
        <v>0</v>
      </c>
      <c r="W1558" s="4">
        <f>IF(Table1[[#This Row],[Rework_Flag]]="No",1,0)</f>
        <v>0</v>
      </c>
      <c r="X1558" s="4">
        <f>IF(Table1[[#This Row],[Rework_Flag]]="Yes",1,0)</f>
        <v>1</v>
      </c>
      <c r="Y1558" s="4">
        <v>1</v>
      </c>
      <c r="Z1558" s="4" t="str">
        <f>IF(Table1[[#This Row],[TAT_Days]]&gt;Table1[[#This Row],[SLA_TAT]],"Yes","No")</f>
        <v>Yes</v>
      </c>
      <c r="AA1558" s="4" t="str" cm="1">
        <f t="array" ref="AA1558">_xlfn.IFS(Table1[[#This Row],[Customer_Satisfaction]]&lt;=2,"Poor",Table1[[#This Row],[Customer_Satisfaction]]=3,"Neutral",Table1[[#This Row],[Customer_Satisfaction]]=4,"Good",Table1[[#This Row],[Customer_Satisfaction]]=5,"Good")</f>
        <v>Poor</v>
      </c>
    </row>
    <row r="1559" spans="1:27" x14ac:dyDescent="0.35">
      <c r="A1559">
        <v>21557</v>
      </c>
      <c r="B1559" s="1">
        <v>45418</v>
      </c>
      <c r="C1559" t="s">
        <v>37</v>
      </c>
      <c r="D1559" t="s">
        <v>64</v>
      </c>
      <c r="E1559" t="s">
        <v>115</v>
      </c>
      <c r="F1559" t="s">
        <v>40</v>
      </c>
      <c r="G1559" t="s">
        <v>23</v>
      </c>
      <c r="H1559" t="s">
        <v>24</v>
      </c>
      <c r="I1559" t="s">
        <v>55</v>
      </c>
      <c r="J1559" t="s">
        <v>26</v>
      </c>
      <c r="K1559" t="s">
        <v>61</v>
      </c>
      <c r="L1559" t="s">
        <v>28</v>
      </c>
      <c r="M1559" s="4">
        <v>17</v>
      </c>
      <c r="N1559" s="4">
        <v>7</v>
      </c>
      <c r="O1559" t="s">
        <v>29</v>
      </c>
      <c r="P1559" t="s">
        <v>36</v>
      </c>
      <c r="Q1559" s="4">
        <v>528659</v>
      </c>
      <c r="R1559" s="4">
        <v>324352</v>
      </c>
      <c r="S1559" s="4">
        <f>Table1[[#This Row],[Service_Revenue]]-Table1[[#This Row],[Service_Cost]]</f>
        <v>204307</v>
      </c>
      <c r="T1559" s="4">
        <v>1</v>
      </c>
      <c r="U1559" s="4">
        <f>IF(AND(Table1[[#This Row],[Rework_Flag]]="Yes",Table1[[#This Row],[Warranty_Claim]]="No"),Table1[[#This Row],[Service_Revenue]],0)</f>
        <v>528659</v>
      </c>
      <c r="V1559" s="4">
        <f>IF(Table1[[#This Row],[Warranty_Claim]]="Yes",1,0)</f>
        <v>0</v>
      </c>
      <c r="W1559" s="4">
        <f>IF(Table1[[#This Row],[Rework_Flag]]="No",1,0)</f>
        <v>0</v>
      </c>
      <c r="X1559" s="4">
        <f>IF(Table1[[#This Row],[Rework_Flag]]="Yes",1,0)</f>
        <v>1</v>
      </c>
      <c r="Y1559" s="4">
        <v>1</v>
      </c>
      <c r="Z1559" s="4" t="str">
        <f>IF(Table1[[#This Row],[TAT_Days]]&gt;Table1[[#This Row],[SLA_TAT]],"Yes","No")</f>
        <v>Yes</v>
      </c>
      <c r="AA1559" s="4" t="str" cm="1">
        <f t="array" ref="AA1559">_xlfn.IFS(Table1[[#This Row],[Customer_Satisfaction]]&lt;=2,"Poor",Table1[[#This Row],[Customer_Satisfaction]]=3,"Neutral",Table1[[#This Row],[Customer_Satisfaction]]=4,"Good",Table1[[#This Row],[Customer_Satisfaction]]=5,"Good")</f>
        <v>Poor</v>
      </c>
    </row>
    <row r="1560" spans="1:27" x14ac:dyDescent="0.35">
      <c r="A1560">
        <v>21558</v>
      </c>
      <c r="B1560" s="1">
        <v>45467</v>
      </c>
      <c r="C1560" t="s">
        <v>19</v>
      </c>
      <c r="D1560" t="s">
        <v>20</v>
      </c>
      <c r="E1560" t="s">
        <v>86</v>
      </c>
      <c r="F1560" t="s">
        <v>53</v>
      </c>
      <c r="G1560" t="s">
        <v>33</v>
      </c>
      <c r="H1560" t="s">
        <v>34</v>
      </c>
      <c r="I1560" t="s">
        <v>25</v>
      </c>
      <c r="J1560" t="s">
        <v>26</v>
      </c>
      <c r="K1560" t="s">
        <v>27</v>
      </c>
      <c r="L1560" t="s">
        <v>28</v>
      </c>
      <c r="M1560" s="4">
        <v>12</v>
      </c>
      <c r="N1560" s="4">
        <v>7</v>
      </c>
      <c r="O1560" t="s">
        <v>29</v>
      </c>
      <c r="P1560" t="s">
        <v>36</v>
      </c>
      <c r="Q1560" s="4">
        <v>582666</v>
      </c>
      <c r="R1560" s="4">
        <v>391455</v>
      </c>
      <c r="S1560" s="4">
        <f>Table1[[#This Row],[Service_Revenue]]-Table1[[#This Row],[Service_Cost]]</f>
        <v>191211</v>
      </c>
      <c r="T1560" s="4">
        <v>2</v>
      </c>
      <c r="U1560" s="4">
        <f>IF(AND(Table1[[#This Row],[Rework_Flag]]="Yes",Table1[[#This Row],[Warranty_Claim]]="No"),Table1[[#This Row],[Service_Revenue]],0)</f>
        <v>582666</v>
      </c>
      <c r="V1560" s="4">
        <f>IF(Table1[[#This Row],[Warranty_Claim]]="Yes",1,0)</f>
        <v>0</v>
      </c>
      <c r="W1560" s="4">
        <f>IF(Table1[[#This Row],[Rework_Flag]]="No",1,0)</f>
        <v>0</v>
      </c>
      <c r="X1560" s="4">
        <f>IF(Table1[[#This Row],[Rework_Flag]]="Yes",1,0)</f>
        <v>1</v>
      </c>
      <c r="Y1560" s="4">
        <v>1</v>
      </c>
      <c r="Z1560" s="4" t="str">
        <f>IF(Table1[[#This Row],[TAT_Days]]&gt;Table1[[#This Row],[SLA_TAT]],"Yes","No")</f>
        <v>Yes</v>
      </c>
      <c r="AA1560" s="4" t="str" cm="1">
        <f t="array" ref="AA1560">_xlfn.IFS(Table1[[#This Row],[Customer_Satisfaction]]&lt;=2,"Poor",Table1[[#This Row],[Customer_Satisfaction]]=3,"Neutral",Table1[[#This Row],[Customer_Satisfaction]]=4,"Good",Table1[[#This Row],[Customer_Satisfaction]]=5,"Good")</f>
        <v>Poor</v>
      </c>
    </row>
    <row r="1561" spans="1:27" x14ac:dyDescent="0.35">
      <c r="A1561">
        <v>21559</v>
      </c>
      <c r="B1561" s="1">
        <v>45420</v>
      </c>
      <c r="C1561" t="s">
        <v>50</v>
      </c>
      <c r="D1561" t="s">
        <v>80</v>
      </c>
      <c r="E1561" t="s">
        <v>85</v>
      </c>
      <c r="F1561" t="s">
        <v>53</v>
      </c>
      <c r="G1561" t="s">
        <v>74</v>
      </c>
      <c r="H1561" t="s">
        <v>34</v>
      </c>
      <c r="I1561" t="s">
        <v>25</v>
      </c>
      <c r="J1561" t="s">
        <v>26</v>
      </c>
      <c r="K1561" t="s">
        <v>44</v>
      </c>
      <c r="L1561" t="s">
        <v>28</v>
      </c>
      <c r="M1561" s="4">
        <v>15</v>
      </c>
      <c r="N1561" s="4">
        <v>7</v>
      </c>
      <c r="O1561" t="s">
        <v>29</v>
      </c>
      <c r="P1561" t="s">
        <v>36</v>
      </c>
      <c r="Q1561" s="4">
        <v>224890</v>
      </c>
      <c r="R1561" s="4">
        <v>141096</v>
      </c>
      <c r="S1561" s="4">
        <f>Table1[[#This Row],[Service_Revenue]]-Table1[[#This Row],[Service_Cost]]</f>
        <v>83794</v>
      </c>
      <c r="T1561" s="4">
        <v>1</v>
      </c>
      <c r="U1561" s="4">
        <f>IF(AND(Table1[[#This Row],[Rework_Flag]]="Yes",Table1[[#This Row],[Warranty_Claim]]="No"),Table1[[#This Row],[Service_Revenue]],0)</f>
        <v>224890</v>
      </c>
      <c r="V1561" s="4">
        <f>IF(Table1[[#This Row],[Warranty_Claim]]="Yes",1,0)</f>
        <v>0</v>
      </c>
      <c r="W1561" s="4">
        <f>IF(Table1[[#This Row],[Rework_Flag]]="No",1,0)</f>
        <v>0</v>
      </c>
      <c r="X1561" s="4">
        <f>IF(Table1[[#This Row],[Rework_Flag]]="Yes",1,0)</f>
        <v>1</v>
      </c>
      <c r="Y1561" s="4">
        <v>1</v>
      </c>
      <c r="Z1561" s="4" t="str">
        <f>IF(Table1[[#This Row],[TAT_Days]]&gt;Table1[[#This Row],[SLA_TAT]],"Yes","No")</f>
        <v>Yes</v>
      </c>
      <c r="AA1561" s="4" t="str" cm="1">
        <f t="array" ref="AA1561">_xlfn.IFS(Table1[[#This Row],[Customer_Satisfaction]]&lt;=2,"Poor",Table1[[#This Row],[Customer_Satisfaction]]=3,"Neutral",Table1[[#This Row],[Customer_Satisfaction]]=4,"Good",Table1[[#This Row],[Customer_Satisfaction]]=5,"Good")</f>
        <v>Poor</v>
      </c>
    </row>
    <row r="1562" spans="1:27" x14ac:dyDescent="0.35">
      <c r="A1562">
        <v>21560</v>
      </c>
      <c r="B1562" s="1">
        <v>45320</v>
      </c>
      <c r="C1562" t="s">
        <v>19</v>
      </c>
      <c r="D1562" t="s">
        <v>45</v>
      </c>
      <c r="E1562" t="s">
        <v>99</v>
      </c>
      <c r="F1562" t="s">
        <v>22</v>
      </c>
      <c r="G1562" t="s">
        <v>63</v>
      </c>
      <c r="H1562" t="s">
        <v>24</v>
      </c>
      <c r="I1562" t="s">
        <v>25</v>
      </c>
      <c r="J1562" t="s">
        <v>43</v>
      </c>
      <c r="K1562" t="s">
        <v>61</v>
      </c>
      <c r="L1562" t="s">
        <v>28</v>
      </c>
      <c r="M1562" s="4">
        <v>9</v>
      </c>
      <c r="N1562" s="4">
        <v>7</v>
      </c>
      <c r="O1562" t="s">
        <v>36</v>
      </c>
      <c r="P1562" t="s">
        <v>36</v>
      </c>
      <c r="Q1562" s="4">
        <v>206770</v>
      </c>
      <c r="R1562" s="4">
        <v>152342</v>
      </c>
      <c r="S1562" s="4">
        <f>Table1[[#This Row],[Service_Revenue]]-Table1[[#This Row],[Service_Cost]]</f>
        <v>54428</v>
      </c>
      <c r="T1562" s="4">
        <v>4</v>
      </c>
      <c r="U1562" s="4">
        <f>IF(AND(Table1[[#This Row],[Rework_Flag]]="Yes",Table1[[#This Row],[Warranty_Claim]]="No"),Table1[[#This Row],[Service_Revenue]],0)</f>
        <v>0</v>
      </c>
      <c r="V1562" s="4">
        <f>IF(Table1[[#This Row],[Warranty_Claim]]="Yes",1,0)</f>
        <v>0</v>
      </c>
      <c r="W1562" s="4">
        <f>IF(Table1[[#This Row],[Rework_Flag]]="No",1,0)</f>
        <v>1</v>
      </c>
      <c r="X1562" s="4">
        <f>IF(Table1[[#This Row],[Rework_Flag]]="Yes",1,0)</f>
        <v>0</v>
      </c>
      <c r="Y1562" s="4">
        <v>1</v>
      </c>
      <c r="Z1562" s="4" t="str">
        <f>IF(Table1[[#This Row],[TAT_Days]]&gt;Table1[[#This Row],[SLA_TAT]],"Yes","No")</f>
        <v>Yes</v>
      </c>
      <c r="AA1562" s="4" t="str" cm="1">
        <f t="array" ref="AA1562">_xlfn.IFS(Table1[[#This Row],[Customer_Satisfaction]]&lt;=2,"Poor",Table1[[#This Row],[Customer_Satisfaction]]=3,"Neutral",Table1[[#This Row],[Customer_Satisfaction]]=4,"Good",Table1[[#This Row],[Customer_Satisfaction]]=5,"Good")</f>
        <v>Good</v>
      </c>
    </row>
    <row r="1563" spans="1:27" x14ac:dyDescent="0.35">
      <c r="A1563">
        <v>21561</v>
      </c>
      <c r="B1563" s="1">
        <v>45401</v>
      </c>
      <c r="C1563" t="s">
        <v>19</v>
      </c>
      <c r="D1563" t="s">
        <v>96</v>
      </c>
      <c r="E1563" t="s">
        <v>108</v>
      </c>
      <c r="F1563" t="s">
        <v>40</v>
      </c>
      <c r="G1563" t="s">
        <v>33</v>
      </c>
      <c r="H1563" t="s">
        <v>34</v>
      </c>
      <c r="I1563" t="s">
        <v>55</v>
      </c>
      <c r="J1563" t="s">
        <v>67</v>
      </c>
      <c r="K1563" t="s">
        <v>27</v>
      </c>
      <c r="L1563" t="s">
        <v>49</v>
      </c>
      <c r="M1563" s="4">
        <v>20</v>
      </c>
      <c r="N1563" s="4">
        <v>7</v>
      </c>
      <c r="O1563" t="s">
        <v>29</v>
      </c>
      <c r="P1563" t="s">
        <v>36</v>
      </c>
      <c r="Q1563" s="4">
        <v>450092</v>
      </c>
      <c r="R1563" s="4">
        <v>357908</v>
      </c>
      <c r="S1563" s="4">
        <f>Table1[[#This Row],[Service_Revenue]]-Table1[[#This Row],[Service_Cost]]</f>
        <v>92184</v>
      </c>
      <c r="T1563" s="4">
        <v>1</v>
      </c>
      <c r="U1563" s="4">
        <f>IF(AND(Table1[[#This Row],[Rework_Flag]]="Yes",Table1[[#This Row],[Warranty_Claim]]="No"),Table1[[#This Row],[Service_Revenue]],0)</f>
        <v>450092</v>
      </c>
      <c r="V1563" s="4">
        <f>IF(Table1[[#This Row],[Warranty_Claim]]="Yes",1,0)</f>
        <v>0</v>
      </c>
      <c r="W1563" s="4">
        <f>IF(Table1[[#This Row],[Rework_Flag]]="No",1,0)</f>
        <v>0</v>
      </c>
      <c r="X1563" s="4">
        <f>IF(Table1[[#This Row],[Rework_Flag]]="Yes",1,0)</f>
        <v>1</v>
      </c>
      <c r="Y1563" s="4">
        <v>1</v>
      </c>
      <c r="Z1563" s="4" t="str">
        <f>IF(Table1[[#This Row],[TAT_Days]]&gt;Table1[[#This Row],[SLA_TAT]],"Yes","No")</f>
        <v>Yes</v>
      </c>
      <c r="AA1563" s="4" t="str" cm="1">
        <f t="array" ref="AA1563">_xlfn.IFS(Table1[[#This Row],[Customer_Satisfaction]]&lt;=2,"Poor",Table1[[#This Row],[Customer_Satisfaction]]=3,"Neutral",Table1[[#This Row],[Customer_Satisfaction]]=4,"Good",Table1[[#This Row],[Customer_Satisfaction]]=5,"Good")</f>
        <v>Poor</v>
      </c>
    </row>
    <row r="1564" spans="1:27" x14ac:dyDescent="0.35">
      <c r="A1564">
        <v>21562</v>
      </c>
      <c r="B1564" s="1">
        <v>45415</v>
      </c>
      <c r="C1564" t="s">
        <v>37</v>
      </c>
      <c r="D1564" t="s">
        <v>70</v>
      </c>
      <c r="E1564" t="s">
        <v>71</v>
      </c>
      <c r="F1564" t="s">
        <v>40</v>
      </c>
      <c r="G1564" t="s">
        <v>63</v>
      </c>
      <c r="H1564" t="s">
        <v>24</v>
      </c>
      <c r="I1564" t="s">
        <v>25</v>
      </c>
      <c r="J1564" t="s">
        <v>26</v>
      </c>
      <c r="K1564" t="s">
        <v>44</v>
      </c>
      <c r="L1564" t="s">
        <v>49</v>
      </c>
      <c r="M1564" s="4">
        <v>24</v>
      </c>
      <c r="N1564" s="4">
        <v>7</v>
      </c>
      <c r="O1564" t="s">
        <v>36</v>
      </c>
      <c r="P1564" t="s">
        <v>36</v>
      </c>
      <c r="Q1564" s="4">
        <v>509785</v>
      </c>
      <c r="R1564" s="4">
        <v>300758</v>
      </c>
      <c r="S1564" s="4">
        <f>Table1[[#This Row],[Service_Revenue]]-Table1[[#This Row],[Service_Cost]]</f>
        <v>209027</v>
      </c>
      <c r="T1564" s="4">
        <v>1</v>
      </c>
      <c r="U1564" s="4">
        <f>IF(AND(Table1[[#This Row],[Rework_Flag]]="Yes",Table1[[#This Row],[Warranty_Claim]]="No"),Table1[[#This Row],[Service_Revenue]],0)</f>
        <v>0</v>
      </c>
      <c r="V1564" s="4">
        <f>IF(Table1[[#This Row],[Warranty_Claim]]="Yes",1,0)</f>
        <v>0</v>
      </c>
      <c r="W1564" s="4">
        <f>IF(Table1[[#This Row],[Rework_Flag]]="No",1,0)</f>
        <v>1</v>
      </c>
      <c r="X1564" s="4">
        <f>IF(Table1[[#This Row],[Rework_Flag]]="Yes",1,0)</f>
        <v>0</v>
      </c>
      <c r="Y1564" s="4">
        <v>1</v>
      </c>
      <c r="Z1564" s="4" t="str">
        <f>IF(Table1[[#This Row],[TAT_Days]]&gt;Table1[[#This Row],[SLA_TAT]],"Yes","No")</f>
        <v>Yes</v>
      </c>
      <c r="AA1564" s="4" t="str" cm="1">
        <f t="array" ref="AA1564">_xlfn.IFS(Table1[[#This Row],[Customer_Satisfaction]]&lt;=2,"Poor",Table1[[#This Row],[Customer_Satisfaction]]=3,"Neutral",Table1[[#This Row],[Customer_Satisfaction]]=4,"Good",Table1[[#This Row],[Customer_Satisfaction]]=5,"Good")</f>
        <v>Poor</v>
      </c>
    </row>
    <row r="1565" spans="1:27" x14ac:dyDescent="0.35">
      <c r="A1565">
        <v>21563</v>
      </c>
      <c r="B1565" s="1">
        <v>45468</v>
      </c>
      <c r="C1565" t="s">
        <v>30</v>
      </c>
      <c r="D1565" t="s">
        <v>83</v>
      </c>
      <c r="E1565" t="s">
        <v>119</v>
      </c>
      <c r="F1565" t="s">
        <v>22</v>
      </c>
      <c r="G1565" t="s">
        <v>33</v>
      </c>
      <c r="H1565" t="s">
        <v>34</v>
      </c>
      <c r="I1565" t="s">
        <v>25</v>
      </c>
      <c r="J1565" t="s">
        <v>58</v>
      </c>
      <c r="K1565" t="s">
        <v>27</v>
      </c>
      <c r="L1565" t="s">
        <v>49</v>
      </c>
      <c r="M1565" s="4">
        <v>19</v>
      </c>
      <c r="N1565" s="4">
        <v>7</v>
      </c>
      <c r="O1565" t="s">
        <v>29</v>
      </c>
      <c r="P1565" t="s">
        <v>36</v>
      </c>
      <c r="Q1565" s="4">
        <v>525782</v>
      </c>
      <c r="R1565" s="4">
        <v>367030</v>
      </c>
      <c r="S1565" s="4">
        <f>Table1[[#This Row],[Service_Revenue]]-Table1[[#This Row],[Service_Cost]]</f>
        <v>158752</v>
      </c>
      <c r="T1565" s="4">
        <v>1</v>
      </c>
      <c r="U1565" s="4">
        <f>IF(AND(Table1[[#This Row],[Rework_Flag]]="Yes",Table1[[#This Row],[Warranty_Claim]]="No"),Table1[[#This Row],[Service_Revenue]],0)</f>
        <v>525782</v>
      </c>
      <c r="V1565" s="4">
        <f>IF(Table1[[#This Row],[Warranty_Claim]]="Yes",1,0)</f>
        <v>0</v>
      </c>
      <c r="W1565" s="4">
        <f>IF(Table1[[#This Row],[Rework_Flag]]="No",1,0)</f>
        <v>0</v>
      </c>
      <c r="X1565" s="4">
        <f>IF(Table1[[#This Row],[Rework_Flag]]="Yes",1,0)</f>
        <v>1</v>
      </c>
      <c r="Y1565" s="4">
        <v>1</v>
      </c>
      <c r="Z1565" s="4" t="str">
        <f>IF(Table1[[#This Row],[TAT_Days]]&gt;Table1[[#This Row],[SLA_TAT]],"Yes","No")</f>
        <v>Yes</v>
      </c>
      <c r="AA1565" s="4" t="str" cm="1">
        <f t="array" ref="AA1565">_xlfn.IFS(Table1[[#This Row],[Customer_Satisfaction]]&lt;=2,"Poor",Table1[[#This Row],[Customer_Satisfaction]]=3,"Neutral",Table1[[#This Row],[Customer_Satisfaction]]=4,"Good",Table1[[#This Row],[Customer_Satisfaction]]=5,"Good")</f>
        <v>Poor</v>
      </c>
    </row>
    <row r="1566" spans="1:27" x14ac:dyDescent="0.35">
      <c r="A1566">
        <v>21564</v>
      </c>
      <c r="B1566" s="1">
        <v>45434</v>
      </c>
      <c r="C1566" t="s">
        <v>19</v>
      </c>
      <c r="D1566" t="s">
        <v>45</v>
      </c>
      <c r="E1566" t="s">
        <v>114</v>
      </c>
      <c r="F1566" t="s">
        <v>22</v>
      </c>
      <c r="G1566" t="s">
        <v>54</v>
      </c>
      <c r="H1566" t="s">
        <v>42</v>
      </c>
      <c r="I1566" t="s">
        <v>55</v>
      </c>
      <c r="J1566" t="s">
        <v>26</v>
      </c>
      <c r="K1566" t="s">
        <v>44</v>
      </c>
      <c r="L1566" t="s">
        <v>28</v>
      </c>
      <c r="M1566" s="4">
        <v>15</v>
      </c>
      <c r="N1566" s="4">
        <v>7</v>
      </c>
      <c r="O1566" t="s">
        <v>36</v>
      </c>
      <c r="P1566" t="s">
        <v>36</v>
      </c>
      <c r="Q1566" s="4">
        <v>420169</v>
      </c>
      <c r="R1566" s="4">
        <v>267627</v>
      </c>
      <c r="S1566" s="4">
        <f>Table1[[#This Row],[Service_Revenue]]-Table1[[#This Row],[Service_Cost]]</f>
        <v>152542</v>
      </c>
      <c r="T1566" s="4">
        <v>2</v>
      </c>
      <c r="U1566" s="4">
        <f>IF(AND(Table1[[#This Row],[Rework_Flag]]="Yes",Table1[[#This Row],[Warranty_Claim]]="No"),Table1[[#This Row],[Service_Revenue]],0)</f>
        <v>0</v>
      </c>
      <c r="V1566" s="4">
        <f>IF(Table1[[#This Row],[Warranty_Claim]]="Yes",1,0)</f>
        <v>0</v>
      </c>
      <c r="W1566" s="4">
        <f>IF(Table1[[#This Row],[Rework_Flag]]="No",1,0)</f>
        <v>1</v>
      </c>
      <c r="X1566" s="4">
        <f>IF(Table1[[#This Row],[Rework_Flag]]="Yes",1,0)</f>
        <v>0</v>
      </c>
      <c r="Y1566" s="4">
        <v>1</v>
      </c>
      <c r="Z1566" s="4" t="str">
        <f>IF(Table1[[#This Row],[TAT_Days]]&gt;Table1[[#This Row],[SLA_TAT]],"Yes","No")</f>
        <v>Yes</v>
      </c>
      <c r="AA1566" s="4" t="str" cm="1">
        <f t="array" ref="AA1566">_xlfn.IFS(Table1[[#This Row],[Customer_Satisfaction]]&lt;=2,"Poor",Table1[[#This Row],[Customer_Satisfaction]]=3,"Neutral",Table1[[#This Row],[Customer_Satisfaction]]=4,"Good",Table1[[#This Row],[Customer_Satisfaction]]=5,"Good")</f>
        <v>Poor</v>
      </c>
    </row>
    <row r="1567" spans="1:27" x14ac:dyDescent="0.35">
      <c r="A1567">
        <v>21565</v>
      </c>
      <c r="B1567" s="1">
        <v>45373</v>
      </c>
      <c r="C1567" t="s">
        <v>19</v>
      </c>
      <c r="D1567" t="s">
        <v>45</v>
      </c>
      <c r="E1567" t="s">
        <v>111</v>
      </c>
      <c r="F1567" t="s">
        <v>22</v>
      </c>
      <c r="G1567" t="s">
        <v>54</v>
      </c>
      <c r="H1567" t="s">
        <v>42</v>
      </c>
      <c r="I1567" t="s">
        <v>25</v>
      </c>
      <c r="J1567" t="s">
        <v>58</v>
      </c>
      <c r="K1567" t="s">
        <v>27</v>
      </c>
      <c r="L1567" t="s">
        <v>49</v>
      </c>
      <c r="M1567" s="4">
        <v>25</v>
      </c>
      <c r="N1567" s="4">
        <v>7</v>
      </c>
      <c r="O1567" t="s">
        <v>29</v>
      </c>
      <c r="P1567" t="s">
        <v>36</v>
      </c>
      <c r="Q1567" s="4">
        <v>243231</v>
      </c>
      <c r="R1567" s="4">
        <v>167443</v>
      </c>
      <c r="S1567" s="4">
        <f>Table1[[#This Row],[Service_Revenue]]-Table1[[#This Row],[Service_Cost]]</f>
        <v>75788</v>
      </c>
      <c r="T1567" s="4">
        <v>1</v>
      </c>
      <c r="U1567" s="4">
        <f>IF(AND(Table1[[#This Row],[Rework_Flag]]="Yes",Table1[[#This Row],[Warranty_Claim]]="No"),Table1[[#This Row],[Service_Revenue]],0)</f>
        <v>243231</v>
      </c>
      <c r="V1567" s="4">
        <f>IF(Table1[[#This Row],[Warranty_Claim]]="Yes",1,0)</f>
        <v>0</v>
      </c>
      <c r="W1567" s="4">
        <f>IF(Table1[[#This Row],[Rework_Flag]]="No",1,0)</f>
        <v>0</v>
      </c>
      <c r="X1567" s="4">
        <f>IF(Table1[[#This Row],[Rework_Flag]]="Yes",1,0)</f>
        <v>1</v>
      </c>
      <c r="Y1567" s="4">
        <v>1</v>
      </c>
      <c r="Z1567" s="4" t="str">
        <f>IF(Table1[[#This Row],[TAT_Days]]&gt;Table1[[#This Row],[SLA_TAT]],"Yes","No")</f>
        <v>Yes</v>
      </c>
      <c r="AA1567" s="4" t="str" cm="1">
        <f t="array" ref="AA1567">_xlfn.IFS(Table1[[#This Row],[Customer_Satisfaction]]&lt;=2,"Poor",Table1[[#This Row],[Customer_Satisfaction]]=3,"Neutral",Table1[[#This Row],[Customer_Satisfaction]]=4,"Good",Table1[[#This Row],[Customer_Satisfaction]]=5,"Good")</f>
        <v>Poor</v>
      </c>
    </row>
    <row r="1568" spans="1:27" x14ac:dyDescent="0.35">
      <c r="A1568">
        <v>21566</v>
      </c>
      <c r="B1568" s="1">
        <v>45367</v>
      </c>
      <c r="C1568" t="s">
        <v>19</v>
      </c>
      <c r="D1568" t="s">
        <v>45</v>
      </c>
      <c r="E1568" t="s">
        <v>46</v>
      </c>
      <c r="F1568" t="s">
        <v>40</v>
      </c>
      <c r="G1568" t="s">
        <v>47</v>
      </c>
      <c r="H1568" t="s">
        <v>48</v>
      </c>
      <c r="I1568" t="s">
        <v>55</v>
      </c>
      <c r="J1568" t="s">
        <v>26</v>
      </c>
      <c r="K1568" t="s">
        <v>44</v>
      </c>
      <c r="L1568" t="s">
        <v>49</v>
      </c>
      <c r="M1568" s="4">
        <v>11</v>
      </c>
      <c r="N1568" s="4">
        <v>7</v>
      </c>
      <c r="O1568" t="s">
        <v>36</v>
      </c>
      <c r="P1568" t="s">
        <v>29</v>
      </c>
      <c r="Q1568" s="4">
        <v>596691</v>
      </c>
      <c r="R1568" s="4">
        <v>437613</v>
      </c>
      <c r="S1568" s="4">
        <f>Table1[[#This Row],[Service_Revenue]]-Table1[[#This Row],[Service_Cost]]</f>
        <v>159078</v>
      </c>
      <c r="T1568" s="4">
        <v>3</v>
      </c>
      <c r="U1568" s="4">
        <f>IF(AND(Table1[[#This Row],[Rework_Flag]]="Yes",Table1[[#This Row],[Warranty_Claim]]="No"),Table1[[#This Row],[Service_Revenue]],0)</f>
        <v>0</v>
      </c>
      <c r="V1568" s="4">
        <f>IF(Table1[[#This Row],[Warranty_Claim]]="Yes",1,0)</f>
        <v>1</v>
      </c>
      <c r="W1568" s="4">
        <f>IF(Table1[[#This Row],[Rework_Flag]]="No",1,0)</f>
        <v>1</v>
      </c>
      <c r="X1568" s="4">
        <f>IF(Table1[[#This Row],[Rework_Flag]]="Yes",1,0)</f>
        <v>0</v>
      </c>
      <c r="Y1568" s="4">
        <v>1</v>
      </c>
      <c r="Z1568" s="4" t="str">
        <f>IF(Table1[[#This Row],[TAT_Days]]&gt;Table1[[#This Row],[SLA_TAT]],"Yes","No")</f>
        <v>Yes</v>
      </c>
      <c r="AA1568" s="4" t="str" cm="1">
        <f t="array" ref="AA1568">_xlfn.IFS(Table1[[#This Row],[Customer_Satisfaction]]&lt;=2,"Poor",Table1[[#This Row],[Customer_Satisfaction]]=3,"Neutral",Table1[[#This Row],[Customer_Satisfaction]]=4,"Good",Table1[[#This Row],[Customer_Satisfaction]]=5,"Good")</f>
        <v>Neutral</v>
      </c>
    </row>
    <row r="1569" spans="1:27" x14ac:dyDescent="0.35">
      <c r="A1569">
        <v>21567</v>
      </c>
      <c r="B1569" s="1">
        <v>45460</v>
      </c>
      <c r="C1569" t="s">
        <v>19</v>
      </c>
      <c r="D1569" t="s">
        <v>96</v>
      </c>
      <c r="E1569" t="s">
        <v>97</v>
      </c>
      <c r="F1569" t="s">
        <v>40</v>
      </c>
      <c r="G1569" t="s">
        <v>63</v>
      </c>
      <c r="H1569" t="s">
        <v>24</v>
      </c>
      <c r="I1569" t="s">
        <v>25</v>
      </c>
      <c r="J1569" t="s">
        <v>35</v>
      </c>
      <c r="K1569" t="s">
        <v>27</v>
      </c>
      <c r="L1569" t="s">
        <v>49</v>
      </c>
      <c r="M1569" s="4">
        <v>13</v>
      </c>
      <c r="N1569" s="4">
        <v>7</v>
      </c>
      <c r="O1569" t="s">
        <v>29</v>
      </c>
      <c r="P1569" t="s">
        <v>36</v>
      </c>
      <c r="Q1569" s="4">
        <v>331050</v>
      </c>
      <c r="R1569" s="4">
        <v>234522</v>
      </c>
      <c r="S1569" s="4">
        <f>Table1[[#This Row],[Service_Revenue]]-Table1[[#This Row],[Service_Cost]]</f>
        <v>96528</v>
      </c>
      <c r="T1569" s="4">
        <v>2</v>
      </c>
      <c r="U1569" s="4">
        <f>IF(AND(Table1[[#This Row],[Rework_Flag]]="Yes",Table1[[#This Row],[Warranty_Claim]]="No"),Table1[[#This Row],[Service_Revenue]],0)</f>
        <v>331050</v>
      </c>
      <c r="V1569" s="4">
        <f>IF(Table1[[#This Row],[Warranty_Claim]]="Yes",1,0)</f>
        <v>0</v>
      </c>
      <c r="W1569" s="4">
        <f>IF(Table1[[#This Row],[Rework_Flag]]="No",1,0)</f>
        <v>0</v>
      </c>
      <c r="X1569" s="4">
        <f>IF(Table1[[#This Row],[Rework_Flag]]="Yes",1,0)</f>
        <v>1</v>
      </c>
      <c r="Y1569" s="4">
        <v>1</v>
      </c>
      <c r="Z1569" s="4" t="str">
        <f>IF(Table1[[#This Row],[TAT_Days]]&gt;Table1[[#This Row],[SLA_TAT]],"Yes","No")</f>
        <v>Yes</v>
      </c>
      <c r="AA1569" s="4" t="str" cm="1">
        <f t="array" ref="AA1569">_xlfn.IFS(Table1[[#This Row],[Customer_Satisfaction]]&lt;=2,"Poor",Table1[[#This Row],[Customer_Satisfaction]]=3,"Neutral",Table1[[#This Row],[Customer_Satisfaction]]=4,"Good",Table1[[#This Row],[Customer_Satisfaction]]=5,"Good")</f>
        <v>Poor</v>
      </c>
    </row>
    <row r="1570" spans="1:27" x14ac:dyDescent="0.35">
      <c r="A1570">
        <v>21568</v>
      </c>
      <c r="B1570" s="1">
        <v>45377</v>
      </c>
      <c r="C1570" t="s">
        <v>37</v>
      </c>
      <c r="D1570" t="s">
        <v>38</v>
      </c>
      <c r="E1570" t="s">
        <v>93</v>
      </c>
      <c r="F1570" t="s">
        <v>53</v>
      </c>
      <c r="G1570" t="s">
        <v>47</v>
      </c>
      <c r="H1570" t="s">
        <v>48</v>
      </c>
      <c r="I1570" t="s">
        <v>55</v>
      </c>
      <c r="J1570" t="s">
        <v>58</v>
      </c>
      <c r="K1570" t="s">
        <v>44</v>
      </c>
      <c r="L1570" t="s">
        <v>28</v>
      </c>
      <c r="M1570" s="4">
        <v>22</v>
      </c>
      <c r="N1570" s="4">
        <v>7</v>
      </c>
      <c r="O1570" t="s">
        <v>29</v>
      </c>
      <c r="P1570" t="s">
        <v>36</v>
      </c>
      <c r="Q1570" s="4">
        <v>263960</v>
      </c>
      <c r="R1570" s="4">
        <v>182079</v>
      </c>
      <c r="S1570" s="4">
        <f>Table1[[#This Row],[Service_Revenue]]-Table1[[#This Row],[Service_Cost]]</f>
        <v>81881</v>
      </c>
      <c r="T1570" s="4">
        <v>1</v>
      </c>
      <c r="U1570" s="4">
        <f>IF(AND(Table1[[#This Row],[Rework_Flag]]="Yes",Table1[[#This Row],[Warranty_Claim]]="No"),Table1[[#This Row],[Service_Revenue]],0)</f>
        <v>263960</v>
      </c>
      <c r="V1570" s="4">
        <f>IF(Table1[[#This Row],[Warranty_Claim]]="Yes",1,0)</f>
        <v>0</v>
      </c>
      <c r="W1570" s="4">
        <f>IF(Table1[[#This Row],[Rework_Flag]]="No",1,0)</f>
        <v>0</v>
      </c>
      <c r="X1570" s="4">
        <f>IF(Table1[[#This Row],[Rework_Flag]]="Yes",1,0)</f>
        <v>1</v>
      </c>
      <c r="Y1570" s="4">
        <v>1</v>
      </c>
      <c r="Z1570" s="4" t="str">
        <f>IF(Table1[[#This Row],[TAT_Days]]&gt;Table1[[#This Row],[SLA_TAT]],"Yes","No")</f>
        <v>Yes</v>
      </c>
      <c r="AA1570" s="4" t="str" cm="1">
        <f t="array" ref="AA1570">_xlfn.IFS(Table1[[#This Row],[Customer_Satisfaction]]&lt;=2,"Poor",Table1[[#This Row],[Customer_Satisfaction]]=3,"Neutral",Table1[[#This Row],[Customer_Satisfaction]]=4,"Good",Table1[[#This Row],[Customer_Satisfaction]]=5,"Good")</f>
        <v>Poor</v>
      </c>
    </row>
    <row r="1571" spans="1:27" x14ac:dyDescent="0.35">
      <c r="A1571">
        <v>21569</v>
      </c>
      <c r="B1571" s="1">
        <v>45335</v>
      </c>
      <c r="C1571" t="s">
        <v>50</v>
      </c>
      <c r="D1571" t="s">
        <v>51</v>
      </c>
      <c r="E1571" t="s">
        <v>113</v>
      </c>
      <c r="F1571" t="s">
        <v>40</v>
      </c>
      <c r="G1571" t="s">
        <v>47</v>
      </c>
      <c r="H1571" t="s">
        <v>48</v>
      </c>
      <c r="I1571" t="s">
        <v>55</v>
      </c>
      <c r="J1571" t="s">
        <v>58</v>
      </c>
      <c r="K1571" t="s">
        <v>27</v>
      </c>
      <c r="L1571" t="s">
        <v>49</v>
      </c>
      <c r="M1571" s="4">
        <v>14</v>
      </c>
      <c r="N1571" s="4">
        <v>7</v>
      </c>
      <c r="O1571" t="s">
        <v>29</v>
      </c>
      <c r="P1571" t="s">
        <v>29</v>
      </c>
      <c r="Q1571" s="4">
        <v>271079</v>
      </c>
      <c r="R1571" s="4">
        <v>207690</v>
      </c>
      <c r="S1571" s="4">
        <f>Table1[[#This Row],[Service_Revenue]]-Table1[[#This Row],[Service_Cost]]</f>
        <v>63389</v>
      </c>
      <c r="T1571" s="4">
        <v>2</v>
      </c>
      <c r="U1571" s="4">
        <f>IF(AND(Table1[[#This Row],[Rework_Flag]]="Yes",Table1[[#This Row],[Warranty_Claim]]="No"),Table1[[#This Row],[Service_Revenue]],0)</f>
        <v>0</v>
      </c>
      <c r="V1571" s="4">
        <f>IF(Table1[[#This Row],[Warranty_Claim]]="Yes",1,0)</f>
        <v>1</v>
      </c>
      <c r="W1571" s="4">
        <f>IF(Table1[[#This Row],[Rework_Flag]]="No",1,0)</f>
        <v>0</v>
      </c>
      <c r="X1571" s="4">
        <f>IF(Table1[[#This Row],[Rework_Flag]]="Yes",1,0)</f>
        <v>1</v>
      </c>
      <c r="Y1571" s="4">
        <v>1</v>
      </c>
      <c r="Z1571" s="4" t="str">
        <f>IF(Table1[[#This Row],[TAT_Days]]&gt;Table1[[#This Row],[SLA_TAT]],"Yes","No")</f>
        <v>Yes</v>
      </c>
      <c r="AA1571" s="4" t="str" cm="1">
        <f t="array" ref="AA1571">_xlfn.IFS(Table1[[#This Row],[Customer_Satisfaction]]&lt;=2,"Poor",Table1[[#This Row],[Customer_Satisfaction]]=3,"Neutral",Table1[[#This Row],[Customer_Satisfaction]]=4,"Good",Table1[[#This Row],[Customer_Satisfaction]]=5,"Good")</f>
        <v>Poor</v>
      </c>
    </row>
    <row r="1572" spans="1:27" x14ac:dyDescent="0.35">
      <c r="A1572">
        <v>21570</v>
      </c>
      <c r="B1572" s="1">
        <v>45389</v>
      </c>
      <c r="C1572" t="s">
        <v>30</v>
      </c>
      <c r="D1572" t="s">
        <v>59</v>
      </c>
      <c r="E1572" t="s">
        <v>60</v>
      </c>
      <c r="F1572" t="s">
        <v>22</v>
      </c>
      <c r="G1572" t="s">
        <v>74</v>
      </c>
      <c r="H1572" t="s">
        <v>34</v>
      </c>
      <c r="I1572" t="s">
        <v>25</v>
      </c>
      <c r="J1572" t="s">
        <v>67</v>
      </c>
      <c r="K1572" t="s">
        <v>44</v>
      </c>
      <c r="L1572" t="s">
        <v>28</v>
      </c>
      <c r="M1572" s="4">
        <v>19</v>
      </c>
      <c r="N1572" s="4">
        <v>7</v>
      </c>
      <c r="O1572" t="s">
        <v>29</v>
      </c>
      <c r="P1572" t="s">
        <v>36</v>
      </c>
      <c r="Q1572" s="4">
        <v>151467</v>
      </c>
      <c r="R1572" s="4">
        <v>90097</v>
      </c>
      <c r="S1572" s="4">
        <f>Table1[[#This Row],[Service_Revenue]]-Table1[[#This Row],[Service_Cost]]</f>
        <v>61370</v>
      </c>
      <c r="T1572" s="4">
        <v>1</v>
      </c>
      <c r="U1572" s="4">
        <f>IF(AND(Table1[[#This Row],[Rework_Flag]]="Yes",Table1[[#This Row],[Warranty_Claim]]="No"),Table1[[#This Row],[Service_Revenue]],0)</f>
        <v>151467</v>
      </c>
      <c r="V1572" s="4">
        <f>IF(Table1[[#This Row],[Warranty_Claim]]="Yes",1,0)</f>
        <v>0</v>
      </c>
      <c r="W1572" s="4">
        <f>IF(Table1[[#This Row],[Rework_Flag]]="No",1,0)</f>
        <v>0</v>
      </c>
      <c r="X1572" s="4">
        <f>IF(Table1[[#This Row],[Rework_Flag]]="Yes",1,0)</f>
        <v>1</v>
      </c>
      <c r="Y1572" s="4">
        <v>1</v>
      </c>
      <c r="Z1572" s="4" t="str">
        <f>IF(Table1[[#This Row],[TAT_Days]]&gt;Table1[[#This Row],[SLA_TAT]],"Yes","No")</f>
        <v>Yes</v>
      </c>
      <c r="AA1572" s="4" t="str" cm="1">
        <f t="array" ref="AA1572">_xlfn.IFS(Table1[[#This Row],[Customer_Satisfaction]]&lt;=2,"Poor",Table1[[#This Row],[Customer_Satisfaction]]=3,"Neutral",Table1[[#This Row],[Customer_Satisfaction]]=4,"Good",Table1[[#This Row],[Customer_Satisfaction]]=5,"Good")</f>
        <v>Poor</v>
      </c>
    </row>
    <row r="1573" spans="1:27" x14ac:dyDescent="0.35">
      <c r="A1573">
        <v>21571</v>
      </c>
      <c r="B1573" s="1">
        <v>45301</v>
      </c>
      <c r="C1573" t="s">
        <v>19</v>
      </c>
      <c r="D1573" t="s">
        <v>96</v>
      </c>
      <c r="E1573" t="s">
        <v>97</v>
      </c>
      <c r="F1573" t="s">
        <v>53</v>
      </c>
      <c r="G1573" t="s">
        <v>23</v>
      </c>
      <c r="H1573" t="s">
        <v>24</v>
      </c>
      <c r="I1573" t="s">
        <v>55</v>
      </c>
      <c r="J1573" t="s">
        <v>67</v>
      </c>
      <c r="K1573" t="s">
        <v>27</v>
      </c>
      <c r="L1573" t="s">
        <v>49</v>
      </c>
      <c r="M1573" s="4">
        <v>7</v>
      </c>
      <c r="N1573" s="4">
        <v>7</v>
      </c>
      <c r="O1573" t="s">
        <v>29</v>
      </c>
      <c r="P1573" t="s">
        <v>36</v>
      </c>
      <c r="Q1573" s="4">
        <v>152269</v>
      </c>
      <c r="R1573" s="4">
        <v>96882</v>
      </c>
      <c r="S1573" s="4">
        <f>Table1[[#This Row],[Service_Revenue]]-Table1[[#This Row],[Service_Cost]]</f>
        <v>55387</v>
      </c>
      <c r="T1573" s="4">
        <v>3</v>
      </c>
      <c r="U1573" s="4">
        <f>IF(AND(Table1[[#This Row],[Rework_Flag]]="Yes",Table1[[#This Row],[Warranty_Claim]]="No"),Table1[[#This Row],[Service_Revenue]],0)</f>
        <v>152269</v>
      </c>
      <c r="V1573" s="4">
        <f>IF(Table1[[#This Row],[Warranty_Claim]]="Yes",1,0)</f>
        <v>0</v>
      </c>
      <c r="W1573" s="4">
        <f>IF(Table1[[#This Row],[Rework_Flag]]="No",1,0)</f>
        <v>0</v>
      </c>
      <c r="X1573" s="4">
        <f>IF(Table1[[#This Row],[Rework_Flag]]="Yes",1,0)</f>
        <v>1</v>
      </c>
      <c r="Y1573" s="4">
        <v>1</v>
      </c>
      <c r="Z1573" s="4" t="str">
        <f>IF(Table1[[#This Row],[TAT_Days]]&gt;Table1[[#This Row],[SLA_TAT]],"Yes","No")</f>
        <v>No</v>
      </c>
      <c r="AA1573" s="4" t="str" cm="1">
        <f t="array" ref="AA1573">_xlfn.IFS(Table1[[#This Row],[Customer_Satisfaction]]&lt;=2,"Poor",Table1[[#This Row],[Customer_Satisfaction]]=3,"Neutral",Table1[[#This Row],[Customer_Satisfaction]]=4,"Good",Table1[[#This Row],[Customer_Satisfaction]]=5,"Good")</f>
        <v>Neutral</v>
      </c>
    </row>
    <row r="1574" spans="1:27" x14ac:dyDescent="0.35">
      <c r="A1574">
        <v>21572</v>
      </c>
      <c r="B1574" s="1">
        <v>45416</v>
      </c>
      <c r="C1574" t="s">
        <v>30</v>
      </c>
      <c r="D1574" t="s">
        <v>31</v>
      </c>
      <c r="E1574" t="s">
        <v>79</v>
      </c>
      <c r="F1574" t="s">
        <v>53</v>
      </c>
      <c r="G1574" t="s">
        <v>54</v>
      </c>
      <c r="H1574" t="s">
        <v>42</v>
      </c>
      <c r="I1574" t="s">
        <v>55</v>
      </c>
      <c r="J1574" t="s">
        <v>26</v>
      </c>
      <c r="K1574" t="s">
        <v>27</v>
      </c>
      <c r="L1574" t="s">
        <v>49</v>
      </c>
      <c r="M1574" s="4">
        <v>2</v>
      </c>
      <c r="N1574" s="4">
        <v>7</v>
      </c>
      <c r="O1574" t="s">
        <v>36</v>
      </c>
      <c r="P1574" t="s">
        <v>36</v>
      </c>
      <c r="Q1574" s="4">
        <v>490066</v>
      </c>
      <c r="R1574" s="4">
        <v>301719</v>
      </c>
      <c r="S1574" s="4">
        <f>Table1[[#This Row],[Service_Revenue]]-Table1[[#This Row],[Service_Cost]]</f>
        <v>188347</v>
      </c>
      <c r="T1574" s="4">
        <v>5</v>
      </c>
      <c r="U1574" s="4">
        <f>IF(AND(Table1[[#This Row],[Rework_Flag]]="Yes",Table1[[#This Row],[Warranty_Claim]]="No"),Table1[[#This Row],[Service_Revenue]],0)</f>
        <v>0</v>
      </c>
      <c r="V1574" s="4">
        <f>IF(Table1[[#This Row],[Warranty_Claim]]="Yes",1,0)</f>
        <v>0</v>
      </c>
      <c r="W1574" s="4">
        <f>IF(Table1[[#This Row],[Rework_Flag]]="No",1,0)</f>
        <v>1</v>
      </c>
      <c r="X1574" s="4">
        <f>IF(Table1[[#This Row],[Rework_Flag]]="Yes",1,0)</f>
        <v>0</v>
      </c>
      <c r="Y1574" s="4">
        <v>1</v>
      </c>
      <c r="Z1574" s="4" t="str">
        <f>IF(Table1[[#This Row],[TAT_Days]]&gt;Table1[[#This Row],[SLA_TAT]],"Yes","No")</f>
        <v>No</v>
      </c>
      <c r="AA1574" s="4" t="str" cm="1">
        <f t="array" ref="AA1574">_xlfn.IFS(Table1[[#This Row],[Customer_Satisfaction]]&lt;=2,"Poor",Table1[[#This Row],[Customer_Satisfaction]]=3,"Neutral",Table1[[#This Row],[Customer_Satisfaction]]=4,"Good",Table1[[#This Row],[Customer_Satisfaction]]=5,"Good")</f>
        <v>Good</v>
      </c>
    </row>
    <row r="1575" spans="1:27" x14ac:dyDescent="0.35">
      <c r="A1575">
        <v>21573</v>
      </c>
      <c r="B1575" s="1">
        <v>45338</v>
      </c>
      <c r="C1575" t="s">
        <v>37</v>
      </c>
      <c r="D1575" t="s">
        <v>70</v>
      </c>
      <c r="E1575" t="s">
        <v>82</v>
      </c>
      <c r="F1575" t="s">
        <v>40</v>
      </c>
      <c r="G1575" t="s">
        <v>23</v>
      </c>
      <c r="H1575" t="s">
        <v>24</v>
      </c>
      <c r="I1575" t="s">
        <v>55</v>
      </c>
      <c r="J1575" t="s">
        <v>43</v>
      </c>
      <c r="K1575" t="s">
        <v>61</v>
      </c>
      <c r="L1575" t="s">
        <v>28</v>
      </c>
      <c r="M1575" s="4">
        <v>2</v>
      </c>
      <c r="N1575" s="4">
        <v>7</v>
      </c>
      <c r="O1575" t="s">
        <v>36</v>
      </c>
      <c r="P1575" t="s">
        <v>29</v>
      </c>
      <c r="Q1575" s="4">
        <v>447916</v>
      </c>
      <c r="R1575" s="4">
        <v>320779</v>
      </c>
      <c r="S1575" s="4">
        <f>Table1[[#This Row],[Service_Revenue]]-Table1[[#This Row],[Service_Cost]]</f>
        <v>127137</v>
      </c>
      <c r="T1575" s="4">
        <v>5</v>
      </c>
      <c r="U1575" s="4">
        <f>IF(AND(Table1[[#This Row],[Rework_Flag]]="Yes",Table1[[#This Row],[Warranty_Claim]]="No"),Table1[[#This Row],[Service_Revenue]],0)</f>
        <v>0</v>
      </c>
      <c r="V1575" s="4">
        <f>IF(Table1[[#This Row],[Warranty_Claim]]="Yes",1,0)</f>
        <v>1</v>
      </c>
      <c r="W1575" s="4">
        <f>IF(Table1[[#This Row],[Rework_Flag]]="No",1,0)</f>
        <v>1</v>
      </c>
      <c r="X1575" s="4">
        <f>IF(Table1[[#This Row],[Rework_Flag]]="Yes",1,0)</f>
        <v>0</v>
      </c>
      <c r="Y1575" s="4">
        <v>1</v>
      </c>
      <c r="Z1575" s="4" t="str">
        <f>IF(Table1[[#This Row],[TAT_Days]]&gt;Table1[[#This Row],[SLA_TAT]],"Yes","No")</f>
        <v>No</v>
      </c>
      <c r="AA1575" s="4" t="str" cm="1">
        <f t="array" ref="AA1575">_xlfn.IFS(Table1[[#This Row],[Customer_Satisfaction]]&lt;=2,"Poor",Table1[[#This Row],[Customer_Satisfaction]]=3,"Neutral",Table1[[#This Row],[Customer_Satisfaction]]=4,"Good",Table1[[#This Row],[Customer_Satisfaction]]=5,"Good")</f>
        <v>Good</v>
      </c>
    </row>
    <row r="1576" spans="1:27" x14ac:dyDescent="0.35">
      <c r="A1576">
        <v>21574</v>
      </c>
      <c r="B1576" s="1">
        <v>45471</v>
      </c>
      <c r="C1576" t="s">
        <v>37</v>
      </c>
      <c r="D1576" t="s">
        <v>70</v>
      </c>
      <c r="E1576" t="s">
        <v>116</v>
      </c>
      <c r="F1576" t="s">
        <v>40</v>
      </c>
      <c r="G1576" t="s">
        <v>41</v>
      </c>
      <c r="H1576" t="s">
        <v>42</v>
      </c>
      <c r="I1576" t="s">
        <v>25</v>
      </c>
      <c r="J1576" t="s">
        <v>43</v>
      </c>
      <c r="K1576" t="s">
        <v>44</v>
      </c>
      <c r="L1576" t="s">
        <v>28</v>
      </c>
      <c r="M1576" s="4">
        <v>12</v>
      </c>
      <c r="N1576" s="4">
        <v>7</v>
      </c>
      <c r="O1576" t="s">
        <v>29</v>
      </c>
      <c r="P1576" t="s">
        <v>36</v>
      </c>
      <c r="Q1576" s="4">
        <v>138889</v>
      </c>
      <c r="R1576" s="4">
        <v>97865</v>
      </c>
      <c r="S1576" s="4">
        <f>Table1[[#This Row],[Service_Revenue]]-Table1[[#This Row],[Service_Cost]]</f>
        <v>41024</v>
      </c>
      <c r="T1576" s="4">
        <v>2</v>
      </c>
      <c r="U1576" s="4">
        <f>IF(AND(Table1[[#This Row],[Rework_Flag]]="Yes",Table1[[#This Row],[Warranty_Claim]]="No"),Table1[[#This Row],[Service_Revenue]],0)</f>
        <v>138889</v>
      </c>
      <c r="V1576" s="4">
        <f>IF(Table1[[#This Row],[Warranty_Claim]]="Yes",1,0)</f>
        <v>0</v>
      </c>
      <c r="W1576" s="4">
        <f>IF(Table1[[#This Row],[Rework_Flag]]="No",1,0)</f>
        <v>0</v>
      </c>
      <c r="X1576" s="4">
        <f>IF(Table1[[#This Row],[Rework_Flag]]="Yes",1,0)</f>
        <v>1</v>
      </c>
      <c r="Y1576" s="4">
        <v>1</v>
      </c>
      <c r="Z1576" s="4" t="str">
        <f>IF(Table1[[#This Row],[TAT_Days]]&gt;Table1[[#This Row],[SLA_TAT]],"Yes","No")</f>
        <v>Yes</v>
      </c>
      <c r="AA1576" s="4" t="str" cm="1">
        <f t="array" ref="AA1576">_xlfn.IFS(Table1[[#This Row],[Customer_Satisfaction]]&lt;=2,"Poor",Table1[[#This Row],[Customer_Satisfaction]]=3,"Neutral",Table1[[#This Row],[Customer_Satisfaction]]=4,"Good",Table1[[#This Row],[Customer_Satisfaction]]=5,"Good")</f>
        <v>Poor</v>
      </c>
    </row>
    <row r="1577" spans="1:27" x14ac:dyDescent="0.35">
      <c r="A1577">
        <v>21575</v>
      </c>
      <c r="B1577" s="1">
        <v>45303</v>
      </c>
      <c r="C1577" t="s">
        <v>19</v>
      </c>
      <c r="D1577" t="s">
        <v>20</v>
      </c>
      <c r="E1577" t="s">
        <v>21</v>
      </c>
      <c r="F1577" t="s">
        <v>53</v>
      </c>
      <c r="G1577" t="s">
        <v>54</v>
      </c>
      <c r="H1577" t="s">
        <v>42</v>
      </c>
      <c r="I1577" t="s">
        <v>25</v>
      </c>
      <c r="J1577" t="s">
        <v>35</v>
      </c>
      <c r="K1577" t="s">
        <v>44</v>
      </c>
      <c r="L1577" t="s">
        <v>49</v>
      </c>
      <c r="M1577" s="4">
        <v>8</v>
      </c>
      <c r="N1577" s="4">
        <v>7</v>
      </c>
      <c r="O1577" t="s">
        <v>36</v>
      </c>
      <c r="P1577" t="s">
        <v>29</v>
      </c>
      <c r="Q1577" s="4">
        <v>153054</v>
      </c>
      <c r="R1577" s="4">
        <v>82571</v>
      </c>
      <c r="S1577" s="4">
        <f>Table1[[#This Row],[Service_Revenue]]-Table1[[#This Row],[Service_Cost]]</f>
        <v>70483</v>
      </c>
      <c r="T1577" s="4">
        <v>4</v>
      </c>
      <c r="U1577" s="4">
        <f>IF(AND(Table1[[#This Row],[Rework_Flag]]="Yes",Table1[[#This Row],[Warranty_Claim]]="No"),Table1[[#This Row],[Service_Revenue]],0)</f>
        <v>0</v>
      </c>
      <c r="V1577" s="4">
        <f>IF(Table1[[#This Row],[Warranty_Claim]]="Yes",1,0)</f>
        <v>1</v>
      </c>
      <c r="W1577" s="4">
        <f>IF(Table1[[#This Row],[Rework_Flag]]="No",1,0)</f>
        <v>1</v>
      </c>
      <c r="X1577" s="4">
        <f>IF(Table1[[#This Row],[Rework_Flag]]="Yes",1,0)</f>
        <v>0</v>
      </c>
      <c r="Y1577" s="4">
        <v>1</v>
      </c>
      <c r="Z1577" s="4" t="str">
        <f>IF(Table1[[#This Row],[TAT_Days]]&gt;Table1[[#This Row],[SLA_TAT]],"Yes","No")</f>
        <v>Yes</v>
      </c>
      <c r="AA1577" s="4" t="str" cm="1">
        <f t="array" ref="AA1577">_xlfn.IFS(Table1[[#This Row],[Customer_Satisfaction]]&lt;=2,"Poor",Table1[[#This Row],[Customer_Satisfaction]]=3,"Neutral",Table1[[#This Row],[Customer_Satisfaction]]=4,"Good",Table1[[#This Row],[Customer_Satisfaction]]=5,"Good")</f>
        <v>Good</v>
      </c>
    </row>
    <row r="1578" spans="1:27" x14ac:dyDescent="0.35">
      <c r="A1578">
        <v>21576</v>
      </c>
      <c r="B1578" s="1">
        <v>45380</v>
      </c>
      <c r="C1578" t="s">
        <v>30</v>
      </c>
      <c r="D1578" t="s">
        <v>83</v>
      </c>
      <c r="E1578" t="s">
        <v>119</v>
      </c>
      <c r="F1578" t="s">
        <v>22</v>
      </c>
      <c r="G1578" t="s">
        <v>33</v>
      </c>
      <c r="H1578" t="s">
        <v>34</v>
      </c>
      <c r="I1578" t="s">
        <v>25</v>
      </c>
      <c r="J1578" t="s">
        <v>58</v>
      </c>
      <c r="K1578" t="s">
        <v>44</v>
      </c>
      <c r="L1578" t="s">
        <v>49</v>
      </c>
      <c r="M1578" s="4">
        <v>6</v>
      </c>
      <c r="N1578" s="4">
        <v>7</v>
      </c>
      <c r="O1578" t="s">
        <v>36</v>
      </c>
      <c r="P1578" t="s">
        <v>36</v>
      </c>
      <c r="Q1578" s="4">
        <v>171067</v>
      </c>
      <c r="R1578" s="4">
        <v>132821</v>
      </c>
      <c r="S1578" s="4">
        <f>Table1[[#This Row],[Service_Revenue]]-Table1[[#This Row],[Service_Cost]]</f>
        <v>38246</v>
      </c>
      <c r="T1578" s="4">
        <v>4</v>
      </c>
      <c r="U1578" s="4">
        <f>IF(AND(Table1[[#This Row],[Rework_Flag]]="Yes",Table1[[#This Row],[Warranty_Claim]]="No"),Table1[[#This Row],[Service_Revenue]],0)</f>
        <v>0</v>
      </c>
      <c r="V1578" s="4">
        <f>IF(Table1[[#This Row],[Warranty_Claim]]="Yes",1,0)</f>
        <v>0</v>
      </c>
      <c r="W1578" s="4">
        <f>IF(Table1[[#This Row],[Rework_Flag]]="No",1,0)</f>
        <v>1</v>
      </c>
      <c r="X1578" s="4">
        <f>IF(Table1[[#This Row],[Rework_Flag]]="Yes",1,0)</f>
        <v>0</v>
      </c>
      <c r="Y1578" s="4">
        <v>1</v>
      </c>
      <c r="Z1578" s="4" t="str">
        <f>IF(Table1[[#This Row],[TAT_Days]]&gt;Table1[[#This Row],[SLA_TAT]],"Yes","No")</f>
        <v>No</v>
      </c>
      <c r="AA1578" s="4" t="str" cm="1">
        <f t="array" ref="AA1578">_xlfn.IFS(Table1[[#This Row],[Customer_Satisfaction]]&lt;=2,"Poor",Table1[[#This Row],[Customer_Satisfaction]]=3,"Neutral",Table1[[#This Row],[Customer_Satisfaction]]=4,"Good",Table1[[#This Row],[Customer_Satisfaction]]=5,"Good")</f>
        <v>Good</v>
      </c>
    </row>
    <row r="1579" spans="1:27" x14ac:dyDescent="0.35">
      <c r="A1579">
        <v>21577</v>
      </c>
      <c r="B1579" s="1">
        <v>45433</v>
      </c>
      <c r="C1579" t="s">
        <v>50</v>
      </c>
      <c r="D1579" t="s">
        <v>80</v>
      </c>
      <c r="E1579" t="s">
        <v>85</v>
      </c>
      <c r="F1579" t="s">
        <v>22</v>
      </c>
      <c r="G1579" t="s">
        <v>41</v>
      </c>
      <c r="H1579" t="s">
        <v>42</v>
      </c>
      <c r="I1579" t="s">
        <v>55</v>
      </c>
      <c r="J1579" t="s">
        <v>26</v>
      </c>
      <c r="K1579" t="s">
        <v>44</v>
      </c>
      <c r="L1579" t="s">
        <v>28</v>
      </c>
      <c r="M1579" s="4">
        <v>16</v>
      </c>
      <c r="N1579" s="4">
        <v>7</v>
      </c>
      <c r="O1579" t="s">
        <v>29</v>
      </c>
      <c r="P1579" t="s">
        <v>29</v>
      </c>
      <c r="Q1579" s="4">
        <v>426513</v>
      </c>
      <c r="R1579" s="4">
        <v>224950</v>
      </c>
      <c r="S1579" s="4">
        <f>Table1[[#This Row],[Service_Revenue]]-Table1[[#This Row],[Service_Cost]]</f>
        <v>201563</v>
      </c>
      <c r="T1579" s="4">
        <v>1</v>
      </c>
      <c r="U1579" s="4">
        <f>IF(AND(Table1[[#This Row],[Rework_Flag]]="Yes",Table1[[#This Row],[Warranty_Claim]]="No"),Table1[[#This Row],[Service_Revenue]],0)</f>
        <v>0</v>
      </c>
      <c r="V1579" s="4">
        <f>IF(Table1[[#This Row],[Warranty_Claim]]="Yes",1,0)</f>
        <v>1</v>
      </c>
      <c r="W1579" s="4">
        <f>IF(Table1[[#This Row],[Rework_Flag]]="No",1,0)</f>
        <v>0</v>
      </c>
      <c r="X1579" s="4">
        <f>IF(Table1[[#This Row],[Rework_Flag]]="Yes",1,0)</f>
        <v>1</v>
      </c>
      <c r="Y1579" s="4">
        <v>1</v>
      </c>
      <c r="Z1579" s="4" t="str">
        <f>IF(Table1[[#This Row],[TAT_Days]]&gt;Table1[[#This Row],[SLA_TAT]],"Yes","No")</f>
        <v>Yes</v>
      </c>
      <c r="AA1579" s="4" t="str" cm="1">
        <f t="array" ref="AA1579">_xlfn.IFS(Table1[[#This Row],[Customer_Satisfaction]]&lt;=2,"Poor",Table1[[#This Row],[Customer_Satisfaction]]=3,"Neutral",Table1[[#This Row],[Customer_Satisfaction]]=4,"Good",Table1[[#This Row],[Customer_Satisfaction]]=5,"Good")</f>
        <v>Poor</v>
      </c>
    </row>
    <row r="1580" spans="1:27" x14ac:dyDescent="0.35">
      <c r="A1580">
        <v>21578</v>
      </c>
      <c r="B1580" s="1">
        <v>45353</v>
      </c>
      <c r="C1580" t="s">
        <v>30</v>
      </c>
      <c r="D1580" t="s">
        <v>83</v>
      </c>
      <c r="E1580" t="s">
        <v>95</v>
      </c>
      <c r="F1580" t="s">
        <v>22</v>
      </c>
      <c r="G1580" t="s">
        <v>54</v>
      </c>
      <c r="H1580" t="s">
        <v>42</v>
      </c>
      <c r="I1580" t="s">
        <v>25</v>
      </c>
      <c r="J1580" t="s">
        <v>58</v>
      </c>
      <c r="K1580" t="s">
        <v>44</v>
      </c>
      <c r="L1580" t="s">
        <v>28</v>
      </c>
      <c r="M1580" s="4">
        <v>16</v>
      </c>
      <c r="N1580" s="4">
        <v>7</v>
      </c>
      <c r="O1580" t="s">
        <v>36</v>
      </c>
      <c r="P1580" t="s">
        <v>36</v>
      </c>
      <c r="Q1580" s="4">
        <v>357579</v>
      </c>
      <c r="R1580" s="4">
        <v>184433</v>
      </c>
      <c r="S1580" s="4">
        <f>Table1[[#This Row],[Service_Revenue]]-Table1[[#This Row],[Service_Cost]]</f>
        <v>173146</v>
      </c>
      <c r="T1580" s="4">
        <v>2</v>
      </c>
      <c r="U1580" s="4">
        <f>IF(AND(Table1[[#This Row],[Rework_Flag]]="Yes",Table1[[#This Row],[Warranty_Claim]]="No"),Table1[[#This Row],[Service_Revenue]],0)</f>
        <v>0</v>
      </c>
      <c r="V1580" s="4">
        <f>IF(Table1[[#This Row],[Warranty_Claim]]="Yes",1,0)</f>
        <v>0</v>
      </c>
      <c r="W1580" s="4">
        <f>IF(Table1[[#This Row],[Rework_Flag]]="No",1,0)</f>
        <v>1</v>
      </c>
      <c r="X1580" s="4">
        <f>IF(Table1[[#This Row],[Rework_Flag]]="Yes",1,0)</f>
        <v>0</v>
      </c>
      <c r="Y1580" s="4">
        <v>1</v>
      </c>
      <c r="Z1580" s="4" t="str">
        <f>IF(Table1[[#This Row],[TAT_Days]]&gt;Table1[[#This Row],[SLA_TAT]],"Yes","No")</f>
        <v>Yes</v>
      </c>
      <c r="AA1580" s="4" t="str" cm="1">
        <f t="array" ref="AA1580">_xlfn.IFS(Table1[[#This Row],[Customer_Satisfaction]]&lt;=2,"Poor",Table1[[#This Row],[Customer_Satisfaction]]=3,"Neutral",Table1[[#This Row],[Customer_Satisfaction]]=4,"Good",Table1[[#This Row],[Customer_Satisfaction]]=5,"Good")</f>
        <v>Poor</v>
      </c>
    </row>
    <row r="1581" spans="1:27" x14ac:dyDescent="0.35">
      <c r="A1581">
        <v>21579</v>
      </c>
      <c r="B1581" s="1">
        <v>45412</v>
      </c>
      <c r="C1581" t="s">
        <v>30</v>
      </c>
      <c r="D1581" t="s">
        <v>83</v>
      </c>
      <c r="E1581" t="s">
        <v>92</v>
      </c>
      <c r="F1581" t="s">
        <v>53</v>
      </c>
      <c r="G1581" t="s">
        <v>74</v>
      </c>
      <c r="H1581" t="s">
        <v>34</v>
      </c>
      <c r="I1581" t="s">
        <v>25</v>
      </c>
      <c r="J1581" t="s">
        <v>67</v>
      </c>
      <c r="K1581" t="s">
        <v>44</v>
      </c>
      <c r="L1581" t="s">
        <v>28</v>
      </c>
      <c r="M1581" s="4">
        <v>10</v>
      </c>
      <c r="N1581" s="4">
        <v>7</v>
      </c>
      <c r="O1581" t="s">
        <v>29</v>
      </c>
      <c r="P1581" t="s">
        <v>36</v>
      </c>
      <c r="Q1581" s="4">
        <v>417117</v>
      </c>
      <c r="R1581" s="4">
        <v>218184</v>
      </c>
      <c r="S1581" s="4">
        <f>Table1[[#This Row],[Service_Revenue]]-Table1[[#This Row],[Service_Cost]]</f>
        <v>198933</v>
      </c>
      <c r="T1581" s="4">
        <v>2</v>
      </c>
      <c r="U1581" s="4">
        <f>IF(AND(Table1[[#This Row],[Rework_Flag]]="Yes",Table1[[#This Row],[Warranty_Claim]]="No"),Table1[[#This Row],[Service_Revenue]],0)</f>
        <v>417117</v>
      </c>
      <c r="V1581" s="4">
        <f>IF(Table1[[#This Row],[Warranty_Claim]]="Yes",1,0)</f>
        <v>0</v>
      </c>
      <c r="W1581" s="4">
        <f>IF(Table1[[#This Row],[Rework_Flag]]="No",1,0)</f>
        <v>0</v>
      </c>
      <c r="X1581" s="4">
        <f>IF(Table1[[#This Row],[Rework_Flag]]="Yes",1,0)</f>
        <v>1</v>
      </c>
      <c r="Y1581" s="4">
        <v>1</v>
      </c>
      <c r="Z1581" s="4" t="str">
        <f>IF(Table1[[#This Row],[TAT_Days]]&gt;Table1[[#This Row],[SLA_TAT]],"Yes","No")</f>
        <v>Yes</v>
      </c>
      <c r="AA1581" s="4" t="str" cm="1">
        <f t="array" ref="AA1581">_xlfn.IFS(Table1[[#This Row],[Customer_Satisfaction]]&lt;=2,"Poor",Table1[[#This Row],[Customer_Satisfaction]]=3,"Neutral",Table1[[#This Row],[Customer_Satisfaction]]=4,"Good",Table1[[#This Row],[Customer_Satisfaction]]=5,"Good")</f>
        <v>Poor</v>
      </c>
    </row>
    <row r="1582" spans="1:27" x14ac:dyDescent="0.35">
      <c r="A1582">
        <v>21580</v>
      </c>
      <c r="B1582" s="1">
        <v>45417</v>
      </c>
      <c r="C1582" t="s">
        <v>50</v>
      </c>
      <c r="D1582" t="s">
        <v>51</v>
      </c>
      <c r="E1582" t="s">
        <v>120</v>
      </c>
      <c r="F1582" t="s">
        <v>22</v>
      </c>
      <c r="G1582" t="s">
        <v>63</v>
      </c>
      <c r="H1582" t="s">
        <v>24</v>
      </c>
      <c r="I1582" t="s">
        <v>25</v>
      </c>
      <c r="J1582" t="s">
        <v>43</v>
      </c>
      <c r="K1582" t="s">
        <v>27</v>
      </c>
      <c r="L1582" t="s">
        <v>28</v>
      </c>
      <c r="M1582" s="4">
        <v>8</v>
      </c>
      <c r="N1582" s="4">
        <v>7</v>
      </c>
      <c r="O1582" t="s">
        <v>36</v>
      </c>
      <c r="P1582" t="s">
        <v>36</v>
      </c>
      <c r="Q1582" s="4">
        <v>485633</v>
      </c>
      <c r="R1582" s="4">
        <v>336681</v>
      </c>
      <c r="S1582" s="4">
        <f>Table1[[#This Row],[Service_Revenue]]-Table1[[#This Row],[Service_Cost]]</f>
        <v>148952</v>
      </c>
      <c r="T1582" s="4">
        <v>4</v>
      </c>
      <c r="U1582" s="4">
        <f>IF(AND(Table1[[#This Row],[Rework_Flag]]="Yes",Table1[[#This Row],[Warranty_Claim]]="No"),Table1[[#This Row],[Service_Revenue]],0)</f>
        <v>0</v>
      </c>
      <c r="V1582" s="4">
        <f>IF(Table1[[#This Row],[Warranty_Claim]]="Yes",1,0)</f>
        <v>0</v>
      </c>
      <c r="W1582" s="4">
        <f>IF(Table1[[#This Row],[Rework_Flag]]="No",1,0)</f>
        <v>1</v>
      </c>
      <c r="X1582" s="4">
        <f>IF(Table1[[#This Row],[Rework_Flag]]="Yes",1,0)</f>
        <v>0</v>
      </c>
      <c r="Y1582" s="4">
        <v>1</v>
      </c>
      <c r="Z1582" s="4" t="str">
        <f>IF(Table1[[#This Row],[TAT_Days]]&gt;Table1[[#This Row],[SLA_TAT]],"Yes","No")</f>
        <v>Yes</v>
      </c>
      <c r="AA1582" s="4" t="str" cm="1">
        <f t="array" ref="AA1582">_xlfn.IFS(Table1[[#This Row],[Customer_Satisfaction]]&lt;=2,"Poor",Table1[[#This Row],[Customer_Satisfaction]]=3,"Neutral",Table1[[#This Row],[Customer_Satisfaction]]=4,"Good",Table1[[#This Row],[Customer_Satisfaction]]=5,"Good")</f>
        <v>Good</v>
      </c>
    </row>
    <row r="1583" spans="1:27" x14ac:dyDescent="0.35">
      <c r="A1583">
        <v>21581</v>
      </c>
      <c r="B1583" s="1">
        <v>45345</v>
      </c>
      <c r="C1583" t="s">
        <v>19</v>
      </c>
      <c r="D1583" t="s">
        <v>20</v>
      </c>
      <c r="E1583" t="s">
        <v>86</v>
      </c>
      <c r="F1583" t="s">
        <v>22</v>
      </c>
      <c r="G1583" t="s">
        <v>41</v>
      </c>
      <c r="H1583" t="s">
        <v>42</v>
      </c>
      <c r="I1583" t="s">
        <v>55</v>
      </c>
      <c r="J1583" t="s">
        <v>58</v>
      </c>
      <c r="K1583" t="s">
        <v>44</v>
      </c>
      <c r="L1583" t="s">
        <v>28</v>
      </c>
      <c r="M1583" s="4">
        <v>18</v>
      </c>
      <c r="N1583" s="4">
        <v>7</v>
      </c>
      <c r="O1583" t="s">
        <v>36</v>
      </c>
      <c r="P1583" t="s">
        <v>36</v>
      </c>
      <c r="Q1583" s="4">
        <v>463356</v>
      </c>
      <c r="R1583" s="4">
        <v>371688</v>
      </c>
      <c r="S1583" s="4">
        <f>Table1[[#This Row],[Service_Revenue]]-Table1[[#This Row],[Service_Cost]]</f>
        <v>91668</v>
      </c>
      <c r="T1583" s="4">
        <v>2</v>
      </c>
      <c r="U1583" s="4">
        <f>IF(AND(Table1[[#This Row],[Rework_Flag]]="Yes",Table1[[#This Row],[Warranty_Claim]]="No"),Table1[[#This Row],[Service_Revenue]],0)</f>
        <v>0</v>
      </c>
      <c r="V1583" s="4">
        <f>IF(Table1[[#This Row],[Warranty_Claim]]="Yes",1,0)</f>
        <v>0</v>
      </c>
      <c r="W1583" s="4">
        <f>IF(Table1[[#This Row],[Rework_Flag]]="No",1,0)</f>
        <v>1</v>
      </c>
      <c r="X1583" s="4">
        <f>IF(Table1[[#This Row],[Rework_Flag]]="Yes",1,0)</f>
        <v>0</v>
      </c>
      <c r="Y1583" s="4">
        <v>1</v>
      </c>
      <c r="Z1583" s="4" t="str">
        <f>IF(Table1[[#This Row],[TAT_Days]]&gt;Table1[[#This Row],[SLA_TAT]],"Yes","No")</f>
        <v>Yes</v>
      </c>
      <c r="AA1583" s="4" t="str" cm="1">
        <f t="array" ref="AA1583">_xlfn.IFS(Table1[[#This Row],[Customer_Satisfaction]]&lt;=2,"Poor",Table1[[#This Row],[Customer_Satisfaction]]=3,"Neutral",Table1[[#This Row],[Customer_Satisfaction]]=4,"Good",Table1[[#This Row],[Customer_Satisfaction]]=5,"Good")</f>
        <v>Poor</v>
      </c>
    </row>
    <row r="1584" spans="1:27" x14ac:dyDescent="0.35">
      <c r="A1584">
        <v>21582</v>
      </c>
      <c r="B1584" s="1">
        <v>45313</v>
      </c>
      <c r="C1584" t="s">
        <v>50</v>
      </c>
      <c r="D1584" t="s">
        <v>51</v>
      </c>
      <c r="E1584" t="s">
        <v>120</v>
      </c>
      <c r="F1584" t="s">
        <v>22</v>
      </c>
      <c r="G1584" t="s">
        <v>23</v>
      </c>
      <c r="H1584" t="s">
        <v>24</v>
      </c>
      <c r="I1584" t="s">
        <v>55</v>
      </c>
      <c r="J1584" t="s">
        <v>35</v>
      </c>
      <c r="K1584" t="s">
        <v>61</v>
      </c>
      <c r="L1584" t="s">
        <v>28</v>
      </c>
      <c r="M1584" s="4">
        <v>11</v>
      </c>
      <c r="N1584" s="4">
        <v>7</v>
      </c>
      <c r="O1584" t="s">
        <v>36</v>
      </c>
      <c r="P1584" t="s">
        <v>36</v>
      </c>
      <c r="Q1584" s="4">
        <v>90990</v>
      </c>
      <c r="R1584" s="4">
        <v>63225</v>
      </c>
      <c r="S1584" s="4">
        <f>Table1[[#This Row],[Service_Revenue]]-Table1[[#This Row],[Service_Cost]]</f>
        <v>27765</v>
      </c>
      <c r="T1584" s="4">
        <v>3</v>
      </c>
      <c r="U1584" s="4">
        <f>IF(AND(Table1[[#This Row],[Rework_Flag]]="Yes",Table1[[#This Row],[Warranty_Claim]]="No"),Table1[[#This Row],[Service_Revenue]],0)</f>
        <v>0</v>
      </c>
      <c r="V1584" s="4">
        <f>IF(Table1[[#This Row],[Warranty_Claim]]="Yes",1,0)</f>
        <v>0</v>
      </c>
      <c r="W1584" s="4">
        <f>IF(Table1[[#This Row],[Rework_Flag]]="No",1,0)</f>
        <v>1</v>
      </c>
      <c r="X1584" s="4">
        <f>IF(Table1[[#This Row],[Rework_Flag]]="Yes",1,0)</f>
        <v>0</v>
      </c>
      <c r="Y1584" s="4">
        <v>1</v>
      </c>
      <c r="Z1584" s="4" t="str">
        <f>IF(Table1[[#This Row],[TAT_Days]]&gt;Table1[[#This Row],[SLA_TAT]],"Yes","No")</f>
        <v>Yes</v>
      </c>
      <c r="AA1584" s="4" t="str" cm="1">
        <f t="array" ref="AA1584">_xlfn.IFS(Table1[[#This Row],[Customer_Satisfaction]]&lt;=2,"Poor",Table1[[#This Row],[Customer_Satisfaction]]=3,"Neutral",Table1[[#This Row],[Customer_Satisfaction]]=4,"Good",Table1[[#This Row],[Customer_Satisfaction]]=5,"Good")</f>
        <v>Neutral</v>
      </c>
    </row>
    <row r="1585" spans="1:27" x14ac:dyDescent="0.35">
      <c r="A1585">
        <v>21583</v>
      </c>
      <c r="B1585" s="1">
        <v>45471</v>
      </c>
      <c r="C1585" t="s">
        <v>19</v>
      </c>
      <c r="D1585" t="s">
        <v>45</v>
      </c>
      <c r="E1585" t="s">
        <v>99</v>
      </c>
      <c r="F1585" t="s">
        <v>53</v>
      </c>
      <c r="G1585" t="s">
        <v>23</v>
      </c>
      <c r="H1585" t="s">
        <v>24</v>
      </c>
      <c r="I1585" t="s">
        <v>25</v>
      </c>
      <c r="J1585" t="s">
        <v>35</v>
      </c>
      <c r="K1585" t="s">
        <v>27</v>
      </c>
      <c r="L1585" t="s">
        <v>28</v>
      </c>
      <c r="M1585" s="4">
        <v>21</v>
      </c>
      <c r="N1585" s="4">
        <v>7</v>
      </c>
      <c r="O1585" t="s">
        <v>29</v>
      </c>
      <c r="P1585" t="s">
        <v>36</v>
      </c>
      <c r="Q1585" s="4">
        <v>191492</v>
      </c>
      <c r="R1585" s="4">
        <v>103571</v>
      </c>
      <c r="S1585" s="4">
        <f>Table1[[#This Row],[Service_Revenue]]-Table1[[#This Row],[Service_Cost]]</f>
        <v>87921</v>
      </c>
      <c r="T1585" s="4">
        <v>1</v>
      </c>
      <c r="U1585" s="4">
        <f>IF(AND(Table1[[#This Row],[Rework_Flag]]="Yes",Table1[[#This Row],[Warranty_Claim]]="No"),Table1[[#This Row],[Service_Revenue]],0)</f>
        <v>191492</v>
      </c>
      <c r="V1585" s="4">
        <f>IF(Table1[[#This Row],[Warranty_Claim]]="Yes",1,0)</f>
        <v>0</v>
      </c>
      <c r="W1585" s="4">
        <f>IF(Table1[[#This Row],[Rework_Flag]]="No",1,0)</f>
        <v>0</v>
      </c>
      <c r="X1585" s="4">
        <f>IF(Table1[[#This Row],[Rework_Flag]]="Yes",1,0)</f>
        <v>1</v>
      </c>
      <c r="Y1585" s="4">
        <v>1</v>
      </c>
      <c r="Z1585" s="4" t="str">
        <f>IF(Table1[[#This Row],[TAT_Days]]&gt;Table1[[#This Row],[SLA_TAT]],"Yes","No")</f>
        <v>Yes</v>
      </c>
      <c r="AA1585" s="4" t="str" cm="1">
        <f t="array" ref="AA1585">_xlfn.IFS(Table1[[#This Row],[Customer_Satisfaction]]&lt;=2,"Poor",Table1[[#This Row],[Customer_Satisfaction]]=3,"Neutral",Table1[[#This Row],[Customer_Satisfaction]]=4,"Good",Table1[[#This Row],[Customer_Satisfaction]]=5,"Good")</f>
        <v>Poor</v>
      </c>
    </row>
    <row r="1586" spans="1:27" x14ac:dyDescent="0.35">
      <c r="A1586">
        <v>21584</v>
      </c>
      <c r="B1586" s="1">
        <v>45367</v>
      </c>
      <c r="C1586" t="s">
        <v>50</v>
      </c>
      <c r="D1586" t="s">
        <v>56</v>
      </c>
      <c r="E1586" t="s">
        <v>57</v>
      </c>
      <c r="F1586" t="s">
        <v>40</v>
      </c>
      <c r="G1586" t="s">
        <v>33</v>
      </c>
      <c r="H1586" t="s">
        <v>34</v>
      </c>
      <c r="I1586" t="s">
        <v>25</v>
      </c>
      <c r="J1586" t="s">
        <v>43</v>
      </c>
      <c r="K1586" t="s">
        <v>61</v>
      </c>
      <c r="L1586" t="s">
        <v>28</v>
      </c>
      <c r="M1586" s="4">
        <v>25</v>
      </c>
      <c r="N1586" s="4">
        <v>7</v>
      </c>
      <c r="O1586" t="s">
        <v>29</v>
      </c>
      <c r="P1586" t="s">
        <v>36</v>
      </c>
      <c r="Q1586" s="4">
        <v>262774</v>
      </c>
      <c r="R1586" s="4">
        <v>166252</v>
      </c>
      <c r="S1586" s="4">
        <f>Table1[[#This Row],[Service_Revenue]]-Table1[[#This Row],[Service_Cost]]</f>
        <v>96522</v>
      </c>
      <c r="T1586" s="4">
        <v>1</v>
      </c>
      <c r="U1586" s="4">
        <f>IF(AND(Table1[[#This Row],[Rework_Flag]]="Yes",Table1[[#This Row],[Warranty_Claim]]="No"),Table1[[#This Row],[Service_Revenue]],0)</f>
        <v>262774</v>
      </c>
      <c r="V1586" s="4">
        <f>IF(Table1[[#This Row],[Warranty_Claim]]="Yes",1,0)</f>
        <v>0</v>
      </c>
      <c r="W1586" s="4">
        <f>IF(Table1[[#This Row],[Rework_Flag]]="No",1,0)</f>
        <v>0</v>
      </c>
      <c r="X1586" s="4">
        <f>IF(Table1[[#This Row],[Rework_Flag]]="Yes",1,0)</f>
        <v>1</v>
      </c>
      <c r="Y1586" s="4">
        <v>1</v>
      </c>
      <c r="Z1586" s="4" t="str">
        <f>IF(Table1[[#This Row],[TAT_Days]]&gt;Table1[[#This Row],[SLA_TAT]],"Yes","No")</f>
        <v>Yes</v>
      </c>
      <c r="AA1586" s="4" t="str" cm="1">
        <f t="array" ref="AA1586">_xlfn.IFS(Table1[[#This Row],[Customer_Satisfaction]]&lt;=2,"Poor",Table1[[#This Row],[Customer_Satisfaction]]=3,"Neutral",Table1[[#This Row],[Customer_Satisfaction]]=4,"Good",Table1[[#This Row],[Customer_Satisfaction]]=5,"Good")</f>
        <v>Poor</v>
      </c>
    </row>
    <row r="1587" spans="1:27" x14ac:dyDescent="0.35">
      <c r="A1587">
        <v>21585</v>
      </c>
      <c r="B1587" s="1">
        <v>45445</v>
      </c>
      <c r="C1587" t="s">
        <v>50</v>
      </c>
      <c r="D1587" t="s">
        <v>56</v>
      </c>
      <c r="E1587" t="s">
        <v>77</v>
      </c>
      <c r="F1587" t="s">
        <v>40</v>
      </c>
      <c r="G1587" t="s">
        <v>74</v>
      </c>
      <c r="H1587" t="s">
        <v>34</v>
      </c>
      <c r="I1587" t="s">
        <v>25</v>
      </c>
      <c r="J1587" t="s">
        <v>58</v>
      </c>
      <c r="K1587" t="s">
        <v>44</v>
      </c>
      <c r="L1587" t="s">
        <v>28</v>
      </c>
      <c r="M1587" s="4">
        <v>16</v>
      </c>
      <c r="N1587" s="4">
        <v>7</v>
      </c>
      <c r="O1587" t="s">
        <v>36</v>
      </c>
      <c r="P1587" t="s">
        <v>36</v>
      </c>
      <c r="Q1587" s="4">
        <v>216603</v>
      </c>
      <c r="R1587" s="4">
        <v>160925</v>
      </c>
      <c r="S1587" s="4">
        <f>Table1[[#This Row],[Service_Revenue]]-Table1[[#This Row],[Service_Cost]]</f>
        <v>55678</v>
      </c>
      <c r="T1587" s="4">
        <v>2</v>
      </c>
      <c r="U1587" s="4">
        <f>IF(AND(Table1[[#This Row],[Rework_Flag]]="Yes",Table1[[#This Row],[Warranty_Claim]]="No"),Table1[[#This Row],[Service_Revenue]],0)</f>
        <v>0</v>
      </c>
      <c r="V1587" s="4">
        <f>IF(Table1[[#This Row],[Warranty_Claim]]="Yes",1,0)</f>
        <v>0</v>
      </c>
      <c r="W1587" s="4">
        <f>IF(Table1[[#This Row],[Rework_Flag]]="No",1,0)</f>
        <v>1</v>
      </c>
      <c r="X1587" s="4">
        <f>IF(Table1[[#This Row],[Rework_Flag]]="Yes",1,0)</f>
        <v>0</v>
      </c>
      <c r="Y1587" s="4">
        <v>1</v>
      </c>
      <c r="Z1587" s="4" t="str">
        <f>IF(Table1[[#This Row],[TAT_Days]]&gt;Table1[[#This Row],[SLA_TAT]],"Yes","No")</f>
        <v>Yes</v>
      </c>
      <c r="AA1587" s="4" t="str" cm="1">
        <f t="array" ref="AA1587">_xlfn.IFS(Table1[[#This Row],[Customer_Satisfaction]]&lt;=2,"Poor",Table1[[#This Row],[Customer_Satisfaction]]=3,"Neutral",Table1[[#This Row],[Customer_Satisfaction]]=4,"Good",Table1[[#This Row],[Customer_Satisfaction]]=5,"Good")</f>
        <v>Poor</v>
      </c>
    </row>
    <row r="1588" spans="1:27" x14ac:dyDescent="0.35">
      <c r="A1588">
        <v>21586</v>
      </c>
      <c r="B1588" s="1">
        <v>45318</v>
      </c>
      <c r="C1588" t="s">
        <v>30</v>
      </c>
      <c r="D1588" t="s">
        <v>59</v>
      </c>
      <c r="E1588" t="s">
        <v>60</v>
      </c>
      <c r="F1588" t="s">
        <v>40</v>
      </c>
      <c r="G1588" t="s">
        <v>33</v>
      </c>
      <c r="H1588" t="s">
        <v>34</v>
      </c>
      <c r="I1588" t="s">
        <v>25</v>
      </c>
      <c r="J1588" t="s">
        <v>26</v>
      </c>
      <c r="K1588" t="s">
        <v>61</v>
      </c>
      <c r="L1588" t="s">
        <v>28</v>
      </c>
      <c r="M1588" s="4">
        <v>19</v>
      </c>
      <c r="N1588" s="4">
        <v>7</v>
      </c>
      <c r="O1588" t="s">
        <v>36</v>
      </c>
      <c r="P1588" t="s">
        <v>29</v>
      </c>
      <c r="Q1588" s="4">
        <v>412017</v>
      </c>
      <c r="R1588" s="4">
        <v>221822</v>
      </c>
      <c r="S1588" s="4">
        <f>Table1[[#This Row],[Service_Revenue]]-Table1[[#This Row],[Service_Cost]]</f>
        <v>190195</v>
      </c>
      <c r="T1588" s="4">
        <v>2</v>
      </c>
      <c r="U1588" s="4">
        <f>IF(AND(Table1[[#This Row],[Rework_Flag]]="Yes",Table1[[#This Row],[Warranty_Claim]]="No"),Table1[[#This Row],[Service_Revenue]],0)</f>
        <v>0</v>
      </c>
      <c r="V1588" s="4">
        <f>IF(Table1[[#This Row],[Warranty_Claim]]="Yes",1,0)</f>
        <v>1</v>
      </c>
      <c r="W1588" s="4">
        <f>IF(Table1[[#This Row],[Rework_Flag]]="No",1,0)</f>
        <v>1</v>
      </c>
      <c r="X1588" s="4">
        <f>IF(Table1[[#This Row],[Rework_Flag]]="Yes",1,0)</f>
        <v>0</v>
      </c>
      <c r="Y1588" s="4">
        <v>1</v>
      </c>
      <c r="Z1588" s="4" t="str">
        <f>IF(Table1[[#This Row],[TAT_Days]]&gt;Table1[[#This Row],[SLA_TAT]],"Yes","No")</f>
        <v>Yes</v>
      </c>
      <c r="AA1588" s="4" t="str" cm="1">
        <f t="array" ref="AA1588">_xlfn.IFS(Table1[[#This Row],[Customer_Satisfaction]]&lt;=2,"Poor",Table1[[#This Row],[Customer_Satisfaction]]=3,"Neutral",Table1[[#This Row],[Customer_Satisfaction]]=4,"Good",Table1[[#This Row],[Customer_Satisfaction]]=5,"Good")</f>
        <v>Poor</v>
      </c>
    </row>
    <row r="1589" spans="1:27" x14ac:dyDescent="0.35">
      <c r="A1589">
        <v>21587</v>
      </c>
      <c r="B1589" s="1">
        <v>45400</v>
      </c>
      <c r="C1589" t="s">
        <v>19</v>
      </c>
      <c r="D1589" t="s">
        <v>45</v>
      </c>
      <c r="E1589" t="s">
        <v>76</v>
      </c>
      <c r="F1589" t="s">
        <v>40</v>
      </c>
      <c r="G1589" t="s">
        <v>41</v>
      </c>
      <c r="H1589" t="s">
        <v>42</v>
      </c>
      <c r="I1589" t="s">
        <v>55</v>
      </c>
      <c r="J1589" t="s">
        <v>58</v>
      </c>
      <c r="K1589" t="s">
        <v>44</v>
      </c>
      <c r="L1589" t="s">
        <v>49</v>
      </c>
      <c r="M1589" s="4">
        <v>11</v>
      </c>
      <c r="N1589" s="4">
        <v>7</v>
      </c>
      <c r="O1589" t="s">
        <v>29</v>
      </c>
      <c r="P1589" t="s">
        <v>29</v>
      </c>
      <c r="Q1589" s="4">
        <v>374770</v>
      </c>
      <c r="R1589" s="4">
        <v>266884</v>
      </c>
      <c r="S1589" s="4">
        <f>Table1[[#This Row],[Service_Revenue]]-Table1[[#This Row],[Service_Cost]]</f>
        <v>107886</v>
      </c>
      <c r="T1589" s="4">
        <v>2</v>
      </c>
      <c r="U1589" s="4">
        <f>IF(AND(Table1[[#This Row],[Rework_Flag]]="Yes",Table1[[#This Row],[Warranty_Claim]]="No"),Table1[[#This Row],[Service_Revenue]],0)</f>
        <v>0</v>
      </c>
      <c r="V1589" s="4">
        <f>IF(Table1[[#This Row],[Warranty_Claim]]="Yes",1,0)</f>
        <v>1</v>
      </c>
      <c r="W1589" s="4">
        <f>IF(Table1[[#This Row],[Rework_Flag]]="No",1,0)</f>
        <v>0</v>
      </c>
      <c r="X1589" s="4">
        <f>IF(Table1[[#This Row],[Rework_Flag]]="Yes",1,0)</f>
        <v>1</v>
      </c>
      <c r="Y1589" s="4">
        <v>1</v>
      </c>
      <c r="Z1589" s="4" t="str">
        <f>IF(Table1[[#This Row],[TAT_Days]]&gt;Table1[[#This Row],[SLA_TAT]],"Yes","No")</f>
        <v>Yes</v>
      </c>
      <c r="AA1589" s="4" t="str" cm="1">
        <f t="array" ref="AA1589">_xlfn.IFS(Table1[[#This Row],[Customer_Satisfaction]]&lt;=2,"Poor",Table1[[#This Row],[Customer_Satisfaction]]=3,"Neutral",Table1[[#This Row],[Customer_Satisfaction]]=4,"Good",Table1[[#This Row],[Customer_Satisfaction]]=5,"Good")</f>
        <v>Poor</v>
      </c>
    </row>
    <row r="1590" spans="1:27" x14ac:dyDescent="0.35">
      <c r="A1590">
        <v>21588</v>
      </c>
      <c r="B1590" s="1">
        <v>45315</v>
      </c>
      <c r="C1590" t="s">
        <v>19</v>
      </c>
      <c r="D1590" t="s">
        <v>20</v>
      </c>
      <c r="E1590" t="s">
        <v>110</v>
      </c>
      <c r="F1590" t="s">
        <v>40</v>
      </c>
      <c r="G1590" t="s">
        <v>23</v>
      </c>
      <c r="H1590" t="s">
        <v>24</v>
      </c>
      <c r="I1590" t="s">
        <v>55</v>
      </c>
      <c r="J1590" t="s">
        <v>58</v>
      </c>
      <c r="K1590" t="s">
        <v>61</v>
      </c>
      <c r="L1590" t="s">
        <v>28</v>
      </c>
      <c r="M1590" s="4">
        <v>5</v>
      </c>
      <c r="N1590" s="4">
        <v>7</v>
      </c>
      <c r="O1590" t="s">
        <v>36</v>
      </c>
      <c r="P1590" t="s">
        <v>36</v>
      </c>
      <c r="Q1590" s="4">
        <v>407731</v>
      </c>
      <c r="R1590" s="4">
        <v>253895</v>
      </c>
      <c r="S1590" s="4">
        <f>Table1[[#This Row],[Service_Revenue]]-Table1[[#This Row],[Service_Cost]]</f>
        <v>153836</v>
      </c>
      <c r="T1590" s="4">
        <v>4</v>
      </c>
      <c r="U1590" s="4">
        <f>IF(AND(Table1[[#This Row],[Rework_Flag]]="Yes",Table1[[#This Row],[Warranty_Claim]]="No"),Table1[[#This Row],[Service_Revenue]],0)</f>
        <v>0</v>
      </c>
      <c r="V1590" s="4">
        <f>IF(Table1[[#This Row],[Warranty_Claim]]="Yes",1,0)</f>
        <v>0</v>
      </c>
      <c r="W1590" s="4">
        <f>IF(Table1[[#This Row],[Rework_Flag]]="No",1,0)</f>
        <v>1</v>
      </c>
      <c r="X1590" s="4">
        <f>IF(Table1[[#This Row],[Rework_Flag]]="Yes",1,0)</f>
        <v>0</v>
      </c>
      <c r="Y1590" s="4">
        <v>1</v>
      </c>
      <c r="Z1590" s="4" t="str">
        <f>IF(Table1[[#This Row],[TAT_Days]]&gt;Table1[[#This Row],[SLA_TAT]],"Yes","No")</f>
        <v>No</v>
      </c>
      <c r="AA1590" s="4" t="str" cm="1">
        <f t="array" ref="AA1590">_xlfn.IFS(Table1[[#This Row],[Customer_Satisfaction]]&lt;=2,"Poor",Table1[[#This Row],[Customer_Satisfaction]]=3,"Neutral",Table1[[#This Row],[Customer_Satisfaction]]=4,"Good",Table1[[#This Row],[Customer_Satisfaction]]=5,"Good")</f>
        <v>Good</v>
      </c>
    </row>
    <row r="1591" spans="1:27" x14ac:dyDescent="0.35">
      <c r="A1591">
        <v>21589</v>
      </c>
      <c r="B1591" s="1">
        <v>45297</v>
      </c>
      <c r="C1591" t="s">
        <v>19</v>
      </c>
      <c r="D1591" t="s">
        <v>96</v>
      </c>
      <c r="E1591" t="s">
        <v>97</v>
      </c>
      <c r="F1591" t="s">
        <v>22</v>
      </c>
      <c r="G1591" t="s">
        <v>54</v>
      </c>
      <c r="H1591" t="s">
        <v>42</v>
      </c>
      <c r="I1591" t="s">
        <v>25</v>
      </c>
      <c r="J1591" t="s">
        <v>35</v>
      </c>
      <c r="K1591" t="s">
        <v>61</v>
      </c>
      <c r="L1591" t="s">
        <v>49</v>
      </c>
      <c r="M1591" s="4">
        <v>23</v>
      </c>
      <c r="N1591" s="4">
        <v>7</v>
      </c>
      <c r="O1591" t="s">
        <v>36</v>
      </c>
      <c r="P1591" t="s">
        <v>36</v>
      </c>
      <c r="Q1591" s="4">
        <v>137434</v>
      </c>
      <c r="R1591" s="4">
        <v>87487</v>
      </c>
      <c r="S1591" s="4">
        <f>Table1[[#This Row],[Service_Revenue]]-Table1[[#This Row],[Service_Cost]]</f>
        <v>49947</v>
      </c>
      <c r="T1591" s="4">
        <v>1</v>
      </c>
      <c r="U1591" s="4">
        <f>IF(AND(Table1[[#This Row],[Rework_Flag]]="Yes",Table1[[#This Row],[Warranty_Claim]]="No"),Table1[[#This Row],[Service_Revenue]],0)</f>
        <v>0</v>
      </c>
      <c r="V1591" s="4">
        <f>IF(Table1[[#This Row],[Warranty_Claim]]="Yes",1,0)</f>
        <v>0</v>
      </c>
      <c r="W1591" s="4">
        <f>IF(Table1[[#This Row],[Rework_Flag]]="No",1,0)</f>
        <v>1</v>
      </c>
      <c r="X1591" s="4">
        <f>IF(Table1[[#This Row],[Rework_Flag]]="Yes",1,0)</f>
        <v>0</v>
      </c>
      <c r="Y1591" s="4">
        <v>1</v>
      </c>
      <c r="Z1591" s="4" t="str">
        <f>IF(Table1[[#This Row],[TAT_Days]]&gt;Table1[[#This Row],[SLA_TAT]],"Yes","No")</f>
        <v>Yes</v>
      </c>
      <c r="AA1591" s="4" t="str" cm="1">
        <f t="array" ref="AA1591">_xlfn.IFS(Table1[[#This Row],[Customer_Satisfaction]]&lt;=2,"Poor",Table1[[#This Row],[Customer_Satisfaction]]=3,"Neutral",Table1[[#This Row],[Customer_Satisfaction]]=4,"Good",Table1[[#This Row],[Customer_Satisfaction]]=5,"Good")</f>
        <v>Poor</v>
      </c>
    </row>
    <row r="1592" spans="1:27" x14ac:dyDescent="0.35">
      <c r="A1592">
        <v>21590</v>
      </c>
      <c r="B1592" s="1">
        <v>45402</v>
      </c>
      <c r="C1592" t="s">
        <v>19</v>
      </c>
      <c r="D1592" t="s">
        <v>20</v>
      </c>
      <c r="E1592" t="s">
        <v>110</v>
      </c>
      <c r="F1592" t="s">
        <v>22</v>
      </c>
      <c r="G1592" t="s">
        <v>74</v>
      </c>
      <c r="H1592" t="s">
        <v>34</v>
      </c>
      <c r="I1592" t="s">
        <v>55</v>
      </c>
      <c r="J1592" t="s">
        <v>43</v>
      </c>
      <c r="K1592" t="s">
        <v>44</v>
      </c>
      <c r="L1592" t="s">
        <v>49</v>
      </c>
      <c r="M1592" s="4">
        <v>16</v>
      </c>
      <c r="N1592" s="4">
        <v>7</v>
      </c>
      <c r="O1592" t="s">
        <v>36</v>
      </c>
      <c r="P1592" t="s">
        <v>36</v>
      </c>
      <c r="Q1592" s="4">
        <v>114906</v>
      </c>
      <c r="R1592" s="4">
        <v>70084</v>
      </c>
      <c r="S1592" s="4">
        <f>Table1[[#This Row],[Service_Revenue]]-Table1[[#This Row],[Service_Cost]]</f>
        <v>44822</v>
      </c>
      <c r="T1592" s="4">
        <v>2</v>
      </c>
      <c r="U1592" s="4">
        <f>IF(AND(Table1[[#This Row],[Rework_Flag]]="Yes",Table1[[#This Row],[Warranty_Claim]]="No"),Table1[[#This Row],[Service_Revenue]],0)</f>
        <v>0</v>
      </c>
      <c r="V1592" s="4">
        <f>IF(Table1[[#This Row],[Warranty_Claim]]="Yes",1,0)</f>
        <v>0</v>
      </c>
      <c r="W1592" s="4">
        <f>IF(Table1[[#This Row],[Rework_Flag]]="No",1,0)</f>
        <v>1</v>
      </c>
      <c r="X1592" s="4">
        <f>IF(Table1[[#This Row],[Rework_Flag]]="Yes",1,0)</f>
        <v>0</v>
      </c>
      <c r="Y1592" s="4">
        <v>1</v>
      </c>
      <c r="Z1592" s="4" t="str">
        <f>IF(Table1[[#This Row],[TAT_Days]]&gt;Table1[[#This Row],[SLA_TAT]],"Yes","No")</f>
        <v>Yes</v>
      </c>
      <c r="AA1592" s="4" t="str" cm="1">
        <f t="array" ref="AA1592">_xlfn.IFS(Table1[[#This Row],[Customer_Satisfaction]]&lt;=2,"Poor",Table1[[#This Row],[Customer_Satisfaction]]=3,"Neutral",Table1[[#This Row],[Customer_Satisfaction]]=4,"Good",Table1[[#This Row],[Customer_Satisfaction]]=5,"Good")</f>
        <v>Poor</v>
      </c>
    </row>
    <row r="1593" spans="1:27" x14ac:dyDescent="0.35">
      <c r="A1593">
        <v>21591</v>
      </c>
      <c r="B1593" s="1">
        <v>45381</v>
      </c>
      <c r="C1593" t="s">
        <v>37</v>
      </c>
      <c r="D1593" t="s">
        <v>64</v>
      </c>
      <c r="E1593" t="s">
        <v>115</v>
      </c>
      <c r="F1593" t="s">
        <v>22</v>
      </c>
      <c r="G1593" t="s">
        <v>33</v>
      </c>
      <c r="H1593" t="s">
        <v>34</v>
      </c>
      <c r="I1593" t="s">
        <v>25</v>
      </c>
      <c r="J1593" t="s">
        <v>26</v>
      </c>
      <c r="K1593" t="s">
        <v>44</v>
      </c>
      <c r="L1593" t="s">
        <v>28</v>
      </c>
      <c r="M1593" s="4">
        <v>4</v>
      </c>
      <c r="N1593" s="4">
        <v>7</v>
      </c>
      <c r="O1593" t="s">
        <v>29</v>
      </c>
      <c r="P1593" t="s">
        <v>36</v>
      </c>
      <c r="Q1593" s="4">
        <v>434944</v>
      </c>
      <c r="R1593" s="4">
        <v>319586</v>
      </c>
      <c r="S1593" s="4">
        <f>Table1[[#This Row],[Service_Revenue]]-Table1[[#This Row],[Service_Cost]]</f>
        <v>115358</v>
      </c>
      <c r="T1593" s="4">
        <v>4</v>
      </c>
      <c r="U1593" s="4">
        <f>IF(AND(Table1[[#This Row],[Rework_Flag]]="Yes",Table1[[#This Row],[Warranty_Claim]]="No"),Table1[[#This Row],[Service_Revenue]],0)</f>
        <v>434944</v>
      </c>
      <c r="V1593" s="4">
        <f>IF(Table1[[#This Row],[Warranty_Claim]]="Yes",1,0)</f>
        <v>0</v>
      </c>
      <c r="W1593" s="4">
        <f>IF(Table1[[#This Row],[Rework_Flag]]="No",1,0)</f>
        <v>0</v>
      </c>
      <c r="X1593" s="4">
        <f>IF(Table1[[#This Row],[Rework_Flag]]="Yes",1,0)</f>
        <v>1</v>
      </c>
      <c r="Y1593" s="4">
        <v>1</v>
      </c>
      <c r="Z1593" s="4" t="str">
        <f>IF(Table1[[#This Row],[TAT_Days]]&gt;Table1[[#This Row],[SLA_TAT]],"Yes","No")</f>
        <v>No</v>
      </c>
      <c r="AA1593" s="4" t="str" cm="1">
        <f t="array" ref="AA1593">_xlfn.IFS(Table1[[#This Row],[Customer_Satisfaction]]&lt;=2,"Poor",Table1[[#This Row],[Customer_Satisfaction]]=3,"Neutral",Table1[[#This Row],[Customer_Satisfaction]]=4,"Good",Table1[[#This Row],[Customer_Satisfaction]]=5,"Good")</f>
        <v>Good</v>
      </c>
    </row>
    <row r="1594" spans="1:27" x14ac:dyDescent="0.35">
      <c r="A1594">
        <v>21592</v>
      </c>
      <c r="B1594" s="1">
        <v>45412</v>
      </c>
      <c r="C1594" t="s">
        <v>19</v>
      </c>
      <c r="D1594" t="s">
        <v>45</v>
      </c>
      <c r="E1594" t="s">
        <v>114</v>
      </c>
      <c r="F1594" t="s">
        <v>22</v>
      </c>
      <c r="G1594" t="s">
        <v>74</v>
      </c>
      <c r="H1594" t="s">
        <v>34</v>
      </c>
      <c r="I1594" t="s">
        <v>25</v>
      </c>
      <c r="J1594" t="s">
        <v>67</v>
      </c>
      <c r="K1594" t="s">
        <v>61</v>
      </c>
      <c r="L1594" t="s">
        <v>28</v>
      </c>
      <c r="M1594" s="4">
        <v>11</v>
      </c>
      <c r="N1594" s="4">
        <v>7</v>
      </c>
      <c r="O1594" t="s">
        <v>36</v>
      </c>
      <c r="P1594" t="s">
        <v>29</v>
      </c>
      <c r="Q1594" s="4">
        <v>384706</v>
      </c>
      <c r="R1594" s="4">
        <v>251153</v>
      </c>
      <c r="S1594" s="4">
        <f>Table1[[#This Row],[Service_Revenue]]-Table1[[#This Row],[Service_Cost]]</f>
        <v>133553</v>
      </c>
      <c r="T1594" s="4">
        <v>3</v>
      </c>
      <c r="U1594" s="4">
        <f>IF(AND(Table1[[#This Row],[Rework_Flag]]="Yes",Table1[[#This Row],[Warranty_Claim]]="No"),Table1[[#This Row],[Service_Revenue]],0)</f>
        <v>0</v>
      </c>
      <c r="V1594" s="4">
        <f>IF(Table1[[#This Row],[Warranty_Claim]]="Yes",1,0)</f>
        <v>1</v>
      </c>
      <c r="W1594" s="4">
        <f>IF(Table1[[#This Row],[Rework_Flag]]="No",1,0)</f>
        <v>1</v>
      </c>
      <c r="X1594" s="4">
        <f>IF(Table1[[#This Row],[Rework_Flag]]="Yes",1,0)</f>
        <v>0</v>
      </c>
      <c r="Y1594" s="4">
        <v>1</v>
      </c>
      <c r="Z1594" s="4" t="str">
        <f>IF(Table1[[#This Row],[TAT_Days]]&gt;Table1[[#This Row],[SLA_TAT]],"Yes","No")</f>
        <v>Yes</v>
      </c>
      <c r="AA1594" s="4" t="str" cm="1">
        <f t="array" ref="AA1594">_xlfn.IFS(Table1[[#This Row],[Customer_Satisfaction]]&lt;=2,"Poor",Table1[[#This Row],[Customer_Satisfaction]]=3,"Neutral",Table1[[#This Row],[Customer_Satisfaction]]=4,"Good",Table1[[#This Row],[Customer_Satisfaction]]=5,"Good")</f>
        <v>Neutral</v>
      </c>
    </row>
    <row r="1595" spans="1:27" x14ac:dyDescent="0.35">
      <c r="A1595">
        <v>21593</v>
      </c>
      <c r="B1595" s="1">
        <v>45329</v>
      </c>
      <c r="C1595" t="s">
        <v>37</v>
      </c>
      <c r="D1595" t="s">
        <v>70</v>
      </c>
      <c r="E1595" t="s">
        <v>91</v>
      </c>
      <c r="F1595" t="s">
        <v>53</v>
      </c>
      <c r="G1595" t="s">
        <v>41</v>
      </c>
      <c r="H1595" t="s">
        <v>42</v>
      </c>
      <c r="I1595" t="s">
        <v>55</v>
      </c>
      <c r="J1595" t="s">
        <v>35</v>
      </c>
      <c r="K1595" t="s">
        <v>27</v>
      </c>
      <c r="L1595" t="s">
        <v>28</v>
      </c>
      <c r="M1595" s="4">
        <v>9</v>
      </c>
      <c r="N1595" s="4">
        <v>7</v>
      </c>
      <c r="O1595" t="s">
        <v>36</v>
      </c>
      <c r="P1595" t="s">
        <v>29</v>
      </c>
      <c r="Q1595" s="4">
        <v>431954</v>
      </c>
      <c r="R1595" s="4">
        <v>266268</v>
      </c>
      <c r="S1595" s="4">
        <f>Table1[[#This Row],[Service_Revenue]]-Table1[[#This Row],[Service_Cost]]</f>
        <v>165686</v>
      </c>
      <c r="T1595" s="4">
        <v>4</v>
      </c>
      <c r="U1595" s="4">
        <f>IF(AND(Table1[[#This Row],[Rework_Flag]]="Yes",Table1[[#This Row],[Warranty_Claim]]="No"),Table1[[#This Row],[Service_Revenue]],0)</f>
        <v>0</v>
      </c>
      <c r="V1595" s="4">
        <f>IF(Table1[[#This Row],[Warranty_Claim]]="Yes",1,0)</f>
        <v>1</v>
      </c>
      <c r="W1595" s="4">
        <f>IF(Table1[[#This Row],[Rework_Flag]]="No",1,0)</f>
        <v>1</v>
      </c>
      <c r="X1595" s="4">
        <f>IF(Table1[[#This Row],[Rework_Flag]]="Yes",1,0)</f>
        <v>0</v>
      </c>
      <c r="Y1595" s="4">
        <v>1</v>
      </c>
      <c r="Z1595" s="4" t="str">
        <f>IF(Table1[[#This Row],[TAT_Days]]&gt;Table1[[#This Row],[SLA_TAT]],"Yes","No")</f>
        <v>Yes</v>
      </c>
      <c r="AA1595" s="4" t="str" cm="1">
        <f t="array" ref="AA1595">_xlfn.IFS(Table1[[#This Row],[Customer_Satisfaction]]&lt;=2,"Poor",Table1[[#This Row],[Customer_Satisfaction]]=3,"Neutral",Table1[[#This Row],[Customer_Satisfaction]]=4,"Good",Table1[[#This Row],[Customer_Satisfaction]]=5,"Good")</f>
        <v>Good</v>
      </c>
    </row>
    <row r="1596" spans="1:27" x14ac:dyDescent="0.35">
      <c r="A1596">
        <v>21594</v>
      </c>
      <c r="B1596" s="1">
        <v>45348</v>
      </c>
      <c r="C1596" t="s">
        <v>30</v>
      </c>
      <c r="D1596" t="s">
        <v>59</v>
      </c>
      <c r="E1596" t="s">
        <v>66</v>
      </c>
      <c r="F1596" t="s">
        <v>53</v>
      </c>
      <c r="G1596" t="s">
        <v>33</v>
      </c>
      <c r="H1596" t="s">
        <v>34</v>
      </c>
      <c r="I1596" t="s">
        <v>55</v>
      </c>
      <c r="J1596" t="s">
        <v>67</v>
      </c>
      <c r="K1596" t="s">
        <v>44</v>
      </c>
      <c r="L1596" t="s">
        <v>49</v>
      </c>
      <c r="M1596" s="4">
        <v>3</v>
      </c>
      <c r="N1596" s="4">
        <v>7</v>
      </c>
      <c r="O1596" t="s">
        <v>36</v>
      </c>
      <c r="P1596" t="s">
        <v>36</v>
      </c>
      <c r="Q1596" s="4">
        <v>378988</v>
      </c>
      <c r="R1596" s="4">
        <v>209995</v>
      </c>
      <c r="S1596" s="4">
        <f>Table1[[#This Row],[Service_Revenue]]-Table1[[#This Row],[Service_Cost]]</f>
        <v>168993</v>
      </c>
      <c r="T1596" s="4">
        <v>5</v>
      </c>
      <c r="U1596" s="4">
        <f>IF(AND(Table1[[#This Row],[Rework_Flag]]="Yes",Table1[[#This Row],[Warranty_Claim]]="No"),Table1[[#This Row],[Service_Revenue]],0)</f>
        <v>0</v>
      </c>
      <c r="V1596" s="4">
        <f>IF(Table1[[#This Row],[Warranty_Claim]]="Yes",1,0)</f>
        <v>0</v>
      </c>
      <c r="W1596" s="4">
        <f>IF(Table1[[#This Row],[Rework_Flag]]="No",1,0)</f>
        <v>1</v>
      </c>
      <c r="X1596" s="4">
        <f>IF(Table1[[#This Row],[Rework_Flag]]="Yes",1,0)</f>
        <v>0</v>
      </c>
      <c r="Y1596" s="4">
        <v>1</v>
      </c>
      <c r="Z1596" s="4" t="str">
        <f>IF(Table1[[#This Row],[TAT_Days]]&gt;Table1[[#This Row],[SLA_TAT]],"Yes","No")</f>
        <v>No</v>
      </c>
      <c r="AA1596" s="4" t="str" cm="1">
        <f t="array" ref="AA1596">_xlfn.IFS(Table1[[#This Row],[Customer_Satisfaction]]&lt;=2,"Poor",Table1[[#This Row],[Customer_Satisfaction]]=3,"Neutral",Table1[[#This Row],[Customer_Satisfaction]]=4,"Good",Table1[[#This Row],[Customer_Satisfaction]]=5,"Good")</f>
        <v>Good</v>
      </c>
    </row>
    <row r="1597" spans="1:27" x14ac:dyDescent="0.35">
      <c r="A1597">
        <v>21595</v>
      </c>
      <c r="B1597" s="1">
        <v>45453</v>
      </c>
      <c r="C1597" t="s">
        <v>37</v>
      </c>
      <c r="D1597" t="s">
        <v>70</v>
      </c>
      <c r="E1597" t="s">
        <v>71</v>
      </c>
      <c r="F1597" t="s">
        <v>22</v>
      </c>
      <c r="G1597" t="s">
        <v>41</v>
      </c>
      <c r="H1597" t="s">
        <v>42</v>
      </c>
      <c r="I1597" t="s">
        <v>25</v>
      </c>
      <c r="J1597" t="s">
        <v>43</v>
      </c>
      <c r="K1597" t="s">
        <v>27</v>
      </c>
      <c r="L1597" t="s">
        <v>28</v>
      </c>
      <c r="M1597" s="4">
        <v>24</v>
      </c>
      <c r="N1597" s="4">
        <v>7</v>
      </c>
      <c r="O1597" t="s">
        <v>29</v>
      </c>
      <c r="P1597" t="s">
        <v>36</v>
      </c>
      <c r="Q1597" s="4">
        <v>131524</v>
      </c>
      <c r="R1597" s="4">
        <v>99072</v>
      </c>
      <c r="S1597" s="4">
        <f>Table1[[#This Row],[Service_Revenue]]-Table1[[#This Row],[Service_Cost]]</f>
        <v>32452</v>
      </c>
      <c r="T1597" s="4">
        <v>1</v>
      </c>
      <c r="U1597" s="4">
        <f>IF(AND(Table1[[#This Row],[Rework_Flag]]="Yes",Table1[[#This Row],[Warranty_Claim]]="No"),Table1[[#This Row],[Service_Revenue]],0)</f>
        <v>131524</v>
      </c>
      <c r="V1597" s="4">
        <f>IF(Table1[[#This Row],[Warranty_Claim]]="Yes",1,0)</f>
        <v>0</v>
      </c>
      <c r="W1597" s="4">
        <f>IF(Table1[[#This Row],[Rework_Flag]]="No",1,0)</f>
        <v>0</v>
      </c>
      <c r="X1597" s="4">
        <f>IF(Table1[[#This Row],[Rework_Flag]]="Yes",1,0)</f>
        <v>1</v>
      </c>
      <c r="Y1597" s="4">
        <v>1</v>
      </c>
      <c r="Z1597" s="4" t="str">
        <f>IF(Table1[[#This Row],[TAT_Days]]&gt;Table1[[#This Row],[SLA_TAT]],"Yes","No")</f>
        <v>Yes</v>
      </c>
      <c r="AA1597" s="4" t="str" cm="1">
        <f t="array" ref="AA1597">_xlfn.IFS(Table1[[#This Row],[Customer_Satisfaction]]&lt;=2,"Poor",Table1[[#This Row],[Customer_Satisfaction]]=3,"Neutral",Table1[[#This Row],[Customer_Satisfaction]]=4,"Good",Table1[[#This Row],[Customer_Satisfaction]]=5,"Good")</f>
        <v>Poor</v>
      </c>
    </row>
    <row r="1598" spans="1:27" x14ac:dyDescent="0.35">
      <c r="A1598">
        <v>21596</v>
      </c>
      <c r="B1598" s="1">
        <v>45309</v>
      </c>
      <c r="C1598" t="s">
        <v>30</v>
      </c>
      <c r="D1598" t="s">
        <v>83</v>
      </c>
      <c r="E1598" t="s">
        <v>84</v>
      </c>
      <c r="F1598" t="s">
        <v>53</v>
      </c>
      <c r="G1598" t="s">
        <v>47</v>
      </c>
      <c r="H1598" t="s">
        <v>48</v>
      </c>
      <c r="I1598" t="s">
        <v>55</v>
      </c>
      <c r="J1598" t="s">
        <v>26</v>
      </c>
      <c r="K1598" t="s">
        <v>44</v>
      </c>
      <c r="L1598" t="s">
        <v>28</v>
      </c>
      <c r="M1598" s="4">
        <v>16</v>
      </c>
      <c r="N1598" s="4">
        <v>7</v>
      </c>
      <c r="O1598" t="s">
        <v>36</v>
      </c>
      <c r="P1598" t="s">
        <v>29</v>
      </c>
      <c r="Q1598" s="4">
        <v>409630</v>
      </c>
      <c r="R1598" s="4">
        <v>317514</v>
      </c>
      <c r="S1598" s="4">
        <f>Table1[[#This Row],[Service_Revenue]]-Table1[[#This Row],[Service_Cost]]</f>
        <v>92116</v>
      </c>
      <c r="T1598" s="4">
        <v>2</v>
      </c>
      <c r="U1598" s="4">
        <f>IF(AND(Table1[[#This Row],[Rework_Flag]]="Yes",Table1[[#This Row],[Warranty_Claim]]="No"),Table1[[#This Row],[Service_Revenue]],0)</f>
        <v>0</v>
      </c>
      <c r="V1598" s="4">
        <f>IF(Table1[[#This Row],[Warranty_Claim]]="Yes",1,0)</f>
        <v>1</v>
      </c>
      <c r="W1598" s="4">
        <f>IF(Table1[[#This Row],[Rework_Flag]]="No",1,0)</f>
        <v>1</v>
      </c>
      <c r="X1598" s="4">
        <f>IF(Table1[[#This Row],[Rework_Flag]]="Yes",1,0)</f>
        <v>0</v>
      </c>
      <c r="Y1598" s="4">
        <v>1</v>
      </c>
      <c r="Z1598" s="4" t="str">
        <f>IF(Table1[[#This Row],[TAT_Days]]&gt;Table1[[#This Row],[SLA_TAT]],"Yes","No")</f>
        <v>Yes</v>
      </c>
      <c r="AA1598" s="4" t="str" cm="1">
        <f t="array" ref="AA1598">_xlfn.IFS(Table1[[#This Row],[Customer_Satisfaction]]&lt;=2,"Poor",Table1[[#This Row],[Customer_Satisfaction]]=3,"Neutral",Table1[[#This Row],[Customer_Satisfaction]]=4,"Good",Table1[[#This Row],[Customer_Satisfaction]]=5,"Good")</f>
        <v>Poor</v>
      </c>
    </row>
    <row r="1599" spans="1:27" x14ac:dyDescent="0.35">
      <c r="A1599">
        <v>21597</v>
      </c>
      <c r="B1599" s="1">
        <v>45452</v>
      </c>
      <c r="C1599" t="s">
        <v>30</v>
      </c>
      <c r="D1599" t="s">
        <v>31</v>
      </c>
      <c r="E1599" t="s">
        <v>32</v>
      </c>
      <c r="F1599" t="s">
        <v>22</v>
      </c>
      <c r="G1599" t="s">
        <v>47</v>
      </c>
      <c r="H1599" t="s">
        <v>48</v>
      </c>
      <c r="I1599" t="s">
        <v>25</v>
      </c>
      <c r="J1599" t="s">
        <v>43</v>
      </c>
      <c r="K1599" t="s">
        <v>61</v>
      </c>
      <c r="L1599" t="s">
        <v>28</v>
      </c>
      <c r="M1599" s="4">
        <v>24</v>
      </c>
      <c r="N1599" s="4">
        <v>7</v>
      </c>
      <c r="O1599" t="s">
        <v>29</v>
      </c>
      <c r="P1599" t="s">
        <v>36</v>
      </c>
      <c r="Q1599" s="4">
        <v>200680</v>
      </c>
      <c r="R1599" s="4">
        <v>129932</v>
      </c>
      <c r="S1599" s="4">
        <f>Table1[[#This Row],[Service_Revenue]]-Table1[[#This Row],[Service_Cost]]</f>
        <v>70748</v>
      </c>
      <c r="T1599" s="4">
        <v>1</v>
      </c>
      <c r="U1599" s="4">
        <f>IF(AND(Table1[[#This Row],[Rework_Flag]]="Yes",Table1[[#This Row],[Warranty_Claim]]="No"),Table1[[#This Row],[Service_Revenue]],0)</f>
        <v>200680</v>
      </c>
      <c r="V1599" s="4">
        <f>IF(Table1[[#This Row],[Warranty_Claim]]="Yes",1,0)</f>
        <v>0</v>
      </c>
      <c r="W1599" s="4">
        <f>IF(Table1[[#This Row],[Rework_Flag]]="No",1,0)</f>
        <v>0</v>
      </c>
      <c r="X1599" s="4">
        <f>IF(Table1[[#This Row],[Rework_Flag]]="Yes",1,0)</f>
        <v>1</v>
      </c>
      <c r="Y1599" s="4">
        <v>1</v>
      </c>
      <c r="Z1599" s="4" t="str">
        <f>IF(Table1[[#This Row],[TAT_Days]]&gt;Table1[[#This Row],[SLA_TAT]],"Yes","No")</f>
        <v>Yes</v>
      </c>
      <c r="AA1599" s="4" t="str" cm="1">
        <f t="array" ref="AA1599">_xlfn.IFS(Table1[[#This Row],[Customer_Satisfaction]]&lt;=2,"Poor",Table1[[#This Row],[Customer_Satisfaction]]=3,"Neutral",Table1[[#This Row],[Customer_Satisfaction]]=4,"Good",Table1[[#This Row],[Customer_Satisfaction]]=5,"Good")</f>
        <v>Poor</v>
      </c>
    </row>
    <row r="1600" spans="1:27" x14ac:dyDescent="0.35">
      <c r="A1600">
        <v>21598</v>
      </c>
      <c r="B1600" s="1">
        <v>45351</v>
      </c>
      <c r="C1600" t="s">
        <v>19</v>
      </c>
      <c r="D1600" t="s">
        <v>45</v>
      </c>
      <c r="E1600" t="s">
        <v>46</v>
      </c>
      <c r="F1600" t="s">
        <v>53</v>
      </c>
      <c r="G1600" t="s">
        <v>63</v>
      </c>
      <c r="H1600" t="s">
        <v>24</v>
      </c>
      <c r="I1600" t="s">
        <v>25</v>
      </c>
      <c r="J1600" t="s">
        <v>43</v>
      </c>
      <c r="K1600" t="s">
        <v>27</v>
      </c>
      <c r="L1600" t="s">
        <v>49</v>
      </c>
      <c r="M1600" s="4">
        <v>10</v>
      </c>
      <c r="N1600" s="4">
        <v>7</v>
      </c>
      <c r="O1600" t="s">
        <v>29</v>
      </c>
      <c r="P1600" t="s">
        <v>36</v>
      </c>
      <c r="Q1600" s="4">
        <v>163953</v>
      </c>
      <c r="R1600" s="4">
        <v>133406</v>
      </c>
      <c r="S1600" s="4">
        <f>Table1[[#This Row],[Service_Revenue]]-Table1[[#This Row],[Service_Cost]]</f>
        <v>30547</v>
      </c>
      <c r="T1600" s="4">
        <v>2</v>
      </c>
      <c r="U1600" s="4">
        <f>IF(AND(Table1[[#This Row],[Rework_Flag]]="Yes",Table1[[#This Row],[Warranty_Claim]]="No"),Table1[[#This Row],[Service_Revenue]],0)</f>
        <v>163953</v>
      </c>
      <c r="V1600" s="4">
        <f>IF(Table1[[#This Row],[Warranty_Claim]]="Yes",1,0)</f>
        <v>0</v>
      </c>
      <c r="W1600" s="4">
        <f>IF(Table1[[#This Row],[Rework_Flag]]="No",1,0)</f>
        <v>0</v>
      </c>
      <c r="X1600" s="4">
        <f>IF(Table1[[#This Row],[Rework_Flag]]="Yes",1,0)</f>
        <v>1</v>
      </c>
      <c r="Y1600" s="4">
        <v>1</v>
      </c>
      <c r="Z1600" s="4" t="str">
        <f>IF(Table1[[#This Row],[TAT_Days]]&gt;Table1[[#This Row],[SLA_TAT]],"Yes","No")</f>
        <v>Yes</v>
      </c>
      <c r="AA1600" s="4" t="str" cm="1">
        <f t="array" ref="AA1600">_xlfn.IFS(Table1[[#This Row],[Customer_Satisfaction]]&lt;=2,"Poor",Table1[[#This Row],[Customer_Satisfaction]]=3,"Neutral",Table1[[#This Row],[Customer_Satisfaction]]=4,"Good",Table1[[#This Row],[Customer_Satisfaction]]=5,"Good")</f>
        <v>Poor</v>
      </c>
    </row>
    <row r="1601" spans="1:27" x14ac:dyDescent="0.35">
      <c r="A1601">
        <v>21599</v>
      </c>
      <c r="B1601" s="1">
        <v>45435</v>
      </c>
      <c r="C1601" t="s">
        <v>50</v>
      </c>
      <c r="D1601" t="s">
        <v>56</v>
      </c>
      <c r="E1601" t="s">
        <v>57</v>
      </c>
      <c r="F1601" t="s">
        <v>22</v>
      </c>
      <c r="G1601" t="s">
        <v>41</v>
      </c>
      <c r="H1601" t="s">
        <v>42</v>
      </c>
      <c r="I1601" t="s">
        <v>55</v>
      </c>
      <c r="J1601" t="s">
        <v>26</v>
      </c>
      <c r="K1601" t="s">
        <v>44</v>
      </c>
      <c r="L1601" t="s">
        <v>28</v>
      </c>
      <c r="M1601" s="4">
        <v>9</v>
      </c>
      <c r="N1601" s="4">
        <v>7</v>
      </c>
      <c r="O1601" t="s">
        <v>29</v>
      </c>
      <c r="P1601" t="s">
        <v>36</v>
      </c>
      <c r="Q1601" s="4">
        <v>544955</v>
      </c>
      <c r="R1601" s="4">
        <v>401133</v>
      </c>
      <c r="S1601" s="4">
        <f>Table1[[#This Row],[Service_Revenue]]-Table1[[#This Row],[Service_Cost]]</f>
        <v>143822</v>
      </c>
      <c r="T1601" s="4">
        <v>3</v>
      </c>
      <c r="U1601" s="4">
        <f>IF(AND(Table1[[#This Row],[Rework_Flag]]="Yes",Table1[[#This Row],[Warranty_Claim]]="No"),Table1[[#This Row],[Service_Revenue]],0)</f>
        <v>544955</v>
      </c>
      <c r="V1601" s="4">
        <f>IF(Table1[[#This Row],[Warranty_Claim]]="Yes",1,0)</f>
        <v>0</v>
      </c>
      <c r="W1601" s="4">
        <f>IF(Table1[[#This Row],[Rework_Flag]]="No",1,0)</f>
        <v>0</v>
      </c>
      <c r="X1601" s="4">
        <f>IF(Table1[[#This Row],[Rework_Flag]]="Yes",1,0)</f>
        <v>1</v>
      </c>
      <c r="Y1601" s="4">
        <v>1</v>
      </c>
      <c r="Z1601" s="4" t="str">
        <f>IF(Table1[[#This Row],[TAT_Days]]&gt;Table1[[#This Row],[SLA_TAT]],"Yes","No")</f>
        <v>Yes</v>
      </c>
      <c r="AA1601" s="4" t="str" cm="1">
        <f t="array" ref="AA1601">_xlfn.IFS(Table1[[#This Row],[Customer_Satisfaction]]&lt;=2,"Poor",Table1[[#This Row],[Customer_Satisfaction]]=3,"Neutral",Table1[[#This Row],[Customer_Satisfaction]]=4,"Good",Table1[[#This Row],[Customer_Satisfaction]]=5,"Good")</f>
        <v>Neutral</v>
      </c>
    </row>
    <row r="1602" spans="1:27" x14ac:dyDescent="0.35">
      <c r="A1602">
        <v>21600</v>
      </c>
      <c r="B1602" s="1">
        <v>45389</v>
      </c>
      <c r="C1602" t="s">
        <v>30</v>
      </c>
      <c r="D1602" t="s">
        <v>59</v>
      </c>
      <c r="E1602" t="s">
        <v>78</v>
      </c>
      <c r="F1602" t="s">
        <v>53</v>
      </c>
      <c r="G1602" t="s">
        <v>23</v>
      </c>
      <c r="H1602" t="s">
        <v>24</v>
      </c>
      <c r="I1602" t="s">
        <v>25</v>
      </c>
      <c r="J1602" t="s">
        <v>35</v>
      </c>
      <c r="K1602" t="s">
        <v>44</v>
      </c>
      <c r="L1602" t="s">
        <v>49</v>
      </c>
      <c r="M1602" s="4">
        <v>11</v>
      </c>
      <c r="N1602" s="4">
        <v>7</v>
      </c>
      <c r="O1602" t="s">
        <v>36</v>
      </c>
      <c r="P1602" t="s">
        <v>29</v>
      </c>
      <c r="Q1602" s="4">
        <v>204929</v>
      </c>
      <c r="R1602" s="4">
        <v>117593</v>
      </c>
      <c r="S1602" s="4">
        <f>Table1[[#This Row],[Service_Revenue]]-Table1[[#This Row],[Service_Cost]]</f>
        <v>87336</v>
      </c>
      <c r="T1602" s="4">
        <v>3</v>
      </c>
      <c r="U1602" s="4">
        <f>IF(AND(Table1[[#This Row],[Rework_Flag]]="Yes",Table1[[#This Row],[Warranty_Claim]]="No"),Table1[[#This Row],[Service_Revenue]],0)</f>
        <v>0</v>
      </c>
      <c r="V1602" s="4">
        <f>IF(Table1[[#This Row],[Warranty_Claim]]="Yes",1,0)</f>
        <v>1</v>
      </c>
      <c r="W1602" s="4">
        <f>IF(Table1[[#This Row],[Rework_Flag]]="No",1,0)</f>
        <v>1</v>
      </c>
      <c r="X1602" s="4">
        <f>IF(Table1[[#This Row],[Rework_Flag]]="Yes",1,0)</f>
        <v>0</v>
      </c>
      <c r="Y1602" s="4">
        <v>1</v>
      </c>
      <c r="Z1602" s="4" t="str">
        <f>IF(Table1[[#This Row],[TAT_Days]]&gt;Table1[[#This Row],[SLA_TAT]],"Yes","No")</f>
        <v>Yes</v>
      </c>
      <c r="AA1602" s="4" t="str" cm="1">
        <f t="array" ref="AA1602">_xlfn.IFS(Table1[[#This Row],[Customer_Satisfaction]]&lt;=2,"Poor",Table1[[#This Row],[Customer_Satisfaction]]=3,"Neutral",Table1[[#This Row],[Customer_Satisfaction]]=4,"Good",Table1[[#This Row],[Customer_Satisfaction]]=5,"Good")</f>
        <v>Neutral</v>
      </c>
    </row>
    <row r="1603" spans="1:27" x14ac:dyDescent="0.35">
      <c r="A1603">
        <v>21601</v>
      </c>
      <c r="B1603" s="1">
        <v>45314</v>
      </c>
      <c r="C1603" t="s">
        <v>30</v>
      </c>
      <c r="D1603" t="s">
        <v>59</v>
      </c>
      <c r="E1603" t="s">
        <v>66</v>
      </c>
      <c r="F1603" t="s">
        <v>22</v>
      </c>
      <c r="G1603" t="s">
        <v>47</v>
      </c>
      <c r="H1603" t="s">
        <v>48</v>
      </c>
      <c r="I1603" t="s">
        <v>55</v>
      </c>
      <c r="J1603" t="s">
        <v>35</v>
      </c>
      <c r="K1603" t="s">
        <v>44</v>
      </c>
      <c r="L1603" t="s">
        <v>49</v>
      </c>
      <c r="M1603" s="4">
        <v>15</v>
      </c>
      <c r="N1603" s="4">
        <v>7</v>
      </c>
      <c r="O1603" t="s">
        <v>29</v>
      </c>
      <c r="P1603" t="s">
        <v>36</v>
      </c>
      <c r="Q1603" s="4">
        <v>433671</v>
      </c>
      <c r="R1603" s="4">
        <v>319223</v>
      </c>
      <c r="S1603" s="4">
        <f>Table1[[#This Row],[Service_Revenue]]-Table1[[#This Row],[Service_Cost]]</f>
        <v>114448</v>
      </c>
      <c r="T1603" s="4">
        <v>1</v>
      </c>
      <c r="U1603" s="4">
        <f>IF(AND(Table1[[#This Row],[Rework_Flag]]="Yes",Table1[[#This Row],[Warranty_Claim]]="No"),Table1[[#This Row],[Service_Revenue]],0)</f>
        <v>433671</v>
      </c>
      <c r="V1603" s="4">
        <f>IF(Table1[[#This Row],[Warranty_Claim]]="Yes",1,0)</f>
        <v>0</v>
      </c>
      <c r="W1603" s="4">
        <f>IF(Table1[[#This Row],[Rework_Flag]]="No",1,0)</f>
        <v>0</v>
      </c>
      <c r="X1603" s="4">
        <f>IF(Table1[[#This Row],[Rework_Flag]]="Yes",1,0)</f>
        <v>1</v>
      </c>
      <c r="Y1603" s="4">
        <v>1</v>
      </c>
      <c r="Z1603" s="4" t="str">
        <f>IF(Table1[[#This Row],[TAT_Days]]&gt;Table1[[#This Row],[SLA_TAT]],"Yes","No")</f>
        <v>Yes</v>
      </c>
      <c r="AA1603" s="4" t="str" cm="1">
        <f t="array" ref="AA1603">_xlfn.IFS(Table1[[#This Row],[Customer_Satisfaction]]&lt;=2,"Poor",Table1[[#This Row],[Customer_Satisfaction]]=3,"Neutral",Table1[[#This Row],[Customer_Satisfaction]]=4,"Good",Table1[[#This Row],[Customer_Satisfaction]]=5,"Good")</f>
        <v>Poor</v>
      </c>
    </row>
    <row r="1604" spans="1:27" x14ac:dyDescent="0.35">
      <c r="A1604">
        <v>21602</v>
      </c>
      <c r="B1604" s="1">
        <v>45392</v>
      </c>
      <c r="C1604" t="s">
        <v>37</v>
      </c>
      <c r="D1604" t="s">
        <v>38</v>
      </c>
      <c r="E1604" t="s">
        <v>102</v>
      </c>
      <c r="F1604" t="s">
        <v>40</v>
      </c>
      <c r="G1604" t="s">
        <v>33</v>
      </c>
      <c r="H1604" t="s">
        <v>34</v>
      </c>
      <c r="I1604" t="s">
        <v>55</v>
      </c>
      <c r="J1604" t="s">
        <v>67</v>
      </c>
      <c r="K1604" t="s">
        <v>27</v>
      </c>
      <c r="L1604" t="s">
        <v>49</v>
      </c>
      <c r="M1604" s="4">
        <v>14</v>
      </c>
      <c r="N1604" s="4">
        <v>7</v>
      </c>
      <c r="O1604" t="s">
        <v>29</v>
      </c>
      <c r="P1604" t="s">
        <v>29</v>
      </c>
      <c r="Q1604" s="4">
        <v>191990</v>
      </c>
      <c r="R1604" s="4">
        <v>100180</v>
      </c>
      <c r="S1604" s="4">
        <f>Table1[[#This Row],[Service_Revenue]]-Table1[[#This Row],[Service_Cost]]</f>
        <v>91810</v>
      </c>
      <c r="T1604" s="4">
        <v>2</v>
      </c>
      <c r="U1604" s="4">
        <f>IF(AND(Table1[[#This Row],[Rework_Flag]]="Yes",Table1[[#This Row],[Warranty_Claim]]="No"),Table1[[#This Row],[Service_Revenue]],0)</f>
        <v>0</v>
      </c>
      <c r="V1604" s="4">
        <f>IF(Table1[[#This Row],[Warranty_Claim]]="Yes",1,0)</f>
        <v>1</v>
      </c>
      <c r="W1604" s="4">
        <f>IF(Table1[[#This Row],[Rework_Flag]]="No",1,0)</f>
        <v>0</v>
      </c>
      <c r="X1604" s="4">
        <f>IF(Table1[[#This Row],[Rework_Flag]]="Yes",1,0)</f>
        <v>1</v>
      </c>
      <c r="Y1604" s="4">
        <v>1</v>
      </c>
      <c r="Z1604" s="4" t="str">
        <f>IF(Table1[[#This Row],[TAT_Days]]&gt;Table1[[#This Row],[SLA_TAT]],"Yes","No")</f>
        <v>Yes</v>
      </c>
      <c r="AA1604" s="4" t="str" cm="1">
        <f t="array" ref="AA1604">_xlfn.IFS(Table1[[#This Row],[Customer_Satisfaction]]&lt;=2,"Poor",Table1[[#This Row],[Customer_Satisfaction]]=3,"Neutral",Table1[[#This Row],[Customer_Satisfaction]]=4,"Good",Table1[[#This Row],[Customer_Satisfaction]]=5,"Good")</f>
        <v>Poor</v>
      </c>
    </row>
    <row r="1605" spans="1:27" x14ac:dyDescent="0.35">
      <c r="A1605">
        <v>21603</v>
      </c>
      <c r="B1605" s="1">
        <v>45472</v>
      </c>
      <c r="C1605" t="s">
        <v>19</v>
      </c>
      <c r="D1605" t="s">
        <v>20</v>
      </c>
      <c r="E1605" t="s">
        <v>21</v>
      </c>
      <c r="F1605" t="s">
        <v>53</v>
      </c>
      <c r="G1605" t="s">
        <v>74</v>
      </c>
      <c r="H1605" t="s">
        <v>34</v>
      </c>
      <c r="I1605" t="s">
        <v>25</v>
      </c>
      <c r="J1605" t="s">
        <v>26</v>
      </c>
      <c r="K1605" t="s">
        <v>61</v>
      </c>
      <c r="L1605" t="s">
        <v>28</v>
      </c>
      <c r="M1605" s="4">
        <v>19</v>
      </c>
      <c r="N1605" s="4">
        <v>7</v>
      </c>
      <c r="O1605" t="s">
        <v>29</v>
      </c>
      <c r="P1605" t="s">
        <v>36</v>
      </c>
      <c r="Q1605" s="4">
        <v>120236</v>
      </c>
      <c r="R1605" s="4">
        <v>65456</v>
      </c>
      <c r="S1605" s="4">
        <f>Table1[[#This Row],[Service_Revenue]]-Table1[[#This Row],[Service_Cost]]</f>
        <v>54780</v>
      </c>
      <c r="T1605" s="4">
        <v>1</v>
      </c>
      <c r="U1605" s="4">
        <f>IF(AND(Table1[[#This Row],[Rework_Flag]]="Yes",Table1[[#This Row],[Warranty_Claim]]="No"),Table1[[#This Row],[Service_Revenue]],0)</f>
        <v>120236</v>
      </c>
      <c r="V1605" s="4">
        <f>IF(Table1[[#This Row],[Warranty_Claim]]="Yes",1,0)</f>
        <v>0</v>
      </c>
      <c r="W1605" s="4">
        <f>IF(Table1[[#This Row],[Rework_Flag]]="No",1,0)</f>
        <v>0</v>
      </c>
      <c r="X1605" s="4">
        <f>IF(Table1[[#This Row],[Rework_Flag]]="Yes",1,0)</f>
        <v>1</v>
      </c>
      <c r="Y1605" s="4">
        <v>1</v>
      </c>
      <c r="Z1605" s="4" t="str">
        <f>IF(Table1[[#This Row],[TAT_Days]]&gt;Table1[[#This Row],[SLA_TAT]],"Yes","No")</f>
        <v>Yes</v>
      </c>
      <c r="AA1605" s="4" t="str" cm="1">
        <f t="array" ref="AA1605">_xlfn.IFS(Table1[[#This Row],[Customer_Satisfaction]]&lt;=2,"Poor",Table1[[#This Row],[Customer_Satisfaction]]=3,"Neutral",Table1[[#This Row],[Customer_Satisfaction]]=4,"Good",Table1[[#This Row],[Customer_Satisfaction]]=5,"Good")</f>
        <v>Poor</v>
      </c>
    </row>
    <row r="1606" spans="1:27" x14ac:dyDescent="0.35">
      <c r="A1606">
        <v>21604</v>
      </c>
      <c r="B1606" s="1">
        <v>45454</v>
      </c>
      <c r="C1606" t="s">
        <v>19</v>
      </c>
      <c r="D1606" t="s">
        <v>96</v>
      </c>
      <c r="E1606" t="s">
        <v>108</v>
      </c>
      <c r="F1606" t="s">
        <v>40</v>
      </c>
      <c r="G1606" t="s">
        <v>23</v>
      </c>
      <c r="H1606" t="s">
        <v>24</v>
      </c>
      <c r="I1606" t="s">
        <v>25</v>
      </c>
      <c r="J1606" t="s">
        <v>35</v>
      </c>
      <c r="K1606" t="s">
        <v>44</v>
      </c>
      <c r="L1606" t="s">
        <v>49</v>
      </c>
      <c r="M1606" s="4">
        <v>17</v>
      </c>
      <c r="N1606" s="4">
        <v>7</v>
      </c>
      <c r="O1606" t="s">
        <v>36</v>
      </c>
      <c r="P1606" t="s">
        <v>29</v>
      </c>
      <c r="Q1606" s="4">
        <v>242074</v>
      </c>
      <c r="R1606" s="4">
        <v>187202</v>
      </c>
      <c r="S1606" s="4">
        <f>Table1[[#This Row],[Service_Revenue]]-Table1[[#This Row],[Service_Cost]]</f>
        <v>54872</v>
      </c>
      <c r="T1606" s="4">
        <v>2</v>
      </c>
      <c r="U1606" s="4">
        <f>IF(AND(Table1[[#This Row],[Rework_Flag]]="Yes",Table1[[#This Row],[Warranty_Claim]]="No"),Table1[[#This Row],[Service_Revenue]],0)</f>
        <v>0</v>
      </c>
      <c r="V1606" s="4">
        <f>IF(Table1[[#This Row],[Warranty_Claim]]="Yes",1,0)</f>
        <v>1</v>
      </c>
      <c r="W1606" s="4">
        <f>IF(Table1[[#This Row],[Rework_Flag]]="No",1,0)</f>
        <v>1</v>
      </c>
      <c r="X1606" s="4">
        <f>IF(Table1[[#This Row],[Rework_Flag]]="Yes",1,0)</f>
        <v>0</v>
      </c>
      <c r="Y1606" s="4">
        <v>1</v>
      </c>
      <c r="Z1606" s="4" t="str">
        <f>IF(Table1[[#This Row],[TAT_Days]]&gt;Table1[[#This Row],[SLA_TAT]],"Yes","No")</f>
        <v>Yes</v>
      </c>
      <c r="AA1606" s="4" t="str" cm="1">
        <f t="array" ref="AA1606">_xlfn.IFS(Table1[[#This Row],[Customer_Satisfaction]]&lt;=2,"Poor",Table1[[#This Row],[Customer_Satisfaction]]=3,"Neutral",Table1[[#This Row],[Customer_Satisfaction]]=4,"Good",Table1[[#This Row],[Customer_Satisfaction]]=5,"Good")</f>
        <v>Poor</v>
      </c>
    </row>
    <row r="1607" spans="1:27" x14ac:dyDescent="0.35">
      <c r="A1607">
        <v>21605</v>
      </c>
      <c r="B1607" s="1">
        <v>45422</v>
      </c>
      <c r="C1607" t="s">
        <v>37</v>
      </c>
      <c r="D1607" t="s">
        <v>70</v>
      </c>
      <c r="E1607" t="s">
        <v>100</v>
      </c>
      <c r="F1607" t="s">
        <v>22</v>
      </c>
      <c r="G1607" t="s">
        <v>23</v>
      </c>
      <c r="H1607" t="s">
        <v>24</v>
      </c>
      <c r="I1607" t="s">
        <v>55</v>
      </c>
      <c r="J1607" t="s">
        <v>67</v>
      </c>
      <c r="K1607" t="s">
        <v>61</v>
      </c>
      <c r="L1607" t="s">
        <v>49</v>
      </c>
      <c r="M1607" s="4">
        <v>14</v>
      </c>
      <c r="N1607" s="4">
        <v>7</v>
      </c>
      <c r="O1607" t="s">
        <v>29</v>
      </c>
      <c r="P1607" t="s">
        <v>29</v>
      </c>
      <c r="Q1607" s="4">
        <v>322622</v>
      </c>
      <c r="R1607" s="4">
        <v>250906</v>
      </c>
      <c r="S1607" s="4">
        <f>Table1[[#This Row],[Service_Revenue]]-Table1[[#This Row],[Service_Cost]]</f>
        <v>71716</v>
      </c>
      <c r="T1607" s="4">
        <v>2</v>
      </c>
      <c r="U1607" s="4">
        <f>IF(AND(Table1[[#This Row],[Rework_Flag]]="Yes",Table1[[#This Row],[Warranty_Claim]]="No"),Table1[[#This Row],[Service_Revenue]],0)</f>
        <v>0</v>
      </c>
      <c r="V1607" s="4">
        <f>IF(Table1[[#This Row],[Warranty_Claim]]="Yes",1,0)</f>
        <v>1</v>
      </c>
      <c r="W1607" s="4">
        <f>IF(Table1[[#This Row],[Rework_Flag]]="No",1,0)</f>
        <v>0</v>
      </c>
      <c r="X1607" s="4">
        <f>IF(Table1[[#This Row],[Rework_Flag]]="Yes",1,0)</f>
        <v>1</v>
      </c>
      <c r="Y1607" s="4">
        <v>1</v>
      </c>
      <c r="Z1607" s="4" t="str">
        <f>IF(Table1[[#This Row],[TAT_Days]]&gt;Table1[[#This Row],[SLA_TAT]],"Yes","No")</f>
        <v>Yes</v>
      </c>
      <c r="AA1607" s="4" t="str" cm="1">
        <f t="array" ref="AA1607">_xlfn.IFS(Table1[[#This Row],[Customer_Satisfaction]]&lt;=2,"Poor",Table1[[#This Row],[Customer_Satisfaction]]=3,"Neutral",Table1[[#This Row],[Customer_Satisfaction]]=4,"Good",Table1[[#This Row],[Customer_Satisfaction]]=5,"Good")</f>
        <v>Poor</v>
      </c>
    </row>
    <row r="1608" spans="1:27" x14ac:dyDescent="0.35">
      <c r="A1608">
        <v>21606</v>
      </c>
      <c r="B1608" s="1">
        <v>45407</v>
      </c>
      <c r="C1608" t="s">
        <v>19</v>
      </c>
      <c r="D1608" t="s">
        <v>96</v>
      </c>
      <c r="E1608" t="s">
        <v>105</v>
      </c>
      <c r="F1608" t="s">
        <v>22</v>
      </c>
      <c r="G1608" t="s">
        <v>74</v>
      </c>
      <c r="H1608" t="s">
        <v>34</v>
      </c>
      <c r="I1608" t="s">
        <v>25</v>
      </c>
      <c r="J1608" t="s">
        <v>67</v>
      </c>
      <c r="K1608" t="s">
        <v>44</v>
      </c>
      <c r="L1608" t="s">
        <v>28</v>
      </c>
      <c r="M1608" s="4">
        <v>18</v>
      </c>
      <c r="N1608" s="4">
        <v>7</v>
      </c>
      <c r="O1608" t="s">
        <v>36</v>
      </c>
      <c r="P1608" t="s">
        <v>36</v>
      </c>
      <c r="Q1608" s="4">
        <v>415389</v>
      </c>
      <c r="R1608" s="4">
        <v>312501</v>
      </c>
      <c r="S1608" s="4">
        <f>Table1[[#This Row],[Service_Revenue]]-Table1[[#This Row],[Service_Cost]]</f>
        <v>102888</v>
      </c>
      <c r="T1608" s="4">
        <v>2</v>
      </c>
      <c r="U1608" s="4">
        <f>IF(AND(Table1[[#This Row],[Rework_Flag]]="Yes",Table1[[#This Row],[Warranty_Claim]]="No"),Table1[[#This Row],[Service_Revenue]],0)</f>
        <v>0</v>
      </c>
      <c r="V1608" s="4">
        <f>IF(Table1[[#This Row],[Warranty_Claim]]="Yes",1,0)</f>
        <v>0</v>
      </c>
      <c r="W1608" s="4">
        <f>IF(Table1[[#This Row],[Rework_Flag]]="No",1,0)</f>
        <v>1</v>
      </c>
      <c r="X1608" s="4">
        <f>IF(Table1[[#This Row],[Rework_Flag]]="Yes",1,0)</f>
        <v>0</v>
      </c>
      <c r="Y1608" s="4">
        <v>1</v>
      </c>
      <c r="Z1608" s="4" t="str">
        <f>IF(Table1[[#This Row],[TAT_Days]]&gt;Table1[[#This Row],[SLA_TAT]],"Yes","No")</f>
        <v>Yes</v>
      </c>
      <c r="AA1608" s="4" t="str" cm="1">
        <f t="array" ref="AA1608">_xlfn.IFS(Table1[[#This Row],[Customer_Satisfaction]]&lt;=2,"Poor",Table1[[#This Row],[Customer_Satisfaction]]=3,"Neutral",Table1[[#This Row],[Customer_Satisfaction]]=4,"Good",Table1[[#This Row],[Customer_Satisfaction]]=5,"Good")</f>
        <v>Poor</v>
      </c>
    </row>
    <row r="1609" spans="1:27" x14ac:dyDescent="0.35">
      <c r="A1609">
        <v>21607</v>
      </c>
      <c r="B1609" s="1">
        <v>45348</v>
      </c>
      <c r="C1609" t="s">
        <v>19</v>
      </c>
      <c r="D1609" t="s">
        <v>20</v>
      </c>
      <c r="E1609" t="s">
        <v>86</v>
      </c>
      <c r="F1609" t="s">
        <v>53</v>
      </c>
      <c r="G1609" t="s">
        <v>47</v>
      </c>
      <c r="H1609" t="s">
        <v>48</v>
      </c>
      <c r="I1609" t="s">
        <v>25</v>
      </c>
      <c r="J1609" t="s">
        <v>35</v>
      </c>
      <c r="K1609" t="s">
        <v>61</v>
      </c>
      <c r="L1609" t="s">
        <v>49</v>
      </c>
      <c r="M1609" s="4">
        <v>3</v>
      </c>
      <c r="N1609" s="4">
        <v>7</v>
      </c>
      <c r="O1609" t="s">
        <v>36</v>
      </c>
      <c r="P1609" t="s">
        <v>29</v>
      </c>
      <c r="Q1609" s="4">
        <v>177074</v>
      </c>
      <c r="R1609" s="4">
        <v>137548</v>
      </c>
      <c r="S1609" s="4">
        <f>Table1[[#This Row],[Service_Revenue]]-Table1[[#This Row],[Service_Cost]]</f>
        <v>39526</v>
      </c>
      <c r="T1609" s="4">
        <v>5</v>
      </c>
      <c r="U1609" s="4">
        <f>IF(AND(Table1[[#This Row],[Rework_Flag]]="Yes",Table1[[#This Row],[Warranty_Claim]]="No"),Table1[[#This Row],[Service_Revenue]],0)</f>
        <v>0</v>
      </c>
      <c r="V1609" s="4">
        <f>IF(Table1[[#This Row],[Warranty_Claim]]="Yes",1,0)</f>
        <v>1</v>
      </c>
      <c r="W1609" s="4">
        <f>IF(Table1[[#This Row],[Rework_Flag]]="No",1,0)</f>
        <v>1</v>
      </c>
      <c r="X1609" s="4">
        <f>IF(Table1[[#This Row],[Rework_Flag]]="Yes",1,0)</f>
        <v>0</v>
      </c>
      <c r="Y1609" s="4">
        <v>1</v>
      </c>
      <c r="Z1609" s="4" t="str">
        <f>IF(Table1[[#This Row],[TAT_Days]]&gt;Table1[[#This Row],[SLA_TAT]],"Yes","No")</f>
        <v>No</v>
      </c>
      <c r="AA1609" s="4" t="str" cm="1">
        <f t="array" ref="AA1609">_xlfn.IFS(Table1[[#This Row],[Customer_Satisfaction]]&lt;=2,"Poor",Table1[[#This Row],[Customer_Satisfaction]]=3,"Neutral",Table1[[#This Row],[Customer_Satisfaction]]=4,"Good",Table1[[#This Row],[Customer_Satisfaction]]=5,"Good")</f>
        <v>Good</v>
      </c>
    </row>
    <row r="1610" spans="1:27" x14ac:dyDescent="0.35">
      <c r="A1610">
        <v>21608</v>
      </c>
      <c r="B1610" s="1">
        <v>45303</v>
      </c>
      <c r="C1610" t="s">
        <v>30</v>
      </c>
      <c r="D1610" t="s">
        <v>31</v>
      </c>
      <c r="E1610" t="s">
        <v>32</v>
      </c>
      <c r="F1610" t="s">
        <v>40</v>
      </c>
      <c r="G1610" t="s">
        <v>63</v>
      </c>
      <c r="H1610" t="s">
        <v>24</v>
      </c>
      <c r="I1610" t="s">
        <v>55</v>
      </c>
      <c r="J1610" t="s">
        <v>67</v>
      </c>
      <c r="K1610" t="s">
        <v>61</v>
      </c>
      <c r="L1610" t="s">
        <v>28</v>
      </c>
      <c r="M1610" s="4">
        <v>3</v>
      </c>
      <c r="N1610" s="4">
        <v>7</v>
      </c>
      <c r="O1610" t="s">
        <v>36</v>
      </c>
      <c r="P1610" t="s">
        <v>36</v>
      </c>
      <c r="Q1610" s="4">
        <v>512781</v>
      </c>
      <c r="R1610" s="4">
        <v>275369</v>
      </c>
      <c r="S1610" s="4">
        <f>Table1[[#This Row],[Service_Revenue]]-Table1[[#This Row],[Service_Cost]]</f>
        <v>237412</v>
      </c>
      <c r="T1610" s="4">
        <v>5</v>
      </c>
      <c r="U1610" s="4">
        <f>IF(AND(Table1[[#This Row],[Rework_Flag]]="Yes",Table1[[#This Row],[Warranty_Claim]]="No"),Table1[[#This Row],[Service_Revenue]],0)</f>
        <v>0</v>
      </c>
      <c r="V1610" s="4">
        <f>IF(Table1[[#This Row],[Warranty_Claim]]="Yes",1,0)</f>
        <v>0</v>
      </c>
      <c r="W1610" s="4">
        <f>IF(Table1[[#This Row],[Rework_Flag]]="No",1,0)</f>
        <v>1</v>
      </c>
      <c r="X1610" s="4">
        <f>IF(Table1[[#This Row],[Rework_Flag]]="Yes",1,0)</f>
        <v>0</v>
      </c>
      <c r="Y1610" s="4">
        <v>1</v>
      </c>
      <c r="Z1610" s="4" t="str">
        <f>IF(Table1[[#This Row],[TAT_Days]]&gt;Table1[[#This Row],[SLA_TAT]],"Yes","No")</f>
        <v>No</v>
      </c>
      <c r="AA1610" s="4" t="str" cm="1">
        <f t="array" ref="AA1610">_xlfn.IFS(Table1[[#This Row],[Customer_Satisfaction]]&lt;=2,"Poor",Table1[[#This Row],[Customer_Satisfaction]]=3,"Neutral",Table1[[#This Row],[Customer_Satisfaction]]=4,"Good",Table1[[#This Row],[Customer_Satisfaction]]=5,"Good")</f>
        <v>Good</v>
      </c>
    </row>
    <row r="1611" spans="1:27" x14ac:dyDescent="0.35">
      <c r="A1611">
        <v>21609</v>
      </c>
      <c r="B1611" s="1">
        <v>45468</v>
      </c>
      <c r="C1611" t="s">
        <v>50</v>
      </c>
      <c r="D1611" t="s">
        <v>80</v>
      </c>
      <c r="E1611" t="s">
        <v>121</v>
      </c>
      <c r="F1611" t="s">
        <v>22</v>
      </c>
      <c r="G1611" t="s">
        <v>63</v>
      </c>
      <c r="H1611" t="s">
        <v>24</v>
      </c>
      <c r="I1611" t="s">
        <v>55</v>
      </c>
      <c r="J1611" t="s">
        <v>58</v>
      </c>
      <c r="K1611" t="s">
        <v>61</v>
      </c>
      <c r="L1611" t="s">
        <v>49</v>
      </c>
      <c r="M1611" s="4">
        <v>5</v>
      </c>
      <c r="N1611" s="4">
        <v>7</v>
      </c>
      <c r="O1611" t="s">
        <v>29</v>
      </c>
      <c r="P1611" t="s">
        <v>29</v>
      </c>
      <c r="Q1611" s="4">
        <v>190665</v>
      </c>
      <c r="R1611" s="4">
        <v>127781</v>
      </c>
      <c r="S1611" s="4">
        <f>Table1[[#This Row],[Service_Revenue]]-Table1[[#This Row],[Service_Cost]]</f>
        <v>62884</v>
      </c>
      <c r="T1611" s="4">
        <v>3</v>
      </c>
      <c r="U1611" s="4">
        <f>IF(AND(Table1[[#This Row],[Rework_Flag]]="Yes",Table1[[#This Row],[Warranty_Claim]]="No"),Table1[[#This Row],[Service_Revenue]],0)</f>
        <v>0</v>
      </c>
      <c r="V1611" s="4">
        <f>IF(Table1[[#This Row],[Warranty_Claim]]="Yes",1,0)</f>
        <v>1</v>
      </c>
      <c r="W1611" s="4">
        <f>IF(Table1[[#This Row],[Rework_Flag]]="No",1,0)</f>
        <v>0</v>
      </c>
      <c r="X1611" s="4">
        <f>IF(Table1[[#This Row],[Rework_Flag]]="Yes",1,0)</f>
        <v>1</v>
      </c>
      <c r="Y1611" s="4">
        <v>1</v>
      </c>
      <c r="Z1611" s="4" t="str">
        <f>IF(Table1[[#This Row],[TAT_Days]]&gt;Table1[[#This Row],[SLA_TAT]],"Yes","No")</f>
        <v>No</v>
      </c>
      <c r="AA1611" s="4" t="str" cm="1">
        <f t="array" ref="AA1611">_xlfn.IFS(Table1[[#This Row],[Customer_Satisfaction]]&lt;=2,"Poor",Table1[[#This Row],[Customer_Satisfaction]]=3,"Neutral",Table1[[#This Row],[Customer_Satisfaction]]=4,"Good",Table1[[#This Row],[Customer_Satisfaction]]=5,"Good")</f>
        <v>Neutral</v>
      </c>
    </row>
    <row r="1612" spans="1:27" x14ac:dyDescent="0.35">
      <c r="A1612">
        <v>21610</v>
      </c>
      <c r="B1612" s="1">
        <v>45427</v>
      </c>
      <c r="C1612" t="s">
        <v>37</v>
      </c>
      <c r="D1612" t="s">
        <v>38</v>
      </c>
      <c r="E1612" t="s">
        <v>93</v>
      </c>
      <c r="F1612" t="s">
        <v>22</v>
      </c>
      <c r="G1612" t="s">
        <v>33</v>
      </c>
      <c r="H1612" t="s">
        <v>34</v>
      </c>
      <c r="I1612" t="s">
        <v>25</v>
      </c>
      <c r="J1612" t="s">
        <v>26</v>
      </c>
      <c r="K1612" t="s">
        <v>61</v>
      </c>
      <c r="L1612" t="s">
        <v>28</v>
      </c>
      <c r="M1612" s="4">
        <v>18</v>
      </c>
      <c r="N1612" s="4">
        <v>7</v>
      </c>
      <c r="O1612" t="s">
        <v>29</v>
      </c>
      <c r="P1612" t="s">
        <v>36</v>
      </c>
      <c r="Q1612" s="4">
        <v>332670</v>
      </c>
      <c r="R1612" s="4">
        <v>257623</v>
      </c>
      <c r="S1612" s="4">
        <f>Table1[[#This Row],[Service_Revenue]]-Table1[[#This Row],[Service_Cost]]</f>
        <v>75047</v>
      </c>
      <c r="T1612" s="4">
        <v>1</v>
      </c>
      <c r="U1612" s="4">
        <f>IF(AND(Table1[[#This Row],[Rework_Flag]]="Yes",Table1[[#This Row],[Warranty_Claim]]="No"),Table1[[#This Row],[Service_Revenue]],0)</f>
        <v>332670</v>
      </c>
      <c r="V1612" s="4">
        <f>IF(Table1[[#This Row],[Warranty_Claim]]="Yes",1,0)</f>
        <v>0</v>
      </c>
      <c r="W1612" s="4">
        <f>IF(Table1[[#This Row],[Rework_Flag]]="No",1,0)</f>
        <v>0</v>
      </c>
      <c r="X1612" s="4">
        <f>IF(Table1[[#This Row],[Rework_Flag]]="Yes",1,0)</f>
        <v>1</v>
      </c>
      <c r="Y1612" s="4">
        <v>1</v>
      </c>
      <c r="Z1612" s="4" t="str">
        <f>IF(Table1[[#This Row],[TAT_Days]]&gt;Table1[[#This Row],[SLA_TAT]],"Yes","No")</f>
        <v>Yes</v>
      </c>
      <c r="AA1612" s="4" t="str" cm="1">
        <f t="array" ref="AA1612">_xlfn.IFS(Table1[[#This Row],[Customer_Satisfaction]]&lt;=2,"Poor",Table1[[#This Row],[Customer_Satisfaction]]=3,"Neutral",Table1[[#This Row],[Customer_Satisfaction]]=4,"Good",Table1[[#This Row],[Customer_Satisfaction]]=5,"Good")</f>
        <v>Poor</v>
      </c>
    </row>
    <row r="1613" spans="1:27" x14ac:dyDescent="0.35">
      <c r="A1613">
        <v>21611</v>
      </c>
      <c r="B1613" s="1">
        <v>45426</v>
      </c>
      <c r="C1613" t="s">
        <v>30</v>
      </c>
      <c r="D1613" t="s">
        <v>31</v>
      </c>
      <c r="E1613" t="s">
        <v>79</v>
      </c>
      <c r="F1613" t="s">
        <v>53</v>
      </c>
      <c r="G1613" t="s">
        <v>74</v>
      </c>
      <c r="H1613" t="s">
        <v>34</v>
      </c>
      <c r="I1613" t="s">
        <v>55</v>
      </c>
      <c r="J1613" t="s">
        <v>35</v>
      </c>
      <c r="K1613" t="s">
        <v>61</v>
      </c>
      <c r="L1613" t="s">
        <v>28</v>
      </c>
      <c r="M1613" s="4">
        <v>24</v>
      </c>
      <c r="N1613" s="4">
        <v>7</v>
      </c>
      <c r="O1613" t="s">
        <v>36</v>
      </c>
      <c r="P1613" t="s">
        <v>29</v>
      </c>
      <c r="Q1613" s="4">
        <v>486141</v>
      </c>
      <c r="R1613" s="4">
        <v>321863</v>
      </c>
      <c r="S1613" s="4">
        <f>Table1[[#This Row],[Service_Revenue]]-Table1[[#This Row],[Service_Cost]]</f>
        <v>164278</v>
      </c>
      <c r="T1613" s="4">
        <v>1</v>
      </c>
      <c r="U1613" s="4">
        <f>IF(AND(Table1[[#This Row],[Rework_Flag]]="Yes",Table1[[#This Row],[Warranty_Claim]]="No"),Table1[[#This Row],[Service_Revenue]],0)</f>
        <v>0</v>
      </c>
      <c r="V1613" s="4">
        <f>IF(Table1[[#This Row],[Warranty_Claim]]="Yes",1,0)</f>
        <v>1</v>
      </c>
      <c r="W1613" s="4">
        <f>IF(Table1[[#This Row],[Rework_Flag]]="No",1,0)</f>
        <v>1</v>
      </c>
      <c r="X1613" s="4">
        <f>IF(Table1[[#This Row],[Rework_Flag]]="Yes",1,0)</f>
        <v>0</v>
      </c>
      <c r="Y1613" s="4">
        <v>1</v>
      </c>
      <c r="Z1613" s="4" t="str">
        <f>IF(Table1[[#This Row],[TAT_Days]]&gt;Table1[[#This Row],[SLA_TAT]],"Yes","No")</f>
        <v>Yes</v>
      </c>
      <c r="AA1613" s="4" t="str" cm="1">
        <f t="array" ref="AA1613">_xlfn.IFS(Table1[[#This Row],[Customer_Satisfaction]]&lt;=2,"Poor",Table1[[#This Row],[Customer_Satisfaction]]=3,"Neutral",Table1[[#This Row],[Customer_Satisfaction]]=4,"Good",Table1[[#This Row],[Customer_Satisfaction]]=5,"Good")</f>
        <v>Poor</v>
      </c>
    </row>
    <row r="1614" spans="1:27" x14ac:dyDescent="0.35">
      <c r="A1614">
        <v>21612</v>
      </c>
      <c r="B1614" s="1">
        <v>45319</v>
      </c>
      <c r="C1614" t="s">
        <v>50</v>
      </c>
      <c r="D1614" t="s">
        <v>56</v>
      </c>
      <c r="E1614" t="s">
        <v>88</v>
      </c>
      <c r="F1614" t="s">
        <v>53</v>
      </c>
      <c r="G1614" t="s">
        <v>33</v>
      </c>
      <c r="H1614" t="s">
        <v>34</v>
      </c>
      <c r="I1614" t="s">
        <v>55</v>
      </c>
      <c r="J1614" t="s">
        <v>67</v>
      </c>
      <c r="K1614" t="s">
        <v>44</v>
      </c>
      <c r="L1614" t="s">
        <v>49</v>
      </c>
      <c r="M1614" s="4">
        <v>22</v>
      </c>
      <c r="N1614" s="4">
        <v>7</v>
      </c>
      <c r="O1614" t="s">
        <v>29</v>
      </c>
      <c r="P1614" t="s">
        <v>36</v>
      </c>
      <c r="Q1614" s="4">
        <v>332283</v>
      </c>
      <c r="R1614" s="4">
        <v>170681</v>
      </c>
      <c r="S1614" s="4">
        <f>Table1[[#This Row],[Service_Revenue]]-Table1[[#This Row],[Service_Cost]]</f>
        <v>161602</v>
      </c>
      <c r="T1614" s="4">
        <v>1</v>
      </c>
      <c r="U1614" s="4">
        <f>IF(AND(Table1[[#This Row],[Rework_Flag]]="Yes",Table1[[#This Row],[Warranty_Claim]]="No"),Table1[[#This Row],[Service_Revenue]],0)</f>
        <v>332283</v>
      </c>
      <c r="V1614" s="4">
        <f>IF(Table1[[#This Row],[Warranty_Claim]]="Yes",1,0)</f>
        <v>0</v>
      </c>
      <c r="W1614" s="4">
        <f>IF(Table1[[#This Row],[Rework_Flag]]="No",1,0)</f>
        <v>0</v>
      </c>
      <c r="X1614" s="4">
        <f>IF(Table1[[#This Row],[Rework_Flag]]="Yes",1,0)</f>
        <v>1</v>
      </c>
      <c r="Y1614" s="4">
        <v>1</v>
      </c>
      <c r="Z1614" s="4" t="str">
        <f>IF(Table1[[#This Row],[TAT_Days]]&gt;Table1[[#This Row],[SLA_TAT]],"Yes","No")</f>
        <v>Yes</v>
      </c>
      <c r="AA1614" s="4" t="str" cm="1">
        <f t="array" ref="AA1614">_xlfn.IFS(Table1[[#This Row],[Customer_Satisfaction]]&lt;=2,"Poor",Table1[[#This Row],[Customer_Satisfaction]]=3,"Neutral",Table1[[#This Row],[Customer_Satisfaction]]=4,"Good",Table1[[#This Row],[Customer_Satisfaction]]=5,"Good")</f>
        <v>Poor</v>
      </c>
    </row>
    <row r="1615" spans="1:27" x14ac:dyDescent="0.35">
      <c r="A1615">
        <v>21613</v>
      </c>
      <c r="B1615" s="1">
        <v>45438</v>
      </c>
      <c r="C1615" t="s">
        <v>30</v>
      </c>
      <c r="D1615" t="s">
        <v>59</v>
      </c>
      <c r="E1615" t="s">
        <v>94</v>
      </c>
      <c r="F1615" t="s">
        <v>40</v>
      </c>
      <c r="G1615" t="s">
        <v>74</v>
      </c>
      <c r="H1615" t="s">
        <v>34</v>
      </c>
      <c r="I1615" t="s">
        <v>25</v>
      </c>
      <c r="J1615" t="s">
        <v>43</v>
      </c>
      <c r="K1615" t="s">
        <v>44</v>
      </c>
      <c r="L1615" t="s">
        <v>28</v>
      </c>
      <c r="M1615" s="4">
        <v>11</v>
      </c>
      <c r="N1615" s="4">
        <v>7</v>
      </c>
      <c r="O1615" t="s">
        <v>29</v>
      </c>
      <c r="P1615" t="s">
        <v>36</v>
      </c>
      <c r="Q1615" s="4">
        <v>115911</v>
      </c>
      <c r="R1615" s="4">
        <v>97029</v>
      </c>
      <c r="S1615" s="4">
        <f>Table1[[#This Row],[Service_Revenue]]-Table1[[#This Row],[Service_Cost]]</f>
        <v>18882</v>
      </c>
      <c r="T1615" s="4">
        <v>2</v>
      </c>
      <c r="U1615" s="4">
        <f>IF(AND(Table1[[#This Row],[Rework_Flag]]="Yes",Table1[[#This Row],[Warranty_Claim]]="No"),Table1[[#This Row],[Service_Revenue]],0)</f>
        <v>115911</v>
      </c>
      <c r="V1615" s="4">
        <f>IF(Table1[[#This Row],[Warranty_Claim]]="Yes",1,0)</f>
        <v>0</v>
      </c>
      <c r="W1615" s="4">
        <f>IF(Table1[[#This Row],[Rework_Flag]]="No",1,0)</f>
        <v>0</v>
      </c>
      <c r="X1615" s="4">
        <f>IF(Table1[[#This Row],[Rework_Flag]]="Yes",1,0)</f>
        <v>1</v>
      </c>
      <c r="Y1615" s="4">
        <v>1</v>
      </c>
      <c r="Z1615" s="4" t="str">
        <f>IF(Table1[[#This Row],[TAT_Days]]&gt;Table1[[#This Row],[SLA_TAT]],"Yes","No")</f>
        <v>Yes</v>
      </c>
      <c r="AA1615" s="4" t="str" cm="1">
        <f t="array" ref="AA1615">_xlfn.IFS(Table1[[#This Row],[Customer_Satisfaction]]&lt;=2,"Poor",Table1[[#This Row],[Customer_Satisfaction]]=3,"Neutral",Table1[[#This Row],[Customer_Satisfaction]]=4,"Good",Table1[[#This Row],[Customer_Satisfaction]]=5,"Good")</f>
        <v>Poor</v>
      </c>
    </row>
    <row r="1616" spans="1:27" x14ac:dyDescent="0.35">
      <c r="A1616">
        <v>21614</v>
      </c>
      <c r="B1616" s="1">
        <v>45420</v>
      </c>
      <c r="C1616" t="s">
        <v>37</v>
      </c>
      <c r="D1616" t="s">
        <v>38</v>
      </c>
      <c r="E1616" t="s">
        <v>93</v>
      </c>
      <c r="F1616" t="s">
        <v>40</v>
      </c>
      <c r="G1616" t="s">
        <v>74</v>
      </c>
      <c r="H1616" t="s">
        <v>34</v>
      </c>
      <c r="I1616" t="s">
        <v>55</v>
      </c>
      <c r="J1616" t="s">
        <v>58</v>
      </c>
      <c r="K1616" t="s">
        <v>61</v>
      </c>
      <c r="L1616" t="s">
        <v>49</v>
      </c>
      <c r="M1616" s="4">
        <v>10</v>
      </c>
      <c r="N1616" s="4">
        <v>7</v>
      </c>
      <c r="O1616" t="s">
        <v>29</v>
      </c>
      <c r="P1616" t="s">
        <v>29</v>
      </c>
      <c r="Q1616" s="4">
        <v>460804</v>
      </c>
      <c r="R1616" s="4">
        <v>269090</v>
      </c>
      <c r="S1616" s="4">
        <f>Table1[[#This Row],[Service_Revenue]]-Table1[[#This Row],[Service_Cost]]</f>
        <v>191714</v>
      </c>
      <c r="T1616" s="4">
        <v>2</v>
      </c>
      <c r="U1616" s="4">
        <f>IF(AND(Table1[[#This Row],[Rework_Flag]]="Yes",Table1[[#This Row],[Warranty_Claim]]="No"),Table1[[#This Row],[Service_Revenue]],0)</f>
        <v>0</v>
      </c>
      <c r="V1616" s="4">
        <f>IF(Table1[[#This Row],[Warranty_Claim]]="Yes",1,0)</f>
        <v>1</v>
      </c>
      <c r="W1616" s="4">
        <f>IF(Table1[[#This Row],[Rework_Flag]]="No",1,0)</f>
        <v>0</v>
      </c>
      <c r="X1616" s="4">
        <f>IF(Table1[[#This Row],[Rework_Flag]]="Yes",1,0)</f>
        <v>1</v>
      </c>
      <c r="Y1616" s="4">
        <v>1</v>
      </c>
      <c r="Z1616" s="4" t="str">
        <f>IF(Table1[[#This Row],[TAT_Days]]&gt;Table1[[#This Row],[SLA_TAT]],"Yes","No")</f>
        <v>Yes</v>
      </c>
      <c r="AA1616" s="4" t="str" cm="1">
        <f t="array" ref="AA1616">_xlfn.IFS(Table1[[#This Row],[Customer_Satisfaction]]&lt;=2,"Poor",Table1[[#This Row],[Customer_Satisfaction]]=3,"Neutral",Table1[[#This Row],[Customer_Satisfaction]]=4,"Good",Table1[[#This Row],[Customer_Satisfaction]]=5,"Good")</f>
        <v>Poor</v>
      </c>
    </row>
    <row r="1617" spans="1:27" x14ac:dyDescent="0.35">
      <c r="A1617">
        <v>21615</v>
      </c>
      <c r="B1617" s="1">
        <v>45375</v>
      </c>
      <c r="C1617" t="s">
        <v>37</v>
      </c>
      <c r="D1617" t="s">
        <v>70</v>
      </c>
      <c r="E1617" t="s">
        <v>82</v>
      </c>
      <c r="F1617" t="s">
        <v>22</v>
      </c>
      <c r="G1617" t="s">
        <v>63</v>
      </c>
      <c r="H1617" t="s">
        <v>24</v>
      </c>
      <c r="I1617" t="s">
        <v>25</v>
      </c>
      <c r="J1617" t="s">
        <v>43</v>
      </c>
      <c r="K1617" t="s">
        <v>44</v>
      </c>
      <c r="L1617" t="s">
        <v>28</v>
      </c>
      <c r="M1617" s="4">
        <v>14</v>
      </c>
      <c r="N1617" s="4">
        <v>7</v>
      </c>
      <c r="O1617" t="s">
        <v>29</v>
      </c>
      <c r="P1617" t="s">
        <v>29</v>
      </c>
      <c r="Q1617" s="4">
        <v>232897</v>
      </c>
      <c r="R1617" s="4">
        <v>152868</v>
      </c>
      <c r="S1617" s="4">
        <f>Table1[[#This Row],[Service_Revenue]]-Table1[[#This Row],[Service_Cost]]</f>
        <v>80029</v>
      </c>
      <c r="T1617" s="4">
        <v>2</v>
      </c>
      <c r="U1617" s="4">
        <f>IF(AND(Table1[[#This Row],[Rework_Flag]]="Yes",Table1[[#This Row],[Warranty_Claim]]="No"),Table1[[#This Row],[Service_Revenue]],0)</f>
        <v>0</v>
      </c>
      <c r="V1617" s="4">
        <f>IF(Table1[[#This Row],[Warranty_Claim]]="Yes",1,0)</f>
        <v>1</v>
      </c>
      <c r="W1617" s="4">
        <f>IF(Table1[[#This Row],[Rework_Flag]]="No",1,0)</f>
        <v>0</v>
      </c>
      <c r="X1617" s="4">
        <f>IF(Table1[[#This Row],[Rework_Flag]]="Yes",1,0)</f>
        <v>1</v>
      </c>
      <c r="Y1617" s="4">
        <v>1</v>
      </c>
      <c r="Z1617" s="4" t="str">
        <f>IF(Table1[[#This Row],[TAT_Days]]&gt;Table1[[#This Row],[SLA_TAT]],"Yes","No")</f>
        <v>Yes</v>
      </c>
      <c r="AA1617" s="4" t="str" cm="1">
        <f t="array" ref="AA1617">_xlfn.IFS(Table1[[#This Row],[Customer_Satisfaction]]&lt;=2,"Poor",Table1[[#This Row],[Customer_Satisfaction]]=3,"Neutral",Table1[[#This Row],[Customer_Satisfaction]]=4,"Good",Table1[[#This Row],[Customer_Satisfaction]]=5,"Good")</f>
        <v>Poor</v>
      </c>
    </row>
    <row r="1618" spans="1:27" x14ac:dyDescent="0.35">
      <c r="A1618">
        <v>21616</v>
      </c>
      <c r="B1618" s="1">
        <v>45309</v>
      </c>
      <c r="C1618" t="s">
        <v>50</v>
      </c>
      <c r="D1618" t="s">
        <v>51</v>
      </c>
      <c r="E1618" t="s">
        <v>75</v>
      </c>
      <c r="F1618" t="s">
        <v>53</v>
      </c>
      <c r="G1618" t="s">
        <v>63</v>
      </c>
      <c r="H1618" t="s">
        <v>24</v>
      </c>
      <c r="I1618" t="s">
        <v>25</v>
      </c>
      <c r="J1618" t="s">
        <v>26</v>
      </c>
      <c r="K1618" t="s">
        <v>27</v>
      </c>
      <c r="L1618" t="s">
        <v>49</v>
      </c>
      <c r="M1618" s="4">
        <v>9</v>
      </c>
      <c r="N1618" s="4">
        <v>7</v>
      </c>
      <c r="O1618" t="s">
        <v>36</v>
      </c>
      <c r="P1618" t="s">
        <v>29</v>
      </c>
      <c r="Q1618" s="4">
        <v>397210</v>
      </c>
      <c r="R1618" s="4">
        <v>212501</v>
      </c>
      <c r="S1618" s="4">
        <f>Table1[[#This Row],[Service_Revenue]]-Table1[[#This Row],[Service_Cost]]</f>
        <v>184709</v>
      </c>
      <c r="T1618" s="4">
        <v>4</v>
      </c>
      <c r="U1618" s="4">
        <f>IF(AND(Table1[[#This Row],[Rework_Flag]]="Yes",Table1[[#This Row],[Warranty_Claim]]="No"),Table1[[#This Row],[Service_Revenue]],0)</f>
        <v>0</v>
      </c>
      <c r="V1618" s="4">
        <f>IF(Table1[[#This Row],[Warranty_Claim]]="Yes",1,0)</f>
        <v>1</v>
      </c>
      <c r="W1618" s="4">
        <f>IF(Table1[[#This Row],[Rework_Flag]]="No",1,0)</f>
        <v>1</v>
      </c>
      <c r="X1618" s="4">
        <f>IF(Table1[[#This Row],[Rework_Flag]]="Yes",1,0)</f>
        <v>0</v>
      </c>
      <c r="Y1618" s="4">
        <v>1</v>
      </c>
      <c r="Z1618" s="4" t="str">
        <f>IF(Table1[[#This Row],[TAT_Days]]&gt;Table1[[#This Row],[SLA_TAT]],"Yes","No")</f>
        <v>Yes</v>
      </c>
      <c r="AA1618" s="4" t="str" cm="1">
        <f t="array" ref="AA1618">_xlfn.IFS(Table1[[#This Row],[Customer_Satisfaction]]&lt;=2,"Poor",Table1[[#This Row],[Customer_Satisfaction]]=3,"Neutral",Table1[[#This Row],[Customer_Satisfaction]]=4,"Good",Table1[[#This Row],[Customer_Satisfaction]]=5,"Good")</f>
        <v>Good</v>
      </c>
    </row>
    <row r="1619" spans="1:27" x14ac:dyDescent="0.35">
      <c r="A1619">
        <v>21617</v>
      </c>
      <c r="B1619" s="1">
        <v>45362</v>
      </c>
      <c r="C1619" t="s">
        <v>30</v>
      </c>
      <c r="D1619" t="s">
        <v>83</v>
      </c>
      <c r="E1619" t="s">
        <v>95</v>
      </c>
      <c r="F1619" t="s">
        <v>22</v>
      </c>
      <c r="G1619" t="s">
        <v>74</v>
      </c>
      <c r="H1619" t="s">
        <v>34</v>
      </c>
      <c r="I1619" t="s">
        <v>55</v>
      </c>
      <c r="J1619" t="s">
        <v>35</v>
      </c>
      <c r="K1619" t="s">
        <v>44</v>
      </c>
      <c r="L1619" t="s">
        <v>28</v>
      </c>
      <c r="M1619" s="4">
        <v>9</v>
      </c>
      <c r="N1619" s="4">
        <v>7</v>
      </c>
      <c r="O1619" t="s">
        <v>36</v>
      </c>
      <c r="P1619" t="s">
        <v>36</v>
      </c>
      <c r="Q1619" s="4">
        <v>454609</v>
      </c>
      <c r="R1619" s="4">
        <v>342602</v>
      </c>
      <c r="S1619" s="4">
        <f>Table1[[#This Row],[Service_Revenue]]-Table1[[#This Row],[Service_Cost]]</f>
        <v>112007</v>
      </c>
      <c r="T1619" s="4">
        <v>4</v>
      </c>
      <c r="U1619" s="4">
        <f>IF(AND(Table1[[#This Row],[Rework_Flag]]="Yes",Table1[[#This Row],[Warranty_Claim]]="No"),Table1[[#This Row],[Service_Revenue]],0)</f>
        <v>0</v>
      </c>
      <c r="V1619" s="4">
        <f>IF(Table1[[#This Row],[Warranty_Claim]]="Yes",1,0)</f>
        <v>0</v>
      </c>
      <c r="W1619" s="4">
        <f>IF(Table1[[#This Row],[Rework_Flag]]="No",1,0)</f>
        <v>1</v>
      </c>
      <c r="X1619" s="4">
        <f>IF(Table1[[#This Row],[Rework_Flag]]="Yes",1,0)</f>
        <v>0</v>
      </c>
      <c r="Y1619" s="4">
        <v>1</v>
      </c>
      <c r="Z1619" s="4" t="str">
        <f>IF(Table1[[#This Row],[TAT_Days]]&gt;Table1[[#This Row],[SLA_TAT]],"Yes","No")</f>
        <v>Yes</v>
      </c>
      <c r="AA1619" s="4" t="str" cm="1">
        <f t="array" ref="AA1619">_xlfn.IFS(Table1[[#This Row],[Customer_Satisfaction]]&lt;=2,"Poor",Table1[[#This Row],[Customer_Satisfaction]]=3,"Neutral",Table1[[#This Row],[Customer_Satisfaction]]=4,"Good",Table1[[#This Row],[Customer_Satisfaction]]=5,"Good")</f>
        <v>Good</v>
      </c>
    </row>
    <row r="1620" spans="1:27" x14ac:dyDescent="0.35">
      <c r="A1620">
        <v>21618</v>
      </c>
      <c r="B1620" s="1">
        <v>45377</v>
      </c>
      <c r="C1620" t="s">
        <v>50</v>
      </c>
      <c r="D1620" t="s">
        <v>80</v>
      </c>
      <c r="E1620" t="s">
        <v>118</v>
      </c>
      <c r="F1620" t="s">
        <v>53</v>
      </c>
      <c r="G1620" t="s">
        <v>23</v>
      </c>
      <c r="H1620" t="s">
        <v>24</v>
      </c>
      <c r="I1620" t="s">
        <v>25</v>
      </c>
      <c r="J1620" t="s">
        <v>58</v>
      </c>
      <c r="K1620" t="s">
        <v>61</v>
      </c>
      <c r="L1620" t="s">
        <v>28</v>
      </c>
      <c r="M1620" s="4">
        <v>12</v>
      </c>
      <c r="N1620" s="4">
        <v>7</v>
      </c>
      <c r="O1620" t="s">
        <v>29</v>
      </c>
      <c r="P1620" t="s">
        <v>36</v>
      </c>
      <c r="Q1620" s="4">
        <v>216529</v>
      </c>
      <c r="R1620" s="4">
        <v>144580</v>
      </c>
      <c r="S1620" s="4">
        <f>Table1[[#This Row],[Service_Revenue]]-Table1[[#This Row],[Service_Cost]]</f>
        <v>71949</v>
      </c>
      <c r="T1620" s="4">
        <v>2</v>
      </c>
      <c r="U1620" s="4">
        <f>IF(AND(Table1[[#This Row],[Rework_Flag]]="Yes",Table1[[#This Row],[Warranty_Claim]]="No"),Table1[[#This Row],[Service_Revenue]],0)</f>
        <v>216529</v>
      </c>
      <c r="V1620" s="4">
        <f>IF(Table1[[#This Row],[Warranty_Claim]]="Yes",1,0)</f>
        <v>0</v>
      </c>
      <c r="W1620" s="4">
        <f>IF(Table1[[#This Row],[Rework_Flag]]="No",1,0)</f>
        <v>0</v>
      </c>
      <c r="X1620" s="4">
        <f>IF(Table1[[#This Row],[Rework_Flag]]="Yes",1,0)</f>
        <v>1</v>
      </c>
      <c r="Y1620" s="4">
        <v>1</v>
      </c>
      <c r="Z1620" s="4" t="str">
        <f>IF(Table1[[#This Row],[TAT_Days]]&gt;Table1[[#This Row],[SLA_TAT]],"Yes","No")</f>
        <v>Yes</v>
      </c>
      <c r="AA1620" s="4" t="str" cm="1">
        <f t="array" ref="AA1620">_xlfn.IFS(Table1[[#This Row],[Customer_Satisfaction]]&lt;=2,"Poor",Table1[[#This Row],[Customer_Satisfaction]]=3,"Neutral",Table1[[#This Row],[Customer_Satisfaction]]=4,"Good",Table1[[#This Row],[Customer_Satisfaction]]=5,"Good")</f>
        <v>Poor</v>
      </c>
    </row>
    <row r="1621" spans="1:27" x14ac:dyDescent="0.35">
      <c r="A1621">
        <v>21619</v>
      </c>
      <c r="B1621" s="1">
        <v>45359</v>
      </c>
      <c r="C1621" t="s">
        <v>50</v>
      </c>
      <c r="D1621" t="s">
        <v>80</v>
      </c>
      <c r="E1621" t="s">
        <v>85</v>
      </c>
      <c r="F1621" t="s">
        <v>40</v>
      </c>
      <c r="G1621" t="s">
        <v>23</v>
      </c>
      <c r="H1621" t="s">
        <v>24</v>
      </c>
      <c r="I1621" t="s">
        <v>55</v>
      </c>
      <c r="J1621" t="s">
        <v>26</v>
      </c>
      <c r="K1621" t="s">
        <v>27</v>
      </c>
      <c r="L1621" t="s">
        <v>28</v>
      </c>
      <c r="M1621" s="4">
        <v>24</v>
      </c>
      <c r="N1621" s="4">
        <v>7</v>
      </c>
      <c r="O1621" t="s">
        <v>29</v>
      </c>
      <c r="P1621" t="s">
        <v>29</v>
      </c>
      <c r="Q1621" s="4">
        <v>556178</v>
      </c>
      <c r="R1621" s="4">
        <v>375497</v>
      </c>
      <c r="S1621" s="4">
        <f>Table1[[#This Row],[Service_Revenue]]-Table1[[#This Row],[Service_Cost]]</f>
        <v>180681</v>
      </c>
      <c r="T1621" s="4">
        <v>1</v>
      </c>
      <c r="U1621" s="4">
        <f>IF(AND(Table1[[#This Row],[Rework_Flag]]="Yes",Table1[[#This Row],[Warranty_Claim]]="No"),Table1[[#This Row],[Service_Revenue]],0)</f>
        <v>0</v>
      </c>
      <c r="V1621" s="4">
        <f>IF(Table1[[#This Row],[Warranty_Claim]]="Yes",1,0)</f>
        <v>1</v>
      </c>
      <c r="W1621" s="4">
        <f>IF(Table1[[#This Row],[Rework_Flag]]="No",1,0)</f>
        <v>0</v>
      </c>
      <c r="X1621" s="4">
        <f>IF(Table1[[#This Row],[Rework_Flag]]="Yes",1,0)</f>
        <v>1</v>
      </c>
      <c r="Y1621" s="4">
        <v>1</v>
      </c>
      <c r="Z1621" s="4" t="str">
        <f>IF(Table1[[#This Row],[TAT_Days]]&gt;Table1[[#This Row],[SLA_TAT]],"Yes","No")</f>
        <v>Yes</v>
      </c>
      <c r="AA1621" s="4" t="str" cm="1">
        <f t="array" ref="AA1621">_xlfn.IFS(Table1[[#This Row],[Customer_Satisfaction]]&lt;=2,"Poor",Table1[[#This Row],[Customer_Satisfaction]]=3,"Neutral",Table1[[#This Row],[Customer_Satisfaction]]=4,"Good",Table1[[#This Row],[Customer_Satisfaction]]=5,"Good")</f>
        <v>Poor</v>
      </c>
    </row>
    <row r="1622" spans="1:27" x14ac:dyDescent="0.35">
      <c r="A1622">
        <v>21620</v>
      </c>
      <c r="B1622" s="1">
        <v>45358</v>
      </c>
      <c r="C1622" t="s">
        <v>37</v>
      </c>
      <c r="D1622" t="s">
        <v>70</v>
      </c>
      <c r="E1622" t="s">
        <v>91</v>
      </c>
      <c r="F1622" t="s">
        <v>40</v>
      </c>
      <c r="G1622" t="s">
        <v>47</v>
      </c>
      <c r="H1622" t="s">
        <v>48</v>
      </c>
      <c r="I1622" t="s">
        <v>55</v>
      </c>
      <c r="J1622" t="s">
        <v>43</v>
      </c>
      <c r="K1622" t="s">
        <v>27</v>
      </c>
      <c r="L1622" t="s">
        <v>49</v>
      </c>
      <c r="M1622" s="4">
        <v>11</v>
      </c>
      <c r="N1622" s="4">
        <v>7</v>
      </c>
      <c r="O1622" t="s">
        <v>29</v>
      </c>
      <c r="P1622" t="s">
        <v>36</v>
      </c>
      <c r="Q1622" s="4">
        <v>427519</v>
      </c>
      <c r="R1622" s="4">
        <v>224360</v>
      </c>
      <c r="S1622" s="4">
        <f>Table1[[#This Row],[Service_Revenue]]-Table1[[#This Row],[Service_Cost]]</f>
        <v>203159</v>
      </c>
      <c r="T1622" s="4">
        <v>2</v>
      </c>
      <c r="U1622" s="4">
        <f>IF(AND(Table1[[#This Row],[Rework_Flag]]="Yes",Table1[[#This Row],[Warranty_Claim]]="No"),Table1[[#This Row],[Service_Revenue]],0)</f>
        <v>427519</v>
      </c>
      <c r="V1622" s="4">
        <f>IF(Table1[[#This Row],[Warranty_Claim]]="Yes",1,0)</f>
        <v>0</v>
      </c>
      <c r="W1622" s="4">
        <f>IF(Table1[[#This Row],[Rework_Flag]]="No",1,0)</f>
        <v>0</v>
      </c>
      <c r="X1622" s="4">
        <f>IF(Table1[[#This Row],[Rework_Flag]]="Yes",1,0)</f>
        <v>1</v>
      </c>
      <c r="Y1622" s="4">
        <v>1</v>
      </c>
      <c r="Z1622" s="4" t="str">
        <f>IF(Table1[[#This Row],[TAT_Days]]&gt;Table1[[#This Row],[SLA_TAT]],"Yes","No")</f>
        <v>Yes</v>
      </c>
      <c r="AA1622" s="4" t="str" cm="1">
        <f t="array" ref="AA1622">_xlfn.IFS(Table1[[#This Row],[Customer_Satisfaction]]&lt;=2,"Poor",Table1[[#This Row],[Customer_Satisfaction]]=3,"Neutral",Table1[[#This Row],[Customer_Satisfaction]]=4,"Good",Table1[[#This Row],[Customer_Satisfaction]]=5,"Good")</f>
        <v>Poor</v>
      </c>
    </row>
    <row r="1623" spans="1:27" x14ac:dyDescent="0.35">
      <c r="A1623">
        <v>21621</v>
      </c>
      <c r="B1623" s="1">
        <v>45347</v>
      </c>
      <c r="C1623" t="s">
        <v>30</v>
      </c>
      <c r="D1623" t="s">
        <v>83</v>
      </c>
      <c r="E1623" t="s">
        <v>90</v>
      </c>
      <c r="F1623" t="s">
        <v>40</v>
      </c>
      <c r="G1623" t="s">
        <v>23</v>
      </c>
      <c r="H1623" t="s">
        <v>24</v>
      </c>
      <c r="I1623" t="s">
        <v>55</v>
      </c>
      <c r="J1623" t="s">
        <v>43</v>
      </c>
      <c r="K1623" t="s">
        <v>61</v>
      </c>
      <c r="L1623" t="s">
        <v>28</v>
      </c>
      <c r="M1623" s="4">
        <v>21</v>
      </c>
      <c r="N1623" s="4">
        <v>7</v>
      </c>
      <c r="O1623" t="s">
        <v>36</v>
      </c>
      <c r="P1623" t="s">
        <v>36</v>
      </c>
      <c r="Q1623" s="4">
        <v>189185</v>
      </c>
      <c r="R1623" s="4">
        <v>160634</v>
      </c>
      <c r="S1623" s="4">
        <f>Table1[[#This Row],[Service_Revenue]]-Table1[[#This Row],[Service_Cost]]</f>
        <v>28551</v>
      </c>
      <c r="T1623" s="4">
        <v>1</v>
      </c>
      <c r="U1623" s="4">
        <f>IF(AND(Table1[[#This Row],[Rework_Flag]]="Yes",Table1[[#This Row],[Warranty_Claim]]="No"),Table1[[#This Row],[Service_Revenue]],0)</f>
        <v>0</v>
      </c>
      <c r="V1623" s="4">
        <f>IF(Table1[[#This Row],[Warranty_Claim]]="Yes",1,0)</f>
        <v>0</v>
      </c>
      <c r="W1623" s="4">
        <f>IF(Table1[[#This Row],[Rework_Flag]]="No",1,0)</f>
        <v>1</v>
      </c>
      <c r="X1623" s="4">
        <f>IF(Table1[[#This Row],[Rework_Flag]]="Yes",1,0)</f>
        <v>0</v>
      </c>
      <c r="Y1623" s="4">
        <v>1</v>
      </c>
      <c r="Z1623" s="4" t="str">
        <f>IF(Table1[[#This Row],[TAT_Days]]&gt;Table1[[#This Row],[SLA_TAT]],"Yes","No")</f>
        <v>Yes</v>
      </c>
      <c r="AA1623" s="4" t="str" cm="1">
        <f t="array" ref="AA1623">_xlfn.IFS(Table1[[#This Row],[Customer_Satisfaction]]&lt;=2,"Poor",Table1[[#This Row],[Customer_Satisfaction]]=3,"Neutral",Table1[[#This Row],[Customer_Satisfaction]]=4,"Good",Table1[[#This Row],[Customer_Satisfaction]]=5,"Good")</f>
        <v>Poor</v>
      </c>
    </row>
    <row r="1624" spans="1:27" x14ac:dyDescent="0.35">
      <c r="A1624">
        <v>21622</v>
      </c>
      <c r="B1624" s="1">
        <v>45380</v>
      </c>
      <c r="C1624" t="s">
        <v>50</v>
      </c>
      <c r="D1624" t="s">
        <v>80</v>
      </c>
      <c r="E1624" t="s">
        <v>104</v>
      </c>
      <c r="F1624" t="s">
        <v>40</v>
      </c>
      <c r="G1624" t="s">
        <v>63</v>
      </c>
      <c r="H1624" t="s">
        <v>24</v>
      </c>
      <c r="I1624" t="s">
        <v>55</v>
      </c>
      <c r="J1624" t="s">
        <v>58</v>
      </c>
      <c r="K1624" t="s">
        <v>61</v>
      </c>
      <c r="L1624" t="s">
        <v>28</v>
      </c>
      <c r="M1624" s="4">
        <v>15</v>
      </c>
      <c r="N1624" s="4">
        <v>7</v>
      </c>
      <c r="O1624" t="s">
        <v>29</v>
      </c>
      <c r="P1624" t="s">
        <v>29</v>
      </c>
      <c r="Q1624" s="4">
        <v>559678</v>
      </c>
      <c r="R1624" s="4">
        <v>374995</v>
      </c>
      <c r="S1624" s="4">
        <f>Table1[[#This Row],[Service_Revenue]]-Table1[[#This Row],[Service_Cost]]</f>
        <v>184683</v>
      </c>
      <c r="T1624" s="4">
        <v>1</v>
      </c>
      <c r="U1624" s="4">
        <f>IF(AND(Table1[[#This Row],[Rework_Flag]]="Yes",Table1[[#This Row],[Warranty_Claim]]="No"),Table1[[#This Row],[Service_Revenue]],0)</f>
        <v>0</v>
      </c>
      <c r="V1624" s="4">
        <f>IF(Table1[[#This Row],[Warranty_Claim]]="Yes",1,0)</f>
        <v>1</v>
      </c>
      <c r="W1624" s="4">
        <f>IF(Table1[[#This Row],[Rework_Flag]]="No",1,0)</f>
        <v>0</v>
      </c>
      <c r="X1624" s="4">
        <f>IF(Table1[[#This Row],[Rework_Flag]]="Yes",1,0)</f>
        <v>1</v>
      </c>
      <c r="Y1624" s="4">
        <v>1</v>
      </c>
      <c r="Z1624" s="4" t="str">
        <f>IF(Table1[[#This Row],[TAT_Days]]&gt;Table1[[#This Row],[SLA_TAT]],"Yes","No")</f>
        <v>Yes</v>
      </c>
      <c r="AA1624" s="4" t="str" cm="1">
        <f t="array" ref="AA1624">_xlfn.IFS(Table1[[#This Row],[Customer_Satisfaction]]&lt;=2,"Poor",Table1[[#This Row],[Customer_Satisfaction]]=3,"Neutral",Table1[[#This Row],[Customer_Satisfaction]]=4,"Good",Table1[[#This Row],[Customer_Satisfaction]]=5,"Good")</f>
        <v>Poor</v>
      </c>
    </row>
    <row r="1625" spans="1:27" x14ac:dyDescent="0.35">
      <c r="A1625">
        <v>21623</v>
      </c>
      <c r="B1625" s="1">
        <v>45393</v>
      </c>
      <c r="C1625" t="s">
        <v>30</v>
      </c>
      <c r="D1625" t="s">
        <v>31</v>
      </c>
      <c r="E1625" t="s">
        <v>106</v>
      </c>
      <c r="F1625" t="s">
        <v>22</v>
      </c>
      <c r="G1625" t="s">
        <v>54</v>
      </c>
      <c r="H1625" t="s">
        <v>42</v>
      </c>
      <c r="I1625" t="s">
        <v>25</v>
      </c>
      <c r="J1625" t="s">
        <v>58</v>
      </c>
      <c r="K1625" t="s">
        <v>27</v>
      </c>
      <c r="L1625" t="s">
        <v>28</v>
      </c>
      <c r="M1625" s="4">
        <v>17</v>
      </c>
      <c r="N1625" s="4">
        <v>7</v>
      </c>
      <c r="O1625" t="s">
        <v>29</v>
      </c>
      <c r="P1625" t="s">
        <v>36</v>
      </c>
      <c r="Q1625" s="4">
        <v>361746</v>
      </c>
      <c r="R1625" s="4">
        <v>298430</v>
      </c>
      <c r="S1625" s="4">
        <f>Table1[[#This Row],[Service_Revenue]]-Table1[[#This Row],[Service_Cost]]</f>
        <v>63316</v>
      </c>
      <c r="T1625" s="4">
        <v>1</v>
      </c>
      <c r="U1625" s="4">
        <f>IF(AND(Table1[[#This Row],[Rework_Flag]]="Yes",Table1[[#This Row],[Warranty_Claim]]="No"),Table1[[#This Row],[Service_Revenue]],0)</f>
        <v>361746</v>
      </c>
      <c r="V1625" s="4">
        <f>IF(Table1[[#This Row],[Warranty_Claim]]="Yes",1,0)</f>
        <v>0</v>
      </c>
      <c r="W1625" s="4">
        <f>IF(Table1[[#This Row],[Rework_Flag]]="No",1,0)</f>
        <v>0</v>
      </c>
      <c r="X1625" s="4">
        <f>IF(Table1[[#This Row],[Rework_Flag]]="Yes",1,0)</f>
        <v>1</v>
      </c>
      <c r="Y1625" s="4">
        <v>1</v>
      </c>
      <c r="Z1625" s="4" t="str">
        <f>IF(Table1[[#This Row],[TAT_Days]]&gt;Table1[[#This Row],[SLA_TAT]],"Yes","No")</f>
        <v>Yes</v>
      </c>
      <c r="AA1625" s="4" t="str" cm="1">
        <f t="array" ref="AA1625">_xlfn.IFS(Table1[[#This Row],[Customer_Satisfaction]]&lt;=2,"Poor",Table1[[#This Row],[Customer_Satisfaction]]=3,"Neutral",Table1[[#This Row],[Customer_Satisfaction]]=4,"Good",Table1[[#This Row],[Customer_Satisfaction]]=5,"Good")</f>
        <v>Poor</v>
      </c>
    </row>
    <row r="1626" spans="1:27" x14ac:dyDescent="0.35">
      <c r="A1626">
        <v>21624</v>
      </c>
      <c r="B1626" s="1">
        <v>45318</v>
      </c>
      <c r="C1626" t="s">
        <v>50</v>
      </c>
      <c r="D1626" t="s">
        <v>51</v>
      </c>
      <c r="E1626" t="s">
        <v>52</v>
      </c>
      <c r="F1626" t="s">
        <v>53</v>
      </c>
      <c r="G1626" t="s">
        <v>33</v>
      </c>
      <c r="H1626" t="s">
        <v>34</v>
      </c>
      <c r="I1626" t="s">
        <v>25</v>
      </c>
      <c r="J1626" t="s">
        <v>35</v>
      </c>
      <c r="K1626" t="s">
        <v>27</v>
      </c>
      <c r="L1626" t="s">
        <v>49</v>
      </c>
      <c r="M1626" s="4">
        <v>24</v>
      </c>
      <c r="N1626" s="4">
        <v>7</v>
      </c>
      <c r="O1626" t="s">
        <v>29</v>
      </c>
      <c r="P1626" t="s">
        <v>29</v>
      </c>
      <c r="Q1626" s="4">
        <v>125363</v>
      </c>
      <c r="R1626" s="4">
        <v>73887</v>
      </c>
      <c r="S1626" s="4">
        <f>Table1[[#This Row],[Service_Revenue]]-Table1[[#This Row],[Service_Cost]]</f>
        <v>51476</v>
      </c>
      <c r="T1626" s="4">
        <v>1</v>
      </c>
      <c r="U1626" s="4">
        <f>IF(AND(Table1[[#This Row],[Rework_Flag]]="Yes",Table1[[#This Row],[Warranty_Claim]]="No"),Table1[[#This Row],[Service_Revenue]],0)</f>
        <v>0</v>
      </c>
      <c r="V1626" s="4">
        <f>IF(Table1[[#This Row],[Warranty_Claim]]="Yes",1,0)</f>
        <v>1</v>
      </c>
      <c r="W1626" s="4">
        <f>IF(Table1[[#This Row],[Rework_Flag]]="No",1,0)</f>
        <v>0</v>
      </c>
      <c r="X1626" s="4">
        <f>IF(Table1[[#This Row],[Rework_Flag]]="Yes",1,0)</f>
        <v>1</v>
      </c>
      <c r="Y1626" s="4">
        <v>1</v>
      </c>
      <c r="Z1626" s="4" t="str">
        <f>IF(Table1[[#This Row],[TAT_Days]]&gt;Table1[[#This Row],[SLA_TAT]],"Yes","No")</f>
        <v>Yes</v>
      </c>
      <c r="AA1626" s="4" t="str" cm="1">
        <f t="array" ref="AA1626">_xlfn.IFS(Table1[[#This Row],[Customer_Satisfaction]]&lt;=2,"Poor",Table1[[#This Row],[Customer_Satisfaction]]=3,"Neutral",Table1[[#This Row],[Customer_Satisfaction]]=4,"Good",Table1[[#This Row],[Customer_Satisfaction]]=5,"Good")</f>
        <v>Poor</v>
      </c>
    </row>
    <row r="1627" spans="1:27" x14ac:dyDescent="0.35">
      <c r="A1627">
        <v>21625</v>
      </c>
      <c r="B1627" s="1">
        <v>45439</v>
      </c>
      <c r="C1627" t="s">
        <v>19</v>
      </c>
      <c r="D1627" t="s">
        <v>20</v>
      </c>
      <c r="E1627" t="s">
        <v>89</v>
      </c>
      <c r="F1627" t="s">
        <v>22</v>
      </c>
      <c r="G1627" t="s">
        <v>63</v>
      </c>
      <c r="H1627" t="s">
        <v>24</v>
      </c>
      <c r="I1627" t="s">
        <v>25</v>
      </c>
      <c r="J1627" t="s">
        <v>67</v>
      </c>
      <c r="K1627" t="s">
        <v>44</v>
      </c>
      <c r="L1627" t="s">
        <v>49</v>
      </c>
      <c r="M1627" s="4">
        <v>17</v>
      </c>
      <c r="N1627" s="4">
        <v>7</v>
      </c>
      <c r="O1627" t="s">
        <v>29</v>
      </c>
      <c r="P1627" t="s">
        <v>36</v>
      </c>
      <c r="Q1627" s="4">
        <v>188303</v>
      </c>
      <c r="R1627" s="4">
        <v>154804</v>
      </c>
      <c r="S1627" s="4">
        <f>Table1[[#This Row],[Service_Revenue]]-Table1[[#This Row],[Service_Cost]]</f>
        <v>33499</v>
      </c>
      <c r="T1627" s="4">
        <v>1</v>
      </c>
      <c r="U1627" s="4">
        <f>IF(AND(Table1[[#This Row],[Rework_Flag]]="Yes",Table1[[#This Row],[Warranty_Claim]]="No"),Table1[[#This Row],[Service_Revenue]],0)</f>
        <v>188303</v>
      </c>
      <c r="V1627" s="4">
        <f>IF(Table1[[#This Row],[Warranty_Claim]]="Yes",1,0)</f>
        <v>0</v>
      </c>
      <c r="W1627" s="4">
        <f>IF(Table1[[#This Row],[Rework_Flag]]="No",1,0)</f>
        <v>0</v>
      </c>
      <c r="X1627" s="4">
        <f>IF(Table1[[#This Row],[Rework_Flag]]="Yes",1,0)</f>
        <v>1</v>
      </c>
      <c r="Y1627" s="4">
        <v>1</v>
      </c>
      <c r="Z1627" s="4" t="str">
        <f>IF(Table1[[#This Row],[TAT_Days]]&gt;Table1[[#This Row],[SLA_TAT]],"Yes","No")</f>
        <v>Yes</v>
      </c>
      <c r="AA1627" s="4" t="str" cm="1">
        <f t="array" ref="AA1627">_xlfn.IFS(Table1[[#This Row],[Customer_Satisfaction]]&lt;=2,"Poor",Table1[[#This Row],[Customer_Satisfaction]]=3,"Neutral",Table1[[#This Row],[Customer_Satisfaction]]=4,"Good",Table1[[#This Row],[Customer_Satisfaction]]=5,"Good")</f>
        <v>Poor</v>
      </c>
    </row>
    <row r="1628" spans="1:27" x14ac:dyDescent="0.35">
      <c r="A1628">
        <v>21626</v>
      </c>
      <c r="B1628" s="1">
        <v>45445</v>
      </c>
      <c r="C1628" t="s">
        <v>30</v>
      </c>
      <c r="D1628" t="s">
        <v>59</v>
      </c>
      <c r="E1628" t="s">
        <v>60</v>
      </c>
      <c r="F1628" t="s">
        <v>40</v>
      </c>
      <c r="G1628" t="s">
        <v>54</v>
      </c>
      <c r="H1628" t="s">
        <v>42</v>
      </c>
      <c r="I1628" t="s">
        <v>25</v>
      </c>
      <c r="J1628" t="s">
        <v>43</v>
      </c>
      <c r="K1628" t="s">
        <v>44</v>
      </c>
      <c r="L1628" t="s">
        <v>28</v>
      </c>
      <c r="M1628" s="4">
        <v>18</v>
      </c>
      <c r="N1628" s="4">
        <v>7</v>
      </c>
      <c r="O1628" t="s">
        <v>29</v>
      </c>
      <c r="P1628" t="s">
        <v>29</v>
      </c>
      <c r="Q1628" s="4">
        <v>166230</v>
      </c>
      <c r="R1628" s="4">
        <v>118066</v>
      </c>
      <c r="S1628" s="4">
        <f>Table1[[#This Row],[Service_Revenue]]-Table1[[#This Row],[Service_Cost]]</f>
        <v>48164</v>
      </c>
      <c r="T1628" s="4">
        <v>1</v>
      </c>
      <c r="U1628" s="4">
        <f>IF(AND(Table1[[#This Row],[Rework_Flag]]="Yes",Table1[[#This Row],[Warranty_Claim]]="No"),Table1[[#This Row],[Service_Revenue]],0)</f>
        <v>0</v>
      </c>
      <c r="V1628" s="4">
        <f>IF(Table1[[#This Row],[Warranty_Claim]]="Yes",1,0)</f>
        <v>1</v>
      </c>
      <c r="W1628" s="4">
        <f>IF(Table1[[#This Row],[Rework_Flag]]="No",1,0)</f>
        <v>0</v>
      </c>
      <c r="X1628" s="4">
        <f>IF(Table1[[#This Row],[Rework_Flag]]="Yes",1,0)</f>
        <v>1</v>
      </c>
      <c r="Y1628" s="4">
        <v>1</v>
      </c>
      <c r="Z1628" s="4" t="str">
        <f>IF(Table1[[#This Row],[TAT_Days]]&gt;Table1[[#This Row],[SLA_TAT]],"Yes","No")</f>
        <v>Yes</v>
      </c>
      <c r="AA1628" s="4" t="str" cm="1">
        <f t="array" ref="AA1628">_xlfn.IFS(Table1[[#This Row],[Customer_Satisfaction]]&lt;=2,"Poor",Table1[[#This Row],[Customer_Satisfaction]]=3,"Neutral",Table1[[#This Row],[Customer_Satisfaction]]=4,"Good",Table1[[#This Row],[Customer_Satisfaction]]=5,"Good")</f>
        <v>Poor</v>
      </c>
    </row>
    <row r="1629" spans="1:27" x14ac:dyDescent="0.35">
      <c r="A1629">
        <v>21627</v>
      </c>
      <c r="B1629" s="1">
        <v>45398</v>
      </c>
      <c r="C1629" t="s">
        <v>37</v>
      </c>
      <c r="D1629" t="s">
        <v>64</v>
      </c>
      <c r="E1629" t="s">
        <v>103</v>
      </c>
      <c r="F1629" t="s">
        <v>40</v>
      </c>
      <c r="G1629" t="s">
        <v>74</v>
      </c>
      <c r="H1629" t="s">
        <v>34</v>
      </c>
      <c r="I1629" t="s">
        <v>55</v>
      </c>
      <c r="J1629" t="s">
        <v>67</v>
      </c>
      <c r="K1629" t="s">
        <v>61</v>
      </c>
      <c r="L1629" t="s">
        <v>28</v>
      </c>
      <c r="M1629" s="4">
        <v>2</v>
      </c>
      <c r="N1629" s="4">
        <v>7</v>
      </c>
      <c r="O1629" t="s">
        <v>36</v>
      </c>
      <c r="P1629" t="s">
        <v>36</v>
      </c>
      <c r="Q1629" s="4">
        <v>570404</v>
      </c>
      <c r="R1629" s="4">
        <v>440586</v>
      </c>
      <c r="S1629" s="4">
        <f>Table1[[#This Row],[Service_Revenue]]-Table1[[#This Row],[Service_Cost]]</f>
        <v>129818</v>
      </c>
      <c r="T1629" s="4">
        <v>5</v>
      </c>
      <c r="U1629" s="4">
        <f>IF(AND(Table1[[#This Row],[Rework_Flag]]="Yes",Table1[[#This Row],[Warranty_Claim]]="No"),Table1[[#This Row],[Service_Revenue]],0)</f>
        <v>0</v>
      </c>
      <c r="V1629" s="4">
        <f>IF(Table1[[#This Row],[Warranty_Claim]]="Yes",1,0)</f>
        <v>0</v>
      </c>
      <c r="W1629" s="4">
        <f>IF(Table1[[#This Row],[Rework_Flag]]="No",1,0)</f>
        <v>1</v>
      </c>
      <c r="X1629" s="4">
        <f>IF(Table1[[#This Row],[Rework_Flag]]="Yes",1,0)</f>
        <v>0</v>
      </c>
      <c r="Y1629" s="4">
        <v>1</v>
      </c>
      <c r="Z1629" s="4" t="str">
        <f>IF(Table1[[#This Row],[TAT_Days]]&gt;Table1[[#This Row],[SLA_TAT]],"Yes","No")</f>
        <v>No</v>
      </c>
      <c r="AA1629" s="4" t="str" cm="1">
        <f t="array" ref="AA1629">_xlfn.IFS(Table1[[#This Row],[Customer_Satisfaction]]&lt;=2,"Poor",Table1[[#This Row],[Customer_Satisfaction]]=3,"Neutral",Table1[[#This Row],[Customer_Satisfaction]]=4,"Good",Table1[[#This Row],[Customer_Satisfaction]]=5,"Good")</f>
        <v>Good</v>
      </c>
    </row>
    <row r="1630" spans="1:27" x14ac:dyDescent="0.35">
      <c r="A1630">
        <v>21628</v>
      </c>
      <c r="B1630" s="1">
        <v>45448</v>
      </c>
      <c r="C1630" t="s">
        <v>30</v>
      </c>
      <c r="D1630" t="s">
        <v>59</v>
      </c>
      <c r="E1630" t="s">
        <v>78</v>
      </c>
      <c r="F1630" t="s">
        <v>22</v>
      </c>
      <c r="G1630" t="s">
        <v>54</v>
      </c>
      <c r="H1630" t="s">
        <v>42</v>
      </c>
      <c r="I1630" t="s">
        <v>25</v>
      </c>
      <c r="J1630" t="s">
        <v>58</v>
      </c>
      <c r="K1630" t="s">
        <v>61</v>
      </c>
      <c r="L1630" t="s">
        <v>28</v>
      </c>
      <c r="M1630" s="4">
        <v>16</v>
      </c>
      <c r="N1630" s="4">
        <v>7</v>
      </c>
      <c r="O1630" t="s">
        <v>29</v>
      </c>
      <c r="P1630" t="s">
        <v>29</v>
      </c>
      <c r="Q1630" s="4">
        <v>597853</v>
      </c>
      <c r="R1630" s="4">
        <v>427821</v>
      </c>
      <c r="S1630" s="4">
        <f>Table1[[#This Row],[Service_Revenue]]-Table1[[#This Row],[Service_Cost]]</f>
        <v>170032</v>
      </c>
      <c r="T1630" s="4">
        <v>1</v>
      </c>
      <c r="U1630" s="4">
        <f>IF(AND(Table1[[#This Row],[Rework_Flag]]="Yes",Table1[[#This Row],[Warranty_Claim]]="No"),Table1[[#This Row],[Service_Revenue]],0)</f>
        <v>0</v>
      </c>
      <c r="V1630" s="4">
        <f>IF(Table1[[#This Row],[Warranty_Claim]]="Yes",1,0)</f>
        <v>1</v>
      </c>
      <c r="W1630" s="4">
        <f>IF(Table1[[#This Row],[Rework_Flag]]="No",1,0)</f>
        <v>0</v>
      </c>
      <c r="X1630" s="4">
        <f>IF(Table1[[#This Row],[Rework_Flag]]="Yes",1,0)</f>
        <v>1</v>
      </c>
      <c r="Y1630" s="4">
        <v>1</v>
      </c>
      <c r="Z1630" s="4" t="str">
        <f>IF(Table1[[#This Row],[TAT_Days]]&gt;Table1[[#This Row],[SLA_TAT]],"Yes","No")</f>
        <v>Yes</v>
      </c>
      <c r="AA1630" s="4" t="str" cm="1">
        <f t="array" ref="AA1630">_xlfn.IFS(Table1[[#This Row],[Customer_Satisfaction]]&lt;=2,"Poor",Table1[[#This Row],[Customer_Satisfaction]]=3,"Neutral",Table1[[#This Row],[Customer_Satisfaction]]=4,"Good",Table1[[#This Row],[Customer_Satisfaction]]=5,"Good")</f>
        <v>Poor</v>
      </c>
    </row>
    <row r="1631" spans="1:27" x14ac:dyDescent="0.35">
      <c r="A1631">
        <v>21629</v>
      </c>
      <c r="B1631" s="1">
        <v>45422</v>
      </c>
      <c r="C1631" t="s">
        <v>37</v>
      </c>
      <c r="D1631" t="s">
        <v>70</v>
      </c>
      <c r="E1631" t="s">
        <v>100</v>
      </c>
      <c r="F1631" t="s">
        <v>53</v>
      </c>
      <c r="G1631" t="s">
        <v>23</v>
      </c>
      <c r="H1631" t="s">
        <v>24</v>
      </c>
      <c r="I1631" t="s">
        <v>25</v>
      </c>
      <c r="J1631" t="s">
        <v>35</v>
      </c>
      <c r="K1631" t="s">
        <v>27</v>
      </c>
      <c r="L1631" t="s">
        <v>49</v>
      </c>
      <c r="M1631" s="4">
        <v>24</v>
      </c>
      <c r="N1631" s="4">
        <v>7</v>
      </c>
      <c r="O1631" t="s">
        <v>29</v>
      </c>
      <c r="P1631" t="s">
        <v>36</v>
      </c>
      <c r="Q1631" s="4">
        <v>253936</v>
      </c>
      <c r="R1631" s="4">
        <v>169496</v>
      </c>
      <c r="S1631" s="4">
        <f>Table1[[#This Row],[Service_Revenue]]-Table1[[#This Row],[Service_Cost]]</f>
        <v>84440</v>
      </c>
      <c r="T1631" s="4">
        <v>1</v>
      </c>
      <c r="U1631" s="4">
        <f>IF(AND(Table1[[#This Row],[Rework_Flag]]="Yes",Table1[[#This Row],[Warranty_Claim]]="No"),Table1[[#This Row],[Service_Revenue]],0)</f>
        <v>253936</v>
      </c>
      <c r="V1631" s="4">
        <f>IF(Table1[[#This Row],[Warranty_Claim]]="Yes",1,0)</f>
        <v>0</v>
      </c>
      <c r="W1631" s="4">
        <f>IF(Table1[[#This Row],[Rework_Flag]]="No",1,0)</f>
        <v>0</v>
      </c>
      <c r="X1631" s="4">
        <f>IF(Table1[[#This Row],[Rework_Flag]]="Yes",1,0)</f>
        <v>1</v>
      </c>
      <c r="Y1631" s="4">
        <v>1</v>
      </c>
      <c r="Z1631" s="4" t="str">
        <f>IF(Table1[[#This Row],[TAT_Days]]&gt;Table1[[#This Row],[SLA_TAT]],"Yes","No")</f>
        <v>Yes</v>
      </c>
      <c r="AA1631" s="4" t="str" cm="1">
        <f t="array" ref="AA1631">_xlfn.IFS(Table1[[#This Row],[Customer_Satisfaction]]&lt;=2,"Poor",Table1[[#This Row],[Customer_Satisfaction]]=3,"Neutral",Table1[[#This Row],[Customer_Satisfaction]]=4,"Good",Table1[[#This Row],[Customer_Satisfaction]]=5,"Good")</f>
        <v>Poor</v>
      </c>
    </row>
    <row r="1632" spans="1:27" x14ac:dyDescent="0.35">
      <c r="A1632">
        <v>21630</v>
      </c>
      <c r="B1632" s="1">
        <v>45320</v>
      </c>
      <c r="C1632" t="s">
        <v>50</v>
      </c>
      <c r="D1632" t="s">
        <v>80</v>
      </c>
      <c r="E1632" t="s">
        <v>81</v>
      </c>
      <c r="F1632" t="s">
        <v>53</v>
      </c>
      <c r="G1632" t="s">
        <v>41</v>
      </c>
      <c r="H1632" t="s">
        <v>42</v>
      </c>
      <c r="I1632" t="s">
        <v>25</v>
      </c>
      <c r="J1632" t="s">
        <v>26</v>
      </c>
      <c r="K1632" t="s">
        <v>61</v>
      </c>
      <c r="L1632" t="s">
        <v>49</v>
      </c>
      <c r="M1632" s="4">
        <v>20</v>
      </c>
      <c r="N1632" s="4">
        <v>7</v>
      </c>
      <c r="O1632" t="s">
        <v>36</v>
      </c>
      <c r="P1632" t="s">
        <v>36</v>
      </c>
      <c r="Q1632" s="4">
        <v>369141</v>
      </c>
      <c r="R1632" s="4">
        <v>190234</v>
      </c>
      <c r="S1632" s="4">
        <f>Table1[[#This Row],[Service_Revenue]]-Table1[[#This Row],[Service_Cost]]</f>
        <v>178907</v>
      </c>
      <c r="T1632" s="4">
        <v>1</v>
      </c>
      <c r="U1632" s="4">
        <f>IF(AND(Table1[[#This Row],[Rework_Flag]]="Yes",Table1[[#This Row],[Warranty_Claim]]="No"),Table1[[#This Row],[Service_Revenue]],0)</f>
        <v>0</v>
      </c>
      <c r="V1632" s="4">
        <f>IF(Table1[[#This Row],[Warranty_Claim]]="Yes",1,0)</f>
        <v>0</v>
      </c>
      <c r="W1632" s="4">
        <f>IF(Table1[[#This Row],[Rework_Flag]]="No",1,0)</f>
        <v>1</v>
      </c>
      <c r="X1632" s="4">
        <f>IF(Table1[[#This Row],[Rework_Flag]]="Yes",1,0)</f>
        <v>0</v>
      </c>
      <c r="Y1632" s="4">
        <v>1</v>
      </c>
      <c r="Z1632" s="4" t="str">
        <f>IF(Table1[[#This Row],[TAT_Days]]&gt;Table1[[#This Row],[SLA_TAT]],"Yes","No")</f>
        <v>Yes</v>
      </c>
      <c r="AA1632" s="4" t="str" cm="1">
        <f t="array" ref="AA1632">_xlfn.IFS(Table1[[#This Row],[Customer_Satisfaction]]&lt;=2,"Poor",Table1[[#This Row],[Customer_Satisfaction]]=3,"Neutral",Table1[[#This Row],[Customer_Satisfaction]]=4,"Good",Table1[[#This Row],[Customer_Satisfaction]]=5,"Good")</f>
        <v>Poor</v>
      </c>
    </row>
    <row r="1633" spans="1:27" x14ac:dyDescent="0.35">
      <c r="A1633">
        <v>21631</v>
      </c>
      <c r="B1633" s="1">
        <v>45321</v>
      </c>
      <c r="C1633" t="s">
        <v>50</v>
      </c>
      <c r="D1633" t="s">
        <v>51</v>
      </c>
      <c r="E1633" t="s">
        <v>73</v>
      </c>
      <c r="F1633" t="s">
        <v>40</v>
      </c>
      <c r="G1633" t="s">
        <v>54</v>
      </c>
      <c r="H1633" t="s">
        <v>42</v>
      </c>
      <c r="I1633" t="s">
        <v>55</v>
      </c>
      <c r="J1633" t="s">
        <v>58</v>
      </c>
      <c r="K1633" t="s">
        <v>27</v>
      </c>
      <c r="L1633" t="s">
        <v>28</v>
      </c>
      <c r="M1633" s="4">
        <v>20</v>
      </c>
      <c r="N1633" s="4">
        <v>7</v>
      </c>
      <c r="O1633" t="s">
        <v>29</v>
      </c>
      <c r="P1633" t="s">
        <v>29</v>
      </c>
      <c r="Q1633" s="4">
        <v>508217</v>
      </c>
      <c r="R1633" s="4">
        <v>284720</v>
      </c>
      <c r="S1633" s="4">
        <f>Table1[[#This Row],[Service_Revenue]]-Table1[[#This Row],[Service_Cost]]</f>
        <v>223497</v>
      </c>
      <c r="T1633" s="4">
        <v>1</v>
      </c>
      <c r="U1633" s="4">
        <f>IF(AND(Table1[[#This Row],[Rework_Flag]]="Yes",Table1[[#This Row],[Warranty_Claim]]="No"),Table1[[#This Row],[Service_Revenue]],0)</f>
        <v>0</v>
      </c>
      <c r="V1633" s="4">
        <f>IF(Table1[[#This Row],[Warranty_Claim]]="Yes",1,0)</f>
        <v>1</v>
      </c>
      <c r="W1633" s="4">
        <f>IF(Table1[[#This Row],[Rework_Flag]]="No",1,0)</f>
        <v>0</v>
      </c>
      <c r="X1633" s="4">
        <f>IF(Table1[[#This Row],[Rework_Flag]]="Yes",1,0)</f>
        <v>1</v>
      </c>
      <c r="Y1633" s="4">
        <v>1</v>
      </c>
      <c r="Z1633" s="4" t="str">
        <f>IF(Table1[[#This Row],[TAT_Days]]&gt;Table1[[#This Row],[SLA_TAT]],"Yes","No")</f>
        <v>Yes</v>
      </c>
      <c r="AA1633" s="4" t="str" cm="1">
        <f t="array" ref="AA1633">_xlfn.IFS(Table1[[#This Row],[Customer_Satisfaction]]&lt;=2,"Poor",Table1[[#This Row],[Customer_Satisfaction]]=3,"Neutral",Table1[[#This Row],[Customer_Satisfaction]]=4,"Good",Table1[[#This Row],[Customer_Satisfaction]]=5,"Good")</f>
        <v>Poor</v>
      </c>
    </row>
    <row r="1634" spans="1:27" x14ac:dyDescent="0.35">
      <c r="A1634">
        <v>21632</v>
      </c>
      <c r="B1634" s="1">
        <v>45433</v>
      </c>
      <c r="C1634" t="s">
        <v>37</v>
      </c>
      <c r="D1634" t="s">
        <v>38</v>
      </c>
      <c r="E1634" t="s">
        <v>112</v>
      </c>
      <c r="F1634" t="s">
        <v>22</v>
      </c>
      <c r="G1634" t="s">
        <v>63</v>
      </c>
      <c r="H1634" t="s">
        <v>24</v>
      </c>
      <c r="I1634" t="s">
        <v>25</v>
      </c>
      <c r="J1634" t="s">
        <v>67</v>
      </c>
      <c r="K1634" t="s">
        <v>44</v>
      </c>
      <c r="L1634" t="s">
        <v>49</v>
      </c>
      <c r="M1634" s="4">
        <v>7</v>
      </c>
      <c r="N1634" s="4">
        <v>7</v>
      </c>
      <c r="O1634" t="s">
        <v>36</v>
      </c>
      <c r="P1634" t="s">
        <v>36</v>
      </c>
      <c r="Q1634" s="4">
        <v>411763</v>
      </c>
      <c r="R1634" s="4">
        <v>246238</v>
      </c>
      <c r="S1634" s="4">
        <f>Table1[[#This Row],[Service_Revenue]]-Table1[[#This Row],[Service_Cost]]</f>
        <v>165525</v>
      </c>
      <c r="T1634" s="4">
        <v>4</v>
      </c>
      <c r="U1634" s="4">
        <f>IF(AND(Table1[[#This Row],[Rework_Flag]]="Yes",Table1[[#This Row],[Warranty_Claim]]="No"),Table1[[#This Row],[Service_Revenue]],0)</f>
        <v>0</v>
      </c>
      <c r="V1634" s="4">
        <f>IF(Table1[[#This Row],[Warranty_Claim]]="Yes",1,0)</f>
        <v>0</v>
      </c>
      <c r="W1634" s="4">
        <f>IF(Table1[[#This Row],[Rework_Flag]]="No",1,0)</f>
        <v>1</v>
      </c>
      <c r="X1634" s="4">
        <f>IF(Table1[[#This Row],[Rework_Flag]]="Yes",1,0)</f>
        <v>0</v>
      </c>
      <c r="Y1634" s="4">
        <v>1</v>
      </c>
      <c r="Z1634" s="4" t="str">
        <f>IF(Table1[[#This Row],[TAT_Days]]&gt;Table1[[#This Row],[SLA_TAT]],"Yes","No")</f>
        <v>No</v>
      </c>
      <c r="AA1634" s="4" t="str" cm="1">
        <f t="array" ref="AA1634">_xlfn.IFS(Table1[[#This Row],[Customer_Satisfaction]]&lt;=2,"Poor",Table1[[#This Row],[Customer_Satisfaction]]=3,"Neutral",Table1[[#This Row],[Customer_Satisfaction]]=4,"Good",Table1[[#This Row],[Customer_Satisfaction]]=5,"Good")</f>
        <v>Good</v>
      </c>
    </row>
    <row r="1635" spans="1:27" x14ac:dyDescent="0.35">
      <c r="A1635">
        <v>21633</v>
      </c>
      <c r="B1635" s="1">
        <v>45393</v>
      </c>
      <c r="C1635" t="s">
        <v>37</v>
      </c>
      <c r="D1635" t="s">
        <v>70</v>
      </c>
      <c r="E1635" t="s">
        <v>100</v>
      </c>
      <c r="F1635" t="s">
        <v>40</v>
      </c>
      <c r="G1635" t="s">
        <v>33</v>
      </c>
      <c r="H1635" t="s">
        <v>34</v>
      </c>
      <c r="I1635" t="s">
        <v>55</v>
      </c>
      <c r="J1635" t="s">
        <v>67</v>
      </c>
      <c r="K1635" t="s">
        <v>27</v>
      </c>
      <c r="L1635" t="s">
        <v>49</v>
      </c>
      <c r="M1635" s="4">
        <v>19</v>
      </c>
      <c r="N1635" s="4">
        <v>7</v>
      </c>
      <c r="O1635" t="s">
        <v>29</v>
      </c>
      <c r="P1635" t="s">
        <v>36</v>
      </c>
      <c r="Q1635" s="4">
        <v>512471</v>
      </c>
      <c r="R1635" s="4">
        <v>394044</v>
      </c>
      <c r="S1635" s="4">
        <f>Table1[[#This Row],[Service_Revenue]]-Table1[[#This Row],[Service_Cost]]</f>
        <v>118427</v>
      </c>
      <c r="T1635" s="4">
        <v>1</v>
      </c>
      <c r="U1635" s="4">
        <f>IF(AND(Table1[[#This Row],[Rework_Flag]]="Yes",Table1[[#This Row],[Warranty_Claim]]="No"),Table1[[#This Row],[Service_Revenue]],0)</f>
        <v>512471</v>
      </c>
      <c r="V1635" s="4">
        <f>IF(Table1[[#This Row],[Warranty_Claim]]="Yes",1,0)</f>
        <v>0</v>
      </c>
      <c r="W1635" s="4">
        <f>IF(Table1[[#This Row],[Rework_Flag]]="No",1,0)</f>
        <v>0</v>
      </c>
      <c r="X1635" s="4">
        <f>IF(Table1[[#This Row],[Rework_Flag]]="Yes",1,0)</f>
        <v>1</v>
      </c>
      <c r="Y1635" s="4">
        <v>1</v>
      </c>
      <c r="Z1635" s="4" t="str">
        <f>IF(Table1[[#This Row],[TAT_Days]]&gt;Table1[[#This Row],[SLA_TAT]],"Yes","No")</f>
        <v>Yes</v>
      </c>
      <c r="AA1635" s="4" t="str" cm="1">
        <f t="array" ref="AA1635">_xlfn.IFS(Table1[[#This Row],[Customer_Satisfaction]]&lt;=2,"Poor",Table1[[#This Row],[Customer_Satisfaction]]=3,"Neutral",Table1[[#This Row],[Customer_Satisfaction]]=4,"Good",Table1[[#This Row],[Customer_Satisfaction]]=5,"Good")</f>
        <v>Poor</v>
      </c>
    </row>
    <row r="1636" spans="1:27" x14ac:dyDescent="0.35">
      <c r="A1636">
        <v>21634</v>
      </c>
      <c r="B1636" s="1">
        <v>45359</v>
      </c>
      <c r="C1636" t="s">
        <v>37</v>
      </c>
      <c r="D1636" t="s">
        <v>70</v>
      </c>
      <c r="E1636" t="s">
        <v>91</v>
      </c>
      <c r="F1636" t="s">
        <v>40</v>
      </c>
      <c r="G1636" t="s">
        <v>33</v>
      </c>
      <c r="H1636" t="s">
        <v>34</v>
      </c>
      <c r="I1636" t="s">
        <v>55</v>
      </c>
      <c r="J1636" t="s">
        <v>43</v>
      </c>
      <c r="K1636" t="s">
        <v>61</v>
      </c>
      <c r="L1636" t="s">
        <v>28</v>
      </c>
      <c r="M1636" s="4">
        <v>6</v>
      </c>
      <c r="N1636" s="4">
        <v>7</v>
      </c>
      <c r="O1636" t="s">
        <v>36</v>
      </c>
      <c r="P1636" t="s">
        <v>29</v>
      </c>
      <c r="Q1636" s="4">
        <v>172385</v>
      </c>
      <c r="R1636" s="4">
        <v>87155</v>
      </c>
      <c r="S1636" s="4">
        <f>Table1[[#This Row],[Service_Revenue]]-Table1[[#This Row],[Service_Cost]]</f>
        <v>85230</v>
      </c>
      <c r="T1636" s="4">
        <v>4</v>
      </c>
      <c r="U1636" s="4">
        <f>IF(AND(Table1[[#This Row],[Rework_Flag]]="Yes",Table1[[#This Row],[Warranty_Claim]]="No"),Table1[[#This Row],[Service_Revenue]],0)</f>
        <v>0</v>
      </c>
      <c r="V1636" s="4">
        <f>IF(Table1[[#This Row],[Warranty_Claim]]="Yes",1,0)</f>
        <v>1</v>
      </c>
      <c r="W1636" s="4">
        <f>IF(Table1[[#This Row],[Rework_Flag]]="No",1,0)</f>
        <v>1</v>
      </c>
      <c r="X1636" s="4">
        <f>IF(Table1[[#This Row],[Rework_Flag]]="Yes",1,0)</f>
        <v>0</v>
      </c>
      <c r="Y1636" s="4">
        <v>1</v>
      </c>
      <c r="Z1636" s="4" t="str">
        <f>IF(Table1[[#This Row],[TAT_Days]]&gt;Table1[[#This Row],[SLA_TAT]],"Yes","No")</f>
        <v>No</v>
      </c>
      <c r="AA1636" s="4" t="str" cm="1">
        <f t="array" ref="AA1636">_xlfn.IFS(Table1[[#This Row],[Customer_Satisfaction]]&lt;=2,"Poor",Table1[[#This Row],[Customer_Satisfaction]]=3,"Neutral",Table1[[#This Row],[Customer_Satisfaction]]=4,"Good",Table1[[#This Row],[Customer_Satisfaction]]=5,"Good")</f>
        <v>Good</v>
      </c>
    </row>
    <row r="1637" spans="1:27" x14ac:dyDescent="0.35">
      <c r="A1637">
        <v>21635</v>
      </c>
      <c r="B1637" s="1">
        <v>45310</v>
      </c>
      <c r="C1637" t="s">
        <v>30</v>
      </c>
      <c r="D1637" t="s">
        <v>59</v>
      </c>
      <c r="E1637" t="s">
        <v>94</v>
      </c>
      <c r="F1637" t="s">
        <v>22</v>
      </c>
      <c r="G1637" t="s">
        <v>63</v>
      </c>
      <c r="H1637" t="s">
        <v>24</v>
      </c>
      <c r="I1637" t="s">
        <v>25</v>
      </c>
      <c r="J1637" t="s">
        <v>43</v>
      </c>
      <c r="K1637" t="s">
        <v>61</v>
      </c>
      <c r="L1637" t="s">
        <v>28</v>
      </c>
      <c r="M1637" s="4">
        <v>16</v>
      </c>
      <c r="N1637" s="4">
        <v>7</v>
      </c>
      <c r="O1637" t="s">
        <v>29</v>
      </c>
      <c r="P1637" t="s">
        <v>36</v>
      </c>
      <c r="Q1637" s="4">
        <v>574762</v>
      </c>
      <c r="R1637" s="4">
        <v>413521</v>
      </c>
      <c r="S1637" s="4">
        <f>Table1[[#This Row],[Service_Revenue]]-Table1[[#This Row],[Service_Cost]]</f>
        <v>161241</v>
      </c>
      <c r="T1637" s="4">
        <v>1</v>
      </c>
      <c r="U1637" s="4">
        <f>IF(AND(Table1[[#This Row],[Rework_Flag]]="Yes",Table1[[#This Row],[Warranty_Claim]]="No"),Table1[[#This Row],[Service_Revenue]],0)</f>
        <v>574762</v>
      </c>
      <c r="V1637" s="4">
        <f>IF(Table1[[#This Row],[Warranty_Claim]]="Yes",1,0)</f>
        <v>0</v>
      </c>
      <c r="W1637" s="4">
        <f>IF(Table1[[#This Row],[Rework_Flag]]="No",1,0)</f>
        <v>0</v>
      </c>
      <c r="X1637" s="4">
        <f>IF(Table1[[#This Row],[Rework_Flag]]="Yes",1,0)</f>
        <v>1</v>
      </c>
      <c r="Y1637" s="4">
        <v>1</v>
      </c>
      <c r="Z1637" s="4" t="str">
        <f>IF(Table1[[#This Row],[TAT_Days]]&gt;Table1[[#This Row],[SLA_TAT]],"Yes","No")</f>
        <v>Yes</v>
      </c>
      <c r="AA1637" s="4" t="str" cm="1">
        <f t="array" ref="AA1637">_xlfn.IFS(Table1[[#This Row],[Customer_Satisfaction]]&lt;=2,"Poor",Table1[[#This Row],[Customer_Satisfaction]]=3,"Neutral",Table1[[#This Row],[Customer_Satisfaction]]=4,"Good",Table1[[#This Row],[Customer_Satisfaction]]=5,"Good")</f>
        <v>Poor</v>
      </c>
    </row>
    <row r="1638" spans="1:27" x14ac:dyDescent="0.35">
      <c r="A1638">
        <v>21636</v>
      </c>
      <c r="B1638" s="1">
        <v>45471</v>
      </c>
      <c r="C1638" t="s">
        <v>37</v>
      </c>
      <c r="D1638" t="s">
        <v>70</v>
      </c>
      <c r="E1638" t="s">
        <v>71</v>
      </c>
      <c r="F1638" t="s">
        <v>53</v>
      </c>
      <c r="G1638" t="s">
        <v>74</v>
      </c>
      <c r="H1638" t="s">
        <v>34</v>
      </c>
      <c r="I1638" t="s">
        <v>25</v>
      </c>
      <c r="J1638" t="s">
        <v>26</v>
      </c>
      <c r="K1638" t="s">
        <v>44</v>
      </c>
      <c r="L1638" t="s">
        <v>28</v>
      </c>
      <c r="M1638" s="4">
        <v>8</v>
      </c>
      <c r="N1638" s="4">
        <v>7</v>
      </c>
      <c r="O1638" t="s">
        <v>36</v>
      </c>
      <c r="P1638" t="s">
        <v>29</v>
      </c>
      <c r="Q1638" s="4">
        <v>196360</v>
      </c>
      <c r="R1638" s="4">
        <v>129416</v>
      </c>
      <c r="S1638" s="4">
        <f>Table1[[#This Row],[Service_Revenue]]-Table1[[#This Row],[Service_Cost]]</f>
        <v>66944</v>
      </c>
      <c r="T1638" s="4">
        <v>4</v>
      </c>
      <c r="U1638" s="4">
        <f>IF(AND(Table1[[#This Row],[Rework_Flag]]="Yes",Table1[[#This Row],[Warranty_Claim]]="No"),Table1[[#This Row],[Service_Revenue]],0)</f>
        <v>0</v>
      </c>
      <c r="V1638" s="4">
        <f>IF(Table1[[#This Row],[Warranty_Claim]]="Yes",1,0)</f>
        <v>1</v>
      </c>
      <c r="W1638" s="4">
        <f>IF(Table1[[#This Row],[Rework_Flag]]="No",1,0)</f>
        <v>1</v>
      </c>
      <c r="X1638" s="4">
        <f>IF(Table1[[#This Row],[Rework_Flag]]="Yes",1,0)</f>
        <v>0</v>
      </c>
      <c r="Y1638" s="4">
        <v>1</v>
      </c>
      <c r="Z1638" s="4" t="str">
        <f>IF(Table1[[#This Row],[TAT_Days]]&gt;Table1[[#This Row],[SLA_TAT]],"Yes","No")</f>
        <v>Yes</v>
      </c>
      <c r="AA1638" s="4" t="str" cm="1">
        <f t="array" ref="AA1638">_xlfn.IFS(Table1[[#This Row],[Customer_Satisfaction]]&lt;=2,"Poor",Table1[[#This Row],[Customer_Satisfaction]]=3,"Neutral",Table1[[#This Row],[Customer_Satisfaction]]=4,"Good",Table1[[#This Row],[Customer_Satisfaction]]=5,"Good")</f>
        <v>Good</v>
      </c>
    </row>
    <row r="1639" spans="1:27" x14ac:dyDescent="0.35">
      <c r="A1639">
        <v>21637</v>
      </c>
      <c r="B1639" s="1">
        <v>45302</v>
      </c>
      <c r="C1639" t="s">
        <v>50</v>
      </c>
      <c r="D1639" t="s">
        <v>80</v>
      </c>
      <c r="E1639" t="s">
        <v>81</v>
      </c>
      <c r="F1639" t="s">
        <v>22</v>
      </c>
      <c r="G1639" t="s">
        <v>63</v>
      </c>
      <c r="H1639" t="s">
        <v>24</v>
      </c>
      <c r="I1639" t="s">
        <v>25</v>
      </c>
      <c r="J1639" t="s">
        <v>26</v>
      </c>
      <c r="K1639" t="s">
        <v>27</v>
      </c>
      <c r="L1639" t="s">
        <v>28</v>
      </c>
      <c r="M1639" s="4">
        <v>2</v>
      </c>
      <c r="N1639" s="4">
        <v>7</v>
      </c>
      <c r="O1639" t="s">
        <v>29</v>
      </c>
      <c r="P1639" t="s">
        <v>36</v>
      </c>
      <c r="Q1639" s="4">
        <v>383934</v>
      </c>
      <c r="R1639" s="4">
        <v>263367</v>
      </c>
      <c r="S1639" s="4">
        <f>Table1[[#This Row],[Service_Revenue]]-Table1[[#This Row],[Service_Cost]]</f>
        <v>120567</v>
      </c>
      <c r="T1639" s="4">
        <v>4</v>
      </c>
      <c r="U1639" s="4">
        <f>IF(AND(Table1[[#This Row],[Rework_Flag]]="Yes",Table1[[#This Row],[Warranty_Claim]]="No"),Table1[[#This Row],[Service_Revenue]],0)</f>
        <v>383934</v>
      </c>
      <c r="V1639" s="4">
        <f>IF(Table1[[#This Row],[Warranty_Claim]]="Yes",1,0)</f>
        <v>0</v>
      </c>
      <c r="W1639" s="4">
        <f>IF(Table1[[#This Row],[Rework_Flag]]="No",1,0)</f>
        <v>0</v>
      </c>
      <c r="X1639" s="4">
        <f>IF(Table1[[#This Row],[Rework_Flag]]="Yes",1,0)</f>
        <v>1</v>
      </c>
      <c r="Y1639" s="4">
        <v>1</v>
      </c>
      <c r="Z1639" s="4" t="str">
        <f>IF(Table1[[#This Row],[TAT_Days]]&gt;Table1[[#This Row],[SLA_TAT]],"Yes","No")</f>
        <v>No</v>
      </c>
      <c r="AA1639" s="4" t="str" cm="1">
        <f t="array" ref="AA1639">_xlfn.IFS(Table1[[#This Row],[Customer_Satisfaction]]&lt;=2,"Poor",Table1[[#This Row],[Customer_Satisfaction]]=3,"Neutral",Table1[[#This Row],[Customer_Satisfaction]]=4,"Good",Table1[[#This Row],[Customer_Satisfaction]]=5,"Good")</f>
        <v>Good</v>
      </c>
    </row>
    <row r="1640" spans="1:27" x14ac:dyDescent="0.35">
      <c r="A1640">
        <v>21638</v>
      </c>
      <c r="B1640" s="1">
        <v>45462</v>
      </c>
      <c r="C1640" t="s">
        <v>37</v>
      </c>
      <c r="D1640" t="s">
        <v>64</v>
      </c>
      <c r="E1640" t="s">
        <v>115</v>
      </c>
      <c r="F1640" t="s">
        <v>53</v>
      </c>
      <c r="G1640" t="s">
        <v>74</v>
      </c>
      <c r="H1640" t="s">
        <v>34</v>
      </c>
      <c r="I1640" t="s">
        <v>55</v>
      </c>
      <c r="J1640" t="s">
        <v>43</v>
      </c>
      <c r="K1640" t="s">
        <v>27</v>
      </c>
      <c r="L1640" t="s">
        <v>49</v>
      </c>
      <c r="M1640" s="4">
        <v>6</v>
      </c>
      <c r="N1640" s="4">
        <v>7</v>
      </c>
      <c r="O1640" t="s">
        <v>29</v>
      </c>
      <c r="P1640" t="s">
        <v>36</v>
      </c>
      <c r="Q1640" s="4">
        <v>433313</v>
      </c>
      <c r="R1640" s="4">
        <v>224067</v>
      </c>
      <c r="S1640" s="4">
        <f>Table1[[#This Row],[Service_Revenue]]-Table1[[#This Row],[Service_Cost]]</f>
        <v>209246</v>
      </c>
      <c r="T1640" s="4">
        <v>3</v>
      </c>
      <c r="U1640" s="4">
        <f>IF(AND(Table1[[#This Row],[Rework_Flag]]="Yes",Table1[[#This Row],[Warranty_Claim]]="No"),Table1[[#This Row],[Service_Revenue]],0)</f>
        <v>433313</v>
      </c>
      <c r="V1640" s="4">
        <f>IF(Table1[[#This Row],[Warranty_Claim]]="Yes",1,0)</f>
        <v>0</v>
      </c>
      <c r="W1640" s="4">
        <f>IF(Table1[[#This Row],[Rework_Flag]]="No",1,0)</f>
        <v>0</v>
      </c>
      <c r="X1640" s="4">
        <f>IF(Table1[[#This Row],[Rework_Flag]]="Yes",1,0)</f>
        <v>1</v>
      </c>
      <c r="Y1640" s="4">
        <v>1</v>
      </c>
      <c r="Z1640" s="4" t="str">
        <f>IF(Table1[[#This Row],[TAT_Days]]&gt;Table1[[#This Row],[SLA_TAT]],"Yes","No")</f>
        <v>No</v>
      </c>
      <c r="AA1640" s="4" t="str" cm="1">
        <f t="array" ref="AA1640">_xlfn.IFS(Table1[[#This Row],[Customer_Satisfaction]]&lt;=2,"Poor",Table1[[#This Row],[Customer_Satisfaction]]=3,"Neutral",Table1[[#This Row],[Customer_Satisfaction]]=4,"Good",Table1[[#This Row],[Customer_Satisfaction]]=5,"Good")</f>
        <v>Neutral</v>
      </c>
    </row>
    <row r="1641" spans="1:27" x14ac:dyDescent="0.35">
      <c r="A1641">
        <v>21639</v>
      </c>
      <c r="B1641" s="1">
        <v>45453</v>
      </c>
      <c r="C1641" t="s">
        <v>30</v>
      </c>
      <c r="D1641" t="s">
        <v>83</v>
      </c>
      <c r="E1641" t="s">
        <v>90</v>
      </c>
      <c r="F1641" t="s">
        <v>53</v>
      </c>
      <c r="G1641" t="s">
        <v>74</v>
      </c>
      <c r="H1641" t="s">
        <v>34</v>
      </c>
      <c r="I1641" t="s">
        <v>55</v>
      </c>
      <c r="J1641" t="s">
        <v>58</v>
      </c>
      <c r="K1641" t="s">
        <v>27</v>
      </c>
      <c r="L1641" t="s">
        <v>28</v>
      </c>
      <c r="M1641" s="4">
        <v>25</v>
      </c>
      <c r="N1641" s="4">
        <v>7</v>
      </c>
      <c r="O1641" t="s">
        <v>29</v>
      </c>
      <c r="P1641" t="s">
        <v>29</v>
      </c>
      <c r="Q1641" s="4">
        <v>462611</v>
      </c>
      <c r="R1641" s="4">
        <v>321728</v>
      </c>
      <c r="S1641" s="4">
        <f>Table1[[#This Row],[Service_Revenue]]-Table1[[#This Row],[Service_Cost]]</f>
        <v>140883</v>
      </c>
      <c r="T1641" s="4">
        <v>1</v>
      </c>
      <c r="U1641" s="4">
        <f>IF(AND(Table1[[#This Row],[Rework_Flag]]="Yes",Table1[[#This Row],[Warranty_Claim]]="No"),Table1[[#This Row],[Service_Revenue]],0)</f>
        <v>0</v>
      </c>
      <c r="V1641" s="4">
        <f>IF(Table1[[#This Row],[Warranty_Claim]]="Yes",1,0)</f>
        <v>1</v>
      </c>
      <c r="W1641" s="4">
        <f>IF(Table1[[#This Row],[Rework_Flag]]="No",1,0)</f>
        <v>0</v>
      </c>
      <c r="X1641" s="4">
        <f>IF(Table1[[#This Row],[Rework_Flag]]="Yes",1,0)</f>
        <v>1</v>
      </c>
      <c r="Y1641" s="4">
        <v>1</v>
      </c>
      <c r="Z1641" s="4" t="str">
        <f>IF(Table1[[#This Row],[TAT_Days]]&gt;Table1[[#This Row],[SLA_TAT]],"Yes","No")</f>
        <v>Yes</v>
      </c>
      <c r="AA1641" s="4" t="str" cm="1">
        <f t="array" ref="AA1641">_xlfn.IFS(Table1[[#This Row],[Customer_Satisfaction]]&lt;=2,"Poor",Table1[[#This Row],[Customer_Satisfaction]]=3,"Neutral",Table1[[#This Row],[Customer_Satisfaction]]=4,"Good",Table1[[#This Row],[Customer_Satisfaction]]=5,"Good")</f>
        <v>Poor</v>
      </c>
    </row>
    <row r="1642" spans="1:27" x14ac:dyDescent="0.35">
      <c r="A1642">
        <v>21640</v>
      </c>
      <c r="B1642" s="1">
        <v>45359</v>
      </c>
      <c r="C1642" t="s">
        <v>37</v>
      </c>
      <c r="D1642" t="s">
        <v>64</v>
      </c>
      <c r="E1642" t="s">
        <v>115</v>
      </c>
      <c r="F1642" t="s">
        <v>53</v>
      </c>
      <c r="G1642" t="s">
        <v>74</v>
      </c>
      <c r="H1642" t="s">
        <v>34</v>
      </c>
      <c r="I1642" t="s">
        <v>25</v>
      </c>
      <c r="J1642" t="s">
        <v>58</v>
      </c>
      <c r="K1642" t="s">
        <v>61</v>
      </c>
      <c r="L1642" t="s">
        <v>28</v>
      </c>
      <c r="M1642" s="4">
        <v>18</v>
      </c>
      <c r="N1642" s="4">
        <v>7</v>
      </c>
      <c r="O1642" t="s">
        <v>36</v>
      </c>
      <c r="P1642" t="s">
        <v>29</v>
      </c>
      <c r="Q1642" s="4">
        <v>469341</v>
      </c>
      <c r="R1642" s="4">
        <v>278872</v>
      </c>
      <c r="S1642" s="4">
        <f>Table1[[#This Row],[Service_Revenue]]-Table1[[#This Row],[Service_Cost]]</f>
        <v>190469</v>
      </c>
      <c r="T1642" s="4">
        <v>2</v>
      </c>
      <c r="U1642" s="4">
        <f>IF(AND(Table1[[#This Row],[Rework_Flag]]="Yes",Table1[[#This Row],[Warranty_Claim]]="No"),Table1[[#This Row],[Service_Revenue]],0)</f>
        <v>0</v>
      </c>
      <c r="V1642" s="4">
        <f>IF(Table1[[#This Row],[Warranty_Claim]]="Yes",1,0)</f>
        <v>1</v>
      </c>
      <c r="W1642" s="4">
        <f>IF(Table1[[#This Row],[Rework_Flag]]="No",1,0)</f>
        <v>1</v>
      </c>
      <c r="X1642" s="4">
        <f>IF(Table1[[#This Row],[Rework_Flag]]="Yes",1,0)</f>
        <v>0</v>
      </c>
      <c r="Y1642" s="4">
        <v>1</v>
      </c>
      <c r="Z1642" s="4" t="str">
        <f>IF(Table1[[#This Row],[TAT_Days]]&gt;Table1[[#This Row],[SLA_TAT]],"Yes","No")</f>
        <v>Yes</v>
      </c>
      <c r="AA1642" s="4" t="str" cm="1">
        <f t="array" ref="AA1642">_xlfn.IFS(Table1[[#This Row],[Customer_Satisfaction]]&lt;=2,"Poor",Table1[[#This Row],[Customer_Satisfaction]]=3,"Neutral",Table1[[#This Row],[Customer_Satisfaction]]=4,"Good",Table1[[#This Row],[Customer_Satisfaction]]=5,"Good")</f>
        <v>Poor</v>
      </c>
    </row>
    <row r="1643" spans="1:27" x14ac:dyDescent="0.35">
      <c r="A1643">
        <v>21641</v>
      </c>
      <c r="B1643" s="1">
        <v>45403</v>
      </c>
      <c r="C1643" t="s">
        <v>19</v>
      </c>
      <c r="D1643" t="s">
        <v>96</v>
      </c>
      <c r="E1643" t="s">
        <v>97</v>
      </c>
      <c r="F1643" t="s">
        <v>22</v>
      </c>
      <c r="G1643" t="s">
        <v>54</v>
      </c>
      <c r="H1643" t="s">
        <v>42</v>
      </c>
      <c r="I1643" t="s">
        <v>25</v>
      </c>
      <c r="J1643" t="s">
        <v>35</v>
      </c>
      <c r="K1643" t="s">
        <v>44</v>
      </c>
      <c r="L1643" t="s">
        <v>28</v>
      </c>
      <c r="M1643" s="4">
        <v>15</v>
      </c>
      <c r="N1643" s="4">
        <v>7</v>
      </c>
      <c r="O1643" t="s">
        <v>29</v>
      </c>
      <c r="P1643" t="s">
        <v>29</v>
      </c>
      <c r="Q1643" s="4">
        <v>245320</v>
      </c>
      <c r="R1643" s="4">
        <v>141288</v>
      </c>
      <c r="S1643" s="4">
        <f>Table1[[#This Row],[Service_Revenue]]-Table1[[#This Row],[Service_Cost]]</f>
        <v>104032</v>
      </c>
      <c r="T1643" s="4">
        <v>1</v>
      </c>
      <c r="U1643" s="4">
        <f>IF(AND(Table1[[#This Row],[Rework_Flag]]="Yes",Table1[[#This Row],[Warranty_Claim]]="No"),Table1[[#This Row],[Service_Revenue]],0)</f>
        <v>0</v>
      </c>
      <c r="V1643" s="4">
        <f>IF(Table1[[#This Row],[Warranty_Claim]]="Yes",1,0)</f>
        <v>1</v>
      </c>
      <c r="W1643" s="4">
        <f>IF(Table1[[#This Row],[Rework_Flag]]="No",1,0)</f>
        <v>0</v>
      </c>
      <c r="X1643" s="4">
        <f>IF(Table1[[#This Row],[Rework_Flag]]="Yes",1,0)</f>
        <v>1</v>
      </c>
      <c r="Y1643" s="4">
        <v>1</v>
      </c>
      <c r="Z1643" s="4" t="str">
        <f>IF(Table1[[#This Row],[TAT_Days]]&gt;Table1[[#This Row],[SLA_TAT]],"Yes","No")</f>
        <v>Yes</v>
      </c>
      <c r="AA1643" s="4" t="str" cm="1">
        <f t="array" ref="AA1643">_xlfn.IFS(Table1[[#This Row],[Customer_Satisfaction]]&lt;=2,"Poor",Table1[[#This Row],[Customer_Satisfaction]]=3,"Neutral",Table1[[#This Row],[Customer_Satisfaction]]=4,"Good",Table1[[#This Row],[Customer_Satisfaction]]=5,"Good")</f>
        <v>Poor</v>
      </c>
    </row>
    <row r="1644" spans="1:27" x14ac:dyDescent="0.35">
      <c r="A1644">
        <v>21642</v>
      </c>
      <c r="B1644" s="1">
        <v>45422</v>
      </c>
      <c r="C1644" t="s">
        <v>50</v>
      </c>
      <c r="D1644" t="s">
        <v>56</v>
      </c>
      <c r="E1644" t="s">
        <v>68</v>
      </c>
      <c r="F1644" t="s">
        <v>40</v>
      </c>
      <c r="G1644" t="s">
        <v>41</v>
      </c>
      <c r="H1644" t="s">
        <v>42</v>
      </c>
      <c r="I1644" t="s">
        <v>55</v>
      </c>
      <c r="J1644" t="s">
        <v>26</v>
      </c>
      <c r="K1644" t="s">
        <v>61</v>
      </c>
      <c r="L1644" t="s">
        <v>28</v>
      </c>
      <c r="M1644" s="4">
        <v>8</v>
      </c>
      <c r="N1644" s="4">
        <v>7</v>
      </c>
      <c r="O1644" t="s">
        <v>36</v>
      </c>
      <c r="P1644" t="s">
        <v>36</v>
      </c>
      <c r="Q1644" s="4">
        <v>223374</v>
      </c>
      <c r="R1644" s="4">
        <v>124789</v>
      </c>
      <c r="S1644" s="4">
        <f>Table1[[#This Row],[Service_Revenue]]-Table1[[#This Row],[Service_Cost]]</f>
        <v>98585</v>
      </c>
      <c r="T1644" s="4">
        <v>4</v>
      </c>
      <c r="U1644" s="4">
        <f>IF(AND(Table1[[#This Row],[Rework_Flag]]="Yes",Table1[[#This Row],[Warranty_Claim]]="No"),Table1[[#This Row],[Service_Revenue]],0)</f>
        <v>0</v>
      </c>
      <c r="V1644" s="4">
        <f>IF(Table1[[#This Row],[Warranty_Claim]]="Yes",1,0)</f>
        <v>0</v>
      </c>
      <c r="W1644" s="4">
        <f>IF(Table1[[#This Row],[Rework_Flag]]="No",1,0)</f>
        <v>1</v>
      </c>
      <c r="X1644" s="4">
        <f>IF(Table1[[#This Row],[Rework_Flag]]="Yes",1,0)</f>
        <v>0</v>
      </c>
      <c r="Y1644" s="4">
        <v>1</v>
      </c>
      <c r="Z1644" s="4" t="str">
        <f>IF(Table1[[#This Row],[TAT_Days]]&gt;Table1[[#This Row],[SLA_TAT]],"Yes","No")</f>
        <v>Yes</v>
      </c>
      <c r="AA1644" s="4" t="str" cm="1">
        <f t="array" ref="AA1644">_xlfn.IFS(Table1[[#This Row],[Customer_Satisfaction]]&lt;=2,"Poor",Table1[[#This Row],[Customer_Satisfaction]]=3,"Neutral",Table1[[#This Row],[Customer_Satisfaction]]=4,"Good",Table1[[#This Row],[Customer_Satisfaction]]=5,"Good")</f>
        <v>Good</v>
      </c>
    </row>
    <row r="1645" spans="1:27" x14ac:dyDescent="0.35">
      <c r="A1645">
        <v>21643</v>
      </c>
      <c r="B1645" s="1">
        <v>45363</v>
      </c>
      <c r="C1645" t="s">
        <v>30</v>
      </c>
      <c r="D1645" t="s">
        <v>31</v>
      </c>
      <c r="E1645" t="s">
        <v>32</v>
      </c>
      <c r="F1645" t="s">
        <v>22</v>
      </c>
      <c r="G1645" t="s">
        <v>47</v>
      </c>
      <c r="H1645" t="s">
        <v>48</v>
      </c>
      <c r="I1645" t="s">
        <v>25</v>
      </c>
      <c r="J1645" t="s">
        <v>35</v>
      </c>
      <c r="K1645" t="s">
        <v>61</v>
      </c>
      <c r="L1645" t="s">
        <v>49</v>
      </c>
      <c r="M1645" s="4">
        <v>16</v>
      </c>
      <c r="N1645" s="4">
        <v>7</v>
      </c>
      <c r="O1645" t="s">
        <v>36</v>
      </c>
      <c r="P1645" t="s">
        <v>36</v>
      </c>
      <c r="Q1645" s="4">
        <v>497345</v>
      </c>
      <c r="R1645" s="4">
        <v>383576</v>
      </c>
      <c r="S1645" s="4">
        <f>Table1[[#This Row],[Service_Revenue]]-Table1[[#This Row],[Service_Cost]]</f>
        <v>113769</v>
      </c>
      <c r="T1645" s="4">
        <v>2</v>
      </c>
      <c r="U1645" s="4">
        <f>IF(AND(Table1[[#This Row],[Rework_Flag]]="Yes",Table1[[#This Row],[Warranty_Claim]]="No"),Table1[[#This Row],[Service_Revenue]],0)</f>
        <v>0</v>
      </c>
      <c r="V1645" s="4">
        <f>IF(Table1[[#This Row],[Warranty_Claim]]="Yes",1,0)</f>
        <v>0</v>
      </c>
      <c r="W1645" s="4">
        <f>IF(Table1[[#This Row],[Rework_Flag]]="No",1,0)</f>
        <v>1</v>
      </c>
      <c r="X1645" s="4">
        <f>IF(Table1[[#This Row],[Rework_Flag]]="Yes",1,0)</f>
        <v>0</v>
      </c>
      <c r="Y1645" s="4">
        <v>1</v>
      </c>
      <c r="Z1645" s="4" t="str">
        <f>IF(Table1[[#This Row],[TAT_Days]]&gt;Table1[[#This Row],[SLA_TAT]],"Yes","No")</f>
        <v>Yes</v>
      </c>
      <c r="AA1645" s="4" t="str" cm="1">
        <f t="array" ref="AA1645">_xlfn.IFS(Table1[[#This Row],[Customer_Satisfaction]]&lt;=2,"Poor",Table1[[#This Row],[Customer_Satisfaction]]=3,"Neutral",Table1[[#This Row],[Customer_Satisfaction]]=4,"Good",Table1[[#This Row],[Customer_Satisfaction]]=5,"Good")</f>
        <v>Poor</v>
      </c>
    </row>
    <row r="1646" spans="1:27" x14ac:dyDescent="0.35">
      <c r="A1646">
        <v>21644</v>
      </c>
      <c r="B1646" s="1">
        <v>45378</v>
      </c>
      <c r="C1646" t="s">
        <v>19</v>
      </c>
      <c r="D1646" t="s">
        <v>45</v>
      </c>
      <c r="E1646" t="s">
        <v>114</v>
      </c>
      <c r="F1646" t="s">
        <v>53</v>
      </c>
      <c r="G1646" t="s">
        <v>54</v>
      </c>
      <c r="H1646" t="s">
        <v>42</v>
      </c>
      <c r="I1646" t="s">
        <v>25</v>
      </c>
      <c r="J1646" t="s">
        <v>26</v>
      </c>
      <c r="K1646" t="s">
        <v>44</v>
      </c>
      <c r="L1646" t="s">
        <v>49</v>
      </c>
      <c r="M1646" s="4">
        <v>7</v>
      </c>
      <c r="N1646" s="4">
        <v>7</v>
      </c>
      <c r="O1646" t="s">
        <v>29</v>
      </c>
      <c r="P1646" t="s">
        <v>36</v>
      </c>
      <c r="Q1646" s="4">
        <v>185632</v>
      </c>
      <c r="R1646" s="4">
        <v>94539</v>
      </c>
      <c r="S1646" s="4">
        <f>Table1[[#This Row],[Service_Revenue]]-Table1[[#This Row],[Service_Cost]]</f>
        <v>91093</v>
      </c>
      <c r="T1646" s="4">
        <v>3</v>
      </c>
      <c r="U1646" s="4">
        <f>IF(AND(Table1[[#This Row],[Rework_Flag]]="Yes",Table1[[#This Row],[Warranty_Claim]]="No"),Table1[[#This Row],[Service_Revenue]],0)</f>
        <v>185632</v>
      </c>
      <c r="V1646" s="4">
        <f>IF(Table1[[#This Row],[Warranty_Claim]]="Yes",1,0)</f>
        <v>0</v>
      </c>
      <c r="W1646" s="4">
        <f>IF(Table1[[#This Row],[Rework_Flag]]="No",1,0)</f>
        <v>0</v>
      </c>
      <c r="X1646" s="4">
        <f>IF(Table1[[#This Row],[Rework_Flag]]="Yes",1,0)</f>
        <v>1</v>
      </c>
      <c r="Y1646" s="4">
        <v>1</v>
      </c>
      <c r="Z1646" s="4" t="str">
        <f>IF(Table1[[#This Row],[TAT_Days]]&gt;Table1[[#This Row],[SLA_TAT]],"Yes","No")</f>
        <v>No</v>
      </c>
      <c r="AA1646" s="4" t="str" cm="1">
        <f t="array" ref="AA1646">_xlfn.IFS(Table1[[#This Row],[Customer_Satisfaction]]&lt;=2,"Poor",Table1[[#This Row],[Customer_Satisfaction]]=3,"Neutral",Table1[[#This Row],[Customer_Satisfaction]]=4,"Good",Table1[[#This Row],[Customer_Satisfaction]]=5,"Good")</f>
        <v>Neutral</v>
      </c>
    </row>
    <row r="1647" spans="1:27" x14ac:dyDescent="0.35">
      <c r="A1647">
        <v>21645</v>
      </c>
      <c r="B1647" s="1">
        <v>45459</v>
      </c>
      <c r="C1647" t="s">
        <v>50</v>
      </c>
      <c r="D1647" t="s">
        <v>51</v>
      </c>
      <c r="E1647" t="s">
        <v>52</v>
      </c>
      <c r="F1647" t="s">
        <v>22</v>
      </c>
      <c r="G1647" t="s">
        <v>54</v>
      </c>
      <c r="H1647" t="s">
        <v>42</v>
      </c>
      <c r="I1647" t="s">
        <v>55</v>
      </c>
      <c r="J1647" t="s">
        <v>43</v>
      </c>
      <c r="K1647" t="s">
        <v>61</v>
      </c>
      <c r="L1647" t="s">
        <v>49</v>
      </c>
      <c r="M1647" s="4">
        <v>19</v>
      </c>
      <c r="N1647" s="4">
        <v>7</v>
      </c>
      <c r="O1647" t="s">
        <v>36</v>
      </c>
      <c r="P1647" t="s">
        <v>36</v>
      </c>
      <c r="Q1647" s="4">
        <v>261303</v>
      </c>
      <c r="R1647" s="4">
        <v>208024</v>
      </c>
      <c r="S1647" s="4">
        <f>Table1[[#This Row],[Service_Revenue]]-Table1[[#This Row],[Service_Cost]]</f>
        <v>53279</v>
      </c>
      <c r="T1647" s="4">
        <v>2</v>
      </c>
      <c r="U1647" s="4">
        <f>IF(AND(Table1[[#This Row],[Rework_Flag]]="Yes",Table1[[#This Row],[Warranty_Claim]]="No"),Table1[[#This Row],[Service_Revenue]],0)</f>
        <v>0</v>
      </c>
      <c r="V1647" s="4">
        <f>IF(Table1[[#This Row],[Warranty_Claim]]="Yes",1,0)</f>
        <v>0</v>
      </c>
      <c r="W1647" s="4">
        <f>IF(Table1[[#This Row],[Rework_Flag]]="No",1,0)</f>
        <v>1</v>
      </c>
      <c r="X1647" s="4">
        <f>IF(Table1[[#This Row],[Rework_Flag]]="Yes",1,0)</f>
        <v>0</v>
      </c>
      <c r="Y1647" s="4">
        <v>1</v>
      </c>
      <c r="Z1647" s="4" t="str">
        <f>IF(Table1[[#This Row],[TAT_Days]]&gt;Table1[[#This Row],[SLA_TAT]],"Yes","No")</f>
        <v>Yes</v>
      </c>
      <c r="AA1647" s="4" t="str" cm="1">
        <f t="array" ref="AA1647">_xlfn.IFS(Table1[[#This Row],[Customer_Satisfaction]]&lt;=2,"Poor",Table1[[#This Row],[Customer_Satisfaction]]=3,"Neutral",Table1[[#This Row],[Customer_Satisfaction]]=4,"Good",Table1[[#This Row],[Customer_Satisfaction]]=5,"Good")</f>
        <v>Poor</v>
      </c>
    </row>
    <row r="1648" spans="1:27" x14ac:dyDescent="0.35">
      <c r="A1648">
        <v>21646</v>
      </c>
      <c r="B1648" s="1">
        <v>45443</v>
      </c>
      <c r="C1648" t="s">
        <v>50</v>
      </c>
      <c r="D1648" t="s">
        <v>80</v>
      </c>
      <c r="E1648" t="s">
        <v>118</v>
      </c>
      <c r="F1648" t="s">
        <v>22</v>
      </c>
      <c r="G1648" t="s">
        <v>23</v>
      </c>
      <c r="H1648" t="s">
        <v>24</v>
      </c>
      <c r="I1648" t="s">
        <v>55</v>
      </c>
      <c r="J1648" t="s">
        <v>67</v>
      </c>
      <c r="K1648" t="s">
        <v>44</v>
      </c>
      <c r="L1648" t="s">
        <v>49</v>
      </c>
      <c r="M1648" s="4">
        <v>21</v>
      </c>
      <c r="N1648" s="4">
        <v>7</v>
      </c>
      <c r="O1648" t="s">
        <v>36</v>
      </c>
      <c r="P1648" t="s">
        <v>36</v>
      </c>
      <c r="Q1648" s="4">
        <v>509860</v>
      </c>
      <c r="R1648" s="4">
        <v>397522</v>
      </c>
      <c r="S1648" s="4">
        <f>Table1[[#This Row],[Service_Revenue]]-Table1[[#This Row],[Service_Cost]]</f>
        <v>112338</v>
      </c>
      <c r="T1648" s="4">
        <v>1</v>
      </c>
      <c r="U1648" s="4">
        <f>IF(AND(Table1[[#This Row],[Rework_Flag]]="Yes",Table1[[#This Row],[Warranty_Claim]]="No"),Table1[[#This Row],[Service_Revenue]],0)</f>
        <v>0</v>
      </c>
      <c r="V1648" s="4">
        <f>IF(Table1[[#This Row],[Warranty_Claim]]="Yes",1,0)</f>
        <v>0</v>
      </c>
      <c r="W1648" s="4">
        <f>IF(Table1[[#This Row],[Rework_Flag]]="No",1,0)</f>
        <v>1</v>
      </c>
      <c r="X1648" s="4">
        <f>IF(Table1[[#This Row],[Rework_Flag]]="Yes",1,0)</f>
        <v>0</v>
      </c>
      <c r="Y1648" s="4">
        <v>1</v>
      </c>
      <c r="Z1648" s="4" t="str">
        <f>IF(Table1[[#This Row],[TAT_Days]]&gt;Table1[[#This Row],[SLA_TAT]],"Yes","No")</f>
        <v>Yes</v>
      </c>
      <c r="AA1648" s="4" t="str" cm="1">
        <f t="array" ref="AA1648">_xlfn.IFS(Table1[[#This Row],[Customer_Satisfaction]]&lt;=2,"Poor",Table1[[#This Row],[Customer_Satisfaction]]=3,"Neutral",Table1[[#This Row],[Customer_Satisfaction]]=4,"Good",Table1[[#This Row],[Customer_Satisfaction]]=5,"Good")</f>
        <v>Poor</v>
      </c>
    </row>
    <row r="1649" spans="1:27" x14ac:dyDescent="0.35">
      <c r="A1649">
        <v>21647</v>
      </c>
      <c r="B1649" s="1">
        <v>45451</v>
      </c>
      <c r="C1649" t="s">
        <v>30</v>
      </c>
      <c r="D1649" t="s">
        <v>31</v>
      </c>
      <c r="E1649" t="s">
        <v>79</v>
      </c>
      <c r="F1649" t="s">
        <v>53</v>
      </c>
      <c r="G1649" t="s">
        <v>41</v>
      </c>
      <c r="H1649" t="s">
        <v>42</v>
      </c>
      <c r="I1649" t="s">
        <v>55</v>
      </c>
      <c r="J1649" t="s">
        <v>58</v>
      </c>
      <c r="K1649" t="s">
        <v>61</v>
      </c>
      <c r="L1649" t="s">
        <v>28</v>
      </c>
      <c r="M1649" s="4">
        <v>7</v>
      </c>
      <c r="N1649" s="4">
        <v>7</v>
      </c>
      <c r="O1649" t="s">
        <v>36</v>
      </c>
      <c r="P1649" t="s">
        <v>36</v>
      </c>
      <c r="Q1649" s="4">
        <v>204446</v>
      </c>
      <c r="R1649" s="4">
        <v>131776</v>
      </c>
      <c r="S1649" s="4">
        <f>Table1[[#This Row],[Service_Revenue]]-Table1[[#This Row],[Service_Cost]]</f>
        <v>72670</v>
      </c>
      <c r="T1649" s="4">
        <v>4</v>
      </c>
      <c r="U1649" s="4">
        <f>IF(AND(Table1[[#This Row],[Rework_Flag]]="Yes",Table1[[#This Row],[Warranty_Claim]]="No"),Table1[[#This Row],[Service_Revenue]],0)</f>
        <v>0</v>
      </c>
      <c r="V1649" s="4">
        <f>IF(Table1[[#This Row],[Warranty_Claim]]="Yes",1,0)</f>
        <v>0</v>
      </c>
      <c r="W1649" s="4">
        <f>IF(Table1[[#This Row],[Rework_Flag]]="No",1,0)</f>
        <v>1</v>
      </c>
      <c r="X1649" s="4">
        <f>IF(Table1[[#This Row],[Rework_Flag]]="Yes",1,0)</f>
        <v>0</v>
      </c>
      <c r="Y1649" s="4">
        <v>1</v>
      </c>
      <c r="Z1649" s="4" t="str">
        <f>IF(Table1[[#This Row],[TAT_Days]]&gt;Table1[[#This Row],[SLA_TAT]],"Yes","No")</f>
        <v>No</v>
      </c>
      <c r="AA1649" s="4" t="str" cm="1">
        <f t="array" ref="AA1649">_xlfn.IFS(Table1[[#This Row],[Customer_Satisfaction]]&lt;=2,"Poor",Table1[[#This Row],[Customer_Satisfaction]]=3,"Neutral",Table1[[#This Row],[Customer_Satisfaction]]=4,"Good",Table1[[#This Row],[Customer_Satisfaction]]=5,"Good")</f>
        <v>Good</v>
      </c>
    </row>
    <row r="1650" spans="1:27" x14ac:dyDescent="0.35">
      <c r="A1650">
        <v>21648</v>
      </c>
      <c r="B1650" s="1">
        <v>45299</v>
      </c>
      <c r="C1650" t="s">
        <v>37</v>
      </c>
      <c r="D1650" t="s">
        <v>64</v>
      </c>
      <c r="E1650" t="s">
        <v>103</v>
      </c>
      <c r="F1650" t="s">
        <v>53</v>
      </c>
      <c r="G1650" t="s">
        <v>41</v>
      </c>
      <c r="H1650" t="s">
        <v>42</v>
      </c>
      <c r="I1650" t="s">
        <v>25</v>
      </c>
      <c r="J1650" t="s">
        <v>35</v>
      </c>
      <c r="K1650" t="s">
        <v>44</v>
      </c>
      <c r="L1650" t="s">
        <v>49</v>
      </c>
      <c r="M1650" s="4">
        <v>18</v>
      </c>
      <c r="N1650" s="4">
        <v>7</v>
      </c>
      <c r="O1650" t="s">
        <v>29</v>
      </c>
      <c r="P1650" t="s">
        <v>29</v>
      </c>
      <c r="Q1650" s="4">
        <v>221659</v>
      </c>
      <c r="R1650" s="4">
        <v>148482</v>
      </c>
      <c r="S1650" s="4">
        <f>Table1[[#This Row],[Service_Revenue]]-Table1[[#This Row],[Service_Cost]]</f>
        <v>73177</v>
      </c>
      <c r="T1650" s="4">
        <v>1</v>
      </c>
      <c r="U1650" s="4">
        <f>IF(AND(Table1[[#This Row],[Rework_Flag]]="Yes",Table1[[#This Row],[Warranty_Claim]]="No"),Table1[[#This Row],[Service_Revenue]],0)</f>
        <v>0</v>
      </c>
      <c r="V1650" s="4">
        <f>IF(Table1[[#This Row],[Warranty_Claim]]="Yes",1,0)</f>
        <v>1</v>
      </c>
      <c r="W1650" s="4">
        <f>IF(Table1[[#This Row],[Rework_Flag]]="No",1,0)</f>
        <v>0</v>
      </c>
      <c r="X1650" s="4">
        <f>IF(Table1[[#This Row],[Rework_Flag]]="Yes",1,0)</f>
        <v>1</v>
      </c>
      <c r="Y1650" s="4">
        <v>1</v>
      </c>
      <c r="Z1650" s="4" t="str">
        <f>IF(Table1[[#This Row],[TAT_Days]]&gt;Table1[[#This Row],[SLA_TAT]],"Yes","No")</f>
        <v>Yes</v>
      </c>
      <c r="AA1650" s="4" t="str" cm="1">
        <f t="array" ref="AA1650">_xlfn.IFS(Table1[[#This Row],[Customer_Satisfaction]]&lt;=2,"Poor",Table1[[#This Row],[Customer_Satisfaction]]=3,"Neutral",Table1[[#This Row],[Customer_Satisfaction]]=4,"Good",Table1[[#This Row],[Customer_Satisfaction]]=5,"Good")</f>
        <v>Poor</v>
      </c>
    </row>
    <row r="1651" spans="1:27" x14ac:dyDescent="0.35">
      <c r="A1651">
        <v>21649</v>
      </c>
      <c r="B1651" s="1">
        <v>45303</v>
      </c>
      <c r="C1651" t="s">
        <v>30</v>
      </c>
      <c r="D1651" t="s">
        <v>59</v>
      </c>
      <c r="E1651" t="s">
        <v>78</v>
      </c>
      <c r="F1651" t="s">
        <v>22</v>
      </c>
      <c r="G1651" t="s">
        <v>54</v>
      </c>
      <c r="H1651" t="s">
        <v>42</v>
      </c>
      <c r="I1651" t="s">
        <v>25</v>
      </c>
      <c r="J1651" t="s">
        <v>35</v>
      </c>
      <c r="K1651" t="s">
        <v>61</v>
      </c>
      <c r="L1651" t="s">
        <v>49</v>
      </c>
      <c r="M1651" s="4">
        <v>15</v>
      </c>
      <c r="N1651" s="4">
        <v>7</v>
      </c>
      <c r="O1651" t="s">
        <v>29</v>
      </c>
      <c r="P1651" t="s">
        <v>29</v>
      </c>
      <c r="Q1651" s="4">
        <v>90513</v>
      </c>
      <c r="R1651" s="4">
        <v>75827</v>
      </c>
      <c r="S1651" s="4">
        <f>Table1[[#This Row],[Service_Revenue]]-Table1[[#This Row],[Service_Cost]]</f>
        <v>14686</v>
      </c>
      <c r="T1651" s="4">
        <v>1</v>
      </c>
      <c r="U1651" s="4">
        <f>IF(AND(Table1[[#This Row],[Rework_Flag]]="Yes",Table1[[#This Row],[Warranty_Claim]]="No"),Table1[[#This Row],[Service_Revenue]],0)</f>
        <v>0</v>
      </c>
      <c r="V1651" s="4">
        <f>IF(Table1[[#This Row],[Warranty_Claim]]="Yes",1,0)</f>
        <v>1</v>
      </c>
      <c r="W1651" s="4">
        <f>IF(Table1[[#This Row],[Rework_Flag]]="No",1,0)</f>
        <v>0</v>
      </c>
      <c r="X1651" s="4">
        <f>IF(Table1[[#This Row],[Rework_Flag]]="Yes",1,0)</f>
        <v>1</v>
      </c>
      <c r="Y1651" s="4">
        <v>1</v>
      </c>
      <c r="Z1651" s="4" t="str">
        <f>IF(Table1[[#This Row],[TAT_Days]]&gt;Table1[[#This Row],[SLA_TAT]],"Yes","No")</f>
        <v>Yes</v>
      </c>
      <c r="AA1651" s="4" t="str" cm="1">
        <f t="array" ref="AA1651">_xlfn.IFS(Table1[[#This Row],[Customer_Satisfaction]]&lt;=2,"Poor",Table1[[#This Row],[Customer_Satisfaction]]=3,"Neutral",Table1[[#This Row],[Customer_Satisfaction]]=4,"Good",Table1[[#This Row],[Customer_Satisfaction]]=5,"Good")</f>
        <v>Poor</v>
      </c>
    </row>
    <row r="1652" spans="1:27" x14ac:dyDescent="0.35">
      <c r="A1652">
        <v>21650</v>
      </c>
      <c r="B1652" s="1">
        <v>45469</v>
      </c>
      <c r="C1652" t="s">
        <v>37</v>
      </c>
      <c r="D1652" t="s">
        <v>64</v>
      </c>
      <c r="E1652" t="s">
        <v>72</v>
      </c>
      <c r="F1652" t="s">
        <v>53</v>
      </c>
      <c r="G1652" t="s">
        <v>74</v>
      </c>
      <c r="H1652" t="s">
        <v>34</v>
      </c>
      <c r="I1652" t="s">
        <v>55</v>
      </c>
      <c r="J1652" t="s">
        <v>43</v>
      </c>
      <c r="K1652" t="s">
        <v>61</v>
      </c>
      <c r="L1652" t="s">
        <v>49</v>
      </c>
      <c r="M1652" s="4">
        <v>13</v>
      </c>
      <c r="N1652" s="4">
        <v>7</v>
      </c>
      <c r="O1652" t="s">
        <v>29</v>
      </c>
      <c r="P1652" t="s">
        <v>36</v>
      </c>
      <c r="Q1652" s="4">
        <v>229745</v>
      </c>
      <c r="R1652" s="4">
        <v>189190</v>
      </c>
      <c r="S1652" s="4">
        <f>Table1[[#This Row],[Service_Revenue]]-Table1[[#This Row],[Service_Cost]]</f>
        <v>40555</v>
      </c>
      <c r="T1652" s="4">
        <v>2</v>
      </c>
      <c r="U1652" s="4">
        <f>IF(AND(Table1[[#This Row],[Rework_Flag]]="Yes",Table1[[#This Row],[Warranty_Claim]]="No"),Table1[[#This Row],[Service_Revenue]],0)</f>
        <v>229745</v>
      </c>
      <c r="V1652" s="4">
        <f>IF(Table1[[#This Row],[Warranty_Claim]]="Yes",1,0)</f>
        <v>0</v>
      </c>
      <c r="W1652" s="4">
        <f>IF(Table1[[#This Row],[Rework_Flag]]="No",1,0)</f>
        <v>0</v>
      </c>
      <c r="X1652" s="4">
        <f>IF(Table1[[#This Row],[Rework_Flag]]="Yes",1,0)</f>
        <v>1</v>
      </c>
      <c r="Y1652" s="4">
        <v>1</v>
      </c>
      <c r="Z1652" s="4" t="str">
        <f>IF(Table1[[#This Row],[TAT_Days]]&gt;Table1[[#This Row],[SLA_TAT]],"Yes","No")</f>
        <v>Yes</v>
      </c>
      <c r="AA1652" s="4" t="str" cm="1">
        <f t="array" ref="AA1652">_xlfn.IFS(Table1[[#This Row],[Customer_Satisfaction]]&lt;=2,"Poor",Table1[[#This Row],[Customer_Satisfaction]]=3,"Neutral",Table1[[#This Row],[Customer_Satisfaction]]=4,"Good",Table1[[#This Row],[Customer_Satisfaction]]=5,"Good")</f>
        <v>Poor</v>
      </c>
    </row>
    <row r="1653" spans="1:27" x14ac:dyDescent="0.35">
      <c r="A1653">
        <v>21651</v>
      </c>
      <c r="B1653" s="1">
        <v>45377</v>
      </c>
      <c r="C1653" t="s">
        <v>50</v>
      </c>
      <c r="D1653" t="s">
        <v>80</v>
      </c>
      <c r="E1653" t="s">
        <v>118</v>
      </c>
      <c r="F1653" t="s">
        <v>53</v>
      </c>
      <c r="G1653" t="s">
        <v>33</v>
      </c>
      <c r="H1653" t="s">
        <v>34</v>
      </c>
      <c r="I1653" t="s">
        <v>25</v>
      </c>
      <c r="J1653" t="s">
        <v>67</v>
      </c>
      <c r="K1653" t="s">
        <v>61</v>
      </c>
      <c r="L1653" t="s">
        <v>28</v>
      </c>
      <c r="M1653" s="4">
        <v>20</v>
      </c>
      <c r="N1653" s="4">
        <v>7</v>
      </c>
      <c r="O1653" t="s">
        <v>29</v>
      </c>
      <c r="P1653" t="s">
        <v>29</v>
      </c>
      <c r="Q1653" s="4">
        <v>551876</v>
      </c>
      <c r="R1653" s="4">
        <v>348252</v>
      </c>
      <c r="S1653" s="4">
        <f>Table1[[#This Row],[Service_Revenue]]-Table1[[#This Row],[Service_Cost]]</f>
        <v>203624</v>
      </c>
      <c r="T1653" s="4">
        <v>1</v>
      </c>
      <c r="U1653" s="4">
        <f>IF(AND(Table1[[#This Row],[Rework_Flag]]="Yes",Table1[[#This Row],[Warranty_Claim]]="No"),Table1[[#This Row],[Service_Revenue]],0)</f>
        <v>0</v>
      </c>
      <c r="V1653" s="4">
        <f>IF(Table1[[#This Row],[Warranty_Claim]]="Yes",1,0)</f>
        <v>1</v>
      </c>
      <c r="W1653" s="4">
        <f>IF(Table1[[#This Row],[Rework_Flag]]="No",1,0)</f>
        <v>0</v>
      </c>
      <c r="X1653" s="4">
        <f>IF(Table1[[#This Row],[Rework_Flag]]="Yes",1,0)</f>
        <v>1</v>
      </c>
      <c r="Y1653" s="4">
        <v>1</v>
      </c>
      <c r="Z1653" s="4" t="str">
        <f>IF(Table1[[#This Row],[TAT_Days]]&gt;Table1[[#This Row],[SLA_TAT]],"Yes","No")</f>
        <v>Yes</v>
      </c>
      <c r="AA1653" s="4" t="str" cm="1">
        <f t="array" ref="AA1653">_xlfn.IFS(Table1[[#This Row],[Customer_Satisfaction]]&lt;=2,"Poor",Table1[[#This Row],[Customer_Satisfaction]]=3,"Neutral",Table1[[#This Row],[Customer_Satisfaction]]=4,"Good",Table1[[#This Row],[Customer_Satisfaction]]=5,"Good")</f>
        <v>Poor</v>
      </c>
    </row>
    <row r="1654" spans="1:27" x14ac:dyDescent="0.35">
      <c r="A1654">
        <v>21652</v>
      </c>
      <c r="B1654" s="1">
        <v>45428</v>
      </c>
      <c r="C1654" t="s">
        <v>19</v>
      </c>
      <c r="D1654" t="s">
        <v>96</v>
      </c>
      <c r="E1654" t="s">
        <v>98</v>
      </c>
      <c r="F1654" t="s">
        <v>40</v>
      </c>
      <c r="G1654" t="s">
        <v>33</v>
      </c>
      <c r="H1654" t="s">
        <v>34</v>
      </c>
      <c r="I1654" t="s">
        <v>55</v>
      </c>
      <c r="J1654" t="s">
        <v>58</v>
      </c>
      <c r="K1654" t="s">
        <v>61</v>
      </c>
      <c r="L1654" t="s">
        <v>28</v>
      </c>
      <c r="M1654" s="4">
        <v>14</v>
      </c>
      <c r="N1654" s="4">
        <v>7</v>
      </c>
      <c r="O1654" t="s">
        <v>29</v>
      </c>
      <c r="P1654" t="s">
        <v>36</v>
      </c>
      <c r="Q1654" s="4">
        <v>301911</v>
      </c>
      <c r="R1654" s="4">
        <v>198776</v>
      </c>
      <c r="S1654" s="4">
        <f>Table1[[#This Row],[Service_Revenue]]-Table1[[#This Row],[Service_Cost]]</f>
        <v>103135</v>
      </c>
      <c r="T1654" s="4">
        <v>2</v>
      </c>
      <c r="U1654" s="4">
        <f>IF(AND(Table1[[#This Row],[Rework_Flag]]="Yes",Table1[[#This Row],[Warranty_Claim]]="No"),Table1[[#This Row],[Service_Revenue]],0)</f>
        <v>301911</v>
      </c>
      <c r="V1654" s="4">
        <f>IF(Table1[[#This Row],[Warranty_Claim]]="Yes",1,0)</f>
        <v>0</v>
      </c>
      <c r="W1654" s="4">
        <f>IF(Table1[[#This Row],[Rework_Flag]]="No",1,0)</f>
        <v>0</v>
      </c>
      <c r="X1654" s="4">
        <f>IF(Table1[[#This Row],[Rework_Flag]]="Yes",1,0)</f>
        <v>1</v>
      </c>
      <c r="Y1654" s="4">
        <v>1</v>
      </c>
      <c r="Z1654" s="4" t="str">
        <f>IF(Table1[[#This Row],[TAT_Days]]&gt;Table1[[#This Row],[SLA_TAT]],"Yes","No")</f>
        <v>Yes</v>
      </c>
      <c r="AA1654" s="4" t="str" cm="1">
        <f t="array" ref="AA1654">_xlfn.IFS(Table1[[#This Row],[Customer_Satisfaction]]&lt;=2,"Poor",Table1[[#This Row],[Customer_Satisfaction]]=3,"Neutral",Table1[[#This Row],[Customer_Satisfaction]]=4,"Good",Table1[[#This Row],[Customer_Satisfaction]]=5,"Good")</f>
        <v>Poor</v>
      </c>
    </row>
    <row r="1655" spans="1:27" x14ac:dyDescent="0.35">
      <c r="A1655">
        <v>21653</v>
      </c>
      <c r="B1655" s="1">
        <v>45410</v>
      </c>
      <c r="C1655" t="s">
        <v>50</v>
      </c>
      <c r="D1655" t="s">
        <v>56</v>
      </c>
      <c r="E1655" t="s">
        <v>57</v>
      </c>
      <c r="F1655" t="s">
        <v>40</v>
      </c>
      <c r="G1655" t="s">
        <v>74</v>
      </c>
      <c r="H1655" t="s">
        <v>34</v>
      </c>
      <c r="I1655" t="s">
        <v>55</v>
      </c>
      <c r="J1655" t="s">
        <v>35</v>
      </c>
      <c r="K1655" t="s">
        <v>44</v>
      </c>
      <c r="L1655" t="s">
        <v>28</v>
      </c>
      <c r="M1655" s="4">
        <v>4</v>
      </c>
      <c r="N1655" s="4">
        <v>7</v>
      </c>
      <c r="O1655" t="s">
        <v>29</v>
      </c>
      <c r="P1655" t="s">
        <v>36</v>
      </c>
      <c r="Q1655" s="4">
        <v>435110</v>
      </c>
      <c r="R1655" s="4">
        <v>330613</v>
      </c>
      <c r="S1655" s="4">
        <f>Table1[[#This Row],[Service_Revenue]]-Table1[[#This Row],[Service_Cost]]</f>
        <v>104497</v>
      </c>
      <c r="T1655" s="4">
        <v>4</v>
      </c>
      <c r="U1655" s="4">
        <f>IF(AND(Table1[[#This Row],[Rework_Flag]]="Yes",Table1[[#This Row],[Warranty_Claim]]="No"),Table1[[#This Row],[Service_Revenue]],0)</f>
        <v>435110</v>
      </c>
      <c r="V1655" s="4">
        <f>IF(Table1[[#This Row],[Warranty_Claim]]="Yes",1,0)</f>
        <v>0</v>
      </c>
      <c r="W1655" s="4">
        <f>IF(Table1[[#This Row],[Rework_Flag]]="No",1,0)</f>
        <v>0</v>
      </c>
      <c r="X1655" s="4">
        <f>IF(Table1[[#This Row],[Rework_Flag]]="Yes",1,0)</f>
        <v>1</v>
      </c>
      <c r="Y1655" s="4">
        <v>1</v>
      </c>
      <c r="Z1655" s="4" t="str">
        <f>IF(Table1[[#This Row],[TAT_Days]]&gt;Table1[[#This Row],[SLA_TAT]],"Yes","No")</f>
        <v>No</v>
      </c>
      <c r="AA1655" s="4" t="str" cm="1">
        <f t="array" ref="AA1655">_xlfn.IFS(Table1[[#This Row],[Customer_Satisfaction]]&lt;=2,"Poor",Table1[[#This Row],[Customer_Satisfaction]]=3,"Neutral",Table1[[#This Row],[Customer_Satisfaction]]=4,"Good",Table1[[#This Row],[Customer_Satisfaction]]=5,"Good")</f>
        <v>Good</v>
      </c>
    </row>
    <row r="1656" spans="1:27" x14ac:dyDescent="0.35">
      <c r="A1656">
        <v>21654</v>
      </c>
      <c r="B1656" s="1">
        <v>45354</v>
      </c>
      <c r="C1656" t="s">
        <v>30</v>
      </c>
      <c r="D1656" t="s">
        <v>59</v>
      </c>
      <c r="E1656" t="s">
        <v>60</v>
      </c>
      <c r="F1656" t="s">
        <v>22</v>
      </c>
      <c r="G1656" t="s">
        <v>41</v>
      </c>
      <c r="H1656" t="s">
        <v>42</v>
      </c>
      <c r="I1656" t="s">
        <v>25</v>
      </c>
      <c r="J1656" t="s">
        <v>58</v>
      </c>
      <c r="K1656" t="s">
        <v>44</v>
      </c>
      <c r="L1656" t="s">
        <v>28</v>
      </c>
      <c r="M1656" s="4">
        <v>2</v>
      </c>
      <c r="N1656" s="4">
        <v>7</v>
      </c>
      <c r="O1656" t="s">
        <v>29</v>
      </c>
      <c r="P1656" t="s">
        <v>36</v>
      </c>
      <c r="Q1656" s="4">
        <v>313066</v>
      </c>
      <c r="R1656" s="4">
        <v>219054</v>
      </c>
      <c r="S1656" s="4">
        <f>Table1[[#This Row],[Service_Revenue]]-Table1[[#This Row],[Service_Cost]]</f>
        <v>94012</v>
      </c>
      <c r="T1656" s="4">
        <v>4</v>
      </c>
      <c r="U1656" s="4">
        <f>IF(AND(Table1[[#This Row],[Rework_Flag]]="Yes",Table1[[#This Row],[Warranty_Claim]]="No"),Table1[[#This Row],[Service_Revenue]],0)</f>
        <v>313066</v>
      </c>
      <c r="V1656" s="4">
        <f>IF(Table1[[#This Row],[Warranty_Claim]]="Yes",1,0)</f>
        <v>0</v>
      </c>
      <c r="W1656" s="4">
        <f>IF(Table1[[#This Row],[Rework_Flag]]="No",1,0)</f>
        <v>0</v>
      </c>
      <c r="X1656" s="4">
        <f>IF(Table1[[#This Row],[Rework_Flag]]="Yes",1,0)</f>
        <v>1</v>
      </c>
      <c r="Y1656" s="4">
        <v>1</v>
      </c>
      <c r="Z1656" s="4" t="str">
        <f>IF(Table1[[#This Row],[TAT_Days]]&gt;Table1[[#This Row],[SLA_TAT]],"Yes","No")</f>
        <v>No</v>
      </c>
      <c r="AA1656" s="4" t="str" cm="1">
        <f t="array" ref="AA1656">_xlfn.IFS(Table1[[#This Row],[Customer_Satisfaction]]&lt;=2,"Poor",Table1[[#This Row],[Customer_Satisfaction]]=3,"Neutral",Table1[[#This Row],[Customer_Satisfaction]]=4,"Good",Table1[[#This Row],[Customer_Satisfaction]]=5,"Good")</f>
        <v>Good</v>
      </c>
    </row>
    <row r="1657" spans="1:27" x14ac:dyDescent="0.35">
      <c r="A1657">
        <v>21655</v>
      </c>
      <c r="B1657" s="1">
        <v>45406</v>
      </c>
      <c r="C1657" t="s">
        <v>50</v>
      </c>
      <c r="D1657" t="s">
        <v>56</v>
      </c>
      <c r="E1657" t="s">
        <v>68</v>
      </c>
      <c r="F1657" t="s">
        <v>53</v>
      </c>
      <c r="G1657" t="s">
        <v>33</v>
      </c>
      <c r="H1657" t="s">
        <v>34</v>
      </c>
      <c r="I1657" t="s">
        <v>55</v>
      </c>
      <c r="J1657" t="s">
        <v>35</v>
      </c>
      <c r="K1657" t="s">
        <v>61</v>
      </c>
      <c r="L1657" t="s">
        <v>49</v>
      </c>
      <c r="M1657" s="4">
        <v>4</v>
      </c>
      <c r="N1657" s="4">
        <v>7</v>
      </c>
      <c r="O1657" t="s">
        <v>29</v>
      </c>
      <c r="P1657" t="s">
        <v>29</v>
      </c>
      <c r="Q1657" s="4">
        <v>120593</v>
      </c>
      <c r="R1657" s="4">
        <v>71519</v>
      </c>
      <c r="S1657" s="4">
        <f>Table1[[#This Row],[Service_Revenue]]-Table1[[#This Row],[Service_Cost]]</f>
        <v>49074</v>
      </c>
      <c r="T1657" s="4">
        <v>4</v>
      </c>
      <c r="U1657" s="4">
        <f>IF(AND(Table1[[#This Row],[Rework_Flag]]="Yes",Table1[[#This Row],[Warranty_Claim]]="No"),Table1[[#This Row],[Service_Revenue]],0)</f>
        <v>0</v>
      </c>
      <c r="V1657" s="4">
        <f>IF(Table1[[#This Row],[Warranty_Claim]]="Yes",1,0)</f>
        <v>1</v>
      </c>
      <c r="W1657" s="4">
        <f>IF(Table1[[#This Row],[Rework_Flag]]="No",1,0)</f>
        <v>0</v>
      </c>
      <c r="X1657" s="4">
        <f>IF(Table1[[#This Row],[Rework_Flag]]="Yes",1,0)</f>
        <v>1</v>
      </c>
      <c r="Y1657" s="4">
        <v>1</v>
      </c>
      <c r="Z1657" s="4" t="str">
        <f>IF(Table1[[#This Row],[TAT_Days]]&gt;Table1[[#This Row],[SLA_TAT]],"Yes","No")</f>
        <v>No</v>
      </c>
      <c r="AA1657" s="4" t="str" cm="1">
        <f t="array" ref="AA1657">_xlfn.IFS(Table1[[#This Row],[Customer_Satisfaction]]&lt;=2,"Poor",Table1[[#This Row],[Customer_Satisfaction]]=3,"Neutral",Table1[[#This Row],[Customer_Satisfaction]]=4,"Good",Table1[[#This Row],[Customer_Satisfaction]]=5,"Good")</f>
        <v>Good</v>
      </c>
    </row>
    <row r="1658" spans="1:27" x14ac:dyDescent="0.35">
      <c r="A1658">
        <v>21656</v>
      </c>
      <c r="B1658" s="1">
        <v>45352</v>
      </c>
      <c r="C1658" t="s">
        <v>19</v>
      </c>
      <c r="D1658" t="s">
        <v>20</v>
      </c>
      <c r="E1658" t="s">
        <v>110</v>
      </c>
      <c r="F1658" t="s">
        <v>53</v>
      </c>
      <c r="G1658" t="s">
        <v>23</v>
      </c>
      <c r="H1658" t="s">
        <v>24</v>
      </c>
      <c r="I1658" t="s">
        <v>25</v>
      </c>
      <c r="J1658" t="s">
        <v>58</v>
      </c>
      <c r="K1658" t="s">
        <v>27</v>
      </c>
      <c r="L1658" t="s">
        <v>28</v>
      </c>
      <c r="M1658" s="4">
        <v>20</v>
      </c>
      <c r="N1658" s="4">
        <v>7</v>
      </c>
      <c r="O1658" t="s">
        <v>29</v>
      </c>
      <c r="P1658" t="s">
        <v>29</v>
      </c>
      <c r="Q1658" s="4">
        <v>167190</v>
      </c>
      <c r="R1658" s="4">
        <v>137885</v>
      </c>
      <c r="S1658" s="4">
        <f>Table1[[#This Row],[Service_Revenue]]-Table1[[#This Row],[Service_Cost]]</f>
        <v>29305</v>
      </c>
      <c r="T1658" s="4">
        <v>1</v>
      </c>
      <c r="U1658" s="4">
        <f>IF(AND(Table1[[#This Row],[Rework_Flag]]="Yes",Table1[[#This Row],[Warranty_Claim]]="No"),Table1[[#This Row],[Service_Revenue]],0)</f>
        <v>0</v>
      </c>
      <c r="V1658" s="4">
        <f>IF(Table1[[#This Row],[Warranty_Claim]]="Yes",1,0)</f>
        <v>1</v>
      </c>
      <c r="W1658" s="4">
        <f>IF(Table1[[#This Row],[Rework_Flag]]="No",1,0)</f>
        <v>0</v>
      </c>
      <c r="X1658" s="4">
        <f>IF(Table1[[#This Row],[Rework_Flag]]="Yes",1,0)</f>
        <v>1</v>
      </c>
      <c r="Y1658" s="4">
        <v>1</v>
      </c>
      <c r="Z1658" s="4" t="str">
        <f>IF(Table1[[#This Row],[TAT_Days]]&gt;Table1[[#This Row],[SLA_TAT]],"Yes","No")</f>
        <v>Yes</v>
      </c>
      <c r="AA1658" s="4" t="str" cm="1">
        <f t="array" ref="AA1658">_xlfn.IFS(Table1[[#This Row],[Customer_Satisfaction]]&lt;=2,"Poor",Table1[[#This Row],[Customer_Satisfaction]]=3,"Neutral",Table1[[#This Row],[Customer_Satisfaction]]=4,"Good",Table1[[#This Row],[Customer_Satisfaction]]=5,"Good")</f>
        <v>Poor</v>
      </c>
    </row>
    <row r="1659" spans="1:27" x14ac:dyDescent="0.35">
      <c r="A1659">
        <v>21657</v>
      </c>
      <c r="B1659" s="1">
        <v>45426</v>
      </c>
      <c r="C1659" t="s">
        <v>19</v>
      </c>
      <c r="D1659" t="s">
        <v>45</v>
      </c>
      <c r="E1659" t="s">
        <v>111</v>
      </c>
      <c r="F1659" t="s">
        <v>53</v>
      </c>
      <c r="G1659" t="s">
        <v>47</v>
      </c>
      <c r="H1659" t="s">
        <v>48</v>
      </c>
      <c r="I1659" t="s">
        <v>25</v>
      </c>
      <c r="J1659" t="s">
        <v>35</v>
      </c>
      <c r="K1659" t="s">
        <v>61</v>
      </c>
      <c r="L1659" t="s">
        <v>49</v>
      </c>
      <c r="M1659" s="4">
        <v>12</v>
      </c>
      <c r="N1659" s="4">
        <v>7</v>
      </c>
      <c r="O1659" t="s">
        <v>29</v>
      </c>
      <c r="P1659" t="s">
        <v>36</v>
      </c>
      <c r="Q1659" s="4">
        <v>462814</v>
      </c>
      <c r="R1659" s="4">
        <v>299324</v>
      </c>
      <c r="S1659" s="4">
        <f>Table1[[#This Row],[Service_Revenue]]-Table1[[#This Row],[Service_Cost]]</f>
        <v>163490</v>
      </c>
      <c r="T1659" s="4">
        <v>2</v>
      </c>
      <c r="U1659" s="4">
        <f>IF(AND(Table1[[#This Row],[Rework_Flag]]="Yes",Table1[[#This Row],[Warranty_Claim]]="No"),Table1[[#This Row],[Service_Revenue]],0)</f>
        <v>462814</v>
      </c>
      <c r="V1659" s="4">
        <f>IF(Table1[[#This Row],[Warranty_Claim]]="Yes",1,0)</f>
        <v>0</v>
      </c>
      <c r="W1659" s="4">
        <f>IF(Table1[[#This Row],[Rework_Flag]]="No",1,0)</f>
        <v>0</v>
      </c>
      <c r="X1659" s="4">
        <f>IF(Table1[[#This Row],[Rework_Flag]]="Yes",1,0)</f>
        <v>1</v>
      </c>
      <c r="Y1659" s="4">
        <v>1</v>
      </c>
      <c r="Z1659" s="4" t="str">
        <f>IF(Table1[[#This Row],[TAT_Days]]&gt;Table1[[#This Row],[SLA_TAT]],"Yes","No")</f>
        <v>Yes</v>
      </c>
      <c r="AA1659" s="4" t="str" cm="1">
        <f t="array" ref="AA1659">_xlfn.IFS(Table1[[#This Row],[Customer_Satisfaction]]&lt;=2,"Poor",Table1[[#This Row],[Customer_Satisfaction]]=3,"Neutral",Table1[[#This Row],[Customer_Satisfaction]]=4,"Good",Table1[[#This Row],[Customer_Satisfaction]]=5,"Good")</f>
        <v>Poor</v>
      </c>
    </row>
    <row r="1660" spans="1:27" x14ac:dyDescent="0.35">
      <c r="A1660">
        <v>21658</v>
      </c>
      <c r="B1660" s="1">
        <v>45371</v>
      </c>
      <c r="C1660" t="s">
        <v>37</v>
      </c>
      <c r="D1660" t="s">
        <v>64</v>
      </c>
      <c r="E1660" t="s">
        <v>87</v>
      </c>
      <c r="F1660" t="s">
        <v>53</v>
      </c>
      <c r="G1660" t="s">
        <v>47</v>
      </c>
      <c r="H1660" t="s">
        <v>48</v>
      </c>
      <c r="I1660" t="s">
        <v>55</v>
      </c>
      <c r="J1660" t="s">
        <v>35</v>
      </c>
      <c r="K1660" t="s">
        <v>27</v>
      </c>
      <c r="L1660" t="s">
        <v>49</v>
      </c>
      <c r="M1660" s="4">
        <v>7</v>
      </c>
      <c r="N1660" s="4">
        <v>7</v>
      </c>
      <c r="O1660" t="s">
        <v>36</v>
      </c>
      <c r="P1660" t="s">
        <v>36</v>
      </c>
      <c r="Q1660" s="4">
        <v>286063</v>
      </c>
      <c r="R1660" s="4">
        <v>145970</v>
      </c>
      <c r="S1660" s="4">
        <f>Table1[[#This Row],[Service_Revenue]]-Table1[[#This Row],[Service_Cost]]</f>
        <v>140093</v>
      </c>
      <c r="T1660" s="4">
        <v>4</v>
      </c>
      <c r="U1660" s="4">
        <f>IF(AND(Table1[[#This Row],[Rework_Flag]]="Yes",Table1[[#This Row],[Warranty_Claim]]="No"),Table1[[#This Row],[Service_Revenue]],0)</f>
        <v>0</v>
      </c>
      <c r="V1660" s="4">
        <f>IF(Table1[[#This Row],[Warranty_Claim]]="Yes",1,0)</f>
        <v>0</v>
      </c>
      <c r="W1660" s="4">
        <f>IF(Table1[[#This Row],[Rework_Flag]]="No",1,0)</f>
        <v>1</v>
      </c>
      <c r="X1660" s="4">
        <f>IF(Table1[[#This Row],[Rework_Flag]]="Yes",1,0)</f>
        <v>0</v>
      </c>
      <c r="Y1660" s="4">
        <v>1</v>
      </c>
      <c r="Z1660" s="4" t="str">
        <f>IF(Table1[[#This Row],[TAT_Days]]&gt;Table1[[#This Row],[SLA_TAT]],"Yes","No")</f>
        <v>No</v>
      </c>
      <c r="AA1660" s="4" t="str" cm="1">
        <f t="array" ref="AA1660">_xlfn.IFS(Table1[[#This Row],[Customer_Satisfaction]]&lt;=2,"Poor",Table1[[#This Row],[Customer_Satisfaction]]=3,"Neutral",Table1[[#This Row],[Customer_Satisfaction]]=4,"Good",Table1[[#This Row],[Customer_Satisfaction]]=5,"Good")</f>
        <v>Good</v>
      </c>
    </row>
    <row r="1661" spans="1:27" x14ac:dyDescent="0.35">
      <c r="A1661">
        <v>21659</v>
      </c>
      <c r="B1661" s="1">
        <v>45299</v>
      </c>
      <c r="C1661" t="s">
        <v>30</v>
      </c>
      <c r="D1661" t="s">
        <v>59</v>
      </c>
      <c r="E1661" t="s">
        <v>69</v>
      </c>
      <c r="F1661" t="s">
        <v>40</v>
      </c>
      <c r="G1661" t="s">
        <v>23</v>
      </c>
      <c r="H1661" t="s">
        <v>24</v>
      </c>
      <c r="I1661" t="s">
        <v>55</v>
      </c>
      <c r="J1661" t="s">
        <v>35</v>
      </c>
      <c r="K1661" t="s">
        <v>61</v>
      </c>
      <c r="L1661" t="s">
        <v>28</v>
      </c>
      <c r="M1661" s="4">
        <v>25</v>
      </c>
      <c r="N1661" s="4">
        <v>7</v>
      </c>
      <c r="O1661" t="s">
        <v>36</v>
      </c>
      <c r="P1661" t="s">
        <v>36</v>
      </c>
      <c r="Q1661" s="4">
        <v>282407</v>
      </c>
      <c r="R1661" s="4">
        <v>215503</v>
      </c>
      <c r="S1661" s="4">
        <f>Table1[[#This Row],[Service_Revenue]]-Table1[[#This Row],[Service_Cost]]</f>
        <v>66904</v>
      </c>
      <c r="T1661" s="4">
        <v>1</v>
      </c>
      <c r="U1661" s="4">
        <f>IF(AND(Table1[[#This Row],[Rework_Flag]]="Yes",Table1[[#This Row],[Warranty_Claim]]="No"),Table1[[#This Row],[Service_Revenue]],0)</f>
        <v>0</v>
      </c>
      <c r="V1661" s="4">
        <f>IF(Table1[[#This Row],[Warranty_Claim]]="Yes",1,0)</f>
        <v>0</v>
      </c>
      <c r="W1661" s="4">
        <f>IF(Table1[[#This Row],[Rework_Flag]]="No",1,0)</f>
        <v>1</v>
      </c>
      <c r="X1661" s="4">
        <f>IF(Table1[[#This Row],[Rework_Flag]]="Yes",1,0)</f>
        <v>0</v>
      </c>
      <c r="Y1661" s="4">
        <v>1</v>
      </c>
      <c r="Z1661" s="4" t="str">
        <f>IF(Table1[[#This Row],[TAT_Days]]&gt;Table1[[#This Row],[SLA_TAT]],"Yes","No")</f>
        <v>Yes</v>
      </c>
      <c r="AA1661" s="4" t="str" cm="1">
        <f t="array" ref="AA1661">_xlfn.IFS(Table1[[#This Row],[Customer_Satisfaction]]&lt;=2,"Poor",Table1[[#This Row],[Customer_Satisfaction]]=3,"Neutral",Table1[[#This Row],[Customer_Satisfaction]]=4,"Good",Table1[[#This Row],[Customer_Satisfaction]]=5,"Good")</f>
        <v>Poor</v>
      </c>
    </row>
    <row r="1662" spans="1:27" x14ac:dyDescent="0.35">
      <c r="A1662">
        <v>21660</v>
      </c>
      <c r="B1662" s="1">
        <v>45455</v>
      </c>
      <c r="C1662" t="s">
        <v>30</v>
      </c>
      <c r="D1662" t="s">
        <v>59</v>
      </c>
      <c r="E1662" t="s">
        <v>69</v>
      </c>
      <c r="F1662" t="s">
        <v>40</v>
      </c>
      <c r="G1662" t="s">
        <v>23</v>
      </c>
      <c r="H1662" t="s">
        <v>24</v>
      </c>
      <c r="I1662" t="s">
        <v>25</v>
      </c>
      <c r="J1662" t="s">
        <v>58</v>
      </c>
      <c r="K1662" t="s">
        <v>27</v>
      </c>
      <c r="L1662" t="s">
        <v>28</v>
      </c>
      <c r="M1662" s="4">
        <v>5</v>
      </c>
      <c r="N1662" s="4">
        <v>7</v>
      </c>
      <c r="O1662" t="s">
        <v>29</v>
      </c>
      <c r="P1662" t="s">
        <v>36</v>
      </c>
      <c r="Q1662" s="4">
        <v>357762</v>
      </c>
      <c r="R1662" s="4">
        <v>186800</v>
      </c>
      <c r="S1662" s="4">
        <f>Table1[[#This Row],[Service_Revenue]]-Table1[[#This Row],[Service_Cost]]</f>
        <v>170962</v>
      </c>
      <c r="T1662" s="4">
        <v>3</v>
      </c>
      <c r="U1662" s="4">
        <f>IF(AND(Table1[[#This Row],[Rework_Flag]]="Yes",Table1[[#This Row],[Warranty_Claim]]="No"),Table1[[#This Row],[Service_Revenue]],0)</f>
        <v>357762</v>
      </c>
      <c r="V1662" s="4">
        <f>IF(Table1[[#This Row],[Warranty_Claim]]="Yes",1,0)</f>
        <v>0</v>
      </c>
      <c r="W1662" s="4">
        <f>IF(Table1[[#This Row],[Rework_Flag]]="No",1,0)</f>
        <v>0</v>
      </c>
      <c r="X1662" s="4">
        <f>IF(Table1[[#This Row],[Rework_Flag]]="Yes",1,0)</f>
        <v>1</v>
      </c>
      <c r="Y1662" s="4">
        <v>1</v>
      </c>
      <c r="Z1662" s="4" t="str">
        <f>IF(Table1[[#This Row],[TAT_Days]]&gt;Table1[[#This Row],[SLA_TAT]],"Yes","No")</f>
        <v>No</v>
      </c>
      <c r="AA1662" s="4" t="str" cm="1">
        <f t="array" ref="AA1662">_xlfn.IFS(Table1[[#This Row],[Customer_Satisfaction]]&lt;=2,"Poor",Table1[[#This Row],[Customer_Satisfaction]]=3,"Neutral",Table1[[#This Row],[Customer_Satisfaction]]=4,"Good",Table1[[#This Row],[Customer_Satisfaction]]=5,"Good")</f>
        <v>Neutral</v>
      </c>
    </row>
    <row r="1663" spans="1:27" x14ac:dyDescent="0.35">
      <c r="A1663">
        <v>21661</v>
      </c>
      <c r="B1663" s="1">
        <v>45353</v>
      </c>
      <c r="C1663" t="s">
        <v>19</v>
      </c>
      <c r="D1663" t="s">
        <v>20</v>
      </c>
      <c r="E1663" t="s">
        <v>117</v>
      </c>
      <c r="F1663" t="s">
        <v>40</v>
      </c>
      <c r="G1663" t="s">
        <v>33</v>
      </c>
      <c r="H1663" t="s">
        <v>34</v>
      </c>
      <c r="I1663" t="s">
        <v>55</v>
      </c>
      <c r="J1663" t="s">
        <v>26</v>
      </c>
      <c r="K1663" t="s">
        <v>44</v>
      </c>
      <c r="L1663" t="s">
        <v>49</v>
      </c>
      <c r="M1663" s="4">
        <v>18</v>
      </c>
      <c r="N1663" s="4">
        <v>7</v>
      </c>
      <c r="O1663" t="s">
        <v>36</v>
      </c>
      <c r="P1663" t="s">
        <v>29</v>
      </c>
      <c r="Q1663" s="4">
        <v>307330</v>
      </c>
      <c r="R1663" s="4">
        <v>253067</v>
      </c>
      <c r="S1663" s="4">
        <f>Table1[[#This Row],[Service_Revenue]]-Table1[[#This Row],[Service_Cost]]</f>
        <v>54263</v>
      </c>
      <c r="T1663" s="4">
        <v>2</v>
      </c>
      <c r="U1663" s="4">
        <f>IF(AND(Table1[[#This Row],[Rework_Flag]]="Yes",Table1[[#This Row],[Warranty_Claim]]="No"),Table1[[#This Row],[Service_Revenue]],0)</f>
        <v>0</v>
      </c>
      <c r="V1663" s="4">
        <f>IF(Table1[[#This Row],[Warranty_Claim]]="Yes",1,0)</f>
        <v>1</v>
      </c>
      <c r="W1663" s="4">
        <f>IF(Table1[[#This Row],[Rework_Flag]]="No",1,0)</f>
        <v>1</v>
      </c>
      <c r="X1663" s="4">
        <f>IF(Table1[[#This Row],[Rework_Flag]]="Yes",1,0)</f>
        <v>0</v>
      </c>
      <c r="Y1663" s="4">
        <v>1</v>
      </c>
      <c r="Z1663" s="4" t="str">
        <f>IF(Table1[[#This Row],[TAT_Days]]&gt;Table1[[#This Row],[SLA_TAT]],"Yes","No")</f>
        <v>Yes</v>
      </c>
      <c r="AA1663" s="4" t="str" cm="1">
        <f t="array" ref="AA1663">_xlfn.IFS(Table1[[#This Row],[Customer_Satisfaction]]&lt;=2,"Poor",Table1[[#This Row],[Customer_Satisfaction]]=3,"Neutral",Table1[[#This Row],[Customer_Satisfaction]]=4,"Good",Table1[[#This Row],[Customer_Satisfaction]]=5,"Good")</f>
        <v>Poor</v>
      </c>
    </row>
    <row r="1664" spans="1:27" x14ac:dyDescent="0.35">
      <c r="A1664">
        <v>21662</v>
      </c>
      <c r="B1664" s="1">
        <v>45454</v>
      </c>
      <c r="C1664" t="s">
        <v>30</v>
      </c>
      <c r="D1664" t="s">
        <v>83</v>
      </c>
      <c r="E1664" t="s">
        <v>119</v>
      </c>
      <c r="F1664" t="s">
        <v>40</v>
      </c>
      <c r="G1664" t="s">
        <v>74</v>
      </c>
      <c r="H1664" t="s">
        <v>34</v>
      </c>
      <c r="I1664" t="s">
        <v>25</v>
      </c>
      <c r="J1664" t="s">
        <v>43</v>
      </c>
      <c r="K1664" t="s">
        <v>27</v>
      </c>
      <c r="L1664" t="s">
        <v>28</v>
      </c>
      <c r="M1664" s="4">
        <v>21</v>
      </c>
      <c r="N1664" s="4">
        <v>7</v>
      </c>
      <c r="O1664" t="s">
        <v>29</v>
      </c>
      <c r="P1664" t="s">
        <v>36</v>
      </c>
      <c r="Q1664" s="4">
        <v>420328</v>
      </c>
      <c r="R1664" s="4">
        <v>216575</v>
      </c>
      <c r="S1664" s="4">
        <f>Table1[[#This Row],[Service_Revenue]]-Table1[[#This Row],[Service_Cost]]</f>
        <v>203753</v>
      </c>
      <c r="T1664" s="4">
        <v>1</v>
      </c>
      <c r="U1664" s="4">
        <f>IF(AND(Table1[[#This Row],[Rework_Flag]]="Yes",Table1[[#This Row],[Warranty_Claim]]="No"),Table1[[#This Row],[Service_Revenue]],0)</f>
        <v>420328</v>
      </c>
      <c r="V1664" s="4">
        <f>IF(Table1[[#This Row],[Warranty_Claim]]="Yes",1,0)</f>
        <v>0</v>
      </c>
      <c r="W1664" s="4">
        <f>IF(Table1[[#This Row],[Rework_Flag]]="No",1,0)</f>
        <v>0</v>
      </c>
      <c r="X1664" s="4">
        <f>IF(Table1[[#This Row],[Rework_Flag]]="Yes",1,0)</f>
        <v>1</v>
      </c>
      <c r="Y1664" s="4">
        <v>1</v>
      </c>
      <c r="Z1664" s="4" t="str">
        <f>IF(Table1[[#This Row],[TAT_Days]]&gt;Table1[[#This Row],[SLA_TAT]],"Yes","No")</f>
        <v>Yes</v>
      </c>
      <c r="AA1664" s="4" t="str" cm="1">
        <f t="array" ref="AA1664">_xlfn.IFS(Table1[[#This Row],[Customer_Satisfaction]]&lt;=2,"Poor",Table1[[#This Row],[Customer_Satisfaction]]=3,"Neutral",Table1[[#This Row],[Customer_Satisfaction]]=4,"Good",Table1[[#This Row],[Customer_Satisfaction]]=5,"Good")</f>
        <v>Poor</v>
      </c>
    </row>
    <row r="1665" spans="1:27" x14ac:dyDescent="0.35">
      <c r="A1665">
        <v>21663</v>
      </c>
      <c r="B1665" s="1">
        <v>45381</v>
      </c>
      <c r="C1665" t="s">
        <v>19</v>
      </c>
      <c r="D1665" t="s">
        <v>96</v>
      </c>
      <c r="E1665" t="s">
        <v>98</v>
      </c>
      <c r="F1665" t="s">
        <v>53</v>
      </c>
      <c r="G1665" t="s">
        <v>63</v>
      </c>
      <c r="H1665" t="s">
        <v>24</v>
      </c>
      <c r="I1665" t="s">
        <v>25</v>
      </c>
      <c r="J1665" t="s">
        <v>26</v>
      </c>
      <c r="K1665" t="s">
        <v>27</v>
      </c>
      <c r="L1665" t="s">
        <v>28</v>
      </c>
      <c r="M1665" s="4">
        <v>16</v>
      </c>
      <c r="N1665" s="4">
        <v>7</v>
      </c>
      <c r="O1665" t="s">
        <v>29</v>
      </c>
      <c r="P1665" t="s">
        <v>36</v>
      </c>
      <c r="Q1665" s="4">
        <v>109200</v>
      </c>
      <c r="R1665" s="4">
        <v>54658</v>
      </c>
      <c r="S1665" s="4">
        <f>Table1[[#This Row],[Service_Revenue]]-Table1[[#This Row],[Service_Cost]]</f>
        <v>54542</v>
      </c>
      <c r="T1665" s="4">
        <v>1</v>
      </c>
      <c r="U1665" s="4">
        <f>IF(AND(Table1[[#This Row],[Rework_Flag]]="Yes",Table1[[#This Row],[Warranty_Claim]]="No"),Table1[[#This Row],[Service_Revenue]],0)</f>
        <v>109200</v>
      </c>
      <c r="V1665" s="4">
        <f>IF(Table1[[#This Row],[Warranty_Claim]]="Yes",1,0)</f>
        <v>0</v>
      </c>
      <c r="W1665" s="4">
        <f>IF(Table1[[#This Row],[Rework_Flag]]="No",1,0)</f>
        <v>0</v>
      </c>
      <c r="X1665" s="4">
        <f>IF(Table1[[#This Row],[Rework_Flag]]="Yes",1,0)</f>
        <v>1</v>
      </c>
      <c r="Y1665" s="4">
        <v>1</v>
      </c>
      <c r="Z1665" s="4" t="str">
        <f>IF(Table1[[#This Row],[TAT_Days]]&gt;Table1[[#This Row],[SLA_TAT]],"Yes","No")</f>
        <v>Yes</v>
      </c>
      <c r="AA1665" s="4" t="str" cm="1">
        <f t="array" ref="AA1665">_xlfn.IFS(Table1[[#This Row],[Customer_Satisfaction]]&lt;=2,"Poor",Table1[[#This Row],[Customer_Satisfaction]]=3,"Neutral",Table1[[#This Row],[Customer_Satisfaction]]=4,"Good",Table1[[#This Row],[Customer_Satisfaction]]=5,"Good")</f>
        <v>Poor</v>
      </c>
    </row>
    <row r="1666" spans="1:27" x14ac:dyDescent="0.35">
      <c r="A1666">
        <v>21664</v>
      </c>
      <c r="B1666" s="1">
        <v>45440</v>
      </c>
      <c r="C1666" t="s">
        <v>30</v>
      </c>
      <c r="D1666" t="s">
        <v>59</v>
      </c>
      <c r="E1666" t="s">
        <v>94</v>
      </c>
      <c r="F1666" t="s">
        <v>53</v>
      </c>
      <c r="G1666" t="s">
        <v>54</v>
      </c>
      <c r="H1666" t="s">
        <v>42</v>
      </c>
      <c r="I1666" t="s">
        <v>25</v>
      </c>
      <c r="J1666" t="s">
        <v>35</v>
      </c>
      <c r="K1666" t="s">
        <v>44</v>
      </c>
      <c r="L1666" t="s">
        <v>28</v>
      </c>
      <c r="M1666" s="4">
        <v>11</v>
      </c>
      <c r="N1666" s="4">
        <v>7</v>
      </c>
      <c r="O1666" t="s">
        <v>29</v>
      </c>
      <c r="P1666" t="s">
        <v>36</v>
      </c>
      <c r="Q1666" s="4">
        <v>123302</v>
      </c>
      <c r="R1666" s="4">
        <v>76663</v>
      </c>
      <c r="S1666" s="4">
        <f>Table1[[#This Row],[Service_Revenue]]-Table1[[#This Row],[Service_Cost]]</f>
        <v>46639</v>
      </c>
      <c r="T1666" s="4">
        <v>2</v>
      </c>
      <c r="U1666" s="4">
        <f>IF(AND(Table1[[#This Row],[Rework_Flag]]="Yes",Table1[[#This Row],[Warranty_Claim]]="No"),Table1[[#This Row],[Service_Revenue]],0)</f>
        <v>123302</v>
      </c>
      <c r="V1666" s="4">
        <f>IF(Table1[[#This Row],[Warranty_Claim]]="Yes",1,0)</f>
        <v>0</v>
      </c>
      <c r="W1666" s="4">
        <f>IF(Table1[[#This Row],[Rework_Flag]]="No",1,0)</f>
        <v>0</v>
      </c>
      <c r="X1666" s="4">
        <f>IF(Table1[[#This Row],[Rework_Flag]]="Yes",1,0)</f>
        <v>1</v>
      </c>
      <c r="Y1666" s="4">
        <v>1</v>
      </c>
      <c r="Z1666" s="4" t="str">
        <f>IF(Table1[[#This Row],[TAT_Days]]&gt;Table1[[#This Row],[SLA_TAT]],"Yes","No")</f>
        <v>Yes</v>
      </c>
      <c r="AA1666" s="4" t="str" cm="1">
        <f t="array" ref="AA1666">_xlfn.IFS(Table1[[#This Row],[Customer_Satisfaction]]&lt;=2,"Poor",Table1[[#This Row],[Customer_Satisfaction]]=3,"Neutral",Table1[[#This Row],[Customer_Satisfaction]]=4,"Good",Table1[[#This Row],[Customer_Satisfaction]]=5,"Good")</f>
        <v>Poor</v>
      </c>
    </row>
    <row r="1667" spans="1:27" x14ac:dyDescent="0.35">
      <c r="A1667">
        <v>21665</v>
      </c>
      <c r="B1667" s="1">
        <v>45365</v>
      </c>
      <c r="C1667" t="s">
        <v>37</v>
      </c>
      <c r="D1667" t="s">
        <v>38</v>
      </c>
      <c r="E1667" t="s">
        <v>107</v>
      </c>
      <c r="F1667" t="s">
        <v>40</v>
      </c>
      <c r="G1667" t="s">
        <v>74</v>
      </c>
      <c r="H1667" t="s">
        <v>34</v>
      </c>
      <c r="I1667" t="s">
        <v>55</v>
      </c>
      <c r="J1667" t="s">
        <v>43</v>
      </c>
      <c r="K1667" t="s">
        <v>44</v>
      </c>
      <c r="L1667" t="s">
        <v>28</v>
      </c>
      <c r="M1667" s="4">
        <v>5</v>
      </c>
      <c r="N1667" s="4">
        <v>7</v>
      </c>
      <c r="O1667" t="s">
        <v>36</v>
      </c>
      <c r="P1667" t="s">
        <v>29</v>
      </c>
      <c r="Q1667" s="4">
        <v>505400</v>
      </c>
      <c r="R1667" s="4">
        <v>428289</v>
      </c>
      <c r="S1667" s="4">
        <f>Table1[[#This Row],[Service_Revenue]]-Table1[[#This Row],[Service_Cost]]</f>
        <v>77111</v>
      </c>
      <c r="T1667" s="4">
        <v>4</v>
      </c>
      <c r="U1667" s="4">
        <f>IF(AND(Table1[[#This Row],[Rework_Flag]]="Yes",Table1[[#This Row],[Warranty_Claim]]="No"),Table1[[#This Row],[Service_Revenue]],0)</f>
        <v>0</v>
      </c>
      <c r="V1667" s="4">
        <f>IF(Table1[[#This Row],[Warranty_Claim]]="Yes",1,0)</f>
        <v>1</v>
      </c>
      <c r="W1667" s="4">
        <f>IF(Table1[[#This Row],[Rework_Flag]]="No",1,0)</f>
        <v>1</v>
      </c>
      <c r="X1667" s="4">
        <f>IF(Table1[[#This Row],[Rework_Flag]]="Yes",1,0)</f>
        <v>0</v>
      </c>
      <c r="Y1667" s="4">
        <v>1</v>
      </c>
      <c r="Z1667" s="4" t="str">
        <f>IF(Table1[[#This Row],[TAT_Days]]&gt;Table1[[#This Row],[SLA_TAT]],"Yes","No")</f>
        <v>No</v>
      </c>
      <c r="AA1667" s="4" t="str" cm="1">
        <f t="array" ref="AA1667">_xlfn.IFS(Table1[[#This Row],[Customer_Satisfaction]]&lt;=2,"Poor",Table1[[#This Row],[Customer_Satisfaction]]=3,"Neutral",Table1[[#This Row],[Customer_Satisfaction]]=4,"Good",Table1[[#This Row],[Customer_Satisfaction]]=5,"Good")</f>
        <v>Good</v>
      </c>
    </row>
    <row r="1668" spans="1:27" x14ac:dyDescent="0.35">
      <c r="A1668">
        <v>21666</v>
      </c>
      <c r="B1668" s="1">
        <v>45337</v>
      </c>
      <c r="C1668" t="s">
        <v>19</v>
      </c>
      <c r="D1668" t="s">
        <v>45</v>
      </c>
      <c r="E1668" t="s">
        <v>76</v>
      </c>
      <c r="F1668" t="s">
        <v>22</v>
      </c>
      <c r="G1668" t="s">
        <v>63</v>
      </c>
      <c r="H1668" t="s">
        <v>24</v>
      </c>
      <c r="I1668" t="s">
        <v>25</v>
      </c>
      <c r="J1668" t="s">
        <v>26</v>
      </c>
      <c r="K1668" t="s">
        <v>44</v>
      </c>
      <c r="L1668" t="s">
        <v>28</v>
      </c>
      <c r="M1668" s="4">
        <v>9</v>
      </c>
      <c r="N1668" s="4">
        <v>7</v>
      </c>
      <c r="O1668" t="s">
        <v>29</v>
      </c>
      <c r="P1668" t="s">
        <v>36</v>
      </c>
      <c r="Q1668" s="4">
        <v>121037</v>
      </c>
      <c r="R1668" s="4">
        <v>78128</v>
      </c>
      <c r="S1668" s="4">
        <f>Table1[[#This Row],[Service_Revenue]]-Table1[[#This Row],[Service_Cost]]</f>
        <v>42909</v>
      </c>
      <c r="T1668" s="4">
        <v>3</v>
      </c>
      <c r="U1668" s="4">
        <f>IF(AND(Table1[[#This Row],[Rework_Flag]]="Yes",Table1[[#This Row],[Warranty_Claim]]="No"),Table1[[#This Row],[Service_Revenue]],0)</f>
        <v>121037</v>
      </c>
      <c r="V1668" s="4">
        <f>IF(Table1[[#This Row],[Warranty_Claim]]="Yes",1,0)</f>
        <v>0</v>
      </c>
      <c r="W1668" s="4">
        <f>IF(Table1[[#This Row],[Rework_Flag]]="No",1,0)</f>
        <v>0</v>
      </c>
      <c r="X1668" s="4">
        <f>IF(Table1[[#This Row],[Rework_Flag]]="Yes",1,0)</f>
        <v>1</v>
      </c>
      <c r="Y1668" s="4">
        <v>1</v>
      </c>
      <c r="Z1668" s="4" t="str">
        <f>IF(Table1[[#This Row],[TAT_Days]]&gt;Table1[[#This Row],[SLA_TAT]],"Yes","No")</f>
        <v>Yes</v>
      </c>
      <c r="AA1668" s="4" t="str" cm="1">
        <f t="array" ref="AA1668">_xlfn.IFS(Table1[[#This Row],[Customer_Satisfaction]]&lt;=2,"Poor",Table1[[#This Row],[Customer_Satisfaction]]=3,"Neutral",Table1[[#This Row],[Customer_Satisfaction]]=4,"Good",Table1[[#This Row],[Customer_Satisfaction]]=5,"Good")</f>
        <v>Neutral</v>
      </c>
    </row>
    <row r="1669" spans="1:27" x14ac:dyDescent="0.35">
      <c r="A1669">
        <v>21667</v>
      </c>
      <c r="B1669" s="1">
        <v>45353</v>
      </c>
      <c r="C1669" t="s">
        <v>37</v>
      </c>
      <c r="D1669" t="s">
        <v>70</v>
      </c>
      <c r="E1669" t="s">
        <v>116</v>
      </c>
      <c r="F1669" t="s">
        <v>53</v>
      </c>
      <c r="G1669" t="s">
        <v>41</v>
      </c>
      <c r="H1669" t="s">
        <v>42</v>
      </c>
      <c r="I1669" t="s">
        <v>25</v>
      </c>
      <c r="J1669" t="s">
        <v>58</v>
      </c>
      <c r="K1669" t="s">
        <v>61</v>
      </c>
      <c r="L1669" t="s">
        <v>28</v>
      </c>
      <c r="M1669" s="4">
        <v>18</v>
      </c>
      <c r="N1669" s="4">
        <v>7</v>
      </c>
      <c r="O1669" t="s">
        <v>29</v>
      </c>
      <c r="P1669" t="s">
        <v>36</v>
      </c>
      <c r="Q1669" s="4">
        <v>233709</v>
      </c>
      <c r="R1669" s="4">
        <v>118354</v>
      </c>
      <c r="S1669" s="4">
        <f>Table1[[#This Row],[Service_Revenue]]-Table1[[#This Row],[Service_Cost]]</f>
        <v>115355</v>
      </c>
      <c r="T1669" s="4">
        <v>1</v>
      </c>
      <c r="U1669" s="4">
        <f>IF(AND(Table1[[#This Row],[Rework_Flag]]="Yes",Table1[[#This Row],[Warranty_Claim]]="No"),Table1[[#This Row],[Service_Revenue]],0)</f>
        <v>233709</v>
      </c>
      <c r="V1669" s="4">
        <f>IF(Table1[[#This Row],[Warranty_Claim]]="Yes",1,0)</f>
        <v>0</v>
      </c>
      <c r="W1669" s="4">
        <f>IF(Table1[[#This Row],[Rework_Flag]]="No",1,0)</f>
        <v>0</v>
      </c>
      <c r="X1669" s="4">
        <f>IF(Table1[[#This Row],[Rework_Flag]]="Yes",1,0)</f>
        <v>1</v>
      </c>
      <c r="Y1669" s="4">
        <v>1</v>
      </c>
      <c r="Z1669" s="4" t="str">
        <f>IF(Table1[[#This Row],[TAT_Days]]&gt;Table1[[#This Row],[SLA_TAT]],"Yes","No")</f>
        <v>Yes</v>
      </c>
      <c r="AA1669" s="4" t="str" cm="1">
        <f t="array" ref="AA1669">_xlfn.IFS(Table1[[#This Row],[Customer_Satisfaction]]&lt;=2,"Poor",Table1[[#This Row],[Customer_Satisfaction]]=3,"Neutral",Table1[[#This Row],[Customer_Satisfaction]]=4,"Good",Table1[[#This Row],[Customer_Satisfaction]]=5,"Good")</f>
        <v>Poor</v>
      </c>
    </row>
    <row r="1670" spans="1:27" x14ac:dyDescent="0.35">
      <c r="A1670">
        <v>21668</v>
      </c>
      <c r="B1670" s="1">
        <v>45335</v>
      </c>
      <c r="C1670" t="s">
        <v>30</v>
      </c>
      <c r="D1670" t="s">
        <v>31</v>
      </c>
      <c r="E1670" t="s">
        <v>79</v>
      </c>
      <c r="F1670" t="s">
        <v>22</v>
      </c>
      <c r="G1670" t="s">
        <v>41</v>
      </c>
      <c r="H1670" t="s">
        <v>42</v>
      </c>
      <c r="I1670" t="s">
        <v>55</v>
      </c>
      <c r="J1670" t="s">
        <v>67</v>
      </c>
      <c r="K1670" t="s">
        <v>27</v>
      </c>
      <c r="L1670" t="s">
        <v>49</v>
      </c>
      <c r="M1670" s="4">
        <v>3</v>
      </c>
      <c r="N1670" s="4">
        <v>7</v>
      </c>
      <c r="O1670" t="s">
        <v>36</v>
      </c>
      <c r="P1670" t="s">
        <v>36</v>
      </c>
      <c r="Q1670" s="4">
        <v>378461</v>
      </c>
      <c r="R1670" s="4">
        <v>225384</v>
      </c>
      <c r="S1670" s="4">
        <f>Table1[[#This Row],[Service_Revenue]]-Table1[[#This Row],[Service_Cost]]</f>
        <v>153077</v>
      </c>
      <c r="T1670" s="4">
        <v>5</v>
      </c>
      <c r="U1670" s="4">
        <f>IF(AND(Table1[[#This Row],[Rework_Flag]]="Yes",Table1[[#This Row],[Warranty_Claim]]="No"),Table1[[#This Row],[Service_Revenue]],0)</f>
        <v>0</v>
      </c>
      <c r="V1670" s="4">
        <f>IF(Table1[[#This Row],[Warranty_Claim]]="Yes",1,0)</f>
        <v>0</v>
      </c>
      <c r="W1670" s="4">
        <f>IF(Table1[[#This Row],[Rework_Flag]]="No",1,0)</f>
        <v>1</v>
      </c>
      <c r="X1670" s="4">
        <f>IF(Table1[[#This Row],[Rework_Flag]]="Yes",1,0)</f>
        <v>0</v>
      </c>
      <c r="Y1670" s="4">
        <v>1</v>
      </c>
      <c r="Z1670" s="4" t="str">
        <f>IF(Table1[[#This Row],[TAT_Days]]&gt;Table1[[#This Row],[SLA_TAT]],"Yes","No")</f>
        <v>No</v>
      </c>
      <c r="AA1670" s="4" t="str" cm="1">
        <f t="array" ref="AA1670">_xlfn.IFS(Table1[[#This Row],[Customer_Satisfaction]]&lt;=2,"Poor",Table1[[#This Row],[Customer_Satisfaction]]=3,"Neutral",Table1[[#This Row],[Customer_Satisfaction]]=4,"Good",Table1[[#This Row],[Customer_Satisfaction]]=5,"Good")</f>
        <v>Good</v>
      </c>
    </row>
    <row r="1671" spans="1:27" x14ac:dyDescent="0.35">
      <c r="A1671">
        <v>21669</v>
      </c>
      <c r="B1671" s="1">
        <v>45466</v>
      </c>
      <c r="C1671" t="s">
        <v>37</v>
      </c>
      <c r="D1671" t="s">
        <v>70</v>
      </c>
      <c r="E1671" t="s">
        <v>71</v>
      </c>
      <c r="F1671" t="s">
        <v>40</v>
      </c>
      <c r="G1671" t="s">
        <v>74</v>
      </c>
      <c r="H1671" t="s">
        <v>34</v>
      </c>
      <c r="I1671" t="s">
        <v>55</v>
      </c>
      <c r="J1671" t="s">
        <v>35</v>
      </c>
      <c r="K1671" t="s">
        <v>27</v>
      </c>
      <c r="L1671" t="s">
        <v>28</v>
      </c>
      <c r="M1671" s="4">
        <v>22</v>
      </c>
      <c r="N1671" s="4">
        <v>7</v>
      </c>
      <c r="O1671" t="s">
        <v>29</v>
      </c>
      <c r="P1671" t="s">
        <v>29</v>
      </c>
      <c r="Q1671" s="4">
        <v>540374</v>
      </c>
      <c r="R1671" s="4">
        <v>429727</v>
      </c>
      <c r="S1671" s="4">
        <f>Table1[[#This Row],[Service_Revenue]]-Table1[[#This Row],[Service_Cost]]</f>
        <v>110647</v>
      </c>
      <c r="T1671" s="4">
        <v>1</v>
      </c>
      <c r="U1671" s="4">
        <f>IF(AND(Table1[[#This Row],[Rework_Flag]]="Yes",Table1[[#This Row],[Warranty_Claim]]="No"),Table1[[#This Row],[Service_Revenue]],0)</f>
        <v>0</v>
      </c>
      <c r="V1671" s="4">
        <f>IF(Table1[[#This Row],[Warranty_Claim]]="Yes",1,0)</f>
        <v>1</v>
      </c>
      <c r="W1671" s="4">
        <f>IF(Table1[[#This Row],[Rework_Flag]]="No",1,0)</f>
        <v>0</v>
      </c>
      <c r="X1671" s="4">
        <f>IF(Table1[[#This Row],[Rework_Flag]]="Yes",1,0)</f>
        <v>1</v>
      </c>
      <c r="Y1671" s="4">
        <v>1</v>
      </c>
      <c r="Z1671" s="4" t="str">
        <f>IF(Table1[[#This Row],[TAT_Days]]&gt;Table1[[#This Row],[SLA_TAT]],"Yes","No")</f>
        <v>Yes</v>
      </c>
      <c r="AA1671" s="4" t="str" cm="1">
        <f t="array" ref="AA1671">_xlfn.IFS(Table1[[#This Row],[Customer_Satisfaction]]&lt;=2,"Poor",Table1[[#This Row],[Customer_Satisfaction]]=3,"Neutral",Table1[[#This Row],[Customer_Satisfaction]]=4,"Good",Table1[[#This Row],[Customer_Satisfaction]]=5,"Good")</f>
        <v>Poor</v>
      </c>
    </row>
    <row r="1672" spans="1:27" x14ac:dyDescent="0.35">
      <c r="A1672">
        <v>21670</v>
      </c>
      <c r="B1672" s="1">
        <v>45314</v>
      </c>
      <c r="C1672" t="s">
        <v>37</v>
      </c>
      <c r="D1672" t="s">
        <v>70</v>
      </c>
      <c r="E1672" t="s">
        <v>100</v>
      </c>
      <c r="F1672" t="s">
        <v>22</v>
      </c>
      <c r="G1672" t="s">
        <v>54</v>
      </c>
      <c r="H1672" t="s">
        <v>42</v>
      </c>
      <c r="I1672" t="s">
        <v>25</v>
      </c>
      <c r="J1672" t="s">
        <v>43</v>
      </c>
      <c r="K1672" t="s">
        <v>61</v>
      </c>
      <c r="L1672" t="s">
        <v>28</v>
      </c>
      <c r="M1672" s="4">
        <v>3</v>
      </c>
      <c r="N1672" s="4">
        <v>7</v>
      </c>
      <c r="O1672" t="s">
        <v>29</v>
      </c>
      <c r="P1672" t="s">
        <v>36</v>
      </c>
      <c r="Q1672" s="4">
        <v>595572</v>
      </c>
      <c r="R1672" s="4">
        <v>326895</v>
      </c>
      <c r="S1672" s="4">
        <f>Table1[[#This Row],[Service_Revenue]]-Table1[[#This Row],[Service_Cost]]</f>
        <v>268677</v>
      </c>
      <c r="T1672" s="4">
        <v>4</v>
      </c>
      <c r="U1672" s="4">
        <f>IF(AND(Table1[[#This Row],[Rework_Flag]]="Yes",Table1[[#This Row],[Warranty_Claim]]="No"),Table1[[#This Row],[Service_Revenue]],0)</f>
        <v>595572</v>
      </c>
      <c r="V1672" s="4">
        <f>IF(Table1[[#This Row],[Warranty_Claim]]="Yes",1,0)</f>
        <v>0</v>
      </c>
      <c r="W1672" s="4">
        <f>IF(Table1[[#This Row],[Rework_Flag]]="No",1,0)</f>
        <v>0</v>
      </c>
      <c r="X1672" s="4">
        <f>IF(Table1[[#This Row],[Rework_Flag]]="Yes",1,0)</f>
        <v>1</v>
      </c>
      <c r="Y1672" s="4">
        <v>1</v>
      </c>
      <c r="Z1672" s="4" t="str">
        <f>IF(Table1[[#This Row],[TAT_Days]]&gt;Table1[[#This Row],[SLA_TAT]],"Yes","No")</f>
        <v>No</v>
      </c>
      <c r="AA1672" s="4" t="str" cm="1">
        <f t="array" ref="AA1672">_xlfn.IFS(Table1[[#This Row],[Customer_Satisfaction]]&lt;=2,"Poor",Table1[[#This Row],[Customer_Satisfaction]]=3,"Neutral",Table1[[#This Row],[Customer_Satisfaction]]=4,"Good",Table1[[#This Row],[Customer_Satisfaction]]=5,"Good")</f>
        <v>Good</v>
      </c>
    </row>
    <row r="1673" spans="1:27" x14ac:dyDescent="0.35">
      <c r="A1673">
        <v>21671</v>
      </c>
      <c r="B1673" s="1">
        <v>45300</v>
      </c>
      <c r="C1673" t="s">
        <v>37</v>
      </c>
      <c r="D1673" t="s">
        <v>70</v>
      </c>
      <c r="E1673" t="s">
        <v>100</v>
      </c>
      <c r="F1673" t="s">
        <v>53</v>
      </c>
      <c r="G1673" t="s">
        <v>63</v>
      </c>
      <c r="H1673" t="s">
        <v>24</v>
      </c>
      <c r="I1673" t="s">
        <v>55</v>
      </c>
      <c r="J1673" t="s">
        <v>35</v>
      </c>
      <c r="K1673" t="s">
        <v>44</v>
      </c>
      <c r="L1673" t="s">
        <v>28</v>
      </c>
      <c r="M1673" s="4">
        <v>22</v>
      </c>
      <c r="N1673" s="4">
        <v>7</v>
      </c>
      <c r="O1673" t="s">
        <v>29</v>
      </c>
      <c r="P1673" t="s">
        <v>36</v>
      </c>
      <c r="Q1673" s="4">
        <v>197830</v>
      </c>
      <c r="R1673" s="4">
        <v>114346</v>
      </c>
      <c r="S1673" s="4">
        <f>Table1[[#This Row],[Service_Revenue]]-Table1[[#This Row],[Service_Cost]]</f>
        <v>83484</v>
      </c>
      <c r="T1673" s="4">
        <v>1</v>
      </c>
      <c r="U1673" s="4">
        <f>IF(AND(Table1[[#This Row],[Rework_Flag]]="Yes",Table1[[#This Row],[Warranty_Claim]]="No"),Table1[[#This Row],[Service_Revenue]],0)</f>
        <v>197830</v>
      </c>
      <c r="V1673" s="4">
        <f>IF(Table1[[#This Row],[Warranty_Claim]]="Yes",1,0)</f>
        <v>0</v>
      </c>
      <c r="W1673" s="4">
        <f>IF(Table1[[#This Row],[Rework_Flag]]="No",1,0)</f>
        <v>0</v>
      </c>
      <c r="X1673" s="4">
        <f>IF(Table1[[#This Row],[Rework_Flag]]="Yes",1,0)</f>
        <v>1</v>
      </c>
      <c r="Y1673" s="4">
        <v>1</v>
      </c>
      <c r="Z1673" s="4" t="str">
        <f>IF(Table1[[#This Row],[TAT_Days]]&gt;Table1[[#This Row],[SLA_TAT]],"Yes","No")</f>
        <v>Yes</v>
      </c>
      <c r="AA1673" s="4" t="str" cm="1">
        <f t="array" ref="AA1673">_xlfn.IFS(Table1[[#This Row],[Customer_Satisfaction]]&lt;=2,"Poor",Table1[[#This Row],[Customer_Satisfaction]]=3,"Neutral",Table1[[#This Row],[Customer_Satisfaction]]=4,"Good",Table1[[#This Row],[Customer_Satisfaction]]=5,"Good")</f>
        <v>Poor</v>
      </c>
    </row>
    <row r="1674" spans="1:27" x14ac:dyDescent="0.35">
      <c r="A1674">
        <v>21672</v>
      </c>
      <c r="B1674" s="1">
        <v>45317</v>
      </c>
      <c r="C1674" t="s">
        <v>30</v>
      </c>
      <c r="D1674" t="s">
        <v>31</v>
      </c>
      <c r="E1674" t="s">
        <v>62</v>
      </c>
      <c r="F1674" t="s">
        <v>22</v>
      </c>
      <c r="G1674" t="s">
        <v>41</v>
      </c>
      <c r="H1674" t="s">
        <v>42</v>
      </c>
      <c r="I1674" t="s">
        <v>25</v>
      </c>
      <c r="J1674" t="s">
        <v>43</v>
      </c>
      <c r="K1674" t="s">
        <v>44</v>
      </c>
      <c r="L1674" t="s">
        <v>49</v>
      </c>
      <c r="M1674" s="4">
        <v>3</v>
      </c>
      <c r="N1674" s="4">
        <v>7</v>
      </c>
      <c r="O1674" t="s">
        <v>36</v>
      </c>
      <c r="P1674" t="s">
        <v>36</v>
      </c>
      <c r="Q1674" s="4">
        <v>501447</v>
      </c>
      <c r="R1674" s="4">
        <v>300434</v>
      </c>
      <c r="S1674" s="4">
        <f>Table1[[#This Row],[Service_Revenue]]-Table1[[#This Row],[Service_Cost]]</f>
        <v>201013</v>
      </c>
      <c r="T1674" s="4">
        <v>5</v>
      </c>
      <c r="U1674" s="4">
        <f>IF(AND(Table1[[#This Row],[Rework_Flag]]="Yes",Table1[[#This Row],[Warranty_Claim]]="No"),Table1[[#This Row],[Service_Revenue]],0)</f>
        <v>0</v>
      </c>
      <c r="V1674" s="4">
        <f>IF(Table1[[#This Row],[Warranty_Claim]]="Yes",1,0)</f>
        <v>0</v>
      </c>
      <c r="W1674" s="4">
        <f>IF(Table1[[#This Row],[Rework_Flag]]="No",1,0)</f>
        <v>1</v>
      </c>
      <c r="X1674" s="4">
        <f>IF(Table1[[#This Row],[Rework_Flag]]="Yes",1,0)</f>
        <v>0</v>
      </c>
      <c r="Y1674" s="4">
        <v>1</v>
      </c>
      <c r="Z1674" s="4" t="str">
        <f>IF(Table1[[#This Row],[TAT_Days]]&gt;Table1[[#This Row],[SLA_TAT]],"Yes","No")</f>
        <v>No</v>
      </c>
      <c r="AA1674" s="4" t="str" cm="1">
        <f t="array" ref="AA1674">_xlfn.IFS(Table1[[#This Row],[Customer_Satisfaction]]&lt;=2,"Poor",Table1[[#This Row],[Customer_Satisfaction]]=3,"Neutral",Table1[[#This Row],[Customer_Satisfaction]]=4,"Good",Table1[[#This Row],[Customer_Satisfaction]]=5,"Good")</f>
        <v>Good</v>
      </c>
    </row>
    <row r="1675" spans="1:27" x14ac:dyDescent="0.35">
      <c r="A1675">
        <v>21673</v>
      </c>
      <c r="B1675" s="1">
        <v>45440</v>
      </c>
      <c r="C1675" t="s">
        <v>37</v>
      </c>
      <c r="D1675" t="s">
        <v>64</v>
      </c>
      <c r="E1675" t="s">
        <v>115</v>
      </c>
      <c r="F1675" t="s">
        <v>22</v>
      </c>
      <c r="G1675" t="s">
        <v>23</v>
      </c>
      <c r="H1675" t="s">
        <v>24</v>
      </c>
      <c r="I1675" t="s">
        <v>25</v>
      </c>
      <c r="J1675" t="s">
        <v>35</v>
      </c>
      <c r="K1675" t="s">
        <v>61</v>
      </c>
      <c r="L1675" t="s">
        <v>49</v>
      </c>
      <c r="M1675" s="4">
        <v>18</v>
      </c>
      <c r="N1675" s="4">
        <v>7</v>
      </c>
      <c r="O1675" t="s">
        <v>36</v>
      </c>
      <c r="P1675" t="s">
        <v>36</v>
      </c>
      <c r="Q1675" s="4">
        <v>492663</v>
      </c>
      <c r="R1675" s="4">
        <v>287586</v>
      </c>
      <c r="S1675" s="4">
        <f>Table1[[#This Row],[Service_Revenue]]-Table1[[#This Row],[Service_Cost]]</f>
        <v>205077</v>
      </c>
      <c r="T1675" s="4">
        <v>2</v>
      </c>
      <c r="U1675" s="4">
        <f>IF(AND(Table1[[#This Row],[Rework_Flag]]="Yes",Table1[[#This Row],[Warranty_Claim]]="No"),Table1[[#This Row],[Service_Revenue]],0)</f>
        <v>0</v>
      </c>
      <c r="V1675" s="4">
        <f>IF(Table1[[#This Row],[Warranty_Claim]]="Yes",1,0)</f>
        <v>0</v>
      </c>
      <c r="W1675" s="4">
        <f>IF(Table1[[#This Row],[Rework_Flag]]="No",1,0)</f>
        <v>1</v>
      </c>
      <c r="X1675" s="4">
        <f>IF(Table1[[#This Row],[Rework_Flag]]="Yes",1,0)</f>
        <v>0</v>
      </c>
      <c r="Y1675" s="4">
        <v>1</v>
      </c>
      <c r="Z1675" s="4" t="str">
        <f>IF(Table1[[#This Row],[TAT_Days]]&gt;Table1[[#This Row],[SLA_TAT]],"Yes","No")</f>
        <v>Yes</v>
      </c>
      <c r="AA1675" s="4" t="str" cm="1">
        <f t="array" ref="AA1675">_xlfn.IFS(Table1[[#This Row],[Customer_Satisfaction]]&lt;=2,"Poor",Table1[[#This Row],[Customer_Satisfaction]]=3,"Neutral",Table1[[#This Row],[Customer_Satisfaction]]=4,"Good",Table1[[#This Row],[Customer_Satisfaction]]=5,"Good")</f>
        <v>Poor</v>
      </c>
    </row>
    <row r="1676" spans="1:27" x14ac:dyDescent="0.35">
      <c r="A1676">
        <v>21674</v>
      </c>
      <c r="B1676" s="1">
        <v>45314</v>
      </c>
      <c r="C1676" t="s">
        <v>50</v>
      </c>
      <c r="D1676" t="s">
        <v>56</v>
      </c>
      <c r="E1676" t="s">
        <v>101</v>
      </c>
      <c r="F1676" t="s">
        <v>40</v>
      </c>
      <c r="G1676" t="s">
        <v>74</v>
      </c>
      <c r="H1676" t="s">
        <v>34</v>
      </c>
      <c r="I1676" t="s">
        <v>25</v>
      </c>
      <c r="J1676" t="s">
        <v>43</v>
      </c>
      <c r="K1676" t="s">
        <v>27</v>
      </c>
      <c r="L1676" t="s">
        <v>28</v>
      </c>
      <c r="M1676" s="4">
        <v>17</v>
      </c>
      <c r="N1676" s="4">
        <v>7</v>
      </c>
      <c r="O1676" t="s">
        <v>29</v>
      </c>
      <c r="P1676" t="s">
        <v>36</v>
      </c>
      <c r="Q1676" s="4">
        <v>545437</v>
      </c>
      <c r="R1676" s="4">
        <v>428311</v>
      </c>
      <c r="S1676" s="4">
        <f>Table1[[#This Row],[Service_Revenue]]-Table1[[#This Row],[Service_Cost]]</f>
        <v>117126</v>
      </c>
      <c r="T1676" s="4">
        <v>1</v>
      </c>
      <c r="U1676" s="4">
        <f>IF(AND(Table1[[#This Row],[Rework_Flag]]="Yes",Table1[[#This Row],[Warranty_Claim]]="No"),Table1[[#This Row],[Service_Revenue]],0)</f>
        <v>545437</v>
      </c>
      <c r="V1676" s="4">
        <f>IF(Table1[[#This Row],[Warranty_Claim]]="Yes",1,0)</f>
        <v>0</v>
      </c>
      <c r="W1676" s="4">
        <f>IF(Table1[[#This Row],[Rework_Flag]]="No",1,0)</f>
        <v>0</v>
      </c>
      <c r="X1676" s="4">
        <f>IF(Table1[[#This Row],[Rework_Flag]]="Yes",1,0)</f>
        <v>1</v>
      </c>
      <c r="Y1676" s="4">
        <v>1</v>
      </c>
      <c r="Z1676" s="4" t="str">
        <f>IF(Table1[[#This Row],[TAT_Days]]&gt;Table1[[#This Row],[SLA_TAT]],"Yes","No")</f>
        <v>Yes</v>
      </c>
      <c r="AA1676" s="4" t="str" cm="1">
        <f t="array" ref="AA1676">_xlfn.IFS(Table1[[#This Row],[Customer_Satisfaction]]&lt;=2,"Poor",Table1[[#This Row],[Customer_Satisfaction]]=3,"Neutral",Table1[[#This Row],[Customer_Satisfaction]]=4,"Good",Table1[[#This Row],[Customer_Satisfaction]]=5,"Good")</f>
        <v>Poor</v>
      </c>
    </row>
    <row r="1677" spans="1:27" x14ac:dyDescent="0.35">
      <c r="A1677">
        <v>21675</v>
      </c>
      <c r="B1677" s="1">
        <v>45306</v>
      </c>
      <c r="C1677" t="s">
        <v>30</v>
      </c>
      <c r="D1677" t="s">
        <v>59</v>
      </c>
      <c r="E1677" t="s">
        <v>60</v>
      </c>
      <c r="F1677" t="s">
        <v>22</v>
      </c>
      <c r="G1677" t="s">
        <v>23</v>
      </c>
      <c r="H1677" t="s">
        <v>24</v>
      </c>
      <c r="I1677" t="s">
        <v>25</v>
      </c>
      <c r="J1677" t="s">
        <v>58</v>
      </c>
      <c r="K1677" t="s">
        <v>44</v>
      </c>
      <c r="L1677" t="s">
        <v>49</v>
      </c>
      <c r="M1677" s="4">
        <v>19</v>
      </c>
      <c r="N1677" s="4">
        <v>7</v>
      </c>
      <c r="O1677" t="s">
        <v>36</v>
      </c>
      <c r="P1677" t="s">
        <v>36</v>
      </c>
      <c r="Q1677" s="4">
        <v>224317</v>
      </c>
      <c r="R1677" s="4">
        <v>171141</v>
      </c>
      <c r="S1677" s="4">
        <f>Table1[[#This Row],[Service_Revenue]]-Table1[[#This Row],[Service_Cost]]</f>
        <v>53176</v>
      </c>
      <c r="T1677" s="4">
        <v>2</v>
      </c>
      <c r="U1677" s="4">
        <f>IF(AND(Table1[[#This Row],[Rework_Flag]]="Yes",Table1[[#This Row],[Warranty_Claim]]="No"),Table1[[#This Row],[Service_Revenue]],0)</f>
        <v>0</v>
      </c>
      <c r="V1677" s="4">
        <f>IF(Table1[[#This Row],[Warranty_Claim]]="Yes",1,0)</f>
        <v>0</v>
      </c>
      <c r="W1677" s="4">
        <f>IF(Table1[[#This Row],[Rework_Flag]]="No",1,0)</f>
        <v>1</v>
      </c>
      <c r="X1677" s="4">
        <f>IF(Table1[[#This Row],[Rework_Flag]]="Yes",1,0)</f>
        <v>0</v>
      </c>
      <c r="Y1677" s="4">
        <v>1</v>
      </c>
      <c r="Z1677" s="4" t="str">
        <f>IF(Table1[[#This Row],[TAT_Days]]&gt;Table1[[#This Row],[SLA_TAT]],"Yes","No")</f>
        <v>Yes</v>
      </c>
      <c r="AA1677" s="4" t="str" cm="1">
        <f t="array" ref="AA1677">_xlfn.IFS(Table1[[#This Row],[Customer_Satisfaction]]&lt;=2,"Poor",Table1[[#This Row],[Customer_Satisfaction]]=3,"Neutral",Table1[[#This Row],[Customer_Satisfaction]]=4,"Good",Table1[[#This Row],[Customer_Satisfaction]]=5,"Good")</f>
        <v>Poor</v>
      </c>
    </row>
    <row r="1678" spans="1:27" x14ac:dyDescent="0.35">
      <c r="A1678">
        <v>21676</v>
      </c>
      <c r="B1678" s="1">
        <v>45425</v>
      </c>
      <c r="C1678" t="s">
        <v>19</v>
      </c>
      <c r="D1678" t="s">
        <v>45</v>
      </c>
      <c r="E1678" t="s">
        <v>114</v>
      </c>
      <c r="F1678" t="s">
        <v>22</v>
      </c>
      <c r="G1678" t="s">
        <v>74</v>
      </c>
      <c r="H1678" t="s">
        <v>34</v>
      </c>
      <c r="I1678" t="s">
        <v>25</v>
      </c>
      <c r="J1678" t="s">
        <v>26</v>
      </c>
      <c r="K1678" t="s">
        <v>27</v>
      </c>
      <c r="L1678" t="s">
        <v>49</v>
      </c>
      <c r="M1678" s="4">
        <v>19</v>
      </c>
      <c r="N1678" s="4">
        <v>7</v>
      </c>
      <c r="O1678" t="s">
        <v>29</v>
      </c>
      <c r="P1678" t="s">
        <v>36</v>
      </c>
      <c r="Q1678" s="4">
        <v>431180</v>
      </c>
      <c r="R1678" s="4">
        <v>289134</v>
      </c>
      <c r="S1678" s="4">
        <f>Table1[[#This Row],[Service_Revenue]]-Table1[[#This Row],[Service_Cost]]</f>
        <v>142046</v>
      </c>
      <c r="T1678" s="4">
        <v>1</v>
      </c>
      <c r="U1678" s="4">
        <f>IF(AND(Table1[[#This Row],[Rework_Flag]]="Yes",Table1[[#This Row],[Warranty_Claim]]="No"),Table1[[#This Row],[Service_Revenue]],0)</f>
        <v>431180</v>
      </c>
      <c r="V1678" s="4">
        <f>IF(Table1[[#This Row],[Warranty_Claim]]="Yes",1,0)</f>
        <v>0</v>
      </c>
      <c r="W1678" s="4">
        <f>IF(Table1[[#This Row],[Rework_Flag]]="No",1,0)</f>
        <v>0</v>
      </c>
      <c r="X1678" s="4">
        <f>IF(Table1[[#This Row],[Rework_Flag]]="Yes",1,0)</f>
        <v>1</v>
      </c>
      <c r="Y1678" s="4">
        <v>1</v>
      </c>
      <c r="Z1678" s="4" t="str">
        <f>IF(Table1[[#This Row],[TAT_Days]]&gt;Table1[[#This Row],[SLA_TAT]],"Yes","No")</f>
        <v>Yes</v>
      </c>
      <c r="AA1678" s="4" t="str" cm="1">
        <f t="array" ref="AA1678">_xlfn.IFS(Table1[[#This Row],[Customer_Satisfaction]]&lt;=2,"Poor",Table1[[#This Row],[Customer_Satisfaction]]=3,"Neutral",Table1[[#This Row],[Customer_Satisfaction]]=4,"Good",Table1[[#This Row],[Customer_Satisfaction]]=5,"Good")</f>
        <v>Poor</v>
      </c>
    </row>
    <row r="1679" spans="1:27" x14ac:dyDescent="0.35">
      <c r="A1679">
        <v>21677</v>
      </c>
      <c r="B1679" s="1">
        <v>45390</v>
      </c>
      <c r="C1679" t="s">
        <v>30</v>
      </c>
      <c r="D1679" t="s">
        <v>83</v>
      </c>
      <c r="E1679" t="s">
        <v>119</v>
      </c>
      <c r="F1679" t="s">
        <v>22</v>
      </c>
      <c r="G1679" t="s">
        <v>74</v>
      </c>
      <c r="H1679" t="s">
        <v>34</v>
      </c>
      <c r="I1679" t="s">
        <v>25</v>
      </c>
      <c r="J1679" t="s">
        <v>35</v>
      </c>
      <c r="K1679" t="s">
        <v>44</v>
      </c>
      <c r="L1679" t="s">
        <v>28</v>
      </c>
      <c r="M1679" s="4">
        <v>19</v>
      </c>
      <c r="N1679" s="4">
        <v>7</v>
      </c>
      <c r="O1679" t="s">
        <v>36</v>
      </c>
      <c r="P1679" t="s">
        <v>36</v>
      </c>
      <c r="Q1679" s="4">
        <v>169061</v>
      </c>
      <c r="R1679" s="4">
        <v>116729</v>
      </c>
      <c r="S1679" s="4">
        <f>Table1[[#This Row],[Service_Revenue]]-Table1[[#This Row],[Service_Cost]]</f>
        <v>52332</v>
      </c>
      <c r="T1679" s="4">
        <v>2</v>
      </c>
      <c r="U1679" s="4">
        <f>IF(AND(Table1[[#This Row],[Rework_Flag]]="Yes",Table1[[#This Row],[Warranty_Claim]]="No"),Table1[[#This Row],[Service_Revenue]],0)</f>
        <v>0</v>
      </c>
      <c r="V1679" s="4">
        <f>IF(Table1[[#This Row],[Warranty_Claim]]="Yes",1,0)</f>
        <v>0</v>
      </c>
      <c r="W1679" s="4">
        <f>IF(Table1[[#This Row],[Rework_Flag]]="No",1,0)</f>
        <v>1</v>
      </c>
      <c r="X1679" s="4">
        <f>IF(Table1[[#This Row],[Rework_Flag]]="Yes",1,0)</f>
        <v>0</v>
      </c>
      <c r="Y1679" s="4">
        <v>1</v>
      </c>
      <c r="Z1679" s="4" t="str">
        <f>IF(Table1[[#This Row],[TAT_Days]]&gt;Table1[[#This Row],[SLA_TAT]],"Yes","No")</f>
        <v>Yes</v>
      </c>
      <c r="AA1679" s="4" t="str" cm="1">
        <f t="array" ref="AA1679">_xlfn.IFS(Table1[[#This Row],[Customer_Satisfaction]]&lt;=2,"Poor",Table1[[#This Row],[Customer_Satisfaction]]=3,"Neutral",Table1[[#This Row],[Customer_Satisfaction]]=4,"Good",Table1[[#This Row],[Customer_Satisfaction]]=5,"Good")</f>
        <v>Poor</v>
      </c>
    </row>
    <row r="1680" spans="1:27" x14ac:dyDescent="0.35">
      <c r="A1680">
        <v>21678</v>
      </c>
      <c r="B1680" s="1">
        <v>45444</v>
      </c>
      <c r="C1680" t="s">
        <v>19</v>
      </c>
      <c r="D1680" t="s">
        <v>20</v>
      </c>
      <c r="E1680" t="s">
        <v>110</v>
      </c>
      <c r="F1680" t="s">
        <v>22</v>
      </c>
      <c r="G1680" t="s">
        <v>33</v>
      </c>
      <c r="H1680" t="s">
        <v>34</v>
      </c>
      <c r="I1680" t="s">
        <v>55</v>
      </c>
      <c r="J1680" t="s">
        <v>26</v>
      </c>
      <c r="K1680" t="s">
        <v>44</v>
      </c>
      <c r="L1680" t="s">
        <v>28</v>
      </c>
      <c r="M1680" s="4">
        <v>19</v>
      </c>
      <c r="N1680" s="4">
        <v>7</v>
      </c>
      <c r="O1680" t="s">
        <v>29</v>
      </c>
      <c r="P1680" t="s">
        <v>36</v>
      </c>
      <c r="Q1680" s="4">
        <v>119574</v>
      </c>
      <c r="R1680" s="4">
        <v>68273</v>
      </c>
      <c r="S1680" s="4">
        <f>Table1[[#This Row],[Service_Revenue]]-Table1[[#This Row],[Service_Cost]]</f>
        <v>51301</v>
      </c>
      <c r="T1680" s="4">
        <v>1</v>
      </c>
      <c r="U1680" s="4">
        <f>IF(AND(Table1[[#This Row],[Rework_Flag]]="Yes",Table1[[#This Row],[Warranty_Claim]]="No"),Table1[[#This Row],[Service_Revenue]],0)</f>
        <v>119574</v>
      </c>
      <c r="V1680" s="4">
        <f>IF(Table1[[#This Row],[Warranty_Claim]]="Yes",1,0)</f>
        <v>0</v>
      </c>
      <c r="W1680" s="4">
        <f>IF(Table1[[#This Row],[Rework_Flag]]="No",1,0)</f>
        <v>0</v>
      </c>
      <c r="X1680" s="4">
        <f>IF(Table1[[#This Row],[Rework_Flag]]="Yes",1,0)</f>
        <v>1</v>
      </c>
      <c r="Y1680" s="4">
        <v>1</v>
      </c>
      <c r="Z1680" s="4" t="str">
        <f>IF(Table1[[#This Row],[TAT_Days]]&gt;Table1[[#This Row],[SLA_TAT]],"Yes","No")</f>
        <v>Yes</v>
      </c>
      <c r="AA1680" s="4" t="str" cm="1">
        <f t="array" ref="AA1680">_xlfn.IFS(Table1[[#This Row],[Customer_Satisfaction]]&lt;=2,"Poor",Table1[[#This Row],[Customer_Satisfaction]]=3,"Neutral",Table1[[#This Row],[Customer_Satisfaction]]=4,"Good",Table1[[#This Row],[Customer_Satisfaction]]=5,"Good")</f>
        <v>Poor</v>
      </c>
    </row>
    <row r="1681" spans="1:27" x14ac:dyDescent="0.35">
      <c r="A1681">
        <v>21679</v>
      </c>
      <c r="B1681" s="1">
        <v>45395</v>
      </c>
      <c r="C1681" t="s">
        <v>30</v>
      </c>
      <c r="D1681" t="s">
        <v>31</v>
      </c>
      <c r="E1681" t="s">
        <v>62</v>
      </c>
      <c r="F1681" t="s">
        <v>53</v>
      </c>
      <c r="G1681" t="s">
        <v>41</v>
      </c>
      <c r="H1681" t="s">
        <v>42</v>
      </c>
      <c r="I1681" t="s">
        <v>55</v>
      </c>
      <c r="J1681" t="s">
        <v>35</v>
      </c>
      <c r="K1681" t="s">
        <v>61</v>
      </c>
      <c r="L1681" t="s">
        <v>28</v>
      </c>
      <c r="M1681" s="4">
        <v>9</v>
      </c>
      <c r="N1681" s="4">
        <v>7</v>
      </c>
      <c r="O1681" t="s">
        <v>29</v>
      </c>
      <c r="P1681" t="s">
        <v>29</v>
      </c>
      <c r="Q1681" s="4">
        <v>428716</v>
      </c>
      <c r="R1681" s="4">
        <v>343958</v>
      </c>
      <c r="S1681" s="4">
        <f>Table1[[#This Row],[Service_Revenue]]-Table1[[#This Row],[Service_Cost]]</f>
        <v>84758</v>
      </c>
      <c r="T1681" s="4">
        <v>3</v>
      </c>
      <c r="U1681" s="4">
        <f>IF(AND(Table1[[#This Row],[Rework_Flag]]="Yes",Table1[[#This Row],[Warranty_Claim]]="No"),Table1[[#This Row],[Service_Revenue]],0)</f>
        <v>0</v>
      </c>
      <c r="V1681" s="4">
        <f>IF(Table1[[#This Row],[Warranty_Claim]]="Yes",1,0)</f>
        <v>1</v>
      </c>
      <c r="W1681" s="4">
        <f>IF(Table1[[#This Row],[Rework_Flag]]="No",1,0)</f>
        <v>0</v>
      </c>
      <c r="X1681" s="4">
        <f>IF(Table1[[#This Row],[Rework_Flag]]="Yes",1,0)</f>
        <v>1</v>
      </c>
      <c r="Y1681" s="4">
        <v>1</v>
      </c>
      <c r="Z1681" s="4" t="str">
        <f>IF(Table1[[#This Row],[TAT_Days]]&gt;Table1[[#This Row],[SLA_TAT]],"Yes","No")</f>
        <v>Yes</v>
      </c>
      <c r="AA1681" s="4" t="str" cm="1">
        <f t="array" ref="AA1681">_xlfn.IFS(Table1[[#This Row],[Customer_Satisfaction]]&lt;=2,"Poor",Table1[[#This Row],[Customer_Satisfaction]]=3,"Neutral",Table1[[#This Row],[Customer_Satisfaction]]=4,"Good",Table1[[#This Row],[Customer_Satisfaction]]=5,"Good")</f>
        <v>Neutral</v>
      </c>
    </row>
    <row r="1682" spans="1:27" x14ac:dyDescent="0.35">
      <c r="A1682">
        <v>21680</v>
      </c>
      <c r="B1682" s="1">
        <v>45333</v>
      </c>
      <c r="C1682" t="s">
        <v>37</v>
      </c>
      <c r="D1682" t="s">
        <v>70</v>
      </c>
      <c r="E1682" t="s">
        <v>91</v>
      </c>
      <c r="F1682" t="s">
        <v>22</v>
      </c>
      <c r="G1682" t="s">
        <v>41</v>
      </c>
      <c r="H1682" t="s">
        <v>42</v>
      </c>
      <c r="I1682" t="s">
        <v>25</v>
      </c>
      <c r="J1682" t="s">
        <v>43</v>
      </c>
      <c r="K1682" t="s">
        <v>61</v>
      </c>
      <c r="L1682" t="s">
        <v>28</v>
      </c>
      <c r="M1682" s="4">
        <v>4</v>
      </c>
      <c r="N1682" s="4">
        <v>7</v>
      </c>
      <c r="O1682" t="s">
        <v>36</v>
      </c>
      <c r="P1682" t="s">
        <v>36</v>
      </c>
      <c r="Q1682" s="4">
        <v>203833</v>
      </c>
      <c r="R1682" s="4">
        <v>105398</v>
      </c>
      <c r="S1682" s="4">
        <f>Table1[[#This Row],[Service_Revenue]]-Table1[[#This Row],[Service_Cost]]</f>
        <v>98435</v>
      </c>
      <c r="T1682" s="4">
        <v>5</v>
      </c>
      <c r="U1682" s="4">
        <f>IF(AND(Table1[[#This Row],[Rework_Flag]]="Yes",Table1[[#This Row],[Warranty_Claim]]="No"),Table1[[#This Row],[Service_Revenue]],0)</f>
        <v>0</v>
      </c>
      <c r="V1682" s="4">
        <f>IF(Table1[[#This Row],[Warranty_Claim]]="Yes",1,0)</f>
        <v>0</v>
      </c>
      <c r="W1682" s="4">
        <f>IF(Table1[[#This Row],[Rework_Flag]]="No",1,0)</f>
        <v>1</v>
      </c>
      <c r="X1682" s="4">
        <f>IF(Table1[[#This Row],[Rework_Flag]]="Yes",1,0)</f>
        <v>0</v>
      </c>
      <c r="Y1682" s="4">
        <v>1</v>
      </c>
      <c r="Z1682" s="4" t="str">
        <f>IF(Table1[[#This Row],[TAT_Days]]&gt;Table1[[#This Row],[SLA_TAT]],"Yes","No")</f>
        <v>No</v>
      </c>
      <c r="AA1682" s="4" t="str" cm="1">
        <f t="array" ref="AA1682">_xlfn.IFS(Table1[[#This Row],[Customer_Satisfaction]]&lt;=2,"Poor",Table1[[#This Row],[Customer_Satisfaction]]=3,"Neutral",Table1[[#This Row],[Customer_Satisfaction]]=4,"Good",Table1[[#This Row],[Customer_Satisfaction]]=5,"Good")</f>
        <v>Good</v>
      </c>
    </row>
    <row r="1683" spans="1:27" x14ac:dyDescent="0.35">
      <c r="A1683">
        <v>21681</v>
      </c>
      <c r="B1683" s="1">
        <v>45382</v>
      </c>
      <c r="C1683" t="s">
        <v>37</v>
      </c>
      <c r="D1683" t="s">
        <v>64</v>
      </c>
      <c r="E1683" t="s">
        <v>87</v>
      </c>
      <c r="F1683" t="s">
        <v>22</v>
      </c>
      <c r="G1683" t="s">
        <v>33</v>
      </c>
      <c r="H1683" t="s">
        <v>34</v>
      </c>
      <c r="I1683" t="s">
        <v>55</v>
      </c>
      <c r="J1683" t="s">
        <v>26</v>
      </c>
      <c r="K1683" t="s">
        <v>61</v>
      </c>
      <c r="L1683" t="s">
        <v>28</v>
      </c>
      <c r="M1683" s="4">
        <v>9</v>
      </c>
      <c r="N1683" s="4">
        <v>7</v>
      </c>
      <c r="O1683" t="s">
        <v>36</v>
      </c>
      <c r="P1683" t="s">
        <v>36</v>
      </c>
      <c r="Q1683" s="4">
        <v>153733</v>
      </c>
      <c r="R1683" s="4">
        <v>121475</v>
      </c>
      <c r="S1683" s="4">
        <f>Table1[[#This Row],[Service_Revenue]]-Table1[[#This Row],[Service_Cost]]</f>
        <v>32258</v>
      </c>
      <c r="T1683" s="4">
        <v>4</v>
      </c>
      <c r="U1683" s="4">
        <f>IF(AND(Table1[[#This Row],[Rework_Flag]]="Yes",Table1[[#This Row],[Warranty_Claim]]="No"),Table1[[#This Row],[Service_Revenue]],0)</f>
        <v>0</v>
      </c>
      <c r="V1683" s="4">
        <f>IF(Table1[[#This Row],[Warranty_Claim]]="Yes",1,0)</f>
        <v>0</v>
      </c>
      <c r="W1683" s="4">
        <f>IF(Table1[[#This Row],[Rework_Flag]]="No",1,0)</f>
        <v>1</v>
      </c>
      <c r="X1683" s="4">
        <f>IF(Table1[[#This Row],[Rework_Flag]]="Yes",1,0)</f>
        <v>0</v>
      </c>
      <c r="Y1683" s="4">
        <v>1</v>
      </c>
      <c r="Z1683" s="4" t="str">
        <f>IF(Table1[[#This Row],[TAT_Days]]&gt;Table1[[#This Row],[SLA_TAT]],"Yes","No")</f>
        <v>Yes</v>
      </c>
      <c r="AA1683" s="4" t="str" cm="1">
        <f t="array" ref="AA1683">_xlfn.IFS(Table1[[#This Row],[Customer_Satisfaction]]&lt;=2,"Poor",Table1[[#This Row],[Customer_Satisfaction]]=3,"Neutral",Table1[[#This Row],[Customer_Satisfaction]]=4,"Good",Table1[[#This Row],[Customer_Satisfaction]]=5,"Good")</f>
        <v>Good</v>
      </c>
    </row>
    <row r="1684" spans="1:27" x14ac:dyDescent="0.35">
      <c r="A1684">
        <v>21682</v>
      </c>
      <c r="B1684" s="1">
        <v>45449</v>
      </c>
      <c r="C1684" t="s">
        <v>50</v>
      </c>
      <c r="D1684" t="s">
        <v>51</v>
      </c>
      <c r="E1684" t="s">
        <v>73</v>
      </c>
      <c r="F1684" t="s">
        <v>53</v>
      </c>
      <c r="G1684" t="s">
        <v>23</v>
      </c>
      <c r="H1684" t="s">
        <v>24</v>
      </c>
      <c r="I1684" t="s">
        <v>55</v>
      </c>
      <c r="J1684" t="s">
        <v>26</v>
      </c>
      <c r="K1684" t="s">
        <v>61</v>
      </c>
      <c r="L1684" t="s">
        <v>28</v>
      </c>
      <c r="M1684" s="4">
        <v>14</v>
      </c>
      <c r="N1684" s="4">
        <v>7</v>
      </c>
      <c r="O1684" t="s">
        <v>36</v>
      </c>
      <c r="P1684" t="s">
        <v>36</v>
      </c>
      <c r="Q1684" s="4">
        <v>408740</v>
      </c>
      <c r="R1684" s="4">
        <v>218269</v>
      </c>
      <c r="S1684" s="4">
        <f>Table1[[#This Row],[Service_Revenue]]-Table1[[#This Row],[Service_Cost]]</f>
        <v>190471</v>
      </c>
      <c r="T1684" s="4">
        <v>3</v>
      </c>
      <c r="U1684" s="4">
        <f>IF(AND(Table1[[#This Row],[Rework_Flag]]="Yes",Table1[[#This Row],[Warranty_Claim]]="No"),Table1[[#This Row],[Service_Revenue]],0)</f>
        <v>0</v>
      </c>
      <c r="V1684" s="4">
        <f>IF(Table1[[#This Row],[Warranty_Claim]]="Yes",1,0)</f>
        <v>0</v>
      </c>
      <c r="W1684" s="4">
        <f>IF(Table1[[#This Row],[Rework_Flag]]="No",1,0)</f>
        <v>1</v>
      </c>
      <c r="X1684" s="4">
        <f>IF(Table1[[#This Row],[Rework_Flag]]="Yes",1,0)</f>
        <v>0</v>
      </c>
      <c r="Y1684" s="4">
        <v>1</v>
      </c>
      <c r="Z1684" s="4" t="str">
        <f>IF(Table1[[#This Row],[TAT_Days]]&gt;Table1[[#This Row],[SLA_TAT]],"Yes","No")</f>
        <v>Yes</v>
      </c>
      <c r="AA1684" s="4" t="str" cm="1">
        <f t="array" ref="AA1684">_xlfn.IFS(Table1[[#This Row],[Customer_Satisfaction]]&lt;=2,"Poor",Table1[[#This Row],[Customer_Satisfaction]]=3,"Neutral",Table1[[#This Row],[Customer_Satisfaction]]=4,"Good",Table1[[#This Row],[Customer_Satisfaction]]=5,"Good")</f>
        <v>Neutral</v>
      </c>
    </row>
    <row r="1685" spans="1:27" x14ac:dyDescent="0.35">
      <c r="A1685">
        <v>21683</v>
      </c>
      <c r="B1685" s="1">
        <v>45417</v>
      </c>
      <c r="C1685" t="s">
        <v>30</v>
      </c>
      <c r="D1685" t="s">
        <v>83</v>
      </c>
      <c r="E1685" t="s">
        <v>119</v>
      </c>
      <c r="F1685" t="s">
        <v>22</v>
      </c>
      <c r="G1685" t="s">
        <v>74</v>
      </c>
      <c r="H1685" t="s">
        <v>34</v>
      </c>
      <c r="I1685" t="s">
        <v>25</v>
      </c>
      <c r="J1685" t="s">
        <v>67</v>
      </c>
      <c r="K1685" t="s">
        <v>27</v>
      </c>
      <c r="L1685" t="s">
        <v>49</v>
      </c>
      <c r="M1685" s="4">
        <v>7</v>
      </c>
      <c r="N1685" s="4">
        <v>7</v>
      </c>
      <c r="O1685" t="s">
        <v>29</v>
      </c>
      <c r="P1685" t="s">
        <v>36</v>
      </c>
      <c r="Q1685" s="4">
        <v>241595</v>
      </c>
      <c r="R1685" s="4">
        <v>200191</v>
      </c>
      <c r="S1685" s="4">
        <f>Table1[[#This Row],[Service_Revenue]]-Table1[[#This Row],[Service_Cost]]</f>
        <v>41404</v>
      </c>
      <c r="T1685" s="4">
        <v>3</v>
      </c>
      <c r="U1685" s="4">
        <f>IF(AND(Table1[[#This Row],[Rework_Flag]]="Yes",Table1[[#This Row],[Warranty_Claim]]="No"),Table1[[#This Row],[Service_Revenue]],0)</f>
        <v>241595</v>
      </c>
      <c r="V1685" s="4">
        <f>IF(Table1[[#This Row],[Warranty_Claim]]="Yes",1,0)</f>
        <v>0</v>
      </c>
      <c r="W1685" s="4">
        <f>IF(Table1[[#This Row],[Rework_Flag]]="No",1,0)</f>
        <v>0</v>
      </c>
      <c r="X1685" s="4">
        <f>IF(Table1[[#This Row],[Rework_Flag]]="Yes",1,0)</f>
        <v>1</v>
      </c>
      <c r="Y1685" s="4">
        <v>1</v>
      </c>
      <c r="Z1685" s="4" t="str">
        <f>IF(Table1[[#This Row],[TAT_Days]]&gt;Table1[[#This Row],[SLA_TAT]],"Yes","No")</f>
        <v>No</v>
      </c>
      <c r="AA1685" s="4" t="str" cm="1">
        <f t="array" ref="AA1685">_xlfn.IFS(Table1[[#This Row],[Customer_Satisfaction]]&lt;=2,"Poor",Table1[[#This Row],[Customer_Satisfaction]]=3,"Neutral",Table1[[#This Row],[Customer_Satisfaction]]=4,"Good",Table1[[#This Row],[Customer_Satisfaction]]=5,"Good")</f>
        <v>Neutral</v>
      </c>
    </row>
    <row r="1686" spans="1:27" x14ac:dyDescent="0.35">
      <c r="A1686">
        <v>21684</v>
      </c>
      <c r="B1686" s="1">
        <v>45419</v>
      </c>
      <c r="C1686" t="s">
        <v>19</v>
      </c>
      <c r="D1686" t="s">
        <v>96</v>
      </c>
      <c r="E1686" t="s">
        <v>97</v>
      </c>
      <c r="F1686" t="s">
        <v>22</v>
      </c>
      <c r="G1686" t="s">
        <v>33</v>
      </c>
      <c r="H1686" t="s">
        <v>34</v>
      </c>
      <c r="I1686" t="s">
        <v>55</v>
      </c>
      <c r="J1686" t="s">
        <v>35</v>
      </c>
      <c r="K1686" t="s">
        <v>44</v>
      </c>
      <c r="L1686" t="s">
        <v>49</v>
      </c>
      <c r="M1686" s="4">
        <v>4</v>
      </c>
      <c r="N1686" s="4">
        <v>7</v>
      </c>
      <c r="O1686" t="s">
        <v>36</v>
      </c>
      <c r="P1686" t="s">
        <v>36</v>
      </c>
      <c r="Q1686" s="4">
        <v>504600</v>
      </c>
      <c r="R1686" s="4">
        <v>418839</v>
      </c>
      <c r="S1686" s="4">
        <f>Table1[[#This Row],[Service_Revenue]]-Table1[[#This Row],[Service_Cost]]</f>
        <v>85761</v>
      </c>
      <c r="T1686" s="4">
        <v>5</v>
      </c>
      <c r="U1686" s="4">
        <f>IF(AND(Table1[[#This Row],[Rework_Flag]]="Yes",Table1[[#This Row],[Warranty_Claim]]="No"),Table1[[#This Row],[Service_Revenue]],0)</f>
        <v>0</v>
      </c>
      <c r="V1686" s="4">
        <f>IF(Table1[[#This Row],[Warranty_Claim]]="Yes",1,0)</f>
        <v>0</v>
      </c>
      <c r="W1686" s="4">
        <f>IF(Table1[[#This Row],[Rework_Flag]]="No",1,0)</f>
        <v>1</v>
      </c>
      <c r="X1686" s="4">
        <f>IF(Table1[[#This Row],[Rework_Flag]]="Yes",1,0)</f>
        <v>0</v>
      </c>
      <c r="Y1686" s="4">
        <v>1</v>
      </c>
      <c r="Z1686" s="4" t="str">
        <f>IF(Table1[[#This Row],[TAT_Days]]&gt;Table1[[#This Row],[SLA_TAT]],"Yes","No")</f>
        <v>No</v>
      </c>
      <c r="AA1686" s="4" t="str" cm="1">
        <f t="array" ref="AA1686">_xlfn.IFS(Table1[[#This Row],[Customer_Satisfaction]]&lt;=2,"Poor",Table1[[#This Row],[Customer_Satisfaction]]=3,"Neutral",Table1[[#This Row],[Customer_Satisfaction]]=4,"Good",Table1[[#This Row],[Customer_Satisfaction]]=5,"Good")</f>
        <v>Good</v>
      </c>
    </row>
    <row r="1687" spans="1:27" x14ac:dyDescent="0.35">
      <c r="A1687">
        <v>21685</v>
      </c>
      <c r="B1687" s="1">
        <v>45389</v>
      </c>
      <c r="C1687" t="s">
        <v>19</v>
      </c>
      <c r="D1687" t="s">
        <v>45</v>
      </c>
      <c r="E1687" t="s">
        <v>99</v>
      </c>
      <c r="F1687" t="s">
        <v>40</v>
      </c>
      <c r="G1687" t="s">
        <v>41</v>
      </c>
      <c r="H1687" t="s">
        <v>42</v>
      </c>
      <c r="I1687" t="s">
        <v>55</v>
      </c>
      <c r="J1687" t="s">
        <v>67</v>
      </c>
      <c r="K1687" t="s">
        <v>61</v>
      </c>
      <c r="L1687" t="s">
        <v>49</v>
      </c>
      <c r="M1687" s="4">
        <v>18</v>
      </c>
      <c r="N1687" s="4">
        <v>7</v>
      </c>
      <c r="O1687" t="s">
        <v>29</v>
      </c>
      <c r="P1687" t="s">
        <v>36</v>
      </c>
      <c r="Q1687" s="4">
        <v>421923</v>
      </c>
      <c r="R1687" s="4">
        <v>283586</v>
      </c>
      <c r="S1687" s="4">
        <f>Table1[[#This Row],[Service_Revenue]]-Table1[[#This Row],[Service_Cost]]</f>
        <v>138337</v>
      </c>
      <c r="T1687" s="4">
        <v>1</v>
      </c>
      <c r="U1687" s="4">
        <f>IF(AND(Table1[[#This Row],[Rework_Flag]]="Yes",Table1[[#This Row],[Warranty_Claim]]="No"),Table1[[#This Row],[Service_Revenue]],0)</f>
        <v>421923</v>
      </c>
      <c r="V1687" s="4">
        <f>IF(Table1[[#This Row],[Warranty_Claim]]="Yes",1,0)</f>
        <v>0</v>
      </c>
      <c r="W1687" s="4">
        <f>IF(Table1[[#This Row],[Rework_Flag]]="No",1,0)</f>
        <v>0</v>
      </c>
      <c r="X1687" s="4">
        <f>IF(Table1[[#This Row],[Rework_Flag]]="Yes",1,0)</f>
        <v>1</v>
      </c>
      <c r="Y1687" s="4">
        <v>1</v>
      </c>
      <c r="Z1687" s="4" t="str">
        <f>IF(Table1[[#This Row],[TAT_Days]]&gt;Table1[[#This Row],[SLA_TAT]],"Yes","No")</f>
        <v>Yes</v>
      </c>
      <c r="AA1687" s="4" t="str" cm="1">
        <f t="array" ref="AA1687">_xlfn.IFS(Table1[[#This Row],[Customer_Satisfaction]]&lt;=2,"Poor",Table1[[#This Row],[Customer_Satisfaction]]=3,"Neutral",Table1[[#This Row],[Customer_Satisfaction]]=4,"Good",Table1[[#This Row],[Customer_Satisfaction]]=5,"Good")</f>
        <v>Poor</v>
      </c>
    </row>
    <row r="1688" spans="1:27" x14ac:dyDescent="0.35">
      <c r="A1688">
        <v>21686</v>
      </c>
      <c r="B1688" s="1">
        <v>45462</v>
      </c>
      <c r="C1688" t="s">
        <v>50</v>
      </c>
      <c r="D1688" t="s">
        <v>56</v>
      </c>
      <c r="E1688" t="s">
        <v>88</v>
      </c>
      <c r="F1688" t="s">
        <v>22</v>
      </c>
      <c r="G1688" t="s">
        <v>41</v>
      </c>
      <c r="H1688" t="s">
        <v>42</v>
      </c>
      <c r="I1688" t="s">
        <v>55</v>
      </c>
      <c r="J1688" t="s">
        <v>67</v>
      </c>
      <c r="K1688" t="s">
        <v>44</v>
      </c>
      <c r="L1688" t="s">
        <v>49</v>
      </c>
      <c r="M1688" s="4">
        <v>14</v>
      </c>
      <c r="N1688" s="4">
        <v>7</v>
      </c>
      <c r="O1688" t="s">
        <v>36</v>
      </c>
      <c r="P1688" t="s">
        <v>36</v>
      </c>
      <c r="Q1688" s="4">
        <v>409752</v>
      </c>
      <c r="R1688" s="4">
        <v>277516</v>
      </c>
      <c r="S1688" s="4">
        <f>Table1[[#This Row],[Service_Revenue]]-Table1[[#This Row],[Service_Cost]]</f>
        <v>132236</v>
      </c>
      <c r="T1688" s="4">
        <v>3</v>
      </c>
      <c r="U1688" s="4">
        <f>IF(AND(Table1[[#This Row],[Rework_Flag]]="Yes",Table1[[#This Row],[Warranty_Claim]]="No"),Table1[[#This Row],[Service_Revenue]],0)</f>
        <v>0</v>
      </c>
      <c r="V1688" s="4">
        <f>IF(Table1[[#This Row],[Warranty_Claim]]="Yes",1,0)</f>
        <v>0</v>
      </c>
      <c r="W1688" s="4">
        <f>IF(Table1[[#This Row],[Rework_Flag]]="No",1,0)</f>
        <v>1</v>
      </c>
      <c r="X1688" s="4">
        <f>IF(Table1[[#This Row],[Rework_Flag]]="Yes",1,0)</f>
        <v>0</v>
      </c>
      <c r="Y1688" s="4">
        <v>1</v>
      </c>
      <c r="Z1688" s="4" t="str">
        <f>IF(Table1[[#This Row],[TAT_Days]]&gt;Table1[[#This Row],[SLA_TAT]],"Yes","No")</f>
        <v>Yes</v>
      </c>
      <c r="AA1688" s="4" t="str" cm="1">
        <f t="array" ref="AA1688">_xlfn.IFS(Table1[[#This Row],[Customer_Satisfaction]]&lt;=2,"Poor",Table1[[#This Row],[Customer_Satisfaction]]=3,"Neutral",Table1[[#This Row],[Customer_Satisfaction]]=4,"Good",Table1[[#This Row],[Customer_Satisfaction]]=5,"Good")</f>
        <v>Neutral</v>
      </c>
    </row>
    <row r="1689" spans="1:27" x14ac:dyDescent="0.35">
      <c r="A1689">
        <v>21687</v>
      </c>
      <c r="B1689" s="1">
        <v>45465</v>
      </c>
      <c r="C1689" t="s">
        <v>30</v>
      </c>
      <c r="D1689" t="s">
        <v>59</v>
      </c>
      <c r="E1689" t="s">
        <v>60</v>
      </c>
      <c r="F1689" t="s">
        <v>40</v>
      </c>
      <c r="G1689" t="s">
        <v>54</v>
      </c>
      <c r="H1689" t="s">
        <v>42</v>
      </c>
      <c r="I1689" t="s">
        <v>25</v>
      </c>
      <c r="J1689" t="s">
        <v>35</v>
      </c>
      <c r="K1689" t="s">
        <v>27</v>
      </c>
      <c r="L1689" t="s">
        <v>28</v>
      </c>
      <c r="M1689" s="4">
        <v>8</v>
      </c>
      <c r="N1689" s="4">
        <v>7</v>
      </c>
      <c r="O1689" t="s">
        <v>36</v>
      </c>
      <c r="P1689" t="s">
        <v>36</v>
      </c>
      <c r="Q1689" s="4">
        <v>546156</v>
      </c>
      <c r="R1689" s="4">
        <v>462216</v>
      </c>
      <c r="S1689" s="4">
        <f>Table1[[#This Row],[Service_Revenue]]-Table1[[#This Row],[Service_Cost]]</f>
        <v>83940</v>
      </c>
      <c r="T1689" s="4">
        <v>4</v>
      </c>
      <c r="U1689" s="4">
        <f>IF(AND(Table1[[#This Row],[Rework_Flag]]="Yes",Table1[[#This Row],[Warranty_Claim]]="No"),Table1[[#This Row],[Service_Revenue]],0)</f>
        <v>0</v>
      </c>
      <c r="V1689" s="4">
        <f>IF(Table1[[#This Row],[Warranty_Claim]]="Yes",1,0)</f>
        <v>0</v>
      </c>
      <c r="W1689" s="4">
        <f>IF(Table1[[#This Row],[Rework_Flag]]="No",1,0)</f>
        <v>1</v>
      </c>
      <c r="X1689" s="4">
        <f>IF(Table1[[#This Row],[Rework_Flag]]="Yes",1,0)</f>
        <v>0</v>
      </c>
      <c r="Y1689" s="4">
        <v>1</v>
      </c>
      <c r="Z1689" s="4" t="str">
        <f>IF(Table1[[#This Row],[TAT_Days]]&gt;Table1[[#This Row],[SLA_TAT]],"Yes","No")</f>
        <v>Yes</v>
      </c>
      <c r="AA1689" s="4" t="str" cm="1">
        <f t="array" ref="AA1689">_xlfn.IFS(Table1[[#This Row],[Customer_Satisfaction]]&lt;=2,"Poor",Table1[[#This Row],[Customer_Satisfaction]]=3,"Neutral",Table1[[#This Row],[Customer_Satisfaction]]=4,"Good",Table1[[#This Row],[Customer_Satisfaction]]=5,"Good")</f>
        <v>Good</v>
      </c>
    </row>
    <row r="1690" spans="1:27" x14ac:dyDescent="0.35">
      <c r="A1690">
        <v>21688</v>
      </c>
      <c r="B1690" s="1">
        <v>45348</v>
      </c>
      <c r="C1690" t="s">
        <v>37</v>
      </c>
      <c r="D1690" t="s">
        <v>64</v>
      </c>
      <c r="E1690" t="s">
        <v>65</v>
      </c>
      <c r="F1690" t="s">
        <v>40</v>
      </c>
      <c r="G1690" t="s">
        <v>47</v>
      </c>
      <c r="H1690" t="s">
        <v>48</v>
      </c>
      <c r="I1690" t="s">
        <v>55</v>
      </c>
      <c r="J1690" t="s">
        <v>26</v>
      </c>
      <c r="K1690" t="s">
        <v>61</v>
      </c>
      <c r="L1690" t="s">
        <v>28</v>
      </c>
      <c r="M1690" s="4">
        <v>18</v>
      </c>
      <c r="N1690" s="4">
        <v>7</v>
      </c>
      <c r="O1690" t="s">
        <v>29</v>
      </c>
      <c r="P1690" t="s">
        <v>36</v>
      </c>
      <c r="Q1690" s="4">
        <v>228742</v>
      </c>
      <c r="R1690" s="4">
        <v>190763</v>
      </c>
      <c r="S1690" s="4">
        <f>Table1[[#This Row],[Service_Revenue]]-Table1[[#This Row],[Service_Cost]]</f>
        <v>37979</v>
      </c>
      <c r="T1690" s="4">
        <v>1</v>
      </c>
      <c r="U1690" s="4">
        <f>IF(AND(Table1[[#This Row],[Rework_Flag]]="Yes",Table1[[#This Row],[Warranty_Claim]]="No"),Table1[[#This Row],[Service_Revenue]],0)</f>
        <v>228742</v>
      </c>
      <c r="V1690" s="4">
        <f>IF(Table1[[#This Row],[Warranty_Claim]]="Yes",1,0)</f>
        <v>0</v>
      </c>
      <c r="W1690" s="4">
        <f>IF(Table1[[#This Row],[Rework_Flag]]="No",1,0)</f>
        <v>0</v>
      </c>
      <c r="X1690" s="4">
        <f>IF(Table1[[#This Row],[Rework_Flag]]="Yes",1,0)</f>
        <v>1</v>
      </c>
      <c r="Y1690" s="4">
        <v>1</v>
      </c>
      <c r="Z1690" s="4" t="str">
        <f>IF(Table1[[#This Row],[TAT_Days]]&gt;Table1[[#This Row],[SLA_TAT]],"Yes","No")</f>
        <v>Yes</v>
      </c>
      <c r="AA1690" s="4" t="str" cm="1">
        <f t="array" ref="AA1690">_xlfn.IFS(Table1[[#This Row],[Customer_Satisfaction]]&lt;=2,"Poor",Table1[[#This Row],[Customer_Satisfaction]]=3,"Neutral",Table1[[#This Row],[Customer_Satisfaction]]=4,"Good",Table1[[#This Row],[Customer_Satisfaction]]=5,"Good")</f>
        <v>Poor</v>
      </c>
    </row>
    <row r="1691" spans="1:27" x14ac:dyDescent="0.35">
      <c r="A1691">
        <v>21689</v>
      </c>
      <c r="B1691" s="1">
        <v>45317</v>
      </c>
      <c r="C1691" t="s">
        <v>30</v>
      </c>
      <c r="D1691" t="s">
        <v>83</v>
      </c>
      <c r="E1691" t="s">
        <v>95</v>
      </c>
      <c r="F1691" t="s">
        <v>53</v>
      </c>
      <c r="G1691" t="s">
        <v>54</v>
      </c>
      <c r="H1691" t="s">
        <v>42</v>
      </c>
      <c r="I1691" t="s">
        <v>55</v>
      </c>
      <c r="J1691" t="s">
        <v>43</v>
      </c>
      <c r="K1691" t="s">
        <v>44</v>
      </c>
      <c r="L1691" t="s">
        <v>28</v>
      </c>
      <c r="M1691" s="4">
        <v>15</v>
      </c>
      <c r="N1691" s="4">
        <v>7</v>
      </c>
      <c r="O1691" t="s">
        <v>36</v>
      </c>
      <c r="P1691" t="s">
        <v>36</v>
      </c>
      <c r="Q1691" s="4">
        <v>352878</v>
      </c>
      <c r="R1691" s="4">
        <v>239965</v>
      </c>
      <c r="S1691" s="4">
        <f>Table1[[#This Row],[Service_Revenue]]-Table1[[#This Row],[Service_Cost]]</f>
        <v>112913</v>
      </c>
      <c r="T1691" s="4">
        <v>2</v>
      </c>
      <c r="U1691" s="4">
        <f>IF(AND(Table1[[#This Row],[Rework_Flag]]="Yes",Table1[[#This Row],[Warranty_Claim]]="No"),Table1[[#This Row],[Service_Revenue]],0)</f>
        <v>0</v>
      </c>
      <c r="V1691" s="4">
        <f>IF(Table1[[#This Row],[Warranty_Claim]]="Yes",1,0)</f>
        <v>0</v>
      </c>
      <c r="W1691" s="4">
        <f>IF(Table1[[#This Row],[Rework_Flag]]="No",1,0)</f>
        <v>1</v>
      </c>
      <c r="X1691" s="4">
        <f>IF(Table1[[#This Row],[Rework_Flag]]="Yes",1,0)</f>
        <v>0</v>
      </c>
      <c r="Y1691" s="4">
        <v>1</v>
      </c>
      <c r="Z1691" s="4" t="str">
        <f>IF(Table1[[#This Row],[TAT_Days]]&gt;Table1[[#This Row],[SLA_TAT]],"Yes","No")</f>
        <v>Yes</v>
      </c>
      <c r="AA1691" s="4" t="str" cm="1">
        <f t="array" ref="AA1691">_xlfn.IFS(Table1[[#This Row],[Customer_Satisfaction]]&lt;=2,"Poor",Table1[[#This Row],[Customer_Satisfaction]]=3,"Neutral",Table1[[#This Row],[Customer_Satisfaction]]=4,"Good",Table1[[#This Row],[Customer_Satisfaction]]=5,"Good")</f>
        <v>Poor</v>
      </c>
    </row>
    <row r="1692" spans="1:27" x14ac:dyDescent="0.35">
      <c r="A1692">
        <v>21690</v>
      </c>
      <c r="B1692" s="1">
        <v>45413</v>
      </c>
      <c r="C1692" t="s">
        <v>37</v>
      </c>
      <c r="D1692" t="s">
        <v>70</v>
      </c>
      <c r="E1692" t="s">
        <v>82</v>
      </c>
      <c r="F1692" t="s">
        <v>22</v>
      </c>
      <c r="G1692" t="s">
        <v>47</v>
      </c>
      <c r="H1692" t="s">
        <v>48</v>
      </c>
      <c r="I1692" t="s">
        <v>25</v>
      </c>
      <c r="J1692" t="s">
        <v>35</v>
      </c>
      <c r="K1692" t="s">
        <v>27</v>
      </c>
      <c r="L1692" t="s">
        <v>28</v>
      </c>
      <c r="M1692" s="4">
        <v>21</v>
      </c>
      <c r="N1692" s="4">
        <v>7</v>
      </c>
      <c r="O1692" t="s">
        <v>29</v>
      </c>
      <c r="P1692" t="s">
        <v>36</v>
      </c>
      <c r="Q1692" s="4">
        <v>95453</v>
      </c>
      <c r="R1692" s="4">
        <v>57433</v>
      </c>
      <c r="S1692" s="4">
        <f>Table1[[#This Row],[Service_Revenue]]-Table1[[#This Row],[Service_Cost]]</f>
        <v>38020</v>
      </c>
      <c r="T1692" s="4">
        <v>1</v>
      </c>
      <c r="U1692" s="4">
        <f>IF(AND(Table1[[#This Row],[Rework_Flag]]="Yes",Table1[[#This Row],[Warranty_Claim]]="No"),Table1[[#This Row],[Service_Revenue]],0)</f>
        <v>95453</v>
      </c>
      <c r="V1692" s="4">
        <f>IF(Table1[[#This Row],[Warranty_Claim]]="Yes",1,0)</f>
        <v>0</v>
      </c>
      <c r="W1692" s="4">
        <f>IF(Table1[[#This Row],[Rework_Flag]]="No",1,0)</f>
        <v>0</v>
      </c>
      <c r="X1692" s="4">
        <f>IF(Table1[[#This Row],[Rework_Flag]]="Yes",1,0)</f>
        <v>1</v>
      </c>
      <c r="Y1692" s="4">
        <v>1</v>
      </c>
      <c r="Z1692" s="4" t="str">
        <f>IF(Table1[[#This Row],[TAT_Days]]&gt;Table1[[#This Row],[SLA_TAT]],"Yes","No")</f>
        <v>Yes</v>
      </c>
      <c r="AA1692" s="4" t="str" cm="1">
        <f t="array" ref="AA1692">_xlfn.IFS(Table1[[#This Row],[Customer_Satisfaction]]&lt;=2,"Poor",Table1[[#This Row],[Customer_Satisfaction]]=3,"Neutral",Table1[[#This Row],[Customer_Satisfaction]]=4,"Good",Table1[[#This Row],[Customer_Satisfaction]]=5,"Good")</f>
        <v>Poor</v>
      </c>
    </row>
    <row r="1693" spans="1:27" x14ac:dyDescent="0.35">
      <c r="A1693">
        <v>21691</v>
      </c>
      <c r="B1693" s="1">
        <v>45293</v>
      </c>
      <c r="C1693" t="s">
        <v>50</v>
      </c>
      <c r="D1693" t="s">
        <v>56</v>
      </c>
      <c r="E1693" t="s">
        <v>77</v>
      </c>
      <c r="F1693" t="s">
        <v>53</v>
      </c>
      <c r="G1693" t="s">
        <v>23</v>
      </c>
      <c r="H1693" t="s">
        <v>24</v>
      </c>
      <c r="I1693" t="s">
        <v>25</v>
      </c>
      <c r="J1693" t="s">
        <v>67</v>
      </c>
      <c r="K1693" t="s">
        <v>61</v>
      </c>
      <c r="L1693" t="s">
        <v>28</v>
      </c>
      <c r="M1693" s="4">
        <v>3</v>
      </c>
      <c r="N1693" s="4">
        <v>7</v>
      </c>
      <c r="O1693" t="s">
        <v>36</v>
      </c>
      <c r="P1693" t="s">
        <v>36</v>
      </c>
      <c r="Q1693" s="4">
        <v>223691</v>
      </c>
      <c r="R1693" s="4">
        <v>142337</v>
      </c>
      <c r="S1693" s="4">
        <f>Table1[[#This Row],[Service_Revenue]]-Table1[[#This Row],[Service_Cost]]</f>
        <v>81354</v>
      </c>
      <c r="T1693" s="4">
        <v>5</v>
      </c>
      <c r="U1693" s="4">
        <f>IF(AND(Table1[[#This Row],[Rework_Flag]]="Yes",Table1[[#This Row],[Warranty_Claim]]="No"),Table1[[#This Row],[Service_Revenue]],0)</f>
        <v>0</v>
      </c>
      <c r="V1693" s="4">
        <f>IF(Table1[[#This Row],[Warranty_Claim]]="Yes",1,0)</f>
        <v>0</v>
      </c>
      <c r="W1693" s="4">
        <f>IF(Table1[[#This Row],[Rework_Flag]]="No",1,0)</f>
        <v>1</v>
      </c>
      <c r="X1693" s="4">
        <f>IF(Table1[[#This Row],[Rework_Flag]]="Yes",1,0)</f>
        <v>0</v>
      </c>
      <c r="Y1693" s="4">
        <v>1</v>
      </c>
      <c r="Z1693" s="4" t="str">
        <f>IF(Table1[[#This Row],[TAT_Days]]&gt;Table1[[#This Row],[SLA_TAT]],"Yes","No")</f>
        <v>No</v>
      </c>
      <c r="AA1693" s="4" t="str" cm="1">
        <f t="array" ref="AA1693">_xlfn.IFS(Table1[[#This Row],[Customer_Satisfaction]]&lt;=2,"Poor",Table1[[#This Row],[Customer_Satisfaction]]=3,"Neutral",Table1[[#This Row],[Customer_Satisfaction]]=4,"Good",Table1[[#This Row],[Customer_Satisfaction]]=5,"Good")</f>
        <v>Good</v>
      </c>
    </row>
    <row r="1694" spans="1:27" x14ac:dyDescent="0.35">
      <c r="A1694">
        <v>21692</v>
      </c>
      <c r="B1694" s="1">
        <v>45432</v>
      </c>
      <c r="C1694" t="s">
        <v>19</v>
      </c>
      <c r="D1694" t="s">
        <v>96</v>
      </c>
      <c r="E1694" t="s">
        <v>109</v>
      </c>
      <c r="F1694" t="s">
        <v>40</v>
      </c>
      <c r="G1694" t="s">
        <v>41</v>
      </c>
      <c r="H1694" t="s">
        <v>42</v>
      </c>
      <c r="I1694" t="s">
        <v>55</v>
      </c>
      <c r="J1694" t="s">
        <v>43</v>
      </c>
      <c r="K1694" t="s">
        <v>27</v>
      </c>
      <c r="L1694" t="s">
        <v>49</v>
      </c>
      <c r="M1694" s="4">
        <v>21</v>
      </c>
      <c r="N1694" s="4">
        <v>7</v>
      </c>
      <c r="O1694" t="s">
        <v>29</v>
      </c>
      <c r="P1694" t="s">
        <v>36</v>
      </c>
      <c r="Q1694" s="4">
        <v>180389</v>
      </c>
      <c r="R1694" s="4">
        <v>91216</v>
      </c>
      <c r="S1694" s="4">
        <f>Table1[[#This Row],[Service_Revenue]]-Table1[[#This Row],[Service_Cost]]</f>
        <v>89173</v>
      </c>
      <c r="T1694" s="4">
        <v>1</v>
      </c>
      <c r="U1694" s="4">
        <f>IF(AND(Table1[[#This Row],[Rework_Flag]]="Yes",Table1[[#This Row],[Warranty_Claim]]="No"),Table1[[#This Row],[Service_Revenue]],0)</f>
        <v>180389</v>
      </c>
      <c r="V1694" s="4">
        <f>IF(Table1[[#This Row],[Warranty_Claim]]="Yes",1,0)</f>
        <v>0</v>
      </c>
      <c r="W1694" s="4">
        <f>IF(Table1[[#This Row],[Rework_Flag]]="No",1,0)</f>
        <v>0</v>
      </c>
      <c r="X1694" s="4">
        <f>IF(Table1[[#This Row],[Rework_Flag]]="Yes",1,0)</f>
        <v>1</v>
      </c>
      <c r="Y1694" s="4">
        <v>1</v>
      </c>
      <c r="Z1694" s="4" t="str">
        <f>IF(Table1[[#This Row],[TAT_Days]]&gt;Table1[[#This Row],[SLA_TAT]],"Yes","No")</f>
        <v>Yes</v>
      </c>
      <c r="AA1694" s="4" t="str" cm="1">
        <f t="array" ref="AA1694">_xlfn.IFS(Table1[[#This Row],[Customer_Satisfaction]]&lt;=2,"Poor",Table1[[#This Row],[Customer_Satisfaction]]=3,"Neutral",Table1[[#This Row],[Customer_Satisfaction]]=4,"Good",Table1[[#This Row],[Customer_Satisfaction]]=5,"Good")</f>
        <v>Poor</v>
      </c>
    </row>
    <row r="1695" spans="1:27" x14ac:dyDescent="0.35">
      <c r="A1695">
        <v>21693</v>
      </c>
      <c r="B1695" s="1">
        <v>45320</v>
      </c>
      <c r="C1695" t="s">
        <v>30</v>
      </c>
      <c r="D1695" t="s">
        <v>31</v>
      </c>
      <c r="E1695" t="s">
        <v>32</v>
      </c>
      <c r="F1695" t="s">
        <v>22</v>
      </c>
      <c r="G1695" t="s">
        <v>63</v>
      </c>
      <c r="H1695" t="s">
        <v>24</v>
      </c>
      <c r="I1695" t="s">
        <v>25</v>
      </c>
      <c r="J1695" t="s">
        <v>26</v>
      </c>
      <c r="K1695" t="s">
        <v>61</v>
      </c>
      <c r="L1695" t="s">
        <v>49</v>
      </c>
      <c r="M1695" s="4">
        <v>11</v>
      </c>
      <c r="N1695" s="4">
        <v>7</v>
      </c>
      <c r="O1695" t="s">
        <v>29</v>
      </c>
      <c r="P1695" t="s">
        <v>29</v>
      </c>
      <c r="Q1695" s="4">
        <v>364195</v>
      </c>
      <c r="R1695" s="4">
        <v>210294</v>
      </c>
      <c r="S1695" s="4">
        <f>Table1[[#This Row],[Service_Revenue]]-Table1[[#This Row],[Service_Cost]]</f>
        <v>153901</v>
      </c>
      <c r="T1695" s="4">
        <v>2</v>
      </c>
      <c r="U1695" s="4">
        <f>IF(AND(Table1[[#This Row],[Rework_Flag]]="Yes",Table1[[#This Row],[Warranty_Claim]]="No"),Table1[[#This Row],[Service_Revenue]],0)</f>
        <v>0</v>
      </c>
      <c r="V1695" s="4">
        <f>IF(Table1[[#This Row],[Warranty_Claim]]="Yes",1,0)</f>
        <v>1</v>
      </c>
      <c r="W1695" s="4">
        <f>IF(Table1[[#This Row],[Rework_Flag]]="No",1,0)</f>
        <v>0</v>
      </c>
      <c r="X1695" s="4">
        <f>IF(Table1[[#This Row],[Rework_Flag]]="Yes",1,0)</f>
        <v>1</v>
      </c>
      <c r="Y1695" s="4">
        <v>1</v>
      </c>
      <c r="Z1695" s="4" t="str">
        <f>IF(Table1[[#This Row],[TAT_Days]]&gt;Table1[[#This Row],[SLA_TAT]],"Yes","No")</f>
        <v>Yes</v>
      </c>
      <c r="AA1695" s="4" t="str" cm="1">
        <f t="array" ref="AA1695">_xlfn.IFS(Table1[[#This Row],[Customer_Satisfaction]]&lt;=2,"Poor",Table1[[#This Row],[Customer_Satisfaction]]=3,"Neutral",Table1[[#This Row],[Customer_Satisfaction]]=4,"Good",Table1[[#This Row],[Customer_Satisfaction]]=5,"Good")</f>
        <v>Poor</v>
      </c>
    </row>
    <row r="1696" spans="1:27" x14ac:dyDescent="0.35">
      <c r="A1696">
        <v>21694</v>
      </c>
      <c r="B1696" s="1">
        <v>45334</v>
      </c>
      <c r="C1696" t="s">
        <v>19</v>
      </c>
      <c r="D1696" t="s">
        <v>45</v>
      </c>
      <c r="E1696" t="s">
        <v>46</v>
      </c>
      <c r="F1696" t="s">
        <v>22</v>
      </c>
      <c r="G1696" t="s">
        <v>41</v>
      </c>
      <c r="H1696" t="s">
        <v>42</v>
      </c>
      <c r="I1696" t="s">
        <v>25</v>
      </c>
      <c r="J1696" t="s">
        <v>58</v>
      </c>
      <c r="K1696" t="s">
        <v>61</v>
      </c>
      <c r="L1696" t="s">
        <v>28</v>
      </c>
      <c r="M1696" s="4">
        <v>17</v>
      </c>
      <c r="N1696" s="4">
        <v>7</v>
      </c>
      <c r="O1696" t="s">
        <v>36</v>
      </c>
      <c r="P1696" t="s">
        <v>36</v>
      </c>
      <c r="Q1696" s="4">
        <v>270307</v>
      </c>
      <c r="R1696" s="4">
        <v>228227</v>
      </c>
      <c r="S1696" s="4">
        <f>Table1[[#This Row],[Service_Revenue]]-Table1[[#This Row],[Service_Cost]]</f>
        <v>42080</v>
      </c>
      <c r="T1696" s="4">
        <v>2</v>
      </c>
      <c r="U1696" s="4">
        <f>IF(AND(Table1[[#This Row],[Rework_Flag]]="Yes",Table1[[#This Row],[Warranty_Claim]]="No"),Table1[[#This Row],[Service_Revenue]],0)</f>
        <v>0</v>
      </c>
      <c r="V1696" s="4">
        <f>IF(Table1[[#This Row],[Warranty_Claim]]="Yes",1,0)</f>
        <v>0</v>
      </c>
      <c r="W1696" s="4">
        <f>IF(Table1[[#This Row],[Rework_Flag]]="No",1,0)</f>
        <v>1</v>
      </c>
      <c r="X1696" s="4">
        <f>IF(Table1[[#This Row],[Rework_Flag]]="Yes",1,0)</f>
        <v>0</v>
      </c>
      <c r="Y1696" s="4">
        <v>1</v>
      </c>
      <c r="Z1696" s="4" t="str">
        <f>IF(Table1[[#This Row],[TAT_Days]]&gt;Table1[[#This Row],[SLA_TAT]],"Yes","No")</f>
        <v>Yes</v>
      </c>
      <c r="AA1696" s="4" t="str" cm="1">
        <f t="array" ref="AA1696">_xlfn.IFS(Table1[[#This Row],[Customer_Satisfaction]]&lt;=2,"Poor",Table1[[#This Row],[Customer_Satisfaction]]=3,"Neutral",Table1[[#This Row],[Customer_Satisfaction]]=4,"Good",Table1[[#This Row],[Customer_Satisfaction]]=5,"Good")</f>
        <v>Poor</v>
      </c>
    </row>
    <row r="1697" spans="1:27" x14ac:dyDescent="0.35">
      <c r="A1697">
        <v>21695</v>
      </c>
      <c r="B1697" s="1">
        <v>45378</v>
      </c>
      <c r="C1697" t="s">
        <v>30</v>
      </c>
      <c r="D1697" t="s">
        <v>83</v>
      </c>
      <c r="E1697" t="s">
        <v>84</v>
      </c>
      <c r="F1697" t="s">
        <v>53</v>
      </c>
      <c r="G1697" t="s">
        <v>33</v>
      </c>
      <c r="H1697" t="s">
        <v>34</v>
      </c>
      <c r="I1697" t="s">
        <v>25</v>
      </c>
      <c r="J1697" t="s">
        <v>35</v>
      </c>
      <c r="K1697" t="s">
        <v>61</v>
      </c>
      <c r="L1697" t="s">
        <v>28</v>
      </c>
      <c r="M1697" s="4">
        <v>3</v>
      </c>
      <c r="N1697" s="4">
        <v>7</v>
      </c>
      <c r="O1697" t="s">
        <v>29</v>
      </c>
      <c r="P1697" t="s">
        <v>29</v>
      </c>
      <c r="Q1697" s="4">
        <v>382066</v>
      </c>
      <c r="R1697" s="4">
        <v>281611</v>
      </c>
      <c r="S1697" s="4">
        <f>Table1[[#This Row],[Service_Revenue]]-Table1[[#This Row],[Service_Cost]]</f>
        <v>100455</v>
      </c>
      <c r="T1697" s="4">
        <v>4</v>
      </c>
      <c r="U1697" s="4">
        <f>IF(AND(Table1[[#This Row],[Rework_Flag]]="Yes",Table1[[#This Row],[Warranty_Claim]]="No"),Table1[[#This Row],[Service_Revenue]],0)</f>
        <v>0</v>
      </c>
      <c r="V1697" s="4">
        <f>IF(Table1[[#This Row],[Warranty_Claim]]="Yes",1,0)</f>
        <v>1</v>
      </c>
      <c r="W1697" s="4">
        <f>IF(Table1[[#This Row],[Rework_Flag]]="No",1,0)</f>
        <v>0</v>
      </c>
      <c r="X1697" s="4">
        <f>IF(Table1[[#This Row],[Rework_Flag]]="Yes",1,0)</f>
        <v>1</v>
      </c>
      <c r="Y1697" s="4">
        <v>1</v>
      </c>
      <c r="Z1697" s="4" t="str">
        <f>IF(Table1[[#This Row],[TAT_Days]]&gt;Table1[[#This Row],[SLA_TAT]],"Yes","No")</f>
        <v>No</v>
      </c>
      <c r="AA1697" s="4" t="str" cm="1">
        <f t="array" ref="AA1697">_xlfn.IFS(Table1[[#This Row],[Customer_Satisfaction]]&lt;=2,"Poor",Table1[[#This Row],[Customer_Satisfaction]]=3,"Neutral",Table1[[#This Row],[Customer_Satisfaction]]=4,"Good",Table1[[#This Row],[Customer_Satisfaction]]=5,"Good")</f>
        <v>Good</v>
      </c>
    </row>
    <row r="1698" spans="1:27" x14ac:dyDescent="0.35">
      <c r="A1698">
        <v>21696</v>
      </c>
      <c r="B1698" s="1">
        <v>45440</v>
      </c>
      <c r="C1698" t="s">
        <v>19</v>
      </c>
      <c r="D1698" t="s">
        <v>96</v>
      </c>
      <c r="E1698" t="s">
        <v>97</v>
      </c>
      <c r="F1698" t="s">
        <v>40</v>
      </c>
      <c r="G1698" t="s">
        <v>41</v>
      </c>
      <c r="H1698" t="s">
        <v>42</v>
      </c>
      <c r="I1698" t="s">
        <v>25</v>
      </c>
      <c r="J1698" t="s">
        <v>58</v>
      </c>
      <c r="K1698" t="s">
        <v>44</v>
      </c>
      <c r="L1698" t="s">
        <v>28</v>
      </c>
      <c r="M1698" s="4">
        <v>6</v>
      </c>
      <c r="N1698" s="4">
        <v>7</v>
      </c>
      <c r="O1698" t="s">
        <v>29</v>
      </c>
      <c r="P1698" t="s">
        <v>36</v>
      </c>
      <c r="Q1698" s="4">
        <v>423604</v>
      </c>
      <c r="R1698" s="4">
        <v>231398</v>
      </c>
      <c r="S1698" s="4">
        <f>Table1[[#This Row],[Service_Revenue]]-Table1[[#This Row],[Service_Cost]]</f>
        <v>192206</v>
      </c>
      <c r="T1698" s="4">
        <v>3</v>
      </c>
      <c r="U1698" s="4">
        <f>IF(AND(Table1[[#This Row],[Rework_Flag]]="Yes",Table1[[#This Row],[Warranty_Claim]]="No"),Table1[[#This Row],[Service_Revenue]],0)</f>
        <v>423604</v>
      </c>
      <c r="V1698" s="4">
        <f>IF(Table1[[#This Row],[Warranty_Claim]]="Yes",1,0)</f>
        <v>0</v>
      </c>
      <c r="W1698" s="4">
        <f>IF(Table1[[#This Row],[Rework_Flag]]="No",1,0)</f>
        <v>0</v>
      </c>
      <c r="X1698" s="4">
        <f>IF(Table1[[#This Row],[Rework_Flag]]="Yes",1,0)</f>
        <v>1</v>
      </c>
      <c r="Y1698" s="4">
        <v>1</v>
      </c>
      <c r="Z1698" s="4" t="str">
        <f>IF(Table1[[#This Row],[TAT_Days]]&gt;Table1[[#This Row],[SLA_TAT]],"Yes","No")</f>
        <v>No</v>
      </c>
      <c r="AA1698" s="4" t="str" cm="1">
        <f t="array" ref="AA1698">_xlfn.IFS(Table1[[#This Row],[Customer_Satisfaction]]&lt;=2,"Poor",Table1[[#This Row],[Customer_Satisfaction]]=3,"Neutral",Table1[[#This Row],[Customer_Satisfaction]]=4,"Good",Table1[[#This Row],[Customer_Satisfaction]]=5,"Good")</f>
        <v>Neutral</v>
      </c>
    </row>
    <row r="1699" spans="1:27" x14ac:dyDescent="0.35">
      <c r="A1699">
        <v>21697</v>
      </c>
      <c r="B1699" s="1">
        <v>45425</v>
      </c>
      <c r="C1699" t="s">
        <v>30</v>
      </c>
      <c r="D1699" t="s">
        <v>31</v>
      </c>
      <c r="E1699" t="s">
        <v>62</v>
      </c>
      <c r="F1699" t="s">
        <v>22</v>
      </c>
      <c r="G1699" t="s">
        <v>23</v>
      </c>
      <c r="H1699" t="s">
        <v>24</v>
      </c>
      <c r="I1699" t="s">
        <v>25</v>
      </c>
      <c r="J1699" t="s">
        <v>67</v>
      </c>
      <c r="K1699" t="s">
        <v>27</v>
      </c>
      <c r="L1699" t="s">
        <v>28</v>
      </c>
      <c r="M1699" s="4">
        <v>11</v>
      </c>
      <c r="N1699" s="4">
        <v>7</v>
      </c>
      <c r="O1699" t="s">
        <v>29</v>
      </c>
      <c r="P1699" t="s">
        <v>29</v>
      </c>
      <c r="Q1699" s="4">
        <v>310711</v>
      </c>
      <c r="R1699" s="4">
        <v>255753</v>
      </c>
      <c r="S1699" s="4">
        <f>Table1[[#This Row],[Service_Revenue]]-Table1[[#This Row],[Service_Cost]]</f>
        <v>54958</v>
      </c>
      <c r="T1699" s="4">
        <v>2</v>
      </c>
      <c r="U1699" s="4">
        <f>IF(AND(Table1[[#This Row],[Rework_Flag]]="Yes",Table1[[#This Row],[Warranty_Claim]]="No"),Table1[[#This Row],[Service_Revenue]],0)</f>
        <v>0</v>
      </c>
      <c r="V1699" s="4">
        <f>IF(Table1[[#This Row],[Warranty_Claim]]="Yes",1,0)</f>
        <v>1</v>
      </c>
      <c r="W1699" s="4">
        <f>IF(Table1[[#This Row],[Rework_Flag]]="No",1,0)</f>
        <v>0</v>
      </c>
      <c r="X1699" s="4">
        <f>IF(Table1[[#This Row],[Rework_Flag]]="Yes",1,0)</f>
        <v>1</v>
      </c>
      <c r="Y1699" s="4">
        <v>1</v>
      </c>
      <c r="Z1699" s="4" t="str">
        <f>IF(Table1[[#This Row],[TAT_Days]]&gt;Table1[[#This Row],[SLA_TAT]],"Yes","No")</f>
        <v>Yes</v>
      </c>
      <c r="AA1699" s="4" t="str" cm="1">
        <f t="array" ref="AA1699">_xlfn.IFS(Table1[[#This Row],[Customer_Satisfaction]]&lt;=2,"Poor",Table1[[#This Row],[Customer_Satisfaction]]=3,"Neutral",Table1[[#This Row],[Customer_Satisfaction]]=4,"Good",Table1[[#This Row],[Customer_Satisfaction]]=5,"Good")</f>
        <v>Poor</v>
      </c>
    </row>
    <row r="1700" spans="1:27" x14ac:dyDescent="0.35">
      <c r="A1700">
        <v>21698</v>
      </c>
      <c r="B1700" s="1">
        <v>45371</v>
      </c>
      <c r="C1700" t="s">
        <v>30</v>
      </c>
      <c r="D1700" t="s">
        <v>31</v>
      </c>
      <c r="E1700" t="s">
        <v>62</v>
      </c>
      <c r="F1700" t="s">
        <v>40</v>
      </c>
      <c r="G1700" t="s">
        <v>41</v>
      </c>
      <c r="H1700" t="s">
        <v>42</v>
      </c>
      <c r="I1700" t="s">
        <v>55</v>
      </c>
      <c r="J1700" t="s">
        <v>43</v>
      </c>
      <c r="K1700" t="s">
        <v>61</v>
      </c>
      <c r="L1700" t="s">
        <v>28</v>
      </c>
      <c r="M1700" s="4">
        <v>5</v>
      </c>
      <c r="N1700" s="4">
        <v>7</v>
      </c>
      <c r="O1700" t="s">
        <v>29</v>
      </c>
      <c r="P1700" t="s">
        <v>36</v>
      </c>
      <c r="Q1700" s="4">
        <v>166479</v>
      </c>
      <c r="R1700" s="4">
        <v>125476</v>
      </c>
      <c r="S1700" s="4">
        <f>Table1[[#This Row],[Service_Revenue]]-Table1[[#This Row],[Service_Cost]]</f>
        <v>41003</v>
      </c>
      <c r="T1700" s="4">
        <v>3</v>
      </c>
      <c r="U1700" s="4">
        <f>IF(AND(Table1[[#This Row],[Rework_Flag]]="Yes",Table1[[#This Row],[Warranty_Claim]]="No"),Table1[[#This Row],[Service_Revenue]],0)</f>
        <v>166479</v>
      </c>
      <c r="V1700" s="4">
        <f>IF(Table1[[#This Row],[Warranty_Claim]]="Yes",1,0)</f>
        <v>0</v>
      </c>
      <c r="W1700" s="4">
        <f>IF(Table1[[#This Row],[Rework_Flag]]="No",1,0)</f>
        <v>0</v>
      </c>
      <c r="X1700" s="4">
        <f>IF(Table1[[#This Row],[Rework_Flag]]="Yes",1,0)</f>
        <v>1</v>
      </c>
      <c r="Y1700" s="4">
        <v>1</v>
      </c>
      <c r="Z1700" s="4" t="str">
        <f>IF(Table1[[#This Row],[TAT_Days]]&gt;Table1[[#This Row],[SLA_TAT]],"Yes","No")</f>
        <v>No</v>
      </c>
      <c r="AA1700" s="4" t="str" cm="1">
        <f t="array" ref="AA1700">_xlfn.IFS(Table1[[#This Row],[Customer_Satisfaction]]&lt;=2,"Poor",Table1[[#This Row],[Customer_Satisfaction]]=3,"Neutral",Table1[[#This Row],[Customer_Satisfaction]]=4,"Good",Table1[[#This Row],[Customer_Satisfaction]]=5,"Good")</f>
        <v>Neutral</v>
      </c>
    </row>
    <row r="1701" spans="1:27" x14ac:dyDescent="0.35">
      <c r="A1701">
        <v>21699</v>
      </c>
      <c r="B1701" s="1">
        <v>45397</v>
      </c>
      <c r="C1701" t="s">
        <v>37</v>
      </c>
      <c r="D1701" t="s">
        <v>38</v>
      </c>
      <c r="E1701" t="s">
        <v>112</v>
      </c>
      <c r="F1701" t="s">
        <v>22</v>
      </c>
      <c r="G1701" t="s">
        <v>47</v>
      </c>
      <c r="H1701" t="s">
        <v>48</v>
      </c>
      <c r="I1701" t="s">
        <v>55</v>
      </c>
      <c r="J1701" t="s">
        <v>35</v>
      </c>
      <c r="K1701" t="s">
        <v>61</v>
      </c>
      <c r="L1701" t="s">
        <v>49</v>
      </c>
      <c r="M1701" s="4">
        <v>23</v>
      </c>
      <c r="N1701" s="4">
        <v>7</v>
      </c>
      <c r="O1701" t="s">
        <v>29</v>
      </c>
      <c r="P1701" t="s">
        <v>36</v>
      </c>
      <c r="Q1701" s="4">
        <v>329591</v>
      </c>
      <c r="R1701" s="4">
        <v>262467</v>
      </c>
      <c r="S1701" s="4">
        <f>Table1[[#This Row],[Service_Revenue]]-Table1[[#This Row],[Service_Cost]]</f>
        <v>67124</v>
      </c>
      <c r="T1701" s="4">
        <v>1</v>
      </c>
      <c r="U1701" s="4">
        <f>IF(AND(Table1[[#This Row],[Rework_Flag]]="Yes",Table1[[#This Row],[Warranty_Claim]]="No"),Table1[[#This Row],[Service_Revenue]],0)</f>
        <v>329591</v>
      </c>
      <c r="V1701" s="4">
        <f>IF(Table1[[#This Row],[Warranty_Claim]]="Yes",1,0)</f>
        <v>0</v>
      </c>
      <c r="W1701" s="4">
        <f>IF(Table1[[#This Row],[Rework_Flag]]="No",1,0)</f>
        <v>0</v>
      </c>
      <c r="X1701" s="4">
        <f>IF(Table1[[#This Row],[Rework_Flag]]="Yes",1,0)</f>
        <v>1</v>
      </c>
      <c r="Y1701" s="4">
        <v>1</v>
      </c>
      <c r="Z1701" s="4" t="str">
        <f>IF(Table1[[#This Row],[TAT_Days]]&gt;Table1[[#This Row],[SLA_TAT]],"Yes","No")</f>
        <v>Yes</v>
      </c>
      <c r="AA1701" s="4" t="str" cm="1">
        <f t="array" ref="AA1701">_xlfn.IFS(Table1[[#This Row],[Customer_Satisfaction]]&lt;=2,"Poor",Table1[[#This Row],[Customer_Satisfaction]]=3,"Neutral",Table1[[#This Row],[Customer_Satisfaction]]=4,"Good",Table1[[#This Row],[Customer_Satisfaction]]=5,"Good")</f>
        <v>Poor</v>
      </c>
    </row>
    <row r="1702" spans="1:27" x14ac:dyDescent="0.35">
      <c r="A1702">
        <v>21700</v>
      </c>
      <c r="B1702" s="1">
        <v>45373</v>
      </c>
      <c r="C1702" t="s">
        <v>50</v>
      </c>
      <c r="D1702" t="s">
        <v>51</v>
      </c>
      <c r="E1702" t="s">
        <v>120</v>
      </c>
      <c r="F1702" t="s">
        <v>40</v>
      </c>
      <c r="G1702" t="s">
        <v>63</v>
      </c>
      <c r="H1702" t="s">
        <v>24</v>
      </c>
      <c r="I1702" t="s">
        <v>55</v>
      </c>
      <c r="J1702" t="s">
        <v>43</v>
      </c>
      <c r="K1702" t="s">
        <v>44</v>
      </c>
      <c r="L1702" t="s">
        <v>49</v>
      </c>
      <c r="M1702" s="4">
        <v>14</v>
      </c>
      <c r="N1702" s="4">
        <v>7</v>
      </c>
      <c r="O1702" t="s">
        <v>29</v>
      </c>
      <c r="P1702" t="s">
        <v>29</v>
      </c>
      <c r="Q1702" s="4">
        <v>299969</v>
      </c>
      <c r="R1702" s="4">
        <v>233599</v>
      </c>
      <c r="S1702" s="4">
        <f>Table1[[#This Row],[Service_Revenue]]-Table1[[#This Row],[Service_Cost]]</f>
        <v>66370</v>
      </c>
      <c r="T1702" s="4">
        <v>2</v>
      </c>
      <c r="U1702" s="4">
        <f>IF(AND(Table1[[#This Row],[Rework_Flag]]="Yes",Table1[[#This Row],[Warranty_Claim]]="No"),Table1[[#This Row],[Service_Revenue]],0)</f>
        <v>0</v>
      </c>
      <c r="V1702" s="4">
        <f>IF(Table1[[#This Row],[Warranty_Claim]]="Yes",1,0)</f>
        <v>1</v>
      </c>
      <c r="W1702" s="4">
        <f>IF(Table1[[#This Row],[Rework_Flag]]="No",1,0)</f>
        <v>0</v>
      </c>
      <c r="X1702" s="4">
        <f>IF(Table1[[#This Row],[Rework_Flag]]="Yes",1,0)</f>
        <v>1</v>
      </c>
      <c r="Y1702" s="4">
        <v>1</v>
      </c>
      <c r="Z1702" s="4" t="str">
        <f>IF(Table1[[#This Row],[TAT_Days]]&gt;Table1[[#This Row],[SLA_TAT]],"Yes","No")</f>
        <v>Yes</v>
      </c>
      <c r="AA1702" s="4" t="str" cm="1">
        <f t="array" ref="AA1702">_xlfn.IFS(Table1[[#This Row],[Customer_Satisfaction]]&lt;=2,"Poor",Table1[[#This Row],[Customer_Satisfaction]]=3,"Neutral",Table1[[#This Row],[Customer_Satisfaction]]=4,"Good",Table1[[#This Row],[Customer_Satisfaction]]=5,"Good")</f>
        <v>Poor</v>
      </c>
    </row>
    <row r="1703" spans="1:27" x14ac:dyDescent="0.35">
      <c r="A1703">
        <v>21701</v>
      </c>
      <c r="B1703" s="1">
        <v>45409</v>
      </c>
      <c r="C1703" t="s">
        <v>37</v>
      </c>
      <c r="D1703" t="s">
        <v>38</v>
      </c>
      <c r="E1703" t="s">
        <v>93</v>
      </c>
      <c r="F1703" t="s">
        <v>40</v>
      </c>
      <c r="G1703" t="s">
        <v>33</v>
      </c>
      <c r="H1703" t="s">
        <v>34</v>
      </c>
      <c r="I1703" t="s">
        <v>25</v>
      </c>
      <c r="J1703" t="s">
        <v>35</v>
      </c>
      <c r="K1703" t="s">
        <v>27</v>
      </c>
      <c r="L1703" t="s">
        <v>49</v>
      </c>
      <c r="M1703" s="4">
        <v>4</v>
      </c>
      <c r="N1703" s="4">
        <v>7</v>
      </c>
      <c r="O1703" t="s">
        <v>29</v>
      </c>
      <c r="P1703" t="s">
        <v>36</v>
      </c>
      <c r="Q1703" s="4">
        <v>593936</v>
      </c>
      <c r="R1703" s="4">
        <v>413176</v>
      </c>
      <c r="S1703" s="4">
        <f>Table1[[#This Row],[Service_Revenue]]-Table1[[#This Row],[Service_Cost]]</f>
        <v>180760</v>
      </c>
      <c r="T1703" s="4">
        <v>4</v>
      </c>
      <c r="U1703" s="4">
        <f>IF(AND(Table1[[#This Row],[Rework_Flag]]="Yes",Table1[[#This Row],[Warranty_Claim]]="No"),Table1[[#This Row],[Service_Revenue]],0)</f>
        <v>593936</v>
      </c>
      <c r="V1703" s="4">
        <f>IF(Table1[[#This Row],[Warranty_Claim]]="Yes",1,0)</f>
        <v>0</v>
      </c>
      <c r="W1703" s="4">
        <f>IF(Table1[[#This Row],[Rework_Flag]]="No",1,0)</f>
        <v>0</v>
      </c>
      <c r="X1703" s="4">
        <f>IF(Table1[[#This Row],[Rework_Flag]]="Yes",1,0)</f>
        <v>1</v>
      </c>
      <c r="Y1703" s="4">
        <v>1</v>
      </c>
      <c r="Z1703" s="4" t="str">
        <f>IF(Table1[[#This Row],[TAT_Days]]&gt;Table1[[#This Row],[SLA_TAT]],"Yes","No")</f>
        <v>No</v>
      </c>
      <c r="AA1703" s="4" t="str" cm="1">
        <f t="array" ref="AA1703">_xlfn.IFS(Table1[[#This Row],[Customer_Satisfaction]]&lt;=2,"Poor",Table1[[#This Row],[Customer_Satisfaction]]=3,"Neutral",Table1[[#This Row],[Customer_Satisfaction]]=4,"Good",Table1[[#This Row],[Customer_Satisfaction]]=5,"Good")</f>
        <v>Good</v>
      </c>
    </row>
    <row r="1704" spans="1:27" x14ac:dyDescent="0.35">
      <c r="A1704">
        <v>21702</v>
      </c>
      <c r="B1704" s="1">
        <v>45341</v>
      </c>
      <c r="C1704" t="s">
        <v>30</v>
      </c>
      <c r="D1704" t="s">
        <v>83</v>
      </c>
      <c r="E1704" t="s">
        <v>119</v>
      </c>
      <c r="F1704" t="s">
        <v>40</v>
      </c>
      <c r="G1704" t="s">
        <v>63</v>
      </c>
      <c r="H1704" t="s">
        <v>24</v>
      </c>
      <c r="I1704" t="s">
        <v>25</v>
      </c>
      <c r="J1704" t="s">
        <v>58</v>
      </c>
      <c r="K1704" t="s">
        <v>44</v>
      </c>
      <c r="L1704" t="s">
        <v>49</v>
      </c>
      <c r="M1704" s="4">
        <v>17</v>
      </c>
      <c r="N1704" s="4">
        <v>7</v>
      </c>
      <c r="O1704" t="s">
        <v>29</v>
      </c>
      <c r="P1704" t="s">
        <v>29</v>
      </c>
      <c r="Q1704" s="4">
        <v>599783</v>
      </c>
      <c r="R1704" s="4">
        <v>369388</v>
      </c>
      <c r="S1704" s="4">
        <f>Table1[[#This Row],[Service_Revenue]]-Table1[[#This Row],[Service_Cost]]</f>
        <v>230395</v>
      </c>
      <c r="T1704" s="4">
        <v>1</v>
      </c>
      <c r="U1704" s="4">
        <f>IF(AND(Table1[[#This Row],[Rework_Flag]]="Yes",Table1[[#This Row],[Warranty_Claim]]="No"),Table1[[#This Row],[Service_Revenue]],0)</f>
        <v>0</v>
      </c>
      <c r="V1704" s="4">
        <f>IF(Table1[[#This Row],[Warranty_Claim]]="Yes",1,0)</f>
        <v>1</v>
      </c>
      <c r="W1704" s="4">
        <f>IF(Table1[[#This Row],[Rework_Flag]]="No",1,0)</f>
        <v>0</v>
      </c>
      <c r="X1704" s="4">
        <f>IF(Table1[[#This Row],[Rework_Flag]]="Yes",1,0)</f>
        <v>1</v>
      </c>
      <c r="Y1704" s="4">
        <v>1</v>
      </c>
      <c r="Z1704" s="4" t="str">
        <f>IF(Table1[[#This Row],[TAT_Days]]&gt;Table1[[#This Row],[SLA_TAT]],"Yes","No")</f>
        <v>Yes</v>
      </c>
      <c r="AA1704" s="4" t="str" cm="1">
        <f t="array" ref="AA1704">_xlfn.IFS(Table1[[#This Row],[Customer_Satisfaction]]&lt;=2,"Poor",Table1[[#This Row],[Customer_Satisfaction]]=3,"Neutral",Table1[[#This Row],[Customer_Satisfaction]]=4,"Good",Table1[[#This Row],[Customer_Satisfaction]]=5,"Good")</f>
        <v>Poor</v>
      </c>
    </row>
    <row r="1705" spans="1:27" x14ac:dyDescent="0.35">
      <c r="A1705">
        <v>21703</v>
      </c>
      <c r="B1705" s="1">
        <v>45440</v>
      </c>
      <c r="C1705" t="s">
        <v>37</v>
      </c>
      <c r="D1705" t="s">
        <v>64</v>
      </c>
      <c r="E1705" t="s">
        <v>72</v>
      </c>
      <c r="F1705" t="s">
        <v>40</v>
      </c>
      <c r="G1705" t="s">
        <v>41</v>
      </c>
      <c r="H1705" t="s">
        <v>42</v>
      </c>
      <c r="I1705" t="s">
        <v>55</v>
      </c>
      <c r="J1705" t="s">
        <v>35</v>
      </c>
      <c r="K1705" t="s">
        <v>27</v>
      </c>
      <c r="L1705" t="s">
        <v>49</v>
      </c>
      <c r="M1705" s="4">
        <v>17</v>
      </c>
      <c r="N1705" s="4">
        <v>7</v>
      </c>
      <c r="O1705" t="s">
        <v>29</v>
      </c>
      <c r="P1705" t="s">
        <v>29</v>
      </c>
      <c r="Q1705" s="4">
        <v>116545</v>
      </c>
      <c r="R1705" s="4">
        <v>73332</v>
      </c>
      <c r="S1705" s="4">
        <f>Table1[[#This Row],[Service_Revenue]]-Table1[[#This Row],[Service_Cost]]</f>
        <v>43213</v>
      </c>
      <c r="T1705" s="4">
        <v>1</v>
      </c>
      <c r="U1705" s="4">
        <f>IF(AND(Table1[[#This Row],[Rework_Flag]]="Yes",Table1[[#This Row],[Warranty_Claim]]="No"),Table1[[#This Row],[Service_Revenue]],0)</f>
        <v>0</v>
      </c>
      <c r="V1705" s="4">
        <f>IF(Table1[[#This Row],[Warranty_Claim]]="Yes",1,0)</f>
        <v>1</v>
      </c>
      <c r="W1705" s="4">
        <f>IF(Table1[[#This Row],[Rework_Flag]]="No",1,0)</f>
        <v>0</v>
      </c>
      <c r="X1705" s="4">
        <f>IF(Table1[[#This Row],[Rework_Flag]]="Yes",1,0)</f>
        <v>1</v>
      </c>
      <c r="Y1705" s="4">
        <v>1</v>
      </c>
      <c r="Z1705" s="4" t="str">
        <f>IF(Table1[[#This Row],[TAT_Days]]&gt;Table1[[#This Row],[SLA_TAT]],"Yes","No")</f>
        <v>Yes</v>
      </c>
      <c r="AA1705" s="4" t="str" cm="1">
        <f t="array" ref="AA1705">_xlfn.IFS(Table1[[#This Row],[Customer_Satisfaction]]&lt;=2,"Poor",Table1[[#This Row],[Customer_Satisfaction]]=3,"Neutral",Table1[[#This Row],[Customer_Satisfaction]]=4,"Good",Table1[[#This Row],[Customer_Satisfaction]]=5,"Good")</f>
        <v>Poor</v>
      </c>
    </row>
    <row r="1706" spans="1:27" x14ac:dyDescent="0.35">
      <c r="A1706">
        <v>21704</v>
      </c>
      <c r="B1706" s="1">
        <v>45373</v>
      </c>
      <c r="C1706" t="s">
        <v>37</v>
      </c>
      <c r="D1706" t="s">
        <v>38</v>
      </c>
      <c r="E1706" t="s">
        <v>102</v>
      </c>
      <c r="F1706" t="s">
        <v>53</v>
      </c>
      <c r="G1706" t="s">
        <v>47</v>
      </c>
      <c r="H1706" t="s">
        <v>48</v>
      </c>
      <c r="I1706" t="s">
        <v>55</v>
      </c>
      <c r="J1706" t="s">
        <v>43</v>
      </c>
      <c r="K1706" t="s">
        <v>61</v>
      </c>
      <c r="L1706" t="s">
        <v>49</v>
      </c>
      <c r="M1706" s="4">
        <v>12</v>
      </c>
      <c r="N1706" s="4">
        <v>7</v>
      </c>
      <c r="O1706" t="s">
        <v>29</v>
      </c>
      <c r="P1706" t="s">
        <v>29</v>
      </c>
      <c r="Q1706" s="4">
        <v>395290</v>
      </c>
      <c r="R1706" s="4">
        <v>272957</v>
      </c>
      <c r="S1706" s="4">
        <f>Table1[[#This Row],[Service_Revenue]]-Table1[[#This Row],[Service_Cost]]</f>
        <v>122333</v>
      </c>
      <c r="T1706" s="4">
        <v>2</v>
      </c>
      <c r="U1706" s="4">
        <f>IF(AND(Table1[[#This Row],[Rework_Flag]]="Yes",Table1[[#This Row],[Warranty_Claim]]="No"),Table1[[#This Row],[Service_Revenue]],0)</f>
        <v>0</v>
      </c>
      <c r="V1706" s="4">
        <f>IF(Table1[[#This Row],[Warranty_Claim]]="Yes",1,0)</f>
        <v>1</v>
      </c>
      <c r="W1706" s="4">
        <f>IF(Table1[[#This Row],[Rework_Flag]]="No",1,0)</f>
        <v>0</v>
      </c>
      <c r="X1706" s="4">
        <f>IF(Table1[[#This Row],[Rework_Flag]]="Yes",1,0)</f>
        <v>1</v>
      </c>
      <c r="Y1706" s="4">
        <v>1</v>
      </c>
      <c r="Z1706" s="4" t="str">
        <f>IF(Table1[[#This Row],[TAT_Days]]&gt;Table1[[#This Row],[SLA_TAT]],"Yes","No")</f>
        <v>Yes</v>
      </c>
      <c r="AA1706" s="4" t="str" cm="1">
        <f t="array" ref="AA1706">_xlfn.IFS(Table1[[#This Row],[Customer_Satisfaction]]&lt;=2,"Poor",Table1[[#This Row],[Customer_Satisfaction]]=3,"Neutral",Table1[[#This Row],[Customer_Satisfaction]]=4,"Good",Table1[[#This Row],[Customer_Satisfaction]]=5,"Good")</f>
        <v>Poor</v>
      </c>
    </row>
    <row r="1707" spans="1:27" x14ac:dyDescent="0.35">
      <c r="A1707">
        <v>21705</v>
      </c>
      <c r="B1707" s="1">
        <v>45345</v>
      </c>
      <c r="C1707" t="s">
        <v>19</v>
      </c>
      <c r="D1707" t="s">
        <v>45</v>
      </c>
      <c r="E1707" t="s">
        <v>114</v>
      </c>
      <c r="F1707" t="s">
        <v>53</v>
      </c>
      <c r="G1707" t="s">
        <v>23</v>
      </c>
      <c r="H1707" t="s">
        <v>24</v>
      </c>
      <c r="I1707" t="s">
        <v>55</v>
      </c>
      <c r="J1707" t="s">
        <v>58</v>
      </c>
      <c r="K1707" t="s">
        <v>27</v>
      </c>
      <c r="L1707" t="s">
        <v>49</v>
      </c>
      <c r="M1707" s="4">
        <v>7</v>
      </c>
      <c r="N1707" s="4">
        <v>7</v>
      </c>
      <c r="O1707" t="s">
        <v>29</v>
      </c>
      <c r="P1707" t="s">
        <v>29</v>
      </c>
      <c r="Q1707" s="4">
        <v>176098</v>
      </c>
      <c r="R1707" s="4">
        <v>143850</v>
      </c>
      <c r="S1707" s="4">
        <f>Table1[[#This Row],[Service_Revenue]]-Table1[[#This Row],[Service_Cost]]</f>
        <v>32248</v>
      </c>
      <c r="T1707" s="4">
        <v>3</v>
      </c>
      <c r="U1707" s="4">
        <f>IF(AND(Table1[[#This Row],[Rework_Flag]]="Yes",Table1[[#This Row],[Warranty_Claim]]="No"),Table1[[#This Row],[Service_Revenue]],0)</f>
        <v>0</v>
      </c>
      <c r="V1707" s="4">
        <f>IF(Table1[[#This Row],[Warranty_Claim]]="Yes",1,0)</f>
        <v>1</v>
      </c>
      <c r="W1707" s="4">
        <f>IF(Table1[[#This Row],[Rework_Flag]]="No",1,0)</f>
        <v>0</v>
      </c>
      <c r="X1707" s="4">
        <f>IF(Table1[[#This Row],[Rework_Flag]]="Yes",1,0)</f>
        <v>1</v>
      </c>
      <c r="Y1707" s="4">
        <v>1</v>
      </c>
      <c r="Z1707" s="4" t="str">
        <f>IF(Table1[[#This Row],[TAT_Days]]&gt;Table1[[#This Row],[SLA_TAT]],"Yes","No")</f>
        <v>No</v>
      </c>
      <c r="AA1707" s="4" t="str" cm="1">
        <f t="array" ref="AA1707">_xlfn.IFS(Table1[[#This Row],[Customer_Satisfaction]]&lt;=2,"Poor",Table1[[#This Row],[Customer_Satisfaction]]=3,"Neutral",Table1[[#This Row],[Customer_Satisfaction]]=4,"Good",Table1[[#This Row],[Customer_Satisfaction]]=5,"Good")</f>
        <v>Neutral</v>
      </c>
    </row>
    <row r="1708" spans="1:27" x14ac:dyDescent="0.35">
      <c r="A1708">
        <v>21706</v>
      </c>
      <c r="B1708" s="1">
        <v>45334</v>
      </c>
      <c r="C1708" t="s">
        <v>30</v>
      </c>
      <c r="D1708" t="s">
        <v>83</v>
      </c>
      <c r="E1708" t="s">
        <v>119</v>
      </c>
      <c r="F1708" t="s">
        <v>53</v>
      </c>
      <c r="G1708" t="s">
        <v>33</v>
      </c>
      <c r="H1708" t="s">
        <v>34</v>
      </c>
      <c r="I1708" t="s">
        <v>55</v>
      </c>
      <c r="J1708" t="s">
        <v>43</v>
      </c>
      <c r="K1708" t="s">
        <v>44</v>
      </c>
      <c r="L1708" t="s">
        <v>49</v>
      </c>
      <c r="M1708" s="4">
        <v>10</v>
      </c>
      <c r="N1708" s="4">
        <v>7</v>
      </c>
      <c r="O1708" t="s">
        <v>36</v>
      </c>
      <c r="P1708" t="s">
        <v>36</v>
      </c>
      <c r="Q1708" s="4">
        <v>257410</v>
      </c>
      <c r="R1708" s="4">
        <v>188777</v>
      </c>
      <c r="S1708" s="4">
        <f>Table1[[#This Row],[Service_Revenue]]-Table1[[#This Row],[Service_Cost]]</f>
        <v>68633</v>
      </c>
      <c r="T1708" s="4">
        <v>3</v>
      </c>
      <c r="U1708" s="4">
        <f>IF(AND(Table1[[#This Row],[Rework_Flag]]="Yes",Table1[[#This Row],[Warranty_Claim]]="No"),Table1[[#This Row],[Service_Revenue]],0)</f>
        <v>0</v>
      </c>
      <c r="V1708" s="4">
        <f>IF(Table1[[#This Row],[Warranty_Claim]]="Yes",1,0)</f>
        <v>0</v>
      </c>
      <c r="W1708" s="4">
        <f>IF(Table1[[#This Row],[Rework_Flag]]="No",1,0)</f>
        <v>1</v>
      </c>
      <c r="X1708" s="4">
        <f>IF(Table1[[#This Row],[Rework_Flag]]="Yes",1,0)</f>
        <v>0</v>
      </c>
      <c r="Y1708" s="4">
        <v>1</v>
      </c>
      <c r="Z1708" s="4" t="str">
        <f>IF(Table1[[#This Row],[TAT_Days]]&gt;Table1[[#This Row],[SLA_TAT]],"Yes","No")</f>
        <v>Yes</v>
      </c>
      <c r="AA1708" s="4" t="str" cm="1">
        <f t="array" ref="AA1708">_xlfn.IFS(Table1[[#This Row],[Customer_Satisfaction]]&lt;=2,"Poor",Table1[[#This Row],[Customer_Satisfaction]]=3,"Neutral",Table1[[#This Row],[Customer_Satisfaction]]=4,"Good",Table1[[#This Row],[Customer_Satisfaction]]=5,"Good")</f>
        <v>Neutral</v>
      </c>
    </row>
    <row r="1709" spans="1:27" x14ac:dyDescent="0.35">
      <c r="A1709">
        <v>21707</v>
      </c>
      <c r="B1709" s="1">
        <v>45301</v>
      </c>
      <c r="C1709" t="s">
        <v>37</v>
      </c>
      <c r="D1709" t="s">
        <v>38</v>
      </c>
      <c r="E1709" t="s">
        <v>39</v>
      </c>
      <c r="F1709" t="s">
        <v>22</v>
      </c>
      <c r="G1709" t="s">
        <v>74</v>
      </c>
      <c r="H1709" t="s">
        <v>34</v>
      </c>
      <c r="I1709" t="s">
        <v>55</v>
      </c>
      <c r="J1709" t="s">
        <v>58</v>
      </c>
      <c r="K1709" t="s">
        <v>27</v>
      </c>
      <c r="L1709" t="s">
        <v>49</v>
      </c>
      <c r="M1709" s="4">
        <v>15</v>
      </c>
      <c r="N1709" s="4">
        <v>7</v>
      </c>
      <c r="O1709" t="s">
        <v>29</v>
      </c>
      <c r="P1709" t="s">
        <v>36</v>
      </c>
      <c r="Q1709" s="4">
        <v>400106</v>
      </c>
      <c r="R1709" s="4">
        <v>315288</v>
      </c>
      <c r="S1709" s="4">
        <f>Table1[[#This Row],[Service_Revenue]]-Table1[[#This Row],[Service_Cost]]</f>
        <v>84818</v>
      </c>
      <c r="T1709" s="4">
        <v>1</v>
      </c>
      <c r="U1709" s="4">
        <f>IF(AND(Table1[[#This Row],[Rework_Flag]]="Yes",Table1[[#This Row],[Warranty_Claim]]="No"),Table1[[#This Row],[Service_Revenue]],0)</f>
        <v>400106</v>
      </c>
      <c r="V1709" s="4">
        <f>IF(Table1[[#This Row],[Warranty_Claim]]="Yes",1,0)</f>
        <v>0</v>
      </c>
      <c r="W1709" s="4">
        <f>IF(Table1[[#This Row],[Rework_Flag]]="No",1,0)</f>
        <v>0</v>
      </c>
      <c r="X1709" s="4">
        <f>IF(Table1[[#This Row],[Rework_Flag]]="Yes",1,0)</f>
        <v>1</v>
      </c>
      <c r="Y1709" s="4">
        <v>1</v>
      </c>
      <c r="Z1709" s="4" t="str">
        <f>IF(Table1[[#This Row],[TAT_Days]]&gt;Table1[[#This Row],[SLA_TAT]],"Yes","No")</f>
        <v>Yes</v>
      </c>
      <c r="AA1709" s="4" t="str" cm="1">
        <f t="array" ref="AA1709">_xlfn.IFS(Table1[[#This Row],[Customer_Satisfaction]]&lt;=2,"Poor",Table1[[#This Row],[Customer_Satisfaction]]=3,"Neutral",Table1[[#This Row],[Customer_Satisfaction]]=4,"Good",Table1[[#This Row],[Customer_Satisfaction]]=5,"Good")</f>
        <v>Poor</v>
      </c>
    </row>
    <row r="1710" spans="1:27" x14ac:dyDescent="0.35">
      <c r="A1710">
        <v>21708</v>
      </c>
      <c r="B1710" s="1">
        <v>45294</v>
      </c>
      <c r="C1710" t="s">
        <v>50</v>
      </c>
      <c r="D1710" t="s">
        <v>56</v>
      </c>
      <c r="E1710" t="s">
        <v>88</v>
      </c>
      <c r="F1710" t="s">
        <v>40</v>
      </c>
      <c r="G1710" t="s">
        <v>63</v>
      </c>
      <c r="H1710" t="s">
        <v>24</v>
      </c>
      <c r="I1710" t="s">
        <v>25</v>
      </c>
      <c r="J1710" t="s">
        <v>67</v>
      </c>
      <c r="K1710" t="s">
        <v>27</v>
      </c>
      <c r="L1710" t="s">
        <v>49</v>
      </c>
      <c r="M1710" s="4">
        <v>7</v>
      </c>
      <c r="N1710" s="4">
        <v>7</v>
      </c>
      <c r="O1710" t="s">
        <v>36</v>
      </c>
      <c r="P1710" t="s">
        <v>29</v>
      </c>
      <c r="Q1710" s="4">
        <v>202656</v>
      </c>
      <c r="R1710" s="4">
        <v>104992</v>
      </c>
      <c r="S1710" s="4">
        <f>Table1[[#This Row],[Service_Revenue]]-Table1[[#This Row],[Service_Cost]]</f>
        <v>97664</v>
      </c>
      <c r="T1710" s="4">
        <v>4</v>
      </c>
      <c r="U1710" s="4">
        <f>IF(AND(Table1[[#This Row],[Rework_Flag]]="Yes",Table1[[#This Row],[Warranty_Claim]]="No"),Table1[[#This Row],[Service_Revenue]],0)</f>
        <v>0</v>
      </c>
      <c r="V1710" s="4">
        <f>IF(Table1[[#This Row],[Warranty_Claim]]="Yes",1,0)</f>
        <v>1</v>
      </c>
      <c r="W1710" s="4">
        <f>IF(Table1[[#This Row],[Rework_Flag]]="No",1,0)</f>
        <v>1</v>
      </c>
      <c r="X1710" s="4">
        <f>IF(Table1[[#This Row],[Rework_Flag]]="Yes",1,0)</f>
        <v>0</v>
      </c>
      <c r="Y1710" s="4">
        <v>1</v>
      </c>
      <c r="Z1710" s="4" t="str">
        <f>IF(Table1[[#This Row],[TAT_Days]]&gt;Table1[[#This Row],[SLA_TAT]],"Yes","No")</f>
        <v>No</v>
      </c>
      <c r="AA1710" s="4" t="str" cm="1">
        <f t="array" ref="AA1710">_xlfn.IFS(Table1[[#This Row],[Customer_Satisfaction]]&lt;=2,"Poor",Table1[[#This Row],[Customer_Satisfaction]]=3,"Neutral",Table1[[#This Row],[Customer_Satisfaction]]=4,"Good",Table1[[#This Row],[Customer_Satisfaction]]=5,"Good")</f>
        <v>Good</v>
      </c>
    </row>
    <row r="1711" spans="1:27" x14ac:dyDescent="0.35">
      <c r="A1711">
        <v>21709</v>
      </c>
      <c r="B1711" s="1">
        <v>45354</v>
      </c>
      <c r="C1711" t="s">
        <v>37</v>
      </c>
      <c r="D1711" t="s">
        <v>64</v>
      </c>
      <c r="E1711" t="s">
        <v>103</v>
      </c>
      <c r="F1711" t="s">
        <v>40</v>
      </c>
      <c r="G1711" t="s">
        <v>63</v>
      </c>
      <c r="H1711" t="s">
        <v>24</v>
      </c>
      <c r="I1711" t="s">
        <v>55</v>
      </c>
      <c r="J1711" t="s">
        <v>43</v>
      </c>
      <c r="K1711" t="s">
        <v>44</v>
      </c>
      <c r="L1711" t="s">
        <v>28</v>
      </c>
      <c r="M1711" s="4">
        <v>5</v>
      </c>
      <c r="N1711" s="4">
        <v>7</v>
      </c>
      <c r="O1711" t="s">
        <v>36</v>
      </c>
      <c r="P1711" t="s">
        <v>36</v>
      </c>
      <c r="Q1711" s="4">
        <v>278522</v>
      </c>
      <c r="R1711" s="4">
        <v>155181</v>
      </c>
      <c r="S1711" s="4">
        <f>Table1[[#This Row],[Service_Revenue]]-Table1[[#This Row],[Service_Cost]]</f>
        <v>123341</v>
      </c>
      <c r="T1711" s="4">
        <v>4</v>
      </c>
      <c r="U1711" s="4">
        <f>IF(AND(Table1[[#This Row],[Rework_Flag]]="Yes",Table1[[#This Row],[Warranty_Claim]]="No"),Table1[[#This Row],[Service_Revenue]],0)</f>
        <v>0</v>
      </c>
      <c r="V1711" s="4">
        <f>IF(Table1[[#This Row],[Warranty_Claim]]="Yes",1,0)</f>
        <v>0</v>
      </c>
      <c r="W1711" s="4">
        <f>IF(Table1[[#This Row],[Rework_Flag]]="No",1,0)</f>
        <v>1</v>
      </c>
      <c r="X1711" s="4">
        <f>IF(Table1[[#This Row],[Rework_Flag]]="Yes",1,0)</f>
        <v>0</v>
      </c>
      <c r="Y1711" s="4">
        <v>1</v>
      </c>
      <c r="Z1711" s="4" t="str">
        <f>IF(Table1[[#This Row],[TAT_Days]]&gt;Table1[[#This Row],[SLA_TAT]],"Yes","No")</f>
        <v>No</v>
      </c>
      <c r="AA1711" s="4" t="str" cm="1">
        <f t="array" ref="AA1711">_xlfn.IFS(Table1[[#This Row],[Customer_Satisfaction]]&lt;=2,"Poor",Table1[[#This Row],[Customer_Satisfaction]]=3,"Neutral",Table1[[#This Row],[Customer_Satisfaction]]=4,"Good",Table1[[#This Row],[Customer_Satisfaction]]=5,"Good")</f>
        <v>Good</v>
      </c>
    </row>
    <row r="1712" spans="1:27" x14ac:dyDescent="0.35">
      <c r="A1712">
        <v>21710</v>
      </c>
      <c r="B1712" s="1">
        <v>45339</v>
      </c>
      <c r="C1712" t="s">
        <v>50</v>
      </c>
      <c r="D1712" t="s">
        <v>51</v>
      </c>
      <c r="E1712" t="s">
        <v>75</v>
      </c>
      <c r="F1712" t="s">
        <v>40</v>
      </c>
      <c r="G1712" t="s">
        <v>33</v>
      </c>
      <c r="H1712" t="s">
        <v>34</v>
      </c>
      <c r="I1712" t="s">
        <v>25</v>
      </c>
      <c r="J1712" t="s">
        <v>58</v>
      </c>
      <c r="K1712" t="s">
        <v>61</v>
      </c>
      <c r="L1712" t="s">
        <v>28</v>
      </c>
      <c r="M1712" s="4">
        <v>4</v>
      </c>
      <c r="N1712" s="4">
        <v>7</v>
      </c>
      <c r="O1712" t="s">
        <v>36</v>
      </c>
      <c r="P1712" t="s">
        <v>36</v>
      </c>
      <c r="Q1712" s="4">
        <v>594952</v>
      </c>
      <c r="R1712" s="4">
        <v>338625</v>
      </c>
      <c r="S1712" s="4">
        <f>Table1[[#This Row],[Service_Revenue]]-Table1[[#This Row],[Service_Cost]]</f>
        <v>256327</v>
      </c>
      <c r="T1712" s="4">
        <v>5</v>
      </c>
      <c r="U1712" s="4">
        <f>IF(AND(Table1[[#This Row],[Rework_Flag]]="Yes",Table1[[#This Row],[Warranty_Claim]]="No"),Table1[[#This Row],[Service_Revenue]],0)</f>
        <v>0</v>
      </c>
      <c r="V1712" s="4">
        <f>IF(Table1[[#This Row],[Warranty_Claim]]="Yes",1,0)</f>
        <v>0</v>
      </c>
      <c r="W1712" s="4">
        <f>IF(Table1[[#This Row],[Rework_Flag]]="No",1,0)</f>
        <v>1</v>
      </c>
      <c r="X1712" s="4">
        <f>IF(Table1[[#This Row],[Rework_Flag]]="Yes",1,0)</f>
        <v>0</v>
      </c>
      <c r="Y1712" s="4">
        <v>1</v>
      </c>
      <c r="Z1712" s="4" t="str">
        <f>IF(Table1[[#This Row],[TAT_Days]]&gt;Table1[[#This Row],[SLA_TAT]],"Yes","No")</f>
        <v>No</v>
      </c>
      <c r="AA1712" s="4" t="str" cm="1">
        <f t="array" ref="AA1712">_xlfn.IFS(Table1[[#This Row],[Customer_Satisfaction]]&lt;=2,"Poor",Table1[[#This Row],[Customer_Satisfaction]]=3,"Neutral",Table1[[#This Row],[Customer_Satisfaction]]=4,"Good",Table1[[#This Row],[Customer_Satisfaction]]=5,"Good")</f>
        <v>Good</v>
      </c>
    </row>
    <row r="1713" spans="1:27" x14ac:dyDescent="0.35">
      <c r="A1713">
        <v>21711</v>
      </c>
      <c r="B1713" s="1">
        <v>45316</v>
      </c>
      <c r="C1713" t="s">
        <v>50</v>
      </c>
      <c r="D1713" t="s">
        <v>80</v>
      </c>
      <c r="E1713" t="s">
        <v>118</v>
      </c>
      <c r="F1713" t="s">
        <v>53</v>
      </c>
      <c r="G1713" t="s">
        <v>63</v>
      </c>
      <c r="H1713" t="s">
        <v>24</v>
      </c>
      <c r="I1713" t="s">
        <v>55</v>
      </c>
      <c r="J1713" t="s">
        <v>43</v>
      </c>
      <c r="K1713" t="s">
        <v>61</v>
      </c>
      <c r="L1713" t="s">
        <v>49</v>
      </c>
      <c r="M1713" s="4">
        <v>21</v>
      </c>
      <c r="N1713" s="4">
        <v>7</v>
      </c>
      <c r="O1713" t="s">
        <v>36</v>
      </c>
      <c r="P1713" t="s">
        <v>36</v>
      </c>
      <c r="Q1713" s="4">
        <v>111026</v>
      </c>
      <c r="R1713" s="4">
        <v>66920</v>
      </c>
      <c r="S1713" s="4">
        <f>Table1[[#This Row],[Service_Revenue]]-Table1[[#This Row],[Service_Cost]]</f>
        <v>44106</v>
      </c>
      <c r="T1713" s="4">
        <v>1</v>
      </c>
      <c r="U1713" s="4">
        <f>IF(AND(Table1[[#This Row],[Rework_Flag]]="Yes",Table1[[#This Row],[Warranty_Claim]]="No"),Table1[[#This Row],[Service_Revenue]],0)</f>
        <v>0</v>
      </c>
      <c r="V1713" s="4">
        <f>IF(Table1[[#This Row],[Warranty_Claim]]="Yes",1,0)</f>
        <v>0</v>
      </c>
      <c r="W1713" s="4">
        <f>IF(Table1[[#This Row],[Rework_Flag]]="No",1,0)</f>
        <v>1</v>
      </c>
      <c r="X1713" s="4">
        <f>IF(Table1[[#This Row],[Rework_Flag]]="Yes",1,0)</f>
        <v>0</v>
      </c>
      <c r="Y1713" s="4">
        <v>1</v>
      </c>
      <c r="Z1713" s="4" t="str">
        <f>IF(Table1[[#This Row],[TAT_Days]]&gt;Table1[[#This Row],[SLA_TAT]],"Yes","No")</f>
        <v>Yes</v>
      </c>
      <c r="AA1713" s="4" t="str" cm="1">
        <f t="array" ref="AA1713">_xlfn.IFS(Table1[[#This Row],[Customer_Satisfaction]]&lt;=2,"Poor",Table1[[#This Row],[Customer_Satisfaction]]=3,"Neutral",Table1[[#This Row],[Customer_Satisfaction]]=4,"Good",Table1[[#This Row],[Customer_Satisfaction]]=5,"Good")</f>
        <v>Poor</v>
      </c>
    </row>
    <row r="1714" spans="1:27" x14ac:dyDescent="0.35">
      <c r="A1714">
        <v>21712</v>
      </c>
      <c r="B1714" s="1">
        <v>45413</v>
      </c>
      <c r="C1714" t="s">
        <v>19</v>
      </c>
      <c r="D1714" t="s">
        <v>45</v>
      </c>
      <c r="E1714" t="s">
        <v>111</v>
      </c>
      <c r="F1714" t="s">
        <v>40</v>
      </c>
      <c r="G1714" t="s">
        <v>47</v>
      </c>
      <c r="H1714" t="s">
        <v>48</v>
      </c>
      <c r="I1714" t="s">
        <v>25</v>
      </c>
      <c r="J1714" t="s">
        <v>43</v>
      </c>
      <c r="K1714" t="s">
        <v>44</v>
      </c>
      <c r="L1714" t="s">
        <v>28</v>
      </c>
      <c r="M1714" s="4">
        <v>21</v>
      </c>
      <c r="N1714" s="4">
        <v>7</v>
      </c>
      <c r="O1714" t="s">
        <v>29</v>
      </c>
      <c r="P1714" t="s">
        <v>29</v>
      </c>
      <c r="Q1714" s="4">
        <v>182603</v>
      </c>
      <c r="R1714" s="4">
        <v>121097</v>
      </c>
      <c r="S1714" s="4">
        <f>Table1[[#This Row],[Service_Revenue]]-Table1[[#This Row],[Service_Cost]]</f>
        <v>61506</v>
      </c>
      <c r="T1714" s="4">
        <v>1</v>
      </c>
      <c r="U1714" s="4">
        <f>IF(AND(Table1[[#This Row],[Rework_Flag]]="Yes",Table1[[#This Row],[Warranty_Claim]]="No"),Table1[[#This Row],[Service_Revenue]],0)</f>
        <v>0</v>
      </c>
      <c r="V1714" s="4">
        <f>IF(Table1[[#This Row],[Warranty_Claim]]="Yes",1,0)</f>
        <v>1</v>
      </c>
      <c r="W1714" s="4">
        <f>IF(Table1[[#This Row],[Rework_Flag]]="No",1,0)</f>
        <v>0</v>
      </c>
      <c r="X1714" s="4">
        <f>IF(Table1[[#This Row],[Rework_Flag]]="Yes",1,0)</f>
        <v>1</v>
      </c>
      <c r="Y1714" s="4">
        <v>1</v>
      </c>
      <c r="Z1714" s="4" t="str">
        <f>IF(Table1[[#This Row],[TAT_Days]]&gt;Table1[[#This Row],[SLA_TAT]],"Yes","No")</f>
        <v>Yes</v>
      </c>
      <c r="AA1714" s="4" t="str" cm="1">
        <f t="array" ref="AA1714">_xlfn.IFS(Table1[[#This Row],[Customer_Satisfaction]]&lt;=2,"Poor",Table1[[#This Row],[Customer_Satisfaction]]=3,"Neutral",Table1[[#This Row],[Customer_Satisfaction]]=4,"Good",Table1[[#This Row],[Customer_Satisfaction]]=5,"Good")</f>
        <v>Poor</v>
      </c>
    </row>
    <row r="1715" spans="1:27" x14ac:dyDescent="0.35">
      <c r="A1715">
        <v>21713</v>
      </c>
      <c r="B1715" s="1">
        <v>45399</v>
      </c>
      <c r="C1715" t="s">
        <v>30</v>
      </c>
      <c r="D1715" t="s">
        <v>83</v>
      </c>
      <c r="E1715" t="s">
        <v>95</v>
      </c>
      <c r="F1715" t="s">
        <v>22</v>
      </c>
      <c r="G1715" t="s">
        <v>41</v>
      </c>
      <c r="H1715" t="s">
        <v>42</v>
      </c>
      <c r="I1715" t="s">
        <v>55</v>
      </c>
      <c r="J1715" t="s">
        <v>67</v>
      </c>
      <c r="K1715" t="s">
        <v>27</v>
      </c>
      <c r="L1715" t="s">
        <v>28</v>
      </c>
      <c r="M1715" s="4">
        <v>8</v>
      </c>
      <c r="N1715" s="4">
        <v>7</v>
      </c>
      <c r="O1715" t="s">
        <v>29</v>
      </c>
      <c r="P1715" t="s">
        <v>29</v>
      </c>
      <c r="Q1715" s="4">
        <v>405241</v>
      </c>
      <c r="R1715" s="4">
        <v>203809</v>
      </c>
      <c r="S1715" s="4">
        <f>Table1[[#This Row],[Service_Revenue]]-Table1[[#This Row],[Service_Cost]]</f>
        <v>201432</v>
      </c>
      <c r="T1715" s="4">
        <v>3</v>
      </c>
      <c r="U1715" s="4">
        <f>IF(AND(Table1[[#This Row],[Rework_Flag]]="Yes",Table1[[#This Row],[Warranty_Claim]]="No"),Table1[[#This Row],[Service_Revenue]],0)</f>
        <v>0</v>
      </c>
      <c r="V1715" s="4">
        <f>IF(Table1[[#This Row],[Warranty_Claim]]="Yes",1,0)</f>
        <v>1</v>
      </c>
      <c r="W1715" s="4">
        <f>IF(Table1[[#This Row],[Rework_Flag]]="No",1,0)</f>
        <v>0</v>
      </c>
      <c r="X1715" s="4">
        <f>IF(Table1[[#This Row],[Rework_Flag]]="Yes",1,0)</f>
        <v>1</v>
      </c>
      <c r="Y1715" s="4">
        <v>1</v>
      </c>
      <c r="Z1715" s="4" t="str">
        <f>IF(Table1[[#This Row],[TAT_Days]]&gt;Table1[[#This Row],[SLA_TAT]],"Yes","No")</f>
        <v>Yes</v>
      </c>
      <c r="AA1715" s="4" t="str" cm="1">
        <f t="array" ref="AA1715">_xlfn.IFS(Table1[[#This Row],[Customer_Satisfaction]]&lt;=2,"Poor",Table1[[#This Row],[Customer_Satisfaction]]=3,"Neutral",Table1[[#This Row],[Customer_Satisfaction]]=4,"Good",Table1[[#This Row],[Customer_Satisfaction]]=5,"Good")</f>
        <v>Neutral</v>
      </c>
    </row>
    <row r="1716" spans="1:27" x14ac:dyDescent="0.35">
      <c r="A1716">
        <v>21714</v>
      </c>
      <c r="B1716" s="1">
        <v>45309</v>
      </c>
      <c r="C1716" t="s">
        <v>30</v>
      </c>
      <c r="D1716" t="s">
        <v>83</v>
      </c>
      <c r="E1716" t="s">
        <v>92</v>
      </c>
      <c r="F1716" t="s">
        <v>22</v>
      </c>
      <c r="G1716" t="s">
        <v>41</v>
      </c>
      <c r="H1716" t="s">
        <v>42</v>
      </c>
      <c r="I1716" t="s">
        <v>55</v>
      </c>
      <c r="J1716" t="s">
        <v>26</v>
      </c>
      <c r="K1716" t="s">
        <v>27</v>
      </c>
      <c r="L1716" t="s">
        <v>28</v>
      </c>
      <c r="M1716" s="4">
        <v>2</v>
      </c>
      <c r="N1716" s="4">
        <v>7</v>
      </c>
      <c r="O1716" t="s">
        <v>36</v>
      </c>
      <c r="P1716" t="s">
        <v>29</v>
      </c>
      <c r="Q1716" s="4">
        <v>453300</v>
      </c>
      <c r="R1716" s="4">
        <v>231547</v>
      </c>
      <c r="S1716" s="4">
        <f>Table1[[#This Row],[Service_Revenue]]-Table1[[#This Row],[Service_Cost]]</f>
        <v>221753</v>
      </c>
      <c r="T1716" s="4">
        <v>5</v>
      </c>
      <c r="U1716" s="4">
        <f>IF(AND(Table1[[#This Row],[Rework_Flag]]="Yes",Table1[[#This Row],[Warranty_Claim]]="No"),Table1[[#This Row],[Service_Revenue]],0)</f>
        <v>0</v>
      </c>
      <c r="V1716" s="4">
        <f>IF(Table1[[#This Row],[Warranty_Claim]]="Yes",1,0)</f>
        <v>1</v>
      </c>
      <c r="W1716" s="4">
        <f>IF(Table1[[#This Row],[Rework_Flag]]="No",1,0)</f>
        <v>1</v>
      </c>
      <c r="X1716" s="4">
        <f>IF(Table1[[#This Row],[Rework_Flag]]="Yes",1,0)</f>
        <v>0</v>
      </c>
      <c r="Y1716" s="4">
        <v>1</v>
      </c>
      <c r="Z1716" s="4" t="str">
        <f>IF(Table1[[#This Row],[TAT_Days]]&gt;Table1[[#This Row],[SLA_TAT]],"Yes","No")</f>
        <v>No</v>
      </c>
      <c r="AA1716" s="4" t="str" cm="1">
        <f t="array" ref="AA1716">_xlfn.IFS(Table1[[#This Row],[Customer_Satisfaction]]&lt;=2,"Poor",Table1[[#This Row],[Customer_Satisfaction]]=3,"Neutral",Table1[[#This Row],[Customer_Satisfaction]]=4,"Good",Table1[[#This Row],[Customer_Satisfaction]]=5,"Good")</f>
        <v>Good</v>
      </c>
    </row>
    <row r="1717" spans="1:27" x14ac:dyDescent="0.35">
      <c r="A1717">
        <v>21715</v>
      </c>
      <c r="B1717" s="1">
        <v>45350</v>
      </c>
      <c r="C1717" t="s">
        <v>30</v>
      </c>
      <c r="D1717" t="s">
        <v>83</v>
      </c>
      <c r="E1717" t="s">
        <v>84</v>
      </c>
      <c r="F1717" t="s">
        <v>40</v>
      </c>
      <c r="G1717" t="s">
        <v>54</v>
      </c>
      <c r="H1717" t="s">
        <v>42</v>
      </c>
      <c r="I1717" t="s">
        <v>55</v>
      </c>
      <c r="J1717" t="s">
        <v>43</v>
      </c>
      <c r="K1717" t="s">
        <v>44</v>
      </c>
      <c r="L1717" t="s">
        <v>49</v>
      </c>
      <c r="M1717" s="4">
        <v>24</v>
      </c>
      <c r="N1717" s="4">
        <v>7</v>
      </c>
      <c r="O1717" t="s">
        <v>36</v>
      </c>
      <c r="P1717" t="s">
        <v>29</v>
      </c>
      <c r="Q1717" s="4">
        <v>421605</v>
      </c>
      <c r="R1717" s="4">
        <v>300925</v>
      </c>
      <c r="S1717" s="4">
        <f>Table1[[#This Row],[Service_Revenue]]-Table1[[#This Row],[Service_Cost]]</f>
        <v>120680</v>
      </c>
      <c r="T1717" s="4">
        <v>1</v>
      </c>
      <c r="U1717" s="4">
        <f>IF(AND(Table1[[#This Row],[Rework_Flag]]="Yes",Table1[[#This Row],[Warranty_Claim]]="No"),Table1[[#This Row],[Service_Revenue]],0)</f>
        <v>0</v>
      </c>
      <c r="V1717" s="4">
        <f>IF(Table1[[#This Row],[Warranty_Claim]]="Yes",1,0)</f>
        <v>1</v>
      </c>
      <c r="W1717" s="4">
        <f>IF(Table1[[#This Row],[Rework_Flag]]="No",1,0)</f>
        <v>1</v>
      </c>
      <c r="X1717" s="4">
        <f>IF(Table1[[#This Row],[Rework_Flag]]="Yes",1,0)</f>
        <v>0</v>
      </c>
      <c r="Y1717" s="4">
        <v>1</v>
      </c>
      <c r="Z1717" s="4" t="str">
        <f>IF(Table1[[#This Row],[TAT_Days]]&gt;Table1[[#This Row],[SLA_TAT]],"Yes","No")</f>
        <v>Yes</v>
      </c>
      <c r="AA1717" s="4" t="str" cm="1">
        <f t="array" ref="AA1717">_xlfn.IFS(Table1[[#This Row],[Customer_Satisfaction]]&lt;=2,"Poor",Table1[[#This Row],[Customer_Satisfaction]]=3,"Neutral",Table1[[#This Row],[Customer_Satisfaction]]=4,"Good",Table1[[#This Row],[Customer_Satisfaction]]=5,"Good")</f>
        <v>Poor</v>
      </c>
    </row>
    <row r="1718" spans="1:27" x14ac:dyDescent="0.35">
      <c r="A1718">
        <v>21716</v>
      </c>
      <c r="B1718" s="1">
        <v>45453</v>
      </c>
      <c r="C1718" t="s">
        <v>30</v>
      </c>
      <c r="D1718" t="s">
        <v>83</v>
      </c>
      <c r="E1718" t="s">
        <v>84</v>
      </c>
      <c r="F1718" t="s">
        <v>40</v>
      </c>
      <c r="G1718" t="s">
        <v>47</v>
      </c>
      <c r="H1718" t="s">
        <v>48</v>
      </c>
      <c r="I1718" t="s">
        <v>55</v>
      </c>
      <c r="J1718" t="s">
        <v>58</v>
      </c>
      <c r="K1718" t="s">
        <v>44</v>
      </c>
      <c r="L1718" t="s">
        <v>49</v>
      </c>
      <c r="M1718" s="4">
        <v>12</v>
      </c>
      <c r="N1718" s="4">
        <v>7</v>
      </c>
      <c r="O1718" t="s">
        <v>29</v>
      </c>
      <c r="P1718" t="s">
        <v>36</v>
      </c>
      <c r="Q1718" s="4">
        <v>512275</v>
      </c>
      <c r="R1718" s="4">
        <v>350205</v>
      </c>
      <c r="S1718" s="4">
        <f>Table1[[#This Row],[Service_Revenue]]-Table1[[#This Row],[Service_Cost]]</f>
        <v>162070</v>
      </c>
      <c r="T1718" s="4">
        <v>2</v>
      </c>
      <c r="U1718" s="4">
        <f>IF(AND(Table1[[#This Row],[Rework_Flag]]="Yes",Table1[[#This Row],[Warranty_Claim]]="No"),Table1[[#This Row],[Service_Revenue]],0)</f>
        <v>512275</v>
      </c>
      <c r="V1718" s="4">
        <f>IF(Table1[[#This Row],[Warranty_Claim]]="Yes",1,0)</f>
        <v>0</v>
      </c>
      <c r="W1718" s="4">
        <f>IF(Table1[[#This Row],[Rework_Flag]]="No",1,0)</f>
        <v>0</v>
      </c>
      <c r="X1718" s="4">
        <f>IF(Table1[[#This Row],[Rework_Flag]]="Yes",1,0)</f>
        <v>1</v>
      </c>
      <c r="Y1718" s="4">
        <v>1</v>
      </c>
      <c r="Z1718" s="4" t="str">
        <f>IF(Table1[[#This Row],[TAT_Days]]&gt;Table1[[#This Row],[SLA_TAT]],"Yes","No")</f>
        <v>Yes</v>
      </c>
      <c r="AA1718" s="4" t="str" cm="1">
        <f t="array" ref="AA1718">_xlfn.IFS(Table1[[#This Row],[Customer_Satisfaction]]&lt;=2,"Poor",Table1[[#This Row],[Customer_Satisfaction]]=3,"Neutral",Table1[[#This Row],[Customer_Satisfaction]]=4,"Good",Table1[[#This Row],[Customer_Satisfaction]]=5,"Good")</f>
        <v>Poor</v>
      </c>
    </row>
    <row r="1719" spans="1:27" x14ac:dyDescent="0.35">
      <c r="A1719">
        <v>21717</v>
      </c>
      <c r="B1719" s="1">
        <v>45375</v>
      </c>
      <c r="C1719" t="s">
        <v>19</v>
      </c>
      <c r="D1719" t="s">
        <v>45</v>
      </c>
      <c r="E1719" t="s">
        <v>76</v>
      </c>
      <c r="F1719" t="s">
        <v>53</v>
      </c>
      <c r="G1719" t="s">
        <v>41</v>
      </c>
      <c r="H1719" t="s">
        <v>42</v>
      </c>
      <c r="I1719" t="s">
        <v>25</v>
      </c>
      <c r="J1719" t="s">
        <v>35</v>
      </c>
      <c r="K1719" t="s">
        <v>61</v>
      </c>
      <c r="L1719" t="s">
        <v>28</v>
      </c>
      <c r="M1719" s="4">
        <v>22</v>
      </c>
      <c r="N1719" s="4">
        <v>7</v>
      </c>
      <c r="O1719" t="s">
        <v>36</v>
      </c>
      <c r="P1719" t="s">
        <v>29</v>
      </c>
      <c r="Q1719" s="4">
        <v>282453</v>
      </c>
      <c r="R1719" s="4">
        <v>149052</v>
      </c>
      <c r="S1719" s="4">
        <f>Table1[[#This Row],[Service_Revenue]]-Table1[[#This Row],[Service_Cost]]</f>
        <v>133401</v>
      </c>
      <c r="T1719" s="4">
        <v>1</v>
      </c>
      <c r="U1719" s="4">
        <f>IF(AND(Table1[[#This Row],[Rework_Flag]]="Yes",Table1[[#This Row],[Warranty_Claim]]="No"),Table1[[#This Row],[Service_Revenue]],0)</f>
        <v>0</v>
      </c>
      <c r="V1719" s="4">
        <f>IF(Table1[[#This Row],[Warranty_Claim]]="Yes",1,0)</f>
        <v>1</v>
      </c>
      <c r="W1719" s="4">
        <f>IF(Table1[[#This Row],[Rework_Flag]]="No",1,0)</f>
        <v>1</v>
      </c>
      <c r="X1719" s="4">
        <f>IF(Table1[[#This Row],[Rework_Flag]]="Yes",1,0)</f>
        <v>0</v>
      </c>
      <c r="Y1719" s="4">
        <v>1</v>
      </c>
      <c r="Z1719" s="4" t="str">
        <f>IF(Table1[[#This Row],[TAT_Days]]&gt;Table1[[#This Row],[SLA_TAT]],"Yes","No")</f>
        <v>Yes</v>
      </c>
      <c r="AA1719" s="4" t="str" cm="1">
        <f t="array" ref="AA1719">_xlfn.IFS(Table1[[#This Row],[Customer_Satisfaction]]&lt;=2,"Poor",Table1[[#This Row],[Customer_Satisfaction]]=3,"Neutral",Table1[[#This Row],[Customer_Satisfaction]]=4,"Good",Table1[[#This Row],[Customer_Satisfaction]]=5,"Good")</f>
        <v>Poor</v>
      </c>
    </row>
    <row r="1720" spans="1:27" x14ac:dyDescent="0.35">
      <c r="A1720">
        <v>21718</v>
      </c>
      <c r="B1720" s="1">
        <v>45398</v>
      </c>
      <c r="C1720" t="s">
        <v>37</v>
      </c>
      <c r="D1720" t="s">
        <v>38</v>
      </c>
      <c r="E1720" t="s">
        <v>112</v>
      </c>
      <c r="F1720" t="s">
        <v>40</v>
      </c>
      <c r="G1720" t="s">
        <v>54</v>
      </c>
      <c r="H1720" t="s">
        <v>42</v>
      </c>
      <c r="I1720" t="s">
        <v>55</v>
      </c>
      <c r="J1720" t="s">
        <v>35</v>
      </c>
      <c r="K1720" t="s">
        <v>61</v>
      </c>
      <c r="L1720" t="s">
        <v>28</v>
      </c>
      <c r="M1720" s="4">
        <v>9</v>
      </c>
      <c r="N1720" s="4">
        <v>7</v>
      </c>
      <c r="O1720" t="s">
        <v>29</v>
      </c>
      <c r="P1720" t="s">
        <v>29</v>
      </c>
      <c r="Q1720" s="4">
        <v>287625</v>
      </c>
      <c r="R1720" s="4">
        <v>218267</v>
      </c>
      <c r="S1720" s="4">
        <f>Table1[[#This Row],[Service_Revenue]]-Table1[[#This Row],[Service_Cost]]</f>
        <v>69358</v>
      </c>
      <c r="T1720" s="4">
        <v>3</v>
      </c>
      <c r="U1720" s="4">
        <f>IF(AND(Table1[[#This Row],[Rework_Flag]]="Yes",Table1[[#This Row],[Warranty_Claim]]="No"),Table1[[#This Row],[Service_Revenue]],0)</f>
        <v>0</v>
      </c>
      <c r="V1720" s="4">
        <f>IF(Table1[[#This Row],[Warranty_Claim]]="Yes",1,0)</f>
        <v>1</v>
      </c>
      <c r="W1720" s="4">
        <f>IF(Table1[[#This Row],[Rework_Flag]]="No",1,0)</f>
        <v>0</v>
      </c>
      <c r="X1720" s="4">
        <f>IF(Table1[[#This Row],[Rework_Flag]]="Yes",1,0)</f>
        <v>1</v>
      </c>
      <c r="Y1720" s="4">
        <v>1</v>
      </c>
      <c r="Z1720" s="4" t="str">
        <f>IF(Table1[[#This Row],[TAT_Days]]&gt;Table1[[#This Row],[SLA_TAT]],"Yes","No")</f>
        <v>Yes</v>
      </c>
      <c r="AA1720" s="4" t="str" cm="1">
        <f t="array" ref="AA1720">_xlfn.IFS(Table1[[#This Row],[Customer_Satisfaction]]&lt;=2,"Poor",Table1[[#This Row],[Customer_Satisfaction]]=3,"Neutral",Table1[[#This Row],[Customer_Satisfaction]]=4,"Good",Table1[[#This Row],[Customer_Satisfaction]]=5,"Good")</f>
        <v>Neutral</v>
      </c>
    </row>
    <row r="1721" spans="1:27" x14ac:dyDescent="0.35">
      <c r="A1721">
        <v>21719</v>
      </c>
      <c r="B1721" s="1">
        <v>45466</v>
      </c>
      <c r="C1721" t="s">
        <v>37</v>
      </c>
      <c r="D1721" t="s">
        <v>38</v>
      </c>
      <c r="E1721" t="s">
        <v>107</v>
      </c>
      <c r="F1721" t="s">
        <v>40</v>
      </c>
      <c r="G1721" t="s">
        <v>23</v>
      </c>
      <c r="H1721" t="s">
        <v>24</v>
      </c>
      <c r="I1721" t="s">
        <v>55</v>
      </c>
      <c r="J1721" t="s">
        <v>35</v>
      </c>
      <c r="K1721" t="s">
        <v>61</v>
      </c>
      <c r="L1721" t="s">
        <v>28</v>
      </c>
      <c r="M1721" s="4">
        <v>6</v>
      </c>
      <c r="N1721" s="4">
        <v>7</v>
      </c>
      <c r="O1721" t="s">
        <v>36</v>
      </c>
      <c r="P1721" t="s">
        <v>36</v>
      </c>
      <c r="Q1721" s="4">
        <v>396263</v>
      </c>
      <c r="R1721" s="4">
        <v>198859</v>
      </c>
      <c r="S1721" s="4">
        <f>Table1[[#This Row],[Service_Revenue]]-Table1[[#This Row],[Service_Cost]]</f>
        <v>197404</v>
      </c>
      <c r="T1721" s="4">
        <v>4</v>
      </c>
      <c r="U1721" s="4">
        <f>IF(AND(Table1[[#This Row],[Rework_Flag]]="Yes",Table1[[#This Row],[Warranty_Claim]]="No"),Table1[[#This Row],[Service_Revenue]],0)</f>
        <v>0</v>
      </c>
      <c r="V1721" s="4">
        <f>IF(Table1[[#This Row],[Warranty_Claim]]="Yes",1,0)</f>
        <v>0</v>
      </c>
      <c r="W1721" s="4">
        <f>IF(Table1[[#This Row],[Rework_Flag]]="No",1,0)</f>
        <v>1</v>
      </c>
      <c r="X1721" s="4">
        <f>IF(Table1[[#This Row],[Rework_Flag]]="Yes",1,0)</f>
        <v>0</v>
      </c>
      <c r="Y1721" s="4">
        <v>1</v>
      </c>
      <c r="Z1721" s="4" t="str">
        <f>IF(Table1[[#This Row],[TAT_Days]]&gt;Table1[[#This Row],[SLA_TAT]],"Yes","No")</f>
        <v>No</v>
      </c>
      <c r="AA1721" s="4" t="str" cm="1">
        <f t="array" ref="AA1721">_xlfn.IFS(Table1[[#This Row],[Customer_Satisfaction]]&lt;=2,"Poor",Table1[[#This Row],[Customer_Satisfaction]]=3,"Neutral",Table1[[#This Row],[Customer_Satisfaction]]=4,"Good",Table1[[#This Row],[Customer_Satisfaction]]=5,"Good")</f>
        <v>Good</v>
      </c>
    </row>
    <row r="1722" spans="1:27" x14ac:dyDescent="0.35">
      <c r="A1722">
        <v>21720</v>
      </c>
      <c r="B1722" s="1">
        <v>45433</v>
      </c>
      <c r="C1722" t="s">
        <v>30</v>
      </c>
      <c r="D1722" t="s">
        <v>59</v>
      </c>
      <c r="E1722" t="s">
        <v>60</v>
      </c>
      <c r="F1722" t="s">
        <v>53</v>
      </c>
      <c r="G1722" t="s">
        <v>41</v>
      </c>
      <c r="H1722" t="s">
        <v>42</v>
      </c>
      <c r="I1722" t="s">
        <v>55</v>
      </c>
      <c r="J1722" t="s">
        <v>43</v>
      </c>
      <c r="K1722" t="s">
        <v>44</v>
      </c>
      <c r="L1722" t="s">
        <v>49</v>
      </c>
      <c r="M1722" s="4">
        <v>16</v>
      </c>
      <c r="N1722" s="4">
        <v>7</v>
      </c>
      <c r="O1722" t="s">
        <v>36</v>
      </c>
      <c r="P1722" t="s">
        <v>36</v>
      </c>
      <c r="Q1722" s="4">
        <v>324394</v>
      </c>
      <c r="R1722" s="4">
        <v>257493</v>
      </c>
      <c r="S1722" s="4">
        <f>Table1[[#This Row],[Service_Revenue]]-Table1[[#This Row],[Service_Cost]]</f>
        <v>66901</v>
      </c>
      <c r="T1722" s="4">
        <v>2</v>
      </c>
      <c r="U1722" s="4">
        <f>IF(AND(Table1[[#This Row],[Rework_Flag]]="Yes",Table1[[#This Row],[Warranty_Claim]]="No"),Table1[[#This Row],[Service_Revenue]],0)</f>
        <v>0</v>
      </c>
      <c r="V1722" s="4">
        <f>IF(Table1[[#This Row],[Warranty_Claim]]="Yes",1,0)</f>
        <v>0</v>
      </c>
      <c r="W1722" s="4">
        <f>IF(Table1[[#This Row],[Rework_Flag]]="No",1,0)</f>
        <v>1</v>
      </c>
      <c r="X1722" s="4">
        <f>IF(Table1[[#This Row],[Rework_Flag]]="Yes",1,0)</f>
        <v>0</v>
      </c>
      <c r="Y1722" s="4">
        <v>1</v>
      </c>
      <c r="Z1722" s="4" t="str">
        <f>IF(Table1[[#This Row],[TAT_Days]]&gt;Table1[[#This Row],[SLA_TAT]],"Yes","No")</f>
        <v>Yes</v>
      </c>
      <c r="AA1722" s="4" t="str" cm="1">
        <f t="array" ref="AA1722">_xlfn.IFS(Table1[[#This Row],[Customer_Satisfaction]]&lt;=2,"Poor",Table1[[#This Row],[Customer_Satisfaction]]=3,"Neutral",Table1[[#This Row],[Customer_Satisfaction]]=4,"Good",Table1[[#This Row],[Customer_Satisfaction]]=5,"Good")</f>
        <v>Poor</v>
      </c>
    </row>
    <row r="1723" spans="1:27" x14ac:dyDescent="0.35">
      <c r="A1723">
        <v>21721</v>
      </c>
      <c r="B1723" s="1">
        <v>45351</v>
      </c>
      <c r="C1723" t="s">
        <v>30</v>
      </c>
      <c r="D1723" t="s">
        <v>31</v>
      </c>
      <c r="E1723" t="s">
        <v>106</v>
      </c>
      <c r="F1723" t="s">
        <v>22</v>
      </c>
      <c r="G1723" t="s">
        <v>47</v>
      </c>
      <c r="H1723" t="s">
        <v>48</v>
      </c>
      <c r="I1723" t="s">
        <v>25</v>
      </c>
      <c r="J1723" t="s">
        <v>58</v>
      </c>
      <c r="K1723" t="s">
        <v>61</v>
      </c>
      <c r="L1723" t="s">
        <v>28</v>
      </c>
      <c r="M1723" s="4">
        <v>6</v>
      </c>
      <c r="N1723" s="4">
        <v>7</v>
      </c>
      <c r="O1723" t="s">
        <v>36</v>
      </c>
      <c r="P1723" t="s">
        <v>29</v>
      </c>
      <c r="Q1723" s="4">
        <v>587080</v>
      </c>
      <c r="R1723" s="4">
        <v>315467</v>
      </c>
      <c r="S1723" s="4">
        <f>Table1[[#This Row],[Service_Revenue]]-Table1[[#This Row],[Service_Cost]]</f>
        <v>271613</v>
      </c>
      <c r="T1723" s="4">
        <v>4</v>
      </c>
      <c r="U1723" s="4">
        <f>IF(AND(Table1[[#This Row],[Rework_Flag]]="Yes",Table1[[#This Row],[Warranty_Claim]]="No"),Table1[[#This Row],[Service_Revenue]],0)</f>
        <v>0</v>
      </c>
      <c r="V1723" s="4">
        <f>IF(Table1[[#This Row],[Warranty_Claim]]="Yes",1,0)</f>
        <v>1</v>
      </c>
      <c r="W1723" s="4">
        <f>IF(Table1[[#This Row],[Rework_Flag]]="No",1,0)</f>
        <v>1</v>
      </c>
      <c r="X1723" s="4">
        <f>IF(Table1[[#This Row],[Rework_Flag]]="Yes",1,0)</f>
        <v>0</v>
      </c>
      <c r="Y1723" s="4">
        <v>1</v>
      </c>
      <c r="Z1723" s="4" t="str">
        <f>IF(Table1[[#This Row],[TAT_Days]]&gt;Table1[[#This Row],[SLA_TAT]],"Yes","No")</f>
        <v>No</v>
      </c>
      <c r="AA1723" s="4" t="str" cm="1">
        <f t="array" ref="AA1723">_xlfn.IFS(Table1[[#This Row],[Customer_Satisfaction]]&lt;=2,"Poor",Table1[[#This Row],[Customer_Satisfaction]]=3,"Neutral",Table1[[#This Row],[Customer_Satisfaction]]=4,"Good",Table1[[#This Row],[Customer_Satisfaction]]=5,"Good")</f>
        <v>Good</v>
      </c>
    </row>
    <row r="1724" spans="1:27" x14ac:dyDescent="0.35">
      <c r="A1724">
        <v>21722</v>
      </c>
      <c r="B1724" s="1">
        <v>45360</v>
      </c>
      <c r="C1724" t="s">
        <v>50</v>
      </c>
      <c r="D1724" t="s">
        <v>51</v>
      </c>
      <c r="E1724" t="s">
        <v>73</v>
      </c>
      <c r="F1724" t="s">
        <v>53</v>
      </c>
      <c r="G1724" t="s">
        <v>41</v>
      </c>
      <c r="H1724" t="s">
        <v>42</v>
      </c>
      <c r="I1724" t="s">
        <v>55</v>
      </c>
      <c r="J1724" t="s">
        <v>35</v>
      </c>
      <c r="K1724" t="s">
        <v>61</v>
      </c>
      <c r="L1724" t="s">
        <v>49</v>
      </c>
      <c r="M1724" s="4">
        <v>24</v>
      </c>
      <c r="N1724" s="4">
        <v>7</v>
      </c>
      <c r="O1724" t="s">
        <v>29</v>
      </c>
      <c r="P1724" t="s">
        <v>29</v>
      </c>
      <c r="Q1724" s="4">
        <v>581697</v>
      </c>
      <c r="R1724" s="4">
        <v>319825</v>
      </c>
      <c r="S1724" s="4">
        <f>Table1[[#This Row],[Service_Revenue]]-Table1[[#This Row],[Service_Cost]]</f>
        <v>261872</v>
      </c>
      <c r="T1724" s="4">
        <v>1</v>
      </c>
      <c r="U1724" s="4">
        <f>IF(AND(Table1[[#This Row],[Rework_Flag]]="Yes",Table1[[#This Row],[Warranty_Claim]]="No"),Table1[[#This Row],[Service_Revenue]],0)</f>
        <v>0</v>
      </c>
      <c r="V1724" s="4">
        <f>IF(Table1[[#This Row],[Warranty_Claim]]="Yes",1,0)</f>
        <v>1</v>
      </c>
      <c r="W1724" s="4">
        <f>IF(Table1[[#This Row],[Rework_Flag]]="No",1,0)</f>
        <v>0</v>
      </c>
      <c r="X1724" s="4">
        <f>IF(Table1[[#This Row],[Rework_Flag]]="Yes",1,0)</f>
        <v>1</v>
      </c>
      <c r="Y1724" s="4">
        <v>1</v>
      </c>
      <c r="Z1724" s="4" t="str">
        <f>IF(Table1[[#This Row],[TAT_Days]]&gt;Table1[[#This Row],[SLA_TAT]],"Yes","No")</f>
        <v>Yes</v>
      </c>
      <c r="AA1724" s="4" t="str" cm="1">
        <f t="array" ref="AA1724">_xlfn.IFS(Table1[[#This Row],[Customer_Satisfaction]]&lt;=2,"Poor",Table1[[#This Row],[Customer_Satisfaction]]=3,"Neutral",Table1[[#This Row],[Customer_Satisfaction]]=4,"Good",Table1[[#This Row],[Customer_Satisfaction]]=5,"Good")</f>
        <v>Poor</v>
      </c>
    </row>
    <row r="1725" spans="1:27" x14ac:dyDescent="0.35">
      <c r="A1725">
        <v>21723</v>
      </c>
      <c r="B1725" s="1">
        <v>45359</v>
      </c>
      <c r="C1725" t="s">
        <v>19</v>
      </c>
      <c r="D1725" t="s">
        <v>96</v>
      </c>
      <c r="E1725" t="s">
        <v>97</v>
      </c>
      <c r="F1725" t="s">
        <v>22</v>
      </c>
      <c r="G1725" t="s">
        <v>41</v>
      </c>
      <c r="H1725" t="s">
        <v>42</v>
      </c>
      <c r="I1725" t="s">
        <v>25</v>
      </c>
      <c r="J1725" t="s">
        <v>35</v>
      </c>
      <c r="K1725" t="s">
        <v>44</v>
      </c>
      <c r="L1725" t="s">
        <v>49</v>
      </c>
      <c r="M1725" s="4">
        <v>18</v>
      </c>
      <c r="N1725" s="4">
        <v>7</v>
      </c>
      <c r="O1725" t="s">
        <v>29</v>
      </c>
      <c r="P1725" t="s">
        <v>36</v>
      </c>
      <c r="Q1725" s="4">
        <v>422498</v>
      </c>
      <c r="R1725" s="4">
        <v>344612</v>
      </c>
      <c r="S1725" s="4">
        <f>Table1[[#This Row],[Service_Revenue]]-Table1[[#This Row],[Service_Cost]]</f>
        <v>77886</v>
      </c>
      <c r="T1725" s="4">
        <v>1</v>
      </c>
      <c r="U1725" s="4">
        <f>IF(AND(Table1[[#This Row],[Rework_Flag]]="Yes",Table1[[#This Row],[Warranty_Claim]]="No"),Table1[[#This Row],[Service_Revenue]],0)</f>
        <v>422498</v>
      </c>
      <c r="V1725" s="4">
        <f>IF(Table1[[#This Row],[Warranty_Claim]]="Yes",1,0)</f>
        <v>0</v>
      </c>
      <c r="W1725" s="4">
        <f>IF(Table1[[#This Row],[Rework_Flag]]="No",1,0)</f>
        <v>0</v>
      </c>
      <c r="X1725" s="4">
        <f>IF(Table1[[#This Row],[Rework_Flag]]="Yes",1,0)</f>
        <v>1</v>
      </c>
      <c r="Y1725" s="4">
        <v>1</v>
      </c>
      <c r="Z1725" s="4" t="str">
        <f>IF(Table1[[#This Row],[TAT_Days]]&gt;Table1[[#This Row],[SLA_TAT]],"Yes","No")</f>
        <v>Yes</v>
      </c>
      <c r="AA1725" s="4" t="str" cm="1">
        <f t="array" ref="AA1725">_xlfn.IFS(Table1[[#This Row],[Customer_Satisfaction]]&lt;=2,"Poor",Table1[[#This Row],[Customer_Satisfaction]]=3,"Neutral",Table1[[#This Row],[Customer_Satisfaction]]=4,"Good",Table1[[#This Row],[Customer_Satisfaction]]=5,"Good")</f>
        <v>Poor</v>
      </c>
    </row>
    <row r="1726" spans="1:27" x14ac:dyDescent="0.35">
      <c r="A1726">
        <v>21724</v>
      </c>
      <c r="B1726" s="1">
        <v>45347</v>
      </c>
      <c r="C1726" t="s">
        <v>30</v>
      </c>
      <c r="D1726" t="s">
        <v>83</v>
      </c>
      <c r="E1726" t="s">
        <v>84</v>
      </c>
      <c r="F1726" t="s">
        <v>53</v>
      </c>
      <c r="G1726" t="s">
        <v>74</v>
      </c>
      <c r="H1726" t="s">
        <v>34</v>
      </c>
      <c r="I1726" t="s">
        <v>25</v>
      </c>
      <c r="J1726" t="s">
        <v>35</v>
      </c>
      <c r="K1726" t="s">
        <v>27</v>
      </c>
      <c r="L1726" t="s">
        <v>49</v>
      </c>
      <c r="M1726" s="4">
        <v>7</v>
      </c>
      <c r="N1726" s="4">
        <v>7</v>
      </c>
      <c r="O1726" t="s">
        <v>29</v>
      </c>
      <c r="P1726" t="s">
        <v>29</v>
      </c>
      <c r="Q1726" s="4">
        <v>192476</v>
      </c>
      <c r="R1726" s="4">
        <v>157645</v>
      </c>
      <c r="S1726" s="4">
        <f>Table1[[#This Row],[Service_Revenue]]-Table1[[#This Row],[Service_Cost]]</f>
        <v>34831</v>
      </c>
      <c r="T1726" s="4">
        <v>3</v>
      </c>
      <c r="U1726" s="4">
        <f>IF(AND(Table1[[#This Row],[Rework_Flag]]="Yes",Table1[[#This Row],[Warranty_Claim]]="No"),Table1[[#This Row],[Service_Revenue]],0)</f>
        <v>0</v>
      </c>
      <c r="V1726" s="4">
        <f>IF(Table1[[#This Row],[Warranty_Claim]]="Yes",1,0)</f>
        <v>1</v>
      </c>
      <c r="W1726" s="4">
        <f>IF(Table1[[#This Row],[Rework_Flag]]="No",1,0)</f>
        <v>0</v>
      </c>
      <c r="X1726" s="4">
        <f>IF(Table1[[#This Row],[Rework_Flag]]="Yes",1,0)</f>
        <v>1</v>
      </c>
      <c r="Y1726" s="4">
        <v>1</v>
      </c>
      <c r="Z1726" s="4" t="str">
        <f>IF(Table1[[#This Row],[TAT_Days]]&gt;Table1[[#This Row],[SLA_TAT]],"Yes","No")</f>
        <v>No</v>
      </c>
      <c r="AA1726" s="4" t="str" cm="1">
        <f t="array" ref="AA1726">_xlfn.IFS(Table1[[#This Row],[Customer_Satisfaction]]&lt;=2,"Poor",Table1[[#This Row],[Customer_Satisfaction]]=3,"Neutral",Table1[[#This Row],[Customer_Satisfaction]]=4,"Good",Table1[[#This Row],[Customer_Satisfaction]]=5,"Good")</f>
        <v>Neutral</v>
      </c>
    </row>
    <row r="1727" spans="1:27" x14ac:dyDescent="0.35">
      <c r="A1727">
        <v>21725</v>
      </c>
      <c r="B1727" s="1">
        <v>45411</v>
      </c>
      <c r="C1727" t="s">
        <v>30</v>
      </c>
      <c r="D1727" t="s">
        <v>59</v>
      </c>
      <c r="E1727" t="s">
        <v>69</v>
      </c>
      <c r="F1727" t="s">
        <v>40</v>
      </c>
      <c r="G1727" t="s">
        <v>63</v>
      </c>
      <c r="H1727" t="s">
        <v>24</v>
      </c>
      <c r="I1727" t="s">
        <v>25</v>
      </c>
      <c r="J1727" t="s">
        <v>67</v>
      </c>
      <c r="K1727" t="s">
        <v>61</v>
      </c>
      <c r="L1727" t="s">
        <v>28</v>
      </c>
      <c r="M1727" s="4">
        <v>19</v>
      </c>
      <c r="N1727" s="4">
        <v>7</v>
      </c>
      <c r="O1727" t="s">
        <v>29</v>
      </c>
      <c r="P1727" t="s">
        <v>29</v>
      </c>
      <c r="Q1727" s="4">
        <v>519354</v>
      </c>
      <c r="R1727" s="4">
        <v>279927</v>
      </c>
      <c r="S1727" s="4">
        <f>Table1[[#This Row],[Service_Revenue]]-Table1[[#This Row],[Service_Cost]]</f>
        <v>239427</v>
      </c>
      <c r="T1727" s="4">
        <v>1</v>
      </c>
      <c r="U1727" s="4">
        <f>IF(AND(Table1[[#This Row],[Rework_Flag]]="Yes",Table1[[#This Row],[Warranty_Claim]]="No"),Table1[[#This Row],[Service_Revenue]],0)</f>
        <v>0</v>
      </c>
      <c r="V1727" s="4">
        <f>IF(Table1[[#This Row],[Warranty_Claim]]="Yes",1,0)</f>
        <v>1</v>
      </c>
      <c r="W1727" s="4">
        <f>IF(Table1[[#This Row],[Rework_Flag]]="No",1,0)</f>
        <v>0</v>
      </c>
      <c r="X1727" s="4">
        <f>IF(Table1[[#This Row],[Rework_Flag]]="Yes",1,0)</f>
        <v>1</v>
      </c>
      <c r="Y1727" s="4">
        <v>1</v>
      </c>
      <c r="Z1727" s="4" t="str">
        <f>IF(Table1[[#This Row],[TAT_Days]]&gt;Table1[[#This Row],[SLA_TAT]],"Yes","No")</f>
        <v>Yes</v>
      </c>
      <c r="AA1727" s="4" t="str" cm="1">
        <f t="array" ref="AA1727">_xlfn.IFS(Table1[[#This Row],[Customer_Satisfaction]]&lt;=2,"Poor",Table1[[#This Row],[Customer_Satisfaction]]=3,"Neutral",Table1[[#This Row],[Customer_Satisfaction]]=4,"Good",Table1[[#This Row],[Customer_Satisfaction]]=5,"Good")</f>
        <v>Poor</v>
      </c>
    </row>
    <row r="1728" spans="1:27" x14ac:dyDescent="0.35">
      <c r="A1728">
        <v>21726</v>
      </c>
      <c r="B1728" s="1">
        <v>45345</v>
      </c>
      <c r="C1728" t="s">
        <v>37</v>
      </c>
      <c r="D1728" t="s">
        <v>38</v>
      </c>
      <c r="E1728" t="s">
        <v>107</v>
      </c>
      <c r="F1728" t="s">
        <v>53</v>
      </c>
      <c r="G1728" t="s">
        <v>74</v>
      </c>
      <c r="H1728" t="s">
        <v>34</v>
      </c>
      <c r="I1728" t="s">
        <v>25</v>
      </c>
      <c r="J1728" t="s">
        <v>58</v>
      </c>
      <c r="K1728" t="s">
        <v>27</v>
      </c>
      <c r="L1728" t="s">
        <v>28</v>
      </c>
      <c r="M1728" s="4">
        <v>7</v>
      </c>
      <c r="N1728" s="4">
        <v>7</v>
      </c>
      <c r="O1728" t="s">
        <v>29</v>
      </c>
      <c r="P1728" t="s">
        <v>36</v>
      </c>
      <c r="Q1728" s="4">
        <v>309652</v>
      </c>
      <c r="R1728" s="4">
        <v>248649</v>
      </c>
      <c r="S1728" s="4">
        <f>Table1[[#This Row],[Service_Revenue]]-Table1[[#This Row],[Service_Cost]]</f>
        <v>61003</v>
      </c>
      <c r="T1728" s="4">
        <v>3</v>
      </c>
      <c r="U1728" s="4">
        <f>IF(AND(Table1[[#This Row],[Rework_Flag]]="Yes",Table1[[#This Row],[Warranty_Claim]]="No"),Table1[[#This Row],[Service_Revenue]],0)</f>
        <v>309652</v>
      </c>
      <c r="V1728" s="4">
        <f>IF(Table1[[#This Row],[Warranty_Claim]]="Yes",1,0)</f>
        <v>0</v>
      </c>
      <c r="W1728" s="4">
        <f>IF(Table1[[#This Row],[Rework_Flag]]="No",1,0)</f>
        <v>0</v>
      </c>
      <c r="X1728" s="4">
        <f>IF(Table1[[#This Row],[Rework_Flag]]="Yes",1,0)</f>
        <v>1</v>
      </c>
      <c r="Y1728" s="4">
        <v>1</v>
      </c>
      <c r="Z1728" s="4" t="str">
        <f>IF(Table1[[#This Row],[TAT_Days]]&gt;Table1[[#This Row],[SLA_TAT]],"Yes","No")</f>
        <v>No</v>
      </c>
      <c r="AA1728" s="4" t="str" cm="1">
        <f t="array" ref="AA1728">_xlfn.IFS(Table1[[#This Row],[Customer_Satisfaction]]&lt;=2,"Poor",Table1[[#This Row],[Customer_Satisfaction]]=3,"Neutral",Table1[[#This Row],[Customer_Satisfaction]]=4,"Good",Table1[[#This Row],[Customer_Satisfaction]]=5,"Good")</f>
        <v>Neutral</v>
      </c>
    </row>
    <row r="1729" spans="1:27" x14ac:dyDescent="0.35">
      <c r="A1729">
        <v>21727</v>
      </c>
      <c r="B1729" s="1">
        <v>45315</v>
      </c>
      <c r="C1729" t="s">
        <v>50</v>
      </c>
      <c r="D1729" t="s">
        <v>51</v>
      </c>
      <c r="E1729" t="s">
        <v>120</v>
      </c>
      <c r="F1729" t="s">
        <v>40</v>
      </c>
      <c r="G1729" t="s">
        <v>41</v>
      </c>
      <c r="H1729" t="s">
        <v>42</v>
      </c>
      <c r="I1729" t="s">
        <v>25</v>
      </c>
      <c r="J1729" t="s">
        <v>35</v>
      </c>
      <c r="K1729" t="s">
        <v>27</v>
      </c>
      <c r="L1729" t="s">
        <v>28</v>
      </c>
      <c r="M1729" s="4">
        <v>20</v>
      </c>
      <c r="N1729" s="4">
        <v>7</v>
      </c>
      <c r="O1729" t="s">
        <v>29</v>
      </c>
      <c r="P1729" t="s">
        <v>36</v>
      </c>
      <c r="Q1729" s="4">
        <v>146453</v>
      </c>
      <c r="R1729" s="4">
        <v>77510</v>
      </c>
      <c r="S1729" s="4">
        <f>Table1[[#This Row],[Service_Revenue]]-Table1[[#This Row],[Service_Cost]]</f>
        <v>68943</v>
      </c>
      <c r="T1729" s="4">
        <v>1</v>
      </c>
      <c r="U1729" s="4">
        <f>IF(AND(Table1[[#This Row],[Rework_Flag]]="Yes",Table1[[#This Row],[Warranty_Claim]]="No"),Table1[[#This Row],[Service_Revenue]],0)</f>
        <v>146453</v>
      </c>
      <c r="V1729" s="4">
        <f>IF(Table1[[#This Row],[Warranty_Claim]]="Yes",1,0)</f>
        <v>0</v>
      </c>
      <c r="W1729" s="4">
        <f>IF(Table1[[#This Row],[Rework_Flag]]="No",1,0)</f>
        <v>0</v>
      </c>
      <c r="X1729" s="4">
        <f>IF(Table1[[#This Row],[Rework_Flag]]="Yes",1,0)</f>
        <v>1</v>
      </c>
      <c r="Y1729" s="4">
        <v>1</v>
      </c>
      <c r="Z1729" s="4" t="str">
        <f>IF(Table1[[#This Row],[TAT_Days]]&gt;Table1[[#This Row],[SLA_TAT]],"Yes","No")</f>
        <v>Yes</v>
      </c>
      <c r="AA1729" s="4" t="str" cm="1">
        <f t="array" ref="AA1729">_xlfn.IFS(Table1[[#This Row],[Customer_Satisfaction]]&lt;=2,"Poor",Table1[[#This Row],[Customer_Satisfaction]]=3,"Neutral",Table1[[#This Row],[Customer_Satisfaction]]=4,"Good",Table1[[#This Row],[Customer_Satisfaction]]=5,"Good")</f>
        <v>Poor</v>
      </c>
    </row>
    <row r="1730" spans="1:27" x14ac:dyDescent="0.35">
      <c r="A1730">
        <v>21728</v>
      </c>
      <c r="B1730" s="1">
        <v>45340</v>
      </c>
      <c r="C1730" t="s">
        <v>37</v>
      </c>
      <c r="D1730" t="s">
        <v>70</v>
      </c>
      <c r="E1730" t="s">
        <v>100</v>
      </c>
      <c r="F1730" t="s">
        <v>22</v>
      </c>
      <c r="G1730" t="s">
        <v>63</v>
      </c>
      <c r="H1730" t="s">
        <v>24</v>
      </c>
      <c r="I1730" t="s">
        <v>55</v>
      </c>
      <c r="J1730" t="s">
        <v>26</v>
      </c>
      <c r="K1730" t="s">
        <v>44</v>
      </c>
      <c r="L1730" t="s">
        <v>28</v>
      </c>
      <c r="M1730" s="4">
        <v>8</v>
      </c>
      <c r="N1730" s="4">
        <v>7</v>
      </c>
      <c r="O1730" t="s">
        <v>36</v>
      </c>
      <c r="P1730" t="s">
        <v>36</v>
      </c>
      <c r="Q1730" s="4">
        <v>390945</v>
      </c>
      <c r="R1730" s="4">
        <v>260968</v>
      </c>
      <c r="S1730" s="4">
        <f>Table1[[#This Row],[Service_Revenue]]-Table1[[#This Row],[Service_Cost]]</f>
        <v>129977</v>
      </c>
      <c r="T1730" s="4">
        <v>4</v>
      </c>
      <c r="U1730" s="4">
        <f>IF(AND(Table1[[#This Row],[Rework_Flag]]="Yes",Table1[[#This Row],[Warranty_Claim]]="No"),Table1[[#This Row],[Service_Revenue]],0)</f>
        <v>0</v>
      </c>
      <c r="V1730" s="4">
        <f>IF(Table1[[#This Row],[Warranty_Claim]]="Yes",1,0)</f>
        <v>0</v>
      </c>
      <c r="W1730" s="4">
        <f>IF(Table1[[#This Row],[Rework_Flag]]="No",1,0)</f>
        <v>1</v>
      </c>
      <c r="X1730" s="4">
        <f>IF(Table1[[#This Row],[Rework_Flag]]="Yes",1,0)</f>
        <v>0</v>
      </c>
      <c r="Y1730" s="4">
        <v>1</v>
      </c>
      <c r="Z1730" s="4" t="str">
        <f>IF(Table1[[#This Row],[TAT_Days]]&gt;Table1[[#This Row],[SLA_TAT]],"Yes","No")</f>
        <v>Yes</v>
      </c>
      <c r="AA1730" s="4" t="str" cm="1">
        <f t="array" ref="AA1730">_xlfn.IFS(Table1[[#This Row],[Customer_Satisfaction]]&lt;=2,"Poor",Table1[[#This Row],[Customer_Satisfaction]]=3,"Neutral",Table1[[#This Row],[Customer_Satisfaction]]=4,"Good",Table1[[#This Row],[Customer_Satisfaction]]=5,"Good")</f>
        <v>Good</v>
      </c>
    </row>
    <row r="1731" spans="1:27" x14ac:dyDescent="0.35">
      <c r="A1731">
        <v>21729</v>
      </c>
      <c r="B1731" s="1">
        <v>45298</v>
      </c>
      <c r="C1731" t="s">
        <v>37</v>
      </c>
      <c r="D1731" t="s">
        <v>64</v>
      </c>
      <c r="E1731" t="s">
        <v>87</v>
      </c>
      <c r="F1731" t="s">
        <v>22</v>
      </c>
      <c r="G1731" t="s">
        <v>47</v>
      </c>
      <c r="H1731" t="s">
        <v>48</v>
      </c>
      <c r="I1731" t="s">
        <v>55</v>
      </c>
      <c r="J1731" t="s">
        <v>43</v>
      </c>
      <c r="K1731" t="s">
        <v>27</v>
      </c>
      <c r="L1731" t="s">
        <v>28</v>
      </c>
      <c r="M1731" s="4">
        <v>14</v>
      </c>
      <c r="N1731" s="4">
        <v>7</v>
      </c>
      <c r="O1731" t="s">
        <v>29</v>
      </c>
      <c r="P1731" t="s">
        <v>29</v>
      </c>
      <c r="Q1731" s="4">
        <v>268541</v>
      </c>
      <c r="R1731" s="4">
        <v>178671</v>
      </c>
      <c r="S1731" s="4">
        <f>Table1[[#This Row],[Service_Revenue]]-Table1[[#This Row],[Service_Cost]]</f>
        <v>89870</v>
      </c>
      <c r="T1731" s="4">
        <v>2</v>
      </c>
      <c r="U1731" s="4">
        <f>IF(AND(Table1[[#This Row],[Rework_Flag]]="Yes",Table1[[#This Row],[Warranty_Claim]]="No"),Table1[[#This Row],[Service_Revenue]],0)</f>
        <v>0</v>
      </c>
      <c r="V1731" s="4">
        <f>IF(Table1[[#This Row],[Warranty_Claim]]="Yes",1,0)</f>
        <v>1</v>
      </c>
      <c r="W1731" s="4">
        <f>IF(Table1[[#This Row],[Rework_Flag]]="No",1,0)</f>
        <v>0</v>
      </c>
      <c r="X1731" s="4">
        <f>IF(Table1[[#This Row],[Rework_Flag]]="Yes",1,0)</f>
        <v>1</v>
      </c>
      <c r="Y1731" s="4">
        <v>1</v>
      </c>
      <c r="Z1731" s="4" t="str">
        <f>IF(Table1[[#This Row],[TAT_Days]]&gt;Table1[[#This Row],[SLA_TAT]],"Yes","No")</f>
        <v>Yes</v>
      </c>
      <c r="AA1731" s="4" t="str" cm="1">
        <f t="array" ref="AA1731">_xlfn.IFS(Table1[[#This Row],[Customer_Satisfaction]]&lt;=2,"Poor",Table1[[#This Row],[Customer_Satisfaction]]=3,"Neutral",Table1[[#This Row],[Customer_Satisfaction]]=4,"Good",Table1[[#This Row],[Customer_Satisfaction]]=5,"Good")</f>
        <v>Poor</v>
      </c>
    </row>
    <row r="1732" spans="1:27" x14ac:dyDescent="0.35">
      <c r="A1732">
        <v>21730</v>
      </c>
      <c r="B1732" s="1">
        <v>45304</v>
      </c>
      <c r="C1732" t="s">
        <v>19</v>
      </c>
      <c r="D1732" t="s">
        <v>20</v>
      </c>
      <c r="E1732" t="s">
        <v>86</v>
      </c>
      <c r="F1732" t="s">
        <v>22</v>
      </c>
      <c r="G1732" t="s">
        <v>54</v>
      </c>
      <c r="H1732" t="s">
        <v>42</v>
      </c>
      <c r="I1732" t="s">
        <v>25</v>
      </c>
      <c r="J1732" t="s">
        <v>35</v>
      </c>
      <c r="K1732" t="s">
        <v>44</v>
      </c>
      <c r="L1732" t="s">
        <v>49</v>
      </c>
      <c r="M1732" s="4">
        <v>21</v>
      </c>
      <c r="N1732" s="4">
        <v>7</v>
      </c>
      <c r="O1732" t="s">
        <v>29</v>
      </c>
      <c r="P1732" t="s">
        <v>29</v>
      </c>
      <c r="Q1732" s="4">
        <v>431877</v>
      </c>
      <c r="R1732" s="4">
        <v>236436</v>
      </c>
      <c r="S1732" s="4">
        <f>Table1[[#This Row],[Service_Revenue]]-Table1[[#This Row],[Service_Cost]]</f>
        <v>195441</v>
      </c>
      <c r="T1732" s="4">
        <v>1</v>
      </c>
      <c r="U1732" s="4">
        <f>IF(AND(Table1[[#This Row],[Rework_Flag]]="Yes",Table1[[#This Row],[Warranty_Claim]]="No"),Table1[[#This Row],[Service_Revenue]],0)</f>
        <v>0</v>
      </c>
      <c r="V1732" s="4">
        <f>IF(Table1[[#This Row],[Warranty_Claim]]="Yes",1,0)</f>
        <v>1</v>
      </c>
      <c r="W1732" s="4">
        <f>IF(Table1[[#This Row],[Rework_Flag]]="No",1,0)</f>
        <v>0</v>
      </c>
      <c r="X1732" s="4">
        <f>IF(Table1[[#This Row],[Rework_Flag]]="Yes",1,0)</f>
        <v>1</v>
      </c>
      <c r="Y1732" s="4">
        <v>1</v>
      </c>
      <c r="Z1732" s="4" t="str">
        <f>IF(Table1[[#This Row],[TAT_Days]]&gt;Table1[[#This Row],[SLA_TAT]],"Yes","No")</f>
        <v>Yes</v>
      </c>
      <c r="AA1732" s="4" t="str" cm="1">
        <f t="array" ref="AA1732">_xlfn.IFS(Table1[[#This Row],[Customer_Satisfaction]]&lt;=2,"Poor",Table1[[#This Row],[Customer_Satisfaction]]=3,"Neutral",Table1[[#This Row],[Customer_Satisfaction]]=4,"Good",Table1[[#This Row],[Customer_Satisfaction]]=5,"Good")</f>
        <v>Poor</v>
      </c>
    </row>
    <row r="1733" spans="1:27" x14ac:dyDescent="0.35">
      <c r="A1733">
        <v>21731</v>
      </c>
      <c r="B1733" s="1">
        <v>45381</v>
      </c>
      <c r="C1733" t="s">
        <v>19</v>
      </c>
      <c r="D1733" t="s">
        <v>96</v>
      </c>
      <c r="E1733" t="s">
        <v>108</v>
      </c>
      <c r="F1733" t="s">
        <v>22</v>
      </c>
      <c r="G1733" t="s">
        <v>33</v>
      </c>
      <c r="H1733" t="s">
        <v>34</v>
      </c>
      <c r="I1733" t="s">
        <v>55</v>
      </c>
      <c r="J1733" t="s">
        <v>58</v>
      </c>
      <c r="K1733" t="s">
        <v>61</v>
      </c>
      <c r="L1733" t="s">
        <v>49</v>
      </c>
      <c r="M1733" s="4">
        <v>15</v>
      </c>
      <c r="N1733" s="4">
        <v>7</v>
      </c>
      <c r="O1733" t="s">
        <v>29</v>
      </c>
      <c r="P1733" t="s">
        <v>36</v>
      </c>
      <c r="Q1733" s="4">
        <v>103646</v>
      </c>
      <c r="R1733" s="4">
        <v>75688</v>
      </c>
      <c r="S1733" s="4">
        <f>Table1[[#This Row],[Service_Revenue]]-Table1[[#This Row],[Service_Cost]]</f>
        <v>27958</v>
      </c>
      <c r="T1733" s="4">
        <v>1</v>
      </c>
      <c r="U1733" s="4">
        <f>IF(AND(Table1[[#This Row],[Rework_Flag]]="Yes",Table1[[#This Row],[Warranty_Claim]]="No"),Table1[[#This Row],[Service_Revenue]],0)</f>
        <v>103646</v>
      </c>
      <c r="V1733" s="4">
        <f>IF(Table1[[#This Row],[Warranty_Claim]]="Yes",1,0)</f>
        <v>0</v>
      </c>
      <c r="W1733" s="4">
        <f>IF(Table1[[#This Row],[Rework_Flag]]="No",1,0)</f>
        <v>0</v>
      </c>
      <c r="X1733" s="4">
        <f>IF(Table1[[#This Row],[Rework_Flag]]="Yes",1,0)</f>
        <v>1</v>
      </c>
      <c r="Y1733" s="4">
        <v>1</v>
      </c>
      <c r="Z1733" s="4" t="str">
        <f>IF(Table1[[#This Row],[TAT_Days]]&gt;Table1[[#This Row],[SLA_TAT]],"Yes","No")</f>
        <v>Yes</v>
      </c>
      <c r="AA1733" s="4" t="str" cm="1">
        <f t="array" ref="AA1733">_xlfn.IFS(Table1[[#This Row],[Customer_Satisfaction]]&lt;=2,"Poor",Table1[[#This Row],[Customer_Satisfaction]]=3,"Neutral",Table1[[#This Row],[Customer_Satisfaction]]=4,"Good",Table1[[#This Row],[Customer_Satisfaction]]=5,"Good")</f>
        <v>Poor</v>
      </c>
    </row>
    <row r="1734" spans="1:27" x14ac:dyDescent="0.35">
      <c r="A1734">
        <v>21732</v>
      </c>
      <c r="B1734" s="1">
        <v>45362</v>
      </c>
      <c r="C1734" t="s">
        <v>19</v>
      </c>
      <c r="D1734" t="s">
        <v>45</v>
      </c>
      <c r="E1734" t="s">
        <v>76</v>
      </c>
      <c r="F1734" t="s">
        <v>22</v>
      </c>
      <c r="G1734" t="s">
        <v>74</v>
      </c>
      <c r="H1734" t="s">
        <v>34</v>
      </c>
      <c r="I1734" t="s">
        <v>25</v>
      </c>
      <c r="J1734" t="s">
        <v>43</v>
      </c>
      <c r="K1734" t="s">
        <v>44</v>
      </c>
      <c r="L1734" t="s">
        <v>49</v>
      </c>
      <c r="M1734" s="4">
        <v>11</v>
      </c>
      <c r="N1734" s="4">
        <v>7</v>
      </c>
      <c r="O1734" t="s">
        <v>29</v>
      </c>
      <c r="P1734" t="s">
        <v>36</v>
      </c>
      <c r="Q1734" s="4">
        <v>334322</v>
      </c>
      <c r="R1734" s="4">
        <v>172791</v>
      </c>
      <c r="S1734" s="4">
        <f>Table1[[#This Row],[Service_Revenue]]-Table1[[#This Row],[Service_Cost]]</f>
        <v>161531</v>
      </c>
      <c r="T1734" s="4">
        <v>2</v>
      </c>
      <c r="U1734" s="4">
        <f>IF(AND(Table1[[#This Row],[Rework_Flag]]="Yes",Table1[[#This Row],[Warranty_Claim]]="No"),Table1[[#This Row],[Service_Revenue]],0)</f>
        <v>334322</v>
      </c>
      <c r="V1734" s="4">
        <f>IF(Table1[[#This Row],[Warranty_Claim]]="Yes",1,0)</f>
        <v>0</v>
      </c>
      <c r="W1734" s="4">
        <f>IF(Table1[[#This Row],[Rework_Flag]]="No",1,0)</f>
        <v>0</v>
      </c>
      <c r="X1734" s="4">
        <f>IF(Table1[[#This Row],[Rework_Flag]]="Yes",1,0)</f>
        <v>1</v>
      </c>
      <c r="Y1734" s="4">
        <v>1</v>
      </c>
      <c r="Z1734" s="4" t="str">
        <f>IF(Table1[[#This Row],[TAT_Days]]&gt;Table1[[#This Row],[SLA_TAT]],"Yes","No")</f>
        <v>Yes</v>
      </c>
      <c r="AA1734" s="4" t="str" cm="1">
        <f t="array" ref="AA1734">_xlfn.IFS(Table1[[#This Row],[Customer_Satisfaction]]&lt;=2,"Poor",Table1[[#This Row],[Customer_Satisfaction]]=3,"Neutral",Table1[[#This Row],[Customer_Satisfaction]]=4,"Good",Table1[[#This Row],[Customer_Satisfaction]]=5,"Good")</f>
        <v>Poor</v>
      </c>
    </row>
    <row r="1735" spans="1:27" x14ac:dyDescent="0.35">
      <c r="A1735">
        <v>21733</v>
      </c>
      <c r="B1735" s="1">
        <v>45307</v>
      </c>
      <c r="C1735" t="s">
        <v>37</v>
      </c>
      <c r="D1735" t="s">
        <v>64</v>
      </c>
      <c r="E1735" t="s">
        <v>72</v>
      </c>
      <c r="F1735" t="s">
        <v>53</v>
      </c>
      <c r="G1735" t="s">
        <v>63</v>
      </c>
      <c r="H1735" t="s">
        <v>24</v>
      </c>
      <c r="I1735" t="s">
        <v>55</v>
      </c>
      <c r="J1735" t="s">
        <v>26</v>
      </c>
      <c r="K1735" t="s">
        <v>27</v>
      </c>
      <c r="L1735" t="s">
        <v>49</v>
      </c>
      <c r="M1735" s="4">
        <v>16</v>
      </c>
      <c r="N1735" s="4">
        <v>7</v>
      </c>
      <c r="O1735" t="s">
        <v>29</v>
      </c>
      <c r="P1735" t="s">
        <v>36</v>
      </c>
      <c r="Q1735" s="4">
        <v>317105</v>
      </c>
      <c r="R1735" s="4">
        <v>210876</v>
      </c>
      <c r="S1735" s="4">
        <f>Table1[[#This Row],[Service_Revenue]]-Table1[[#This Row],[Service_Cost]]</f>
        <v>106229</v>
      </c>
      <c r="T1735" s="4">
        <v>1</v>
      </c>
      <c r="U1735" s="4">
        <f>IF(AND(Table1[[#This Row],[Rework_Flag]]="Yes",Table1[[#This Row],[Warranty_Claim]]="No"),Table1[[#This Row],[Service_Revenue]],0)</f>
        <v>317105</v>
      </c>
      <c r="V1735" s="4">
        <f>IF(Table1[[#This Row],[Warranty_Claim]]="Yes",1,0)</f>
        <v>0</v>
      </c>
      <c r="W1735" s="4">
        <f>IF(Table1[[#This Row],[Rework_Flag]]="No",1,0)</f>
        <v>0</v>
      </c>
      <c r="X1735" s="4">
        <f>IF(Table1[[#This Row],[Rework_Flag]]="Yes",1,0)</f>
        <v>1</v>
      </c>
      <c r="Y1735" s="4">
        <v>1</v>
      </c>
      <c r="Z1735" s="4" t="str">
        <f>IF(Table1[[#This Row],[TAT_Days]]&gt;Table1[[#This Row],[SLA_TAT]],"Yes","No")</f>
        <v>Yes</v>
      </c>
      <c r="AA1735" s="4" t="str" cm="1">
        <f t="array" ref="AA1735">_xlfn.IFS(Table1[[#This Row],[Customer_Satisfaction]]&lt;=2,"Poor",Table1[[#This Row],[Customer_Satisfaction]]=3,"Neutral",Table1[[#This Row],[Customer_Satisfaction]]=4,"Good",Table1[[#This Row],[Customer_Satisfaction]]=5,"Good")</f>
        <v>Poor</v>
      </c>
    </row>
    <row r="1736" spans="1:27" x14ac:dyDescent="0.35">
      <c r="A1736">
        <v>21734</v>
      </c>
      <c r="B1736" s="1">
        <v>45458</v>
      </c>
      <c r="C1736" t="s">
        <v>37</v>
      </c>
      <c r="D1736" t="s">
        <v>70</v>
      </c>
      <c r="E1736" t="s">
        <v>71</v>
      </c>
      <c r="F1736" t="s">
        <v>53</v>
      </c>
      <c r="G1736" t="s">
        <v>47</v>
      </c>
      <c r="H1736" t="s">
        <v>48</v>
      </c>
      <c r="I1736" t="s">
        <v>55</v>
      </c>
      <c r="J1736" t="s">
        <v>58</v>
      </c>
      <c r="K1736" t="s">
        <v>44</v>
      </c>
      <c r="L1736" t="s">
        <v>28</v>
      </c>
      <c r="M1736" s="4">
        <v>16</v>
      </c>
      <c r="N1736" s="4">
        <v>7</v>
      </c>
      <c r="O1736" t="s">
        <v>36</v>
      </c>
      <c r="P1736" t="s">
        <v>29</v>
      </c>
      <c r="Q1736" s="4">
        <v>401796</v>
      </c>
      <c r="R1736" s="4">
        <v>231080</v>
      </c>
      <c r="S1736" s="4">
        <f>Table1[[#This Row],[Service_Revenue]]-Table1[[#This Row],[Service_Cost]]</f>
        <v>170716</v>
      </c>
      <c r="T1736" s="4">
        <v>2</v>
      </c>
      <c r="U1736" s="4">
        <f>IF(AND(Table1[[#This Row],[Rework_Flag]]="Yes",Table1[[#This Row],[Warranty_Claim]]="No"),Table1[[#This Row],[Service_Revenue]],0)</f>
        <v>0</v>
      </c>
      <c r="V1736" s="4">
        <f>IF(Table1[[#This Row],[Warranty_Claim]]="Yes",1,0)</f>
        <v>1</v>
      </c>
      <c r="W1736" s="4">
        <f>IF(Table1[[#This Row],[Rework_Flag]]="No",1,0)</f>
        <v>1</v>
      </c>
      <c r="X1736" s="4">
        <f>IF(Table1[[#This Row],[Rework_Flag]]="Yes",1,0)</f>
        <v>0</v>
      </c>
      <c r="Y1736" s="4">
        <v>1</v>
      </c>
      <c r="Z1736" s="4" t="str">
        <f>IF(Table1[[#This Row],[TAT_Days]]&gt;Table1[[#This Row],[SLA_TAT]],"Yes","No")</f>
        <v>Yes</v>
      </c>
      <c r="AA1736" s="4" t="str" cm="1">
        <f t="array" ref="AA1736">_xlfn.IFS(Table1[[#This Row],[Customer_Satisfaction]]&lt;=2,"Poor",Table1[[#This Row],[Customer_Satisfaction]]=3,"Neutral",Table1[[#This Row],[Customer_Satisfaction]]=4,"Good",Table1[[#This Row],[Customer_Satisfaction]]=5,"Good")</f>
        <v>Poor</v>
      </c>
    </row>
    <row r="1737" spans="1:27" x14ac:dyDescent="0.35">
      <c r="A1737">
        <v>21735</v>
      </c>
      <c r="B1737" s="1">
        <v>45364</v>
      </c>
      <c r="C1737" t="s">
        <v>37</v>
      </c>
      <c r="D1737" t="s">
        <v>38</v>
      </c>
      <c r="E1737" t="s">
        <v>107</v>
      </c>
      <c r="F1737" t="s">
        <v>53</v>
      </c>
      <c r="G1737" t="s">
        <v>23</v>
      </c>
      <c r="H1737" t="s">
        <v>24</v>
      </c>
      <c r="I1737" t="s">
        <v>25</v>
      </c>
      <c r="J1737" t="s">
        <v>58</v>
      </c>
      <c r="K1737" t="s">
        <v>61</v>
      </c>
      <c r="L1737" t="s">
        <v>49</v>
      </c>
      <c r="M1737" s="4">
        <v>5</v>
      </c>
      <c r="N1737" s="4">
        <v>7</v>
      </c>
      <c r="O1737" t="s">
        <v>29</v>
      </c>
      <c r="P1737" t="s">
        <v>29</v>
      </c>
      <c r="Q1737" s="4">
        <v>375346</v>
      </c>
      <c r="R1737" s="4">
        <v>318150</v>
      </c>
      <c r="S1737" s="4">
        <f>Table1[[#This Row],[Service_Revenue]]-Table1[[#This Row],[Service_Cost]]</f>
        <v>57196</v>
      </c>
      <c r="T1737" s="4">
        <v>3</v>
      </c>
      <c r="U1737" s="4">
        <f>IF(AND(Table1[[#This Row],[Rework_Flag]]="Yes",Table1[[#This Row],[Warranty_Claim]]="No"),Table1[[#This Row],[Service_Revenue]],0)</f>
        <v>0</v>
      </c>
      <c r="V1737" s="4">
        <f>IF(Table1[[#This Row],[Warranty_Claim]]="Yes",1,0)</f>
        <v>1</v>
      </c>
      <c r="W1737" s="4">
        <f>IF(Table1[[#This Row],[Rework_Flag]]="No",1,0)</f>
        <v>0</v>
      </c>
      <c r="X1737" s="4">
        <f>IF(Table1[[#This Row],[Rework_Flag]]="Yes",1,0)</f>
        <v>1</v>
      </c>
      <c r="Y1737" s="4">
        <v>1</v>
      </c>
      <c r="Z1737" s="4" t="str">
        <f>IF(Table1[[#This Row],[TAT_Days]]&gt;Table1[[#This Row],[SLA_TAT]],"Yes","No")</f>
        <v>No</v>
      </c>
      <c r="AA1737" s="4" t="str" cm="1">
        <f t="array" ref="AA1737">_xlfn.IFS(Table1[[#This Row],[Customer_Satisfaction]]&lt;=2,"Poor",Table1[[#This Row],[Customer_Satisfaction]]=3,"Neutral",Table1[[#This Row],[Customer_Satisfaction]]=4,"Good",Table1[[#This Row],[Customer_Satisfaction]]=5,"Good")</f>
        <v>Neutral</v>
      </c>
    </row>
    <row r="1738" spans="1:27" x14ac:dyDescent="0.35">
      <c r="A1738">
        <v>21736</v>
      </c>
      <c r="B1738" s="1">
        <v>45424</v>
      </c>
      <c r="C1738" t="s">
        <v>50</v>
      </c>
      <c r="D1738" t="s">
        <v>56</v>
      </c>
      <c r="E1738" t="s">
        <v>77</v>
      </c>
      <c r="F1738" t="s">
        <v>40</v>
      </c>
      <c r="G1738" t="s">
        <v>41</v>
      </c>
      <c r="H1738" t="s">
        <v>42</v>
      </c>
      <c r="I1738" t="s">
        <v>25</v>
      </c>
      <c r="J1738" t="s">
        <v>26</v>
      </c>
      <c r="K1738" t="s">
        <v>27</v>
      </c>
      <c r="L1738" t="s">
        <v>28</v>
      </c>
      <c r="M1738" s="4">
        <v>24</v>
      </c>
      <c r="N1738" s="4">
        <v>7</v>
      </c>
      <c r="O1738" t="s">
        <v>29</v>
      </c>
      <c r="P1738" t="s">
        <v>36</v>
      </c>
      <c r="Q1738" s="4">
        <v>351639</v>
      </c>
      <c r="R1738" s="4">
        <v>204678</v>
      </c>
      <c r="S1738" s="4">
        <f>Table1[[#This Row],[Service_Revenue]]-Table1[[#This Row],[Service_Cost]]</f>
        <v>146961</v>
      </c>
      <c r="T1738" s="4">
        <v>1</v>
      </c>
      <c r="U1738" s="4">
        <f>IF(AND(Table1[[#This Row],[Rework_Flag]]="Yes",Table1[[#This Row],[Warranty_Claim]]="No"),Table1[[#This Row],[Service_Revenue]],0)</f>
        <v>351639</v>
      </c>
      <c r="V1738" s="4">
        <f>IF(Table1[[#This Row],[Warranty_Claim]]="Yes",1,0)</f>
        <v>0</v>
      </c>
      <c r="W1738" s="4">
        <f>IF(Table1[[#This Row],[Rework_Flag]]="No",1,0)</f>
        <v>0</v>
      </c>
      <c r="X1738" s="4">
        <f>IF(Table1[[#This Row],[Rework_Flag]]="Yes",1,0)</f>
        <v>1</v>
      </c>
      <c r="Y1738" s="4">
        <v>1</v>
      </c>
      <c r="Z1738" s="4" t="str">
        <f>IF(Table1[[#This Row],[TAT_Days]]&gt;Table1[[#This Row],[SLA_TAT]],"Yes","No")</f>
        <v>Yes</v>
      </c>
      <c r="AA1738" s="4" t="str" cm="1">
        <f t="array" ref="AA1738">_xlfn.IFS(Table1[[#This Row],[Customer_Satisfaction]]&lt;=2,"Poor",Table1[[#This Row],[Customer_Satisfaction]]=3,"Neutral",Table1[[#This Row],[Customer_Satisfaction]]=4,"Good",Table1[[#This Row],[Customer_Satisfaction]]=5,"Good")</f>
        <v>Poor</v>
      </c>
    </row>
    <row r="1739" spans="1:27" x14ac:dyDescent="0.35">
      <c r="A1739">
        <v>21737</v>
      </c>
      <c r="B1739" s="1">
        <v>45351</v>
      </c>
      <c r="C1739" t="s">
        <v>19</v>
      </c>
      <c r="D1739" t="s">
        <v>96</v>
      </c>
      <c r="E1739" t="s">
        <v>108</v>
      </c>
      <c r="F1739" t="s">
        <v>53</v>
      </c>
      <c r="G1739" t="s">
        <v>47</v>
      </c>
      <c r="H1739" t="s">
        <v>48</v>
      </c>
      <c r="I1739" t="s">
        <v>55</v>
      </c>
      <c r="J1739" t="s">
        <v>58</v>
      </c>
      <c r="K1739" t="s">
        <v>27</v>
      </c>
      <c r="L1739" t="s">
        <v>28</v>
      </c>
      <c r="M1739" s="4">
        <v>12</v>
      </c>
      <c r="N1739" s="4">
        <v>7</v>
      </c>
      <c r="O1739" t="s">
        <v>29</v>
      </c>
      <c r="P1739" t="s">
        <v>36</v>
      </c>
      <c r="Q1739" s="4">
        <v>427795</v>
      </c>
      <c r="R1739" s="4">
        <v>236539</v>
      </c>
      <c r="S1739" s="4">
        <f>Table1[[#This Row],[Service_Revenue]]-Table1[[#This Row],[Service_Cost]]</f>
        <v>191256</v>
      </c>
      <c r="T1739" s="4">
        <v>2</v>
      </c>
      <c r="U1739" s="4">
        <f>IF(AND(Table1[[#This Row],[Rework_Flag]]="Yes",Table1[[#This Row],[Warranty_Claim]]="No"),Table1[[#This Row],[Service_Revenue]],0)</f>
        <v>427795</v>
      </c>
      <c r="V1739" s="4">
        <f>IF(Table1[[#This Row],[Warranty_Claim]]="Yes",1,0)</f>
        <v>0</v>
      </c>
      <c r="W1739" s="4">
        <f>IF(Table1[[#This Row],[Rework_Flag]]="No",1,0)</f>
        <v>0</v>
      </c>
      <c r="X1739" s="4">
        <f>IF(Table1[[#This Row],[Rework_Flag]]="Yes",1,0)</f>
        <v>1</v>
      </c>
      <c r="Y1739" s="4">
        <v>1</v>
      </c>
      <c r="Z1739" s="4" t="str">
        <f>IF(Table1[[#This Row],[TAT_Days]]&gt;Table1[[#This Row],[SLA_TAT]],"Yes","No")</f>
        <v>Yes</v>
      </c>
      <c r="AA1739" s="4" t="str" cm="1">
        <f t="array" ref="AA1739">_xlfn.IFS(Table1[[#This Row],[Customer_Satisfaction]]&lt;=2,"Poor",Table1[[#This Row],[Customer_Satisfaction]]=3,"Neutral",Table1[[#This Row],[Customer_Satisfaction]]=4,"Good",Table1[[#This Row],[Customer_Satisfaction]]=5,"Good")</f>
        <v>Poor</v>
      </c>
    </row>
    <row r="1740" spans="1:27" x14ac:dyDescent="0.35">
      <c r="A1740">
        <v>21738</v>
      </c>
      <c r="B1740" s="1">
        <v>45318</v>
      </c>
      <c r="C1740" t="s">
        <v>19</v>
      </c>
      <c r="D1740" t="s">
        <v>45</v>
      </c>
      <c r="E1740" t="s">
        <v>99</v>
      </c>
      <c r="F1740" t="s">
        <v>40</v>
      </c>
      <c r="G1740" t="s">
        <v>23</v>
      </c>
      <c r="H1740" t="s">
        <v>24</v>
      </c>
      <c r="I1740" t="s">
        <v>25</v>
      </c>
      <c r="J1740" t="s">
        <v>58</v>
      </c>
      <c r="K1740" t="s">
        <v>61</v>
      </c>
      <c r="L1740" t="s">
        <v>49</v>
      </c>
      <c r="M1740" s="4">
        <v>6</v>
      </c>
      <c r="N1740" s="4">
        <v>7</v>
      </c>
      <c r="O1740" t="s">
        <v>29</v>
      </c>
      <c r="P1740" t="s">
        <v>36</v>
      </c>
      <c r="Q1740" s="4">
        <v>453679</v>
      </c>
      <c r="R1740" s="4">
        <v>383674</v>
      </c>
      <c r="S1740" s="4">
        <f>Table1[[#This Row],[Service_Revenue]]-Table1[[#This Row],[Service_Cost]]</f>
        <v>70005</v>
      </c>
      <c r="T1740" s="4">
        <v>3</v>
      </c>
      <c r="U1740" s="4">
        <f>IF(AND(Table1[[#This Row],[Rework_Flag]]="Yes",Table1[[#This Row],[Warranty_Claim]]="No"),Table1[[#This Row],[Service_Revenue]],0)</f>
        <v>453679</v>
      </c>
      <c r="V1740" s="4">
        <f>IF(Table1[[#This Row],[Warranty_Claim]]="Yes",1,0)</f>
        <v>0</v>
      </c>
      <c r="W1740" s="4">
        <f>IF(Table1[[#This Row],[Rework_Flag]]="No",1,0)</f>
        <v>0</v>
      </c>
      <c r="X1740" s="4">
        <f>IF(Table1[[#This Row],[Rework_Flag]]="Yes",1,0)</f>
        <v>1</v>
      </c>
      <c r="Y1740" s="4">
        <v>1</v>
      </c>
      <c r="Z1740" s="4" t="str">
        <f>IF(Table1[[#This Row],[TAT_Days]]&gt;Table1[[#This Row],[SLA_TAT]],"Yes","No")</f>
        <v>No</v>
      </c>
      <c r="AA1740" s="4" t="str" cm="1">
        <f t="array" ref="AA1740">_xlfn.IFS(Table1[[#This Row],[Customer_Satisfaction]]&lt;=2,"Poor",Table1[[#This Row],[Customer_Satisfaction]]=3,"Neutral",Table1[[#This Row],[Customer_Satisfaction]]=4,"Good",Table1[[#This Row],[Customer_Satisfaction]]=5,"Good")</f>
        <v>Neutral</v>
      </c>
    </row>
    <row r="1741" spans="1:27" x14ac:dyDescent="0.35">
      <c r="A1741">
        <v>21739</v>
      </c>
      <c r="B1741" s="1">
        <v>45471</v>
      </c>
      <c r="C1741" t="s">
        <v>50</v>
      </c>
      <c r="D1741" t="s">
        <v>56</v>
      </c>
      <c r="E1741" t="s">
        <v>57</v>
      </c>
      <c r="F1741" t="s">
        <v>53</v>
      </c>
      <c r="G1741" t="s">
        <v>54</v>
      </c>
      <c r="H1741" t="s">
        <v>42</v>
      </c>
      <c r="I1741" t="s">
        <v>55</v>
      </c>
      <c r="J1741" t="s">
        <v>58</v>
      </c>
      <c r="K1741" t="s">
        <v>61</v>
      </c>
      <c r="L1741" t="s">
        <v>28</v>
      </c>
      <c r="M1741" s="4">
        <v>6</v>
      </c>
      <c r="N1741" s="4">
        <v>7</v>
      </c>
      <c r="O1741" t="s">
        <v>29</v>
      </c>
      <c r="P1741" t="s">
        <v>29</v>
      </c>
      <c r="Q1741" s="4">
        <v>167724</v>
      </c>
      <c r="R1741" s="4">
        <v>101814</v>
      </c>
      <c r="S1741" s="4">
        <f>Table1[[#This Row],[Service_Revenue]]-Table1[[#This Row],[Service_Cost]]</f>
        <v>65910</v>
      </c>
      <c r="T1741" s="4">
        <v>3</v>
      </c>
      <c r="U1741" s="4">
        <f>IF(AND(Table1[[#This Row],[Rework_Flag]]="Yes",Table1[[#This Row],[Warranty_Claim]]="No"),Table1[[#This Row],[Service_Revenue]],0)</f>
        <v>0</v>
      </c>
      <c r="V1741" s="4">
        <f>IF(Table1[[#This Row],[Warranty_Claim]]="Yes",1,0)</f>
        <v>1</v>
      </c>
      <c r="W1741" s="4">
        <f>IF(Table1[[#This Row],[Rework_Flag]]="No",1,0)</f>
        <v>0</v>
      </c>
      <c r="X1741" s="4">
        <f>IF(Table1[[#This Row],[Rework_Flag]]="Yes",1,0)</f>
        <v>1</v>
      </c>
      <c r="Y1741" s="4">
        <v>1</v>
      </c>
      <c r="Z1741" s="4" t="str">
        <f>IF(Table1[[#This Row],[TAT_Days]]&gt;Table1[[#This Row],[SLA_TAT]],"Yes","No")</f>
        <v>No</v>
      </c>
      <c r="AA1741" s="4" t="str" cm="1">
        <f t="array" ref="AA1741">_xlfn.IFS(Table1[[#This Row],[Customer_Satisfaction]]&lt;=2,"Poor",Table1[[#This Row],[Customer_Satisfaction]]=3,"Neutral",Table1[[#This Row],[Customer_Satisfaction]]=4,"Good",Table1[[#This Row],[Customer_Satisfaction]]=5,"Good")</f>
        <v>Neutral</v>
      </c>
    </row>
    <row r="1742" spans="1:27" x14ac:dyDescent="0.35">
      <c r="A1742">
        <v>21740</v>
      </c>
      <c r="B1742" s="1">
        <v>45306</v>
      </c>
      <c r="C1742" t="s">
        <v>30</v>
      </c>
      <c r="D1742" t="s">
        <v>59</v>
      </c>
      <c r="E1742" t="s">
        <v>78</v>
      </c>
      <c r="F1742" t="s">
        <v>40</v>
      </c>
      <c r="G1742" t="s">
        <v>74</v>
      </c>
      <c r="H1742" t="s">
        <v>34</v>
      </c>
      <c r="I1742" t="s">
        <v>55</v>
      </c>
      <c r="J1742" t="s">
        <v>26</v>
      </c>
      <c r="K1742" t="s">
        <v>44</v>
      </c>
      <c r="L1742" t="s">
        <v>28</v>
      </c>
      <c r="M1742" s="4">
        <v>24</v>
      </c>
      <c r="N1742" s="4">
        <v>7</v>
      </c>
      <c r="O1742" t="s">
        <v>29</v>
      </c>
      <c r="P1742" t="s">
        <v>36</v>
      </c>
      <c r="Q1742" s="4">
        <v>452957</v>
      </c>
      <c r="R1742" s="4">
        <v>234987</v>
      </c>
      <c r="S1742" s="4">
        <f>Table1[[#This Row],[Service_Revenue]]-Table1[[#This Row],[Service_Cost]]</f>
        <v>217970</v>
      </c>
      <c r="T1742" s="4">
        <v>1</v>
      </c>
      <c r="U1742" s="4">
        <f>IF(AND(Table1[[#This Row],[Rework_Flag]]="Yes",Table1[[#This Row],[Warranty_Claim]]="No"),Table1[[#This Row],[Service_Revenue]],0)</f>
        <v>452957</v>
      </c>
      <c r="V1742" s="4">
        <f>IF(Table1[[#This Row],[Warranty_Claim]]="Yes",1,0)</f>
        <v>0</v>
      </c>
      <c r="W1742" s="4">
        <f>IF(Table1[[#This Row],[Rework_Flag]]="No",1,0)</f>
        <v>0</v>
      </c>
      <c r="X1742" s="4">
        <f>IF(Table1[[#This Row],[Rework_Flag]]="Yes",1,0)</f>
        <v>1</v>
      </c>
      <c r="Y1742" s="4">
        <v>1</v>
      </c>
      <c r="Z1742" s="4" t="str">
        <f>IF(Table1[[#This Row],[TAT_Days]]&gt;Table1[[#This Row],[SLA_TAT]],"Yes","No")</f>
        <v>Yes</v>
      </c>
      <c r="AA1742" s="4" t="str" cm="1">
        <f t="array" ref="AA1742">_xlfn.IFS(Table1[[#This Row],[Customer_Satisfaction]]&lt;=2,"Poor",Table1[[#This Row],[Customer_Satisfaction]]=3,"Neutral",Table1[[#This Row],[Customer_Satisfaction]]=4,"Good",Table1[[#This Row],[Customer_Satisfaction]]=5,"Good")</f>
        <v>Poor</v>
      </c>
    </row>
    <row r="1743" spans="1:27" x14ac:dyDescent="0.35">
      <c r="A1743">
        <v>21741</v>
      </c>
      <c r="B1743" s="1">
        <v>45417</v>
      </c>
      <c r="C1743" t="s">
        <v>50</v>
      </c>
      <c r="D1743" t="s">
        <v>51</v>
      </c>
      <c r="E1743" t="s">
        <v>113</v>
      </c>
      <c r="F1743" t="s">
        <v>22</v>
      </c>
      <c r="G1743" t="s">
        <v>33</v>
      </c>
      <c r="H1743" t="s">
        <v>34</v>
      </c>
      <c r="I1743" t="s">
        <v>55</v>
      </c>
      <c r="J1743" t="s">
        <v>26</v>
      </c>
      <c r="K1743" t="s">
        <v>27</v>
      </c>
      <c r="L1743" t="s">
        <v>28</v>
      </c>
      <c r="M1743" s="4">
        <v>22</v>
      </c>
      <c r="N1743" s="4">
        <v>7</v>
      </c>
      <c r="O1743" t="s">
        <v>29</v>
      </c>
      <c r="P1743" t="s">
        <v>29</v>
      </c>
      <c r="Q1743" s="4">
        <v>251586</v>
      </c>
      <c r="R1743" s="4">
        <v>195474</v>
      </c>
      <c r="S1743" s="4">
        <f>Table1[[#This Row],[Service_Revenue]]-Table1[[#This Row],[Service_Cost]]</f>
        <v>56112</v>
      </c>
      <c r="T1743" s="4">
        <v>1</v>
      </c>
      <c r="U1743" s="4">
        <f>IF(AND(Table1[[#This Row],[Rework_Flag]]="Yes",Table1[[#This Row],[Warranty_Claim]]="No"),Table1[[#This Row],[Service_Revenue]],0)</f>
        <v>0</v>
      </c>
      <c r="V1743" s="4">
        <f>IF(Table1[[#This Row],[Warranty_Claim]]="Yes",1,0)</f>
        <v>1</v>
      </c>
      <c r="W1743" s="4">
        <f>IF(Table1[[#This Row],[Rework_Flag]]="No",1,0)</f>
        <v>0</v>
      </c>
      <c r="X1743" s="4">
        <f>IF(Table1[[#This Row],[Rework_Flag]]="Yes",1,0)</f>
        <v>1</v>
      </c>
      <c r="Y1743" s="4">
        <v>1</v>
      </c>
      <c r="Z1743" s="4" t="str">
        <f>IF(Table1[[#This Row],[TAT_Days]]&gt;Table1[[#This Row],[SLA_TAT]],"Yes","No")</f>
        <v>Yes</v>
      </c>
      <c r="AA1743" s="4" t="str" cm="1">
        <f t="array" ref="AA1743">_xlfn.IFS(Table1[[#This Row],[Customer_Satisfaction]]&lt;=2,"Poor",Table1[[#This Row],[Customer_Satisfaction]]=3,"Neutral",Table1[[#This Row],[Customer_Satisfaction]]=4,"Good",Table1[[#This Row],[Customer_Satisfaction]]=5,"Good")</f>
        <v>Poor</v>
      </c>
    </row>
    <row r="1744" spans="1:27" x14ac:dyDescent="0.35">
      <c r="A1744">
        <v>21742</v>
      </c>
      <c r="B1744" s="1">
        <v>45362</v>
      </c>
      <c r="C1744" t="s">
        <v>19</v>
      </c>
      <c r="D1744" t="s">
        <v>20</v>
      </c>
      <c r="E1744" t="s">
        <v>89</v>
      </c>
      <c r="F1744" t="s">
        <v>22</v>
      </c>
      <c r="G1744" t="s">
        <v>33</v>
      </c>
      <c r="H1744" t="s">
        <v>34</v>
      </c>
      <c r="I1744" t="s">
        <v>25</v>
      </c>
      <c r="J1744" t="s">
        <v>67</v>
      </c>
      <c r="K1744" t="s">
        <v>27</v>
      </c>
      <c r="L1744" t="s">
        <v>28</v>
      </c>
      <c r="M1744" s="4">
        <v>9</v>
      </c>
      <c r="N1744" s="4">
        <v>7</v>
      </c>
      <c r="O1744" t="s">
        <v>36</v>
      </c>
      <c r="P1744" t="s">
        <v>36</v>
      </c>
      <c r="Q1744" s="4">
        <v>544836</v>
      </c>
      <c r="R1744" s="4">
        <v>426066</v>
      </c>
      <c r="S1744" s="4">
        <f>Table1[[#This Row],[Service_Revenue]]-Table1[[#This Row],[Service_Cost]]</f>
        <v>118770</v>
      </c>
      <c r="T1744" s="4">
        <v>4</v>
      </c>
      <c r="U1744" s="4">
        <f>IF(AND(Table1[[#This Row],[Rework_Flag]]="Yes",Table1[[#This Row],[Warranty_Claim]]="No"),Table1[[#This Row],[Service_Revenue]],0)</f>
        <v>0</v>
      </c>
      <c r="V1744" s="4">
        <f>IF(Table1[[#This Row],[Warranty_Claim]]="Yes",1,0)</f>
        <v>0</v>
      </c>
      <c r="W1744" s="4">
        <f>IF(Table1[[#This Row],[Rework_Flag]]="No",1,0)</f>
        <v>1</v>
      </c>
      <c r="X1744" s="4">
        <f>IF(Table1[[#This Row],[Rework_Flag]]="Yes",1,0)</f>
        <v>0</v>
      </c>
      <c r="Y1744" s="4">
        <v>1</v>
      </c>
      <c r="Z1744" s="4" t="str">
        <f>IF(Table1[[#This Row],[TAT_Days]]&gt;Table1[[#This Row],[SLA_TAT]],"Yes","No")</f>
        <v>Yes</v>
      </c>
      <c r="AA1744" s="4" t="str" cm="1">
        <f t="array" ref="AA1744">_xlfn.IFS(Table1[[#This Row],[Customer_Satisfaction]]&lt;=2,"Poor",Table1[[#This Row],[Customer_Satisfaction]]=3,"Neutral",Table1[[#This Row],[Customer_Satisfaction]]=4,"Good",Table1[[#This Row],[Customer_Satisfaction]]=5,"Good")</f>
        <v>Good</v>
      </c>
    </row>
    <row r="1745" spans="1:27" x14ac:dyDescent="0.35">
      <c r="A1745">
        <v>21743</v>
      </c>
      <c r="B1745" s="1">
        <v>45359</v>
      </c>
      <c r="C1745" t="s">
        <v>19</v>
      </c>
      <c r="D1745" t="s">
        <v>45</v>
      </c>
      <c r="E1745" t="s">
        <v>76</v>
      </c>
      <c r="F1745" t="s">
        <v>53</v>
      </c>
      <c r="G1745" t="s">
        <v>63</v>
      </c>
      <c r="H1745" t="s">
        <v>24</v>
      </c>
      <c r="I1745" t="s">
        <v>25</v>
      </c>
      <c r="J1745" t="s">
        <v>67</v>
      </c>
      <c r="K1745" t="s">
        <v>61</v>
      </c>
      <c r="L1745" t="s">
        <v>28</v>
      </c>
      <c r="M1745" s="4">
        <v>25</v>
      </c>
      <c r="N1745" s="4">
        <v>7</v>
      </c>
      <c r="O1745" t="s">
        <v>36</v>
      </c>
      <c r="P1745" t="s">
        <v>36</v>
      </c>
      <c r="Q1745" s="4">
        <v>299994</v>
      </c>
      <c r="R1745" s="4">
        <v>154909</v>
      </c>
      <c r="S1745" s="4">
        <f>Table1[[#This Row],[Service_Revenue]]-Table1[[#This Row],[Service_Cost]]</f>
        <v>145085</v>
      </c>
      <c r="T1745" s="4">
        <v>1</v>
      </c>
      <c r="U1745" s="4">
        <f>IF(AND(Table1[[#This Row],[Rework_Flag]]="Yes",Table1[[#This Row],[Warranty_Claim]]="No"),Table1[[#This Row],[Service_Revenue]],0)</f>
        <v>0</v>
      </c>
      <c r="V1745" s="4">
        <f>IF(Table1[[#This Row],[Warranty_Claim]]="Yes",1,0)</f>
        <v>0</v>
      </c>
      <c r="W1745" s="4">
        <f>IF(Table1[[#This Row],[Rework_Flag]]="No",1,0)</f>
        <v>1</v>
      </c>
      <c r="X1745" s="4">
        <f>IF(Table1[[#This Row],[Rework_Flag]]="Yes",1,0)</f>
        <v>0</v>
      </c>
      <c r="Y1745" s="4">
        <v>1</v>
      </c>
      <c r="Z1745" s="4" t="str">
        <f>IF(Table1[[#This Row],[TAT_Days]]&gt;Table1[[#This Row],[SLA_TAT]],"Yes","No")</f>
        <v>Yes</v>
      </c>
      <c r="AA1745" s="4" t="str" cm="1">
        <f t="array" ref="AA1745">_xlfn.IFS(Table1[[#This Row],[Customer_Satisfaction]]&lt;=2,"Poor",Table1[[#This Row],[Customer_Satisfaction]]=3,"Neutral",Table1[[#This Row],[Customer_Satisfaction]]=4,"Good",Table1[[#This Row],[Customer_Satisfaction]]=5,"Good")</f>
        <v>Poor</v>
      </c>
    </row>
    <row r="1746" spans="1:27" x14ac:dyDescent="0.35">
      <c r="A1746">
        <v>21744</v>
      </c>
      <c r="B1746" s="1">
        <v>45404</v>
      </c>
      <c r="C1746" t="s">
        <v>37</v>
      </c>
      <c r="D1746" t="s">
        <v>70</v>
      </c>
      <c r="E1746" t="s">
        <v>116</v>
      </c>
      <c r="F1746" t="s">
        <v>40</v>
      </c>
      <c r="G1746" t="s">
        <v>63</v>
      </c>
      <c r="H1746" t="s">
        <v>24</v>
      </c>
      <c r="I1746" t="s">
        <v>55</v>
      </c>
      <c r="J1746" t="s">
        <v>35</v>
      </c>
      <c r="K1746" t="s">
        <v>44</v>
      </c>
      <c r="L1746" t="s">
        <v>28</v>
      </c>
      <c r="M1746" s="4">
        <v>11</v>
      </c>
      <c r="N1746" s="4">
        <v>7</v>
      </c>
      <c r="O1746" t="s">
        <v>36</v>
      </c>
      <c r="P1746" t="s">
        <v>29</v>
      </c>
      <c r="Q1746" s="4">
        <v>536345</v>
      </c>
      <c r="R1746" s="4">
        <v>291123</v>
      </c>
      <c r="S1746" s="4">
        <f>Table1[[#This Row],[Service_Revenue]]-Table1[[#This Row],[Service_Cost]]</f>
        <v>245222</v>
      </c>
      <c r="T1746" s="4">
        <v>3</v>
      </c>
      <c r="U1746" s="4">
        <f>IF(AND(Table1[[#This Row],[Rework_Flag]]="Yes",Table1[[#This Row],[Warranty_Claim]]="No"),Table1[[#This Row],[Service_Revenue]],0)</f>
        <v>0</v>
      </c>
      <c r="V1746" s="4">
        <f>IF(Table1[[#This Row],[Warranty_Claim]]="Yes",1,0)</f>
        <v>1</v>
      </c>
      <c r="W1746" s="4">
        <f>IF(Table1[[#This Row],[Rework_Flag]]="No",1,0)</f>
        <v>1</v>
      </c>
      <c r="X1746" s="4">
        <f>IF(Table1[[#This Row],[Rework_Flag]]="Yes",1,0)</f>
        <v>0</v>
      </c>
      <c r="Y1746" s="4">
        <v>1</v>
      </c>
      <c r="Z1746" s="4" t="str">
        <f>IF(Table1[[#This Row],[TAT_Days]]&gt;Table1[[#This Row],[SLA_TAT]],"Yes","No")</f>
        <v>Yes</v>
      </c>
      <c r="AA1746" s="4" t="str" cm="1">
        <f t="array" ref="AA1746">_xlfn.IFS(Table1[[#This Row],[Customer_Satisfaction]]&lt;=2,"Poor",Table1[[#This Row],[Customer_Satisfaction]]=3,"Neutral",Table1[[#This Row],[Customer_Satisfaction]]=4,"Good",Table1[[#This Row],[Customer_Satisfaction]]=5,"Good")</f>
        <v>Neutral</v>
      </c>
    </row>
    <row r="1747" spans="1:27" x14ac:dyDescent="0.35">
      <c r="A1747">
        <v>21745</v>
      </c>
      <c r="B1747" s="1">
        <v>45455</v>
      </c>
      <c r="C1747" t="s">
        <v>50</v>
      </c>
      <c r="D1747" t="s">
        <v>51</v>
      </c>
      <c r="E1747" t="s">
        <v>52</v>
      </c>
      <c r="F1747" t="s">
        <v>53</v>
      </c>
      <c r="G1747" t="s">
        <v>54</v>
      </c>
      <c r="H1747" t="s">
        <v>42</v>
      </c>
      <c r="I1747" t="s">
        <v>55</v>
      </c>
      <c r="J1747" t="s">
        <v>58</v>
      </c>
      <c r="K1747" t="s">
        <v>44</v>
      </c>
      <c r="L1747" t="s">
        <v>28</v>
      </c>
      <c r="M1747" s="4">
        <v>8</v>
      </c>
      <c r="N1747" s="4">
        <v>7</v>
      </c>
      <c r="O1747" t="s">
        <v>36</v>
      </c>
      <c r="P1747" t="s">
        <v>29</v>
      </c>
      <c r="Q1747" s="4">
        <v>381261</v>
      </c>
      <c r="R1747" s="4">
        <v>254495</v>
      </c>
      <c r="S1747" s="4">
        <f>Table1[[#This Row],[Service_Revenue]]-Table1[[#This Row],[Service_Cost]]</f>
        <v>126766</v>
      </c>
      <c r="T1747" s="4">
        <v>4</v>
      </c>
      <c r="U1747" s="4">
        <f>IF(AND(Table1[[#This Row],[Rework_Flag]]="Yes",Table1[[#This Row],[Warranty_Claim]]="No"),Table1[[#This Row],[Service_Revenue]],0)</f>
        <v>0</v>
      </c>
      <c r="V1747" s="4">
        <f>IF(Table1[[#This Row],[Warranty_Claim]]="Yes",1,0)</f>
        <v>1</v>
      </c>
      <c r="W1747" s="4">
        <f>IF(Table1[[#This Row],[Rework_Flag]]="No",1,0)</f>
        <v>1</v>
      </c>
      <c r="X1747" s="4">
        <f>IF(Table1[[#This Row],[Rework_Flag]]="Yes",1,0)</f>
        <v>0</v>
      </c>
      <c r="Y1747" s="4">
        <v>1</v>
      </c>
      <c r="Z1747" s="4" t="str">
        <f>IF(Table1[[#This Row],[TAT_Days]]&gt;Table1[[#This Row],[SLA_TAT]],"Yes","No")</f>
        <v>Yes</v>
      </c>
      <c r="AA1747" s="4" t="str" cm="1">
        <f t="array" ref="AA1747">_xlfn.IFS(Table1[[#This Row],[Customer_Satisfaction]]&lt;=2,"Poor",Table1[[#This Row],[Customer_Satisfaction]]=3,"Neutral",Table1[[#This Row],[Customer_Satisfaction]]=4,"Good",Table1[[#This Row],[Customer_Satisfaction]]=5,"Good")</f>
        <v>Good</v>
      </c>
    </row>
    <row r="1748" spans="1:27" x14ac:dyDescent="0.35">
      <c r="A1748">
        <v>21746</v>
      </c>
      <c r="B1748" s="1">
        <v>45320</v>
      </c>
      <c r="C1748" t="s">
        <v>50</v>
      </c>
      <c r="D1748" t="s">
        <v>51</v>
      </c>
      <c r="E1748" t="s">
        <v>73</v>
      </c>
      <c r="F1748" t="s">
        <v>53</v>
      </c>
      <c r="G1748" t="s">
        <v>41</v>
      </c>
      <c r="H1748" t="s">
        <v>42</v>
      </c>
      <c r="I1748" t="s">
        <v>25</v>
      </c>
      <c r="J1748" t="s">
        <v>67</v>
      </c>
      <c r="K1748" t="s">
        <v>27</v>
      </c>
      <c r="L1748" t="s">
        <v>28</v>
      </c>
      <c r="M1748" s="4">
        <v>4</v>
      </c>
      <c r="N1748" s="4">
        <v>7</v>
      </c>
      <c r="O1748" t="s">
        <v>36</v>
      </c>
      <c r="P1748" t="s">
        <v>36</v>
      </c>
      <c r="Q1748" s="4">
        <v>308483</v>
      </c>
      <c r="R1748" s="4">
        <v>178174</v>
      </c>
      <c r="S1748" s="4">
        <f>Table1[[#This Row],[Service_Revenue]]-Table1[[#This Row],[Service_Cost]]</f>
        <v>130309</v>
      </c>
      <c r="T1748" s="4">
        <v>5</v>
      </c>
      <c r="U1748" s="4">
        <f>IF(AND(Table1[[#This Row],[Rework_Flag]]="Yes",Table1[[#This Row],[Warranty_Claim]]="No"),Table1[[#This Row],[Service_Revenue]],0)</f>
        <v>0</v>
      </c>
      <c r="V1748" s="4">
        <f>IF(Table1[[#This Row],[Warranty_Claim]]="Yes",1,0)</f>
        <v>0</v>
      </c>
      <c r="W1748" s="4">
        <f>IF(Table1[[#This Row],[Rework_Flag]]="No",1,0)</f>
        <v>1</v>
      </c>
      <c r="X1748" s="4">
        <f>IF(Table1[[#This Row],[Rework_Flag]]="Yes",1,0)</f>
        <v>0</v>
      </c>
      <c r="Y1748" s="4">
        <v>1</v>
      </c>
      <c r="Z1748" s="4" t="str">
        <f>IF(Table1[[#This Row],[TAT_Days]]&gt;Table1[[#This Row],[SLA_TAT]],"Yes","No")</f>
        <v>No</v>
      </c>
      <c r="AA1748" s="4" t="str" cm="1">
        <f t="array" ref="AA1748">_xlfn.IFS(Table1[[#This Row],[Customer_Satisfaction]]&lt;=2,"Poor",Table1[[#This Row],[Customer_Satisfaction]]=3,"Neutral",Table1[[#This Row],[Customer_Satisfaction]]=4,"Good",Table1[[#This Row],[Customer_Satisfaction]]=5,"Good")</f>
        <v>Good</v>
      </c>
    </row>
    <row r="1749" spans="1:27" x14ac:dyDescent="0.35">
      <c r="A1749">
        <v>21747</v>
      </c>
      <c r="B1749" s="1">
        <v>45393</v>
      </c>
      <c r="C1749" t="s">
        <v>30</v>
      </c>
      <c r="D1749" t="s">
        <v>59</v>
      </c>
      <c r="E1749" t="s">
        <v>78</v>
      </c>
      <c r="F1749" t="s">
        <v>40</v>
      </c>
      <c r="G1749" t="s">
        <v>33</v>
      </c>
      <c r="H1749" t="s">
        <v>34</v>
      </c>
      <c r="I1749" t="s">
        <v>25</v>
      </c>
      <c r="J1749" t="s">
        <v>67</v>
      </c>
      <c r="K1749" t="s">
        <v>61</v>
      </c>
      <c r="L1749" t="s">
        <v>49</v>
      </c>
      <c r="M1749" s="4">
        <v>17</v>
      </c>
      <c r="N1749" s="4">
        <v>7</v>
      </c>
      <c r="O1749" t="s">
        <v>36</v>
      </c>
      <c r="P1749" t="s">
        <v>36</v>
      </c>
      <c r="Q1749" s="4">
        <v>263079</v>
      </c>
      <c r="R1749" s="4">
        <v>162106</v>
      </c>
      <c r="S1749" s="4">
        <f>Table1[[#This Row],[Service_Revenue]]-Table1[[#This Row],[Service_Cost]]</f>
        <v>100973</v>
      </c>
      <c r="T1749" s="4">
        <v>2</v>
      </c>
      <c r="U1749" s="4">
        <f>IF(AND(Table1[[#This Row],[Rework_Flag]]="Yes",Table1[[#This Row],[Warranty_Claim]]="No"),Table1[[#This Row],[Service_Revenue]],0)</f>
        <v>0</v>
      </c>
      <c r="V1749" s="4">
        <f>IF(Table1[[#This Row],[Warranty_Claim]]="Yes",1,0)</f>
        <v>0</v>
      </c>
      <c r="W1749" s="4">
        <f>IF(Table1[[#This Row],[Rework_Flag]]="No",1,0)</f>
        <v>1</v>
      </c>
      <c r="X1749" s="4">
        <f>IF(Table1[[#This Row],[Rework_Flag]]="Yes",1,0)</f>
        <v>0</v>
      </c>
      <c r="Y1749" s="4">
        <v>1</v>
      </c>
      <c r="Z1749" s="4" t="str">
        <f>IF(Table1[[#This Row],[TAT_Days]]&gt;Table1[[#This Row],[SLA_TAT]],"Yes","No")</f>
        <v>Yes</v>
      </c>
      <c r="AA1749" s="4" t="str" cm="1">
        <f t="array" ref="AA1749">_xlfn.IFS(Table1[[#This Row],[Customer_Satisfaction]]&lt;=2,"Poor",Table1[[#This Row],[Customer_Satisfaction]]=3,"Neutral",Table1[[#This Row],[Customer_Satisfaction]]=4,"Good",Table1[[#This Row],[Customer_Satisfaction]]=5,"Good")</f>
        <v>Poor</v>
      </c>
    </row>
    <row r="1750" spans="1:27" x14ac:dyDescent="0.35">
      <c r="A1750">
        <v>21748</v>
      </c>
      <c r="B1750" s="1">
        <v>45370</v>
      </c>
      <c r="C1750" t="s">
        <v>19</v>
      </c>
      <c r="D1750" t="s">
        <v>45</v>
      </c>
      <c r="E1750" t="s">
        <v>46</v>
      </c>
      <c r="F1750" t="s">
        <v>22</v>
      </c>
      <c r="G1750" t="s">
        <v>47</v>
      </c>
      <c r="H1750" t="s">
        <v>48</v>
      </c>
      <c r="I1750" t="s">
        <v>55</v>
      </c>
      <c r="J1750" t="s">
        <v>26</v>
      </c>
      <c r="K1750" t="s">
        <v>27</v>
      </c>
      <c r="L1750" t="s">
        <v>49</v>
      </c>
      <c r="M1750" s="4">
        <v>14</v>
      </c>
      <c r="N1750" s="4">
        <v>7</v>
      </c>
      <c r="O1750" t="s">
        <v>29</v>
      </c>
      <c r="P1750" t="s">
        <v>36</v>
      </c>
      <c r="Q1750" s="4">
        <v>142677</v>
      </c>
      <c r="R1750" s="4">
        <v>99333</v>
      </c>
      <c r="S1750" s="4">
        <f>Table1[[#This Row],[Service_Revenue]]-Table1[[#This Row],[Service_Cost]]</f>
        <v>43344</v>
      </c>
      <c r="T1750" s="4">
        <v>2</v>
      </c>
      <c r="U1750" s="4">
        <f>IF(AND(Table1[[#This Row],[Rework_Flag]]="Yes",Table1[[#This Row],[Warranty_Claim]]="No"),Table1[[#This Row],[Service_Revenue]],0)</f>
        <v>142677</v>
      </c>
      <c r="V1750" s="4">
        <f>IF(Table1[[#This Row],[Warranty_Claim]]="Yes",1,0)</f>
        <v>0</v>
      </c>
      <c r="W1750" s="4">
        <f>IF(Table1[[#This Row],[Rework_Flag]]="No",1,0)</f>
        <v>0</v>
      </c>
      <c r="X1750" s="4">
        <f>IF(Table1[[#This Row],[Rework_Flag]]="Yes",1,0)</f>
        <v>1</v>
      </c>
      <c r="Y1750" s="4">
        <v>1</v>
      </c>
      <c r="Z1750" s="4" t="str">
        <f>IF(Table1[[#This Row],[TAT_Days]]&gt;Table1[[#This Row],[SLA_TAT]],"Yes","No")</f>
        <v>Yes</v>
      </c>
      <c r="AA1750" s="4" t="str" cm="1">
        <f t="array" ref="AA1750">_xlfn.IFS(Table1[[#This Row],[Customer_Satisfaction]]&lt;=2,"Poor",Table1[[#This Row],[Customer_Satisfaction]]=3,"Neutral",Table1[[#This Row],[Customer_Satisfaction]]=4,"Good",Table1[[#This Row],[Customer_Satisfaction]]=5,"Good")</f>
        <v>Poor</v>
      </c>
    </row>
    <row r="1751" spans="1:27" x14ac:dyDescent="0.35">
      <c r="A1751">
        <v>21749</v>
      </c>
      <c r="B1751" s="1">
        <v>45294</v>
      </c>
      <c r="C1751" t="s">
        <v>30</v>
      </c>
      <c r="D1751" t="s">
        <v>83</v>
      </c>
      <c r="E1751" t="s">
        <v>95</v>
      </c>
      <c r="F1751" t="s">
        <v>22</v>
      </c>
      <c r="G1751" t="s">
        <v>63</v>
      </c>
      <c r="H1751" t="s">
        <v>24</v>
      </c>
      <c r="I1751" t="s">
        <v>25</v>
      </c>
      <c r="J1751" t="s">
        <v>58</v>
      </c>
      <c r="K1751" t="s">
        <v>27</v>
      </c>
      <c r="L1751" t="s">
        <v>28</v>
      </c>
      <c r="M1751" s="4">
        <v>20</v>
      </c>
      <c r="N1751" s="4">
        <v>7</v>
      </c>
      <c r="O1751" t="s">
        <v>29</v>
      </c>
      <c r="P1751" t="s">
        <v>36</v>
      </c>
      <c r="Q1751" s="4">
        <v>543736</v>
      </c>
      <c r="R1751" s="4">
        <v>359943</v>
      </c>
      <c r="S1751" s="4">
        <f>Table1[[#This Row],[Service_Revenue]]-Table1[[#This Row],[Service_Cost]]</f>
        <v>183793</v>
      </c>
      <c r="T1751" s="4">
        <v>1</v>
      </c>
      <c r="U1751" s="4">
        <f>IF(AND(Table1[[#This Row],[Rework_Flag]]="Yes",Table1[[#This Row],[Warranty_Claim]]="No"),Table1[[#This Row],[Service_Revenue]],0)</f>
        <v>543736</v>
      </c>
      <c r="V1751" s="4">
        <f>IF(Table1[[#This Row],[Warranty_Claim]]="Yes",1,0)</f>
        <v>0</v>
      </c>
      <c r="W1751" s="4">
        <f>IF(Table1[[#This Row],[Rework_Flag]]="No",1,0)</f>
        <v>0</v>
      </c>
      <c r="X1751" s="4">
        <f>IF(Table1[[#This Row],[Rework_Flag]]="Yes",1,0)</f>
        <v>1</v>
      </c>
      <c r="Y1751" s="4">
        <v>1</v>
      </c>
      <c r="Z1751" s="4" t="str">
        <f>IF(Table1[[#This Row],[TAT_Days]]&gt;Table1[[#This Row],[SLA_TAT]],"Yes","No")</f>
        <v>Yes</v>
      </c>
      <c r="AA1751" s="4" t="str" cm="1">
        <f t="array" ref="AA1751">_xlfn.IFS(Table1[[#This Row],[Customer_Satisfaction]]&lt;=2,"Poor",Table1[[#This Row],[Customer_Satisfaction]]=3,"Neutral",Table1[[#This Row],[Customer_Satisfaction]]=4,"Good",Table1[[#This Row],[Customer_Satisfaction]]=5,"Good")</f>
        <v>Poor</v>
      </c>
    </row>
    <row r="1752" spans="1:27" x14ac:dyDescent="0.35">
      <c r="A1752">
        <v>21750</v>
      </c>
      <c r="B1752" s="1">
        <v>45392</v>
      </c>
      <c r="C1752" t="s">
        <v>37</v>
      </c>
      <c r="D1752" t="s">
        <v>64</v>
      </c>
      <c r="E1752" t="s">
        <v>87</v>
      </c>
      <c r="F1752" t="s">
        <v>53</v>
      </c>
      <c r="G1752" t="s">
        <v>54</v>
      </c>
      <c r="H1752" t="s">
        <v>42</v>
      </c>
      <c r="I1752" t="s">
        <v>55</v>
      </c>
      <c r="J1752" t="s">
        <v>58</v>
      </c>
      <c r="K1752" t="s">
        <v>61</v>
      </c>
      <c r="L1752" t="s">
        <v>49</v>
      </c>
      <c r="M1752" s="4">
        <v>10</v>
      </c>
      <c r="N1752" s="4">
        <v>7</v>
      </c>
      <c r="O1752" t="s">
        <v>36</v>
      </c>
      <c r="P1752" t="s">
        <v>29</v>
      </c>
      <c r="Q1752" s="4">
        <v>499541</v>
      </c>
      <c r="R1752" s="4">
        <v>420650</v>
      </c>
      <c r="S1752" s="4">
        <f>Table1[[#This Row],[Service_Revenue]]-Table1[[#This Row],[Service_Cost]]</f>
        <v>78891</v>
      </c>
      <c r="T1752" s="4">
        <v>3</v>
      </c>
      <c r="U1752" s="4">
        <f>IF(AND(Table1[[#This Row],[Rework_Flag]]="Yes",Table1[[#This Row],[Warranty_Claim]]="No"),Table1[[#This Row],[Service_Revenue]],0)</f>
        <v>0</v>
      </c>
      <c r="V1752" s="4">
        <f>IF(Table1[[#This Row],[Warranty_Claim]]="Yes",1,0)</f>
        <v>1</v>
      </c>
      <c r="W1752" s="4">
        <f>IF(Table1[[#This Row],[Rework_Flag]]="No",1,0)</f>
        <v>1</v>
      </c>
      <c r="X1752" s="4">
        <f>IF(Table1[[#This Row],[Rework_Flag]]="Yes",1,0)</f>
        <v>0</v>
      </c>
      <c r="Y1752" s="4">
        <v>1</v>
      </c>
      <c r="Z1752" s="4" t="str">
        <f>IF(Table1[[#This Row],[TAT_Days]]&gt;Table1[[#This Row],[SLA_TAT]],"Yes","No")</f>
        <v>Yes</v>
      </c>
      <c r="AA1752" s="4" t="str" cm="1">
        <f t="array" ref="AA1752">_xlfn.IFS(Table1[[#This Row],[Customer_Satisfaction]]&lt;=2,"Poor",Table1[[#This Row],[Customer_Satisfaction]]=3,"Neutral",Table1[[#This Row],[Customer_Satisfaction]]=4,"Good",Table1[[#This Row],[Customer_Satisfaction]]=5,"Good")</f>
        <v>Neutral</v>
      </c>
    </row>
    <row r="1753" spans="1:27" x14ac:dyDescent="0.35">
      <c r="A1753">
        <v>21751</v>
      </c>
      <c r="B1753" s="1">
        <v>45297</v>
      </c>
      <c r="C1753" t="s">
        <v>30</v>
      </c>
      <c r="D1753" t="s">
        <v>83</v>
      </c>
      <c r="E1753" t="s">
        <v>92</v>
      </c>
      <c r="F1753" t="s">
        <v>40</v>
      </c>
      <c r="G1753" t="s">
        <v>47</v>
      </c>
      <c r="H1753" t="s">
        <v>48</v>
      </c>
      <c r="I1753" t="s">
        <v>55</v>
      </c>
      <c r="J1753" t="s">
        <v>35</v>
      </c>
      <c r="K1753" t="s">
        <v>44</v>
      </c>
      <c r="L1753" t="s">
        <v>28</v>
      </c>
      <c r="M1753" s="4">
        <v>13</v>
      </c>
      <c r="N1753" s="4">
        <v>7</v>
      </c>
      <c r="O1753" t="s">
        <v>29</v>
      </c>
      <c r="P1753" t="s">
        <v>29</v>
      </c>
      <c r="Q1753" s="4">
        <v>346157</v>
      </c>
      <c r="R1753" s="4">
        <v>285343</v>
      </c>
      <c r="S1753" s="4">
        <f>Table1[[#This Row],[Service_Revenue]]-Table1[[#This Row],[Service_Cost]]</f>
        <v>60814</v>
      </c>
      <c r="T1753" s="4">
        <v>2</v>
      </c>
      <c r="U1753" s="4">
        <f>IF(AND(Table1[[#This Row],[Rework_Flag]]="Yes",Table1[[#This Row],[Warranty_Claim]]="No"),Table1[[#This Row],[Service_Revenue]],0)</f>
        <v>0</v>
      </c>
      <c r="V1753" s="4">
        <f>IF(Table1[[#This Row],[Warranty_Claim]]="Yes",1,0)</f>
        <v>1</v>
      </c>
      <c r="W1753" s="4">
        <f>IF(Table1[[#This Row],[Rework_Flag]]="No",1,0)</f>
        <v>0</v>
      </c>
      <c r="X1753" s="4">
        <f>IF(Table1[[#This Row],[Rework_Flag]]="Yes",1,0)</f>
        <v>1</v>
      </c>
      <c r="Y1753" s="4">
        <v>1</v>
      </c>
      <c r="Z1753" s="4" t="str">
        <f>IF(Table1[[#This Row],[TAT_Days]]&gt;Table1[[#This Row],[SLA_TAT]],"Yes","No")</f>
        <v>Yes</v>
      </c>
      <c r="AA1753" s="4" t="str" cm="1">
        <f t="array" ref="AA1753">_xlfn.IFS(Table1[[#This Row],[Customer_Satisfaction]]&lt;=2,"Poor",Table1[[#This Row],[Customer_Satisfaction]]=3,"Neutral",Table1[[#This Row],[Customer_Satisfaction]]=4,"Good",Table1[[#This Row],[Customer_Satisfaction]]=5,"Good")</f>
        <v>Poor</v>
      </c>
    </row>
    <row r="1754" spans="1:27" x14ac:dyDescent="0.35">
      <c r="A1754">
        <v>21752</v>
      </c>
      <c r="B1754" s="1">
        <v>45380</v>
      </c>
      <c r="C1754" t="s">
        <v>37</v>
      </c>
      <c r="D1754" t="s">
        <v>70</v>
      </c>
      <c r="E1754" t="s">
        <v>71</v>
      </c>
      <c r="F1754" t="s">
        <v>53</v>
      </c>
      <c r="G1754" t="s">
        <v>63</v>
      </c>
      <c r="H1754" t="s">
        <v>24</v>
      </c>
      <c r="I1754" t="s">
        <v>25</v>
      </c>
      <c r="J1754" t="s">
        <v>26</v>
      </c>
      <c r="K1754" t="s">
        <v>44</v>
      </c>
      <c r="L1754" t="s">
        <v>28</v>
      </c>
      <c r="M1754" s="4">
        <v>22</v>
      </c>
      <c r="N1754" s="4">
        <v>7</v>
      </c>
      <c r="O1754" t="s">
        <v>36</v>
      </c>
      <c r="P1754" t="s">
        <v>36</v>
      </c>
      <c r="Q1754" s="4">
        <v>489207</v>
      </c>
      <c r="R1754" s="4">
        <v>259651</v>
      </c>
      <c r="S1754" s="4">
        <f>Table1[[#This Row],[Service_Revenue]]-Table1[[#This Row],[Service_Cost]]</f>
        <v>229556</v>
      </c>
      <c r="T1754" s="4">
        <v>1</v>
      </c>
      <c r="U1754" s="4">
        <f>IF(AND(Table1[[#This Row],[Rework_Flag]]="Yes",Table1[[#This Row],[Warranty_Claim]]="No"),Table1[[#This Row],[Service_Revenue]],0)</f>
        <v>0</v>
      </c>
      <c r="V1754" s="4">
        <f>IF(Table1[[#This Row],[Warranty_Claim]]="Yes",1,0)</f>
        <v>0</v>
      </c>
      <c r="W1754" s="4">
        <f>IF(Table1[[#This Row],[Rework_Flag]]="No",1,0)</f>
        <v>1</v>
      </c>
      <c r="X1754" s="4">
        <f>IF(Table1[[#This Row],[Rework_Flag]]="Yes",1,0)</f>
        <v>0</v>
      </c>
      <c r="Y1754" s="4">
        <v>1</v>
      </c>
      <c r="Z1754" s="4" t="str">
        <f>IF(Table1[[#This Row],[TAT_Days]]&gt;Table1[[#This Row],[SLA_TAT]],"Yes","No")</f>
        <v>Yes</v>
      </c>
      <c r="AA1754" s="4" t="str" cm="1">
        <f t="array" ref="AA1754">_xlfn.IFS(Table1[[#This Row],[Customer_Satisfaction]]&lt;=2,"Poor",Table1[[#This Row],[Customer_Satisfaction]]=3,"Neutral",Table1[[#This Row],[Customer_Satisfaction]]=4,"Good",Table1[[#This Row],[Customer_Satisfaction]]=5,"Good")</f>
        <v>Poor</v>
      </c>
    </row>
    <row r="1755" spans="1:27" x14ac:dyDescent="0.35">
      <c r="A1755">
        <v>21753</v>
      </c>
      <c r="B1755" s="1">
        <v>45356</v>
      </c>
      <c r="C1755" t="s">
        <v>37</v>
      </c>
      <c r="D1755" t="s">
        <v>38</v>
      </c>
      <c r="E1755" t="s">
        <v>39</v>
      </c>
      <c r="F1755" t="s">
        <v>53</v>
      </c>
      <c r="G1755" t="s">
        <v>74</v>
      </c>
      <c r="H1755" t="s">
        <v>34</v>
      </c>
      <c r="I1755" t="s">
        <v>25</v>
      </c>
      <c r="J1755" t="s">
        <v>58</v>
      </c>
      <c r="K1755" t="s">
        <v>44</v>
      </c>
      <c r="L1755" t="s">
        <v>49</v>
      </c>
      <c r="M1755" s="4">
        <v>9</v>
      </c>
      <c r="N1755" s="4">
        <v>7</v>
      </c>
      <c r="O1755" t="s">
        <v>36</v>
      </c>
      <c r="P1755" t="s">
        <v>36</v>
      </c>
      <c r="Q1755" s="4">
        <v>249191</v>
      </c>
      <c r="R1755" s="4">
        <v>186353</v>
      </c>
      <c r="S1755" s="4">
        <f>Table1[[#This Row],[Service_Revenue]]-Table1[[#This Row],[Service_Cost]]</f>
        <v>62838</v>
      </c>
      <c r="T1755" s="4">
        <v>4</v>
      </c>
      <c r="U1755" s="4">
        <f>IF(AND(Table1[[#This Row],[Rework_Flag]]="Yes",Table1[[#This Row],[Warranty_Claim]]="No"),Table1[[#This Row],[Service_Revenue]],0)</f>
        <v>0</v>
      </c>
      <c r="V1755" s="4">
        <f>IF(Table1[[#This Row],[Warranty_Claim]]="Yes",1,0)</f>
        <v>0</v>
      </c>
      <c r="W1755" s="4">
        <f>IF(Table1[[#This Row],[Rework_Flag]]="No",1,0)</f>
        <v>1</v>
      </c>
      <c r="X1755" s="4">
        <f>IF(Table1[[#This Row],[Rework_Flag]]="Yes",1,0)</f>
        <v>0</v>
      </c>
      <c r="Y1755" s="4">
        <v>1</v>
      </c>
      <c r="Z1755" s="4" t="str">
        <f>IF(Table1[[#This Row],[TAT_Days]]&gt;Table1[[#This Row],[SLA_TAT]],"Yes","No")</f>
        <v>Yes</v>
      </c>
      <c r="AA1755" s="4" t="str" cm="1">
        <f t="array" ref="AA1755">_xlfn.IFS(Table1[[#This Row],[Customer_Satisfaction]]&lt;=2,"Poor",Table1[[#This Row],[Customer_Satisfaction]]=3,"Neutral",Table1[[#This Row],[Customer_Satisfaction]]=4,"Good",Table1[[#This Row],[Customer_Satisfaction]]=5,"Good")</f>
        <v>Good</v>
      </c>
    </row>
    <row r="1756" spans="1:27" x14ac:dyDescent="0.35">
      <c r="A1756">
        <v>21754</v>
      </c>
      <c r="B1756" s="1">
        <v>45424</v>
      </c>
      <c r="C1756" t="s">
        <v>37</v>
      </c>
      <c r="D1756" t="s">
        <v>38</v>
      </c>
      <c r="E1756" t="s">
        <v>39</v>
      </c>
      <c r="F1756" t="s">
        <v>22</v>
      </c>
      <c r="G1756" t="s">
        <v>23</v>
      </c>
      <c r="H1756" t="s">
        <v>24</v>
      </c>
      <c r="I1756" t="s">
        <v>55</v>
      </c>
      <c r="J1756" t="s">
        <v>58</v>
      </c>
      <c r="K1756" t="s">
        <v>61</v>
      </c>
      <c r="L1756" t="s">
        <v>28</v>
      </c>
      <c r="M1756" s="4">
        <v>25</v>
      </c>
      <c r="N1756" s="4">
        <v>7</v>
      </c>
      <c r="O1756" t="s">
        <v>36</v>
      </c>
      <c r="P1756" t="s">
        <v>36</v>
      </c>
      <c r="Q1756" s="4">
        <v>388972</v>
      </c>
      <c r="R1756" s="4">
        <v>280427</v>
      </c>
      <c r="S1756" s="4">
        <f>Table1[[#This Row],[Service_Revenue]]-Table1[[#This Row],[Service_Cost]]</f>
        <v>108545</v>
      </c>
      <c r="T1756" s="4">
        <v>1</v>
      </c>
      <c r="U1756" s="4">
        <f>IF(AND(Table1[[#This Row],[Rework_Flag]]="Yes",Table1[[#This Row],[Warranty_Claim]]="No"),Table1[[#This Row],[Service_Revenue]],0)</f>
        <v>0</v>
      </c>
      <c r="V1756" s="4">
        <f>IF(Table1[[#This Row],[Warranty_Claim]]="Yes",1,0)</f>
        <v>0</v>
      </c>
      <c r="W1756" s="4">
        <f>IF(Table1[[#This Row],[Rework_Flag]]="No",1,0)</f>
        <v>1</v>
      </c>
      <c r="X1756" s="4">
        <f>IF(Table1[[#This Row],[Rework_Flag]]="Yes",1,0)</f>
        <v>0</v>
      </c>
      <c r="Y1756" s="4">
        <v>1</v>
      </c>
      <c r="Z1756" s="4" t="str">
        <f>IF(Table1[[#This Row],[TAT_Days]]&gt;Table1[[#This Row],[SLA_TAT]],"Yes","No")</f>
        <v>Yes</v>
      </c>
      <c r="AA1756" s="4" t="str" cm="1">
        <f t="array" ref="AA1756">_xlfn.IFS(Table1[[#This Row],[Customer_Satisfaction]]&lt;=2,"Poor",Table1[[#This Row],[Customer_Satisfaction]]=3,"Neutral",Table1[[#This Row],[Customer_Satisfaction]]=4,"Good",Table1[[#This Row],[Customer_Satisfaction]]=5,"Good")</f>
        <v>Poor</v>
      </c>
    </row>
    <row r="1757" spans="1:27" x14ac:dyDescent="0.35">
      <c r="A1757">
        <v>21755</v>
      </c>
      <c r="B1757" s="1">
        <v>45294</v>
      </c>
      <c r="C1757" t="s">
        <v>50</v>
      </c>
      <c r="D1757" t="s">
        <v>51</v>
      </c>
      <c r="E1757" t="s">
        <v>120</v>
      </c>
      <c r="F1757" t="s">
        <v>53</v>
      </c>
      <c r="G1757" t="s">
        <v>41</v>
      </c>
      <c r="H1757" t="s">
        <v>42</v>
      </c>
      <c r="I1757" t="s">
        <v>25</v>
      </c>
      <c r="J1757" t="s">
        <v>43</v>
      </c>
      <c r="K1757" t="s">
        <v>61</v>
      </c>
      <c r="L1757" t="s">
        <v>28</v>
      </c>
      <c r="M1757" s="4">
        <v>3</v>
      </c>
      <c r="N1757" s="4">
        <v>7</v>
      </c>
      <c r="O1757" t="s">
        <v>36</v>
      </c>
      <c r="P1757" t="s">
        <v>36</v>
      </c>
      <c r="Q1757" s="4">
        <v>246277</v>
      </c>
      <c r="R1757" s="4">
        <v>132583</v>
      </c>
      <c r="S1757" s="4">
        <f>Table1[[#This Row],[Service_Revenue]]-Table1[[#This Row],[Service_Cost]]</f>
        <v>113694</v>
      </c>
      <c r="T1757" s="4">
        <v>5</v>
      </c>
      <c r="U1757" s="4">
        <f>IF(AND(Table1[[#This Row],[Rework_Flag]]="Yes",Table1[[#This Row],[Warranty_Claim]]="No"),Table1[[#This Row],[Service_Revenue]],0)</f>
        <v>0</v>
      </c>
      <c r="V1757" s="4">
        <f>IF(Table1[[#This Row],[Warranty_Claim]]="Yes",1,0)</f>
        <v>0</v>
      </c>
      <c r="W1757" s="4">
        <f>IF(Table1[[#This Row],[Rework_Flag]]="No",1,0)</f>
        <v>1</v>
      </c>
      <c r="X1757" s="4">
        <f>IF(Table1[[#This Row],[Rework_Flag]]="Yes",1,0)</f>
        <v>0</v>
      </c>
      <c r="Y1757" s="4">
        <v>1</v>
      </c>
      <c r="Z1757" s="4" t="str">
        <f>IF(Table1[[#This Row],[TAT_Days]]&gt;Table1[[#This Row],[SLA_TAT]],"Yes","No")</f>
        <v>No</v>
      </c>
      <c r="AA1757" s="4" t="str" cm="1">
        <f t="array" ref="AA1757">_xlfn.IFS(Table1[[#This Row],[Customer_Satisfaction]]&lt;=2,"Poor",Table1[[#This Row],[Customer_Satisfaction]]=3,"Neutral",Table1[[#This Row],[Customer_Satisfaction]]=4,"Good",Table1[[#This Row],[Customer_Satisfaction]]=5,"Good")</f>
        <v>Good</v>
      </c>
    </row>
    <row r="1758" spans="1:27" x14ac:dyDescent="0.35">
      <c r="A1758">
        <v>21756</v>
      </c>
      <c r="B1758" s="1">
        <v>45391</v>
      </c>
      <c r="C1758" t="s">
        <v>19</v>
      </c>
      <c r="D1758" t="s">
        <v>45</v>
      </c>
      <c r="E1758" t="s">
        <v>111</v>
      </c>
      <c r="F1758" t="s">
        <v>22</v>
      </c>
      <c r="G1758" t="s">
        <v>54</v>
      </c>
      <c r="H1758" t="s">
        <v>42</v>
      </c>
      <c r="I1758" t="s">
        <v>55</v>
      </c>
      <c r="J1758" t="s">
        <v>58</v>
      </c>
      <c r="K1758" t="s">
        <v>27</v>
      </c>
      <c r="L1758" t="s">
        <v>28</v>
      </c>
      <c r="M1758" s="4">
        <v>24</v>
      </c>
      <c r="N1758" s="4">
        <v>7</v>
      </c>
      <c r="O1758" t="s">
        <v>29</v>
      </c>
      <c r="P1758" t="s">
        <v>36</v>
      </c>
      <c r="Q1758" s="4">
        <v>460549</v>
      </c>
      <c r="R1758" s="4">
        <v>344998</v>
      </c>
      <c r="S1758" s="4">
        <f>Table1[[#This Row],[Service_Revenue]]-Table1[[#This Row],[Service_Cost]]</f>
        <v>115551</v>
      </c>
      <c r="T1758" s="4">
        <v>1</v>
      </c>
      <c r="U1758" s="4">
        <f>IF(AND(Table1[[#This Row],[Rework_Flag]]="Yes",Table1[[#This Row],[Warranty_Claim]]="No"),Table1[[#This Row],[Service_Revenue]],0)</f>
        <v>460549</v>
      </c>
      <c r="V1758" s="4">
        <f>IF(Table1[[#This Row],[Warranty_Claim]]="Yes",1,0)</f>
        <v>0</v>
      </c>
      <c r="W1758" s="4">
        <f>IF(Table1[[#This Row],[Rework_Flag]]="No",1,0)</f>
        <v>0</v>
      </c>
      <c r="X1758" s="4">
        <f>IF(Table1[[#This Row],[Rework_Flag]]="Yes",1,0)</f>
        <v>1</v>
      </c>
      <c r="Y1758" s="4">
        <v>1</v>
      </c>
      <c r="Z1758" s="4" t="str">
        <f>IF(Table1[[#This Row],[TAT_Days]]&gt;Table1[[#This Row],[SLA_TAT]],"Yes","No")</f>
        <v>Yes</v>
      </c>
      <c r="AA1758" s="4" t="str" cm="1">
        <f t="array" ref="AA1758">_xlfn.IFS(Table1[[#This Row],[Customer_Satisfaction]]&lt;=2,"Poor",Table1[[#This Row],[Customer_Satisfaction]]=3,"Neutral",Table1[[#This Row],[Customer_Satisfaction]]=4,"Good",Table1[[#This Row],[Customer_Satisfaction]]=5,"Good")</f>
        <v>Poor</v>
      </c>
    </row>
    <row r="1759" spans="1:27" x14ac:dyDescent="0.35">
      <c r="A1759">
        <v>21757</v>
      </c>
      <c r="B1759" s="1">
        <v>45405</v>
      </c>
      <c r="C1759" t="s">
        <v>37</v>
      </c>
      <c r="D1759" t="s">
        <v>64</v>
      </c>
      <c r="E1759" t="s">
        <v>65</v>
      </c>
      <c r="F1759" t="s">
        <v>53</v>
      </c>
      <c r="G1759" t="s">
        <v>33</v>
      </c>
      <c r="H1759" t="s">
        <v>34</v>
      </c>
      <c r="I1759" t="s">
        <v>55</v>
      </c>
      <c r="J1759" t="s">
        <v>35</v>
      </c>
      <c r="K1759" t="s">
        <v>61</v>
      </c>
      <c r="L1759" t="s">
        <v>49</v>
      </c>
      <c r="M1759" s="4">
        <v>7</v>
      </c>
      <c r="N1759" s="4">
        <v>7</v>
      </c>
      <c r="O1759" t="s">
        <v>29</v>
      </c>
      <c r="P1759" t="s">
        <v>36</v>
      </c>
      <c r="Q1759" s="4">
        <v>308470</v>
      </c>
      <c r="R1759" s="4">
        <v>196433</v>
      </c>
      <c r="S1759" s="4">
        <f>Table1[[#This Row],[Service_Revenue]]-Table1[[#This Row],[Service_Cost]]</f>
        <v>112037</v>
      </c>
      <c r="T1759" s="4">
        <v>3</v>
      </c>
      <c r="U1759" s="4">
        <f>IF(AND(Table1[[#This Row],[Rework_Flag]]="Yes",Table1[[#This Row],[Warranty_Claim]]="No"),Table1[[#This Row],[Service_Revenue]],0)</f>
        <v>308470</v>
      </c>
      <c r="V1759" s="4">
        <f>IF(Table1[[#This Row],[Warranty_Claim]]="Yes",1,0)</f>
        <v>0</v>
      </c>
      <c r="W1759" s="4">
        <f>IF(Table1[[#This Row],[Rework_Flag]]="No",1,0)</f>
        <v>0</v>
      </c>
      <c r="X1759" s="4">
        <f>IF(Table1[[#This Row],[Rework_Flag]]="Yes",1,0)</f>
        <v>1</v>
      </c>
      <c r="Y1759" s="4">
        <v>1</v>
      </c>
      <c r="Z1759" s="4" t="str">
        <f>IF(Table1[[#This Row],[TAT_Days]]&gt;Table1[[#This Row],[SLA_TAT]],"Yes","No")</f>
        <v>No</v>
      </c>
      <c r="AA1759" s="4" t="str" cm="1">
        <f t="array" ref="AA1759">_xlfn.IFS(Table1[[#This Row],[Customer_Satisfaction]]&lt;=2,"Poor",Table1[[#This Row],[Customer_Satisfaction]]=3,"Neutral",Table1[[#This Row],[Customer_Satisfaction]]=4,"Good",Table1[[#This Row],[Customer_Satisfaction]]=5,"Good")</f>
        <v>Neutral</v>
      </c>
    </row>
    <row r="1760" spans="1:27" x14ac:dyDescent="0.35">
      <c r="A1760">
        <v>21758</v>
      </c>
      <c r="B1760" s="1">
        <v>45452</v>
      </c>
      <c r="C1760" t="s">
        <v>30</v>
      </c>
      <c r="D1760" t="s">
        <v>59</v>
      </c>
      <c r="E1760" t="s">
        <v>66</v>
      </c>
      <c r="F1760" t="s">
        <v>53</v>
      </c>
      <c r="G1760" t="s">
        <v>41</v>
      </c>
      <c r="H1760" t="s">
        <v>42</v>
      </c>
      <c r="I1760" t="s">
        <v>55</v>
      </c>
      <c r="J1760" t="s">
        <v>35</v>
      </c>
      <c r="K1760" t="s">
        <v>61</v>
      </c>
      <c r="L1760" t="s">
        <v>28</v>
      </c>
      <c r="M1760" s="4">
        <v>6</v>
      </c>
      <c r="N1760" s="4">
        <v>7</v>
      </c>
      <c r="O1760" t="s">
        <v>29</v>
      </c>
      <c r="P1760" t="s">
        <v>36</v>
      </c>
      <c r="Q1760" s="4">
        <v>95000</v>
      </c>
      <c r="R1760" s="4">
        <v>56833</v>
      </c>
      <c r="S1760" s="4">
        <f>Table1[[#This Row],[Service_Revenue]]-Table1[[#This Row],[Service_Cost]]</f>
        <v>38167</v>
      </c>
      <c r="T1760" s="4">
        <v>3</v>
      </c>
      <c r="U1760" s="4">
        <f>IF(AND(Table1[[#This Row],[Rework_Flag]]="Yes",Table1[[#This Row],[Warranty_Claim]]="No"),Table1[[#This Row],[Service_Revenue]],0)</f>
        <v>95000</v>
      </c>
      <c r="V1760" s="4">
        <f>IF(Table1[[#This Row],[Warranty_Claim]]="Yes",1,0)</f>
        <v>0</v>
      </c>
      <c r="W1760" s="4">
        <f>IF(Table1[[#This Row],[Rework_Flag]]="No",1,0)</f>
        <v>0</v>
      </c>
      <c r="X1760" s="4">
        <f>IF(Table1[[#This Row],[Rework_Flag]]="Yes",1,0)</f>
        <v>1</v>
      </c>
      <c r="Y1760" s="4">
        <v>1</v>
      </c>
      <c r="Z1760" s="4" t="str">
        <f>IF(Table1[[#This Row],[TAT_Days]]&gt;Table1[[#This Row],[SLA_TAT]],"Yes","No")</f>
        <v>No</v>
      </c>
      <c r="AA1760" s="4" t="str" cm="1">
        <f t="array" ref="AA1760">_xlfn.IFS(Table1[[#This Row],[Customer_Satisfaction]]&lt;=2,"Poor",Table1[[#This Row],[Customer_Satisfaction]]=3,"Neutral",Table1[[#This Row],[Customer_Satisfaction]]=4,"Good",Table1[[#This Row],[Customer_Satisfaction]]=5,"Good")</f>
        <v>Neutral</v>
      </c>
    </row>
    <row r="1761" spans="1:27" x14ac:dyDescent="0.35">
      <c r="A1761">
        <v>21759</v>
      </c>
      <c r="B1761" s="1">
        <v>45308</v>
      </c>
      <c r="C1761" t="s">
        <v>50</v>
      </c>
      <c r="D1761" t="s">
        <v>51</v>
      </c>
      <c r="E1761" t="s">
        <v>113</v>
      </c>
      <c r="F1761" t="s">
        <v>40</v>
      </c>
      <c r="G1761" t="s">
        <v>41</v>
      </c>
      <c r="H1761" t="s">
        <v>42</v>
      </c>
      <c r="I1761" t="s">
        <v>55</v>
      </c>
      <c r="J1761" t="s">
        <v>43</v>
      </c>
      <c r="K1761" t="s">
        <v>61</v>
      </c>
      <c r="L1761" t="s">
        <v>49</v>
      </c>
      <c r="M1761" s="4">
        <v>14</v>
      </c>
      <c r="N1761" s="4">
        <v>7</v>
      </c>
      <c r="O1761" t="s">
        <v>29</v>
      </c>
      <c r="P1761" t="s">
        <v>36</v>
      </c>
      <c r="Q1761" s="4">
        <v>568765</v>
      </c>
      <c r="R1761" s="4">
        <v>315374</v>
      </c>
      <c r="S1761" s="4">
        <f>Table1[[#This Row],[Service_Revenue]]-Table1[[#This Row],[Service_Cost]]</f>
        <v>253391</v>
      </c>
      <c r="T1761" s="4">
        <v>2</v>
      </c>
      <c r="U1761" s="4">
        <f>IF(AND(Table1[[#This Row],[Rework_Flag]]="Yes",Table1[[#This Row],[Warranty_Claim]]="No"),Table1[[#This Row],[Service_Revenue]],0)</f>
        <v>568765</v>
      </c>
      <c r="V1761" s="4">
        <f>IF(Table1[[#This Row],[Warranty_Claim]]="Yes",1,0)</f>
        <v>0</v>
      </c>
      <c r="W1761" s="4">
        <f>IF(Table1[[#This Row],[Rework_Flag]]="No",1,0)</f>
        <v>0</v>
      </c>
      <c r="X1761" s="4">
        <f>IF(Table1[[#This Row],[Rework_Flag]]="Yes",1,0)</f>
        <v>1</v>
      </c>
      <c r="Y1761" s="4">
        <v>1</v>
      </c>
      <c r="Z1761" s="4" t="str">
        <f>IF(Table1[[#This Row],[TAT_Days]]&gt;Table1[[#This Row],[SLA_TAT]],"Yes","No")</f>
        <v>Yes</v>
      </c>
      <c r="AA1761" s="4" t="str" cm="1">
        <f t="array" ref="AA1761">_xlfn.IFS(Table1[[#This Row],[Customer_Satisfaction]]&lt;=2,"Poor",Table1[[#This Row],[Customer_Satisfaction]]=3,"Neutral",Table1[[#This Row],[Customer_Satisfaction]]=4,"Good",Table1[[#This Row],[Customer_Satisfaction]]=5,"Good")</f>
        <v>Poor</v>
      </c>
    </row>
    <row r="1762" spans="1:27" x14ac:dyDescent="0.35">
      <c r="A1762">
        <v>21760</v>
      </c>
      <c r="B1762" s="1">
        <v>45396</v>
      </c>
      <c r="C1762" t="s">
        <v>30</v>
      </c>
      <c r="D1762" t="s">
        <v>59</v>
      </c>
      <c r="E1762" t="s">
        <v>69</v>
      </c>
      <c r="F1762" t="s">
        <v>22</v>
      </c>
      <c r="G1762" t="s">
        <v>63</v>
      </c>
      <c r="H1762" t="s">
        <v>24</v>
      </c>
      <c r="I1762" t="s">
        <v>25</v>
      </c>
      <c r="J1762" t="s">
        <v>58</v>
      </c>
      <c r="K1762" t="s">
        <v>61</v>
      </c>
      <c r="L1762" t="s">
        <v>49</v>
      </c>
      <c r="M1762" s="4">
        <v>23</v>
      </c>
      <c r="N1762" s="4">
        <v>7</v>
      </c>
      <c r="O1762" t="s">
        <v>29</v>
      </c>
      <c r="P1762" t="s">
        <v>36</v>
      </c>
      <c r="Q1762" s="4">
        <v>433581</v>
      </c>
      <c r="R1762" s="4">
        <v>218556</v>
      </c>
      <c r="S1762" s="4">
        <f>Table1[[#This Row],[Service_Revenue]]-Table1[[#This Row],[Service_Cost]]</f>
        <v>215025</v>
      </c>
      <c r="T1762" s="4">
        <v>1</v>
      </c>
      <c r="U1762" s="4">
        <f>IF(AND(Table1[[#This Row],[Rework_Flag]]="Yes",Table1[[#This Row],[Warranty_Claim]]="No"),Table1[[#This Row],[Service_Revenue]],0)</f>
        <v>433581</v>
      </c>
      <c r="V1762" s="4">
        <f>IF(Table1[[#This Row],[Warranty_Claim]]="Yes",1,0)</f>
        <v>0</v>
      </c>
      <c r="W1762" s="4">
        <f>IF(Table1[[#This Row],[Rework_Flag]]="No",1,0)</f>
        <v>0</v>
      </c>
      <c r="X1762" s="4">
        <f>IF(Table1[[#This Row],[Rework_Flag]]="Yes",1,0)</f>
        <v>1</v>
      </c>
      <c r="Y1762" s="4">
        <v>1</v>
      </c>
      <c r="Z1762" s="4" t="str">
        <f>IF(Table1[[#This Row],[TAT_Days]]&gt;Table1[[#This Row],[SLA_TAT]],"Yes","No")</f>
        <v>Yes</v>
      </c>
      <c r="AA1762" s="4" t="str" cm="1">
        <f t="array" ref="AA1762">_xlfn.IFS(Table1[[#This Row],[Customer_Satisfaction]]&lt;=2,"Poor",Table1[[#This Row],[Customer_Satisfaction]]=3,"Neutral",Table1[[#This Row],[Customer_Satisfaction]]=4,"Good",Table1[[#This Row],[Customer_Satisfaction]]=5,"Good")</f>
        <v>Poor</v>
      </c>
    </row>
    <row r="1763" spans="1:27" x14ac:dyDescent="0.35">
      <c r="A1763">
        <v>21761</v>
      </c>
      <c r="B1763" s="1">
        <v>45387</v>
      </c>
      <c r="C1763" t="s">
        <v>30</v>
      </c>
      <c r="D1763" t="s">
        <v>59</v>
      </c>
      <c r="E1763" t="s">
        <v>66</v>
      </c>
      <c r="F1763" t="s">
        <v>53</v>
      </c>
      <c r="G1763" t="s">
        <v>74</v>
      </c>
      <c r="H1763" t="s">
        <v>34</v>
      </c>
      <c r="I1763" t="s">
        <v>25</v>
      </c>
      <c r="J1763" t="s">
        <v>43</v>
      </c>
      <c r="K1763" t="s">
        <v>61</v>
      </c>
      <c r="L1763" t="s">
        <v>49</v>
      </c>
      <c r="M1763" s="4">
        <v>3</v>
      </c>
      <c r="N1763" s="4">
        <v>7</v>
      </c>
      <c r="O1763" t="s">
        <v>36</v>
      </c>
      <c r="P1763" t="s">
        <v>29</v>
      </c>
      <c r="Q1763" s="4">
        <v>502647</v>
      </c>
      <c r="R1763" s="4">
        <v>297005</v>
      </c>
      <c r="S1763" s="4">
        <f>Table1[[#This Row],[Service_Revenue]]-Table1[[#This Row],[Service_Cost]]</f>
        <v>205642</v>
      </c>
      <c r="T1763" s="4">
        <v>5</v>
      </c>
      <c r="U1763" s="4">
        <f>IF(AND(Table1[[#This Row],[Rework_Flag]]="Yes",Table1[[#This Row],[Warranty_Claim]]="No"),Table1[[#This Row],[Service_Revenue]],0)</f>
        <v>0</v>
      </c>
      <c r="V1763" s="4">
        <f>IF(Table1[[#This Row],[Warranty_Claim]]="Yes",1,0)</f>
        <v>1</v>
      </c>
      <c r="W1763" s="4">
        <f>IF(Table1[[#This Row],[Rework_Flag]]="No",1,0)</f>
        <v>1</v>
      </c>
      <c r="X1763" s="4">
        <f>IF(Table1[[#This Row],[Rework_Flag]]="Yes",1,0)</f>
        <v>0</v>
      </c>
      <c r="Y1763" s="4">
        <v>1</v>
      </c>
      <c r="Z1763" s="4" t="str">
        <f>IF(Table1[[#This Row],[TAT_Days]]&gt;Table1[[#This Row],[SLA_TAT]],"Yes","No")</f>
        <v>No</v>
      </c>
      <c r="AA1763" s="4" t="str" cm="1">
        <f t="array" ref="AA1763">_xlfn.IFS(Table1[[#This Row],[Customer_Satisfaction]]&lt;=2,"Poor",Table1[[#This Row],[Customer_Satisfaction]]=3,"Neutral",Table1[[#This Row],[Customer_Satisfaction]]=4,"Good",Table1[[#This Row],[Customer_Satisfaction]]=5,"Good")</f>
        <v>Good</v>
      </c>
    </row>
    <row r="1764" spans="1:27" x14ac:dyDescent="0.35">
      <c r="A1764">
        <v>21762</v>
      </c>
      <c r="B1764" s="1">
        <v>45398</v>
      </c>
      <c r="C1764" t="s">
        <v>50</v>
      </c>
      <c r="D1764" t="s">
        <v>56</v>
      </c>
      <c r="E1764" t="s">
        <v>57</v>
      </c>
      <c r="F1764" t="s">
        <v>40</v>
      </c>
      <c r="G1764" t="s">
        <v>33</v>
      </c>
      <c r="H1764" t="s">
        <v>34</v>
      </c>
      <c r="I1764" t="s">
        <v>55</v>
      </c>
      <c r="J1764" t="s">
        <v>26</v>
      </c>
      <c r="K1764" t="s">
        <v>44</v>
      </c>
      <c r="L1764" t="s">
        <v>49</v>
      </c>
      <c r="M1764" s="4">
        <v>23</v>
      </c>
      <c r="N1764" s="4">
        <v>7</v>
      </c>
      <c r="O1764" t="s">
        <v>29</v>
      </c>
      <c r="P1764" t="s">
        <v>36</v>
      </c>
      <c r="Q1764" s="4">
        <v>140397</v>
      </c>
      <c r="R1764" s="4">
        <v>77613</v>
      </c>
      <c r="S1764" s="4">
        <f>Table1[[#This Row],[Service_Revenue]]-Table1[[#This Row],[Service_Cost]]</f>
        <v>62784</v>
      </c>
      <c r="T1764" s="4">
        <v>1</v>
      </c>
      <c r="U1764" s="4">
        <f>IF(AND(Table1[[#This Row],[Rework_Flag]]="Yes",Table1[[#This Row],[Warranty_Claim]]="No"),Table1[[#This Row],[Service_Revenue]],0)</f>
        <v>140397</v>
      </c>
      <c r="V1764" s="4">
        <f>IF(Table1[[#This Row],[Warranty_Claim]]="Yes",1,0)</f>
        <v>0</v>
      </c>
      <c r="W1764" s="4">
        <f>IF(Table1[[#This Row],[Rework_Flag]]="No",1,0)</f>
        <v>0</v>
      </c>
      <c r="X1764" s="4">
        <f>IF(Table1[[#This Row],[Rework_Flag]]="Yes",1,0)</f>
        <v>1</v>
      </c>
      <c r="Y1764" s="4">
        <v>1</v>
      </c>
      <c r="Z1764" s="4" t="str">
        <f>IF(Table1[[#This Row],[TAT_Days]]&gt;Table1[[#This Row],[SLA_TAT]],"Yes","No")</f>
        <v>Yes</v>
      </c>
      <c r="AA1764" s="4" t="str" cm="1">
        <f t="array" ref="AA1764">_xlfn.IFS(Table1[[#This Row],[Customer_Satisfaction]]&lt;=2,"Poor",Table1[[#This Row],[Customer_Satisfaction]]=3,"Neutral",Table1[[#This Row],[Customer_Satisfaction]]=4,"Good",Table1[[#This Row],[Customer_Satisfaction]]=5,"Good")</f>
        <v>Poor</v>
      </c>
    </row>
    <row r="1765" spans="1:27" x14ac:dyDescent="0.35">
      <c r="A1765">
        <v>21763</v>
      </c>
      <c r="B1765" s="1">
        <v>45327</v>
      </c>
      <c r="C1765" t="s">
        <v>50</v>
      </c>
      <c r="D1765" t="s">
        <v>56</v>
      </c>
      <c r="E1765" t="s">
        <v>88</v>
      </c>
      <c r="F1765" t="s">
        <v>22</v>
      </c>
      <c r="G1765" t="s">
        <v>54</v>
      </c>
      <c r="H1765" t="s">
        <v>42</v>
      </c>
      <c r="I1765" t="s">
        <v>55</v>
      </c>
      <c r="J1765" t="s">
        <v>43</v>
      </c>
      <c r="K1765" t="s">
        <v>44</v>
      </c>
      <c r="L1765" t="s">
        <v>28</v>
      </c>
      <c r="M1765" s="4">
        <v>13</v>
      </c>
      <c r="N1765" s="4">
        <v>7</v>
      </c>
      <c r="O1765" t="s">
        <v>29</v>
      </c>
      <c r="P1765" t="s">
        <v>36</v>
      </c>
      <c r="Q1765" s="4">
        <v>514624</v>
      </c>
      <c r="R1765" s="4">
        <v>301118</v>
      </c>
      <c r="S1765" s="4">
        <f>Table1[[#This Row],[Service_Revenue]]-Table1[[#This Row],[Service_Cost]]</f>
        <v>213506</v>
      </c>
      <c r="T1765" s="4">
        <v>2</v>
      </c>
      <c r="U1765" s="4">
        <f>IF(AND(Table1[[#This Row],[Rework_Flag]]="Yes",Table1[[#This Row],[Warranty_Claim]]="No"),Table1[[#This Row],[Service_Revenue]],0)</f>
        <v>514624</v>
      </c>
      <c r="V1765" s="4">
        <f>IF(Table1[[#This Row],[Warranty_Claim]]="Yes",1,0)</f>
        <v>0</v>
      </c>
      <c r="W1765" s="4">
        <f>IF(Table1[[#This Row],[Rework_Flag]]="No",1,0)</f>
        <v>0</v>
      </c>
      <c r="X1765" s="4">
        <f>IF(Table1[[#This Row],[Rework_Flag]]="Yes",1,0)</f>
        <v>1</v>
      </c>
      <c r="Y1765" s="4">
        <v>1</v>
      </c>
      <c r="Z1765" s="4" t="str">
        <f>IF(Table1[[#This Row],[TAT_Days]]&gt;Table1[[#This Row],[SLA_TAT]],"Yes","No")</f>
        <v>Yes</v>
      </c>
      <c r="AA1765" s="4" t="str" cm="1">
        <f t="array" ref="AA1765">_xlfn.IFS(Table1[[#This Row],[Customer_Satisfaction]]&lt;=2,"Poor",Table1[[#This Row],[Customer_Satisfaction]]=3,"Neutral",Table1[[#This Row],[Customer_Satisfaction]]=4,"Good",Table1[[#This Row],[Customer_Satisfaction]]=5,"Good")</f>
        <v>Poor</v>
      </c>
    </row>
    <row r="1766" spans="1:27" x14ac:dyDescent="0.35">
      <c r="A1766">
        <v>21764</v>
      </c>
      <c r="B1766" s="1">
        <v>45345</v>
      </c>
      <c r="C1766" t="s">
        <v>30</v>
      </c>
      <c r="D1766" t="s">
        <v>83</v>
      </c>
      <c r="E1766" t="s">
        <v>119</v>
      </c>
      <c r="F1766" t="s">
        <v>53</v>
      </c>
      <c r="G1766" t="s">
        <v>47</v>
      </c>
      <c r="H1766" t="s">
        <v>48</v>
      </c>
      <c r="I1766" t="s">
        <v>25</v>
      </c>
      <c r="J1766" t="s">
        <v>43</v>
      </c>
      <c r="K1766" t="s">
        <v>44</v>
      </c>
      <c r="L1766" t="s">
        <v>49</v>
      </c>
      <c r="M1766" s="4">
        <v>13</v>
      </c>
      <c r="N1766" s="4">
        <v>7</v>
      </c>
      <c r="O1766" t="s">
        <v>29</v>
      </c>
      <c r="P1766" t="s">
        <v>36</v>
      </c>
      <c r="Q1766" s="4">
        <v>109440</v>
      </c>
      <c r="R1766" s="4">
        <v>55625</v>
      </c>
      <c r="S1766" s="4">
        <f>Table1[[#This Row],[Service_Revenue]]-Table1[[#This Row],[Service_Cost]]</f>
        <v>53815</v>
      </c>
      <c r="T1766" s="4">
        <v>2</v>
      </c>
      <c r="U1766" s="4">
        <f>IF(AND(Table1[[#This Row],[Rework_Flag]]="Yes",Table1[[#This Row],[Warranty_Claim]]="No"),Table1[[#This Row],[Service_Revenue]],0)</f>
        <v>109440</v>
      </c>
      <c r="V1766" s="4">
        <f>IF(Table1[[#This Row],[Warranty_Claim]]="Yes",1,0)</f>
        <v>0</v>
      </c>
      <c r="W1766" s="4">
        <f>IF(Table1[[#This Row],[Rework_Flag]]="No",1,0)</f>
        <v>0</v>
      </c>
      <c r="X1766" s="4">
        <f>IF(Table1[[#This Row],[Rework_Flag]]="Yes",1,0)</f>
        <v>1</v>
      </c>
      <c r="Y1766" s="4">
        <v>1</v>
      </c>
      <c r="Z1766" s="4" t="str">
        <f>IF(Table1[[#This Row],[TAT_Days]]&gt;Table1[[#This Row],[SLA_TAT]],"Yes","No")</f>
        <v>Yes</v>
      </c>
      <c r="AA1766" s="4" t="str" cm="1">
        <f t="array" ref="AA1766">_xlfn.IFS(Table1[[#This Row],[Customer_Satisfaction]]&lt;=2,"Poor",Table1[[#This Row],[Customer_Satisfaction]]=3,"Neutral",Table1[[#This Row],[Customer_Satisfaction]]=4,"Good",Table1[[#This Row],[Customer_Satisfaction]]=5,"Good")</f>
        <v>Poor</v>
      </c>
    </row>
    <row r="1767" spans="1:27" x14ac:dyDescent="0.35">
      <c r="A1767">
        <v>21765</v>
      </c>
      <c r="B1767" s="1">
        <v>45414</v>
      </c>
      <c r="C1767" t="s">
        <v>19</v>
      </c>
      <c r="D1767" t="s">
        <v>20</v>
      </c>
      <c r="E1767" t="s">
        <v>21</v>
      </c>
      <c r="F1767" t="s">
        <v>22</v>
      </c>
      <c r="G1767" t="s">
        <v>54</v>
      </c>
      <c r="H1767" t="s">
        <v>42</v>
      </c>
      <c r="I1767" t="s">
        <v>25</v>
      </c>
      <c r="J1767" t="s">
        <v>67</v>
      </c>
      <c r="K1767" t="s">
        <v>27</v>
      </c>
      <c r="L1767" t="s">
        <v>28</v>
      </c>
      <c r="M1767" s="4">
        <v>17</v>
      </c>
      <c r="N1767" s="4">
        <v>7</v>
      </c>
      <c r="O1767" t="s">
        <v>29</v>
      </c>
      <c r="P1767" t="s">
        <v>29</v>
      </c>
      <c r="Q1767" s="4">
        <v>141001</v>
      </c>
      <c r="R1767" s="4">
        <v>75360</v>
      </c>
      <c r="S1767" s="4">
        <f>Table1[[#This Row],[Service_Revenue]]-Table1[[#This Row],[Service_Cost]]</f>
        <v>65641</v>
      </c>
      <c r="T1767" s="4">
        <v>1</v>
      </c>
      <c r="U1767" s="4">
        <f>IF(AND(Table1[[#This Row],[Rework_Flag]]="Yes",Table1[[#This Row],[Warranty_Claim]]="No"),Table1[[#This Row],[Service_Revenue]],0)</f>
        <v>0</v>
      </c>
      <c r="V1767" s="4">
        <f>IF(Table1[[#This Row],[Warranty_Claim]]="Yes",1,0)</f>
        <v>1</v>
      </c>
      <c r="W1767" s="4">
        <f>IF(Table1[[#This Row],[Rework_Flag]]="No",1,0)</f>
        <v>0</v>
      </c>
      <c r="X1767" s="4">
        <f>IF(Table1[[#This Row],[Rework_Flag]]="Yes",1,0)</f>
        <v>1</v>
      </c>
      <c r="Y1767" s="4">
        <v>1</v>
      </c>
      <c r="Z1767" s="4" t="str">
        <f>IF(Table1[[#This Row],[TAT_Days]]&gt;Table1[[#This Row],[SLA_TAT]],"Yes","No")</f>
        <v>Yes</v>
      </c>
      <c r="AA1767" s="4" t="str" cm="1">
        <f t="array" ref="AA1767">_xlfn.IFS(Table1[[#This Row],[Customer_Satisfaction]]&lt;=2,"Poor",Table1[[#This Row],[Customer_Satisfaction]]=3,"Neutral",Table1[[#This Row],[Customer_Satisfaction]]=4,"Good",Table1[[#This Row],[Customer_Satisfaction]]=5,"Good")</f>
        <v>Poor</v>
      </c>
    </row>
    <row r="1768" spans="1:27" x14ac:dyDescent="0.35">
      <c r="A1768">
        <v>21766</v>
      </c>
      <c r="B1768" s="1">
        <v>45292</v>
      </c>
      <c r="C1768" t="s">
        <v>30</v>
      </c>
      <c r="D1768" t="s">
        <v>31</v>
      </c>
      <c r="E1768" t="s">
        <v>122</v>
      </c>
      <c r="F1768" t="s">
        <v>22</v>
      </c>
      <c r="G1768" t="s">
        <v>47</v>
      </c>
      <c r="H1768" t="s">
        <v>48</v>
      </c>
      <c r="I1768" t="s">
        <v>55</v>
      </c>
      <c r="J1768" t="s">
        <v>43</v>
      </c>
      <c r="K1768" t="s">
        <v>44</v>
      </c>
      <c r="L1768" t="s">
        <v>28</v>
      </c>
      <c r="M1768" s="4">
        <v>23</v>
      </c>
      <c r="N1768" s="4">
        <v>7</v>
      </c>
      <c r="O1768" t="s">
        <v>29</v>
      </c>
      <c r="P1768" t="s">
        <v>36</v>
      </c>
      <c r="Q1768" s="4">
        <v>123078</v>
      </c>
      <c r="R1768" s="4">
        <v>70082</v>
      </c>
      <c r="S1768" s="4">
        <f>Table1[[#This Row],[Service_Revenue]]-Table1[[#This Row],[Service_Cost]]</f>
        <v>52996</v>
      </c>
      <c r="T1768" s="4">
        <v>1</v>
      </c>
      <c r="U1768" s="4">
        <f>IF(AND(Table1[[#This Row],[Rework_Flag]]="Yes",Table1[[#This Row],[Warranty_Claim]]="No"),Table1[[#This Row],[Service_Revenue]],0)</f>
        <v>123078</v>
      </c>
      <c r="V1768" s="4">
        <f>IF(Table1[[#This Row],[Warranty_Claim]]="Yes",1,0)</f>
        <v>0</v>
      </c>
      <c r="W1768" s="4">
        <f>IF(Table1[[#This Row],[Rework_Flag]]="No",1,0)</f>
        <v>0</v>
      </c>
      <c r="X1768" s="4">
        <f>IF(Table1[[#This Row],[Rework_Flag]]="Yes",1,0)</f>
        <v>1</v>
      </c>
      <c r="Y1768" s="4">
        <v>1</v>
      </c>
      <c r="Z1768" s="4" t="str">
        <f>IF(Table1[[#This Row],[TAT_Days]]&gt;Table1[[#This Row],[SLA_TAT]],"Yes","No")</f>
        <v>Yes</v>
      </c>
      <c r="AA1768" s="4" t="str" cm="1">
        <f t="array" ref="AA1768">_xlfn.IFS(Table1[[#This Row],[Customer_Satisfaction]]&lt;=2,"Poor",Table1[[#This Row],[Customer_Satisfaction]]=3,"Neutral",Table1[[#This Row],[Customer_Satisfaction]]=4,"Good",Table1[[#This Row],[Customer_Satisfaction]]=5,"Good")</f>
        <v>Poor</v>
      </c>
    </row>
    <row r="1769" spans="1:27" x14ac:dyDescent="0.35">
      <c r="A1769">
        <v>21767</v>
      </c>
      <c r="B1769" s="1">
        <v>45317</v>
      </c>
      <c r="C1769" t="s">
        <v>50</v>
      </c>
      <c r="D1769" t="s">
        <v>80</v>
      </c>
      <c r="E1769" t="s">
        <v>81</v>
      </c>
      <c r="F1769" t="s">
        <v>53</v>
      </c>
      <c r="G1769" t="s">
        <v>41</v>
      </c>
      <c r="H1769" t="s">
        <v>42</v>
      </c>
      <c r="I1769" t="s">
        <v>55</v>
      </c>
      <c r="J1769" t="s">
        <v>35</v>
      </c>
      <c r="K1769" t="s">
        <v>61</v>
      </c>
      <c r="L1769" t="s">
        <v>49</v>
      </c>
      <c r="M1769" s="4">
        <v>4</v>
      </c>
      <c r="N1769" s="4">
        <v>7</v>
      </c>
      <c r="O1769" t="s">
        <v>36</v>
      </c>
      <c r="P1769" t="s">
        <v>29</v>
      </c>
      <c r="Q1769" s="4">
        <v>340546</v>
      </c>
      <c r="R1769" s="4">
        <v>208875</v>
      </c>
      <c r="S1769" s="4">
        <f>Table1[[#This Row],[Service_Revenue]]-Table1[[#This Row],[Service_Cost]]</f>
        <v>131671</v>
      </c>
      <c r="T1769" s="4">
        <v>5</v>
      </c>
      <c r="U1769" s="4">
        <f>IF(AND(Table1[[#This Row],[Rework_Flag]]="Yes",Table1[[#This Row],[Warranty_Claim]]="No"),Table1[[#This Row],[Service_Revenue]],0)</f>
        <v>0</v>
      </c>
      <c r="V1769" s="4">
        <f>IF(Table1[[#This Row],[Warranty_Claim]]="Yes",1,0)</f>
        <v>1</v>
      </c>
      <c r="W1769" s="4">
        <f>IF(Table1[[#This Row],[Rework_Flag]]="No",1,0)</f>
        <v>1</v>
      </c>
      <c r="X1769" s="4">
        <f>IF(Table1[[#This Row],[Rework_Flag]]="Yes",1,0)</f>
        <v>0</v>
      </c>
      <c r="Y1769" s="4">
        <v>1</v>
      </c>
      <c r="Z1769" s="4" t="str">
        <f>IF(Table1[[#This Row],[TAT_Days]]&gt;Table1[[#This Row],[SLA_TAT]],"Yes","No")</f>
        <v>No</v>
      </c>
      <c r="AA1769" s="4" t="str" cm="1">
        <f t="array" ref="AA1769">_xlfn.IFS(Table1[[#This Row],[Customer_Satisfaction]]&lt;=2,"Poor",Table1[[#This Row],[Customer_Satisfaction]]=3,"Neutral",Table1[[#This Row],[Customer_Satisfaction]]=4,"Good",Table1[[#This Row],[Customer_Satisfaction]]=5,"Good")</f>
        <v>Good</v>
      </c>
    </row>
    <row r="1770" spans="1:27" x14ac:dyDescent="0.35">
      <c r="A1770">
        <v>21768</v>
      </c>
      <c r="B1770" s="1">
        <v>45329</v>
      </c>
      <c r="C1770" t="s">
        <v>37</v>
      </c>
      <c r="D1770" t="s">
        <v>64</v>
      </c>
      <c r="E1770" t="s">
        <v>87</v>
      </c>
      <c r="F1770" t="s">
        <v>53</v>
      </c>
      <c r="G1770" t="s">
        <v>33</v>
      </c>
      <c r="H1770" t="s">
        <v>34</v>
      </c>
      <c r="I1770" t="s">
        <v>25</v>
      </c>
      <c r="J1770" t="s">
        <v>67</v>
      </c>
      <c r="K1770" t="s">
        <v>27</v>
      </c>
      <c r="L1770" t="s">
        <v>49</v>
      </c>
      <c r="M1770" s="4">
        <v>8</v>
      </c>
      <c r="N1770" s="4">
        <v>7</v>
      </c>
      <c r="O1770" t="s">
        <v>29</v>
      </c>
      <c r="P1770" t="s">
        <v>29</v>
      </c>
      <c r="Q1770" s="4">
        <v>390795</v>
      </c>
      <c r="R1770" s="4">
        <v>204904</v>
      </c>
      <c r="S1770" s="4">
        <f>Table1[[#This Row],[Service_Revenue]]-Table1[[#This Row],[Service_Cost]]</f>
        <v>185891</v>
      </c>
      <c r="T1770" s="4">
        <v>3</v>
      </c>
      <c r="U1770" s="4">
        <f>IF(AND(Table1[[#This Row],[Rework_Flag]]="Yes",Table1[[#This Row],[Warranty_Claim]]="No"),Table1[[#This Row],[Service_Revenue]],0)</f>
        <v>0</v>
      </c>
      <c r="V1770" s="4">
        <f>IF(Table1[[#This Row],[Warranty_Claim]]="Yes",1,0)</f>
        <v>1</v>
      </c>
      <c r="W1770" s="4">
        <f>IF(Table1[[#This Row],[Rework_Flag]]="No",1,0)</f>
        <v>0</v>
      </c>
      <c r="X1770" s="4">
        <f>IF(Table1[[#This Row],[Rework_Flag]]="Yes",1,0)</f>
        <v>1</v>
      </c>
      <c r="Y1770" s="4">
        <v>1</v>
      </c>
      <c r="Z1770" s="4" t="str">
        <f>IF(Table1[[#This Row],[TAT_Days]]&gt;Table1[[#This Row],[SLA_TAT]],"Yes","No")</f>
        <v>Yes</v>
      </c>
      <c r="AA1770" s="4" t="str" cm="1">
        <f t="array" ref="AA1770">_xlfn.IFS(Table1[[#This Row],[Customer_Satisfaction]]&lt;=2,"Poor",Table1[[#This Row],[Customer_Satisfaction]]=3,"Neutral",Table1[[#This Row],[Customer_Satisfaction]]=4,"Good",Table1[[#This Row],[Customer_Satisfaction]]=5,"Good")</f>
        <v>Neutral</v>
      </c>
    </row>
    <row r="1771" spans="1:27" x14ac:dyDescent="0.35">
      <c r="A1771">
        <v>21769</v>
      </c>
      <c r="B1771" s="1">
        <v>45294</v>
      </c>
      <c r="C1771" t="s">
        <v>19</v>
      </c>
      <c r="D1771" t="s">
        <v>20</v>
      </c>
      <c r="E1771" t="s">
        <v>86</v>
      </c>
      <c r="F1771" t="s">
        <v>53</v>
      </c>
      <c r="G1771" t="s">
        <v>23</v>
      </c>
      <c r="H1771" t="s">
        <v>24</v>
      </c>
      <c r="I1771" t="s">
        <v>25</v>
      </c>
      <c r="J1771" t="s">
        <v>26</v>
      </c>
      <c r="K1771" t="s">
        <v>61</v>
      </c>
      <c r="L1771" t="s">
        <v>28</v>
      </c>
      <c r="M1771" s="4">
        <v>12</v>
      </c>
      <c r="N1771" s="4">
        <v>7</v>
      </c>
      <c r="O1771" t="s">
        <v>36</v>
      </c>
      <c r="P1771" t="s">
        <v>36</v>
      </c>
      <c r="Q1771" s="4">
        <v>517252</v>
      </c>
      <c r="R1771" s="4">
        <v>316846</v>
      </c>
      <c r="S1771" s="4">
        <f>Table1[[#This Row],[Service_Revenue]]-Table1[[#This Row],[Service_Cost]]</f>
        <v>200406</v>
      </c>
      <c r="T1771" s="4">
        <v>3</v>
      </c>
      <c r="U1771" s="4">
        <f>IF(AND(Table1[[#This Row],[Rework_Flag]]="Yes",Table1[[#This Row],[Warranty_Claim]]="No"),Table1[[#This Row],[Service_Revenue]],0)</f>
        <v>0</v>
      </c>
      <c r="V1771" s="4">
        <f>IF(Table1[[#This Row],[Warranty_Claim]]="Yes",1,0)</f>
        <v>0</v>
      </c>
      <c r="W1771" s="4">
        <f>IF(Table1[[#This Row],[Rework_Flag]]="No",1,0)</f>
        <v>1</v>
      </c>
      <c r="X1771" s="4">
        <f>IF(Table1[[#This Row],[Rework_Flag]]="Yes",1,0)</f>
        <v>0</v>
      </c>
      <c r="Y1771" s="4">
        <v>1</v>
      </c>
      <c r="Z1771" s="4" t="str">
        <f>IF(Table1[[#This Row],[TAT_Days]]&gt;Table1[[#This Row],[SLA_TAT]],"Yes","No")</f>
        <v>Yes</v>
      </c>
      <c r="AA1771" s="4" t="str" cm="1">
        <f t="array" ref="AA1771">_xlfn.IFS(Table1[[#This Row],[Customer_Satisfaction]]&lt;=2,"Poor",Table1[[#This Row],[Customer_Satisfaction]]=3,"Neutral",Table1[[#This Row],[Customer_Satisfaction]]=4,"Good",Table1[[#This Row],[Customer_Satisfaction]]=5,"Good")</f>
        <v>Neutral</v>
      </c>
    </row>
    <row r="1772" spans="1:27" x14ac:dyDescent="0.35">
      <c r="A1772">
        <v>21770</v>
      </c>
      <c r="B1772" s="1">
        <v>45403</v>
      </c>
      <c r="C1772" t="s">
        <v>19</v>
      </c>
      <c r="D1772" t="s">
        <v>45</v>
      </c>
      <c r="E1772" t="s">
        <v>46</v>
      </c>
      <c r="F1772" t="s">
        <v>53</v>
      </c>
      <c r="G1772" t="s">
        <v>47</v>
      </c>
      <c r="H1772" t="s">
        <v>48</v>
      </c>
      <c r="I1772" t="s">
        <v>25</v>
      </c>
      <c r="J1772" t="s">
        <v>43</v>
      </c>
      <c r="K1772" t="s">
        <v>27</v>
      </c>
      <c r="L1772" t="s">
        <v>28</v>
      </c>
      <c r="M1772" s="4">
        <v>13</v>
      </c>
      <c r="N1772" s="4">
        <v>7</v>
      </c>
      <c r="O1772" t="s">
        <v>29</v>
      </c>
      <c r="P1772" t="s">
        <v>36</v>
      </c>
      <c r="Q1772" s="4">
        <v>539158</v>
      </c>
      <c r="R1772" s="4">
        <v>446857</v>
      </c>
      <c r="S1772" s="4">
        <f>Table1[[#This Row],[Service_Revenue]]-Table1[[#This Row],[Service_Cost]]</f>
        <v>92301</v>
      </c>
      <c r="T1772" s="4">
        <v>2</v>
      </c>
      <c r="U1772" s="4">
        <f>IF(AND(Table1[[#This Row],[Rework_Flag]]="Yes",Table1[[#This Row],[Warranty_Claim]]="No"),Table1[[#This Row],[Service_Revenue]],0)</f>
        <v>539158</v>
      </c>
      <c r="V1772" s="4">
        <f>IF(Table1[[#This Row],[Warranty_Claim]]="Yes",1,0)</f>
        <v>0</v>
      </c>
      <c r="W1772" s="4">
        <f>IF(Table1[[#This Row],[Rework_Flag]]="No",1,0)</f>
        <v>0</v>
      </c>
      <c r="X1772" s="4">
        <f>IF(Table1[[#This Row],[Rework_Flag]]="Yes",1,0)</f>
        <v>1</v>
      </c>
      <c r="Y1772" s="4">
        <v>1</v>
      </c>
      <c r="Z1772" s="4" t="str">
        <f>IF(Table1[[#This Row],[TAT_Days]]&gt;Table1[[#This Row],[SLA_TAT]],"Yes","No")</f>
        <v>Yes</v>
      </c>
      <c r="AA1772" s="4" t="str" cm="1">
        <f t="array" ref="AA1772">_xlfn.IFS(Table1[[#This Row],[Customer_Satisfaction]]&lt;=2,"Poor",Table1[[#This Row],[Customer_Satisfaction]]=3,"Neutral",Table1[[#This Row],[Customer_Satisfaction]]=4,"Good",Table1[[#This Row],[Customer_Satisfaction]]=5,"Good")</f>
        <v>Poor</v>
      </c>
    </row>
    <row r="1773" spans="1:27" x14ac:dyDescent="0.35">
      <c r="A1773">
        <v>21771</v>
      </c>
      <c r="B1773" s="1">
        <v>45376</v>
      </c>
      <c r="C1773" t="s">
        <v>19</v>
      </c>
      <c r="D1773" t="s">
        <v>96</v>
      </c>
      <c r="E1773" t="s">
        <v>98</v>
      </c>
      <c r="F1773" t="s">
        <v>53</v>
      </c>
      <c r="G1773" t="s">
        <v>74</v>
      </c>
      <c r="H1773" t="s">
        <v>34</v>
      </c>
      <c r="I1773" t="s">
        <v>25</v>
      </c>
      <c r="J1773" t="s">
        <v>67</v>
      </c>
      <c r="K1773" t="s">
        <v>61</v>
      </c>
      <c r="L1773" t="s">
        <v>49</v>
      </c>
      <c r="M1773" s="4">
        <v>23</v>
      </c>
      <c r="N1773" s="4">
        <v>7</v>
      </c>
      <c r="O1773" t="s">
        <v>29</v>
      </c>
      <c r="P1773" t="s">
        <v>36</v>
      </c>
      <c r="Q1773" s="4">
        <v>384787</v>
      </c>
      <c r="R1773" s="4">
        <v>316289</v>
      </c>
      <c r="S1773" s="4">
        <f>Table1[[#This Row],[Service_Revenue]]-Table1[[#This Row],[Service_Cost]]</f>
        <v>68498</v>
      </c>
      <c r="T1773" s="4">
        <v>1</v>
      </c>
      <c r="U1773" s="4">
        <f>IF(AND(Table1[[#This Row],[Rework_Flag]]="Yes",Table1[[#This Row],[Warranty_Claim]]="No"),Table1[[#This Row],[Service_Revenue]],0)</f>
        <v>384787</v>
      </c>
      <c r="V1773" s="4">
        <f>IF(Table1[[#This Row],[Warranty_Claim]]="Yes",1,0)</f>
        <v>0</v>
      </c>
      <c r="W1773" s="4">
        <f>IF(Table1[[#This Row],[Rework_Flag]]="No",1,0)</f>
        <v>0</v>
      </c>
      <c r="X1773" s="4">
        <f>IF(Table1[[#This Row],[Rework_Flag]]="Yes",1,0)</f>
        <v>1</v>
      </c>
      <c r="Y1773" s="4">
        <v>1</v>
      </c>
      <c r="Z1773" s="4" t="str">
        <f>IF(Table1[[#This Row],[TAT_Days]]&gt;Table1[[#This Row],[SLA_TAT]],"Yes","No")</f>
        <v>Yes</v>
      </c>
      <c r="AA1773" s="4" t="str" cm="1">
        <f t="array" ref="AA1773">_xlfn.IFS(Table1[[#This Row],[Customer_Satisfaction]]&lt;=2,"Poor",Table1[[#This Row],[Customer_Satisfaction]]=3,"Neutral",Table1[[#This Row],[Customer_Satisfaction]]=4,"Good",Table1[[#This Row],[Customer_Satisfaction]]=5,"Good")</f>
        <v>Poor</v>
      </c>
    </row>
    <row r="1774" spans="1:27" x14ac:dyDescent="0.35">
      <c r="A1774">
        <v>21772</v>
      </c>
      <c r="B1774" s="1">
        <v>45363</v>
      </c>
      <c r="C1774" t="s">
        <v>30</v>
      </c>
      <c r="D1774" t="s">
        <v>31</v>
      </c>
      <c r="E1774" t="s">
        <v>79</v>
      </c>
      <c r="F1774" t="s">
        <v>40</v>
      </c>
      <c r="G1774" t="s">
        <v>54</v>
      </c>
      <c r="H1774" t="s">
        <v>42</v>
      </c>
      <c r="I1774" t="s">
        <v>25</v>
      </c>
      <c r="J1774" t="s">
        <v>26</v>
      </c>
      <c r="K1774" t="s">
        <v>44</v>
      </c>
      <c r="L1774" t="s">
        <v>49</v>
      </c>
      <c r="M1774" s="4">
        <v>4</v>
      </c>
      <c r="N1774" s="4">
        <v>7</v>
      </c>
      <c r="O1774" t="s">
        <v>29</v>
      </c>
      <c r="P1774" t="s">
        <v>29</v>
      </c>
      <c r="Q1774" s="4">
        <v>574644</v>
      </c>
      <c r="R1774" s="4">
        <v>363940</v>
      </c>
      <c r="S1774" s="4">
        <f>Table1[[#This Row],[Service_Revenue]]-Table1[[#This Row],[Service_Cost]]</f>
        <v>210704</v>
      </c>
      <c r="T1774" s="4">
        <v>4</v>
      </c>
      <c r="U1774" s="4">
        <f>IF(AND(Table1[[#This Row],[Rework_Flag]]="Yes",Table1[[#This Row],[Warranty_Claim]]="No"),Table1[[#This Row],[Service_Revenue]],0)</f>
        <v>0</v>
      </c>
      <c r="V1774" s="4">
        <f>IF(Table1[[#This Row],[Warranty_Claim]]="Yes",1,0)</f>
        <v>1</v>
      </c>
      <c r="W1774" s="4">
        <f>IF(Table1[[#This Row],[Rework_Flag]]="No",1,0)</f>
        <v>0</v>
      </c>
      <c r="X1774" s="4">
        <f>IF(Table1[[#This Row],[Rework_Flag]]="Yes",1,0)</f>
        <v>1</v>
      </c>
      <c r="Y1774" s="4">
        <v>1</v>
      </c>
      <c r="Z1774" s="4" t="str">
        <f>IF(Table1[[#This Row],[TAT_Days]]&gt;Table1[[#This Row],[SLA_TAT]],"Yes","No")</f>
        <v>No</v>
      </c>
      <c r="AA1774" s="4" t="str" cm="1">
        <f t="array" ref="AA1774">_xlfn.IFS(Table1[[#This Row],[Customer_Satisfaction]]&lt;=2,"Poor",Table1[[#This Row],[Customer_Satisfaction]]=3,"Neutral",Table1[[#This Row],[Customer_Satisfaction]]=4,"Good",Table1[[#This Row],[Customer_Satisfaction]]=5,"Good")</f>
        <v>Good</v>
      </c>
    </row>
    <row r="1775" spans="1:27" x14ac:dyDescent="0.35">
      <c r="A1775">
        <v>21773</v>
      </c>
      <c r="B1775" s="1">
        <v>45453</v>
      </c>
      <c r="C1775" t="s">
        <v>19</v>
      </c>
      <c r="D1775" t="s">
        <v>96</v>
      </c>
      <c r="E1775" t="s">
        <v>97</v>
      </c>
      <c r="F1775" t="s">
        <v>53</v>
      </c>
      <c r="G1775" t="s">
        <v>33</v>
      </c>
      <c r="H1775" t="s">
        <v>34</v>
      </c>
      <c r="I1775" t="s">
        <v>25</v>
      </c>
      <c r="J1775" t="s">
        <v>26</v>
      </c>
      <c r="K1775" t="s">
        <v>61</v>
      </c>
      <c r="L1775" t="s">
        <v>49</v>
      </c>
      <c r="M1775" s="4">
        <v>17</v>
      </c>
      <c r="N1775" s="4">
        <v>7</v>
      </c>
      <c r="O1775" t="s">
        <v>36</v>
      </c>
      <c r="P1775" t="s">
        <v>36</v>
      </c>
      <c r="Q1775" s="4">
        <v>93200</v>
      </c>
      <c r="R1775" s="4">
        <v>69203</v>
      </c>
      <c r="S1775" s="4">
        <f>Table1[[#This Row],[Service_Revenue]]-Table1[[#This Row],[Service_Cost]]</f>
        <v>23997</v>
      </c>
      <c r="T1775" s="4">
        <v>2</v>
      </c>
      <c r="U1775" s="4">
        <f>IF(AND(Table1[[#This Row],[Rework_Flag]]="Yes",Table1[[#This Row],[Warranty_Claim]]="No"),Table1[[#This Row],[Service_Revenue]],0)</f>
        <v>0</v>
      </c>
      <c r="V1775" s="4">
        <f>IF(Table1[[#This Row],[Warranty_Claim]]="Yes",1,0)</f>
        <v>0</v>
      </c>
      <c r="W1775" s="4">
        <f>IF(Table1[[#This Row],[Rework_Flag]]="No",1,0)</f>
        <v>1</v>
      </c>
      <c r="X1775" s="4">
        <f>IF(Table1[[#This Row],[Rework_Flag]]="Yes",1,0)</f>
        <v>0</v>
      </c>
      <c r="Y1775" s="4">
        <v>1</v>
      </c>
      <c r="Z1775" s="4" t="str">
        <f>IF(Table1[[#This Row],[TAT_Days]]&gt;Table1[[#This Row],[SLA_TAT]],"Yes","No")</f>
        <v>Yes</v>
      </c>
      <c r="AA1775" s="4" t="str" cm="1">
        <f t="array" ref="AA1775">_xlfn.IFS(Table1[[#This Row],[Customer_Satisfaction]]&lt;=2,"Poor",Table1[[#This Row],[Customer_Satisfaction]]=3,"Neutral",Table1[[#This Row],[Customer_Satisfaction]]=4,"Good",Table1[[#This Row],[Customer_Satisfaction]]=5,"Good")</f>
        <v>Poor</v>
      </c>
    </row>
    <row r="1776" spans="1:27" x14ac:dyDescent="0.35">
      <c r="A1776">
        <v>21774</v>
      </c>
      <c r="B1776" s="1">
        <v>45382</v>
      </c>
      <c r="C1776" t="s">
        <v>37</v>
      </c>
      <c r="D1776" t="s">
        <v>64</v>
      </c>
      <c r="E1776" t="s">
        <v>72</v>
      </c>
      <c r="F1776" t="s">
        <v>22</v>
      </c>
      <c r="G1776" t="s">
        <v>63</v>
      </c>
      <c r="H1776" t="s">
        <v>24</v>
      </c>
      <c r="I1776" t="s">
        <v>25</v>
      </c>
      <c r="J1776" t="s">
        <v>67</v>
      </c>
      <c r="K1776" t="s">
        <v>27</v>
      </c>
      <c r="L1776" t="s">
        <v>28</v>
      </c>
      <c r="M1776" s="4">
        <v>15</v>
      </c>
      <c r="N1776" s="4">
        <v>7</v>
      </c>
      <c r="O1776" t="s">
        <v>29</v>
      </c>
      <c r="P1776" t="s">
        <v>29</v>
      </c>
      <c r="Q1776" s="4">
        <v>335590</v>
      </c>
      <c r="R1776" s="4">
        <v>278400</v>
      </c>
      <c r="S1776" s="4">
        <f>Table1[[#This Row],[Service_Revenue]]-Table1[[#This Row],[Service_Cost]]</f>
        <v>57190</v>
      </c>
      <c r="T1776" s="4">
        <v>1</v>
      </c>
      <c r="U1776" s="4">
        <f>IF(AND(Table1[[#This Row],[Rework_Flag]]="Yes",Table1[[#This Row],[Warranty_Claim]]="No"),Table1[[#This Row],[Service_Revenue]],0)</f>
        <v>0</v>
      </c>
      <c r="V1776" s="4">
        <f>IF(Table1[[#This Row],[Warranty_Claim]]="Yes",1,0)</f>
        <v>1</v>
      </c>
      <c r="W1776" s="4">
        <f>IF(Table1[[#This Row],[Rework_Flag]]="No",1,0)</f>
        <v>0</v>
      </c>
      <c r="X1776" s="4">
        <f>IF(Table1[[#This Row],[Rework_Flag]]="Yes",1,0)</f>
        <v>1</v>
      </c>
      <c r="Y1776" s="4">
        <v>1</v>
      </c>
      <c r="Z1776" s="4" t="str">
        <f>IF(Table1[[#This Row],[TAT_Days]]&gt;Table1[[#This Row],[SLA_TAT]],"Yes","No")</f>
        <v>Yes</v>
      </c>
      <c r="AA1776" s="4" t="str" cm="1">
        <f t="array" ref="AA1776">_xlfn.IFS(Table1[[#This Row],[Customer_Satisfaction]]&lt;=2,"Poor",Table1[[#This Row],[Customer_Satisfaction]]=3,"Neutral",Table1[[#This Row],[Customer_Satisfaction]]=4,"Good",Table1[[#This Row],[Customer_Satisfaction]]=5,"Good")</f>
        <v>Poor</v>
      </c>
    </row>
    <row r="1777" spans="1:27" x14ac:dyDescent="0.35">
      <c r="A1777">
        <v>21775</v>
      </c>
      <c r="B1777" s="1">
        <v>45319</v>
      </c>
      <c r="C1777" t="s">
        <v>50</v>
      </c>
      <c r="D1777" t="s">
        <v>80</v>
      </c>
      <c r="E1777" t="s">
        <v>81</v>
      </c>
      <c r="F1777" t="s">
        <v>22</v>
      </c>
      <c r="G1777" t="s">
        <v>63</v>
      </c>
      <c r="H1777" t="s">
        <v>24</v>
      </c>
      <c r="I1777" t="s">
        <v>55</v>
      </c>
      <c r="J1777" t="s">
        <v>35</v>
      </c>
      <c r="K1777" t="s">
        <v>61</v>
      </c>
      <c r="L1777" t="s">
        <v>28</v>
      </c>
      <c r="M1777" s="4">
        <v>8</v>
      </c>
      <c r="N1777" s="4">
        <v>7</v>
      </c>
      <c r="O1777" t="s">
        <v>29</v>
      </c>
      <c r="P1777" t="s">
        <v>36</v>
      </c>
      <c r="Q1777" s="4">
        <v>452337</v>
      </c>
      <c r="R1777" s="4">
        <v>258370</v>
      </c>
      <c r="S1777" s="4">
        <f>Table1[[#This Row],[Service_Revenue]]-Table1[[#This Row],[Service_Cost]]</f>
        <v>193967</v>
      </c>
      <c r="T1777" s="4">
        <v>3</v>
      </c>
      <c r="U1777" s="4">
        <f>IF(AND(Table1[[#This Row],[Rework_Flag]]="Yes",Table1[[#This Row],[Warranty_Claim]]="No"),Table1[[#This Row],[Service_Revenue]],0)</f>
        <v>452337</v>
      </c>
      <c r="V1777" s="4">
        <f>IF(Table1[[#This Row],[Warranty_Claim]]="Yes",1,0)</f>
        <v>0</v>
      </c>
      <c r="W1777" s="4">
        <f>IF(Table1[[#This Row],[Rework_Flag]]="No",1,0)</f>
        <v>0</v>
      </c>
      <c r="X1777" s="4">
        <f>IF(Table1[[#This Row],[Rework_Flag]]="Yes",1,0)</f>
        <v>1</v>
      </c>
      <c r="Y1777" s="4">
        <v>1</v>
      </c>
      <c r="Z1777" s="4" t="str">
        <f>IF(Table1[[#This Row],[TAT_Days]]&gt;Table1[[#This Row],[SLA_TAT]],"Yes","No")</f>
        <v>Yes</v>
      </c>
      <c r="AA1777" s="4" t="str" cm="1">
        <f t="array" ref="AA1777">_xlfn.IFS(Table1[[#This Row],[Customer_Satisfaction]]&lt;=2,"Poor",Table1[[#This Row],[Customer_Satisfaction]]=3,"Neutral",Table1[[#This Row],[Customer_Satisfaction]]=4,"Good",Table1[[#This Row],[Customer_Satisfaction]]=5,"Good")</f>
        <v>Neutral</v>
      </c>
    </row>
    <row r="1778" spans="1:27" x14ac:dyDescent="0.35">
      <c r="A1778">
        <v>21776</v>
      </c>
      <c r="B1778" s="1">
        <v>45347</v>
      </c>
      <c r="C1778" t="s">
        <v>50</v>
      </c>
      <c r="D1778" t="s">
        <v>51</v>
      </c>
      <c r="E1778" t="s">
        <v>52</v>
      </c>
      <c r="F1778" t="s">
        <v>40</v>
      </c>
      <c r="G1778" t="s">
        <v>63</v>
      </c>
      <c r="H1778" t="s">
        <v>24</v>
      </c>
      <c r="I1778" t="s">
        <v>55</v>
      </c>
      <c r="J1778" t="s">
        <v>26</v>
      </c>
      <c r="K1778" t="s">
        <v>44</v>
      </c>
      <c r="L1778" t="s">
        <v>28</v>
      </c>
      <c r="M1778" s="4">
        <v>25</v>
      </c>
      <c r="N1778" s="4">
        <v>7</v>
      </c>
      <c r="O1778" t="s">
        <v>29</v>
      </c>
      <c r="P1778" t="s">
        <v>29</v>
      </c>
      <c r="Q1778" s="4">
        <v>375678</v>
      </c>
      <c r="R1778" s="4">
        <v>231496</v>
      </c>
      <c r="S1778" s="4">
        <f>Table1[[#This Row],[Service_Revenue]]-Table1[[#This Row],[Service_Cost]]</f>
        <v>144182</v>
      </c>
      <c r="T1778" s="4">
        <v>1</v>
      </c>
      <c r="U1778" s="4">
        <f>IF(AND(Table1[[#This Row],[Rework_Flag]]="Yes",Table1[[#This Row],[Warranty_Claim]]="No"),Table1[[#This Row],[Service_Revenue]],0)</f>
        <v>0</v>
      </c>
      <c r="V1778" s="4">
        <f>IF(Table1[[#This Row],[Warranty_Claim]]="Yes",1,0)</f>
        <v>1</v>
      </c>
      <c r="W1778" s="4">
        <f>IF(Table1[[#This Row],[Rework_Flag]]="No",1,0)</f>
        <v>0</v>
      </c>
      <c r="X1778" s="4">
        <f>IF(Table1[[#This Row],[Rework_Flag]]="Yes",1,0)</f>
        <v>1</v>
      </c>
      <c r="Y1778" s="4">
        <v>1</v>
      </c>
      <c r="Z1778" s="4" t="str">
        <f>IF(Table1[[#This Row],[TAT_Days]]&gt;Table1[[#This Row],[SLA_TAT]],"Yes","No")</f>
        <v>Yes</v>
      </c>
      <c r="AA1778" s="4" t="str" cm="1">
        <f t="array" ref="AA1778">_xlfn.IFS(Table1[[#This Row],[Customer_Satisfaction]]&lt;=2,"Poor",Table1[[#This Row],[Customer_Satisfaction]]=3,"Neutral",Table1[[#This Row],[Customer_Satisfaction]]=4,"Good",Table1[[#This Row],[Customer_Satisfaction]]=5,"Good")</f>
        <v>Poor</v>
      </c>
    </row>
    <row r="1779" spans="1:27" x14ac:dyDescent="0.35">
      <c r="A1779">
        <v>21777</v>
      </c>
      <c r="B1779" s="1">
        <v>45311</v>
      </c>
      <c r="C1779" t="s">
        <v>37</v>
      </c>
      <c r="D1779" t="s">
        <v>38</v>
      </c>
      <c r="E1779" t="s">
        <v>107</v>
      </c>
      <c r="F1779" t="s">
        <v>40</v>
      </c>
      <c r="G1779" t="s">
        <v>63</v>
      </c>
      <c r="H1779" t="s">
        <v>24</v>
      </c>
      <c r="I1779" t="s">
        <v>55</v>
      </c>
      <c r="J1779" t="s">
        <v>67</v>
      </c>
      <c r="K1779" t="s">
        <v>61</v>
      </c>
      <c r="L1779" t="s">
        <v>28</v>
      </c>
      <c r="M1779" s="4">
        <v>9</v>
      </c>
      <c r="N1779" s="4">
        <v>7</v>
      </c>
      <c r="O1779" t="s">
        <v>36</v>
      </c>
      <c r="P1779" t="s">
        <v>36</v>
      </c>
      <c r="Q1779" s="4">
        <v>558971</v>
      </c>
      <c r="R1779" s="4">
        <v>304950</v>
      </c>
      <c r="S1779" s="4">
        <f>Table1[[#This Row],[Service_Revenue]]-Table1[[#This Row],[Service_Cost]]</f>
        <v>254021</v>
      </c>
      <c r="T1779" s="4">
        <v>4</v>
      </c>
      <c r="U1779" s="4">
        <f>IF(AND(Table1[[#This Row],[Rework_Flag]]="Yes",Table1[[#This Row],[Warranty_Claim]]="No"),Table1[[#This Row],[Service_Revenue]],0)</f>
        <v>0</v>
      </c>
      <c r="V1779" s="4">
        <f>IF(Table1[[#This Row],[Warranty_Claim]]="Yes",1,0)</f>
        <v>0</v>
      </c>
      <c r="W1779" s="4">
        <f>IF(Table1[[#This Row],[Rework_Flag]]="No",1,0)</f>
        <v>1</v>
      </c>
      <c r="X1779" s="4">
        <f>IF(Table1[[#This Row],[Rework_Flag]]="Yes",1,0)</f>
        <v>0</v>
      </c>
      <c r="Y1779" s="4">
        <v>1</v>
      </c>
      <c r="Z1779" s="4" t="str">
        <f>IF(Table1[[#This Row],[TAT_Days]]&gt;Table1[[#This Row],[SLA_TAT]],"Yes","No")</f>
        <v>Yes</v>
      </c>
      <c r="AA1779" s="4" t="str" cm="1">
        <f t="array" ref="AA1779">_xlfn.IFS(Table1[[#This Row],[Customer_Satisfaction]]&lt;=2,"Poor",Table1[[#This Row],[Customer_Satisfaction]]=3,"Neutral",Table1[[#This Row],[Customer_Satisfaction]]=4,"Good",Table1[[#This Row],[Customer_Satisfaction]]=5,"Good")</f>
        <v>Good</v>
      </c>
    </row>
    <row r="1780" spans="1:27" x14ac:dyDescent="0.35">
      <c r="A1780">
        <v>21778</v>
      </c>
      <c r="B1780" s="1">
        <v>45345</v>
      </c>
      <c r="C1780" t="s">
        <v>19</v>
      </c>
      <c r="D1780" t="s">
        <v>96</v>
      </c>
      <c r="E1780" t="s">
        <v>109</v>
      </c>
      <c r="F1780" t="s">
        <v>22</v>
      </c>
      <c r="G1780" t="s">
        <v>33</v>
      </c>
      <c r="H1780" t="s">
        <v>34</v>
      </c>
      <c r="I1780" t="s">
        <v>55</v>
      </c>
      <c r="J1780" t="s">
        <v>43</v>
      </c>
      <c r="K1780" t="s">
        <v>27</v>
      </c>
      <c r="L1780" t="s">
        <v>49</v>
      </c>
      <c r="M1780" s="4">
        <v>20</v>
      </c>
      <c r="N1780" s="4">
        <v>7</v>
      </c>
      <c r="O1780" t="s">
        <v>29</v>
      </c>
      <c r="P1780" t="s">
        <v>29</v>
      </c>
      <c r="Q1780" s="4">
        <v>99336</v>
      </c>
      <c r="R1780" s="4">
        <v>67924</v>
      </c>
      <c r="S1780" s="4">
        <f>Table1[[#This Row],[Service_Revenue]]-Table1[[#This Row],[Service_Cost]]</f>
        <v>31412</v>
      </c>
      <c r="T1780" s="4">
        <v>1</v>
      </c>
      <c r="U1780" s="4">
        <f>IF(AND(Table1[[#This Row],[Rework_Flag]]="Yes",Table1[[#This Row],[Warranty_Claim]]="No"),Table1[[#This Row],[Service_Revenue]],0)</f>
        <v>0</v>
      </c>
      <c r="V1780" s="4">
        <f>IF(Table1[[#This Row],[Warranty_Claim]]="Yes",1,0)</f>
        <v>1</v>
      </c>
      <c r="W1780" s="4">
        <f>IF(Table1[[#This Row],[Rework_Flag]]="No",1,0)</f>
        <v>0</v>
      </c>
      <c r="X1780" s="4">
        <f>IF(Table1[[#This Row],[Rework_Flag]]="Yes",1,0)</f>
        <v>1</v>
      </c>
      <c r="Y1780" s="4">
        <v>1</v>
      </c>
      <c r="Z1780" s="4" t="str">
        <f>IF(Table1[[#This Row],[TAT_Days]]&gt;Table1[[#This Row],[SLA_TAT]],"Yes","No")</f>
        <v>Yes</v>
      </c>
      <c r="AA1780" s="4" t="str" cm="1">
        <f t="array" ref="AA1780">_xlfn.IFS(Table1[[#This Row],[Customer_Satisfaction]]&lt;=2,"Poor",Table1[[#This Row],[Customer_Satisfaction]]=3,"Neutral",Table1[[#This Row],[Customer_Satisfaction]]=4,"Good",Table1[[#This Row],[Customer_Satisfaction]]=5,"Good")</f>
        <v>Poor</v>
      </c>
    </row>
    <row r="1781" spans="1:27" x14ac:dyDescent="0.35">
      <c r="A1781">
        <v>21779</v>
      </c>
      <c r="B1781" s="1">
        <v>45309</v>
      </c>
      <c r="C1781" t="s">
        <v>50</v>
      </c>
      <c r="D1781" t="s">
        <v>56</v>
      </c>
      <c r="E1781" t="s">
        <v>68</v>
      </c>
      <c r="F1781" t="s">
        <v>22</v>
      </c>
      <c r="G1781" t="s">
        <v>63</v>
      </c>
      <c r="H1781" t="s">
        <v>24</v>
      </c>
      <c r="I1781" t="s">
        <v>55</v>
      </c>
      <c r="J1781" t="s">
        <v>26</v>
      </c>
      <c r="K1781" t="s">
        <v>61</v>
      </c>
      <c r="L1781" t="s">
        <v>28</v>
      </c>
      <c r="M1781" s="4">
        <v>10</v>
      </c>
      <c r="N1781" s="4">
        <v>7</v>
      </c>
      <c r="O1781" t="s">
        <v>29</v>
      </c>
      <c r="P1781" t="s">
        <v>36</v>
      </c>
      <c r="Q1781" s="4">
        <v>109889</v>
      </c>
      <c r="R1781" s="4">
        <v>67006</v>
      </c>
      <c r="S1781" s="4">
        <f>Table1[[#This Row],[Service_Revenue]]-Table1[[#This Row],[Service_Cost]]</f>
        <v>42883</v>
      </c>
      <c r="T1781" s="4">
        <v>2</v>
      </c>
      <c r="U1781" s="4">
        <f>IF(AND(Table1[[#This Row],[Rework_Flag]]="Yes",Table1[[#This Row],[Warranty_Claim]]="No"),Table1[[#This Row],[Service_Revenue]],0)</f>
        <v>109889</v>
      </c>
      <c r="V1781" s="4">
        <f>IF(Table1[[#This Row],[Warranty_Claim]]="Yes",1,0)</f>
        <v>0</v>
      </c>
      <c r="W1781" s="4">
        <f>IF(Table1[[#This Row],[Rework_Flag]]="No",1,0)</f>
        <v>0</v>
      </c>
      <c r="X1781" s="4">
        <f>IF(Table1[[#This Row],[Rework_Flag]]="Yes",1,0)</f>
        <v>1</v>
      </c>
      <c r="Y1781" s="4">
        <v>1</v>
      </c>
      <c r="Z1781" s="4" t="str">
        <f>IF(Table1[[#This Row],[TAT_Days]]&gt;Table1[[#This Row],[SLA_TAT]],"Yes","No")</f>
        <v>Yes</v>
      </c>
      <c r="AA1781" s="4" t="str" cm="1">
        <f t="array" ref="AA1781">_xlfn.IFS(Table1[[#This Row],[Customer_Satisfaction]]&lt;=2,"Poor",Table1[[#This Row],[Customer_Satisfaction]]=3,"Neutral",Table1[[#This Row],[Customer_Satisfaction]]=4,"Good",Table1[[#This Row],[Customer_Satisfaction]]=5,"Good")</f>
        <v>Poor</v>
      </c>
    </row>
    <row r="1782" spans="1:27" x14ac:dyDescent="0.35">
      <c r="A1782">
        <v>21780</v>
      </c>
      <c r="B1782" s="1">
        <v>45362</v>
      </c>
      <c r="C1782" t="s">
        <v>30</v>
      </c>
      <c r="D1782" t="s">
        <v>59</v>
      </c>
      <c r="E1782" t="s">
        <v>78</v>
      </c>
      <c r="F1782" t="s">
        <v>53</v>
      </c>
      <c r="G1782" t="s">
        <v>41</v>
      </c>
      <c r="H1782" t="s">
        <v>42</v>
      </c>
      <c r="I1782" t="s">
        <v>55</v>
      </c>
      <c r="J1782" t="s">
        <v>35</v>
      </c>
      <c r="K1782" t="s">
        <v>61</v>
      </c>
      <c r="L1782" t="s">
        <v>28</v>
      </c>
      <c r="M1782" s="4">
        <v>22</v>
      </c>
      <c r="N1782" s="4">
        <v>7</v>
      </c>
      <c r="O1782" t="s">
        <v>29</v>
      </c>
      <c r="P1782" t="s">
        <v>36</v>
      </c>
      <c r="Q1782" s="4">
        <v>280913</v>
      </c>
      <c r="R1782" s="4">
        <v>212697</v>
      </c>
      <c r="S1782" s="4">
        <f>Table1[[#This Row],[Service_Revenue]]-Table1[[#This Row],[Service_Cost]]</f>
        <v>68216</v>
      </c>
      <c r="T1782" s="4">
        <v>1</v>
      </c>
      <c r="U1782" s="4">
        <f>IF(AND(Table1[[#This Row],[Rework_Flag]]="Yes",Table1[[#This Row],[Warranty_Claim]]="No"),Table1[[#This Row],[Service_Revenue]],0)</f>
        <v>280913</v>
      </c>
      <c r="V1782" s="4">
        <f>IF(Table1[[#This Row],[Warranty_Claim]]="Yes",1,0)</f>
        <v>0</v>
      </c>
      <c r="W1782" s="4">
        <f>IF(Table1[[#This Row],[Rework_Flag]]="No",1,0)</f>
        <v>0</v>
      </c>
      <c r="X1782" s="4">
        <f>IF(Table1[[#This Row],[Rework_Flag]]="Yes",1,0)</f>
        <v>1</v>
      </c>
      <c r="Y1782" s="4">
        <v>1</v>
      </c>
      <c r="Z1782" s="4" t="str">
        <f>IF(Table1[[#This Row],[TAT_Days]]&gt;Table1[[#This Row],[SLA_TAT]],"Yes","No")</f>
        <v>Yes</v>
      </c>
      <c r="AA1782" s="4" t="str" cm="1">
        <f t="array" ref="AA1782">_xlfn.IFS(Table1[[#This Row],[Customer_Satisfaction]]&lt;=2,"Poor",Table1[[#This Row],[Customer_Satisfaction]]=3,"Neutral",Table1[[#This Row],[Customer_Satisfaction]]=4,"Good",Table1[[#This Row],[Customer_Satisfaction]]=5,"Good")</f>
        <v>Poor</v>
      </c>
    </row>
    <row r="1783" spans="1:27" x14ac:dyDescent="0.35">
      <c r="A1783">
        <v>21781</v>
      </c>
      <c r="B1783" s="1">
        <v>45385</v>
      </c>
      <c r="C1783" t="s">
        <v>50</v>
      </c>
      <c r="D1783" t="s">
        <v>80</v>
      </c>
      <c r="E1783" t="s">
        <v>121</v>
      </c>
      <c r="F1783" t="s">
        <v>22</v>
      </c>
      <c r="G1783" t="s">
        <v>63</v>
      </c>
      <c r="H1783" t="s">
        <v>24</v>
      </c>
      <c r="I1783" t="s">
        <v>55</v>
      </c>
      <c r="J1783" t="s">
        <v>35</v>
      </c>
      <c r="K1783" t="s">
        <v>27</v>
      </c>
      <c r="L1783" t="s">
        <v>49</v>
      </c>
      <c r="M1783" s="4">
        <v>17</v>
      </c>
      <c r="N1783" s="4">
        <v>7</v>
      </c>
      <c r="O1783" t="s">
        <v>29</v>
      </c>
      <c r="P1783" t="s">
        <v>29</v>
      </c>
      <c r="Q1783" s="4">
        <v>386426</v>
      </c>
      <c r="R1783" s="4">
        <v>272155</v>
      </c>
      <c r="S1783" s="4">
        <f>Table1[[#This Row],[Service_Revenue]]-Table1[[#This Row],[Service_Cost]]</f>
        <v>114271</v>
      </c>
      <c r="T1783" s="4">
        <v>1</v>
      </c>
      <c r="U1783" s="4">
        <f>IF(AND(Table1[[#This Row],[Rework_Flag]]="Yes",Table1[[#This Row],[Warranty_Claim]]="No"),Table1[[#This Row],[Service_Revenue]],0)</f>
        <v>0</v>
      </c>
      <c r="V1783" s="4">
        <f>IF(Table1[[#This Row],[Warranty_Claim]]="Yes",1,0)</f>
        <v>1</v>
      </c>
      <c r="W1783" s="4">
        <f>IF(Table1[[#This Row],[Rework_Flag]]="No",1,0)</f>
        <v>0</v>
      </c>
      <c r="X1783" s="4">
        <f>IF(Table1[[#This Row],[Rework_Flag]]="Yes",1,0)</f>
        <v>1</v>
      </c>
      <c r="Y1783" s="4">
        <v>1</v>
      </c>
      <c r="Z1783" s="4" t="str">
        <f>IF(Table1[[#This Row],[TAT_Days]]&gt;Table1[[#This Row],[SLA_TAT]],"Yes","No")</f>
        <v>Yes</v>
      </c>
      <c r="AA1783" s="4" t="str" cm="1">
        <f t="array" ref="AA1783">_xlfn.IFS(Table1[[#This Row],[Customer_Satisfaction]]&lt;=2,"Poor",Table1[[#This Row],[Customer_Satisfaction]]=3,"Neutral",Table1[[#This Row],[Customer_Satisfaction]]=4,"Good",Table1[[#This Row],[Customer_Satisfaction]]=5,"Good")</f>
        <v>Poor</v>
      </c>
    </row>
    <row r="1784" spans="1:27" x14ac:dyDescent="0.35">
      <c r="A1784">
        <v>21782</v>
      </c>
      <c r="B1784" s="1">
        <v>45379</v>
      </c>
      <c r="C1784" t="s">
        <v>19</v>
      </c>
      <c r="D1784" t="s">
        <v>96</v>
      </c>
      <c r="E1784" t="s">
        <v>108</v>
      </c>
      <c r="F1784" t="s">
        <v>22</v>
      </c>
      <c r="G1784" t="s">
        <v>74</v>
      </c>
      <c r="H1784" t="s">
        <v>34</v>
      </c>
      <c r="I1784" t="s">
        <v>55</v>
      </c>
      <c r="J1784" t="s">
        <v>58</v>
      </c>
      <c r="K1784" t="s">
        <v>27</v>
      </c>
      <c r="L1784" t="s">
        <v>49</v>
      </c>
      <c r="M1784" s="4">
        <v>3</v>
      </c>
      <c r="N1784" s="4">
        <v>7</v>
      </c>
      <c r="O1784" t="s">
        <v>29</v>
      </c>
      <c r="P1784" t="s">
        <v>36</v>
      </c>
      <c r="Q1784" s="4">
        <v>430460</v>
      </c>
      <c r="R1784" s="4">
        <v>249036</v>
      </c>
      <c r="S1784" s="4">
        <f>Table1[[#This Row],[Service_Revenue]]-Table1[[#This Row],[Service_Cost]]</f>
        <v>181424</v>
      </c>
      <c r="T1784" s="4">
        <v>4</v>
      </c>
      <c r="U1784" s="4">
        <f>IF(AND(Table1[[#This Row],[Rework_Flag]]="Yes",Table1[[#This Row],[Warranty_Claim]]="No"),Table1[[#This Row],[Service_Revenue]],0)</f>
        <v>430460</v>
      </c>
      <c r="V1784" s="4">
        <f>IF(Table1[[#This Row],[Warranty_Claim]]="Yes",1,0)</f>
        <v>0</v>
      </c>
      <c r="W1784" s="4">
        <f>IF(Table1[[#This Row],[Rework_Flag]]="No",1,0)</f>
        <v>0</v>
      </c>
      <c r="X1784" s="4">
        <f>IF(Table1[[#This Row],[Rework_Flag]]="Yes",1,0)</f>
        <v>1</v>
      </c>
      <c r="Y1784" s="4">
        <v>1</v>
      </c>
      <c r="Z1784" s="4" t="str">
        <f>IF(Table1[[#This Row],[TAT_Days]]&gt;Table1[[#This Row],[SLA_TAT]],"Yes","No")</f>
        <v>No</v>
      </c>
      <c r="AA1784" s="4" t="str" cm="1">
        <f t="array" ref="AA1784">_xlfn.IFS(Table1[[#This Row],[Customer_Satisfaction]]&lt;=2,"Poor",Table1[[#This Row],[Customer_Satisfaction]]=3,"Neutral",Table1[[#This Row],[Customer_Satisfaction]]=4,"Good",Table1[[#This Row],[Customer_Satisfaction]]=5,"Good")</f>
        <v>Good</v>
      </c>
    </row>
    <row r="1785" spans="1:27" x14ac:dyDescent="0.35">
      <c r="A1785">
        <v>21783</v>
      </c>
      <c r="B1785" s="1">
        <v>45295</v>
      </c>
      <c r="C1785" t="s">
        <v>30</v>
      </c>
      <c r="D1785" t="s">
        <v>31</v>
      </c>
      <c r="E1785" t="s">
        <v>79</v>
      </c>
      <c r="F1785" t="s">
        <v>53</v>
      </c>
      <c r="G1785" t="s">
        <v>74</v>
      </c>
      <c r="H1785" t="s">
        <v>34</v>
      </c>
      <c r="I1785" t="s">
        <v>25</v>
      </c>
      <c r="J1785" t="s">
        <v>67</v>
      </c>
      <c r="K1785" t="s">
        <v>44</v>
      </c>
      <c r="L1785" t="s">
        <v>28</v>
      </c>
      <c r="M1785" s="4">
        <v>24</v>
      </c>
      <c r="N1785" s="4">
        <v>7</v>
      </c>
      <c r="O1785" t="s">
        <v>29</v>
      </c>
      <c r="P1785" t="s">
        <v>29</v>
      </c>
      <c r="Q1785" s="4">
        <v>329601</v>
      </c>
      <c r="R1785" s="4">
        <v>249293</v>
      </c>
      <c r="S1785" s="4">
        <f>Table1[[#This Row],[Service_Revenue]]-Table1[[#This Row],[Service_Cost]]</f>
        <v>80308</v>
      </c>
      <c r="T1785" s="4">
        <v>1</v>
      </c>
      <c r="U1785" s="4">
        <f>IF(AND(Table1[[#This Row],[Rework_Flag]]="Yes",Table1[[#This Row],[Warranty_Claim]]="No"),Table1[[#This Row],[Service_Revenue]],0)</f>
        <v>0</v>
      </c>
      <c r="V1785" s="4">
        <f>IF(Table1[[#This Row],[Warranty_Claim]]="Yes",1,0)</f>
        <v>1</v>
      </c>
      <c r="W1785" s="4">
        <f>IF(Table1[[#This Row],[Rework_Flag]]="No",1,0)</f>
        <v>0</v>
      </c>
      <c r="X1785" s="4">
        <f>IF(Table1[[#This Row],[Rework_Flag]]="Yes",1,0)</f>
        <v>1</v>
      </c>
      <c r="Y1785" s="4">
        <v>1</v>
      </c>
      <c r="Z1785" s="4" t="str">
        <f>IF(Table1[[#This Row],[TAT_Days]]&gt;Table1[[#This Row],[SLA_TAT]],"Yes","No")</f>
        <v>Yes</v>
      </c>
      <c r="AA1785" s="4" t="str" cm="1">
        <f t="array" ref="AA1785">_xlfn.IFS(Table1[[#This Row],[Customer_Satisfaction]]&lt;=2,"Poor",Table1[[#This Row],[Customer_Satisfaction]]=3,"Neutral",Table1[[#This Row],[Customer_Satisfaction]]=4,"Good",Table1[[#This Row],[Customer_Satisfaction]]=5,"Good")</f>
        <v>Poor</v>
      </c>
    </row>
    <row r="1786" spans="1:27" x14ac:dyDescent="0.35">
      <c r="A1786">
        <v>21784</v>
      </c>
      <c r="B1786" s="1">
        <v>45409</v>
      </c>
      <c r="C1786" t="s">
        <v>30</v>
      </c>
      <c r="D1786" t="s">
        <v>31</v>
      </c>
      <c r="E1786" t="s">
        <v>32</v>
      </c>
      <c r="F1786" t="s">
        <v>22</v>
      </c>
      <c r="G1786" t="s">
        <v>33</v>
      </c>
      <c r="H1786" t="s">
        <v>34</v>
      </c>
      <c r="I1786" t="s">
        <v>55</v>
      </c>
      <c r="J1786" t="s">
        <v>43</v>
      </c>
      <c r="K1786" t="s">
        <v>61</v>
      </c>
      <c r="L1786" t="s">
        <v>28</v>
      </c>
      <c r="M1786" s="4">
        <v>12</v>
      </c>
      <c r="N1786" s="4">
        <v>7</v>
      </c>
      <c r="O1786" t="s">
        <v>29</v>
      </c>
      <c r="P1786" t="s">
        <v>36</v>
      </c>
      <c r="Q1786" s="4">
        <v>446803</v>
      </c>
      <c r="R1786" s="4">
        <v>243440</v>
      </c>
      <c r="S1786" s="4">
        <f>Table1[[#This Row],[Service_Revenue]]-Table1[[#This Row],[Service_Cost]]</f>
        <v>203363</v>
      </c>
      <c r="T1786" s="4">
        <v>2</v>
      </c>
      <c r="U1786" s="4">
        <f>IF(AND(Table1[[#This Row],[Rework_Flag]]="Yes",Table1[[#This Row],[Warranty_Claim]]="No"),Table1[[#This Row],[Service_Revenue]],0)</f>
        <v>446803</v>
      </c>
      <c r="V1786" s="4">
        <f>IF(Table1[[#This Row],[Warranty_Claim]]="Yes",1,0)</f>
        <v>0</v>
      </c>
      <c r="W1786" s="4">
        <f>IF(Table1[[#This Row],[Rework_Flag]]="No",1,0)</f>
        <v>0</v>
      </c>
      <c r="X1786" s="4">
        <f>IF(Table1[[#This Row],[Rework_Flag]]="Yes",1,0)</f>
        <v>1</v>
      </c>
      <c r="Y1786" s="4">
        <v>1</v>
      </c>
      <c r="Z1786" s="4" t="str">
        <f>IF(Table1[[#This Row],[TAT_Days]]&gt;Table1[[#This Row],[SLA_TAT]],"Yes","No")</f>
        <v>Yes</v>
      </c>
      <c r="AA1786" s="4" t="str" cm="1">
        <f t="array" ref="AA1786">_xlfn.IFS(Table1[[#This Row],[Customer_Satisfaction]]&lt;=2,"Poor",Table1[[#This Row],[Customer_Satisfaction]]=3,"Neutral",Table1[[#This Row],[Customer_Satisfaction]]=4,"Good",Table1[[#This Row],[Customer_Satisfaction]]=5,"Good")</f>
        <v>Poor</v>
      </c>
    </row>
    <row r="1787" spans="1:27" x14ac:dyDescent="0.35">
      <c r="A1787">
        <v>21785</v>
      </c>
      <c r="B1787" s="1">
        <v>45302</v>
      </c>
      <c r="C1787" t="s">
        <v>30</v>
      </c>
      <c r="D1787" t="s">
        <v>59</v>
      </c>
      <c r="E1787" t="s">
        <v>94</v>
      </c>
      <c r="F1787" t="s">
        <v>53</v>
      </c>
      <c r="G1787" t="s">
        <v>63</v>
      </c>
      <c r="H1787" t="s">
        <v>24</v>
      </c>
      <c r="I1787" t="s">
        <v>25</v>
      </c>
      <c r="J1787" t="s">
        <v>67</v>
      </c>
      <c r="K1787" t="s">
        <v>61</v>
      </c>
      <c r="L1787" t="s">
        <v>49</v>
      </c>
      <c r="M1787" s="4">
        <v>13</v>
      </c>
      <c r="N1787" s="4">
        <v>7</v>
      </c>
      <c r="O1787" t="s">
        <v>29</v>
      </c>
      <c r="P1787" t="s">
        <v>29</v>
      </c>
      <c r="Q1787" s="4">
        <v>115648</v>
      </c>
      <c r="R1787" s="4">
        <v>73708</v>
      </c>
      <c r="S1787" s="4">
        <f>Table1[[#This Row],[Service_Revenue]]-Table1[[#This Row],[Service_Cost]]</f>
        <v>41940</v>
      </c>
      <c r="T1787" s="4">
        <v>2</v>
      </c>
      <c r="U1787" s="4">
        <f>IF(AND(Table1[[#This Row],[Rework_Flag]]="Yes",Table1[[#This Row],[Warranty_Claim]]="No"),Table1[[#This Row],[Service_Revenue]],0)</f>
        <v>0</v>
      </c>
      <c r="V1787" s="4">
        <f>IF(Table1[[#This Row],[Warranty_Claim]]="Yes",1,0)</f>
        <v>1</v>
      </c>
      <c r="W1787" s="4">
        <f>IF(Table1[[#This Row],[Rework_Flag]]="No",1,0)</f>
        <v>0</v>
      </c>
      <c r="X1787" s="4">
        <f>IF(Table1[[#This Row],[Rework_Flag]]="Yes",1,0)</f>
        <v>1</v>
      </c>
      <c r="Y1787" s="4">
        <v>1</v>
      </c>
      <c r="Z1787" s="4" t="str">
        <f>IF(Table1[[#This Row],[TAT_Days]]&gt;Table1[[#This Row],[SLA_TAT]],"Yes","No")</f>
        <v>Yes</v>
      </c>
      <c r="AA1787" s="4" t="str" cm="1">
        <f t="array" ref="AA1787">_xlfn.IFS(Table1[[#This Row],[Customer_Satisfaction]]&lt;=2,"Poor",Table1[[#This Row],[Customer_Satisfaction]]=3,"Neutral",Table1[[#This Row],[Customer_Satisfaction]]=4,"Good",Table1[[#This Row],[Customer_Satisfaction]]=5,"Good")</f>
        <v>Poor</v>
      </c>
    </row>
    <row r="1788" spans="1:27" x14ac:dyDescent="0.35">
      <c r="A1788">
        <v>21786</v>
      </c>
      <c r="B1788" s="1">
        <v>45451</v>
      </c>
      <c r="C1788" t="s">
        <v>19</v>
      </c>
      <c r="D1788" t="s">
        <v>96</v>
      </c>
      <c r="E1788" t="s">
        <v>109</v>
      </c>
      <c r="F1788" t="s">
        <v>22</v>
      </c>
      <c r="G1788" t="s">
        <v>41</v>
      </c>
      <c r="H1788" t="s">
        <v>42</v>
      </c>
      <c r="I1788" t="s">
        <v>55</v>
      </c>
      <c r="J1788" t="s">
        <v>58</v>
      </c>
      <c r="K1788" t="s">
        <v>61</v>
      </c>
      <c r="L1788" t="s">
        <v>49</v>
      </c>
      <c r="M1788" s="4">
        <v>19</v>
      </c>
      <c r="N1788" s="4">
        <v>7</v>
      </c>
      <c r="O1788" t="s">
        <v>29</v>
      </c>
      <c r="P1788" t="s">
        <v>29</v>
      </c>
      <c r="Q1788" s="4">
        <v>310393</v>
      </c>
      <c r="R1788" s="4">
        <v>249034</v>
      </c>
      <c r="S1788" s="4">
        <f>Table1[[#This Row],[Service_Revenue]]-Table1[[#This Row],[Service_Cost]]</f>
        <v>61359</v>
      </c>
      <c r="T1788" s="4">
        <v>1</v>
      </c>
      <c r="U1788" s="4">
        <f>IF(AND(Table1[[#This Row],[Rework_Flag]]="Yes",Table1[[#This Row],[Warranty_Claim]]="No"),Table1[[#This Row],[Service_Revenue]],0)</f>
        <v>0</v>
      </c>
      <c r="V1788" s="4">
        <f>IF(Table1[[#This Row],[Warranty_Claim]]="Yes",1,0)</f>
        <v>1</v>
      </c>
      <c r="W1788" s="4">
        <f>IF(Table1[[#This Row],[Rework_Flag]]="No",1,0)</f>
        <v>0</v>
      </c>
      <c r="X1788" s="4">
        <f>IF(Table1[[#This Row],[Rework_Flag]]="Yes",1,0)</f>
        <v>1</v>
      </c>
      <c r="Y1788" s="4">
        <v>1</v>
      </c>
      <c r="Z1788" s="4" t="str">
        <f>IF(Table1[[#This Row],[TAT_Days]]&gt;Table1[[#This Row],[SLA_TAT]],"Yes","No")</f>
        <v>Yes</v>
      </c>
      <c r="AA1788" s="4" t="str" cm="1">
        <f t="array" ref="AA1788">_xlfn.IFS(Table1[[#This Row],[Customer_Satisfaction]]&lt;=2,"Poor",Table1[[#This Row],[Customer_Satisfaction]]=3,"Neutral",Table1[[#This Row],[Customer_Satisfaction]]=4,"Good",Table1[[#This Row],[Customer_Satisfaction]]=5,"Good")</f>
        <v>Poor</v>
      </c>
    </row>
    <row r="1789" spans="1:27" x14ac:dyDescent="0.35">
      <c r="A1789">
        <v>21787</v>
      </c>
      <c r="B1789" s="1">
        <v>45411</v>
      </c>
      <c r="C1789" t="s">
        <v>37</v>
      </c>
      <c r="D1789" t="s">
        <v>38</v>
      </c>
      <c r="E1789" t="s">
        <v>102</v>
      </c>
      <c r="F1789" t="s">
        <v>40</v>
      </c>
      <c r="G1789" t="s">
        <v>63</v>
      </c>
      <c r="H1789" t="s">
        <v>24</v>
      </c>
      <c r="I1789" t="s">
        <v>55</v>
      </c>
      <c r="J1789" t="s">
        <v>58</v>
      </c>
      <c r="K1789" t="s">
        <v>44</v>
      </c>
      <c r="L1789" t="s">
        <v>49</v>
      </c>
      <c r="M1789" s="4">
        <v>2</v>
      </c>
      <c r="N1789" s="4">
        <v>7</v>
      </c>
      <c r="O1789" t="s">
        <v>36</v>
      </c>
      <c r="P1789" t="s">
        <v>36</v>
      </c>
      <c r="Q1789" s="4">
        <v>241424</v>
      </c>
      <c r="R1789" s="4">
        <v>140183</v>
      </c>
      <c r="S1789" s="4">
        <f>Table1[[#This Row],[Service_Revenue]]-Table1[[#This Row],[Service_Cost]]</f>
        <v>101241</v>
      </c>
      <c r="T1789" s="4">
        <v>5</v>
      </c>
      <c r="U1789" s="4">
        <f>IF(AND(Table1[[#This Row],[Rework_Flag]]="Yes",Table1[[#This Row],[Warranty_Claim]]="No"),Table1[[#This Row],[Service_Revenue]],0)</f>
        <v>0</v>
      </c>
      <c r="V1789" s="4">
        <f>IF(Table1[[#This Row],[Warranty_Claim]]="Yes",1,0)</f>
        <v>0</v>
      </c>
      <c r="W1789" s="4">
        <f>IF(Table1[[#This Row],[Rework_Flag]]="No",1,0)</f>
        <v>1</v>
      </c>
      <c r="X1789" s="4">
        <f>IF(Table1[[#This Row],[Rework_Flag]]="Yes",1,0)</f>
        <v>0</v>
      </c>
      <c r="Y1789" s="4">
        <v>1</v>
      </c>
      <c r="Z1789" s="4" t="str">
        <f>IF(Table1[[#This Row],[TAT_Days]]&gt;Table1[[#This Row],[SLA_TAT]],"Yes","No")</f>
        <v>No</v>
      </c>
      <c r="AA1789" s="4" t="str" cm="1">
        <f t="array" ref="AA1789">_xlfn.IFS(Table1[[#This Row],[Customer_Satisfaction]]&lt;=2,"Poor",Table1[[#This Row],[Customer_Satisfaction]]=3,"Neutral",Table1[[#This Row],[Customer_Satisfaction]]=4,"Good",Table1[[#This Row],[Customer_Satisfaction]]=5,"Good")</f>
        <v>Good</v>
      </c>
    </row>
    <row r="1790" spans="1:27" x14ac:dyDescent="0.35">
      <c r="A1790">
        <v>21788</v>
      </c>
      <c r="B1790" s="1">
        <v>45431</v>
      </c>
      <c r="C1790" t="s">
        <v>50</v>
      </c>
      <c r="D1790" t="s">
        <v>56</v>
      </c>
      <c r="E1790" t="s">
        <v>57</v>
      </c>
      <c r="F1790" t="s">
        <v>40</v>
      </c>
      <c r="G1790" t="s">
        <v>23</v>
      </c>
      <c r="H1790" t="s">
        <v>24</v>
      </c>
      <c r="I1790" t="s">
        <v>25</v>
      </c>
      <c r="J1790" t="s">
        <v>67</v>
      </c>
      <c r="K1790" t="s">
        <v>61</v>
      </c>
      <c r="L1790" t="s">
        <v>28</v>
      </c>
      <c r="M1790" s="4">
        <v>12</v>
      </c>
      <c r="N1790" s="4">
        <v>7</v>
      </c>
      <c r="O1790" t="s">
        <v>36</v>
      </c>
      <c r="P1790" t="s">
        <v>36</v>
      </c>
      <c r="Q1790" s="4">
        <v>551382</v>
      </c>
      <c r="R1790" s="4">
        <v>439400</v>
      </c>
      <c r="S1790" s="4">
        <f>Table1[[#This Row],[Service_Revenue]]-Table1[[#This Row],[Service_Cost]]</f>
        <v>111982</v>
      </c>
      <c r="T1790" s="4">
        <v>3</v>
      </c>
      <c r="U1790" s="4">
        <f>IF(AND(Table1[[#This Row],[Rework_Flag]]="Yes",Table1[[#This Row],[Warranty_Claim]]="No"),Table1[[#This Row],[Service_Revenue]],0)</f>
        <v>0</v>
      </c>
      <c r="V1790" s="4">
        <f>IF(Table1[[#This Row],[Warranty_Claim]]="Yes",1,0)</f>
        <v>0</v>
      </c>
      <c r="W1790" s="4">
        <f>IF(Table1[[#This Row],[Rework_Flag]]="No",1,0)</f>
        <v>1</v>
      </c>
      <c r="X1790" s="4">
        <f>IF(Table1[[#This Row],[Rework_Flag]]="Yes",1,0)</f>
        <v>0</v>
      </c>
      <c r="Y1790" s="4">
        <v>1</v>
      </c>
      <c r="Z1790" s="4" t="str">
        <f>IF(Table1[[#This Row],[TAT_Days]]&gt;Table1[[#This Row],[SLA_TAT]],"Yes","No")</f>
        <v>Yes</v>
      </c>
      <c r="AA1790" s="4" t="str" cm="1">
        <f t="array" ref="AA1790">_xlfn.IFS(Table1[[#This Row],[Customer_Satisfaction]]&lt;=2,"Poor",Table1[[#This Row],[Customer_Satisfaction]]=3,"Neutral",Table1[[#This Row],[Customer_Satisfaction]]=4,"Good",Table1[[#This Row],[Customer_Satisfaction]]=5,"Good")</f>
        <v>Neutral</v>
      </c>
    </row>
    <row r="1791" spans="1:27" x14ac:dyDescent="0.35">
      <c r="A1791">
        <v>21789</v>
      </c>
      <c r="B1791" s="1">
        <v>45437</v>
      </c>
      <c r="C1791" t="s">
        <v>50</v>
      </c>
      <c r="D1791" t="s">
        <v>80</v>
      </c>
      <c r="E1791" t="s">
        <v>81</v>
      </c>
      <c r="F1791" t="s">
        <v>53</v>
      </c>
      <c r="G1791" t="s">
        <v>74</v>
      </c>
      <c r="H1791" t="s">
        <v>34</v>
      </c>
      <c r="I1791" t="s">
        <v>25</v>
      </c>
      <c r="J1791" t="s">
        <v>35</v>
      </c>
      <c r="K1791" t="s">
        <v>61</v>
      </c>
      <c r="L1791" t="s">
        <v>28</v>
      </c>
      <c r="M1791" s="4">
        <v>5</v>
      </c>
      <c r="N1791" s="4">
        <v>7</v>
      </c>
      <c r="O1791" t="s">
        <v>29</v>
      </c>
      <c r="P1791" t="s">
        <v>36</v>
      </c>
      <c r="Q1791" s="4">
        <v>505240</v>
      </c>
      <c r="R1791" s="4">
        <v>401764</v>
      </c>
      <c r="S1791" s="4">
        <f>Table1[[#This Row],[Service_Revenue]]-Table1[[#This Row],[Service_Cost]]</f>
        <v>103476</v>
      </c>
      <c r="T1791" s="4">
        <v>3</v>
      </c>
      <c r="U1791" s="4">
        <f>IF(AND(Table1[[#This Row],[Rework_Flag]]="Yes",Table1[[#This Row],[Warranty_Claim]]="No"),Table1[[#This Row],[Service_Revenue]],0)</f>
        <v>505240</v>
      </c>
      <c r="V1791" s="4">
        <f>IF(Table1[[#This Row],[Warranty_Claim]]="Yes",1,0)</f>
        <v>0</v>
      </c>
      <c r="W1791" s="4">
        <f>IF(Table1[[#This Row],[Rework_Flag]]="No",1,0)</f>
        <v>0</v>
      </c>
      <c r="X1791" s="4">
        <f>IF(Table1[[#This Row],[Rework_Flag]]="Yes",1,0)</f>
        <v>1</v>
      </c>
      <c r="Y1791" s="4">
        <v>1</v>
      </c>
      <c r="Z1791" s="4" t="str">
        <f>IF(Table1[[#This Row],[TAT_Days]]&gt;Table1[[#This Row],[SLA_TAT]],"Yes","No")</f>
        <v>No</v>
      </c>
      <c r="AA1791" s="4" t="str" cm="1">
        <f t="array" ref="AA1791">_xlfn.IFS(Table1[[#This Row],[Customer_Satisfaction]]&lt;=2,"Poor",Table1[[#This Row],[Customer_Satisfaction]]=3,"Neutral",Table1[[#This Row],[Customer_Satisfaction]]=4,"Good",Table1[[#This Row],[Customer_Satisfaction]]=5,"Good")</f>
        <v>Neutral</v>
      </c>
    </row>
    <row r="1792" spans="1:27" x14ac:dyDescent="0.35">
      <c r="A1792">
        <v>21790</v>
      </c>
      <c r="B1792" s="1">
        <v>45367</v>
      </c>
      <c r="C1792" t="s">
        <v>19</v>
      </c>
      <c r="D1792" t="s">
        <v>96</v>
      </c>
      <c r="E1792" t="s">
        <v>109</v>
      </c>
      <c r="F1792" t="s">
        <v>22</v>
      </c>
      <c r="G1792" t="s">
        <v>33</v>
      </c>
      <c r="H1792" t="s">
        <v>34</v>
      </c>
      <c r="I1792" t="s">
        <v>55</v>
      </c>
      <c r="J1792" t="s">
        <v>35</v>
      </c>
      <c r="K1792" t="s">
        <v>27</v>
      </c>
      <c r="L1792" t="s">
        <v>49</v>
      </c>
      <c r="M1792" s="4">
        <v>25</v>
      </c>
      <c r="N1792" s="4">
        <v>7</v>
      </c>
      <c r="O1792" t="s">
        <v>29</v>
      </c>
      <c r="P1792" t="s">
        <v>36</v>
      </c>
      <c r="Q1792" s="4">
        <v>342367</v>
      </c>
      <c r="R1792" s="4">
        <v>267561</v>
      </c>
      <c r="S1792" s="4">
        <f>Table1[[#This Row],[Service_Revenue]]-Table1[[#This Row],[Service_Cost]]</f>
        <v>74806</v>
      </c>
      <c r="T1792" s="4">
        <v>1</v>
      </c>
      <c r="U1792" s="4">
        <f>IF(AND(Table1[[#This Row],[Rework_Flag]]="Yes",Table1[[#This Row],[Warranty_Claim]]="No"),Table1[[#This Row],[Service_Revenue]],0)</f>
        <v>342367</v>
      </c>
      <c r="V1792" s="4">
        <f>IF(Table1[[#This Row],[Warranty_Claim]]="Yes",1,0)</f>
        <v>0</v>
      </c>
      <c r="W1792" s="4">
        <f>IF(Table1[[#This Row],[Rework_Flag]]="No",1,0)</f>
        <v>0</v>
      </c>
      <c r="X1792" s="4">
        <f>IF(Table1[[#This Row],[Rework_Flag]]="Yes",1,0)</f>
        <v>1</v>
      </c>
      <c r="Y1792" s="4">
        <v>1</v>
      </c>
      <c r="Z1792" s="4" t="str">
        <f>IF(Table1[[#This Row],[TAT_Days]]&gt;Table1[[#This Row],[SLA_TAT]],"Yes","No")</f>
        <v>Yes</v>
      </c>
      <c r="AA1792" s="4" t="str" cm="1">
        <f t="array" ref="AA1792">_xlfn.IFS(Table1[[#This Row],[Customer_Satisfaction]]&lt;=2,"Poor",Table1[[#This Row],[Customer_Satisfaction]]=3,"Neutral",Table1[[#This Row],[Customer_Satisfaction]]=4,"Good",Table1[[#This Row],[Customer_Satisfaction]]=5,"Good")</f>
        <v>Poor</v>
      </c>
    </row>
    <row r="1793" spans="1:27" x14ac:dyDescent="0.35">
      <c r="A1793">
        <v>21791</v>
      </c>
      <c r="B1793" s="1">
        <v>45318</v>
      </c>
      <c r="C1793" t="s">
        <v>37</v>
      </c>
      <c r="D1793" t="s">
        <v>70</v>
      </c>
      <c r="E1793" t="s">
        <v>71</v>
      </c>
      <c r="F1793" t="s">
        <v>53</v>
      </c>
      <c r="G1793" t="s">
        <v>23</v>
      </c>
      <c r="H1793" t="s">
        <v>24</v>
      </c>
      <c r="I1793" t="s">
        <v>25</v>
      </c>
      <c r="J1793" t="s">
        <v>67</v>
      </c>
      <c r="K1793" t="s">
        <v>44</v>
      </c>
      <c r="L1793" t="s">
        <v>49</v>
      </c>
      <c r="M1793" s="4">
        <v>23</v>
      </c>
      <c r="N1793" s="4">
        <v>7</v>
      </c>
      <c r="O1793" t="s">
        <v>36</v>
      </c>
      <c r="P1793" t="s">
        <v>36</v>
      </c>
      <c r="Q1793" s="4">
        <v>228016</v>
      </c>
      <c r="R1793" s="4">
        <v>164432</v>
      </c>
      <c r="S1793" s="4">
        <f>Table1[[#This Row],[Service_Revenue]]-Table1[[#This Row],[Service_Cost]]</f>
        <v>63584</v>
      </c>
      <c r="T1793" s="4">
        <v>1</v>
      </c>
      <c r="U1793" s="4">
        <f>IF(AND(Table1[[#This Row],[Rework_Flag]]="Yes",Table1[[#This Row],[Warranty_Claim]]="No"),Table1[[#This Row],[Service_Revenue]],0)</f>
        <v>0</v>
      </c>
      <c r="V1793" s="4">
        <f>IF(Table1[[#This Row],[Warranty_Claim]]="Yes",1,0)</f>
        <v>0</v>
      </c>
      <c r="W1793" s="4">
        <f>IF(Table1[[#This Row],[Rework_Flag]]="No",1,0)</f>
        <v>1</v>
      </c>
      <c r="X1793" s="4">
        <f>IF(Table1[[#This Row],[Rework_Flag]]="Yes",1,0)</f>
        <v>0</v>
      </c>
      <c r="Y1793" s="4">
        <v>1</v>
      </c>
      <c r="Z1793" s="4" t="str">
        <f>IF(Table1[[#This Row],[TAT_Days]]&gt;Table1[[#This Row],[SLA_TAT]],"Yes","No")</f>
        <v>Yes</v>
      </c>
      <c r="AA1793" s="4" t="str" cm="1">
        <f t="array" ref="AA1793">_xlfn.IFS(Table1[[#This Row],[Customer_Satisfaction]]&lt;=2,"Poor",Table1[[#This Row],[Customer_Satisfaction]]=3,"Neutral",Table1[[#This Row],[Customer_Satisfaction]]=4,"Good",Table1[[#This Row],[Customer_Satisfaction]]=5,"Good")</f>
        <v>Poor</v>
      </c>
    </row>
    <row r="1794" spans="1:27" x14ac:dyDescent="0.35">
      <c r="A1794">
        <v>21792</v>
      </c>
      <c r="B1794" s="1">
        <v>45389</v>
      </c>
      <c r="C1794" t="s">
        <v>37</v>
      </c>
      <c r="D1794" t="s">
        <v>64</v>
      </c>
      <c r="E1794" t="s">
        <v>103</v>
      </c>
      <c r="F1794" t="s">
        <v>40</v>
      </c>
      <c r="G1794" t="s">
        <v>23</v>
      </c>
      <c r="H1794" t="s">
        <v>24</v>
      </c>
      <c r="I1794" t="s">
        <v>25</v>
      </c>
      <c r="J1794" t="s">
        <v>26</v>
      </c>
      <c r="K1794" t="s">
        <v>61</v>
      </c>
      <c r="L1794" t="s">
        <v>28</v>
      </c>
      <c r="M1794" s="4">
        <v>22</v>
      </c>
      <c r="N1794" s="4">
        <v>7</v>
      </c>
      <c r="O1794" t="s">
        <v>36</v>
      </c>
      <c r="P1794" t="s">
        <v>36</v>
      </c>
      <c r="Q1794" s="4">
        <v>340589</v>
      </c>
      <c r="R1794" s="4">
        <v>186511</v>
      </c>
      <c r="S1794" s="4">
        <f>Table1[[#This Row],[Service_Revenue]]-Table1[[#This Row],[Service_Cost]]</f>
        <v>154078</v>
      </c>
      <c r="T1794" s="4">
        <v>1</v>
      </c>
      <c r="U1794" s="4">
        <f>IF(AND(Table1[[#This Row],[Rework_Flag]]="Yes",Table1[[#This Row],[Warranty_Claim]]="No"),Table1[[#This Row],[Service_Revenue]],0)</f>
        <v>0</v>
      </c>
      <c r="V1794" s="4">
        <f>IF(Table1[[#This Row],[Warranty_Claim]]="Yes",1,0)</f>
        <v>0</v>
      </c>
      <c r="W1794" s="4">
        <f>IF(Table1[[#This Row],[Rework_Flag]]="No",1,0)</f>
        <v>1</v>
      </c>
      <c r="X1794" s="4">
        <f>IF(Table1[[#This Row],[Rework_Flag]]="Yes",1,0)</f>
        <v>0</v>
      </c>
      <c r="Y1794" s="4">
        <v>1</v>
      </c>
      <c r="Z1794" s="4" t="str">
        <f>IF(Table1[[#This Row],[TAT_Days]]&gt;Table1[[#This Row],[SLA_TAT]],"Yes","No")</f>
        <v>Yes</v>
      </c>
      <c r="AA1794" s="4" t="str" cm="1">
        <f t="array" ref="AA1794">_xlfn.IFS(Table1[[#This Row],[Customer_Satisfaction]]&lt;=2,"Poor",Table1[[#This Row],[Customer_Satisfaction]]=3,"Neutral",Table1[[#This Row],[Customer_Satisfaction]]=4,"Good",Table1[[#This Row],[Customer_Satisfaction]]=5,"Good")</f>
        <v>Poor</v>
      </c>
    </row>
    <row r="1795" spans="1:27" x14ac:dyDescent="0.35">
      <c r="A1795">
        <v>21793</v>
      </c>
      <c r="B1795" s="1">
        <v>45312</v>
      </c>
      <c r="C1795" t="s">
        <v>30</v>
      </c>
      <c r="D1795" t="s">
        <v>59</v>
      </c>
      <c r="E1795" t="s">
        <v>94</v>
      </c>
      <c r="F1795" t="s">
        <v>53</v>
      </c>
      <c r="G1795" t="s">
        <v>47</v>
      </c>
      <c r="H1795" t="s">
        <v>48</v>
      </c>
      <c r="I1795" t="s">
        <v>25</v>
      </c>
      <c r="J1795" t="s">
        <v>35</v>
      </c>
      <c r="K1795" t="s">
        <v>44</v>
      </c>
      <c r="L1795" t="s">
        <v>49</v>
      </c>
      <c r="M1795" s="4">
        <v>17</v>
      </c>
      <c r="N1795" s="4">
        <v>7</v>
      </c>
      <c r="O1795" t="s">
        <v>36</v>
      </c>
      <c r="P1795" t="s">
        <v>29</v>
      </c>
      <c r="Q1795" s="4">
        <v>418052</v>
      </c>
      <c r="R1795" s="4">
        <v>298988</v>
      </c>
      <c r="S1795" s="4">
        <f>Table1[[#This Row],[Service_Revenue]]-Table1[[#This Row],[Service_Cost]]</f>
        <v>119064</v>
      </c>
      <c r="T1795" s="4">
        <v>2</v>
      </c>
      <c r="U1795" s="4">
        <f>IF(AND(Table1[[#This Row],[Rework_Flag]]="Yes",Table1[[#This Row],[Warranty_Claim]]="No"),Table1[[#This Row],[Service_Revenue]],0)</f>
        <v>0</v>
      </c>
      <c r="V1795" s="4">
        <f>IF(Table1[[#This Row],[Warranty_Claim]]="Yes",1,0)</f>
        <v>1</v>
      </c>
      <c r="W1795" s="4">
        <f>IF(Table1[[#This Row],[Rework_Flag]]="No",1,0)</f>
        <v>1</v>
      </c>
      <c r="X1795" s="4">
        <f>IF(Table1[[#This Row],[Rework_Flag]]="Yes",1,0)</f>
        <v>0</v>
      </c>
      <c r="Y1795" s="4">
        <v>1</v>
      </c>
      <c r="Z1795" s="4" t="str">
        <f>IF(Table1[[#This Row],[TAT_Days]]&gt;Table1[[#This Row],[SLA_TAT]],"Yes","No")</f>
        <v>Yes</v>
      </c>
      <c r="AA1795" s="4" t="str" cm="1">
        <f t="array" ref="AA1795">_xlfn.IFS(Table1[[#This Row],[Customer_Satisfaction]]&lt;=2,"Poor",Table1[[#This Row],[Customer_Satisfaction]]=3,"Neutral",Table1[[#This Row],[Customer_Satisfaction]]=4,"Good",Table1[[#This Row],[Customer_Satisfaction]]=5,"Good")</f>
        <v>Poor</v>
      </c>
    </row>
    <row r="1796" spans="1:27" x14ac:dyDescent="0.35">
      <c r="A1796">
        <v>21794</v>
      </c>
      <c r="B1796" s="1">
        <v>45390</v>
      </c>
      <c r="C1796" t="s">
        <v>19</v>
      </c>
      <c r="D1796" t="s">
        <v>96</v>
      </c>
      <c r="E1796" t="s">
        <v>105</v>
      </c>
      <c r="F1796" t="s">
        <v>53</v>
      </c>
      <c r="G1796" t="s">
        <v>74</v>
      </c>
      <c r="H1796" t="s">
        <v>34</v>
      </c>
      <c r="I1796" t="s">
        <v>25</v>
      </c>
      <c r="J1796" t="s">
        <v>43</v>
      </c>
      <c r="K1796" t="s">
        <v>61</v>
      </c>
      <c r="L1796" t="s">
        <v>49</v>
      </c>
      <c r="M1796" s="4">
        <v>23</v>
      </c>
      <c r="N1796" s="4">
        <v>7</v>
      </c>
      <c r="O1796" t="s">
        <v>36</v>
      </c>
      <c r="P1796" t="s">
        <v>36</v>
      </c>
      <c r="Q1796" s="4">
        <v>320060</v>
      </c>
      <c r="R1796" s="4">
        <v>210879</v>
      </c>
      <c r="S1796" s="4">
        <f>Table1[[#This Row],[Service_Revenue]]-Table1[[#This Row],[Service_Cost]]</f>
        <v>109181</v>
      </c>
      <c r="T1796" s="4">
        <v>1</v>
      </c>
      <c r="U1796" s="4">
        <f>IF(AND(Table1[[#This Row],[Rework_Flag]]="Yes",Table1[[#This Row],[Warranty_Claim]]="No"),Table1[[#This Row],[Service_Revenue]],0)</f>
        <v>0</v>
      </c>
      <c r="V1796" s="4">
        <f>IF(Table1[[#This Row],[Warranty_Claim]]="Yes",1,0)</f>
        <v>0</v>
      </c>
      <c r="W1796" s="4">
        <f>IF(Table1[[#This Row],[Rework_Flag]]="No",1,0)</f>
        <v>1</v>
      </c>
      <c r="X1796" s="4">
        <f>IF(Table1[[#This Row],[Rework_Flag]]="Yes",1,0)</f>
        <v>0</v>
      </c>
      <c r="Y1796" s="4">
        <v>1</v>
      </c>
      <c r="Z1796" s="4" t="str">
        <f>IF(Table1[[#This Row],[TAT_Days]]&gt;Table1[[#This Row],[SLA_TAT]],"Yes","No")</f>
        <v>Yes</v>
      </c>
      <c r="AA1796" s="4" t="str" cm="1">
        <f t="array" ref="AA1796">_xlfn.IFS(Table1[[#This Row],[Customer_Satisfaction]]&lt;=2,"Poor",Table1[[#This Row],[Customer_Satisfaction]]=3,"Neutral",Table1[[#This Row],[Customer_Satisfaction]]=4,"Good",Table1[[#This Row],[Customer_Satisfaction]]=5,"Good")</f>
        <v>Poor</v>
      </c>
    </row>
    <row r="1797" spans="1:27" x14ac:dyDescent="0.35">
      <c r="A1797">
        <v>21795</v>
      </c>
      <c r="B1797" s="1">
        <v>45373</v>
      </c>
      <c r="C1797" t="s">
        <v>19</v>
      </c>
      <c r="D1797" t="s">
        <v>45</v>
      </c>
      <c r="E1797" t="s">
        <v>46</v>
      </c>
      <c r="F1797" t="s">
        <v>40</v>
      </c>
      <c r="G1797" t="s">
        <v>33</v>
      </c>
      <c r="H1797" t="s">
        <v>34</v>
      </c>
      <c r="I1797" t="s">
        <v>25</v>
      </c>
      <c r="J1797" t="s">
        <v>67</v>
      </c>
      <c r="K1797" t="s">
        <v>61</v>
      </c>
      <c r="L1797" t="s">
        <v>28</v>
      </c>
      <c r="M1797" s="4">
        <v>21</v>
      </c>
      <c r="N1797" s="4">
        <v>7</v>
      </c>
      <c r="O1797" t="s">
        <v>36</v>
      </c>
      <c r="P1797" t="s">
        <v>36</v>
      </c>
      <c r="Q1797" s="4">
        <v>541189</v>
      </c>
      <c r="R1797" s="4">
        <v>341514</v>
      </c>
      <c r="S1797" s="4">
        <f>Table1[[#This Row],[Service_Revenue]]-Table1[[#This Row],[Service_Cost]]</f>
        <v>199675</v>
      </c>
      <c r="T1797" s="4">
        <v>1</v>
      </c>
      <c r="U1797" s="4">
        <f>IF(AND(Table1[[#This Row],[Rework_Flag]]="Yes",Table1[[#This Row],[Warranty_Claim]]="No"),Table1[[#This Row],[Service_Revenue]],0)</f>
        <v>0</v>
      </c>
      <c r="V1797" s="4">
        <f>IF(Table1[[#This Row],[Warranty_Claim]]="Yes",1,0)</f>
        <v>0</v>
      </c>
      <c r="W1797" s="4">
        <f>IF(Table1[[#This Row],[Rework_Flag]]="No",1,0)</f>
        <v>1</v>
      </c>
      <c r="X1797" s="4">
        <f>IF(Table1[[#This Row],[Rework_Flag]]="Yes",1,0)</f>
        <v>0</v>
      </c>
      <c r="Y1797" s="4">
        <v>1</v>
      </c>
      <c r="Z1797" s="4" t="str">
        <f>IF(Table1[[#This Row],[TAT_Days]]&gt;Table1[[#This Row],[SLA_TAT]],"Yes","No")</f>
        <v>Yes</v>
      </c>
      <c r="AA1797" s="4" t="str" cm="1">
        <f t="array" ref="AA1797">_xlfn.IFS(Table1[[#This Row],[Customer_Satisfaction]]&lt;=2,"Poor",Table1[[#This Row],[Customer_Satisfaction]]=3,"Neutral",Table1[[#This Row],[Customer_Satisfaction]]=4,"Good",Table1[[#This Row],[Customer_Satisfaction]]=5,"Good")</f>
        <v>Poor</v>
      </c>
    </row>
    <row r="1798" spans="1:27" x14ac:dyDescent="0.35">
      <c r="A1798">
        <v>21796</v>
      </c>
      <c r="B1798" s="1">
        <v>45373</v>
      </c>
      <c r="C1798" t="s">
        <v>50</v>
      </c>
      <c r="D1798" t="s">
        <v>56</v>
      </c>
      <c r="E1798" t="s">
        <v>101</v>
      </c>
      <c r="F1798" t="s">
        <v>40</v>
      </c>
      <c r="G1798" t="s">
        <v>74</v>
      </c>
      <c r="H1798" t="s">
        <v>34</v>
      </c>
      <c r="I1798" t="s">
        <v>55</v>
      </c>
      <c r="J1798" t="s">
        <v>67</v>
      </c>
      <c r="K1798" t="s">
        <v>44</v>
      </c>
      <c r="L1798" t="s">
        <v>49</v>
      </c>
      <c r="M1798" s="4">
        <v>9</v>
      </c>
      <c r="N1798" s="4">
        <v>7</v>
      </c>
      <c r="O1798" t="s">
        <v>36</v>
      </c>
      <c r="P1798" t="s">
        <v>36</v>
      </c>
      <c r="Q1798" s="4">
        <v>235880</v>
      </c>
      <c r="R1798" s="4">
        <v>135396</v>
      </c>
      <c r="S1798" s="4">
        <f>Table1[[#This Row],[Service_Revenue]]-Table1[[#This Row],[Service_Cost]]</f>
        <v>100484</v>
      </c>
      <c r="T1798" s="4">
        <v>4</v>
      </c>
      <c r="U1798" s="4">
        <f>IF(AND(Table1[[#This Row],[Rework_Flag]]="Yes",Table1[[#This Row],[Warranty_Claim]]="No"),Table1[[#This Row],[Service_Revenue]],0)</f>
        <v>0</v>
      </c>
      <c r="V1798" s="4">
        <f>IF(Table1[[#This Row],[Warranty_Claim]]="Yes",1,0)</f>
        <v>0</v>
      </c>
      <c r="W1798" s="4">
        <f>IF(Table1[[#This Row],[Rework_Flag]]="No",1,0)</f>
        <v>1</v>
      </c>
      <c r="X1798" s="4">
        <f>IF(Table1[[#This Row],[Rework_Flag]]="Yes",1,0)</f>
        <v>0</v>
      </c>
      <c r="Y1798" s="4">
        <v>1</v>
      </c>
      <c r="Z1798" s="4" t="str">
        <f>IF(Table1[[#This Row],[TAT_Days]]&gt;Table1[[#This Row],[SLA_TAT]],"Yes","No")</f>
        <v>Yes</v>
      </c>
      <c r="AA1798" s="4" t="str" cm="1">
        <f t="array" ref="AA1798">_xlfn.IFS(Table1[[#This Row],[Customer_Satisfaction]]&lt;=2,"Poor",Table1[[#This Row],[Customer_Satisfaction]]=3,"Neutral",Table1[[#This Row],[Customer_Satisfaction]]=4,"Good",Table1[[#This Row],[Customer_Satisfaction]]=5,"Good")</f>
        <v>Good</v>
      </c>
    </row>
    <row r="1799" spans="1:27" x14ac:dyDescent="0.35">
      <c r="A1799">
        <v>21797</v>
      </c>
      <c r="B1799" s="1">
        <v>45353</v>
      </c>
      <c r="C1799" t="s">
        <v>37</v>
      </c>
      <c r="D1799" t="s">
        <v>70</v>
      </c>
      <c r="E1799" t="s">
        <v>82</v>
      </c>
      <c r="F1799" t="s">
        <v>40</v>
      </c>
      <c r="G1799" t="s">
        <v>41</v>
      </c>
      <c r="H1799" t="s">
        <v>42</v>
      </c>
      <c r="I1799" t="s">
        <v>55</v>
      </c>
      <c r="J1799" t="s">
        <v>58</v>
      </c>
      <c r="K1799" t="s">
        <v>61</v>
      </c>
      <c r="L1799" t="s">
        <v>49</v>
      </c>
      <c r="M1799" s="4">
        <v>21</v>
      </c>
      <c r="N1799" s="4">
        <v>7</v>
      </c>
      <c r="O1799" t="s">
        <v>29</v>
      </c>
      <c r="P1799" t="s">
        <v>36</v>
      </c>
      <c r="Q1799" s="4">
        <v>101501</v>
      </c>
      <c r="R1799" s="4">
        <v>55050</v>
      </c>
      <c r="S1799" s="4">
        <f>Table1[[#This Row],[Service_Revenue]]-Table1[[#This Row],[Service_Cost]]</f>
        <v>46451</v>
      </c>
      <c r="T1799" s="4">
        <v>1</v>
      </c>
      <c r="U1799" s="4">
        <f>IF(AND(Table1[[#This Row],[Rework_Flag]]="Yes",Table1[[#This Row],[Warranty_Claim]]="No"),Table1[[#This Row],[Service_Revenue]],0)</f>
        <v>101501</v>
      </c>
      <c r="V1799" s="4">
        <f>IF(Table1[[#This Row],[Warranty_Claim]]="Yes",1,0)</f>
        <v>0</v>
      </c>
      <c r="W1799" s="4">
        <f>IF(Table1[[#This Row],[Rework_Flag]]="No",1,0)</f>
        <v>0</v>
      </c>
      <c r="X1799" s="4">
        <f>IF(Table1[[#This Row],[Rework_Flag]]="Yes",1,0)</f>
        <v>1</v>
      </c>
      <c r="Y1799" s="4">
        <v>1</v>
      </c>
      <c r="Z1799" s="4" t="str">
        <f>IF(Table1[[#This Row],[TAT_Days]]&gt;Table1[[#This Row],[SLA_TAT]],"Yes","No")</f>
        <v>Yes</v>
      </c>
      <c r="AA1799" s="4" t="str" cm="1">
        <f t="array" ref="AA1799">_xlfn.IFS(Table1[[#This Row],[Customer_Satisfaction]]&lt;=2,"Poor",Table1[[#This Row],[Customer_Satisfaction]]=3,"Neutral",Table1[[#This Row],[Customer_Satisfaction]]=4,"Good",Table1[[#This Row],[Customer_Satisfaction]]=5,"Good")</f>
        <v>Poor</v>
      </c>
    </row>
    <row r="1800" spans="1:27" x14ac:dyDescent="0.35">
      <c r="A1800">
        <v>21798</v>
      </c>
      <c r="B1800" s="1">
        <v>45441</v>
      </c>
      <c r="C1800" t="s">
        <v>19</v>
      </c>
      <c r="D1800" t="s">
        <v>20</v>
      </c>
      <c r="E1800" t="s">
        <v>86</v>
      </c>
      <c r="F1800" t="s">
        <v>40</v>
      </c>
      <c r="G1800" t="s">
        <v>54</v>
      </c>
      <c r="H1800" t="s">
        <v>42</v>
      </c>
      <c r="I1800" t="s">
        <v>55</v>
      </c>
      <c r="J1800" t="s">
        <v>43</v>
      </c>
      <c r="K1800" t="s">
        <v>27</v>
      </c>
      <c r="L1800" t="s">
        <v>28</v>
      </c>
      <c r="M1800" s="4">
        <v>6</v>
      </c>
      <c r="N1800" s="4">
        <v>7</v>
      </c>
      <c r="O1800" t="s">
        <v>29</v>
      </c>
      <c r="P1800" t="s">
        <v>36</v>
      </c>
      <c r="Q1800" s="4">
        <v>524755</v>
      </c>
      <c r="R1800" s="4">
        <v>426993</v>
      </c>
      <c r="S1800" s="4">
        <f>Table1[[#This Row],[Service_Revenue]]-Table1[[#This Row],[Service_Cost]]</f>
        <v>97762</v>
      </c>
      <c r="T1800" s="4">
        <v>3</v>
      </c>
      <c r="U1800" s="4">
        <f>IF(AND(Table1[[#This Row],[Rework_Flag]]="Yes",Table1[[#This Row],[Warranty_Claim]]="No"),Table1[[#This Row],[Service_Revenue]],0)</f>
        <v>524755</v>
      </c>
      <c r="V1800" s="4">
        <f>IF(Table1[[#This Row],[Warranty_Claim]]="Yes",1,0)</f>
        <v>0</v>
      </c>
      <c r="W1800" s="4">
        <f>IF(Table1[[#This Row],[Rework_Flag]]="No",1,0)</f>
        <v>0</v>
      </c>
      <c r="X1800" s="4">
        <f>IF(Table1[[#This Row],[Rework_Flag]]="Yes",1,0)</f>
        <v>1</v>
      </c>
      <c r="Y1800" s="4">
        <v>1</v>
      </c>
      <c r="Z1800" s="4" t="str">
        <f>IF(Table1[[#This Row],[TAT_Days]]&gt;Table1[[#This Row],[SLA_TAT]],"Yes","No")</f>
        <v>No</v>
      </c>
      <c r="AA1800" s="4" t="str" cm="1">
        <f t="array" ref="AA1800">_xlfn.IFS(Table1[[#This Row],[Customer_Satisfaction]]&lt;=2,"Poor",Table1[[#This Row],[Customer_Satisfaction]]=3,"Neutral",Table1[[#This Row],[Customer_Satisfaction]]=4,"Good",Table1[[#This Row],[Customer_Satisfaction]]=5,"Good")</f>
        <v>Neutral</v>
      </c>
    </row>
    <row r="1801" spans="1:27" x14ac:dyDescent="0.35">
      <c r="A1801">
        <v>21799</v>
      </c>
      <c r="B1801" s="1">
        <v>45350</v>
      </c>
      <c r="C1801" t="s">
        <v>19</v>
      </c>
      <c r="D1801" t="s">
        <v>96</v>
      </c>
      <c r="E1801" t="s">
        <v>109</v>
      </c>
      <c r="F1801" t="s">
        <v>53</v>
      </c>
      <c r="G1801" t="s">
        <v>54</v>
      </c>
      <c r="H1801" t="s">
        <v>42</v>
      </c>
      <c r="I1801" t="s">
        <v>25</v>
      </c>
      <c r="J1801" t="s">
        <v>35</v>
      </c>
      <c r="K1801" t="s">
        <v>27</v>
      </c>
      <c r="L1801" t="s">
        <v>49</v>
      </c>
      <c r="M1801" s="4">
        <v>5</v>
      </c>
      <c r="N1801" s="4">
        <v>7</v>
      </c>
      <c r="O1801" t="s">
        <v>29</v>
      </c>
      <c r="P1801" t="s">
        <v>36</v>
      </c>
      <c r="Q1801" s="4">
        <v>94093</v>
      </c>
      <c r="R1801" s="4">
        <v>73412</v>
      </c>
      <c r="S1801" s="4">
        <f>Table1[[#This Row],[Service_Revenue]]-Table1[[#This Row],[Service_Cost]]</f>
        <v>20681</v>
      </c>
      <c r="T1801" s="4">
        <v>3</v>
      </c>
      <c r="U1801" s="4">
        <f>IF(AND(Table1[[#This Row],[Rework_Flag]]="Yes",Table1[[#This Row],[Warranty_Claim]]="No"),Table1[[#This Row],[Service_Revenue]],0)</f>
        <v>94093</v>
      </c>
      <c r="V1801" s="4">
        <f>IF(Table1[[#This Row],[Warranty_Claim]]="Yes",1,0)</f>
        <v>0</v>
      </c>
      <c r="W1801" s="4">
        <f>IF(Table1[[#This Row],[Rework_Flag]]="No",1,0)</f>
        <v>0</v>
      </c>
      <c r="X1801" s="4">
        <f>IF(Table1[[#This Row],[Rework_Flag]]="Yes",1,0)</f>
        <v>1</v>
      </c>
      <c r="Y1801" s="4">
        <v>1</v>
      </c>
      <c r="Z1801" s="4" t="str">
        <f>IF(Table1[[#This Row],[TAT_Days]]&gt;Table1[[#This Row],[SLA_TAT]],"Yes","No")</f>
        <v>No</v>
      </c>
      <c r="AA1801" s="4" t="str" cm="1">
        <f t="array" ref="AA1801">_xlfn.IFS(Table1[[#This Row],[Customer_Satisfaction]]&lt;=2,"Poor",Table1[[#This Row],[Customer_Satisfaction]]=3,"Neutral",Table1[[#This Row],[Customer_Satisfaction]]=4,"Good",Table1[[#This Row],[Customer_Satisfaction]]=5,"Good")</f>
        <v>Neutral</v>
      </c>
    </row>
    <row r="1802" spans="1:27" x14ac:dyDescent="0.35">
      <c r="A1802">
        <v>21800</v>
      </c>
      <c r="B1802" s="1">
        <v>45451</v>
      </c>
      <c r="C1802" t="s">
        <v>30</v>
      </c>
      <c r="D1802" t="s">
        <v>59</v>
      </c>
      <c r="E1802" t="s">
        <v>60</v>
      </c>
      <c r="F1802" t="s">
        <v>40</v>
      </c>
      <c r="G1802" t="s">
        <v>63</v>
      </c>
      <c r="H1802" t="s">
        <v>24</v>
      </c>
      <c r="I1802" t="s">
        <v>55</v>
      </c>
      <c r="J1802" t="s">
        <v>26</v>
      </c>
      <c r="K1802" t="s">
        <v>27</v>
      </c>
      <c r="L1802" t="s">
        <v>28</v>
      </c>
      <c r="M1802" s="4">
        <v>22</v>
      </c>
      <c r="N1802" s="4">
        <v>7</v>
      </c>
      <c r="O1802" t="s">
        <v>29</v>
      </c>
      <c r="P1802" t="s">
        <v>36</v>
      </c>
      <c r="Q1802" s="4">
        <v>335715</v>
      </c>
      <c r="R1802" s="4">
        <v>178663</v>
      </c>
      <c r="S1802" s="4">
        <f>Table1[[#This Row],[Service_Revenue]]-Table1[[#This Row],[Service_Cost]]</f>
        <v>157052</v>
      </c>
      <c r="T1802" s="4">
        <v>1</v>
      </c>
      <c r="U1802" s="4">
        <f>IF(AND(Table1[[#This Row],[Rework_Flag]]="Yes",Table1[[#This Row],[Warranty_Claim]]="No"),Table1[[#This Row],[Service_Revenue]],0)</f>
        <v>335715</v>
      </c>
      <c r="V1802" s="4">
        <f>IF(Table1[[#This Row],[Warranty_Claim]]="Yes",1,0)</f>
        <v>0</v>
      </c>
      <c r="W1802" s="4">
        <f>IF(Table1[[#This Row],[Rework_Flag]]="No",1,0)</f>
        <v>0</v>
      </c>
      <c r="X1802" s="4">
        <f>IF(Table1[[#This Row],[Rework_Flag]]="Yes",1,0)</f>
        <v>1</v>
      </c>
      <c r="Y1802" s="4">
        <v>1</v>
      </c>
      <c r="Z1802" s="4" t="str">
        <f>IF(Table1[[#This Row],[TAT_Days]]&gt;Table1[[#This Row],[SLA_TAT]],"Yes","No")</f>
        <v>Yes</v>
      </c>
      <c r="AA1802" s="4" t="str" cm="1">
        <f t="array" ref="AA1802">_xlfn.IFS(Table1[[#This Row],[Customer_Satisfaction]]&lt;=2,"Poor",Table1[[#This Row],[Customer_Satisfaction]]=3,"Neutral",Table1[[#This Row],[Customer_Satisfaction]]=4,"Good",Table1[[#This Row],[Customer_Satisfaction]]=5,"Good")</f>
        <v>Poor</v>
      </c>
    </row>
    <row r="1803" spans="1:27" x14ac:dyDescent="0.35">
      <c r="A1803">
        <v>21801</v>
      </c>
      <c r="B1803" s="1">
        <v>45458</v>
      </c>
      <c r="C1803" t="s">
        <v>19</v>
      </c>
      <c r="D1803" t="s">
        <v>45</v>
      </c>
      <c r="E1803" t="s">
        <v>114</v>
      </c>
      <c r="F1803" t="s">
        <v>40</v>
      </c>
      <c r="G1803" t="s">
        <v>74</v>
      </c>
      <c r="H1803" t="s">
        <v>34</v>
      </c>
      <c r="I1803" t="s">
        <v>25</v>
      </c>
      <c r="J1803" t="s">
        <v>58</v>
      </c>
      <c r="K1803" t="s">
        <v>61</v>
      </c>
      <c r="L1803" t="s">
        <v>28</v>
      </c>
      <c r="M1803" s="4">
        <v>7</v>
      </c>
      <c r="N1803" s="4">
        <v>7</v>
      </c>
      <c r="O1803" t="s">
        <v>36</v>
      </c>
      <c r="P1803" t="s">
        <v>36</v>
      </c>
      <c r="Q1803" s="4">
        <v>298962</v>
      </c>
      <c r="R1803" s="4">
        <v>243260</v>
      </c>
      <c r="S1803" s="4">
        <f>Table1[[#This Row],[Service_Revenue]]-Table1[[#This Row],[Service_Cost]]</f>
        <v>55702</v>
      </c>
      <c r="T1803" s="4">
        <v>4</v>
      </c>
      <c r="U1803" s="4">
        <f>IF(AND(Table1[[#This Row],[Rework_Flag]]="Yes",Table1[[#This Row],[Warranty_Claim]]="No"),Table1[[#This Row],[Service_Revenue]],0)</f>
        <v>0</v>
      </c>
      <c r="V1803" s="4">
        <f>IF(Table1[[#This Row],[Warranty_Claim]]="Yes",1,0)</f>
        <v>0</v>
      </c>
      <c r="W1803" s="4">
        <f>IF(Table1[[#This Row],[Rework_Flag]]="No",1,0)</f>
        <v>1</v>
      </c>
      <c r="X1803" s="4">
        <f>IF(Table1[[#This Row],[Rework_Flag]]="Yes",1,0)</f>
        <v>0</v>
      </c>
      <c r="Y1803" s="4">
        <v>1</v>
      </c>
      <c r="Z1803" s="4" t="str">
        <f>IF(Table1[[#This Row],[TAT_Days]]&gt;Table1[[#This Row],[SLA_TAT]],"Yes","No")</f>
        <v>No</v>
      </c>
      <c r="AA1803" s="4" t="str" cm="1">
        <f t="array" ref="AA1803">_xlfn.IFS(Table1[[#This Row],[Customer_Satisfaction]]&lt;=2,"Poor",Table1[[#This Row],[Customer_Satisfaction]]=3,"Neutral",Table1[[#This Row],[Customer_Satisfaction]]=4,"Good",Table1[[#This Row],[Customer_Satisfaction]]=5,"Good")</f>
        <v>Good</v>
      </c>
    </row>
    <row r="1804" spans="1:27" x14ac:dyDescent="0.35">
      <c r="A1804">
        <v>21802</v>
      </c>
      <c r="B1804" s="1">
        <v>45408</v>
      </c>
      <c r="C1804" t="s">
        <v>19</v>
      </c>
      <c r="D1804" t="s">
        <v>20</v>
      </c>
      <c r="E1804" t="s">
        <v>117</v>
      </c>
      <c r="F1804" t="s">
        <v>40</v>
      </c>
      <c r="G1804" t="s">
        <v>41</v>
      </c>
      <c r="H1804" t="s">
        <v>42</v>
      </c>
      <c r="I1804" t="s">
        <v>25</v>
      </c>
      <c r="J1804" t="s">
        <v>67</v>
      </c>
      <c r="K1804" t="s">
        <v>44</v>
      </c>
      <c r="L1804" t="s">
        <v>28</v>
      </c>
      <c r="M1804" s="4">
        <v>11</v>
      </c>
      <c r="N1804" s="4">
        <v>7</v>
      </c>
      <c r="O1804" t="s">
        <v>36</v>
      </c>
      <c r="P1804" t="s">
        <v>36</v>
      </c>
      <c r="Q1804" s="4">
        <v>599701</v>
      </c>
      <c r="R1804" s="4">
        <v>424480</v>
      </c>
      <c r="S1804" s="4">
        <f>Table1[[#This Row],[Service_Revenue]]-Table1[[#This Row],[Service_Cost]]</f>
        <v>175221</v>
      </c>
      <c r="T1804" s="4">
        <v>3</v>
      </c>
      <c r="U1804" s="4">
        <f>IF(AND(Table1[[#This Row],[Rework_Flag]]="Yes",Table1[[#This Row],[Warranty_Claim]]="No"),Table1[[#This Row],[Service_Revenue]],0)</f>
        <v>0</v>
      </c>
      <c r="V1804" s="4">
        <f>IF(Table1[[#This Row],[Warranty_Claim]]="Yes",1,0)</f>
        <v>0</v>
      </c>
      <c r="W1804" s="4">
        <f>IF(Table1[[#This Row],[Rework_Flag]]="No",1,0)</f>
        <v>1</v>
      </c>
      <c r="X1804" s="4">
        <f>IF(Table1[[#This Row],[Rework_Flag]]="Yes",1,0)</f>
        <v>0</v>
      </c>
      <c r="Y1804" s="4">
        <v>1</v>
      </c>
      <c r="Z1804" s="4" t="str">
        <f>IF(Table1[[#This Row],[TAT_Days]]&gt;Table1[[#This Row],[SLA_TAT]],"Yes","No")</f>
        <v>Yes</v>
      </c>
      <c r="AA1804" s="4" t="str" cm="1">
        <f t="array" ref="AA1804">_xlfn.IFS(Table1[[#This Row],[Customer_Satisfaction]]&lt;=2,"Poor",Table1[[#This Row],[Customer_Satisfaction]]=3,"Neutral",Table1[[#This Row],[Customer_Satisfaction]]=4,"Good",Table1[[#This Row],[Customer_Satisfaction]]=5,"Good")</f>
        <v>Neutral</v>
      </c>
    </row>
    <row r="1805" spans="1:27" x14ac:dyDescent="0.35">
      <c r="A1805">
        <v>21803</v>
      </c>
      <c r="B1805" s="1">
        <v>45315</v>
      </c>
      <c r="C1805" t="s">
        <v>50</v>
      </c>
      <c r="D1805" t="s">
        <v>80</v>
      </c>
      <c r="E1805" t="s">
        <v>118</v>
      </c>
      <c r="F1805" t="s">
        <v>53</v>
      </c>
      <c r="G1805" t="s">
        <v>54</v>
      </c>
      <c r="H1805" t="s">
        <v>42</v>
      </c>
      <c r="I1805" t="s">
        <v>55</v>
      </c>
      <c r="J1805" t="s">
        <v>26</v>
      </c>
      <c r="K1805" t="s">
        <v>27</v>
      </c>
      <c r="L1805" t="s">
        <v>28</v>
      </c>
      <c r="M1805" s="4">
        <v>11</v>
      </c>
      <c r="N1805" s="4">
        <v>7</v>
      </c>
      <c r="O1805" t="s">
        <v>29</v>
      </c>
      <c r="P1805" t="s">
        <v>29</v>
      </c>
      <c r="Q1805" s="4">
        <v>505850</v>
      </c>
      <c r="R1805" s="4">
        <v>371400</v>
      </c>
      <c r="S1805" s="4">
        <f>Table1[[#This Row],[Service_Revenue]]-Table1[[#This Row],[Service_Cost]]</f>
        <v>134450</v>
      </c>
      <c r="T1805" s="4">
        <v>2</v>
      </c>
      <c r="U1805" s="4">
        <f>IF(AND(Table1[[#This Row],[Rework_Flag]]="Yes",Table1[[#This Row],[Warranty_Claim]]="No"),Table1[[#This Row],[Service_Revenue]],0)</f>
        <v>0</v>
      </c>
      <c r="V1805" s="4">
        <f>IF(Table1[[#This Row],[Warranty_Claim]]="Yes",1,0)</f>
        <v>1</v>
      </c>
      <c r="W1805" s="4">
        <f>IF(Table1[[#This Row],[Rework_Flag]]="No",1,0)</f>
        <v>0</v>
      </c>
      <c r="X1805" s="4">
        <f>IF(Table1[[#This Row],[Rework_Flag]]="Yes",1,0)</f>
        <v>1</v>
      </c>
      <c r="Y1805" s="4">
        <v>1</v>
      </c>
      <c r="Z1805" s="4" t="str">
        <f>IF(Table1[[#This Row],[TAT_Days]]&gt;Table1[[#This Row],[SLA_TAT]],"Yes","No")</f>
        <v>Yes</v>
      </c>
      <c r="AA1805" s="4" t="str" cm="1">
        <f t="array" ref="AA1805">_xlfn.IFS(Table1[[#This Row],[Customer_Satisfaction]]&lt;=2,"Poor",Table1[[#This Row],[Customer_Satisfaction]]=3,"Neutral",Table1[[#This Row],[Customer_Satisfaction]]=4,"Good",Table1[[#This Row],[Customer_Satisfaction]]=5,"Good")</f>
        <v>Poor</v>
      </c>
    </row>
    <row r="1806" spans="1:27" x14ac:dyDescent="0.35">
      <c r="A1806">
        <v>21804</v>
      </c>
      <c r="B1806" s="1">
        <v>45341</v>
      </c>
      <c r="C1806" t="s">
        <v>37</v>
      </c>
      <c r="D1806" t="s">
        <v>70</v>
      </c>
      <c r="E1806" t="s">
        <v>116</v>
      </c>
      <c r="F1806" t="s">
        <v>22</v>
      </c>
      <c r="G1806" t="s">
        <v>74</v>
      </c>
      <c r="H1806" t="s">
        <v>34</v>
      </c>
      <c r="I1806" t="s">
        <v>25</v>
      </c>
      <c r="J1806" t="s">
        <v>67</v>
      </c>
      <c r="K1806" t="s">
        <v>27</v>
      </c>
      <c r="L1806" t="s">
        <v>28</v>
      </c>
      <c r="M1806" s="4">
        <v>4</v>
      </c>
      <c r="N1806" s="4">
        <v>7</v>
      </c>
      <c r="O1806" t="s">
        <v>36</v>
      </c>
      <c r="P1806" t="s">
        <v>36</v>
      </c>
      <c r="Q1806" s="4">
        <v>566636</v>
      </c>
      <c r="R1806" s="4">
        <v>454729</v>
      </c>
      <c r="S1806" s="4">
        <f>Table1[[#This Row],[Service_Revenue]]-Table1[[#This Row],[Service_Cost]]</f>
        <v>111907</v>
      </c>
      <c r="T1806" s="4">
        <v>5</v>
      </c>
      <c r="U1806" s="4">
        <f>IF(AND(Table1[[#This Row],[Rework_Flag]]="Yes",Table1[[#This Row],[Warranty_Claim]]="No"),Table1[[#This Row],[Service_Revenue]],0)</f>
        <v>0</v>
      </c>
      <c r="V1806" s="4">
        <f>IF(Table1[[#This Row],[Warranty_Claim]]="Yes",1,0)</f>
        <v>0</v>
      </c>
      <c r="W1806" s="4">
        <f>IF(Table1[[#This Row],[Rework_Flag]]="No",1,0)</f>
        <v>1</v>
      </c>
      <c r="X1806" s="4">
        <f>IF(Table1[[#This Row],[Rework_Flag]]="Yes",1,0)</f>
        <v>0</v>
      </c>
      <c r="Y1806" s="4">
        <v>1</v>
      </c>
      <c r="Z1806" s="4" t="str">
        <f>IF(Table1[[#This Row],[TAT_Days]]&gt;Table1[[#This Row],[SLA_TAT]],"Yes","No")</f>
        <v>No</v>
      </c>
      <c r="AA1806" s="4" t="str" cm="1">
        <f t="array" ref="AA1806">_xlfn.IFS(Table1[[#This Row],[Customer_Satisfaction]]&lt;=2,"Poor",Table1[[#This Row],[Customer_Satisfaction]]=3,"Neutral",Table1[[#This Row],[Customer_Satisfaction]]=4,"Good",Table1[[#This Row],[Customer_Satisfaction]]=5,"Good")</f>
        <v>Good</v>
      </c>
    </row>
    <row r="1807" spans="1:27" x14ac:dyDescent="0.35">
      <c r="A1807">
        <v>21805</v>
      </c>
      <c r="B1807" s="1">
        <v>45401</v>
      </c>
      <c r="C1807" t="s">
        <v>37</v>
      </c>
      <c r="D1807" t="s">
        <v>70</v>
      </c>
      <c r="E1807" t="s">
        <v>91</v>
      </c>
      <c r="F1807" t="s">
        <v>53</v>
      </c>
      <c r="G1807" t="s">
        <v>47</v>
      </c>
      <c r="H1807" t="s">
        <v>48</v>
      </c>
      <c r="I1807" t="s">
        <v>25</v>
      </c>
      <c r="J1807" t="s">
        <v>67</v>
      </c>
      <c r="K1807" t="s">
        <v>61</v>
      </c>
      <c r="L1807" t="s">
        <v>28</v>
      </c>
      <c r="M1807" s="4">
        <v>23</v>
      </c>
      <c r="N1807" s="4">
        <v>7</v>
      </c>
      <c r="O1807" t="s">
        <v>36</v>
      </c>
      <c r="P1807" t="s">
        <v>29</v>
      </c>
      <c r="Q1807" s="4">
        <v>193753</v>
      </c>
      <c r="R1807" s="4">
        <v>112325</v>
      </c>
      <c r="S1807" s="4">
        <f>Table1[[#This Row],[Service_Revenue]]-Table1[[#This Row],[Service_Cost]]</f>
        <v>81428</v>
      </c>
      <c r="T1807" s="4">
        <v>1</v>
      </c>
      <c r="U1807" s="4">
        <f>IF(AND(Table1[[#This Row],[Rework_Flag]]="Yes",Table1[[#This Row],[Warranty_Claim]]="No"),Table1[[#This Row],[Service_Revenue]],0)</f>
        <v>0</v>
      </c>
      <c r="V1807" s="4">
        <f>IF(Table1[[#This Row],[Warranty_Claim]]="Yes",1,0)</f>
        <v>1</v>
      </c>
      <c r="W1807" s="4">
        <f>IF(Table1[[#This Row],[Rework_Flag]]="No",1,0)</f>
        <v>1</v>
      </c>
      <c r="X1807" s="4">
        <f>IF(Table1[[#This Row],[Rework_Flag]]="Yes",1,0)</f>
        <v>0</v>
      </c>
      <c r="Y1807" s="4">
        <v>1</v>
      </c>
      <c r="Z1807" s="4" t="str">
        <f>IF(Table1[[#This Row],[TAT_Days]]&gt;Table1[[#This Row],[SLA_TAT]],"Yes","No")</f>
        <v>Yes</v>
      </c>
      <c r="AA1807" s="4" t="str" cm="1">
        <f t="array" ref="AA1807">_xlfn.IFS(Table1[[#This Row],[Customer_Satisfaction]]&lt;=2,"Poor",Table1[[#This Row],[Customer_Satisfaction]]=3,"Neutral",Table1[[#This Row],[Customer_Satisfaction]]=4,"Good",Table1[[#This Row],[Customer_Satisfaction]]=5,"Good")</f>
        <v>Poor</v>
      </c>
    </row>
    <row r="1808" spans="1:27" x14ac:dyDescent="0.35">
      <c r="A1808">
        <v>21806</v>
      </c>
      <c r="B1808" s="1">
        <v>45437</v>
      </c>
      <c r="C1808" t="s">
        <v>50</v>
      </c>
      <c r="D1808" t="s">
        <v>56</v>
      </c>
      <c r="E1808" t="s">
        <v>88</v>
      </c>
      <c r="F1808" t="s">
        <v>40</v>
      </c>
      <c r="G1808" t="s">
        <v>33</v>
      </c>
      <c r="H1808" t="s">
        <v>34</v>
      </c>
      <c r="I1808" t="s">
        <v>25</v>
      </c>
      <c r="J1808" t="s">
        <v>43</v>
      </c>
      <c r="K1808" t="s">
        <v>44</v>
      </c>
      <c r="L1808" t="s">
        <v>49</v>
      </c>
      <c r="M1808" s="4">
        <v>17</v>
      </c>
      <c r="N1808" s="4">
        <v>7</v>
      </c>
      <c r="O1808" t="s">
        <v>36</v>
      </c>
      <c r="P1808" t="s">
        <v>36</v>
      </c>
      <c r="Q1808" s="4">
        <v>225068</v>
      </c>
      <c r="R1808" s="4">
        <v>177081</v>
      </c>
      <c r="S1808" s="4">
        <f>Table1[[#This Row],[Service_Revenue]]-Table1[[#This Row],[Service_Cost]]</f>
        <v>47987</v>
      </c>
      <c r="T1808" s="4">
        <v>2</v>
      </c>
      <c r="U1808" s="4">
        <f>IF(AND(Table1[[#This Row],[Rework_Flag]]="Yes",Table1[[#This Row],[Warranty_Claim]]="No"),Table1[[#This Row],[Service_Revenue]],0)</f>
        <v>0</v>
      </c>
      <c r="V1808" s="4">
        <f>IF(Table1[[#This Row],[Warranty_Claim]]="Yes",1,0)</f>
        <v>0</v>
      </c>
      <c r="W1808" s="4">
        <f>IF(Table1[[#This Row],[Rework_Flag]]="No",1,0)</f>
        <v>1</v>
      </c>
      <c r="X1808" s="4">
        <f>IF(Table1[[#This Row],[Rework_Flag]]="Yes",1,0)</f>
        <v>0</v>
      </c>
      <c r="Y1808" s="4">
        <v>1</v>
      </c>
      <c r="Z1808" s="4" t="str">
        <f>IF(Table1[[#This Row],[TAT_Days]]&gt;Table1[[#This Row],[SLA_TAT]],"Yes","No")</f>
        <v>Yes</v>
      </c>
      <c r="AA1808" s="4" t="str" cm="1">
        <f t="array" ref="AA1808">_xlfn.IFS(Table1[[#This Row],[Customer_Satisfaction]]&lt;=2,"Poor",Table1[[#This Row],[Customer_Satisfaction]]=3,"Neutral",Table1[[#This Row],[Customer_Satisfaction]]=4,"Good",Table1[[#This Row],[Customer_Satisfaction]]=5,"Good")</f>
        <v>Poor</v>
      </c>
    </row>
    <row r="1809" spans="1:27" x14ac:dyDescent="0.35">
      <c r="A1809">
        <v>21807</v>
      </c>
      <c r="B1809" s="1">
        <v>45297</v>
      </c>
      <c r="C1809" t="s">
        <v>19</v>
      </c>
      <c r="D1809" t="s">
        <v>45</v>
      </c>
      <c r="E1809" t="s">
        <v>46</v>
      </c>
      <c r="F1809" t="s">
        <v>53</v>
      </c>
      <c r="G1809" t="s">
        <v>33</v>
      </c>
      <c r="H1809" t="s">
        <v>34</v>
      </c>
      <c r="I1809" t="s">
        <v>55</v>
      </c>
      <c r="J1809" t="s">
        <v>43</v>
      </c>
      <c r="K1809" t="s">
        <v>61</v>
      </c>
      <c r="L1809" t="s">
        <v>28</v>
      </c>
      <c r="M1809" s="4">
        <v>22</v>
      </c>
      <c r="N1809" s="4">
        <v>7</v>
      </c>
      <c r="O1809" t="s">
        <v>29</v>
      </c>
      <c r="P1809" t="s">
        <v>36</v>
      </c>
      <c r="Q1809" s="4">
        <v>570903</v>
      </c>
      <c r="R1809" s="4">
        <v>378871</v>
      </c>
      <c r="S1809" s="4">
        <f>Table1[[#This Row],[Service_Revenue]]-Table1[[#This Row],[Service_Cost]]</f>
        <v>192032</v>
      </c>
      <c r="T1809" s="4">
        <v>1</v>
      </c>
      <c r="U1809" s="4">
        <f>IF(AND(Table1[[#This Row],[Rework_Flag]]="Yes",Table1[[#This Row],[Warranty_Claim]]="No"),Table1[[#This Row],[Service_Revenue]],0)</f>
        <v>570903</v>
      </c>
      <c r="V1809" s="4">
        <f>IF(Table1[[#This Row],[Warranty_Claim]]="Yes",1,0)</f>
        <v>0</v>
      </c>
      <c r="W1809" s="4">
        <f>IF(Table1[[#This Row],[Rework_Flag]]="No",1,0)</f>
        <v>0</v>
      </c>
      <c r="X1809" s="4">
        <f>IF(Table1[[#This Row],[Rework_Flag]]="Yes",1,0)</f>
        <v>1</v>
      </c>
      <c r="Y1809" s="4">
        <v>1</v>
      </c>
      <c r="Z1809" s="4" t="str">
        <f>IF(Table1[[#This Row],[TAT_Days]]&gt;Table1[[#This Row],[SLA_TAT]],"Yes","No")</f>
        <v>Yes</v>
      </c>
      <c r="AA1809" s="4" t="str" cm="1">
        <f t="array" ref="AA1809">_xlfn.IFS(Table1[[#This Row],[Customer_Satisfaction]]&lt;=2,"Poor",Table1[[#This Row],[Customer_Satisfaction]]=3,"Neutral",Table1[[#This Row],[Customer_Satisfaction]]=4,"Good",Table1[[#This Row],[Customer_Satisfaction]]=5,"Good")</f>
        <v>Poor</v>
      </c>
    </row>
    <row r="1810" spans="1:27" x14ac:dyDescent="0.35">
      <c r="A1810">
        <v>21808</v>
      </c>
      <c r="B1810" s="1">
        <v>45471</v>
      </c>
      <c r="C1810" t="s">
        <v>37</v>
      </c>
      <c r="D1810" t="s">
        <v>64</v>
      </c>
      <c r="E1810" t="s">
        <v>72</v>
      </c>
      <c r="F1810" t="s">
        <v>22</v>
      </c>
      <c r="G1810" t="s">
        <v>63</v>
      </c>
      <c r="H1810" t="s">
        <v>24</v>
      </c>
      <c r="I1810" t="s">
        <v>25</v>
      </c>
      <c r="J1810" t="s">
        <v>26</v>
      </c>
      <c r="K1810" t="s">
        <v>61</v>
      </c>
      <c r="L1810" t="s">
        <v>28</v>
      </c>
      <c r="M1810" s="4">
        <v>12</v>
      </c>
      <c r="N1810" s="4">
        <v>7</v>
      </c>
      <c r="O1810" t="s">
        <v>36</v>
      </c>
      <c r="P1810" t="s">
        <v>36</v>
      </c>
      <c r="Q1810" s="4">
        <v>577613</v>
      </c>
      <c r="R1810" s="4">
        <v>447494</v>
      </c>
      <c r="S1810" s="4">
        <f>Table1[[#This Row],[Service_Revenue]]-Table1[[#This Row],[Service_Cost]]</f>
        <v>130119</v>
      </c>
      <c r="T1810" s="4">
        <v>3</v>
      </c>
      <c r="U1810" s="4">
        <f>IF(AND(Table1[[#This Row],[Rework_Flag]]="Yes",Table1[[#This Row],[Warranty_Claim]]="No"),Table1[[#This Row],[Service_Revenue]],0)</f>
        <v>0</v>
      </c>
      <c r="V1810" s="4">
        <f>IF(Table1[[#This Row],[Warranty_Claim]]="Yes",1,0)</f>
        <v>0</v>
      </c>
      <c r="W1810" s="4">
        <f>IF(Table1[[#This Row],[Rework_Flag]]="No",1,0)</f>
        <v>1</v>
      </c>
      <c r="X1810" s="4">
        <f>IF(Table1[[#This Row],[Rework_Flag]]="Yes",1,0)</f>
        <v>0</v>
      </c>
      <c r="Y1810" s="4">
        <v>1</v>
      </c>
      <c r="Z1810" s="4" t="str">
        <f>IF(Table1[[#This Row],[TAT_Days]]&gt;Table1[[#This Row],[SLA_TAT]],"Yes","No")</f>
        <v>Yes</v>
      </c>
      <c r="AA1810" s="4" t="str" cm="1">
        <f t="array" ref="AA1810">_xlfn.IFS(Table1[[#This Row],[Customer_Satisfaction]]&lt;=2,"Poor",Table1[[#This Row],[Customer_Satisfaction]]=3,"Neutral",Table1[[#This Row],[Customer_Satisfaction]]=4,"Good",Table1[[#This Row],[Customer_Satisfaction]]=5,"Good")</f>
        <v>Neutral</v>
      </c>
    </row>
    <row r="1811" spans="1:27" x14ac:dyDescent="0.35">
      <c r="A1811">
        <v>21809</v>
      </c>
      <c r="B1811" s="1">
        <v>45363</v>
      </c>
      <c r="C1811" t="s">
        <v>30</v>
      </c>
      <c r="D1811" t="s">
        <v>59</v>
      </c>
      <c r="E1811" t="s">
        <v>94</v>
      </c>
      <c r="F1811" t="s">
        <v>22</v>
      </c>
      <c r="G1811" t="s">
        <v>63</v>
      </c>
      <c r="H1811" t="s">
        <v>24</v>
      </c>
      <c r="I1811" t="s">
        <v>25</v>
      </c>
      <c r="J1811" t="s">
        <v>35</v>
      </c>
      <c r="K1811" t="s">
        <v>27</v>
      </c>
      <c r="L1811" t="s">
        <v>49</v>
      </c>
      <c r="M1811" s="4">
        <v>13</v>
      </c>
      <c r="N1811" s="4">
        <v>7</v>
      </c>
      <c r="O1811" t="s">
        <v>29</v>
      </c>
      <c r="P1811" t="s">
        <v>36</v>
      </c>
      <c r="Q1811" s="4">
        <v>454152</v>
      </c>
      <c r="R1811" s="4">
        <v>280689</v>
      </c>
      <c r="S1811" s="4">
        <f>Table1[[#This Row],[Service_Revenue]]-Table1[[#This Row],[Service_Cost]]</f>
        <v>173463</v>
      </c>
      <c r="T1811" s="4">
        <v>2</v>
      </c>
      <c r="U1811" s="4">
        <f>IF(AND(Table1[[#This Row],[Rework_Flag]]="Yes",Table1[[#This Row],[Warranty_Claim]]="No"),Table1[[#This Row],[Service_Revenue]],0)</f>
        <v>454152</v>
      </c>
      <c r="V1811" s="4">
        <f>IF(Table1[[#This Row],[Warranty_Claim]]="Yes",1,0)</f>
        <v>0</v>
      </c>
      <c r="W1811" s="4">
        <f>IF(Table1[[#This Row],[Rework_Flag]]="No",1,0)</f>
        <v>0</v>
      </c>
      <c r="X1811" s="4">
        <f>IF(Table1[[#This Row],[Rework_Flag]]="Yes",1,0)</f>
        <v>1</v>
      </c>
      <c r="Y1811" s="4">
        <v>1</v>
      </c>
      <c r="Z1811" s="4" t="str">
        <f>IF(Table1[[#This Row],[TAT_Days]]&gt;Table1[[#This Row],[SLA_TAT]],"Yes","No")</f>
        <v>Yes</v>
      </c>
      <c r="AA1811" s="4" t="str" cm="1">
        <f t="array" ref="AA1811">_xlfn.IFS(Table1[[#This Row],[Customer_Satisfaction]]&lt;=2,"Poor",Table1[[#This Row],[Customer_Satisfaction]]=3,"Neutral",Table1[[#This Row],[Customer_Satisfaction]]=4,"Good",Table1[[#This Row],[Customer_Satisfaction]]=5,"Good")</f>
        <v>Poor</v>
      </c>
    </row>
    <row r="1812" spans="1:27" x14ac:dyDescent="0.35">
      <c r="A1812">
        <v>21810</v>
      </c>
      <c r="B1812" s="1">
        <v>45468</v>
      </c>
      <c r="C1812" t="s">
        <v>19</v>
      </c>
      <c r="D1812" t="s">
        <v>20</v>
      </c>
      <c r="E1812" t="s">
        <v>89</v>
      </c>
      <c r="F1812" t="s">
        <v>22</v>
      </c>
      <c r="G1812" t="s">
        <v>54</v>
      </c>
      <c r="H1812" t="s">
        <v>42</v>
      </c>
      <c r="I1812" t="s">
        <v>55</v>
      </c>
      <c r="J1812" t="s">
        <v>67</v>
      </c>
      <c r="K1812" t="s">
        <v>44</v>
      </c>
      <c r="L1812" t="s">
        <v>28</v>
      </c>
      <c r="M1812" s="4">
        <v>18</v>
      </c>
      <c r="N1812" s="4">
        <v>7</v>
      </c>
      <c r="O1812" t="s">
        <v>36</v>
      </c>
      <c r="P1812" t="s">
        <v>36</v>
      </c>
      <c r="Q1812" s="4">
        <v>240526</v>
      </c>
      <c r="R1812" s="4">
        <v>145029</v>
      </c>
      <c r="S1812" s="4">
        <f>Table1[[#This Row],[Service_Revenue]]-Table1[[#This Row],[Service_Cost]]</f>
        <v>95497</v>
      </c>
      <c r="T1812" s="4">
        <v>2</v>
      </c>
      <c r="U1812" s="4">
        <f>IF(AND(Table1[[#This Row],[Rework_Flag]]="Yes",Table1[[#This Row],[Warranty_Claim]]="No"),Table1[[#This Row],[Service_Revenue]],0)</f>
        <v>0</v>
      </c>
      <c r="V1812" s="4">
        <f>IF(Table1[[#This Row],[Warranty_Claim]]="Yes",1,0)</f>
        <v>0</v>
      </c>
      <c r="W1812" s="4">
        <f>IF(Table1[[#This Row],[Rework_Flag]]="No",1,0)</f>
        <v>1</v>
      </c>
      <c r="X1812" s="4">
        <f>IF(Table1[[#This Row],[Rework_Flag]]="Yes",1,0)</f>
        <v>0</v>
      </c>
      <c r="Y1812" s="4">
        <v>1</v>
      </c>
      <c r="Z1812" s="4" t="str">
        <f>IF(Table1[[#This Row],[TAT_Days]]&gt;Table1[[#This Row],[SLA_TAT]],"Yes","No")</f>
        <v>Yes</v>
      </c>
      <c r="AA1812" s="4" t="str" cm="1">
        <f t="array" ref="AA1812">_xlfn.IFS(Table1[[#This Row],[Customer_Satisfaction]]&lt;=2,"Poor",Table1[[#This Row],[Customer_Satisfaction]]=3,"Neutral",Table1[[#This Row],[Customer_Satisfaction]]=4,"Good",Table1[[#This Row],[Customer_Satisfaction]]=5,"Good")</f>
        <v>Poor</v>
      </c>
    </row>
    <row r="1813" spans="1:27" x14ac:dyDescent="0.35">
      <c r="A1813">
        <v>21811</v>
      </c>
      <c r="B1813" s="1">
        <v>45296</v>
      </c>
      <c r="C1813" t="s">
        <v>30</v>
      </c>
      <c r="D1813" t="s">
        <v>31</v>
      </c>
      <c r="E1813" t="s">
        <v>32</v>
      </c>
      <c r="F1813" t="s">
        <v>22</v>
      </c>
      <c r="G1813" t="s">
        <v>74</v>
      </c>
      <c r="H1813" t="s">
        <v>34</v>
      </c>
      <c r="I1813" t="s">
        <v>55</v>
      </c>
      <c r="J1813" t="s">
        <v>35</v>
      </c>
      <c r="K1813" t="s">
        <v>61</v>
      </c>
      <c r="L1813" t="s">
        <v>28</v>
      </c>
      <c r="M1813" s="4">
        <v>11</v>
      </c>
      <c r="N1813" s="4">
        <v>7</v>
      </c>
      <c r="O1813" t="s">
        <v>29</v>
      </c>
      <c r="P1813" t="s">
        <v>36</v>
      </c>
      <c r="Q1813" s="4">
        <v>131449</v>
      </c>
      <c r="R1813" s="4">
        <v>86935</v>
      </c>
      <c r="S1813" s="4">
        <f>Table1[[#This Row],[Service_Revenue]]-Table1[[#This Row],[Service_Cost]]</f>
        <v>44514</v>
      </c>
      <c r="T1813" s="4">
        <v>2</v>
      </c>
      <c r="U1813" s="4">
        <f>IF(AND(Table1[[#This Row],[Rework_Flag]]="Yes",Table1[[#This Row],[Warranty_Claim]]="No"),Table1[[#This Row],[Service_Revenue]],0)</f>
        <v>131449</v>
      </c>
      <c r="V1813" s="4">
        <f>IF(Table1[[#This Row],[Warranty_Claim]]="Yes",1,0)</f>
        <v>0</v>
      </c>
      <c r="W1813" s="4">
        <f>IF(Table1[[#This Row],[Rework_Flag]]="No",1,0)</f>
        <v>0</v>
      </c>
      <c r="X1813" s="4">
        <f>IF(Table1[[#This Row],[Rework_Flag]]="Yes",1,0)</f>
        <v>1</v>
      </c>
      <c r="Y1813" s="4">
        <v>1</v>
      </c>
      <c r="Z1813" s="4" t="str">
        <f>IF(Table1[[#This Row],[TAT_Days]]&gt;Table1[[#This Row],[SLA_TAT]],"Yes","No")</f>
        <v>Yes</v>
      </c>
      <c r="AA1813" s="4" t="str" cm="1">
        <f t="array" ref="AA1813">_xlfn.IFS(Table1[[#This Row],[Customer_Satisfaction]]&lt;=2,"Poor",Table1[[#This Row],[Customer_Satisfaction]]=3,"Neutral",Table1[[#This Row],[Customer_Satisfaction]]=4,"Good",Table1[[#This Row],[Customer_Satisfaction]]=5,"Good")</f>
        <v>Poor</v>
      </c>
    </row>
    <row r="1814" spans="1:27" x14ac:dyDescent="0.35">
      <c r="A1814">
        <v>21812</v>
      </c>
      <c r="B1814" s="1">
        <v>45364</v>
      </c>
      <c r="C1814" t="s">
        <v>50</v>
      </c>
      <c r="D1814" t="s">
        <v>80</v>
      </c>
      <c r="E1814" t="s">
        <v>118</v>
      </c>
      <c r="F1814" t="s">
        <v>53</v>
      </c>
      <c r="G1814" t="s">
        <v>41</v>
      </c>
      <c r="H1814" t="s">
        <v>42</v>
      </c>
      <c r="I1814" t="s">
        <v>55</v>
      </c>
      <c r="J1814" t="s">
        <v>26</v>
      </c>
      <c r="K1814" t="s">
        <v>44</v>
      </c>
      <c r="L1814" t="s">
        <v>49</v>
      </c>
      <c r="M1814" s="4">
        <v>25</v>
      </c>
      <c r="N1814" s="4">
        <v>7</v>
      </c>
      <c r="O1814" t="s">
        <v>36</v>
      </c>
      <c r="P1814" t="s">
        <v>36</v>
      </c>
      <c r="Q1814" s="4">
        <v>430897</v>
      </c>
      <c r="R1814" s="4">
        <v>291839</v>
      </c>
      <c r="S1814" s="4">
        <f>Table1[[#This Row],[Service_Revenue]]-Table1[[#This Row],[Service_Cost]]</f>
        <v>139058</v>
      </c>
      <c r="T1814" s="4">
        <v>1</v>
      </c>
      <c r="U1814" s="4">
        <f>IF(AND(Table1[[#This Row],[Rework_Flag]]="Yes",Table1[[#This Row],[Warranty_Claim]]="No"),Table1[[#This Row],[Service_Revenue]],0)</f>
        <v>0</v>
      </c>
      <c r="V1814" s="4">
        <f>IF(Table1[[#This Row],[Warranty_Claim]]="Yes",1,0)</f>
        <v>0</v>
      </c>
      <c r="W1814" s="4">
        <f>IF(Table1[[#This Row],[Rework_Flag]]="No",1,0)</f>
        <v>1</v>
      </c>
      <c r="X1814" s="4">
        <f>IF(Table1[[#This Row],[Rework_Flag]]="Yes",1,0)</f>
        <v>0</v>
      </c>
      <c r="Y1814" s="4">
        <v>1</v>
      </c>
      <c r="Z1814" s="4" t="str">
        <f>IF(Table1[[#This Row],[TAT_Days]]&gt;Table1[[#This Row],[SLA_TAT]],"Yes","No")</f>
        <v>Yes</v>
      </c>
      <c r="AA1814" s="4" t="str" cm="1">
        <f t="array" ref="AA1814">_xlfn.IFS(Table1[[#This Row],[Customer_Satisfaction]]&lt;=2,"Poor",Table1[[#This Row],[Customer_Satisfaction]]=3,"Neutral",Table1[[#This Row],[Customer_Satisfaction]]=4,"Good",Table1[[#This Row],[Customer_Satisfaction]]=5,"Good")</f>
        <v>Poor</v>
      </c>
    </row>
    <row r="1815" spans="1:27" x14ac:dyDescent="0.35">
      <c r="A1815">
        <v>21813</v>
      </c>
      <c r="B1815" s="1">
        <v>45424</v>
      </c>
      <c r="C1815" t="s">
        <v>19</v>
      </c>
      <c r="D1815" t="s">
        <v>96</v>
      </c>
      <c r="E1815" t="s">
        <v>98</v>
      </c>
      <c r="F1815" t="s">
        <v>53</v>
      </c>
      <c r="G1815" t="s">
        <v>63</v>
      </c>
      <c r="H1815" t="s">
        <v>24</v>
      </c>
      <c r="I1815" t="s">
        <v>25</v>
      </c>
      <c r="J1815" t="s">
        <v>67</v>
      </c>
      <c r="K1815" t="s">
        <v>27</v>
      </c>
      <c r="L1815" t="s">
        <v>28</v>
      </c>
      <c r="M1815" s="4">
        <v>19</v>
      </c>
      <c r="N1815" s="4">
        <v>7</v>
      </c>
      <c r="O1815" t="s">
        <v>29</v>
      </c>
      <c r="P1815" t="s">
        <v>36</v>
      </c>
      <c r="Q1815" s="4">
        <v>288257</v>
      </c>
      <c r="R1815" s="4">
        <v>184498</v>
      </c>
      <c r="S1815" s="4">
        <f>Table1[[#This Row],[Service_Revenue]]-Table1[[#This Row],[Service_Cost]]</f>
        <v>103759</v>
      </c>
      <c r="T1815" s="4">
        <v>1</v>
      </c>
      <c r="U1815" s="4">
        <f>IF(AND(Table1[[#This Row],[Rework_Flag]]="Yes",Table1[[#This Row],[Warranty_Claim]]="No"),Table1[[#This Row],[Service_Revenue]],0)</f>
        <v>288257</v>
      </c>
      <c r="V1815" s="4">
        <f>IF(Table1[[#This Row],[Warranty_Claim]]="Yes",1,0)</f>
        <v>0</v>
      </c>
      <c r="W1815" s="4">
        <f>IF(Table1[[#This Row],[Rework_Flag]]="No",1,0)</f>
        <v>0</v>
      </c>
      <c r="X1815" s="4">
        <f>IF(Table1[[#This Row],[Rework_Flag]]="Yes",1,0)</f>
        <v>1</v>
      </c>
      <c r="Y1815" s="4">
        <v>1</v>
      </c>
      <c r="Z1815" s="4" t="str">
        <f>IF(Table1[[#This Row],[TAT_Days]]&gt;Table1[[#This Row],[SLA_TAT]],"Yes","No")</f>
        <v>Yes</v>
      </c>
      <c r="AA1815" s="4" t="str" cm="1">
        <f t="array" ref="AA1815">_xlfn.IFS(Table1[[#This Row],[Customer_Satisfaction]]&lt;=2,"Poor",Table1[[#This Row],[Customer_Satisfaction]]=3,"Neutral",Table1[[#This Row],[Customer_Satisfaction]]=4,"Good",Table1[[#This Row],[Customer_Satisfaction]]=5,"Good")</f>
        <v>Poor</v>
      </c>
    </row>
    <row r="1816" spans="1:27" x14ac:dyDescent="0.35">
      <c r="A1816">
        <v>21814</v>
      </c>
      <c r="B1816" s="1">
        <v>45423</v>
      </c>
      <c r="C1816" t="s">
        <v>50</v>
      </c>
      <c r="D1816" t="s">
        <v>56</v>
      </c>
      <c r="E1816" t="s">
        <v>57</v>
      </c>
      <c r="F1816" t="s">
        <v>22</v>
      </c>
      <c r="G1816" t="s">
        <v>54</v>
      </c>
      <c r="H1816" t="s">
        <v>42</v>
      </c>
      <c r="I1816" t="s">
        <v>55</v>
      </c>
      <c r="J1816" t="s">
        <v>58</v>
      </c>
      <c r="K1816" t="s">
        <v>61</v>
      </c>
      <c r="L1816" t="s">
        <v>28</v>
      </c>
      <c r="M1816" s="4">
        <v>25</v>
      </c>
      <c r="N1816" s="4">
        <v>7</v>
      </c>
      <c r="O1816" t="s">
        <v>36</v>
      </c>
      <c r="P1816" t="s">
        <v>36</v>
      </c>
      <c r="Q1816" s="4">
        <v>254665</v>
      </c>
      <c r="R1816" s="4">
        <v>216436</v>
      </c>
      <c r="S1816" s="4">
        <f>Table1[[#This Row],[Service_Revenue]]-Table1[[#This Row],[Service_Cost]]</f>
        <v>38229</v>
      </c>
      <c r="T1816" s="4">
        <v>1</v>
      </c>
      <c r="U1816" s="4">
        <f>IF(AND(Table1[[#This Row],[Rework_Flag]]="Yes",Table1[[#This Row],[Warranty_Claim]]="No"),Table1[[#This Row],[Service_Revenue]],0)</f>
        <v>0</v>
      </c>
      <c r="V1816" s="4">
        <f>IF(Table1[[#This Row],[Warranty_Claim]]="Yes",1,0)</f>
        <v>0</v>
      </c>
      <c r="W1816" s="4">
        <f>IF(Table1[[#This Row],[Rework_Flag]]="No",1,0)</f>
        <v>1</v>
      </c>
      <c r="X1816" s="4">
        <f>IF(Table1[[#This Row],[Rework_Flag]]="Yes",1,0)</f>
        <v>0</v>
      </c>
      <c r="Y1816" s="4">
        <v>1</v>
      </c>
      <c r="Z1816" s="4" t="str">
        <f>IF(Table1[[#This Row],[TAT_Days]]&gt;Table1[[#This Row],[SLA_TAT]],"Yes","No")</f>
        <v>Yes</v>
      </c>
      <c r="AA1816" s="4" t="str" cm="1">
        <f t="array" ref="AA1816">_xlfn.IFS(Table1[[#This Row],[Customer_Satisfaction]]&lt;=2,"Poor",Table1[[#This Row],[Customer_Satisfaction]]=3,"Neutral",Table1[[#This Row],[Customer_Satisfaction]]=4,"Good",Table1[[#This Row],[Customer_Satisfaction]]=5,"Good")</f>
        <v>Poor</v>
      </c>
    </row>
    <row r="1817" spans="1:27" x14ac:dyDescent="0.35">
      <c r="A1817">
        <v>21815</v>
      </c>
      <c r="B1817" s="1">
        <v>45351</v>
      </c>
      <c r="C1817" t="s">
        <v>30</v>
      </c>
      <c r="D1817" t="s">
        <v>59</v>
      </c>
      <c r="E1817" t="s">
        <v>66</v>
      </c>
      <c r="F1817" t="s">
        <v>53</v>
      </c>
      <c r="G1817" t="s">
        <v>74</v>
      </c>
      <c r="H1817" t="s">
        <v>34</v>
      </c>
      <c r="I1817" t="s">
        <v>25</v>
      </c>
      <c r="J1817" t="s">
        <v>43</v>
      </c>
      <c r="K1817" t="s">
        <v>61</v>
      </c>
      <c r="L1817" t="s">
        <v>49</v>
      </c>
      <c r="M1817" s="4">
        <v>23</v>
      </c>
      <c r="N1817" s="4">
        <v>7</v>
      </c>
      <c r="O1817" t="s">
        <v>36</v>
      </c>
      <c r="P1817" t="s">
        <v>36</v>
      </c>
      <c r="Q1817" s="4">
        <v>357923</v>
      </c>
      <c r="R1817" s="4">
        <v>298099</v>
      </c>
      <c r="S1817" s="4">
        <f>Table1[[#This Row],[Service_Revenue]]-Table1[[#This Row],[Service_Cost]]</f>
        <v>59824</v>
      </c>
      <c r="T1817" s="4">
        <v>1</v>
      </c>
      <c r="U1817" s="4">
        <f>IF(AND(Table1[[#This Row],[Rework_Flag]]="Yes",Table1[[#This Row],[Warranty_Claim]]="No"),Table1[[#This Row],[Service_Revenue]],0)</f>
        <v>0</v>
      </c>
      <c r="V1817" s="4">
        <f>IF(Table1[[#This Row],[Warranty_Claim]]="Yes",1,0)</f>
        <v>0</v>
      </c>
      <c r="W1817" s="4">
        <f>IF(Table1[[#This Row],[Rework_Flag]]="No",1,0)</f>
        <v>1</v>
      </c>
      <c r="X1817" s="4">
        <f>IF(Table1[[#This Row],[Rework_Flag]]="Yes",1,0)</f>
        <v>0</v>
      </c>
      <c r="Y1817" s="4">
        <v>1</v>
      </c>
      <c r="Z1817" s="4" t="str">
        <f>IF(Table1[[#This Row],[TAT_Days]]&gt;Table1[[#This Row],[SLA_TAT]],"Yes","No")</f>
        <v>Yes</v>
      </c>
      <c r="AA1817" s="4" t="str" cm="1">
        <f t="array" ref="AA1817">_xlfn.IFS(Table1[[#This Row],[Customer_Satisfaction]]&lt;=2,"Poor",Table1[[#This Row],[Customer_Satisfaction]]=3,"Neutral",Table1[[#This Row],[Customer_Satisfaction]]=4,"Good",Table1[[#This Row],[Customer_Satisfaction]]=5,"Good")</f>
        <v>Poor</v>
      </c>
    </row>
    <row r="1818" spans="1:27" x14ac:dyDescent="0.35">
      <c r="A1818">
        <v>21816</v>
      </c>
      <c r="B1818" s="1">
        <v>45348</v>
      </c>
      <c r="C1818" t="s">
        <v>50</v>
      </c>
      <c r="D1818" t="s">
        <v>51</v>
      </c>
      <c r="E1818" t="s">
        <v>52</v>
      </c>
      <c r="F1818" t="s">
        <v>22</v>
      </c>
      <c r="G1818" t="s">
        <v>54</v>
      </c>
      <c r="H1818" t="s">
        <v>42</v>
      </c>
      <c r="I1818" t="s">
        <v>55</v>
      </c>
      <c r="J1818" t="s">
        <v>67</v>
      </c>
      <c r="K1818" t="s">
        <v>61</v>
      </c>
      <c r="L1818" t="s">
        <v>28</v>
      </c>
      <c r="M1818" s="4">
        <v>18</v>
      </c>
      <c r="N1818" s="4">
        <v>7</v>
      </c>
      <c r="O1818" t="s">
        <v>29</v>
      </c>
      <c r="P1818" t="s">
        <v>36</v>
      </c>
      <c r="Q1818" s="4">
        <v>292422</v>
      </c>
      <c r="R1818" s="4">
        <v>205172</v>
      </c>
      <c r="S1818" s="4">
        <f>Table1[[#This Row],[Service_Revenue]]-Table1[[#This Row],[Service_Cost]]</f>
        <v>87250</v>
      </c>
      <c r="T1818" s="4">
        <v>1</v>
      </c>
      <c r="U1818" s="4">
        <f>IF(AND(Table1[[#This Row],[Rework_Flag]]="Yes",Table1[[#This Row],[Warranty_Claim]]="No"),Table1[[#This Row],[Service_Revenue]],0)</f>
        <v>292422</v>
      </c>
      <c r="V1818" s="4">
        <f>IF(Table1[[#This Row],[Warranty_Claim]]="Yes",1,0)</f>
        <v>0</v>
      </c>
      <c r="W1818" s="4">
        <f>IF(Table1[[#This Row],[Rework_Flag]]="No",1,0)</f>
        <v>0</v>
      </c>
      <c r="X1818" s="4">
        <f>IF(Table1[[#This Row],[Rework_Flag]]="Yes",1,0)</f>
        <v>1</v>
      </c>
      <c r="Y1818" s="4">
        <v>1</v>
      </c>
      <c r="Z1818" s="4" t="str">
        <f>IF(Table1[[#This Row],[TAT_Days]]&gt;Table1[[#This Row],[SLA_TAT]],"Yes","No")</f>
        <v>Yes</v>
      </c>
      <c r="AA1818" s="4" t="str" cm="1">
        <f t="array" ref="AA1818">_xlfn.IFS(Table1[[#This Row],[Customer_Satisfaction]]&lt;=2,"Poor",Table1[[#This Row],[Customer_Satisfaction]]=3,"Neutral",Table1[[#This Row],[Customer_Satisfaction]]=4,"Good",Table1[[#This Row],[Customer_Satisfaction]]=5,"Good")</f>
        <v>Poor</v>
      </c>
    </row>
    <row r="1819" spans="1:27" x14ac:dyDescent="0.35">
      <c r="A1819">
        <v>21817</v>
      </c>
      <c r="B1819" s="1">
        <v>45362</v>
      </c>
      <c r="C1819" t="s">
        <v>30</v>
      </c>
      <c r="D1819" t="s">
        <v>83</v>
      </c>
      <c r="E1819" t="s">
        <v>92</v>
      </c>
      <c r="F1819" t="s">
        <v>53</v>
      </c>
      <c r="G1819" t="s">
        <v>74</v>
      </c>
      <c r="H1819" t="s">
        <v>34</v>
      </c>
      <c r="I1819" t="s">
        <v>55</v>
      </c>
      <c r="J1819" t="s">
        <v>58</v>
      </c>
      <c r="K1819" t="s">
        <v>27</v>
      </c>
      <c r="L1819" t="s">
        <v>49</v>
      </c>
      <c r="M1819" s="4">
        <v>24</v>
      </c>
      <c r="N1819" s="4">
        <v>7</v>
      </c>
      <c r="O1819" t="s">
        <v>29</v>
      </c>
      <c r="P1819" t="s">
        <v>36</v>
      </c>
      <c r="Q1819" s="4">
        <v>485297</v>
      </c>
      <c r="R1819" s="4">
        <v>336611</v>
      </c>
      <c r="S1819" s="4">
        <f>Table1[[#This Row],[Service_Revenue]]-Table1[[#This Row],[Service_Cost]]</f>
        <v>148686</v>
      </c>
      <c r="T1819" s="4">
        <v>1</v>
      </c>
      <c r="U1819" s="4">
        <f>IF(AND(Table1[[#This Row],[Rework_Flag]]="Yes",Table1[[#This Row],[Warranty_Claim]]="No"),Table1[[#This Row],[Service_Revenue]],0)</f>
        <v>485297</v>
      </c>
      <c r="V1819" s="4">
        <f>IF(Table1[[#This Row],[Warranty_Claim]]="Yes",1,0)</f>
        <v>0</v>
      </c>
      <c r="W1819" s="4">
        <f>IF(Table1[[#This Row],[Rework_Flag]]="No",1,0)</f>
        <v>0</v>
      </c>
      <c r="X1819" s="4">
        <f>IF(Table1[[#This Row],[Rework_Flag]]="Yes",1,0)</f>
        <v>1</v>
      </c>
      <c r="Y1819" s="4">
        <v>1</v>
      </c>
      <c r="Z1819" s="4" t="str">
        <f>IF(Table1[[#This Row],[TAT_Days]]&gt;Table1[[#This Row],[SLA_TAT]],"Yes","No")</f>
        <v>Yes</v>
      </c>
      <c r="AA1819" s="4" t="str" cm="1">
        <f t="array" ref="AA1819">_xlfn.IFS(Table1[[#This Row],[Customer_Satisfaction]]&lt;=2,"Poor",Table1[[#This Row],[Customer_Satisfaction]]=3,"Neutral",Table1[[#This Row],[Customer_Satisfaction]]=4,"Good",Table1[[#This Row],[Customer_Satisfaction]]=5,"Good")</f>
        <v>Poor</v>
      </c>
    </row>
    <row r="1820" spans="1:27" x14ac:dyDescent="0.35">
      <c r="A1820">
        <v>21818</v>
      </c>
      <c r="B1820" s="1">
        <v>45363</v>
      </c>
      <c r="C1820" t="s">
        <v>37</v>
      </c>
      <c r="D1820" t="s">
        <v>64</v>
      </c>
      <c r="E1820" t="s">
        <v>87</v>
      </c>
      <c r="F1820" t="s">
        <v>53</v>
      </c>
      <c r="G1820" t="s">
        <v>54</v>
      </c>
      <c r="H1820" t="s">
        <v>42</v>
      </c>
      <c r="I1820" t="s">
        <v>25</v>
      </c>
      <c r="J1820" t="s">
        <v>43</v>
      </c>
      <c r="K1820" t="s">
        <v>61</v>
      </c>
      <c r="L1820" t="s">
        <v>49</v>
      </c>
      <c r="M1820" s="4">
        <v>14</v>
      </c>
      <c r="N1820" s="4">
        <v>7</v>
      </c>
      <c r="O1820" t="s">
        <v>36</v>
      </c>
      <c r="P1820" t="s">
        <v>36</v>
      </c>
      <c r="Q1820" s="4">
        <v>149637</v>
      </c>
      <c r="R1820" s="4">
        <v>113196</v>
      </c>
      <c r="S1820" s="4">
        <f>Table1[[#This Row],[Service_Revenue]]-Table1[[#This Row],[Service_Cost]]</f>
        <v>36441</v>
      </c>
      <c r="T1820" s="4">
        <v>3</v>
      </c>
      <c r="U1820" s="4">
        <f>IF(AND(Table1[[#This Row],[Rework_Flag]]="Yes",Table1[[#This Row],[Warranty_Claim]]="No"),Table1[[#This Row],[Service_Revenue]],0)</f>
        <v>0</v>
      </c>
      <c r="V1820" s="4">
        <f>IF(Table1[[#This Row],[Warranty_Claim]]="Yes",1,0)</f>
        <v>0</v>
      </c>
      <c r="W1820" s="4">
        <f>IF(Table1[[#This Row],[Rework_Flag]]="No",1,0)</f>
        <v>1</v>
      </c>
      <c r="X1820" s="4">
        <f>IF(Table1[[#This Row],[Rework_Flag]]="Yes",1,0)</f>
        <v>0</v>
      </c>
      <c r="Y1820" s="4">
        <v>1</v>
      </c>
      <c r="Z1820" s="4" t="str">
        <f>IF(Table1[[#This Row],[TAT_Days]]&gt;Table1[[#This Row],[SLA_TAT]],"Yes","No")</f>
        <v>Yes</v>
      </c>
      <c r="AA1820" s="4" t="str" cm="1">
        <f t="array" ref="AA1820">_xlfn.IFS(Table1[[#This Row],[Customer_Satisfaction]]&lt;=2,"Poor",Table1[[#This Row],[Customer_Satisfaction]]=3,"Neutral",Table1[[#This Row],[Customer_Satisfaction]]=4,"Good",Table1[[#This Row],[Customer_Satisfaction]]=5,"Good")</f>
        <v>Neutral</v>
      </c>
    </row>
    <row r="1821" spans="1:27" x14ac:dyDescent="0.35">
      <c r="A1821">
        <v>21819</v>
      </c>
      <c r="B1821" s="1">
        <v>45335</v>
      </c>
      <c r="C1821" t="s">
        <v>50</v>
      </c>
      <c r="D1821" t="s">
        <v>51</v>
      </c>
      <c r="E1821" t="s">
        <v>52</v>
      </c>
      <c r="F1821" t="s">
        <v>53</v>
      </c>
      <c r="G1821" t="s">
        <v>33</v>
      </c>
      <c r="H1821" t="s">
        <v>34</v>
      </c>
      <c r="I1821" t="s">
        <v>55</v>
      </c>
      <c r="J1821" t="s">
        <v>35</v>
      </c>
      <c r="K1821" t="s">
        <v>44</v>
      </c>
      <c r="L1821" t="s">
        <v>28</v>
      </c>
      <c r="M1821" s="4">
        <v>14</v>
      </c>
      <c r="N1821" s="4">
        <v>7</v>
      </c>
      <c r="O1821" t="s">
        <v>29</v>
      </c>
      <c r="P1821" t="s">
        <v>29</v>
      </c>
      <c r="Q1821" s="4">
        <v>98176</v>
      </c>
      <c r="R1821" s="4">
        <v>81555</v>
      </c>
      <c r="S1821" s="4">
        <f>Table1[[#This Row],[Service_Revenue]]-Table1[[#This Row],[Service_Cost]]</f>
        <v>16621</v>
      </c>
      <c r="T1821" s="4">
        <v>2</v>
      </c>
      <c r="U1821" s="4">
        <f>IF(AND(Table1[[#This Row],[Rework_Flag]]="Yes",Table1[[#This Row],[Warranty_Claim]]="No"),Table1[[#This Row],[Service_Revenue]],0)</f>
        <v>0</v>
      </c>
      <c r="V1821" s="4">
        <f>IF(Table1[[#This Row],[Warranty_Claim]]="Yes",1,0)</f>
        <v>1</v>
      </c>
      <c r="W1821" s="4">
        <f>IF(Table1[[#This Row],[Rework_Flag]]="No",1,0)</f>
        <v>0</v>
      </c>
      <c r="X1821" s="4">
        <f>IF(Table1[[#This Row],[Rework_Flag]]="Yes",1,0)</f>
        <v>1</v>
      </c>
      <c r="Y1821" s="4">
        <v>1</v>
      </c>
      <c r="Z1821" s="4" t="str">
        <f>IF(Table1[[#This Row],[TAT_Days]]&gt;Table1[[#This Row],[SLA_TAT]],"Yes","No")</f>
        <v>Yes</v>
      </c>
      <c r="AA1821" s="4" t="str" cm="1">
        <f t="array" ref="AA1821">_xlfn.IFS(Table1[[#This Row],[Customer_Satisfaction]]&lt;=2,"Poor",Table1[[#This Row],[Customer_Satisfaction]]=3,"Neutral",Table1[[#This Row],[Customer_Satisfaction]]=4,"Good",Table1[[#This Row],[Customer_Satisfaction]]=5,"Good")</f>
        <v>Poor</v>
      </c>
    </row>
    <row r="1822" spans="1:27" x14ac:dyDescent="0.35">
      <c r="A1822">
        <v>21820</v>
      </c>
      <c r="B1822" s="1">
        <v>45469</v>
      </c>
      <c r="C1822" t="s">
        <v>50</v>
      </c>
      <c r="D1822" t="s">
        <v>80</v>
      </c>
      <c r="E1822" t="s">
        <v>81</v>
      </c>
      <c r="F1822" t="s">
        <v>53</v>
      </c>
      <c r="G1822" t="s">
        <v>54</v>
      </c>
      <c r="H1822" t="s">
        <v>42</v>
      </c>
      <c r="I1822" t="s">
        <v>55</v>
      </c>
      <c r="J1822" t="s">
        <v>43</v>
      </c>
      <c r="K1822" t="s">
        <v>44</v>
      </c>
      <c r="L1822" t="s">
        <v>28</v>
      </c>
      <c r="M1822" s="4">
        <v>7</v>
      </c>
      <c r="N1822" s="4">
        <v>7</v>
      </c>
      <c r="O1822" t="s">
        <v>29</v>
      </c>
      <c r="P1822" t="s">
        <v>36</v>
      </c>
      <c r="Q1822" s="4">
        <v>180008</v>
      </c>
      <c r="R1822" s="4">
        <v>105266</v>
      </c>
      <c r="S1822" s="4">
        <f>Table1[[#This Row],[Service_Revenue]]-Table1[[#This Row],[Service_Cost]]</f>
        <v>74742</v>
      </c>
      <c r="T1822" s="4">
        <v>3</v>
      </c>
      <c r="U1822" s="4">
        <f>IF(AND(Table1[[#This Row],[Rework_Flag]]="Yes",Table1[[#This Row],[Warranty_Claim]]="No"),Table1[[#This Row],[Service_Revenue]],0)</f>
        <v>180008</v>
      </c>
      <c r="V1822" s="4">
        <f>IF(Table1[[#This Row],[Warranty_Claim]]="Yes",1,0)</f>
        <v>0</v>
      </c>
      <c r="W1822" s="4">
        <f>IF(Table1[[#This Row],[Rework_Flag]]="No",1,0)</f>
        <v>0</v>
      </c>
      <c r="X1822" s="4">
        <f>IF(Table1[[#This Row],[Rework_Flag]]="Yes",1,0)</f>
        <v>1</v>
      </c>
      <c r="Y1822" s="4">
        <v>1</v>
      </c>
      <c r="Z1822" s="4" t="str">
        <f>IF(Table1[[#This Row],[TAT_Days]]&gt;Table1[[#This Row],[SLA_TAT]],"Yes","No")</f>
        <v>No</v>
      </c>
      <c r="AA1822" s="4" t="str" cm="1">
        <f t="array" ref="AA1822">_xlfn.IFS(Table1[[#This Row],[Customer_Satisfaction]]&lt;=2,"Poor",Table1[[#This Row],[Customer_Satisfaction]]=3,"Neutral",Table1[[#This Row],[Customer_Satisfaction]]=4,"Good",Table1[[#This Row],[Customer_Satisfaction]]=5,"Good")</f>
        <v>Neutral</v>
      </c>
    </row>
    <row r="1823" spans="1:27" x14ac:dyDescent="0.35">
      <c r="A1823">
        <v>21821</v>
      </c>
      <c r="B1823" s="1">
        <v>45430</v>
      </c>
      <c r="C1823" t="s">
        <v>30</v>
      </c>
      <c r="D1823" t="s">
        <v>83</v>
      </c>
      <c r="E1823" t="s">
        <v>95</v>
      </c>
      <c r="F1823" t="s">
        <v>40</v>
      </c>
      <c r="G1823" t="s">
        <v>74</v>
      </c>
      <c r="H1823" t="s">
        <v>34</v>
      </c>
      <c r="I1823" t="s">
        <v>25</v>
      </c>
      <c r="J1823" t="s">
        <v>67</v>
      </c>
      <c r="K1823" t="s">
        <v>44</v>
      </c>
      <c r="L1823" t="s">
        <v>28</v>
      </c>
      <c r="M1823" s="4">
        <v>4</v>
      </c>
      <c r="N1823" s="4">
        <v>7</v>
      </c>
      <c r="O1823" t="s">
        <v>36</v>
      </c>
      <c r="P1823" t="s">
        <v>36</v>
      </c>
      <c r="Q1823" s="4">
        <v>424298</v>
      </c>
      <c r="R1823" s="4">
        <v>311464</v>
      </c>
      <c r="S1823" s="4">
        <f>Table1[[#This Row],[Service_Revenue]]-Table1[[#This Row],[Service_Cost]]</f>
        <v>112834</v>
      </c>
      <c r="T1823" s="4">
        <v>5</v>
      </c>
      <c r="U1823" s="4">
        <f>IF(AND(Table1[[#This Row],[Rework_Flag]]="Yes",Table1[[#This Row],[Warranty_Claim]]="No"),Table1[[#This Row],[Service_Revenue]],0)</f>
        <v>0</v>
      </c>
      <c r="V1823" s="4">
        <f>IF(Table1[[#This Row],[Warranty_Claim]]="Yes",1,0)</f>
        <v>0</v>
      </c>
      <c r="W1823" s="4">
        <f>IF(Table1[[#This Row],[Rework_Flag]]="No",1,0)</f>
        <v>1</v>
      </c>
      <c r="X1823" s="4">
        <f>IF(Table1[[#This Row],[Rework_Flag]]="Yes",1,0)</f>
        <v>0</v>
      </c>
      <c r="Y1823" s="4">
        <v>1</v>
      </c>
      <c r="Z1823" s="4" t="str">
        <f>IF(Table1[[#This Row],[TAT_Days]]&gt;Table1[[#This Row],[SLA_TAT]],"Yes","No")</f>
        <v>No</v>
      </c>
      <c r="AA1823" s="4" t="str" cm="1">
        <f t="array" ref="AA1823">_xlfn.IFS(Table1[[#This Row],[Customer_Satisfaction]]&lt;=2,"Poor",Table1[[#This Row],[Customer_Satisfaction]]=3,"Neutral",Table1[[#This Row],[Customer_Satisfaction]]=4,"Good",Table1[[#This Row],[Customer_Satisfaction]]=5,"Good")</f>
        <v>Good</v>
      </c>
    </row>
    <row r="1824" spans="1:27" x14ac:dyDescent="0.35">
      <c r="A1824">
        <v>21822</v>
      </c>
      <c r="B1824" s="1">
        <v>45333</v>
      </c>
      <c r="C1824" t="s">
        <v>30</v>
      </c>
      <c r="D1824" t="s">
        <v>83</v>
      </c>
      <c r="E1824" t="s">
        <v>119</v>
      </c>
      <c r="F1824" t="s">
        <v>22</v>
      </c>
      <c r="G1824" t="s">
        <v>41</v>
      </c>
      <c r="H1824" t="s">
        <v>42</v>
      </c>
      <c r="I1824" t="s">
        <v>25</v>
      </c>
      <c r="J1824" t="s">
        <v>58</v>
      </c>
      <c r="K1824" t="s">
        <v>27</v>
      </c>
      <c r="L1824" t="s">
        <v>28</v>
      </c>
      <c r="M1824" s="4">
        <v>14</v>
      </c>
      <c r="N1824" s="4">
        <v>7</v>
      </c>
      <c r="O1824" t="s">
        <v>29</v>
      </c>
      <c r="P1824" t="s">
        <v>29</v>
      </c>
      <c r="Q1824" s="4">
        <v>500352</v>
      </c>
      <c r="R1824" s="4">
        <v>256478</v>
      </c>
      <c r="S1824" s="4">
        <f>Table1[[#This Row],[Service_Revenue]]-Table1[[#This Row],[Service_Cost]]</f>
        <v>243874</v>
      </c>
      <c r="T1824" s="4">
        <v>2</v>
      </c>
      <c r="U1824" s="4">
        <f>IF(AND(Table1[[#This Row],[Rework_Flag]]="Yes",Table1[[#This Row],[Warranty_Claim]]="No"),Table1[[#This Row],[Service_Revenue]],0)</f>
        <v>0</v>
      </c>
      <c r="V1824" s="4">
        <f>IF(Table1[[#This Row],[Warranty_Claim]]="Yes",1,0)</f>
        <v>1</v>
      </c>
      <c r="W1824" s="4">
        <f>IF(Table1[[#This Row],[Rework_Flag]]="No",1,0)</f>
        <v>0</v>
      </c>
      <c r="X1824" s="4">
        <f>IF(Table1[[#This Row],[Rework_Flag]]="Yes",1,0)</f>
        <v>1</v>
      </c>
      <c r="Y1824" s="4">
        <v>1</v>
      </c>
      <c r="Z1824" s="4" t="str">
        <f>IF(Table1[[#This Row],[TAT_Days]]&gt;Table1[[#This Row],[SLA_TAT]],"Yes","No")</f>
        <v>Yes</v>
      </c>
      <c r="AA1824" s="4" t="str" cm="1">
        <f t="array" ref="AA1824">_xlfn.IFS(Table1[[#This Row],[Customer_Satisfaction]]&lt;=2,"Poor",Table1[[#This Row],[Customer_Satisfaction]]=3,"Neutral",Table1[[#This Row],[Customer_Satisfaction]]=4,"Good",Table1[[#This Row],[Customer_Satisfaction]]=5,"Good")</f>
        <v>Poor</v>
      </c>
    </row>
    <row r="1825" spans="1:27" x14ac:dyDescent="0.35">
      <c r="A1825">
        <v>21823</v>
      </c>
      <c r="B1825" s="1">
        <v>45303</v>
      </c>
      <c r="C1825" t="s">
        <v>19</v>
      </c>
      <c r="D1825" t="s">
        <v>20</v>
      </c>
      <c r="E1825" t="s">
        <v>21</v>
      </c>
      <c r="F1825" t="s">
        <v>53</v>
      </c>
      <c r="G1825" t="s">
        <v>41</v>
      </c>
      <c r="H1825" t="s">
        <v>42</v>
      </c>
      <c r="I1825" t="s">
        <v>25</v>
      </c>
      <c r="J1825" t="s">
        <v>67</v>
      </c>
      <c r="K1825" t="s">
        <v>44</v>
      </c>
      <c r="L1825" t="s">
        <v>28</v>
      </c>
      <c r="M1825" s="4">
        <v>24</v>
      </c>
      <c r="N1825" s="4">
        <v>7</v>
      </c>
      <c r="O1825" t="s">
        <v>36</v>
      </c>
      <c r="P1825" t="s">
        <v>36</v>
      </c>
      <c r="Q1825" s="4">
        <v>580520</v>
      </c>
      <c r="R1825" s="4">
        <v>360818</v>
      </c>
      <c r="S1825" s="4">
        <f>Table1[[#This Row],[Service_Revenue]]-Table1[[#This Row],[Service_Cost]]</f>
        <v>219702</v>
      </c>
      <c r="T1825" s="4">
        <v>1</v>
      </c>
      <c r="U1825" s="4">
        <f>IF(AND(Table1[[#This Row],[Rework_Flag]]="Yes",Table1[[#This Row],[Warranty_Claim]]="No"),Table1[[#This Row],[Service_Revenue]],0)</f>
        <v>0</v>
      </c>
      <c r="V1825" s="4">
        <f>IF(Table1[[#This Row],[Warranty_Claim]]="Yes",1,0)</f>
        <v>0</v>
      </c>
      <c r="W1825" s="4">
        <f>IF(Table1[[#This Row],[Rework_Flag]]="No",1,0)</f>
        <v>1</v>
      </c>
      <c r="X1825" s="4">
        <f>IF(Table1[[#This Row],[Rework_Flag]]="Yes",1,0)</f>
        <v>0</v>
      </c>
      <c r="Y1825" s="4">
        <v>1</v>
      </c>
      <c r="Z1825" s="4" t="str">
        <f>IF(Table1[[#This Row],[TAT_Days]]&gt;Table1[[#This Row],[SLA_TAT]],"Yes","No")</f>
        <v>Yes</v>
      </c>
      <c r="AA1825" s="4" t="str" cm="1">
        <f t="array" ref="AA1825">_xlfn.IFS(Table1[[#This Row],[Customer_Satisfaction]]&lt;=2,"Poor",Table1[[#This Row],[Customer_Satisfaction]]=3,"Neutral",Table1[[#This Row],[Customer_Satisfaction]]=4,"Good",Table1[[#This Row],[Customer_Satisfaction]]=5,"Good")</f>
        <v>Poor</v>
      </c>
    </row>
    <row r="1826" spans="1:27" x14ac:dyDescent="0.35">
      <c r="A1826">
        <v>21824</v>
      </c>
      <c r="B1826" s="1">
        <v>45400</v>
      </c>
      <c r="C1826" t="s">
        <v>19</v>
      </c>
      <c r="D1826" t="s">
        <v>96</v>
      </c>
      <c r="E1826" t="s">
        <v>105</v>
      </c>
      <c r="F1826" t="s">
        <v>22</v>
      </c>
      <c r="G1826" t="s">
        <v>74</v>
      </c>
      <c r="H1826" t="s">
        <v>34</v>
      </c>
      <c r="I1826" t="s">
        <v>25</v>
      </c>
      <c r="J1826" t="s">
        <v>43</v>
      </c>
      <c r="K1826" t="s">
        <v>61</v>
      </c>
      <c r="L1826" t="s">
        <v>49</v>
      </c>
      <c r="M1826" s="4">
        <v>20</v>
      </c>
      <c r="N1826" s="4">
        <v>7</v>
      </c>
      <c r="O1826" t="s">
        <v>36</v>
      </c>
      <c r="P1826" t="s">
        <v>36</v>
      </c>
      <c r="Q1826" s="4">
        <v>278962</v>
      </c>
      <c r="R1826" s="4">
        <v>154098</v>
      </c>
      <c r="S1826" s="4">
        <f>Table1[[#This Row],[Service_Revenue]]-Table1[[#This Row],[Service_Cost]]</f>
        <v>124864</v>
      </c>
      <c r="T1826" s="4">
        <v>1</v>
      </c>
      <c r="U1826" s="4">
        <f>IF(AND(Table1[[#This Row],[Rework_Flag]]="Yes",Table1[[#This Row],[Warranty_Claim]]="No"),Table1[[#This Row],[Service_Revenue]],0)</f>
        <v>0</v>
      </c>
      <c r="V1826" s="4">
        <f>IF(Table1[[#This Row],[Warranty_Claim]]="Yes",1,0)</f>
        <v>0</v>
      </c>
      <c r="W1826" s="4">
        <f>IF(Table1[[#This Row],[Rework_Flag]]="No",1,0)</f>
        <v>1</v>
      </c>
      <c r="X1826" s="4">
        <f>IF(Table1[[#This Row],[Rework_Flag]]="Yes",1,0)</f>
        <v>0</v>
      </c>
      <c r="Y1826" s="4">
        <v>1</v>
      </c>
      <c r="Z1826" s="4" t="str">
        <f>IF(Table1[[#This Row],[TAT_Days]]&gt;Table1[[#This Row],[SLA_TAT]],"Yes","No")</f>
        <v>Yes</v>
      </c>
      <c r="AA1826" s="4" t="str" cm="1">
        <f t="array" ref="AA1826">_xlfn.IFS(Table1[[#This Row],[Customer_Satisfaction]]&lt;=2,"Poor",Table1[[#This Row],[Customer_Satisfaction]]=3,"Neutral",Table1[[#This Row],[Customer_Satisfaction]]=4,"Good",Table1[[#This Row],[Customer_Satisfaction]]=5,"Good")</f>
        <v>Poor</v>
      </c>
    </row>
    <row r="1827" spans="1:27" x14ac:dyDescent="0.35">
      <c r="A1827">
        <v>21825</v>
      </c>
      <c r="B1827" s="1">
        <v>45383</v>
      </c>
      <c r="C1827" t="s">
        <v>37</v>
      </c>
      <c r="D1827" t="s">
        <v>70</v>
      </c>
      <c r="E1827" t="s">
        <v>91</v>
      </c>
      <c r="F1827" t="s">
        <v>53</v>
      </c>
      <c r="G1827" t="s">
        <v>63</v>
      </c>
      <c r="H1827" t="s">
        <v>24</v>
      </c>
      <c r="I1827" t="s">
        <v>55</v>
      </c>
      <c r="J1827" t="s">
        <v>35</v>
      </c>
      <c r="K1827" t="s">
        <v>27</v>
      </c>
      <c r="L1827" t="s">
        <v>28</v>
      </c>
      <c r="M1827" s="4">
        <v>10</v>
      </c>
      <c r="N1827" s="4">
        <v>7</v>
      </c>
      <c r="O1827" t="s">
        <v>36</v>
      </c>
      <c r="P1827" t="s">
        <v>36</v>
      </c>
      <c r="Q1827" s="4">
        <v>159513</v>
      </c>
      <c r="R1827" s="4">
        <v>95973</v>
      </c>
      <c r="S1827" s="4">
        <f>Table1[[#This Row],[Service_Revenue]]-Table1[[#This Row],[Service_Cost]]</f>
        <v>63540</v>
      </c>
      <c r="T1827" s="4">
        <v>3</v>
      </c>
      <c r="U1827" s="4">
        <f>IF(AND(Table1[[#This Row],[Rework_Flag]]="Yes",Table1[[#This Row],[Warranty_Claim]]="No"),Table1[[#This Row],[Service_Revenue]],0)</f>
        <v>0</v>
      </c>
      <c r="V1827" s="4">
        <f>IF(Table1[[#This Row],[Warranty_Claim]]="Yes",1,0)</f>
        <v>0</v>
      </c>
      <c r="W1827" s="4">
        <f>IF(Table1[[#This Row],[Rework_Flag]]="No",1,0)</f>
        <v>1</v>
      </c>
      <c r="X1827" s="4">
        <f>IF(Table1[[#This Row],[Rework_Flag]]="Yes",1,0)</f>
        <v>0</v>
      </c>
      <c r="Y1827" s="4">
        <v>1</v>
      </c>
      <c r="Z1827" s="4" t="str">
        <f>IF(Table1[[#This Row],[TAT_Days]]&gt;Table1[[#This Row],[SLA_TAT]],"Yes","No")</f>
        <v>Yes</v>
      </c>
      <c r="AA1827" s="4" t="str" cm="1">
        <f t="array" ref="AA1827">_xlfn.IFS(Table1[[#This Row],[Customer_Satisfaction]]&lt;=2,"Poor",Table1[[#This Row],[Customer_Satisfaction]]=3,"Neutral",Table1[[#This Row],[Customer_Satisfaction]]=4,"Good",Table1[[#This Row],[Customer_Satisfaction]]=5,"Good")</f>
        <v>Neutral</v>
      </c>
    </row>
    <row r="1828" spans="1:27" x14ac:dyDescent="0.35">
      <c r="A1828">
        <v>21826</v>
      </c>
      <c r="B1828" s="1">
        <v>45404</v>
      </c>
      <c r="C1828" t="s">
        <v>37</v>
      </c>
      <c r="D1828" t="s">
        <v>38</v>
      </c>
      <c r="E1828" t="s">
        <v>93</v>
      </c>
      <c r="F1828" t="s">
        <v>40</v>
      </c>
      <c r="G1828" t="s">
        <v>54</v>
      </c>
      <c r="H1828" t="s">
        <v>42</v>
      </c>
      <c r="I1828" t="s">
        <v>55</v>
      </c>
      <c r="J1828" t="s">
        <v>35</v>
      </c>
      <c r="K1828" t="s">
        <v>27</v>
      </c>
      <c r="L1828" t="s">
        <v>28</v>
      </c>
      <c r="M1828" s="4">
        <v>18</v>
      </c>
      <c r="N1828" s="4">
        <v>7</v>
      </c>
      <c r="O1828" t="s">
        <v>29</v>
      </c>
      <c r="P1828" t="s">
        <v>29</v>
      </c>
      <c r="Q1828" s="4">
        <v>292253</v>
      </c>
      <c r="R1828" s="4">
        <v>242855</v>
      </c>
      <c r="S1828" s="4">
        <f>Table1[[#This Row],[Service_Revenue]]-Table1[[#This Row],[Service_Cost]]</f>
        <v>49398</v>
      </c>
      <c r="T1828" s="4">
        <v>1</v>
      </c>
      <c r="U1828" s="4">
        <f>IF(AND(Table1[[#This Row],[Rework_Flag]]="Yes",Table1[[#This Row],[Warranty_Claim]]="No"),Table1[[#This Row],[Service_Revenue]],0)</f>
        <v>0</v>
      </c>
      <c r="V1828" s="4">
        <f>IF(Table1[[#This Row],[Warranty_Claim]]="Yes",1,0)</f>
        <v>1</v>
      </c>
      <c r="W1828" s="4">
        <f>IF(Table1[[#This Row],[Rework_Flag]]="No",1,0)</f>
        <v>0</v>
      </c>
      <c r="X1828" s="4">
        <f>IF(Table1[[#This Row],[Rework_Flag]]="Yes",1,0)</f>
        <v>1</v>
      </c>
      <c r="Y1828" s="4">
        <v>1</v>
      </c>
      <c r="Z1828" s="4" t="str">
        <f>IF(Table1[[#This Row],[TAT_Days]]&gt;Table1[[#This Row],[SLA_TAT]],"Yes","No")</f>
        <v>Yes</v>
      </c>
      <c r="AA1828" s="4" t="str" cm="1">
        <f t="array" ref="AA1828">_xlfn.IFS(Table1[[#This Row],[Customer_Satisfaction]]&lt;=2,"Poor",Table1[[#This Row],[Customer_Satisfaction]]=3,"Neutral",Table1[[#This Row],[Customer_Satisfaction]]=4,"Good",Table1[[#This Row],[Customer_Satisfaction]]=5,"Good")</f>
        <v>Poor</v>
      </c>
    </row>
    <row r="1829" spans="1:27" x14ac:dyDescent="0.35">
      <c r="A1829">
        <v>21827</v>
      </c>
      <c r="B1829" s="1">
        <v>45421</v>
      </c>
      <c r="C1829" t="s">
        <v>19</v>
      </c>
      <c r="D1829" t="s">
        <v>45</v>
      </c>
      <c r="E1829" t="s">
        <v>76</v>
      </c>
      <c r="F1829" t="s">
        <v>22</v>
      </c>
      <c r="G1829" t="s">
        <v>47</v>
      </c>
      <c r="H1829" t="s">
        <v>48</v>
      </c>
      <c r="I1829" t="s">
        <v>25</v>
      </c>
      <c r="J1829" t="s">
        <v>43</v>
      </c>
      <c r="K1829" t="s">
        <v>61</v>
      </c>
      <c r="L1829" t="s">
        <v>28</v>
      </c>
      <c r="M1829" s="4">
        <v>3</v>
      </c>
      <c r="N1829" s="4">
        <v>7</v>
      </c>
      <c r="O1829" t="s">
        <v>36</v>
      </c>
      <c r="P1829" t="s">
        <v>36</v>
      </c>
      <c r="Q1829" s="4">
        <v>324940</v>
      </c>
      <c r="R1829" s="4">
        <v>261302</v>
      </c>
      <c r="S1829" s="4">
        <f>Table1[[#This Row],[Service_Revenue]]-Table1[[#This Row],[Service_Cost]]</f>
        <v>63638</v>
      </c>
      <c r="T1829" s="4">
        <v>5</v>
      </c>
      <c r="U1829" s="4">
        <f>IF(AND(Table1[[#This Row],[Rework_Flag]]="Yes",Table1[[#This Row],[Warranty_Claim]]="No"),Table1[[#This Row],[Service_Revenue]],0)</f>
        <v>0</v>
      </c>
      <c r="V1829" s="4">
        <f>IF(Table1[[#This Row],[Warranty_Claim]]="Yes",1,0)</f>
        <v>0</v>
      </c>
      <c r="W1829" s="4">
        <f>IF(Table1[[#This Row],[Rework_Flag]]="No",1,0)</f>
        <v>1</v>
      </c>
      <c r="X1829" s="4">
        <f>IF(Table1[[#This Row],[Rework_Flag]]="Yes",1,0)</f>
        <v>0</v>
      </c>
      <c r="Y1829" s="4">
        <v>1</v>
      </c>
      <c r="Z1829" s="4" t="str">
        <f>IF(Table1[[#This Row],[TAT_Days]]&gt;Table1[[#This Row],[SLA_TAT]],"Yes","No")</f>
        <v>No</v>
      </c>
      <c r="AA1829" s="4" t="str" cm="1">
        <f t="array" ref="AA1829">_xlfn.IFS(Table1[[#This Row],[Customer_Satisfaction]]&lt;=2,"Poor",Table1[[#This Row],[Customer_Satisfaction]]=3,"Neutral",Table1[[#This Row],[Customer_Satisfaction]]=4,"Good",Table1[[#This Row],[Customer_Satisfaction]]=5,"Good")</f>
        <v>Good</v>
      </c>
    </row>
    <row r="1830" spans="1:27" x14ac:dyDescent="0.35">
      <c r="A1830">
        <v>21828</v>
      </c>
      <c r="B1830" s="1">
        <v>45305</v>
      </c>
      <c r="C1830" t="s">
        <v>37</v>
      </c>
      <c r="D1830" t="s">
        <v>64</v>
      </c>
      <c r="E1830" t="s">
        <v>103</v>
      </c>
      <c r="F1830" t="s">
        <v>53</v>
      </c>
      <c r="G1830" t="s">
        <v>41</v>
      </c>
      <c r="H1830" t="s">
        <v>42</v>
      </c>
      <c r="I1830" t="s">
        <v>25</v>
      </c>
      <c r="J1830" t="s">
        <v>26</v>
      </c>
      <c r="K1830" t="s">
        <v>44</v>
      </c>
      <c r="L1830" t="s">
        <v>28</v>
      </c>
      <c r="M1830" s="4">
        <v>7</v>
      </c>
      <c r="N1830" s="4">
        <v>7</v>
      </c>
      <c r="O1830" t="s">
        <v>29</v>
      </c>
      <c r="P1830" t="s">
        <v>36</v>
      </c>
      <c r="Q1830" s="4">
        <v>594793</v>
      </c>
      <c r="R1830" s="4">
        <v>377388</v>
      </c>
      <c r="S1830" s="4">
        <f>Table1[[#This Row],[Service_Revenue]]-Table1[[#This Row],[Service_Cost]]</f>
        <v>217405</v>
      </c>
      <c r="T1830" s="4">
        <v>3</v>
      </c>
      <c r="U1830" s="4">
        <f>IF(AND(Table1[[#This Row],[Rework_Flag]]="Yes",Table1[[#This Row],[Warranty_Claim]]="No"),Table1[[#This Row],[Service_Revenue]],0)</f>
        <v>594793</v>
      </c>
      <c r="V1830" s="4">
        <f>IF(Table1[[#This Row],[Warranty_Claim]]="Yes",1,0)</f>
        <v>0</v>
      </c>
      <c r="W1830" s="4">
        <f>IF(Table1[[#This Row],[Rework_Flag]]="No",1,0)</f>
        <v>0</v>
      </c>
      <c r="X1830" s="4">
        <f>IF(Table1[[#This Row],[Rework_Flag]]="Yes",1,0)</f>
        <v>1</v>
      </c>
      <c r="Y1830" s="4">
        <v>1</v>
      </c>
      <c r="Z1830" s="4" t="str">
        <f>IF(Table1[[#This Row],[TAT_Days]]&gt;Table1[[#This Row],[SLA_TAT]],"Yes","No")</f>
        <v>No</v>
      </c>
      <c r="AA1830" s="4" t="str" cm="1">
        <f t="array" ref="AA1830">_xlfn.IFS(Table1[[#This Row],[Customer_Satisfaction]]&lt;=2,"Poor",Table1[[#This Row],[Customer_Satisfaction]]=3,"Neutral",Table1[[#This Row],[Customer_Satisfaction]]=4,"Good",Table1[[#This Row],[Customer_Satisfaction]]=5,"Good")</f>
        <v>Neutral</v>
      </c>
    </row>
    <row r="1831" spans="1:27" x14ac:dyDescent="0.35">
      <c r="A1831">
        <v>21829</v>
      </c>
      <c r="B1831" s="1">
        <v>45379</v>
      </c>
      <c r="C1831" t="s">
        <v>37</v>
      </c>
      <c r="D1831" t="s">
        <v>70</v>
      </c>
      <c r="E1831" t="s">
        <v>116</v>
      </c>
      <c r="F1831" t="s">
        <v>53</v>
      </c>
      <c r="G1831" t="s">
        <v>23</v>
      </c>
      <c r="H1831" t="s">
        <v>24</v>
      </c>
      <c r="I1831" t="s">
        <v>55</v>
      </c>
      <c r="J1831" t="s">
        <v>67</v>
      </c>
      <c r="K1831" t="s">
        <v>44</v>
      </c>
      <c r="L1831" t="s">
        <v>28</v>
      </c>
      <c r="M1831" s="4">
        <v>14</v>
      </c>
      <c r="N1831" s="4">
        <v>7</v>
      </c>
      <c r="O1831" t="s">
        <v>29</v>
      </c>
      <c r="P1831" t="s">
        <v>36</v>
      </c>
      <c r="Q1831" s="4">
        <v>345484</v>
      </c>
      <c r="R1831" s="4">
        <v>226683</v>
      </c>
      <c r="S1831" s="4">
        <f>Table1[[#This Row],[Service_Revenue]]-Table1[[#This Row],[Service_Cost]]</f>
        <v>118801</v>
      </c>
      <c r="T1831" s="4">
        <v>2</v>
      </c>
      <c r="U1831" s="4">
        <f>IF(AND(Table1[[#This Row],[Rework_Flag]]="Yes",Table1[[#This Row],[Warranty_Claim]]="No"),Table1[[#This Row],[Service_Revenue]],0)</f>
        <v>345484</v>
      </c>
      <c r="V1831" s="4">
        <f>IF(Table1[[#This Row],[Warranty_Claim]]="Yes",1,0)</f>
        <v>0</v>
      </c>
      <c r="W1831" s="4">
        <f>IF(Table1[[#This Row],[Rework_Flag]]="No",1,0)</f>
        <v>0</v>
      </c>
      <c r="X1831" s="4">
        <f>IF(Table1[[#This Row],[Rework_Flag]]="Yes",1,0)</f>
        <v>1</v>
      </c>
      <c r="Y1831" s="4">
        <v>1</v>
      </c>
      <c r="Z1831" s="4" t="str">
        <f>IF(Table1[[#This Row],[TAT_Days]]&gt;Table1[[#This Row],[SLA_TAT]],"Yes","No")</f>
        <v>Yes</v>
      </c>
      <c r="AA1831" s="4" t="str" cm="1">
        <f t="array" ref="AA1831">_xlfn.IFS(Table1[[#This Row],[Customer_Satisfaction]]&lt;=2,"Poor",Table1[[#This Row],[Customer_Satisfaction]]=3,"Neutral",Table1[[#This Row],[Customer_Satisfaction]]=4,"Good",Table1[[#This Row],[Customer_Satisfaction]]=5,"Good")</f>
        <v>Poor</v>
      </c>
    </row>
    <row r="1832" spans="1:27" x14ac:dyDescent="0.35">
      <c r="A1832">
        <v>21830</v>
      </c>
      <c r="B1832" s="1">
        <v>45335</v>
      </c>
      <c r="C1832" t="s">
        <v>19</v>
      </c>
      <c r="D1832" t="s">
        <v>45</v>
      </c>
      <c r="E1832" t="s">
        <v>46</v>
      </c>
      <c r="F1832" t="s">
        <v>53</v>
      </c>
      <c r="G1832" t="s">
        <v>74</v>
      </c>
      <c r="H1832" t="s">
        <v>34</v>
      </c>
      <c r="I1832" t="s">
        <v>25</v>
      </c>
      <c r="J1832" t="s">
        <v>35</v>
      </c>
      <c r="K1832" t="s">
        <v>44</v>
      </c>
      <c r="L1832" t="s">
        <v>49</v>
      </c>
      <c r="M1832" s="4">
        <v>22</v>
      </c>
      <c r="N1832" s="4">
        <v>7</v>
      </c>
      <c r="O1832" t="s">
        <v>36</v>
      </c>
      <c r="P1832" t="s">
        <v>36</v>
      </c>
      <c r="Q1832" s="4">
        <v>95428</v>
      </c>
      <c r="R1832" s="4">
        <v>63602</v>
      </c>
      <c r="S1832" s="4">
        <f>Table1[[#This Row],[Service_Revenue]]-Table1[[#This Row],[Service_Cost]]</f>
        <v>31826</v>
      </c>
      <c r="T1832" s="4">
        <v>1</v>
      </c>
      <c r="U1832" s="4">
        <f>IF(AND(Table1[[#This Row],[Rework_Flag]]="Yes",Table1[[#This Row],[Warranty_Claim]]="No"),Table1[[#This Row],[Service_Revenue]],0)</f>
        <v>0</v>
      </c>
      <c r="V1832" s="4">
        <f>IF(Table1[[#This Row],[Warranty_Claim]]="Yes",1,0)</f>
        <v>0</v>
      </c>
      <c r="W1832" s="4">
        <f>IF(Table1[[#This Row],[Rework_Flag]]="No",1,0)</f>
        <v>1</v>
      </c>
      <c r="X1832" s="4">
        <f>IF(Table1[[#This Row],[Rework_Flag]]="Yes",1,0)</f>
        <v>0</v>
      </c>
      <c r="Y1832" s="4">
        <v>1</v>
      </c>
      <c r="Z1832" s="4" t="str">
        <f>IF(Table1[[#This Row],[TAT_Days]]&gt;Table1[[#This Row],[SLA_TAT]],"Yes","No")</f>
        <v>Yes</v>
      </c>
      <c r="AA1832" s="4" t="str" cm="1">
        <f t="array" ref="AA1832">_xlfn.IFS(Table1[[#This Row],[Customer_Satisfaction]]&lt;=2,"Poor",Table1[[#This Row],[Customer_Satisfaction]]=3,"Neutral",Table1[[#This Row],[Customer_Satisfaction]]=4,"Good",Table1[[#This Row],[Customer_Satisfaction]]=5,"Good")</f>
        <v>Poor</v>
      </c>
    </row>
    <row r="1833" spans="1:27" x14ac:dyDescent="0.35">
      <c r="A1833">
        <v>21831</v>
      </c>
      <c r="B1833" s="1">
        <v>45387</v>
      </c>
      <c r="C1833" t="s">
        <v>50</v>
      </c>
      <c r="D1833" t="s">
        <v>51</v>
      </c>
      <c r="E1833" t="s">
        <v>120</v>
      </c>
      <c r="F1833" t="s">
        <v>40</v>
      </c>
      <c r="G1833" t="s">
        <v>74</v>
      </c>
      <c r="H1833" t="s">
        <v>34</v>
      </c>
      <c r="I1833" t="s">
        <v>25</v>
      </c>
      <c r="J1833" t="s">
        <v>35</v>
      </c>
      <c r="K1833" t="s">
        <v>61</v>
      </c>
      <c r="L1833" t="s">
        <v>28</v>
      </c>
      <c r="M1833" s="4">
        <v>4</v>
      </c>
      <c r="N1833" s="4">
        <v>7</v>
      </c>
      <c r="O1833" t="s">
        <v>29</v>
      </c>
      <c r="P1833" t="s">
        <v>36</v>
      </c>
      <c r="Q1833" s="4">
        <v>217393</v>
      </c>
      <c r="R1833" s="4">
        <v>143813</v>
      </c>
      <c r="S1833" s="4">
        <f>Table1[[#This Row],[Service_Revenue]]-Table1[[#This Row],[Service_Cost]]</f>
        <v>73580</v>
      </c>
      <c r="T1833" s="4">
        <v>4</v>
      </c>
      <c r="U1833" s="4">
        <f>IF(AND(Table1[[#This Row],[Rework_Flag]]="Yes",Table1[[#This Row],[Warranty_Claim]]="No"),Table1[[#This Row],[Service_Revenue]],0)</f>
        <v>217393</v>
      </c>
      <c r="V1833" s="4">
        <f>IF(Table1[[#This Row],[Warranty_Claim]]="Yes",1,0)</f>
        <v>0</v>
      </c>
      <c r="W1833" s="4">
        <f>IF(Table1[[#This Row],[Rework_Flag]]="No",1,0)</f>
        <v>0</v>
      </c>
      <c r="X1833" s="4">
        <f>IF(Table1[[#This Row],[Rework_Flag]]="Yes",1,0)</f>
        <v>1</v>
      </c>
      <c r="Y1833" s="4">
        <v>1</v>
      </c>
      <c r="Z1833" s="4" t="str">
        <f>IF(Table1[[#This Row],[TAT_Days]]&gt;Table1[[#This Row],[SLA_TAT]],"Yes","No")</f>
        <v>No</v>
      </c>
      <c r="AA1833" s="4" t="str" cm="1">
        <f t="array" ref="AA1833">_xlfn.IFS(Table1[[#This Row],[Customer_Satisfaction]]&lt;=2,"Poor",Table1[[#This Row],[Customer_Satisfaction]]=3,"Neutral",Table1[[#This Row],[Customer_Satisfaction]]=4,"Good",Table1[[#This Row],[Customer_Satisfaction]]=5,"Good")</f>
        <v>Good</v>
      </c>
    </row>
    <row r="1834" spans="1:27" x14ac:dyDescent="0.35">
      <c r="A1834">
        <v>21832</v>
      </c>
      <c r="B1834" s="1">
        <v>45445</v>
      </c>
      <c r="C1834" t="s">
        <v>19</v>
      </c>
      <c r="D1834" t="s">
        <v>96</v>
      </c>
      <c r="E1834" t="s">
        <v>105</v>
      </c>
      <c r="F1834" t="s">
        <v>22</v>
      </c>
      <c r="G1834" t="s">
        <v>23</v>
      </c>
      <c r="H1834" t="s">
        <v>24</v>
      </c>
      <c r="I1834" t="s">
        <v>25</v>
      </c>
      <c r="J1834" t="s">
        <v>35</v>
      </c>
      <c r="K1834" t="s">
        <v>61</v>
      </c>
      <c r="L1834" t="s">
        <v>49</v>
      </c>
      <c r="M1834" s="4">
        <v>18</v>
      </c>
      <c r="N1834" s="4">
        <v>7</v>
      </c>
      <c r="O1834" t="s">
        <v>36</v>
      </c>
      <c r="P1834" t="s">
        <v>36</v>
      </c>
      <c r="Q1834" s="4">
        <v>591778</v>
      </c>
      <c r="R1834" s="4">
        <v>468010</v>
      </c>
      <c r="S1834" s="4">
        <f>Table1[[#This Row],[Service_Revenue]]-Table1[[#This Row],[Service_Cost]]</f>
        <v>123768</v>
      </c>
      <c r="T1834" s="4">
        <v>2</v>
      </c>
      <c r="U1834" s="4">
        <f>IF(AND(Table1[[#This Row],[Rework_Flag]]="Yes",Table1[[#This Row],[Warranty_Claim]]="No"),Table1[[#This Row],[Service_Revenue]],0)</f>
        <v>0</v>
      </c>
      <c r="V1834" s="4">
        <f>IF(Table1[[#This Row],[Warranty_Claim]]="Yes",1,0)</f>
        <v>0</v>
      </c>
      <c r="W1834" s="4">
        <f>IF(Table1[[#This Row],[Rework_Flag]]="No",1,0)</f>
        <v>1</v>
      </c>
      <c r="X1834" s="4">
        <f>IF(Table1[[#This Row],[Rework_Flag]]="Yes",1,0)</f>
        <v>0</v>
      </c>
      <c r="Y1834" s="4">
        <v>1</v>
      </c>
      <c r="Z1834" s="4" t="str">
        <f>IF(Table1[[#This Row],[TAT_Days]]&gt;Table1[[#This Row],[SLA_TAT]],"Yes","No")</f>
        <v>Yes</v>
      </c>
      <c r="AA1834" s="4" t="str" cm="1">
        <f t="array" ref="AA1834">_xlfn.IFS(Table1[[#This Row],[Customer_Satisfaction]]&lt;=2,"Poor",Table1[[#This Row],[Customer_Satisfaction]]=3,"Neutral",Table1[[#This Row],[Customer_Satisfaction]]=4,"Good",Table1[[#This Row],[Customer_Satisfaction]]=5,"Good")</f>
        <v>Poor</v>
      </c>
    </row>
    <row r="1835" spans="1:27" x14ac:dyDescent="0.35">
      <c r="A1835">
        <v>21833</v>
      </c>
      <c r="B1835" s="1">
        <v>45417</v>
      </c>
      <c r="C1835" t="s">
        <v>19</v>
      </c>
      <c r="D1835" t="s">
        <v>45</v>
      </c>
      <c r="E1835" t="s">
        <v>46</v>
      </c>
      <c r="F1835" t="s">
        <v>53</v>
      </c>
      <c r="G1835" t="s">
        <v>23</v>
      </c>
      <c r="H1835" t="s">
        <v>24</v>
      </c>
      <c r="I1835" t="s">
        <v>55</v>
      </c>
      <c r="J1835" t="s">
        <v>26</v>
      </c>
      <c r="K1835" t="s">
        <v>44</v>
      </c>
      <c r="L1835" t="s">
        <v>28</v>
      </c>
      <c r="M1835" s="4">
        <v>5</v>
      </c>
      <c r="N1835" s="4">
        <v>7</v>
      </c>
      <c r="O1835" t="s">
        <v>36</v>
      </c>
      <c r="P1835" t="s">
        <v>36</v>
      </c>
      <c r="Q1835" s="4">
        <v>246330</v>
      </c>
      <c r="R1835" s="4">
        <v>191642</v>
      </c>
      <c r="S1835" s="4">
        <f>Table1[[#This Row],[Service_Revenue]]-Table1[[#This Row],[Service_Cost]]</f>
        <v>54688</v>
      </c>
      <c r="T1835" s="4">
        <v>4</v>
      </c>
      <c r="U1835" s="4">
        <f>IF(AND(Table1[[#This Row],[Rework_Flag]]="Yes",Table1[[#This Row],[Warranty_Claim]]="No"),Table1[[#This Row],[Service_Revenue]],0)</f>
        <v>0</v>
      </c>
      <c r="V1835" s="4">
        <f>IF(Table1[[#This Row],[Warranty_Claim]]="Yes",1,0)</f>
        <v>0</v>
      </c>
      <c r="W1835" s="4">
        <f>IF(Table1[[#This Row],[Rework_Flag]]="No",1,0)</f>
        <v>1</v>
      </c>
      <c r="X1835" s="4">
        <f>IF(Table1[[#This Row],[Rework_Flag]]="Yes",1,0)</f>
        <v>0</v>
      </c>
      <c r="Y1835" s="4">
        <v>1</v>
      </c>
      <c r="Z1835" s="4" t="str">
        <f>IF(Table1[[#This Row],[TAT_Days]]&gt;Table1[[#This Row],[SLA_TAT]],"Yes","No")</f>
        <v>No</v>
      </c>
      <c r="AA1835" s="4" t="str" cm="1">
        <f t="array" ref="AA1835">_xlfn.IFS(Table1[[#This Row],[Customer_Satisfaction]]&lt;=2,"Poor",Table1[[#This Row],[Customer_Satisfaction]]=3,"Neutral",Table1[[#This Row],[Customer_Satisfaction]]=4,"Good",Table1[[#This Row],[Customer_Satisfaction]]=5,"Good")</f>
        <v>Good</v>
      </c>
    </row>
    <row r="1836" spans="1:27" x14ac:dyDescent="0.35">
      <c r="A1836">
        <v>21834</v>
      </c>
      <c r="B1836" s="1">
        <v>45312</v>
      </c>
      <c r="C1836" t="s">
        <v>50</v>
      </c>
      <c r="D1836" t="s">
        <v>56</v>
      </c>
      <c r="E1836" t="s">
        <v>77</v>
      </c>
      <c r="F1836" t="s">
        <v>22</v>
      </c>
      <c r="G1836" t="s">
        <v>23</v>
      </c>
      <c r="H1836" t="s">
        <v>24</v>
      </c>
      <c r="I1836" t="s">
        <v>55</v>
      </c>
      <c r="J1836" t="s">
        <v>43</v>
      </c>
      <c r="K1836" t="s">
        <v>27</v>
      </c>
      <c r="L1836" t="s">
        <v>28</v>
      </c>
      <c r="M1836" s="4">
        <v>2</v>
      </c>
      <c r="N1836" s="4">
        <v>7</v>
      </c>
      <c r="O1836" t="s">
        <v>36</v>
      </c>
      <c r="P1836" t="s">
        <v>29</v>
      </c>
      <c r="Q1836" s="4">
        <v>366064</v>
      </c>
      <c r="R1836" s="4">
        <v>224932</v>
      </c>
      <c r="S1836" s="4">
        <f>Table1[[#This Row],[Service_Revenue]]-Table1[[#This Row],[Service_Cost]]</f>
        <v>141132</v>
      </c>
      <c r="T1836" s="4">
        <v>5</v>
      </c>
      <c r="U1836" s="4">
        <f>IF(AND(Table1[[#This Row],[Rework_Flag]]="Yes",Table1[[#This Row],[Warranty_Claim]]="No"),Table1[[#This Row],[Service_Revenue]],0)</f>
        <v>0</v>
      </c>
      <c r="V1836" s="4">
        <f>IF(Table1[[#This Row],[Warranty_Claim]]="Yes",1,0)</f>
        <v>1</v>
      </c>
      <c r="W1836" s="4">
        <f>IF(Table1[[#This Row],[Rework_Flag]]="No",1,0)</f>
        <v>1</v>
      </c>
      <c r="X1836" s="4">
        <f>IF(Table1[[#This Row],[Rework_Flag]]="Yes",1,0)</f>
        <v>0</v>
      </c>
      <c r="Y1836" s="4">
        <v>1</v>
      </c>
      <c r="Z1836" s="4" t="str">
        <f>IF(Table1[[#This Row],[TAT_Days]]&gt;Table1[[#This Row],[SLA_TAT]],"Yes","No")</f>
        <v>No</v>
      </c>
      <c r="AA1836" s="4" t="str" cm="1">
        <f t="array" ref="AA1836">_xlfn.IFS(Table1[[#This Row],[Customer_Satisfaction]]&lt;=2,"Poor",Table1[[#This Row],[Customer_Satisfaction]]=3,"Neutral",Table1[[#This Row],[Customer_Satisfaction]]=4,"Good",Table1[[#This Row],[Customer_Satisfaction]]=5,"Good")</f>
        <v>Good</v>
      </c>
    </row>
    <row r="1837" spans="1:27" x14ac:dyDescent="0.35">
      <c r="A1837">
        <v>21835</v>
      </c>
      <c r="B1837" s="1">
        <v>45388</v>
      </c>
      <c r="C1837" t="s">
        <v>30</v>
      </c>
      <c r="D1837" t="s">
        <v>83</v>
      </c>
      <c r="E1837" t="s">
        <v>119</v>
      </c>
      <c r="F1837" t="s">
        <v>53</v>
      </c>
      <c r="G1837" t="s">
        <v>41</v>
      </c>
      <c r="H1837" t="s">
        <v>42</v>
      </c>
      <c r="I1837" t="s">
        <v>55</v>
      </c>
      <c r="J1837" t="s">
        <v>58</v>
      </c>
      <c r="K1837" t="s">
        <v>44</v>
      </c>
      <c r="L1837" t="s">
        <v>28</v>
      </c>
      <c r="M1837" s="4">
        <v>4</v>
      </c>
      <c r="N1837" s="4">
        <v>7</v>
      </c>
      <c r="O1837" t="s">
        <v>36</v>
      </c>
      <c r="P1837" t="s">
        <v>36</v>
      </c>
      <c r="Q1837" s="4">
        <v>562319</v>
      </c>
      <c r="R1837" s="4">
        <v>382740</v>
      </c>
      <c r="S1837" s="4">
        <f>Table1[[#This Row],[Service_Revenue]]-Table1[[#This Row],[Service_Cost]]</f>
        <v>179579</v>
      </c>
      <c r="T1837" s="4">
        <v>5</v>
      </c>
      <c r="U1837" s="4">
        <f>IF(AND(Table1[[#This Row],[Rework_Flag]]="Yes",Table1[[#This Row],[Warranty_Claim]]="No"),Table1[[#This Row],[Service_Revenue]],0)</f>
        <v>0</v>
      </c>
      <c r="V1837" s="4">
        <f>IF(Table1[[#This Row],[Warranty_Claim]]="Yes",1,0)</f>
        <v>0</v>
      </c>
      <c r="W1837" s="4">
        <f>IF(Table1[[#This Row],[Rework_Flag]]="No",1,0)</f>
        <v>1</v>
      </c>
      <c r="X1837" s="4">
        <f>IF(Table1[[#This Row],[Rework_Flag]]="Yes",1,0)</f>
        <v>0</v>
      </c>
      <c r="Y1837" s="4">
        <v>1</v>
      </c>
      <c r="Z1837" s="4" t="str">
        <f>IF(Table1[[#This Row],[TAT_Days]]&gt;Table1[[#This Row],[SLA_TAT]],"Yes","No")</f>
        <v>No</v>
      </c>
      <c r="AA1837" s="4" t="str" cm="1">
        <f t="array" ref="AA1837">_xlfn.IFS(Table1[[#This Row],[Customer_Satisfaction]]&lt;=2,"Poor",Table1[[#This Row],[Customer_Satisfaction]]=3,"Neutral",Table1[[#This Row],[Customer_Satisfaction]]=4,"Good",Table1[[#This Row],[Customer_Satisfaction]]=5,"Good")</f>
        <v>Good</v>
      </c>
    </row>
    <row r="1838" spans="1:27" x14ac:dyDescent="0.35">
      <c r="A1838">
        <v>21836</v>
      </c>
      <c r="B1838" s="1">
        <v>45328</v>
      </c>
      <c r="C1838" t="s">
        <v>30</v>
      </c>
      <c r="D1838" t="s">
        <v>31</v>
      </c>
      <c r="E1838" t="s">
        <v>79</v>
      </c>
      <c r="F1838" t="s">
        <v>53</v>
      </c>
      <c r="G1838" t="s">
        <v>47</v>
      </c>
      <c r="H1838" t="s">
        <v>48</v>
      </c>
      <c r="I1838" t="s">
        <v>25</v>
      </c>
      <c r="J1838" t="s">
        <v>26</v>
      </c>
      <c r="K1838" t="s">
        <v>27</v>
      </c>
      <c r="L1838" t="s">
        <v>49</v>
      </c>
      <c r="M1838" s="4">
        <v>7</v>
      </c>
      <c r="N1838" s="4">
        <v>7</v>
      </c>
      <c r="O1838" t="s">
        <v>36</v>
      </c>
      <c r="P1838" t="s">
        <v>29</v>
      </c>
      <c r="Q1838" s="4">
        <v>197959</v>
      </c>
      <c r="R1838" s="4">
        <v>121554</v>
      </c>
      <c r="S1838" s="4">
        <f>Table1[[#This Row],[Service_Revenue]]-Table1[[#This Row],[Service_Cost]]</f>
        <v>76405</v>
      </c>
      <c r="T1838" s="4">
        <v>4</v>
      </c>
      <c r="U1838" s="4">
        <f>IF(AND(Table1[[#This Row],[Rework_Flag]]="Yes",Table1[[#This Row],[Warranty_Claim]]="No"),Table1[[#This Row],[Service_Revenue]],0)</f>
        <v>0</v>
      </c>
      <c r="V1838" s="4">
        <f>IF(Table1[[#This Row],[Warranty_Claim]]="Yes",1,0)</f>
        <v>1</v>
      </c>
      <c r="W1838" s="4">
        <f>IF(Table1[[#This Row],[Rework_Flag]]="No",1,0)</f>
        <v>1</v>
      </c>
      <c r="X1838" s="4">
        <f>IF(Table1[[#This Row],[Rework_Flag]]="Yes",1,0)</f>
        <v>0</v>
      </c>
      <c r="Y1838" s="4">
        <v>1</v>
      </c>
      <c r="Z1838" s="4" t="str">
        <f>IF(Table1[[#This Row],[TAT_Days]]&gt;Table1[[#This Row],[SLA_TAT]],"Yes","No")</f>
        <v>No</v>
      </c>
      <c r="AA1838" s="4" t="str" cm="1">
        <f t="array" ref="AA1838">_xlfn.IFS(Table1[[#This Row],[Customer_Satisfaction]]&lt;=2,"Poor",Table1[[#This Row],[Customer_Satisfaction]]=3,"Neutral",Table1[[#This Row],[Customer_Satisfaction]]=4,"Good",Table1[[#This Row],[Customer_Satisfaction]]=5,"Good")</f>
        <v>Good</v>
      </c>
    </row>
    <row r="1839" spans="1:27" x14ac:dyDescent="0.35">
      <c r="A1839">
        <v>21837</v>
      </c>
      <c r="B1839" s="1">
        <v>45402</v>
      </c>
      <c r="C1839" t="s">
        <v>19</v>
      </c>
      <c r="D1839" t="s">
        <v>45</v>
      </c>
      <c r="E1839" t="s">
        <v>46</v>
      </c>
      <c r="F1839" t="s">
        <v>22</v>
      </c>
      <c r="G1839" t="s">
        <v>33</v>
      </c>
      <c r="H1839" t="s">
        <v>34</v>
      </c>
      <c r="I1839" t="s">
        <v>55</v>
      </c>
      <c r="J1839" t="s">
        <v>35</v>
      </c>
      <c r="K1839" t="s">
        <v>44</v>
      </c>
      <c r="L1839" t="s">
        <v>49</v>
      </c>
      <c r="M1839" s="4">
        <v>15</v>
      </c>
      <c r="N1839" s="4">
        <v>7</v>
      </c>
      <c r="O1839" t="s">
        <v>29</v>
      </c>
      <c r="P1839" t="s">
        <v>36</v>
      </c>
      <c r="Q1839" s="4">
        <v>502078</v>
      </c>
      <c r="R1839" s="4">
        <v>401653</v>
      </c>
      <c r="S1839" s="4">
        <f>Table1[[#This Row],[Service_Revenue]]-Table1[[#This Row],[Service_Cost]]</f>
        <v>100425</v>
      </c>
      <c r="T1839" s="4">
        <v>1</v>
      </c>
      <c r="U1839" s="4">
        <f>IF(AND(Table1[[#This Row],[Rework_Flag]]="Yes",Table1[[#This Row],[Warranty_Claim]]="No"),Table1[[#This Row],[Service_Revenue]],0)</f>
        <v>502078</v>
      </c>
      <c r="V1839" s="4">
        <f>IF(Table1[[#This Row],[Warranty_Claim]]="Yes",1,0)</f>
        <v>0</v>
      </c>
      <c r="W1839" s="4">
        <f>IF(Table1[[#This Row],[Rework_Flag]]="No",1,0)</f>
        <v>0</v>
      </c>
      <c r="X1839" s="4">
        <f>IF(Table1[[#This Row],[Rework_Flag]]="Yes",1,0)</f>
        <v>1</v>
      </c>
      <c r="Y1839" s="4">
        <v>1</v>
      </c>
      <c r="Z1839" s="4" t="str">
        <f>IF(Table1[[#This Row],[TAT_Days]]&gt;Table1[[#This Row],[SLA_TAT]],"Yes","No")</f>
        <v>Yes</v>
      </c>
      <c r="AA1839" s="4" t="str" cm="1">
        <f t="array" ref="AA1839">_xlfn.IFS(Table1[[#This Row],[Customer_Satisfaction]]&lt;=2,"Poor",Table1[[#This Row],[Customer_Satisfaction]]=3,"Neutral",Table1[[#This Row],[Customer_Satisfaction]]=4,"Good",Table1[[#This Row],[Customer_Satisfaction]]=5,"Good")</f>
        <v>Poor</v>
      </c>
    </row>
    <row r="1840" spans="1:27" x14ac:dyDescent="0.35">
      <c r="A1840">
        <v>21838</v>
      </c>
      <c r="B1840" s="1">
        <v>45390</v>
      </c>
      <c r="C1840" t="s">
        <v>37</v>
      </c>
      <c r="D1840" t="s">
        <v>64</v>
      </c>
      <c r="E1840" t="s">
        <v>87</v>
      </c>
      <c r="F1840" t="s">
        <v>53</v>
      </c>
      <c r="G1840" t="s">
        <v>41</v>
      </c>
      <c r="H1840" t="s">
        <v>42</v>
      </c>
      <c r="I1840" t="s">
        <v>55</v>
      </c>
      <c r="J1840" t="s">
        <v>26</v>
      </c>
      <c r="K1840" t="s">
        <v>27</v>
      </c>
      <c r="L1840" t="s">
        <v>49</v>
      </c>
      <c r="M1840" s="4">
        <v>13</v>
      </c>
      <c r="N1840" s="4">
        <v>7</v>
      </c>
      <c r="O1840" t="s">
        <v>29</v>
      </c>
      <c r="P1840" t="s">
        <v>36</v>
      </c>
      <c r="Q1840" s="4">
        <v>351580</v>
      </c>
      <c r="R1840" s="4">
        <v>255401</v>
      </c>
      <c r="S1840" s="4">
        <f>Table1[[#This Row],[Service_Revenue]]-Table1[[#This Row],[Service_Cost]]</f>
        <v>96179</v>
      </c>
      <c r="T1840" s="4">
        <v>2</v>
      </c>
      <c r="U1840" s="4">
        <f>IF(AND(Table1[[#This Row],[Rework_Flag]]="Yes",Table1[[#This Row],[Warranty_Claim]]="No"),Table1[[#This Row],[Service_Revenue]],0)</f>
        <v>351580</v>
      </c>
      <c r="V1840" s="4">
        <f>IF(Table1[[#This Row],[Warranty_Claim]]="Yes",1,0)</f>
        <v>0</v>
      </c>
      <c r="W1840" s="4">
        <f>IF(Table1[[#This Row],[Rework_Flag]]="No",1,0)</f>
        <v>0</v>
      </c>
      <c r="X1840" s="4">
        <f>IF(Table1[[#This Row],[Rework_Flag]]="Yes",1,0)</f>
        <v>1</v>
      </c>
      <c r="Y1840" s="4">
        <v>1</v>
      </c>
      <c r="Z1840" s="4" t="str">
        <f>IF(Table1[[#This Row],[TAT_Days]]&gt;Table1[[#This Row],[SLA_TAT]],"Yes","No")</f>
        <v>Yes</v>
      </c>
      <c r="AA1840" s="4" t="str" cm="1">
        <f t="array" ref="AA1840">_xlfn.IFS(Table1[[#This Row],[Customer_Satisfaction]]&lt;=2,"Poor",Table1[[#This Row],[Customer_Satisfaction]]=3,"Neutral",Table1[[#This Row],[Customer_Satisfaction]]=4,"Good",Table1[[#This Row],[Customer_Satisfaction]]=5,"Good")</f>
        <v>Poor</v>
      </c>
    </row>
    <row r="1841" spans="1:27" x14ac:dyDescent="0.35">
      <c r="A1841">
        <v>21839</v>
      </c>
      <c r="B1841" s="1">
        <v>45450</v>
      </c>
      <c r="C1841" t="s">
        <v>19</v>
      </c>
      <c r="D1841" t="s">
        <v>45</v>
      </c>
      <c r="E1841" t="s">
        <v>111</v>
      </c>
      <c r="F1841" t="s">
        <v>53</v>
      </c>
      <c r="G1841" t="s">
        <v>54</v>
      </c>
      <c r="H1841" t="s">
        <v>42</v>
      </c>
      <c r="I1841" t="s">
        <v>55</v>
      </c>
      <c r="J1841" t="s">
        <v>35</v>
      </c>
      <c r="K1841" t="s">
        <v>44</v>
      </c>
      <c r="L1841" t="s">
        <v>28</v>
      </c>
      <c r="M1841" s="4">
        <v>5</v>
      </c>
      <c r="N1841" s="4">
        <v>7</v>
      </c>
      <c r="O1841" t="s">
        <v>29</v>
      </c>
      <c r="P1841" t="s">
        <v>36</v>
      </c>
      <c r="Q1841" s="4">
        <v>160791</v>
      </c>
      <c r="R1841" s="4">
        <v>90318</v>
      </c>
      <c r="S1841" s="4">
        <f>Table1[[#This Row],[Service_Revenue]]-Table1[[#This Row],[Service_Cost]]</f>
        <v>70473</v>
      </c>
      <c r="T1841" s="4">
        <v>3</v>
      </c>
      <c r="U1841" s="4">
        <f>IF(AND(Table1[[#This Row],[Rework_Flag]]="Yes",Table1[[#This Row],[Warranty_Claim]]="No"),Table1[[#This Row],[Service_Revenue]],0)</f>
        <v>160791</v>
      </c>
      <c r="V1841" s="4">
        <f>IF(Table1[[#This Row],[Warranty_Claim]]="Yes",1,0)</f>
        <v>0</v>
      </c>
      <c r="W1841" s="4">
        <f>IF(Table1[[#This Row],[Rework_Flag]]="No",1,0)</f>
        <v>0</v>
      </c>
      <c r="X1841" s="4">
        <f>IF(Table1[[#This Row],[Rework_Flag]]="Yes",1,0)</f>
        <v>1</v>
      </c>
      <c r="Y1841" s="4">
        <v>1</v>
      </c>
      <c r="Z1841" s="4" t="str">
        <f>IF(Table1[[#This Row],[TAT_Days]]&gt;Table1[[#This Row],[SLA_TAT]],"Yes","No")</f>
        <v>No</v>
      </c>
      <c r="AA1841" s="4" t="str" cm="1">
        <f t="array" ref="AA1841">_xlfn.IFS(Table1[[#This Row],[Customer_Satisfaction]]&lt;=2,"Poor",Table1[[#This Row],[Customer_Satisfaction]]=3,"Neutral",Table1[[#This Row],[Customer_Satisfaction]]=4,"Good",Table1[[#This Row],[Customer_Satisfaction]]=5,"Good")</f>
        <v>Neutral</v>
      </c>
    </row>
    <row r="1842" spans="1:27" x14ac:dyDescent="0.35">
      <c r="A1842">
        <v>21840</v>
      </c>
      <c r="B1842" s="1">
        <v>45458</v>
      </c>
      <c r="C1842" t="s">
        <v>30</v>
      </c>
      <c r="D1842" t="s">
        <v>59</v>
      </c>
      <c r="E1842" t="s">
        <v>66</v>
      </c>
      <c r="F1842" t="s">
        <v>22</v>
      </c>
      <c r="G1842" t="s">
        <v>63</v>
      </c>
      <c r="H1842" t="s">
        <v>24</v>
      </c>
      <c r="I1842" t="s">
        <v>55</v>
      </c>
      <c r="J1842" t="s">
        <v>26</v>
      </c>
      <c r="K1842" t="s">
        <v>61</v>
      </c>
      <c r="L1842" t="s">
        <v>49</v>
      </c>
      <c r="M1842" s="4">
        <v>23</v>
      </c>
      <c r="N1842" s="4">
        <v>7</v>
      </c>
      <c r="O1842" t="s">
        <v>29</v>
      </c>
      <c r="P1842" t="s">
        <v>29</v>
      </c>
      <c r="Q1842" s="4">
        <v>497368</v>
      </c>
      <c r="R1842" s="4">
        <v>404320</v>
      </c>
      <c r="S1842" s="4">
        <f>Table1[[#This Row],[Service_Revenue]]-Table1[[#This Row],[Service_Cost]]</f>
        <v>93048</v>
      </c>
      <c r="T1842" s="4">
        <v>1</v>
      </c>
      <c r="U1842" s="4">
        <f>IF(AND(Table1[[#This Row],[Rework_Flag]]="Yes",Table1[[#This Row],[Warranty_Claim]]="No"),Table1[[#This Row],[Service_Revenue]],0)</f>
        <v>0</v>
      </c>
      <c r="V1842" s="4">
        <f>IF(Table1[[#This Row],[Warranty_Claim]]="Yes",1,0)</f>
        <v>1</v>
      </c>
      <c r="W1842" s="4">
        <f>IF(Table1[[#This Row],[Rework_Flag]]="No",1,0)</f>
        <v>0</v>
      </c>
      <c r="X1842" s="4">
        <f>IF(Table1[[#This Row],[Rework_Flag]]="Yes",1,0)</f>
        <v>1</v>
      </c>
      <c r="Y1842" s="4">
        <v>1</v>
      </c>
      <c r="Z1842" s="4" t="str">
        <f>IF(Table1[[#This Row],[TAT_Days]]&gt;Table1[[#This Row],[SLA_TAT]],"Yes","No")</f>
        <v>Yes</v>
      </c>
      <c r="AA1842" s="4" t="str" cm="1">
        <f t="array" ref="AA1842">_xlfn.IFS(Table1[[#This Row],[Customer_Satisfaction]]&lt;=2,"Poor",Table1[[#This Row],[Customer_Satisfaction]]=3,"Neutral",Table1[[#This Row],[Customer_Satisfaction]]=4,"Good",Table1[[#This Row],[Customer_Satisfaction]]=5,"Good")</f>
        <v>Poor</v>
      </c>
    </row>
    <row r="1843" spans="1:27" x14ac:dyDescent="0.35">
      <c r="A1843">
        <v>21841</v>
      </c>
      <c r="B1843" s="1">
        <v>45359</v>
      </c>
      <c r="C1843" t="s">
        <v>37</v>
      </c>
      <c r="D1843" t="s">
        <v>64</v>
      </c>
      <c r="E1843" t="s">
        <v>103</v>
      </c>
      <c r="F1843" t="s">
        <v>53</v>
      </c>
      <c r="G1843" t="s">
        <v>23</v>
      </c>
      <c r="H1843" t="s">
        <v>24</v>
      </c>
      <c r="I1843" t="s">
        <v>55</v>
      </c>
      <c r="J1843" t="s">
        <v>35</v>
      </c>
      <c r="K1843" t="s">
        <v>61</v>
      </c>
      <c r="L1843" t="s">
        <v>28</v>
      </c>
      <c r="M1843" s="4">
        <v>14</v>
      </c>
      <c r="N1843" s="4">
        <v>7</v>
      </c>
      <c r="O1843" t="s">
        <v>29</v>
      </c>
      <c r="P1843" t="s">
        <v>29</v>
      </c>
      <c r="Q1843" s="4">
        <v>318262</v>
      </c>
      <c r="R1843" s="4">
        <v>172204</v>
      </c>
      <c r="S1843" s="4">
        <f>Table1[[#This Row],[Service_Revenue]]-Table1[[#This Row],[Service_Cost]]</f>
        <v>146058</v>
      </c>
      <c r="T1843" s="4">
        <v>2</v>
      </c>
      <c r="U1843" s="4">
        <f>IF(AND(Table1[[#This Row],[Rework_Flag]]="Yes",Table1[[#This Row],[Warranty_Claim]]="No"),Table1[[#This Row],[Service_Revenue]],0)</f>
        <v>0</v>
      </c>
      <c r="V1843" s="4">
        <f>IF(Table1[[#This Row],[Warranty_Claim]]="Yes",1,0)</f>
        <v>1</v>
      </c>
      <c r="W1843" s="4">
        <f>IF(Table1[[#This Row],[Rework_Flag]]="No",1,0)</f>
        <v>0</v>
      </c>
      <c r="X1843" s="4">
        <f>IF(Table1[[#This Row],[Rework_Flag]]="Yes",1,0)</f>
        <v>1</v>
      </c>
      <c r="Y1843" s="4">
        <v>1</v>
      </c>
      <c r="Z1843" s="4" t="str">
        <f>IF(Table1[[#This Row],[TAT_Days]]&gt;Table1[[#This Row],[SLA_TAT]],"Yes","No")</f>
        <v>Yes</v>
      </c>
      <c r="AA1843" s="4" t="str" cm="1">
        <f t="array" ref="AA1843">_xlfn.IFS(Table1[[#This Row],[Customer_Satisfaction]]&lt;=2,"Poor",Table1[[#This Row],[Customer_Satisfaction]]=3,"Neutral",Table1[[#This Row],[Customer_Satisfaction]]=4,"Good",Table1[[#This Row],[Customer_Satisfaction]]=5,"Good")</f>
        <v>Poor</v>
      </c>
    </row>
    <row r="1844" spans="1:27" x14ac:dyDescent="0.35">
      <c r="A1844">
        <v>21842</v>
      </c>
      <c r="B1844" s="1">
        <v>45295</v>
      </c>
      <c r="C1844" t="s">
        <v>37</v>
      </c>
      <c r="D1844" t="s">
        <v>70</v>
      </c>
      <c r="E1844" t="s">
        <v>116</v>
      </c>
      <c r="F1844" t="s">
        <v>53</v>
      </c>
      <c r="G1844" t="s">
        <v>23</v>
      </c>
      <c r="H1844" t="s">
        <v>24</v>
      </c>
      <c r="I1844" t="s">
        <v>55</v>
      </c>
      <c r="J1844" t="s">
        <v>43</v>
      </c>
      <c r="K1844" t="s">
        <v>27</v>
      </c>
      <c r="L1844" t="s">
        <v>49</v>
      </c>
      <c r="M1844" s="4">
        <v>12</v>
      </c>
      <c r="N1844" s="4">
        <v>7</v>
      </c>
      <c r="O1844" t="s">
        <v>29</v>
      </c>
      <c r="P1844" t="s">
        <v>36</v>
      </c>
      <c r="Q1844" s="4">
        <v>267490</v>
      </c>
      <c r="R1844" s="4">
        <v>165815</v>
      </c>
      <c r="S1844" s="4">
        <f>Table1[[#This Row],[Service_Revenue]]-Table1[[#This Row],[Service_Cost]]</f>
        <v>101675</v>
      </c>
      <c r="T1844" s="4">
        <v>2</v>
      </c>
      <c r="U1844" s="4">
        <f>IF(AND(Table1[[#This Row],[Rework_Flag]]="Yes",Table1[[#This Row],[Warranty_Claim]]="No"),Table1[[#This Row],[Service_Revenue]],0)</f>
        <v>267490</v>
      </c>
      <c r="V1844" s="4">
        <f>IF(Table1[[#This Row],[Warranty_Claim]]="Yes",1,0)</f>
        <v>0</v>
      </c>
      <c r="W1844" s="4">
        <f>IF(Table1[[#This Row],[Rework_Flag]]="No",1,0)</f>
        <v>0</v>
      </c>
      <c r="X1844" s="4">
        <f>IF(Table1[[#This Row],[Rework_Flag]]="Yes",1,0)</f>
        <v>1</v>
      </c>
      <c r="Y1844" s="4">
        <v>1</v>
      </c>
      <c r="Z1844" s="4" t="str">
        <f>IF(Table1[[#This Row],[TAT_Days]]&gt;Table1[[#This Row],[SLA_TAT]],"Yes","No")</f>
        <v>Yes</v>
      </c>
      <c r="AA1844" s="4" t="str" cm="1">
        <f t="array" ref="AA1844">_xlfn.IFS(Table1[[#This Row],[Customer_Satisfaction]]&lt;=2,"Poor",Table1[[#This Row],[Customer_Satisfaction]]=3,"Neutral",Table1[[#This Row],[Customer_Satisfaction]]=4,"Good",Table1[[#This Row],[Customer_Satisfaction]]=5,"Good")</f>
        <v>Poor</v>
      </c>
    </row>
    <row r="1845" spans="1:27" x14ac:dyDescent="0.35">
      <c r="A1845">
        <v>21843</v>
      </c>
      <c r="B1845" s="1">
        <v>45368</v>
      </c>
      <c r="C1845" t="s">
        <v>50</v>
      </c>
      <c r="D1845" t="s">
        <v>51</v>
      </c>
      <c r="E1845" t="s">
        <v>52</v>
      </c>
      <c r="F1845" t="s">
        <v>40</v>
      </c>
      <c r="G1845" t="s">
        <v>63</v>
      </c>
      <c r="H1845" t="s">
        <v>24</v>
      </c>
      <c r="I1845" t="s">
        <v>55</v>
      </c>
      <c r="J1845" t="s">
        <v>26</v>
      </c>
      <c r="K1845" t="s">
        <v>27</v>
      </c>
      <c r="L1845" t="s">
        <v>49</v>
      </c>
      <c r="M1845" s="4">
        <v>15</v>
      </c>
      <c r="N1845" s="4">
        <v>7</v>
      </c>
      <c r="O1845" t="s">
        <v>29</v>
      </c>
      <c r="P1845" t="s">
        <v>36</v>
      </c>
      <c r="Q1845" s="4">
        <v>376801</v>
      </c>
      <c r="R1845" s="4">
        <v>258550</v>
      </c>
      <c r="S1845" s="4">
        <f>Table1[[#This Row],[Service_Revenue]]-Table1[[#This Row],[Service_Cost]]</f>
        <v>118251</v>
      </c>
      <c r="T1845" s="4">
        <v>1</v>
      </c>
      <c r="U1845" s="4">
        <f>IF(AND(Table1[[#This Row],[Rework_Flag]]="Yes",Table1[[#This Row],[Warranty_Claim]]="No"),Table1[[#This Row],[Service_Revenue]],0)</f>
        <v>376801</v>
      </c>
      <c r="V1845" s="4">
        <f>IF(Table1[[#This Row],[Warranty_Claim]]="Yes",1,0)</f>
        <v>0</v>
      </c>
      <c r="W1845" s="4">
        <f>IF(Table1[[#This Row],[Rework_Flag]]="No",1,0)</f>
        <v>0</v>
      </c>
      <c r="X1845" s="4">
        <f>IF(Table1[[#This Row],[Rework_Flag]]="Yes",1,0)</f>
        <v>1</v>
      </c>
      <c r="Y1845" s="4">
        <v>1</v>
      </c>
      <c r="Z1845" s="4" t="str">
        <f>IF(Table1[[#This Row],[TAT_Days]]&gt;Table1[[#This Row],[SLA_TAT]],"Yes","No")</f>
        <v>Yes</v>
      </c>
      <c r="AA1845" s="4" t="str" cm="1">
        <f t="array" ref="AA1845">_xlfn.IFS(Table1[[#This Row],[Customer_Satisfaction]]&lt;=2,"Poor",Table1[[#This Row],[Customer_Satisfaction]]=3,"Neutral",Table1[[#This Row],[Customer_Satisfaction]]=4,"Good",Table1[[#This Row],[Customer_Satisfaction]]=5,"Good")</f>
        <v>Poor</v>
      </c>
    </row>
    <row r="1846" spans="1:27" x14ac:dyDescent="0.35">
      <c r="A1846">
        <v>21844</v>
      </c>
      <c r="B1846" s="1">
        <v>45293</v>
      </c>
      <c r="C1846" t="s">
        <v>37</v>
      </c>
      <c r="D1846" t="s">
        <v>70</v>
      </c>
      <c r="E1846" t="s">
        <v>91</v>
      </c>
      <c r="F1846" t="s">
        <v>53</v>
      </c>
      <c r="G1846" t="s">
        <v>23</v>
      </c>
      <c r="H1846" t="s">
        <v>24</v>
      </c>
      <c r="I1846" t="s">
        <v>25</v>
      </c>
      <c r="J1846" t="s">
        <v>35</v>
      </c>
      <c r="K1846" t="s">
        <v>27</v>
      </c>
      <c r="L1846" t="s">
        <v>28</v>
      </c>
      <c r="M1846" s="4">
        <v>18</v>
      </c>
      <c r="N1846" s="4">
        <v>7</v>
      </c>
      <c r="O1846" t="s">
        <v>29</v>
      </c>
      <c r="P1846" t="s">
        <v>36</v>
      </c>
      <c r="Q1846" s="4">
        <v>147294</v>
      </c>
      <c r="R1846" s="4">
        <v>101606</v>
      </c>
      <c r="S1846" s="4">
        <f>Table1[[#This Row],[Service_Revenue]]-Table1[[#This Row],[Service_Cost]]</f>
        <v>45688</v>
      </c>
      <c r="T1846" s="4">
        <v>1</v>
      </c>
      <c r="U1846" s="4">
        <f>IF(AND(Table1[[#This Row],[Rework_Flag]]="Yes",Table1[[#This Row],[Warranty_Claim]]="No"),Table1[[#This Row],[Service_Revenue]],0)</f>
        <v>147294</v>
      </c>
      <c r="V1846" s="4">
        <f>IF(Table1[[#This Row],[Warranty_Claim]]="Yes",1,0)</f>
        <v>0</v>
      </c>
      <c r="W1846" s="4">
        <f>IF(Table1[[#This Row],[Rework_Flag]]="No",1,0)</f>
        <v>0</v>
      </c>
      <c r="X1846" s="4">
        <f>IF(Table1[[#This Row],[Rework_Flag]]="Yes",1,0)</f>
        <v>1</v>
      </c>
      <c r="Y1846" s="4">
        <v>1</v>
      </c>
      <c r="Z1846" s="4" t="str">
        <f>IF(Table1[[#This Row],[TAT_Days]]&gt;Table1[[#This Row],[SLA_TAT]],"Yes","No")</f>
        <v>Yes</v>
      </c>
      <c r="AA1846" s="4" t="str" cm="1">
        <f t="array" ref="AA1846">_xlfn.IFS(Table1[[#This Row],[Customer_Satisfaction]]&lt;=2,"Poor",Table1[[#This Row],[Customer_Satisfaction]]=3,"Neutral",Table1[[#This Row],[Customer_Satisfaction]]=4,"Good",Table1[[#This Row],[Customer_Satisfaction]]=5,"Good")</f>
        <v>Poor</v>
      </c>
    </row>
    <row r="1847" spans="1:27" x14ac:dyDescent="0.35">
      <c r="A1847">
        <v>21845</v>
      </c>
      <c r="B1847" s="1">
        <v>45442</v>
      </c>
      <c r="C1847" t="s">
        <v>30</v>
      </c>
      <c r="D1847" t="s">
        <v>59</v>
      </c>
      <c r="E1847" t="s">
        <v>60</v>
      </c>
      <c r="F1847" t="s">
        <v>53</v>
      </c>
      <c r="G1847" t="s">
        <v>41</v>
      </c>
      <c r="H1847" t="s">
        <v>42</v>
      </c>
      <c r="I1847" t="s">
        <v>25</v>
      </c>
      <c r="J1847" t="s">
        <v>26</v>
      </c>
      <c r="K1847" t="s">
        <v>27</v>
      </c>
      <c r="L1847" t="s">
        <v>49</v>
      </c>
      <c r="M1847" s="4">
        <v>22</v>
      </c>
      <c r="N1847" s="4">
        <v>7</v>
      </c>
      <c r="O1847" t="s">
        <v>29</v>
      </c>
      <c r="P1847" t="s">
        <v>36</v>
      </c>
      <c r="Q1847" s="4">
        <v>152491</v>
      </c>
      <c r="R1847" s="4">
        <v>77200</v>
      </c>
      <c r="S1847" s="4">
        <f>Table1[[#This Row],[Service_Revenue]]-Table1[[#This Row],[Service_Cost]]</f>
        <v>75291</v>
      </c>
      <c r="T1847" s="4">
        <v>1</v>
      </c>
      <c r="U1847" s="4">
        <f>IF(AND(Table1[[#This Row],[Rework_Flag]]="Yes",Table1[[#This Row],[Warranty_Claim]]="No"),Table1[[#This Row],[Service_Revenue]],0)</f>
        <v>152491</v>
      </c>
      <c r="V1847" s="4">
        <f>IF(Table1[[#This Row],[Warranty_Claim]]="Yes",1,0)</f>
        <v>0</v>
      </c>
      <c r="W1847" s="4">
        <f>IF(Table1[[#This Row],[Rework_Flag]]="No",1,0)</f>
        <v>0</v>
      </c>
      <c r="X1847" s="4">
        <f>IF(Table1[[#This Row],[Rework_Flag]]="Yes",1,0)</f>
        <v>1</v>
      </c>
      <c r="Y1847" s="4">
        <v>1</v>
      </c>
      <c r="Z1847" s="4" t="str">
        <f>IF(Table1[[#This Row],[TAT_Days]]&gt;Table1[[#This Row],[SLA_TAT]],"Yes","No")</f>
        <v>Yes</v>
      </c>
      <c r="AA1847" s="4" t="str" cm="1">
        <f t="array" ref="AA1847">_xlfn.IFS(Table1[[#This Row],[Customer_Satisfaction]]&lt;=2,"Poor",Table1[[#This Row],[Customer_Satisfaction]]=3,"Neutral",Table1[[#This Row],[Customer_Satisfaction]]=4,"Good",Table1[[#This Row],[Customer_Satisfaction]]=5,"Good")</f>
        <v>Poor</v>
      </c>
    </row>
    <row r="1848" spans="1:27" x14ac:dyDescent="0.35">
      <c r="A1848">
        <v>21846</v>
      </c>
      <c r="B1848" s="1">
        <v>45331</v>
      </c>
      <c r="C1848" t="s">
        <v>50</v>
      </c>
      <c r="D1848" t="s">
        <v>80</v>
      </c>
      <c r="E1848" t="s">
        <v>121</v>
      </c>
      <c r="F1848" t="s">
        <v>22</v>
      </c>
      <c r="G1848" t="s">
        <v>74</v>
      </c>
      <c r="H1848" t="s">
        <v>34</v>
      </c>
      <c r="I1848" t="s">
        <v>25</v>
      </c>
      <c r="J1848" t="s">
        <v>67</v>
      </c>
      <c r="K1848" t="s">
        <v>44</v>
      </c>
      <c r="L1848" t="s">
        <v>49</v>
      </c>
      <c r="M1848" s="4">
        <v>19</v>
      </c>
      <c r="N1848" s="4">
        <v>7</v>
      </c>
      <c r="O1848" t="s">
        <v>29</v>
      </c>
      <c r="P1848" t="s">
        <v>29</v>
      </c>
      <c r="Q1848" s="4">
        <v>127302</v>
      </c>
      <c r="R1848" s="4">
        <v>76507</v>
      </c>
      <c r="S1848" s="4">
        <f>Table1[[#This Row],[Service_Revenue]]-Table1[[#This Row],[Service_Cost]]</f>
        <v>50795</v>
      </c>
      <c r="T1848" s="4">
        <v>1</v>
      </c>
      <c r="U1848" s="4">
        <f>IF(AND(Table1[[#This Row],[Rework_Flag]]="Yes",Table1[[#This Row],[Warranty_Claim]]="No"),Table1[[#This Row],[Service_Revenue]],0)</f>
        <v>0</v>
      </c>
      <c r="V1848" s="4">
        <f>IF(Table1[[#This Row],[Warranty_Claim]]="Yes",1,0)</f>
        <v>1</v>
      </c>
      <c r="W1848" s="4">
        <f>IF(Table1[[#This Row],[Rework_Flag]]="No",1,0)</f>
        <v>0</v>
      </c>
      <c r="X1848" s="4">
        <f>IF(Table1[[#This Row],[Rework_Flag]]="Yes",1,0)</f>
        <v>1</v>
      </c>
      <c r="Y1848" s="4">
        <v>1</v>
      </c>
      <c r="Z1848" s="4" t="str">
        <f>IF(Table1[[#This Row],[TAT_Days]]&gt;Table1[[#This Row],[SLA_TAT]],"Yes","No")</f>
        <v>Yes</v>
      </c>
      <c r="AA1848" s="4" t="str" cm="1">
        <f t="array" ref="AA1848">_xlfn.IFS(Table1[[#This Row],[Customer_Satisfaction]]&lt;=2,"Poor",Table1[[#This Row],[Customer_Satisfaction]]=3,"Neutral",Table1[[#This Row],[Customer_Satisfaction]]=4,"Good",Table1[[#This Row],[Customer_Satisfaction]]=5,"Good")</f>
        <v>Poor</v>
      </c>
    </row>
    <row r="1849" spans="1:27" x14ac:dyDescent="0.35">
      <c r="A1849">
        <v>21847</v>
      </c>
      <c r="B1849" s="1">
        <v>45406</v>
      </c>
      <c r="C1849" t="s">
        <v>30</v>
      </c>
      <c r="D1849" t="s">
        <v>31</v>
      </c>
      <c r="E1849" t="s">
        <v>79</v>
      </c>
      <c r="F1849" t="s">
        <v>53</v>
      </c>
      <c r="G1849" t="s">
        <v>33</v>
      </c>
      <c r="H1849" t="s">
        <v>34</v>
      </c>
      <c r="I1849" t="s">
        <v>25</v>
      </c>
      <c r="J1849" t="s">
        <v>43</v>
      </c>
      <c r="K1849" t="s">
        <v>44</v>
      </c>
      <c r="L1849" t="s">
        <v>28</v>
      </c>
      <c r="M1849" s="4">
        <v>11</v>
      </c>
      <c r="N1849" s="4">
        <v>7</v>
      </c>
      <c r="O1849" t="s">
        <v>29</v>
      </c>
      <c r="P1849" t="s">
        <v>29</v>
      </c>
      <c r="Q1849" s="4">
        <v>549290</v>
      </c>
      <c r="R1849" s="4">
        <v>454163</v>
      </c>
      <c r="S1849" s="4">
        <f>Table1[[#This Row],[Service_Revenue]]-Table1[[#This Row],[Service_Cost]]</f>
        <v>95127</v>
      </c>
      <c r="T1849" s="4">
        <v>2</v>
      </c>
      <c r="U1849" s="4">
        <f>IF(AND(Table1[[#This Row],[Rework_Flag]]="Yes",Table1[[#This Row],[Warranty_Claim]]="No"),Table1[[#This Row],[Service_Revenue]],0)</f>
        <v>0</v>
      </c>
      <c r="V1849" s="4">
        <f>IF(Table1[[#This Row],[Warranty_Claim]]="Yes",1,0)</f>
        <v>1</v>
      </c>
      <c r="W1849" s="4">
        <f>IF(Table1[[#This Row],[Rework_Flag]]="No",1,0)</f>
        <v>0</v>
      </c>
      <c r="X1849" s="4">
        <f>IF(Table1[[#This Row],[Rework_Flag]]="Yes",1,0)</f>
        <v>1</v>
      </c>
      <c r="Y1849" s="4">
        <v>1</v>
      </c>
      <c r="Z1849" s="4" t="str">
        <f>IF(Table1[[#This Row],[TAT_Days]]&gt;Table1[[#This Row],[SLA_TAT]],"Yes","No")</f>
        <v>Yes</v>
      </c>
      <c r="AA1849" s="4" t="str" cm="1">
        <f t="array" ref="AA1849">_xlfn.IFS(Table1[[#This Row],[Customer_Satisfaction]]&lt;=2,"Poor",Table1[[#This Row],[Customer_Satisfaction]]=3,"Neutral",Table1[[#This Row],[Customer_Satisfaction]]=4,"Good",Table1[[#This Row],[Customer_Satisfaction]]=5,"Good")</f>
        <v>Poor</v>
      </c>
    </row>
    <row r="1850" spans="1:27" x14ac:dyDescent="0.35">
      <c r="A1850">
        <v>21848</v>
      </c>
      <c r="B1850" s="1">
        <v>45333</v>
      </c>
      <c r="C1850" t="s">
        <v>19</v>
      </c>
      <c r="D1850" t="s">
        <v>20</v>
      </c>
      <c r="E1850" t="s">
        <v>21</v>
      </c>
      <c r="F1850" t="s">
        <v>40</v>
      </c>
      <c r="G1850" t="s">
        <v>54</v>
      </c>
      <c r="H1850" t="s">
        <v>42</v>
      </c>
      <c r="I1850" t="s">
        <v>25</v>
      </c>
      <c r="J1850" t="s">
        <v>67</v>
      </c>
      <c r="K1850" t="s">
        <v>61</v>
      </c>
      <c r="L1850" t="s">
        <v>49</v>
      </c>
      <c r="M1850" s="4">
        <v>24</v>
      </c>
      <c r="N1850" s="4">
        <v>7</v>
      </c>
      <c r="O1850" t="s">
        <v>36</v>
      </c>
      <c r="P1850" t="s">
        <v>36</v>
      </c>
      <c r="Q1850" s="4">
        <v>164579</v>
      </c>
      <c r="R1850" s="4">
        <v>113995</v>
      </c>
      <c r="S1850" s="4">
        <f>Table1[[#This Row],[Service_Revenue]]-Table1[[#This Row],[Service_Cost]]</f>
        <v>50584</v>
      </c>
      <c r="T1850" s="4">
        <v>1</v>
      </c>
      <c r="U1850" s="4">
        <f>IF(AND(Table1[[#This Row],[Rework_Flag]]="Yes",Table1[[#This Row],[Warranty_Claim]]="No"),Table1[[#This Row],[Service_Revenue]],0)</f>
        <v>0</v>
      </c>
      <c r="V1850" s="4">
        <f>IF(Table1[[#This Row],[Warranty_Claim]]="Yes",1,0)</f>
        <v>0</v>
      </c>
      <c r="W1850" s="4">
        <f>IF(Table1[[#This Row],[Rework_Flag]]="No",1,0)</f>
        <v>1</v>
      </c>
      <c r="X1850" s="4">
        <f>IF(Table1[[#This Row],[Rework_Flag]]="Yes",1,0)</f>
        <v>0</v>
      </c>
      <c r="Y1850" s="4">
        <v>1</v>
      </c>
      <c r="Z1850" s="4" t="str">
        <f>IF(Table1[[#This Row],[TAT_Days]]&gt;Table1[[#This Row],[SLA_TAT]],"Yes","No")</f>
        <v>Yes</v>
      </c>
      <c r="AA1850" s="4" t="str" cm="1">
        <f t="array" ref="AA1850">_xlfn.IFS(Table1[[#This Row],[Customer_Satisfaction]]&lt;=2,"Poor",Table1[[#This Row],[Customer_Satisfaction]]=3,"Neutral",Table1[[#This Row],[Customer_Satisfaction]]=4,"Good",Table1[[#This Row],[Customer_Satisfaction]]=5,"Good")</f>
        <v>Poor</v>
      </c>
    </row>
    <row r="1851" spans="1:27" x14ac:dyDescent="0.35">
      <c r="A1851">
        <v>21849</v>
      </c>
      <c r="B1851" s="1">
        <v>45315</v>
      </c>
      <c r="C1851" t="s">
        <v>50</v>
      </c>
      <c r="D1851" t="s">
        <v>80</v>
      </c>
      <c r="E1851" t="s">
        <v>121</v>
      </c>
      <c r="F1851" t="s">
        <v>22</v>
      </c>
      <c r="G1851" t="s">
        <v>23</v>
      </c>
      <c r="H1851" t="s">
        <v>24</v>
      </c>
      <c r="I1851" t="s">
        <v>25</v>
      </c>
      <c r="J1851" t="s">
        <v>67</v>
      </c>
      <c r="K1851" t="s">
        <v>27</v>
      </c>
      <c r="L1851" t="s">
        <v>49</v>
      </c>
      <c r="M1851" s="4">
        <v>13</v>
      </c>
      <c r="N1851" s="4">
        <v>7</v>
      </c>
      <c r="O1851" t="s">
        <v>29</v>
      </c>
      <c r="P1851" t="s">
        <v>29</v>
      </c>
      <c r="Q1851" s="4">
        <v>573092</v>
      </c>
      <c r="R1851" s="4">
        <v>370129</v>
      </c>
      <c r="S1851" s="4">
        <f>Table1[[#This Row],[Service_Revenue]]-Table1[[#This Row],[Service_Cost]]</f>
        <v>202963</v>
      </c>
      <c r="T1851" s="4">
        <v>2</v>
      </c>
      <c r="U1851" s="4">
        <f>IF(AND(Table1[[#This Row],[Rework_Flag]]="Yes",Table1[[#This Row],[Warranty_Claim]]="No"),Table1[[#This Row],[Service_Revenue]],0)</f>
        <v>0</v>
      </c>
      <c r="V1851" s="4">
        <f>IF(Table1[[#This Row],[Warranty_Claim]]="Yes",1,0)</f>
        <v>1</v>
      </c>
      <c r="W1851" s="4">
        <f>IF(Table1[[#This Row],[Rework_Flag]]="No",1,0)</f>
        <v>0</v>
      </c>
      <c r="X1851" s="4">
        <f>IF(Table1[[#This Row],[Rework_Flag]]="Yes",1,0)</f>
        <v>1</v>
      </c>
      <c r="Y1851" s="4">
        <v>1</v>
      </c>
      <c r="Z1851" s="4" t="str">
        <f>IF(Table1[[#This Row],[TAT_Days]]&gt;Table1[[#This Row],[SLA_TAT]],"Yes","No")</f>
        <v>Yes</v>
      </c>
      <c r="AA1851" s="4" t="str" cm="1">
        <f t="array" ref="AA1851">_xlfn.IFS(Table1[[#This Row],[Customer_Satisfaction]]&lt;=2,"Poor",Table1[[#This Row],[Customer_Satisfaction]]=3,"Neutral",Table1[[#This Row],[Customer_Satisfaction]]=4,"Good",Table1[[#This Row],[Customer_Satisfaction]]=5,"Good")</f>
        <v>Poor</v>
      </c>
    </row>
    <row r="1852" spans="1:27" x14ac:dyDescent="0.35">
      <c r="A1852">
        <v>21850</v>
      </c>
      <c r="B1852" s="1">
        <v>45442</v>
      </c>
      <c r="C1852" t="s">
        <v>19</v>
      </c>
      <c r="D1852" t="s">
        <v>96</v>
      </c>
      <c r="E1852" t="s">
        <v>109</v>
      </c>
      <c r="F1852" t="s">
        <v>22</v>
      </c>
      <c r="G1852" t="s">
        <v>33</v>
      </c>
      <c r="H1852" t="s">
        <v>34</v>
      </c>
      <c r="I1852" t="s">
        <v>25</v>
      </c>
      <c r="J1852" t="s">
        <v>67</v>
      </c>
      <c r="K1852" t="s">
        <v>44</v>
      </c>
      <c r="L1852" t="s">
        <v>49</v>
      </c>
      <c r="M1852" s="4">
        <v>6</v>
      </c>
      <c r="N1852" s="4">
        <v>7</v>
      </c>
      <c r="O1852" t="s">
        <v>29</v>
      </c>
      <c r="P1852" t="s">
        <v>36</v>
      </c>
      <c r="Q1852" s="4">
        <v>421271</v>
      </c>
      <c r="R1852" s="4">
        <v>254552</v>
      </c>
      <c r="S1852" s="4">
        <f>Table1[[#This Row],[Service_Revenue]]-Table1[[#This Row],[Service_Cost]]</f>
        <v>166719</v>
      </c>
      <c r="T1852" s="4">
        <v>3</v>
      </c>
      <c r="U1852" s="4">
        <f>IF(AND(Table1[[#This Row],[Rework_Flag]]="Yes",Table1[[#This Row],[Warranty_Claim]]="No"),Table1[[#This Row],[Service_Revenue]],0)</f>
        <v>421271</v>
      </c>
      <c r="V1852" s="4">
        <f>IF(Table1[[#This Row],[Warranty_Claim]]="Yes",1,0)</f>
        <v>0</v>
      </c>
      <c r="W1852" s="4">
        <f>IF(Table1[[#This Row],[Rework_Flag]]="No",1,0)</f>
        <v>0</v>
      </c>
      <c r="X1852" s="4">
        <f>IF(Table1[[#This Row],[Rework_Flag]]="Yes",1,0)</f>
        <v>1</v>
      </c>
      <c r="Y1852" s="4">
        <v>1</v>
      </c>
      <c r="Z1852" s="4" t="str">
        <f>IF(Table1[[#This Row],[TAT_Days]]&gt;Table1[[#This Row],[SLA_TAT]],"Yes","No")</f>
        <v>No</v>
      </c>
      <c r="AA1852" s="4" t="str" cm="1">
        <f t="array" ref="AA1852">_xlfn.IFS(Table1[[#This Row],[Customer_Satisfaction]]&lt;=2,"Poor",Table1[[#This Row],[Customer_Satisfaction]]=3,"Neutral",Table1[[#This Row],[Customer_Satisfaction]]=4,"Good",Table1[[#This Row],[Customer_Satisfaction]]=5,"Good")</f>
        <v>Neutral</v>
      </c>
    </row>
    <row r="1853" spans="1:27" x14ac:dyDescent="0.35">
      <c r="A1853">
        <v>21851</v>
      </c>
      <c r="B1853" s="1">
        <v>45380</v>
      </c>
      <c r="C1853" t="s">
        <v>30</v>
      </c>
      <c r="D1853" t="s">
        <v>59</v>
      </c>
      <c r="E1853" t="s">
        <v>66</v>
      </c>
      <c r="F1853" t="s">
        <v>53</v>
      </c>
      <c r="G1853" t="s">
        <v>41</v>
      </c>
      <c r="H1853" t="s">
        <v>42</v>
      </c>
      <c r="I1853" t="s">
        <v>55</v>
      </c>
      <c r="J1853" t="s">
        <v>26</v>
      </c>
      <c r="K1853" t="s">
        <v>44</v>
      </c>
      <c r="L1853" t="s">
        <v>49</v>
      </c>
      <c r="M1853" s="4">
        <v>7</v>
      </c>
      <c r="N1853" s="4">
        <v>7</v>
      </c>
      <c r="O1853" t="s">
        <v>29</v>
      </c>
      <c r="P1853" t="s">
        <v>29</v>
      </c>
      <c r="Q1853" s="4">
        <v>525933</v>
      </c>
      <c r="R1853" s="4">
        <v>279693</v>
      </c>
      <c r="S1853" s="4">
        <f>Table1[[#This Row],[Service_Revenue]]-Table1[[#This Row],[Service_Cost]]</f>
        <v>246240</v>
      </c>
      <c r="T1853" s="4">
        <v>3</v>
      </c>
      <c r="U1853" s="4">
        <f>IF(AND(Table1[[#This Row],[Rework_Flag]]="Yes",Table1[[#This Row],[Warranty_Claim]]="No"),Table1[[#This Row],[Service_Revenue]],0)</f>
        <v>0</v>
      </c>
      <c r="V1853" s="4">
        <f>IF(Table1[[#This Row],[Warranty_Claim]]="Yes",1,0)</f>
        <v>1</v>
      </c>
      <c r="W1853" s="4">
        <f>IF(Table1[[#This Row],[Rework_Flag]]="No",1,0)</f>
        <v>0</v>
      </c>
      <c r="X1853" s="4">
        <f>IF(Table1[[#This Row],[Rework_Flag]]="Yes",1,0)</f>
        <v>1</v>
      </c>
      <c r="Y1853" s="4">
        <v>1</v>
      </c>
      <c r="Z1853" s="4" t="str">
        <f>IF(Table1[[#This Row],[TAT_Days]]&gt;Table1[[#This Row],[SLA_TAT]],"Yes","No")</f>
        <v>No</v>
      </c>
      <c r="AA1853" s="4" t="str" cm="1">
        <f t="array" ref="AA1853">_xlfn.IFS(Table1[[#This Row],[Customer_Satisfaction]]&lt;=2,"Poor",Table1[[#This Row],[Customer_Satisfaction]]=3,"Neutral",Table1[[#This Row],[Customer_Satisfaction]]=4,"Good",Table1[[#This Row],[Customer_Satisfaction]]=5,"Good")</f>
        <v>Neutral</v>
      </c>
    </row>
    <row r="1854" spans="1:27" x14ac:dyDescent="0.35">
      <c r="A1854">
        <v>21852</v>
      </c>
      <c r="B1854" s="1">
        <v>45382</v>
      </c>
      <c r="C1854" t="s">
        <v>30</v>
      </c>
      <c r="D1854" t="s">
        <v>59</v>
      </c>
      <c r="E1854" t="s">
        <v>66</v>
      </c>
      <c r="F1854" t="s">
        <v>40</v>
      </c>
      <c r="G1854" t="s">
        <v>41</v>
      </c>
      <c r="H1854" t="s">
        <v>42</v>
      </c>
      <c r="I1854" t="s">
        <v>55</v>
      </c>
      <c r="J1854" t="s">
        <v>26</v>
      </c>
      <c r="K1854" t="s">
        <v>27</v>
      </c>
      <c r="L1854" t="s">
        <v>28</v>
      </c>
      <c r="M1854" s="4">
        <v>4</v>
      </c>
      <c r="N1854" s="4">
        <v>7</v>
      </c>
      <c r="O1854" t="s">
        <v>29</v>
      </c>
      <c r="P1854" t="s">
        <v>36</v>
      </c>
      <c r="Q1854" s="4">
        <v>208680</v>
      </c>
      <c r="R1854" s="4">
        <v>166625</v>
      </c>
      <c r="S1854" s="4">
        <f>Table1[[#This Row],[Service_Revenue]]-Table1[[#This Row],[Service_Cost]]</f>
        <v>42055</v>
      </c>
      <c r="T1854" s="4">
        <v>4</v>
      </c>
      <c r="U1854" s="4">
        <f>IF(AND(Table1[[#This Row],[Rework_Flag]]="Yes",Table1[[#This Row],[Warranty_Claim]]="No"),Table1[[#This Row],[Service_Revenue]],0)</f>
        <v>208680</v>
      </c>
      <c r="V1854" s="4">
        <f>IF(Table1[[#This Row],[Warranty_Claim]]="Yes",1,0)</f>
        <v>0</v>
      </c>
      <c r="W1854" s="4">
        <f>IF(Table1[[#This Row],[Rework_Flag]]="No",1,0)</f>
        <v>0</v>
      </c>
      <c r="X1854" s="4">
        <f>IF(Table1[[#This Row],[Rework_Flag]]="Yes",1,0)</f>
        <v>1</v>
      </c>
      <c r="Y1854" s="4">
        <v>1</v>
      </c>
      <c r="Z1854" s="4" t="str">
        <f>IF(Table1[[#This Row],[TAT_Days]]&gt;Table1[[#This Row],[SLA_TAT]],"Yes","No")</f>
        <v>No</v>
      </c>
      <c r="AA1854" s="4" t="str" cm="1">
        <f t="array" ref="AA1854">_xlfn.IFS(Table1[[#This Row],[Customer_Satisfaction]]&lt;=2,"Poor",Table1[[#This Row],[Customer_Satisfaction]]=3,"Neutral",Table1[[#This Row],[Customer_Satisfaction]]=4,"Good",Table1[[#This Row],[Customer_Satisfaction]]=5,"Good")</f>
        <v>Good</v>
      </c>
    </row>
    <row r="1855" spans="1:27" x14ac:dyDescent="0.35">
      <c r="A1855">
        <v>21853</v>
      </c>
      <c r="B1855" s="1">
        <v>45432</v>
      </c>
      <c r="C1855" t="s">
        <v>37</v>
      </c>
      <c r="D1855" t="s">
        <v>64</v>
      </c>
      <c r="E1855" t="s">
        <v>87</v>
      </c>
      <c r="F1855" t="s">
        <v>53</v>
      </c>
      <c r="G1855" t="s">
        <v>54</v>
      </c>
      <c r="H1855" t="s">
        <v>42</v>
      </c>
      <c r="I1855" t="s">
        <v>55</v>
      </c>
      <c r="J1855" t="s">
        <v>43</v>
      </c>
      <c r="K1855" t="s">
        <v>44</v>
      </c>
      <c r="L1855" t="s">
        <v>28</v>
      </c>
      <c r="M1855" s="4">
        <v>23</v>
      </c>
      <c r="N1855" s="4">
        <v>7</v>
      </c>
      <c r="O1855" t="s">
        <v>29</v>
      </c>
      <c r="P1855" t="s">
        <v>36</v>
      </c>
      <c r="Q1855" s="4">
        <v>533910</v>
      </c>
      <c r="R1855" s="4">
        <v>373899</v>
      </c>
      <c r="S1855" s="4">
        <f>Table1[[#This Row],[Service_Revenue]]-Table1[[#This Row],[Service_Cost]]</f>
        <v>160011</v>
      </c>
      <c r="T1855" s="4">
        <v>1</v>
      </c>
      <c r="U1855" s="4">
        <f>IF(AND(Table1[[#This Row],[Rework_Flag]]="Yes",Table1[[#This Row],[Warranty_Claim]]="No"),Table1[[#This Row],[Service_Revenue]],0)</f>
        <v>533910</v>
      </c>
      <c r="V1855" s="4">
        <f>IF(Table1[[#This Row],[Warranty_Claim]]="Yes",1,0)</f>
        <v>0</v>
      </c>
      <c r="W1855" s="4">
        <f>IF(Table1[[#This Row],[Rework_Flag]]="No",1,0)</f>
        <v>0</v>
      </c>
      <c r="X1855" s="4">
        <f>IF(Table1[[#This Row],[Rework_Flag]]="Yes",1,0)</f>
        <v>1</v>
      </c>
      <c r="Y1855" s="4">
        <v>1</v>
      </c>
      <c r="Z1855" s="4" t="str">
        <f>IF(Table1[[#This Row],[TAT_Days]]&gt;Table1[[#This Row],[SLA_TAT]],"Yes","No")</f>
        <v>Yes</v>
      </c>
      <c r="AA1855" s="4" t="str" cm="1">
        <f t="array" ref="AA1855">_xlfn.IFS(Table1[[#This Row],[Customer_Satisfaction]]&lt;=2,"Poor",Table1[[#This Row],[Customer_Satisfaction]]=3,"Neutral",Table1[[#This Row],[Customer_Satisfaction]]=4,"Good",Table1[[#This Row],[Customer_Satisfaction]]=5,"Good")</f>
        <v>Poor</v>
      </c>
    </row>
    <row r="1856" spans="1:27" x14ac:dyDescent="0.35">
      <c r="A1856">
        <v>21854</v>
      </c>
      <c r="B1856" s="1">
        <v>45363</v>
      </c>
      <c r="C1856" t="s">
        <v>50</v>
      </c>
      <c r="D1856" t="s">
        <v>56</v>
      </c>
      <c r="E1856" t="s">
        <v>57</v>
      </c>
      <c r="F1856" t="s">
        <v>40</v>
      </c>
      <c r="G1856" t="s">
        <v>74</v>
      </c>
      <c r="H1856" t="s">
        <v>34</v>
      </c>
      <c r="I1856" t="s">
        <v>25</v>
      </c>
      <c r="J1856" t="s">
        <v>43</v>
      </c>
      <c r="K1856" t="s">
        <v>27</v>
      </c>
      <c r="L1856" t="s">
        <v>49</v>
      </c>
      <c r="M1856" s="4">
        <v>22</v>
      </c>
      <c r="N1856" s="4">
        <v>7</v>
      </c>
      <c r="O1856" t="s">
        <v>29</v>
      </c>
      <c r="P1856" t="s">
        <v>29</v>
      </c>
      <c r="Q1856" s="4">
        <v>307313</v>
      </c>
      <c r="R1856" s="4">
        <v>156752</v>
      </c>
      <c r="S1856" s="4">
        <f>Table1[[#This Row],[Service_Revenue]]-Table1[[#This Row],[Service_Cost]]</f>
        <v>150561</v>
      </c>
      <c r="T1856" s="4">
        <v>1</v>
      </c>
      <c r="U1856" s="4">
        <f>IF(AND(Table1[[#This Row],[Rework_Flag]]="Yes",Table1[[#This Row],[Warranty_Claim]]="No"),Table1[[#This Row],[Service_Revenue]],0)</f>
        <v>0</v>
      </c>
      <c r="V1856" s="4">
        <f>IF(Table1[[#This Row],[Warranty_Claim]]="Yes",1,0)</f>
        <v>1</v>
      </c>
      <c r="W1856" s="4">
        <f>IF(Table1[[#This Row],[Rework_Flag]]="No",1,0)</f>
        <v>0</v>
      </c>
      <c r="X1856" s="4">
        <f>IF(Table1[[#This Row],[Rework_Flag]]="Yes",1,0)</f>
        <v>1</v>
      </c>
      <c r="Y1856" s="4">
        <v>1</v>
      </c>
      <c r="Z1856" s="4" t="str">
        <f>IF(Table1[[#This Row],[TAT_Days]]&gt;Table1[[#This Row],[SLA_TAT]],"Yes","No")</f>
        <v>Yes</v>
      </c>
      <c r="AA1856" s="4" t="str" cm="1">
        <f t="array" ref="AA1856">_xlfn.IFS(Table1[[#This Row],[Customer_Satisfaction]]&lt;=2,"Poor",Table1[[#This Row],[Customer_Satisfaction]]=3,"Neutral",Table1[[#This Row],[Customer_Satisfaction]]=4,"Good",Table1[[#This Row],[Customer_Satisfaction]]=5,"Good")</f>
        <v>Poor</v>
      </c>
    </row>
    <row r="1857" spans="1:27" x14ac:dyDescent="0.35">
      <c r="A1857">
        <v>21855</v>
      </c>
      <c r="B1857" s="1">
        <v>45392</v>
      </c>
      <c r="C1857" t="s">
        <v>30</v>
      </c>
      <c r="D1857" t="s">
        <v>83</v>
      </c>
      <c r="E1857" t="s">
        <v>119</v>
      </c>
      <c r="F1857" t="s">
        <v>22</v>
      </c>
      <c r="G1857" t="s">
        <v>41</v>
      </c>
      <c r="H1857" t="s">
        <v>42</v>
      </c>
      <c r="I1857" t="s">
        <v>55</v>
      </c>
      <c r="J1857" t="s">
        <v>67</v>
      </c>
      <c r="K1857" t="s">
        <v>44</v>
      </c>
      <c r="L1857" t="s">
        <v>28</v>
      </c>
      <c r="M1857" s="4">
        <v>9</v>
      </c>
      <c r="N1857" s="4">
        <v>7</v>
      </c>
      <c r="O1857" t="s">
        <v>29</v>
      </c>
      <c r="P1857" t="s">
        <v>36</v>
      </c>
      <c r="Q1857" s="4">
        <v>314169</v>
      </c>
      <c r="R1857" s="4">
        <v>158184</v>
      </c>
      <c r="S1857" s="4">
        <f>Table1[[#This Row],[Service_Revenue]]-Table1[[#This Row],[Service_Cost]]</f>
        <v>155985</v>
      </c>
      <c r="T1857" s="4">
        <v>3</v>
      </c>
      <c r="U1857" s="4">
        <f>IF(AND(Table1[[#This Row],[Rework_Flag]]="Yes",Table1[[#This Row],[Warranty_Claim]]="No"),Table1[[#This Row],[Service_Revenue]],0)</f>
        <v>314169</v>
      </c>
      <c r="V1857" s="4">
        <f>IF(Table1[[#This Row],[Warranty_Claim]]="Yes",1,0)</f>
        <v>0</v>
      </c>
      <c r="W1857" s="4">
        <f>IF(Table1[[#This Row],[Rework_Flag]]="No",1,0)</f>
        <v>0</v>
      </c>
      <c r="X1857" s="4">
        <f>IF(Table1[[#This Row],[Rework_Flag]]="Yes",1,0)</f>
        <v>1</v>
      </c>
      <c r="Y1857" s="4">
        <v>1</v>
      </c>
      <c r="Z1857" s="4" t="str">
        <f>IF(Table1[[#This Row],[TAT_Days]]&gt;Table1[[#This Row],[SLA_TAT]],"Yes","No")</f>
        <v>Yes</v>
      </c>
      <c r="AA1857" s="4" t="str" cm="1">
        <f t="array" ref="AA1857">_xlfn.IFS(Table1[[#This Row],[Customer_Satisfaction]]&lt;=2,"Poor",Table1[[#This Row],[Customer_Satisfaction]]=3,"Neutral",Table1[[#This Row],[Customer_Satisfaction]]=4,"Good",Table1[[#This Row],[Customer_Satisfaction]]=5,"Good")</f>
        <v>Neutral</v>
      </c>
    </row>
    <row r="1858" spans="1:27" x14ac:dyDescent="0.35">
      <c r="A1858">
        <v>21856</v>
      </c>
      <c r="B1858" s="1">
        <v>45326</v>
      </c>
      <c r="C1858" t="s">
        <v>37</v>
      </c>
      <c r="D1858" t="s">
        <v>38</v>
      </c>
      <c r="E1858" t="s">
        <v>112</v>
      </c>
      <c r="F1858" t="s">
        <v>53</v>
      </c>
      <c r="G1858" t="s">
        <v>47</v>
      </c>
      <c r="H1858" t="s">
        <v>48</v>
      </c>
      <c r="I1858" t="s">
        <v>55</v>
      </c>
      <c r="J1858" t="s">
        <v>67</v>
      </c>
      <c r="K1858" t="s">
        <v>27</v>
      </c>
      <c r="L1858" t="s">
        <v>28</v>
      </c>
      <c r="M1858" s="4">
        <v>16</v>
      </c>
      <c r="N1858" s="4">
        <v>7</v>
      </c>
      <c r="O1858" t="s">
        <v>29</v>
      </c>
      <c r="P1858" t="s">
        <v>36</v>
      </c>
      <c r="Q1858" s="4">
        <v>393021</v>
      </c>
      <c r="R1858" s="4">
        <v>265990</v>
      </c>
      <c r="S1858" s="4">
        <f>Table1[[#This Row],[Service_Revenue]]-Table1[[#This Row],[Service_Cost]]</f>
        <v>127031</v>
      </c>
      <c r="T1858" s="4">
        <v>1</v>
      </c>
      <c r="U1858" s="4">
        <f>IF(AND(Table1[[#This Row],[Rework_Flag]]="Yes",Table1[[#This Row],[Warranty_Claim]]="No"),Table1[[#This Row],[Service_Revenue]],0)</f>
        <v>393021</v>
      </c>
      <c r="V1858" s="4">
        <f>IF(Table1[[#This Row],[Warranty_Claim]]="Yes",1,0)</f>
        <v>0</v>
      </c>
      <c r="W1858" s="4">
        <f>IF(Table1[[#This Row],[Rework_Flag]]="No",1,0)</f>
        <v>0</v>
      </c>
      <c r="X1858" s="4">
        <f>IF(Table1[[#This Row],[Rework_Flag]]="Yes",1,0)</f>
        <v>1</v>
      </c>
      <c r="Y1858" s="4">
        <v>1</v>
      </c>
      <c r="Z1858" s="4" t="str">
        <f>IF(Table1[[#This Row],[TAT_Days]]&gt;Table1[[#This Row],[SLA_TAT]],"Yes","No")</f>
        <v>Yes</v>
      </c>
      <c r="AA1858" s="4" t="str" cm="1">
        <f t="array" ref="AA1858">_xlfn.IFS(Table1[[#This Row],[Customer_Satisfaction]]&lt;=2,"Poor",Table1[[#This Row],[Customer_Satisfaction]]=3,"Neutral",Table1[[#This Row],[Customer_Satisfaction]]=4,"Good",Table1[[#This Row],[Customer_Satisfaction]]=5,"Good")</f>
        <v>Poor</v>
      </c>
    </row>
    <row r="1859" spans="1:27" x14ac:dyDescent="0.35">
      <c r="A1859">
        <v>21857</v>
      </c>
      <c r="B1859" s="1">
        <v>45337</v>
      </c>
      <c r="C1859" t="s">
        <v>50</v>
      </c>
      <c r="D1859" t="s">
        <v>80</v>
      </c>
      <c r="E1859" t="s">
        <v>121</v>
      </c>
      <c r="F1859" t="s">
        <v>22</v>
      </c>
      <c r="G1859" t="s">
        <v>23</v>
      </c>
      <c r="H1859" t="s">
        <v>24</v>
      </c>
      <c r="I1859" t="s">
        <v>55</v>
      </c>
      <c r="J1859" t="s">
        <v>43</v>
      </c>
      <c r="K1859" t="s">
        <v>27</v>
      </c>
      <c r="L1859" t="s">
        <v>49</v>
      </c>
      <c r="M1859" s="4">
        <v>11</v>
      </c>
      <c r="N1859" s="4">
        <v>7</v>
      </c>
      <c r="O1859" t="s">
        <v>29</v>
      </c>
      <c r="P1859" t="s">
        <v>29</v>
      </c>
      <c r="Q1859" s="4">
        <v>346699</v>
      </c>
      <c r="R1859" s="4">
        <v>273648</v>
      </c>
      <c r="S1859" s="4">
        <f>Table1[[#This Row],[Service_Revenue]]-Table1[[#This Row],[Service_Cost]]</f>
        <v>73051</v>
      </c>
      <c r="T1859" s="4">
        <v>2</v>
      </c>
      <c r="U1859" s="4">
        <f>IF(AND(Table1[[#This Row],[Rework_Flag]]="Yes",Table1[[#This Row],[Warranty_Claim]]="No"),Table1[[#This Row],[Service_Revenue]],0)</f>
        <v>0</v>
      </c>
      <c r="V1859" s="4">
        <f>IF(Table1[[#This Row],[Warranty_Claim]]="Yes",1,0)</f>
        <v>1</v>
      </c>
      <c r="W1859" s="4">
        <f>IF(Table1[[#This Row],[Rework_Flag]]="No",1,0)</f>
        <v>0</v>
      </c>
      <c r="X1859" s="4">
        <f>IF(Table1[[#This Row],[Rework_Flag]]="Yes",1,0)</f>
        <v>1</v>
      </c>
      <c r="Y1859" s="4">
        <v>1</v>
      </c>
      <c r="Z1859" s="4" t="str">
        <f>IF(Table1[[#This Row],[TAT_Days]]&gt;Table1[[#This Row],[SLA_TAT]],"Yes","No")</f>
        <v>Yes</v>
      </c>
      <c r="AA1859" s="4" t="str" cm="1">
        <f t="array" ref="AA1859">_xlfn.IFS(Table1[[#This Row],[Customer_Satisfaction]]&lt;=2,"Poor",Table1[[#This Row],[Customer_Satisfaction]]=3,"Neutral",Table1[[#This Row],[Customer_Satisfaction]]=4,"Good",Table1[[#This Row],[Customer_Satisfaction]]=5,"Good")</f>
        <v>Poor</v>
      </c>
    </row>
    <row r="1860" spans="1:27" x14ac:dyDescent="0.35">
      <c r="A1860">
        <v>21858</v>
      </c>
      <c r="B1860" s="1">
        <v>45357</v>
      </c>
      <c r="C1860" t="s">
        <v>30</v>
      </c>
      <c r="D1860" t="s">
        <v>31</v>
      </c>
      <c r="E1860" t="s">
        <v>79</v>
      </c>
      <c r="F1860" t="s">
        <v>40</v>
      </c>
      <c r="G1860" t="s">
        <v>47</v>
      </c>
      <c r="H1860" t="s">
        <v>48</v>
      </c>
      <c r="I1860" t="s">
        <v>25</v>
      </c>
      <c r="J1860" t="s">
        <v>67</v>
      </c>
      <c r="K1860" t="s">
        <v>61</v>
      </c>
      <c r="L1860" t="s">
        <v>49</v>
      </c>
      <c r="M1860" s="4">
        <v>3</v>
      </c>
      <c r="N1860" s="4">
        <v>7</v>
      </c>
      <c r="O1860" t="s">
        <v>36</v>
      </c>
      <c r="P1860" t="s">
        <v>36</v>
      </c>
      <c r="Q1860" s="4">
        <v>150617</v>
      </c>
      <c r="R1860" s="4">
        <v>110322</v>
      </c>
      <c r="S1860" s="4">
        <f>Table1[[#This Row],[Service_Revenue]]-Table1[[#This Row],[Service_Cost]]</f>
        <v>40295</v>
      </c>
      <c r="T1860" s="4">
        <v>5</v>
      </c>
      <c r="U1860" s="4">
        <f>IF(AND(Table1[[#This Row],[Rework_Flag]]="Yes",Table1[[#This Row],[Warranty_Claim]]="No"),Table1[[#This Row],[Service_Revenue]],0)</f>
        <v>0</v>
      </c>
      <c r="V1860" s="4">
        <f>IF(Table1[[#This Row],[Warranty_Claim]]="Yes",1,0)</f>
        <v>0</v>
      </c>
      <c r="W1860" s="4">
        <f>IF(Table1[[#This Row],[Rework_Flag]]="No",1,0)</f>
        <v>1</v>
      </c>
      <c r="X1860" s="4">
        <f>IF(Table1[[#This Row],[Rework_Flag]]="Yes",1,0)</f>
        <v>0</v>
      </c>
      <c r="Y1860" s="4">
        <v>1</v>
      </c>
      <c r="Z1860" s="4" t="str">
        <f>IF(Table1[[#This Row],[TAT_Days]]&gt;Table1[[#This Row],[SLA_TAT]],"Yes","No")</f>
        <v>No</v>
      </c>
      <c r="AA1860" s="4" t="str" cm="1">
        <f t="array" ref="AA1860">_xlfn.IFS(Table1[[#This Row],[Customer_Satisfaction]]&lt;=2,"Poor",Table1[[#This Row],[Customer_Satisfaction]]=3,"Neutral",Table1[[#This Row],[Customer_Satisfaction]]=4,"Good",Table1[[#This Row],[Customer_Satisfaction]]=5,"Good")</f>
        <v>Good</v>
      </c>
    </row>
    <row r="1861" spans="1:27" x14ac:dyDescent="0.35">
      <c r="A1861">
        <v>21859</v>
      </c>
      <c r="B1861" s="1">
        <v>45384</v>
      </c>
      <c r="C1861" t="s">
        <v>30</v>
      </c>
      <c r="D1861" t="s">
        <v>59</v>
      </c>
      <c r="E1861" t="s">
        <v>78</v>
      </c>
      <c r="F1861" t="s">
        <v>53</v>
      </c>
      <c r="G1861" t="s">
        <v>74</v>
      </c>
      <c r="H1861" t="s">
        <v>34</v>
      </c>
      <c r="I1861" t="s">
        <v>55</v>
      </c>
      <c r="J1861" t="s">
        <v>67</v>
      </c>
      <c r="K1861" t="s">
        <v>61</v>
      </c>
      <c r="L1861" t="s">
        <v>28</v>
      </c>
      <c r="M1861" s="4">
        <v>16</v>
      </c>
      <c r="N1861" s="4">
        <v>7</v>
      </c>
      <c r="O1861" t="s">
        <v>29</v>
      </c>
      <c r="P1861" t="s">
        <v>29</v>
      </c>
      <c r="Q1861" s="4">
        <v>369063</v>
      </c>
      <c r="R1861" s="4">
        <v>298781</v>
      </c>
      <c r="S1861" s="4">
        <f>Table1[[#This Row],[Service_Revenue]]-Table1[[#This Row],[Service_Cost]]</f>
        <v>70282</v>
      </c>
      <c r="T1861" s="4">
        <v>1</v>
      </c>
      <c r="U1861" s="4">
        <f>IF(AND(Table1[[#This Row],[Rework_Flag]]="Yes",Table1[[#This Row],[Warranty_Claim]]="No"),Table1[[#This Row],[Service_Revenue]],0)</f>
        <v>0</v>
      </c>
      <c r="V1861" s="4">
        <f>IF(Table1[[#This Row],[Warranty_Claim]]="Yes",1,0)</f>
        <v>1</v>
      </c>
      <c r="W1861" s="4">
        <f>IF(Table1[[#This Row],[Rework_Flag]]="No",1,0)</f>
        <v>0</v>
      </c>
      <c r="X1861" s="4">
        <f>IF(Table1[[#This Row],[Rework_Flag]]="Yes",1,0)</f>
        <v>1</v>
      </c>
      <c r="Y1861" s="4">
        <v>1</v>
      </c>
      <c r="Z1861" s="4" t="str">
        <f>IF(Table1[[#This Row],[TAT_Days]]&gt;Table1[[#This Row],[SLA_TAT]],"Yes","No")</f>
        <v>Yes</v>
      </c>
      <c r="AA1861" s="4" t="str" cm="1">
        <f t="array" ref="AA1861">_xlfn.IFS(Table1[[#This Row],[Customer_Satisfaction]]&lt;=2,"Poor",Table1[[#This Row],[Customer_Satisfaction]]=3,"Neutral",Table1[[#This Row],[Customer_Satisfaction]]=4,"Good",Table1[[#This Row],[Customer_Satisfaction]]=5,"Good")</f>
        <v>Poor</v>
      </c>
    </row>
    <row r="1862" spans="1:27" x14ac:dyDescent="0.35">
      <c r="A1862">
        <v>21860</v>
      </c>
      <c r="B1862" s="1">
        <v>45404</v>
      </c>
      <c r="C1862" t="s">
        <v>50</v>
      </c>
      <c r="D1862" t="s">
        <v>80</v>
      </c>
      <c r="E1862" t="s">
        <v>118</v>
      </c>
      <c r="F1862" t="s">
        <v>22</v>
      </c>
      <c r="G1862" t="s">
        <v>63</v>
      </c>
      <c r="H1862" t="s">
        <v>24</v>
      </c>
      <c r="I1862" t="s">
        <v>55</v>
      </c>
      <c r="J1862" t="s">
        <v>35</v>
      </c>
      <c r="K1862" t="s">
        <v>61</v>
      </c>
      <c r="L1862" t="s">
        <v>28</v>
      </c>
      <c r="M1862" s="4">
        <v>2</v>
      </c>
      <c r="N1862" s="4">
        <v>7</v>
      </c>
      <c r="O1862" t="s">
        <v>36</v>
      </c>
      <c r="P1862" t="s">
        <v>36</v>
      </c>
      <c r="Q1862" s="4">
        <v>424874</v>
      </c>
      <c r="R1862" s="4">
        <v>357569</v>
      </c>
      <c r="S1862" s="4">
        <f>Table1[[#This Row],[Service_Revenue]]-Table1[[#This Row],[Service_Cost]]</f>
        <v>67305</v>
      </c>
      <c r="T1862" s="4">
        <v>5</v>
      </c>
      <c r="U1862" s="4">
        <f>IF(AND(Table1[[#This Row],[Rework_Flag]]="Yes",Table1[[#This Row],[Warranty_Claim]]="No"),Table1[[#This Row],[Service_Revenue]],0)</f>
        <v>0</v>
      </c>
      <c r="V1862" s="4">
        <f>IF(Table1[[#This Row],[Warranty_Claim]]="Yes",1,0)</f>
        <v>0</v>
      </c>
      <c r="W1862" s="4">
        <f>IF(Table1[[#This Row],[Rework_Flag]]="No",1,0)</f>
        <v>1</v>
      </c>
      <c r="X1862" s="4">
        <f>IF(Table1[[#This Row],[Rework_Flag]]="Yes",1,0)</f>
        <v>0</v>
      </c>
      <c r="Y1862" s="4">
        <v>1</v>
      </c>
      <c r="Z1862" s="4" t="str">
        <f>IF(Table1[[#This Row],[TAT_Days]]&gt;Table1[[#This Row],[SLA_TAT]],"Yes","No")</f>
        <v>No</v>
      </c>
      <c r="AA1862" s="4" t="str" cm="1">
        <f t="array" ref="AA1862">_xlfn.IFS(Table1[[#This Row],[Customer_Satisfaction]]&lt;=2,"Poor",Table1[[#This Row],[Customer_Satisfaction]]=3,"Neutral",Table1[[#This Row],[Customer_Satisfaction]]=4,"Good",Table1[[#This Row],[Customer_Satisfaction]]=5,"Good")</f>
        <v>Good</v>
      </c>
    </row>
    <row r="1863" spans="1:27" x14ac:dyDescent="0.35">
      <c r="A1863">
        <v>21861</v>
      </c>
      <c r="B1863" s="1">
        <v>45305</v>
      </c>
      <c r="C1863" t="s">
        <v>37</v>
      </c>
      <c r="D1863" t="s">
        <v>70</v>
      </c>
      <c r="E1863" t="s">
        <v>100</v>
      </c>
      <c r="F1863" t="s">
        <v>22</v>
      </c>
      <c r="G1863" t="s">
        <v>47</v>
      </c>
      <c r="H1863" t="s">
        <v>48</v>
      </c>
      <c r="I1863" t="s">
        <v>55</v>
      </c>
      <c r="J1863" t="s">
        <v>26</v>
      </c>
      <c r="K1863" t="s">
        <v>44</v>
      </c>
      <c r="L1863" t="s">
        <v>28</v>
      </c>
      <c r="M1863" s="4">
        <v>7</v>
      </c>
      <c r="N1863" s="4">
        <v>7</v>
      </c>
      <c r="O1863" t="s">
        <v>36</v>
      </c>
      <c r="P1863" t="s">
        <v>36</v>
      </c>
      <c r="Q1863" s="4">
        <v>342573</v>
      </c>
      <c r="R1863" s="4">
        <v>281896</v>
      </c>
      <c r="S1863" s="4">
        <f>Table1[[#This Row],[Service_Revenue]]-Table1[[#This Row],[Service_Cost]]</f>
        <v>60677</v>
      </c>
      <c r="T1863" s="4">
        <v>4</v>
      </c>
      <c r="U1863" s="4">
        <f>IF(AND(Table1[[#This Row],[Rework_Flag]]="Yes",Table1[[#This Row],[Warranty_Claim]]="No"),Table1[[#This Row],[Service_Revenue]],0)</f>
        <v>0</v>
      </c>
      <c r="V1863" s="4">
        <f>IF(Table1[[#This Row],[Warranty_Claim]]="Yes",1,0)</f>
        <v>0</v>
      </c>
      <c r="W1863" s="4">
        <f>IF(Table1[[#This Row],[Rework_Flag]]="No",1,0)</f>
        <v>1</v>
      </c>
      <c r="X1863" s="4">
        <f>IF(Table1[[#This Row],[Rework_Flag]]="Yes",1,0)</f>
        <v>0</v>
      </c>
      <c r="Y1863" s="4">
        <v>1</v>
      </c>
      <c r="Z1863" s="4" t="str">
        <f>IF(Table1[[#This Row],[TAT_Days]]&gt;Table1[[#This Row],[SLA_TAT]],"Yes","No")</f>
        <v>No</v>
      </c>
      <c r="AA1863" s="4" t="str" cm="1">
        <f t="array" ref="AA1863">_xlfn.IFS(Table1[[#This Row],[Customer_Satisfaction]]&lt;=2,"Poor",Table1[[#This Row],[Customer_Satisfaction]]=3,"Neutral",Table1[[#This Row],[Customer_Satisfaction]]=4,"Good",Table1[[#This Row],[Customer_Satisfaction]]=5,"Good")</f>
        <v>Good</v>
      </c>
    </row>
    <row r="1864" spans="1:27" x14ac:dyDescent="0.35">
      <c r="A1864">
        <v>21862</v>
      </c>
      <c r="B1864" s="1">
        <v>45442</v>
      </c>
      <c r="C1864" t="s">
        <v>50</v>
      </c>
      <c r="D1864" t="s">
        <v>80</v>
      </c>
      <c r="E1864" t="s">
        <v>121</v>
      </c>
      <c r="F1864" t="s">
        <v>40</v>
      </c>
      <c r="G1864" t="s">
        <v>63</v>
      </c>
      <c r="H1864" t="s">
        <v>24</v>
      </c>
      <c r="I1864" t="s">
        <v>25</v>
      </c>
      <c r="J1864" t="s">
        <v>26</v>
      </c>
      <c r="K1864" t="s">
        <v>27</v>
      </c>
      <c r="L1864" t="s">
        <v>28</v>
      </c>
      <c r="M1864" s="4">
        <v>12</v>
      </c>
      <c r="N1864" s="4">
        <v>7</v>
      </c>
      <c r="O1864" t="s">
        <v>29</v>
      </c>
      <c r="P1864" t="s">
        <v>36</v>
      </c>
      <c r="Q1864" s="4">
        <v>438288</v>
      </c>
      <c r="R1864" s="4">
        <v>371146</v>
      </c>
      <c r="S1864" s="4">
        <f>Table1[[#This Row],[Service_Revenue]]-Table1[[#This Row],[Service_Cost]]</f>
        <v>67142</v>
      </c>
      <c r="T1864" s="4">
        <v>2</v>
      </c>
      <c r="U1864" s="4">
        <f>IF(AND(Table1[[#This Row],[Rework_Flag]]="Yes",Table1[[#This Row],[Warranty_Claim]]="No"),Table1[[#This Row],[Service_Revenue]],0)</f>
        <v>438288</v>
      </c>
      <c r="V1864" s="4">
        <f>IF(Table1[[#This Row],[Warranty_Claim]]="Yes",1,0)</f>
        <v>0</v>
      </c>
      <c r="W1864" s="4">
        <f>IF(Table1[[#This Row],[Rework_Flag]]="No",1,0)</f>
        <v>0</v>
      </c>
      <c r="X1864" s="4">
        <f>IF(Table1[[#This Row],[Rework_Flag]]="Yes",1,0)</f>
        <v>1</v>
      </c>
      <c r="Y1864" s="4">
        <v>1</v>
      </c>
      <c r="Z1864" s="4" t="str">
        <f>IF(Table1[[#This Row],[TAT_Days]]&gt;Table1[[#This Row],[SLA_TAT]],"Yes","No")</f>
        <v>Yes</v>
      </c>
      <c r="AA1864" s="4" t="str" cm="1">
        <f t="array" ref="AA1864">_xlfn.IFS(Table1[[#This Row],[Customer_Satisfaction]]&lt;=2,"Poor",Table1[[#This Row],[Customer_Satisfaction]]=3,"Neutral",Table1[[#This Row],[Customer_Satisfaction]]=4,"Good",Table1[[#This Row],[Customer_Satisfaction]]=5,"Good")</f>
        <v>Poor</v>
      </c>
    </row>
    <row r="1865" spans="1:27" x14ac:dyDescent="0.35">
      <c r="A1865">
        <v>21863</v>
      </c>
      <c r="B1865" s="1">
        <v>45401</v>
      </c>
      <c r="C1865" t="s">
        <v>19</v>
      </c>
      <c r="D1865" t="s">
        <v>20</v>
      </c>
      <c r="E1865" t="s">
        <v>21</v>
      </c>
      <c r="F1865" t="s">
        <v>22</v>
      </c>
      <c r="G1865" t="s">
        <v>74</v>
      </c>
      <c r="H1865" t="s">
        <v>34</v>
      </c>
      <c r="I1865" t="s">
        <v>55</v>
      </c>
      <c r="J1865" t="s">
        <v>43</v>
      </c>
      <c r="K1865" t="s">
        <v>27</v>
      </c>
      <c r="L1865" t="s">
        <v>28</v>
      </c>
      <c r="M1865" s="4">
        <v>25</v>
      </c>
      <c r="N1865" s="4">
        <v>7</v>
      </c>
      <c r="O1865" t="s">
        <v>29</v>
      </c>
      <c r="P1865" t="s">
        <v>29</v>
      </c>
      <c r="Q1865" s="4">
        <v>534538</v>
      </c>
      <c r="R1865" s="4">
        <v>291361</v>
      </c>
      <c r="S1865" s="4">
        <f>Table1[[#This Row],[Service_Revenue]]-Table1[[#This Row],[Service_Cost]]</f>
        <v>243177</v>
      </c>
      <c r="T1865" s="4">
        <v>1</v>
      </c>
      <c r="U1865" s="4">
        <f>IF(AND(Table1[[#This Row],[Rework_Flag]]="Yes",Table1[[#This Row],[Warranty_Claim]]="No"),Table1[[#This Row],[Service_Revenue]],0)</f>
        <v>0</v>
      </c>
      <c r="V1865" s="4">
        <f>IF(Table1[[#This Row],[Warranty_Claim]]="Yes",1,0)</f>
        <v>1</v>
      </c>
      <c r="W1865" s="4">
        <f>IF(Table1[[#This Row],[Rework_Flag]]="No",1,0)</f>
        <v>0</v>
      </c>
      <c r="X1865" s="4">
        <f>IF(Table1[[#This Row],[Rework_Flag]]="Yes",1,0)</f>
        <v>1</v>
      </c>
      <c r="Y1865" s="4">
        <v>1</v>
      </c>
      <c r="Z1865" s="4" t="str">
        <f>IF(Table1[[#This Row],[TAT_Days]]&gt;Table1[[#This Row],[SLA_TAT]],"Yes","No")</f>
        <v>Yes</v>
      </c>
      <c r="AA1865" s="4" t="str" cm="1">
        <f t="array" ref="AA1865">_xlfn.IFS(Table1[[#This Row],[Customer_Satisfaction]]&lt;=2,"Poor",Table1[[#This Row],[Customer_Satisfaction]]=3,"Neutral",Table1[[#This Row],[Customer_Satisfaction]]=4,"Good",Table1[[#This Row],[Customer_Satisfaction]]=5,"Good")</f>
        <v>Poor</v>
      </c>
    </row>
    <row r="1866" spans="1:27" x14ac:dyDescent="0.35">
      <c r="A1866">
        <v>21864</v>
      </c>
      <c r="B1866" s="1">
        <v>45465</v>
      </c>
      <c r="C1866" t="s">
        <v>30</v>
      </c>
      <c r="D1866" t="s">
        <v>83</v>
      </c>
      <c r="E1866" t="s">
        <v>95</v>
      </c>
      <c r="F1866" t="s">
        <v>40</v>
      </c>
      <c r="G1866" t="s">
        <v>47</v>
      </c>
      <c r="H1866" t="s">
        <v>48</v>
      </c>
      <c r="I1866" t="s">
        <v>25</v>
      </c>
      <c r="J1866" t="s">
        <v>67</v>
      </c>
      <c r="K1866" t="s">
        <v>44</v>
      </c>
      <c r="L1866" t="s">
        <v>28</v>
      </c>
      <c r="M1866" s="4">
        <v>12</v>
      </c>
      <c r="N1866" s="4">
        <v>7</v>
      </c>
      <c r="O1866" t="s">
        <v>29</v>
      </c>
      <c r="P1866" t="s">
        <v>36</v>
      </c>
      <c r="Q1866" s="4">
        <v>469923</v>
      </c>
      <c r="R1866" s="4">
        <v>351077</v>
      </c>
      <c r="S1866" s="4">
        <f>Table1[[#This Row],[Service_Revenue]]-Table1[[#This Row],[Service_Cost]]</f>
        <v>118846</v>
      </c>
      <c r="T1866" s="4">
        <v>2</v>
      </c>
      <c r="U1866" s="4">
        <f>IF(AND(Table1[[#This Row],[Rework_Flag]]="Yes",Table1[[#This Row],[Warranty_Claim]]="No"),Table1[[#This Row],[Service_Revenue]],0)</f>
        <v>469923</v>
      </c>
      <c r="V1866" s="4">
        <f>IF(Table1[[#This Row],[Warranty_Claim]]="Yes",1,0)</f>
        <v>0</v>
      </c>
      <c r="W1866" s="4">
        <f>IF(Table1[[#This Row],[Rework_Flag]]="No",1,0)</f>
        <v>0</v>
      </c>
      <c r="X1866" s="4">
        <f>IF(Table1[[#This Row],[Rework_Flag]]="Yes",1,0)</f>
        <v>1</v>
      </c>
      <c r="Y1866" s="4">
        <v>1</v>
      </c>
      <c r="Z1866" s="4" t="str">
        <f>IF(Table1[[#This Row],[TAT_Days]]&gt;Table1[[#This Row],[SLA_TAT]],"Yes","No")</f>
        <v>Yes</v>
      </c>
      <c r="AA1866" s="4" t="str" cm="1">
        <f t="array" ref="AA1866">_xlfn.IFS(Table1[[#This Row],[Customer_Satisfaction]]&lt;=2,"Poor",Table1[[#This Row],[Customer_Satisfaction]]=3,"Neutral",Table1[[#This Row],[Customer_Satisfaction]]=4,"Good",Table1[[#This Row],[Customer_Satisfaction]]=5,"Good")</f>
        <v>Poor</v>
      </c>
    </row>
    <row r="1867" spans="1:27" x14ac:dyDescent="0.35">
      <c r="A1867">
        <v>21865</v>
      </c>
      <c r="B1867" s="1">
        <v>45439</v>
      </c>
      <c r="C1867" t="s">
        <v>50</v>
      </c>
      <c r="D1867" t="s">
        <v>56</v>
      </c>
      <c r="E1867" t="s">
        <v>77</v>
      </c>
      <c r="F1867" t="s">
        <v>22</v>
      </c>
      <c r="G1867" t="s">
        <v>74</v>
      </c>
      <c r="H1867" t="s">
        <v>34</v>
      </c>
      <c r="I1867" t="s">
        <v>55</v>
      </c>
      <c r="J1867" t="s">
        <v>43</v>
      </c>
      <c r="K1867" t="s">
        <v>27</v>
      </c>
      <c r="L1867" t="s">
        <v>28</v>
      </c>
      <c r="M1867" s="4">
        <v>4</v>
      </c>
      <c r="N1867" s="4">
        <v>7</v>
      </c>
      <c r="O1867" t="s">
        <v>36</v>
      </c>
      <c r="P1867" t="s">
        <v>29</v>
      </c>
      <c r="Q1867" s="4">
        <v>297858</v>
      </c>
      <c r="R1867" s="4">
        <v>230304</v>
      </c>
      <c r="S1867" s="4">
        <f>Table1[[#This Row],[Service_Revenue]]-Table1[[#This Row],[Service_Cost]]</f>
        <v>67554</v>
      </c>
      <c r="T1867" s="4">
        <v>5</v>
      </c>
      <c r="U1867" s="4">
        <f>IF(AND(Table1[[#This Row],[Rework_Flag]]="Yes",Table1[[#This Row],[Warranty_Claim]]="No"),Table1[[#This Row],[Service_Revenue]],0)</f>
        <v>0</v>
      </c>
      <c r="V1867" s="4">
        <f>IF(Table1[[#This Row],[Warranty_Claim]]="Yes",1,0)</f>
        <v>1</v>
      </c>
      <c r="W1867" s="4">
        <f>IF(Table1[[#This Row],[Rework_Flag]]="No",1,0)</f>
        <v>1</v>
      </c>
      <c r="X1867" s="4">
        <f>IF(Table1[[#This Row],[Rework_Flag]]="Yes",1,0)</f>
        <v>0</v>
      </c>
      <c r="Y1867" s="4">
        <v>1</v>
      </c>
      <c r="Z1867" s="4" t="str">
        <f>IF(Table1[[#This Row],[TAT_Days]]&gt;Table1[[#This Row],[SLA_TAT]],"Yes","No")</f>
        <v>No</v>
      </c>
      <c r="AA1867" s="4" t="str" cm="1">
        <f t="array" ref="AA1867">_xlfn.IFS(Table1[[#This Row],[Customer_Satisfaction]]&lt;=2,"Poor",Table1[[#This Row],[Customer_Satisfaction]]=3,"Neutral",Table1[[#This Row],[Customer_Satisfaction]]=4,"Good",Table1[[#This Row],[Customer_Satisfaction]]=5,"Good")</f>
        <v>Good</v>
      </c>
    </row>
    <row r="1868" spans="1:27" x14ac:dyDescent="0.35">
      <c r="A1868">
        <v>21866</v>
      </c>
      <c r="B1868" s="1">
        <v>45340</v>
      </c>
      <c r="C1868" t="s">
        <v>19</v>
      </c>
      <c r="D1868" t="s">
        <v>20</v>
      </c>
      <c r="E1868" t="s">
        <v>117</v>
      </c>
      <c r="F1868" t="s">
        <v>22</v>
      </c>
      <c r="G1868" t="s">
        <v>63</v>
      </c>
      <c r="H1868" t="s">
        <v>24</v>
      </c>
      <c r="I1868" t="s">
        <v>25</v>
      </c>
      <c r="J1868" t="s">
        <v>35</v>
      </c>
      <c r="K1868" t="s">
        <v>27</v>
      </c>
      <c r="L1868" t="s">
        <v>49</v>
      </c>
      <c r="M1868" s="4">
        <v>3</v>
      </c>
      <c r="N1868" s="4">
        <v>7</v>
      </c>
      <c r="O1868" t="s">
        <v>36</v>
      </c>
      <c r="P1868" t="s">
        <v>36</v>
      </c>
      <c r="Q1868" s="4">
        <v>555800</v>
      </c>
      <c r="R1868" s="4">
        <v>444676</v>
      </c>
      <c r="S1868" s="4">
        <f>Table1[[#This Row],[Service_Revenue]]-Table1[[#This Row],[Service_Cost]]</f>
        <v>111124</v>
      </c>
      <c r="T1868" s="4">
        <v>5</v>
      </c>
      <c r="U1868" s="4">
        <f>IF(AND(Table1[[#This Row],[Rework_Flag]]="Yes",Table1[[#This Row],[Warranty_Claim]]="No"),Table1[[#This Row],[Service_Revenue]],0)</f>
        <v>0</v>
      </c>
      <c r="V1868" s="4">
        <f>IF(Table1[[#This Row],[Warranty_Claim]]="Yes",1,0)</f>
        <v>0</v>
      </c>
      <c r="W1868" s="4">
        <f>IF(Table1[[#This Row],[Rework_Flag]]="No",1,0)</f>
        <v>1</v>
      </c>
      <c r="X1868" s="4">
        <f>IF(Table1[[#This Row],[Rework_Flag]]="Yes",1,0)</f>
        <v>0</v>
      </c>
      <c r="Y1868" s="4">
        <v>1</v>
      </c>
      <c r="Z1868" s="4" t="str">
        <f>IF(Table1[[#This Row],[TAT_Days]]&gt;Table1[[#This Row],[SLA_TAT]],"Yes","No")</f>
        <v>No</v>
      </c>
      <c r="AA1868" s="4" t="str" cm="1">
        <f t="array" ref="AA1868">_xlfn.IFS(Table1[[#This Row],[Customer_Satisfaction]]&lt;=2,"Poor",Table1[[#This Row],[Customer_Satisfaction]]=3,"Neutral",Table1[[#This Row],[Customer_Satisfaction]]=4,"Good",Table1[[#This Row],[Customer_Satisfaction]]=5,"Good")</f>
        <v>Good</v>
      </c>
    </row>
    <row r="1869" spans="1:27" x14ac:dyDescent="0.35">
      <c r="A1869">
        <v>21867</v>
      </c>
      <c r="B1869" s="1">
        <v>45371</v>
      </c>
      <c r="C1869" t="s">
        <v>30</v>
      </c>
      <c r="D1869" t="s">
        <v>59</v>
      </c>
      <c r="E1869" t="s">
        <v>94</v>
      </c>
      <c r="F1869" t="s">
        <v>40</v>
      </c>
      <c r="G1869" t="s">
        <v>54</v>
      </c>
      <c r="H1869" t="s">
        <v>42</v>
      </c>
      <c r="I1869" t="s">
        <v>25</v>
      </c>
      <c r="J1869" t="s">
        <v>35</v>
      </c>
      <c r="K1869" t="s">
        <v>61</v>
      </c>
      <c r="L1869" t="s">
        <v>28</v>
      </c>
      <c r="M1869" s="4">
        <v>23</v>
      </c>
      <c r="N1869" s="4">
        <v>7</v>
      </c>
      <c r="O1869" t="s">
        <v>36</v>
      </c>
      <c r="P1869" t="s">
        <v>36</v>
      </c>
      <c r="Q1869" s="4">
        <v>92395</v>
      </c>
      <c r="R1869" s="4">
        <v>60444</v>
      </c>
      <c r="S1869" s="4">
        <f>Table1[[#This Row],[Service_Revenue]]-Table1[[#This Row],[Service_Cost]]</f>
        <v>31951</v>
      </c>
      <c r="T1869" s="4">
        <v>1</v>
      </c>
      <c r="U1869" s="4">
        <f>IF(AND(Table1[[#This Row],[Rework_Flag]]="Yes",Table1[[#This Row],[Warranty_Claim]]="No"),Table1[[#This Row],[Service_Revenue]],0)</f>
        <v>0</v>
      </c>
      <c r="V1869" s="4">
        <f>IF(Table1[[#This Row],[Warranty_Claim]]="Yes",1,0)</f>
        <v>0</v>
      </c>
      <c r="W1869" s="4">
        <f>IF(Table1[[#This Row],[Rework_Flag]]="No",1,0)</f>
        <v>1</v>
      </c>
      <c r="X1869" s="4">
        <f>IF(Table1[[#This Row],[Rework_Flag]]="Yes",1,0)</f>
        <v>0</v>
      </c>
      <c r="Y1869" s="4">
        <v>1</v>
      </c>
      <c r="Z1869" s="4" t="str">
        <f>IF(Table1[[#This Row],[TAT_Days]]&gt;Table1[[#This Row],[SLA_TAT]],"Yes","No")</f>
        <v>Yes</v>
      </c>
      <c r="AA1869" s="4" t="str" cm="1">
        <f t="array" ref="AA1869">_xlfn.IFS(Table1[[#This Row],[Customer_Satisfaction]]&lt;=2,"Poor",Table1[[#This Row],[Customer_Satisfaction]]=3,"Neutral",Table1[[#This Row],[Customer_Satisfaction]]=4,"Good",Table1[[#This Row],[Customer_Satisfaction]]=5,"Good")</f>
        <v>Poor</v>
      </c>
    </row>
    <row r="1870" spans="1:27" x14ac:dyDescent="0.35">
      <c r="A1870">
        <v>21868</v>
      </c>
      <c r="B1870" s="1">
        <v>45431</v>
      </c>
      <c r="C1870" t="s">
        <v>50</v>
      </c>
      <c r="D1870" t="s">
        <v>51</v>
      </c>
      <c r="E1870" t="s">
        <v>52</v>
      </c>
      <c r="F1870" t="s">
        <v>53</v>
      </c>
      <c r="G1870" t="s">
        <v>54</v>
      </c>
      <c r="H1870" t="s">
        <v>42</v>
      </c>
      <c r="I1870" t="s">
        <v>55</v>
      </c>
      <c r="J1870" t="s">
        <v>58</v>
      </c>
      <c r="K1870" t="s">
        <v>61</v>
      </c>
      <c r="L1870" t="s">
        <v>28</v>
      </c>
      <c r="M1870" s="4">
        <v>3</v>
      </c>
      <c r="N1870" s="4">
        <v>7</v>
      </c>
      <c r="O1870" t="s">
        <v>36</v>
      </c>
      <c r="P1870" t="s">
        <v>36</v>
      </c>
      <c r="Q1870" s="4">
        <v>459308</v>
      </c>
      <c r="R1870" s="4">
        <v>358525</v>
      </c>
      <c r="S1870" s="4">
        <f>Table1[[#This Row],[Service_Revenue]]-Table1[[#This Row],[Service_Cost]]</f>
        <v>100783</v>
      </c>
      <c r="T1870" s="4">
        <v>5</v>
      </c>
      <c r="U1870" s="4">
        <f>IF(AND(Table1[[#This Row],[Rework_Flag]]="Yes",Table1[[#This Row],[Warranty_Claim]]="No"),Table1[[#This Row],[Service_Revenue]],0)</f>
        <v>0</v>
      </c>
      <c r="V1870" s="4">
        <f>IF(Table1[[#This Row],[Warranty_Claim]]="Yes",1,0)</f>
        <v>0</v>
      </c>
      <c r="W1870" s="4">
        <f>IF(Table1[[#This Row],[Rework_Flag]]="No",1,0)</f>
        <v>1</v>
      </c>
      <c r="X1870" s="4">
        <f>IF(Table1[[#This Row],[Rework_Flag]]="Yes",1,0)</f>
        <v>0</v>
      </c>
      <c r="Y1870" s="4">
        <v>1</v>
      </c>
      <c r="Z1870" s="4" t="str">
        <f>IF(Table1[[#This Row],[TAT_Days]]&gt;Table1[[#This Row],[SLA_TAT]],"Yes","No")</f>
        <v>No</v>
      </c>
      <c r="AA1870" s="4" t="str" cm="1">
        <f t="array" ref="AA1870">_xlfn.IFS(Table1[[#This Row],[Customer_Satisfaction]]&lt;=2,"Poor",Table1[[#This Row],[Customer_Satisfaction]]=3,"Neutral",Table1[[#This Row],[Customer_Satisfaction]]=4,"Good",Table1[[#This Row],[Customer_Satisfaction]]=5,"Good")</f>
        <v>Good</v>
      </c>
    </row>
    <row r="1871" spans="1:27" x14ac:dyDescent="0.35">
      <c r="A1871">
        <v>21869</v>
      </c>
      <c r="B1871" s="1">
        <v>45373</v>
      </c>
      <c r="C1871" t="s">
        <v>30</v>
      </c>
      <c r="D1871" t="s">
        <v>59</v>
      </c>
      <c r="E1871" t="s">
        <v>66</v>
      </c>
      <c r="F1871" t="s">
        <v>53</v>
      </c>
      <c r="G1871" t="s">
        <v>33</v>
      </c>
      <c r="H1871" t="s">
        <v>34</v>
      </c>
      <c r="I1871" t="s">
        <v>25</v>
      </c>
      <c r="J1871" t="s">
        <v>58</v>
      </c>
      <c r="K1871" t="s">
        <v>44</v>
      </c>
      <c r="L1871" t="s">
        <v>28</v>
      </c>
      <c r="M1871" s="4">
        <v>3</v>
      </c>
      <c r="N1871" s="4">
        <v>7</v>
      </c>
      <c r="O1871" t="s">
        <v>36</v>
      </c>
      <c r="P1871" t="s">
        <v>36</v>
      </c>
      <c r="Q1871" s="4">
        <v>274271</v>
      </c>
      <c r="R1871" s="4">
        <v>185011</v>
      </c>
      <c r="S1871" s="4">
        <f>Table1[[#This Row],[Service_Revenue]]-Table1[[#This Row],[Service_Cost]]</f>
        <v>89260</v>
      </c>
      <c r="T1871" s="4">
        <v>5</v>
      </c>
      <c r="U1871" s="4">
        <f>IF(AND(Table1[[#This Row],[Rework_Flag]]="Yes",Table1[[#This Row],[Warranty_Claim]]="No"),Table1[[#This Row],[Service_Revenue]],0)</f>
        <v>0</v>
      </c>
      <c r="V1871" s="4">
        <f>IF(Table1[[#This Row],[Warranty_Claim]]="Yes",1,0)</f>
        <v>0</v>
      </c>
      <c r="W1871" s="4">
        <f>IF(Table1[[#This Row],[Rework_Flag]]="No",1,0)</f>
        <v>1</v>
      </c>
      <c r="X1871" s="4">
        <f>IF(Table1[[#This Row],[Rework_Flag]]="Yes",1,0)</f>
        <v>0</v>
      </c>
      <c r="Y1871" s="4">
        <v>1</v>
      </c>
      <c r="Z1871" s="4" t="str">
        <f>IF(Table1[[#This Row],[TAT_Days]]&gt;Table1[[#This Row],[SLA_TAT]],"Yes","No")</f>
        <v>No</v>
      </c>
      <c r="AA1871" s="4" t="str" cm="1">
        <f t="array" ref="AA1871">_xlfn.IFS(Table1[[#This Row],[Customer_Satisfaction]]&lt;=2,"Poor",Table1[[#This Row],[Customer_Satisfaction]]=3,"Neutral",Table1[[#This Row],[Customer_Satisfaction]]=4,"Good",Table1[[#This Row],[Customer_Satisfaction]]=5,"Good")</f>
        <v>Good</v>
      </c>
    </row>
    <row r="1872" spans="1:27" x14ac:dyDescent="0.35">
      <c r="A1872">
        <v>21870</v>
      </c>
      <c r="B1872" s="1">
        <v>45465</v>
      </c>
      <c r="C1872" t="s">
        <v>50</v>
      </c>
      <c r="D1872" t="s">
        <v>56</v>
      </c>
      <c r="E1872" t="s">
        <v>88</v>
      </c>
      <c r="F1872" t="s">
        <v>53</v>
      </c>
      <c r="G1872" t="s">
        <v>54</v>
      </c>
      <c r="H1872" t="s">
        <v>42</v>
      </c>
      <c r="I1872" t="s">
        <v>55</v>
      </c>
      <c r="J1872" t="s">
        <v>43</v>
      </c>
      <c r="K1872" t="s">
        <v>61</v>
      </c>
      <c r="L1872" t="s">
        <v>28</v>
      </c>
      <c r="M1872" s="4">
        <v>16</v>
      </c>
      <c r="N1872" s="4">
        <v>7</v>
      </c>
      <c r="O1872" t="s">
        <v>36</v>
      </c>
      <c r="P1872" t="s">
        <v>36</v>
      </c>
      <c r="Q1872" s="4">
        <v>576528</v>
      </c>
      <c r="R1872" s="4">
        <v>359914</v>
      </c>
      <c r="S1872" s="4">
        <f>Table1[[#This Row],[Service_Revenue]]-Table1[[#This Row],[Service_Cost]]</f>
        <v>216614</v>
      </c>
      <c r="T1872" s="4">
        <v>2</v>
      </c>
      <c r="U1872" s="4">
        <f>IF(AND(Table1[[#This Row],[Rework_Flag]]="Yes",Table1[[#This Row],[Warranty_Claim]]="No"),Table1[[#This Row],[Service_Revenue]],0)</f>
        <v>0</v>
      </c>
      <c r="V1872" s="4">
        <f>IF(Table1[[#This Row],[Warranty_Claim]]="Yes",1,0)</f>
        <v>0</v>
      </c>
      <c r="W1872" s="4">
        <f>IF(Table1[[#This Row],[Rework_Flag]]="No",1,0)</f>
        <v>1</v>
      </c>
      <c r="X1872" s="4">
        <f>IF(Table1[[#This Row],[Rework_Flag]]="Yes",1,0)</f>
        <v>0</v>
      </c>
      <c r="Y1872" s="4">
        <v>1</v>
      </c>
      <c r="Z1872" s="4" t="str">
        <f>IF(Table1[[#This Row],[TAT_Days]]&gt;Table1[[#This Row],[SLA_TAT]],"Yes","No")</f>
        <v>Yes</v>
      </c>
      <c r="AA1872" s="4" t="str" cm="1">
        <f t="array" ref="AA1872">_xlfn.IFS(Table1[[#This Row],[Customer_Satisfaction]]&lt;=2,"Poor",Table1[[#This Row],[Customer_Satisfaction]]=3,"Neutral",Table1[[#This Row],[Customer_Satisfaction]]=4,"Good",Table1[[#This Row],[Customer_Satisfaction]]=5,"Good")</f>
        <v>Poor</v>
      </c>
    </row>
    <row r="1873" spans="1:27" x14ac:dyDescent="0.35">
      <c r="A1873">
        <v>21871</v>
      </c>
      <c r="B1873" s="1">
        <v>45463</v>
      </c>
      <c r="C1873" t="s">
        <v>37</v>
      </c>
      <c r="D1873" t="s">
        <v>64</v>
      </c>
      <c r="E1873" t="s">
        <v>72</v>
      </c>
      <c r="F1873" t="s">
        <v>53</v>
      </c>
      <c r="G1873" t="s">
        <v>41</v>
      </c>
      <c r="H1873" t="s">
        <v>42</v>
      </c>
      <c r="I1873" t="s">
        <v>55</v>
      </c>
      <c r="J1873" t="s">
        <v>67</v>
      </c>
      <c r="K1873" t="s">
        <v>61</v>
      </c>
      <c r="L1873" t="s">
        <v>49</v>
      </c>
      <c r="M1873" s="4">
        <v>6</v>
      </c>
      <c r="N1873" s="4">
        <v>7</v>
      </c>
      <c r="O1873" t="s">
        <v>29</v>
      </c>
      <c r="P1873" t="s">
        <v>36</v>
      </c>
      <c r="Q1873" s="4">
        <v>140119</v>
      </c>
      <c r="R1873" s="4">
        <v>114927</v>
      </c>
      <c r="S1873" s="4">
        <f>Table1[[#This Row],[Service_Revenue]]-Table1[[#This Row],[Service_Cost]]</f>
        <v>25192</v>
      </c>
      <c r="T1873" s="4">
        <v>3</v>
      </c>
      <c r="U1873" s="4">
        <f>IF(AND(Table1[[#This Row],[Rework_Flag]]="Yes",Table1[[#This Row],[Warranty_Claim]]="No"),Table1[[#This Row],[Service_Revenue]],0)</f>
        <v>140119</v>
      </c>
      <c r="V1873" s="4">
        <f>IF(Table1[[#This Row],[Warranty_Claim]]="Yes",1,0)</f>
        <v>0</v>
      </c>
      <c r="W1873" s="4">
        <f>IF(Table1[[#This Row],[Rework_Flag]]="No",1,0)</f>
        <v>0</v>
      </c>
      <c r="X1873" s="4">
        <f>IF(Table1[[#This Row],[Rework_Flag]]="Yes",1,0)</f>
        <v>1</v>
      </c>
      <c r="Y1873" s="4">
        <v>1</v>
      </c>
      <c r="Z1873" s="4" t="str">
        <f>IF(Table1[[#This Row],[TAT_Days]]&gt;Table1[[#This Row],[SLA_TAT]],"Yes","No")</f>
        <v>No</v>
      </c>
      <c r="AA1873" s="4" t="str" cm="1">
        <f t="array" ref="AA1873">_xlfn.IFS(Table1[[#This Row],[Customer_Satisfaction]]&lt;=2,"Poor",Table1[[#This Row],[Customer_Satisfaction]]=3,"Neutral",Table1[[#This Row],[Customer_Satisfaction]]=4,"Good",Table1[[#This Row],[Customer_Satisfaction]]=5,"Good")</f>
        <v>Neutral</v>
      </c>
    </row>
    <row r="1874" spans="1:27" x14ac:dyDescent="0.35">
      <c r="A1874">
        <v>21872</v>
      </c>
      <c r="B1874" s="1">
        <v>45420</v>
      </c>
      <c r="C1874" t="s">
        <v>30</v>
      </c>
      <c r="D1874" t="s">
        <v>31</v>
      </c>
      <c r="E1874" t="s">
        <v>62</v>
      </c>
      <c r="F1874" t="s">
        <v>53</v>
      </c>
      <c r="G1874" t="s">
        <v>33</v>
      </c>
      <c r="H1874" t="s">
        <v>34</v>
      </c>
      <c r="I1874" t="s">
        <v>25</v>
      </c>
      <c r="J1874" t="s">
        <v>35</v>
      </c>
      <c r="K1874" t="s">
        <v>44</v>
      </c>
      <c r="L1874" t="s">
        <v>49</v>
      </c>
      <c r="M1874" s="4">
        <v>15</v>
      </c>
      <c r="N1874" s="4">
        <v>7</v>
      </c>
      <c r="O1874" t="s">
        <v>36</v>
      </c>
      <c r="P1874" t="s">
        <v>36</v>
      </c>
      <c r="Q1874" s="4">
        <v>332996</v>
      </c>
      <c r="R1874" s="4">
        <v>257566</v>
      </c>
      <c r="S1874" s="4">
        <f>Table1[[#This Row],[Service_Revenue]]-Table1[[#This Row],[Service_Cost]]</f>
        <v>75430</v>
      </c>
      <c r="T1874" s="4">
        <v>2</v>
      </c>
      <c r="U1874" s="4">
        <f>IF(AND(Table1[[#This Row],[Rework_Flag]]="Yes",Table1[[#This Row],[Warranty_Claim]]="No"),Table1[[#This Row],[Service_Revenue]],0)</f>
        <v>0</v>
      </c>
      <c r="V1874" s="4">
        <f>IF(Table1[[#This Row],[Warranty_Claim]]="Yes",1,0)</f>
        <v>0</v>
      </c>
      <c r="W1874" s="4">
        <f>IF(Table1[[#This Row],[Rework_Flag]]="No",1,0)</f>
        <v>1</v>
      </c>
      <c r="X1874" s="4">
        <f>IF(Table1[[#This Row],[Rework_Flag]]="Yes",1,0)</f>
        <v>0</v>
      </c>
      <c r="Y1874" s="4">
        <v>1</v>
      </c>
      <c r="Z1874" s="4" t="str">
        <f>IF(Table1[[#This Row],[TAT_Days]]&gt;Table1[[#This Row],[SLA_TAT]],"Yes","No")</f>
        <v>Yes</v>
      </c>
      <c r="AA1874" s="4" t="str" cm="1">
        <f t="array" ref="AA1874">_xlfn.IFS(Table1[[#This Row],[Customer_Satisfaction]]&lt;=2,"Poor",Table1[[#This Row],[Customer_Satisfaction]]=3,"Neutral",Table1[[#This Row],[Customer_Satisfaction]]=4,"Good",Table1[[#This Row],[Customer_Satisfaction]]=5,"Good")</f>
        <v>Poor</v>
      </c>
    </row>
    <row r="1875" spans="1:27" x14ac:dyDescent="0.35">
      <c r="A1875">
        <v>21873</v>
      </c>
      <c r="B1875" s="1">
        <v>45347</v>
      </c>
      <c r="C1875" t="s">
        <v>19</v>
      </c>
      <c r="D1875" t="s">
        <v>20</v>
      </c>
      <c r="E1875" t="s">
        <v>89</v>
      </c>
      <c r="F1875" t="s">
        <v>22</v>
      </c>
      <c r="G1875" t="s">
        <v>41</v>
      </c>
      <c r="H1875" t="s">
        <v>42</v>
      </c>
      <c r="I1875" t="s">
        <v>55</v>
      </c>
      <c r="J1875" t="s">
        <v>67</v>
      </c>
      <c r="K1875" t="s">
        <v>61</v>
      </c>
      <c r="L1875" t="s">
        <v>28</v>
      </c>
      <c r="M1875" s="4">
        <v>3</v>
      </c>
      <c r="N1875" s="4">
        <v>7</v>
      </c>
      <c r="O1875" t="s">
        <v>29</v>
      </c>
      <c r="P1875" t="s">
        <v>36</v>
      </c>
      <c r="Q1875" s="4">
        <v>361701</v>
      </c>
      <c r="R1875" s="4">
        <v>182554</v>
      </c>
      <c r="S1875" s="4">
        <f>Table1[[#This Row],[Service_Revenue]]-Table1[[#This Row],[Service_Cost]]</f>
        <v>179147</v>
      </c>
      <c r="T1875" s="4">
        <v>4</v>
      </c>
      <c r="U1875" s="4">
        <f>IF(AND(Table1[[#This Row],[Rework_Flag]]="Yes",Table1[[#This Row],[Warranty_Claim]]="No"),Table1[[#This Row],[Service_Revenue]],0)</f>
        <v>361701</v>
      </c>
      <c r="V1875" s="4">
        <f>IF(Table1[[#This Row],[Warranty_Claim]]="Yes",1,0)</f>
        <v>0</v>
      </c>
      <c r="W1875" s="4">
        <f>IF(Table1[[#This Row],[Rework_Flag]]="No",1,0)</f>
        <v>0</v>
      </c>
      <c r="X1875" s="4">
        <f>IF(Table1[[#This Row],[Rework_Flag]]="Yes",1,0)</f>
        <v>1</v>
      </c>
      <c r="Y1875" s="4">
        <v>1</v>
      </c>
      <c r="Z1875" s="4" t="str">
        <f>IF(Table1[[#This Row],[TAT_Days]]&gt;Table1[[#This Row],[SLA_TAT]],"Yes","No")</f>
        <v>No</v>
      </c>
      <c r="AA1875" s="4" t="str" cm="1">
        <f t="array" ref="AA1875">_xlfn.IFS(Table1[[#This Row],[Customer_Satisfaction]]&lt;=2,"Poor",Table1[[#This Row],[Customer_Satisfaction]]=3,"Neutral",Table1[[#This Row],[Customer_Satisfaction]]=4,"Good",Table1[[#This Row],[Customer_Satisfaction]]=5,"Good")</f>
        <v>Good</v>
      </c>
    </row>
    <row r="1876" spans="1:27" x14ac:dyDescent="0.35">
      <c r="A1876">
        <v>21874</v>
      </c>
      <c r="B1876" s="1">
        <v>45310</v>
      </c>
      <c r="C1876" t="s">
        <v>50</v>
      </c>
      <c r="D1876" t="s">
        <v>80</v>
      </c>
      <c r="E1876" t="s">
        <v>104</v>
      </c>
      <c r="F1876" t="s">
        <v>40</v>
      </c>
      <c r="G1876" t="s">
        <v>33</v>
      </c>
      <c r="H1876" t="s">
        <v>34</v>
      </c>
      <c r="I1876" t="s">
        <v>25</v>
      </c>
      <c r="J1876" t="s">
        <v>43</v>
      </c>
      <c r="K1876" t="s">
        <v>61</v>
      </c>
      <c r="L1876" t="s">
        <v>28</v>
      </c>
      <c r="M1876" s="4">
        <v>22</v>
      </c>
      <c r="N1876" s="4">
        <v>7</v>
      </c>
      <c r="O1876" t="s">
        <v>29</v>
      </c>
      <c r="P1876" t="s">
        <v>29</v>
      </c>
      <c r="Q1876" s="4">
        <v>530892</v>
      </c>
      <c r="R1876" s="4">
        <v>383680</v>
      </c>
      <c r="S1876" s="4">
        <f>Table1[[#This Row],[Service_Revenue]]-Table1[[#This Row],[Service_Cost]]</f>
        <v>147212</v>
      </c>
      <c r="T1876" s="4">
        <v>1</v>
      </c>
      <c r="U1876" s="4">
        <f>IF(AND(Table1[[#This Row],[Rework_Flag]]="Yes",Table1[[#This Row],[Warranty_Claim]]="No"),Table1[[#This Row],[Service_Revenue]],0)</f>
        <v>0</v>
      </c>
      <c r="V1876" s="4">
        <f>IF(Table1[[#This Row],[Warranty_Claim]]="Yes",1,0)</f>
        <v>1</v>
      </c>
      <c r="W1876" s="4">
        <f>IF(Table1[[#This Row],[Rework_Flag]]="No",1,0)</f>
        <v>0</v>
      </c>
      <c r="X1876" s="4">
        <f>IF(Table1[[#This Row],[Rework_Flag]]="Yes",1,0)</f>
        <v>1</v>
      </c>
      <c r="Y1876" s="4">
        <v>1</v>
      </c>
      <c r="Z1876" s="4" t="str">
        <f>IF(Table1[[#This Row],[TAT_Days]]&gt;Table1[[#This Row],[SLA_TAT]],"Yes","No")</f>
        <v>Yes</v>
      </c>
      <c r="AA1876" s="4" t="str" cm="1">
        <f t="array" ref="AA1876">_xlfn.IFS(Table1[[#This Row],[Customer_Satisfaction]]&lt;=2,"Poor",Table1[[#This Row],[Customer_Satisfaction]]=3,"Neutral",Table1[[#This Row],[Customer_Satisfaction]]=4,"Good",Table1[[#This Row],[Customer_Satisfaction]]=5,"Good")</f>
        <v>Poor</v>
      </c>
    </row>
    <row r="1877" spans="1:27" x14ac:dyDescent="0.35">
      <c r="A1877">
        <v>21875</v>
      </c>
      <c r="B1877" s="1">
        <v>45428</v>
      </c>
      <c r="C1877" t="s">
        <v>37</v>
      </c>
      <c r="D1877" t="s">
        <v>38</v>
      </c>
      <c r="E1877" t="s">
        <v>112</v>
      </c>
      <c r="F1877" t="s">
        <v>40</v>
      </c>
      <c r="G1877" t="s">
        <v>54</v>
      </c>
      <c r="H1877" t="s">
        <v>42</v>
      </c>
      <c r="I1877" t="s">
        <v>55</v>
      </c>
      <c r="J1877" t="s">
        <v>35</v>
      </c>
      <c r="K1877" t="s">
        <v>44</v>
      </c>
      <c r="L1877" t="s">
        <v>28</v>
      </c>
      <c r="M1877" s="4">
        <v>12</v>
      </c>
      <c r="N1877" s="4">
        <v>7</v>
      </c>
      <c r="O1877" t="s">
        <v>36</v>
      </c>
      <c r="P1877" t="s">
        <v>36</v>
      </c>
      <c r="Q1877" s="4">
        <v>260446</v>
      </c>
      <c r="R1877" s="4">
        <v>144362</v>
      </c>
      <c r="S1877" s="4">
        <f>Table1[[#This Row],[Service_Revenue]]-Table1[[#This Row],[Service_Cost]]</f>
        <v>116084</v>
      </c>
      <c r="T1877" s="4">
        <v>3</v>
      </c>
      <c r="U1877" s="4">
        <f>IF(AND(Table1[[#This Row],[Rework_Flag]]="Yes",Table1[[#This Row],[Warranty_Claim]]="No"),Table1[[#This Row],[Service_Revenue]],0)</f>
        <v>0</v>
      </c>
      <c r="V1877" s="4">
        <f>IF(Table1[[#This Row],[Warranty_Claim]]="Yes",1,0)</f>
        <v>0</v>
      </c>
      <c r="W1877" s="4">
        <f>IF(Table1[[#This Row],[Rework_Flag]]="No",1,0)</f>
        <v>1</v>
      </c>
      <c r="X1877" s="4">
        <f>IF(Table1[[#This Row],[Rework_Flag]]="Yes",1,0)</f>
        <v>0</v>
      </c>
      <c r="Y1877" s="4">
        <v>1</v>
      </c>
      <c r="Z1877" s="4" t="str">
        <f>IF(Table1[[#This Row],[TAT_Days]]&gt;Table1[[#This Row],[SLA_TAT]],"Yes","No")</f>
        <v>Yes</v>
      </c>
      <c r="AA1877" s="4" t="str" cm="1">
        <f t="array" ref="AA1877">_xlfn.IFS(Table1[[#This Row],[Customer_Satisfaction]]&lt;=2,"Poor",Table1[[#This Row],[Customer_Satisfaction]]=3,"Neutral",Table1[[#This Row],[Customer_Satisfaction]]=4,"Good",Table1[[#This Row],[Customer_Satisfaction]]=5,"Good")</f>
        <v>Neutral</v>
      </c>
    </row>
    <row r="1878" spans="1:27" x14ac:dyDescent="0.35">
      <c r="A1878">
        <v>21876</v>
      </c>
      <c r="B1878" s="1">
        <v>45339</v>
      </c>
      <c r="C1878" t="s">
        <v>30</v>
      </c>
      <c r="D1878" t="s">
        <v>31</v>
      </c>
      <c r="E1878" t="s">
        <v>122</v>
      </c>
      <c r="F1878" t="s">
        <v>22</v>
      </c>
      <c r="G1878" t="s">
        <v>54</v>
      </c>
      <c r="H1878" t="s">
        <v>42</v>
      </c>
      <c r="I1878" t="s">
        <v>55</v>
      </c>
      <c r="J1878" t="s">
        <v>35</v>
      </c>
      <c r="K1878" t="s">
        <v>61</v>
      </c>
      <c r="L1878" t="s">
        <v>28</v>
      </c>
      <c r="M1878" s="4">
        <v>4</v>
      </c>
      <c r="N1878" s="4">
        <v>7</v>
      </c>
      <c r="O1878" t="s">
        <v>36</v>
      </c>
      <c r="P1878" t="s">
        <v>36</v>
      </c>
      <c r="Q1878" s="4">
        <v>143912</v>
      </c>
      <c r="R1878" s="4">
        <v>105945</v>
      </c>
      <c r="S1878" s="4">
        <f>Table1[[#This Row],[Service_Revenue]]-Table1[[#This Row],[Service_Cost]]</f>
        <v>37967</v>
      </c>
      <c r="T1878" s="4">
        <v>5</v>
      </c>
      <c r="U1878" s="4">
        <f>IF(AND(Table1[[#This Row],[Rework_Flag]]="Yes",Table1[[#This Row],[Warranty_Claim]]="No"),Table1[[#This Row],[Service_Revenue]],0)</f>
        <v>0</v>
      </c>
      <c r="V1878" s="4">
        <f>IF(Table1[[#This Row],[Warranty_Claim]]="Yes",1,0)</f>
        <v>0</v>
      </c>
      <c r="W1878" s="4">
        <f>IF(Table1[[#This Row],[Rework_Flag]]="No",1,0)</f>
        <v>1</v>
      </c>
      <c r="X1878" s="4">
        <f>IF(Table1[[#This Row],[Rework_Flag]]="Yes",1,0)</f>
        <v>0</v>
      </c>
      <c r="Y1878" s="4">
        <v>1</v>
      </c>
      <c r="Z1878" s="4" t="str">
        <f>IF(Table1[[#This Row],[TAT_Days]]&gt;Table1[[#This Row],[SLA_TAT]],"Yes","No")</f>
        <v>No</v>
      </c>
      <c r="AA1878" s="4" t="str" cm="1">
        <f t="array" ref="AA1878">_xlfn.IFS(Table1[[#This Row],[Customer_Satisfaction]]&lt;=2,"Poor",Table1[[#This Row],[Customer_Satisfaction]]=3,"Neutral",Table1[[#This Row],[Customer_Satisfaction]]=4,"Good",Table1[[#This Row],[Customer_Satisfaction]]=5,"Good")</f>
        <v>Good</v>
      </c>
    </row>
    <row r="1879" spans="1:27" x14ac:dyDescent="0.35">
      <c r="A1879">
        <v>21877</v>
      </c>
      <c r="B1879" s="1">
        <v>45368</v>
      </c>
      <c r="C1879" t="s">
        <v>37</v>
      </c>
      <c r="D1879" t="s">
        <v>64</v>
      </c>
      <c r="E1879" t="s">
        <v>87</v>
      </c>
      <c r="F1879" t="s">
        <v>53</v>
      </c>
      <c r="G1879" t="s">
        <v>74</v>
      </c>
      <c r="H1879" t="s">
        <v>34</v>
      </c>
      <c r="I1879" t="s">
        <v>25</v>
      </c>
      <c r="J1879" t="s">
        <v>43</v>
      </c>
      <c r="K1879" t="s">
        <v>27</v>
      </c>
      <c r="L1879" t="s">
        <v>28</v>
      </c>
      <c r="M1879" s="4">
        <v>18</v>
      </c>
      <c r="N1879" s="4">
        <v>7</v>
      </c>
      <c r="O1879" t="s">
        <v>29</v>
      </c>
      <c r="P1879" t="s">
        <v>29</v>
      </c>
      <c r="Q1879" s="4">
        <v>447019</v>
      </c>
      <c r="R1879" s="4">
        <v>329938</v>
      </c>
      <c r="S1879" s="4">
        <f>Table1[[#This Row],[Service_Revenue]]-Table1[[#This Row],[Service_Cost]]</f>
        <v>117081</v>
      </c>
      <c r="T1879" s="4">
        <v>1</v>
      </c>
      <c r="U1879" s="4">
        <f>IF(AND(Table1[[#This Row],[Rework_Flag]]="Yes",Table1[[#This Row],[Warranty_Claim]]="No"),Table1[[#This Row],[Service_Revenue]],0)</f>
        <v>0</v>
      </c>
      <c r="V1879" s="4">
        <f>IF(Table1[[#This Row],[Warranty_Claim]]="Yes",1,0)</f>
        <v>1</v>
      </c>
      <c r="W1879" s="4">
        <f>IF(Table1[[#This Row],[Rework_Flag]]="No",1,0)</f>
        <v>0</v>
      </c>
      <c r="X1879" s="4">
        <f>IF(Table1[[#This Row],[Rework_Flag]]="Yes",1,0)</f>
        <v>1</v>
      </c>
      <c r="Y1879" s="4">
        <v>1</v>
      </c>
      <c r="Z1879" s="4" t="str">
        <f>IF(Table1[[#This Row],[TAT_Days]]&gt;Table1[[#This Row],[SLA_TAT]],"Yes","No")</f>
        <v>Yes</v>
      </c>
      <c r="AA1879" s="4" t="str" cm="1">
        <f t="array" ref="AA1879">_xlfn.IFS(Table1[[#This Row],[Customer_Satisfaction]]&lt;=2,"Poor",Table1[[#This Row],[Customer_Satisfaction]]=3,"Neutral",Table1[[#This Row],[Customer_Satisfaction]]=4,"Good",Table1[[#This Row],[Customer_Satisfaction]]=5,"Good")</f>
        <v>Poor</v>
      </c>
    </row>
    <row r="1880" spans="1:27" x14ac:dyDescent="0.35">
      <c r="A1880">
        <v>21878</v>
      </c>
      <c r="B1880" s="1">
        <v>45365</v>
      </c>
      <c r="C1880" t="s">
        <v>19</v>
      </c>
      <c r="D1880" t="s">
        <v>20</v>
      </c>
      <c r="E1880" t="s">
        <v>89</v>
      </c>
      <c r="F1880" t="s">
        <v>22</v>
      </c>
      <c r="G1880" t="s">
        <v>41</v>
      </c>
      <c r="H1880" t="s">
        <v>42</v>
      </c>
      <c r="I1880" t="s">
        <v>25</v>
      </c>
      <c r="J1880" t="s">
        <v>43</v>
      </c>
      <c r="K1880" t="s">
        <v>27</v>
      </c>
      <c r="L1880" t="s">
        <v>28</v>
      </c>
      <c r="M1880" s="4">
        <v>15</v>
      </c>
      <c r="N1880" s="4">
        <v>7</v>
      </c>
      <c r="O1880" t="s">
        <v>29</v>
      </c>
      <c r="P1880" t="s">
        <v>36</v>
      </c>
      <c r="Q1880" s="4">
        <v>558101</v>
      </c>
      <c r="R1880" s="4">
        <v>440349</v>
      </c>
      <c r="S1880" s="4">
        <f>Table1[[#This Row],[Service_Revenue]]-Table1[[#This Row],[Service_Cost]]</f>
        <v>117752</v>
      </c>
      <c r="T1880" s="4">
        <v>1</v>
      </c>
      <c r="U1880" s="4">
        <f>IF(AND(Table1[[#This Row],[Rework_Flag]]="Yes",Table1[[#This Row],[Warranty_Claim]]="No"),Table1[[#This Row],[Service_Revenue]],0)</f>
        <v>558101</v>
      </c>
      <c r="V1880" s="4">
        <f>IF(Table1[[#This Row],[Warranty_Claim]]="Yes",1,0)</f>
        <v>0</v>
      </c>
      <c r="W1880" s="4">
        <f>IF(Table1[[#This Row],[Rework_Flag]]="No",1,0)</f>
        <v>0</v>
      </c>
      <c r="X1880" s="4">
        <f>IF(Table1[[#This Row],[Rework_Flag]]="Yes",1,0)</f>
        <v>1</v>
      </c>
      <c r="Y1880" s="4">
        <v>1</v>
      </c>
      <c r="Z1880" s="4" t="str">
        <f>IF(Table1[[#This Row],[TAT_Days]]&gt;Table1[[#This Row],[SLA_TAT]],"Yes","No")</f>
        <v>Yes</v>
      </c>
      <c r="AA1880" s="4" t="str" cm="1">
        <f t="array" ref="AA1880">_xlfn.IFS(Table1[[#This Row],[Customer_Satisfaction]]&lt;=2,"Poor",Table1[[#This Row],[Customer_Satisfaction]]=3,"Neutral",Table1[[#This Row],[Customer_Satisfaction]]=4,"Good",Table1[[#This Row],[Customer_Satisfaction]]=5,"Good")</f>
        <v>Poor</v>
      </c>
    </row>
    <row r="1881" spans="1:27" x14ac:dyDescent="0.35">
      <c r="A1881">
        <v>21879</v>
      </c>
      <c r="B1881" s="1">
        <v>45380</v>
      </c>
      <c r="C1881" t="s">
        <v>37</v>
      </c>
      <c r="D1881" t="s">
        <v>70</v>
      </c>
      <c r="E1881" t="s">
        <v>100</v>
      </c>
      <c r="F1881" t="s">
        <v>53</v>
      </c>
      <c r="G1881" t="s">
        <v>54</v>
      </c>
      <c r="H1881" t="s">
        <v>42</v>
      </c>
      <c r="I1881" t="s">
        <v>25</v>
      </c>
      <c r="J1881" t="s">
        <v>35</v>
      </c>
      <c r="K1881" t="s">
        <v>27</v>
      </c>
      <c r="L1881" t="s">
        <v>28</v>
      </c>
      <c r="M1881" s="4">
        <v>17</v>
      </c>
      <c r="N1881" s="4">
        <v>7</v>
      </c>
      <c r="O1881" t="s">
        <v>29</v>
      </c>
      <c r="P1881" t="s">
        <v>29</v>
      </c>
      <c r="Q1881" s="4">
        <v>322905</v>
      </c>
      <c r="R1881" s="4">
        <v>242688</v>
      </c>
      <c r="S1881" s="4">
        <f>Table1[[#This Row],[Service_Revenue]]-Table1[[#This Row],[Service_Cost]]</f>
        <v>80217</v>
      </c>
      <c r="T1881" s="4">
        <v>1</v>
      </c>
      <c r="U1881" s="4">
        <f>IF(AND(Table1[[#This Row],[Rework_Flag]]="Yes",Table1[[#This Row],[Warranty_Claim]]="No"),Table1[[#This Row],[Service_Revenue]],0)</f>
        <v>0</v>
      </c>
      <c r="V1881" s="4">
        <f>IF(Table1[[#This Row],[Warranty_Claim]]="Yes",1,0)</f>
        <v>1</v>
      </c>
      <c r="W1881" s="4">
        <f>IF(Table1[[#This Row],[Rework_Flag]]="No",1,0)</f>
        <v>0</v>
      </c>
      <c r="X1881" s="4">
        <f>IF(Table1[[#This Row],[Rework_Flag]]="Yes",1,0)</f>
        <v>1</v>
      </c>
      <c r="Y1881" s="4">
        <v>1</v>
      </c>
      <c r="Z1881" s="4" t="str">
        <f>IF(Table1[[#This Row],[TAT_Days]]&gt;Table1[[#This Row],[SLA_TAT]],"Yes","No")</f>
        <v>Yes</v>
      </c>
      <c r="AA1881" s="4" t="str" cm="1">
        <f t="array" ref="AA1881">_xlfn.IFS(Table1[[#This Row],[Customer_Satisfaction]]&lt;=2,"Poor",Table1[[#This Row],[Customer_Satisfaction]]=3,"Neutral",Table1[[#This Row],[Customer_Satisfaction]]=4,"Good",Table1[[#This Row],[Customer_Satisfaction]]=5,"Good")</f>
        <v>Poor</v>
      </c>
    </row>
    <row r="1882" spans="1:27" x14ac:dyDescent="0.35">
      <c r="A1882">
        <v>21880</v>
      </c>
      <c r="B1882" s="1">
        <v>45413</v>
      </c>
      <c r="C1882" t="s">
        <v>19</v>
      </c>
      <c r="D1882" t="s">
        <v>45</v>
      </c>
      <c r="E1882" t="s">
        <v>46</v>
      </c>
      <c r="F1882" t="s">
        <v>22</v>
      </c>
      <c r="G1882" t="s">
        <v>63</v>
      </c>
      <c r="H1882" t="s">
        <v>24</v>
      </c>
      <c r="I1882" t="s">
        <v>55</v>
      </c>
      <c r="J1882" t="s">
        <v>26</v>
      </c>
      <c r="K1882" t="s">
        <v>61</v>
      </c>
      <c r="L1882" t="s">
        <v>49</v>
      </c>
      <c r="M1882" s="4">
        <v>19</v>
      </c>
      <c r="N1882" s="4">
        <v>7</v>
      </c>
      <c r="O1882" t="s">
        <v>29</v>
      </c>
      <c r="P1882" t="s">
        <v>29</v>
      </c>
      <c r="Q1882" s="4">
        <v>480773</v>
      </c>
      <c r="R1882" s="4">
        <v>315932</v>
      </c>
      <c r="S1882" s="4">
        <f>Table1[[#This Row],[Service_Revenue]]-Table1[[#This Row],[Service_Cost]]</f>
        <v>164841</v>
      </c>
      <c r="T1882" s="4">
        <v>1</v>
      </c>
      <c r="U1882" s="4">
        <f>IF(AND(Table1[[#This Row],[Rework_Flag]]="Yes",Table1[[#This Row],[Warranty_Claim]]="No"),Table1[[#This Row],[Service_Revenue]],0)</f>
        <v>0</v>
      </c>
      <c r="V1882" s="4">
        <f>IF(Table1[[#This Row],[Warranty_Claim]]="Yes",1,0)</f>
        <v>1</v>
      </c>
      <c r="W1882" s="4">
        <f>IF(Table1[[#This Row],[Rework_Flag]]="No",1,0)</f>
        <v>0</v>
      </c>
      <c r="X1882" s="4">
        <f>IF(Table1[[#This Row],[Rework_Flag]]="Yes",1,0)</f>
        <v>1</v>
      </c>
      <c r="Y1882" s="4">
        <v>1</v>
      </c>
      <c r="Z1882" s="4" t="str">
        <f>IF(Table1[[#This Row],[TAT_Days]]&gt;Table1[[#This Row],[SLA_TAT]],"Yes","No")</f>
        <v>Yes</v>
      </c>
      <c r="AA1882" s="4" t="str" cm="1">
        <f t="array" ref="AA1882">_xlfn.IFS(Table1[[#This Row],[Customer_Satisfaction]]&lt;=2,"Poor",Table1[[#This Row],[Customer_Satisfaction]]=3,"Neutral",Table1[[#This Row],[Customer_Satisfaction]]=4,"Good",Table1[[#This Row],[Customer_Satisfaction]]=5,"Good")</f>
        <v>Poor</v>
      </c>
    </row>
    <row r="1883" spans="1:27" x14ac:dyDescent="0.35">
      <c r="A1883">
        <v>21881</v>
      </c>
      <c r="B1883" s="1">
        <v>45379</v>
      </c>
      <c r="C1883" t="s">
        <v>19</v>
      </c>
      <c r="D1883" t="s">
        <v>45</v>
      </c>
      <c r="E1883" t="s">
        <v>111</v>
      </c>
      <c r="F1883" t="s">
        <v>53</v>
      </c>
      <c r="G1883" t="s">
        <v>33</v>
      </c>
      <c r="H1883" t="s">
        <v>34</v>
      </c>
      <c r="I1883" t="s">
        <v>25</v>
      </c>
      <c r="J1883" t="s">
        <v>67</v>
      </c>
      <c r="K1883" t="s">
        <v>44</v>
      </c>
      <c r="L1883" t="s">
        <v>49</v>
      </c>
      <c r="M1883" s="4">
        <v>3</v>
      </c>
      <c r="N1883" s="4">
        <v>7</v>
      </c>
      <c r="O1883" t="s">
        <v>36</v>
      </c>
      <c r="P1883" t="s">
        <v>36</v>
      </c>
      <c r="Q1883" s="4">
        <v>96550</v>
      </c>
      <c r="R1883" s="4">
        <v>69220</v>
      </c>
      <c r="S1883" s="4">
        <f>Table1[[#This Row],[Service_Revenue]]-Table1[[#This Row],[Service_Cost]]</f>
        <v>27330</v>
      </c>
      <c r="T1883" s="4">
        <v>5</v>
      </c>
      <c r="U1883" s="4">
        <f>IF(AND(Table1[[#This Row],[Rework_Flag]]="Yes",Table1[[#This Row],[Warranty_Claim]]="No"),Table1[[#This Row],[Service_Revenue]],0)</f>
        <v>0</v>
      </c>
      <c r="V1883" s="4">
        <f>IF(Table1[[#This Row],[Warranty_Claim]]="Yes",1,0)</f>
        <v>0</v>
      </c>
      <c r="W1883" s="4">
        <f>IF(Table1[[#This Row],[Rework_Flag]]="No",1,0)</f>
        <v>1</v>
      </c>
      <c r="X1883" s="4">
        <f>IF(Table1[[#This Row],[Rework_Flag]]="Yes",1,0)</f>
        <v>0</v>
      </c>
      <c r="Y1883" s="4">
        <v>1</v>
      </c>
      <c r="Z1883" s="4" t="str">
        <f>IF(Table1[[#This Row],[TAT_Days]]&gt;Table1[[#This Row],[SLA_TAT]],"Yes","No")</f>
        <v>No</v>
      </c>
      <c r="AA1883" s="4" t="str" cm="1">
        <f t="array" ref="AA1883">_xlfn.IFS(Table1[[#This Row],[Customer_Satisfaction]]&lt;=2,"Poor",Table1[[#This Row],[Customer_Satisfaction]]=3,"Neutral",Table1[[#This Row],[Customer_Satisfaction]]=4,"Good",Table1[[#This Row],[Customer_Satisfaction]]=5,"Good")</f>
        <v>Good</v>
      </c>
    </row>
    <row r="1884" spans="1:27" x14ac:dyDescent="0.35">
      <c r="A1884">
        <v>21882</v>
      </c>
      <c r="B1884" s="1">
        <v>45432</v>
      </c>
      <c r="C1884" t="s">
        <v>19</v>
      </c>
      <c r="D1884" t="s">
        <v>96</v>
      </c>
      <c r="E1884" t="s">
        <v>98</v>
      </c>
      <c r="F1884" t="s">
        <v>22</v>
      </c>
      <c r="G1884" t="s">
        <v>23</v>
      </c>
      <c r="H1884" t="s">
        <v>24</v>
      </c>
      <c r="I1884" t="s">
        <v>25</v>
      </c>
      <c r="J1884" t="s">
        <v>67</v>
      </c>
      <c r="K1884" t="s">
        <v>44</v>
      </c>
      <c r="L1884" t="s">
        <v>49</v>
      </c>
      <c r="M1884" s="4">
        <v>16</v>
      </c>
      <c r="N1884" s="4">
        <v>7</v>
      </c>
      <c r="O1884" t="s">
        <v>36</v>
      </c>
      <c r="P1884" t="s">
        <v>36</v>
      </c>
      <c r="Q1884" s="4">
        <v>376912</v>
      </c>
      <c r="R1884" s="4">
        <v>190422</v>
      </c>
      <c r="S1884" s="4">
        <f>Table1[[#This Row],[Service_Revenue]]-Table1[[#This Row],[Service_Cost]]</f>
        <v>186490</v>
      </c>
      <c r="T1884" s="4">
        <v>2</v>
      </c>
      <c r="U1884" s="4">
        <f>IF(AND(Table1[[#This Row],[Rework_Flag]]="Yes",Table1[[#This Row],[Warranty_Claim]]="No"),Table1[[#This Row],[Service_Revenue]],0)</f>
        <v>0</v>
      </c>
      <c r="V1884" s="4">
        <f>IF(Table1[[#This Row],[Warranty_Claim]]="Yes",1,0)</f>
        <v>0</v>
      </c>
      <c r="W1884" s="4">
        <f>IF(Table1[[#This Row],[Rework_Flag]]="No",1,0)</f>
        <v>1</v>
      </c>
      <c r="X1884" s="4">
        <f>IF(Table1[[#This Row],[Rework_Flag]]="Yes",1,0)</f>
        <v>0</v>
      </c>
      <c r="Y1884" s="4">
        <v>1</v>
      </c>
      <c r="Z1884" s="4" t="str">
        <f>IF(Table1[[#This Row],[TAT_Days]]&gt;Table1[[#This Row],[SLA_TAT]],"Yes","No")</f>
        <v>Yes</v>
      </c>
      <c r="AA1884" s="4" t="str" cm="1">
        <f t="array" ref="AA1884">_xlfn.IFS(Table1[[#This Row],[Customer_Satisfaction]]&lt;=2,"Poor",Table1[[#This Row],[Customer_Satisfaction]]=3,"Neutral",Table1[[#This Row],[Customer_Satisfaction]]=4,"Good",Table1[[#This Row],[Customer_Satisfaction]]=5,"Good")</f>
        <v>Poor</v>
      </c>
    </row>
    <row r="1885" spans="1:27" x14ac:dyDescent="0.35">
      <c r="A1885">
        <v>21883</v>
      </c>
      <c r="B1885" s="1">
        <v>45303</v>
      </c>
      <c r="C1885" t="s">
        <v>30</v>
      </c>
      <c r="D1885" t="s">
        <v>83</v>
      </c>
      <c r="E1885" t="s">
        <v>84</v>
      </c>
      <c r="F1885" t="s">
        <v>40</v>
      </c>
      <c r="G1885" t="s">
        <v>63</v>
      </c>
      <c r="H1885" t="s">
        <v>24</v>
      </c>
      <c r="I1885" t="s">
        <v>25</v>
      </c>
      <c r="J1885" t="s">
        <v>43</v>
      </c>
      <c r="K1885" t="s">
        <v>44</v>
      </c>
      <c r="L1885" t="s">
        <v>28</v>
      </c>
      <c r="M1885" s="4">
        <v>13</v>
      </c>
      <c r="N1885" s="4">
        <v>7</v>
      </c>
      <c r="O1885" t="s">
        <v>36</v>
      </c>
      <c r="P1885" t="s">
        <v>29</v>
      </c>
      <c r="Q1885" s="4">
        <v>556834</v>
      </c>
      <c r="R1885" s="4">
        <v>436888</v>
      </c>
      <c r="S1885" s="4">
        <f>Table1[[#This Row],[Service_Revenue]]-Table1[[#This Row],[Service_Cost]]</f>
        <v>119946</v>
      </c>
      <c r="T1885" s="4">
        <v>3</v>
      </c>
      <c r="U1885" s="4">
        <f>IF(AND(Table1[[#This Row],[Rework_Flag]]="Yes",Table1[[#This Row],[Warranty_Claim]]="No"),Table1[[#This Row],[Service_Revenue]],0)</f>
        <v>0</v>
      </c>
      <c r="V1885" s="4">
        <f>IF(Table1[[#This Row],[Warranty_Claim]]="Yes",1,0)</f>
        <v>1</v>
      </c>
      <c r="W1885" s="4">
        <f>IF(Table1[[#This Row],[Rework_Flag]]="No",1,0)</f>
        <v>1</v>
      </c>
      <c r="X1885" s="4">
        <f>IF(Table1[[#This Row],[Rework_Flag]]="Yes",1,0)</f>
        <v>0</v>
      </c>
      <c r="Y1885" s="4">
        <v>1</v>
      </c>
      <c r="Z1885" s="4" t="str">
        <f>IF(Table1[[#This Row],[TAT_Days]]&gt;Table1[[#This Row],[SLA_TAT]],"Yes","No")</f>
        <v>Yes</v>
      </c>
      <c r="AA1885" s="4" t="str" cm="1">
        <f t="array" ref="AA1885">_xlfn.IFS(Table1[[#This Row],[Customer_Satisfaction]]&lt;=2,"Poor",Table1[[#This Row],[Customer_Satisfaction]]=3,"Neutral",Table1[[#This Row],[Customer_Satisfaction]]=4,"Good",Table1[[#This Row],[Customer_Satisfaction]]=5,"Good")</f>
        <v>Neutral</v>
      </c>
    </row>
    <row r="1886" spans="1:27" x14ac:dyDescent="0.35">
      <c r="A1886">
        <v>21884</v>
      </c>
      <c r="B1886" s="1">
        <v>45385</v>
      </c>
      <c r="C1886" t="s">
        <v>37</v>
      </c>
      <c r="D1886" t="s">
        <v>64</v>
      </c>
      <c r="E1886" t="s">
        <v>115</v>
      </c>
      <c r="F1886" t="s">
        <v>22</v>
      </c>
      <c r="G1886" t="s">
        <v>33</v>
      </c>
      <c r="H1886" t="s">
        <v>34</v>
      </c>
      <c r="I1886" t="s">
        <v>25</v>
      </c>
      <c r="J1886" t="s">
        <v>35</v>
      </c>
      <c r="K1886" t="s">
        <v>27</v>
      </c>
      <c r="L1886" t="s">
        <v>28</v>
      </c>
      <c r="M1886" s="4">
        <v>12</v>
      </c>
      <c r="N1886" s="4">
        <v>7</v>
      </c>
      <c r="O1886" t="s">
        <v>29</v>
      </c>
      <c r="P1886" t="s">
        <v>36</v>
      </c>
      <c r="Q1886" s="4">
        <v>394610</v>
      </c>
      <c r="R1886" s="4">
        <v>264294</v>
      </c>
      <c r="S1886" s="4">
        <f>Table1[[#This Row],[Service_Revenue]]-Table1[[#This Row],[Service_Cost]]</f>
        <v>130316</v>
      </c>
      <c r="T1886" s="4">
        <v>2</v>
      </c>
      <c r="U1886" s="4">
        <f>IF(AND(Table1[[#This Row],[Rework_Flag]]="Yes",Table1[[#This Row],[Warranty_Claim]]="No"),Table1[[#This Row],[Service_Revenue]],0)</f>
        <v>394610</v>
      </c>
      <c r="V1886" s="4">
        <f>IF(Table1[[#This Row],[Warranty_Claim]]="Yes",1,0)</f>
        <v>0</v>
      </c>
      <c r="W1886" s="4">
        <f>IF(Table1[[#This Row],[Rework_Flag]]="No",1,0)</f>
        <v>0</v>
      </c>
      <c r="X1886" s="4">
        <f>IF(Table1[[#This Row],[Rework_Flag]]="Yes",1,0)</f>
        <v>1</v>
      </c>
      <c r="Y1886" s="4">
        <v>1</v>
      </c>
      <c r="Z1886" s="4" t="str">
        <f>IF(Table1[[#This Row],[TAT_Days]]&gt;Table1[[#This Row],[SLA_TAT]],"Yes","No")</f>
        <v>Yes</v>
      </c>
      <c r="AA1886" s="4" t="str" cm="1">
        <f t="array" ref="AA1886">_xlfn.IFS(Table1[[#This Row],[Customer_Satisfaction]]&lt;=2,"Poor",Table1[[#This Row],[Customer_Satisfaction]]=3,"Neutral",Table1[[#This Row],[Customer_Satisfaction]]=4,"Good",Table1[[#This Row],[Customer_Satisfaction]]=5,"Good")</f>
        <v>Poor</v>
      </c>
    </row>
    <row r="1887" spans="1:27" x14ac:dyDescent="0.35">
      <c r="A1887">
        <v>21885</v>
      </c>
      <c r="B1887" s="1">
        <v>45376</v>
      </c>
      <c r="C1887" t="s">
        <v>19</v>
      </c>
      <c r="D1887" t="s">
        <v>96</v>
      </c>
      <c r="E1887" t="s">
        <v>105</v>
      </c>
      <c r="F1887" t="s">
        <v>40</v>
      </c>
      <c r="G1887" t="s">
        <v>63</v>
      </c>
      <c r="H1887" t="s">
        <v>24</v>
      </c>
      <c r="I1887" t="s">
        <v>55</v>
      </c>
      <c r="J1887" t="s">
        <v>67</v>
      </c>
      <c r="K1887" t="s">
        <v>61</v>
      </c>
      <c r="L1887" t="s">
        <v>28</v>
      </c>
      <c r="M1887" s="4">
        <v>20</v>
      </c>
      <c r="N1887" s="4">
        <v>7</v>
      </c>
      <c r="O1887" t="s">
        <v>29</v>
      </c>
      <c r="P1887" t="s">
        <v>36</v>
      </c>
      <c r="Q1887" s="4">
        <v>180778</v>
      </c>
      <c r="R1887" s="4">
        <v>133132</v>
      </c>
      <c r="S1887" s="4">
        <f>Table1[[#This Row],[Service_Revenue]]-Table1[[#This Row],[Service_Cost]]</f>
        <v>47646</v>
      </c>
      <c r="T1887" s="4">
        <v>1</v>
      </c>
      <c r="U1887" s="4">
        <f>IF(AND(Table1[[#This Row],[Rework_Flag]]="Yes",Table1[[#This Row],[Warranty_Claim]]="No"),Table1[[#This Row],[Service_Revenue]],0)</f>
        <v>180778</v>
      </c>
      <c r="V1887" s="4">
        <f>IF(Table1[[#This Row],[Warranty_Claim]]="Yes",1,0)</f>
        <v>0</v>
      </c>
      <c r="W1887" s="4">
        <f>IF(Table1[[#This Row],[Rework_Flag]]="No",1,0)</f>
        <v>0</v>
      </c>
      <c r="X1887" s="4">
        <f>IF(Table1[[#This Row],[Rework_Flag]]="Yes",1,0)</f>
        <v>1</v>
      </c>
      <c r="Y1887" s="4">
        <v>1</v>
      </c>
      <c r="Z1887" s="4" t="str">
        <f>IF(Table1[[#This Row],[TAT_Days]]&gt;Table1[[#This Row],[SLA_TAT]],"Yes","No")</f>
        <v>Yes</v>
      </c>
      <c r="AA1887" s="4" t="str" cm="1">
        <f t="array" ref="AA1887">_xlfn.IFS(Table1[[#This Row],[Customer_Satisfaction]]&lt;=2,"Poor",Table1[[#This Row],[Customer_Satisfaction]]=3,"Neutral",Table1[[#This Row],[Customer_Satisfaction]]=4,"Good",Table1[[#This Row],[Customer_Satisfaction]]=5,"Good")</f>
        <v>Poor</v>
      </c>
    </row>
    <row r="1888" spans="1:27" x14ac:dyDescent="0.35">
      <c r="A1888">
        <v>21886</v>
      </c>
      <c r="B1888" s="1">
        <v>45352</v>
      </c>
      <c r="C1888" t="s">
        <v>30</v>
      </c>
      <c r="D1888" t="s">
        <v>83</v>
      </c>
      <c r="E1888" t="s">
        <v>84</v>
      </c>
      <c r="F1888" t="s">
        <v>53</v>
      </c>
      <c r="G1888" t="s">
        <v>47</v>
      </c>
      <c r="H1888" t="s">
        <v>48</v>
      </c>
      <c r="I1888" t="s">
        <v>55</v>
      </c>
      <c r="J1888" t="s">
        <v>67</v>
      </c>
      <c r="K1888" t="s">
        <v>27</v>
      </c>
      <c r="L1888" t="s">
        <v>28</v>
      </c>
      <c r="M1888" s="4">
        <v>7</v>
      </c>
      <c r="N1888" s="4">
        <v>7</v>
      </c>
      <c r="O1888" t="s">
        <v>29</v>
      </c>
      <c r="P1888" t="s">
        <v>36</v>
      </c>
      <c r="Q1888" s="4">
        <v>375862</v>
      </c>
      <c r="R1888" s="4">
        <v>230319</v>
      </c>
      <c r="S1888" s="4">
        <f>Table1[[#This Row],[Service_Revenue]]-Table1[[#This Row],[Service_Cost]]</f>
        <v>145543</v>
      </c>
      <c r="T1888" s="4">
        <v>3</v>
      </c>
      <c r="U1888" s="4">
        <f>IF(AND(Table1[[#This Row],[Rework_Flag]]="Yes",Table1[[#This Row],[Warranty_Claim]]="No"),Table1[[#This Row],[Service_Revenue]],0)</f>
        <v>375862</v>
      </c>
      <c r="V1888" s="4">
        <f>IF(Table1[[#This Row],[Warranty_Claim]]="Yes",1,0)</f>
        <v>0</v>
      </c>
      <c r="W1888" s="4">
        <f>IF(Table1[[#This Row],[Rework_Flag]]="No",1,0)</f>
        <v>0</v>
      </c>
      <c r="X1888" s="4">
        <f>IF(Table1[[#This Row],[Rework_Flag]]="Yes",1,0)</f>
        <v>1</v>
      </c>
      <c r="Y1888" s="4">
        <v>1</v>
      </c>
      <c r="Z1888" s="4" t="str">
        <f>IF(Table1[[#This Row],[TAT_Days]]&gt;Table1[[#This Row],[SLA_TAT]],"Yes","No")</f>
        <v>No</v>
      </c>
      <c r="AA1888" s="4" t="str" cm="1">
        <f t="array" ref="AA1888">_xlfn.IFS(Table1[[#This Row],[Customer_Satisfaction]]&lt;=2,"Poor",Table1[[#This Row],[Customer_Satisfaction]]=3,"Neutral",Table1[[#This Row],[Customer_Satisfaction]]=4,"Good",Table1[[#This Row],[Customer_Satisfaction]]=5,"Good")</f>
        <v>Neutral</v>
      </c>
    </row>
    <row r="1889" spans="1:27" x14ac:dyDescent="0.35">
      <c r="A1889">
        <v>21887</v>
      </c>
      <c r="B1889" s="1">
        <v>45385</v>
      </c>
      <c r="C1889" t="s">
        <v>30</v>
      </c>
      <c r="D1889" t="s">
        <v>31</v>
      </c>
      <c r="E1889" t="s">
        <v>32</v>
      </c>
      <c r="F1889" t="s">
        <v>22</v>
      </c>
      <c r="G1889" t="s">
        <v>63</v>
      </c>
      <c r="H1889" t="s">
        <v>24</v>
      </c>
      <c r="I1889" t="s">
        <v>55</v>
      </c>
      <c r="J1889" t="s">
        <v>67</v>
      </c>
      <c r="K1889" t="s">
        <v>27</v>
      </c>
      <c r="L1889" t="s">
        <v>49</v>
      </c>
      <c r="M1889" s="4">
        <v>23</v>
      </c>
      <c r="N1889" s="4">
        <v>7</v>
      </c>
      <c r="O1889" t="s">
        <v>29</v>
      </c>
      <c r="P1889" t="s">
        <v>36</v>
      </c>
      <c r="Q1889" s="4">
        <v>123233</v>
      </c>
      <c r="R1889" s="4">
        <v>87976</v>
      </c>
      <c r="S1889" s="4">
        <f>Table1[[#This Row],[Service_Revenue]]-Table1[[#This Row],[Service_Cost]]</f>
        <v>35257</v>
      </c>
      <c r="T1889" s="4">
        <v>1</v>
      </c>
      <c r="U1889" s="4">
        <f>IF(AND(Table1[[#This Row],[Rework_Flag]]="Yes",Table1[[#This Row],[Warranty_Claim]]="No"),Table1[[#This Row],[Service_Revenue]],0)</f>
        <v>123233</v>
      </c>
      <c r="V1889" s="4">
        <f>IF(Table1[[#This Row],[Warranty_Claim]]="Yes",1,0)</f>
        <v>0</v>
      </c>
      <c r="W1889" s="4">
        <f>IF(Table1[[#This Row],[Rework_Flag]]="No",1,0)</f>
        <v>0</v>
      </c>
      <c r="X1889" s="4">
        <f>IF(Table1[[#This Row],[Rework_Flag]]="Yes",1,0)</f>
        <v>1</v>
      </c>
      <c r="Y1889" s="4">
        <v>1</v>
      </c>
      <c r="Z1889" s="4" t="str">
        <f>IF(Table1[[#This Row],[TAT_Days]]&gt;Table1[[#This Row],[SLA_TAT]],"Yes","No")</f>
        <v>Yes</v>
      </c>
      <c r="AA1889" s="4" t="str" cm="1">
        <f t="array" ref="AA1889">_xlfn.IFS(Table1[[#This Row],[Customer_Satisfaction]]&lt;=2,"Poor",Table1[[#This Row],[Customer_Satisfaction]]=3,"Neutral",Table1[[#This Row],[Customer_Satisfaction]]=4,"Good",Table1[[#This Row],[Customer_Satisfaction]]=5,"Good")</f>
        <v>Poor</v>
      </c>
    </row>
    <row r="1890" spans="1:27" x14ac:dyDescent="0.35">
      <c r="A1890">
        <v>21888</v>
      </c>
      <c r="B1890" s="1">
        <v>45390</v>
      </c>
      <c r="C1890" t="s">
        <v>37</v>
      </c>
      <c r="D1890" t="s">
        <v>70</v>
      </c>
      <c r="E1890" t="s">
        <v>91</v>
      </c>
      <c r="F1890" t="s">
        <v>22</v>
      </c>
      <c r="G1890" t="s">
        <v>47</v>
      </c>
      <c r="H1890" t="s">
        <v>48</v>
      </c>
      <c r="I1890" t="s">
        <v>55</v>
      </c>
      <c r="J1890" t="s">
        <v>67</v>
      </c>
      <c r="K1890" t="s">
        <v>27</v>
      </c>
      <c r="L1890" t="s">
        <v>28</v>
      </c>
      <c r="M1890" s="4">
        <v>14</v>
      </c>
      <c r="N1890" s="4">
        <v>7</v>
      </c>
      <c r="O1890" t="s">
        <v>29</v>
      </c>
      <c r="P1890" t="s">
        <v>29</v>
      </c>
      <c r="Q1890" s="4">
        <v>577622</v>
      </c>
      <c r="R1890" s="4">
        <v>406624</v>
      </c>
      <c r="S1890" s="4">
        <f>Table1[[#This Row],[Service_Revenue]]-Table1[[#This Row],[Service_Cost]]</f>
        <v>170998</v>
      </c>
      <c r="T1890" s="4">
        <v>2</v>
      </c>
      <c r="U1890" s="4">
        <f>IF(AND(Table1[[#This Row],[Rework_Flag]]="Yes",Table1[[#This Row],[Warranty_Claim]]="No"),Table1[[#This Row],[Service_Revenue]],0)</f>
        <v>0</v>
      </c>
      <c r="V1890" s="4">
        <f>IF(Table1[[#This Row],[Warranty_Claim]]="Yes",1,0)</f>
        <v>1</v>
      </c>
      <c r="W1890" s="4">
        <f>IF(Table1[[#This Row],[Rework_Flag]]="No",1,0)</f>
        <v>0</v>
      </c>
      <c r="X1890" s="4">
        <f>IF(Table1[[#This Row],[Rework_Flag]]="Yes",1,0)</f>
        <v>1</v>
      </c>
      <c r="Y1890" s="4">
        <v>1</v>
      </c>
      <c r="Z1890" s="4" t="str">
        <f>IF(Table1[[#This Row],[TAT_Days]]&gt;Table1[[#This Row],[SLA_TAT]],"Yes","No")</f>
        <v>Yes</v>
      </c>
      <c r="AA1890" s="4" t="str" cm="1">
        <f t="array" ref="AA1890">_xlfn.IFS(Table1[[#This Row],[Customer_Satisfaction]]&lt;=2,"Poor",Table1[[#This Row],[Customer_Satisfaction]]=3,"Neutral",Table1[[#This Row],[Customer_Satisfaction]]=4,"Good",Table1[[#This Row],[Customer_Satisfaction]]=5,"Good")</f>
        <v>Poor</v>
      </c>
    </row>
    <row r="1891" spans="1:27" x14ac:dyDescent="0.35">
      <c r="A1891">
        <v>21889</v>
      </c>
      <c r="B1891" s="1">
        <v>45394</v>
      </c>
      <c r="C1891" t="s">
        <v>30</v>
      </c>
      <c r="D1891" t="s">
        <v>59</v>
      </c>
      <c r="E1891" t="s">
        <v>60</v>
      </c>
      <c r="F1891" t="s">
        <v>40</v>
      </c>
      <c r="G1891" t="s">
        <v>74</v>
      </c>
      <c r="H1891" t="s">
        <v>34</v>
      </c>
      <c r="I1891" t="s">
        <v>55</v>
      </c>
      <c r="J1891" t="s">
        <v>67</v>
      </c>
      <c r="K1891" t="s">
        <v>44</v>
      </c>
      <c r="L1891" t="s">
        <v>28</v>
      </c>
      <c r="M1891" s="4">
        <v>17</v>
      </c>
      <c r="N1891" s="4">
        <v>7</v>
      </c>
      <c r="O1891" t="s">
        <v>36</v>
      </c>
      <c r="P1891" t="s">
        <v>36</v>
      </c>
      <c r="Q1891" s="4">
        <v>543251</v>
      </c>
      <c r="R1891" s="4">
        <v>341370</v>
      </c>
      <c r="S1891" s="4">
        <f>Table1[[#This Row],[Service_Revenue]]-Table1[[#This Row],[Service_Cost]]</f>
        <v>201881</v>
      </c>
      <c r="T1891" s="4">
        <v>2</v>
      </c>
      <c r="U1891" s="4">
        <f>IF(AND(Table1[[#This Row],[Rework_Flag]]="Yes",Table1[[#This Row],[Warranty_Claim]]="No"),Table1[[#This Row],[Service_Revenue]],0)</f>
        <v>0</v>
      </c>
      <c r="V1891" s="4">
        <f>IF(Table1[[#This Row],[Warranty_Claim]]="Yes",1,0)</f>
        <v>0</v>
      </c>
      <c r="W1891" s="4">
        <f>IF(Table1[[#This Row],[Rework_Flag]]="No",1,0)</f>
        <v>1</v>
      </c>
      <c r="X1891" s="4">
        <f>IF(Table1[[#This Row],[Rework_Flag]]="Yes",1,0)</f>
        <v>0</v>
      </c>
      <c r="Y1891" s="4">
        <v>1</v>
      </c>
      <c r="Z1891" s="4" t="str">
        <f>IF(Table1[[#This Row],[TAT_Days]]&gt;Table1[[#This Row],[SLA_TAT]],"Yes","No")</f>
        <v>Yes</v>
      </c>
      <c r="AA1891" s="4" t="str" cm="1">
        <f t="array" ref="AA1891">_xlfn.IFS(Table1[[#This Row],[Customer_Satisfaction]]&lt;=2,"Poor",Table1[[#This Row],[Customer_Satisfaction]]=3,"Neutral",Table1[[#This Row],[Customer_Satisfaction]]=4,"Good",Table1[[#This Row],[Customer_Satisfaction]]=5,"Good")</f>
        <v>Poor</v>
      </c>
    </row>
    <row r="1892" spans="1:27" x14ac:dyDescent="0.35">
      <c r="A1892">
        <v>21890</v>
      </c>
      <c r="B1892" s="1">
        <v>45343</v>
      </c>
      <c r="C1892" t="s">
        <v>50</v>
      </c>
      <c r="D1892" t="s">
        <v>51</v>
      </c>
      <c r="E1892" t="s">
        <v>52</v>
      </c>
      <c r="F1892" t="s">
        <v>40</v>
      </c>
      <c r="G1892" t="s">
        <v>23</v>
      </c>
      <c r="H1892" t="s">
        <v>24</v>
      </c>
      <c r="I1892" t="s">
        <v>25</v>
      </c>
      <c r="J1892" t="s">
        <v>43</v>
      </c>
      <c r="K1892" t="s">
        <v>44</v>
      </c>
      <c r="L1892" t="s">
        <v>28</v>
      </c>
      <c r="M1892" s="4">
        <v>6</v>
      </c>
      <c r="N1892" s="4">
        <v>7</v>
      </c>
      <c r="O1892" t="s">
        <v>36</v>
      </c>
      <c r="P1892" t="s">
        <v>36</v>
      </c>
      <c r="Q1892" s="4">
        <v>191428</v>
      </c>
      <c r="R1892" s="4">
        <v>121139</v>
      </c>
      <c r="S1892" s="4">
        <f>Table1[[#This Row],[Service_Revenue]]-Table1[[#This Row],[Service_Cost]]</f>
        <v>70289</v>
      </c>
      <c r="T1892" s="4">
        <v>4</v>
      </c>
      <c r="U1892" s="4">
        <f>IF(AND(Table1[[#This Row],[Rework_Flag]]="Yes",Table1[[#This Row],[Warranty_Claim]]="No"),Table1[[#This Row],[Service_Revenue]],0)</f>
        <v>0</v>
      </c>
      <c r="V1892" s="4">
        <f>IF(Table1[[#This Row],[Warranty_Claim]]="Yes",1,0)</f>
        <v>0</v>
      </c>
      <c r="W1892" s="4">
        <f>IF(Table1[[#This Row],[Rework_Flag]]="No",1,0)</f>
        <v>1</v>
      </c>
      <c r="X1892" s="4">
        <f>IF(Table1[[#This Row],[Rework_Flag]]="Yes",1,0)</f>
        <v>0</v>
      </c>
      <c r="Y1892" s="4">
        <v>1</v>
      </c>
      <c r="Z1892" s="4" t="str">
        <f>IF(Table1[[#This Row],[TAT_Days]]&gt;Table1[[#This Row],[SLA_TAT]],"Yes","No")</f>
        <v>No</v>
      </c>
      <c r="AA1892" s="4" t="str" cm="1">
        <f t="array" ref="AA1892">_xlfn.IFS(Table1[[#This Row],[Customer_Satisfaction]]&lt;=2,"Poor",Table1[[#This Row],[Customer_Satisfaction]]=3,"Neutral",Table1[[#This Row],[Customer_Satisfaction]]=4,"Good",Table1[[#This Row],[Customer_Satisfaction]]=5,"Good")</f>
        <v>Good</v>
      </c>
    </row>
    <row r="1893" spans="1:27" x14ac:dyDescent="0.35">
      <c r="A1893">
        <v>21891</v>
      </c>
      <c r="B1893" s="1">
        <v>45388</v>
      </c>
      <c r="C1893" t="s">
        <v>50</v>
      </c>
      <c r="D1893" t="s">
        <v>80</v>
      </c>
      <c r="E1893" t="s">
        <v>118</v>
      </c>
      <c r="F1893" t="s">
        <v>22</v>
      </c>
      <c r="G1893" t="s">
        <v>47</v>
      </c>
      <c r="H1893" t="s">
        <v>48</v>
      </c>
      <c r="I1893" t="s">
        <v>25</v>
      </c>
      <c r="J1893" t="s">
        <v>35</v>
      </c>
      <c r="K1893" t="s">
        <v>27</v>
      </c>
      <c r="L1893" t="s">
        <v>49</v>
      </c>
      <c r="M1893" s="4">
        <v>16</v>
      </c>
      <c r="N1893" s="4">
        <v>7</v>
      </c>
      <c r="O1893" t="s">
        <v>29</v>
      </c>
      <c r="P1893" t="s">
        <v>29</v>
      </c>
      <c r="Q1893" s="4">
        <v>290531</v>
      </c>
      <c r="R1893" s="4">
        <v>153615</v>
      </c>
      <c r="S1893" s="4">
        <f>Table1[[#This Row],[Service_Revenue]]-Table1[[#This Row],[Service_Cost]]</f>
        <v>136916</v>
      </c>
      <c r="T1893" s="4">
        <v>1</v>
      </c>
      <c r="U1893" s="4">
        <f>IF(AND(Table1[[#This Row],[Rework_Flag]]="Yes",Table1[[#This Row],[Warranty_Claim]]="No"),Table1[[#This Row],[Service_Revenue]],0)</f>
        <v>0</v>
      </c>
      <c r="V1893" s="4">
        <f>IF(Table1[[#This Row],[Warranty_Claim]]="Yes",1,0)</f>
        <v>1</v>
      </c>
      <c r="W1893" s="4">
        <f>IF(Table1[[#This Row],[Rework_Flag]]="No",1,0)</f>
        <v>0</v>
      </c>
      <c r="X1893" s="4">
        <f>IF(Table1[[#This Row],[Rework_Flag]]="Yes",1,0)</f>
        <v>1</v>
      </c>
      <c r="Y1893" s="4">
        <v>1</v>
      </c>
      <c r="Z1893" s="4" t="str">
        <f>IF(Table1[[#This Row],[TAT_Days]]&gt;Table1[[#This Row],[SLA_TAT]],"Yes","No")</f>
        <v>Yes</v>
      </c>
      <c r="AA1893" s="4" t="str" cm="1">
        <f t="array" ref="AA1893">_xlfn.IFS(Table1[[#This Row],[Customer_Satisfaction]]&lt;=2,"Poor",Table1[[#This Row],[Customer_Satisfaction]]=3,"Neutral",Table1[[#This Row],[Customer_Satisfaction]]=4,"Good",Table1[[#This Row],[Customer_Satisfaction]]=5,"Good")</f>
        <v>Poor</v>
      </c>
    </row>
    <row r="1894" spans="1:27" x14ac:dyDescent="0.35">
      <c r="A1894">
        <v>21892</v>
      </c>
      <c r="B1894" s="1">
        <v>45364</v>
      </c>
      <c r="C1894" t="s">
        <v>30</v>
      </c>
      <c r="D1894" t="s">
        <v>83</v>
      </c>
      <c r="E1894" t="s">
        <v>90</v>
      </c>
      <c r="F1894" t="s">
        <v>22</v>
      </c>
      <c r="G1894" t="s">
        <v>74</v>
      </c>
      <c r="H1894" t="s">
        <v>34</v>
      </c>
      <c r="I1894" t="s">
        <v>55</v>
      </c>
      <c r="J1894" t="s">
        <v>35</v>
      </c>
      <c r="K1894" t="s">
        <v>44</v>
      </c>
      <c r="L1894" t="s">
        <v>28</v>
      </c>
      <c r="M1894" s="4">
        <v>13</v>
      </c>
      <c r="N1894" s="4">
        <v>7</v>
      </c>
      <c r="O1894" t="s">
        <v>36</v>
      </c>
      <c r="P1894" t="s">
        <v>29</v>
      </c>
      <c r="Q1894" s="4">
        <v>320765</v>
      </c>
      <c r="R1894" s="4">
        <v>194514</v>
      </c>
      <c r="S1894" s="4">
        <f>Table1[[#This Row],[Service_Revenue]]-Table1[[#This Row],[Service_Cost]]</f>
        <v>126251</v>
      </c>
      <c r="T1894" s="4">
        <v>3</v>
      </c>
      <c r="U1894" s="4">
        <f>IF(AND(Table1[[#This Row],[Rework_Flag]]="Yes",Table1[[#This Row],[Warranty_Claim]]="No"),Table1[[#This Row],[Service_Revenue]],0)</f>
        <v>0</v>
      </c>
      <c r="V1894" s="4">
        <f>IF(Table1[[#This Row],[Warranty_Claim]]="Yes",1,0)</f>
        <v>1</v>
      </c>
      <c r="W1894" s="4">
        <f>IF(Table1[[#This Row],[Rework_Flag]]="No",1,0)</f>
        <v>1</v>
      </c>
      <c r="X1894" s="4">
        <f>IF(Table1[[#This Row],[Rework_Flag]]="Yes",1,0)</f>
        <v>0</v>
      </c>
      <c r="Y1894" s="4">
        <v>1</v>
      </c>
      <c r="Z1894" s="4" t="str">
        <f>IF(Table1[[#This Row],[TAT_Days]]&gt;Table1[[#This Row],[SLA_TAT]],"Yes","No")</f>
        <v>Yes</v>
      </c>
      <c r="AA1894" s="4" t="str" cm="1">
        <f t="array" ref="AA1894">_xlfn.IFS(Table1[[#This Row],[Customer_Satisfaction]]&lt;=2,"Poor",Table1[[#This Row],[Customer_Satisfaction]]=3,"Neutral",Table1[[#This Row],[Customer_Satisfaction]]=4,"Good",Table1[[#This Row],[Customer_Satisfaction]]=5,"Good")</f>
        <v>Neutral</v>
      </c>
    </row>
    <row r="1895" spans="1:27" x14ac:dyDescent="0.35">
      <c r="A1895">
        <v>21893</v>
      </c>
      <c r="B1895" s="1">
        <v>45465</v>
      </c>
      <c r="C1895" t="s">
        <v>37</v>
      </c>
      <c r="D1895" t="s">
        <v>70</v>
      </c>
      <c r="E1895" t="s">
        <v>82</v>
      </c>
      <c r="F1895" t="s">
        <v>22</v>
      </c>
      <c r="G1895" t="s">
        <v>63</v>
      </c>
      <c r="H1895" t="s">
        <v>24</v>
      </c>
      <c r="I1895" t="s">
        <v>25</v>
      </c>
      <c r="J1895" t="s">
        <v>58</v>
      </c>
      <c r="K1895" t="s">
        <v>61</v>
      </c>
      <c r="L1895" t="s">
        <v>28</v>
      </c>
      <c r="M1895" s="4">
        <v>23</v>
      </c>
      <c r="N1895" s="4">
        <v>7</v>
      </c>
      <c r="O1895" t="s">
        <v>36</v>
      </c>
      <c r="P1895" t="s">
        <v>36</v>
      </c>
      <c r="Q1895" s="4">
        <v>174861</v>
      </c>
      <c r="R1895" s="4">
        <v>137464</v>
      </c>
      <c r="S1895" s="4">
        <f>Table1[[#This Row],[Service_Revenue]]-Table1[[#This Row],[Service_Cost]]</f>
        <v>37397</v>
      </c>
      <c r="T1895" s="4">
        <v>1</v>
      </c>
      <c r="U1895" s="4">
        <f>IF(AND(Table1[[#This Row],[Rework_Flag]]="Yes",Table1[[#This Row],[Warranty_Claim]]="No"),Table1[[#This Row],[Service_Revenue]],0)</f>
        <v>0</v>
      </c>
      <c r="V1895" s="4">
        <f>IF(Table1[[#This Row],[Warranty_Claim]]="Yes",1,0)</f>
        <v>0</v>
      </c>
      <c r="W1895" s="4">
        <f>IF(Table1[[#This Row],[Rework_Flag]]="No",1,0)</f>
        <v>1</v>
      </c>
      <c r="X1895" s="4">
        <f>IF(Table1[[#This Row],[Rework_Flag]]="Yes",1,0)</f>
        <v>0</v>
      </c>
      <c r="Y1895" s="4">
        <v>1</v>
      </c>
      <c r="Z1895" s="4" t="str">
        <f>IF(Table1[[#This Row],[TAT_Days]]&gt;Table1[[#This Row],[SLA_TAT]],"Yes","No")</f>
        <v>Yes</v>
      </c>
      <c r="AA1895" s="4" t="str" cm="1">
        <f t="array" ref="AA1895">_xlfn.IFS(Table1[[#This Row],[Customer_Satisfaction]]&lt;=2,"Poor",Table1[[#This Row],[Customer_Satisfaction]]=3,"Neutral",Table1[[#This Row],[Customer_Satisfaction]]=4,"Good",Table1[[#This Row],[Customer_Satisfaction]]=5,"Good")</f>
        <v>Poor</v>
      </c>
    </row>
    <row r="1896" spans="1:27" x14ac:dyDescent="0.35">
      <c r="A1896">
        <v>21894</v>
      </c>
      <c r="B1896" s="1">
        <v>45321</v>
      </c>
      <c r="C1896" t="s">
        <v>37</v>
      </c>
      <c r="D1896" t="s">
        <v>38</v>
      </c>
      <c r="E1896" t="s">
        <v>102</v>
      </c>
      <c r="F1896" t="s">
        <v>40</v>
      </c>
      <c r="G1896" t="s">
        <v>47</v>
      </c>
      <c r="H1896" t="s">
        <v>48</v>
      </c>
      <c r="I1896" t="s">
        <v>25</v>
      </c>
      <c r="J1896" t="s">
        <v>67</v>
      </c>
      <c r="K1896" t="s">
        <v>61</v>
      </c>
      <c r="L1896" t="s">
        <v>28</v>
      </c>
      <c r="M1896" s="4">
        <v>24</v>
      </c>
      <c r="N1896" s="4">
        <v>7</v>
      </c>
      <c r="O1896" t="s">
        <v>36</v>
      </c>
      <c r="P1896" t="s">
        <v>36</v>
      </c>
      <c r="Q1896" s="4">
        <v>422606</v>
      </c>
      <c r="R1896" s="4">
        <v>354978</v>
      </c>
      <c r="S1896" s="4">
        <f>Table1[[#This Row],[Service_Revenue]]-Table1[[#This Row],[Service_Cost]]</f>
        <v>67628</v>
      </c>
      <c r="T1896" s="4">
        <v>1</v>
      </c>
      <c r="U1896" s="4">
        <f>IF(AND(Table1[[#This Row],[Rework_Flag]]="Yes",Table1[[#This Row],[Warranty_Claim]]="No"),Table1[[#This Row],[Service_Revenue]],0)</f>
        <v>0</v>
      </c>
      <c r="V1896" s="4">
        <f>IF(Table1[[#This Row],[Warranty_Claim]]="Yes",1,0)</f>
        <v>0</v>
      </c>
      <c r="W1896" s="4">
        <f>IF(Table1[[#This Row],[Rework_Flag]]="No",1,0)</f>
        <v>1</v>
      </c>
      <c r="X1896" s="4">
        <f>IF(Table1[[#This Row],[Rework_Flag]]="Yes",1,0)</f>
        <v>0</v>
      </c>
      <c r="Y1896" s="4">
        <v>1</v>
      </c>
      <c r="Z1896" s="4" t="str">
        <f>IF(Table1[[#This Row],[TAT_Days]]&gt;Table1[[#This Row],[SLA_TAT]],"Yes","No")</f>
        <v>Yes</v>
      </c>
      <c r="AA1896" s="4" t="str" cm="1">
        <f t="array" ref="AA1896">_xlfn.IFS(Table1[[#This Row],[Customer_Satisfaction]]&lt;=2,"Poor",Table1[[#This Row],[Customer_Satisfaction]]=3,"Neutral",Table1[[#This Row],[Customer_Satisfaction]]=4,"Good",Table1[[#This Row],[Customer_Satisfaction]]=5,"Good")</f>
        <v>Poor</v>
      </c>
    </row>
    <row r="1897" spans="1:27" x14ac:dyDescent="0.35">
      <c r="A1897">
        <v>21895</v>
      </c>
      <c r="B1897" s="1">
        <v>45310</v>
      </c>
      <c r="C1897" t="s">
        <v>19</v>
      </c>
      <c r="D1897" t="s">
        <v>96</v>
      </c>
      <c r="E1897" t="s">
        <v>105</v>
      </c>
      <c r="F1897" t="s">
        <v>22</v>
      </c>
      <c r="G1897" t="s">
        <v>47</v>
      </c>
      <c r="H1897" t="s">
        <v>48</v>
      </c>
      <c r="I1897" t="s">
        <v>25</v>
      </c>
      <c r="J1897" t="s">
        <v>35</v>
      </c>
      <c r="K1897" t="s">
        <v>61</v>
      </c>
      <c r="L1897" t="s">
        <v>28</v>
      </c>
      <c r="M1897" s="4">
        <v>5</v>
      </c>
      <c r="N1897" s="4">
        <v>7</v>
      </c>
      <c r="O1897" t="s">
        <v>29</v>
      </c>
      <c r="P1897" t="s">
        <v>36</v>
      </c>
      <c r="Q1897" s="4">
        <v>423871</v>
      </c>
      <c r="R1897" s="4">
        <v>269482</v>
      </c>
      <c r="S1897" s="4">
        <f>Table1[[#This Row],[Service_Revenue]]-Table1[[#This Row],[Service_Cost]]</f>
        <v>154389</v>
      </c>
      <c r="T1897" s="4">
        <v>3</v>
      </c>
      <c r="U1897" s="4">
        <f>IF(AND(Table1[[#This Row],[Rework_Flag]]="Yes",Table1[[#This Row],[Warranty_Claim]]="No"),Table1[[#This Row],[Service_Revenue]],0)</f>
        <v>423871</v>
      </c>
      <c r="V1897" s="4">
        <f>IF(Table1[[#This Row],[Warranty_Claim]]="Yes",1,0)</f>
        <v>0</v>
      </c>
      <c r="W1897" s="4">
        <f>IF(Table1[[#This Row],[Rework_Flag]]="No",1,0)</f>
        <v>0</v>
      </c>
      <c r="X1897" s="4">
        <f>IF(Table1[[#This Row],[Rework_Flag]]="Yes",1,0)</f>
        <v>1</v>
      </c>
      <c r="Y1897" s="4">
        <v>1</v>
      </c>
      <c r="Z1897" s="4" t="str">
        <f>IF(Table1[[#This Row],[TAT_Days]]&gt;Table1[[#This Row],[SLA_TAT]],"Yes","No")</f>
        <v>No</v>
      </c>
      <c r="AA1897" s="4" t="str" cm="1">
        <f t="array" ref="AA1897">_xlfn.IFS(Table1[[#This Row],[Customer_Satisfaction]]&lt;=2,"Poor",Table1[[#This Row],[Customer_Satisfaction]]=3,"Neutral",Table1[[#This Row],[Customer_Satisfaction]]=4,"Good",Table1[[#This Row],[Customer_Satisfaction]]=5,"Good")</f>
        <v>Neutral</v>
      </c>
    </row>
    <row r="1898" spans="1:27" x14ac:dyDescent="0.35">
      <c r="A1898">
        <v>21896</v>
      </c>
      <c r="B1898" s="1">
        <v>45386</v>
      </c>
      <c r="C1898" t="s">
        <v>37</v>
      </c>
      <c r="D1898" t="s">
        <v>64</v>
      </c>
      <c r="E1898" t="s">
        <v>103</v>
      </c>
      <c r="F1898" t="s">
        <v>40</v>
      </c>
      <c r="G1898" t="s">
        <v>74</v>
      </c>
      <c r="H1898" t="s">
        <v>34</v>
      </c>
      <c r="I1898" t="s">
        <v>55</v>
      </c>
      <c r="J1898" t="s">
        <v>26</v>
      </c>
      <c r="K1898" t="s">
        <v>27</v>
      </c>
      <c r="L1898" t="s">
        <v>49</v>
      </c>
      <c r="M1898" s="4">
        <v>9</v>
      </c>
      <c r="N1898" s="4">
        <v>7</v>
      </c>
      <c r="O1898" t="s">
        <v>29</v>
      </c>
      <c r="P1898" t="s">
        <v>36</v>
      </c>
      <c r="Q1898" s="4">
        <v>220862</v>
      </c>
      <c r="R1898" s="4">
        <v>147823</v>
      </c>
      <c r="S1898" s="4">
        <f>Table1[[#This Row],[Service_Revenue]]-Table1[[#This Row],[Service_Cost]]</f>
        <v>73039</v>
      </c>
      <c r="T1898" s="4">
        <v>3</v>
      </c>
      <c r="U1898" s="4">
        <f>IF(AND(Table1[[#This Row],[Rework_Flag]]="Yes",Table1[[#This Row],[Warranty_Claim]]="No"),Table1[[#This Row],[Service_Revenue]],0)</f>
        <v>220862</v>
      </c>
      <c r="V1898" s="4">
        <f>IF(Table1[[#This Row],[Warranty_Claim]]="Yes",1,0)</f>
        <v>0</v>
      </c>
      <c r="W1898" s="4">
        <f>IF(Table1[[#This Row],[Rework_Flag]]="No",1,0)</f>
        <v>0</v>
      </c>
      <c r="X1898" s="4">
        <f>IF(Table1[[#This Row],[Rework_Flag]]="Yes",1,0)</f>
        <v>1</v>
      </c>
      <c r="Y1898" s="4">
        <v>1</v>
      </c>
      <c r="Z1898" s="4" t="str">
        <f>IF(Table1[[#This Row],[TAT_Days]]&gt;Table1[[#This Row],[SLA_TAT]],"Yes","No")</f>
        <v>Yes</v>
      </c>
      <c r="AA1898" s="4" t="str" cm="1">
        <f t="array" ref="AA1898">_xlfn.IFS(Table1[[#This Row],[Customer_Satisfaction]]&lt;=2,"Poor",Table1[[#This Row],[Customer_Satisfaction]]=3,"Neutral",Table1[[#This Row],[Customer_Satisfaction]]=4,"Good",Table1[[#This Row],[Customer_Satisfaction]]=5,"Good")</f>
        <v>Neutral</v>
      </c>
    </row>
    <row r="1899" spans="1:27" x14ac:dyDescent="0.35">
      <c r="A1899">
        <v>21897</v>
      </c>
      <c r="B1899" s="1">
        <v>45433</v>
      </c>
      <c r="C1899" t="s">
        <v>19</v>
      </c>
      <c r="D1899" t="s">
        <v>45</v>
      </c>
      <c r="E1899" t="s">
        <v>111</v>
      </c>
      <c r="F1899" t="s">
        <v>40</v>
      </c>
      <c r="G1899" t="s">
        <v>63</v>
      </c>
      <c r="H1899" t="s">
        <v>24</v>
      </c>
      <c r="I1899" t="s">
        <v>55</v>
      </c>
      <c r="J1899" t="s">
        <v>58</v>
      </c>
      <c r="K1899" t="s">
        <v>61</v>
      </c>
      <c r="L1899" t="s">
        <v>28</v>
      </c>
      <c r="M1899" s="4">
        <v>15</v>
      </c>
      <c r="N1899" s="4">
        <v>7</v>
      </c>
      <c r="O1899" t="s">
        <v>29</v>
      </c>
      <c r="P1899" t="s">
        <v>36</v>
      </c>
      <c r="Q1899" s="4">
        <v>263811</v>
      </c>
      <c r="R1899" s="4">
        <v>174558</v>
      </c>
      <c r="S1899" s="4">
        <f>Table1[[#This Row],[Service_Revenue]]-Table1[[#This Row],[Service_Cost]]</f>
        <v>89253</v>
      </c>
      <c r="T1899" s="4">
        <v>1</v>
      </c>
      <c r="U1899" s="4">
        <f>IF(AND(Table1[[#This Row],[Rework_Flag]]="Yes",Table1[[#This Row],[Warranty_Claim]]="No"),Table1[[#This Row],[Service_Revenue]],0)</f>
        <v>263811</v>
      </c>
      <c r="V1899" s="4">
        <f>IF(Table1[[#This Row],[Warranty_Claim]]="Yes",1,0)</f>
        <v>0</v>
      </c>
      <c r="W1899" s="4">
        <f>IF(Table1[[#This Row],[Rework_Flag]]="No",1,0)</f>
        <v>0</v>
      </c>
      <c r="X1899" s="4">
        <f>IF(Table1[[#This Row],[Rework_Flag]]="Yes",1,0)</f>
        <v>1</v>
      </c>
      <c r="Y1899" s="4">
        <v>1</v>
      </c>
      <c r="Z1899" s="4" t="str">
        <f>IF(Table1[[#This Row],[TAT_Days]]&gt;Table1[[#This Row],[SLA_TAT]],"Yes","No")</f>
        <v>Yes</v>
      </c>
      <c r="AA1899" s="4" t="str" cm="1">
        <f t="array" ref="AA1899">_xlfn.IFS(Table1[[#This Row],[Customer_Satisfaction]]&lt;=2,"Poor",Table1[[#This Row],[Customer_Satisfaction]]=3,"Neutral",Table1[[#This Row],[Customer_Satisfaction]]=4,"Good",Table1[[#This Row],[Customer_Satisfaction]]=5,"Good")</f>
        <v>Poor</v>
      </c>
    </row>
    <row r="1900" spans="1:27" x14ac:dyDescent="0.35">
      <c r="A1900">
        <v>21898</v>
      </c>
      <c r="B1900" s="1">
        <v>45424</v>
      </c>
      <c r="C1900" t="s">
        <v>37</v>
      </c>
      <c r="D1900" t="s">
        <v>70</v>
      </c>
      <c r="E1900" t="s">
        <v>91</v>
      </c>
      <c r="F1900" t="s">
        <v>40</v>
      </c>
      <c r="G1900" t="s">
        <v>63</v>
      </c>
      <c r="H1900" t="s">
        <v>24</v>
      </c>
      <c r="I1900" t="s">
        <v>55</v>
      </c>
      <c r="J1900" t="s">
        <v>67</v>
      </c>
      <c r="K1900" t="s">
        <v>27</v>
      </c>
      <c r="L1900" t="s">
        <v>28</v>
      </c>
      <c r="M1900" s="4">
        <v>17</v>
      </c>
      <c r="N1900" s="4">
        <v>7</v>
      </c>
      <c r="O1900" t="s">
        <v>29</v>
      </c>
      <c r="P1900" t="s">
        <v>29</v>
      </c>
      <c r="Q1900" s="4">
        <v>458279</v>
      </c>
      <c r="R1900" s="4">
        <v>266177</v>
      </c>
      <c r="S1900" s="4">
        <f>Table1[[#This Row],[Service_Revenue]]-Table1[[#This Row],[Service_Cost]]</f>
        <v>192102</v>
      </c>
      <c r="T1900" s="4">
        <v>1</v>
      </c>
      <c r="U1900" s="4">
        <f>IF(AND(Table1[[#This Row],[Rework_Flag]]="Yes",Table1[[#This Row],[Warranty_Claim]]="No"),Table1[[#This Row],[Service_Revenue]],0)</f>
        <v>0</v>
      </c>
      <c r="V1900" s="4">
        <f>IF(Table1[[#This Row],[Warranty_Claim]]="Yes",1,0)</f>
        <v>1</v>
      </c>
      <c r="W1900" s="4">
        <f>IF(Table1[[#This Row],[Rework_Flag]]="No",1,0)</f>
        <v>0</v>
      </c>
      <c r="X1900" s="4">
        <f>IF(Table1[[#This Row],[Rework_Flag]]="Yes",1,0)</f>
        <v>1</v>
      </c>
      <c r="Y1900" s="4">
        <v>1</v>
      </c>
      <c r="Z1900" s="4" t="str">
        <f>IF(Table1[[#This Row],[TAT_Days]]&gt;Table1[[#This Row],[SLA_TAT]],"Yes","No")</f>
        <v>Yes</v>
      </c>
      <c r="AA1900" s="4" t="str" cm="1">
        <f t="array" ref="AA1900">_xlfn.IFS(Table1[[#This Row],[Customer_Satisfaction]]&lt;=2,"Poor",Table1[[#This Row],[Customer_Satisfaction]]=3,"Neutral",Table1[[#This Row],[Customer_Satisfaction]]=4,"Good",Table1[[#This Row],[Customer_Satisfaction]]=5,"Good")</f>
        <v>Poor</v>
      </c>
    </row>
    <row r="1901" spans="1:27" x14ac:dyDescent="0.35">
      <c r="A1901">
        <v>21899</v>
      </c>
      <c r="B1901" s="1">
        <v>45462</v>
      </c>
      <c r="C1901" t="s">
        <v>19</v>
      </c>
      <c r="D1901" t="s">
        <v>45</v>
      </c>
      <c r="E1901" t="s">
        <v>76</v>
      </c>
      <c r="F1901" t="s">
        <v>40</v>
      </c>
      <c r="G1901" t="s">
        <v>74</v>
      </c>
      <c r="H1901" t="s">
        <v>34</v>
      </c>
      <c r="I1901" t="s">
        <v>55</v>
      </c>
      <c r="J1901" t="s">
        <v>43</v>
      </c>
      <c r="K1901" t="s">
        <v>61</v>
      </c>
      <c r="L1901" t="s">
        <v>49</v>
      </c>
      <c r="M1901" s="4">
        <v>13</v>
      </c>
      <c r="N1901" s="4">
        <v>7</v>
      </c>
      <c r="O1901" t="s">
        <v>29</v>
      </c>
      <c r="P1901" t="s">
        <v>36</v>
      </c>
      <c r="Q1901" s="4">
        <v>303206</v>
      </c>
      <c r="R1901" s="4">
        <v>206719</v>
      </c>
      <c r="S1901" s="4">
        <f>Table1[[#This Row],[Service_Revenue]]-Table1[[#This Row],[Service_Cost]]</f>
        <v>96487</v>
      </c>
      <c r="T1901" s="4">
        <v>2</v>
      </c>
      <c r="U1901" s="4">
        <f>IF(AND(Table1[[#This Row],[Rework_Flag]]="Yes",Table1[[#This Row],[Warranty_Claim]]="No"),Table1[[#This Row],[Service_Revenue]],0)</f>
        <v>303206</v>
      </c>
      <c r="V1901" s="4">
        <f>IF(Table1[[#This Row],[Warranty_Claim]]="Yes",1,0)</f>
        <v>0</v>
      </c>
      <c r="W1901" s="4">
        <f>IF(Table1[[#This Row],[Rework_Flag]]="No",1,0)</f>
        <v>0</v>
      </c>
      <c r="X1901" s="4">
        <f>IF(Table1[[#This Row],[Rework_Flag]]="Yes",1,0)</f>
        <v>1</v>
      </c>
      <c r="Y1901" s="4">
        <v>1</v>
      </c>
      <c r="Z1901" s="4" t="str">
        <f>IF(Table1[[#This Row],[TAT_Days]]&gt;Table1[[#This Row],[SLA_TAT]],"Yes","No")</f>
        <v>Yes</v>
      </c>
      <c r="AA1901" s="4" t="str" cm="1">
        <f t="array" ref="AA1901">_xlfn.IFS(Table1[[#This Row],[Customer_Satisfaction]]&lt;=2,"Poor",Table1[[#This Row],[Customer_Satisfaction]]=3,"Neutral",Table1[[#This Row],[Customer_Satisfaction]]=4,"Good",Table1[[#This Row],[Customer_Satisfaction]]=5,"Good")</f>
        <v>Poor</v>
      </c>
    </row>
    <row r="1902" spans="1:27" x14ac:dyDescent="0.35">
      <c r="A1902">
        <v>21900</v>
      </c>
      <c r="B1902" s="1">
        <v>45298</v>
      </c>
      <c r="C1902" t="s">
        <v>30</v>
      </c>
      <c r="D1902" t="s">
        <v>31</v>
      </c>
      <c r="E1902" t="s">
        <v>32</v>
      </c>
      <c r="F1902" t="s">
        <v>53</v>
      </c>
      <c r="G1902" t="s">
        <v>23</v>
      </c>
      <c r="H1902" t="s">
        <v>24</v>
      </c>
      <c r="I1902" t="s">
        <v>55</v>
      </c>
      <c r="J1902" t="s">
        <v>26</v>
      </c>
      <c r="K1902" t="s">
        <v>27</v>
      </c>
      <c r="L1902" t="s">
        <v>28</v>
      </c>
      <c r="M1902" s="4">
        <v>23</v>
      </c>
      <c r="N1902" s="4">
        <v>7</v>
      </c>
      <c r="O1902" t="s">
        <v>29</v>
      </c>
      <c r="P1902" t="s">
        <v>36</v>
      </c>
      <c r="Q1902" s="4">
        <v>230132</v>
      </c>
      <c r="R1902" s="4">
        <v>119936</v>
      </c>
      <c r="S1902" s="4">
        <f>Table1[[#This Row],[Service_Revenue]]-Table1[[#This Row],[Service_Cost]]</f>
        <v>110196</v>
      </c>
      <c r="T1902" s="4">
        <v>1</v>
      </c>
      <c r="U1902" s="4">
        <f>IF(AND(Table1[[#This Row],[Rework_Flag]]="Yes",Table1[[#This Row],[Warranty_Claim]]="No"),Table1[[#This Row],[Service_Revenue]],0)</f>
        <v>230132</v>
      </c>
      <c r="V1902" s="4">
        <f>IF(Table1[[#This Row],[Warranty_Claim]]="Yes",1,0)</f>
        <v>0</v>
      </c>
      <c r="W1902" s="4">
        <f>IF(Table1[[#This Row],[Rework_Flag]]="No",1,0)</f>
        <v>0</v>
      </c>
      <c r="X1902" s="4">
        <f>IF(Table1[[#This Row],[Rework_Flag]]="Yes",1,0)</f>
        <v>1</v>
      </c>
      <c r="Y1902" s="4">
        <v>1</v>
      </c>
      <c r="Z1902" s="4" t="str">
        <f>IF(Table1[[#This Row],[TAT_Days]]&gt;Table1[[#This Row],[SLA_TAT]],"Yes","No")</f>
        <v>Yes</v>
      </c>
      <c r="AA1902" s="4" t="str" cm="1">
        <f t="array" ref="AA1902">_xlfn.IFS(Table1[[#This Row],[Customer_Satisfaction]]&lt;=2,"Poor",Table1[[#This Row],[Customer_Satisfaction]]=3,"Neutral",Table1[[#This Row],[Customer_Satisfaction]]=4,"Good",Table1[[#This Row],[Customer_Satisfaction]]=5,"Good")</f>
        <v>Poor</v>
      </c>
    </row>
    <row r="1903" spans="1:27" x14ac:dyDescent="0.35">
      <c r="A1903">
        <v>21901</v>
      </c>
      <c r="B1903" s="1">
        <v>45442</v>
      </c>
      <c r="C1903" t="s">
        <v>19</v>
      </c>
      <c r="D1903" t="s">
        <v>45</v>
      </c>
      <c r="E1903" t="s">
        <v>114</v>
      </c>
      <c r="F1903" t="s">
        <v>40</v>
      </c>
      <c r="G1903" t="s">
        <v>63</v>
      </c>
      <c r="H1903" t="s">
        <v>24</v>
      </c>
      <c r="I1903" t="s">
        <v>25</v>
      </c>
      <c r="J1903" t="s">
        <v>26</v>
      </c>
      <c r="K1903" t="s">
        <v>44</v>
      </c>
      <c r="L1903" t="s">
        <v>28</v>
      </c>
      <c r="M1903" s="4">
        <v>25</v>
      </c>
      <c r="N1903" s="4">
        <v>7</v>
      </c>
      <c r="O1903" t="s">
        <v>36</v>
      </c>
      <c r="P1903" t="s">
        <v>36</v>
      </c>
      <c r="Q1903" s="4">
        <v>218647</v>
      </c>
      <c r="R1903" s="4">
        <v>116296</v>
      </c>
      <c r="S1903" s="4">
        <f>Table1[[#This Row],[Service_Revenue]]-Table1[[#This Row],[Service_Cost]]</f>
        <v>102351</v>
      </c>
      <c r="T1903" s="4">
        <v>1</v>
      </c>
      <c r="U1903" s="4">
        <f>IF(AND(Table1[[#This Row],[Rework_Flag]]="Yes",Table1[[#This Row],[Warranty_Claim]]="No"),Table1[[#This Row],[Service_Revenue]],0)</f>
        <v>0</v>
      </c>
      <c r="V1903" s="4">
        <f>IF(Table1[[#This Row],[Warranty_Claim]]="Yes",1,0)</f>
        <v>0</v>
      </c>
      <c r="W1903" s="4">
        <f>IF(Table1[[#This Row],[Rework_Flag]]="No",1,0)</f>
        <v>1</v>
      </c>
      <c r="X1903" s="4">
        <f>IF(Table1[[#This Row],[Rework_Flag]]="Yes",1,0)</f>
        <v>0</v>
      </c>
      <c r="Y1903" s="4">
        <v>1</v>
      </c>
      <c r="Z1903" s="4" t="str">
        <f>IF(Table1[[#This Row],[TAT_Days]]&gt;Table1[[#This Row],[SLA_TAT]],"Yes","No")</f>
        <v>Yes</v>
      </c>
      <c r="AA1903" s="4" t="str" cm="1">
        <f t="array" ref="AA1903">_xlfn.IFS(Table1[[#This Row],[Customer_Satisfaction]]&lt;=2,"Poor",Table1[[#This Row],[Customer_Satisfaction]]=3,"Neutral",Table1[[#This Row],[Customer_Satisfaction]]=4,"Good",Table1[[#This Row],[Customer_Satisfaction]]=5,"Good")</f>
        <v>Poor</v>
      </c>
    </row>
    <row r="1904" spans="1:27" x14ac:dyDescent="0.35">
      <c r="A1904">
        <v>21902</v>
      </c>
      <c r="B1904" s="1">
        <v>45332</v>
      </c>
      <c r="C1904" t="s">
        <v>37</v>
      </c>
      <c r="D1904" t="s">
        <v>70</v>
      </c>
      <c r="E1904" t="s">
        <v>100</v>
      </c>
      <c r="F1904" t="s">
        <v>22</v>
      </c>
      <c r="G1904" t="s">
        <v>23</v>
      </c>
      <c r="H1904" t="s">
        <v>24</v>
      </c>
      <c r="I1904" t="s">
        <v>55</v>
      </c>
      <c r="J1904" t="s">
        <v>58</v>
      </c>
      <c r="K1904" t="s">
        <v>27</v>
      </c>
      <c r="L1904" t="s">
        <v>49</v>
      </c>
      <c r="M1904" s="4">
        <v>10</v>
      </c>
      <c r="N1904" s="4">
        <v>7</v>
      </c>
      <c r="O1904" t="s">
        <v>29</v>
      </c>
      <c r="P1904" t="s">
        <v>29</v>
      </c>
      <c r="Q1904" s="4">
        <v>438241</v>
      </c>
      <c r="R1904" s="4">
        <v>261305</v>
      </c>
      <c r="S1904" s="4">
        <f>Table1[[#This Row],[Service_Revenue]]-Table1[[#This Row],[Service_Cost]]</f>
        <v>176936</v>
      </c>
      <c r="T1904" s="4">
        <v>2</v>
      </c>
      <c r="U1904" s="4">
        <f>IF(AND(Table1[[#This Row],[Rework_Flag]]="Yes",Table1[[#This Row],[Warranty_Claim]]="No"),Table1[[#This Row],[Service_Revenue]],0)</f>
        <v>0</v>
      </c>
      <c r="V1904" s="4">
        <f>IF(Table1[[#This Row],[Warranty_Claim]]="Yes",1,0)</f>
        <v>1</v>
      </c>
      <c r="W1904" s="4">
        <f>IF(Table1[[#This Row],[Rework_Flag]]="No",1,0)</f>
        <v>0</v>
      </c>
      <c r="X1904" s="4">
        <f>IF(Table1[[#This Row],[Rework_Flag]]="Yes",1,0)</f>
        <v>1</v>
      </c>
      <c r="Y1904" s="4">
        <v>1</v>
      </c>
      <c r="Z1904" s="4" t="str">
        <f>IF(Table1[[#This Row],[TAT_Days]]&gt;Table1[[#This Row],[SLA_TAT]],"Yes","No")</f>
        <v>Yes</v>
      </c>
      <c r="AA1904" s="4" t="str" cm="1">
        <f t="array" ref="AA1904">_xlfn.IFS(Table1[[#This Row],[Customer_Satisfaction]]&lt;=2,"Poor",Table1[[#This Row],[Customer_Satisfaction]]=3,"Neutral",Table1[[#This Row],[Customer_Satisfaction]]=4,"Good",Table1[[#This Row],[Customer_Satisfaction]]=5,"Good")</f>
        <v>Poor</v>
      </c>
    </row>
    <row r="1905" spans="1:27" x14ac:dyDescent="0.35">
      <c r="A1905">
        <v>21903</v>
      </c>
      <c r="B1905" s="1">
        <v>45375</v>
      </c>
      <c r="C1905" t="s">
        <v>37</v>
      </c>
      <c r="D1905" t="s">
        <v>38</v>
      </c>
      <c r="E1905" t="s">
        <v>93</v>
      </c>
      <c r="F1905" t="s">
        <v>22</v>
      </c>
      <c r="G1905" t="s">
        <v>47</v>
      </c>
      <c r="H1905" t="s">
        <v>48</v>
      </c>
      <c r="I1905" t="s">
        <v>25</v>
      </c>
      <c r="J1905" t="s">
        <v>67</v>
      </c>
      <c r="K1905" t="s">
        <v>27</v>
      </c>
      <c r="L1905" t="s">
        <v>28</v>
      </c>
      <c r="M1905" s="4">
        <v>19</v>
      </c>
      <c r="N1905" s="4">
        <v>7</v>
      </c>
      <c r="O1905" t="s">
        <v>29</v>
      </c>
      <c r="P1905" t="s">
        <v>36</v>
      </c>
      <c r="Q1905" s="4">
        <v>450785</v>
      </c>
      <c r="R1905" s="4">
        <v>295886</v>
      </c>
      <c r="S1905" s="4">
        <f>Table1[[#This Row],[Service_Revenue]]-Table1[[#This Row],[Service_Cost]]</f>
        <v>154899</v>
      </c>
      <c r="T1905" s="4">
        <v>1</v>
      </c>
      <c r="U1905" s="4">
        <f>IF(AND(Table1[[#This Row],[Rework_Flag]]="Yes",Table1[[#This Row],[Warranty_Claim]]="No"),Table1[[#This Row],[Service_Revenue]],0)</f>
        <v>450785</v>
      </c>
      <c r="V1905" s="4">
        <f>IF(Table1[[#This Row],[Warranty_Claim]]="Yes",1,0)</f>
        <v>0</v>
      </c>
      <c r="W1905" s="4">
        <f>IF(Table1[[#This Row],[Rework_Flag]]="No",1,0)</f>
        <v>0</v>
      </c>
      <c r="X1905" s="4">
        <f>IF(Table1[[#This Row],[Rework_Flag]]="Yes",1,0)</f>
        <v>1</v>
      </c>
      <c r="Y1905" s="4">
        <v>1</v>
      </c>
      <c r="Z1905" s="4" t="str">
        <f>IF(Table1[[#This Row],[TAT_Days]]&gt;Table1[[#This Row],[SLA_TAT]],"Yes","No")</f>
        <v>Yes</v>
      </c>
      <c r="AA1905" s="4" t="str" cm="1">
        <f t="array" ref="AA1905">_xlfn.IFS(Table1[[#This Row],[Customer_Satisfaction]]&lt;=2,"Poor",Table1[[#This Row],[Customer_Satisfaction]]=3,"Neutral",Table1[[#This Row],[Customer_Satisfaction]]=4,"Good",Table1[[#This Row],[Customer_Satisfaction]]=5,"Good")</f>
        <v>Poor</v>
      </c>
    </row>
    <row r="1906" spans="1:27" x14ac:dyDescent="0.35">
      <c r="A1906">
        <v>21904</v>
      </c>
      <c r="B1906" s="1">
        <v>45374</v>
      </c>
      <c r="C1906" t="s">
        <v>30</v>
      </c>
      <c r="D1906" t="s">
        <v>31</v>
      </c>
      <c r="E1906" t="s">
        <v>106</v>
      </c>
      <c r="F1906" t="s">
        <v>40</v>
      </c>
      <c r="G1906" t="s">
        <v>41</v>
      </c>
      <c r="H1906" t="s">
        <v>42</v>
      </c>
      <c r="I1906" t="s">
        <v>25</v>
      </c>
      <c r="J1906" t="s">
        <v>58</v>
      </c>
      <c r="K1906" t="s">
        <v>44</v>
      </c>
      <c r="L1906" t="s">
        <v>49</v>
      </c>
      <c r="M1906" s="4">
        <v>25</v>
      </c>
      <c r="N1906" s="4">
        <v>7</v>
      </c>
      <c r="O1906" t="s">
        <v>36</v>
      </c>
      <c r="P1906" t="s">
        <v>36</v>
      </c>
      <c r="Q1906" s="4">
        <v>546906</v>
      </c>
      <c r="R1906" s="4">
        <v>411242</v>
      </c>
      <c r="S1906" s="4">
        <f>Table1[[#This Row],[Service_Revenue]]-Table1[[#This Row],[Service_Cost]]</f>
        <v>135664</v>
      </c>
      <c r="T1906" s="4">
        <v>1</v>
      </c>
      <c r="U1906" s="4">
        <f>IF(AND(Table1[[#This Row],[Rework_Flag]]="Yes",Table1[[#This Row],[Warranty_Claim]]="No"),Table1[[#This Row],[Service_Revenue]],0)</f>
        <v>0</v>
      </c>
      <c r="V1906" s="4">
        <f>IF(Table1[[#This Row],[Warranty_Claim]]="Yes",1,0)</f>
        <v>0</v>
      </c>
      <c r="W1906" s="4">
        <f>IF(Table1[[#This Row],[Rework_Flag]]="No",1,0)</f>
        <v>1</v>
      </c>
      <c r="X1906" s="4">
        <f>IF(Table1[[#This Row],[Rework_Flag]]="Yes",1,0)</f>
        <v>0</v>
      </c>
      <c r="Y1906" s="4">
        <v>1</v>
      </c>
      <c r="Z1906" s="4" t="str">
        <f>IF(Table1[[#This Row],[TAT_Days]]&gt;Table1[[#This Row],[SLA_TAT]],"Yes","No")</f>
        <v>Yes</v>
      </c>
      <c r="AA1906" s="4" t="str" cm="1">
        <f t="array" ref="AA1906">_xlfn.IFS(Table1[[#This Row],[Customer_Satisfaction]]&lt;=2,"Poor",Table1[[#This Row],[Customer_Satisfaction]]=3,"Neutral",Table1[[#This Row],[Customer_Satisfaction]]=4,"Good",Table1[[#This Row],[Customer_Satisfaction]]=5,"Good")</f>
        <v>Poor</v>
      </c>
    </row>
    <row r="1907" spans="1:27" x14ac:dyDescent="0.35">
      <c r="A1907">
        <v>21905</v>
      </c>
      <c r="B1907" s="1">
        <v>45404</v>
      </c>
      <c r="C1907" t="s">
        <v>30</v>
      </c>
      <c r="D1907" t="s">
        <v>59</v>
      </c>
      <c r="E1907" t="s">
        <v>94</v>
      </c>
      <c r="F1907" t="s">
        <v>22</v>
      </c>
      <c r="G1907" t="s">
        <v>63</v>
      </c>
      <c r="H1907" t="s">
        <v>24</v>
      </c>
      <c r="I1907" t="s">
        <v>55</v>
      </c>
      <c r="J1907" t="s">
        <v>67</v>
      </c>
      <c r="K1907" t="s">
        <v>44</v>
      </c>
      <c r="L1907" t="s">
        <v>49</v>
      </c>
      <c r="M1907" s="4">
        <v>25</v>
      </c>
      <c r="N1907" s="4">
        <v>7</v>
      </c>
      <c r="O1907" t="s">
        <v>36</v>
      </c>
      <c r="P1907" t="s">
        <v>29</v>
      </c>
      <c r="Q1907" s="4">
        <v>403133</v>
      </c>
      <c r="R1907" s="4">
        <v>306100</v>
      </c>
      <c r="S1907" s="4">
        <f>Table1[[#This Row],[Service_Revenue]]-Table1[[#This Row],[Service_Cost]]</f>
        <v>97033</v>
      </c>
      <c r="T1907" s="4">
        <v>1</v>
      </c>
      <c r="U1907" s="4">
        <f>IF(AND(Table1[[#This Row],[Rework_Flag]]="Yes",Table1[[#This Row],[Warranty_Claim]]="No"),Table1[[#This Row],[Service_Revenue]],0)</f>
        <v>0</v>
      </c>
      <c r="V1907" s="4">
        <f>IF(Table1[[#This Row],[Warranty_Claim]]="Yes",1,0)</f>
        <v>1</v>
      </c>
      <c r="W1907" s="4">
        <f>IF(Table1[[#This Row],[Rework_Flag]]="No",1,0)</f>
        <v>1</v>
      </c>
      <c r="X1907" s="4">
        <f>IF(Table1[[#This Row],[Rework_Flag]]="Yes",1,0)</f>
        <v>0</v>
      </c>
      <c r="Y1907" s="4">
        <v>1</v>
      </c>
      <c r="Z1907" s="4" t="str">
        <f>IF(Table1[[#This Row],[TAT_Days]]&gt;Table1[[#This Row],[SLA_TAT]],"Yes","No")</f>
        <v>Yes</v>
      </c>
      <c r="AA1907" s="4" t="str" cm="1">
        <f t="array" ref="AA1907">_xlfn.IFS(Table1[[#This Row],[Customer_Satisfaction]]&lt;=2,"Poor",Table1[[#This Row],[Customer_Satisfaction]]=3,"Neutral",Table1[[#This Row],[Customer_Satisfaction]]=4,"Good",Table1[[#This Row],[Customer_Satisfaction]]=5,"Good")</f>
        <v>Poor</v>
      </c>
    </row>
    <row r="1908" spans="1:27" x14ac:dyDescent="0.35">
      <c r="A1908">
        <v>21906</v>
      </c>
      <c r="B1908" s="1">
        <v>45432</v>
      </c>
      <c r="C1908" t="s">
        <v>50</v>
      </c>
      <c r="D1908" t="s">
        <v>56</v>
      </c>
      <c r="E1908" t="s">
        <v>57</v>
      </c>
      <c r="F1908" t="s">
        <v>53</v>
      </c>
      <c r="G1908" t="s">
        <v>23</v>
      </c>
      <c r="H1908" t="s">
        <v>24</v>
      </c>
      <c r="I1908" t="s">
        <v>55</v>
      </c>
      <c r="J1908" t="s">
        <v>35</v>
      </c>
      <c r="K1908" t="s">
        <v>61</v>
      </c>
      <c r="L1908" t="s">
        <v>49</v>
      </c>
      <c r="M1908" s="4">
        <v>24</v>
      </c>
      <c r="N1908" s="4">
        <v>7</v>
      </c>
      <c r="O1908" t="s">
        <v>29</v>
      </c>
      <c r="P1908" t="s">
        <v>29</v>
      </c>
      <c r="Q1908" s="4">
        <v>267017</v>
      </c>
      <c r="R1908" s="4">
        <v>207620</v>
      </c>
      <c r="S1908" s="4">
        <f>Table1[[#This Row],[Service_Revenue]]-Table1[[#This Row],[Service_Cost]]</f>
        <v>59397</v>
      </c>
      <c r="T1908" s="4">
        <v>1</v>
      </c>
      <c r="U1908" s="4">
        <f>IF(AND(Table1[[#This Row],[Rework_Flag]]="Yes",Table1[[#This Row],[Warranty_Claim]]="No"),Table1[[#This Row],[Service_Revenue]],0)</f>
        <v>0</v>
      </c>
      <c r="V1908" s="4">
        <f>IF(Table1[[#This Row],[Warranty_Claim]]="Yes",1,0)</f>
        <v>1</v>
      </c>
      <c r="W1908" s="4">
        <f>IF(Table1[[#This Row],[Rework_Flag]]="No",1,0)</f>
        <v>0</v>
      </c>
      <c r="X1908" s="4">
        <f>IF(Table1[[#This Row],[Rework_Flag]]="Yes",1,0)</f>
        <v>1</v>
      </c>
      <c r="Y1908" s="4">
        <v>1</v>
      </c>
      <c r="Z1908" s="4" t="str">
        <f>IF(Table1[[#This Row],[TAT_Days]]&gt;Table1[[#This Row],[SLA_TAT]],"Yes","No")</f>
        <v>Yes</v>
      </c>
      <c r="AA1908" s="4" t="str" cm="1">
        <f t="array" ref="AA1908">_xlfn.IFS(Table1[[#This Row],[Customer_Satisfaction]]&lt;=2,"Poor",Table1[[#This Row],[Customer_Satisfaction]]=3,"Neutral",Table1[[#This Row],[Customer_Satisfaction]]=4,"Good",Table1[[#This Row],[Customer_Satisfaction]]=5,"Good")</f>
        <v>Poor</v>
      </c>
    </row>
    <row r="1909" spans="1:27" x14ac:dyDescent="0.35">
      <c r="A1909">
        <v>21907</v>
      </c>
      <c r="B1909" s="1">
        <v>45394</v>
      </c>
      <c r="C1909" t="s">
        <v>50</v>
      </c>
      <c r="D1909" t="s">
        <v>51</v>
      </c>
      <c r="E1909" t="s">
        <v>52</v>
      </c>
      <c r="F1909" t="s">
        <v>40</v>
      </c>
      <c r="G1909" t="s">
        <v>74</v>
      </c>
      <c r="H1909" t="s">
        <v>34</v>
      </c>
      <c r="I1909" t="s">
        <v>25</v>
      </c>
      <c r="J1909" t="s">
        <v>26</v>
      </c>
      <c r="K1909" t="s">
        <v>44</v>
      </c>
      <c r="L1909" t="s">
        <v>28</v>
      </c>
      <c r="M1909" s="4">
        <v>11</v>
      </c>
      <c r="N1909" s="4">
        <v>7</v>
      </c>
      <c r="O1909" t="s">
        <v>36</v>
      </c>
      <c r="P1909" t="s">
        <v>36</v>
      </c>
      <c r="Q1909" s="4">
        <v>318077</v>
      </c>
      <c r="R1909" s="4">
        <v>234732</v>
      </c>
      <c r="S1909" s="4">
        <f>Table1[[#This Row],[Service_Revenue]]-Table1[[#This Row],[Service_Cost]]</f>
        <v>83345</v>
      </c>
      <c r="T1909" s="4">
        <v>3</v>
      </c>
      <c r="U1909" s="4">
        <f>IF(AND(Table1[[#This Row],[Rework_Flag]]="Yes",Table1[[#This Row],[Warranty_Claim]]="No"),Table1[[#This Row],[Service_Revenue]],0)</f>
        <v>0</v>
      </c>
      <c r="V1909" s="4">
        <f>IF(Table1[[#This Row],[Warranty_Claim]]="Yes",1,0)</f>
        <v>0</v>
      </c>
      <c r="W1909" s="4">
        <f>IF(Table1[[#This Row],[Rework_Flag]]="No",1,0)</f>
        <v>1</v>
      </c>
      <c r="X1909" s="4">
        <f>IF(Table1[[#This Row],[Rework_Flag]]="Yes",1,0)</f>
        <v>0</v>
      </c>
      <c r="Y1909" s="4">
        <v>1</v>
      </c>
      <c r="Z1909" s="4" t="str">
        <f>IF(Table1[[#This Row],[TAT_Days]]&gt;Table1[[#This Row],[SLA_TAT]],"Yes","No")</f>
        <v>Yes</v>
      </c>
      <c r="AA1909" s="4" t="str" cm="1">
        <f t="array" ref="AA1909">_xlfn.IFS(Table1[[#This Row],[Customer_Satisfaction]]&lt;=2,"Poor",Table1[[#This Row],[Customer_Satisfaction]]=3,"Neutral",Table1[[#This Row],[Customer_Satisfaction]]=4,"Good",Table1[[#This Row],[Customer_Satisfaction]]=5,"Good")</f>
        <v>Neutral</v>
      </c>
    </row>
    <row r="1910" spans="1:27" x14ac:dyDescent="0.35">
      <c r="A1910">
        <v>21908</v>
      </c>
      <c r="B1910" s="1">
        <v>45356</v>
      </c>
      <c r="C1910" t="s">
        <v>50</v>
      </c>
      <c r="D1910" t="s">
        <v>80</v>
      </c>
      <c r="E1910" t="s">
        <v>81</v>
      </c>
      <c r="F1910" t="s">
        <v>53</v>
      </c>
      <c r="G1910" t="s">
        <v>47</v>
      </c>
      <c r="H1910" t="s">
        <v>48</v>
      </c>
      <c r="I1910" t="s">
        <v>55</v>
      </c>
      <c r="J1910" t="s">
        <v>26</v>
      </c>
      <c r="K1910" t="s">
        <v>44</v>
      </c>
      <c r="L1910" t="s">
        <v>28</v>
      </c>
      <c r="M1910" s="4">
        <v>23</v>
      </c>
      <c r="N1910" s="4">
        <v>7</v>
      </c>
      <c r="O1910" t="s">
        <v>29</v>
      </c>
      <c r="P1910" t="s">
        <v>36</v>
      </c>
      <c r="Q1910" s="4">
        <v>115815</v>
      </c>
      <c r="R1910" s="4">
        <v>60780</v>
      </c>
      <c r="S1910" s="4">
        <f>Table1[[#This Row],[Service_Revenue]]-Table1[[#This Row],[Service_Cost]]</f>
        <v>55035</v>
      </c>
      <c r="T1910" s="4">
        <v>1</v>
      </c>
      <c r="U1910" s="4">
        <f>IF(AND(Table1[[#This Row],[Rework_Flag]]="Yes",Table1[[#This Row],[Warranty_Claim]]="No"),Table1[[#This Row],[Service_Revenue]],0)</f>
        <v>115815</v>
      </c>
      <c r="V1910" s="4">
        <f>IF(Table1[[#This Row],[Warranty_Claim]]="Yes",1,0)</f>
        <v>0</v>
      </c>
      <c r="W1910" s="4">
        <f>IF(Table1[[#This Row],[Rework_Flag]]="No",1,0)</f>
        <v>0</v>
      </c>
      <c r="X1910" s="4">
        <f>IF(Table1[[#This Row],[Rework_Flag]]="Yes",1,0)</f>
        <v>1</v>
      </c>
      <c r="Y1910" s="4">
        <v>1</v>
      </c>
      <c r="Z1910" s="4" t="str">
        <f>IF(Table1[[#This Row],[TAT_Days]]&gt;Table1[[#This Row],[SLA_TAT]],"Yes","No")</f>
        <v>Yes</v>
      </c>
      <c r="AA1910" s="4" t="str" cm="1">
        <f t="array" ref="AA1910">_xlfn.IFS(Table1[[#This Row],[Customer_Satisfaction]]&lt;=2,"Poor",Table1[[#This Row],[Customer_Satisfaction]]=3,"Neutral",Table1[[#This Row],[Customer_Satisfaction]]=4,"Good",Table1[[#This Row],[Customer_Satisfaction]]=5,"Good")</f>
        <v>Poor</v>
      </c>
    </row>
    <row r="1911" spans="1:27" x14ac:dyDescent="0.35">
      <c r="A1911">
        <v>21909</v>
      </c>
      <c r="B1911" s="1">
        <v>45408</v>
      </c>
      <c r="C1911" t="s">
        <v>50</v>
      </c>
      <c r="D1911" t="s">
        <v>56</v>
      </c>
      <c r="E1911" t="s">
        <v>57</v>
      </c>
      <c r="F1911" t="s">
        <v>22</v>
      </c>
      <c r="G1911" t="s">
        <v>74</v>
      </c>
      <c r="H1911" t="s">
        <v>34</v>
      </c>
      <c r="I1911" t="s">
        <v>55</v>
      </c>
      <c r="J1911" t="s">
        <v>67</v>
      </c>
      <c r="K1911" t="s">
        <v>27</v>
      </c>
      <c r="L1911" t="s">
        <v>28</v>
      </c>
      <c r="M1911" s="4">
        <v>18</v>
      </c>
      <c r="N1911" s="4">
        <v>7</v>
      </c>
      <c r="O1911" t="s">
        <v>29</v>
      </c>
      <c r="P1911" t="s">
        <v>29</v>
      </c>
      <c r="Q1911" s="4">
        <v>398265</v>
      </c>
      <c r="R1911" s="4">
        <v>219994</v>
      </c>
      <c r="S1911" s="4">
        <f>Table1[[#This Row],[Service_Revenue]]-Table1[[#This Row],[Service_Cost]]</f>
        <v>178271</v>
      </c>
      <c r="T1911" s="4">
        <v>1</v>
      </c>
      <c r="U1911" s="4">
        <f>IF(AND(Table1[[#This Row],[Rework_Flag]]="Yes",Table1[[#This Row],[Warranty_Claim]]="No"),Table1[[#This Row],[Service_Revenue]],0)</f>
        <v>0</v>
      </c>
      <c r="V1911" s="4">
        <f>IF(Table1[[#This Row],[Warranty_Claim]]="Yes",1,0)</f>
        <v>1</v>
      </c>
      <c r="W1911" s="4">
        <f>IF(Table1[[#This Row],[Rework_Flag]]="No",1,0)</f>
        <v>0</v>
      </c>
      <c r="X1911" s="4">
        <f>IF(Table1[[#This Row],[Rework_Flag]]="Yes",1,0)</f>
        <v>1</v>
      </c>
      <c r="Y1911" s="4">
        <v>1</v>
      </c>
      <c r="Z1911" s="4" t="str">
        <f>IF(Table1[[#This Row],[TAT_Days]]&gt;Table1[[#This Row],[SLA_TAT]],"Yes","No")</f>
        <v>Yes</v>
      </c>
      <c r="AA1911" s="4" t="str" cm="1">
        <f t="array" ref="AA1911">_xlfn.IFS(Table1[[#This Row],[Customer_Satisfaction]]&lt;=2,"Poor",Table1[[#This Row],[Customer_Satisfaction]]=3,"Neutral",Table1[[#This Row],[Customer_Satisfaction]]=4,"Good",Table1[[#This Row],[Customer_Satisfaction]]=5,"Good")</f>
        <v>Poor</v>
      </c>
    </row>
    <row r="1912" spans="1:27" x14ac:dyDescent="0.35">
      <c r="A1912">
        <v>21910</v>
      </c>
      <c r="B1912" s="1">
        <v>45339</v>
      </c>
      <c r="C1912" t="s">
        <v>50</v>
      </c>
      <c r="D1912" t="s">
        <v>80</v>
      </c>
      <c r="E1912" t="s">
        <v>118</v>
      </c>
      <c r="F1912" t="s">
        <v>40</v>
      </c>
      <c r="G1912" t="s">
        <v>63</v>
      </c>
      <c r="H1912" t="s">
        <v>24</v>
      </c>
      <c r="I1912" t="s">
        <v>55</v>
      </c>
      <c r="J1912" t="s">
        <v>35</v>
      </c>
      <c r="K1912" t="s">
        <v>61</v>
      </c>
      <c r="L1912" t="s">
        <v>28</v>
      </c>
      <c r="M1912" s="4">
        <v>9</v>
      </c>
      <c r="N1912" s="4">
        <v>7</v>
      </c>
      <c r="O1912" t="s">
        <v>29</v>
      </c>
      <c r="P1912" t="s">
        <v>36</v>
      </c>
      <c r="Q1912" s="4">
        <v>428051</v>
      </c>
      <c r="R1912" s="4">
        <v>314269</v>
      </c>
      <c r="S1912" s="4">
        <f>Table1[[#This Row],[Service_Revenue]]-Table1[[#This Row],[Service_Cost]]</f>
        <v>113782</v>
      </c>
      <c r="T1912" s="4">
        <v>3</v>
      </c>
      <c r="U1912" s="4">
        <f>IF(AND(Table1[[#This Row],[Rework_Flag]]="Yes",Table1[[#This Row],[Warranty_Claim]]="No"),Table1[[#This Row],[Service_Revenue]],0)</f>
        <v>428051</v>
      </c>
      <c r="V1912" s="4">
        <f>IF(Table1[[#This Row],[Warranty_Claim]]="Yes",1,0)</f>
        <v>0</v>
      </c>
      <c r="W1912" s="4">
        <f>IF(Table1[[#This Row],[Rework_Flag]]="No",1,0)</f>
        <v>0</v>
      </c>
      <c r="X1912" s="4">
        <f>IF(Table1[[#This Row],[Rework_Flag]]="Yes",1,0)</f>
        <v>1</v>
      </c>
      <c r="Y1912" s="4">
        <v>1</v>
      </c>
      <c r="Z1912" s="4" t="str">
        <f>IF(Table1[[#This Row],[TAT_Days]]&gt;Table1[[#This Row],[SLA_TAT]],"Yes","No")</f>
        <v>Yes</v>
      </c>
      <c r="AA1912" s="4" t="str" cm="1">
        <f t="array" ref="AA1912">_xlfn.IFS(Table1[[#This Row],[Customer_Satisfaction]]&lt;=2,"Poor",Table1[[#This Row],[Customer_Satisfaction]]=3,"Neutral",Table1[[#This Row],[Customer_Satisfaction]]=4,"Good",Table1[[#This Row],[Customer_Satisfaction]]=5,"Good")</f>
        <v>Neutral</v>
      </c>
    </row>
    <row r="1913" spans="1:27" x14ac:dyDescent="0.35">
      <c r="A1913">
        <v>21911</v>
      </c>
      <c r="B1913" s="1">
        <v>45424</v>
      </c>
      <c r="C1913" t="s">
        <v>37</v>
      </c>
      <c r="D1913" t="s">
        <v>38</v>
      </c>
      <c r="E1913" t="s">
        <v>93</v>
      </c>
      <c r="F1913" t="s">
        <v>22</v>
      </c>
      <c r="G1913" t="s">
        <v>47</v>
      </c>
      <c r="H1913" t="s">
        <v>48</v>
      </c>
      <c r="I1913" t="s">
        <v>55</v>
      </c>
      <c r="J1913" t="s">
        <v>26</v>
      </c>
      <c r="K1913" t="s">
        <v>44</v>
      </c>
      <c r="L1913" t="s">
        <v>28</v>
      </c>
      <c r="M1913" s="4">
        <v>15</v>
      </c>
      <c r="N1913" s="4">
        <v>7</v>
      </c>
      <c r="O1913" t="s">
        <v>29</v>
      </c>
      <c r="P1913" t="s">
        <v>36</v>
      </c>
      <c r="Q1913" s="4">
        <v>515467</v>
      </c>
      <c r="R1913" s="4">
        <v>408412</v>
      </c>
      <c r="S1913" s="4">
        <f>Table1[[#This Row],[Service_Revenue]]-Table1[[#This Row],[Service_Cost]]</f>
        <v>107055</v>
      </c>
      <c r="T1913" s="4">
        <v>1</v>
      </c>
      <c r="U1913" s="4">
        <f>IF(AND(Table1[[#This Row],[Rework_Flag]]="Yes",Table1[[#This Row],[Warranty_Claim]]="No"),Table1[[#This Row],[Service_Revenue]],0)</f>
        <v>515467</v>
      </c>
      <c r="V1913" s="4">
        <f>IF(Table1[[#This Row],[Warranty_Claim]]="Yes",1,0)</f>
        <v>0</v>
      </c>
      <c r="W1913" s="4">
        <f>IF(Table1[[#This Row],[Rework_Flag]]="No",1,0)</f>
        <v>0</v>
      </c>
      <c r="X1913" s="4">
        <f>IF(Table1[[#This Row],[Rework_Flag]]="Yes",1,0)</f>
        <v>1</v>
      </c>
      <c r="Y1913" s="4">
        <v>1</v>
      </c>
      <c r="Z1913" s="4" t="str">
        <f>IF(Table1[[#This Row],[TAT_Days]]&gt;Table1[[#This Row],[SLA_TAT]],"Yes","No")</f>
        <v>Yes</v>
      </c>
      <c r="AA1913" s="4" t="str" cm="1">
        <f t="array" ref="AA1913">_xlfn.IFS(Table1[[#This Row],[Customer_Satisfaction]]&lt;=2,"Poor",Table1[[#This Row],[Customer_Satisfaction]]=3,"Neutral",Table1[[#This Row],[Customer_Satisfaction]]=4,"Good",Table1[[#This Row],[Customer_Satisfaction]]=5,"Good")</f>
        <v>Poor</v>
      </c>
    </row>
    <row r="1914" spans="1:27" x14ac:dyDescent="0.35">
      <c r="A1914">
        <v>21912</v>
      </c>
      <c r="B1914" s="1">
        <v>45303</v>
      </c>
      <c r="C1914" t="s">
        <v>37</v>
      </c>
      <c r="D1914" t="s">
        <v>70</v>
      </c>
      <c r="E1914" t="s">
        <v>100</v>
      </c>
      <c r="F1914" t="s">
        <v>40</v>
      </c>
      <c r="G1914" t="s">
        <v>47</v>
      </c>
      <c r="H1914" t="s">
        <v>48</v>
      </c>
      <c r="I1914" t="s">
        <v>55</v>
      </c>
      <c r="J1914" t="s">
        <v>58</v>
      </c>
      <c r="K1914" t="s">
        <v>27</v>
      </c>
      <c r="L1914" t="s">
        <v>49</v>
      </c>
      <c r="M1914" s="4">
        <v>17</v>
      </c>
      <c r="N1914" s="4">
        <v>7</v>
      </c>
      <c r="O1914" t="s">
        <v>29</v>
      </c>
      <c r="P1914" t="s">
        <v>29</v>
      </c>
      <c r="Q1914" s="4">
        <v>554174</v>
      </c>
      <c r="R1914" s="4">
        <v>456217</v>
      </c>
      <c r="S1914" s="4">
        <f>Table1[[#This Row],[Service_Revenue]]-Table1[[#This Row],[Service_Cost]]</f>
        <v>97957</v>
      </c>
      <c r="T1914" s="4">
        <v>1</v>
      </c>
      <c r="U1914" s="4">
        <f>IF(AND(Table1[[#This Row],[Rework_Flag]]="Yes",Table1[[#This Row],[Warranty_Claim]]="No"),Table1[[#This Row],[Service_Revenue]],0)</f>
        <v>0</v>
      </c>
      <c r="V1914" s="4">
        <f>IF(Table1[[#This Row],[Warranty_Claim]]="Yes",1,0)</f>
        <v>1</v>
      </c>
      <c r="W1914" s="4">
        <f>IF(Table1[[#This Row],[Rework_Flag]]="No",1,0)</f>
        <v>0</v>
      </c>
      <c r="X1914" s="4">
        <f>IF(Table1[[#This Row],[Rework_Flag]]="Yes",1,0)</f>
        <v>1</v>
      </c>
      <c r="Y1914" s="4">
        <v>1</v>
      </c>
      <c r="Z1914" s="4" t="str">
        <f>IF(Table1[[#This Row],[TAT_Days]]&gt;Table1[[#This Row],[SLA_TAT]],"Yes","No")</f>
        <v>Yes</v>
      </c>
      <c r="AA1914" s="4" t="str" cm="1">
        <f t="array" ref="AA1914">_xlfn.IFS(Table1[[#This Row],[Customer_Satisfaction]]&lt;=2,"Poor",Table1[[#This Row],[Customer_Satisfaction]]=3,"Neutral",Table1[[#This Row],[Customer_Satisfaction]]=4,"Good",Table1[[#This Row],[Customer_Satisfaction]]=5,"Good")</f>
        <v>Poor</v>
      </c>
    </row>
    <row r="1915" spans="1:27" x14ac:dyDescent="0.35">
      <c r="A1915">
        <v>21913</v>
      </c>
      <c r="B1915" s="1">
        <v>45292</v>
      </c>
      <c r="C1915" t="s">
        <v>37</v>
      </c>
      <c r="D1915" t="s">
        <v>64</v>
      </c>
      <c r="E1915" t="s">
        <v>65</v>
      </c>
      <c r="F1915" t="s">
        <v>40</v>
      </c>
      <c r="G1915" t="s">
        <v>74</v>
      </c>
      <c r="H1915" t="s">
        <v>34</v>
      </c>
      <c r="I1915" t="s">
        <v>25</v>
      </c>
      <c r="J1915" t="s">
        <v>67</v>
      </c>
      <c r="K1915" t="s">
        <v>44</v>
      </c>
      <c r="L1915" t="s">
        <v>28</v>
      </c>
      <c r="M1915" s="4">
        <v>15</v>
      </c>
      <c r="N1915" s="4">
        <v>7</v>
      </c>
      <c r="O1915" t="s">
        <v>36</v>
      </c>
      <c r="P1915" t="s">
        <v>29</v>
      </c>
      <c r="Q1915" s="4">
        <v>490584</v>
      </c>
      <c r="R1915" s="4">
        <v>313708</v>
      </c>
      <c r="S1915" s="4">
        <f>Table1[[#This Row],[Service_Revenue]]-Table1[[#This Row],[Service_Cost]]</f>
        <v>176876</v>
      </c>
      <c r="T1915" s="4">
        <v>2</v>
      </c>
      <c r="U1915" s="4">
        <f>IF(AND(Table1[[#This Row],[Rework_Flag]]="Yes",Table1[[#This Row],[Warranty_Claim]]="No"),Table1[[#This Row],[Service_Revenue]],0)</f>
        <v>0</v>
      </c>
      <c r="V1915" s="4">
        <f>IF(Table1[[#This Row],[Warranty_Claim]]="Yes",1,0)</f>
        <v>1</v>
      </c>
      <c r="W1915" s="4">
        <f>IF(Table1[[#This Row],[Rework_Flag]]="No",1,0)</f>
        <v>1</v>
      </c>
      <c r="X1915" s="4">
        <f>IF(Table1[[#This Row],[Rework_Flag]]="Yes",1,0)</f>
        <v>0</v>
      </c>
      <c r="Y1915" s="4">
        <v>1</v>
      </c>
      <c r="Z1915" s="4" t="str">
        <f>IF(Table1[[#This Row],[TAT_Days]]&gt;Table1[[#This Row],[SLA_TAT]],"Yes","No")</f>
        <v>Yes</v>
      </c>
      <c r="AA1915" s="4" t="str" cm="1">
        <f t="array" ref="AA1915">_xlfn.IFS(Table1[[#This Row],[Customer_Satisfaction]]&lt;=2,"Poor",Table1[[#This Row],[Customer_Satisfaction]]=3,"Neutral",Table1[[#This Row],[Customer_Satisfaction]]=4,"Good",Table1[[#This Row],[Customer_Satisfaction]]=5,"Good")</f>
        <v>Poor</v>
      </c>
    </row>
    <row r="1916" spans="1:27" x14ac:dyDescent="0.35">
      <c r="A1916">
        <v>21914</v>
      </c>
      <c r="B1916" s="1">
        <v>45297</v>
      </c>
      <c r="C1916" t="s">
        <v>30</v>
      </c>
      <c r="D1916" t="s">
        <v>59</v>
      </c>
      <c r="E1916" t="s">
        <v>78</v>
      </c>
      <c r="F1916" t="s">
        <v>53</v>
      </c>
      <c r="G1916" t="s">
        <v>54</v>
      </c>
      <c r="H1916" t="s">
        <v>42</v>
      </c>
      <c r="I1916" t="s">
        <v>25</v>
      </c>
      <c r="J1916" t="s">
        <v>43</v>
      </c>
      <c r="K1916" t="s">
        <v>61</v>
      </c>
      <c r="L1916" t="s">
        <v>28</v>
      </c>
      <c r="M1916" s="4">
        <v>5</v>
      </c>
      <c r="N1916" s="4">
        <v>7</v>
      </c>
      <c r="O1916" t="s">
        <v>29</v>
      </c>
      <c r="P1916" t="s">
        <v>29</v>
      </c>
      <c r="Q1916" s="4">
        <v>314893</v>
      </c>
      <c r="R1916" s="4">
        <v>224493</v>
      </c>
      <c r="S1916" s="4">
        <f>Table1[[#This Row],[Service_Revenue]]-Table1[[#This Row],[Service_Cost]]</f>
        <v>90400</v>
      </c>
      <c r="T1916" s="4">
        <v>3</v>
      </c>
      <c r="U1916" s="4">
        <f>IF(AND(Table1[[#This Row],[Rework_Flag]]="Yes",Table1[[#This Row],[Warranty_Claim]]="No"),Table1[[#This Row],[Service_Revenue]],0)</f>
        <v>0</v>
      </c>
      <c r="V1916" s="4">
        <f>IF(Table1[[#This Row],[Warranty_Claim]]="Yes",1,0)</f>
        <v>1</v>
      </c>
      <c r="W1916" s="4">
        <f>IF(Table1[[#This Row],[Rework_Flag]]="No",1,0)</f>
        <v>0</v>
      </c>
      <c r="X1916" s="4">
        <f>IF(Table1[[#This Row],[Rework_Flag]]="Yes",1,0)</f>
        <v>1</v>
      </c>
      <c r="Y1916" s="4">
        <v>1</v>
      </c>
      <c r="Z1916" s="4" t="str">
        <f>IF(Table1[[#This Row],[TAT_Days]]&gt;Table1[[#This Row],[SLA_TAT]],"Yes","No")</f>
        <v>No</v>
      </c>
      <c r="AA1916" s="4" t="str" cm="1">
        <f t="array" ref="AA1916">_xlfn.IFS(Table1[[#This Row],[Customer_Satisfaction]]&lt;=2,"Poor",Table1[[#This Row],[Customer_Satisfaction]]=3,"Neutral",Table1[[#This Row],[Customer_Satisfaction]]=4,"Good",Table1[[#This Row],[Customer_Satisfaction]]=5,"Good")</f>
        <v>Neutral</v>
      </c>
    </row>
    <row r="1917" spans="1:27" x14ac:dyDescent="0.35">
      <c r="A1917">
        <v>21915</v>
      </c>
      <c r="B1917" s="1">
        <v>45307</v>
      </c>
      <c r="C1917" t="s">
        <v>50</v>
      </c>
      <c r="D1917" t="s">
        <v>51</v>
      </c>
      <c r="E1917" t="s">
        <v>52</v>
      </c>
      <c r="F1917" t="s">
        <v>53</v>
      </c>
      <c r="G1917" t="s">
        <v>54</v>
      </c>
      <c r="H1917" t="s">
        <v>42</v>
      </c>
      <c r="I1917" t="s">
        <v>55</v>
      </c>
      <c r="J1917" t="s">
        <v>58</v>
      </c>
      <c r="K1917" t="s">
        <v>61</v>
      </c>
      <c r="L1917" t="s">
        <v>49</v>
      </c>
      <c r="M1917" s="4">
        <v>20</v>
      </c>
      <c r="N1917" s="4">
        <v>7</v>
      </c>
      <c r="O1917" t="s">
        <v>36</v>
      </c>
      <c r="P1917" t="s">
        <v>29</v>
      </c>
      <c r="Q1917" s="4">
        <v>504882</v>
      </c>
      <c r="R1917" s="4">
        <v>283945</v>
      </c>
      <c r="S1917" s="4">
        <f>Table1[[#This Row],[Service_Revenue]]-Table1[[#This Row],[Service_Cost]]</f>
        <v>220937</v>
      </c>
      <c r="T1917" s="4">
        <v>1</v>
      </c>
      <c r="U1917" s="4">
        <f>IF(AND(Table1[[#This Row],[Rework_Flag]]="Yes",Table1[[#This Row],[Warranty_Claim]]="No"),Table1[[#This Row],[Service_Revenue]],0)</f>
        <v>0</v>
      </c>
      <c r="V1917" s="4">
        <f>IF(Table1[[#This Row],[Warranty_Claim]]="Yes",1,0)</f>
        <v>1</v>
      </c>
      <c r="W1917" s="4">
        <f>IF(Table1[[#This Row],[Rework_Flag]]="No",1,0)</f>
        <v>1</v>
      </c>
      <c r="X1917" s="4">
        <f>IF(Table1[[#This Row],[Rework_Flag]]="Yes",1,0)</f>
        <v>0</v>
      </c>
      <c r="Y1917" s="4">
        <v>1</v>
      </c>
      <c r="Z1917" s="4" t="str">
        <f>IF(Table1[[#This Row],[TAT_Days]]&gt;Table1[[#This Row],[SLA_TAT]],"Yes","No")</f>
        <v>Yes</v>
      </c>
      <c r="AA1917" s="4" t="str" cm="1">
        <f t="array" ref="AA1917">_xlfn.IFS(Table1[[#This Row],[Customer_Satisfaction]]&lt;=2,"Poor",Table1[[#This Row],[Customer_Satisfaction]]=3,"Neutral",Table1[[#This Row],[Customer_Satisfaction]]=4,"Good",Table1[[#This Row],[Customer_Satisfaction]]=5,"Good")</f>
        <v>Poor</v>
      </c>
    </row>
    <row r="1918" spans="1:27" x14ac:dyDescent="0.35">
      <c r="A1918">
        <v>21916</v>
      </c>
      <c r="B1918" s="1">
        <v>45425</v>
      </c>
      <c r="C1918" t="s">
        <v>37</v>
      </c>
      <c r="D1918" t="s">
        <v>38</v>
      </c>
      <c r="E1918" t="s">
        <v>107</v>
      </c>
      <c r="F1918" t="s">
        <v>53</v>
      </c>
      <c r="G1918" t="s">
        <v>23</v>
      </c>
      <c r="H1918" t="s">
        <v>24</v>
      </c>
      <c r="I1918" t="s">
        <v>25</v>
      </c>
      <c r="J1918" t="s">
        <v>43</v>
      </c>
      <c r="K1918" t="s">
        <v>44</v>
      </c>
      <c r="L1918" t="s">
        <v>28</v>
      </c>
      <c r="M1918" s="4">
        <v>24</v>
      </c>
      <c r="N1918" s="4">
        <v>7</v>
      </c>
      <c r="O1918" t="s">
        <v>29</v>
      </c>
      <c r="P1918" t="s">
        <v>36</v>
      </c>
      <c r="Q1918" s="4">
        <v>321391</v>
      </c>
      <c r="R1918" s="4">
        <v>171618</v>
      </c>
      <c r="S1918" s="4">
        <f>Table1[[#This Row],[Service_Revenue]]-Table1[[#This Row],[Service_Cost]]</f>
        <v>149773</v>
      </c>
      <c r="T1918" s="4">
        <v>1</v>
      </c>
      <c r="U1918" s="4">
        <f>IF(AND(Table1[[#This Row],[Rework_Flag]]="Yes",Table1[[#This Row],[Warranty_Claim]]="No"),Table1[[#This Row],[Service_Revenue]],0)</f>
        <v>321391</v>
      </c>
      <c r="V1918" s="4">
        <f>IF(Table1[[#This Row],[Warranty_Claim]]="Yes",1,0)</f>
        <v>0</v>
      </c>
      <c r="W1918" s="4">
        <f>IF(Table1[[#This Row],[Rework_Flag]]="No",1,0)</f>
        <v>0</v>
      </c>
      <c r="X1918" s="4">
        <f>IF(Table1[[#This Row],[Rework_Flag]]="Yes",1,0)</f>
        <v>1</v>
      </c>
      <c r="Y1918" s="4">
        <v>1</v>
      </c>
      <c r="Z1918" s="4" t="str">
        <f>IF(Table1[[#This Row],[TAT_Days]]&gt;Table1[[#This Row],[SLA_TAT]],"Yes","No")</f>
        <v>Yes</v>
      </c>
      <c r="AA1918" s="4" t="str" cm="1">
        <f t="array" ref="AA1918">_xlfn.IFS(Table1[[#This Row],[Customer_Satisfaction]]&lt;=2,"Poor",Table1[[#This Row],[Customer_Satisfaction]]=3,"Neutral",Table1[[#This Row],[Customer_Satisfaction]]=4,"Good",Table1[[#This Row],[Customer_Satisfaction]]=5,"Good")</f>
        <v>Poor</v>
      </c>
    </row>
    <row r="1919" spans="1:27" x14ac:dyDescent="0.35">
      <c r="A1919">
        <v>21917</v>
      </c>
      <c r="B1919" s="1">
        <v>45432</v>
      </c>
      <c r="C1919" t="s">
        <v>19</v>
      </c>
      <c r="D1919" t="s">
        <v>45</v>
      </c>
      <c r="E1919" t="s">
        <v>114</v>
      </c>
      <c r="F1919" t="s">
        <v>40</v>
      </c>
      <c r="G1919" t="s">
        <v>74</v>
      </c>
      <c r="H1919" t="s">
        <v>34</v>
      </c>
      <c r="I1919" t="s">
        <v>25</v>
      </c>
      <c r="J1919" t="s">
        <v>26</v>
      </c>
      <c r="K1919" t="s">
        <v>61</v>
      </c>
      <c r="L1919" t="s">
        <v>28</v>
      </c>
      <c r="M1919" s="4">
        <v>2</v>
      </c>
      <c r="N1919" s="4">
        <v>7</v>
      </c>
      <c r="O1919" t="s">
        <v>36</v>
      </c>
      <c r="P1919" t="s">
        <v>36</v>
      </c>
      <c r="Q1919" s="4">
        <v>527787</v>
      </c>
      <c r="R1919" s="4">
        <v>362048</v>
      </c>
      <c r="S1919" s="4">
        <f>Table1[[#This Row],[Service_Revenue]]-Table1[[#This Row],[Service_Cost]]</f>
        <v>165739</v>
      </c>
      <c r="T1919" s="4">
        <v>5</v>
      </c>
      <c r="U1919" s="4">
        <f>IF(AND(Table1[[#This Row],[Rework_Flag]]="Yes",Table1[[#This Row],[Warranty_Claim]]="No"),Table1[[#This Row],[Service_Revenue]],0)</f>
        <v>0</v>
      </c>
      <c r="V1919" s="4">
        <f>IF(Table1[[#This Row],[Warranty_Claim]]="Yes",1,0)</f>
        <v>0</v>
      </c>
      <c r="W1919" s="4">
        <f>IF(Table1[[#This Row],[Rework_Flag]]="No",1,0)</f>
        <v>1</v>
      </c>
      <c r="X1919" s="4">
        <f>IF(Table1[[#This Row],[Rework_Flag]]="Yes",1,0)</f>
        <v>0</v>
      </c>
      <c r="Y1919" s="4">
        <v>1</v>
      </c>
      <c r="Z1919" s="4" t="str">
        <f>IF(Table1[[#This Row],[TAT_Days]]&gt;Table1[[#This Row],[SLA_TAT]],"Yes","No")</f>
        <v>No</v>
      </c>
      <c r="AA1919" s="4" t="str" cm="1">
        <f t="array" ref="AA1919">_xlfn.IFS(Table1[[#This Row],[Customer_Satisfaction]]&lt;=2,"Poor",Table1[[#This Row],[Customer_Satisfaction]]=3,"Neutral",Table1[[#This Row],[Customer_Satisfaction]]=4,"Good",Table1[[#This Row],[Customer_Satisfaction]]=5,"Good")</f>
        <v>Good</v>
      </c>
    </row>
    <row r="1920" spans="1:27" x14ac:dyDescent="0.35">
      <c r="A1920">
        <v>21918</v>
      </c>
      <c r="B1920" s="1">
        <v>45360</v>
      </c>
      <c r="C1920" t="s">
        <v>50</v>
      </c>
      <c r="D1920" t="s">
        <v>56</v>
      </c>
      <c r="E1920" t="s">
        <v>68</v>
      </c>
      <c r="F1920" t="s">
        <v>40</v>
      </c>
      <c r="G1920" t="s">
        <v>23</v>
      </c>
      <c r="H1920" t="s">
        <v>24</v>
      </c>
      <c r="I1920" t="s">
        <v>25</v>
      </c>
      <c r="J1920" t="s">
        <v>43</v>
      </c>
      <c r="K1920" t="s">
        <v>27</v>
      </c>
      <c r="L1920" t="s">
        <v>28</v>
      </c>
      <c r="M1920" s="4">
        <v>4</v>
      </c>
      <c r="N1920" s="4">
        <v>7</v>
      </c>
      <c r="O1920" t="s">
        <v>36</v>
      </c>
      <c r="P1920" t="s">
        <v>36</v>
      </c>
      <c r="Q1920" s="4">
        <v>218351</v>
      </c>
      <c r="R1920" s="4">
        <v>184664</v>
      </c>
      <c r="S1920" s="4">
        <f>Table1[[#This Row],[Service_Revenue]]-Table1[[#This Row],[Service_Cost]]</f>
        <v>33687</v>
      </c>
      <c r="T1920" s="4">
        <v>5</v>
      </c>
      <c r="U1920" s="4">
        <f>IF(AND(Table1[[#This Row],[Rework_Flag]]="Yes",Table1[[#This Row],[Warranty_Claim]]="No"),Table1[[#This Row],[Service_Revenue]],0)</f>
        <v>0</v>
      </c>
      <c r="V1920" s="4">
        <f>IF(Table1[[#This Row],[Warranty_Claim]]="Yes",1,0)</f>
        <v>0</v>
      </c>
      <c r="W1920" s="4">
        <f>IF(Table1[[#This Row],[Rework_Flag]]="No",1,0)</f>
        <v>1</v>
      </c>
      <c r="X1920" s="4">
        <f>IF(Table1[[#This Row],[Rework_Flag]]="Yes",1,0)</f>
        <v>0</v>
      </c>
      <c r="Y1920" s="4">
        <v>1</v>
      </c>
      <c r="Z1920" s="4" t="str">
        <f>IF(Table1[[#This Row],[TAT_Days]]&gt;Table1[[#This Row],[SLA_TAT]],"Yes","No")</f>
        <v>No</v>
      </c>
      <c r="AA1920" s="4" t="str" cm="1">
        <f t="array" ref="AA1920">_xlfn.IFS(Table1[[#This Row],[Customer_Satisfaction]]&lt;=2,"Poor",Table1[[#This Row],[Customer_Satisfaction]]=3,"Neutral",Table1[[#This Row],[Customer_Satisfaction]]=4,"Good",Table1[[#This Row],[Customer_Satisfaction]]=5,"Good")</f>
        <v>Good</v>
      </c>
    </row>
    <row r="1921" spans="1:27" x14ac:dyDescent="0.35">
      <c r="A1921">
        <v>21919</v>
      </c>
      <c r="B1921" s="1">
        <v>45296</v>
      </c>
      <c r="C1921" t="s">
        <v>50</v>
      </c>
      <c r="D1921" t="s">
        <v>80</v>
      </c>
      <c r="E1921" t="s">
        <v>81</v>
      </c>
      <c r="F1921" t="s">
        <v>53</v>
      </c>
      <c r="G1921" t="s">
        <v>74</v>
      </c>
      <c r="H1921" t="s">
        <v>34</v>
      </c>
      <c r="I1921" t="s">
        <v>55</v>
      </c>
      <c r="J1921" t="s">
        <v>58</v>
      </c>
      <c r="K1921" t="s">
        <v>61</v>
      </c>
      <c r="L1921" t="s">
        <v>28</v>
      </c>
      <c r="M1921" s="4">
        <v>12</v>
      </c>
      <c r="N1921" s="4">
        <v>7</v>
      </c>
      <c r="O1921" t="s">
        <v>29</v>
      </c>
      <c r="P1921" t="s">
        <v>36</v>
      </c>
      <c r="Q1921" s="4">
        <v>474541</v>
      </c>
      <c r="R1921" s="4">
        <v>260577</v>
      </c>
      <c r="S1921" s="4">
        <f>Table1[[#This Row],[Service_Revenue]]-Table1[[#This Row],[Service_Cost]]</f>
        <v>213964</v>
      </c>
      <c r="T1921" s="4">
        <v>2</v>
      </c>
      <c r="U1921" s="4">
        <f>IF(AND(Table1[[#This Row],[Rework_Flag]]="Yes",Table1[[#This Row],[Warranty_Claim]]="No"),Table1[[#This Row],[Service_Revenue]],0)</f>
        <v>474541</v>
      </c>
      <c r="V1921" s="4">
        <f>IF(Table1[[#This Row],[Warranty_Claim]]="Yes",1,0)</f>
        <v>0</v>
      </c>
      <c r="W1921" s="4">
        <f>IF(Table1[[#This Row],[Rework_Flag]]="No",1,0)</f>
        <v>0</v>
      </c>
      <c r="X1921" s="4">
        <f>IF(Table1[[#This Row],[Rework_Flag]]="Yes",1,0)</f>
        <v>1</v>
      </c>
      <c r="Y1921" s="4">
        <v>1</v>
      </c>
      <c r="Z1921" s="4" t="str">
        <f>IF(Table1[[#This Row],[TAT_Days]]&gt;Table1[[#This Row],[SLA_TAT]],"Yes","No")</f>
        <v>Yes</v>
      </c>
      <c r="AA1921" s="4" t="str" cm="1">
        <f t="array" ref="AA1921">_xlfn.IFS(Table1[[#This Row],[Customer_Satisfaction]]&lt;=2,"Poor",Table1[[#This Row],[Customer_Satisfaction]]=3,"Neutral",Table1[[#This Row],[Customer_Satisfaction]]=4,"Good",Table1[[#This Row],[Customer_Satisfaction]]=5,"Good")</f>
        <v>Poor</v>
      </c>
    </row>
    <row r="1922" spans="1:27" x14ac:dyDescent="0.35">
      <c r="A1922">
        <v>21920</v>
      </c>
      <c r="B1922" s="1">
        <v>45453</v>
      </c>
      <c r="C1922" t="s">
        <v>50</v>
      </c>
      <c r="D1922" t="s">
        <v>51</v>
      </c>
      <c r="E1922" t="s">
        <v>113</v>
      </c>
      <c r="F1922" t="s">
        <v>53</v>
      </c>
      <c r="G1922" t="s">
        <v>23</v>
      </c>
      <c r="H1922" t="s">
        <v>24</v>
      </c>
      <c r="I1922" t="s">
        <v>25</v>
      </c>
      <c r="J1922" t="s">
        <v>67</v>
      </c>
      <c r="K1922" t="s">
        <v>61</v>
      </c>
      <c r="L1922" t="s">
        <v>28</v>
      </c>
      <c r="M1922" s="4">
        <v>6</v>
      </c>
      <c r="N1922" s="4">
        <v>7</v>
      </c>
      <c r="O1922" t="s">
        <v>29</v>
      </c>
      <c r="P1922" t="s">
        <v>29</v>
      </c>
      <c r="Q1922" s="4">
        <v>599913</v>
      </c>
      <c r="R1922" s="4">
        <v>423044</v>
      </c>
      <c r="S1922" s="4">
        <f>Table1[[#This Row],[Service_Revenue]]-Table1[[#This Row],[Service_Cost]]</f>
        <v>176869</v>
      </c>
      <c r="T1922" s="4">
        <v>3</v>
      </c>
      <c r="U1922" s="4">
        <f>IF(AND(Table1[[#This Row],[Rework_Flag]]="Yes",Table1[[#This Row],[Warranty_Claim]]="No"),Table1[[#This Row],[Service_Revenue]],0)</f>
        <v>0</v>
      </c>
      <c r="V1922" s="4">
        <f>IF(Table1[[#This Row],[Warranty_Claim]]="Yes",1,0)</f>
        <v>1</v>
      </c>
      <c r="W1922" s="4">
        <f>IF(Table1[[#This Row],[Rework_Flag]]="No",1,0)</f>
        <v>0</v>
      </c>
      <c r="X1922" s="4">
        <f>IF(Table1[[#This Row],[Rework_Flag]]="Yes",1,0)</f>
        <v>1</v>
      </c>
      <c r="Y1922" s="4">
        <v>1</v>
      </c>
      <c r="Z1922" s="4" t="str">
        <f>IF(Table1[[#This Row],[TAT_Days]]&gt;Table1[[#This Row],[SLA_TAT]],"Yes","No")</f>
        <v>No</v>
      </c>
      <c r="AA1922" s="4" t="str" cm="1">
        <f t="array" ref="AA1922">_xlfn.IFS(Table1[[#This Row],[Customer_Satisfaction]]&lt;=2,"Poor",Table1[[#This Row],[Customer_Satisfaction]]=3,"Neutral",Table1[[#This Row],[Customer_Satisfaction]]=4,"Good",Table1[[#This Row],[Customer_Satisfaction]]=5,"Good")</f>
        <v>Neutral</v>
      </c>
    </row>
    <row r="1923" spans="1:27" x14ac:dyDescent="0.35">
      <c r="A1923">
        <v>21921</v>
      </c>
      <c r="B1923" s="1">
        <v>45404</v>
      </c>
      <c r="C1923" t="s">
        <v>19</v>
      </c>
      <c r="D1923" t="s">
        <v>45</v>
      </c>
      <c r="E1923" t="s">
        <v>99</v>
      </c>
      <c r="F1923" t="s">
        <v>22</v>
      </c>
      <c r="G1923" t="s">
        <v>47</v>
      </c>
      <c r="H1923" t="s">
        <v>48</v>
      </c>
      <c r="I1923" t="s">
        <v>25</v>
      </c>
      <c r="J1923" t="s">
        <v>58</v>
      </c>
      <c r="K1923" t="s">
        <v>44</v>
      </c>
      <c r="L1923" t="s">
        <v>49</v>
      </c>
      <c r="M1923" s="4">
        <v>24</v>
      </c>
      <c r="N1923" s="4">
        <v>7</v>
      </c>
      <c r="O1923" t="s">
        <v>29</v>
      </c>
      <c r="P1923" t="s">
        <v>36</v>
      </c>
      <c r="Q1923" s="4">
        <v>302830</v>
      </c>
      <c r="R1923" s="4">
        <v>246410</v>
      </c>
      <c r="S1923" s="4">
        <f>Table1[[#This Row],[Service_Revenue]]-Table1[[#This Row],[Service_Cost]]</f>
        <v>56420</v>
      </c>
      <c r="T1923" s="4">
        <v>1</v>
      </c>
      <c r="U1923" s="4">
        <f>IF(AND(Table1[[#This Row],[Rework_Flag]]="Yes",Table1[[#This Row],[Warranty_Claim]]="No"),Table1[[#This Row],[Service_Revenue]],0)</f>
        <v>302830</v>
      </c>
      <c r="V1923" s="4">
        <f>IF(Table1[[#This Row],[Warranty_Claim]]="Yes",1,0)</f>
        <v>0</v>
      </c>
      <c r="W1923" s="4">
        <f>IF(Table1[[#This Row],[Rework_Flag]]="No",1,0)</f>
        <v>0</v>
      </c>
      <c r="X1923" s="4">
        <f>IF(Table1[[#This Row],[Rework_Flag]]="Yes",1,0)</f>
        <v>1</v>
      </c>
      <c r="Y1923" s="4">
        <v>1</v>
      </c>
      <c r="Z1923" s="4" t="str">
        <f>IF(Table1[[#This Row],[TAT_Days]]&gt;Table1[[#This Row],[SLA_TAT]],"Yes","No")</f>
        <v>Yes</v>
      </c>
      <c r="AA1923" s="4" t="str" cm="1">
        <f t="array" ref="AA1923">_xlfn.IFS(Table1[[#This Row],[Customer_Satisfaction]]&lt;=2,"Poor",Table1[[#This Row],[Customer_Satisfaction]]=3,"Neutral",Table1[[#This Row],[Customer_Satisfaction]]=4,"Good",Table1[[#This Row],[Customer_Satisfaction]]=5,"Good")</f>
        <v>Poor</v>
      </c>
    </row>
    <row r="1924" spans="1:27" x14ac:dyDescent="0.35">
      <c r="A1924">
        <v>21922</v>
      </c>
      <c r="B1924" s="1">
        <v>45365</v>
      </c>
      <c r="C1924" t="s">
        <v>30</v>
      </c>
      <c r="D1924" t="s">
        <v>59</v>
      </c>
      <c r="E1924" t="s">
        <v>60</v>
      </c>
      <c r="F1924" t="s">
        <v>40</v>
      </c>
      <c r="G1924" t="s">
        <v>33</v>
      </c>
      <c r="H1924" t="s">
        <v>34</v>
      </c>
      <c r="I1924" t="s">
        <v>25</v>
      </c>
      <c r="J1924" t="s">
        <v>26</v>
      </c>
      <c r="K1924" t="s">
        <v>27</v>
      </c>
      <c r="L1924" t="s">
        <v>49</v>
      </c>
      <c r="M1924" s="4">
        <v>6</v>
      </c>
      <c r="N1924" s="4">
        <v>7</v>
      </c>
      <c r="O1924" t="s">
        <v>29</v>
      </c>
      <c r="P1924" t="s">
        <v>29</v>
      </c>
      <c r="Q1924" s="4">
        <v>402330</v>
      </c>
      <c r="R1924" s="4">
        <v>207354</v>
      </c>
      <c r="S1924" s="4">
        <f>Table1[[#This Row],[Service_Revenue]]-Table1[[#This Row],[Service_Cost]]</f>
        <v>194976</v>
      </c>
      <c r="T1924" s="4">
        <v>3</v>
      </c>
      <c r="U1924" s="4">
        <f>IF(AND(Table1[[#This Row],[Rework_Flag]]="Yes",Table1[[#This Row],[Warranty_Claim]]="No"),Table1[[#This Row],[Service_Revenue]],0)</f>
        <v>0</v>
      </c>
      <c r="V1924" s="4">
        <f>IF(Table1[[#This Row],[Warranty_Claim]]="Yes",1,0)</f>
        <v>1</v>
      </c>
      <c r="W1924" s="4">
        <f>IF(Table1[[#This Row],[Rework_Flag]]="No",1,0)</f>
        <v>0</v>
      </c>
      <c r="X1924" s="4">
        <f>IF(Table1[[#This Row],[Rework_Flag]]="Yes",1,0)</f>
        <v>1</v>
      </c>
      <c r="Y1924" s="4">
        <v>1</v>
      </c>
      <c r="Z1924" s="4" t="str">
        <f>IF(Table1[[#This Row],[TAT_Days]]&gt;Table1[[#This Row],[SLA_TAT]],"Yes","No")</f>
        <v>No</v>
      </c>
      <c r="AA1924" s="4" t="str" cm="1">
        <f t="array" ref="AA1924">_xlfn.IFS(Table1[[#This Row],[Customer_Satisfaction]]&lt;=2,"Poor",Table1[[#This Row],[Customer_Satisfaction]]=3,"Neutral",Table1[[#This Row],[Customer_Satisfaction]]=4,"Good",Table1[[#This Row],[Customer_Satisfaction]]=5,"Good")</f>
        <v>Neutral</v>
      </c>
    </row>
    <row r="1925" spans="1:27" x14ac:dyDescent="0.35">
      <c r="A1925">
        <v>21923</v>
      </c>
      <c r="B1925" s="1">
        <v>45318</v>
      </c>
      <c r="C1925" t="s">
        <v>50</v>
      </c>
      <c r="D1925" t="s">
        <v>56</v>
      </c>
      <c r="E1925" t="s">
        <v>68</v>
      </c>
      <c r="F1925" t="s">
        <v>22</v>
      </c>
      <c r="G1925" t="s">
        <v>23</v>
      </c>
      <c r="H1925" t="s">
        <v>24</v>
      </c>
      <c r="I1925" t="s">
        <v>25</v>
      </c>
      <c r="J1925" t="s">
        <v>26</v>
      </c>
      <c r="K1925" t="s">
        <v>61</v>
      </c>
      <c r="L1925" t="s">
        <v>49</v>
      </c>
      <c r="M1925" s="4">
        <v>3</v>
      </c>
      <c r="N1925" s="4">
        <v>7</v>
      </c>
      <c r="O1925" t="s">
        <v>29</v>
      </c>
      <c r="P1925" t="s">
        <v>29</v>
      </c>
      <c r="Q1925" s="4">
        <v>154962</v>
      </c>
      <c r="R1925" s="4">
        <v>91478</v>
      </c>
      <c r="S1925" s="4">
        <f>Table1[[#This Row],[Service_Revenue]]-Table1[[#This Row],[Service_Cost]]</f>
        <v>63484</v>
      </c>
      <c r="T1925" s="4">
        <v>4</v>
      </c>
      <c r="U1925" s="4">
        <f>IF(AND(Table1[[#This Row],[Rework_Flag]]="Yes",Table1[[#This Row],[Warranty_Claim]]="No"),Table1[[#This Row],[Service_Revenue]],0)</f>
        <v>0</v>
      </c>
      <c r="V1925" s="4">
        <f>IF(Table1[[#This Row],[Warranty_Claim]]="Yes",1,0)</f>
        <v>1</v>
      </c>
      <c r="W1925" s="4">
        <f>IF(Table1[[#This Row],[Rework_Flag]]="No",1,0)</f>
        <v>0</v>
      </c>
      <c r="X1925" s="4">
        <f>IF(Table1[[#This Row],[Rework_Flag]]="Yes",1,0)</f>
        <v>1</v>
      </c>
      <c r="Y1925" s="4">
        <v>1</v>
      </c>
      <c r="Z1925" s="4" t="str">
        <f>IF(Table1[[#This Row],[TAT_Days]]&gt;Table1[[#This Row],[SLA_TAT]],"Yes","No")</f>
        <v>No</v>
      </c>
      <c r="AA1925" s="4" t="str" cm="1">
        <f t="array" ref="AA1925">_xlfn.IFS(Table1[[#This Row],[Customer_Satisfaction]]&lt;=2,"Poor",Table1[[#This Row],[Customer_Satisfaction]]=3,"Neutral",Table1[[#This Row],[Customer_Satisfaction]]=4,"Good",Table1[[#This Row],[Customer_Satisfaction]]=5,"Good")</f>
        <v>Good</v>
      </c>
    </row>
    <row r="1926" spans="1:27" x14ac:dyDescent="0.35">
      <c r="A1926">
        <v>21924</v>
      </c>
      <c r="B1926" s="1">
        <v>45331</v>
      </c>
      <c r="C1926" t="s">
        <v>37</v>
      </c>
      <c r="D1926" t="s">
        <v>70</v>
      </c>
      <c r="E1926" t="s">
        <v>116</v>
      </c>
      <c r="F1926" t="s">
        <v>53</v>
      </c>
      <c r="G1926" t="s">
        <v>63</v>
      </c>
      <c r="H1926" t="s">
        <v>24</v>
      </c>
      <c r="I1926" t="s">
        <v>25</v>
      </c>
      <c r="J1926" t="s">
        <v>26</v>
      </c>
      <c r="K1926" t="s">
        <v>44</v>
      </c>
      <c r="L1926" t="s">
        <v>28</v>
      </c>
      <c r="M1926" s="4">
        <v>2</v>
      </c>
      <c r="N1926" s="4">
        <v>7</v>
      </c>
      <c r="O1926" t="s">
        <v>29</v>
      </c>
      <c r="P1926" t="s">
        <v>29</v>
      </c>
      <c r="Q1926" s="4">
        <v>559642</v>
      </c>
      <c r="R1926" s="4">
        <v>327831</v>
      </c>
      <c r="S1926" s="4">
        <f>Table1[[#This Row],[Service_Revenue]]-Table1[[#This Row],[Service_Cost]]</f>
        <v>231811</v>
      </c>
      <c r="T1926" s="4">
        <v>4</v>
      </c>
      <c r="U1926" s="4">
        <f>IF(AND(Table1[[#This Row],[Rework_Flag]]="Yes",Table1[[#This Row],[Warranty_Claim]]="No"),Table1[[#This Row],[Service_Revenue]],0)</f>
        <v>0</v>
      </c>
      <c r="V1926" s="4">
        <f>IF(Table1[[#This Row],[Warranty_Claim]]="Yes",1,0)</f>
        <v>1</v>
      </c>
      <c r="W1926" s="4">
        <f>IF(Table1[[#This Row],[Rework_Flag]]="No",1,0)</f>
        <v>0</v>
      </c>
      <c r="X1926" s="4">
        <f>IF(Table1[[#This Row],[Rework_Flag]]="Yes",1,0)</f>
        <v>1</v>
      </c>
      <c r="Y1926" s="4">
        <v>1</v>
      </c>
      <c r="Z1926" s="4" t="str">
        <f>IF(Table1[[#This Row],[TAT_Days]]&gt;Table1[[#This Row],[SLA_TAT]],"Yes","No")</f>
        <v>No</v>
      </c>
      <c r="AA1926" s="4" t="str" cm="1">
        <f t="array" ref="AA1926">_xlfn.IFS(Table1[[#This Row],[Customer_Satisfaction]]&lt;=2,"Poor",Table1[[#This Row],[Customer_Satisfaction]]=3,"Neutral",Table1[[#This Row],[Customer_Satisfaction]]=4,"Good",Table1[[#This Row],[Customer_Satisfaction]]=5,"Good")</f>
        <v>Good</v>
      </c>
    </row>
    <row r="1927" spans="1:27" x14ac:dyDescent="0.35">
      <c r="A1927">
        <v>21925</v>
      </c>
      <c r="B1927" s="1">
        <v>45454</v>
      </c>
      <c r="C1927" t="s">
        <v>37</v>
      </c>
      <c r="D1927" t="s">
        <v>70</v>
      </c>
      <c r="E1927" t="s">
        <v>82</v>
      </c>
      <c r="F1927" t="s">
        <v>22</v>
      </c>
      <c r="G1927" t="s">
        <v>63</v>
      </c>
      <c r="H1927" t="s">
        <v>24</v>
      </c>
      <c r="I1927" t="s">
        <v>25</v>
      </c>
      <c r="J1927" t="s">
        <v>35</v>
      </c>
      <c r="K1927" t="s">
        <v>27</v>
      </c>
      <c r="L1927" t="s">
        <v>28</v>
      </c>
      <c r="M1927" s="4">
        <v>2</v>
      </c>
      <c r="N1927" s="4">
        <v>7</v>
      </c>
      <c r="O1927" t="s">
        <v>36</v>
      </c>
      <c r="P1927" t="s">
        <v>29</v>
      </c>
      <c r="Q1927" s="4">
        <v>362938</v>
      </c>
      <c r="R1927" s="4">
        <v>266649</v>
      </c>
      <c r="S1927" s="4">
        <f>Table1[[#This Row],[Service_Revenue]]-Table1[[#This Row],[Service_Cost]]</f>
        <v>96289</v>
      </c>
      <c r="T1927" s="4">
        <v>5</v>
      </c>
      <c r="U1927" s="4">
        <f>IF(AND(Table1[[#This Row],[Rework_Flag]]="Yes",Table1[[#This Row],[Warranty_Claim]]="No"),Table1[[#This Row],[Service_Revenue]],0)</f>
        <v>0</v>
      </c>
      <c r="V1927" s="4">
        <f>IF(Table1[[#This Row],[Warranty_Claim]]="Yes",1,0)</f>
        <v>1</v>
      </c>
      <c r="W1927" s="4">
        <f>IF(Table1[[#This Row],[Rework_Flag]]="No",1,0)</f>
        <v>1</v>
      </c>
      <c r="X1927" s="4">
        <f>IF(Table1[[#This Row],[Rework_Flag]]="Yes",1,0)</f>
        <v>0</v>
      </c>
      <c r="Y1927" s="4">
        <v>1</v>
      </c>
      <c r="Z1927" s="4" t="str">
        <f>IF(Table1[[#This Row],[TAT_Days]]&gt;Table1[[#This Row],[SLA_TAT]],"Yes","No")</f>
        <v>No</v>
      </c>
      <c r="AA1927" s="4" t="str" cm="1">
        <f t="array" ref="AA1927">_xlfn.IFS(Table1[[#This Row],[Customer_Satisfaction]]&lt;=2,"Poor",Table1[[#This Row],[Customer_Satisfaction]]=3,"Neutral",Table1[[#This Row],[Customer_Satisfaction]]=4,"Good",Table1[[#This Row],[Customer_Satisfaction]]=5,"Good")</f>
        <v>Good</v>
      </c>
    </row>
    <row r="1928" spans="1:27" x14ac:dyDescent="0.35">
      <c r="A1928">
        <v>21926</v>
      </c>
      <c r="B1928" s="1">
        <v>45386</v>
      </c>
      <c r="C1928" t="s">
        <v>19</v>
      </c>
      <c r="D1928" t="s">
        <v>20</v>
      </c>
      <c r="E1928" t="s">
        <v>86</v>
      </c>
      <c r="F1928" t="s">
        <v>53</v>
      </c>
      <c r="G1928" t="s">
        <v>47</v>
      </c>
      <c r="H1928" t="s">
        <v>48</v>
      </c>
      <c r="I1928" t="s">
        <v>55</v>
      </c>
      <c r="J1928" t="s">
        <v>35</v>
      </c>
      <c r="K1928" t="s">
        <v>44</v>
      </c>
      <c r="L1928" t="s">
        <v>28</v>
      </c>
      <c r="M1928" s="4">
        <v>17</v>
      </c>
      <c r="N1928" s="4">
        <v>7</v>
      </c>
      <c r="O1928" t="s">
        <v>29</v>
      </c>
      <c r="P1928" t="s">
        <v>36</v>
      </c>
      <c r="Q1928" s="4">
        <v>461415</v>
      </c>
      <c r="R1928" s="4">
        <v>346103</v>
      </c>
      <c r="S1928" s="4">
        <f>Table1[[#This Row],[Service_Revenue]]-Table1[[#This Row],[Service_Cost]]</f>
        <v>115312</v>
      </c>
      <c r="T1928" s="4">
        <v>1</v>
      </c>
      <c r="U1928" s="4">
        <f>IF(AND(Table1[[#This Row],[Rework_Flag]]="Yes",Table1[[#This Row],[Warranty_Claim]]="No"),Table1[[#This Row],[Service_Revenue]],0)</f>
        <v>461415</v>
      </c>
      <c r="V1928" s="4">
        <f>IF(Table1[[#This Row],[Warranty_Claim]]="Yes",1,0)</f>
        <v>0</v>
      </c>
      <c r="W1928" s="4">
        <f>IF(Table1[[#This Row],[Rework_Flag]]="No",1,0)</f>
        <v>0</v>
      </c>
      <c r="X1928" s="4">
        <f>IF(Table1[[#This Row],[Rework_Flag]]="Yes",1,0)</f>
        <v>1</v>
      </c>
      <c r="Y1928" s="4">
        <v>1</v>
      </c>
      <c r="Z1928" s="4" t="str">
        <f>IF(Table1[[#This Row],[TAT_Days]]&gt;Table1[[#This Row],[SLA_TAT]],"Yes","No")</f>
        <v>Yes</v>
      </c>
      <c r="AA1928" s="4" t="str" cm="1">
        <f t="array" ref="AA1928">_xlfn.IFS(Table1[[#This Row],[Customer_Satisfaction]]&lt;=2,"Poor",Table1[[#This Row],[Customer_Satisfaction]]=3,"Neutral",Table1[[#This Row],[Customer_Satisfaction]]=4,"Good",Table1[[#This Row],[Customer_Satisfaction]]=5,"Good")</f>
        <v>Poor</v>
      </c>
    </row>
    <row r="1929" spans="1:27" x14ac:dyDescent="0.35">
      <c r="A1929">
        <v>21927</v>
      </c>
      <c r="B1929" s="1">
        <v>45446</v>
      </c>
      <c r="C1929" t="s">
        <v>19</v>
      </c>
      <c r="D1929" t="s">
        <v>96</v>
      </c>
      <c r="E1929" t="s">
        <v>97</v>
      </c>
      <c r="F1929" t="s">
        <v>40</v>
      </c>
      <c r="G1929" t="s">
        <v>63</v>
      </c>
      <c r="H1929" t="s">
        <v>24</v>
      </c>
      <c r="I1929" t="s">
        <v>55</v>
      </c>
      <c r="J1929" t="s">
        <v>43</v>
      </c>
      <c r="K1929" t="s">
        <v>44</v>
      </c>
      <c r="L1929" t="s">
        <v>49</v>
      </c>
      <c r="M1929" s="4">
        <v>16</v>
      </c>
      <c r="N1929" s="4">
        <v>7</v>
      </c>
      <c r="O1929" t="s">
        <v>36</v>
      </c>
      <c r="P1929" t="s">
        <v>36</v>
      </c>
      <c r="Q1929" s="4">
        <v>115367</v>
      </c>
      <c r="R1929" s="4">
        <v>62414</v>
      </c>
      <c r="S1929" s="4">
        <f>Table1[[#This Row],[Service_Revenue]]-Table1[[#This Row],[Service_Cost]]</f>
        <v>52953</v>
      </c>
      <c r="T1929" s="4">
        <v>2</v>
      </c>
      <c r="U1929" s="4">
        <f>IF(AND(Table1[[#This Row],[Rework_Flag]]="Yes",Table1[[#This Row],[Warranty_Claim]]="No"),Table1[[#This Row],[Service_Revenue]],0)</f>
        <v>0</v>
      </c>
      <c r="V1929" s="4">
        <f>IF(Table1[[#This Row],[Warranty_Claim]]="Yes",1,0)</f>
        <v>0</v>
      </c>
      <c r="W1929" s="4">
        <f>IF(Table1[[#This Row],[Rework_Flag]]="No",1,0)</f>
        <v>1</v>
      </c>
      <c r="X1929" s="4">
        <f>IF(Table1[[#This Row],[Rework_Flag]]="Yes",1,0)</f>
        <v>0</v>
      </c>
      <c r="Y1929" s="4">
        <v>1</v>
      </c>
      <c r="Z1929" s="4" t="str">
        <f>IF(Table1[[#This Row],[TAT_Days]]&gt;Table1[[#This Row],[SLA_TAT]],"Yes","No")</f>
        <v>Yes</v>
      </c>
      <c r="AA1929" s="4" t="str" cm="1">
        <f t="array" ref="AA1929">_xlfn.IFS(Table1[[#This Row],[Customer_Satisfaction]]&lt;=2,"Poor",Table1[[#This Row],[Customer_Satisfaction]]=3,"Neutral",Table1[[#This Row],[Customer_Satisfaction]]=4,"Good",Table1[[#This Row],[Customer_Satisfaction]]=5,"Good")</f>
        <v>Poor</v>
      </c>
    </row>
    <row r="1930" spans="1:27" x14ac:dyDescent="0.35">
      <c r="A1930">
        <v>21928</v>
      </c>
      <c r="B1930" s="1">
        <v>45360</v>
      </c>
      <c r="C1930" t="s">
        <v>19</v>
      </c>
      <c r="D1930" t="s">
        <v>45</v>
      </c>
      <c r="E1930" t="s">
        <v>114</v>
      </c>
      <c r="F1930" t="s">
        <v>22</v>
      </c>
      <c r="G1930" t="s">
        <v>41</v>
      </c>
      <c r="H1930" t="s">
        <v>42</v>
      </c>
      <c r="I1930" t="s">
        <v>25</v>
      </c>
      <c r="J1930" t="s">
        <v>26</v>
      </c>
      <c r="K1930" t="s">
        <v>44</v>
      </c>
      <c r="L1930" t="s">
        <v>28</v>
      </c>
      <c r="M1930" s="4">
        <v>6</v>
      </c>
      <c r="N1930" s="4">
        <v>7</v>
      </c>
      <c r="O1930" t="s">
        <v>29</v>
      </c>
      <c r="P1930" t="s">
        <v>36</v>
      </c>
      <c r="Q1930" s="4">
        <v>577176</v>
      </c>
      <c r="R1930" s="4">
        <v>389734</v>
      </c>
      <c r="S1930" s="4">
        <f>Table1[[#This Row],[Service_Revenue]]-Table1[[#This Row],[Service_Cost]]</f>
        <v>187442</v>
      </c>
      <c r="T1930" s="4">
        <v>3</v>
      </c>
      <c r="U1930" s="4">
        <f>IF(AND(Table1[[#This Row],[Rework_Flag]]="Yes",Table1[[#This Row],[Warranty_Claim]]="No"),Table1[[#This Row],[Service_Revenue]],0)</f>
        <v>577176</v>
      </c>
      <c r="V1930" s="4">
        <f>IF(Table1[[#This Row],[Warranty_Claim]]="Yes",1,0)</f>
        <v>0</v>
      </c>
      <c r="W1930" s="4">
        <f>IF(Table1[[#This Row],[Rework_Flag]]="No",1,0)</f>
        <v>0</v>
      </c>
      <c r="X1930" s="4">
        <f>IF(Table1[[#This Row],[Rework_Flag]]="Yes",1,0)</f>
        <v>1</v>
      </c>
      <c r="Y1930" s="4">
        <v>1</v>
      </c>
      <c r="Z1930" s="4" t="str">
        <f>IF(Table1[[#This Row],[TAT_Days]]&gt;Table1[[#This Row],[SLA_TAT]],"Yes","No")</f>
        <v>No</v>
      </c>
      <c r="AA1930" s="4" t="str" cm="1">
        <f t="array" ref="AA1930">_xlfn.IFS(Table1[[#This Row],[Customer_Satisfaction]]&lt;=2,"Poor",Table1[[#This Row],[Customer_Satisfaction]]=3,"Neutral",Table1[[#This Row],[Customer_Satisfaction]]=4,"Good",Table1[[#This Row],[Customer_Satisfaction]]=5,"Good")</f>
        <v>Neutral</v>
      </c>
    </row>
    <row r="1931" spans="1:27" x14ac:dyDescent="0.35">
      <c r="A1931">
        <v>21929</v>
      </c>
      <c r="B1931" s="1">
        <v>45337</v>
      </c>
      <c r="C1931" t="s">
        <v>19</v>
      </c>
      <c r="D1931" t="s">
        <v>20</v>
      </c>
      <c r="E1931" t="s">
        <v>89</v>
      </c>
      <c r="F1931" t="s">
        <v>53</v>
      </c>
      <c r="G1931" t="s">
        <v>33</v>
      </c>
      <c r="H1931" t="s">
        <v>34</v>
      </c>
      <c r="I1931" t="s">
        <v>55</v>
      </c>
      <c r="J1931" t="s">
        <v>67</v>
      </c>
      <c r="K1931" t="s">
        <v>27</v>
      </c>
      <c r="L1931" t="s">
        <v>28</v>
      </c>
      <c r="M1931" s="4">
        <v>19</v>
      </c>
      <c r="N1931" s="4">
        <v>7</v>
      </c>
      <c r="O1931" t="s">
        <v>29</v>
      </c>
      <c r="P1931" t="s">
        <v>36</v>
      </c>
      <c r="Q1931" s="4">
        <v>414756</v>
      </c>
      <c r="R1931" s="4">
        <v>317449</v>
      </c>
      <c r="S1931" s="4">
        <f>Table1[[#This Row],[Service_Revenue]]-Table1[[#This Row],[Service_Cost]]</f>
        <v>97307</v>
      </c>
      <c r="T1931" s="4">
        <v>1</v>
      </c>
      <c r="U1931" s="4">
        <f>IF(AND(Table1[[#This Row],[Rework_Flag]]="Yes",Table1[[#This Row],[Warranty_Claim]]="No"),Table1[[#This Row],[Service_Revenue]],0)</f>
        <v>414756</v>
      </c>
      <c r="V1931" s="4">
        <f>IF(Table1[[#This Row],[Warranty_Claim]]="Yes",1,0)</f>
        <v>0</v>
      </c>
      <c r="W1931" s="4">
        <f>IF(Table1[[#This Row],[Rework_Flag]]="No",1,0)</f>
        <v>0</v>
      </c>
      <c r="X1931" s="4">
        <f>IF(Table1[[#This Row],[Rework_Flag]]="Yes",1,0)</f>
        <v>1</v>
      </c>
      <c r="Y1931" s="4">
        <v>1</v>
      </c>
      <c r="Z1931" s="4" t="str">
        <f>IF(Table1[[#This Row],[TAT_Days]]&gt;Table1[[#This Row],[SLA_TAT]],"Yes","No")</f>
        <v>Yes</v>
      </c>
      <c r="AA1931" s="4" t="str" cm="1">
        <f t="array" ref="AA1931">_xlfn.IFS(Table1[[#This Row],[Customer_Satisfaction]]&lt;=2,"Poor",Table1[[#This Row],[Customer_Satisfaction]]=3,"Neutral",Table1[[#This Row],[Customer_Satisfaction]]=4,"Good",Table1[[#This Row],[Customer_Satisfaction]]=5,"Good")</f>
        <v>Poor</v>
      </c>
    </row>
    <row r="1932" spans="1:27" x14ac:dyDescent="0.35">
      <c r="A1932">
        <v>21930</v>
      </c>
      <c r="B1932" s="1">
        <v>45374</v>
      </c>
      <c r="C1932" t="s">
        <v>19</v>
      </c>
      <c r="D1932" t="s">
        <v>20</v>
      </c>
      <c r="E1932" t="s">
        <v>86</v>
      </c>
      <c r="F1932" t="s">
        <v>22</v>
      </c>
      <c r="G1932" t="s">
        <v>47</v>
      </c>
      <c r="H1932" t="s">
        <v>48</v>
      </c>
      <c r="I1932" t="s">
        <v>55</v>
      </c>
      <c r="J1932" t="s">
        <v>26</v>
      </c>
      <c r="K1932" t="s">
        <v>61</v>
      </c>
      <c r="L1932" t="s">
        <v>28</v>
      </c>
      <c r="M1932" s="4">
        <v>25</v>
      </c>
      <c r="N1932" s="4">
        <v>7</v>
      </c>
      <c r="O1932" t="s">
        <v>36</v>
      </c>
      <c r="P1932" t="s">
        <v>36</v>
      </c>
      <c r="Q1932" s="4">
        <v>526707</v>
      </c>
      <c r="R1932" s="4">
        <v>447158</v>
      </c>
      <c r="S1932" s="4">
        <f>Table1[[#This Row],[Service_Revenue]]-Table1[[#This Row],[Service_Cost]]</f>
        <v>79549</v>
      </c>
      <c r="T1932" s="4">
        <v>1</v>
      </c>
      <c r="U1932" s="4">
        <f>IF(AND(Table1[[#This Row],[Rework_Flag]]="Yes",Table1[[#This Row],[Warranty_Claim]]="No"),Table1[[#This Row],[Service_Revenue]],0)</f>
        <v>0</v>
      </c>
      <c r="V1932" s="4">
        <f>IF(Table1[[#This Row],[Warranty_Claim]]="Yes",1,0)</f>
        <v>0</v>
      </c>
      <c r="W1932" s="4">
        <f>IF(Table1[[#This Row],[Rework_Flag]]="No",1,0)</f>
        <v>1</v>
      </c>
      <c r="X1932" s="4">
        <f>IF(Table1[[#This Row],[Rework_Flag]]="Yes",1,0)</f>
        <v>0</v>
      </c>
      <c r="Y1932" s="4">
        <v>1</v>
      </c>
      <c r="Z1932" s="4" t="str">
        <f>IF(Table1[[#This Row],[TAT_Days]]&gt;Table1[[#This Row],[SLA_TAT]],"Yes","No")</f>
        <v>Yes</v>
      </c>
      <c r="AA1932" s="4" t="str" cm="1">
        <f t="array" ref="AA1932">_xlfn.IFS(Table1[[#This Row],[Customer_Satisfaction]]&lt;=2,"Poor",Table1[[#This Row],[Customer_Satisfaction]]=3,"Neutral",Table1[[#This Row],[Customer_Satisfaction]]=4,"Good",Table1[[#This Row],[Customer_Satisfaction]]=5,"Good")</f>
        <v>Poor</v>
      </c>
    </row>
    <row r="1933" spans="1:27" x14ac:dyDescent="0.35">
      <c r="A1933">
        <v>21931</v>
      </c>
      <c r="B1933" s="1">
        <v>45302</v>
      </c>
      <c r="C1933" t="s">
        <v>37</v>
      </c>
      <c r="D1933" t="s">
        <v>38</v>
      </c>
      <c r="E1933" t="s">
        <v>39</v>
      </c>
      <c r="F1933" t="s">
        <v>40</v>
      </c>
      <c r="G1933" t="s">
        <v>23</v>
      </c>
      <c r="H1933" t="s">
        <v>24</v>
      </c>
      <c r="I1933" t="s">
        <v>55</v>
      </c>
      <c r="J1933" t="s">
        <v>35</v>
      </c>
      <c r="K1933" t="s">
        <v>61</v>
      </c>
      <c r="L1933" t="s">
        <v>28</v>
      </c>
      <c r="M1933" s="4">
        <v>14</v>
      </c>
      <c r="N1933" s="4">
        <v>7</v>
      </c>
      <c r="O1933" t="s">
        <v>29</v>
      </c>
      <c r="P1933" t="s">
        <v>29</v>
      </c>
      <c r="Q1933" s="4">
        <v>489662</v>
      </c>
      <c r="R1933" s="4">
        <v>413746</v>
      </c>
      <c r="S1933" s="4">
        <f>Table1[[#This Row],[Service_Revenue]]-Table1[[#This Row],[Service_Cost]]</f>
        <v>75916</v>
      </c>
      <c r="T1933" s="4">
        <v>2</v>
      </c>
      <c r="U1933" s="4">
        <f>IF(AND(Table1[[#This Row],[Rework_Flag]]="Yes",Table1[[#This Row],[Warranty_Claim]]="No"),Table1[[#This Row],[Service_Revenue]],0)</f>
        <v>0</v>
      </c>
      <c r="V1933" s="4">
        <f>IF(Table1[[#This Row],[Warranty_Claim]]="Yes",1,0)</f>
        <v>1</v>
      </c>
      <c r="W1933" s="4">
        <f>IF(Table1[[#This Row],[Rework_Flag]]="No",1,0)</f>
        <v>0</v>
      </c>
      <c r="X1933" s="4">
        <f>IF(Table1[[#This Row],[Rework_Flag]]="Yes",1,0)</f>
        <v>1</v>
      </c>
      <c r="Y1933" s="4">
        <v>1</v>
      </c>
      <c r="Z1933" s="4" t="str">
        <f>IF(Table1[[#This Row],[TAT_Days]]&gt;Table1[[#This Row],[SLA_TAT]],"Yes","No")</f>
        <v>Yes</v>
      </c>
      <c r="AA1933" s="4" t="str" cm="1">
        <f t="array" ref="AA1933">_xlfn.IFS(Table1[[#This Row],[Customer_Satisfaction]]&lt;=2,"Poor",Table1[[#This Row],[Customer_Satisfaction]]=3,"Neutral",Table1[[#This Row],[Customer_Satisfaction]]=4,"Good",Table1[[#This Row],[Customer_Satisfaction]]=5,"Good")</f>
        <v>Poor</v>
      </c>
    </row>
    <row r="1934" spans="1:27" x14ac:dyDescent="0.35">
      <c r="A1934">
        <v>21932</v>
      </c>
      <c r="B1934" s="1">
        <v>45437</v>
      </c>
      <c r="C1934" t="s">
        <v>37</v>
      </c>
      <c r="D1934" t="s">
        <v>38</v>
      </c>
      <c r="E1934" t="s">
        <v>93</v>
      </c>
      <c r="F1934" t="s">
        <v>22</v>
      </c>
      <c r="G1934" t="s">
        <v>33</v>
      </c>
      <c r="H1934" t="s">
        <v>34</v>
      </c>
      <c r="I1934" t="s">
        <v>25</v>
      </c>
      <c r="J1934" t="s">
        <v>43</v>
      </c>
      <c r="K1934" t="s">
        <v>27</v>
      </c>
      <c r="L1934" t="s">
        <v>28</v>
      </c>
      <c r="M1934" s="4">
        <v>14</v>
      </c>
      <c r="N1934" s="4">
        <v>7</v>
      </c>
      <c r="O1934" t="s">
        <v>29</v>
      </c>
      <c r="P1934" t="s">
        <v>36</v>
      </c>
      <c r="Q1934" s="4">
        <v>232980</v>
      </c>
      <c r="R1934" s="4">
        <v>186703</v>
      </c>
      <c r="S1934" s="4">
        <f>Table1[[#This Row],[Service_Revenue]]-Table1[[#This Row],[Service_Cost]]</f>
        <v>46277</v>
      </c>
      <c r="T1934" s="4">
        <v>2</v>
      </c>
      <c r="U1934" s="4">
        <f>IF(AND(Table1[[#This Row],[Rework_Flag]]="Yes",Table1[[#This Row],[Warranty_Claim]]="No"),Table1[[#This Row],[Service_Revenue]],0)</f>
        <v>232980</v>
      </c>
      <c r="V1934" s="4">
        <f>IF(Table1[[#This Row],[Warranty_Claim]]="Yes",1,0)</f>
        <v>0</v>
      </c>
      <c r="W1934" s="4">
        <f>IF(Table1[[#This Row],[Rework_Flag]]="No",1,0)</f>
        <v>0</v>
      </c>
      <c r="X1934" s="4">
        <f>IF(Table1[[#This Row],[Rework_Flag]]="Yes",1,0)</f>
        <v>1</v>
      </c>
      <c r="Y1934" s="4">
        <v>1</v>
      </c>
      <c r="Z1934" s="4" t="str">
        <f>IF(Table1[[#This Row],[TAT_Days]]&gt;Table1[[#This Row],[SLA_TAT]],"Yes","No")</f>
        <v>Yes</v>
      </c>
      <c r="AA1934" s="4" t="str" cm="1">
        <f t="array" ref="AA1934">_xlfn.IFS(Table1[[#This Row],[Customer_Satisfaction]]&lt;=2,"Poor",Table1[[#This Row],[Customer_Satisfaction]]=3,"Neutral",Table1[[#This Row],[Customer_Satisfaction]]=4,"Good",Table1[[#This Row],[Customer_Satisfaction]]=5,"Good")</f>
        <v>Poor</v>
      </c>
    </row>
    <row r="1935" spans="1:27" x14ac:dyDescent="0.35">
      <c r="A1935">
        <v>21933</v>
      </c>
      <c r="B1935" s="1">
        <v>45461</v>
      </c>
      <c r="C1935" t="s">
        <v>30</v>
      </c>
      <c r="D1935" t="s">
        <v>59</v>
      </c>
      <c r="E1935" t="s">
        <v>78</v>
      </c>
      <c r="F1935" t="s">
        <v>53</v>
      </c>
      <c r="G1935" t="s">
        <v>33</v>
      </c>
      <c r="H1935" t="s">
        <v>34</v>
      </c>
      <c r="I1935" t="s">
        <v>55</v>
      </c>
      <c r="J1935" t="s">
        <v>43</v>
      </c>
      <c r="K1935" t="s">
        <v>61</v>
      </c>
      <c r="L1935" t="s">
        <v>49</v>
      </c>
      <c r="M1935" s="4">
        <v>17</v>
      </c>
      <c r="N1935" s="4">
        <v>7</v>
      </c>
      <c r="O1935" t="s">
        <v>36</v>
      </c>
      <c r="P1935" t="s">
        <v>29</v>
      </c>
      <c r="Q1935" s="4">
        <v>362843</v>
      </c>
      <c r="R1935" s="4">
        <v>204805</v>
      </c>
      <c r="S1935" s="4">
        <f>Table1[[#This Row],[Service_Revenue]]-Table1[[#This Row],[Service_Cost]]</f>
        <v>158038</v>
      </c>
      <c r="T1935" s="4">
        <v>2</v>
      </c>
      <c r="U1935" s="4">
        <f>IF(AND(Table1[[#This Row],[Rework_Flag]]="Yes",Table1[[#This Row],[Warranty_Claim]]="No"),Table1[[#This Row],[Service_Revenue]],0)</f>
        <v>0</v>
      </c>
      <c r="V1935" s="4">
        <f>IF(Table1[[#This Row],[Warranty_Claim]]="Yes",1,0)</f>
        <v>1</v>
      </c>
      <c r="W1935" s="4">
        <f>IF(Table1[[#This Row],[Rework_Flag]]="No",1,0)</f>
        <v>1</v>
      </c>
      <c r="X1935" s="4">
        <f>IF(Table1[[#This Row],[Rework_Flag]]="Yes",1,0)</f>
        <v>0</v>
      </c>
      <c r="Y1935" s="4">
        <v>1</v>
      </c>
      <c r="Z1935" s="4" t="str">
        <f>IF(Table1[[#This Row],[TAT_Days]]&gt;Table1[[#This Row],[SLA_TAT]],"Yes","No")</f>
        <v>Yes</v>
      </c>
      <c r="AA1935" s="4" t="str" cm="1">
        <f t="array" ref="AA1935">_xlfn.IFS(Table1[[#This Row],[Customer_Satisfaction]]&lt;=2,"Poor",Table1[[#This Row],[Customer_Satisfaction]]=3,"Neutral",Table1[[#This Row],[Customer_Satisfaction]]=4,"Good",Table1[[#This Row],[Customer_Satisfaction]]=5,"Good")</f>
        <v>Poor</v>
      </c>
    </row>
    <row r="1936" spans="1:27" x14ac:dyDescent="0.35">
      <c r="A1936">
        <v>21934</v>
      </c>
      <c r="B1936" s="1">
        <v>45441</v>
      </c>
      <c r="C1936" t="s">
        <v>30</v>
      </c>
      <c r="D1936" t="s">
        <v>31</v>
      </c>
      <c r="E1936" t="s">
        <v>122</v>
      </c>
      <c r="F1936" t="s">
        <v>40</v>
      </c>
      <c r="G1936" t="s">
        <v>63</v>
      </c>
      <c r="H1936" t="s">
        <v>24</v>
      </c>
      <c r="I1936" t="s">
        <v>55</v>
      </c>
      <c r="J1936" t="s">
        <v>43</v>
      </c>
      <c r="K1936" t="s">
        <v>44</v>
      </c>
      <c r="L1936" t="s">
        <v>28</v>
      </c>
      <c r="M1936" s="4">
        <v>8</v>
      </c>
      <c r="N1936" s="4">
        <v>7</v>
      </c>
      <c r="O1936" t="s">
        <v>36</v>
      </c>
      <c r="P1936" t="s">
        <v>29</v>
      </c>
      <c r="Q1936" s="4">
        <v>156631</v>
      </c>
      <c r="R1936" s="4">
        <v>87889</v>
      </c>
      <c r="S1936" s="4">
        <f>Table1[[#This Row],[Service_Revenue]]-Table1[[#This Row],[Service_Cost]]</f>
        <v>68742</v>
      </c>
      <c r="T1936" s="4">
        <v>4</v>
      </c>
      <c r="U1936" s="4">
        <f>IF(AND(Table1[[#This Row],[Rework_Flag]]="Yes",Table1[[#This Row],[Warranty_Claim]]="No"),Table1[[#This Row],[Service_Revenue]],0)</f>
        <v>0</v>
      </c>
      <c r="V1936" s="4">
        <f>IF(Table1[[#This Row],[Warranty_Claim]]="Yes",1,0)</f>
        <v>1</v>
      </c>
      <c r="W1936" s="4">
        <f>IF(Table1[[#This Row],[Rework_Flag]]="No",1,0)</f>
        <v>1</v>
      </c>
      <c r="X1936" s="4">
        <f>IF(Table1[[#This Row],[Rework_Flag]]="Yes",1,0)</f>
        <v>0</v>
      </c>
      <c r="Y1936" s="4">
        <v>1</v>
      </c>
      <c r="Z1936" s="4" t="str">
        <f>IF(Table1[[#This Row],[TAT_Days]]&gt;Table1[[#This Row],[SLA_TAT]],"Yes","No")</f>
        <v>Yes</v>
      </c>
      <c r="AA1936" s="4" t="str" cm="1">
        <f t="array" ref="AA1936">_xlfn.IFS(Table1[[#This Row],[Customer_Satisfaction]]&lt;=2,"Poor",Table1[[#This Row],[Customer_Satisfaction]]=3,"Neutral",Table1[[#This Row],[Customer_Satisfaction]]=4,"Good",Table1[[#This Row],[Customer_Satisfaction]]=5,"Good")</f>
        <v>Good</v>
      </c>
    </row>
    <row r="1937" spans="1:27" x14ac:dyDescent="0.35">
      <c r="A1937">
        <v>21935</v>
      </c>
      <c r="B1937" s="1">
        <v>45467</v>
      </c>
      <c r="C1937" t="s">
        <v>50</v>
      </c>
      <c r="D1937" t="s">
        <v>80</v>
      </c>
      <c r="E1937" t="s">
        <v>104</v>
      </c>
      <c r="F1937" t="s">
        <v>40</v>
      </c>
      <c r="G1937" t="s">
        <v>54</v>
      </c>
      <c r="H1937" t="s">
        <v>42</v>
      </c>
      <c r="I1937" t="s">
        <v>55</v>
      </c>
      <c r="J1937" t="s">
        <v>67</v>
      </c>
      <c r="K1937" t="s">
        <v>44</v>
      </c>
      <c r="L1937" t="s">
        <v>28</v>
      </c>
      <c r="M1937" s="4">
        <v>14</v>
      </c>
      <c r="N1937" s="4">
        <v>7</v>
      </c>
      <c r="O1937" t="s">
        <v>29</v>
      </c>
      <c r="P1937" t="s">
        <v>36</v>
      </c>
      <c r="Q1937" s="4">
        <v>568436</v>
      </c>
      <c r="R1937" s="4">
        <v>376948</v>
      </c>
      <c r="S1937" s="4">
        <f>Table1[[#This Row],[Service_Revenue]]-Table1[[#This Row],[Service_Cost]]</f>
        <v>191488</v>
      </c>
      <c r="T1937" s="4">
        <v>2</v>
      </c>
      <c r="U1937" s="4">
        <f>IF(AND(Table1[[#This Row],[Rework_Flag]]="Yes",Table1[[#This Row],[Warranty_Claim]]="No"),Table1[[#This Row],[Service_Revenue]],0)</f>
        <v>568436</v>
      </c>
      <c r="V1937" s="4">
        <f>IF(Table1[[#This Row],[Warranty_Claim]]="Yes",1,0)</f>
        <v>0</v>
      </c>
      <c r="W1937" s="4">
        <f>IF(Table1[[#This Row],[Rework_Flag]]="No",1,0)</f>
        <v>0</v>
      </c>
      <c r="X1937" s="4">
        <f>IF(Table1[[#This Row],[Rework_Flag]]="Yes",1,0)</f>
        <v>1</v>
      </c>
      <c r="Y1937" s="4">
        <v>1</v>
      </c>
      <c r="Z1937" s="4" t="str">
        <f>IF(Table1[[#This Row],[TAT_Days]]&gt;Table1[[#This Row],[SLA_TAT]],"Yes","No")</f>
        <v>Yes</v>
      </c>
      <c r="AA1937" s="4" t="str" cm="1">
        <f t="array" ref="AA1937">_xlfn.IFS(Table1[[#This Row],[Customer_Satisfaction]]&lt;=2,"Poor",Table1[[#This Row],[Customer_Satisfaction]]=3,"Neutral",Table1[[#This Row],[Customer_Satisfaction]]=4,"Good",Table1[[#This Row],[Customer_Satisfaction]]=5,"Good")</f>
        <v>Poor</v>
      </c>
    </row>
    <row r="1938" spans="1:27" x14ac:dyDescent="0.35">
      <c r="A1938">
        <v>21936</v>
      </c>
      <c r="B1938" s="1">
        <v>45466</v>
      </c>
      <c r="C1938" t="s">
        <v>50</v>
      </c>
      <c r="D1938" t="s">
        <v>56</v>
      </c>
      <c r="E1938" t="s">
        <v>77</v>
      </c>
      <c r="F1938" t="s">
        <v>40</v>
      </c>
      <c r="G1938" t="s">
        <v>33</v>
      </c>
      <c r="H1938" t="s">
        <v>34</v>
      </c>
      <c r="I1938" t="s">
        <v>55</v>
      </c>
      <c r="J1938" t="s">
        <v>67</v>
      </c>
      <c r="K1938" t="s">
        <v>61</v>
      </c>
      <c r="L1938" t="s">
        <v>28</v>
      </c>
      <c r="M1938" s="4">
        <v>8</v>
      </c>
      <c r="N1938" s="4">
        <v>7</v>
      </c>
      <c r="O1938" t="s">
        <v>36</v>
      </c>
      <c r="P1938" t="s">
        <v>36</v>
      </c>
      <c r="Q1938" s="4">
        <v>109484</v>
      </c>
      <c r="R1938" s="4">
        <v>74422</v>
      </c>
      <c r="S1938" s="4">
        <f>Table1[[#This Row],[Service_Revenue]]-Table1[[#This Row],[Service_Cost]]</f>
        <v>35062</v>
      </c>
      <c r="T1938" s="4">
        <v>4</v>
      </c>
      <c r="U1938" s="4">
        <f>IF(AND(Table1[[#This Row],[Rework_Flag]]="Yes",Table1[[#This Row],[Warranty_Claim]]="No"),Table1[[#This Row],[Service_Revenue]],0)</f>
        <v>0</v>
      </c>
      <c r="V1938" s="4">
        <f>IF(Table1[[#This Row],[Warranty_Claim]]="Yes",1,0)</f>
        <v>0</v>
      </c>
      <c r="W1938" s="4">
        <f>IF(Table1[[#This Row],[Rework_Flag]]="No",1,0)</f>
        <v>1</v>
      </c>
      <c r="X1938" s="4">
        <f>IF(Table1[[#This Row],[Rework_Flag]]="Yes",1,0)</f>
        <v>0</v>
      </c>
      <c r="Y1938" s="4">
        <v>1</v>
      </c>
      <c r="Z1938" s="4" t="str">
        <f>IF(Table1[[#This Row],[TAT_Days]]&gt;Table1[[#This Row],[SLA_TAT]],"Yes","No")</f>
        <v>Yes</v>
      </c>
      <c r="AA1938" s="4" t="str" cm="1">
        <f t="array" ref="AA1938">_xlfn.IFS(Table1[[#This Row],[Customer_Satisfaction]]&lt;=2,"Poor",Table1[[#This Row],[Customer_Satisfaction]]=3,"Neutral",Table1[[#This Row],[Customer_Satisfaction]]=4,"Good",Table1[[#This Row],[Customer_Satisfaction]]=5,"Good")</f>
        <v>Good</v>
      </c>
    </row>
    <row r="1939" spans="1:27" x14ac:dyDescent="0.35">
      <c r="A1939">
        <v>21937</v>
      </c>
      <c r="B1939" s="1">
        <v>45423</v>
      </c>
      <c r="C1939" t="s">
        <v>19</v>
      </c>
      <c r="D1939" t="s">
        <v>45</v>
      </c>
      <c r="E1939" t="s">
        <v>114</v>
      </c>
      <c r="F1939" t="s">
        <v>22</v>
      </c>
      <c r="G1939" t="s">
        <v>23</v>
      </c>
      <c r="H1939" t="s">
        <v>24</v>
      </c>
      <c r="I1939" t="s">
        <v>25</v>
      </c>
      <c r="J1939" t="s">
        <v>26</v>
      </c>
      <c r="K1939" t="s">
        <v>44</v>
      </c>
      <c r="L1939" t="s">
        <v>28</v>
      </c>
      <c r="M1939" s="4">
        <v>20</v>
      </c>
      <c r="N1939" s="4">
        <v>7</v>
      </c>
      <c r="O1939" t="s">
        <v>29</v>
      </c>
      <c r="P1939" t="s">
        <v>36</v>
      </c>
      <c r="Q1939" s="4">
        <v>394556</v>
      </c>
      <c r="R1939" s="4">
        <v>263467</v>
      </c>
      <c r="S1939" s="4">
        <f>Table1[[#This Row],[Service_Revenue]]-Table1[[#This Row],[Service_Cost]]</f>
        <v>131089</v>
      </c>
      <c r="T1939" s="4">
        <v>1</v>
      </c>
      <c r="U1939" s="4">
        <f>IF(AND(Table1[[#This Row],[Rework_Flag]]="Yes",Table1[[#This Row],[Warranty_Claim]]="No"),Table1[[#This Row],[Service_Revenue]],0)</f>
        <v>394556</v>
      </c>
      <c r="V1939" s="4">
        <f>IF(Table1[[#This Row],[Warranty_Claim]]="Yes",1,0)</f>
        <v>0</v>
      </c>
      <c r="W1939" s="4">
        <f>IF(Table1[[#This Row],[Rework_Flag]]="No",1,0)</f>
        <v>0</v>
      </c>
      <c r="X1939" s="4">
        <f>IF(Table1[[#This Row],[Rework_Flag]]="Yes",1,0)</f>
        <v>1</v>
      </c>
      <c r="Y1939" s="4">
        <v>1</v>
      </c>
      <c r="Z1939" s="4" t="str">
        <f>IF(Table1[[#This Row],[TAT_Days]]&gt;Table1[[#This Row],[SLA_TAT]],"Yes","No")</f>
        <v>Yes</v>
      </c>
      <c r="AA1939" s="4" t="str" cm="1">
        <f t="array" ref="AA1939">_xlfn.IFS(Table1[[#This Row],[Customer_Satisfaction]]&lt;=2,"Poor",Table1[[#This Row],[Customer_Satisfaction]]=3,"Neutral",Table1[[#This Row],[Customer_Satisfaction]]=4,"Good",Table1[[#This Row],[Customer_Satisfaction]]=5,"Good")</f>
        <v>Poor</v>
      </c>
    </row>
    <row r="1940" spans="1:27" x14ac:dyDescent="0.35">
      <c r="A1940">
        <v>21938</v>
      </c>
      <c r="B1940" s="1">
        <v>45407</v>
      </c>
      <c r="C1940" t="s">
        <v>19</v>
      </c>
      <c r="D1940" t="s">
        <v>20</v>
      </c>
      <c r="E1940" t="s">
        <v>117</v>
      </c>
      <c r="F1940" t="s">
        <v>40</v>
      </c>
      <c r="G1940" t="s">
        <v>63</v>
      </c>
      <c r="H1940" t="s">
        <v>24</v>
      </c>
      <c r="I1940" t="s">
        <v>55</v>
      </c>
      <c r="J1940" t="s">
        <v>58</v>
      </c>
      <c r="K1940" t="s">
        <v>61</v>
      </c>
      <c r="L1940" t="s">
        <v>49</v>
      </c>
      <c r="M1940" s="4">
        <v>23</v>
      </c>
      <c r="N1940" s="4">
        <v>7</v>
      </c>
      <c r="O1940" t="s">
        <v>29</v>
      </c>
      <c r="P1940" t="s">
        <v>36</v>
      </c>
      <c r="Q1940" s="4">
        <v>115031</v>
      </c>
      <c r="R1940" s="4">
        <v>66695</v>
      </c>
      <c r="S1940" s="4">
        <f>Table1[[#This Row],[Service_Revenue]]-Table1[[#This Row],[Service_Cost]]</f>
        <v>48336</v>
      </c>
      <c r="T1940" s="4">
        <v>1</v>
      </c>
      <c r="U1940" s="4">
        <f>IF(AND(Table1[[#This Row],[Rework_Flag]]="Yes",Table1[[#This Row],[Warranty_Claim]]="No"),Table1[[#This Row],[Service_Revenue]],0)</f>
        <v>115031</v>
      </c>
      <c r="V1940" s="4">
        <f>IF(Table1[[#This Row],[Warranty_Claim]]="Yes",1,0)</f>
        <v>0</v>
      </c>
      <c r="W1940" s="4">
        <f>IF(Table1[[#This Row],[Rework_Flag]]="No",1,0)</f>
        <v>0</v>
      </c>
      <c r="X1940" s="4">
        <f>IF(Table1[[#This Row],[Rework_Flag]]="Yes",1,0)</f>
        <v>1</v>
      </c>
      <c r="Y1940" s="4">
        <v>1</v>
      </c>
      <c r="Z1940" s="4" t="str">
        <f>IF(Table1[[#This Row],[TAT_Days]]&gt;Table1[[#This Row],[SLA_TAT]],"Yes","No")</f>
        <v>Yes</v>
      </c>
      <c r="AA1940" s="4" t="str" cm="1">
        <f t="array" ref="AA1940">_xlfn.IFS(Table1[[#This Row],[Customer_Satisfaction]]&lt;=2,"Poor",Table1[[#This Row],[Customer_Satisfaction]]=3,"Neutral",Table1[[#This Row],[Customer_Satisfaction]]=4,"Good",Table1[[#This Row],[Customer_Satisfaction]]=5,"Good")</f>
        <v>Poor</v>
      </c>
    </row>
    <row r="1941" spans="1:27" x14ac:dyDescent="0.35">
      <c r="A1941">
        <v>21939</v>
      </c>
      <c r="B1941" s="1">
        <v>45323</v>
      </c>
      <c r="C1941" t="s">
        <v>37</v>
      </c>
      <c r="D1941" t="s">
        <v>70</v>
      </c>
      <c r="E1941" t="s">
        <v>116</v>
      </c>
      <c r="F1941" t="s">
        <v>40</v>
      </c>
      <c r="G1941" t="s">
        <v>54</v>
      </c>
      <c r="H1941" t="s">
        <v>42</v>
      </c>
      <c r="I1941" t="s">
        <v>25</v>
      </c>
      <c r="J1941" t="s">
        <v>35</v>
      </c>
      <c r="K1941" t="s">
        <v>61</v>
      </c>
      <c r="L1941" t="s">
        <v>49</v>
      </c>
      <c r="M1941" s="4">
        <v>14</v>
      </c>
      <c r="N1941" s="4">
        <v>7</v>
      </c>
      <c r="O1941" t="s">
        <v>36</v>
      </c>
      <c r="P1941" t="s">
        <v>36</v>
      </c>
      <c r="Q1941" s="4">
        <v>105793</v>
      </c>
      <c r="R1941" s="4">
        <v>71309</v>
      </c>
      <c r="S1941" s="4">
        <f>Table1[[#This Row],[Service_Revenue]]-Table1[[#This Row],[Service_Cost]]</f>
        <v>34484</v>
      </c>
      <c r="T1941" s="4">
        <v>3</v>
      </c>
      <c r="U1941" s="4">
        <f>IF(AND(Table1[[#This Row],[Rework_Flag]]="Yes",Table1[[#This Row],[Warranty_Claim]]="No"),Table1[[#This Row],[Service_Revenue]],0)</f>
        <v>0</v>
      </c>
      <c r="V1941" s="4">
        <f>IF(Table1[[#This Row],[Warranty_Claim]]="Yes",1,0)</f>
        <v>0</v>
      </c>
      <c r="W1941" s="4">
        <f>IF(Table1[[#This Row],[Rework_Flag]]="No",1,0)</f>
        <v>1</v>
      </c>
      <c r="X1941" s="4">
        <f>IF(Table1[[#This Row],[Rework_Flag]]="Yes",1,0)</f>
        <v>0</v>
      </c>
      <c r="Y1941" s="4">
        <v>1</v>
      </c>
      <c r="Z1941" s="4" t="str">
        <f>IF(Table1[[#This Row],[TAT_Days]]&gt;Table1[[#This Row],[SLA_TAT]],"Yes","No")</f>
        <v>Yes</v>
      </c>
      <c r="AA1941" s="4" t="str" cm="1">
        <f t="array" ref="AA1941">_xlfn.IFS(Table1[[#This Row],[Customer_Satisfaction]]&lt;=2,"Poor",Table1[[#This Row],[Customer_Satisfaction]]=3,"Neutral",Table1[[#This Row],[Customer_Satisfaction]]=4,"Good",Table1[[#This Row],[Customer_Satisfaction]]=5,"Good")</f>
        <v>Neutral</v>
      </c>
    </row>
    <row r="1942" spans="1:27" x14ac:dyDescent="0.35">
      <c r="A1942">
        <v>21940</v>
      </c>
      <c r="B1942" s="1">
        <v>45357</v>
      </c>
      <c r="C1942" t="s">
        <v>37</v>
      </c>
      <c r="D1942" t="s">
        <v>64</v>
      </c>
      <c r="E1942" t="s">
        <v>72</v>
      </c>
      <c r="F1942" t="s">
        <v>22</v>
      </c>
      <c r="G1942" t="s">
        <v>33</v>
      </c>
      <c r="H1942" t="s">
        <v>34</v>
      </c>
      <c r="I1942" t="s">
        <v>55</v>
      </c>
      <c r="J1942" t="s">
        <v>26</v>
      </c>
      <c r="K1942" t="s">
        <v>44</v>
      </c>
      <c r="L1942" t="s">
        <v>28</v>
      </c>
      <c r="M1942" s="4">
        <v>16</v>
      </c>
      <c r="N1942" s="4">
        <v>7</v>
      </c>
      <c r="O1942" t="s">
        <v>36</v>
      </c>
      <c r="P1942" t="s">
        <v>36</v>
      </c>
      <c r="Q1942" s="4">
        <v>415931</v>
      </c>
      <c r="R1942" s="4">
        <v>227506</v>
      </c>
      <c r="S1942" s="4">
        <f>Table1[[#This Row],[Service_Revenue]]-Table1[[#This Row],[Service_Cost]]</f>
        <v>188425</v>
      </c>
      <c r="T1942" s="4">
        <v>2</v>
      </c>
      <c r="U1942" s="4">
        <f>IF(AND(Table1[[#This Row],[Rework_Flag]]="Yes",Table1[[#This Row],[Warranty_Claim]]="No"),Table1[[#This Row],[Service_Revenue]],0)</f>
        <v>0</v>
      </c>
      <c r="V1942" s="4">
        <f>IF(Table1[[#This Row],[Warranty_Claim]]="Yes",1,0)</f>
        <v>0</v>
      </c>
      <c r="W1942" s="4">
        <f>IF(Table1[[#This Row],[Rework_Flag]]="No",1,0)</f>
        <v>1</v>
      </c>
      <c r="X1942" s="4">
        <f>IF(Table1[[#This Row],[Rework_Flag]]="Yes",1,0)</f>
        <v>0</v>
      </c>
      <c r="Y1942" s="4">
        <v>1</v>
      </c>
      <c r="Z1942" s="4" t="str">
        <f>IF(Table1[[#This Row],[TAT_Days]]&gt;Table1[[#This Row],[SLA_TAT]],"Yes","No")</f>
        <v>Yes</v>
      </c>
      <c r="AA1942" s="4" t="str" cm="1">
        <f t="array" ref="AA1942">_xlfn.IFS(Table1[[#This Row],[Customer_Satisfaction]]&lt;=2,"Poor",Table1[[#This Row],[Customer_Satisfaction]]=3,"Neutral",Table1[[#This Row],[Customer_Satisfaction]]=4,"Good",Table1[[#This Row],[Customer_Satisfaction]]=5,"Good")</f>
        <v>Poor</v>
      </c>
    </row>
    <row r="1943" spans="1:27" x14ac:dyDescent="0.35">
      <c r="A1943">
        <v>21941</v>
      </c>
      <c r="B1943" s="1">
        <v>45307</v>
      </c>
      <c r="C1943" t="s">
        <v>37</v>
      </c>
      <c r="D1943" t="s">
        <v>70</v>
      </c>
      <c r="E1943" t="s">
        <v>82</v>
      </c>
      <c r="F1943" t="s">
        <v>53</v>
      </c>
      <c r="G1943" t="s">
        <v>23</v>
      </c>
      <c r="H1943" t="s">
        <v>24</v>
      </c>
      <c r="I1943" t="s">
        <v>25</v>
      </c>
      <c r="J1943" t="s">
        <v>35</v>
      </c>
      <c r="K1943" t="s">
        <v>27</v>
      </c>
      <c r="L1943" t="s">
        <v>28</v>
      </c>
      <c r="M1943" s="4">
        <v>23</v>
      </c>
      <c r="N1943" s="4">
        <v>7</v>
      </c>
      <c r="O1943" t="s">
        <v>29</v>
      </c>
      <c r="P1943" t="s">
        <v>29</v>
      </c>
      <c r="Q1943" s="4">
        <v>261158</v>
      </c>
      <c r="R1943" s="4">
        <v>130982</v>
      </c>
      <c r="S1943" s="4">
        <f>Table1[[#This Row],[Service_Revenue]]-Table1[[#This Row],[Service_Cost]]</f>
        <v>130176</v>
      </c>
      <c r="T1943" s="4">
        <v>1</v>
      </c>
      <c r="U1943" s="4">
        <f>IF(AND(Table1[[#This Row],[Rework_Flag]]="Yes",Table1[[#This Row],[Warranty_Claim]]="No"),Table1[[#This Row],[Service_Revenue]],0)</f>
        <v>0</v>
      </c>
      <c r="V1943" s="4">
        <f>IF(Table1[[#This Row],[Warranty_Claim]]="Yes",1,0)</f>
        <v>1</v>
      </c>
      <c r="W1943" s="4">
        <f>IF(Table1[[#This Row],[Rework_Flag]]="No",1,0)</f>
        <v>0</v>
      </c>
      <c r="X1943" s="4">
        <f>IF(Table1[[#This Row],[Rework_Flag]]="Yes",1,0)</f>
        <v>1</v>
      </c>
      <c r="Y1943" s="4">
        <v>1</v>
      </c>
      <c r="Z1943" s="4" t="str">
        <f>IF(Table1[[#This Row],[TAT_Days]]&gt;Table1[[#This Row],[SLA_TAT]],"Yes","No")</f>
        <v>Yes</v>
      </c>
      <c r="AA1943" s="4" t="str" cm="1">
        <f t="array" ref="AA1943">_xlfn.IFS(Table1[[#This Row],[Customer_Satisfaction]]&lt;=2,"Poor",Table1[[#This Row],[Customer_Satisfaction]]=3,"Neutral",Table1[[#This Row],[Customer_Satisfaction]]=4,"Good",Table1[[#This Row],[Customer_Satisfaction]]=5,"Good")</f>
        <v>Poor</v>
      </c>
    </row>
    <row r="1944" spans="1:27" x14ac:dyDescent="0.35">
      <c r="A1944">
        <v>21942</v>
      </c>
      <c r="B1944" s="1">
        <v>45390</v>
      </c>
      <c r="C1944" t="s">
        <v>19</v>
      </c>
      <c r="D1944" t="s">
        <v>45</v>
      </c>
      <c r="E1944" t="s">
        <v>114</v>
      </c>
      <c r="F1944" t="s">
        <v>22</v>
      </c>
      <c r="G1944" t="s">
        <v>54</v>
      </c>
      <c r="H1944" t="s">
        <v>42</v>
      </c>
      <c r="I1944" t="s">
        <v>25</v>
      </c>
      <c r="J1944" t="s">
        <v>67</v>
      </c>
      <c r="K1944" t="s">
        <v>61</v>
      </c>
      <c r="L1944" t="s">
        <v>28</v>
      </c>
      <c r="M1944" s="4">
        <v>14</v>
      </c>
      <c r="N1944" s="4">
        <v>7</v>
      </c>
      <c r="O1944" t="s">
        <v>29</v>
      </c>
      <c r="P1944" t="s">
        <v>29</v>
      </c>
      <c r="Q1944" s="4">
        <v>253844</v>
      </c>
      <c r="R1944" s="4">
        <v>171892</v>
      </c>
      <c r="S1944" s="4">
        <f>Table1[[#This Row],[Service_Revenue]]-Table1[[#This Row],[Service_Cost]]</f>
        <v>81952</v>
      </c>
      <c r="T1944" s="4">
        <v>2</v>
      </c>
      <c r="U1944" s="4">
        <f>IF(AND(Table1[[#This Row],[Rework_Flag]]="Yes",Table1[[#This Row],[Warranty_Claim]]="No"),Table1[[#This Row],[Service_Revenue]],0)</f>
        <v>0</v>
      </c>
      <c r="V1944" s="4">
        <f>IF(Table1[[#This Row],[Warranty_Claim]]="Yes",1,0)</f>
        <v>1</v>
      </c>
      <c r="W1944" s="4">
        <f>IF(Table1[[#This Row],[Rework_Flag]]="No",1,0)</f>
        <v>0</v>
      </c>
      <c r="X1944" s="4">
        <f>IF(Table1[[#This Row],[Rework_Flag]]="Yes",1,0)</f>
        <v>1</v>
      </c>
      <c r="Y1944" s="4">
        <v>1</v>
      </c>
      <c r="Z1944" s="4" t="str">
        <f>IF(Table1[[#This Row],[TAT_Days]]&gt;Table1[[#This Row],[SLA_TAT]],"Yes","No")</f>
        <v>Yes</v>
      </c>
      <c r="AA1944" s="4" t="str" cm="1">
        <f t="array" ref="AA1944">_xlfn.IFS(Table1[[#This Row],[Customer_Satisfaction]]&lt;=2,"Poor",Table1[[#This Row],[Customer_Satisfaction]]=3,"Neutral",Table1[[#This Row],[Customer_Satisfaction]]=4,"Good",Table1[[#This Row],[Customer_Satisfaction]]=5,"Good")</f>
        <v>Poor</v>
      </c>
    </row>
    <row r="1945" spans="1:27" x14ac:dyDescent="0.35">
      <c r="A1945">
        <v>21943</v>
      </c>
      <c r="B1945" s="1">
        <v>45377</v>
      </c>
      <c r="C1945" t="s">
        <v>19</v>
      </c>
      <c r="D1945" t="s">
        <v>20</v>
      </c>
      <c r="E1945" t="s">
        <v>110</v>
      </c>
      <c r="F1945" t="s">
        <v>53</v>
      </c>
      <c r="G1945" t="s">
        <v>47</v>
      </c>
      <c r="H1945" t="s">
        <v>48</v>
      </c>
      <c r="I1945" t="s">
        <v>55</v>
      </c>
      <c r="J1945" t="s">
        <v>58</v>
      </c>
      <c r="K1945" t="s">
        <v>44</v>
      </c>
      <c r="L1945" t="s">
        <v>49</v>
      </c>
      <c r="M1945" s="4">
        <v>8</v>
      </c>
      <c r="N1945" s="4">
        <v>7</v>
      </c>
      <c r="O1945" t="s">
        <v>29</v>
      </c>
      <c r="P1945" t="s">
        <v>29</v>
      </c>
      <c r="Q1945" s="4">
        <v>164350</v>
      </c>
      <c r="R1945" s="4">
        <v>137680</v>
      </c>
      <c r="S1945" s="4">
        <f>Table1[[#This Row],[Service_Revenue]]-Table1[[#This Row],[Service_Cost]]</f>
        <v>26670</v>
      </c>
      <c r="T1945" s="4">
        <v>3</v>
      </c>
      <c r="U1945" s="4">
        <f>IF(AND(Table1[[#This Row],[Rework_Flag]]="Yes",Table1[[#This Row],[Warranty_Claim]]="No"),Table1[[#This Row],[Service_Revenue]],0)</f>
        <v>0</v>
      </c>
      <c r="V1945" s="4">
        <f>IF(Table1[[#This Row],[Warranty_Claim]]="Yes",1,0)</f>
        <v>1</v>
      </c>
      <c r="W1945" s="4">
        <f>IF(Table1[[#This Row],[Rework_Flag]]="No",1,0)</f>
        <v>0</v>
      </c>
      <c r="X1945" s="4">
        <f>IF(Table1[[#This Row],[Rework_Flag]]="Yes",1,0)</f>
        <v>1</v>
      </c>
      <c r="Y1945" s="4">
        <v>1</v>
      </c>
      <c r="Z1945" s="4" t="str">
        <f>IF(Table1[[#This Row],[TAT_Days]]&gt;Table1[[#This Row],[SLA_TAT]],"Yes","No")</f>
        <v>Yes</v>
      </c>
      <c r="AA1945" s="4" t="str" cm="1">
        <f t="array" ref="AA1945">_xlfn.IFS(Table1[[#This Row],[Customer_Satisfaction]]&lt;=2,"Poor",Table1[[#This Row],[Customer_Satisfaction]]=3,"Neutral",Table1[[#This Row],[Customer_Satisfaction]]=4,"Good",Table1[[#This Row],[Customer_Satisfaction]]=5,"Good")</f>
        <v>Neutral</v>
      </c>
    </row>
    <row r="1946" spans="1:27" x14ac:dyDescent="0.35">
      <c r="A1946">
        <v>21944</v>
      </c>
      <c r="B1946" s="1">
        <v>45426</v>
      </c>
      <c r="C1946" t="s">
        <v>37</v>
      </c>
      <c r="D1946" t="s">
        <v>38</v>
      </c>
      <c r="E1946" t="s">
        <v>107</v>
      </c>
      <c r="F1946" t="s">
        <v>53</v>
      </c>
      <c r="G1946" t="s">
        <v>33</v>
      </c>
      <c r="H1946" t="s">
        <v>34</v>
      </c>
      <c r="I1946" t="s">
        <v>55</v>
      </c>
      <c r="J1946" t="s">
        <v>35</v>
      </c>
      <c r="K1946" t="s">
        <v>44</v>
      </c>
      <c r="L1946" t="s">
        <v>28</v>
      </c>
      <c r="M1946" s="4">
        <v>20</v>
      </c>
      <c r="N1946" s="4">
        <v>7</v>
      </c>
      <c r="O1946" t="s">
        <v>29</v>
      </c>
      <c r="P1946" t="s">
        <v>29</v>
      </c>
      <c r="Q1946" s="4">
        <v>287711</v>
      </c>
      <c r="R1946" s="4">
        <v>193467</v>
      </c>
      <c r="S1946" s="4">
        <f>Table1[[#This Row],[Service_Revenue]]-Table1[[#This Row],[Service_Cost]]</f>
        <v>94244</v>
      </c>
      <c r="T1946" s="4">
        <v>1</v>
      </c>
      <c r="U1946" s="4">
        <f>IF(AND(Table1[[#This Row],[Rework_Flag]]="Yes",Table1[[#This Row],[Warranty_Claim]]="No"),Table1[[#This Row],[Service_Revenue]],0)</f>
        <v>0</v>
      </c>
      <c r="V1946" s="4">
        <f>IF(Table1[[#This Row],[Warranty_Claim]]="Yes",1,0)</f>
        <v>1</v>
      </c>
      <c r="W1946" s="4">
        <f>IF(Table1[[#This Row],[Rework_Flag]]="No",1,0)</f>
        <v>0</v>
      </c>
      <c r="X1946" s="4">
        <f>IF(Table1[[#This Row],[Rework_Flag]]="Yes",1,0)</f>
        <v>1</v>
      </c>
      <c r="Y1946" s="4">
        <v>1</v>
      </c>
      <c r="Z1946" s="4" t="str">
        <f>IF(Table1[[#This Row],[TAT_Days]]&gt;Table1[[#This Row],[SLA_TAT]],"Yes","No")</f>
        <v>Yes</v>
      </c>
      <c r="AA1946" s="4" t="str" cm="1">
        <f t="array" ref="AA1946">_xlfn.IFS(Table1[[#This Row],[Customer_Satisfaction]]&lt;=2,"Poor",Table1[[#This Row],[Customer_Satisfaction]]=3,"Neutral",Table1[[#This Row],[Customer_Satisfaction]]=4,"Good",Table1[[#This Row],[Customer_Satisfaction]]=5,"Good")</f>
        <v>Poor</v>
      </c>
    </row>
    <row r="1947" spans="1:27" x14ac:dyDescent="0.35">
      <c r="A1947">
        <v>21945</v>
      </c>
      <c r="B1947" s="1">
        <v>45317</v>
      </c>
      <c r="C1947" t="s">
        <v>50</v>
      </c>
      <c r="D1947" t="s">
        <v>51</v>
      </c>
      <c r="E1947" t="s">
        <v>120</v>
      </c>
      <c r="F1947" t="s">
        <v>22</v>
      </c>
      <c r="G1947" t="s">
        <v>23</v>
      </c>
      <c r="H1947" t="s">
        <v>24</v>
      </c>
      <c r="I1947" t="s">
        <v>55</v>
      </c>
      <c r="J1947" t="s">
        <v>26</v>
      </c>
      <c r="K1947" t="s">
        <v>27</v>
      </c>
      <c r="L1947" t="s">
        <v>28</v>
      </c>
      <c r="M1947" s="4">
        <v>19</v>
      </c>
      <c r="N1947" s="4">
        <v>7</v>
      </c>
      <c r="O1947" t="s">
        <v>29</v>
      </c>
      <c r="P1947" t="s">
        <v>36</v>
      </c>
      <c r="Q1947" s="4">
        <v>496460</v>
      </c>
      <c r="R1947" s="4">
        <v>304841</v>
      </c>
      <c r="S1947" s="4">
        <f>Table1[[#This Row],[Service_Revenue]]-Table1[[#This Row],[Service_Cost]]</f>
        <v>191619</v>
      </c>
      <c r="T1947" s="4">
        <v>1</v>
      </c>
      <c r="U1947" s="4">
        <f>IF(AND(Table1[[#This Row],[Rework_Flag]]="Yes",Table1[[#This Row],[Warranty_Claim]]="No"),Table1[[#This Row],[Service_Revenue]],0)</f>
        <v>496460</v>
      </c>
      <c r="V1947" s="4">
        <f>IF(Table1[[#This Row],[Warranty_Claim]]="Yes",1,0)</f>
        <v>0</v>
      </c>
      <c r="W1947" s="4">
        <f>IF(Table1[[#This Row],[Rework_Flag]]="No",1,0)</f>
        <v>0</v>
      </c>
      <c r="X1947" s="4">
        <f>IF(Table1[[#This Row],[Rework_Flag]]="Yes",1,0)</f>
        <v>1</v>
      </c>
      <c r="Y1947" s="4">
        <v>1</v>
      </c>
      <c r="Z1947" s="4" t="str">
        <f>IF(Table1[[#This Row],[TAT_Days]]&gt;Table1[[#This Row],[SLA_TAT]],"Yes","No")</f>
        <v>Yes</v>
      </c>
      <c r="AA1947" s="4" t="str" cm="1">
        <f t="array" ref="AA1947">_xlfn.IFS(Table1[[#This Row],[Customer_Satisfaction]]&lt;=2,"Poor",Table1[[#This Row],[Customer_Satisfaction]]=3,"Neutral",Table1[[#This Row],[Customer_Satisfaction]]=4,"Good",Table1[[#This Row],[Customer_Satisfaction]]=5,"Good")</f>
        <v>Poor</v>
      </c>
    </row>
    <row r="1948" spans="1:27" x14ac:dyDescent="0.35">
      <c r="A1948">
        <v>21946</v>
      </c>
      <c r="B1948" s="1">
        <v>45324</v>
      </c>
      <c r="C1948" t="s">
        <v>50</v>
      </c>
      <c r="D1948" t="s">
        <v>56</v>
      </c>
      <c r="E1948" t="s">
        <v>68</v>
      </c>
      <c r="F1948" t="s">
        <v>53</v>
      </c>
      <c r="G1948" t="s">
        <v>74</v>
      </c>
      <c r="H1948" t="s">
        <v>34</v>
      </c>
      <c r="I1948" t="s">
        <v>25</v>
      </c>
      <c r="J1948" t="s">
        <v>43</v>
      </c>
      <c r="K1948" t="s">
        <v>27</v>
      </c>
      <c r="L1948" t="s">
        <v>49</v>
      </c>
      <c r="M1948" s="4">
        <v>13</v>
      </c>
      <c r="N1948" s="4">
        <v>7</v>
      </c>
      <c r="O1948" t="s">
        <v>29</v>
      </c>
      <c r="P1948" t="s">
        <v>36</v>
      </c>
      <c r="Q1948" s="4">
        <v>349264</v>
      </c>
      <c r="R1948" s="4">
        <v>191065</v>
      </c>
      <c r="S1948" s="4">
        <f>Table1[[#This Row],[Service_Revenue]]-Table1[[#This Row],[Service_Cost]]</f>
        <v>158199</v>
      </c>
      <c r="T1948" s="4">
        <v>2</v>
      </c>
      <c r="U1948" s="4">
        <f>IF(AND(Table1[[#This Row],[Rework_Flag]]="Yes",Table1[[#This Row],[Warranty_Claim]]="No"),Table1[[#This Row],[Service_Revenue]],0)</f>
        <v>349264</v>
      </c>
      <c r="V1948" s="4">
        <f>IF(Table1[[#This Row],[Warranty_Claim]]="Yes",1,0)</f>
        <v>0</v>
      </c>
      <c r="W1948" s="4">
        <f>IF(Table1[[#This Row],[Rework_Flag]]="No",1,0)</f>
        <v>0</v>
      </c>
      <c r="X1948" s="4">
        <f>IF(Table1[[#This Row],[Rework_Flag]]="Yes",1,0)</f>
        <v>1</v>
      </c>
      <c r="Y1948" s="4">
        <v>1</v>
      </c>
      <c r="Z1948" s="4" t="str">
        <f>IF(Table1[[#This Row],[TAT_Days]]&gt;Table1[[#This Row],[SLA_TAT]],"Yes","No")</f>
        <v>Yes</v>
      </c>
      <c r="AA1948" s="4" t="str" cm="1">
        <f t="array" ref="AA1948">_xlfn.IFS(Table1[[#This Row],[Customer_Satisfaction]]&lt;=2,"Poor",Table1[[#This Row],[Customer_Satisfaction]]=3,"Neutral",Table1[[#This Row],[Customer_Satisfaction]]=4,"Good",Table1[[#This Row],[Customer_Satisfaction]]=5,"Good")</f>
        <v>Poor</v>
      </c>
    </row>
    <row r="1949" spans="1:27" x14ac:dyDescent="0.35">
      <c r="A1949">
        <v>21947</v>
      </c>
      <c r="B1949" s="1">
        <v>45319</v>
      </c>
      <c r="C1949" t="s">
        <v>50</v>
      </c>
      <c r="D1949" t="s">
        <v>51</v>
      </c>
      <c r="E1949" t="s">
        <v>52</v>
      </c>
      <c r="F1949" t="s">
        <v>22</v>
      </c>
      <c r="G1949" t="s">
        <v>63</v>
      </c>
      <c r="H1949" t="s">
        <v>24</v>
      </c>
      <c r="I1949" t="s">
        <v>25</v>
      </c>
      <c r="J1949" t="s">
        <v>67</v>
      </c>
      <c r="K1949" t="s">
        <v>27</v>
      </c>
      <c r="L1949" t="s">
        <v>28</v>
      </c>
      <c r="M1949" s="4">
        <v>12</v>
      </c>
      <c r="N1949" s="4">
        <v>7</v>
      </c>
      <c r="O1949" t="s">
        <v>29</v>
      </c>
      <c r="P1949" t="s">
        <v>36</v>
      </c>
      <c r="Q1949" s="4">
        <v>505808</v>
      </c>
      <c r="R1949" s="4">
        <v>302441</v>
      </c>
      <c r="S1949" s="4">
        <f>Table1[[#This Row],[Service_Revenue]]-Table1[[#This Row],[Service_Cost]]</f>
        <v>203367</v>
      </c>
      <c r="T1949" s="4">
        <v>2</v>
      </c>
      <c r="U1949" s="4">
        <f>IF(AND(Table1[[#This Row],[Rework_Flag]]="Yes",Table1[[#This Row],[Warranty_Claim]]="No"),Table1[[#This Row],[Service_Revenue]],0)</f>
        <v>505808</v>
      </c>
      <c r="V1949" s="4">
        <f>IF(Table1[[#This Row],[Warranty_Claim]]="Yes",1,0)</f>
        <v>0</v>
      </c>
      <c r="W1949" s="4">
        <f>IF(Table1[[#This Row],[Rework_Flag]]="No",1,0)</f>
        <v>0</v>
      </c>
      <c r="X1949" s="4">
        <f>IF(Table1[[#This Row],[Rework_Flag]]="Yes",1,0)</f>
        <v>1</v>
      </c>
      <c r="Y1949" s="4">
        <v>1</v>
      </c>
      <c r="Z1949" s="4" t="str">
        <f>IF(Table1[[#This Row],[TAT_Days]]&gt;Table1[[#This Row],[SLA_TAT]],"Yes","No")</f>
        <v>Yes</v>
      </c>
      <c r="AA1949" s="4" t="str" cm="1">
        <f t="array" ref="AA1949">_xlfn.IFS(Table1[[#This Row],[Customer_Satisfaction]]&lt;=2,"Poor",Table1[[#This Row],[Customer_Satisfaction]]=3,"Neutral",Table1[[#This Row],[Customer_Satisfaction]]=4,"Good",Table1[[#This Row],[Customer_Satisfaction]]=5,"Good")</f>
        <v>Poor</v>
      </c>
    </row>
    <row r="1950" spans="1:27" x14ac:dyDescent="0.35">
      <c r="A1950">
        <v>21948</v>
      </c>
      <c r="B1950" s="1">
        <v>45301</v>
      </c>
      <c r="C1950" t="s">
        <v>37</v>
      </c>
      <c r="D1950" t="s">
        <v>38</v>
      </c>
      <c r="E1950" t="s">
        <v>102</v>
      </c>
      <c r="F1950" t="s">
        <v>40</v>
      </c>
      <c r="G1950" t="s">
        <v>54</v>
      </c>
      <c r="H1950" t="s">
        <v>42</v>
      </c>
      <c r="I1950" t="s">
        <v>25</v>
      </c>
      <c r="J1950" t="s">
        <v>67</v>
      </c>
      <c r="K1950" t="s">
        <v>61</v>
      </c>
      <c r="L1950" t="s">
        <v>28</v>
      </c>
      <c r="M1950" s="4">
        <v>4</v>
      </c>
      <c r="N1950" s="4">
        <v>7</v>
      </c>
      <c r="O1950" t="s">
        <v>29</v>
      </c>
      <c r="P1950" t="s">
        <v>36</v>
      </c>
      <c r="Q1950" s="4">
        <v>119862</v>
      </c>
      <c r="R1950" s="4">
        <v>99937</v>
      </c>
      <c r="S1950" s="4">
        <f>Table1[[#This Row],[Service_Revenue]]-Table1[[#This Row],[Service_Cost]]</f>
        <v>19925</v>
      </c>
      <c r="T1950" s="4">
        <v>4</v>
      </c>
      <c r="U1950" s="4">
        <f>IF(AND(Table1[[#This Row],[Rework_Flag]]="Yes",Table1[[#This Row],[Warranty_Claim]]="No"),Table1[[#This Row],[Service_Revenue]],0)</f>
        <v>119862</v>
      </c>
      <c r="V1950" s="4">
        <f>IF(Table1[[#This Row],[Warranty_Claim]]="Yes",1,0)</f>
        <v>0</v>
      </c>
      <c r="W1950" s="4">
        <f>IF(Table1[[#This Row],[Rework_Flag]]="No",1,0)</f>
        <v>0</v>
      </c>
      <c r="X1950" s="4">
        <f>IF(Table1[[#This Row],[Rework_Flag]]="Yes",1,0)</f>
        <v>1</v>
      </c>
      <c r="Y1950" s="4">
        <v>1</v>
      </c>
      <c r="Z1950" s="4" t="str">
        <f>IF(Table1[[#This Row],[TAT_Days]]&gt;Table1[[#This Row],[SLA_TAT]],"Yes","No")</f>
        <v>No</v>
      </c>
      <c r="AA1950" s="4" t="str" cm="1">
        <f t="array" ref="AA1950">_xlfn.IFS(Table1[[#This Row],[Customer_Satisfaction]]&lt;=2,"Poor",Table1[[#This Row],[Customer_Satisfaction]]=3,"Neutral",Table1[[#This Row],[Customer_Satisfaction]]=4,"Good",Table1[[#This Row],[Customer_Satisfaction]]=5,"Good")</f>
        <v>Good</v>
      </c>
    </row>
    <row r="1951" spans="1:27" x14ac:dyDescent="0.35">
      <c r="A1951">
        <v>21949</v>
      </c>
      <c r="B1951" s="1">
        <v>45349</v>
      </c>
      <c r="C1951" t="s">
        <v>37</v>
      </c>
      <c r="D1951" t="s">
        <v>70</v>
      </c>
      <c r="E1951" t="s">
        <v>116</v>
      </c>
      <c r="F1951" t="s">
        <v>40</v>
      </c>
      <c r="G1951" t="s">
        <v>41</v>
      </c>
      <c r="H1951" t="s">
        <v>42</v>
      </c>
      <c r="I1951" t="s">
        <v>25</v>
      </c>
      <c r="J1951" t="s">
        <v>58</v>
      </c>
      <c r="K1951" t="s">
        <v>44</v>
      </c>
      <c r="L1951" t="s">
        <v>49</v>
      </c>
      <c r="M1951" s="4">
        <v>4</v>
      </c>
      <c r="N1951" s="4">
        <v>7</v>
      </c>
      <c r="O1951" t="s">
        <v>36</v>
      </c>
      <c r="P1951" t="s">
        <v>29</v>
      </c>
      <c r="Q1951" s="4">
        <v>440762</v>
      </c>
      <c r="R1951" s="4">
        <v>263997</v>
      </c>
      <c r="S1951" s="4">
        <f>Table1[[#This Row],[Service_Revenue]]-Table1[[#This Row],[Service_Cost]]</f>
        <v>176765</v>
      </c>
      <c r="T1951" s="4">
        <v>5</v>
      </c>
      <c r="U1951" s="4">
        <f>IF(AND(Table1[[#This Row],[Rework_Flag]]="Yes",Table1[[#This Row],[Warranty_Claim]]="No"),Table1[[#This Row],[Service_Revenue]],0)</f>
        <v>0</v>
      </c>
      <c r="V1951" s="4">
        <f>IF(Table1[[#This Row],[Warranty_Claim]]="Yes",1,0)</f>
        <v>1</v>
      </c>
      <c r="W1951" s="4">
        <f>IF(Table1[[#This Row],[Rework_Flag]]="No",1,0)</f>
        <v>1</v>
      </c>
      <c r="X1951" s="4">
        <f>IF(Table1[[#This Row],[Rework_Flag]]="Yes",1,0)</f>
        <v>0</v>
      </c>
      <c r="Y1951" s="4">
        <v>1</v>
      </c>
      <c r="Z1951" s="4" t="str">
        <f>IF(Table1[[#This Row],[TAT_Days]]&gt;Table1[[#This Row],[SLA_TAT]],"Yes","No")</f>
        <v>No</v>
      </c>
      <c r="AA1951" s="4" t="str" cm="1">
        <f t="array" ref="AA1951">_xlfn.IFS(Table1[[#This Row],[Customer_Satisfaction]]&lt;=2,"Poor",Table1[[#This Row],[Customer_Satisfaction]]=3,"Neutral",Table1[[#This Row],[Customer_Satisfaction]]=4,"Good",Table1[[#This Row],[Customer_Satisfaction]]=5,"Good")</f>
        <v>Good</v>
      </c>
    </row>
    <row r="1952" spans="1:27" x14ac:dyDescent="0.35">
      <c r="A1952">
        <v>21950</v>
      </c>
      <c r="B1952" s="1">
        <v>45468</v>
      </c>
      <c r="C1952" t="s">
        <v>19</v>
      </c>
      <c r="D1952" t="s">
        <v>45</v>
      </c>
      <c r="E1952" t="s">
        <v>111</v>
      </c>
      <c r="F1952" t="s">
        <v>53</v>
      </c>
      <c r="G1952" t="s">
        <v>33</v>
      </c>
      <c r="H1952" t="s">
        <v>34</v>
      </c>
      <c r="I1952" t="s">
        <v>55</v>
      </c>
      <c r="J1952" t="s">
        <v>67</v>
      </c>
      <c r="K1952" t="s">
        <v>61</v>
      </c>
      <c r="L1952" t="s">
        <v>28</v>
      </c>
      <c r="M1952" s="4">
        <v>20</v>
      </c>
      <c r="N1952" s="4">
        <v>7</v>
      </c>
      <c r="O1952" t="s">
        <v>29</v>
      </c>
      <c r="P1952" t="s">
        <v>29</v>
      </c>
      <c r="Q1952" s="4">
        <v>371469</v>
      </c>
      <c r="R1952" s="4">
        <v>303641</v>
      </c>
      <c r="S1952" s="4">
        <f>Table1[[#This Row],[Service_Revenue]]-Table1[[#This Row],[Service_Cost]]</f>
        <v>67828</v>
      </c>
      <c r="T1952" s="4">
        <v>1</v>
      </c>
      <c r="U1952" s="4">
        <f>IF(AND(Table1[[#This Row],[Rework_Flag]]="Yes",Table1[[#This Row],[Warranty_Claim]]="No"),Table1[[#This Row],[Service_Revenue]],0)</f>
        <v>0</v>
      </c>
      <c r="V1952" s="4">
        <f>IF(Table1[[#This Row],[Warranty_Claim]]="Yes",1,0)</f>
        <v>1</v>
      </c>
      <c r="W1952" s="4">
        <f>IF(Table1[[#This Row],[Rework_Flag]]="No",1,0)</f>
        <v>0</v>
      </c>
      <c r="X1952" s="4">
        <f>IF(Table1[[#This Row],[Rework_Flag]]="Yes",1,0)</f>
        <v>1</v>
      </c>
      <c r="Y1952" s="4">
        <v>1</v>
      </c>
      <c r="Z1952" s="4" t="str">
        <f>IF(Table1[[#This Row],[TAT_Days]]&gt;Table1[[#This Row],[SLA_TAT]],"Yes","No")</f>
        <v>Yes</v>
      </c>
      <c r="AA1952" s="4" t="str" cm="1">
        <f t="array" ref="AA1952">_xlfn.IFS(Table1[[#This Row],[Customer_Satisfaction]]&lt;=2,"Poor",Table1[[#This Row],[Customer_Satisfaction]]=3,"Neutral",Table1[[#This Row],[Customer_Satisfaction]]=4,"Good",Table1[[#This Row],[Customer_Satisfaction]]=5,"Good")</f>
        <v>Poor</v>
      </c>
    </row>
    <row r="1953" spans="1:27" x14ac:dyDescent="0.35">
      <c r="A1953">
        <v>21951</v>
      </c>
      <c r="B1953" s="1">
        <v>45446</v>
      </c>
      <c r="C1953" t="s">
        <v>37</v>
      </c>
      <c r="D1953" t="s">
        <v>70</v>
      </c>
      <c r="E1953" t="s">
        <v>71</v>
      </c>
      <c r="F1953" t="s">
        <v>40</v>
      </c>
      <c r="G1953" t="s">
        <v>33</v>
      </c>
      <c r="H1953" t="s">
        <v>34</v>
      </c>
      <c r="I1953" t="s">
        <v>55</v>
      </c>
      <c r="J1953" t="s">
        <v>67</v>
      </c>
      <c r="K1953" t="s">
        <v>61</v>
      </c>
      <c r="L1953" t="s">
        <v>28</v>
      </c>
      <c r="M1953" s="4">
        <v>10</v>
      </c>
      <c r="N1953" s="4">
        <v>7</v>
      </c>
      <c r="O1953" t="s">
        <v>36</v>
      </c>
      <c r="P1953" t="s">
        <v>36</v>
      </c>
      <c r="Q1953" s="4">
        <v>527492</v>
      </c>
      <c r="R1953" s="4">
        <v>307445</v>
      </c>
      <c r="S1953" s="4">
        <f>Table1[[#This Row],[Service_Revenue]]-Table1[[#This Row],[Service_Cost]]</f>
        <v>220047</v>
      </c>
      <c r="T1953" s="4">
        <v>3</v>
      </c>
      <c r="U1953" s="4">
        <f>IF(AND(Table1[[#This Row],[Rework_Flag]]="Yes",Table1[[#This Row],[Warranty_Claim]]="No"),Table1[[#This Row],[Service_Revenue]],0)</f>
        <v>0</v>
      </c>
      <c r="V1953" s="4">
        <f>IF(Table1[[#This Row],[Warranty_Claim]]="Yes",1,0)</f>
        <v>0</v>
      </c>
      <c r="W1953" s="4">
        <f>IF(Table1[[#This Row],[Rework_Flag]]="No",1,0)</f>
        <v>1</v>
      </c>
      <c r="X1953" s="4">
        <f>IF(Table1[[#This Row],[Rework_Flag]]="Yes",1,0)</f>
        <v>0</v>
      </c>
      <c r="Y1953" s="4">
        <v>1</v>
      </c>
      <c r="Z1953" s="4" t="str">
        <f>IF(Table1[[#This Row],[TAT_Days]]&gt;Table1[[#This Row],[SLA_TAT]],"Yes","No")</f>
        <v>Yes</v>
      </c>
      <c r="AA1953" s="4" t="str" cm="1">
        <f t="array" ref="AA1953">_xlfn.IFS(Table1[[#This Row],[Customer_Satisfaction]]&lt;=2,"Poor",Table1[[#This Row],[Customer_Satisfaction]]=3,"Neutral",Table1[[#This Row],[Customer_Satisfaction]]=4,"Good",Table1[[#This Row],[Customer_Satisfaction]]=5,"Good")</f>
        <v>Neutral</v>
      </c>
    </row>
    <row r="1954" spans="1:27" x14ac:dyDescent="0.35">
      <c r="A1954">
        <v>21952</v>
      </c>
      <c r="B1954" s="1">
        <v>45318</v>
      </c>
      <c r="C1954" t="s">
        <v>50</v>
      </c>
      <c r="D1954" t="s">
        <v>51</v>
      </c>
      <c r="E1954" t="s">
        <v>52</v>
      </c>
      <c r="F1954" t="s">
        <v>22</v>
      </c>
      <c r="G1954" t="s">
        <v>23</v>
      </c>
      <c r="H1954" t="s">
        <v>24</v>
      </c>
      <c r="I1954" t="s">
        <v>55</v>
      </c>
      <c r="J1954" t="s">
        <v>67</v>
      </c>
      <c r="K1954" t="s">
        <v>61</v>
      </c>
      <c r="L1954" t="s">
        <v>28</v>
      </c>
      <c r="M1954" s="4">
        <v>3</v>
      </c>
      <c r="N1954" s="4">
        <v>7</v>
      </c>
      <c r="O1954" t="s">
        <v>29</v>
      </c>
      <c r="P1954" t="s">
        <v>36</v>
      </c>
      <c r="Q1954" s="4">
        <v>326276</v>
      </c>
      <c r="R1954" s="4">
        <v>170039</v>
      </c>
      <c r="S1954" s="4">
        <f>Table1[[#This Row],[Service_Revenue]]-Table1[[#This Row],[Service_Cost]]</f>
        <v>156237</v>
      </c>
      <c r="T1954" s="4">
        <v>4</v>
      </c>
      <c r="U1954" s="4">
        <f>IF(AND(Table1[[#This Row],[Rework_Flag]]="Yes",Table1[[#This Row],[Warranty_Claim]]="No"),Table1[[#This Row],[Service_Revenue]],0)</f>
        <v>326276</v>
      </c>
      <c r="V1954" s="4">
        <f>IF(Table1[[#This Row],[Warranty_Claim]]="Yes",1,0)</f>
        <v>0</v>
      </c>
      <c r="W1954" s="4">
        <f>IF(Table1[[#This Row],[Rework_Flag]]="No",1,0)</f>
        <v>0</v>
      </c>
      <c r="X1954" s="4">
        <f>IF(Table1[[#This Row],[Rework_Flag]]="Yes",1,0)</f>
        <v>1</v>
      </c>
      <c r="Y1954" s="4">
        <v>1</v>
      </c>
      <c r="Z1954" s="4" t="str">
        <f>IF(Table1[[#This Row],[TAT_Days]]&gt;Table1[[#This Row],[SLA_TAT]],"Yes","No")</f>
        <v>No</v>
      </c>
      <c r="AA1954" s="4" t="str" cm="1">
        <f t="array" ref="AA1954">_xlfn.IFS(Table1[[#This Row],[Customer_Satisfaction]]&lt;=2,"Poor",Table1[[#This Row],[Customer_Satisfaction]]=3,"Neutral",Table1[[#This Row],[Customer_Satisfaction]]=4,"Good",Table1[[#This Row],[Customer_Satisfaction]]=5,"Good")</f>
        <v>Good</v>
      </c>
    </row>
    <row r="1955" spans="1:27" x14ac:dyDescent="0.35">
      <c r="A1955">
        <v>21953</v>
      </c>
      <c r="B1955" s="1">
        <v>45394</v>
      </c>
      <c r="C1955" t="s">
        <v>30</v>
      </c>
      <c r="D1955" t="s">
        <v>59</v>
      </c>
      <c r="E1955" t="s">
        <v>60</v>
      </c>
      <c r="F1955" t="s">
        <v>22</v>
      </c>
      <c r="G1955" t="s">
        <v>74</v>
      </c>
      <c r="H1955" t="s">
        <v>34</v>
      </c>
      <c r="I1955" t="s">
        <v>25</v>
      </c>
      <c r="J1955" t="s">
        <v>26</v>
      </c>
      <c r="K1955" t="s">
        <v>61</v>
      </c>
      <c r="L1955" t="s">
        <v>28</v>
      </c>
      <c r="M1955" s="4">
        <v>8</v>
      </c>
      <c r="N1955" s="4">
        <v>7</v>
      </c>
      <c r="O1955" t="s">
        <v>36</v>
      </c>
      <c r="P1955" t="s">
        <v>36</v>
      </c>
      <c r="Q1955" s="4">
        <v>239121</v>
      </c>
      <c r="R1955" s="4">
        <v>189446</v>
      </c>
      <c r="S1955" s="4">
        <f>Table1[[#This Row],[Service_Revenue]]-Table1[[#This Row],[Service_Cost]]</f>
        <v>49675</v>
      </c>
      <c r="T1955" s="4">
        <v>4</v>
      </c>
      <c r="U1955" s="4">
        <f>IF(AND(Table1[[#This Row],[Rework_Flag]]="Yes",Table1[[#This Row],[Warranty_Claim]]="No"),Table1[[#This Row],[Service_Revenue]],0)</f>
        <v>0</v>
      </c>
      <c r="V1955" s="4">
        <f>IF(Table1[[#This Row],[Warranty_Claim]]="Yes",1,0)</f>
        <v>0</v>
      </c>
      <c r="W1955" s="4">
        <f>IF(Table1[[#This Row],[Rework_Flag]]="No",1,0)</f>
        <v>1</v>
      </c>
      <c r="X1955" s="4">
        <f>IF(Table1[[#This Row],[Rework_Flag]]="Yes",1,0)</f>
        <v>0</v>
      </c>
      <c r="Y1955" s="4">
        <v>1</v>
      </c>
      <c r="Z1955" s="4" t="str">
        <f>IF(Table1[[#This Row],[TAT_Days]]&gt;Table1[[#This Row],[SLA_TAT]],"Yes","No")</f>
        <v>Yes</v>
      </c>
      <c r="AA1955" s="4" t="str" cm="1">
        <f t="array" ref="AA1955">_xlfn.IFS(Table1[[#This Row],[Customer_Satisfaction]]&lt;=2,"Poor",Table1[[#This Row],[Customer_Satisfaction]]=3,"Neutral",Table1[[#This Row],[Customer_Satisfaction]]=4,"Good",Table1[[#This Row],[Customer_Satisfaction]]=5,"Good")</f>
        <v>Good</v>
      </c>
    </row>
    <row r="1956" spans="1:27" x14ac:dyDescent="0.35">
      <c r="A1956">
        <v>21954</v>
      </c>
      <c r="B1956" s="1">
        <v>45310</v>
      </c>
      <c r="C1956" t="s">
        <v>50</v>
      </c>
      <c r="D1956" t="s">
        <v>56</v>
      </c>
      <c r="E1956" t="s">
        <v>68</v>
      </c>
      <c r="F1956" t="s">
        <v>53</v>
      </c>
      <c r="G1956" t="s">
        <v>41</v>
      </c>
      <c r="H1956" t="s">
        <v>42</v>
      </c>
      <c r="I1956" t="s">
        <v>55</v>
      </c>
      <c r="J1956" t="s">
        <v>67</v>
      </c>
      <c r="K1956" t="s">
        <v>61</v>
      </c>
      <c r="L1956" t="s">
        <v>49</v>
      </c>
      <c r="M1956" s="4">
        <v>9</v>
      </c>
      <c r="N1956" s="4">
        <v>7</v>
      </c>
      <c r="O1956" t="s">
        <v>29</v>
      </c>
      <c r="P1956" t="s">
        <v>36</v>
      </c>
      <c r="Q1956" s="4">
        <v>160913</v>
      </c>
      <c r="R1956" s="4">
        <v>110100</v>
      </c>
      <c r="S1956" s="4">
        <f>Table1[[#This Row],[Service_Revenue]]-Table1[[#This Row],[Service_Cost]]</f>
        <v>50813</v>
      </c>
      <c r="T1956" s="4">
        <v>3</v>
      </c>
      <c r="U1956" s="4">
        <f>IF(AND(Table1[[#This Row],[Rework_Flag]]="Yes",Table1[[#This Row],[Warranty_Claim]]="No"),Table1[[#This Row],[Service_Revenue]],0)</f>
        <v>160913</v>
      </c>
      <c r="V1956" s="4">
        <f>IF(Table1[[#This Row],[Warranty_Claim]]="Yes",1,0)</f>
        <v>0</v>
      </c>
      <c r="W1956" s="4">
        <f>IF(Table1[[#This Row],[Rework_Flag]]="No",1,0)</f>
        <v>0</v>
      </c>
      <c r="X1956" s="4">
        <f>IF(Table1[[#This Row],[Rework_Flag]]="Yes",1,0)</f>
        <v>1</v>
      </c>
      <c r="Y1956" s="4">
        <v>1</v>
      </c>
      <c r="Z1956" s="4" t="str">
        <f>IF(Table1[[#This Row],[TAT_Days]]&gt;Table1[[#This Row],[SLA_TAT]],"Yes","No")</f>
        <v>Yes</v>
      </c>
      <c r="AA1956" s="4" t="str" cm="1">
        <f t="array" ref="AA1956">_xlfn.IFS(Table1[[#This Row],[Customer_Satisfaction]]&lt;=2,"Poor",Table1[[#This Row],[Customer_Satisfaction]]=3,"Neutral",Table1[[#This Row],[Customer_Satisfaction]]=4,"Good",Table1[[#This Row],[Customer_Satisfaction]]=5,"Good")</f>
        <v>Neutral</v>
      </c>
    </row>
    <row r="1957" spans="1:27" x14ac:dyDescent="0.35">
      <c r="A1957">
        <v>21955</v>
      </c>
      <c r="B1957" s="1">
        <v>45354</v>
      </c>
      <c r="C1957" t="s">
        <v>37</v>
      </c>
      <c r="D1957" t="s">
        <v>38</v>
      </c>
      <c r="E1957" t="s">
        <v>93</v>
      </c>
      <c r="F1957" t="s">
        <v>22</v>
      </c>
      <c r="G1957" t="s">
        <v>74</v>
      </c>
      <c r="H1957" t="s">
        <v>34</v>
      </c>
      <c r="I1957" t="s">
        <v>25</v>
      </c>
      <c r="J1957" t="s">
        <v>43</v>
      </c>
      <c r="K1957" t="s">
        <v>44</v>
      </c>
      <c r="L1957" t="s">
        <v>28</v>
      </c>
      <c r="M1957" s="4">
        <v>4</v>
      </c>
      <c r="N1957" s="4">
        <v>7</v>
      </c>
      <c r="O1957" t="s">
        <v>29</v>
      </c>
      <c r="P1957" t="s">
        <v>36</v>
      </c>
      <c r="Q1957" s="4">
        <v>315213</v>
      </c>
      <c r="R1957" s="4">
        <v>164536</v>
      </c>
      <c r="S1957" s="4">
        <f>Table1[[#This Row],[Service_Revenue]]-Table1[[#This Row],[Service_Cost]]</f>
        <v>150677</v>
      </c>
      <c r="T1957" s="4">
        <v>4</v>
      </c>
      <c r="U1957" s="4">
        <f>IF(AND(Table1[[#This Row],[Rework_Flag]]="Yes",Table1[[#This Row],[Warranty_Claim]]="No"),Table1[[#This Row],[Service_Revenue]],0)</f>
        <v>315213</v>
      </c>
      <c r="V1957" s="4">
        <f>IF(Table1[[#This Row],[Warranty_Claim]]="Yes",1,0)</f>
        <v>0</v>
      </c>
      <c r="W1957" s="4">
        <f>IF(Table1[[#This Row],[Rework_Flag]]="No",1,0)</f>
        <v>0</v>
      </c>
      <c r="X1957" s="4">
        <f>IF(Table1[[#This Row],[Rework_Flag]]="Yes",1,0)</f>
        <v>1</v>
      </c>
      <c r="Y1957" s="4">
        <v>1</v>
      </c>
      <c r="Z1957" s="4" t="str">
        <f>IF(Table1[[#This Row],[TAT_Days]]&gt;Table1[[#This Row],[SLA_TAT]],"Yes","No")</f>
        <v>No</v>
      </c>
      <c r="AA1957" s="4" t="str" cm="1">
        <f t="array" ref="AA1957">_xlfn.IFS(Table1[[#This Row],[Customer_Satisfaction]]&lt;=2,"Poor",Table1[[#This Row],[Customer_Satisfaction]]=3,"Neutral",Table1[[#This Row],[Customer_Satisfaction]]=4,"Good",Table1[[#This Row],[Customer_Satisfaction]]=5,"Good")</f>
        <v>Good</v>
      </c>
    </row>
    <row r="1958" spans="1:27" x14ac:dyDescent="0.35">
      <c r="A1958">
        <v>21956</v>
      </c>
      <c r="B1958" s="1">
        <v>45314</v>
      </c>
      <c r="C1958" t="s">
        <v>30</v>
      </c>
      <c r="D1958" t="s">
        <v>59</v>
      </c>
      <c r="E1958" t="s">
        <v>69</v>
      </c>
      <c r="F1958" t="s">
        <v>40</v>
      </c>
      <c r="G1958" t="s">
        <v>41</v>
      </c>
      <c r="H1958" t="s">
        <v>42</v>
      </c>
      <c r="I1958" t="s">
        <v>25</v>
      </c>
      <c r="J1958" t="s">
        <v>26</v>
      </c>
      <c r="K1958" t="s">
        <v>27</v>
      </c>
      <c r="L1958" t="s">
        <v>49</v>
      </c>
      <c r="M1958" s="4">
        <v>2</v>
      </c>
      <c r="N1958" s="4">
        <v>7</v>
      </c>
      <c r="O1958" t="s">
        <v>29</v>
      </c>
      <c r="P1958" t="s">
        <v>36</v>
      </c>
      <c r="Q1958" s="4">
        <v>514316</v>
      </c>
      <c r="R1958" s="4">
        <v>289035</v>
      </c>
      <c r="S1958" s="4">
        <f>Table1[[#This Row],[Service_Revenue]]-Table1[[#This Row],[Service_Cost]]</f>
        <v>225281</v>
      </c>
      <c r="T1958" s="4">
        <v>4</v>
      </c>
      <c r="U1958" s="4">
        <f>IF(AND(Table1[[#This Row],[Rework_Flag]]="Yes",Table1[[#This Row],[Warranty_Claim]]="No"),Table1[[#This Row],[Service_Revenue]],0)</f>
        <v>514316</v>
      </c>
      <c r="V1958" s="4">
        <f>IF(Table1[[#This Row],[Warranty_Claim]]="Yes",1,0)</f>
        <v>0</v>
      </c>
      <c r="W1958" s="4">
        <f>IF(Table1[[#This Row],[Rework_Flag]]="No",1,0)</f>
        <v>0</v>
      </c>
      <c r="X1958" s="4">
        <f>IF(Table1[[#This Row],[Rework_Flag]]="Yes",1,0)</f>
        <v>1</v>
      </c>
      <c r="Y1958" s="4">
        <v>1</v>
      </c>
      <c r="Z1958" s="4" t="str">
        <f>IF(Table1[[#This Row],[TAT_Days]]&gt;Table1[[#This Row],[SLA_TAT]],"Yes","No")</f>
        <v>No</v>
      </c>
      <c r="AA1958" s="4" t="str" cm="1">
        <f t="array" ref="AA1958">_xlfn.IFS(Table1[[#This Row],[Customer_Satisfaction]]&lt;=2,"Poor",Table1[[#This Row],[Customer_Satisfaction]]=3,"Neutral",Table1[[#This Row],[Customer_Satisfaction]]=4,"Good",Table1[[#This Row],[Customer_Satisfaction]]=5,"Good")</f>
        <v>Good</v>
      </c>
    </row>
    <row r="1959" spans="1:27" x14ac:dyDescent="0.35">
      <c r="A1959">
        <v>21957</v>
      </c>
      <c r="B1959" s="1">
        <v>45455</v>
      </c>
      <c r="C1959" t="s">
        <v>30</v>
      </c>
      <c r="D1959" t="s">
        <v>59</v>
      </c>
      <c r="E1959" t="s">
        <v>94</v>
      </c>
      <c r="F1959" t="s">
        <v>40</v>
      </c>
      <c r="G1959" t="s">
        <v>47</v>
      </c>
      <c r="H1959" t="s">
        <v>48</v>
      </c>
      <c r="I1959" t="s">
        <v>55</v>
      </c>
      <c r="J1959" t="s">
        <v>26</v>
      </c>
      <c r="K1959" t="s">
        <v>27</v>
      </c>
      <c r="L1959" t="s">
        <v>28</v>
      </c>
      <c r="M1959" s="4">
        <v>18</v>
      </c>
      <c r="N1959" s="4">
        <v>7</v>
      </c>
      <c r="O1959" t="s">
        <v>29</v>
      </c>
      <c r="P1959" t="s">
        <v>29</v>
      </c>
      <c r="Q1959" s="4">
        <v>369613</v>
      </c>
      <c r="R1959" s="4">
        <v>252210</v>
      </c>
      <c r="S1959" s="4">
        <f>Table1[[#This Row],[Service_Revenue]]-Table1[[#This Row],[Service_Cost]]</f>
        <v>117403</v>
      </c>
      <c r="T1959" s="4">
        <v>1</v>
      </c>
      <c r="U1959" s="4">
        <f>IF(AND(Table1[[#This Row],[Rework_Flag]]="Yes",Table1[[#This Row],[Warranty_Claim]]="No"),Table1[[#This Row],[Service_Revenue]],0)</f>
        <v>0</v>
      </c>
      <c r="V1959" s="4">
        <f>IF(Table1[[#This Row],[Warranty_Claim]]="Yes",1,0)</f>
        <v>1</v>
      </c>
      <c r="W1959" s="4">
        <f>IF(Table1[[#This Row],[Rework_Flag]]="No",1,0)</f>
        <v>0</v>
      </c>
      <c r="X1959" s="4">
        <f>IF(Table1[[#This Row],[Rework_Flag]]="Yes",1,0)</f>
        <v>1</v>
      </c>
      <c r="Y1959" s="4">
        <v>1</v>
      </c>
      <c r="Z1959" s="4" t="str">
        <f>IF(Table1[[#This Row],[TAT_Days]]&gt;Table1[[#This Row],[SLA_TAT]],"Yes","No")</f>
        <v>Yes</v>
      </c>
      <c r="AA1959" s="4" t="str" cm="1">
        <f t="array" ref="AA1959">_xlfn.IFS(Table1[[#This Row],[Customer_Satisfaction]]&lt;=2,"Poor",Table1[[#This Row],[Customer_Satisfaction]]=3,"Neutral",Table1[[#This Row],[Customer_Satisfaction]]=4,"Good",Table1[[#This Row],[Customer_Satisfaction]]=5,"Good")</f>
        <v>Poor</v>
      </c>
    </row>
    <row r="1960" spans="1:27" x14ac:dyDescent="0.35">
      <c r="A1960">
        <v>21958</v>
      </c>
      <c r="B1960" s="1">
        <v>45404</v>
      </c>
      <c r="C1960" t="s">
        <v>19</v>
      </c>
      <c r="D1960" t="s">
        <v>96</v>
      </c>
      <c r="E1960" t="s">
        <v>109</v>
      </c>
      <c r="F1960" t="s">
        <v>40</v>
      </c>
      <c r="G1960" t="s">
        <v>74</v>
      </c>
      <c r="H1960" t="s">
        <v>34</v>
      </c>
      <c r="I1960" t="s">
        <v>55</v>
      </c>
      <c r="J1960" t="s">
        <v>58</v>
      </c>
      <c r="K1960" t="s">
        <v>27</v>
      </c>
      <c r="L1960" t="s">
        <v>49</v>
      </c>
      <c r="M1960" s="4">
        <v>10</v>
      </c>
      <c r="N1960" s="4">
        <v>7</v>
      </c>
      <c r="O1960" t="s">
        <v>29</v>
      </c>
      <c r="P1960" t="s">
        <v>29</v>
      </c>
      <c r="Q1960" s="4">
        <v>449043</v>
      </c>
      <c r="R1960" s="4">
        <v>248337</v>
      </c>
      <c r="S1960" s="4">
        <f>Table1[[#This Row],[Service_Revenue]]-Table1[[#This Row],[Service_Cost]]</f>
        <v>200706</v>
      </c>
      <c r="T1960" s="4">
        <v>2</v>
      </c>
      <c r="U1960" s="4">
        <f>IF(AND(Table1[[#This Row],[Rework_Flag]]="Yes",Table1[[#This Row],[Warranty_Claim]]="No"),Table1[[#This Row],[Service_Revenue]],0)</f>
        <v>0</v>
      </c>
      <c r="V1960" s="4">
        <f>IF(Table1[[#This Row],[Warranty_Claim]]="Yes",1,0)</f>
        <v>1</v>
      </c>
      <c r="W1960" s="4">
        <f>IF(Table1[[#This Row],[Rework_Flag]]="No",1,0)</f>
        <v>0</v>
      </c>
      <c r="X1960" s="4">
        <f>IF(Table1[[#This Row],[Rework_Flag]]="Yes",1,0)</f>
        <v>1</v>
      </c>
      <c r="Y1960" s="4">
        <v>1</v>
      </c>
      <c r="Z1960" s="4" t="str">
        <f>IF(Table1[[#This Row],[TAT_Days]]&gt;Table1[[#This Row],[SLA_TAT]],"Yes","No")</f>
        <v>Yes</v>
      </c>
      <c r="AA1960" s="4" t="str" cm="1">
        <f t="array" ref="AA1960">_xlfn.IFS(Table1[[#This Row],[Customer_Satisfaction]]&lt;=2,"Poor",Table1[[#This Row],[Customer_Satisfaction]]=3,"Neutral",Table1[[#This Row],[Customer_Satisfaction]]=4,"Good",Table1[[#This Row],[Customer_Satisfaction]]=5,"Good")</f>
        <v>Poor</v>
      </c>
    </row>
    <row r="1961" spans="1:27" x14ac:dyDescent="0.35">
      <c r="A1961">
        <v>21959</v>
      </c>
      <c r="B1961" s="1">
        <v>45306</v>
      </c>
      <c r="C1961" t="s">
        <v>19</v>
      </c>
      <c r="D1961" t="s">
        <v>45</v>
      </c>
      <c r="E1961" t="s">
        <v>111</v>
      </c>
      <c r="F1961" t="s">
        <v>53</v>
      </c>
      <c r="G1961" t="s">
        <v>33</v>
      </c>
      <c r="H1961" t="s">
        <v>34</v>
      </c>
      <c r="I1961" t="s">
        <v>55</v>
      </c>
      <c r="J1961" t="s">
        <v>43</v>
      </c>
      <c r="K1961" t="s">
        <v>44</v>
      </c>
      <c r="L1961" t="s">
        <v>49</v>
      </c>
      <c r="M1961" s="4">
        <v>13</v>
      </c>
      <c r="N1961" s="4">
        <v>7</v>
      </c>
      <c r="O1961" t="s">
        <v>36</v>
      </c>
      <c r="P1961" t="s">
        <v>36</v>
      </c>
      <c r="Q1961" s="4">
        <v>126641</v>
      </c>
      <c r="R1961" s="4">
        <v>76397</v>
      </c>
      <c r="S1961" s="4">
        <f>Table1[[#This Row],[Service_Revenue]]-Table1[[#This Row],[Service_Cost]]</f>
        <v>50244</v>
      </c>
      <c r="T1961" s="4">
        <v>3</v>
      </c>
      <c r="U1961" s="4">
        <f>IF(AND(Table1[[#This Row],[Rework_Flag]]="Yes",Table1[[#This Row],[Warranty_Claim]]="No"),Table1[[#This Row],[Service_Revenue]],0)</f>
        <v>0</v>
      </c>
      <c r="V1961" s="4">
        <f>IF(Table1[[#This Row],[Warranty_Claim]]="Yes",1,0)</f>
        <v>0</v>
      </c>
      <c r="W1961" s="4">
        <f>IF(Table1[[#This Row],[Rework_Flag]]="No",1,0)</f>
        <v>1</v>
      </c>
      <c r="X1961" s="4">
        <f>IF(Table1[[#This Row],[Rework_Flag]]="Yes",1,0)</f>
        <v>0</v>
      </c>
      <c r="Y1961" s="4">
        <v>1</v>
      </c>
      <c r="Z1961" s="4" t="str">
        <f>IF(Table1[[#This Row],[TAT_Days]]&gt;Table1[[#This Row],[SLA_TAT]],"Yes","No")</f>
        <v>Yes</v>
      </c>
      <c r="AA1961" s="4" t="str" cm="1">
        <f t="array" ref="AA1961">_xlfn.IFS(Table1[[#This Row],[Customer_Satisfaction]]&lt;=2,"Poor",Table1[[#This Row],[Customer_Satisfaction]]=3,"Neutral",Table1[[#This Row],[Customer_Satisfaction]]=4,"Good",Table1[[#This Row],[Customer_Satisfaction]]=5,"Good")</f>
        <v>Neutral</v>
      </c>
    </row>
    <row r="1962" spans="1:27" x14ac:dyDescent="0.35">
      <c r="A1962">
        <v>21960</v>
      </c>
      <c r="B1962" s="1">
        <v>45429</v>
      </c>
      <c r="C1962" t="s">
        <v>50</v>
      </c>
      <c r="D1962" t="s">
        <v>80</v>
      </c>
      <c r="E1962" t="s">
        <v>104</v>
      </c>
      <c r="F1962" t="s">
        <v>40</v>
      </c>
      <c r="G1962" t="s">
        <v>74</v>
      </c>
      <c r="H1962" t="s">
        <v>34</v>
      </c>
      <c r="I1962" t="s">
        <v>25</v>
      </c>
      <c r="J1962" t="s">
        <v>67</v>
      </c>
      <c r="K1962" t="s">
        <v>27</v>
      </c>
      <c r="L1962" t="s">
        <v>49</v>
      </c>
      <c r="M1962" s="4">
        <v>17</v>
      </c>
      <c r="N1962" s="4">
        <v>7</v>
      </c>
      <c r="O1962" t="s">
        <v>29</v>
      </c>
      <c r="P1962" t="s">
        <v>29</v>
      </c>
      <c r="Q1962" s="4">
        <v>125727</v>
      </c>
      <c r="R1962" s="4">
        <v>83471</v>
      </c>
      <c r="S1962" s="4">
        <f>Table1[[#This Row],[Service_Revenue]]-Table1[[#This Row],[Service_Cost]]</f>
        <v>42256</v>
      </c>
      <c r="T1962" s="4">
        <v>1</v>
      </c>
      <c r="U1962" s="4">
        <f>IF(AND(Table1[[#This Row],[Rework_Flag]]="Yes",Table1[[#This Row],[Warranty_Claim]]="No"),Table1[[#This Row],[Service_Revenue]],0)</f>
        <v>0</v>
      </c>
      <c r="V1962" s="4">
        <f>IF(Table1[[#This Row],[Warranty_Claim]]="Yes",1,0)</f>
        <v>1</v>
      </c>
      <c r="W1962" s="4">
        <f>IF(Table1[[#This Row],[Rework_Flag]]="No",1,0)</f>
        <v>0</v>
      </c>
      <c r="X1962" s="4">
        <f>IF(Table1[[#This Row],[Rework_Flag]]="Yes",1,0)</f>
        <v>1</v>
      </c>
      <c r="Y1962" s="4">
        <v>1</v>
      </c>
      <c r="Z1962" s="4" t="str">
        <f>IF(Table1[[#This Row],[TAT_Days]]&gt;Table1[[#This Row],[SLA_TAT]],"Yes","No")</f>
        <v>Yes</v>
      </c>
      <c r="AA1962" s="4" t="str" cm="1">
        <f t="array" ref="AA1962">_xlfn.IFS(Table1[[#This Row],[Customer_Satisfaction]]&lt;=2,"Poor",Table1[[#This Row],[Customer_Satisfaction]]=3,"Neutral",Table1[[#This Row],[Customer_Satisfaction]]=4,"Good",Table1[[#This Row],[Customer_Satisfaction]]=5,"Good")</f>
        <v>Poor</v>
      </c>
    </row>
    <row r="1963" spans="1:27" x14ac:dyDescent="0.35">
      <c r="A1963">
        <v>21961</v>
      </c>
      <c r="B1963" s="1">
        <v>45380</v>
      </c>
      <c r="C1963" t="s">
        <v>37</v>
      </c>
      <c r="D1963" t="s">
        <v>70</v>
      </c>
      <c r="E1963" t="s">
        <v>71</v>
      </c>
      <c r="F1963" t="s">
        <v>22</v>
      </c>
      <c r="G1963" t="s">
        <v>74</v>
      </c>
      <c r="H1963" t="s">
        <v>34</v>
      </c>
      <c r="I1963" t="s">
        <v>55</v>
      </c>
      <c r="J1963" t="s">
        <v>58</v>
      </c>
      <c r="K1963" t="s">
        <v>44</v>
      </c>
      <c r="L1963" t="s">
        <v>28</v>
      </c>
      <c r="M1963" s="4">
        <v>2</v>
      </c>
      <c r="N1963" s="4">
        <v>7</v>
      </c>
      <c r="O1963" t="s">
        <v>29</v>
      </c>
      <c r="P1963" t="s">
        <v>36</v>
      </c>
      <c r="Q1963" s="4">
        <v>407700</v>
      </c>
      <c r="R1963" s="4">
        <v>317392</v>
      </c>
      <c r="S1963" s="4">
        <f>Table1[[#This Row],[Service_Revenue]]-Table1[[#This Row],[Service_Cost]]</f>
        <v>90308</v>
      </c>
      <c r="T1963" s="4">
        <v>4</v>
      </c>
      <c r="U1963" s="4">
        <f>IF(AND(Table1[[#This Row],[Rework_Flag]]="Yes",Table1[[#This Row],[Warranty_Claim]]="No"),Table1[[#This Row],[Service_Revenue]],0)</f>
        <v>407700</v>
      </c>
      <c r="V1963" s="4">
        <f>IF(Table1[[#This Row],[Warranty_Claim]]="Yes",1,0)</f>
        <v>0</v>
      </c>
      <c r="W1963" s="4">
        <f>IF(Table1[[#This Row],[Rework_Flag]]="No",1,0)</f>
        <v>0</v>
      </c>
      <c r="X1963" s="4">
        <f>IF(Table1[[#This Row],[Rework_Flag]]="Yes",1,0)</f>
        <v>1</v>
      </c>
      <c r="Y1963" s="4">
        <v>1</v>
      </c>
      <c r="Z1963" s="4" t="str">
        <f>IF(Table1[[#This Row],[TAT_Days]]&gt;Table1[[#This Row],[SLA_TAT]],"Yes","No")</f>
        <v>No</v>
      </c>
      <c r="AA1963" s="4" t="str" cm="1">
        <f t="array" ref="AA1963">_xlfn.IFS(Table1[[#This Row],[Customer_Satisfaction]]&lt;=2,"Poor",Table1[[#This Row],[Customer_Satisfaction]]=3,"Neutral",Table1[[#This Row],[Customer_Satisfaction]]=4,"Good",Table1[[#This Row],[Customer_Satisfaction]]=5,"Good")</f>
        <v>Good</v>
      </c>
    </row>
    <row r="1964" spans="1:27" x14ac:dyDescent="0.35">
      <c r="A1964">
        <v>21962</v>
      </c>
      <c r="B1964" s="1">
        <v>45419</v>
      </c>
      <c r="C1964" t="s">
        <v>37</v>
      </c>
      <c r="D1964" t="s">
        <v>70</v>
      </c>
      <c r="E1964" t="s">
        <v>116</v>
      </c>
      <c r="F1964" t="s">
        <v>22</v>
      </c>
      <c r="G1964" t="s">
        <v>33</v>
      </c>
      <c r="H1964" t="s">
        <v>34</v>
      </c>
      <c r="I1964" t="s">
        <v>55</v>
      </c>
      <c r="J1964" t="s">
        <v>58</v>
      </c>
      <c r="K1964" t="s">
        <v>27</v>
      </c>
      <c r="L1964" t="s">
        <v>49</v>
      </c>
      <c r="M1964" s="4">
        <v>4</v>
      </c>
      <c r="N1964" s="4">
        <v>7</v>
      </c>
      <c r="O1964" t="s">
        <v>29</v>
      </c>
      <c r="P1964" t="s">
        <v>36</v>
      </c>
      <c r="Q1964" s="4">
        <v>337279</v>
      </c>
      <c r="R1964" s="4">
        <v>194197</v>
      </c>
      <c r="S1964" s="4">
        <f>Table1[[#This Row],[Service_Revenue]]-Table1[[#This Row],[Service_Cost]]</f>
        <v>143082</v>
      </c>
      <c r="T1964" s="4">
        <v>4</v>
      </c>
      <c r="U1964" s="4">
        <f>IF(AND(Table1[[#This Row],[Rework_Flag]]="Yes",Table1[[#This Row],[Warranty_Claim]]="No"),Table1[[#This Row],[Service_Revenue]],0)</f>
        <v>337279</v>
      </c>
      <c r="V1964" s="4">
        <f>IF(Table1[[#This Row],[Warranty_Claim]]="Yes",1,0)</f>
        <v>0</v>
      </c>
      <c r="W1964" s="4">
        <f>IF(Table1[[#This Row],[Rework_Flag]]="No",1,0)</f>
        <v>0</v>
      </c>
      <c r="X1964" s="4">
        <f>IF(Table1[[#This Row],[Rework_Flag]]="Yes",1,0)</f>
        <v>1</v>
      </c>
      <c r="Y1964" s="4">
        <v>1</v>
      </c>
      <c r="Z1964" s="4" t="str">
        <f>IF(Table1[[#This Row],[TAT_Days]]&gt;Table1[[#This Row],[SLA_TAT]],"Yes","No")</f>
        <v>No</v>
      </c>
      <c r="AA1964" s="4" t="str" cm="1">
        <f t="array" ref="AA1964">_xlfn.IFS(Table1[[#This Row],[Customer_Satisfaction]]&lt;=2,"Poor",Table1[[#This Row],[Customer_Satisfaction]]=3,"Neutral",Table1[[#This Row],[Customer_Satisfaction]]=4,"Good",Table1[[#This Row],[Customer_Satisfaction]]=5,"Good")</f>
        <v>Good</v>
      </c>
    </row>
    <row r="1965" spans="1:27" x14ac:dyDescent="0.35">
      <c r="A1965">
        <v>21963</v>
      </c>
      <c r="B1965" s="1">
        <v>45422</v>
      </c>
      <c r="C1965" t="s">
        <v>30</v>
      </c>
      <c r="D1965" t="s">
        <v>31</v>
      </c>
      <c r="E1965" t="s">
        <v>106</v>
      </c>
      <c r="F1965" t="s">
        <v>22</v>
      </c>
      <c r="G1965" t="s">
        <v>23</v>
      </c>
      <c r="H1965" t="s">
        <v>24</v>
      </c>
      <c r="I1965" t="s">
        <v>55</v>
      </c>
      <c r="J1965" t="s">
        <v>35</v>
      </c>
      <c r="K1965" t="s">
        <v>61</v>
      </c>
      <c r="L1965" t="s">
        <v>28</v>
      </c>
      <c r="M1965" s="4">
        <v>20</v>
      </c>
      <c r="N1965" s="4">
        <v>7</v>
      </c>
      <c r="O1965" t="s">
        <v>36</v>
      </c>
      <c r="P1965" t="s">
        <v>36</v>
      </c>
      <c r="Q1965" s="4">
        <v>364719</v>
      </c>
      <c r="R1965" s="4">
        <v>229694</v>
      </c>
      <c r="S1965" s="4">
        <f>Table1[[#This Row],[Service_Revenue]]-Table1[[#This Row],[Service_Cost]]</f>
        <v>135025</v>
      </c>
      <c r="T1965" s="4">
        <v>1</v>
      </c>
      <c r="U1965" s="4">
        <f>IF(AND(Table1[[#This Row],[Rework_Flag]]="Yes",Table1[[#This Row],[Warranty_Claim]]="No"),Table1[[#This Row],[Service_Revenue]],0)</f>
        <v>0</v>
      </c>
      <c r="V1965" s="4">
        <f>IF(Table1[[#This Row],[Warranty_Claim]]="Yes",1,0)</f>
        <v>0</v>
      </c>
      <c r="W1965" s="4">
        <f>IF(Table1[[#This Row],[Rework_Flag]]="No",1,0)</f>
        <v>1</v>
      </c>
      <c r="X1965" s="4">
        <f>IF(Table1[[#This Row],[Rework_Flag]]="Yes",1,0)</f>
        <v>0</v>
      </c>
      <c r="Y1965" s="4">
        <v>1</v>
      </c>
      <c r="Z1965" s="4" t="str">
        <f>IF(Table1[[#This Row],[TAT_Days]]&gt;Table1[[#This Row],[SLA_TAT]],"Yes","No")</f>
        <v>Yes</v>
      </c>
      <c r="AA1965" s="4" t="str" cm="1">
        <f t="array" ref="AA1965">_xlfn.IFS(Table1[[#This Row],[Customer_Satisfaction]]&lt;=2,"Poor",Table1[[#This Row],[Customer_Satisfaction]]=3,"Neutral",Table1[[#This Row],[Customer_Satisfaction]]=4,"Good",Table1[[#This Row],[Customer_Satisfaction]]=5,"Good")</f>
        <v>Poor</v>
      </c>
    </row>
    <row r="1966" spans="1:27" x14ac:dyDescent="0.35">
      <c r="A1966">
        <v>21964</v>
      </c>
      <c r="B1966" s="1">
        <v>45457</v>
      </c>
      <c r="C1966" t="s">
        <v>50</v>
      </c>
      <c r="D1966" t="s">
        <v>80</v>
      </c>
      <c r="E1966" t="s">
        <v>85</v>
      </c>
      <c r="F1966" t="s">
        <v>53</v>
      </c>
      <c r="G1966" t="s">
        <v>41</v>
      </c>
      <c r="H1966" t="s">
        <v>42</v>
      </c>
      <c r="I1966" t="s">
        <v>25</v>
      </c>
      <c r="J1966" t="s">
        <v>35</v>
      </c>
      <c r="K1966" t="s">
        <v>61</v>
      </c>
      <c r="L1966" t="s">
        <v>28</v>
      </c>
      <c r="M1966" s="4">
        <v>22</v>
      </c>
      <c r="N1966" s="4">
        <v>7</v>
      </c>
      <c r="O1966" t="s">
        <v>36</v>
      </c>
      <c r="P1966" t="s">
        <v>36</v>
      </c>
      <c r="Q1966" s="4">
        <v>361460</v>
      </c>
      <c r="R1966" s="4">
        <v>182333</v>
      </c>
      <c r="S1966" s="4">
        <f>Table1[[#This Row],[Service_Revenue]]-Table1[[#This Row],[Service_Cost]]</f>
        <v>179127</v>
      </c>
      <c r="T1966" s="4">
        <v>1</v>
      </c>
      <c r="U1966" s="4">
        <f>IF(AND(Table1[[#This Row],[Rework_Flag]]="Yes",Table1[[#This Row],[Warranty_Claim]]="No"),Table1[[#This Row],[Service_Revenue]],0)</f>
        <v>0</v>
      </c>
      <c r="V1966" s="4">
        <f>IF(Table1[[#This Row],[Warranty_Claim]]="Yes",1,0)</f>
        <v>0</v>
      </c>
      <c r="W1966" s="4">
        <f>IF(Table1[[#This Row],[Rework_Flag]]="No",1,0)</f>
        <v>1</v>
      </c>
      <c r="X1966" s="4">
        <f>IF(Table1[[#This Row],[Rework_Flag]]="Yes",1,0)</f>
        <v>0</v>
      </c>
      <c r="Y1966" s="4">
        <v>1</v>
      </c>
      <c r="Z1966" s="4" t="str">
        <f>IF(Table1[[#This Row],[TAT_Days]]&gt;Table1[[#This Row],[SLA_TAT]],"Yes","No")</f>
        <v>Yes</v>
      </c>
      <c r="AA1966" s="4" t="str" cm="1">
        <f t="array" ref="AA1966">_xlfn.IFS(Table1[[#This Row],[Customer_Satisfaction]]&lt;=2,"Poor",Table1[[#This Row],[Customer_Satisfaction]]=3,"Neutral",Table1[[#This Row],[Customer_Satisfaction]]=4,"Good",Table1[[#This Row],[Customer_Satisfaction]]=5,"Good")</f>
        <v>Poor</v>
      </c>
    </row>
    <row r="1967" spans="1:27" x14ac:dyDescent="0.35">
      <c r="A1967">
        <v>21965</v>
      </c>
      <c r="B1967" s="1">
        <v>45466</v>
      </c>
      <c r="C1967" t="s">
        <v>50</v>
      </c>
      <c r="D1967" t="s">
        <v>51</v>
      </c>
      <c r="E1967" t="s">
        <v>52</v>
      </c>
      <c r="F1967" t="s">
        <v>53</v>
      </c>
      <c r="G1967" t="s">
        <v>33</v>
      </c>
      <c r="H1967" t="s">
        <v>34</v>
      </c>
      <c r="I1967" t="s">
        <v>25</v>
      </c>
      <c r="J1967" t="s">
        <v>58</v>
      </c>
      <c r="K1967" t="s">
        <v>61</v>
      </c>
      <c r="L1967" t="s">
        <v>49</v>
      </c>
      <c r="M1967" s="4">
        <v>10</v>
      </c>
      <c r="N1967" s="4">
        <v>7</v>
      </c>
      <c r="O1967" t="s">
        <v>36</v>
      </c>
      <c r="P1967" t="s">
        <v>29</v>
      </c>
      <c r="Q1967" s="4">
        <v>372716</v>
      </c>
      <c r="R1967" s="4">
        <v>213841</v>
      </c>
      <c r="S1967" s="4">
        <f>Table1[[#This Row],[Service_Revenue]]-Table1[[#This Row],[Service_Cost]]</f>
        <v>158875</v>
      </c>
      <c r="T1967" s="4">
        <v>3</v>
      </c>
      <c r="U1967" s="4">
        <f>IF(AND(Table1[[#This Row],[Rework_Flag]]="Yes",Table1[[#This Row],[Warranty_Claim]]="No"),Table1[[#This Row],[Service_Revenue]],0)</f>
        <v>0</v>
      </c>
      <c r="V1967" s="4">
        <f>IF(Table1[[#This Row],[Warranty_Claim]]="Yes",1,0)</f>
        <v>1</v>
      </c>
      <c r="W1967" s="4">
        <f>IF(Table1[[#This Row],[Rework_Flag]]="No",1,0)</f>
        <v>1</v>
      </c>
      <c r="X1967" s="4">
        <f>IF(Table1[[#This Row],[Rework_Flag]]="Yes",1,0)</f>
        <v>0</v>
      </c>
      <c r="Y1967" s="4">
        <v>1</v>
      </c>
      <c r="Z1967" s="4" t="str">
        <f>IF(Table1[[#This Row],[TAT_Days]]&gt;Table1[[#This Row],[SLA_TAT]],"Yes","No")</f>
        <v>Yes</v>
      </c>
      <c r="AA1967" s="4" t="str" cm="1">
        <f t="array" ref="AA1967">_xlfn.IFS(Table1[[#This Row],[Customer_Satisfaction]]&lt;=2,"Poor",Table1[[#This Row],[Customer_Satisfaction]]=3,"Neutral",Table1[[#This Row],[Customer_Satisfaction]]=4,"Good",Table1[[#This Row],[Customer_Satisfaction]]=5,"Good")</f>
        <v>Neutral</v>
      </c>
    </row>
    <row r="1968" spans="1:27" x14ac:dyDescent="0.35">
      <c r="A1968">
        <v>21966</v>
      </c>
      <c r="B1968" s="1">
        <v>45405</v>
      </c>
      <c r="C1968" t="s">
        <v>19</v>
      </c>
      <c r="D1968" t="s">
        <v>96</v>
      </c>
      <c r="E1968" t="s">
        <v>108</v>
      </c>
      <c r="F1968" t="s">
        <v>53</v>
      </c>
      <c r="G1968" t="s">
        <v>41</v>
      </c>
      <c r="H1968" t="s">
        <v>42</v>
      </c>
      <c r="I1968" t="s">
        <v>55</v>
      </c>
      <c r="J1968" t="s">
        <v>26</v>
      </c>
      <c r="K1968" t="s">
        <v>61</v>
      </c>
      <c r="L1968" t="s">
        <v>28</v>
      </c>
      <c r="M1968" s="4">
        <v>19</v>
      </c>
      <c r="N1968" s="4">
        <v>7</v>
      </c>
      <c r="O1968" t="s">
        <v>29</v>
      </c>
      <c r="P1968" t="s">
        <v>36</v>
      </c>
      <c r="Q1968" s="4">
        <v>321752</v>
      </c>
      <c r="R1968" s="4">
        <v>242918</v>
      </c>
      <c r="S1968" s="4">
        <f>Table1[[#This Row],[Service_Revenue]]-Table1[[#This Row],[Service_Cost]]</f>
        <v>78834</v>
      </c>
      <c r="T1968" s="4">
        <v>1</v>
      </c>
      <c r="U1968" s="4">
        <f>IF(AND(Table1[[#This Row],[Rework_Flag]]="Yes",Table1[[#This Row],[Warranty_Claim]]="No"),Table1[[#This Row],[Service_Revenue]],0)</f>
        <v>321752</v>
      </c>
      <c r="V1968" s="4">
        <f>IF(Table1[[#This Row],[Warranty_Claim]]="Yes",1,0)</f>
        <v>0</v>
      </c>
      <c r="W1968" s="4">
        <f>IF(Table1[[#This Row],[Rework_Flag]]="No",1,0)</f>
        <v>0</v>
      </c>
      <c r="X1968" s="4">
        <f>IF(Table1[[#This Row],[Rework_Flag]]="Yes",1,0)</f>
        <v>1</v>
      </c>
      <c r="Y1968" s="4">
        <v>1</v>
      </c>
      <c r="Z1968" s="4" t="str">
        <f>IF(Table1[[#This Row],[TAT_Days]]&gt;Table1[[#This Row],[SLA_TAT]],"Yes","No")</f>
        <v>Yes</v>
      </c>
      <c r="AA1968" s="4" t="str" cm="1">
        <f t="array" ref="AA1968">_xlfn.IFS(Table1[[#This Row],[Customer_Satisfaction]]&lt;=2,"Poor",Table1[[#This Row],[Customer_Satisfaction]]=3,"Neutral",Table1[[#This Row],[Customer_Satisfaction]]=4,"Good",Table1[[#This Row],[Customer_Satisfaction]]=5,"Good")</f>
        <v>Poor</v>
      </c>
    </row>
    <row r="1969" spans="1:27" x14ac:dyDescent="0.35">
      <c r="A1969">
        <v>21967</v>
      </c>
      <c r="B1969" s="1">
        <v>45421</v>
      </c>
      <c r="C1969" t="s">
        <v>50</v>
      </c>
      <c r="D1969" t="s">
        <v>56</v>
      </c>
      <c r="E1969" t="s">
        <v>68</v>
      </c>
      <c r="F1969" t="s">
        <v>22</v>
      </c>
      <c r="G1969" t="s">
        <v>41</v>
      </c>
      <c r="H1969" t="s">
        <v>42</v>
      </c>
      <c r="I1969" t="s">
        <v>55</v>
      </c>
      <c r="J1969" t="s">
        <v>35</v>
      </c>
      <c r="K1969" t="s">
        <v>61</v>
      </c>
      <c r="L1969" t="s">
        <v>28</v>
      </c>
      <c r="M1969" s="4">
        <v>5</v>
      </c>
      <c r="N1969" s="4">
        <v>7</v>
      </c>
      <c r="O1969" t="s">
        <v>36</v>
      </c>
      <c r="P1969" t="s">
        <v>36</v>
      </c>
      <c r="Q1969" s="4">
        <v>150005</v>
      </c>
      <c r="R1969" s="4">
        <v>75969</v>
      </c>
      <c r="S1969" s="4">
        <f>Table1[[#This Row],[Service_Revenue]]-Table1[[#This Row],[Service_Cost]]</f>
        <v>74036</v>
      </c>
      <c r="T1969" s="4">
        <v>4</v>
      </c>
      <c r="U1969" s="4">
        <f>IF(AND(Table1[[#This Row],[Rework_Flag]]="Yes",Table1[[#This Row],[Warranty_Claim]]="No"),Table1[[#This Row],[Service_Revenue]],0)</f>
        <v>0</v>
      </c>
      <c r="V1969" s="4">
        <f>IF(Table1[[#This Row],[Warranty_Claim]]="Yes",1,0)</f>
        <v>0</v>
      </c>
      <c r="W1969" s="4">
        <f>IF(Table1[[#This Row],[Rework_Flag]]="No",1,0)</f>
        <v>1</v>
      </c>
      <c r="X1969" s="4">
        <f>IF(Table1[[#This Row],[Rework_Flag]]="Yes",1,0)</f>
        <v>0</v>
      </c>
      <c r="Y1969" s="4">
        <v>1</v>
      </c>
      <c r="Z1969" s="4" t="str">
        <f>IF(Table1[[#This Row],[TAT_Days]]&gt;Table1[[#This Row],[SLA_TAT]],"Yes","No")</f>
        <v>No</v>
      </c>
      <c r="AA1969" s="4" t="str" cm="1">
        <f t="array" ref="AA1969">_xlfn.IFS(Table1[[#This Row],[Customer_Satisfaction]]&lt;=2,"Poor",Table1[[#This Row],[Customer_Satisfaction]]=3,"Neutral",Table1[[#This Row],[Customer_Satisfaction]]=4,"Good",Table1[[#This Row],[Customer_Satisfaction]]=5,"Good")</f>
        <v>Good</v>
      </c>
    </row>
    <row r="1970" spans="1:27" x14ac:dyDescent="0.35">
      <c r="A1970">
        <v>21968</v>
      </c>
      <c r="B1970" s="1">
        <v>45419</v>
      </c>
      <c r="C1970" t="s">
        <v>19</v>
      </c>
      <c r="D1970" t="s">
        <v>45</v>
      </c>
      <c r="E1970" t="s">
        <v>76</v>
      </c>
      <c r="F1970" t="s">
        <v>22</v>
      </c>
      <c r="G1970" t="s">
        <v>33</v>
      </c>
      <c r="H1970" t="s">
        <v>34</v>
      </c>
      <c r="I1970" t="s">
        <v>25</v>
      </c>
      <c r="J1970" t="s">
        <v>67</v>
      </c>
      <c r="K1970" t="s">
        <v>44</v>
      </c>
      <c r="L1970" t="s">
        <v>28</v>
      </c>
      <c r="M1970" s="4">
        <v>14</v>
      </c>
      <c r="N1970" s="4">
        <v>7</v>
      </c>
      <c r="O1970" t="s">
        <v>36</v>
      </c>
      <c r="P1970" t="s">
        <v>29</v>
      </c>
      <c r="Q1970" s="4">
        <v>306857</v>
      </c>
      <c r="R1970" s="4">
        <v>215337</v>
      </c>
      <c r="S1970" s="4">
        <f>Table1[[#This Row],[Service_Revenue]]-Table1[[#This Row],[Service_Cost]]</f>
        <v>91520</v>
      </c>
      <c r="T1970" s="4">
        <v>3</v>
      </c>
      <c r="U1970" s="4">
        <f>IF(AND(Table1[[#This Row],[Rework_Flag]]="Yes",Table1[[#This Row],[Warranty_Claim]]="No"),Table1[[#This Row],[Service_Revenue]],0)</f>
        <v>0</v>
      </c>
      <c r="V1970" s="4">
        <f>IF(Table1[[#This Row],[Warranty_Claim]]="Yes",1,0)</f>
        <v>1</v>
      </c>
      <c r="W1970" s="4">
        <f>IF(Table1[[#This Row],[Rework_Flag]]="No",1,0)</f>
        <v>1</v>
      </c>
      <c r="X1970" s="4">
        <f>IF(Table1[[#This Row],[Rework_Flag]]="Yes",1,0)</f>
        <v>0</v>
      </c>
      <c r="Y1970" s="4">
        <v>1</v>
      </c>
      <c r="Z1970" s="4" t="str">
        <f>IF(Table1[[#This Row],[TAT_Days]]&gt;Table1[[#This Row],[SLA_TAT]],"Yes","No")</f>
        <v>Yes</v>
      </c>
      <c r="AA1970" s="4" t="str" cm="1">
        <f t="array" ref="AA1970">_xlfn.IFS(Table1[[#This Row],[Customer_Satisfaction]]&lt;=2,"Poor",Table1[[#This Row],[Customer_Satisfaction]]=3,"Neutral",Table1[[#This Row],[Customer_Satisfaction]]=4,"Good",Table1[[#This Row],[Customer_Satisfaction]]=5,"Good")</f>
        <v>Neutral</v>
      </c>
    </row>
    <row r="1971" spans="1:27" x14ac:dyDescent="0.35">
      <c r="A1971">
        <v>21969</v>
      </c>
      <c r="B1971" s="1">
        <v>45421</v>
      </c>
      <c r="C1971" t="s">
        <v>30</v>
      </c>
      <c r="D1971" t="s">
        <v>83</v>
      </c>
      <c r="E1971" t="s">
        <v>84</v>
      </c>
      <c r="F1971" t="s">
        <v>22</v>
      </c>
      <c r="G1971" t="s">
        <v>41</v>
      </c>
      <c r="H1971" t="s">
        <v>42</v>
      </c>
      <c r="I1971" t="s">
        <v>55</v>
      </c>
      <c r="J1971" t="s">
        <v>35</v>
      </c>
      <c r="K1971" t="s">
        <v>61</v>
      </c>
      <c r="L1971" t="s">
        <v>28</v>
      </c>
      <c r="M1971" s="4">
        <v>20</v>
      </c>
      <c r="N1971" s="4">
        <v>7</v>
      </c>
      <c r="O1971" t="s">
        <v>36</v>
      </c>
      <c r="P1971" t="s">
        <v>36</v>
      </c>
      <c r="Q1971" s="4">
        <v>176055</v>
      </c>
      <c r="R1971" s="4">
        <v>137541</v>
      </c>
      <c r="S1971" s="4">
        <f>Table1[[#This Row],[Service_Revenue]]-Table1[[#This Row],[Service_Cost]]</f>
        <v>38514</v>
      </c>
      <c r="T1971" s="4">
        <v>1</v>
      </c>
      <c r="U1971" s="4">
        <f>IF(AND(Table1[[#This Row],[Rework_Flag]]="Yes",Table1[[#This Row],[Warranty_Claim]]="No"),Table1[[#This Row],[Service_Revenue]],0)</f>
        <v>0</v>
      </c>
      <c r="V1971" s="4">
        <f>IF(Table1[[#This Row],[Warranty_Claim]]="Yes",1,0)</f>
        <v>0</v>
      </c>
      <c r="W1971" s="4">
        <f>IF(Table1[[#This Row],[Rework_Flag]]="No",1,0)</f>
        <v>1</v>
      </c>
      <c r="X1971" s="4">
        <f>IF(Table1[[#This Row],[Rework_Flag]]="Yes",1,0)</f>
        <v>0</v>
      </c>
      <c r="Y1971" s="4">
        <v>1</v>
      </c>
      <c r="Z1971" s="4" t="str">
        <f>IF(Table1[[#This Row],[TAT_Days]]&gt;Table1[[#This Row],[SLA_TAT]],"Yes","No")</f>
        <v>Yes</v>
      </c>
      <c r="AA1971" s="4" t="str" cm="1">
        <f t="array" ref="AA1971">_xlfn.IFS(Table1[[#This Row],[Customer_Satisfaction]]&lt;=2,"Poor",Table1[[#This Row],[Customer_Satisfaction]]=3,"Neutral",Table1[[#This Row],[Customer_Satisfaction]]=4,"Good",Table1[[#This Row],[Customer_Satisfaction]]=5,"Good")</f>
        <v>Poor</v>
      </c>
    </row>
    <row r="1972" spans="1:27" x14ac:dyDescent="0.35">
      <c r="A1972">
        <v>21970</v>
      </c>
      <c r="B1972" s="1">
        <v>45456</v>
      </c>
      <c r="C1972" t="s">
        <v>37</v>
      </c>
      <c r="D1972" t="s">
        <v>38</v>
      </c>
      <c r="E1972" t="s">
        <v>102</v>
      </c>
      <c r="F1972" t="s">
        <v>40</v>
      </c>
      <c r="G1972" t="s">
        <v>74</v>
      </c>
      <c r="H1972" t="s">
        <v>34</v>
      </c>
      <c r="I1972" t="s">
        <v>55</v>
      </c>
      <c r="J1972" t="s">
        <v>35</v>
      </c>
      <c r="K1972" t="s">
        <v>27</v>
      </c>
      <c r="L1972" t="s">
        <v>49</v>
      </c>
      <c r="M1972" s="4">
        <v>14</v>
      </c>
      <c r="N1972" s="4">
        <v>7</v>
      </c>
      <c r="O1972" t="s">
        <v>29</v>
      </c>
      <c r="P1972" t="s">
        <v>36</v>
      </c>
      <c r="Q1972" s="4">
        <v>411034</v>
      </c>
      <c r="R1972" s="4">
        <v>287927</v>
      </c>
      <c r="S1972" s="4">
        <f>Table1[[#This Row],[Service_Revenue]]-Table1[[#This Row],[Service_Cost]]</f>
        <v>123107</v>
      </c>
      <c r="T1972" s="4">
        <v>2</v>
      </c>
      <c r="U1972" s="4">
        <f>IF(AND(Table1[[#This Row],[Rework_Flag]]="Yes",Table1[[#This Row],[Warranty_Claim]]="No"),Table1[[#This Row],[Service_Revenue]],0)</f>
        <v>411034</v>
      </c>
      <c r="V1972" s="4">
        <f>IF(Table1[[#This Row],[Warranty_Claim]]="Yes",1,0)</f>
        <v>0</v>
      </c>
      <c r="W1972" s="4">
        <f>IF(Table1[[#This Row],[Rework_Flag]]="No",1,0)</f>
        <v>0</v>
      </c>
      <c r="X1972" s="4">
        <f>IF(Table1[[#This Row],[Rework_Flag]]="Yes",1,0)</f>
        <v>1</v>
      </c>
      <c r="Y1972" s="4">
        <v>1</v>
      </c>
      <c r="Z1972" s="4" t="str">
        <f>IF(Table1[[#This Row],[TAT_Days]]&gt;Table1[[#This Row],[SLA_TAT]],"Yes","No")</f>
        <v>Yes</v>
      </c>
      <c r="AA1972" s="4" t="str" cm="1">
        <f t="array" ref="AA1972">_xlfn.IFS(Table1[[#This Row],[Customer_Satisfaction]]&lt;=2,"Poor",Table1[[#This Row],[Customer_Satisfaction]]=3,"Neutral",Table1[[#This Row],[Customer_Satisfaction]]=4,"Good",Table1[[#This Row],[Customer_Satisfaction]]=5,"Good")</f>
        <v>Poor</v>
      </c>
    </row>
    <row r="1973" spans="1:27" x14ac:dyDescent="0.35">
      <c r="A1973">
        <v>21971</v>
      </c>
      <c r="B1973" s="1">
        <v>45357</v>
      </c>
      <c r="C1973" t="s">
        <v>50</v>
      </c>
      <c r="D1973" t="s">
        <v>56</v>
      </c>
      <c r="E1973" t="s">
        <v>77</v>
      </c>
      <c r="F1973" t="s">
        <v>53</v>
      </c>
      <c r="G1973" t="s">
        <v>47</v>
      </c>
      <c r="H1973" t="s">
        <v>48</v>
      </c>
      <c r="I1973" t="s">
        <v>25</v>
      </c>
      <c r="J1973" t="s">
        <v>43</v>
      </c>
      <c r="K1973" t="s">
        <v>44</v>
      </c>
      <c r="L1973" t="s">
        <v>28</v>
      </c>
      <c r="M1973" s="4">
        <v>9</v>
      </c>
      <c r="N1973" s="4">
        <v>7</v>
      </c>
      <c r="O1973" t="s">
        <v>36</v>
      </c>
      <c r="P1973" t="s">
        <v>36</v>
      </c>
      <c r="Q1973" s="4">
        <v>364892</v>
      </c>
      <c r="R1973" s="4">
        <v>237269</v>
      </c>
      <c r="S1973" s="4">
        <f>Table1[[#This Row],[Service_Revenue]]-Table1[[#This Row],[Service_Cost]]</f>
        <v>127623</v>
      </c>
      <c r="T1973" s="4">
        <v>4</v>
      </c>
      <c r="U1973" s="4">
        <f>IF(AND(Table1[[#This Row],[Rework_Flag]]="Yes",Table1[[#This Row],[Warranty_Claim]]="No"),Table1[[#This Row],[Service_Revenue]],0)</f>
        <v>0</v>
      </c>
      <c r="V1973" s="4">
        <f>IF(Table1[[#This Row],[Warranty_Claim]]="Yes",1,0)</f>
        <v>0</v>
      </c>
      <c r="W1973" s="4">
        <f>IF(Table1[[#This Row],[Rework_Flag]]="No",1,0)</f>
        <v>1</v>
      </c>
      <c r="X1973" s="4">
        <f>IF(Table1[[#This Row],[Rework_Flag]]="Yes",1,0)</f>
        <v>0</v>
      </c>
      <c r="Y1973" s="4">
        <v>1</v>
      </c>
      <c r="Z1973" s="4" t="str">
        <f>IF(Table1[[#This Row],[TAT_Days]]&gt;Table1[[#This Row],[SLA_TAT]],"Yes","No")</f>
        <v>Yes</v>
      </c>
      <c r="AA1973" s="4" t="str" cm="1">
        <f t="array" ref="AA1973">_xlfn.IFS(Table1[[#This Row],[Customer_Satisfaction]]&lt;=2,"Poor",Table1[[#This Row],[Customer_Satisfaction]]=3,"Neutral",Table1[[#This Row],[Customer_Satisfaction]]=4,"Good",Table1[[#This Row],[Customer_Satisfaction]]=5,"Good")</f>
        <v>Good</v>
      </c>
    </row>
    <row r="1974" spans="1:27" x14ac:dyDescent="0.35">
      <c r="A1974">
        <v>21972</v>
      </c>
      <c r="B1974" s="1">
        <v>45408</v>
      </c>
      <c r="C1974" t="s">
        <v>30</v>
      </c>
      <c r="D1974" t="s">
        <v>31</v>
      </c>
      <c r="E1974" t="s">
        <v>32</v>
      </c>
      <c r="F1974" t="s">
        <v>40</v>
      </c>
      <c r="G1974" t="s">
        <v>54</v>
      </c>
      <c r="H1974" t="s">
        <v>42</v>
      </c>
      <c r="I1974" t="s">
        <v>55</v>
      </c>
      <c r="J1974" t="s">
        <v>26</v>
      </c>
      <c r="K1974" t="s">
        <v>44</v>
      </c>
      <c r="L1974" t="s">
        <v>28</v>
      </c>
      <c r="M1974" s="4">
        <v>24</v>
      </c>
      <c r="N1974" s="4">
        <v>7</v>
      </c>
      <c r="O1974" t="s">
        <v>29</v>
      </c>
      <c r="P1974" t="s">
        <v>36</v>
      </c>
      <c r="Q1974" s="4">
        <v>202850</v>
      </c>
      <c r="R1974" s="4">
        <v>127592</v>
      </c>
      <c r="S1974" s="4">
        <f>Table1[[#This Row],[Service_Revenue]]-Table1[[#This Row],[Service_Cost]]</f>
        <v>75258</v>
      </c>
      <c r="T1974" s="4">
        <v>1</v>
      </c>
      <c r="U1974" s="4">
        <f>IF(AND(Table1[[#This Row],[Rework_Flag]]="Yes",Table1[[#This Row],[Warranty_Claim]]="No"),Table1[[#This Row],[Service_Revenue]],0)</f>
        <v>202850</v>
      </c>
      <c r="V1974" s="4">
        <f>IF(Table1[[#This Row],[Warranty_Claim]]="Yes",1,0)</f>
        <v>0</v>
      </c>
      <c r="W1974" s="4">
        <f>IF(Table1[[#This Row],[Rework_Flag]]="No",1,0)</f>
        <v>0</v>
      </c>
      <c r="X1974" s="4">
        <f>IF(Table1[[#This Row],[Rework_Flag]]="Yes",1,0)</f>
        <v>1</v>
      </c>
      <c r="Y1974" s="4">
        <v>1</v>
      </c>
      <c r="Z1974" s="4" t="str">
        <f>IF(Table1[[#This Row],[TAT_Days]]&gt;Table1[[#This Row],[SLA_TAT]],"Yes","No")</f>
        <v>Yes</v>
      </c>
      <c r="AA1974" s="4" t="str" cm="1">
        <f t="array" ref="AA1974">_xlfn.IFS(Table1[[#This Row],[Customer_Satisfaction]]&lt;=2,"Poor",Table1[[#This Row],[Customer_Satisfaction]]=3,"Neutral",Table1[[#This Row],[Customer_Satisfaction]]=4,"Good",Table1[[#This Row],[Customer_Satisfaction]]=5,"Good")</f>
        <v>Poor</v>
      </c>
    </row>
    <row r="1975" spans="1:27" x14ac:dyDescent="0.35">
      <c r="A1975">
        <v>21973</v>
      </c>
      <c r="B1975" s="1">
        <v>45366</v>
      </c>
      <c r="C1975" t="s">
        <v>37</v>
      </c>
      <c r="D1975" t="s">
        <v>38</v>
      </c>
      <c r="E1975" t="s">
        <v>112</v>
      </c>
      <c r="F1975" t="s">
        <v>40</v>
      </c>
      <c r="G1975" t="s">
        <v>23</v>
      </c>
      <c r="H1975" t="s">
        <v>24</v>
      </c>
      <c r="I1975" t="s">
        <v>55</v>
      </c>
      <c r="J1975" t="s">
        <v>35</v>
      </c>
      <c r="K1975" t="s">
        <v>61</v>
      </c>
      <c r="L1975" t="s">
        <v>28</v>
      </c>
      <c r="M1975" s="4">
        <v>18</v>
      </c>
      <c r="N1975" s="4">
        <v>7</v>
      </c>
      <c r="O1975" t="s">
        <v>29</v>
      </c>
      <c r="P1975" t="s">
        <v>29</v>
      </c>
      <c r="Q1975" s="4">
        <v>302210</v>
      </c>
      <c r="R1975" s="4">
        <v>222434</v>
      </c>
      <c r="S1975" s="4">
        <f>Table1[[#This Row],[Service_Revenue]]-Table1[[#This Row],[Service_Cost]]</f>
        <v>79776</v>
      </c>
      <c r="T1975" s="4">
        <v>1</v>
      </c>
      <c r="U1975" s="4">
        <f>IF(AND(Table1[[#This Row],[Rework_Flag]]="Yes",Table1[[#This Row],[Warranty_Claim]]="No"),Table1[[#This Row],[Service_Revenue]],0)</f>
        <v>0</v>
      </c>
      <c r="V1975" s="4">
        <f>IF(Table1[[#This Row],[Warranty_Claim]]="Yes",1,0)</f>
        <v>1</v>
      </c>
      <c r="W1975" s="4">
        <f>IF(Table1[[#This Row],[Rework_Flag]]="No",1,0)</f>
        <v>0</v>
      </c>
      <c r="X1975" s="4">
        <f>IF(Table1[[#This Row],[Rework_Flag]]="Yes",1,0)</f>
        <v>1</v>
      </c>
      <c r="Y1975" s="4">
        <v>1</v>
      </c>
      <c r="Z1975" s="4" t="str">
        <f>IF(Table1[[#This Row],[TAT_Days]]&gt;Table1[[#This Row],[SLA_TAT]],"Yes","No")</f>
        <v>Yes</v>
      </c>
      <c r="AA1975" s="4" t="str" cm="1">
        <f t="array" ref="AA1975">_xlfn.IFS(Table1[[#This Row],[Customer_Satisfaction]]&lt;=2,"Poor",Table1[[#This Row],[Customer_Satisfaction]]=3,"Neutral",Table1[[#This Row],[Customer_Satisfaction]]=4,"Good",Table1[[#This Row],[Customer_Satisfaction]]=5,"Good")</f>
        <v>Poor</v>
      </c>
    </row>
    <row r="1976" spans="1:27" x14ac:dyDescent="0.35">
      <c r="A1976">
        <v>21974</v>
      </c>
      <c r="B1976" s="1">
        <v>45292</v>
      </c>
      <c r="C1976" t="s">
        <v>19</v>
      </c>
      <c r="D1976" t="s">
        <v>20</v>
      </c>
      <c r="E1976" t="s">
        <v>110</v>
      </c>
      <c r="F1976" t="s">
        <v>22</v>
      </c>
      <c r="G1976" t="s">
        <v>47</v>
      </c>
      <c r="H1976" t="s">
        <v>48</v>
      </c>
      <c r="I1976" t="s">
        <v>25</v>
      </c>
      <c r="J1976" t="s">
        <v>26</v>
      </c>
      <c r="K1976" t="s">
        <v>61</v>
      </c>
      <c r="L1976" t="s">
        <v>49</v>
      </c>
      <c r="M1976" s="4">
        <v>10</v>
      </c>
      <c r="N1976" s="4">
        <v>7</v>
      </c>
      <c r="O1976" t="s">
        <v>36</v>
      </c>
      <c r="P1976" t="s">
        <v>36</v>
      </c>
      <c r="Q1976" s="4">
        <v>143959</v>
      </c>
      <c r="R1976" s="4">
        <v>72230</v>
      </c>
      <c r="S1976" s="4">
        <f>Table1[[#This Row],[Service_Revenue]]-Table1[[#This Row],[Service_Cost]]</f>
        <v>71729</v>
      </c>
      <c r="T1976" s="4">
        <v>3</v>
      </c>
      <c r="U1976" s="4">
        <f>IF(AND(Table1[[#This Row],[Rework_Flag]]="Yes",Table1[[#This Row],[Warranty_Claim]]="No"),Table1[[#This Row],[Service_Revenue]],0)</f>
        <v>0</v>
      </c>
      <c r="V1976" s="4">
        <f>IF(Table1[[#This Row],[Warranty_Claim]]="Yes",1,0)</f>
        <v>0</v>
      </c>
      <c r="W1976" s="4">
        <f>IF(Table1[[#This Row],[Rework_Flag]]="No",1,0)</f>
        <v>1</v>
      </c>
      <c r="X1976" s="4">
        <f>IF(Table1[[#This Row],[Rework_Flag]]="Yes",1,0)</f>
        <v>0</v>
      </c>
      <c r="Y1976" s="4">
        <v>1</v>
      </c>
      <c r="Z1976" s="4" t="str">
        <f>IF(Table1[[#This Row],[TAT_Days]]&gt;Table1[[#This Row],[SLA_TAT]],"Yes","No")</f>
        <v>Yes</v>
      </c>
      <c r="AA1976" s="4" t="str" cm="1">
        <f t="array" ref="AA1976">_xlfn.IFS(Table1[[#This Row],[Customer_Satisfaction]]&lt;=2,"Poor",Table1[[#This Row],[Customer_Satisfaction]]=3,"Neutral",Table1[[#This Row],[Customer_Satisfaction]]=4,"Good",Table1[[#This Row],[Customer_Satisfaction]]=5,"Good")</f>
        <v>Neutral</v>
      </c>
    </row>
    <row r="1977" spans="1:27" x14ac:dyDescent="0.35">
      <c r="A1977">
        <v>21975</v>
      </c>
      <c r="B1977" s="1">
        <v>45335</v>
      </c>
      <c r="C1977" t="s">
        <v>19</v>
      </c>
      <c r="D1977" t="s">
        <v>45</v>
      </c>
      <c r="E1977" t="s">
        <v>46</v>
      </c>
      <c r="F1977" t="s">
        <v>22</v>
      </c>
      <c r="G1977" t="s">
        <v>23</v>
      </c>
      <c r="H1977" t="s">
        <v>24</v>
      </c>
      <c r="I1977" t="s">
        <v>55</v>
      </c>
      <c r="J1977" t="s">
        <v>67</v>
      </c>
      <c r="K1977" t="s">
        <v>61</v>
      </c>
      <c r="L1977" t="s">
        <v>49</v>
      </c>
      <c r="M1977" s="4">
        <v>18</v>
      </c>
      <c r="N1977" s="4">
        <v>7</v>
      </c>
      <c r="O1977" t="s">
        <v>29</v>
      </c>
      <c r="P1977" t="s">
        <v>36</v>
      </c>
      <c r="Q1977" s="4">
        <v>218016</v>
      </c>
      <c r="R1977" s="4">
        <v>184693</v>
      </c>
      <c r="S1977" s="4">
        <f>Table1[[#This Row],[Service_Revenue]]-Table1[[#This Row],[Service_Cost]]</f>
        <v>33323</v>
      </c>
      <c r="T1977" s="4">
        <v>1</v>
      </c>
      <c r="U1977" s="4">
        <f>IF(AND(Table1[[#This Row],[Rework_Flag]]="Yes",Table1[[#This Row],[Warranty_Claim]]="No"),Table1[[#This Row],[Service_Revenue]],0)</f>
        <v>218016</v>
      </c>
      <c r="V1977" s="4">
        <f>IF(Table1[[#This Row],[Warranty_Claim]]="Yes",1,0)</f>
        <v>0</v>
      </c>
      <c r="W1977" s="4">
        <f>IF(Table1[[#This Row],[Rework_Flag]]="No",1,0)</f>
        <v>0</v>
      </c>
      <c r="X1977" s="4">
        <f>IF(Table1[[#This Row],[Rework_Flag]]="Yes",1,0)</f>
        <v>1</v>
      </c>
      <c r="Y1977" s="4">
        <v>1</v>
      </c>
      <c r="Z1977" s="4" t="str">
        <f>IF(Table1[[#This Row],[TAT_Days]]&gt;Table1[[#This Row],[SLA_TAT]],"Yes","No")</f>
        <v>Yes</v>
      </c>
      <c r="AA1977" s="4" t="str" cm="1">
        <f t="array" ref="AA1977">_xlfn.IFS(Table1[[#This Row],[Customer_Satisfaction]]&lt;=2,"Poor",Table1[[#This Row],[Customer_Satisfaction]]=3,"Neutral",Table1[[#This Row],[Customer_Satisfaction]]=4,"Good",Table1[[#This Row],[Customer_Satisfaction]]=5,"Good")</f>
        <v>Poor</v>
      </c>
    </row>
    <row r="1978" spans="1:27" x14ac:dyDescent="0.35">
      <c r="A1978">
        <v>21976</v>
      </c>
      <c r="B1978" s="1">
        <v>45387</v>
      </c>
      <c r="C1978" t="s">
        <v>50</v>
      </c>
      <c r="D1978" t="s">
        <v>51</v>
      </c>
      <c r="E1978" t="s">
        <v>120</v>
      </c>
      <c r="F1978" t="s">
        <v>53</v>
      </c>
      <c r="G1978" t="s">
        <v>54</v>
      </c>
      <c r="H1978" t="s">
        <v>42</v>
      </c>
      <c r="I1978" t="s">
        <v>55</v>
      </c>
      <c r="J1978" t="s">
        <v>67</v>
      </c>
      <c r="K1978" t="s">
        <v>44</v>
      </c>
      <c r="L1978" t="s">
        <v>28</v>
      </c>
      <c r="M1978" s="4">
        <v>25</v>
      </c>
      <c r="N1978" s="4">
        <v>7</v>
      </c>
      <c r="O1978" t="s">
        <v>29</v>
      </c>
      <c r="P1978" t="s">
        <v>36</v>
      </c>
      <c r="Q1978" s="4">
        <v>487327</v>
      </c>
      <c r="R1978" s="4">
        <v>384137</v>
      </c>
      <c r="S1978" s="4">
        <f>Table1[[#This Row],[Service_Revenue]]-Table1[[#This Row],[Service_Cost]]</f>
        <v>103190</v>
      </c>
      <c r="T1978" s="4">
        <v>1</v>
      </c>
      <c r="U1978" s="4">
        <f>IF(AND(Table1[[#This Row],[Rework_Flag]]="Yes",Table1[[#This Row],[Warranty_Claim]]="No"),Table1[[#This Row],[Service_Revenue]],0)</f>
        <v>487327</v>
      </c>
      <c r="V1978" s="4">
        <f>IF(Table1[[#This Row],[Warranty_Claim]]="Yes",1,0)</f>
        <v>0</v>
      </c>
      <c r="W1978" s="4">
        <f>IF(Table1[[#This Row],[Rework_Flag]]="No",1,0)</f>
        <v>0</v>
      </c>
      <c r="X1978" s="4">
        <f>IF(Table1[[#This Row],[Rework_Flag]]="Yes",1,0)</f>
        <v>1</v>
      </c>
      <c r="Y1978" s="4">
        <v>1</v>
      </c>
      <c r="Z1978" s="4" t="str">
        <f>IF(Table1[[#This Row],[TAT_Days]]&gt;Table1[[#This Row],[SLA_TAT]],"Yes","No")</f>
        <v>Yes</v>
      </c>
      <c r="AA1978" s="4" t="str" cm="1">
        <f t="array" ref="AA1978">_xlfn.IFS(Table1[[#This Row],[Customer_Satisfaction]]&lt;=2,"Poor",Table1[[#This Row],[Customer_Satisfaction]]=3,"Neutral",Table1[[#This Row],[Customer_Satisfaction]]=4,"Good",Table1[[#This Row],[Customer_Satisfaction]]=5,"Good")</f>
        <v>Poor</v>
      </c>
    </row>
    <row r="1979" spans="1:27" x14ac:dyDescent="0.35">
      <c r="A1979">
        <v>21977</v>
      </c>
      <c r="B1979" s="1">
        <v>45394</v>
      </c>
      <c r="C1979" t="s">
        <v>30</v>
      </c>
      <c r="D1979" t="s">
        <v>31</v>
      </c>
      <c r="E1979" t="s">
        <v>122</v>
      </c>
      <c r="F1979" t="s">
        <v>22</v>
      </c>
      <c r="G1979" t="s">
        <v>74</v>
      </c>
      <c r="H1979" t="s">
        <v>34</v>
      </c>
      <c r="I1979" t="s">
        <v>55</v>
      </c>
      <c r="J1979" t="s">
        <v>43</v>
      </c>
      <c r="K1979" t="s">
        <v>61</v>
      </c>
      <c r="L1979" t="s">
        <v>49</v>
      </c>
      <c r="M1979" s="4">
        <v>14</v>
      </c>
      <c r="N1979" s="4">
        <v>7</v>
      </c>
      <c r="O1979" t="s">
        <v>29</v>
      </c>
      <c r="P1979" t="s">
        <v>29</v>
      </c>
      <c r="Q1979" s="4">
        <v>245192</v>
      </c>
      <c r="R1979" s="4">
        <v>141285</v>
      </c>
      <c r="S1979" s="4">
        <f>Table1[[#This Row],[Service_Revenue]]-Table1[[#This Row],[Service_Cost]]</f>
        <v>103907</v>
      </c>
      <c r="T1979" s="4">
        <v>2</v>
      </c>
      <c r="U1979" s="4">
        <f>IF(AND(Table1[[#This Row],[Rework_Flag]]="Yes",Table1[[#This Row],[Warranty_Claim]]="No"),Table1[[#This Row],[Service_Revenue]],0)</f>
        <v>0</v>
      </c>
      <c r="V1979" s="4">
        <f>IF(Table1[[#This Row],[Warranty_Claim]]="Yes",1,0)</f>
        <v>1</v>
      </c>
      <c r="W1979" s="4">
        <f>IF(Table1[[#This Row],[Rework_Flag]]="No",1,0)</f>
        <v>0</v>
      </c>
      <c r="X1979" s="4">
        <f>IF(Table1[[#This Row],[Rework_Flag]]="Yes",1,0)</f>
        <v>1</v>
      </c>
      <c r="Y1979" s="4">
        <v>1</v>
      </c>
      <c r="Z1979" s="4" t="str">
        <f>IF(Table1[[#This Row],[TAT_Days]]&gt;Table1[[#This Row],[SLA_TAT]],"Yes","No")</f>
        <v>Yes</v>
      </c>
      <c r="AA1979" s="4" t="str" cm="1">
        <f t="array" ref="AA1979">_xlfn.IFS(Table1[[#This Row],[Customer_Satisfaction]]&lt;=2,"Poor",Table1[[#This Row],[Customer_Satisfaction]]=3,"Neutral",Table1[[#This Row],[Customer_Satisfaction]]=4,"Good",Table1[[#This Row],[Customer_Satisfaction]]=5,"Good")</f>
        <v>Poor</v>
      </c>
    </row>
    <row r="1980" spans="1:27" x14ac:dyDescent="0.35">
      <c r="A1980">
        <v>21978</v>
      </c>
      <c r="B1980" s="1">
        <v>45462</v>
      </c>
      <c r="C1980" t="s">
        <v>19</v>
      </c>
      <c r="D1980" t="s">
        <v>20</v>
      </c>
      <c r="E1980" t="s">
        <v>86</v>
      </c>
      <c r="F1980" t="s">
        <v>22</v>
      </c>
      <c r="G1980" t="s">
        <v>33</v>
      </c>
      <c r="H1980" t="s">
        <v>34</v>
      </c>
      <c r="I1980" t="s">
        <v>55</v>
      </c>
      <c r="J1980" t="s">
        <v>43</v>
      </c>
      <c r="K1980" t="s">
        <v>61</v>
      </c>
      <c r="L1980" t="s">
        <v>49</v>
      </c>
      <c r="M1980" s="4">
        <v>15</v>
      </c>
      <c r="N1980" s="4">
        <v>7</v>
      </c>
      <c r="O1980" t="s">
        <v>36</v>
      </c>
      <c r="P1980" t="s">
        <v>36</v>
      </c>
      <c r="Q1980" s="4">
        <v>225103</v>
      </c>
      <c r="R1980" s="4">
        <v>174181</v>
      </c>
      <c r="S1980" s="4">
        <f>Table1[[#This Row],[Service_Revenue]]-Table1[[#This Row],[Service_Cost]]</f>
        <v>50922</v>
      </c>
      <c r="T1980" s="4">
        <v>2</v>
      </c>
      <c r="U1980" s="4">
        <f>IF(AND(Table1[[#This Row],[Rework_Flag]]="Yes",Table1[[#This Row],[Warranty_Claim]]="No"),Table1[[#This Row],[Service_Revenue]],0)</f>
        <v>0</v>
      </c>
      <c r="V1980" s="4">
        <f>IF(Table1[[#This Row],[Warranty_Claim]]="Yes",1,0)</f>
        <v>0</v>
      </c>
      <c r="W1980" s="4">
        <f>IF(Table1[[#This Row],[Rework_Flag]]="No",1,0)</f>
        <v>1</v>
      </c>
      <c r="X1980" s="4">
        <f>IF(Table1[[#This Row],[Rework_Flag]]="Yes",1,0)</f>
        <v>0</v>
      </c>
      <c r="Y1980" s="4">
        <v>1</v>
      </c>
      <c r="Z1980" s="4" t="str">
        <f>IF(Table1[[#This Row],[TAT_Days]]&gt;Table1[[#This Row],[SLA_TAT]],"Yes","No")</f>
        <v>Yes</v>
      </c>
      <c r="AA1980" s="4" t="str" cm="1">
        <f t="array" ref="AA1980">_xlfn.IFS(Table1[[#This Row],[Customer_Satisfaction]]&lt;=2,"Poor",Table1[[#This Row],[Customer_Satisfaction]]=3,"Neutral",Table1[[#This Row],[Customer_Satisfaction]]=4,"Good",Table1[[#This Row],[Customer_Satisfaction]]=5,"Good")</f>
        <v>Poor</v>
      </c>
    </row>
    <row r="1981" spans="1:27" x14ac:dyDescent="0.35">
      <c r="A1981">
        <v>21979</v>
      </c>
      <c r="B1981" s="1">
        <v>45466</v>
      </c>
      <c r="C1981" t="s">
        <v>37</v>
      </c>
      <c r="D1981" t="s">
        <v>38</v>
      </c>
      <c r="E1981" t="s">
        <v>112</v>
      </c>
      <c r="F1981" t="s">
        <v>53</v>
      </c>
      <c r="G1981" t="s">
        <v>74</v>
      </c>
      <c r="H1981" t="s">
        <v>34</v>
      </c>
      <c r="I1981" t="s">
        <v>55</v>
      </c>
      <c r="J1981" t="s">
        <v>43</v>
      </c>
      <c r="K1981" t="s">
        <v>61</v>
      </c>
      <c r="L1981" t="s">
        <v>28</v>
      </c>
      <c r="M1981" s="4">
        <v>21</v>
      </c>
      <c r="N1981" s="4">
        <v>7</v>
      </c>
      <c r="O1981" t="s">
        <v>36</v>
      </c>
      <c r="P1981" t="s">
        <v>36</v>
      </c>
      <c r="Q1981" s="4">
        <v>154325</v>
      </c>
      <c r="R1981" s="4">
        <v>87278</v>
      </c>
      <c r="S1981" s="4">
        <f>Table1[[#This Row],[Service_Revenue]]-Table1[[#This Row],[Service_Cost]]</f>
        <v>67047</v>
      </c>
      <c r="T1981" s="4">
        <v>1</v>
      </c>
      <c r="U1981" s="4">
        <f>IF(AND(Table1[[#This Row],[Rework_Flag]]="Yes",Table1[[#This Row],[Warranty_Claim]]="No"),Table1[[#This Row],[Service_Revenue]],0)</f>
        <v>0</v>
      </c>
      <c r="V1981" s="4">
        <f>IF(Table1[[#This Row],[Warranty_Claim]]="Yes",1,0)</f>
        <v>0</v>
      </c>
      <c r="W1981" s="4">
        <f>IF(Table1[[#This Row],[Rework_Flag]]="No",1,0)</f>
        <v>1</v>
      </c>
      <c r="X1981" s="4">
        <f>IF(Table1[[#This Row],[Rework_Flag]]="Yes",1,0)</f>
        <v>0</v>
      </c>
      <c r="Y1981" s="4">
        <v>1</v>
      </c>
      <c r="Z1981" s="4" t="str">
        <f>IF(Table1[[#This Row],[TAT_Days]]&gt;Table1[[#This Row],[SLA_TAT]],"Yes","No")</f>
        <v>Yes</v>
      </c>
      <c r="AA1981" s="4" t="str" cm="1">
        <f t="array" ref="AA1981">_xlfn.IFS(Table1[[#This Row],[Customer_Satisfaction]]&lt;=2,"Poor",Table1[[#This Row],[Customer_Satisfaction]]=3,"Neutral",Table1[[#This Row],[Customer_Satisfaction]]=4,"Good",Table1[[#This Row],[Customer_Satisfaction]]=5,"Good")</f>
        <v>Poor</v>
      </c>
    </row>
    <row r="1982" spans="1:27" x14ac:dyDescent="0.35">
      <c r="A1982">
        <v>21980</v>
      </c>
      <c r="B1982" s="1">
        <v>45356</v>
      </c>
      <c r="C1982" t="s">
        <v>19</v>
      </c>
      <c r="D1982" t="s">
        <v>45</v>
      </c>
      <c r="E1982" t="s">
        <v>111</v>
      </c>
      <c r="F1982" t="s">
        <v>22</v>
      </c>
      <c r="G1982" t="s">
        <v>23</v>
      </c>
      <c r="H1982" t="s">
        <v>24</v>
      </c>
      <c r="I1982" t="s">
        <v>25</v>
      </c>
      <c r="J1982" t="s">
        <v>26</v>
      </c>
      <c r="K1982" t="s">
        <v>44</v>
      </c>
      <c r="L1982" t="s">
        <v>49</v>
      </c>
      <c r="M1982" s="4">
        <v>3</v>
      </c>
      <c r="N1982" s="4">
        <v>7</v>
      </c>
      <c r="O1982" t="s">
        <v>29</v>
      </c>
      <c r="P1982" t="s">
        <v>36</v>
      </c>
      <c r="Q1982" s="4">
        <v>204735</v>
      </c>
      <c r="R1982" s="4">
        <v>108270</v>
      </c>
      <c r="S1982" s="4">
        <f>Table1[[#This Row],[Service_Revenue]]-Table1[[#This Row],[Service_Cost]]</f>
        <v>96465</v>
      </c>
      <c r="T1982" s="4">
        <v>4</v>
      </c>
      <c r="U1982" s="4">
        <f>IF(AND(Table1[[#This Row],[Rework_Flag]]="Yes",Table1[[#This Row],[Warranty_Claim]]="No"),Table1[[#This Row],[Service_Revenue]],0)</f>
        <v>204735</v>
      </c>
      <c r="V1982" s="4">
        <f>IF(Table1[[#This Row],[Warranty_Claim]]="Yes",1,0)</f>
        <v>0</v>
      </c>
      <c r="W1982" s="4">
        <f>IF(Table1[[#This Row],[Rework_Flag]]="No",1,0)</f>
        <v>0</v>
      </c>
      <c r="X1982" s="4">
        <f>IF(Table1[[#This Row],[Rework_Flag]]="Yes",1,0)</f>
        <v>1</v>
      </c>
      <c r="Y1982" s="4">
        <v>1</v>
      </c>
      <c r="Z1982" s="4" t="str">
        <f>IF(Table1[[#This Row],[TAT_Days]]&gt;Table1[[#This Row],[SLA_TAT]],"Yes","No")</f>
        <v>No</v>
      </c>
      <c r="AA1982" s="4" t="str" cm="1">
        <f t="array" ref="AA1982">_xlfn.IFS(Table1[[#This Row],[Customer_Satisfaction]]&lt;=2,"Poor",Table1[[#This Row],[Customer_Satisfaction]]=3,"Neutral",Table1[[#This Row],[Customer_Satisfaction]]=4,"Good",Table1[[#This Row],[Customer_Satisfaction]]=5,"Good")</f>
        <v>Good</v>
      </c>
    </row>
    <row r="1983" spans="1:27" x14ac:dyDescent="0.35">
      <c r="A1983">
        <v>21981</v>
      </c>
      <c r="B1983" s="1">
        <v>45385</v>
      </c>
      <c r="C1983" t="s">
        <v>37</v>
      </c>
      <c r="D1983" t="s">
        <v>64</v>
      </c>
      <c r="E1983" t="s">
        <v>65</v>
      </c>
      <c r="F1983" t="s">
        <v>53</v>
      </c>
      <c r="G1983" t="s">
        <v>74</v>
      </c>
      <c r="H1983" t="s">
        <v>34</v>
      </c>
      <c r="I1983" t="s">
        <v>55</v>
      </c>
      <c r="J1983" t="s">
        <v>58</v>
      </c>
      <c r="K1983" t="s">
        <v>27</v>
      </c>
      <c r="L1983" t="s">
        <v>28</v>
      </c>
      <c r="M1983" s="4">
        <v>4</v>
      </c>
      <c r="N1983" s="4">
        <v>7</v>
      </c>
      <c r="O1983" t="s">
        <v>29</v>
      </c>
      <c r="P1983" t="s">
        <v>29</v>
      </c>
      <c r="Q1983" s="4">
        <v>131487</v>
      </c>
      <c r="R1983" s="4">
        <v>88057</v>
      </c>
      <c r="S1983" s="4">
        <f>Table1[[#This Row],[Service_Revenue]]-Table1[[#This Row],[Service_Cost]]</f>
        <v>43430</v>
      </c>
      <c r="T1983" s="4">
        <v>4</v>
      </c>
      <c r="U1983" s="4">
        <f>IF(AND(Table1[[#This Row],[Rework_Flag]]="Yes",Table1[[#This Row],[Warranty_Claim]]="No"),Table1[[#This Row],[Service_Revenue]],0)</f>
        <v>0</v>
      </c>
      <c r="V1983" s="4">
        <f>IF(Table1[[#This Row],[Warranty_Claim]]="Yes",1,0)</f>
        <v>1</v>
      </c>
      <c r="W1983" s="4">
        <f>IF(Table1[[#This Row],[Rework_Flag]]="No",1,0)</f>
        <v>0</v>
      </c>
      <c r="X1983" s="4">
        <f>IF(Table1[[#This Row],[Rework_Flag]]="Yes",1,0)</f>
        <v>1</v>
      </c>
      <c r="Y1983" s="4">
        <v>1</v>
      </c>
      <c r="Z1983" s="4" t="str">
        <f>IF(Table1[[#This Row],[TAT_Days]]&gt;Table1[[#This Row],[SLA_TAT]],"Yes","No")</f>
        <v>No</v>
      </c>
      <c r="AA1983" s="4" t="str" cm="1">
        <f t="array" ref="AA1983">_xlfn.IFS(Table1[[#This Row],[Customer_Satisfaction]]&lt;=2,"Poor",Table1[[#This Row],[Customer_Satisfaction]]=3,"Neutral",Table1[[#This Row],[Customer_Satisfaction]]=4,"Good",Table1[[#This Row],[Customer_Satisfaction]]=5,"Good")</f>
        <v>Good</v>
      </c>
    </row>
    <row r="1984" spans="1:27" x14ac:dyDescent="0.35">
      <c r="A1984">
        <v>21982</v>
      </c>
      <c r="B1984" s="1">
        <v>45417</v>
      </c>
      <c r="C1984" t="s">
        <v>37</v>
      </c>
      <c r="D1984" t="s">
        <v>38</v>
      </c>
      <c r="E1984" t="s">
        <v>39</v>
      </c>
      <c r="F1984" t="s">
        <v>53</v>
      </c>
      <c r="G1984" t="s">
        <v>54</v>
      </c>
      <c r="H1984" t="s">
        <v>42</v>
      </c>
      <c r="I1984" t="s">
        <v>25</v>
      </c>
      <c r="J1984" t="s">
        <v>43</v>
      </c>
      <c r="K1984" t="s">
        <v>44</v>
      </c>
      <c r="L1984" t="s">
        <v>28</v>
      </c>
      <c r="M1984" s="4">
        <v>19</v>
      </c>
      <c r="N1984" s="4">
        <v>7</v>
      </c>
      <c r="O1984" t="s">
        <v>29</v>
      </c>
      <c r="P1984" t="s">
        <v>36</v>
      </c>
      <c r="Q1984" s="4">
        <v>530364</v>
      </c>
      <c r="R1984" s="4">
        <v>309439</v>
      </c>
      <c r="S1984" s="4">
        <f>Table1[[#This Row],[Service_Revenue]]-Table1[[#This Row],[Service_Cost]]</f>
        <v>220925</v>
      </c>
      <c r="T1984" s="4">
        <v>1</v>
      </c>
      <c r="U1984" s="4">
        <f>IF(AND(Table1[[#This Row],[Rework_Flag]]="Yes",Table1[[#This Row],[Warranty_Claim]]="No"),Table1[[#This Row],[Service_Revenue]],0)</f>
        <v>530364</v>
      </c>
      <c r="V1984" s="4">
        <f>IF(Table1[[#This Row],[Warranty_Claim]]="Yes",1,0)</f>
        <v>0</v>
      </c>
      <c r="W1984" s="4">
        <f>IF(Table1[[#This Row],[Rework_Flag]]="No",1,0)</f>
        <v>0</v>
      </c>
      <c r="X1984" s="4">
        <f>IF(Table1[[#This Row],[Rework_Flag]]="Yes",1,0)</f>
        <v>1</v>
      </c>
      <c r="Y1984" s="4">
        <v>1</v>
      </c>
      <c r="Z1984" s="4" t="str">
        <f>IF(Table1[[#This Row],[TAT_Days]]&gt;Table1[[#This Row],[SLA_TAT]],"Yes","No")</f>
        <v>Yes</v>
      </c>
      <c r="AA1984" s="4" t="str" cm="1">
        <f t="array" ref="AA1984">_xlfn.IFS(Table1[[#This Row],[Customer_Satisfaction]]&lt;=2,"Poor",Table1[[#This Row],[Customer_Satisfaction]]=3,"Neutral",Table1[[#This Row],[Customer_Satisfaction]]=4,"Good",Table1[[#This Row],[Customer_Satisfaction]]=5,"Good")</f>
        <v>Poor</v>
      </c>
    </row>
    <row r="1985" spans="1:27" x14ac:dyDescent="0.35">
      <c r="A1985">
        <v>21983</v>
      </c>
      <c r="B1985" s="1">
        <v>45379</v>
      </c>
      <c r="C1985" t="s">
        <v>50</v>
      </c>
      <c r="D1985" t="s">
        <v>56</v>
      </c>
      <c r="E1985" t="s">
        <v>57</v>
      </c>
      <c r="F1985" t="s">
        <v>53</v>
      </c>
      <c r="G1985" t="s">
        <v>54</v>
      </c>
      <c r="H1985" t="s">
        <v>42</v>
      </c>
      <c r="I1985" t="s">
        <v>25</v>
      </c>
      <c r="J1985" t="s">
        <v>26</v>
      </c>
      <c r="K1985" t="s">
        <v>44</v>
      </c>
      <c r="L1985" t="s">
        <v>49</v>
      </c>
      <c r="M1985" s="4">
        <v>8</v>
      </c>
      <c r="N1985" s="4">
        <v>7</v>
      </c>
      <c r="O1985" t="s">
        <v>36</v>
      </c>
      <c r="P1985" t="s">
        <v>36</v>
      </c>
      <c r="Q1985" s="4">
        <v>516799</v>
      </c>
      <c r="R1985" s="4">
        <v>349045</v>
      </c>
      <c r="S1985" s="4">
        <f>Table1[[#This Row],[Service_Revenue]]-Table1[[#This Row],[Service_Cost]]</f>
        <v>167754</v>
      </c>
      <c r="T1985" s="4">
        <v>4</v>
      </c>
      <c r="U1985" s="4">
        <f>IF(AND(Table1[[#This Row],[Rework_Flag]]="Yes",Table1[[#This Row],[Warranty_Claim]]="No"),Table1[[#This Row],[Service_Revenue]],0)</f>
        <v>0</v>
      </c>
      <c r="V1985" s="4">
        <f>IF(Table1[[#This Row],[Warranty_Claim]]="Yes",1,0)</f>
        <v>0</v>
      </c>
      <c r="W1985" s="4">
        <f>IF(Table1[[#This Row],[Rework_Flag]]="No",1,0)</f>
        <v>1</v>
      </c>
      <c r="X1985" s="4">
        <f>IF(Table1[[#This Row],[Rework_Flag]]="Yes",1,0)</f>
        <v>0</v>
      </c>
      <c r="Y1985" s="4">
        <v>1</v>
      </c>
      <c r="Z1985" s="4" t="str">
        <f>IF(Table1[[#This Row],[TAT_Days]]&gt;Table1[[#This Row],[SLA_TAT]],"Yes","No")</f>
        <v>Yes</v>
      </c>
      <c r="AA1985" s="4" t="str" cm="1">
        <f t="array" ref="AA1985">_xlfn.IFS(Table1[[#This Row],[Customer_Satisfaction]]&lt;=2,"Poor",Table1[[#This Row],[Customer_Satisfaction]]=3,"Neutral",Table1[[#This Row],[Customer_Satisfaction]]=4,"Good",Table1[[#This Row],[Customer_Satisfaction]]=5,"Good")</f>
        <v>Good</v>
      </c>
    </row>
    <row r="1986" spans="1:27" x14ac:dyDescent="0.35">
      <c r="A1986">
        <v>21984</v>
      </c>
      <c r="B1986" s="1">
        <v>45449</v>
      </c>
      <c r="C1986" t="s">
        <v>30</v>
      </c>
      <c r="D1986" t="s">
        <v>59</v>
      </c>
      <c r="E1986" t="s">
        <v>94</v>
      </c>
      <c r="F1986" t="s">
        <v>40</v>
      </c>
      <c r="G1986" t="s">
        <v>47</v>
      </c>
      <c r="H1986" t="s">
        <v>48</v>
      </c>
      <c r="I1986" t="s">
        <v>55</v>
      </c>
      <c r="J1986" t="s">
        <v>43</v>
      </c>
      <c r="K1986" t="s">
        <v>61</v>
      </c>
      <c r="L1986" t="s">
        <v>28</v>
      </c>
      <c r="M1986" s="4">
        <v>13</v>
      </c>
      <c r="N1986" s="4">
        <v>7</v>
      </c>
      <c r="O1986" t="s">
        <v>36</v>
      </c>
      <c r="P1986" t="s">
        <v>36</v>
      </c>
      <c r="Q1986" s="4">
        <v>211462</v>
      </c>
      <c r="R1986" s="4">
        <v>122768</v>
      </c>
      <c r="S1986" s="4">
        <f>Table1[[#This Row],[Service_Revenue]]-Table1[[#This Row],[Service_Cost]]</f>
        <v>88694</v>
      </c>
      <c r="T1986" s="4">
        <v>3</v>
      </c>
      <c r="U1986" s="4">
        <f>IF(AND(Table1[[#This Row],[Rework_Flag]]="Yes",Table1[[#This Row],[Warranty_Claim]]="No"),Table1[[#This Row],[Service_Revenue]],0)</f>
        <v>0</v>
      </c>
      <c r="V1986" s="4">
        <f>IF(Table1[[#This Row],[Warranty_Claim]]="Yes",1,0)</f>
        <v>0</v>
      </c>
      <c r="W1986" s="4">
        <f>IF(Table1[[#This Row],[Rework_Flag]]="No",1,0)</f>
        <v>1</v>
      </c>
      <c r="X1986" s="4">
        <f>IF(Table1[[#This Row],[Rework_Flag]]="Yes",1,0)</f>
        <v>0</v>
      </c>
      <c r="Y1986" s="4">
        <v>1</v>
      </c>
      <c r="Z1986" s="4" t="str">
        <f>IF(Table1[[#This Row],[TAT_Days]]&gt;Table1[[#This Row],[SLA_TAT]],"Yes","No")</f>
        <v>Yes</v>
      </c>
      <c r="AA1986" s="4" t="str" cm="1">
        <f t="array" ref="AA1986">_xlfn.IFS(Table1[[#This Row],[Customer_Satisfaction]]&lt;=2,"Poor",Table1[[#This Row],[Customer_Satisfaction]]=3,"Neutral",Table1[[#This Row],[Customer_Satisfaction]]=4,"Good",Table1[[#This Row],[Customer_Satisfaction]]=5,"Good")</f>
        <v>Neutral</v>
      </c>
    </row>
    <row r="1987" spans="1:27" x14ac:dyDescent="0.35">
      <c r="A1987">
        <v>21985</v>
      </c>
      <c r="B1987" s="1">
        <v>45462</v>
      </c>
      <c r="C1987" t="s">
        <v>30</v>
      </c>
      <c r="D1987" t="s">
        <v>31</v>
      </c>
      <c r="E1987" t="s">
        <v>62</v>
      </c>
      <c r="F1987" t="s">
        <v>22</v>
      </c>
      <c r="G1987" t="s">
        <v>54</v>
      </c>
      <c r="H1987" t="s">
        <v>42</v>
      </c>
      <c r="I1987" t="s">
        <v>25</v>
      </c>
      <c r="J1987" t="s">
        <v>58</v>
      </c>
      <c r="K1987" t="s">
        <v>61</v>
      </c>
      <c r="L1987" t="s">
        <v>28</v>
      </c>
      <c r="M1987" s="4">
        <v>15</v>
      </c>
      <c r="N1987" s="4">
        <v>7</v>
      </c>
      <c r="O1987" t="s">
        <v>36</v>
      </c>
      <c r="P1987" t="s">
        <v>29</v>
      </c>
      <c r="Q1987" s="4">
        <v>536432</v>
      </c>
      <c r="R1987" s="4">
        <v>350213</v>
      </c>
      <c r="S1987" s="4">
        <f>Table1[[#This Row],[Service_Revenue]]-Table1[[#This Row],[Service_Cost]]</f>
        <v>186219</v>
      </c>
      <c r="T1987" s="4">
        <v>2</v>
      </c>
      <c r="U1987" s="4">
        <f>IF(AND(Table1[[#This Row],[Rework_Flag]]="Yes",Table1[[#This Row],[Warranty_Claim]]="No"),Table1[[#This Row],[Service_Revenue]],0)</f>
        <v>0</v>
      </c>
      <c r="V1987" s="4">
        <f>IF(Table1[[#This Row],[Warranty_Claim]]="Yes",1,0)</f>
        <v>1</v>
      </c>
      <c r="W1987" s="4">
        <f>IF(Table1[[#This Row],[Rework_Flag]]="No",1,0)</f>
        <v>1</v>
      </c>
      <c r="X1987" s="4">
        <f>IF(Table1[[#This Row],[Rework_Flag]]="Yes",1,0)</f>
        <v>0</v>
      </c>
      <c r="Y1987" s="4">
        <v>1</v>
      </c>
      <c r="Z1987" s="4" t="str">
        <f>IF(Table1[[#This Row],[TAT_Days]]&gt;Table1[[#This Row],[SLA_TAT]],"Yes","No")</f>
        <v>Yes</v>
      </c>
      <c r="AA1987" s="4" t="str" cm="1">
        <f t="array" ref="AA1987">_xlfn.IFS(Table1[[#This Row],[Customer_Satisfaction]]&lt;=2,"Poor",Table1[[#This Row],[Customer_Satisfaction]]=3,"Neutral",Table1[[#This Row],[Customer_Satisfaction]]=4,"Good",Table1[[#This Row],[Customer_Satisfaction]]=5,"Good")</f>
        <v>Poor</v>
      </c>
    </row>
    <row r="1988" spans="1:27" x14ac:dyDescent="0.35">
      <c r="A1988">
        <v>21986</v>
      </c>
      <c r="B1988" s="1">
        <v>45439</v>
      </c>
      <c r="C1988" t="s">
        <v>50</v>
      </c>
      <c r="D1988" t="s">
        <v>51</v>
      </c>
      <c r="E1988" t="s">
        <v>75</v>
      </c>
      <c r="F1988" t="s">
        <v>53</v>
      </c>
      <c r="G1988" t="s">
        <v>33</v>
      </c>
      <c r="H1988" t="s">
        <v>34</v>
      </c>
      <c r="I1988" t="s">
        <v>25</v>
      </c>
      <c r="J1988" t="s">
        <v>67</v>
      </c>
      <c r="K1988" t="s">
        <v>44</v>
      </c>
      <c r="L1988" t="s">
        <v>49</v>
      </c>
      <c r="M1988" s="4">
        <v>11</v>
      </c>
      <c r="N1988" s="4">
        <v>7</v>
      </c>
      <c r="O1988" t="s">
        <v>29</v>
      </c>
      <c r="P1988" t="s">
        <v>36</v>
      </c>
      <c r="Q1988" s="4">
        <v>279831</v>
      </c>
      <c r="R1988" s="4">
        <v>140826</v>
      </c>
      <c r="S1988" s="4">
        <f>Table1[[#This Row],[Service_Revenue]]-Table1[[#This Row],[Service_Cost]]</f>
        <v>139005</v>
      </c>
      <c r="T1988" s="4">
        <v>2</v>
      </c>
      <c r="U1988" s="4">
        <f>IF(AND(Table1[[#This Row],[Rework_Flag]]="Yes",Table1[[#This Row],[Warranty_Claim]]="No"),Table1[[#This Row],[Service_Revenue]],0)</f>
        <v>279831</v>
      </c>
      <c r="V1988" s="4">
        <f>IF(Table1[[#This Row],[Warranty_Claim]]="Yes",1,0)</f>
        <v>0</v>
      </c>
      <c r="W1988" s="4">
        <f>IF(Table1[[#This Row],[Rework_Flag]]="No",1,0)</f>
        <v>0</v>
      </c>
      <c r="X1988" s="4">
        <f>IF(Table1[[#This Row],[Rework_Flag]]="Yes",1,0)</f>
        <v>1</v>
      </c>
      <c r="Y1988" s="4">
        <v>1</v>
      </c>
      <c r="Z1988" s="4" t="str">
        <f>IF(Table1[[#This Row],[TAT_Days]]&gt;Table1[[#This Row],[SLA_TAT]],"Yes","No")</f>
        <v>Yes</v>
      </c>
      <c r="AA1988" s="4" t="str" cm="1">
        <f t="array" ref="AA1988">_xlfn.IFS(Table1[[#This Row],[Customer_Satisfaction]]&lt;=2,"Poor",Table1[[#This Row],[Customer_Satisfaction]]=3,"Neutral",Table1[[#This Row],[Customer_Satisfaction]]=4,"Good",Table1[[#This Row],[Customer_Satisfaction]]=5,"Good")</f>
        <v>Poor</v>
      </c>
    </row>
    <row r="1989" spans="1:27" x14ac:dyDescent="0.35">
      <c r="A1989">
        <v>21987</v>
      </c>
      <c r="B1989" s="1">
        <v>45397</v>
      </c>
      <c r="C1989" t="s">
        <v>50</v>
      </c>
      <c r="D1989" t="s">
        <v>56</v>
      </c>
      <c r="E1989" t="s">
        <v>68</v>
      </c>
      <c r="F1989" t="s">
        <v>53</v>
      </c>
      <c r="G1989" t="s">
        <v>33</v>
      </c>
      <c r="H1989" t="s">
        <v>34</v>
      </c>
      <c r="I1989" t="s">
        <v>25</v>
      </c>
      <c r="J1989" t="s">
        <v>35</v>
      </c>
      <c r="K1989" t="s">
        <v>61</v>
      </c>
      <c r="L1989" t="s">
        <v>28</v>
      </c>
      <c r="M1989" s="4">
        <v>8</v>
      </c>
      <c r="N1989" s="4">
        <v>7</v>
      </c>
      <c r="O1989" t="s">
        <v>29</v>
      </c>
      <c r="P1989" t="s">
        <v>29</v>
      </c>
      <c r="Q1989" s="4">
        <v>422276</v>
      </c>
      <c r="R1989" s="4">
        <v>312156</v>
      </c>
      <c r="S1989" s="4">
        <f>Table1[[#This Row],[Service_Revenue]]-Table1[[#This Row],[Service_Cost]]</f>
        <v>110120</v>
      </c>
      <c r="T1989" s="4">
        <v>3</v>
      </c>
      <c r="U1989" s="4">
        <f>IF(AND(Table1[[#This Row],[Rework_Flag]]="Yes",Table1[[#This Row],[Warranty_Claim]]="No"),Table1[[#This Row],[Service_Revenue]],0)</f>
        <v>0</v>
      </c>
      <c r="V1989" s="4">
        <f>IF(Table1[[#This Row],[Warranty_Claim]]="Yes",1,0)</f>
        <v>1</v>
      </c>
      <c r="W1989" s="4">
        <f>IF(Table1[[#This Row],[Rework_Flag]]="No",1,0)</f>
        <v>0</v>
      </c>
      <c r="X1989" s="4">
        <f>IF(Table1[[#This Row],[Rework_Flag]]="Yes",1,0)</f>
        <v>1</v>
      </c>
      <c r="Y1989" s="4">
        <v>1</v>
      </c>
      <c r="Z1989" s="4" t="str">
        <f>IF(Table1[[#This Row],[TAT_Days]]&gt;Table1[[#This Row],[SLA_TAT]],"Yes","No")</f>
        <v>Yes</v>
      </c>
      <c r="AA1989" s="4" t="str" cm="1">
        <f t="array" ref="AA1989">_xlfn.IFS(Table1[[#This Row],[Customer_Satisfaction]]&lt;=2,"Poor",Table1[[#This Row],[Customer_Satisfaction]]=3,"Neutral",Table1[[#This Row],[Customer_Satisfaction]]=4,"Good",Table1[[#This Row],[Customer_Satisfaction]]=5,"Good")</f>
        <v>Neutral</v>
      </c>
    </row>
    <row r="1990" spans="1:27" x14ac:dyDescent="0.35">
      <c r="A1990">
        <v>21988</v>
      </c>
      <c r="B1990" s="1">
        <v>45401</v>
      </c>
      <c r="C1990" t="s">
        <v>50</v>
      </c>
      <c r="D1990" t="s">
        <v>80</v>
      </c>
      <c r="E1990" t="s">
        <v>85</v>
      </c>
      <c r="F1990" t="s">
        <v>53</v>
      </c>
      <c r="G1990" t="s">
        <v>47</v>
      </c>
      <c r="H1990" t="s">
        <v>48</v>
      </c>
      <c r="I1990" t="s">
        <v>55</v>
      </c>
      <c r="J1990" t="s">
        <v>35</v>
      </c>
      <c r="K1990" t="s">
        <v>61</v>
      </c>
      <c r="L1990" t="s">
        <v>28</v>
      </c>
      <c r="M1990" s="4">
        <v>4</v>
      </c>
      <c r="N1990" s="4">
        <v>7</v>
      </c>
      <c r="O1990" t="s">
        <v>29</v>
      </c>
      <c r="P1990" t="s">
        <v>36</v>
      </c>
      <c r="Q1990" s="4">
        <v>497698</v>
      </c>
      <c r="R1990" s="4">
        <v>307925</v>
      </c>
      <c r="S1990" s="4">
        <f>Table1[[#This Row],[Service_Revenue]]-Table1[[#This Row],[Service_Cost]]</f>
        <v>189773</v>
      </c>
      <c r="T1990" s="4">
        <v>4</v>
      </c>
      <c r="U1990" s="4">
        <f>IF(AND(Table1[[#This Row],[Rework_Flag]]="Yes",Table1[[#This Row],[Warranty_Claim]]="No"),Table1[[#This Row],[Service_Revenue]],0)</f>
        <v>497698</v>
      </c>
      <c r="V1990" s="4">
        <f>IF(Table1[[#This Row],[Warranty_Claim]]="Yes",1,0)</f>
        <v>0</v>
      </c>
      <c r="W1990" s="4">
        <f>IF(Table1[[#This Row],[Rework_Flag]]="No",1,0)</f>
        <v>0</v>
      </c>
      <c r="X1990" s="4">
        <f>IF(Table1[[#This Row],[Rework_Flag]]="Yes",1,0)</f>
        <v>1</v>
      </c>
      <c r="Y1990" s="4">
        <v>1</v>
      </c>
      <c r="Z1990" s="4" t="str">
        <f>IF(Table1[[#This Row],[TAT_Days]]&gt;Table1[[#This Row],[SLA_TAT]],"Yes","No")</f>
        <v>No</v>
      </c>
      <c r="AA1990" s="4" t="str" cm="1">
        <f t="array" ref="AA1990">_xlfn.IFS(Table1[[#This Row],[Customer_Satisfaction]]&lt;=2,"Poor",Table1[[#This Row],[Customer_Satisfaction]]=3,"Neutral",Table1[[#This Row],[Customer_Satisfaction]]=4,"Good",Table1[[#This Row],[Customer_Satisfaction]]=5,"Good")</f>
        <v>Good</v>
      </c>
    </row>
    <row r="1991" spans="1:27" x14ac:dyDescent="0.35">
      <c r="A1991">
        <v>21989</v>
      </c>
      <c r="B1991" s="1">
        <v>45464</v>
      </c>
      <c r="C1991" t="s">
        <v>30</v>
      </c>
      <c r="D1991" t="s">
        <v>83</v>
      </c>
      <c r="E1991" t="s">
        <v>119</v>
      </c>
      <c r="F1991" t="s">
        <v>53</v>
      </c>
      <c r="G1991" t="s">
        <v>63</v>
      </c>
      <c r="H1991" t="s">
        <v>24</v>
      </c>
      <c r="I1991" t="s">
        <v>25</v>
      </c>
      <c r="J1991" t="s">
        <v>58</v>
      </c>
      <c r="K1991" t="s">
        <v>44</v>
      </c>
      <c r="L1991" t="s">
        <v>28</v>
      </c>
      <c r="M1991" s="4">
        <v>4</v>
      </c>
      <c r="N1991" s="4">
        <v>7</v>
      </c>
      <c r="O1991" t="s">
        <v>36</v>
      </c>
      <c r="P1991" t="s">
        <v>36</v>
      </c>
      <c r="Q1991" s="4">
        <v>177707</v>
      </c>
      <c r="R1991" s="4">
        <v>93344</v>
      </c>
      <c r="S1991" s="4">
        <f>Table1[[#This Row],[Service_Revenue]]-Table1[[#This Row],[Service_Cost]]</f>
        <v>84363</v>
      </c>
      <c r="T1991" s="4">
        <v>5</v>
      </c>
      <c r="U1991" s="4">
        <f>IF(AND(Table1[[#This Row],[Rework_Flag]]="Yes",Table1[[#This Row],[Warranty_Claim]]="No"),Table1[[#This Row],[Service_Revenue]],0)</f>
        <v>0</v>
      </c>
      <c r="V1991" s="4">
        <f>IF(Table1[[#This Row],[Warranty_Claim]]="Yes",1,0)</f>
        <v>0</v>
      </c>
      <c r="W1991" s="4">
        <f>IF(Table1[[#This Row],[Rework_Flag]]="No",1,0)</f>
        <v>1</v>
      </c>
      <c r="X1991" s="4">
        <f>IF(Table1[[#This Row],[Rework_Flag]]="Yes",1,0)</f>
        <v>0</v>
      </c>
      <c r="Y1991" s="4">
        <v>1</v>
      </c>
      <c r="Z1991" s="4" t="str">
        <f>IF(Table1[[#This Row],[TAT_Days]]&gt;Table1[[#This Row],[SLA_TAT]],"Yes","No")</f>
        <v>No</v>
      </c>
      <c r="AA1991" s="4" t="str" cm="1">
        <f t="array" ref="AA1991">_xlfn.IFS(Table1[[#This Row],[Customer_Satisfaction]]&lt;=2,"Poor",Table1[[#This Row],[Customer_Satisfaction]]=3,"Neutral",Table1[[#This Row],[Customer_Satisfaction]]=4,"Good",Table1[[#This Row],[Customer_Satisfaction]]=5,"Good")</f>
        <v>Good</v>
      </c>
    </row>
    <row r="1992" spans="1:27" x14ac:dyDescent="0.35">
      <c r="A1992">
        <v>21990</v>
      </c>
      <c r="B1992" s="1">
        <v>45467</v>
      </c>
      <c r="C1992" t="s">
        <v>37</v>
      </c>
      <c r="D1992" t="s">
        <v>38</v>
      </c>
      <c r="E1992" t="s">
        <v>112</v>
      </c>
      <c r="F1992" t="s">
        <v>22</v>
      </c>
      <c r="G1992" t="s">
        <v>74</v>
      </c>
      <c r="H1992" t="s">
        <v>34</v>
      </c>
      <c r="I1992" t="s">
        <v>55</v>
      </c>
      <c r="J1992" t="s">
        <v>26</v>
      </c>
      <c r="K1992" t="s">
        <v>44</v>
      </c>
      <c r="L1992" t="s">
        <v>28</v>
      </c>
      <c r="M1992" s="4">
        <v>15</v>
      </c>
      <c r="N1992" s="4">
        <v>7</v>
      </c>
      <c r="O1992" t="s">
        <v>29</v>
      </c>
      <c r="P1992" t="s">
        <v>36</v>
      </c>
      <c r="Q1992" s="4">
        <v>590194</v>
      </c>
      <c r="R1992" s="4">
        <v>437450</v>
      </c>
      <c r="S1992" s="4">
        <f>Table1[[#This Row],[Service_Revenue]]-Table1[[#This Row],[Service_Cost]]</f>
        <v>152744</v>
      </c>
      <c r="T1992" s="4">
        <v>1</v>
      </c>
      <c r="U1992" s="4">
        <f>IF(AND(Table1[[#This Row],[Rework_Flag]]="Yes",Table1[[#This Row],[Warranty_Claim]]="No"),Table1[[#This Row],[Service_Revenue]],0)</f>
        <v>590194</v>
      </c>
      <c r="V1992" s="4">
        <f>IF(Table1[[#This Row],[Warranty_Claim]]="Yes",1,0)</f>
        <v>0</v>
      </c>
      <c r="W1992" s="4">
        <f>IF(Table1[[#This Row],[Rework_Flag]]="No",1,0)</f>
        <v>0</v>
      </c>
      <c r="X1992" s="4">
        <f>IF(Table1[[#This Row],[Rework_Flag]]="Yes",1,0)</f>
        <v>1</v>
      </c>
      <c r="Y1992" s="4">
        <v>1</v>
      </c>
      <c r="Z1992" s="4" t="str">
        <f>IF(Table1[[#This Row],[TAT_Days]]&gt;Table1[[#This Row],[SLA_TAT]],"Yes","No")</f>
        <v>Yes</v>
      </c>
      <c r="AA1992" s="4" t="str" cm="1">
        <f t="array" ref="AA1992">_xlfn.IFS(Table1[[#This Row],[Customer_Satisfaction]]&lt;=2,"Poor",Table1[[#This Row],[Customer_Satisfaction]]=3,"Neutral",Table1[[#This Row],[Customer_Satisfaction]]=4,"Good",Table1[[#This Row],[Customer_Satisfaction]]=5,"Good")</f>
        <v>Poor</v>
      </c>
    </row>
    <row r="1993" spans="1:27" x14ac:dyDescent="0.35">
      <c r="A1993">
        <v>21991</v>
      </c>
      <c r="B1993" s="1">
        <v>45308</v>
      </c>
      <c r="C1993" t="s">
        <v>19</v>
      </c>
      <c r="D1993" t="s">
        <v>45</v>
      </c>
      <c r="E1993" t="s">
        <v>114</v>
      </c>
      <c r="F1993" t="s">
        <v>40</v>
      </c>
      <c r="G1993" t="s">
        <v>23</v>
      </c>
      <c r="H1993" t="s">
        <v>24</v>
      </c>
      <c r="I1993" t="s">
        <v>25</v>
      </c>
      <c r="J1993" t="s">
        <v>58</v>
      </c>
      <c r="K1993" t="s">
        <v>61</v>
      </c>
      <c r="L1993" t="s">
        <v>28</v>
      </c>
      <c r="M1993" s="4">
        <v>5</v>
      </c>
      <c r="N1993" s="4">
        <v>7</v>
      </c>
      <c r="O1993" t="s">
        <v>36</v>
      </c>
      <c r="P1993" t="s">
        <v>36</v>
      </c>
      <c r="Q1993" s="4">
        <v>392864</v>
      </c>
      <c r="R1993" s="4">
        <v>207586</v>
      </c>
      <c r="S1993" s="4">
        <f>Table1[[#This Row],[Service_Revenue]]-Table1[[#This Row],[Service_Cost]]</f>
        <v>185278</v>
      </c>
      <c r="T1993" s="4">
        <v>4</v>
      </c>
      <c r="U1993" s="4">
        <f>IF(AND(Table1[[#This Row],[Rework_Flag]]="Yes",Table1[[#This Row],[Warranty_Claim]]="No"),Table1[[#This Row],[Service_Revenue]],0)</f>
        <v>0</v>
      </c>
      <c r="V1993" s="4">
        <f>IF(Table1[[#This Row],[Warranty_Claim]]="Yes",1,0)</f>
        <v>0</v>
      </c>
      <c r="W1993" s="4">
        <f>IF(Table1[[#This Row],[Rework_Flag]]="No",1,0)</f>
        <v>1</v>
      </c>
      <c r="X1993" s="4">
        <f>IF(Table1[[#This Row],[Rework_Flag]]="Yes",1,0)</f>
        <v>0</v>
      </c>
      <c r="Y1993" s="4">
        <v>1</v>
      </c>
      <c r="Z1993" s="4" t="str">
        <f>IF(Table1[[#This Row],[TAT_Days]]&gt;Table1[[#This Row],[SLA_TAT]],"Yes","No")</f>
        <v>No</v>
      </c>
      <c r="AA1993" s="4" t="str" cm="1">
        <f t="array" ref="AA1993">_xlfn.IFS(Table1[[#This Row],[Customer_Satisfaction]]&lt;=2,"Poor",Table1[[#This Row],[Customer_Satisfaction]]=3,"Neutral",Table1[[#This Row],[Customer_Satisfaction]]=4,"Good",Table1[[#This Row],[Customer_Satisfaction]]=5,"Good")</f>
        <v>Good</v>
      </c>
    </row>
    <row r="1994" spans="1:27" x14ac:dyDescent="0.35">
      <c r="A1994">
        <v>21992</v>
      </c>
      <c r="B1994" s="1">
        <v>45383</v>
      </c>
      <c r="C1994" t="s">
        <v>50</v>
      </c>
      <c r="D1994" t="s">
        <v>51</v>
      </c>
      <c r="E1994" t="s">
        <v>52</v>
      </c>
      <c r="F1994" t="s">
        <v>53</v>
      </c>
      <c r="G1994" t="s">
        <v>23</v>
      </c>
      <c r="H1994" t="s">
        <v>24</v>
      </c>
      <c r="I1994" t="s">
        <v>55</v>
      </c>
      <c r="J1994" t="s">
        <v>58</v>
      </c>
      <c r="K1994" t="s">
        <v>61</v>
      </c>
      <c r="L1994" t="s">
        <v>49</v>
      </c>
      <c r="M1994" s="4">
        <v>2</v>
      </c>
      <c r="N1994" s="4">
        <v>7</v>
      </c>
      <c r="O1994" t="s">
        <v>36</v>
      </c>
      <c r="P1994" t="s">
        <v>29</v>
      </c>
      <c r="Q1994" s="4">
        <v>166483</v>
      </c>
      <c r="R1994" s="4">
        <v>129288</v>
      </c>
      <c r="S1994" s="4">
        <f>Table1[[#This Row],[Service_Revenue]]-Table1[[#This Row],[Service_Cost]]</f>
        <v>37195</v>
      </c>
      <c r="T1994" s="4">
        <v>5</v>
      </c>
      <c r="U1994" s="4">
        <f>IF(AND(Table1[[#This Row],[Rework_Flag]]="Yes",Table1[[#This Row],[Warranty_Claim]]="No"),Table1[[#This Row],[Service_Revenue]],0)</f>
        <v>0</v>
      </c>
      <c r="V1994" s="4">
        <f>IF(Table1[[#This Row],[Warranty_Claim]]="Yes",1,0)</f>
        <v>1</v>
      </c>
      <c r="W1994" s="4">
        <f>IF(Table1[[#This Row],[Rework_Flag]]="No",1,0)</f>
        <v>1</v>
      </c>
      <c r="X1994" s="4">
        <f>IF(Table1[[#This Row],[Rework_Flag]]="Yes",1,0)</f>
        <v>0</v>
      </c>
      <c r="Y1994" s="4">
        <v>1</v>
      </c>
      <c r="Z1994" s="4" t="str">
        <f>IF(Table1[[#This Row],[TAT_Days]]&gt;Table1[[#This Row],[SLA_TAT]],"Yes","No")</f>
        <v>No</v>
      </c>
      <c r="AA1994" s="4" t="str" cm="1">
        <f t="array" ref="AA1994">_xlfn.IFS(Table1[[#This Row],[Customer_Satisfaction]]&lt;=2,"Poor",Table1[[#This Row],[Customer_Satisfaction]]=3,"Neutral",Table1[[#This Row],[Customer_Satisfaction]]=4,"Good",Table1[[#This Row],[Customer_Satisfaction]]=5,"Good")</f>
        <v>Good</v>
      </c>
    </row>
    <row r="1995" spans="1:27" x14ac:dyDescent="0.35">
      <c r="A1995">
        <v>21993</v>
      </c>
      <c r="B1995" s="1">
        <v>45433</v>
      </c>
      <c r="C1995" t="s">
        <v>30</v>
      </c>
      <c r="D1995" t="s">
        <v>31</v>
      </c>
      <c r="E1995" t="s">
        <v>122</v>
      </c>
      <c r="F1995" t="s">
        <v>40</v>
      </c>
      <c r="G1995" t="s">
        <v>74</v>
      </c>
      <c r="H1995" t="s">
        <v>34</v>
      </c>
      <c r="I1995" t="s">
        <v>55</v>
      </c>
      <c r="J1995" t="s">
        <v>58</v>
      </c>
      <c r="K1995" t="s">
        <v>61</v>
      </c>
      <c r="L1995" t="s">
        <v>49</v>
      </c>
      <c r="M1995" s="4">
        <v>22</v>
      </c>
      <c r="N1995" s="4">
        <v>7</v>
      </c>
      <c r="O1995" t="s">
        <v>36</v>
      </c>
      <c r="P1995" t="s">
        <v>29</v>
      </c>
      <c r="Q1995" s="4">
        <v>103130</v>
      </c>
      <c r="R1995" s="4">
        <v>85629</v>
      </c>
      <c r="S1995" s="4">
        <f>Table1[[#This Row],[Service_Revenue]]-Table1[[#This Row],[Service_Cost]]</f>
        <v>17501</v>
      </c>
      <c r="T1995" s="4">
        <v>1</v>
      </c>
      <c r="U1995" s="4">
        <f>IF(AND(Table1[[#This Row],[Rework_Flag]]="Yes",Table1[[#This Row],[Warranty_Claim]]="No"),Table1[[#This Row],[Service_Revenue]],0)</f>
        <v>0</v>
      </c>
      <c r="V1995" s="4">
        <f>IF(Table1[[#This Row],[Warranty_Claim]]="Yes",1,0)</f>
        <v>1</v>
      </c>
      <c r="W1995" s="4">
        <f>IF(Table1[[#This Row],[Rework_Flag]]="No",1,0)</f>
        <v>1</v>
      </c>
      <c r="X1995" s="4">
        <f>IF(Table1[[#This Row],[Rework_Flag]]="Yes",1,0)</f>
        <v>0</v>
      </c>
      <c r="Y1995" s="4">
        <v>1</v>
      </c>
      <c r="Z1995" s="4" t="str">
        <f>IF(Table1[[#This Row],[TAT_Days]]&gt;Table1[[#This Row],[SLA_TAT]],"Yes","No")</f>
        <v>Yes</v>
      </c>
      <c r="AA1995" s="4" t="str" cm="1">
        <f t="array" ref="AA1995">_xlfn.IFS(Table1[[#This Row],[Customer_Satisfaction]]&lt;=2,"Poor",Table1[[#This Row],[Customer_Satisfaction]]=3,"Neutral",Table1[[#This Row],[Customer_Satisfaction]]=4,"Good",Table1[[#This Row],[Customer_Satisfaction]]=5,"Good")</f>
        <v>Poor</v>
      </c>
    </row>
    <row r="1996" spans="1:27" x14ac:dyDescent="0.35">
      <c r="A1996">
        <v>21994</v>
      </c>
      <c r="B1996" s="1">
        <v>45402</v>
      </c>
      <c r="C1996" t="s">
        <v>50</v>
      </c>
      <c r="D1996" t="s">
        <v>56</v>
      </c>
      <c r="E1996" t="s">
        <v>88</v>
      </c>
      <c r="F1996" t="s">
        <v>40</v>
      </c>
      <c r="G1996" t="s">
        <v>63</v>
      </c>
      <c r="H1996" t="s">
        <v>24</v>
      </c>
      <c r="I1996" t="s">
        <v>25</v>
      </c>
      <c r="J1996" t="s">
        <v>67</v>
      </c>
      <c r="K1996" t="s">
        <v>27</v>
      </c>
      <c r="L1996" t="s">
        <v>28</v>
      </c>
      <c r="M1996" s="4">
        <v>22</v>
      </c>
      <c r="N1996" s="4">
        <v>7</v>
      </c>
      <c r="O1996" t="s">
        <v>29</v>
      </c>
      <c r="P1996" t="s">
        <v>29</v>
      </c>
      <c r="Q1996" s="4">
        <v>137295</v>
      </c>
      <c r="R1996" s="4">
        <v>72371</v>
      </c>
      <c r="S1996" s="4">
        <f>Table1[[#This Row],[Service_Revenue]]-Table1[[#This Row],[Service_Cost]]</f>
        <v>64924</v>
      </c>
      <c r="T1996" s="4">
        <v>1</v>
      </c>
      <c r="U1996" s="4">
        <f>IF(AND(Table1[[#This Row],[Rework_Flag]]="Yes",Table1[[#This Row],[Warranty_Claim]]="No"),Table1[[#This Row],[Service_Revenue]],0)</f>
        <v>0</v>
      </c>
      <c r="V1996" s="4">
        <f>IF(Table1[[#This Row],[Warranty_Claim]]="Yes",1,0)</f>
        <v>1</v>
      </c>
      <c r="W1996" s="4">
        <f>IF(Table1[[#This Row],[Rework_Flag]]="No",1,0)</f>
        <v>0</v>
      </c>
      <c r="X1996" s="4">
        <f>IF(Table1[[#This Row],[Rework_Flag]]="Yes",1,0)</f>
        <v>1</v>
      </c>
      <c r="Y1996" s="4">
        <v>1</v>
      </c>
      <c r="Z1996" s="4" t="str">
        <f>IF(Table1[[#This Row],[TAT_Days]]&gt;Table1[[#This Row],[SLA_TAT]],"Yes","No")</f>
        <v>Yes</v>
      </c>
      <c r="AA1996" s="4" t="str" cm="1">
        <f t="array" ref="AA1996">_xlfn.IFS(Table1[[#This Row],[Customer_Satisfaction]]&lt;=2,"Poor",Table1[[#This Row],[Customer_Satisfaction]]=3,"Neutral",Table1[[#This Row],[Customer_Satisfaction]]=4,"Good",Table1[[#This Row],[Customer_Satisfaction]]=5,"Good")</f>
        <v>Poor</v>
      </c>
    </row>
    <row r="1997" spans="1:27" x14ac:dyDescent="0.35">
      <c r="A1997">
        <v>21995</v>
      </c>
      <c r="B1997" s="1">
        <v>45450</v>
      </c>
      <c r="C1997" t="s">
        <v>50</v>
      </c>
      <c r="D1997" t="s">
        <v>80</v>
      </c>
      <c r="E1997" t="s">
        <v>118</v>
      </c>
      <c r="F1997" t="s">
        <v>40</v>
      </c>
      <c r="G1997" t="s">
        <v>33</v>
      </c>
      <c r="H1997" t="s">
        <v>34</v>
      </c>
      <c r="I1997" t="s">
        <v>25</v>
      </c>
      <c r="J1997" t="s">
        <v>58</v>
      </c>
      <c r="K1997" t="s">
        <v>61</v>
      </c>
      <c r="L1997" t="s">
        <v>28</v>
      </c>
      <c r="M1997" s="4">
        <v>13</v>
      </c>
      <c r="N1997" s="4">
        <v>7</v>
      </c>
      <c r="O1997" t="s">
        <v>29</v>
      </c>
      <c r="P1997" t="s">
        <v>36</v>
      </c>
      <c r="Q1997" s="4">
        <v>105951</v>
      </c>
      <c r="R1997" s="4">
        <v>82084</v>
      </c>
      <c r="S1997" s="4">
        <f>Table1[[#This Row],[Service_Revenue]]-Table1[[#This Row],[Service_Cost]]</f>
        <v>23867</v>
      </c>
      <c r="T1997" s="4">
        <v>2</v>
      </c>
      <c r="U1997" s="4">
        <f>IF(AND(Table1[[#This Row],[Rework_Flag]]="Yes",Table1[[#This Row],[Warranty_Claim]]="No"),Table1[[#This Row],[Service_Revenue]],0)</f>
        <v>105951</v>
      </c>
      <c r="V1997" s="4">
        <f>IF(Table1[[#This Row],[Warranty_Claim]]="Yes",1,0)</f>
        <v>0</v>
      </c>
      <c r="W1997" s="4">
        <f>IF(Table1[[#This Row],[Rework_Flag]]="No",1,0)</f>
        <v>0</v>
      </c>
      <c r="X1997" s="4">
        <f>IF(Table1[[#This Row],[Rework_Flag]]="Yes",1,0)</f>
        <v>1</v>
      </c>
      <c r="Y1997" s="4">
        <v>1</v>
      </c>
      <c r="Z1997" s="4" t="str">
        <f>IF(Table1[[#This Row],[TAT_Days]]&gt;Table1[[#This Row],[SLA_TAT]],"Yes","No")</f>
        <v>Yes</v>
      </c>
      <c r="AA1997" s="4" t="str" cm="1">
        <f t="array" ref="AA1997">_xlfn.IFS(Table1[[#This Row],[Customer_Satisfaction]]&lt;=2,"Poor",Table1[[#This Row],[Customer_Satisfaction]]=3,"Neutral",Table1[[#This Row],[Customer_Satisfaction]]=4,"Good",Table1[[#This Row],[Customer_Satisfaction]]=5,"Good")</f>
        <v>Poor</v>
      </c>
    </row>
    <row r="1998" spans="1:27" x14ac:dyDescent="0.35">
      <c r="A1998">
        <v>21996</v>
      </c>
      <c r="B1998" s="1">
        <v>45425</v>
      </c>
      <c r="C1998" t="s">
        <v>37</v>
      </c>
      <c r="D1998" t="s">
        <v>38</v>
      </c>
      <c r="E1998" t="s">
        <v>107</v>
      </c>
      <c r="F1998" t="s">
        <v>53</v>
      </c>
      <c r="G1998" t="s">
        <v>74</v>
      </c>
      <c r="H1998" t="s">
        <v>34</v>
      </c>
      <c r="I1998" t="s">
        <v>25</v>
      </c>
      <c r="J1998" t="s">
        <v>67</v>
      </c>
      <c r="K1998" t="s">
        <v>44</v>
      </c>
      <c r="L1998" t="s">
        <v>28</v>
      </c>
      <c r="M1998" s="4">
        <v>13</v>
      </c>
      <c r="N1998" s="4">
        <v>7</v>
      </c>
      <c r="O1998" t="s">
        <v>36</v>
      </c>
      <c r="P1998" t="s">
        <v>36</v>
      </c>
      <c r="Q1998" s="4">
        <v>132186</v>
      </c>
      <c r="R1998" s="4">
        <v>92391</v>
      </c>
      <c r="S1998" s="4">
        <f>Table1[[#This Row],[Service_Revenue]]-Table1[[#This Row],[Service_Cost]]</f>
        <v>39795</v>
      </c>
      <c r="T1998" s="4">
        <v>3</v>
      </c>
      <c r="U1998" s="4">
        <f>IF(AND(Table1[[#This Row],[Rework_Flag]]="Yes",Table1[[#This Row],[Warranty_Claim]]="No"),Table1[[#This Row],[Service_Revenue]],0)</f>
        <v>0</v>
      </c>
      <c r="V1998" s="4">
        <f>IF(Table1[[#This Row],[Warranty_Claim]]="Yes",1,0)</f>
        <v>0</v>
      </c>
      <c r="W1998" s="4">
        <f>IF(Table1[[#This Row],[Rework_Flag]]="No",1,0)</f>
        <v>1</v>
      </c>
      <c r="X1998" s="4">
        <f>IF(Table1[[#This Row],[Rework_Flag]]="Yes",1,0)</f>
        <v>0</v>
      </c>
      <c r="Y1998" s="4">
        <v>1</v>
      </c>
      <c r="Z1998" s="4" t="str">
        <f>IF(Table1[[#This Row],[TAT_Days]]&gt;Table1[[#This Row],[SLA_TAT]],"Yes","No")</f>
        <v>Yes</v>
      </c>
      <c r="AA1998" s="4" t="str" cm="1">
        <f t="array" ref="AA1998">_xlfn.IFS(Table1[[#This Row],[Customer_Satisfaction]]&lt;=2,"Poor",Table1[[#This Row],[Customer_Satisfaction]]=3,"Neutral",Table1[[#This Row],[Customer_Satisfaction]]=4,"Good",Table1[[#This Row],[Customer_Satisfaction]]=5,"Good")</f>
        <v>Neutral</v>
      </c>
    </row>
    <row r="1999" spans="1:27" x14ac:dyDescent="0.35">
      <c r="A1999">
        <v>21997</v>
      </c>
      <c r="B1999" s="1">
        <v>45337</v>
      </c>
      <c r="C1999" t="s">
        <v>19</v>
      </c>
      <c r="D1999" t="s">
        <v>96</v>
      </c>
      <c r="E1999" t="s">
        <v>108</v>
      </c>
      <c r="F1999" t="s">
        <v>53</v>
      </c>
      <c r="G1999" t="s">
        <v>54</v>
      </c>
      <c r="H1999" t="s">
        <v>42</v>
      </c>
      <c r="I1999" t="s">
        <v>55</v>
      </c>
      <c r="J1999" t="s">
        <v>43</v>
      </c>
      <c r="K1999" t="s">
        <v>61</v>
      </c>
      <c r="L1999" t="s">
        <v>28</v>
      </c>
      <c r="M1999" s="4">
        <v>25</v>
      </c>
      <c r="N1999" s="4">
        <v>7</v>
      </c>
      <c r="O1999" t="s">
        <v>29</v>
      </c>
      <c r="P1999" t="s">
        <v>36</v>
      </c>
      <c r="Q1999" s="4">
        <v>142224</v>
      </c>
      <c r="R1999" s="4">
        <v>120094</v>
      </c>
      <c r="S1999" s="4">
        <f>Table1[[#This Row],[Service_Revenue]]-Table1[[#This Row],[Service_Cost]]</f>
        <v>22130</v>
      </c>
      <c r="T1999" s="4">
        <v>1</v>
      </c>
      <c r="U1999" s="4">
        <f>IF(AND(Table1[[#This Row],[Rework_Flag]]="Yes",Table1[[#This Row],[Warranty_Claim]]="No"),Table1[[#This Row],[Service_Revenue]],0)</f>
        <v>142224</v>
      </c>
      <c r="V1999" s="4">
        <f>IF(Table1[[#This Row],[Warranty_Claim]]="Yes",1,0)</f>
        <v>0</v>
      </c>
      <c r="W1999" s="4">
        <f>IF(Table1[[#This Row],[Rework_Flag]]="No",1,0)</f>
        <v>0</v>
      </c>
      <c r="X1999" s="4">
        <f>IF(Table1[[#This Row],[Rework_Flag]]="Yes",1,0)</f>
        <v>1</v>
      </c>
      <c r="Y1999" s="4">
        <v>1</v>
      </c>
      <c r="Z1999" s="4" t="str">
        <f>IF(Table1[[#This Row],[TAT_Days]]&gt;Table1[[#This Row],[SLA_TAT]],"Yes","No")</f>
        <v>Yes</v>
      </c>
      <c r="AA1999" s="4" t="str" cm="1">
        <f t="array" ref="AA1999">_xlfn.IFS(Table1[[#This Row],[Customer_Satisfaction]]&lt;=2,"Poor",Table1[[#This Row],[Customer_Satisfaction]]=3,"Neutral",Table1[[#This Row],[Customer_Satisfaction]]=4,"Good",Table1[[#This Row],[Customer_Satisfaction]]=5,"Good")</f>
        <v>Poor</v>
      </c>
    </row>
    <row r="2000" spans="1:27" x14ac:dyDescent="0.35">
      <c r="A2000">
        <v>21998</v>
      </c>
      <c r="B2000" s="1">
        <v>45325</v>
      </c>
      <c r="C2000" t="s">
        <v>19</v>
      </c>
      <c r="D2000" t="s">
        <v>20</v>
      </c>
      <c r="E2000" t="s">
        <v>86</v>
      </c>
      <c r="F2000" t="s">
        <v>22</v>
      </c>
      <c r="G2000" t="s">
        <v>74</v>
      </c>
      <c r="H2000" t="s">
        <v>34</v>
      </c>
      <c r="I2000" t="s">
        <v>55</v>
      </c>
      <c r="J2000" t="s">
        <v>26</v>
      </c>
      <c r="K2000" t="s">
        <v>44</v>
      </c>
      <c r="L2000" t="s">
        <v>28</v>
      </c>
      <c r="M2000" s="4">
        <v>9</v>
      </c>
      <c r="N2000" s="4">
        <v>7</v>
      </c>
      <c r="O2000" t="s">
        <v>29</v>
      </c>
      <c r="P2000" t="s">
        <v>36</v>
      </c>
      <c r="Q2000" s="4">
        <v>413643</v>
      </c>
      <c r="R2000" s="4">
        <v>275787</v>
      </c>
      <c r="S2000" s="4">
        <f>Table1[[#This Row],[Service_Revenue]]-Table1[[#This Row],[Service_Cost]]</f>
        <v>137856</v>
      </c>
      <c r="T2000" s="4">
        <v>3</v>
      </c>
      <c r="U2000" s="4">
        <f>IF(AND(Table1[[#This Row],[Rework_Flag]]="Yes",Table1[[#This Row],[Warranty_Claim]]="No"),Table1[[#This Row],[Service_Revenue]],0)</f>
        <v>413643</v>
      </c>
      <c r="V2000" s="4">
        <f>IF(Table1[[#This Row],[Warranty_Claim]]="Yes",1,0)</f>
        <v>0</v>
      </c>
      <c r="W2000" s="4">
        <f>IF(Table1[[#This Row],[Rework_Flag]]="No",1,0)</f>
        <v>0</v>
      </c>
      <c r="X2000" s="4">
        <f>IF(Table1[[#This Row],[Rework_Flag]]="Yes",1,0)</f>
        <v>1</v>
      </c>
      <c r="Y2000" s="4">
        <v>1</v>
      </c>
      <c r="Z2000" s="4" t="str">
        <f>IF(Table1[[#This Row],[TAT_Days]]&gt;Table1[[#This Row],[SLA_TAT]],"Yes","No")</f>
        <v>Yes</v>
      </c>
      <c r="AA2000" s="4" t="str" cm="1">
        <f t="array" ref="AA2000">_xlfn.IFS(Table1[[#This Row],[Customer_Satisfaction]]&lt;=2,"Poor",Table1[[#This Row],[Customer_Satisfaction]]=3,"Neutral",Table1[[#This Row],[Customer_Satisfaction]]=4,"Good",Table1[[#This Row],[Customer_Satisfaction]]=5,"Good")</f>
        <v>Neutral</v>
      </c>
    </row>
    <row r="2001" spans="1:27" x14ac:dyDescent="0.35">
      <c r="A2001">
        <v>21999</v>
      </c>
      <c r="B2001" s="1">
        <v>45398</v>
      </c>
      <c r="C2001" t="s">
        <v>19</v>
      </c>
      <c r="D2001" t="s">
        <v>45</v>
      </c>
      <c r="E2001" t="s">
        <v>114</v>
      </c>
      <c r="F2001" t="s">
        <v>40</v>
      </c>
      <c r="G2001" t="s">
        <v>23</v>
      </c>
      <c r="H2001" t="s">
        <v>24</v>
      </c>
      <c r="I2001" t="s">
        <v>55</v>
      </c>
      <c r="J2001" t="s">
        <v>26</v>
      </c>
      <c r="K2001" t="s">
        <v>61</v>
      </c>
      <c r="L2001" t="s">
        <v>49</v>
      </c>
      <c r="M2001" s="4">
        <v>21</v>
      </c>
      <c r="N2001" s="4">
        <v>7</v>
      </c>
      <c r="O2001" t="s">
        <v>36</v>
      </c>
      <c r="P2001" t="s">
        <v>36</v>
      </c>
      <c r="Q2001" s="4">
        <v>240205</v>
      </c>
      <c r="R2001" s="4">
        <v>202021</v>
      </c>
      <c r="S2001" s="4">
        <f>Table1[[#This Row],[Service_Revenue]]-Table1[[#This Row],[Service_Cost]]</f>
        <v>38184</v>
      </c>
      <c r="T2001" s="4">
        <v>1</v>
      </c>
      <c r="U2001" s="4">
        <f>IF(AND(Table1[[#This Row],[Rework_Flag]]="Yes",Table1[[#This Row],[Warranty_Claim]]="No"),Table1[[#This Row],[Service_Revenue]],0)</f>
        <v>0</v>
      </c>
      <c r="V2001" s="4">
        <f>IF(Table1[[#This Row],[Warranty_Claim]]="Yes",1,0)</f>
        <v>0</v>
      </c>
      <c r="W2001" s="4">
        <f>IF(Table1[[#This Row],[Rework_Flag]]="No",1,0)</f>
        <v>1</v>
      </c>
      <c r="X2001" s="4">
        <f>IF(Table1[[#This Row],[Rework_Flag]]="Yes",1,0)</f>
        <v>0</v>
      </c>
      <c r="Y2001" s="4">
        <v>1</v>
      </c>
      <c r="Z2001" s="4" t="str">
        <f>IF(Table1[[#This Row],[TAT_Days]]&gt;Table1[[#This Row],[SLA_TAT]],"Yes","No")</f>
        <v>Yes</v>
      </c>
      <c r="AA2001" s="4" t="str" cm="1">
        <f t="array" ref="AA2001">_xlfn.IFS(Table1[[#This Row],[Customer_Satisfaction]]&lt;=2,"Poor",Table1[[#This Row],[Customer_Satisfaction]]=3,"Neutral",Table1[[#This Row],[Customer_Satisfaction]]=4,"Good",Table1[[#This Row],[Customer_Satisfaction]]=5,"Good")</f>
        <v>Poor</v>
      </c>
    </row>
    <row r="2002" spans="1:27" x14ac:dyDescent="0.35">
      <c r="A2002">
        <v>22000</v>
      </c>
      <c r="B2002" s="1">
        <v>45314</v>
      </c>
      <c r="C2002" t="s">
        <v>37</v>
      </c>
      <c r="D2002" t="s">
        <v>64</v>
      </c>
      <c r="E2002" t="s">
        <v>103</v>
      </c>
      <c r="F2002" t="s">
        <v>22</v>
      </c>
      <c r="G2002" t="s">
        <v>23</v>
      </c>
      <c r="H2002" t="s">
        <v>24</v>
      </c>
      <c r="I2002" t="s">
        <v>25</v>
      </c>
      <c r="J2002" t="s">
        <v>35</v>
      </c>
      <c r="K2002" t="s">
        <v>27</v>
      </c>
      <c r="L2002" t="s">
        <v>28</v>
      </c>
      <c r="M2002" s="4">
        <v>17</v>
      </c>
      <c r="N2002" s="4">
        <v>7</v>
      </c>
      <c r="O2002" t="s">
        <v>29</v>
      </c>
      <c r="P2002" t="s">
        <v>36</v>
      </c>
      <c r="Q2002" s="4">
        <v>545703</v>
      </c>
      <c r="R2002" s="4">
        <v>379044</v>
      </c>
      <c r="S2002" s="4">
        <f>Table1[[#This Row],[Service_Revenue]]-Table1[[#This Row],[Service_Cost]]</f>
        <v>166659</v>
      </c>
      <c r="T2002" s="4">
        <v>1</v>
      </c>
      <c r="U2002" s="4">
        <f>IF(AND(Table1[[#This Row],[Rework_Flag]]="Yes",Table1[[#This Row],[Warranty_Claim]]="No"),Table1[[#This Row],[Service_Revenue]],0)</f>
        <v>545703</v>
      </c>
      <c r="V2002" s="4">
        <f>IF(Table1[[#This Row],[Warranty_Claim]]="Yes",1,0)</f>
        <v>0</v>
      </c>
      <c r="W2002" s="4">
        <f>IF(Table1[[#This Row],[Rework_Flag]]="No",1,0)</f>
        <v>0</v>
      </c>
      <c r="X2002" s="4">
        <f>IF(Table1[[#This Row],[Rework_Flag]]="Yes",1,0)</f>
        <v>1</v>
      </c>
      <c r="Y2002" s="4">
        <v>1</v>
      </c>
      <c r="Z2002" s="4" t="str">
        <f>IF(Table1[[#This Row],[TAT_Days]]&gt;Table1[[#This Row],[SLA_TAT]],"Yes","No")</f>
        <v>Yes</v>
      </c>
      <c r="AA2002" s="4" t="str" cm="1">
        <f t="array" ref="AA2002">_xlfn.IFS(Table1[[#This Row],[Customer_Satisfaction]]&lt;=2,"Poor",Table1[[#This Row],[Customer_Satisfaction]]=3,"Neutral",Table1[[#This Row],[Customer_Satisfaction]]=4,"Good",Table1[[#This Row],[Customer_Satisfaction]]=5,"Good")</f>
        <v>Poor</v>
      </c>
    </row>
    <row r="2003" spans="1:27" x14ac:dyDescent="0.35">
      <c r="A2003">
        <v>22001</v>
      </c>
      <c r="B2003" s="1">
        <v>45360</v>
      </c>
      <c r="C2003" t="s">
        <v>37</v>
      </c>
      <c r="D2003" t="s">
        <v>70</v>
      </c>
      <c r="E2003" t="s">
        <v>71</v>
      </c>
      <c r="F2003" t="s">
        <v>53</v>
      </c>
      <c r="G2003" t="s">
        <v>23</v>
      </c>
      <c r="H2003" t="s">
        <v>24</v>
      </c>
      <c r="I2003" t="s">
        <v>55</v>
      </c>
      <c r="J2003" t="s">
        <v>58</v>
      </c>
      <c r="K2003" t="s">
        <v>61</v>
      </c>
      <c r="L2003" t="s">
        <v>49</v>
      </c>
      <c r="M2003" s="4">
        <v>2</v>
      </c>
      <c r="N2003" s="4">
        <v>7</v>
      </c>
      <c r="O2003" t="s">
        <v>36</v>
      </c>
      <c r="P2003" t="s">
        <v>36</v>
      </c>
      <c r="Q2003" s="4">
        <v>258022</v>
      </c>
      <c r="R2003" s="4">
        <v>175577</v>
      </c>
      <c r="S2003" s="4">
        <f>Table1[[#This Row],[Service_Revenue]]-Table1[[#This Row],[Service_Cost]]</f>
        <v>82445</v>
      </c>
      <c r="T2003" s="4">
        <v>5</v>
      </c>
      <c r="U2003" s="4">
        <f>IF(AND(Table1[[#This Row],[Rework_Flag]]="Yes",Table1[[#This Row],[Warranty_Claim]]="No"),Table1[[#This Row],[Service_Revenue]],0)</f>
        <v>0</v>
      </c>
      <c r="V2003" s="4">
        <f>IF(Table1[[#This Row],[Warranty_Claim]]="Yes",1,0)</f>
        <v>0</v>
      </c>
      <c r="W2003" s="4">
        <f>IF(Table1[[#This Row],[Rework_Flag]]="No",1,0)</f>
        <v>1</v>
      </c>
      <c r="X2003" s="4">
        <f>IF(Table1[[#This Row],[Rework_Flag]]="Yes",1,0)</f>
        <v>0</v>
      </c>
      <c r="Y2003" s="4">
        <v>1</v>
      </c>
      <c r="Z2003" s="4" t="str">
        <f>IF(Table1[[#This Row],[TAT_Days]]&gt;Table1[[#This Row],[SLA_TAT]],"Yes","No")</f>
        <v>No</v>
      </c>
      <c r="AA2003" s="4" t="str" cm="1">
        <f t="array" ref="AA2003">_xlfn.IFS(Table1[[#This Row],[Customer_Satisfaction]]&lt;=2,"Poor",Table1[[#This Row],[Customer_Satisfaction]]=3,"Neutral",Table1[[#This Row],[Customer_Satisfaction]]=4,"Good",Table1[[#This Row],[Customer_Satisfaction]]=5,"Good")</f>
        <v>Good</v>
      </c>
    </row>
    <row r="2004" spans="1:27" x14ac:dyDescent="0.35">
      <c r="A2004">
        <v>22002</v>
      </c>
      <c r="B2004" s="1">
        <v>45450</v>
      </c>
      <c r="C2004" t="s">
        <v>30</v>
      </c>
      <c r="D2004" t="s">
        <v>31</v>
      </c>
      <c r="E2004" t="s">
        <v>122</v>
      </c>
      <c r="F2004" t="s">
        <v>40</v>
      </c>
      <c r="G2004" t="s">
        <v>23</v>
      </c>
      <c r="H2004" t="s">
        <v>24</v>
      </c>
      <c r="I2004" t="s">
        <v>55</v>
      </c>
      <c r="J2004" t="s">
        <v>58</v>
      </c>
      <c r="K2004" t="s">
        <v>27</v>
      </c>
      <c r="L2004" t="s">
        <v>49</v>
      </c>
      <c r="M2004" s="4">
        <v>9</v>
      </c>
      <c r="N2004" s="4">
        <v>7</v>
      </c>
      <c r="O2004" t="s">
        <v>36</v>
      </c>
      <c r="P2004" t="s">
        <v>36</v>
      </c>
      <c r="Q2004" s="4">
        <v>455895</v>
      </c>
      <c r="R2004" s="4">
        <v>320752</v>
      </c>
      <c r="S2004" s="4">
        <f>Table1[[#This Row],[Service_Revenue]]-Table1[[#This Row],[Service_Cost]]</f>
        <v>135143</v>
      </c>
      <c r="T2004" s="4">
        <v>4</v>
      </c>
      <c r="U2004" s="4">
        <f>IF(AND(Table1[[#This Row],[Rework_Flag]]="Yes",Table1[[#This Row],[Warranty_Claim]]="No"),Table1[[#This Row],[Service_Revenue]],0)</f>
        <v>0</v>
      </c>
      <c r="V2004" s="4">
        <f>IF(Table1[[#This Row],[Warranty_Claim]]="Yes",1,0)</f>
        <v>0</v>
      </c>
      <c r="W2004" s="4">
        <f>IF(Table1[[#This Row],[Rework_Flag]]="No",1,0)</f>
        <v>1</v>
      </c>
      <c r="X2004" s="4">
        <f>IF(Table1[[#This Row],[Rework_Flag]]="Yes",1,0)</f>
        <v>0</v>
      </c>
      <c r="Y2004" s="4">
        <v>1</v>
      </c>
      <c r="Z2004" s="4" t="str">
        <f>IF(Table1[[#This Row],[TAT_Days]]&gt;Table1[[#This Row],[SLA_TAT]],"Yes","No")</f>
        <v>Yes</v>
      </c>
      <c r="AA2004" s="4" t="str" cm="1">
        <f t="array" ref="AA2004">_xlfn.IFS(Table1[[#This Row],[Customer_Satisfaction]]&lt;=2,"Poor",Table1[[#This Row],[Customer_Satisfaction]]=3,"Neutral",Table1[[#This Row],[Customer_Satisfaction]]=4,"Good",Table1[[#This Row],[Customer_Satisfaction]]=5,"Good")</f>
        <v>Good</v>
      </c>
    </row>
    <row r="2005" spans="1:27" x14ac:dyDescent="0.35">
      <c r="A2005">
        <v>22003</v>
      </c>
      <c r="B2005" s="1">
        <v>45310</v>
      </c>
      <c r="C2005" t="s">
        <v>30</v>
      </c>
      <c r="D2005" t="s">
        <v>59</v>
      </c>
      <c r="E2005" t="s">
        <v>94</v>
      </c>
      <c r="F2005" t="s">
        <v>22</v>
      </c>
      <c r="G2005" t="s">
        <v>33</v>
      </c>
      <c r="H2005" t="s">
        <v>34</v>
      </c>
      <c r="I2005" t="s">
        <v>55</v>
      </c>
      <c r="J2005" t="s">
        <v>43</v>
      </c>
      <c r="K2005" t="s">
        <v>44</v>
      </c>
      <c r="L2005" t="s">
        <v>28</v>
      </c>
      <c r="M2005" s="4">
        <v>6</v>
      </c>
      <c r="N2005" s="4">
        <v>7</v>
      </c>
      <c r="O2005" t="s">
        <v>36</v>
      </c>
      <c r="P2005" t="s">
        <v>29</v>
      </c>
      <c r="Q2005" s="4">
        <v>388718</v>
      </c>
      <c r="R2005" s="4">
        <v>304824</v>
      </c>
      <c r="S2005" s="4">
        <f>Table1[[#This Row],[Service_Revenue]]-Table1[[#This Row],[Service_Cost]]</f>
        <v>83894</v>
      </c>
      <c r="T2005" s="4">
        <v>4</v>
      </c>
      <c r="U2005" s="4">
        <f>IF(AND(Table1[[#This Row],[Rework_Flag]]="Yes",Table1[[#This Row],[Warranty_Claim]]="No"),Table1[[#This Row],[Service_Revenue]],0)</f>
        <v>0</v>
      </c>
      <c r="V2005" s="4">
        <f>IF(Table1[[#This Row],[Warranty_Claim]]="Yes",1,0)</f>
        <v>1</v>
      </c>
      <c r="W2005" s="4">
        <f>IF(Table1[[#This Row],[Rework_Flag]]="No",1,0)</f>
        <v>1</v>
      </c>
      <c r="X2005" s="4">
        <f>IF(Table1[[#This Row],[Rework_Flag]]="Yes",1,0)</f>
        <v>0</v>
      </c>
      <c r="Y2005" s="4">
        <v>1</v>
      </c>
      <c r="Z2005" s="4" t="str">
        <f>IF(Table1[[#This Row],[TAT_Days]]&gt;Table1[[#This Row],[SLA_TAT]],"Yes","No")</f>
        <v>No</v>
      </c>
      <c r="AA2005" s="4" t="str" cm="1">
        <f t="array" ref="AA2005">_xlfn.IFS(Table1[[#This Row],[Customer_Satisfaction]]&lt;=2,"Poor",Table1[[#This Row],[Customer_Satisfaction]]=3,"Neutral",Table1[[#This Row],[Customer_Satisfaction]]=4,"Good",Table1[[#This Row],[Customer_Satisfaction]]=5,"Good")</f>
        <v>Good</v>
      </c>
    </row>
    <row r="2006" spans="1:27" x14ac:dyDescent="0.35">
      <c r="A2006">
        <v>22004</v>
      </c>
      <c r="B2006" s="1">
        <v>45420</v>
      </c>
      <c r="C2006" t="s">
        <v>37</v>
      </c>
      <c r="D2006" t="s">
        <v>38</v>
      </c>
      <c r="E2006" t="s">
        <v>93</v>
      </c>
      <c r="F2006" t="s">
        <v>40</v>
      </c>
      <c r="G2006" t="s">
        <v>47</v>
      </c>
      <c r="H2006" t="s">
        <v>48</v>
      </c>
      <c r="I2006" t="s">
        <v>55</v>
      </c>
      <c r="J2006" t="s">
        <v>58</v>
      </c>
      <c r="K2006" t="s">
        <v>27</v>
      </c>
      <c r="L2006" t="s">
        <v>49</v>
      </c>
      <c r="M2006" s="4">
        <v>20</v>
      </c>
      <c r="N2006" s="4">
        <v>7</v>
      </c>
      <c r="O2006" t="s">
        <v>29</v>
      </c>
      <c r="P2006" t="s">
        <v>36</v>
      </c>
      <c r="Q2006" s="4">
        <v>181435</v>
      </c>
      <c r="R2006" s="4">
        <v>109796</v>
      </c>
      <c r="S2006" s="4">
        <f>Table1[[#This Row],[Service_Revenue]]-Table1[[#This Row],[Service_Cost]]</f>
        <v>71639</v>
      </c>
      <c r="T2006" s="4">
        <v>1</v>
      </c>
      <c r="U2006" s="4">
        <f>IF(AND(Table1[[#This Row],[Rework_Flag]]="Yes",Table1[[#This Row],[Warranty_Claim]]="No"),Table1[[#This Row],[Service_Revenue]],0)</f>
        <v>181435</v>
      </c>
      <c r="V2006" s="4">
        <f>IF(Table1[[#This Row],[Warranty_Claim]]="Yes",1,0)</f>
        <v>0</v>
      </c>
      <c r="W2006" s="4">
        <f>IF(Table1[[#This Row],[Rework_Flag]]="No",1,0)</f>
        <v>0</v>
      </c>
      <c r="X2006" s="4">
        <f>IF(Table1[[#This Row],[Rework_Flag]]="Yes",1,0)</f>
        <v>1</v>
      </c>
      <c r="Y2006" s="4">
        <v>1</v>
      </c>
      <c r="Z2006" s="4" t="str">
        <f>IF(Table1[[#This Row],[TAT_Days]]&gt;Table1[[#This Row],[SLA_TAT]],"Yes","No")</f>
        <v>Yes</v>
      </c>
      <c r="AA2006" s="4" t="str" cm="1">
        <f t="array" ref="AA2006">_xlfn.IFS(Table1[[#This Row],[Customer_Satisfaction]]&lt;=2,"Poor",Table1[[#This Row],[Customer_Satisfaction]]=3,"Neutral",Table1[[#This Row],[Customer_Satisfaction]]=4,"Good",Table1[[#This Row],[Customer_Satisfaction]]=5,"Good")</f>
        <v>Poor</v>
      </c>
    </row>
    <row r="2007" spans="1:27" x14ac:dyDescent="0.35">
      <c r="A2007">
        <v>22005</v>
      </c>
      <c r="B2007" s="1">
        <v>45433</v>
      </c>
      <c r="C2007" t="s">
        <v>30</v>
      </c>
      <c r="D2007" t="s">
        <v>83</v>
      </c>
      <c r="E2007" t="s">
        <v>95</v>
      </c>
      <c r="F2007" t="s">
        <v>22</v>
      </c>
      <c r="G2007" t="s">
        <v>54</v>
      </c>
      <c r="H2007" t="s">
        <v>42</v>
      </c>
      <c r="I2007" t="s">
        <v>25</v>
      </c>
      <c r="J2007" t="s">
        <v>58</v>
      </c>
      <c r="K2007" t="s">
        <v>44</v>
      </c>
      <c r="L2007" t="s">
        <v>28</v>
      </c>
      <c r="M2007" s="4">
        <v>21</v>
      </c>
      <c r="N2007" s="4">
        <v>7</v>
      </c>
      <c r="O2007" t="s">
        <v>36</v>
      </c>
      <c r="P2007" t="s">
        <v>29</v>
      </c>
      <c r="Q2007" s="4">
        <v>308849</v>
      </c>
      <c r="R2007" s="4">
        <v>241825</v>
      </c>
      <c r="S2007" s="4">
        <f>Table1[[#This Row],[Service_Revenue]]-Table1[[#This Row],[Service_Cost]]</f>
        <v>67024</v>
      </c>
      <c r="T2007" s="4">
        <v>1</v>
      </c>
      <c r="U2007" s="4">
        <f>IF(AND(Table1[[#This Row],[Rework_Flag]]="Yes",Table1[[#This Row],[Warranty_Claim]]="No"),Table1[[#This Row],[Service_Revenue]],0)</f>
        <v>0</v>
      </c>
      <c r="V2007" s="4">
        <f>IF(Table1[[#This Row],[Warranty_Claim]]="Yes",1,0)</f>
        <v>1</v>
      </c>
      <c r="W2007" s="4">
        <f>IF(Table1[[#This Row],[Rework_Flag]]="No",1,0)</f>
        <v>1</v>
      </c>
      <c r="X2007" s="4">
        <f>IF(Table1[[#This Row],[Rework_Flag]]="Yes",1,0)</f>
        <v>0</v>
      </c>
      <c r="Y2007" s="4">
        <v>1</v>
      </c>
      <c r="Z2007" s="4" t="str">
        <f>IF(Table1[[#This Row],[TAT_Days]]&gt;Table1[[#This Row],[SLA_TAT]],"Yes","No")</f>
        <v>Yes</v>
      </c>
      <c r="AA2007" s="4" t="str" cm="1">
        <f t="array" ref="AA2007">_xlfn.IFS(Table1[[#This Row],[Customer_Satisfaction]]&lt;=2,"Poor",Table1[[#This Row],[Customer_Satisfaction]]=3,"Neutral",Table1[[#This Row],[Customer_Satisfaction]]=4,"Good",Table1[[#This Row],[Customer_Satisfaction]]=5,"Good")</f>
        <v>Poor</v>
      </c>
    </row>
    <row r="2008" spans="1:27" x14ac:dyDescent="0.35">
      <c r="A2008">
        <v>22006</v>
      </c>
      <c r="B2008" s="1">
        <v>45340</v>
      </c>
      <c r="C2008" t="s">
        <v>19</v>
      </c>
      <c r="D2008" t="s">
        <v>45</v>
      </c>
      <c r="E2008" t="s">
        <v>76</v>
      </c>
      <c r="F2008" t="s">
        <v>53</v>
      </c>
      <c r="G2008" t="s">
        <v>54</v>
      </c>
      <c r="H2008" t="s">
        <v>42</v>
      </c>
      <c r="I2008" t="s">
        <v>55</v>
      </c>
      <c r="J2008" t="s">
        <v>67</v>
      </c>
      <c r="K2008" t="s">
        <v>61</v>
      </c>
      <c r="L2008" t="s">
        <v>49</v>
      </c>
      <c r="M2008" s="4">
        <v>21</v>
      </c>
      <c r="N2008" s="4">
        <v>7</v>
      </c>
      <c r="O2008" t="s">
        <v>29</v>
      </c>
      <c r="P2008" t="s">
        <v>36</v>
      </c>
      <c r="Q2008" s="4">
        <v>492418</v>
      </c>
      <c r="R2008" s="4">
        <v>341506</v>
      </c>
      <c r="S2008" s="4">
        <f>Table1[[#This Row],[Service_Revenue]]-Table1[[#This Row],[Service_Cost]]</f>
        <v>150912</v>
      </c>
      <c r="T2008" s="4">
        <v>1</v>
      </c>
      <c r="U2008" s="4">
        <f>IF(AND(Table1[[#This Row],[Rework_Flag]]="Yes",Table1[[#This Row],[Warranty_Claim]]="No"),Table1[[#This Row],[Service_Revenue]],0)</f>
        <v>492418</v>
      </c>
      <c r="V2008" s="4">
        <f>IF(Table1[[#This Row],[Warranty_Claim]]="Yes",1,0)</f>
        <v>0</v>
      </c>
      <c r="W2008" s="4">
        <f>IF(Table1[[#This Row],[Rework_Flag]]="No",1,0)</f>
        <v>0</v>
      </c>
      <c r="X2008" s="4">
        <f>IF(Table1[[#This Row],[Rework_Flag]]="Yes",1,0)</f>
        <v>1</v>
      </c>
      <c r="Y2008" s="4">
        <v>1</v>
      </c>
      <c r="Z2008" s="4" t="str">
        <f>IF(Table1[[#This Row],[TAT_Days]]&gt;Table1[[#This Row],[SLA_TAT]],"Yes","No")</f>
        <v>Yes</v>
      </c>
      <c r="AA2008" s="4" t="str" cm="1">
        <f t="array" ref="AA2008">_xlfn.IFS(Table1[[#This Row],[Customer_Satisfaction]]&lt;=2,"Poor",Table1[[#This Row],[Customer_Satisfaction]]=3,"Neutral",Table1[[#This Row],[Customer_Satisfaction]]=4,"Good",Table1[[#This Row],[Customer_Satisfaction]]=5,"Good")</f>
        <v>Poor</v>
      </c>
    </row>
    <row r="2009" spans="1:27" x14ac:dyDescent="0.35">
      <c r="A2009">
        <v>22007</v>
      </c>
      <c r="B2009" s="1">
        <v>45324</v>
      </c>
      <c r="C2009" t="s">
        <v>30</v>
      </c>
      <c r="D2009" t="s">
        <v>59</v>
      </c>
      <c r="E2009" t="s">
        <v>78</v>
      </c>
      <c r="F2009" t="s">
        <v>40</v>
      </c>
      <c r="G2009" t="s">
        <v>33</v>
      </c>
      <c r="H2009" t="s">
        <v>34</v>
      </c>
      <c r="I2009" t="s">
        <v>25</v>
      </c>
      <c r="J2009" t="s">
        <v>35</v>
      </c>
      <c r="K2009" t="s">
        <v>27</v>
      </c>
      <c r="L2009" t="s">
        <v>28</v>
      </c>
      <c r="M2009" s="4">
        <v>18</v>
      </c>
      <c r="N2009" s="4">
        <v>7</v>
      </c>
      <c r="O2009" t="s">
        <v>29</v>
      </c>
      <c r="P2009" t="s">
        <v>36</v>
      </c>
      <c r="Q2009" s="4">
        <v>247191</v>
      </c>
      <c r="R2009" s="4">
        <v>123742</v>
      </c>
      <c r="S2009" s="4">
        <f>Table1[[#This Row],[Service_Revenue]]-Table1[[#This Row],[Service_Cost]]</f>
        <v>123449</v>
      </c>
      <c r="T2009" s="4">
        <v>1</v>
      </c>
      <c r="U2009" s="4">
        <f>IF(AND(Table1[[#This Row],[Rework_Flag]]="Yes",Table1[[#This Row],[Warranty_Claim]]="No"),Table1[[#This Row],[Service_Revenue]],0)</f>
        <v>247191</v>
      </c>
      <c r="V2009" s="4">
        <f>IF(Table1[[#This Row],[Warranty_Claim]]="Yes",1,0)</f>
        <v>0</v>
      </c>
      <c r="W2009" s="4">
        <f>IF(Table1[[#This Row],[Rework_Flag]]="No",1,0)</f>
        <v>0</v>
      </c>
      <c r="X2009" s="4">
        <f>IF(Table1[[#This Row],[Rework_Flag]]="Yes",1,0)</f>
        <v>1</v>
      </c>
      <c r="Y2009" s="4">
        <v>1</v>
      </c>
      <c r="Z2009" s="4" t="str">
        <f>IF(Table1[[#This Row],[TAT_Days]]&gt;Table1[[#This Row],[SLA_TAT]],"Yes","No")</f>
        <v>Yes</v>
      </c>
      <c r="AA2009" s="4" t="str" cm="1">
        <f t="array" ref="AA2009">_xlfn.IFS(Table1[[#This Row],[Customer_Satisfaction]]&lt;=2,"Poor",Table1[[#This Row],[Customer_Satisfaction]]=3,"Neutral",Table1[[#This Row],[Customer_Satisfaction]]=4,"Good",Table1[[#This Row],[Customer_Satisfaction]]=5,"Good")</f>
        <v>Poor</v>
      </c>
    </row>
    <row r="2010" spans="1:27" x14ac:dyDescent="0.35">
      <c r="A2010">
        <v>22008</v>
      </c>
      <c r="B2010" s="1">
        <v>45421</v>
      </c>
      <c r="C2010" t="s">
        <v>30</v>
      </c>
      <c r="D2010" t="s">
        <v>83</v>
      </c>
      <c r="E2010" t="s">
        <v>95</v>
      </c>
      <c r="F2010" t="s">
        <v>40</v>
      </c>
      <c r="G2010" t="s">
        <v>23</v>
      </c>
      <c r="H2010" t="s">
        <v>24</v>
      </c>
      <c r="I2010" t="s">
        <v>25</v>
      </c>
      <c r="J2010" t="s">
        <v>26</v>
      </c>
      <c r="K2010" t="s">
        <v>61</v>
      </c>
      <c r="L2010" t="s">
        <v>28</v>
      </c>
      <c r="M2010" s="4">
        <v>18</v>
      </c>
      <c r="N2010" s="4">
        <v>7</v>
      </c>
      <c r="O2010" t="s">
        <v>29</v>
      </c>
      <c r="P2010" t="s">
        <v>29</v>
      </c>
      <c r="Q2010" s="4">
        <v>222765</v>
      </c>
      <c r="R2010" s="4">
        <v>182081</v>
      </c>
      <c r="S2010" s="4">
        <f>Table1[[#This Row],[Service_Revenue]]-Table1[[#This Row],[Service_Cost]]</f>
        <v>40684</v>
      </c>
      <c r="T2010" s="4">
        <v>1</v>
      </c>
      <c r="U2010" s="4">
        <f>IF(AND(Table1[[#This Row],[Rework_Flag]]="Yes",Table1[[#This Row],[Warranty_Claim]]="No"),Table1[[#This Row],[Service_Revenue]],0)</f>
        <v>0</v>
      </c>
      <c r="V2010" s="4">
        <f>IF(Table1[[#This Row],[Warranty_Claim]]="Yes",1,0)</f>
        <v>1</v>
      </c>
      <c r="W2010" s="4">
        <f>IF(Table1[[#This Row],[Rework_Flag]]="No",1,0)</f>
        <v>0</v>
      </c>
      <c r="X2010" s="4">
        <f>IF(Table1[[#This Row],[Rework_Flag]]="Yes",1,0)</f>
        <v>1</v>
      </c>
      <c r="Y2010" s="4">
        <v>1</v>
      </c>
      <c r="Z2010" s="4" t="str">
        <f>IF(Table1[[#This Row],[TAT_Days]]&gt;Table1[[#This Row],[SLA_TAT]],"Yes","No")</f>
        <v>Yes</v>
      </c>
      <c r="AA2010" s="4" t="str" cm="1">
        <f t="array" ref="AA2010">_xlfn.IFS(Table1[[#This Row],[Customer_Satisfaction]]&lt;=2,"Poor",Table1[[#This Row],[Customer_Satisfaction]]=3,"Neutral",Table1[[#This Row],[Customer_Satisfaction]]=4,"Good",Table1[[#This Row],[Customer_Satisfaction]]=5,"Good")</f>
        <v>Poor</v>
      </c>
    </row>
    <row r="2011" spans="1:27" x14ac:dyDescent="0.35">
      <c r="A2011">
        <v>22009</v>
      </c>
      <c r="B2011" s="1">
        <v>45345</v>
      </c>
      <c r="C2011" t="s">
        <v>37</v>
      </c>
      <c r="D2011" t="s">
        <v>64</v>
      </c>
      <c r="E2011" t="s">
        <v>65</v>
      </c>
      <c r="F2011" t="s">
        <v>22</v>
      </c>
      <c r="G2011" t="s">
        <v>33</v>
      </c>
      <c r="H2011" t="s">
        <v>34</v>
      </c>
      <c r="I2011" t="s">
        <v>55</v>
      </c>
      <c r="J2011" t="s">
        <v>26</v>
      </c>
      <c r="K2011" t="s">
        <v>44</v>
      </c>
      <c r="L2011" t="s">
        <v>28</v>
      </c>
      <c r="M2011" s="4">
        <v>13</v>
      </c>
      <c r="N2011" s="4">
        <v>7</v>
      </c>
      <c r="O2011" t="s">
        <v>36</v>
      </c>
      <c r="P2011" t="s">
        <v>36</v>
      </c>
      <c r="Q2011" s="4">
        <v>599499</v>
      </c>
      <c r="R2011" s="4">
        <v>449935</v>
      </c>
      <c r="S2011" s="4">
        <f>Table1[[#This Row],[Service_Revenue]]-Table1[[#This Row],[Service_Cost]]</f>
        <v>149564</v>
      </c>
      <c r="T2011" s="4">
        <v>3</v>
      </c>
      <c r="U2011" s="4">
        <f>IF(AND(Table1[[#This Row],[Rework_Flag]]="Yes",Table1[[#This Row],[Warranty_Claim]]="No"),Table1[[#This Row],[Service_Revenue]],0)</f>
        <v>0</v>
      </c>
      <c r="V2011" s="4">
        <f>IF(Table1[[#This Row],[Warranty_Claim]]="Yes",1,0)</f>
        <v>0</v>
      </c>
      <c r="W2011" s="4">
        <f>IF(Table1[[#This Row],[Rework_Flag]]="No",1,0)</f>
        <v>1</v>
      </c>
      <c r="X2011" s="4">
        <f>IF(Table1[[#This Row],[Rework_Flag]]="Yes",1,0)</f>
        <v>0</v>
      </c>
      <c r="Y2011" s="4">
        <v>1</v>
      </c>
      <c r="Z2011" s="4" t="str">
        <f>IF(Table1[[#This Row],[TAT_Days]]&gt;Table1[[#This Row],[SLA_TAT]],"Yes","No")</f>
        <v>Yes</v>
      </c>
      <c r="AA2011" s="4" t="str" cm="1">
        <f t="array" ref="AA2011">_xlfn.IFS(Table1[[#This Row],[Customer_Satisfaction]]&lt;=2,"Poor",Table1[[#This Row],[Customer_Satisfaction]]=3,"Neutral",Table1[[#This Row],[Customer_Satisfaction]]=4,"Good",Table1[[#This Row],[Customer_Satisfaction]]=5,"Good")</f>
        <v>Neutral</v>
      </c>
    </row>
    <row r="2012" spans="1:27" x14ac:dyDescent="0.35">
      <c r="A2012">
        <v>22010</v>
      </c>
      <c r="B2012" s="1">
        <v>45325</v>
      </c>
      <c r="C2012" t="s">
        <v>50</v>
      </c>
      <c r="D2012" t="s">
        <v>80</v>
      </c>
      <c r="E2012" t="s">
        <v>81</v>
      </c>
      <c r="F2012" t="s">
        <v>53</v>
      </c>
      <c r="G2012" t="s">
        <v>47</v>
      </c>
      <c r="H2012" t="s">
        <v>48</v>
      </c>
      <c r="I2012" t="s">
        <v>25</v>
      </c>
      <c r="J2012" t="s">
        <v>58</v>
      </c>
      <c r="K2012" t="s">
        <v>27</v>
      </c>
      <c r="L2012" t="s">
        <v>28</v>
      </c>
      <c r="M2012" s="4">
        <v>19</v>
      </c>
      <c r="N2012" s="4">
        <v>7</v>
      </c>
      <c r="O2012" t="s">
        <v>29</v>
      </c>
      <c r="P2012" t="s">
        <v>29</v>
      </c>
      <c r="Q2012" s="4">
        <v>556611</v>
      </c>
      <c r="R2012" s="4">
        <v>414854</v>
      </c>
      <c r="S2012" s="4">
        <f>Table1[[#This Row],[Service_Revenue]]-Table1[[#This Row],[Service_Cost]]</f>
        <v>141757</v>
      </c>
      <c r="T2012" s="4">
        <v>1</v>
      </c>
      <c r="U2012" s="4">
        <f>IF(AND(Table1[[#This Row],[Rework_Flag]]="Yes",Table1[[#This Row],[Warranty_Claim]]="No"),Table1[[#This Row],[Service_Revenue]],0)</f>
        <v>0</v>
      </c>
      <c r="V2012" s="4">
        <f>IF(Table1[[#This Row],[Warranty_Claim]]="Yes",1,0)</f>
        <v>1</v>
      </c>
      <c r="W2012" s="4">
        <f>IF(Table1[[#This Row],[Rework_Flag]]="No",1,0)</f>
        <v>0</v>
      </c>
      <c r="X2012" s="4">
        <f>IF(Table1[[#This Row],[Rework_Flag]]="Yes",1,0)</f>
        <v>1</v>
      </c>
      <c r="Y2012" s="4">
        <v>1</v>
      </c>
      <c r="Z2012" s="4" t="str">
        <f>IF(Table1[[#This Row],[TAT_Days]]&gt;Table1[[#This Row],[SLA_TAT]],"Yes","No")</f>
        <v>Yes</v>
      </c>
      <c r="AA2012" s="4" t="str" cm="1">
        <f t="array" ref="AA2012">_xlfn.IFS(Table1[[#This Row],[Customer_Satisfaction]]&lt;=2,"Poor",Table1[[#This Row],[Customer_Satisfaction]]=3,"Neutral",Table1[[#This Row],[Customer_Satisfaction]]=4,"Good",Table1[[#This Row],[Customer_Satisfaction]]=5,"Good")</f>
        <v>Poor</v>
      </c>
    </row>
    <row r="2013" spans="1:27" x14ac:dyDescent="0.35">
      <c r="A2013">
        <v>22011</v>
      </c>
      <c r="B2013" s="1">
        <v>45293</v>
      </c>
      <c r="C2013" t="s">
        <v>37</v>
      </c>
      <c r="D2013" t="s">
        <v>64</v>
      </c>
      <c r="E2013" t="s">
        <v>65</v>
      </c>
      <c r="F2013" t="s">
        <v>22</v>
      </c>
      <c r="G2013" t="s">
        <v>74</v>
      </c>
      <c r="H2013" t="s">
        <v>34</v>
      </c>
      <c r="I2013" t="s">
        <v>25</v>
      </c>
      <c r="J2013" t="s">
        <v>43</v>
      </c>
      <c r="K2013" t="s">
        <v>61</v>
      </c>
      <c r="L2013" t="s">
        <v>28</v>
      </c>
      <c r="M2013" s="4">
        <v>21</v>
      </c>
      <c r="N2013" s="4">
        <v>7</v>
      </c>
      <c r="O2013" t="s">
        <v>29</v>
      </c>
      <c r="P2013" t="s">
        <v>36</v>
      </c>
      <c r="Q2013" s="4">
        <v>297895</v>
      </c>
      <c r="R2013" s="4">
        <v>197828</v>
      </c>
      <c r="S2013" s="4">
        <f>Table1[[#This Row],[Service_Revenue]]-Table1[[#This Row],[Service_Cost]]</f>
        <v>100067</v>
      </c>
      <c r="T2013" s="4">
        <v>1</v>
      </c>
      <c r="U2013" s="4">
        <f>IF(AND(Table1[[#This Row],[Rework_Flag]]="Yes",Table1[[#This Row],[Warranty_Claim]]="No"),Table1[[#This Row],[Service_Revenue]],0)</f>
        <v>297895</v>
      </c>
      <c r="V2013" s="4">
        <f>IF(Table1[[#This Row],[Warranty_Claim]]="Yes",1,0)</f>
        <v>0</v>
      </c>
      <c r="W2013" s="4">
        <f>IF(Table1[[#This Row],[Rework_Flag]]="No",1,0)</f>
        <v>0</v>
      </c>
      <c r="X2013" s="4">
        <f>IF(Table1[[#This Row],[Rework_Flag]]="Yes",1,0)</f>
        <v>1</v>
      </c>
      <c r="Y2013" s="4">
        <v>1</v>
      </c>
      <c r="Z2013" s="4" t="str">
        <f>IF(Table1[[#This Row],[TAT_Days]]&gt;Table1[[#This Row],[SLA_TAT]],"Yes","No")</f>
        <v>Yes</v>
      </c>
      <c r="AA2013" s="4" t="str" cm="1">
        <f t="array" ref="AA2013">_xlfn.IFS(Table1[[#This Row],[Customer_Satisfaction]]&lt;=2,"Poor",Table1[[#This Row],[Customer_Satisfaction]]=3,"Neutral",Table1[[#This Row],[Customer_Satisfaction]]=4,"Good",Table1[[#This Row],[Customer_Satisfaction]]=5,"Good")</f>
        <v>Poor</v>
      </c>
    </row>
    <row r="2014" spans="1:27" x14ac:dyDescent="0.35">
      <c r="A2014">
        <v>22012</v>
      </c>
      <c r="B2014" s="1">
        <v>45341</v>
      </c>
      <c r="C2014" t="s">
        <v>19</v>
      </c>
      <c r="D2014" t="s">
        <v>96</v>
      </c>
      <c r="E2014" t="s">
        <v>108</v>
      </c>
      <c r="F2014" t="s">
        <v>40</v>
      </c>
      <c r="G2014" t="s">
        <v>54</v>
      </c>
      <c r="H2014" t="s">
        <v>42</v>
      </c>
      <c r="I2014" t="s">
        <v>25</v>
      </c>
      <c r="J2014" t="s">
        <v>35</v>
      </c>
      <c r="K2014" t="s">
        <v>44</v>
      </c>
      <c r="L2014" t="s">
        <v>28</v>
      </c>
      <c r="M2014" s="4">
        <v>22</v>
      </c>
      <c r="N2014" s="4">
        <v>7</v>
      </c>
      <c r="O2014" t="s">
        <v>36</v>
      </c>
      <c r="P2014" t="s">
        <v>36</v>
      </c>
      <c r="Q2014" s="4">
        <v>431746</v>
      </c>
      <c r="R2014" s="4">
        <v>291542</v>
      </c>
      <c r="S2014" s="4">
        <f>Table1[[#This Row],[Service_Revenue]]-Table1[[#This Row],[Service_Cost]]</f>
        <v>140204</v>
      </c>
      <c r="T2014" s="4">
        <v>1</v>
      </c>
      <c r="U2014" s="4">
        <f>IF(AND(Table1[[#This Row],[Rework_Flag]]="Yes",Table1[[#This Row],[Warranty_Claim]]="No"),Table1[[#This Row],[Service_Revenue]],0)</f>
        <v>0</v>
      </c>
      <c r="V2014" s="4">
        <f>IF(Table1[[#This Row],[Warranty_Claim]]="Yes",1,0)</f>
        <v>0</v>
      </c>
      <c r="W2014" s="4">
        <f>IF(Table1[[#This Row],[Rework_Flag]]="No",1,0)</f>
        <v>1</v>
      </c>
      <c r="X2014" s="4">
        <f>IF(Table1[[#This Row],[Rework_Flag]]="Yes",1,0)</f>
        <v>0</v>
      </c>
      <c r="Y2014" s="4">
        <v>1</v>
      </c>
      <c r="Z2014" s="4" t="str">
        <f>IF(Table1[[#This Row],[TAT_Days]]&gt;Table1[[#This Row],[SLA_TAT]],"Yes","No")</f>
        <v>Yes</v>
      </c>
      <c r="AA2014" s="4" t="str" cm="1">
        <f t="array" ref="AA2014">_xlfn.IFS(Table1[[#This Row],[Customer_Satisfaction]]&lt;=2,"Poor",Table1[[#This Row],[Customer_Satisfaction]]=3,"Neutral",Table1[[#This Row],[Customer_Satisfaction]]=4,"Good",Table1[[#This Row],[Customer_Satisfaction]]=5,"Good")</f>
        <v>Poor</v>
      </c>
    </row>
    <row r="2015" spans="1:27" x14ac:dyDescent="0.35">
      <c r="A2015">
        <v>22013</v>
      </c>
      <c r="B2015" s="1">
        <v>45435</v>
      </c>
      <c r="C2015" t="s">
        <v>37</v>
      </c>
      <c r="D2015" t="s">
        <v>64</v>
      </c>
      <c r="E2015" t="s">
        <v>65</v>
      </c>
      <c r="F2015" t="s">
        <v>53</v>
      </c>
      <c r="G2015" t="s">
        <v>23</v>
      </c>
      <c r="H2015" t="s">
        <v>24</v>
      </c>
      <c r="I2015" t="s">
        <v>25</v>
      </c>
      <c r="J2015" t="s">
        <v>26</v>
      </c>
      <c r="K2015" t="s">
        <v>27</v>
      </c>
      <c r="L2015" t="s">
        <v>49</v>
      </c>
      <c r="M2015" s="4">
        <v>14</v>
      </c>
      <c r="N2015" s="4">
        <v>7</v>
      </c>
      <c r="O2015" t="s">
        <v>29</v>
      </c>
      <c r="P2015" t="s">
        <v>36</v>
      </c>
      <c r="Q2015" s="4">
        <v>591757</v>
      </c>
      <c r="R2015" s="4">
        <v>310106</v>
      </c>
      <c r="S2015" s="4">
        <f>Table1[[#This Row],[Service_Revenue]]-Table1[[#This Row],[Service_Cost]]</f>
        <v>281651</v>
      </c>
      <c r="T2015" s="4">
        <v>2</v>
      </c>
      <c r="U2015" s="4">
        <f>IF(AND(Table1[[#This Row],[Rework_Flag]]="Yes",Table1[[#This Row],[Warranty_Claim]]="No"),Table1[[#This Row],[Service_Revenue]],0)</f>
        <v>591757</v>
      </c>
      <c r="V2015" s="4">
        <f>IF(Table1[[#This Row],[Warranty_Claim]]="Yes",1,0)</f>
        <v>0</v>
      </c>
      <c r="W2015" s="4">
        <f>IF(Table1[[#This Row],[Rework_Flag]]="No",1,0)</f>
        <v>0</v>
      </c>
      <c r="X2015" s="4">
        <f>IF(Table1[[#This Row],[Rework_Flag]]="Yes",1,0)</f>
        <v>1</v>
      </c>
      <c r="Y2015" s="4">
        <v>1</v>
      </c>
      <c r="Z2015" s="4" t="str">
        <f>IF(Table1[[#This Row],[TAT_Days]]&gt;Table1[[#This Row],[SLA_TAT]],"Yes","No")</f>
        <v>Yes</v>
      </c>
      <c r="AA2015" s="4" t="str" cm="1">
        <f t="array" ref="AA2015">_xlfn.IFS(Table1[[#This Row],[Customer_Satisfaction]]&lt;=2,"Poor",Table1[[#This Row],[Customer_Satisfaction]]=3,"Neutral",Table1[[#This Row],[Customer_Satisfaction]]=4,"Good",Table1[[#This Row],[Customer_Satisfaction]]=5,"Good")</f>
        <v>Poor</v>
      </c>
    </row>
    <row r="2016" spans="1:27" x14ac:dyDescent="0.35">
      <c r="A2016">
        <v>22014</v>
      </c>
      <c r="B2016" s="1">
        <v>45343</v>
      </c>
      <c r="C2016" t="s">
        <v>19</v>
      </c>
      <c r="D2016" t="s">
        <v>45</v>
      </c>
      <c r="E2016" t="s">
        <v>99</v>
      </c>
      <c r="F2016" t="s">
        <v>40</v>
      </c>
      <c r="G2016" t="s">
        <v>41</v>
      </c>
      <c r="H2016" t="s">
        <v>42</v>
      </c>
      <c r="I2016" t="s">
        <v>25</v>
      </c>
      <c r="J2016" t="s">
        <v>35</v>
      </c>
      <c r="K2016" t="s">
        <v>61</v>
      </c>
      <c r="L2016" t="s">
        <v>28</v>
      </c>
      <c r="M2016" s="4">
        <v>10</v>
      </c>
      <c r="N2016" s="4">
        <v>7</v>
      </c>
      <c r="O2016" t="s">
        <v>29</v>
      </c>
      <c r="P2016" t="s">
        <v>36</v>
      </c>
      <c r="Q2016" s="4">
        <v>231980</v>
      </c>
      <c r="R2016" s="4">
        <v>178541</v>
      </c>
      <c r="S2016" s="4">
        <f>Table1[[#This Row],[Service_Revenue]]-Table1[[#This Row],[Service_Cost]]</f>
        <v>53439</v>
      </c>
      <c r="T2016" s="4">
        <v>2</v>
      </c>
      <c r="U2016" s="4">
        <f>IF(AND(Table1[[#This Row],[Rework_Flag]]="Yes",Table1[[#This Row],[Warranty_Claim]]="No"),Table1[[#This Row],[Service_Revenue]],0)</f>
        <v>231980</v>
      </c>
      <c r="V2016" s="4">
        <f>IF(Table1[[#This Row],[Warranty_Claim]]="Yes",1,0)</f>
        <v>0</v>
      </c>
      <c r="W2016" s="4">
        <f>IF(Table1[[#This Row],[Rework_Flag]]="No",1,0)</f>
        <v>0</v>
      </c>
      <c r="X2016" s="4">
        <f>IF(Table1[[#This Row],[Rework_Flag]]="Yes",1,0)</f>
        <v>1</v>
      </c>
      <c r="Y2016" s="4">
        <v>1</v>
      </c>
      <c r="Z2016" s="4" t="str">
        <f>IF(Table1[[#This Row],[TAT_Days]]&gt;Table1[[#This Row],[SLA_TAT]],"Yes","No")</f>
        <v>Yes</v>
      </c>
      <c r="AA2016" s="4" t="str" cm="1">
        <f t="array" ref="AA2016">_xlfn.IFS(Table1[[#This Row],[Customer_Satisfaction]]&lt;=2,"Poor",Table1[[#This Row],[Customer_Satisfaction]]=3,"Neutral",Table1[[#This Row],[Customer_Satisfaction]]=4,"Good",Table1[[#This Row],[Customer_Satisfaction]]=5,"Good")</f>
        <v>Poor</v>
      </c>
    </row>
    <row r="2017" spans="1:27" x14ac:dyDescent="0.35">
      <c r="A2017">
        <v>22015</v>
      </c>
      <c r="B2017" s="1">
        <v>45452</v>
      </c>
      <c r="C2017" t="s">
        <v>37</v>
      </c>
      <c r="D2017" t="s">
        <v>70</v>
      </c>
      <c r="E2017" t="s">
        <v>82</v>
      </c>
      <c r="F2017" t="s">
        <v>22</v>
      </c>
      <c r="G2017" t="s">
        <v>63</v>
      </c>
      <c r="H2017" t="s">
        <v>24</v>
      </c>
      <c r="I2017" t="s">
        <v>55</v>
      </c>
      <c r="J2017" t="s">
        <v>58</v>
      </c>
      <c r="K2017" t="s">
        <v>61</v>
      </c>
      <c r="L2017" t="s">
        <v>28</v>
      </c>
      <c r="M2017" s="4">
        <v>15</v>
      </c>
      <c r="N2017" s="4">
        <v>7</v>
      </c>
      <c r="O2017" t="s">
        <v>36</v>
      </c>
      <c r="P2017" t="s">
        <v>36</v>
      </c>
      <c r="Q2017" s="4">
        <v>284988</v>
      </c>
      <c r="R2017" s="4">
        <v>160018</v>
      </c>
      <c r="S2017" s="4">
        <f>Table1[[#This Row],[Service_Revenue]]-Table1[[#This Row],[Service_Cost]]</f>
        <v>124970</v>
      </c>
      <c r="T2017" s="4">
        <v>2</v>
      </c>
      <c r="U2017" s="4">
        <f>IF(AND(Table1[[#This Row],[Rework_Flag]]="Yes",Table1[[#This Row],[Warranty_Claim]]="No"),Table1[[#This Row],[Service_Revenue]],0)</f>
        <v>0</v>
      </c>
      <c r="V2017" s="4">
        <f>IF(Table1[[#This Row],[Warranty_Claim]]="Yes",1,0)</f>
        <v>0</v>
      </c>
      <c r="W2017" s="4">
        <f>IF(Table1[[#This Row],[Rework_Flag]]="No",1,0)</f>
        <v>1</v>
      </c>
      <c r="X2017" s="4">
        <f>IF(Table1[[#This Row],[Rework_Flag]]="Yes",1,0)</f>
        <v>0</v>
      </c>
      <c r="Y2017" s="4">
        <v>1</v>
      </c>
      <c r="Z2017" s="4" t="str">
        <f>IF(Table1[[#This Row],[TAT_Days]]&gt;Table1[[#This Row],[SLA_TAT]],"Yes","No")</f>
        <v>Yes</v>
      </c>
      <c r="AA2017" s="4" t="str" cm="1">
        <f t="array" ref="AA2017">_xlfn.IFS(Table1[[#This Row],[Customer_Satisfaction]]&lt;=2,"Poor",Table1[[#This Row],[Customer_Satisfaction]]=3,"Neutral",Table1[[#This Row],[Customer_Satisfaction]]=4,"Good",Table1[[#This Row],[Customer_Satisfaction]]=5,"Good")</f>
        <v>Poor</v>
      </c>
    </row>
    <row r="2018" spans="1:27" x14ac:dyDescent="0.35">
      <c r="A2018">
        <v>22016</v>
      </c>
      <c r="B2018" s="1">
        <v>45347</v>
      </c>
      <c r="C2018" t="s">
        <v>30</v>
      </c>
      <c r="D2018" t="s">
        <v>31</v>
      </c>
      <c r="E2018" t="s">
        <v>32</v>
      </c>
      <c r="F2018" t="s">
        <v>40</v>
      </c>
      <c r="G2018" t="s">
        <v>41</v>
      </c>
      <c r="H2018" t="s">
        <v>42</v>
      </c>
      <c r="I2018" t="s">
        <v>25</v>
      </c>
      <c r="J2018" t="s">
        <v>58</v>
      </c>
      <c r="K2018" t="s">
        <v>44</v>
      </c>
      <c r="L2018" t="s">
        <v>28</v>
      </c>
      <c r="M2018" s="4">
        <v>9</v>
      </c>
      <c r="N2018" s="4">
        <v>7</v>
      </c>
      <c r="O2018" t="s">
        <v>29</v>
      </c>
      <c r="P2018" t="s">
        <v>36</v>
      </c>
      <c r="Q2018" s="4">
        <v>138166</v>
      </c>
      <c r="R2018" s="4">
        <v>116839</v>
      </c>
      <c r="S2018" s="4">
        <f>Table1[[#This Row],[Service_Revenue]]-Table1[[#This Row],[Service_Cost]]</f>
        <v>21327</v>
      </c>
      <c r="T2018" s="4">
        <v>3</v>
      </c>
      <c r="U2018" s="4">
        <f>IF(AND(Table1[[#This Row],[Rework_Flag]]="Yes",Table1[[#This Row],[Warranty_Claim]]="No"),Table1[[#This Row],[Service_Revenue]],0)</f>
        <v>138166</v>
      </c>
      <c r="V2018" s="4">
        <f>IF(Table1[[#This Row],[Warranty_Claim]]="Yes",1,0)</f>
        <v>0</v>
      </c>
      <c r="W2018" s="4">
        <f>IF(Table1[[#This Row],[Rework_Flag]]="No",1,0)</f>
        <v>0</v>
      </c>
      <c r="X2018" s="4">
        <f>IF(Table1[[#This Row],[Rework_Flag]]="Yes",1,0)</f>
        <v>1</v>
      </c>
      <c r="Y2018" s="4">
        <v>1</v>
      </c>
      <c r="Z2018" s="4" t="str">
        <f>IF(Table1[[#This Row],[TAT_Days]]&gt;Table1[[#This Row],[SLA_TAT]],"Yes","No")</f>
        <v>Yes</v>
      </c>
      <c r="AA2018" s="4" t="str" cm="1">
        <f t="array" ref="AA2018">_xlfn.IFS(Table1[[#This Row],[Customer_Satisfaction]]&lt;=2,"Poor",Table1[[#This Row],[Customer_Satisfaction]]=3,"Neutral",Table1[[#This Row],[Customer_Satisfaction]]=4,"Good",Table1[[#This Row],[Customer_Satisfaction]]=5,"Good")</f>
        <v>Neutral</v>
      </c>
    </row>
    <row r="2019" spans="1:27" x14ac:dyDescent="0.35">
      <c r="A2019">
        <v>22017</v>
      </c>
      <c r="B2019" s="1">
        <v>45341</v>
      </c>
      <c r="C2019" t="s">
        <v>19</v>
      </c>
      <c r="D2019" t="s">
        <v>20</v>
      </c>
      <c r="E2019" t="s">
        <v>89</v>
      </c>
      <c r="F2019" t="s">
        <v>40</v>
      </c>
      <c r="G2019" t="s">
        <v>41</v>
      </c>
      <c r="H2019" t="s">
        <v>42</v>
      </c>
      <c r="I2019" t="s">
        <v>25</v>
      </c>
      <c r="J2019" t="s">
        <v>26</v>
      </c>
      <c r="K2019" t="s">
        <v>61</v>
      </c>
      <c r="L2019" t="s">
        <v>28</v>
      </c>
      <c r="M2019" s="4">
        <v>7</v>
      </c>
      <c r="N2019" s="4">
        <v>7</v>
      </c>
      <c r="O2019" t="s">
        <v>36</v>
      </c>
      <c r="P2019" t="s">
        <v>36</v>
      </c>
      <c r="Q2019" s="4">
        <v>152717</v>
      </c>
      <c r="R2019" s="4">
        <v>104455</v>
      </c>
      <c r="S2019" s="4">
        <f>Table1[[#This Row],[Service_Revenue]]-Table1[[#This Row],[Service_Cost]]</f>
        <v>48262</v>
      </c>
      <c r="T2019" s="4">
        <v>4</v>
      </c>
      <c r="U2019" s="4">
        <f>IF(AND(Table1[[#This Row],[Rework_Flag]]="Yes",Table1[[#This Row],[Warranty_Claim]]="No"),Table1[[#This Row],[Service_Revenue]],0)</f>
        <v>0</v>
      </c>
      <c r="V2019" s="4">
        <f>IF(Table1[[#This Row],[Warranty_Claim]]="Yes",1,0)</f>
        <v>0</v>
      </c>
      <c r="W2019" s="4">
        <f>IF(Table1[[#This Row],[Rework_Flag]]="No",1,0)</f>
        <v>1</v>
      </c>
      <c r="X2019" s="4">
        <f>IF(Table1[[#This Row],[Rework_Flag]]="Yes",1,0)</f>
        <v>0</v>
      </c>
      <c r="Y2019" s="4">
        <v>1</v>
      </c>
      <c r="Z2019" s="4" t="str">
        <f>IF(Table1[[#This Row],[TAT_Days]]&gt;Table1[[#This Row],[SLA_TAT]],"Yes","No")</f>
        <v>No</v>
      </c>
      <c r="AA2019" s="4" t="str" cm="1">
        <f t="array" ref="AA2019">_xlfn.IFS(Table1[[#This Row],[Customer_Satisfaction]]&lt;=2,"Poor",Table1[[#This Row],[Customer_Satisfaction]]=3,"Neutral",Table1[[#This Row],[Customer_Satisfaction]]=4,"Good",Table1[[#This Row],[Customer_Satisfaction]]=5,"Good")</f>
        <v>Good</v>
      </c>
    </row>
    <row r="2020" spans="1:27" x14ac:dyDescent="0.35">
      <c r="A2020">
        <v>22018</v>
      </c>
      <c r="B2020" s="1">
        <v>45469</v>
      </c>
      <c r="C2020" t="s">
        <v>50</v>
      </c>
      <c r="D2020" t="s">
        <v>51</v>
      </c>
      <c r="E2020" t="s">
        <v>75</v>
      </c>
      <c r="F2020" t="s">
        <v>22</v>
      </c>
      <c r="G2020" t="s">
        <v>47</v>
      </c>
      <c r="H2020" t="s">
        <v>48</v>
      </c>
      <c r="I2020" t="s">
        <v>25</v>
      </c>
      <c r="J2020" t="s">
        <v>35</v>
      </c>
      <c r="K2020" t="s">
        <v>27</v>
      </c>
      <c r="L2020" t="s">
        <v>28</v>
      </c>
      <c r="M2020" s="4">
        <v>8</v>
      </c>
      <c r="N2020" s="4">
        <v>7</v>
      </c>
      <c r="O2020" t="s">
        <v>29</v>
      </c>
      <c r="P2020" t="s">
        <v>29</v>
      </c>
      <c r="Q2020" s="4">
        <v>454558</v>
      </c>
      <c r="R2020" s="4">
        <v>367520</v>
      </c>
      <c r="S2020" s="4">
        <f>Table1[[#This Row],[Service_Revenue]]-Table1[[#This Row],[Service_Cost]]</f>
        <v>87038</v>
      </c>
      <c r="T2020" s="4">
        <v>3</v>
      </c>
      <c r="U2020" s="4">
        <f>IF(AND(Table1[[#This Row],[Rework_Flag]]="Yes",Table1[[#This Row],[Warranty_Claim]]="No"),Table1[[#This Row],[Service_Revenue]],0)</f>
        <v>0</v>
      </c>
      <c r="V2020" s="4">
        <f>IF(Table1[[#This Row],[Warranty_Claim]]="Yes",1,0)</f>
        <v>1</v>
      </c>
      <c r="W2020" s="4">
        <f>IF(Table1[[#This Row],[Rework_Flag]]="No",1,0)</f>
        <v>0</v>
      </c>
      <c r="X2020" s="4">
        <f>IF(Table1[[#This Row],[Rework_Flag]]="Yes",1,0)</f>
        <v>1</v>
      </c>
      <c r="Y2020" s="4">
        <v>1</v>
      </c>
      <c r="Z2020" s="4" t="str">
        <f>IF(Table1[[#This Row],[TAT_Days]]&gt;Table1[[#This Row],[SLA_TAT]],"Yes","No")</f>
        <v>Yes</v>
      </c>
      <c r="AA2020" s="4" t="str" cm="1">
        <f t="array" ref="AA2020">_xlfn.IFS(Table1[[#This Row],[Customer_Satisfaction]]&lt;=2,"Poor",Table1[[#This Row],[Customer_Satisfaction]]=3,"Neutral",Table1[[#This Row],[Customer_Satisfaction]]=4,"Good",Table1[[#This Row],[Customer_Satisfaction]]=5,"Good")</f>
        <v>Neutral</v>
      </c>
    </row>
    <row r="2021" spans="1:27" x14ac:dyDescent="0.35">
      <c r="A2021">
        <v>22019</v>
      </c>
      <c r="B2021" s="1">
        <v>45424</v>
      </c>
      <c r="C2021" t="s">
        <v>30</v>
      </c>
      <c r="D2021" t="s">
        <v>59</v>
      </c>
      <c r="E2021" t="s">
        <v>94</v>
      </c>
      <c r="F2021" t="s">
        <v>22</v>
      </c>
      <c r="G2021" t="s">
        <v>33</v>
      </c>
      <c r="H2021" t="s">
        <v>34</v>
      </c>
      <c r="I2021" t="s">
        <v>25</v>
      </c>
      <c r="J2021" t="s">
        <v>43</v>
      </c>
      <c r="K2021" t="s">
        <v>61</v>
      </c>
      <c r="L2021" t="s">
        <v>28</v>
      </c>
      <c r="M2021" s="4">
        <v>8</v>
      </c>
      <c r="N2021" s="4">
        <v>7</v>
      </c>
      <c r="O2021" t="s">
        <v>36</v>
      </c>
      <c r="P2021" t="s">
        <v>29</v>
      </c>
      <c r="Q2021" s="4">
        <v>307790</v>
      </c>
      <c r="R2021" s="4">
        <v>182074</v>
      </c>
      <c r="S2021" s="4">
        <f>Table1[[#This Row],[Service_Revenue]]-Table1[[#This Row],[Service_Cost]]</f>
        <v>125716</v>
      </c>
      <c r="T2021" s="4">
        <v>4</v>
      </c>
      <c r="U2021" s="4">
        <f>IF(AND(Table1[[#This Row],[Rework_Flag]]="Yes",Table1[[#This Row],[Warranty_Claim]]="No"),Table1[[#This Row],[Service_Revenue]],0)</f>
        <v>0</v>
      </c>
      <c r="V2021" s="4">
        <f>IF(Table1[[#This Row],[Warranty_Claim]]="Yes",1,0)</f>
        <v>1</v>
      </c>
      <c r="W2021" s="4">
        <f>IF(Table1[[#This Row],[Rework_Flag]]="No",1,0)</f>
        <v>1</v>
      </c>
      <c r="X2021" s="4">
        <f>IF(Table1[[#This Row],[Rework_Flag]]="Yes",1,0)</f>
        <v>0</v>
      </c>
      <c r="Y2021" s="4">
        <v>1</v>
      </c>
      <c r="Z2021" s="4" t="str">
        <f>IF(Table1[[#This Row],[TAT_Days]]&gt;Table1[[#This Row],[SLA_TAT]],"Yes","No")</f>
        <v>Yes</v>
      </c>
      <c r="AA2021" s="4" t="str" cm="1">
        <f t="array" ref="AA2021">_xlfn.IFS(Table1[[#This Row],[Customer_Satisfaction]]&lt;=2,"Poor",Table1[[#This Row],[Customer_Satisfaction]]=3,"Neutral",Table1[[#This Row],[Customer_Satisfaction]]=4,"Good",Table1[[#This Row],[Customer_Satisfaction]]=5,"Good")</f>
        <v>Good</v>
      </c>
    </row>
    <row r="2022" spans="1:27" x14ac:dyDescent="0.35">
      <c r="A2022">
        <v>22020</v>
      </c>
      <c r="B2022" s="1">
        <v>45423</v>
      </c>
      <c r="C2022" t="s">
        <v>19</v>
      </c>
      <c r="D2022" t="s">
        <v>96</v>
      </c>
      <c r="E2022" t="s">
        <v>98</v>
      </c>
      <c r="F2022" t="s">
        <v>40</v>
      </c>
      <c r="G2022" t="s">
        <v>63</v>
      </c>
      <c r="H2022" t="s">
        <v>24</v>
      </c>
      <c r="I2022" t="s">
        <v>55</v>
      </c>
      <c r="J2022" t="s">
        <v>35</v>
      </c>
      <c r="K2022" t="s">
        <v>61</v>
      </c>
      <c r="L2022" t="s">
        <v>28</v>
      </c>
      <c r="M2022" s="4">
        <v>8</v>
      </c>
      <c r="N2022" s="4">
        <v>7</v>
      </c>
      <c r="O2022" t="s">
        <v>36</v>
      </c>
      <c r="P2022" t="s">
        <v>36</v>
      </c>
      <c r="Q2022" s="4">
        <v>114525</v>
      </c>
      <c r="R2022" s="4">
        <v>82206</v>
      </c>
      <c r="S2022" s="4">
        <f>Table1[[#This Row],[Service_Revenue]]-Table1[[#This Row],[Service_Cost]]</f>
        <v>32319</v>
      </c>
      <c r="T2022" s="4">
        <v>4</v>
      </c>
      <c r="U2022" s="4">
        <f>IF(AND(Table1[[#This Row],[Rework_Flag]]="Yes",Table1[[#This Row],[Warranty_Claim]]="No"),Table1[[#This Row],[Service_Revenue]],0)</f>
        <v>0</v>
      </c>
      <c r="V2022" s="4">
        <f>IF(Table1[[#This Row],[Warranty_Claim]]="Yes",1,0)</f>
        <v>0</v>
      </c>
      <c r="W2022" s="4">
        <f>IF(Table1[[#This Row],[Rework_Flag]]="No",1,0)</f>
        <v>1</v>
      </c>
      <c r="X2022" s="4">
        <f>IF(Table1[[#This Row],[Rework_Flag]]="Yes",1,0)</f>
        <v>0</v>
      </c>
      <c r="Y2022" s="4">
        <v>1</v>
      </c>
      <c r="Z2022" s="4" t="str">
        <f>IF(Table1[[#This Row],[TAT_Days]]&gt;Table1[[#This Row],[SLA_TAT]],"Yes","No")</f>
        <v>Yes</v>
      </c>
      <c r="AA2022" s="4" t="str" cm="1">
        <f t="array" ref="AA2022">_xlfn.IFS(Table1[[#This Row],[Customer_Satisfaction]]&lt;=2,"Poor",Table1[[#This Row],[Customer_Satisfaction]]=3,"Neutral",Table1[[#This Row],[Customer_Satisfaction]]=4,"Good",Table1[[#This Row],[Customer_Satisfaction]]=5,"Good")</f>
        <v>Good</v>
      </c>
    </row>
    <row r="2023" spans="1:27" x14ac:dyDescent="0.35">
      <c r="A2023">
        <v>22021</v>
      </c>
      <c r="B2023" s="1">
        <v>45411</v>
      </c>
      <c r="C2023" t="s">
        <v>37</v>
      </c>
      <c r="D2023" t="s">
        <v>38</v>
      </c>
      <c r="E2023" t="s">
        <v>93</v>
      </c>
      <c r="F2023" t="s">
        <v>53</v>
      </c>
      <c r="G2023" t="s">
        <v>63</v>
      </c>
      <c r="H2023" t="s">
        <v>24</v>
      </c>
      <c r="I2023" t="s">
        <v>25</v>
      </c>
      <c r="J2023" t="s">
        <v>58</v>
      </c>
      <c r="K2023" t="s">
        <v>27</v>
      </c>
      <c r="L2023" t="s">
        <v>49</v>
      </c>
      <c r="M2023" s="4">
        <v>11</v>
      </c>
      <c r="N2023" s="4">
        <v>7</v>
      </c>
      <c r="O2023" t="s">
        <v>29</v>
      </c>
      <c r="P2023" t="s">
        <v>36</v>
      </c>
      <c r="Q2023" s="4">
        <v>249972</v>
      </c>
      <c r="R2023" s="4">
        <v>204638</v>
      </c>
      <c r="S2023" s="4">
        <f>Table1[[#This Row],[Service_Revenue]]-Table1[[#This Row],[Service_Cost]]</f>
        <v>45334</v>
      </c>
      <c r="T2023" s="4">
        <v>2</v>
      </c>
      <c r="U2023" s="4">
        <f>IF(AND(Table1[[#This Row],[Rework_Flag]]="Yes",Table1[[#This Row],[Warranty_Claim]]="No"),Table1[[#This Row],[Service_Revenue]],0)</f>
        <v>249972</v>
      </c>
      <c r="V2023" s="4">
        <f>IF(Table1[[#This Row],[Warranty_Claim]]="Yes",1,0)</f>
        <v>0</v>
      </c>
      <c r="W2023" s="4">
        <f>IF(Table1[[#This Row],[Rework_Flag]]="No",1,0)</f>
        <v>0</v>
      </c>
      <c r="X2023" s="4">
        <f>IF(Table1[[#This Row],[Rework_Flag]]="Yes",1,0)</f>
        <v>1</v>
      </c>
      <c r="Y2023" s="4">
        <v>1</v>
      </c>
      <c r="Z2023" s="4" t="str">
        <f>IF(Table1[[#This Row],[TAT_Days]]&gt;Table1[[#This Row],[SLA_TAT]],"Yes","No")</f>
        <v>Yes</v>
      </c>
      <c r="AA2023" s="4" t="str" cm="1">
        <f t="array" ref="AA2023">_xlfn.IFS(Table1[[#This Row],[Customer_Satisfaction]]&lt;=2,"Poor",Table1[[#This Row],[Customer_Satisfaction]]=3,"Neutral",Table1[[#This Row],[Customer_Satisfaction]]=4,"Good",Table1[[#This Row],[Customer_Satisfaction]]=5,"Good")</f>
        <v>Poor</v>
      </c>
    </row>
    <row r="2024" spans="1:27" x14ac:dyDescent="0.35">
      <c r="A2024">
        <v>22022</v>
      </c>
      <c r="B2024" s="1">
        <v>45382</v>
      </c>
      <c r="C2024" t="s">
        <v>37</v>
      </c>
      <c r="D2024" t="s">
        <v>70</v>
      </c>
      <c r="E2024" t="s">
        <v>82</v>
      </c>
      <c r="F2024" t="s">
        <v>53</v>
      </c>
      <c r="G2024" t="s">
        <v>47</v>
      </c>
      <c r="H2024" t="s">
        <v>48</v>
      </c>
      <c r="I2024" t="s">
        <v>25</v>
      </c>
      <c r="J2024" t="s">
        <v>58</v>
      </c>
      <c r="K2024" t="s">
        <v>61</v>
      </c>
      <c r="L2024" t="s">
        <v>28</v>
      </c>
      <c r="M2024" s="4">
        <v>23</v>
      </c>
      <c r="N2024" s="4">
        <v>7</v>
      </c>
      <c r="O2024" t="s">
        <v>29</v>
      </c>
      <c r="P2024" t="s">
        <v>29</v>
      </c>
      <c r="Q2024" s="4">
        <v>599414</v>
      </c>
      <c r="R2024" s="4">
        <v>353610</v>
      </c>
      <c r="S2024" s="4">
        <f>Table1[[#This Row],[Service_Revenue]]-Table1[[#This Row],[Service_Cost]]</f>
        <v>245804</v>
      </c>
      <c r="T2024" s="4">
        <v>1</v>
      </c>
      <c r="U2024" s="4">
        <f>IF(AND(Table1[[#This Row],[Rework_Flag]]="Yes",Table1[[#This Row],[Warranty_Claim]]="No"),Table1[[#This Row],[Service_Revenue]],0)</f>
        <v>0</v>
      </c>
      <c r="V2024" s="4">
        <f>IF(Table1[[#This Row],[Warranty_Claim]]="Yes",1,0)</f>
        <v>1</v>
      </c>
      <c r="W2024" s="4">
        <f>IF(Table1[[#This Row],[Rework_Flag]]="No",1,0)</f>
        <v>0</v>
      </c>
      <c r="X2024" s="4">
        <f>IF(Table1[[#This Row],[Rework_Flag]]="Yes",1,0)</f>
        <v>1</v>
      </c>
      <c r="Y2024" s="4">
        <v>1</v>
      </c>
      <c r="Z2024" s="4" t="str">
        <f>IF(Table1[[#This Row],[TAT_Days]]&gt;Table1[[#This Row],[SLA_TAT]],"Yes","No")</f>
        <v>Yes</v>
      </c>
      <c r="AA2024" s="4" t="str" cm="1">
        <f t="array" ref="AA2024">_xlfn.IFS(Table1[[#This Row],[Customer_Satisfaction]]&lt;=2,"Poor",Table1[[#This Row],[Customer_Satisfaction]]=3,"Neutral",Table1[[#This Row],[Customer_Satisfaction]]=4,"Good",Table1[[#This Row],[Customer_Satisfaction]]=5,"Good")</f>
        <v>Poor</v>
      </c>
    </row>
    <row r="2025" spans="1:27" x14ac:dyDescent="0.35">
      <c r="A2025">
        <v>22023</v>
      </c>
      <c r="B2025" s="1">
        <v>45325</v>
      </c>
      <c r="C2025" t="s">
        <v>50</v>
      </c>
      <c r="D2025" t="s">
        <v>56</v>
      </c>
      <c r="E2025" t="s">
        <v>101</v>
      </c>
      <c r="F2025" t="s">
        <v>53</v>
      </c>
      <c r="G2025" t="s">
        <v>23</v>
      </c>
      <c r="H2025" t="s">
        <v>24</v>
      </c>
      <c r="I2025" t="s">
        <v>55</v>
      </c>
      <c r="J2025" t="s">
        <v>67</v>
      </c>
      <c r="K2025" t="s">
        <v>27</v>
      </c>
      <c r="L2025" t="s">
        <v>28</v>
      </c>
      <c r="M2025" s="4">
        <v>20</v>
      </c>
      <c r="N2025" s="4">
        <v>7</v>
      </c>
      <c r="O2025" t="s">
        <v>29</v>
      </c>
      <c r="P2025" t="s">
        <v>29</v>
      </c>
      <c r="Q2025" s="4">
        <v>440619</v>
      </c>
      <c r="R2025" s="4">
        <v>239825</v>
      </c>
      <c r="S2025" s="4">
        <f>Table1[[#This Row],[Service_Revenue]]-Table1[[#This Row],[Service_Cost]]</f>
        <v>200794</v>
      </c>
      <c r="T2025" s="4">
        <v>1</v>
      </c>
      <c r="U2025" s="4">
        <f>IF(AND(Table1[[#This Row],[Rework_Flag]]="Yes",Table1[[#This Row],[Warranty_Claim]]="No"),Table1[[#This Row],[Service_Revenue]],0)</f>
        <v>0</v>
      </c>
      <c r="V2025" s="4">
        <f>IF(Table1[[#This Row],[Warranty_Claim]]="Yes",1,0)</f>
        <v>1</v>
      </c>
      <c r="W2025" s="4">
        <f>IF(Table1[[#This Row],[Rework_Flag]]="No",1,0)</f>
        <v>0</v>
      </c>
      <c r="X2025" s="4">
        <f>IF(Table1[[#This Row],[Rework_Flag]]="Yes",1,0)</f>
        <v>1</v>
      </c>
      <c r="Y2025" s="4">
        <v>1</v>
      </c>
      <c r="Z2025" s="4" t="str">
        <f>IF(Table1[[#This Row],[TAT_Days]]&gt;Table1[[#This Row],[SLA_TAT]],"Yes","No")</f>
        <v>Yes</v>
      </c>
      <c r="AA2025" s="4" t="str" cm="1">
        <f t="array" ref="AA2025">_xlfn.IFS(Table1[[#This Row],[Customer_Satisfaction]]&lt;=2,"Poor",Table1[[#This Row],[Customer_Satisfaction]]=3,"Neutral",Table1[[#This Row],[Customer_Satisfaction]]=4,"Good",Table1[[#This Row],[Customer_Satisfaction]]=5,"Good")</f>
        <v>Poor</v>
      </c>
    </row>
    <row r="2026" spans="1:27" x14ac:dyDescent="0.35">
      <c r="A2026">
        <v>22024</v>
      </c>
      <c r="B2026" s="1">
        <v>45297</v>
      </c>
      <c r="C2026" t="s">
        <v>37</v>
      </c>
      <c r="D2026" t="s">
        <v>38</v>
      </c>
      <c r="E2026" t="s">
        <v>93</v>
      </c>
      <c r="F2026" t="s">
        <v>40</v>
      </c>
      <c r="G2026" t="s">
        <v>33</v>
      </c>
      <c r="H2026" t="s">
        <v>34</v>
      </c>
      <c r="I2026" t="s">
        <v>25</v>
      </c>
      <c r="J2026" t="s">
        <v>43</v>
      </c>
      <c r="K2026" t="s">
        <v>44</v>
      </c>
      <c r="L2026" t="s">
        <v>28</v>
      </c>
      <c r="M2026" s="4">
        <v>6</v>
      </c>
      <c r="N2026" s="4">
        <v>7</v>
      </c>
      <c r="O2026" t="s">
        <v>36</v>
      </c>
      <c r="P2026" t="s">
        <v>29</v>
      </c>
      <c r="Q2026" s="4">
        <v>570874</v>
      </c>
      <c r="R2026" s="4">
        <v>305231</v>
      </c>
      <c r="S2026" s="4">
        <f>Table1[[#This Row],[Service_Revenue]]-Table1[[#This Row],[Service_Cost]]</f>
        <v>265643</v>
      </c>
      <c r="T2026" s="4">
        <v>4</v>
      </c>
      <c r="U2026" s="4">
        <f>IF(AND(Table1[[#This Row],[Rework_Flag]]="Yes",Table1[[#This Row],[Warranty_Claim]]="No"),Table1[[#This Row],[Service_Revenue]],0)</f>
        <v>0</v>
      </c>
      <c r="V2026" s="4">
        <f>IF(Table1[[#This Row],[Warranty_Claim]]="Yes",1,0)</f>
        <v>1</v>
      </c>
      <c r="W2026" s="4">
        <f>IF(Table1[[#This Row],[Rework_Flag]]="No",1,0)</f>
        <v>1</v>
      </c>
      <c r="X2026" s="4">
        <f>IF(Table1[[#This Row],[Rework_Flag]]="Yes",1,0)</f>
        <v>0</v>
      </c>
      <c r="Y2026" s="4">
        <v>1</v>
      </c>
      <c r="Z2026" s="4" t="str">
        <f>IF(Table1[[#This Row],[TAT_Days]]&gt;Table1[[#This Row],[SLA_TAT]],"Yes","No")</f>
        <v>No</v>
      </c>
      <c r="AA2026" s="4" t="str" cm="1">
        <f t="array" ref="AA2026">_xlfn.IFS(Table1[[#This Row],[Customer_Satisfaction]]&lt;=2,"Poor",Table1[[#This Row],[Customer_Satisfaction]]=3,"Neutral",Table1[[#This Row],[Customer_Satisfaction]]=4,"Good",Table1[[#This Row],[Customer_Satisfaction]]=5,"Good")</f>
        <v>Good</v>
      </c>
    </row>
    <row r="2027" spans="1:27" x14ac:dyDescent="0.35">
      <c r="A2027">
        <v>22025</v>
      </c>
      <c r="B2027" s="1">
        <v>45335</v>
      </c>
      <c r="C2027" t="s">
        <v>19</v>
      </c>
      <c r="D2027" t="s">
        <v>45</v>
      </c>
      <c r="E2027" t="s">
        <v>111</v>
      </c>
      <c r="F2027" t="s">
        <v>22</v>
      </c>
      <c r="G2027" t="s">
        <v>74</v>
      </c>
      <c r="H2027" t="s">
        <v>34</v>
      </c>
      <c r="I2027" t="s">
        <v>25</v>
      </c>
      <c r="J2027" t="s">
        <v>26</v>
      </c>
      <c r="K2027" t="s">
        <v>27</v>
      </c>
      <c r="L2027" t="s">
        <v>28</v>
      </c>
      <c r="M2027" s="4">
        <v>24</v>
      </c>
      <c r="N2027" s="4">
        <v>7</v>
      </c>
      <c r="O2027" t="s">
        <v>29</v>
      </c>
      <c r="P2027" t="s">
        <v>36</v>
      </c>
      <c r="Q2027" s="4">
        <v>220623</v>
      </c>
      <c r="R2027" s="4">
        <v>140522</v>
      </c>
      <c r="S2027" s="4">
        <f>Table1[[#This Row],[Service_Revenue]]-Table1[[#This Row],[Service_Cost]]</f>
        <v>80101</v>
      </c>
      <c r="T2027" s="4">
        <v>1</v>
      </c>
      <c r="U2027" s="4">
        <f>IF(AND(Table1[[#This Row],[Rework_Flag]]="Yes",Table1[[#This Row],[Warranty_Claim]]="No"),Table1[[#This Row],[Service_Revenue]],0)</f>
        <v>220623</v>
      </c>
      <c r="V2027" s="4">
        <f>IF(Table1[[#This Row],[Warranty_Claim]]="Yes",1,0)</f>
        <v>0</v>
      </c>
      <c r="W2027" s="4">
        <f>IF(Table1[[#This Row],[Rework_Flag]]="No",1,0)</f>
        <v>0</v>
      </c>
      <c r="X2027" s="4">
        <f>IF(Table1[[#This Row],[Rework_Flag]]="Yes",1,0)</f>
        <v>1</v>
      </c>
      <c r="Y2027" s="4">
        <v>1</v>
      </c>
      <c r="Z2027" s="4" t="str">
        <f>IF(Table1[[#This Row],[TAT_Days]]&gt;Table1[[#This Row],[SLA_TAT]],"Yes","No")</f>
        <v>Yes</v>
      </c>
      <c r="AA2027" s="4" t="str" cm="1">
        <f t="array" ref="AA2027">_xlfn.IFS(Table1[[#This Row],[Customer_Satisfaction]]&lt;=2,"Poor",Table1[[#This Row],[Customer_Satisfaction]]=3,"Neutral",Table1[[#This Row],[Customer_Satisfaction]]=4,"Good",Table1[[#This Row],[Customer_Satisfaction]]=5,"Good")</f>
        <v>Poor</v>
      </c>
    </row>
    <row r="2028" spans="1:27" x14ac:dyDescent="0.35">
      <c r="A2028">
        <v>22026</v>
      </c>
      <c r="B2028" s="1">
        <v>45324</v>
      </c>
      <c r="C2028" t="s">
        <v>50</v>
      </c>
      <c r="D2028" t="s">
        <v>51</v>
      </c>
      <c r="E2028" t="s">
        <v>52</v>
      </c>
      <c r="F2028" t="s">
        <v>53</v>
      </c>
      <c r="G2028" t="s">
        <v>54</v>
      </c>
      <c r="H2028" t="s">
        <v>42</v>
      </c>
      <c r="I2028" t="s">
        <v>55</v>
      </c>
      <c r="J2028" t="s">
        <v>43</v>
      </c>
      <c r="K2028" t="s">
        <v>61</v>
      </c>
      <c r="L2028" t="s">
        <v>28</v>
      </c>
      <c r="M2028" s="4">
        <v>10</v>
      </c>
      <c r="N2028" s="4">
        <v>7</v>
      </c>
      <c r="O2028" t="s">
        <v>29</v>
      </c>
      <c r="P2028" t="s">
        <v>36</v>
      </c>
      <c r="Q2028" s="4">
        <v>135545</v>
      </c>
      <c r="R2028" s="4">
        <v>95834</v>
      </c>
      <c r="S2028" s="4">
        <f>Table1[[#This Row],[Service_Revenue]]-Table1[[#This Row],[Service_Cost]]</f>
        <v>39711</v>
      </c>
      <c r="T2028" s="4">
        <v>2</v>
      </c>
      <c r="U2028" s="4">
        <f>IF(AND(Table1[[#This Row],[Rework_Flag]]="Yes",Table1[[#This Row],[Warranty_Claim]]="No"),Table1[[#This Row],[Service_Revenue]],0)</f>
        <v>135545</v>
      </c>
      <c r="V2028" s="4">
        <f>IF(Table1[[#This Row],[Warranty_Claim]]="Yes",1,0)</f>
        <v>0</v>
      </c>
      <c r="W2028" s="4">
        <f>IF(Table1[[#This Row],[Rework_Flag]]="No",1,0)</f>
        <v>0</v>
      </c>
      <c r="X2028" s="4">
        <f>IF(Table1[[#This Row],[Rework_Flag]]="Yes",1,0)</f>
        <v>1</v>
      </c>
      <c r="Y2028" s="4">
        <v>1</v>
      </c>
      <c r="Z2028" s="4" t="str">
        <f>IF(Table1[[#This Row],[TAT_Days]]&gt;Table1[[#This Row],[SLA_TAT]],"Yes","No")</f>
        <v>Yes</v>
      </c>
      <c r="AA2028" s="4" t="str" cm="1">
        <f t="array" ref="AA2028">_xlfn.IFS(Table1[[#This Row],[Customer_Satisfaction]]&lt;=2,"Poor",Table1[[#This Row],[Customer_Satisfaction]]=3,"Neutral",Table1[[#This Row],[Customer_Satisfaction]]=4,"Good",Table1[[#This Row],[Customer_Satisfaction]]=5,"Good")</f>
        <v>Poor</v>
      </c>
    </row>
    <row r="2029" spans="1:27" x14ac:dyDescent="0.35">
      <c r="A2029">
        <v>22027</v>
      </c>
      <c r="B2029" s="1">
        <v>45293</v>
      </c>
      <c r="C2029" t="s">
        <v>50</v>
      </c>
      <c r="D2029" t="s">
        <v>56</v>
      </c>
      <c r="E2029" t="s">
        <v>68</v>
      </c>
      <c r="F2029" t="s">
        <v>53</v>
      </c>
      <c r="G2029" t="s">
        <v>54</v>
      </c>
      <c r="H2029" t="s">
        <v>42</v>
      </c>
      <c r="I2029" t="s">
        <v>25</v>
      </c>
      <c r="J2029" t="s">
        <v>67</v>
      </c>
      <c r="K2029" t="s">
        <v>27</v>
      </c>
      <c r="L2029" t="s">
        <v>28</v>
      </c>
      <c r="M2029" s="4">
        <v>22</v>
      </c>
      <c r="N2029" s="4">
        <v>7</v>
      </c>
      <c r="O2029" t="s">
        <v>29</v>
      </c>
      <c r="P2029" t="s">
        <v>29</v>
      </c>
      <c r="Q2029" s="4">
        <v>349910</v>
      </c>
      <c r="R2029" s="4">
        <v>195055</v>
      </c>
      <c r="S2029" s="4">
        <f>Table1[[#This Row],[Service_Revenue]]-Table1[[#This Row],[Service_Cost]]</f>
        <v>154855</v>
      </c>
      <c r="T2029" s="4">
        <v>1</v>
      </c>
      <c r="U2029" s="4">
        <f>IF(AND(Table1[[#This Row],[Rework_Flag]]="Yes",Table1[[#This Row],[Warranty_Claim]]="No"),Table1[[#This Row],[Service_Revenue]],0)</f>
        <v>0</v>
      </c>
      <c r="V2029" s="4">
        <f>IF(Table1[[#This Row],[Warranty_Claim]]="Yes",1,0)</f>
        <v>1</v>
      </c>
      <c r="W2029" s="4">
        <f>IF(Table1[[#This Row],[Rework_Flag]]="No",1,0)</f>
        <v>0</v>
      </c>
      <c r="X2029" s="4">
        <f>IF(Table1[[#This Row],[Rework_Flag]]="Yes",1,0)</f>
        <v>1</v>
      </c>
      <c r="Y2029" s="4">
        <v>1</v>
      </c>
      <c r="Z2029" s="4" t="str">
        <f>IF(Table1[[#This Row],[TAT_Days]]&gt;Table1[[#This Row],[SLA_TAT]],"Yes","No")</f>
        <v>Yes</v>
      </c>
      <c r="AA2029" s="4" t="str" cm="1">
        <f t="array" ref="AA2029">_xlfn.IFS(Table1[[#This Row],[Customer_Satisfaction]]&lt;=2,"Poor",Table1[[#This Row],[Customer_Satisfaction]]=3,"Neutral",Table1[[#This Row],[Customer_Satisfaction]]=4,"Good",Table1[[#This Row],[Customer_Satisfaction]]=5,"Good")</f>
        <v>Poor</v>
      </c>
    </row>
    <row r="2030" spans="1:27" x14ac:dyDescent="0.35">
      <c r="A2030">
        <v>22028</v>
      </c>
      <c r="B2030" s="1">
        <v>45414</v>
      </c>
      <c r="C2030" t="s">
        <v>37</v>
      </c>
      <c r="D2030" t="s">
        <v>70</v>
      </c>
      <c r="E2030" t="s">
        <v>100</v>
      </c>
      <c r="F2030" t="s">
        <v>22</v>
      </c>
      <c r="G2030" t="s">
        <v>41</v>
      </c>
      <c r="H2030" t="s">
        <v>42</v>
      </c>
      <c r="I2030" t="s">
        <v>55</v>
      </c>
      <c r="J2030" t="s">
        <v>58</v>
      </c>
      <c r="K2030" t="s">
        <v>44</v>
      </c>
      <c r="L2030" t="s">
        <v>49</v>
      </c>
      <c r="M2030" s="4">
        <v>18</v>
      </c>
      <c r="N2030" s="4">
        <v>7</v>
      </c>
      <c r="O2030" t="s">
        <v>36</v>
      </c>
      <c r="P2030" t="s">
        <v>36</v>
      </c>
      <c r="Q2030" s="4">
        <v>579323</v>
      </c>
      <c r="R2030" s="4">
        <v>488380</v>
      </c>
      <c r="S2030" s="4">
        <f>Table1[[#This Row],[Service_Revenue]]-Table1[[#This Row],[Service_Cost]]</f>
        <v>90943</v>
      </c>
      <c r="T2030" s="4">
        <v>2</v>
      </c>
      <c r="U2030" s="4">
        <f>IF(AND(Table1[[#This Row],[Rework_Flag]]="Yes",Table1[[#This Row],[Warranty_Claim]]="No"),Table1[[#This Row],[Service_Revenue]],0)</f>
        <v>0</v>
      </c>
      <c r="V2030" s="4">
        <f>IF(Table1[[#This Row],[Warranty_Claim]]="Yes",1,0)</f>
        <v>0</v>
      </c>
      <c r="W2030" s="4">
        <f>IF(Table1[[#This Row],[Rework_Flag]]="No",1,0)</f>
        <v>1</v>
      </c>
      <c r="X2030" s="4">
        <f>IF(Table1[[#This Row],[Rework_Flag]]="Yes",1,0)</f>
        <v>0</v>
      </c>
      <c r="Y2030" s="4">
        <v>1</v>
      </c>
      <c r="Z2030" s="4" t="str">
        <f>IF(Table1[[#This Row],[TAT_Days]]&gt;Table1[[#This Row],[SLA_TAT]],"Yes","No")</f>
        <v>Yes</v>
      </c>
      <c r="AA2030" s="4" t="str" cm="1">
        <f t="array" ref="AA2030">_xlfn.IFS(Table1[[#This Row],[Customer_Satisfaction]]&lt;=2,"Poor",Table1[[#This Row],[Customer_Satisfaction]]=3,"Neutral",Table1[[#This Row],[Customer_Satisfaction]]=4,"Good",Table1[[#This Row],[Customer_Satisfaction]]=5,"Good")</f>
        <v>Poor</v>
      </c>
    </row>
    <row r="2031" spans="1:27" x14ac:dyDescent="0.35">
      <c r="A2031">
        <v>22029</v>
      </c>
      <c r="B2031" s="1">
        <v>45350</v>
      </c>
      <c r="C2031" t="s">
        <v>19</v>
      </c>
      <c r="D2031" t="s">
        <v>96</v>
      </c>
      <c r="E2031" t="s">
        <v>109</v>
      </c>
      <c r="F2031" t="s">
        <v>53</v>
      </c>
      <c r="G2031" t="s">
        <v>23</v>
      </c>
      <c r="H2031" t="s">
        <v>24</v>
      </c>
      <c r="I2031" t="s">
        <v>55</v>
      </c>
      <c r="J2031" t="s">
        <v>43</v>
      </c>
      <c r="K2031" t="s">
        <v>61</v>
      </c>
      <c r="L2031" t="s">
        <v>28</v>
      </c>
      <c r="M2031" s="4">
        <v>5</v>
      </c>
      <c r="N2031" s="4">
        <v>7</v>
      </c>
      <c r="O2031" t="s">
        <v>36</v>
      </c>
      <c r="P2031" t="s">
        <v>36</v>
      </c>
      <c r="Q2031" s="4">
        <v>196722</v>
      </c>
      <c r="R2031" s="4">
        <v>157672</v>
      </c>
      <c r="S2031" s="4">
        <f>Table1[[#This Row],[Service_Revenue]]-Table1[[#This Row],[Service_Cost]]</f>
        <v>39050</v>
      </c>
      <c r="T2031" s="4">
        <v>4</v>
      </c>
      <c r="U2031" s="4">
        <f>IF(AND(Table1[[#This Row],[Rework_Flag]]="Yes",Table1[[#This Row],[Warranty_Claim]]="No"),Table1[[#This Row],[Service_Revenue]],0)</f>
        <v>0</v>
      </c>
      <c r="V2031" s="4">
        <f>IF(Table1[[#This Row],[Warranty_Claim]]="Yes",1,0)</f>
        <v>0</v>
      </c>
      <c r="W2031" s="4">
        <f>IF(Table1[[#This Row],[Rework_Flag]]="No",1,0)</f>
        <v>1</v>
      </c>
      <c r="X2031" s="4">
        <f>IF(Table1[[#This Row],[Rework_Flag]]="Yes",1,0)</f>
        <v>0</v>
      </c>
      <c r="Y2031" s="4">
        <v>1</v>
      </c>
      <c r="Z2031" s="4" t="str">
        <f>IF(Table1[[#This Row],[TAT_Days]]&gt;Table1[[#This Row],[SLA_TAT]],"Yes","No")</f>
        <v>No</v>
      </c>
      <c r="AA2031" s="4" t="str" cm="1">
        <f t="array" ref="AA2031">_xlfn.IFS(Table1[[#This Row],[Customer_Satisfaction]]&lt;=2,"Poor",Table1[[#This Row],[Customer_Satisfaction]]=3,"Neutral",Table1[[#This Row],[Customer_Satisfaction]]=4,"Good",Table1[[#This Row],[Customer_Satisfaction]]=5,"Good")</f>
        <v>Good</v>
      </c>
    </row>
    <row r="2032" spans="1:27" x14ac:dyDescent="0.35">
      <c r="A2032">
        <v>22030</v>
      </c>
      <c r="B2032" s="1">
        <v>45425</v>
      </c>
      <c r="C2032" t="s">
        <v>50</v>
      </c>
      <c r="D2032" t="s">
        <v>56</v>
      </c>
      <c r="E2032" t="s">
        <v>101</v>
      </c>
      <c r="F2032" t="s">
        <v>40</v>
      </c>
      <c r="G2032" t="s">
        <v>54</v>
      </c>
      <c r="H2032" t="s">
        <v>42</v>
      </c>
      <c r="I2032" t="s">
        <v>55</v>
      </c>
      <c r="J2032" t="s">
        <v>67</v>
      </c>
      <c r="K2032" t="s">
        <v>27</v>
      </c>
      <c r="L2032" t="s">
        <v>28</v>
      </c>
      <c r="M2032" s="4">
        <v>2</v>
      </c>
      <c r="N2032" s="4">
        <v>7</v>
      </c>
      <c r="O2032" t="s">
        <v>29</v>
      </c>
      <c r="P2032" t="s">
        <v>29</v>
      </c>
      <c r="Q2032" s="4">
        <v>238557</v>
      </c>
      <c r="R2032" s="4">
        <v>150588</v>
      </c>
      <c r="S2032" s="4">
        <f>Table1[[#This Row],[Service_Revenue]]-Table1[[#This Row],[Service_Cost]]</f>
        <v>87969</v>
      </c>
      <c r="T2032" s="4">
        <v>4</v>
      </c>
      <c r="U2032" s="4">
        <f>IF(AND(Table1[[#This Row],[Rework_Flag]]="Yes",Table1[[#This Row],[Warranty_Claim]]="No"),Table1[[#This Row],[Service_Revenue]],0)</f>
        <v>0</v>
      </c>
      <c r="V2032" s="4">
        <f>IF(Table1[[#This Row],[Warranty_Claim]]="Yes",1,0)</f>
        <v>1</v>
      </c>
      <c r="W2032" s="4">
        <f>IF(Table1[[#This Row],[Rework_Flag]]="No",1,0)</f>
        <v>0</v>
      </c>
      <c r="X2032" s="4">
        <f>IF(Table1[[#This Row],[Rework_Flag]]="Yes",1,0)</f>
        <v>1</v>
      </c>
      <c r="Y2032" s="4">
        <v>1</v>
      </c>
      <c r="Z2032" s="4" t="str">
        <f>IF(Table1[[#This Row],[TAT_Days]]&gt;Table1[[#This Row],[SLA_TAT]],"Yes","No")</f>
        <v>No</v>
      </c>
      <c r="AA2032" s="4" t="str" cm="1">
        <f t="array" ref="AA2032">_xlfn.IFS(Table1[[#This Row],[Customer_Satisfaction]]&lt;=2,"Poor",Table1[[#This Row],[Customer_Satisfaction]]=3,"Neutral",Table1[[#This Row],[Customer_Satisfaction]]=4,"Good",Table1[[#This Row],[Customer_Satisfaction]]=5,"Good")</f>
        <v>Good</v>
      </c>
    </row>
    <row r="2033" spans="1:27" x14ac:dyDescent="0.35">
      <c r="A2033">
        <v>22031</v>
      </c>
      <c r="B2033" s="1">
        <v>45341</v>
      </c>
      <c r="C2033" t="s">
        <v>50</v>
      </c>
      <c r="D2033" t="s">
        <v>51</v>
      </c>
      <c r="E2033" t="s">
        <v>120</v>
      </c>
      <c r="F2033" t="s">
        <v>22</v>
      </c>
      <c r="G2033" t="s">
        <v>63</v>
      </c>
      <c r="H2033" t="s">
        <v>24</v>
      </c>
      <c r="I2033" t="s">
        <v>55</v>
      </c>
      <c r="J2033" t="s">
        <v>58</v>
      </c>
      <c r="K2033" t="s">
        <v>61</v>
      </c>
      <c r="L2033" t="s">
        <v>28</v>
      </c>
      <c r="M2033" s="4">
        <v>7</v>
      </c>
      <c r="N2033" s="4">
        <v>7</v>
      </c>
      <c r="O2033" t="s">
        <v>29</v>
      </c>
      <c r="P2033" t="s">
        <v>29</v>
      </c>
      <c r="Q2033" s="4">
        <v>95239</v>
      </c>
      <c r="R2033" s="4">
        <v>70918</v>
      </c>
      <c r="S2033" s="4">
        <f>Table1[[#This Row],[Service_Revenue]]-Table1[[#This Row],[Service_Cost]]</f>
        <v>24321</v>
      </c>
      <c r="T2033" s="4">
        <v>3</v>
      </c>
      <c r="U2033" s="4">
        <f>IF(AND(Table1[[#This Row],[Rework_Flag]]="Yes",Table1[[#This Row],[Warranty_Claim]]="No"),Table1[[#This Row],[Service_Revenue]],0)</f>
        <v>0</v>
      </c>
      <c r="V2033" s="4">
        <f>IF(Table1[[#This Row],[Warranty_Claim]]="Yes",1,0)</f>
        <v>1</v>
      </c>
      <c r="W2033" s="4">
        <f>IF(Table1[[#This Row],[Rework_Flag]]="No",1,0)</f>
        <v>0</v>
      </c>
      <c r="X2033" s="4">
        <f>IF(Table1[[#This Row],[Rework_Flag]]="Yes",1,0)</f>
        <v>1</v>
      </c>
      <c r="Y2033" s="4">
        <v>1</v>
      </c>
      <c r="Z2033" s="4" t="str">
        <f>IF(Table1[[#This Row],[TAT_Days]]&gt;Table1[[#This Row],[SLA_TAT]],"Yes","No")</f>
        <v>No</v>
      </c>
      <c r="AA2033" s="4" t="str" cm="1">
        <f t="array" ref="AA2033">_xlfn.IFS(Table1[[#This Row],[Customer_Satisfaction]]&lt;=2,"Poor",Table1[[#This Row],[Customer_Satisfaction]]=3,"Neutral",Table1[[#This Row],[Customer_Satisfaction]]=4,"Good",Table1[[#This Row],[Customer_Satisfaction]]=5,"Good")</f>
        <v>Neutral</v>
      </c>
    </row>
    <row r="2034" spans="1:27" x14ac:dyDescent="0.35">
      <c r="A2034">
        <v>22032</v>
      </c>
      <c r="B2034" s="1">
        <v>45375</v>
      </c>
      <c r="C2034" t="s">
        <v>50</v>
      </c>
      <c r="D2034" t="s">
        <v>56</v>
      </c>
      <c r="E2034" t="s">
        <v>57</v>
      </c>
      <c r="F2034" t="s">
        <v>22</v>
      </c>
      <c r="G2034" t="s">
        <v>41</v>
      </c>
      <c r="H2034" t="s">
        <v>42</v>
      </c>
      <c r="I2034" t="s">
        <v>55</v>
      </c>
      <c r="J2034" t="s">
        <v>26</v>
      </c>
      <c r="K2034" t="s">
        <v>61</v>
      </c>
      <c r="L2034" t="s">
        <v>28</v>
      </c>
      <c r="M2034" s="4">
        <v>23</v>
      </c>
      <c r="N2034" s="4">
        <v>7</v>
      </c>
      <c r="O2034" t="s">
        <v>29</v>
      </c>
      <c r="P2034" t="s">
        <v>36</v>
      </c>
      <c r="Q2034" s="4">
        <v>553046</v>
      </c>
      <c r="R2034" s="4">
        <v>373266</v>
      </c>
      <c r="S2034" s="4">
        <f>Table1[[#This Row],[Service_Revenue]]-Table1[[#This Row],[Service_Cost]]</f>
        <v>179780</v>
      </c>
      <c r="T2034" s="4">
        <v>1</v>
      </c>
      <c r="U2034" s="4">
        <f>IF(AND(Table1[[#This Row],[Rework_Flag]]="Yes",Table1[[#This Row],[Warranty_Claim]]="No"),Table1[[#This Row],[Service_Revenue]],0)</f>
        <v>553046</v>
      </c>
      <c r="V2034" s="4">
        <f>IF(Table1[[#This Row],[Warranty_Claim]]="Yes",1,0)</f>
        <v>0</v>
      </c>
      <c r="W2034" s="4">
        <f>IF(Table1[[#This Row],[Rework_Flag]]="No",1,0)</f>
        <v>0</v>
      </c>
      <c r="X2034" s="4">
        <f>IF(Table1[[#This Row],[Rework_Flag]]="Yes",1,0)</f>
        <v>1</v>
      </c>
      <c r="Y2034" s="4">
        <v>1</v>
      </c>
      <c r="Z2034" s="4" t="str">
        <f>IF(Table1[[#This Row],[TAT_Days]]&gt;Table1[[#This Row],[SLA_TAT]],"Yes","No")</f>
        <v>Yes</v>
      </c>
      <c r="AA2034" s="4" t="str" cm="1">
        <f t="array" ref="AA2034">_xlfn.IFS(Table1[[#This Row],[Customer_Satisfaction]]&lt;=2,"Poor",Table1[[#This Row],[Customer_Satisfaction]]=3,"Neutral",Table1[[#This Row],[Customer_Satisfaction]]=4,"Good",Table1[[#This Row],[Customer_Satisfaction]]=5,"Good")</f>
        <v>Poor</v>
      </c>
    </row>
    <row r="2035" spans="1:27" x14ac:dyDescent="0.35">
      <c r="A2035">
        <v>22033</v>
      </c>
      <c r="B2035" s="1">
        <v>45447</v>
      </c>
      <c r="C2035" t="s">
        <v>19</v>
      </c>
      <c r="D2035" t="s">
        <v>45</v>
      </c>
      <c r="E2035" t="s">
        <v>99</v>
      </c>
      <c r="F2035" t="s">
        <v>22</v>
      </c>
      <c r="G2035" t="s">
        <v>63</v>
      </c>
      <c r="H2035" t="s">
        <v>24</v>
      </c>
      <c r="I2035" t="s">
        <v>55</v>
      </c>
      <c r="J2035" t="s">
        <v>58</v>
      </c>
      <c r="K2035" t="s">
        <v>27</v>
      </c>
      <c r="L2035" t="s">
        <v>28</v>
      </c>
      <c r="M2035" s="4">
        <v>12</v>
      </c>
      <c r="N2035" s="4">
        <v>7</v>
      </c>
      <c r="O2035" t="s">
        <v>29</v>
      </c>
      <c r="P2035" t="s">
        <v>36</v>
      </c>
      <c r="Q2035" s="4">
        <v>111148</v>
      </c>
      <c r="R2035" s="4">
        <v>66397</v>
      </c>
      <c r="S2035" s="4">
        <f>Table1[[#This Row],[Service_Revenue]]-Table1[[#This Row],[Service_Cost]]</f>
        <v>44751</v>
      </c>
      <c r="T2035" s="4">
        <v>2</v>
      </c>
      <c r="U2035" s="4">
        <f>IF(AND(Table1[[#This Row],[Rework_Flag]]="Yes",Table1[[#This Row],[Warranty_Claim]]="No"),Table1[[#This Row],[Service_Revenue]],0)</f>
        <v>111148</v>
      </c>
      <c r="V2035" s="4">
        <f>IF(Table1[[#This Row],[Warranty_Claim]]="Yes",1,0)</f>
        <v>0</v>
      </c>
      <c r="W2035" s="4">
        <f>IF(Table1[[#This Row],[Rework_Flag]]="No",1,0)</f>
        <v>0</v>
      </c>
      <c r="X2035" s="4">
        <f>IF(Table1[[#This Row],[Rework_Flag]]="Yes",1,0)</f>
        <v>1</v>
      </c>
      <c r="Y2035" s="4">
        <v>1</v>
      </c>
      <c r="Z2035" s="4" t="str">
        <f>IF(Table1[[#This Row],[TAT_Days]]&gt;Table1[[#This Row],[SLA_TAT]],"Yes","No")</f>
        <v>Yes</v>
      </c>
      <c r="AA2035" s="4" t="str" cm="1">
        <f t="array" ref="AA2035">_xlfn.IFS(Table1[[#This Row],[Customer_Satisfaction]]&lt;=2,"Poor",Table1[[#This Row],[Customer_Satisfaction]]=3,"Neutral",Table1[[#This Row],[Customer_Satisfaction]]=4,"Good",Table1[[#This Row],[Customer_Satisfaction]]=5,"Good")</f>
        <v>Poor</v>
      </c>
    </row>
    <row r="2036" spans="1:27" x14ac:dyDescent="0.35">
      <c r="A2036">
        <v>22034</v>
      </c>
      <c r="B2036" s="1">
        <v>45348</v>
      </c>
      <c r="C2036" t="s">
        <v>30</v>
      </c>
      <c r="D2036" t="s">
        <v>31</v>
      </c>
      <c r="E2036" t="s">
        <v>62</v>
      </c>
      <c r="F2036" t="s">
        <v>22</v>
      </c>
      <c r="G2036" t="s">
        <v>63</v>
      </c>
      <c r="H2036" t="s">
        <v>24</v>
      </c>
      <c r="I2036" t="s">
        <v>25</v>
      </c>
      <c r="J2036" t="s">
        <v>43</v>
      </c>
      <c r="K2036" t="s">
        <v>27</v>
      </c>
      <c r="L2036" t="s">
        <v>49</v>
      </c>
      <c r="M2036" s="4">
        <v>22</v>
      </c>
      <c r="N2036" s="4">
        <v>7</v>
      </c>
      <c r="O2036" t="s">
        <v>29</v>
      </c>
      <c r="P2036" t="s">
        <v>36</v>
      </c>
      <c r="Q2036" s="4">
        <v>171376</v>
      </c>
      <c r="R2036" s="4">
        <v>113731</v>
      </c>
      <c r="S2036" s="4">
        <f>Table1[[#This Row],[Service_Revenue]]-Table1[[#This Row],[Service_Cost]]</f>
        <v>57645</v>
      </c>
      <c r="T2036" s="4">
        <v>1</v>
      </c>
      <c r="U2036" s="4">
        <f>IF(AND(Table1[[#This Row],[Rework_Flag]]="Yes",Table1[[#This Row],[Warranty_Claim]]="No"),Table1[[#This Row],[Service_Revenue]],0)</f>
        <v>171376</v>
      </c>
      <c r="V2036" s="4">
        <f>IF(Table1[[#This Row],[Warranty_Claim]]="Yes",1,0)</f>
        <v>0</v>
      </c>
      <c r="W2036" s="4">
        <f>IF(Table1[[#This Row],[Rework_Flag]]="No",1,0)</f>
        <v>0</v>
      </c>
      <c r="X2036" s="4">
        <f>IF(Table1[[#This Row],[Rework_Flag]]="Yes",1,0)</f>
        <v>1</v>
      </c>
      <c r="Y2036" s="4">
        <v>1</v>
      </c>
      <c r="Z2036" s="4" t="str">
        <f>IF(Table1[[#This Row],[TAT_Days]]&gt;Table1[[#This Row],[SLA_TAT]],"Yes","No")</f>
        <v>Yes</v>
      </c>
      <c r="AA2036" s="4" t="str" cm="1">
        <f t="array" ref="AA2036">_xlfn.IFS(Table1[[#This Row],[Customer_Satisfaction]]&lt;=2,"Poor",Table1[[#This Row],[Customer_Satisfaction]]=3,"Neutral",Table1[[#This Row],[Customer_Satisfaction]]=4,"Good",Table1[[#This Row],[Customer_Satisfaction]]=5,"Good")</f>
        <v>Poor</v>
      </c>
    </row>
    <row r="2037" spans="1:27" x14ac:dyDescent="0.35">
      <c r="A2037">
        <v>22035</v>
      </c>
      <c r="B2037" s="1">
        <v>45384</v>
      </c>
      <c r="C2037" t="s">
        <v>19</v>
      </c>
      <c r="D2037" t="s">
        <v>96</v>
      </c>
      <c r="E2037" t="s">
        <v>105</v>
      </c>
      <c r="F2037" t="s">
        <v>40</v>
      </c>
      <c r="G2037" t="s">
        <v>41</v>
      </c>
      <c r="H2037" t="s">
        <v>42</v>
      </c>
      <c r="I2037" t="s">
        <v>55</v>
      </c>
      <c r="J2037" t="s">
        <v>26</v>
      </c>
      <c r="K2037" t="s">
        <v>44</v>
      </c>
      <c r="L2037" t="s">
        <v>49</v>
      </c>
      <c r="M2037" s="4">
        <v>16</v>
      </c>
      <c r="N2037" s="4">
        <v>7</v>
      </c>
      <c r="O2037" t="s">
        <v>36</v>
      </c>
      <c r="P2037" t="s">
        <v>29</v>
      </c>
      <c r="Q2037" s="4">
        <v>431360</v>
      </c>
      <c r="R2037" s="4">
        <v>346716</v>
      </c>
      <c r="S2037" s="4">
        <f>Table1[[#This Row],[Service_Revenue]]-Table1[[#This Row],[Service_Cost]]</f>
        <v>84644</v>
      </c>
      <c r="T2037" s="4">
        <v>2</v>
      </c>
      <c r="U2037" s="4">
        <f>IF(AND(Table1[[#This Row],[Rework_Flag]]="Yes",Table1[[#This Row],[Warranty_Claim]]="No"),Table1[[#This Row],[Service_Revenue]],0)</f>
        <v>0</v>
      </c>
      <c r="V2037" s="4">
        <f>IF(Table1[[#This Row],[Warranty_Claim]]="Yes",1,0)</f>
        <v>1</v>
      </c>
      <c r="W2037" s="4">
        <f>IF(Table1[[#This Row],[Rework_Flag]]="No",1,0)</f>
        <v>1</v>
      </c>
      <c r="X2037" s="4">
        <f>IF(Table1[[#This Row],[Rework_Flag]]="Yes",1,0)</f>
        <v>0</v>
      </c>
      <c r="Y2037" s="4">
        <v>1</v>
      </c>
      <c r="Z2037" s="4" t="str">
        <f>IF(Table1[[#This Row],[TAT_Days]]&gt;Table1[[#This Row],[SLA_TAT]],"Yes","No")</f>
        <v>Yes</v>
      </c>
      <c r="AA2037" s="4" t="str" cm="1">
        <f t="array" ref="AA2037">_xlfn.IFS(Table1[[#This Row],[Customer_Satisfaction]]&lt;=2,"Poor",Table1[[#This Row],[Customer_Satisfaction]]=3,"Neutral",Table1[[#This Row],[Customer_Satisfaction]]=4,"Good",Table1[[#This Row],[Customer_Satisfaction]]=5,"Good")</f>
        <v>Poor</v>
      </c>
    </row>
    <row r="2038" spans="1:27" x14ac:dyDescent="0.35">
      <c r="A2038">
        <v>22036</v>
      </c>
      <c r="B2038" s="1">
        <v>45335</v>
      </c>
      <c r="C2038" t="s">
        <v>50</v>
      </c>
      <c r="D2038" t="s">
        <v>51</v>
      </c>
      <c r="E2038" t="s">
        <v>73</v>
      </c>
      <c r="F2038" t="s">
        <v>53</v>
      </c>
      <c r="G2038" t="s">
        <v>54</v>
      </c>
      <c r="H2038" t="s">
        <v>42</v>
      </c>
      <c r="I2038" t="s">
        <v>25</v>
      </c>
      <c r="J2038" t="s">
        <v>67</v>
      </c>
      <c r="K2038" t="s">
        <v>61</v>
      </c>
      <c r="L2038" t="s">
        <v>28</v>
      </c>
      <c r="M2038" s="4">
        <v>23</v>
      </c>
      <c r="N2038" s="4">
        <v>7</v>
      </c>
      <c r="O2038" t="s">
        <v>36</v>
      </c>
      <c r="P2038" t="s">
        <v>36</v>
      </c>
      <c r="Q2038" s="4">
        <v>477659</v>
      </c>
      <c r="R2038" s="4">
        <v>340860</v>
      </c>
      <c r="S2038" s="4">
        <f>Table1[[#This Row],[Service_Revenue]]-Table1[[#This Row],[Service_Cost]]</f>
        <v>136799</v>
      </c>
      <c r="T2038" s="4">
        <v>1</v>
      </c>
      <c r="U2038" s="4">
        <f>IF(AND(Table1[[#This Row],[Rework_Flag]]="Yes",Table1[[#This Row],[Warranty_Claim]]="No"),Table1[[#This Row],[Service_Revenue]],0)</f>
        <v>0</v>
      </c>
      <c r="V2038" s="4">
        <f>IF(Table1[[#This Row],[Warranty_Claim]]="Yes",1,0)</f>
        <v>0</v>
      </c>
      <c r="W2038" s="4">
        <f>IF(Table1[[#This Row],[Rework_Flag]]="No",1,0)</f>
        <v>1</v>
      </c>
      <c r="X2038" s="4">
        <f>IF(Table1[[#This Row],[Rework_Flag]]="Yes",1,0)</f>
        <v>0</v>
      </c>
      <c r="Y2038" s="4">
        <v>1</v>
      </c>
      <c r="Z2038" s="4" t="str">
        <f>IF(Table1[[#This Row],[TAT_Days]]&gt;Table1[[#This Row],[SLA_TAT]],"Yes","No")</f>
        <v>Yes</v>
      </c>
      <c r="AA2038" s="4" t="str" cm="1">
        <f t="array" ref="AA2038">_xlfn.IFS(Table1[[#This Row],[Customer_Satisfaction]]&lt;=2,"Poor",Table1[[#This Row],[Customer_Satisfaction]]=3,"Neutral",Table1[[#This Row],[Customer_Satisfaction]]=4,"Good",Table1[[#This Row],[Customer_Satisfaction]]=5,"Good")</f>
        <v>Poor</v>
      </c>
    </row>
    <row r="2039" spans="1:27" x14ac:dyDescent="0.35">
      <c r="A2039">
        <v>22037</v>
      </c>
      <c r="B2039" s="1">
        <v>45305</v>
      </c>
      <c r="C2039" t="s">
        <v>50</v>
      </c>
      <c r="D2039" t="s">
        <v>51</v>
      </c>
      <c r="E2039" t="s">
        <v>73</v>
      </c>
      <c r="F2039" t="s">
        <v>53</v>
      </c>
      <c r="G2039" t="s">
        <v>54</v>
      </c>
      <c r="H2039" t="s">
        <v>42</v>
      </c>
      <c r="I2039" t="s">
        <v>55</v>
      </c>
      <c r="J2039" t="s">
        <v>26</v>
      </c>
      <c r="K2039" t="s">
        <v>27</v>
      </c>
      <c r="L2039" t="s">
        <v>28</v>
      </c>
      <c r="M2039" s="4">
        <v>10</v>
      </c>
      <c r="N2039" s="4">
        <v>7</v>
      </c>
      <c r="O2039" t="s">
        <v>36</v>
      </c>
      <c r="P2039" t="s">
        <v>36</v>
      </c>
      <c r="Q2039" s="4">
        <v>166363</v>
      </c>
      <c r="R2039" s="4">
        <v>108799</v>
      </c>
      <c r="S2039" s="4">
        <f>Table1[[#This Row],[Service_Revenue]]-Table1[[#This Row],[Service_Cost]]</f>
        <v>57564</v>
      </c>
      <c r="T2039" s="4">
        <v>3</v>
      </c>
      <c r="U2039" s="4">
        <f>IF(AND(Table1[[#This Row],[Rework_Flag]]="Yes",Table1[[#This Row],[Warranty_Claim]]="No"),Table1[[#This Row],[Service_Revenue]],0)</f>
        <v>0</v>
      </c>
      <c r="V2039" s="4">
        <f>IF(Table1[[#This Row],[Warranty_Claim]]="Yes",1,0)</f>
        <v>0</v>
      </c>
      <c r="W2039" s="4">
        <f>IF(Table1[[#This Row],[Rework_Flag]]="No",1,0)</f>
        <v>1</v>
      </c>
      <c r="X2039" s="4">
        <f>IF(Table1[[#This Row],[Rework_Flag]]="Yes",1,0)</f>
        <v>0</v>
      </c>
      <c r="Y2039" s="4">
        <v>1</v>
      </c>
      <c r="Z2039" s="4" t="str">
        <f>IF(Table1[[#This Row],[TAT_Days]]&gt;Table1[[#This Row],[SLA_TAT]],"Yes","No")</f>
        <v>Yes</v>
      </c>
      <c r="AA2039" s="4" t="str" cm="1">
        <f t="array" ref="AA2039">_xlfn.IFS(Table1[[#This Row],[Customer_Satisfaction]]&lt;=2,"Poor",Table1[[#This Row],[Customer_Satisfaction]]=3,"Neutral",Table1[[#This Row],[Customer_Satisfaction]]=4,"Good",Table1[[#This Row],[Customer_Satisfaction]]=5,"Good")</f>
        <v>Neutral</v>
      </c>
    </row>
    <row r="2040" spans="1:27" x14ac:dyDescent="0.35">
      <c r="A2040">
        <v>22038</v>
      </c>
      <c r="B2040" s="1">
        <v>45383</v>
      </c>
      <c r="C2040" t="s">
        <v>37</v>
      </c>
      <c r="D2040" t="s">
        <v>38</v>
      </c>
      <c r="E2040" t="s">
        <v>39</v>
      </c>
      <c r="F2040" t="s">
        <v>53</v>
      </c>
      <c r="G2040" t="s">
        <v>63</v>
      </c>
      <c r="H2040" t="s">
        <v>24</v>
      </c>
      <c r="I2040" t="s">
        <v>55</v>
      </c>
      <c r="J2040" t="s">
        <v>43</v>
      </c>
      <c r="K2040" t="s">
        <v>27</v>
      </c>
      <c r="L2040" t="s">
        <v>28</v>
      </c>
      <c r="M2040" s="4">
        <v>21</v>
      </c>
      <c r="N2040" s="4">
        <v>7</v>
      </c>
      <c r="O2040" t="s">
        <v>29</v>
      </c>
      <c r="P2040" t="s">
        <v>29</v>
      </c>
      <c r="Q2040" s="4">
        <v>445642</v>
      </c>
      <c r="R2040" s="4">
        <v>342273</v>
      </c>
      <c r="S2040" s="4">
        <f>Table1[[#This Row],[Service_Revenue]]-Table1[[#This Row],[Service_Cost]]</f>
        <v>103369</v>
      </c>
      <c r="T2040" s="4">
        <v>1</v>
      </c>
      <c r="U2040" s="4">
        <f>IF(AND(Table1[[#This Row],[Rework_Flag]]="Yes",Table1[[#This Row],[Warranty_Claim]]="No"),Table1[[#This Row],[Service_Revenue]],0)</f>
        <v>0</v>
      </c>
      <c r="V2040" s="4">
        <f>IF(Table1[[#This Row],[Warranty_Claim]]="Yes",1,0)</f>
        <v>1</v>
      </c>
      <c r="W2040" s="4">
        <f>IF(Table1[[#This Row],[Rework_Flag]]="No",1,0)</f>
        <v>0</v>
      </c>
      <c r="X2040" s="4">
        <f>IF(Table1[[#This Row],[Rework_Flag]]="Yes",1,0)</f>
        <v>1</v>
      </c>
      <c r="Y2040" s="4">
        <v>1</v>
      </c>
      <c r="Z2040" s="4" t="str">
        <f>IF(Table1[[#This Row],[TAT_Days]]&gt;Table1[[#This Row],[SLA_TAT]],"Yes","No")</f>
        <v>Yes</v>
      </c>
      <c r="AA2040" s="4" t="str" cm="1">
        <f t="array" ref="AA2040">_xlfn.IFS(Table1[[#This Row],[Customer_Satisfaction]]&lt;=2,"Poor",Table1[[#This Row],[Customer_Satisfaction]]=3,"Neutral",Table1[[#This Row],[Customer_Satisfaction]]=4,"Good",Table1[[#This Row],[Customer_Satisfaction]]=5,"Good")</f>
        <v>Poor</v>
      </c>
    </row>
    <row r="2041" spans="1:27" x14ac:dyDescent="0.35">
      <c r="A2041">
        <v>22039</v>
      </c>
      <c r="B2041" s="1">
        <v>45362</v>
      </c>
      <c r="C2041" t="s">
        <v>50</v>
      </c>
      <c r="D2041" t="s">
        <v>80</v>
      </c>
      <c r="E2041" t="s">
        <v>85</v>
      </c>
      <c r="F2041" t="s">
        <v>40</v>
      </c>
      <c r="G2041" t="s">
        <v>23</v>
      </c>
      <c r="H2041" t="s">
        <v>24</v>
      </c>
      <c r="I2041" t="s">
        <v>25</v>
      </c>
      <c r="J2041" t="s">
        <v>67</v>
      </c>
      <c r="K2041" t="s">
        <v>27</v>
      </c>
      <c r="L2041" t="s">
        <v>28</v>
      </c>
      <c r="M2041" s="4">
        <v>6</v>
      </c>
      <c r="N2041" s="4">
        <v>7</v>
      </c>
      <c r="O2041" t="s">
        <v>29</v>
      </c>
      <c r="P2041" t="s">
        <v>36</v>
      </c>
      <c r="Q2041" s="4">
        <v>283064</v>
      </c>
      <c r="R2041" s="4">
        <v>189789</v>
      </c>
      <c r="S2041" s="4">
        <f>Table1[[#This Row],[Service_Revenue]]-Table1[[#This Row],[Service_Cost]]</f>
        <v>93275</v>
      </c>
      <c r="T2041" s="4">
        <v>3</v>
      </c>
      <c r="U2041" s="4">
        <f>IF(AND(Table1[[#This Row],[Rework_Flag]]="Yes",Table1[[#This Row],[Warranty_Claim]]="No"),Table1[[#This Row],[Service_Revenue]],0)</f>
        <v>283064</v>
      </c>
      <c r="V2041" s="4">
        <f>IF(Table1[[#This Row],[Warranty_Claim]]="Yes",1,0)</f>
        <v>0</v>
      </c>
      <c r="W2041" s="4">
        <f>IF(Table1[[#This Row],[Rework_Flag]]="No",1,0)</f>
        <v>0</v>
      </c>
      <c r="X2041" s="4">
        <f>IF(Table1[[#This Row],[Rework_Flag]]="Yes",1,0)</f>
        <v>1</v>
      </c>
      <c r="Y2041" s="4">
        <v>1</v>
      </c>
      <c r="Z2041" s="4" t="str">
        <f>IF(Table1[[#This Row],[TAT_Days]]&gt;Table1[[#This Row],[SLA_TAT]],"Yes","No")</f>
        <v>No</v>
      </c>
      <c r="AA2041" s="4" t="str" cm="1">
        <f t="array" ref="AA2041">_xlfn.IFS(Table1[[#This Row],[Customer_Satisfaction]]&lt;=2,"Poor",Table1[[#This Row],[Customer_Satisfaction]]=3,"Neutral",Table1[[#This Row],[Customer_Satisfaction]]=4,"Good",Table1[[#This Row],[Customer_Satisfaction]]=5,"Good")</f>
        <v>Neutral</v>
      </c>
    </row>
    <row r="2042" spans="1:27" x14ac:dyDescent="0.35">
      <c r="A2042">
        <v>22040</v>
      </c>
      <c r="B2042" s="1">
        <v>45345</v>
      </c>
      <c r="C2042" t="s">
        <v>19</v>
      </c>
      <c r="D2042" t="s">
        <v>20</v>
      </c>
      <c r="E2042" t="s">
        <v>21</v>
      </c>
      <c r="F2042" t="s">
        <v>40</v>
      </c>
      <c r="G2042" t="s">
        <v>74</v>
      </c>
      <c r="H2042" t="s">
        <v>34</v>
      </c>
      <c r="I2042" t="s">
        <v>55</v>
      </c>
      <c r="J2042" t="s">
        <v>26</v>
      </c>
      <c r="K2042" t="s">
        <v>44</v>
      </c>
      <c r="L2042" t="s">
        <v>28</v>
      </c>
      <c r="M2042" s="4">
        <v>7</v>
      </c>
      <c r="N2042" s="4">
        <v>7</v>
      </c>
      <c r="O2042" t="s">
        <v>36</v>
      </c>
      <c r="P2042" t="s">
        <v>36</v>
      </c>
      <c r="Q2042" s="4">
        <v>318536</v>
      </c>
      <c r="R2042" s="4">
        <v>221264</v>
      </c>
      <c r="S2042" s="4">
        <f>Table1[[#This Row],[Service_Revenue]]-Table1[[#This Row],[Service_Cost]]</f>
        <v>97272</v>
      </c>
      <c r="T2042" s="4">
        <v>4</v>
      </c>
      <c r="U2042" s="4">
        <f>IF(AND(Table1[[#This Row],[Rework_Flag]]="Yes",Table1[[#This Row],[Warranty_Claim]]="No"),Table1[[#This Row],[Service_Revenue]],0)</f>
        <v>0</v>
      </c>
      <c r="V2042" s="4">
        <f>IF(Table1[[#This Row],[Warranty_Claim]]="Yes",1,0)</f>
        <v>0</v>
      </c>
      <c r="W2042" s="4">
        <f>IF(Table1[[#This Row],[Rework_Flag]]="No",1,0)</f>
        <v>1</v>
      </c>
      <c r="X2042" s="4">
        <f>IF(Table1[[#This Row],[Rework_Flag]]="Yes",1,0)</f>
        <v>0</v>
      </c>
      <c r="Y2042" s="4">
        <v>1</v>
      </c>
      <c r="Z2042" s="4" t="str">
        <f>IF(Table1[[#This Row],[TAT_Days]]&gt;Table1[[#This Row],[SLA_TAT]],"Yes","No")</f>
        <v>No</v>
      </c>
      <c r="AA2042" s="4" t="str" cm="1">
        <f t="array" ref="AA2042">_xlfn.IFS(Table1[[#This Row],[Customer_Satisfaction]]&lt;=2,"Poor",Table1[[#This Row],[Customer_Satisfaction]]=3,"Neutral",Table1[[#This Row],[Customer_Satisfaction]]=4,"Good",Table1[[#This Row],[Customer_Satisfaction]]=5,"Good")</f>
        <v>Good</v>
      </c>
    </row>
    <row r="2043" spans="1:27" x14ac:dyDescent="0.35">
      <c r="A2043">
        <v>22041</v>
      </c>
      <c r="B2043" s="1">
        <v>45329</v>
      </c>
      <c r="C2043" t="s">
        <v>19</v>
      </c>
      <c r="D2043" t="s">
        <v>20</v>
      </c>
      <c r="E2043" t="s">
        <v>86</v>
      </c>
      <c r="F2043" t="s">
        <v>53</v>
      </c>
      <c r="G2043" t="s">
        <v>74</v>
      </c>
      <c r="H2043" t="s">
        <v>34</v>
      </c>
      <c r="I2043" t="s">
        <v>25</v>
      </c>
      <c r="J2043" t="s">
        <v>43</v>
      </c>
      <c r="K2043" t="s">
        <v>61</v>
      </c>
      <c r="L2043" t="s">
        <v>28</v>
      </c>
      <c r="M2043" s="4">
        <v>6</v>
      </c>
      <c r="N2043" s="4">
        <v>7</v>
      </c>
      <c r="O2043" t="s">
        <v>36</v>
      </c>
      <c r="P2043" t="s">
        <v>36</v>
      </c>
      <c r="Q2043" s="4">
        <v>303367</v>
      </c>
      <c r="R2043" s="4">
        <v>211183</v>
      </c>
      <c r="S2043" s="4">
        <f>Table1[[#This Row],[Service_Revenue]]-Table1[[#This Row],[Service_Cost]]</f>
        <v>92184</v>
      </c>
      <c r="T2043" s="4">
        <v>4</v>
      </c>
      <c r="U2043" s="4">
        <f>IF(AND(Table1[[#This Row],[Rework_Flag]]="Yes",Table1[[#This Row],[Warranty_Claim]]="No"),Table1[[#This Row],[Service_Revenue]],0)</f>
        <v>0</v>
      </c>
      <c r="V2043" s="4">
        <f>IF(Table1[[#This Row],[Warranty_Claim]]="Yes",1,0)</f>
        <v>0</v>
      </c>
      <c r="W2043" s="4">
        <f>IF(Table1[[#This Row],[Rework_Flag]]="No",1,0)</f>
        <v>1</v>
      </c>
      <c r="X2043" s="4">
        <f>IF(Table1[[#This Row],[Rework_Flag]]="Yes",1,0)</f>
        <v>0</v>
      </c>
      <c r="Y2043" s="4">
        <v>1</v>
      </c>
      <c r="Z2043" s="4" t="str">
        <f>IF(Table1[[#This Row],[TAT_Days]]&gt;Table1[[#This Row],[SLA_TAT]],"Yes","No")</f>
        <v>No</v>
      </c>
      <c r="AA2043" s="4" t="str" cm="1">
        <f t="array" ref="AA2043">_xlfn.IFS(Table1[[#This Row],[Customer_Satisfaction]]&lt;=2,"Poor",Table1[[#This Row],[Customer_Satisfaction]]=3,"Neutral",Table1[[#This Row],[Customer_Satisfaction]]=4,"Good",Table1[[#This Row],[Customer_Satisfaction]]=5,"Good")</f>
        <v>Good</v>
      </c>
    </row>
    <row r="2044" spans="1:27" x14ac:dyDescent="0.35">
      <c r="A2044">
        <v>22042</v>
      </c>
      <c r="B2044" s="1">
        <v>45455</v>
      </c>
      <c r="C2044" t="s">
        <v>50</v>
      </c>
      <c r="D2044" t="s">
        <v>56</v>
      </c>
      <c r="E2044" t="s">
        <v>88</v>
      </c>
      <c r="F2044" t="s">
        <v>22</v>
      </c>
      <c r="G2044" t="s">
        <v>54</v>
      </c>
      <c r="H2044" t="s">
        <v>42</v>
      </c>
      <c r="I2044" t="s">
        <v>55</v>
      </c>
      <c r="J2044" t="s">
        <v>43</v>
      </c>
      <c r="K2044" t="s">
        <v>27</v>
      </c>
      <c r="L2044" t="s">
        <v>49</v>
      </c>
      <c r="M2044" s="4">
        <v>10</v>
      </c>
      <c r="N2044" s="4">
        <v>7</v>
      </c>
      <c r="O2044" t="s">
        <v>29</v>
      </c>
      <c r="P2044" t="s">
        <v>36</v>
      </c>
      <c r="Q2044" s="4">
        <v>114427</v>
      </c>
      <c r="R2044" s="4">
        <v>72048</v>
      </c>
      <c r="S2044" s="4">
        <f>Table1[[#This Row],[Service_Revenue]]-Table1[[#This Row],[Service_Cost]]</f>
        <v>42379</v>
      </c>
      <c r="T2044" s="4">
        <v>2</v>
      </c>
      <c r="U2044" s="4">
        <f>IF(AND(Table1[[#This Row],[Rework_Flag]]="Yes",Table1[[#This Row],[Warranty_Claim]]="No"),Table1[[#This Row],[Service_Revenue]],0)</f>
        <v>114427</v>
      </c>
      <c r="V2044" s="4">
        <f>IF(Table1[[#This Row],[Warranty_Claim]]="Yes",1,0)</f>
        <v>0</v>
      </c>
      <c r="W2044" s="4">
        <f>IF(Table1[[#This Row],[Rework_Flag]]="No",1,0)</f>
        <v>0</v>
      </c>
      <c r="X2044" s="4">
        <f>IF(Table1[[#This Row],[Rework_Flag]]="Yes",1,0)</f>
        <v>1</v>
      </c>
      <c r="Y2044" s="4">
        <v>1</v>
      </c>
      <c r="Z2044" s="4" t="str">
        <f>IF(Table1[[#This Row],[TAT_Days]]&gt;Table1[[#This Row],[SLA_TAT]],"Yes","No")</f>
        <v>Yes</v>
      </c>
      <c r="AA2044" s="4" t="str" cm="1">
        <f t="array" ref="AA2044">_xlfn.IFS(Table1[[#This Row],[Customer_Satisfaction]]&lt;=2,"Poor",Table1[[#This Row],[Customer_Satisfaction]]=3,"Neutral",Table1[[#This Row],[Customer_Satisfaction]]=4,"Good",Table1[[#This Row],[Customer_Satisfaction]]=5,"Good")</f>
        <v>Poor</v>
      </c>
    </row>
    <row r="2045" spans="1:27" x14ac:dyDescent="0.35">
      <c r="A2045">
        <v>22043</v>
      </c>
      <c r="B2045" s="1">
        <v>45353</v>
      </c>
      <c r="C2045" t="s">
        <v>50</v>
      </c>
      <c r="D2045" t="s">
        <v>56</v>
      </c>
      <c r="E2045" t="s">
        <v>88</v>
      </c>
      <c r="F2045" t="s">
        <v>40</v>
      </c>
      <c r="G2045" t="s">
        <v>74</v>
      </c>
      <c r="H2045" t="s">
        <v>34</v>
      </c>
      <c r="I2045" t="s">
        <v>25</v>
      </c>
      <c r="J2045" t="s">
        <v>67</v>
      </c>
      <c r="K2045" t="s">
        <v>61</v>
      </c>
      <c r="L2045" t="s">
        <v>28</v>
      </c>
      <c r="M2045" s="4">
        <v>8</v>
      </c>
      <c r="N2045" s="4">
        <v>7</v>
      </c>
      <c r="O2045" t="s">
        <v>36</v>
      </c>
      <c r="P2045" t="s">
        <v>29</v>
      </c>
      <c r="Q2045" s="4">
        <v>462649</v>
      </c>
      <c r="R2045" s="4">
        <v>351044</v>
      </c>
      <c r="S2045" s="4">
        <f>Table1[[#This Row],[Service_Revenue]]-Table1[[#This Row],[Service_Cost]]</f>
        <v>111605</v>
      </c>
      <c r="T2045" s="4">
        <v>4</v>
      </c>
      <c r="U2045" s="4">
        <f>IF(AND(Table1[[#This Row],[Rework_Flag]]="Yes",Table1[[#This Row],[Warranty_Claim]]="No"),Table1[[#This Row],[Service_Revenue]],0)</f>
        <v>0</v>
      </c>
      <c r="V2045" s="4">
        <f>IF(Table1[[#This Row],[Warranty_Claim]]="Yes",1,0)</f>
        <v>1</v>
      </c>
      <c r="W2045" s="4">
        <f>IF(Table1[[#This Row],[Rework_Flag]]="No",1,0)</f>
        <v>1</v>
      </c>
      <c r="X2045" s="4">
        <f>IF(Table1[[#This Row],[Rework_Flag]]="Yes",1,0)</f>
        <v>0</v>
      </c>
      <c r="Y2045" s="4">
        <v>1</v>
      </c>
      <c r="Z2045" s="4" t="str">
        <f>IF(Table1[[#This Row],[TAT_Days]]&gt;Table1[[#This Row],[SLA_TAT]],"Yes","No")</f>
        <v>Yes</v>
      </c>
      <c r="AA2045" s="4" t="str" cm="1">
        <f t="array" ref="AA2045">_xlfn.IFS(Table1[[#This Row],[Customer_Satisfaction]]&lt;=2,"Poor",Table1[[#This Row],[Customer_Satisfaction]]=3,"Neutral",Table1[[#This Row],[Customer_Satisfaction]]=4,"Good",Table1[[#This Row],[Customer_Satisfaction]]=5,"Good")</f>
        <v>Good</v>
      </c>
    </row>
    <row r="2046" spans="1:27" x14ac:dyDescent="0.35">
      <c r="A2046">
        <v>22044</v>
      </c>
      <c r="B2046" s="1">
        <v>45390</v>
      </c>
      <c r="C2046" t="s">
        <v>30</v>
      </c>
      <c r="D2046" t="s">
        <v>31</v>
      </c>
      <c r="E2046" t="s">
        <v>106</v>
      </c>
      <c r="F2046" t="s">
        <v>40</v>
      </c>
      <c r="G2046" t="s">
        <v>23</v>
      </c>
      <c r="H2046" t="s">
        <v>24</v>
      </c>
      <c r="I2046" t="s">
        <v>55</v>
      </c>
      <c r="J2046" t="s">
        <v>67</v>
      </c>
      <c r="K2046" t="s">
        <v>61</v>
      </c>
      <c r="L2046" t="s">
        <v>28</v>
      </c>
      <c r="M2046" s="4">
        <v>11</v>
      </c>
      <c r="N2046" s="4">
        <v>7</v>
      </c>
      <c r="O2046" t="s">
        <v>29</v>
      </c>
      <c r="P2046" t="s">
        <v>36</v>
      </c>
      <c r="Q2046" s="4">
        <v>516277</v>
      </c>
      <c r="R2046" s="4">
        <v>298726</v>
      </c>
      <c r="S2046" s="4">
        <f>Table1[[#This Row],[Service_Revenue]]-Table1[[#This Row],[Service_Cost]]</f>
        <v>217551</v>
      </c>
      <c r="T2046" s="4">
        <v>2</v>
      </c>
      <c r="U2046" s="4">
        <f>IF(AND(Table1[[#This Row],[Rework_Flag]]="Yes",Table1[[#This Row],[Warranty_Claim]]="No"),Table1[[#This Row],[Service_Revenue]],0)</f>
        <v>516277</v>
      </c>
      <c r="V2046" s="4">
        <f>IF(Table1[[#This Row],[Warranty_Claim]]="Yes",1,0)</f>
        <v>0</v>
      </c>
      <c r="W2046" s="4">
        <f>IF(Table1[[#This Row],[Rework_Flag]]="No",1,0)</f>
        <v>0</v>
      </c>
      <c r="X2046" s="4">
        <f>IF(Table1[[#This Row],[Rework_Flag]]="Yes",1,0)</f>
        <v>1</v>
      </c>
      <c r="Y2046" s="4">
        <v>1</v>
      </c>
      <c r="Z2046" s="4" t="str">
        <f>IF(Table1[[#This Row],[TAT_Days]]&gt;Table1[[#This Row],[SLA_TAT]],"Yes","No")</f>
        <v>Yes</v>
      </c>
      <c r="AA2046" s="4" t="str" cm="1">
        <f t="array" ref="AA2046">_xlfn.IFS(Table1[[#This Row],[Customer_Satisfaction]]&lt;=2,"Poor",Table1[[#This Row],[Customer_Satisfaction]]=3,"Neutral",Table1[[#This Row],[Customer_Satisfaction]]=4,"Good",Table1[[#This Row],[Customer_Satisfaction]]=5,"Good")</f>
        <v>Poor</v>
      </c>
    </row>
    <row r="2047" spans="1:27" x14ac:dyDescent="0.35">
      <c r="A2047">
        <v>22045</v>
      </c>
      <c r="B2047" s="1">
        <v>45389</v>
      </c>
      <c r="C2047" t="s">
        <v>50</v>
      </c>
      <c r="D2047" t="s">
        <v>56</v>
      </c>
      <c r="E2047" t="s">
        <v>77</v>
      </c>
      <c r="F2047" t="s">
        <v>22</v>
      </c>
      <c r="G2047" t="s">
        <v>23</v>
      </c>
      <c r="H2047" t="s">
        <v>24</v>
      </c>
      <c r="I2047" t="s">
        <v>55</v>
      </c>
      <c r="J2047" t="s">
        <v>43</v>
      </c>
      <c r="K2047" t="s">
        <v>61</v>
      </c>
      <c r="L2047" t="s">
        <v>28</v>
      </c>
      <c r="M2047" s="4">
        <v>5</v>
      </c>
      <c r="N2047" s="4">
        <v>7</v>
      </c>
      <c r="O2047" t="s">
        <v>36</v>
      </c>
      <c r="P2047" t="s">
        <v>29</v>
      </c>
      <c r="Q2047" s="4">
        <v>172702</v>
      </c>
      <c r="R2047" s="4">
        <v>98876</v>
      </c>
      <c r="S2047" s="4">
        <f>Table1[[#This Row],[Service_Revenue]]-Table1[[#This Row],[Service_Cost]]</f>
        <v>73826</v>
      </c>
      <c r="T2047" s="4">
        <v>4</v>
      </c>
      <c r="U2047" s="4">
        <f>IF(AND(Table1[[#This Row],[Rework_Flag]]="Yes",Table1[[#This Row],[Warranty_Claim]]="No"),Table1[[#This Row],[Service_Revenue]],0)</f>
        <v>0</v>
      </c>
      <c r="V2047" s="4">
        <f>IF(Table1[[#This Row],[Warranty_Claim]]="Yes",1,0)</f>
        <v>1</v>
      </c>
      <c r="W2047" s="4">
        <f>IF(Table1[[#This Row],[Rework_Flag]]="No",1,0)</f>
        <v>1</v>
      </c>
      <c r="X2047" s="4">
        <f>IF(Table1[[#This Row],[Rework_Flag]]="Yes",1,0)</f>
        <v>0</v>
      </c>
      <c r="Y2047" s="4">
        <v>1</v>
      </c>
      <c r="Z2047" s="4" t="str">
        <f>IF(Table1[[#This Row],[TAT_Days]]&gt;Table1[[#This Row],[SLA_TAT]],"Yes","No")</f>
        <v>No</v>
      </c>
      <c r="AA2047" s="4" t="str" cm="1">
        <f t="array" ref="AA2047">_xlfn.IFS(Table1[[#This Row],[Customer_Satisfaction]]&lt;=2,"Poor",Table1[[#This Row],[Customer_Satisfaction]]=3,"Neutral",Table1[[#This Row],[Customer_Satisfaction]]=4,"Good",Table1[[#This Row],[Customer_Satisfaction]]=5,"Good")</f>
        <v>Good</v>
      </c>
    </row>
    <row r="2048" spans="1:27" x14ac:dyDescent="0.35">
      <c r="A2048">
        <v>22046</v>
      </c>
      <c r="B2048" s="1">
        <v>45322</v>
      </c>
      <c r="C2048" t="s">
        <v>30</v>
      </c>
      <c r="D2048" t="s">
        <v>83</v>
      </c>
      <c r="E2048" t="s">
        <v>95</v>
      </c>
      <c r="F2048" t="s">
        <v>53</v>
      </c>
      <c r="G2048" t="s">
        <v>41</v>
      </c>
      <c r="H2048" t="s">
        <v>42</v>
      </c>
      <c r="I2048" t="s">
        <v>25</v>
      </c>
      <c r="J2048" t="s">
        <v>58</v>
      </c>
      <c r="K2048" t="s">
        <v>44</v>
      </c>
      <c r="L2048" t="s">
        <v>28</v>
      </c>
      <c r="M2048" s="4">
        <v>14</v>
      </c>
      <c r="N2048" s="4">
        <v>7</v>
      </c>
      <c r="O2048" t="s">
        <v>36</v>
      </c>
      <c r="P2048" t="s">
        <v>36</v>
      </c>
      <c r="Q2048" s="4">
        <v>296442</v>
      </c>
      <c r="R2048" s="4">
        <v>151388</v>
      </c>
      <c r="S2048" s="4">
        <f>Table1[[#This Row],[Service_Revenue]]-Table1[[#This Row],[Service_Cost]]</f>
        <v>145054</v>
      </c>
      <c r="T2048" s="4">
        <v>3</v>
      </c>
      <c r="U2048" s="4">
        <f>IF(AND(Table1[[#This Row],[Rework_Flag]]="Yes",Table1[[#This Row],[Warranty_Claim]]="No"),Table1[[#This Row],[Service_Revenue]],0)</f>
        <v>0</v>
      </c>
      <c r="V2048" s="4">
        <f>IF(Table1[[#This Row],[Warranty_Claim]]="Yes",1,0)</f>
        <v>0</v>
      </c>
      <c r="W2048" s="4">
        <f>IF(Table1[[#This Row],[Rework_Flag]]="No",1,0)</f>
        <v>1</v>
      </c>
      <c r="X2048" s="4">
        <f>IF(Table1[[#This Row],[Rework_Flag]]="Yes",1,0)</f>
        <v>0</v>
      </c>
      <c r="Y2048" s="4">
        <v>1</v>
      </c>
      <c r="Z2048" s="4" t="str">
        <f>IF(Table1[[#This Row],[TAT_Days]]&gt;Table1[[#This Row],[SLA_TAT]],"Yes","No")</f>
        <v>Yes</v>
      </c>
      <c r="AA2048" s="4" t="str" cm="1">
        <f t="array" ref="AA2048">_xlfn.IFS(Table1[[#This Row],[Customer_Satisfaction]]&lt;=2,"Poor",Table1[[#This Row],[Customer_Satisfaction]]=3,"Neutral",Table1[[#This Row],[Customer_Satisfaction]]=4,"Good",Table1[[#This Row],[Customer_Satisfaction]]=5,"Good")</f>
        <v>Neutral</v>
      </c>
    </row>
    <row r="2049" spans="1:27" x14ac:dyDescent="0.35">
      <c r="A2049">
        <v>22047</v>
      </c>
      <c r="B2049" s="1">
        <v>45297</v>
      </c>
      <c r="C2049" t="s">
        <v>30</v>
      </c>
      <c r="D2049" t="s">
        <v>31</v>
      </c>
      <c r="E2049" t="s">
        <v>32</v>
      </c>
      <c r="F2049" t="s">
        <v>22</v>
      </c>
      <c r="G2049" t="s">
        <v>63</v>
      </c>
      <c r="H2049" t="s">
        <v>24</v>
      </c>
      <c r="I2049" t="s">
        <v>55</v>
      </c>
      <c r="J2049" t="s">
        <v>26</v>
      </c>
      <c r="K2049" t="s">
        <v>44</v>
      </c>
      <c r="L2049" t="s">
        <v>28</v>
      </c>
      <c r="M2049" s="4">
        <v>19</v>
      </c>
      <c r="N2049" s="4">
        <v>7</v>
      </c>
      <c r="O2049" t="s">
        <v>36</v>
      </c>
      <c r="P2049" t="s">
        <v>29</v>
      </c>
      <c r="Q2049" s="4">
        <v>137907</v>
      </c>
      <c r="R2049" s="4">
        <v>84234</v>
      </c>
      <c r="S2049" s="4">
        <f>Table1[[#This Row],[Service_Revenue]]-Table1[[#This Row],[Service_Cost]]</f>
        <v>53673</v>
      </c>
      <c r="T2049" s="4">
        <v>2</v>
      </c>
      <c r="U2049" s="4">
        <f>IF(AND(Table1[[#This Row],[Rework_Flag]]="Yes",Table1[[#This Row],[Warranty_Claim]]="No"),Table1[[#This Row],[Service_Revenue]],0)</f>
        <v>0</v>
      </c>
      <c r="V2049" s="4">
        <f>IF(Table1[[#This Row],[Warranty_Claim]]="Yes",1,0)</f>
        <v>1</v>
      </c>
      <c r="W2049" s="4">
        <f>IF(Table1[[#This Row],[Rework_Flag]]="No",1,0)</f>
        <v>1</v>
      </c>
      <c r="X2049" s="4">
        <f>IF(Table1[[#This Row],[Rework_Flag]]="Yes",1,0)</f>
        <v>0</v>
      </c>
      <c r="Y2049" s="4">
        <v>1</v>
      </c>
      <c r="Z2049" s="4" t="str">
        <f>IF(Table1[[#This Row],[TAT_Days]]&gt;Table1[[#This Row],[SLA_TAT]],"Yes","No")</f>
        <v>Yes</v>
      </c>
      <c r="AA2049" s="4" t="str" cm="1">
        <f t="array" ref="AA2049">_xlfn.IFS(Table1[[#This Row],[Customer_Satisfaction]]&lt;=2,"Poor",Table1[[#This Row],[Customer_Satisfaction]]=3,"Neutral",Table1[[#This Row],[Customer_Satisfaction]]=4,"Good",Table1[[#This Row],[Customer_Satisfaction]]=5,"Good")</f>
        <v>Poor</v>
      </c>
    </row>
    <row r="2050" spans="1:27" x14ac:dyDescent="0.35">
      <c r="A2050">
        <v>22048</v>
      </c>
      <c r="B2050" s="1">
        <v>45430</v>
      </c>
      <c r="C2050" t="s">
        <v>37</v>
      </c>
      <c r="D2050" t="s">
        <v>64</v>
      </c>
      <c r="E2050" t="s">
        <v>115</v>
      </c>
      <c r="F2050" t="s">
        <v>22</v>
      </c>
      <c r="G2050" t="s">
        <v>63</v>
      </c>
      <c r="H2050" t="s">
        <v>24</v>
      </c>
      <c r="I2050" t="s">
        <v>55</v>
      </c>
      <c r="J2050" t="s">
        <v>35</v>
      </c>
      <c r="K2050" t="s">
        <v>61</v>
      </c>
      <c r="L2050" t="s">
        <v>49</v>
      </c>
      <c r="M2050" s="4">
        <v>24</v>
      </c>
      <c r="N2050" s="4">
        <v>7</v>
      </c>
      <c r="O2050" t="s">
        <v>36</v>
      </c>
      <c r="P2050" t="s">
        <v>29</v>
      </c>
      <c r="Q2050" s="4">
        <v>222519</v>
      </c>
      <c r="R2050" s="4">
        <v>157197</v>
      </c>
      <c r="S2050" s="4">
        <f>Table1[[#This Row],[Service_Revenue]]-Table1[[#This Row],[Service_Cost]]</f>
        <v>65322</v>
      </c>
      <c r="T2050" s="4">
        <v>1</v>
      </c>
      <c r="U2050" s="4">
        <f>IF(AND(Table1[[#This Row],[Rework_Flag]]="Yes",Table1[[#This Row],[Warranty_Claim]]="No"),Table1[[#This Row],[Service_Revenue]],0)</f>
        <v>0</v>
      </c>
      <c r="V2050" s="4">
        <f>IF(Table1[[#This Row],[Warranty_Claim]]="Yes",1,0)</f>
        <v>1</v>
      </c>
      <c r="W2050" s="4">
        <f>IF(Table1[[#This Row],[Rework_Flag]]="No",1,0)</f>
        <v>1</v>
      </c>
      <c r="X2050" s="4">
        <f>IF(Table1[[#This Row],[Rework_Flag]]="Yes",1,0)</f>
        <v>0</v>
      </c>
      <c r="Y2050" s="4">
        <v>1</v>
      </c>
      <c r="Z2050" s="4" t="str">
        <f>IF(Table1[[#This Row],[TAT_Days]]&gt;Table1[[#This Row],[SLA_TAT]],"Yes","No")</f>
        <v>Yes</v>
      </c>
      <c r="AA2050" s="4" t="str" cm="1">
        <f t="array" ref="AA2050">_xlfn.IFS(Table1[[#This Row],[Customer_Satisfaction]]&lt;=2,"Poor",Table1[[#This Row],[Customer_Satisfaction]]=3,"Neutral",Table1[[#This Row],[Customer_Satisfaction]]=4,"Good",Table1[[#This Row],[Customer_Satisfaction]]=5,"Good")</f>
        <v>Poor</v>
      </c>
    </row>
    <row r="2051" spans="1:27" x14ac:dyDescent="0.35">
      <c r="A2051">
        <v>22049</v>
      </c>
      <c r="B2051" s="1">
        <v>45356</v>
      </c>
      <c r="C2051" t="s">
        <v>30</v>
      </c>
      <c r="D2051" t="s">
        <v>31</v>
      </c>
      <c r="E2051" t="s">
        <v>122</v>
      </c>
      <c r="F2051" t="s">
        <v>53</v>
      </c>
      <c r="G2051" t="s">
        <v>41</v>
      </c>
      <c r="H2051" t="s">
        <v>42</v>
      </c>
      <c r="I2051" t="s">
        <v>55</v>
      </c>
      <c r="J2051" t="s">
        <v>43</v>
      </c>
      <c r="K2051" t="s">
        <v>27</v>
      </c>
      <c r="L2051" t="s">
        <v>28</v>
      </c>
      <c r="M2051" s="4">
        <v>24</v>
      </c>
      <c r="N2051" s="4">
        <v>7</v>
      </c>
      <c r="O2051" t="s">
        <v>29</v>
      </c>
      <c r="P2051" t="s">
        <v>36</v>
      </c>
      <c r="Q2051" s="4">
        <v>211470</v>
      </c>
      <c r="R2051" s="4">
        <v>134883</v>
      </c>
      <c r="S2051" s="4">
        <f>Table1[[#This Row],[Service_Revenue]]-Table1[[#This Row],[Service_Cost]]</f>
        <v>76587</v>
      </c>
      <c r="T2051" s="4">
        <v>1</v>
      </c>
      <c r="U2051" s="4">
        <f>IF(AND(Table1[[#This Row],[Rework_Flag]]="Yes",Table1[[#This Row],[Warranty_Claim]]="No"),Table1[[#This Row],[Service_Revenue]],0)</f>
        <v>211470</v>
      </c>
      <c r="V2051" s="4">
        <f>IF(Table1[[#This Row],[Warranty_Claim]]="Yes",1,0)</f>
        <v>0</v>
      </c>
      <c r="W2051" s="4">
        <f>IF(Table1[[#This Row],[Rework_Flag]]="No",1,0)</f>
        <v>0</v>
      </c>
      <c r="X2051" s="4">
        <f>IF(Table1[[#This Row],[Rework_Flag]]="Yes",1,0)</f>
        <v>1</v>
      </c>
      <c r="Y2051" s="4">
        <v>1</v>
      </c>
      <c r="Z2051" s="4" t="str">
        <f>IF(Table1[[#This Row],[TAT_Days]]&gt;Table1[[#This Row],[SLA_TAT]],"Yes","No")</f>
        <v>Yes</v>
      </c>
      <c r="AA2051" s="4" t="str" cm="1">
        <f t="array" ref="AA2051">_xlfn.IFS(Table1[[#This Row],[Customer_Satisfaction]]&lt;=2,"Poor",Table1[[#This Row],[Customer_Satisfaction]]=3,"Neutral",Table1[[#This Row],[Customer_Satisfaction]]=4,"Good",Table1[[#This Row],[Customer_Satisfaction]]=5,"Good")</f>
        <v>Poor</v>
      </c>
    </row>
    <row r="2052" spans="1:27" x14ac:dyDescent="0.35">
      <c r="A2052">
        <v>22050</v>
      </c>
      <c r="B2052" s="1">
        <v>45421</v>
      </c>
      <c r="C2052" t="s">
        <v>37</v>
      </c>
      <c r="D2052" t="s">
        <v>70</v>
      </c>
      <c r="E2052" t="s">
        <v>116</v>
      </c>
      <c r="F2052" t="s">
        <v>40</v>
      </c>
      <c r="G2052" t="s">
        <v>74</v>
      </c>
      <c r="H2052" t="s">
        <v>34</v>
      </c>
      <c r="I2052" t="s">
        <v>25</v>
      </c>
      <c r="J2052" t="s">
        <v>67</v>
      </c>
      <c r="K2052" t="s">
        <v>44</v>
      </c>
      <c r="L2052" t="s">
        <v>28</v>
      </c>
      <c r="M2052" s="4">
        <v>16</v>
      </c>
      <c r="N2052" s="4">
        <v>7</v>
      </c>
      <c r="O2052" t="s">
        <v>36</v>
      </c>
      <c r="P2052" t="s">
        <v>36</v>
      </c>
      <c r="Q2052" s="4">
        <v>405943</v>
      </c>
      <c r="R2052" s="4">
        <v>210567</v>
      </c>
      <c r="S2052" s="4">
        <f>Table1[[#This Row],[Service_Revenue]]-Table1[[#This Row],[Service_Cost]]</f>
        <v>195376</v>
      </c>
      <c r="T2052" s="4">
        <v>2</v>
      </c>
      <c r="U2052" s="4">
        <f>IF(AND(Table1[[#This Row],[Rework_Flag]]="Yes",Table1[[#This Row],[Warranty_Claim]]="No"),Table1[[#This Row],[Service_Revenue]],0)</f>
        <v>0</v>
      </c>
      <c r="V2052" s="4">
        <f>IF(Table1[[#This Row],[Warranty_Claim]]="Yes",1,0)</f>
        <v>0</v>
      </c>
      <c r="W2052" s="4">
        <f>IF(Table1[[#This Row],[Rework_Flag]]="No",1,0)</f>
        <v>1</v>
      </c>
      <c r="X2052" s="4">
        <f>IF(Table1[[#This Row],[Rework_Flag]]="Yes",1,0)</f>
        <v>0</v>
      </c>
      <c r="Y2052" s="4">
        <v>1</v>
      </c>
      <c r="Z2052" s="4" t="str">
        <f>IF(Table1[[#This Row],[TAT_Days]]&gt;Table1[[#This Row],[SLA_TAT]],"Yes","No")</f>
        <v>Yes</v>
      </c>
      <c r="AA2052" s="4" t="str" cm="1">
        <f t="array" ref="AA2052">_xlfn.IFS(Table1[[#This Row],[Customer_Satisfaction]]&lt;=2,"Poor",Table1[[#This Row],[Customer_Satisfaction]]=3,"Neutral",Table1[[#This Row],[Customer_Satisfaction]]=4,"Good",Table1[[#This Row],[Customer_Satisfaction]]=5,"Good")</f>
        <v>Poor</v>
      </c>
    </row>
    <row r="2053" spans="1:27" x14ac:dyDescent="0.35">
      <c r="A2053">
        <v>22051</v>
      </c>
      <c r="B2053" s="1">
        <v>45355</v>
      </c>
      <c r="C2053" t="s">
        <v>19</v>
      </c>
      <c r="D2053" t="s">
        <v>96</v>
      </c>
      <c r="E2053" t="s">
        <v>109</v>
      </c>
      <c r="F2053" t="s">
        <v>22</v>
      </c>
      <c r="G2053" t="s">
        <v>63</v>
      </c>
      <c r="H2053" t="s">
        <v>24</v>
      </c>
      <c r="I2053" t="s">
        <v>25</v>
      </c>
      <c r="J2053" t="s">
        <v>43</v>
      </c>
      <c r="K2053" t="s">
        <v>44</v>
      </c>
      <c r="L2053" t="s">
        <v>49</v>
      </c>
      <c r="M2053" s="4">
        <v>8</v>
      </c>
      <c r="N2053" s="4">
        <v>7</v>
      </c>
      <c r="O2053" t="s">
        <v>36</v>
      </c>
      <c r="P2053" t="s">
        <v>36</v>
      </c>
      <c r="Q2053" s="4">
        <v>407781</v>
      </c>
      <c r="R2053" s="4">
        <v>218577</v>
      </c>
      <c r="S2053" s="4">
        <f>Table1[[#This Row],[Service_Revenue]]-Table1[[#This Row],[Service_Cost]]</f>
        <v>189204</v>
      </c>
      <c r="T2053" s="4">
        <v>4</v>
      </c>
      <c r="U2053" s="4">
        <f>IF(AND(Table1[[#This Row],[Rework_Flag]]="Yes",Table1[[#This Row],[Warranty_Claim]]="No"),Table1[[#This Row],[Service_Revenue]],0)</f>
        <v>0</v>
      </c>
      <c r="V2053" s="4">
        <f>IF(Table1[[#This Row],[Warranty_Claim]]="Yes",1,0)</f>
        <v>0</v>
      </c>
      <c r="W2053" s="4">
        <f>IF(Table1[[#This Row],[Rework_Flag]]="No",1,0)</f>
        <v>1</v>
      </c>
      <c r="X2053" s="4">
        <f>IF(Table1[[#This Row],[Rework_Flag]]="Yes",1,0)</f>
        <v>0</v>
      </c>
      <c r="Y2053" s="4">
        <v>1</v>
      </c>
      <c r="Z2053" s="4" t="str">
        <f>IF(Table1[[#This Row],[TAT_Days]]&gt;Table1[[#This Row],[SLA_TAT]],"Yes","No")</f>
        <v>Yes</v>
      </c>
      <c r="AA2053" s="4" t="str" cm="1">
        <f t="array" ref="AA2053">_xlfn.IFS(Table1[[#This Row],[Customer_Satisfaction]]&lt;=2,"Poor",Table1[[#This Row],[Customer_Satisfaction]]=3,"Neutral",Table1[[#This Row],[Customer_Satisfaction]]=4,"Good",Table1[[#This Row],[Customer_Satisfaction]]=5,"Good")</f>
        <v>Good</v>
      </c>
    </row>
    <row r="2054" spans="1:27" x14ac:dyDescent="0.35">
      <c r="A2054">
        <v>22052</v>
      </c>
      <c r="B2054" s="1">
        <v>45319</v>
      </c>
      <c r="C2054" t="s">
        <v>37</v>
      </c>
      <c r="D2054" t="s">
        <v>70</v>
      </c>
      <c r="E2054" t="s">
        <v>91</v>
      </c>
      <c r="F2054" t="s">
        <v>40</v>
      </c>
      <c r="G2054" t="s">
        <v>74</v>
      </c>
      <c r="H2054" t="s">
        <v>34</v>
      </c>
      <c r="I2054" t="s">
        <v>25</v>
      </c>
      <c r="J2054" t="s">
        <v>67</v>
      </c>
      <c r="K2054" t="s">
        <v>44</v>
      </c>
      <c r="L2054" t="s">
        <v>28</v>
      </c>
      <c r="M2054" s="4">
        <v>6</v>
      </c>
      <c r="N2054" s="4">
        <v>7</v>
      </c>
      <c r="O2054" t="s">
        <v>29</v>
      </c>
      <c r="P2054" t="s">
        <v>29</v>
      </c>
      <c r="Q2054" s="4">
        <v>249663</v>
      </c>
      <c r="R2054" s="4">
        <v>197038</v>
      </c>
      <c r="S2054" s="4">
        <f>Table1[[#This Row],[Service_Revenue]]-Table1[[#This Row],[Service_Cost]]</f>
        <v>52625</v>
      </c>
      <c r="T2054" s="4">
        <v>3</v>
      </c>
      <c r="U2054" s="4">
        <f>IF(AND(Table1[[#This Row],[Rework_Flag]]="Yes",Table1[[#This Row],[Warranty_Claim]]="No"),Table1[[#This Row],[Service_Revenue]],0)</f>
        <v>0</v>
      </c>
      <c r="V2054" s="4">
        <f>IF(Table1[[#This Row],[Warranty_Claim]]="Yes",1,0)</f>
        <v>1</v>
      </c>
      <c r="W2054" s="4">
        <f>IF(Table1[[#This Row],[Rework_Flag]]="No",1,0)</f>
        <v>0</v>
      </c>
      <c r="X2054" s="4">
        <f>IF(Table1[[#This Row],[Rework_Flag]]="Yes",1,0)</f>
        <v>1</v>
      </c>
      <c r="Y2054" s="4">
        <v>1</v>
      </c>
      <c r="Z2054" s="4" t="str">
        <f>IF(Table1[[#This Row],[TAT_Days]]&gt;Table1[[#This Row],[SLA_TAT]],"Yes","No")</f>
        <v>No</v>
      </c>
      <c r="AA2054" s="4" t="str" cm="1">
        <f t="array" ref="AA2054">_xlfn.IFS(Table1[[#This Row],[Customer_Satisfaction]]&lt;=2,"Poor",Table1[[#This Row],[Customer_Satisfaction]]=3,"Neutral",Table1[[#This Row],[Customer_Satisfaction]]=4,"Good",Table1[[#This Row],[Customer_Satisfaction]]=5,"Good")</f>
        <v>Neutral</v>
      </c>
    </row>
    <row r="2055" spans="1:27" x14ac:dyDescent="0.35">
      <c r="A2055">
        <v>22053</v>
      </c>
      <c r="B2055" s="1">
        <v>45392</v>
      </c>
      <c r="C2055" t="s">
        <v>30</v>
      </c>
      <c r="D2055" t="s">
        <v>83</v>
      </c>
      <c r="E2055" t="s">
        <v>92</v>
      </c>
      <c r="F2055" t="s">
        <v>22</v>
      </c>
      <c r="G2055" t="s">
        <v>23</v>
      </c>
      <c r="H2055" t="s">
        <v>24</v>
      </c>
      <c r="I2055" t="s">
        <v>25</v>
      </c>
      <c r="J2055" t="s">
        <v>58</v>
      </c>
      <c r="K2055" t="s">
        <v>61</v>
      </c>
      <c r="L2055" t="s">
        <v>28</v>
      </c>
      <c r="M2055" s="4">
        <v>24</v>
      </c>
      <c r="N2055" s="4">
        <v>7</v>
      </c>
      <c r="O2055" t="s">
        <v>36</v>
      </c>
      <c r="P2055" t="s">
        <v>36</v>
      </c>
      <c r="Q2055" s="4">
        <v>540282</v>
      </c>
      <c r="R2055" s="4">
        <v>438881</v>
      </c>
      <c r="S2055" s="4">
        <f>Table1[[#This Row],[Service_Revenue]]-Table1[[#This Row],[Service_Cost]]</f>
        <v>101401</v>
      </c>
      <c r="T2055" s="4">
        <v>1</v>
      </c>
      <c r="U2055" s="4">
        <f>IF(AND(Table1[[#This Row],[Rework_Flag]]="Yes",Table1[[#This Row],[Warranty_Claim]]="No"),Table1[[#This Row],[Service_Revenue]],0)</f>
        <v>0</v>
      </c>
      <c r="V2055" s="4">
        <f>IF(Table1[[#This Row],[Warranty_Claim]]="Yes",1,0)</f>
        <v>0</v>
      </c>
      <c r="W2055" s="4">
        <f>IF(Table1[[#This Row],[Rework_Flag]]="No",1,0)</f>
        <v>1</v>
      </c>
      <c r="X2055" s="4">
        <f>IF(Table1[[#This Row],[Rework_Flag]]="Yes",1,0)</f>
        <v>0</v>
      </c>
      <c r="Y2055" s="4">
        <v>1</v>
      </c>
      <c r="Z2055" s="4" t="str">
        <f>IF(Table1[[#This Row],[TAT_Days]]&gt;Table1[[#This Row],[SLA_TAT]],"Yes","No")</f>
        <v>Yes</v>
      </c>
      <c r="AA2055" s="4" t="str" cm="1">
        <f t="array" ref="AA2055">_xlfn.IFS(Table1[[#This Row],[Customer_Satisfaction]]&lt;=2,"Poor",Table1[[#This Row],[Customer_Satisfaction]]=3,"Neutral",Table1[[#This Row],[Customer_Satisfaction]]=4,"Good",Table1[[#This Row],[Customer_Satisfaction]]=5,"Good")</f>
        <v>Poor</v>
      </c>
    </row>
    <row r="2056" spans="1:27" x14ac:dyDescent="0.35">
      <c r="A2056">
        <v>22054</v>
      </c>
      <c r="B2056" s="1">
        <v>45441</v>
      </c>
      <c r="C2056" t="s">
        <v>19</v>
      </c>
      <c r="D2056" t="s">
        <v>96</v>
      </c>
      <c r="E2056" t="s">
        <v>97</v>
      </c>
      <c r="F2056" t="s">
        <v>40</v>
      </c>
      <c r="G2056" t="s">
        <v>47</v>
      </c>
      <c r="H2056" t="s">
        <v>48</v>
      </c>
      <c r="I2056" t="s">
        <v>55</v>
      </c>
      <c r="J2056" t="s">
        <v>58</v>
      </c>
      <c r="K2056" t="s">
        <v>61</v>
      </c>
      <c r="L2056" t="s">
        <v>28</v>
      </c>
      <c r="M2056" s="4">
        <v>19</v>
      </c>
      <c r="N2056" s="4">
        <v>7</v>
      </c>
      <c r="O2056" t="s">
        <v>36</v>
      </c>
      <c r="P2056" t="s">
        <v>36</v>
      </c>
      <c r="Q2056" s="4">
        <v>464992</v>
      </c>
      <c r="R2056" s="4">
        <v>288509</v>
      </c>
      <c r="S2056" s="4">
        <f>Table1[[#This Row],[Service_Revenue]]-Table1[[#This Row],[Service_Cost]]</f>
        <v>176483</v>
      </c>
      <c r="T2056" s="4">
        <v>2</v>
      </c>
      <c r="U2056" s="4">
        <f>IF(AND(Table1[[#This Row],[Rework_Flag]]="Yes",Table1[[#This Row],[Warranty_Claim]]="No"),Table1[[#This Row],[Service_Revenue]],0)</f>
        <v>0</v>
      </c>
      <c r="V2056" s="4">
        <f>IF(Table1[[#This Row],[Warranty_Claim]]="Yes",1,0)</f>
        <v>0</v>
      </c>
      <c r="W2056" s="4">
        <f>IF(Table1[[#This Row],[Rework_Flag]]="No",1,0)</f>
        <v>1</v>
      </c>
      <c r="X2056" s="4">
        <f>IF(Table1[[#This Row],[Rework_Flag]]="Yes",1,0)</f>
        <v>0</v>
      </c>
      <c r="Y2056" s="4">
        <v>1</v>
      </c>
      <c r="Z2056" s="4" t="str">
        <f>IF(Table1[[#This Row],[TAT_Days]]&gt;Table1[[#This Row],[SLA_TAT]],"Yes","No")</f>
        <v>Yes</v>
      </c>
      <c r="AA2056" s="4" t="str" cm="1">
        <f t="array" ref="AA2056">_xlfn.IFS(Table1[[#This Row],[Customer_Satisfaction]]&lt;=2,"Poor",Table1[[#This Row],[Customer_Satisfaction]]=3,"Neutral",Table1[[#This Row],[Customer_Satisfaction]]=4,"Good",Table1[[#This Row],[Customer_Satisfaction]]=5,"Good")</f>
        <v>Poor</v>
      </c>
    </row>
    <row r="2057" spans="1:27" x14ac:dyDescent="0.35">
      <c r="A2057">
        <v>22055</v>
      </c>
      <c r="B2057" s="1">
        <v>45404</v>
      </c>
      <c r="C2057" t="s">
        <v>19</v>
      </c>
      <c r="D2057" t="s">
        <v>45</v>
      </c>
      <c r="E2057" t="s">
        <v>76</v>
      </c>
      <c r="F2057" t="s">
        <v>53</v>
      </c>
      <c r="G2057" t="s">
        <v>74</v>
      </c>
      <c r="H2057" t="s">
        <v>34</v>
      </c>
      <c r="I2057" t="s">
        <v>25</v>
      </c>
      <c r="J2057" t="s">
        <v>26</v>
      </c>
      <c r="K2057" t="s">
        <v>27</v>
      </c>
      <c r="L2057" t="s">
        <v>49</v>
      </c>
      <c r="M2057" s="4">
        <v>7</v>
      </c>
      <c r="N2057" s="4">
        <v>7</v>
      </c>
      <c r="O2057" t="s">
        <v>29</v>
      </c>
      <c r="P2057" t="s">
        <v>29</v>
      </c>
      <c r="Q2057" s="4">
        <v>140913</v>
      </c>
      <c r="R2057" s="4">
        <v>96678</v>
      </c>
      <c r="S2057" s="4">
        <f>Table1[[#This Row],[Service_Revenue]]-Table1[[#This Row],[Service_Cost]]</f>
        <v>44235</v>
      </c>
      <c r="T2057" s="4">
        <v>3</v>
      </c>
      <c r="U2057" s="4">
        <f>IF(AND(Table1[[#This Row],[Rework_Flag]]="Yes",Table1[[#This Row],[Warranty_Claim]]="No"),Table1[[#This Row],[Service_Revenue]],0)</f>
        <v>0</v>
      </c>
      <c r="V2057" s="4">
        <f>IF(Table1[[#This Row],[Warranty_Claim]]="Yes",1,0)</f>
        <v>1</v>
      </c>
      <c r="W2057" s="4">
        <f>IF(Table1[[#This Row],[Rework_Flag]]="No",1,0)</f>
        <v>0</v>
      </c>
      <c r="X2057" s="4">
        <f>IF(Table1[[#This Row],[Rework_Flag]]="Yes",1,0)</f>
        <v>1</v>
      </c>
      <c r="Y2057" s="4">
        <v>1</v>
      </c>
      <c r="Z2057" s="4" t="str">
        <f>IF(Table1[[#This Row],[TAT_Days]]&gt;Table1[[#This Row],[SLA_TAT]],"Yes","No")</f>
        <v>No</v>
      </c>
      <c r="AA2057" s="4" t="str" cm="1">
        <f t="array" ref="AA2057">_xlfn.IFS(Table1[[#This Row],[Customer_Satisfaction]]&lt;=2,"Poor",Table1[[#This Row],[Customer_Satisfaction]]=3,"Neutral",Table1[[#This Row],[Customer_Satisfaction]]=4,"Good",Table1[[#This Row],[Customer_Satisfaction]]=5,"Good")</f>
        <v>Neutral</v>
      </c>
    </row>
    <row r="2058" spans="1:27" x14ac:dyDescent="0.35">
      <c r="A2058">
        <v>22056</v>
      </c>
      <c r="B2058" s="1">
        <v>45469</v>
      </c>
      <c r="C2058" t="s">
        <v>50</v>
      </c>
      <c r="D2058" t="s">
        <v>56</v>
      </c>
      <c r="E2058" t="s">
        <v>68</v>
      </c>
      <c r="F2058" t="s">
        <v>22</v>
      </c>
      <c r="G2058" t="s">
        <v>63</v>
      </c>
      <c r="H2058" t="s">
        <v>24</v>
      </c>
      <c r="I2058" t="s">
        <v>25</v>
      </c>
      <c r="J2058" t="s">
        <v>43</v>
      </c>
      <c r="K2058" t="s">
        <v>44</v>
      </c>
      <c r="L2058" t="s">
        <v>28</v>
      </c>
      <c r="M2058" s="4">
        <v>7</v>
      </c>
      <c r="N2058" s="4">
        <v>7</v>
      </c>
      <c r="O2058" t="s">
        <v>36</v>
      </c>
      <c r="P2058" t="s">
        <v>29</v>
      </c>
      <c r="Q2058" s="4">
        <v>308999</v>
      </c>
      <c r="R2058" s="4">
        <v>245004</v>
      </c>
      <c r="S2058" s="4">
        <f>Table1[[#This Row],[Service_Revenue]]-Table1[[#This Row],[Service_Cost]]</f>
        <v>63995</v>
      </c>
      <c r="T2058" s="4">
        <v>4</v>
      </c>
      <c r="U2058" s="4">
        <f>IF(AND(Table1[[#This Row],[Rework_Flag]]="Yes",Table1[[#This Row],[Warranty_Claim]]="No"),Table1[[#This Row],[Service_Revenue]],0)</f>
        <v>0</v>
      </c>
      <c r="V2058" s="4">
        <f>IF(Table1[[#This Row],[Warranty_Claim]]="Yes",1,0)</f>
        <v>1</v>
      </c>
      <c r="W2058" s="4">
        <f>IF(Table1[[#This Row],[Rework_Flag]]="No",1,0)</f>
        <v>1</v>
      </c>
      <c r="X2058" s="4">
        <f>IF(Table1[[#This Row],[Rework_Flag]]="Yes",1,0)</f>
        <v>0</v>
      </c>
      <c r="Y2058" s="4">
        <v>1</v>
      </c>
      <c r="Z2058" s="4" t="str">
        <f>IF(Table1[[#This Row],[TAT_Days]]&gt;Table1[[#This Row],[SLA_TAT]],"Yes","No")</f>
        <v>No</v>
      </c>
      <c r="AA2058" s="4" t="str" cm="1">
        <f t="array" ref="AA2058">_xlfn.IFS(Table1[[#This Row],[Customer_Satisfaction]]&lt;=2,"Poor",Table1[[#This Row],[Customer_Satisfaction]]=3,"Neutral",Table1[[#This Row],[Customer_Satisfaction]]=4,"Good",Table1[[#This Row],[Customer_Satisfaction]]=5,"Good")</f>
        <v>Good</v>
      </c>
    </row>
    <row r="2059" spans="1:27" x14ac:dyDescent="0.35">
      <c r="A2059">
        <v>22057</v>
      </c>
      <c r="B2059" s="1">
        <v>45448</v>
      </c>
      <c r="C2059" t="s">
        <v>50</v>
      </c>
      <c r="D2059" t="s">
        <v>56</v>
      </c>
      <c r="E2059" t="s">
        <v>68</v>
      </c>
      <c r="F2059" t="s">
        <v>40</v>
      </c>
      <c r="G2059" t="s">
        <v>23</v>
      </c>
      <c r="H2059" t="s">
        <v>24</v>
      </c>
      <c r="I2059" t="s">
        <v>55</v>
      </c>
      <c r="J2059" t="s">
        <v>58</v>
      </c>
      <c r="K2059" t="s">
        <v>27</v>
      </c>
      <c r="L2059" t="s">
        <v>49</v>
      </c>
      <c r="M2059" s="4">
        <v>18</v>
      </c>
      <c r="N2059" s="4">
        <v>7</v>
      </c>
      <c r="O2059" t="s">
        <v>29</v>
      </c>
      <c r="P2059" t="s">
        <v>36</v>
      </c>
      <c r="Q2059" s="4">
        <v>157526</v>
      </c>
      <c r="R2059" s="4">
        <v>123083</v>
      </c>
      <c r="S2059" s="4">
        <f>Table1[[#This Row],[Service_Revenue]]-Table1[[#This Row],[Service_Cost]]</f>
        <v>34443</v>
      </c>
      <c r="T2059" s="4">
        <v>1</v>
      </c>
      <c r="U2059" s="4">
        <f>IF(AND(Table1[[#This Row],[Rework_Flag]]="Yes",Table1[[#This Row],[Warranty_Claim]]="No"),Table1[[#This Row],[Service_Revenue]],0)</f>
        <v>157526</v>
      </c>
      <c r="V2059" s="4">
        <f>IF(Table1[[#This Row],[Warranty_Claim]]="Yes",1,0)</f>
        <v>0</v>
      </c>
      <c r="W2059" s="4">
        <f>IF(Table1[[#This Row],[Rework_Flag]]="No",1,0)</f>
        <v>0</v>
      </c>
      <c r="X2059" s="4">
        <f>IF(Table1[[#This Row],[Rework_Flag]]="Yes",1,0)</f>
        <v>1</v>
      </c>
      <c r="Y2059" s="4">
        <v>1</v>
      </c>
      <c r="Z2059" s="4" t="str">
        <f>IF(Table1[[#This Row],[TAT_Days]]&gt;Table1[[#This Row],[SLA_TAT]],"Yes","No")</f>
        <v>Yes</v>
      </c>
      <c r="AA2059" s="4" t="str" cm="1">
        <f t="array" ref="AA2059">_xlfn.IFS(Table1[[#This Row],[Customer_Satisfaction]]&lt;=2,"Poor",Table1[[#This Row],[Customer_Satisfaction]]=3,"Neutral",Table1[[#This Row],[Customer_Satisfaction]]=4,"Good",Table1[[#This Row],[Customer_Satisfaction]]=5,"Good")</f>
        <v>Poor</v>
      </c>
    </row>
    <row r="2060" spans="1:27" x14ac:dyDescent="0.35">
      <c r="A2060">
        <v>22058</v>
      </c>
      <c r="B2060" s="1">
        <v>45432</v>
      </c>
      <c r="C2060" t="s">
        <v>50</v>
      </c>
      <c r="D2060" t="s">
        <v>51</v>
      </c>
      <c r="E2060" t="s">
        <v>73</v>
      </c>
      <c r="F2060" t="s">
        <v>40</v>
      </c>
      <c r="G2060" t="s">
        <v>63</v>
      </c>
      <c r="H2060" t="s">
        <v>24</v>
      </c>
      <c r="I2060" t="s">
        <v>25</v>
      </c>
      <c r="J2060" t="s">
        <v>43</v>
      </c>
      <c r="K2060" t="s">
        <v>44</v>
      </c>
      <c r="L2060" t="s">
        <v>28</v>
      </c>
      <c r="M2060" s="4">
        <v>12</v>
      </c>
      <c r="N2060" s="4">
        <v>7</v>
      </c>
      <c r="O2060" t="s">
        <v>36</v>
      </c>
      <c r="P2060" t="s">
        <v>36</v>
      </c>
      <c r="Q2060" s="4">
        <v>424026</v>
      </c>
      <c r="R2060" s="4">
        <v>312707</v>
      </c>
      <c r="S2060" s="4">
        <f>Table1[[#This Row],[Service_Revenue]]-Table1[[#This Row],[Service_Cost]]</f>
        <v>111319</v>
      </c>
      <c r="T2060" s="4">
        <v>3</v>
      </c>
      <c r="U2060" s="4">
        <f>IF(AND(Table1[[#This Row],[Rework_Flag]]="Yes",Table1[[#This Row],[Warranty_Claim]]="No"),Table1[[#This Row],[Service_Revenue]],0)</f>
        <v>0</v>
      </c>
      <c r="V2060" s="4">
        <f>IF(Table1[[#This Row],[Warranty_Claim]]="Yes",1,0)</f>
        <v>0</v>
      </c>
      <c r="W2060" s="4">
        <f>IF(Table1[[#This Row],[Rework_Flag]]="No",1,0)</f>
        <v>1</v>
      </c>
      <c r="X2060" s="4">
        <f>IF(Table1[[#This Row],[Rework_Flag]]="Yes",1,0)</f>
        <v>0</v>
      </c>
      <c r="Y2060" s="4">
        <v>1</v>
      </c>
      <c r="Z2060" s="4" t="str">
        <f>IF(Table1[[#This Row],[TAT_Days]]&gt;Table1[[#This Row],[SLA_TAT]],"Yes","No")</f>
        <v>Yes</v>
      </c>
      <c r="AA2060" s="4" t="str" cm="1">
        <f t="array" ref="AA2060">_xlfn.IFS(Table1[[#This Row],[Customer_Satisfaction]]&lt;=2,"Poor",Table1[[#This Row],[Customer_Satisfaction]]=3,"Neutral",Table1[[#This Row],[Customer_Satisfaction]]=4,"Good",Table1[[#This Row],[Customer_Satisfaction]]=5,"Good")</f>
        <v>Neutral</v>
      </c>
    </row>
    <row r="2061" spans="1:27" x14ac:dyDescent="0.35">
      <c r="A2061">
        <v>22059</v>
      </c>
      <c r="B2061" s="1">
        <v>45466</v>
      </c>
      <c r="C2061" t="s">
        <v>50</v>
      </c>
      <c r="D2061" t="s">
        <v>80</v>
      </c>
      <c r="E2061" t="s">
        <v>118</v>
      </c>
      <c r="F2061" t="s">
        <v>40</v>
      </c>
      <c r="G2061" t="s">
        <v>54</v>
      </c>
      <c r="H2061" t="s">
        <v>42</v>
      </c>
      <c r="I2061" t="s">
        <v>55</v>
      </c>
      <c r="J2061" t="s">
        <v>43</v>
      </c>
      <c r="K2061" t="s">
        <v>44</v>
      </c>
      <c r="L2061" t="s">
        <v>28</v>
      </c>
      <c r="M2061" s="4">
        <v>24</v>
      </c>
      <c r="N2061" s="4">
        <v>7</v>
      </c>
      <c r="O2061" t="s">
        <v>29</v>
      </c>
      <c r="P2061" t="s">
        <v>36</v>
      </c>
      <c r="Q2061" s="4">
        <v>370027</v>
      </c>
      <c r="R2061" s="4">
        <v>297517</v>
      </c>
      <c r="S2061" s="4">
        <f>Table1[[#This Row],[Service_Revenue]]-Table1[[#This Row],[Service_Cost]]</f>
        <v>72510</v>
      </c>
      <c r="T2061" s="4">
        <v>1</v>
      </c>
      <c r="U2061" s="4">
        <f>IF(AND(Table1[[#This Row],[Rework_Flag]]="Yes",Table1[[#This Row],[Warranty_Claim]]="No"),Table1[[#This Row],[Service_Revenue]],0)</f>
        <v>370027</v>
      </c>
      <c r="V2061" s="4">
        <f>IF(Table1[[#This Row],[Warranty_Claim]]="Yes",1,0)</f>
        <v>0</v>
      </c>
      <c r="W2061" s="4">
        <f>IF(Table1[[#This Row],[Rework_Flag]]="No",1,0)</f>
        <v>0</v>
      </c>
      <c r="X2061" s="4">
        <f>IF(Table1[[#This Row],[Rework_Flag]]="Yes",1,0)</f>
        <v>1</v>
      </c>
      <c r="Y2061" s="4">
        <v>1</v>
      </c>
      <c r="Z2061" s="4" t="str">
        <f>IF(Table1[[#This Row],[TAT_Days]]&gt;Table1[[#This Row],[SLA_TAT]],"Yes","No")</f>
        <v>Yes</v>
      </c>
      <c r="AA2061" s="4" t="str" cm="1">
        <f t="array" ref="AA2061">_xlfn.IFS(Table1[[#This Row],[Customer_Satisfaction]]&lt;=2,"Poor",Table1[[#This Row],[Customer_Satisfaction]]=3,"Neutral",Table1[[#This Row],[Customer_Satisfaction]]=4,"Good",Table1[[#This Row],[Customer_Satisfaction]]=5,"Good")</f>
        <v>Poor</v>
      </c>
    </row>
    <row r="2062" spans="1:27" x14ac:dyDescent="0.35">
      <c r="A2062">
        <v>22060</v>
      </c>
      <c r="B2062" s="1">
        <v>45308</v>
      </c>
      <c r="C2062" t="s">
        <v>50</v>
      </c>
      <c r="D2062" t="s">
        <v>80</v>
      </c>
      <c r="E2062" t="s">
        <v>104</v>
      </c>
      <c r="F2062" t="s">
        <v>40</v>
      </c>
      <c r="G2062" t="s">
        <v>63</v>
      </c>
      <c r="H2062" t="s">
        <v>24</v>
      </c>
      <c r="I2062" t="s">
        <v>25</v>
      </c>
      <c r="J2062" t="s">
        <v>35</v>
      </c>
      <c r="K2062" t="s">
        <v>27</v>
      </c>
      <c r="L2062" t="s">
        <v>49</v>
      </c>
      <c r="M2062" s="4">
        <v>21</v>
      </c>
      <c r="N2062" s="4">
        <v>7</v>
      </c>
      <c r="O2062" t="s">
        <v>29</v>
      </c>
      <c r="P2062" t="s">
        <v>36</v>
      </c>
      <c r="Q2062" s="4">
        <v>263463</v>
      </c>
      <c r="R2062" s="4">
        <v>199058</v>
      </c>
      <c r="S2062" s="4">
        <f>Table1[[#This Row],[Service_Revenue]]-Table1[[#This Row],[Service_Cost]]</f>
        <v>64405</v>
      </c>
      <c r="T2062" s="4">
        <v>1</v>
      </c>
      <c r="U2062" s="4">
        <f>IF(AND(Table1[[#This Row],[Rework_Flag]]="Yes",Table1[[#This Row],[Warranty_Claim]]="No"),Table1[[#This Row],[Service_Revenue]],0)</f>
        <v>263463</v>
      </c>
      <c r="V2062" s="4">
        <f>IF(Table1[[#This Row],[Warranty_Claim]]="Yes",1,0)</f>
        <v>0</v>
      </c>
      <c r="W2062" s="4">
        <f>IF(Table1[[#This Row],[Rework_Flag]]="No",1,0)</f>
        <v>0</v>
      </c>
      <c r="X2062" s="4">
        <f>IF(Table1[[#This Row],[Rework_Flag]]="Yes",1,0)</f>
        <v>1</v>
      </c>
      <c r="Y2062" s="4">
        <v>1</v>
      </c>
      <c r="Z2062" s="4" t="str">
        <f>IF(Table1[[#This Row],[TAT_Days]]&gt;Table1[[#This Row],[SLA_TAT]],"Yes","No")</f>
        <v>Yes</v>
      </c>
      <c r="AA2062" s="4" t="str" cm="1">
        <f t="array" ref="AA2062">_xlfn.IFS(Table1[[#This Row],[Customer_Satisfaction]]&lt;=2,"Poor",Table1[[#This Row],[Customer_Satisfaction]]=3,"Neutral",Table1[[#This Row],[Customer_Satisfaction]]=4,"Good",Table1[[#This Row],[Customer_Satisfaction]]=5,"Good")</f>
        <v>Poor</v>
      </c>
    </row>
    <row r="2063" spans="1:27" x14ac:dyDescent="0.35">
      <c r="A2063">
        <v>22061</v>
      </c>
      <c r="B2063" s="1">
        <v>45309</v>
      </c>
      <c r="C2063" t="s">
        <v>50</v>
      </c>
      <c r="D2063" t="s">
        <v>80</v>
      </c>
      <c r="E2063" t="s">
        <v>104</v>
      </c>
      <c r="F2063" t="s">
        <v>40</v>
      </c>
      <c r="G2063" t="s">
        <v>41</v>
      </c>
      <c r="H2063" t="s">
        <v>42</v>
      </c>
      <c r="I2063" t="s">
        <v>55</v>
      </c>
      <c r="J2063" t="s">
        <v>67</v>
      </c>
      <c r="K2063" t="s">
        <v>27</v>
      </c>
      <c r="L2063" t="s">
        <v>28</v>
      </c>
      <c r="M2063" s="4">
        <v>21</v>
      </c>
      <c r="N2063" s="4">
        <v>7</v>
      </c>
      <c r="O2063" t="s">
        <v>29</v>
      </c>
      <c r="P2063" t="s">
        <v>29</v>
      </c>
      <c r="Q2063" s="4">
        <v>263993</v>
      </c>
      <c r="R2063" s="4">
        <v>138889</v>
      </c>
      <c r="S2063" s="4">
        <f>Table1[[#This Row],[Service_Revenue]]-Table1[[#This Row],[Service_Cost]]</f>
        <v>125104</v>
      </c>
      <c r="T2063" s="4">
        <v>1</v>
      </c>
      <c r="U2063" s="4">
        <f>IF(AND(Table1[[#This Row],[Rework_Flag]]="Yes",Table1[[#This Row],[Warranty_Claim]]="No"),Table1[[#This Row],[Service_Revenue]],0)</f>
        <v>0</v>
      </c>
      <c r="V2063" s="4">
        <f>IF(Table1[[#This Row],[Warranty_Claim]]="Yes",1,0)</f>
        <v>1</v>
      </c>
      <c r="W2063" s="4">
        <f>IF(Table1[[#This Row],[Rework_Flag]]="No",1,0)</f>
        <v>0</v>
      </c>
      <c r="X2063" s="4">
        <f>IF(Table1[[#This Row],[Rework_Flag]]="Yes",1,0)</f>
        <v>1</v>
      </c>
      <c r="Y2063" s="4">
        <v>1</v>
      </c>
      <c r="Z2063" s="4" t="str">
        <f>IF(Table1[[#This Row],[TAT_Days]]&gt;Table1[[#This Row],[SLA_TAT]],"Yes","No")</f>
        <v>Yes</v>
      </c>
      <c r="AA2063" s="4" t="str" cm="1">
        <f t="array" ref="AA2063">_xlfn.IFS(Table1[[#This Row],[Customer_Satisfaction]]&lt;=2,"Poor",Table1[[#This Row],[Customer_Satisfaction]]=3,"Neutral",Table1[[#This Row],[Customer_Satisfaction]]=4,"Good",Table1[[#This Row],[Customer_Satisfaction]]=5,"Good")</f>
        <v>Poor</v>
      </c>
    </row>
    <row r="2064" spans="1:27" x14ac:dyDescent="0.35">
      <c r="A2064">
        <v>22062</v>
      </c>
      <c r="B2064" s="1">
        <v>45400</v>
      </c>
      <c r="C2064" t="s">
        <v>50</v>
      </c>
      <c r="D2064" t="s">
        <v>56</v>
      </c>
      <c r="E2064" t="s">
        <v>101</v>
      </c>
      <c r="F2064" t="s">
        <v>40</v>
      </c>
      <c r="G2064" t="s">
        <v>54</v>
      </c>
      <c r="H2064" t="s">
        <v>42</v>
      </c>
      <c r="I2064" t="s">
        <v>55</v>
      </c>
      <c r="J2064" t="s">
        <v>35</v>
      </c>
      <c r="K2064" t="s">
        <v>27</v>
      </c>
      <c r="L2064" t="s">
        <v>49</v>
      </c>
      <c r="M2064" s="4">
        <v>15</v>
      </c>
      <c r="N2064" s="4">
        <v>7</v>
      </c>
      <c r="O2064" t="s">
        <v>29</v>
      </c>
      <c r="P2064" t="s">
        <v>36</v>
      </c>
      <c r="Q2064" s="4">
        <v>456289</v>
      </c>
      <c r="R2064" s="4">
        <v>276599</v>
      </c>
      <c r="S2064" s="4">
        <f>Table1[[#This Row],[Service_Revenue]]-Table1[[#This Row],[Service_Cost]]</f>
        <v>179690</v>
      </c>
      <c r="T2064" s="4">
        <v>1</v>
      </c>
      <c r="U2064" s="4">
        <f>IF(AND(Table1[[#This Row],[Rework_Flag]]="Yes",Table1[[#This Row],[Warranty_Claim]]="No"),Table1[[#This Row],[Service_Revenue]],0)</f>
        <v>456289</v>
      </c>
      <c r="V2064" s="4">
        <f>IF(Table1[[#This Row],[Warranty_Claim]]="Yes",1,0)</f>
        <v>0</v>
      </c>
      <c r="W2064" s="4">
        <f>IF(Table1[[#This Row],[Rework_Flag]]="No",1,0)</f>
        <v>0</v>
      </c>
      <c r="X2064" s="4">
        <f>IF(Table1[[#This Row],[Rework_Flag]]="Yes",1,0)</f>
        <v>1</v>
      </c>
      <c r="Y2064" s="4">
        <v>1</v>
      </c>
      <c r="Z2064" s="4" t="str">
        <f>IF(Table1[[#This Row],[TAT_Days]]&gt;Table1[[#This Row],[SLA_TAT]],"Yes","No")</f>
        <v>Yes</v>
      </c>
      <c r="AA2064" s="4" t="str" cm="1">
        <f t="array" ref="AA2064">_xlfn.IFS(Table1[[#This Row],[Customer_Satisfaction]]&lt;=2,"Poor",Table1[[#This Row],[Customer_Satisfaction]]=3,"Neutral",Table1[[#This Row],[Customer_Satisfaction]]=4,"Good",Table1[[#This Row],[Customer_Satisfaction]]=5,"Good")</f>
        <v>Poor</v>
      </c>
    </row>
    <row r="2065" spans="1:27" x14ac:dyDescent="0.35">
      <c r="A2065">
        <v>22063</v>
      </c>
      <c r="B2065" s="1">
        <v>45339</v>
      </c>
      <c r="C2065" t="s">
        <v>50</v>
      </c>
      <c r="D2065" t="s">
        <v>56</v>
      </c>
      <c r="E2065" t="s">
        <v>77</v>
      </c>
      <c r="F2065" t="s">
        <v>40</v>
      </c>
      <c r="G2065" t="s">
        <v>47</v>
      </c>
      <c r="H2065" t="s">
        <v>48</v>
      </c>
      <c r="I2065" t="s">
        <v>55</v>
      </c>
      <c r="J2065" t="s">
        <v>35</v>
      </c>
      <c r="K2065" t="s">
        <v>27</v>
      </c>
      <c r="L2065" t="s">
        <v>28</v>
      </c>
      <c r="M2065" s="4">
        <v>12</v>
      </c>
      <c r="N2065" s="4">
        <v>7</v>
      </c>
      <c r="O2065" t="s">
        <v>29</v>
      </c>
      <c r="P2065" t="s">
        <v>36</v>
      </c>
      <c r="Q2065" s="4">
        <v>250688</v>
      </c>
      <c r="R2065" s="4">
        <v>163406</v>
      </c>
      <c r="S2065" s="4">
        <f>Table1[[#This Row],[Service_Revenue]]-Table1[[#This Row],[Service_Cost]]</f>
        <v>87282</v>
      </c>
      <c r="T2065" s="4">
        <v>2</v>
      </c>
      <c r="U2065" s="4">
        <f>IF(AND(Table1[[#This Row],[Rework_Flag]]="Yes",Table1[[#This Row],[Warranty_Claim]]="No"),Table1[[#This Row],[Service_Revenue]],0)</f>
        <v>250688</v>
      </c>
      <c r="V2065" s="4">
        <f>IF(Table1[[#This Row],[Warranty_Claim]]="Yes",1,0)</f>
        <v>0</v>
      </c>
      <c r="W2065" s="4">
        <f>IF(Table1[[#This Row],[Rework_Flag]]="No",1,0)</f>
        <v>0</v>
      </c>
      <c r="X2065" s="4">
        <f>IF(Table1[[#This Row],[Rework_Flag]]="Yes",1,0)</f>
        <v>1</v>
      </c>
      <c r="Y2065" s="4">
        <v>1</v>
      </c>
      <c r="Z2065" s="4" t="str">
        <f>IF(Table1[[#This Row],[TAT_Days]]&gt;Table1[[#This Row],[SLA_TAT]],"Yes","No")</f>
        <v>Yes</v>
      </c>
      <c r="AA2065" s="4" t="str" cm="1">
        <f t="array" ref="AA2065">_xlfn.IFS(Table1[[#This Row],[Customer_Satisfaction]]&lt;=2,"Poor",Table1[[#This Row],[Customer_Satisfaction]]=3,"Neutral",Table1[[#This Row],[Customer_Satisfaction]]=4,"Good",Table1[[#This Row],[Customer_Satisfaction]]=5,"Good")</f>
        <v>Poor</v>
      </c>
    </row>
    <row r="2066" spans="1:27" x14ac:dyDescent="0.35">
      <c r="A2066">
        <v>22064</v>
      </c>
      <c r="B2066" s="1">
        <v>45443</v>
      </c>
      <c r="C2066" t="s">
        <v>30</v>
      </c>
      <c r="D2066" t="s">
        <v>59</v>
      </c>
      <c r="E2066" t="s">
        <v>94</v>
      </c>
      <c r="F2066" t="s">
        <v>22</v>
      </c>
      <c r="G2066" t="s">
        <v>33</v>
      </c>
      <c r="H2066" t="s">
        <v>34</v>
      </c>
      <c r="I2066" t="s">
        <v>25</v>
      </c>
      <c r="J2066" t="s">
        <v>26</v>
      </c>
      <c r="K2066" t="s">
        <v>44</v>
      </c>
      <c r="L2066" t="s">
        <v>28</v>
      </c>
      <c r="M2066" s="4">
        <v>13</v>
      </c>
      <c r="N2066" s="4">
        <v>7</v>
      </c>
      <c r="O2066" t="s">
        <v>36</v>
      </c>
      <c r="P2066" t="s">
        <v>36</v>
      </c>
      <c r="Q2066" s="4">
        <v>396924</v>
      </c>
      <c r="R2066" s="4">
        <v>216874</v>
      </c>
      <c r="S2066" s="4">
        <f>Table1[[#This Row],[Service_Revenue]]-Table1[[#This Row],[Service_Cost]]</f>
        <v>180050</v>
      </c>
      <c r="T2066" s="4">
        <v>3</v>
      </c>
      <c r="U2066" s="4">
        <f>IF(AND(Table1[[#This Row],[Rework_Flag]]="Yes",Table1[[#This Row],[Warranty_Claim]]="No"),Table1[[#This Row],[Service_Revenue]],0)</f>
        <v>0</v>
      </c>
      <c r="V2066" s="4">
        <f>IF(Table1[[#This Row],[Warranty_Claim]]="Yes",1,0)</f>
        <v>0</v>
      </c>
      <c r="W2066" s="4">
        <f>IF(Table1[[#This Row],[Rework_Flag]]="No",1,0)</f>
        <v>1</v>
      </c>
      <c r="X2066" s="4">
        <f>IF(Table1[[#This Row],[Rework_Flag]]="Yes",1,0)</f>
        <v>0</v>
      </c>
      <c r="Y2066" s="4">
        <v>1</v>
      </c>
      <c r="Z2066" s="4" t="str">
        <f>IF(Table1[[#This Row],[TAT_Days]]&gt;Table1[[#This Row],[SLA_TAT]],"Yes","No")</f>
        <v>Yes</v>
      </c>
      <c r="AA2066" s="4" t="str" cm="1">
        <f t="array" ref="AA2066">_xlfn.IFS(Table1[[#This Row],[Customer_Satisfaction]]&lt;=2,"Poor",Table1[[#This Row],[Customer_Satisfaction]]=3,"Neutral",Table1[[#This Row],[Customer_Satisfaction]]=4,"Good",Table1[[#This Row],[Customer_Satisfaction]]=5,"Good")</f>
        <v>Neutral</v>
      </c>
    </row>
    <row r="2067" spans="1:27" x14ac:dyDescent="0.35">
      <c r="A2067">
        <v>22065</v>
      </c>
      <c r="B2067" s="1">
        <v>45422</v>
      </c>
      <c r="C2067" t="s">
        <v>19</v>
      </c>
      <c r="D2067" t="s">
        <v>20</v>
      </c>
      <c r="E2067" t="s">
        <v>86</v>
      </c>
      <c r="F2067" t="s">
        <v>22</v>
      </c>
      <c r="G2067" t="s">
        <v>33</v>
      </c>
      <c r="H2067" t="s">
        <v>34</v>
      </c>
      <c r="I2067" t="s">
        <v>55</v>
      </c>
      <c r="J2067" t="s">
        <v>58</v>
      </c>
      <c r="K2067" t="s">
        <v>61</v>
      </c>
      <c r="L2067" t="s">
        <v>28</v>
      </c>
      <c r="M2067" s="4">
        <v>5</v>
      </c>
      <c r="N2067" s="4">
        <v>7</v>
      </c>
      <c r="O2067" t="s">
        <v>36</v>
      </c>
      <c r="P2067" t="s">
        <v>36</v>
      </c>
      <c r="Q2067" s="4">
        <v>198252</v>
      </c>
      <c r="R2067" s="4">
        <v>126333</v>
      </c>
      <c r="S2067" s="4">
        <f>Table1[[#This Row],[Service_Revenue]]-Table1[[#This Row],[Service_Cost]]</f>
        <v>71919</v>
      </c>
      <c r="T2067" s="4">
        <v>4</v>
      </c>
      <c r="U2067" s="4">
        <f>IF(AND(Table1[[#This Row],[Rework_Flag]]="Yes",Table1[[#This Row],[Warranty_Claim]]="No"),Table1[[#This Row],[Service_Revenue]],0)</f>
        <v>0</v>
      </c>
      <c r="V2067" s="4">
        <f>IF(Table1[[#This Row],[Warranty_Claim]]="Yes",1,0)</f>
        <v>0</v>
      </c>
      <c r="W2067" s="4">
        <f>IF(Table1[[#This Row],[Rework_Flag]]="No",1,0)</f>
        <v>1</v>
      </c>
      <c r="X2067" s="4">
        <f>IF(Table1[[#This Row],[Rework_Flag]]="Yes",1,0)</f>
        <v>0</v>
      </c>
      <c r="Y2067" s="4">
        <v>1</v>
      </c>
      <c r="Z2067" s="4" t="str">
        <f>IF(Table1[[#This Row],[TAT_Days]]&gt;Table1[[#This Row],[SLA_TAT]],"Yes","No")</f>
        <v>No</v>
      </c>
      <c r="AA2067" s="4" t="str" cm="1">
        <f t="array" ref="AA2067">_xlfn.IFS(Table1[[#This Row],[Customer_Satisfaction]]&lt;=2,"Poor",Table1[[#This Row],[Customer_Satisfaction]]=3,"Neutral",Table1[[#This Row],[Customer_Satisfaction]]=4,"Good",Table1[[#This Row],[Customer_Satisfaction]]=5,"Good")</f>
        <v>Good</v>
      </c>
    </row>
    <row r="2068" spans="1:27" x14ac:dyDescent="0.35">
      <c r="A2068">
        <v>22066</v>
      </c>
      <c r="B2068" s="1">
        <v>45399</v>
      </c>
      <c r="C2068" t="s">
        <v>50</v>
      </c>
      <c r="D2068" t="s">
        <v>56</v>
      </c>
      <c r="E2068" t="s">
        <v>68</v>
      </c>
      <c r="F2068" t="s">
        <v>22</v>
      </c>
      <c r="G2068" t="s">
        <v>33</v>
      </c>
      <c r="H2068" t="s">
        <v>34</v>
      </c>
      <c r="I2068" t="s">
        <v>25</v>
      </c>
      <c r="J2068" t="s">
        <v>58</v>
      </c>
      <c r="K2068" t="s">
        <v>44</v>
      </c>
      <c r="L2068" t="s">
        <v>28</v>
      </c>
      <c r="M2068" s="4">
        <v>4</v>
      </c>
      <c r="N2068" s="4">
        <v>7</v>
      </c>
      <c r="O2068" t="s">
        <v>29</v>
      </c>
      <c r="P2068" t="s">
        <v>36</v>
      </c>
      <c r="Q2068" s="4">
        <v>587814</v>
      </c>
      <c r="R2068" s="4">
        <v>300202</v>
      </c>
      <c r="S2068" s="4">
        <f>Table1[[#This Row],[Service_Revenue]]-Table1[[#This Row],[Service_Cost]]</f>
        <v>287612</v>
      </c>
      <c r="T2068" s="4">
        <v>4</v>
      </c>
      <c r="U2068" s="4">
        <f>IF(AND(Table1[[#This Row],[Rework_Flag]]="Yes",Table1[[#This Row],[Warranty_Claim]]="No"),Table1[[#This Row],[Service_Revenue]],0)</f>
        <v>587814</v>
      </c>
      <c r="V2068" s="4">
        <f>IF(Table1[[#This Row],[Warranty_Claim]]="Yes",1,0)</f>
        <v>0</v>
      </c>
      <c r="W2068" s="4">
        <f>IF(Table1[[#This Row],[Rework_Flag]]="No",1,0)</f>
        <v>0</v>
      </c>
      <c r="X2068" s="4">
        <f>IF(Table1[[#This Row],[Rework_Flag]]="Yes",1,0)</f>
        <v>1</v>
      </c>
      <c r="Y2068" s="4">
        <v>1</v>
      </c>
      <c r="Z2068" s="4" t="str">
        <f>IF(Table1[[#This Row],[TAT_Days]]&gt;Table1[[#This Row],[SLA_TAT]],"Yes","No")</f>
        <v>No</v>
      </c>
      <c r="AA2068" s="4" t="str" cm="1">
        <f t="array" ref="AA2068">_xlfn.IFS(Table1[[#This Row],[Customer_Satisfaction]]&lt;=2,"Poor",Table1[[#This Row],[Customer_Satisfaction]]=3,"Neutral",Table1[[#This Row],[Customer_Satisfaction]]=4,"Good",Table1[[#This Row],[Customer_Satisfaction]]=5,"Good")</f>
        <v>Good</v>
      </c>
    </row>
    <row r="2069" spans="1:27" x14ac:dyDescent="0.35">
      <c r="A2069">
        <v>22067</v>
      </c>
      <c r="B2069" s="1">
        <v>45332</v>
      </c>
      <c r="C2069" t="s">
        <v>37</v>
      </c>
      <c r="D2069" t="s">
        <v>38</v>
      </c>
      <c r="E2069" t="s">
        <v>102</v>
      </c>
      <c r="F2069" t="s">
        <v>22</v>
      </c>
      <c r="G2069" t="s">
        <v>33</v>
      </c>
      <c r="H2069" t="s">
        <v>34</v>
      </c>
      <c r="I2069" t="s">
        <v>25</v>
      </c>
      <c r="J2069" t="s">
        <v>35</v>
      </c>
      <c r="K2069" t="s">
        <v>27</v>
      </c>
      <c r="L2069" t="s">
        <v>28</v>
      </c>
      <c r="M2069" s="4">
        <v>17</v>
      </c>
      <c r="N2069" s="4">
        <v>7</v>
      </c>
      <c r="O2069" t="s">
        <v>29</v>
      </c>
      <c r="P2069" t="s">
        <v>36</v>
      </c>
      <c r="Q2069" s="4">
        <v>113205</v>
      </c>
      <c r="R2069" s="4">
        <v>95800</v>
      </c>
      <c r="S2069" s="4">
        <f>Table1[[#This Row],[Service_Revenue]]-Table1[[#This Row],[Service_Cost]]</f>
        <v>17405</v>
      </c>
      <c r="T2069" s="4">
        <v>1</v>
      </c>
      <c r="U2069" s="4">
        <f>IF(AND(Table1[[#This Row],[Rework_Flag]]="Yes",Table1[[#This Row],[Warranty_Claim]]="No"),Table1[[#This Row],[Service_Revenue]],0)</f>
        <v>113205</v>
      </c>
      <c r="V2069" s="4">
        <f>IF(Table1[[#This Row],[Warranty_Claim]]="Yes",1,0)</f>
        <v>0</v>
      </c>
      <c r="W2069" s="4">
        <f>IF(Table1[[#This Row],[Rework_Flag]]="No",1,0)</f>
        <v>0</v>
      </c>
      <c r="X2069" s="4">
        <f>IF(Table1[[#This Row],[Rework_Flag]]="Yes",1,0)</f>
        <v>1</v>
      </c>
      <c r="Y2069" s="4">
        <v>1</v>
      </c>
      <c r="Z2069" s="4" t="str">
        <f>IF(Table1[[#This Row],[TAT_Days]]&gt;Table1[[#This Row],[SLA_TAT]],"Yes","No")</f>
        <v>Yes</v>
      </c>
      <c r="AA2069" s="4" t="str" cm="1">
        <f t="array" ref="AA2069">_xlfn.IFS(Table1[[#This Row],[Customer_Satisfaction]]&lt;=2,"Poor",Table1[[#This Row],[Customer_Satisfaction]]=3,"Neutral",Table1[[#This Row],[Customer_Satisfaction]]=4,"Good",Table1[[#This Row],[Customer_Satisfaction]]=5,"Good")</f>
        <v>Poor</v>
      </c>
    </row>
    <row r="2070" spans="1:27" x14ac:dyDescent="0.35">
      <c r="A2070">
        <v>22068</v>
      </c>
      <c r="B2070" s="1">
        <v>45351</v>
      </c>
      <c r="C2070" t="s">
        <v>50</v>
      </c>
      <c r="D2070" t="s">
        <v>51</v>
      </c>
      <c r="E2070" t="s">
        <v>52</v>
      </c>
      <c r="F2070" t="s">
        <v>53</v>
      </c>
      <c r="G2070" t="s">
        <v>74</v>
      </c>
      <c r="H2070" t="s">
        <v>34</v>
      </c>
      <c r="I2070" t="s">
        <v>55</v>
      </c>
      <c r="J2070" t="s">
        <v>43</v>
      </c>
      <c r="K2070" t="s">
        <v>61</v>
      </c>
      <c r="L2070" t="s">
        <v>28</v>
      </c>
      <c r="M2070" s="4">
        <v>15</v>
      </c>
      <c r="N2070" s="4">
        <v>7</v>
      </c>
      <c r="O2070" t="s">
        <v>36</v>
      </c>
      <c r="P2070" t="s">
        <v>36</v>
      </c>
      <c r="Q2070" s="4">
        <v>583748</v>
      </c>
      <c r="R2070" s="4">
        <v>296742</v>
      </c>
      <c r="S2070" s="4">
        <f>Table1[[#This Row],[Service_Revenue]]-Table1[[#This Row],[Service_Cost]]</f>
        <v>287006</v>
      </c>
      <c r="T2070" s="4">
        <v>2</v>
      </c>
      <c r="U2070" s="4">
        <f>IF(AND(Table1[[#This Row],[Rework_Flag]]="Yes",Table1[[#This Row],[Warranty_Claim]]="No"),Table1[[#This Row],[Service_Revenue]],0)</f>
        <v>0</v>
      </c>
      <c r="V2070" s="4">
        <f>IF(Table1[[#This Row],[Warranty_Claim]]="Yes",1,0)</f>
        <v>0</v>
      </c>
      <c r="W2070" s="4">
        <f>IF(Table1[[#This Row],[Rework_Flag]]="No",1,0)</f>
        <v>1</v>
      </c>
      <c r="X2070" s="4">
        <f>IF(Table1[[#This Row],[Rework_Flag]]="Yes",1,0)</f>
        <v>0</v>
      </c>
      <c r="Y2070" s="4">
        <v>1</v>
      </c>
      <c r="Z2070" s="4" t="str">
        <f>IF(Table1[[#This Row],[TAT_Days]]&gt;Table1[[#This Row],[SLA_TAT]],"Yes","No")</f>
        <v>Yes</v>
      </c>
      <c r="AA2070" s="4" t="str" cm="1">
        <f t="array" ref="AA2070">_xlfn.IFS(Table1[[#This Row],[Customer_Satisfaction]]&lt;=2,"Poor",Table1[[#This Row],[Customer_Satisfaction]]=3,"Neutral",Table1[[#This Row],[Customer_Satisfaction]]=4,"Good",Table1[[#This Row],[Customer_Satisfaction]]=5,"Good")</f>
        <v>Poor</v>
      </c>
    </row>
    <row r="2071" spans="1:27" x14ac:dyDescent="0.35">
      <c r="A2071">
        <v>22069</v>
      </c>
      <c r="B2071" s="1">
        <v>45342</v>
      </c>
      <c r="C2071" t="s">
        <v>30</v>
      </c>
      <c r="D2071" t="s">
        <v>31</v>
      </c>
      <c r="E2071" t="s">
        <v>106</v>
      </c>
      <c r="F2071" t="s">
        <v>40</v>
      </c>
      <c r="G2071" t="s">
        <v>23</v>
      </c>
      <c r="H2071" t="s">
        <v>24</v>
      </c>
      <c r="I2071" t="s">
        <v>25</v>
      </c>
      <c r="J2071" t="s">
        <v>67</v>
      </c>
      <c r="K2071" t="s">
        <v>44</v>
      </c>
      <c r="L2071" t="s">
        <v>28</v>
      </c>
      <c r="M2071" s="4">
        <v>20</v>
      </c>
      <c r="N2071" s="4">
        <v>7</v>
      </c>
      <c r="O2071" t="s">
        <v>36</v>
      </c>
      <c r="P2071" t="s">
        <v>29</v>
      </c>
      <c r="Q2071" s="4">
        <v>596869</v>
      </c>
      <c r="R2071" s="4">
        <v>335232</v>
      </c>
      <c r="S2071" s="4">
        <f>Table1[[#This Row],[Service_Revenue]]-Table1[[#This Row],[Service_Cost]]</f>
        <v>261637</v>
      </c>
      <c r="T2071" s="4">
        <v>1</v>
      </c>
      <c r="U2071" s="4">
        <f>IF(AND(Table1[[#This Row],[Rework_Flag]]="Yes",Table1[[#This Row],[Warranty_Claim]]="No"),Table1[[#This Row],[Service_Revenue]],0)</f>
        <v>0</v>
      </c>
      <c r="V2071" s="4">
        <f>IF(Table1[[#This Row],[Warranty_Claim]]="Yes",1,0)</f>
        <v>1</v>
      </c>
      <c r="W2071" s="4">
        <f>IF(Table1[[#This Row],[Rework_Flag]]="No",1,0)</f>
        <v>1</v>
      </c>
      <c r="X2071" s="4">
        <f>IF(Table1[[#This Row],[Rework_Flag]]="Yes",1,0)</f>
        <v>0</v>
      </c>
      <c r="Y2071" s="4">
        <v>1</v>
      </c>
      <c r="Z2071" s="4" t="str">
        <f>IF(Table1[[#This Row],[TAT_Days]]&gt;Table1[[#This Row],[SLA_TAT]],"Yes","No")</f>
        <v>Yes</v>
      </c>
      <c r="AA2071" s="4" t="str" cm="1">
        <f t="array" ref="AA2071">_xlfn.IFS(Table1[[#This Row],[Customer_Satisfaction]]&lt;=2,"Poor",Table1[[#This Row],[Customer_Satisfaction]]=3,"Neutral",Table1[[#This Row],[Customer_Satisfaction]]=4,"Good",Table1[[#This Row],[Customer_Satisfaction]]=5,"Good")</f>
        <v>Poor</v>
      </c>
    </row>
    <row r="2072" spans="1:27" x14ac:dyDescent="0.35">
      <c r="A2072">
        <v>22070</v>
      </c>
      <c r="B2072" s="1">
        <v>45413</v>
      </c>
      <c r="C2072" t="s">
        <v>50</v>
      </c>
      <c r="D2072" t="s">
        <v>51</v>
      </c>
      <c r="E2072" t="s">
        <v>75</v>
      </c>
      <c r="F2072" t="s">
        <v>22</v>
      </c>
      <c r="G2072" t="s">
        <v>63</v>
      </c>
      <c r="H2072" t="s">
        <v>24</v>
      </c>
      <c r="I2072" t="s">
        <v>55</v>
      </c>
      <c r="J2072" t="s">
        <v>43</v>
      </c>
      <c r="K2072" t="s">
        <v>61</v>
      </c>
      <c r="L2072" t="s">
        <v>28</v>
      </c>
      <c r="M2072" s="4">
        <v>24</v>
      </c>
      <c r="N2072" s="4">
        <v>7</v>
      </c>
      <c r="O2072" t="s">
        <v>36</v>
      </c>
      <c r="P2072" t="s">
        <v>29</v>
      </c>
      <c r="Q2072" s="4">
        <v>483684</v>
      </c>
      <c r="R2072" s="4">
        <v>335864</v>
      </c>
      <c r="S2072" s="4">
        <f>Table1[[#This Row],[Service_Revenue]]-Table1[[#This Row],[Service_Cost]]</f>
        <v>147820</v>
      </c>
      <c r="T2072" s="4">
        <v>1</v>
      </c>
      <c r="U2072" s="4">
        <f>IF(AND(Table1[[#This Row],[Rework_Flag]]="Yes",Table1[[#This Row],[Warranty_Claim]]="No"),Table1[[#This Row],[Service_Revenue]],0)</f>
        <v>0</v>
      </c>
      <c r="V2072" s="4">
        <f>IF(Table1[[#This Row],[Warranty_Claim]]="Yes",1,0)</f>
        <v>1</v>
      </c>
      <c r="W2072" s="4">
        <f>IF(Table1[[#This Row],[Rework_Flag]]="No",1,0)</f>
        <v>1</v>
      </c>
      <c r="X2072" s="4">
        <f>IF(Table1[[#This Row],[Rework_Flag]]="Yes",1,0)</f>
        <v>0</v>
      </c>
      <c r="Y2072" s="4">
        <v>1</v>
      </c>
      <c r="Z2072" s="4" t="str">
        <f>IF(Table1[[#This Row],[TAT_Days]]&gt;Table1[[#This Row],[SLA_TAT]],"Yes","No")</f>
        <v>Yes</v>
      </c>
      <c r="AA2072" s="4" t="str" cm="1">
        <f t="array" ref="AA2072">_xlfn.IFS(Table1[[#This Row],[Customer_Satisfaction]]&lt;=2,"Poor",Table1[[#This Row],[Customer_Satisfaction]]=3,"Neutral",Table1[[#This Row],[Customer_Satisfaction]]=4,"Good",Table1[[#This Row],[Customer_Satisfaction]]=5,"Good")</f>
        <v>Poor</v>
      </c>
    </row>
    <row r="2073" spans="1:27" x14ac:dyDescent="0.35">
      <c r="A2073">
        <v>22071</v>
      </c>
      <c r="B2073" s="1">
        <v>45407</v>
      </c>
      <c r="C2073" t="s">
        <v>30</v>
      </c>
      <c r="D2073" t="s">
        <v>59</v>
      </c>
      <c r="E2073" t="s">
        <v>94</v>
      </c>
      <c r="F2073" t="s">
        <v>22</v>
      </c>
      <c r="G2073" t="s">
        <v>63</v>
      </c>
      <c r="H2073" t="s">
        <v>24</v>
      </c>
      <c r="I2073" t="s">
        <v>55</v>
      </c>
      <c r="J2073" t="s">
        <v>58</v>
      </c>
      <c r="K2073" t="s">
        <v>61</v>
      </c>
      <c r="L2073" t="s">
        <v>49</v>
      </c>
      <c r="M2073" s="4">
        <v>23</v>
      </c>
      <c r="N2073" s="4">
        <v>7</v>
      </c>
      <c r="O2073" t="s">
        <v>29</v>
      </c>
      <c r="P2073" t="s">
        <v>36</v>
      </c>
      <c r="Q2073" s="4">
        <v>454381</v>
      </c>
      <c r="R2073" s="4">
        <v>345469</v>
      </c>
      <c r="S2073" s="4">
        <f>Table1[[#This Row],[Service_Revenue]]-Table1[[#This Row],[Service_Cost]]</f>
        <v>108912</v>
      </c>
      <c r="T2073" s="4">
        <v>1</v>
      </c>
      <c r="U2073" s="4">
        <f>IF(AND(Table1[[#This Row],[Rework_Flag]]="Yes",Table1[[#This Row],[Warranty_Claim]]="No"),Table1[[#This Row],[Service_Revenue]],0)</f>
        <v>454381</v>
      </c>
      <c r="V2073" s="4">
        <f>IF(Table1[[#This Row],[Warranty_Claim]]="Yes",1,0)</f>
        <v>0</v>
      </c>
      <c r="W2073" s="4">
        <f>IF(Table1[[#This Row],[Rework_Flag]]="No",1,0)</f>
        <v>0</v>
      </c>
      <c r="X2073" s="4">
        <f>IF(Table1[[#This Row],[Rework_Flag]]="Yes",1,0)</f>
        <v>1</v>
      </c>
      <c r="Y2073" s="4">
        <v>1</v>
      </c>
      <c r="Z2073" s="4" t="str">
        <f>IF(Table1[[#This Row],[TAT_Days]]&gt;Table1[[#This Row],[SLA_TAT]],"Yes","No")</f>
        <v>Yes</v>
      </c>
      <c r="AA2073" s="4" t="str" cm="1">
        <f t="array" ref="AA2073">_xlfn.IFS(Table1[[#This Row],[Customer_Satisfaction]]&lt;=2,"Poor",Table1[[#This Row],[Customer_Satisfaction]]=3,"Neutral",Table1[[#This Row],[Customer_Satisfaction]]=4,"Good",Table1[[#This Row],[Customer_Satisfaction]]=5,"Good")</f>
        <v>Poor</v>
      </c>
    </row>
    <row r="2074" spans="1:27" x14ac:dyDescent="0.35">
      <c r="A2074">
        <v>22072</v>
      </c>
      <c r="B2074" s="1">
        <v>45349</v>
      </c>
      <c r="C2074" t="s">
        <v>50</v>
      </c>
      <c r="D2074" t="s">
        <v>51</v>
      </c>
      <c r="E2074" t="s">
        <v>52</v>
      </c>
      <c r="F2074" t="s">
        <v>53</v>
      </c>
      <c r="G2074" t="s">
        <v>74</v>
      </c>
      <c r="H2074" t="s">
        <v>34</v>
      </c>
      <c r="I2074" t="s">
        <v>55</v>
      </c>
      <c r="J2074" t="s">
        <v>35</v>
      </c>
      <c r="K2074" t="s">
        <v>44</v>
      </c>
      <c r="L2074" t="s">
        <v>49</v>
      </c>
      <c r="M2074" s="4">
        <v>23</v>
      </c>
      <c r="N2074" s="4">
        <v>7</v>
      </c>
      <c r="O2074" t="s">
        <v>29</v>
      </c>
      <c r="P2074" t="s">
        <v>36</v>
      </c>
      <c r="Q2074" s="4">
        <v>412216</v>
      </c>
      <c r="R2074" s="4">
        <v>241168</v>
      </c>
      <c r="S2074" s="4">
        <f>Table1[[#This Row],[Service_Revenue]]-Table1[[#This Row],[Service_Cost]]</f>
        <v>171048</v>
      </c>
      <c r="T2074" s="4">
        <v>1</v>
      </c>
      <c r="U2074" s="4">
        <f>IF(AND(Table1[[#This Row],[Rework_Flag]]="Yes",Table1[[#This Row],[Warranty_Claim]]="No"),Table1[[#This Row],[Service_Revenue]],0)</f>
        <v>412216</v>
      </c>
      <c r="V2074" s="4">
        <f>IF(Table1[[#This Row],[Warranty_Claim]]="Yes",1,0)</f>
        <v>0</v>
      </c>
      <c r="W2074" s="4">
        <f>IF(Table1[[#This Row],[Rework_Flag]]="No",1,0)</f>
        <v>0</v>
      </c>
      <c r="X2074" s="4">
        <f>IF(Table1[[#This Row],[Rework_Flag]]="Yes",1,0)</f>
        <v>1</v>
      </c>
      <c r="Y2074" s="4">
        <v>1</v>
      </c>
      <c r="Z2074" s="4" t="str">
        <f>IF(Table1[[#This Row],[TAT_Days]]&gt;Table1[[#This Row],[SLA_TAT]],"Yes","No")</f>
        <v>Yes</v>
      </c>
      <c r="AA2074" s="4" t="str" cm="1">
        <f t="array" ref="AA2074">_xlfn.IFS(Table1[[#This Row],[Customer_Satisfaction]]&lt;=2,"Poor",Table1[[#This Row],[Customer_Satisfaction]]=3,"Neutral",Table1[[#This Row],[Customer_Satisfaction]]=4,"Good",Table1[[#This Row],[Customer_Satisfaction]]=5,"Good")</f>
        <v>Poor</v>
      </c>
    </row>
    <row r="2075" spans="1:27" x14ac:dyDescent="0.35">
      <c r="A2075">
        <v>22073</v>
      </c>
      <c r="B2075" s="1">
        <v>45437</v>
      </c>
      <c r="C2075" t="s">
        <v>37</v>
      </c>
      <c r="D2075" t="s">
        <v>64</v>
      </c>
      <c r="E2075" t="s">
        <v>87</v>
      </c>
      <c r="F2075" t="s">
        <v>22</v>
      </c>
      <c r="G2075" t="s">
        <v>63</v>
      </c>
      <c r="H2075" t="s">
        <v>24</v>
      </c>
      <c r="I2075" t="s">
        <v>25</v>
      </c>
      <c r="J2075" t="s">
        <v>58</v>
      </c>
      <c r="K2075" t="s">
        <v>27</v>
      </c>
      <c r="L2075" t="s">
        <v>28</v>
      </c>
      <c r="M2075" s="4">
        <v>5</v>
      </c>
      <c r="N2075" s="4">
        <v>7</v>
      </c>
      <c r="O2075" t="s">
        <v>36</v>
      </c>
      <c r="P2075" t="s">
        <v>29</v>
      </c>
      <c r="Q2075" s="4">
        <v>321256</v>
      </c>
      <c r="R2075" s="4">
        <v>166438</v>
      </c>
      <c r="S2075" s="4">
        <f>Table1[[#This Row],[Service_Revenue]]-Table1[[#This Row],[Service_Cost]]</f>
        <v>154818</v>
      </c>
      <c r="T2075" s="4">
        <v>4</v>
      </c>
      <c r="U2075" s="4">
        <f>IF(AND(Table1[[#This Row],[Rework_Flag]]="Yes",Table1[[#This Row],[Warranty_Claim]]="No"),Table1[[#This Row],[Service_Revenue]],0)</f>
        <v>0</v>
      </c>
      <c r="V2075" s="4">
        <f>IF(Table1[[#This Row],[Warranty_Claim]]="Yes",1,0)</f>
        <v>1</v>
      </c>
      <c r="W2075" s="4">
        <f>IF(Table1[[#This Row],[Rework_Flag]]="No",1,0)</f>
        <v>1</v>
      </c>
      <c r="X2075" s="4">
        <f>IF(Table1[[#This Row],[Rework_Flag]]="Yes",1,0)</f>
        <v>0</v>
      </c>
      <c r="Y2075" s="4">
        <v>1</v>
      </c>
      <c r="Z2075" s="4" t="str">
        <f>IF(Table1[[#This Row],[TAT_Days]]&gt;Table1[[#This Row],[SLA_TAT]],"Yes","No")</f>
        <v>No</v>
      </c>
      <c r="AA2075" s="4" t="str" cm="1">
        <f t="array" ref="AA2075">_xlfn.IFS(Table1[[#This Row],[Customer_Satisfaction]]&lt;=2,"Poor",Table1[[#This Row],[Customer_Satisfaction]]=3,"Neutral",Table1[[#This Row],[Customer_Satisfaction]]=4,"Good",Table1[[#This Row],[Customer_Satisfaction]]=5,"Good")</f>
        <v>Good</v>
      </c>
    </row>
    <row r="2076" spans="1:27" x14ac:dyDescent="0.35">
      <c r="A2076">
        <v>22074</v>
      </c>
      <c r="B2076" s="1">
        <v>45421</v>
      </c>
      <c r="C2076" t="s">
        <v>37</v>
      </c>
      <c r="D2076" t="s">
        <v>64</v>
      </c>
      <c r="E2076" t="s">
        <v>87</v>
      </c>
      <c r="F2076" t="s">
        <v>53</v>
      </c>
      <c r="G2076" t="s">
        <v>23</v>
      </c>
      <c r="H2076" t="s">
        <v>24</v>
      </c>
      <c r="I2076" t="s">
        <v>25</v>
      </c>
      <c r="J2076" t="s">
        <v>26</v>
      </c>
      <c r="K2076" t="s">
        <v>61</v>
      </c>
      <c r="L2076" t="s">
        <v>28</v>
      </c>
      <c r="M2076" s="4">
        <v>16</v>
      </c>
      <c r="N2076" s="4">
        <v>7</v>
      </c>
      <c r="O2076" t="s">
        <v>36</v>
      </c>
      <c r="P2076" t="s">
        <v>36</v>
      </c>
      <c r="Q2076" s="4">
        <v>151192</v>
      </c>
      <c r="R2076" s="4">
        <v>81555</v>
      </c>
      <c r="S2076" s="4">
        <f>Table1[[#This Row],[Service_Revenue]]-Table1[[#This Row],[Service_Cost]]</f>
        <v>69637</v>
      </c>
      <c r="T2076" s="4">
        <v>2</v>
      </c>
      <c r="U2076" s="4">
        <f>IF(AND(Table1[[#This Row],[Rework_Flag]]="Yes",Table1[[#This Row],[Warranty_Claim]]="No"),Table1[[#This Row],[Service_Revenue]],0)</f>
        <v>0</v>
      </c>
      <c r="V2076" s="4">
        <f>IF(Table1[[#This Row],[Warranty_Claim]]="Yes",1,0)</f>
        <v>0</v>
      </c>
      <c r="W2076" s="4">
        <f>IF(Table1[[#This Row],[Rework_Flag]]="No",1,0)</f>
        <v>1</v>
      </c>
      <c r="X2076" s="4">
        <f>IF(Table1[[#This Row],[Rework_Flag]]="Yes",1,0)</f>
        <v>0</v>
      </c>
      <c r="Y2076" s="4">
        <v>1</v>
      </c>
      <c r="Z2076" s="4" t="str">
        <f>IF(Table1[[#This Row],[TAT_Days]]&gt;Table1[[#This Row],[SLA_TAT]],"Yes","No")</f>
        <v>Yes</v>
      </c>
      <c r="AA2076" s="4" t="str" cm="1">
        <f t="array" ref="AA2076">_xlfn.IFS(Table1[[#This Row],[Customer_Satisfaction]]&lt;=2,"Poor",Table1[[#This Row],[Customer_Satisfaction]]=3,"Neutral",Table1[[#This Row],[Customer_Satisfaction]]=4,"Good",Table1[[#This Row],[Customer_Satisfaction]]=5,"Good")</f>
        <v>Poor</v>
      </c>
    </row>
    <row r="2077" spans="1:27" x14ac:dyDescent="0.35">
      <c r="A2077">
        <v>22075</v>
      </c>
      <c r="B2077" s="1">
        <v>45304</v>
      </c>
      <c r="C2077" t="s">
        <v>37</v>
      </c>
      <c r="D2077" t="s">
        <v>38</v>
      </c>
      <c r="E2077" t="s">
        <v>102</v>
      </c>
      <c r="F2077" t="s">
        <v>22</v>
      </c>
      <c r="G2077" t="s">
        <v>54</v>
      </c>
      <c r="H2077" t="s">
        <v>42</v>
      </c>
      <c r="I2077" t="s">
        <v>55</v>
      </c>
      <c r="J2077" t="s">
        <v>35</v>
      </c>
      <c r="K2077" t="s">
        <v>44</v>
      </c>
      <c r="L2077" t="s">
        <v>28</v>
      </c>
      <c r="M2077" s="4">
        <v>10</v>
      </c>
      <c r="N2077" s="4">
        <v>7</v>
      </c>
      <c r="O2077" t="s">
        <v>29</v>
      </c>
      <c r="P2077" t="s">
        <v>29</v>
      </c>
      <c r="Q2077" s="4">
        <v>544757</v>
      </c>
      <c r="R2077" s="4">
        <v>345816</v>
      </c>
      <c r="S2077" s="4">
        <f>Table1[[#This Row],[Service_Revenue]]-Table1[[#This Row],[Service_Cost]]</f>
        <v>198941</v>
      </c>
      <c r="T2077" s="4">
        <v>2</v>
      </c>
      <c r="U2077" s="4">
        <f>IF(AND(Table1[[#This Row],[Rework_Flag]]="Yes",Table1[[#This Row],[Warranty_Claim]]="No"),Table1[[#This Row],[Service_Revenue]],0)</f>
        <v>0</v>
      </c>
      <c r="V2077" s="4">
        <f>IF(Table1[[#This Row],[Warranty_Claim]]="Yes",1,0)</f>
        <v>1</v>
      </c>
      <c r="W2077" s="4">
        <f>IF(Table1[[#This Row],[Rework_Flag]]="No",1,0)</f>
        <v>0</v>
      </c>
      <c r="X2077" s="4">
        <f>IF(Table1[[#This Row],[Rework_Flag]]="Yes",1,0)</f>
        <v>1</v>
      </c>
      <c r="Y2077" s="4">
        <v>1</v>
      </c>
      <c r="Z2077" s="4" t="str">
        <f>IF(Table1[[#This Row],[TAT_Days]]&gt;Table1[[#This Row],[SLA_TAT]],"Yes","No")</f>
        <v>Yes</v>
      </c>
      <c r="AA2077" s="4" t="str" cm="1">
        <f t="array" ref="AA2077">_xlfn.IFS(Table1[[#This Row],[Customer_Satisfaction]]&lt;=2,"Poor",Table1[[#This Row],[Customer_Satisfaction]]=3,"Neutral",Table1[[#This Row],[Customer_Satisfaction]]=4,"Good",Table1[[#This Row],[Customer_Satisfaction]]=5,"Good")</f>
        <v>Poor</v>
      </c>
    </row>
    <row r="2078" spans="1:27" x14ac:dyDescent="0.35">
      <c r="A2078">
        <v>22076</v>
      </c>
      <c r="B2078" s="1">
        <v>45452</v>
      </c>
      <c r="C2078" t="s">
        <v>50</v>
      </c>
      <c r="D2078" t="s">
        <v>80</v>
      </c>
      <c r="E2078" t="s">
        <v>81</v>
      </c>
      <c r="F2078" t="s">
        <v>53</v>
      </c>
      <c r="G2078" t="s">
        <v>41</v>
      </c>
      <c r="H2078" t="s">
        <v>42</v>
      </c>
      <c r="I2078" t="s">
        <v>25</v>
      </c>
      <c r="J2078" t="s">
        <v>35</v>
      </c>
      <c r="K2078" t="s">
        <v>27</v>
      </c>
      <c r="L2078" t="s">
        <v>49</v>
      </c>
      <c r="M2078" s="4">
        <v>2</v>
      </c>
      <c r="N2078" s="4">
        <v>7</v>
      </c>
      <c r="O2078" t="s">
        <v>36</v>
      </c>
      <c r="P2078" t="s">
        <v>29</v>
      </c>
      <c r="Q2078" s="4">
        <v>173619</v>
      </c>
      <c r="R2078" s="4">
        <v>89885</v>
      </c>
      <c r="S2078" s="4">
        <f>Table1[[#This Row],[Service_Revenue]]-Table1[[#This Row],[Service_Cost]]</f>
        <v>83734</v>
      </c>
      <c r="T2078" s="4">
        <v>5</v>
      </c>
      <c r="U2078" s="4">
        <f>IF(AND(Table1[[#This Row],[Rework_Flag]]="Yes",Table1[[#This Row],[Warranty_Claim]]="No"),Table1[[#This Row],[Service_Revenue]],0)</f>
        <v>0</v>
      </c>
      <c r="V2078" s="4">
        <f>IF(Table1[[#This Row],[Warranty_Claim]]="Yes",1,0)</f>
        <v>1</v>
      </c>
      <c r="W2078" s="4">
        <f>IF(Table1[[#This Row],[Rework_Flag]]="No",1,0)</f>
        <v>1</v>
      </c>
      <c r="X2078" s="4">
        <f>IF(Table1[[#This Row],[Rework_Flag]]="Yes",1,0)</f>
        <v>0</v>
      </c>
      <c r="Y2078" s="4">
        <v>1</v>
      </c>
      <c r="Z2078" s="4" t="str">
        <f>IF(Table1[[#This Row],[TAT_Days]]&gt;Table1[[#This Row],[SLA_TAT]],"Yes","No")</f>
        <v>No</v>
      </c>
      <c r="AA2078" s="4" t="str" cm="1">
        <f t="array" ref="AA2078">_xlfn.IFS(Table1[[#This Row],[Customer_Satisfaction]]&lt;=2,"Poor",Table1[[#This Row],[Customer_Satisfaction]]=3,"Neutral",Table1[[#This Row],[Customer_Satisfaction]]=4,"Good",Table1[[#This Row],[Customer_Satisfaction]]=5,"Good")</f>
        <v>Good</v>
      </c>
    </row>
    <row r="2079" spans="1:27" x14ac:dyDescent="0.35">
      <c r="A2079">
        <v>22077</v>
      </c>
      <c r="B2079" s="1">
        <v>45423</v>
      </c>
      <c r="C2079" t="s">
        <v>30</v>
      </c>
      <c r="D2079" t="s">
        <v>31</v>
      </c>
      <c r="E2079" t="s">
        <v>106</v>
      </c>
      <c r="F2079" t="s">
        <v>53</v>
      </c>
      <c r="G2079" t="s">
        <v>41</v>
      </c>
      <c r="H2079" t="s">
        <v>42</v>
      </c>
      <c r="I2079" t="s">
        <v>55</v>
      </c>
      <c r="J2079" t="s">
        <v>67</v>
      </c>
      <c r="K2079" t="s">
        <v>44</v>
      </c>
      <c r="L2079" t="s">
        <v>28</v>
      </c>
      <c r="M2079" s="4">
        <v>21</v>
      </c>
      <c r="N2079" s="4">
        <v>7</v>
      </c>
      <c r="O2079" t="s">
        <v>29</v>
      </c>
      <c r="P2079" t="s">
        <v>29</v>
      </c>
      <c r="Q2079" s="4">
        <v>271828</v>
      </c>
      <c r="R2079" s="4">
        <v>197372</v>
      </c>
      <c r="S2079" s="4">
        <f>Table1[[#This Row],[Service_Revenue]]-Table1[[#This Row],[Service_Cost]]</f>
        <v>74456</v>
      </c>
      <c r="T2079" s="4">
        <v>1</v>
      </c>
      <c r="U2079" s="4">
        <f>IF(AND(Table1[[#This Row],[Rework_Flag]]="Yes",Table1[[#This Row],[Warranty_Claim]]="No"),Table1[[#This Row],[Service_Revenue]],0)</f>
        <v>0</v>
      </c>
      <c r="V2079" s="4">
        <f>IF(Table1[[#This Row],[Warranty_Claim]]="Yes",1,0)</f>
        <v>1</v>
      </c>
      <c r="W2079" s="4">
        <f>IF(Table1[[#This Row],[Rework_Flag]]="No",1,0)</f>
        <v>0</v>
      </c>
      <c r="X2079" s="4">
        <f>IF(Table1[[#This Row],[Rework_Flag]]="Yes",1,0)</f>
        <v>1</v>
      </c>
      <c r="Y2079" s="4">
        <v>1</v>
      </c>
      <c r="Z2079" s="4" t="str">
        <f>IF(Table1[[#This Row],[TAT_Days]]&gt;Table1[[#This Row],[SLA_TAT]],"Yes","No")</f>
        <v>Yes</v>
      </c>
      <c r="AA2079" s="4" t="str" cm="1">
        <f t="array" ref="AA2079">_xlfn.IFS(Table1[[#This Row],[Customer_Satisfaction]]&lt;=2,"Poor",Table1[[#This Row],[Customer_Satisfaction]]=3,"Neutral",Table1[[#This Row],[Customer_Satisfaction]]=4,"Good",Table1[[#This Row],[Customer_Satisfaction]]=5,"Good")</f>
        <v>Poor</v>
      </c>
    </row>
    <row r="2080" spans="1:27" x14ac:dyDescent="0.35">
      <c r="A2080">
        <v>22078</v>
      </c>
      <c r="B2080" s="1">
        <v>45321</v>
      </c>
      <c r="C2080" t="s">
        <v>37</v>
      </c>
      <c r="D2080" t="s">
        <v>64</v>
      </c>
      <c r="E2080" t="s">
        <v>115</v>
      </c>
      <c r="F2080" t="s">
        <v>53</v>
      </c>
      <c r="G2080" t="s">
        <v>63</v>
      </c>
      <c r="H2080" t="s">
        <v>24</v>
      </c>
      <c r="I2080" t="s">
        <v>25</v>
      </c>
      <c r="J2080" t="s">
        <v>26</v>
      </c>
      <c r="K2080" t="s">
        <v>44</v>
      </c>
      <c r="L2080" t="s">
        <v>49</v>
      </c>
      <c r="M2080" s="4">
        <v>3</v>
      </c>
      <c r="N2080" s="4">
        <v>7</v>
      </c>
      <c r="O2080" t="s">
        <v>29</v>
      </c>
      <c r="P2080" t="s">
        <v>36</v>
      </c>
      <c r="Q2080" s="4">
        <v>273520</v>
      </c>
      <c r="R2080" s="4">
        <v>166836</v>
      </c>
      <c r="S2080" s="4">
        <f>Table1[[#This Row],[Service_Revenue]]-Table1[[#This Row],[Service_Cost]]</f>
        <v>106684</v>
      </c>
      <c r="T2080" s="4">
        <v>4</v>
      </c>
      <c r="U2080" s="4">
        <f>IF(AND(Table1[[#This Row],[Rework_Flag]]="Yes",Table1[[#This Row],[Warranty_Claim]]="No"),Table1[[#This Row],[Service_Revenue]],0)</f>
        <v>273520</v>
      </c>
      <c r="V2080" s="4">
        <f>IF(Table1[[#This Row],[Warranty_Claim]]="Yes",1,0)</f>
        <v>0</v>
      </c>
      <c r="W2080" s="4">
        <f>IF(Table1[[#This Row],[Rework_Flag]]="No",1,0)</f>
        <v>0</v>
      </c>
      <c r="X2080" s="4">
        <f>IF(Table1[[#This Row],[Rework_Flag]]="Yes",1,0)</f>
        <v>1</v>
      </c>
      <c r="Y2080" s="4">
        <v>1</v>
      </c>
      <c r="Z2080" s="4" t="str">
        <f>IF(Table1[[#This Row],[TAT_Days]]&gt;Table1[[#This Row],[SLA_TAT]],"Yes","No")</f>
        <v>No</v>
      </c>
      <c r="AA2080" s="4" t="str" cm="1">
        <f t="array" ref="AA2080">_xlfn.IFS(Table1[[#This Row],[Customer_Satisfaction]]&lt;=2,"Poor",Table1[[#This Row],[Customer_Satisfaction]]=3,"Neutral",Table1[[#This Row],[Customer_Satisfaction]]=4,"Good",Table1[[#This Row],[Customer_Satisfaction]]=5,"Good")</f>
        <v>Good</v>
      </c>
    </row>
    <row r="2081" spans="1:27" x14ac:dyDescent="0.35">
      <c r="A2081">
        <v>22079</v>
      </c>
      <c r="B2081" s="1">
        <v>45414</v>
      </c>
      <c r="C2081" t="s">
        <v>50</v>
      </c>
      <c r="D2081" t="s">
        <v>80</v>
      </c>
      <c r="E2081" t="s">
        <v>81</v>
      </c>
      <c r="F2081" t="s">
        <v>22</v>
      </c>
      <c r="G2081" t="s">
        <v>41</v>
      </c>
      <c r="H2081" t="s">
        <v>42</v>
      </c>
      <c r="I2081" t="s">
        <v>55</v>
      </c>
      <c r="J2081" t="s">
        <v>67</v>
      </c>
      <c r="K2081" t="s">
        <v>61</v>
      </c>
      <c r="L2081" t="s">
        <v>49</v>
      </c>
      <c r="M2081" s="4">
        <v>7</v>
      </c>
      <c r="N2081" s="4">
        <v>7</v>
      </c>
      <c r="O2081" t="s">
        <v>36</v>
      </c>
      <c r="P2081" t="s">
        <v>36</v>
      </c>
      <c r="Q2081" s="4">
        <v>298875</v>
      </c>
      <c r="R2081" s="4">
        <v>221515</v>
      </c>
      <c r="S2081" s="4">
        <f>Table1[[#This Row],[Service_Revenue]]-Table1[[#This Row],[Service_Cost]]</f>
        <v>77360</v>
      </c>
      <c r="T2081" s="4">
        <v>4</v>
      </c>
      <c r="U2081" s="4">
        <f>IF(AND(Table1[[#This Row],[Rework_Flag]]="Yes",Table1[[#This Row],[Warranty_Claim]]="No"),Table1[[#This Row],[Service_Revenue]],0)</f>
        <v>0</v>
      </c>
      <c r="V2081" s="4">
        <f>IF(Table1[[#This Row],[Warranty_Claim]]="Yes",1,0)</f>
        <v>0</v>
      </c>
      <c r="W2081" s="4">
        <f>IF(Table1[[#This Row],[Rework_Flag]]="No",1,0)</f>
        <v>1</v>
      </c>
      <c r="X2081" s="4">
        <f>IF(Table1[[#This Row],[Rework_Flag]]="Yes",1,0)</f>
        <v>0</v>
      </c>
      <c r="Y2081" s="4">
        <v>1</v>
      </c>
      <c r="Z2081" s="4" t="str">
        <f>IF(Table1[[#This Row],[TAT_Days]]&gt;Table1[[#This Row],[SLA_TAT]],"Yes","No")</f>
        <v>No</v>
      </c>
      <c r="AA2081" s="4" t="str" cm="1">
        <f t="array" ref="AA2081">_xlfn.IFS(Table1[[#This Row],[Customer_Satisfaction]]&lt;=2,"Poor",Table1[[#This Row],[Customer_Satisfaction]]=3,"Neutral",Table1[[#This Row],[Customer_Satisfaction]]=4,"Good",Table1[[#This Row],[Customer_Satisfaction]]=5,"Good")</f>
        <v>Good</v>
      </c>
    </row>
    <row r="2082" spans="1:27" x14ac:dyDescent="0.35">
      <c r="A2082">
        <v>22080</v>
      </c>
      <c r="B2082" s="1">
        <v>45333</v>
      </c>
      <c r="C2082" t="s">
        <v>50</v>
      </c>
      <c r="D2082" t="s">
        <v>51</v>
      </c>
      <c r="E2082" t="s">
        <v>52</v>
      </c>
      <c r="F2082" t="s">
        <v>40</v>
      </c>
      <c r="G2082" t="s">
        <v>47</v>
      </c>
      <c r="H2082" t="s">
        <v>48</v>
      </c>
      <c r="I2082" t="s">
        <v>25</v>
      </c>
      <c r="J2082" t="s">
        <v>35</v>
      </c>
      <c r="K2082" t="s">
        <v>27</v>
      </c>
      <c r="L2082" t="s">
        <v>28</v>
      </c>
      <c r="M2082" s="4">
        <v>7</v>
      </c>
      <c r="N2082" s="4">
        <v>7</v>
      </c>
      <c r="O2082" t="s">
        <v>36</v>
      </c>
      <c r="P2082" t="s">
        <v>36</v>
      </c>
      <c r="Q2082" s="4">
        <v>219988</v>
      </c>
      <c r="R2082" s="4">
        <v>171993</v>
      </c>
      <c r="S2082" s="4">
        <f>Table1[[#This Row],[Service_Revenue]]-Table1[[#This Row],[Service_Cost]]</f>
        <v>47995</v>
      </c>
      <c r="T2082" s="4">
        <v>4</v>
      </c>
      <c r="U2082" s="4">
        <f>IF(AND(Table1[[#This Row],[Rework_Flag]]="Yes",Table1[[#This Row],[Warranty_Claim]]="No"),Table1[[#This Row],[Service_Revenue]],0)</f>
        <v>0</v>
      </c>
      <c r="V2082" s="4">
        <f>IF(Table1[[#This Row],[Warranty_Claim]]="Yes",1,0)</f>
        <v>0</v>
      </c>
      <c r="W2082" s="4">
        <f>IF(Table1[[#This Row],[Rework_Flag]]="No",1,0)</f>
        <v>1</v>
      </c>
      <c r="X2082" s="4">
        <f>IF(Table1[[#This Row],[Rework_Flag]]="Yes",1,0)</f>
        <v>0</v>
      </c>
      <c r="Y2082" s="4">
        <v>1</v>
      </c>
      <c r="Z2082" s="4" t="str">
        <f>IF(Table1[[#This Row],[TAT_Days]]&gt;Table1[[#This Row],[SLA_TAT]],"Yes","No")</f>
        <v>No</v>
      </c>
      <c r="AA2082" s="4" t="str" cm="1">
        <f t="array" ref="AA2082">_xlfn.IFS(Table1[[#This Row],[Customer_Satisfaction]]&lt;=2,"Poor",Table1[[#This Row],[Customer_Satisfaction]]=3,"Neutral",Table1[[#This Row],[Customer_Satisfaction]]=4,"Good",Table1[[#This Row],[Customer_Satisfaction]]=5,"Good")</f>
        <v>Good</v>
      </c>
    </row>
    <row r="2083" spans="1:27" x14ac:dyDescent="0.35">
      <c r="A2083">
        <v>22081</v>
      </c>
      <c r="B2083" s="1">
        <v>45303</v>
      </c>
      <c r="C2083" t="s">
        <v>19</v>
      </c>
      <c r="D2083" t="s">
        <v>20</v>
      </c>
      <c r="E2083" t="s">
        <v>21</v>
      </c>
      <c r="F2083" t="s">
        <v>53</v>
      </c>
      <c r="G2083" t="s">
        <v>54</v>
      </c>
      <c r="H2083" t="s">
        <v>42</v>
      </c>
      <c r="I2083" t="s">
        <v>25</v>
      </c>
      <c r="J2083" t="s">
        <v>35</v>
      </c>
      <c r="K2083" t="s">
        <v>27</v>
      </c>
      <c r="L2083" t="s">
        <v>49</v>
      </c>
      <c r="M2083" s="4">
        <v>21</v>
      </c>
      <c r="N2083" s="4">
        <v>7</v>
      </c>
      <c r="O2083" t="s">
        <v>29</v>
      </c>
      <c r="P2083" t="s">
        <v>36</v>
      </c>
      <c r="Q2083" s="4">
        <v>440036</v>
      </c>
      <c r="R2083" s="4">
        <v>234064</v>
      </c>
      <c r="S2083" s="4">
        <f>Table1[[#This Row],[Service_Revenue]]-Table1[[#This Row],[Service_Cost]]</f>
        <v>205972</v>
      </c>
      <c r="T2083" s="4">
        <v>1</v>
      </c>
      <c r="U2083" s="4">
        <f>IF(AND(Table1[[#This Row],[Rework_Flag]]="Yes",Table1[[#This Row],[Warranty_Claim]]="No"),Table1[[#This Row],[Service_Revenue]],0)</f>
        <v>440036</v>
      </c>
      <c r="V2083" s="4">
        <f>IF(Table1[[#This Row],[Warranty_Claim]]="Yes",1,0)</f>
        <v>0</v>
      </c>
      <c r="W2083" s="4">
        <f>IF(Table1[[#This Row],[Rework_Flag]]="No",1,0)</f>
        <v>0</v>
      </c>
      <c r="X2083" s="4">
        <f>IF(Table1[[#This Row],[Rework_Flag]]="Yes",1,0)</f>
        <v>1</v>
      </c>
      <c r="Y2083" s="4">
        <v>1</v>
      </c>
      <c r="Z2083" s="4" t="str">
        <f>IF(Table1[[#This Row],[TAT_Days]]&gt;Table1[[#This Row],[SLA_TAT]],"Yes","No")</f>
        <v>Yes</v>
      </c>
      <c r="AA2083" s="4" t="str" cm="1">
        <f t="array" ref="AA2083">_xlfn.IFS(Table1[[#This Row],[Customer_Satisfaction]]&lt;=2,"Poor",Table1[[#This Row],[Customer_Satisfaction]]=3,"Neutral",Table1[[#This Row],[Customer_Satisfaction]]=4,"Good",Table1[[#This Row],[Customer_Satisfaction]]=5,"Good")</f>
        <v>Poor</v>
      </c>
    </row>
    <row r="2084" spans="1:27" x14ac:dyDescent="0.35">
      <c r="A2084">
        <v>22082</v>
      </c>
      <c r="B2084" s="1">
        <v>45292</v>
      </c>
      <c r="C2084" t="s">
        <v>37</v>
      </c>
      <c r="D2084" t="s">
        <v>64</v>
      </c>
      <c r="E2084" t="s">
        <v>103</v>
      </c>
      <c r="F2084" t="s">
        <v>22</v>
      </c>
      <c r="G2084" t="s">
        <v>74</v>
      </c>
      <c r="H2084" t="s">
        <v>34</v>
      </c>
      <c r="I2084" t="s">
        <v>25</v>
      </c>
      <c r="J2084" t="s">
        <v>26</v>
      </c>
      <c r="K2084" t="s">
        <v>44</v>
      </c>
      <c r="L2084" t="s">
        <v>28</v>
      </c>
      <c r="M2084" s="4">
        <v>25</v>
      </c>
      <c r="N2084" s="4">
        <v>7</v>
      </c>
      <c r="O2084" t="s">
        <v>36</v>
      </c>
      <c r="P2084" t="s">
        <v>36</v>
      </c>
      <c r="Q2084" s="4">
        <v>233660</v>
      </c>
      <c r="R2084" s="4">
        <v>164588</v>
      </c>
      <c r="S2084" s="4">
        <f>Table1[[#This Row],[Service_Revenue]]-Table1[[#This Row],[Service_Cost]]</f>
        <v>69072</v>
      </c>
      <c r="T2084" s="4">
        <v>1</v>
      </c>
      <c r="U2084" s="4">
        <f>IF(AND(Table1[[#This Row],[Rework_Flag]]="Yes",Table1[[#This Row],[Warranty_Claim]]="No"),Table1[[#This Row],[Service_Revenue]],0)</f>
        <v>0</v>
      </c>
      <c r="V2084" s="4">
        <f>IF(Table1[[#This Row],[Warranty_Claim]]="Yes",1,0)</f>
        <v>0</v>
      </c>
      <c r="W2084" s="4">
        <f>IF(Table1[[#This Row],[Rework_Flag]]="No",1,0)</f>
        <v>1</v>
      </c>
      <c r="X2084" s="4">
        <f>IF(Table1[[#This Row],[Rework_Flag]]="Yes",1,0)</f>
        <v>0</v>
      </c>
      <c r="Y2084" s="4">
        <v>1</v>
      </c>
      <c r="Z2084" s="4" t="str">
        <f>IF(Table1[[#This Row],[TAT_Days]]&gt;Table1[[#This Row],[SLA_TAT]],"Yes","No")</f>
        <v>Yes</v>
      </c>
      <c r="AA2084" s="4" t="str" cm="1">
        <f t="array" ref="AA2084">_xlfn.IFS(Table1[[#This Row],[Customer_Satisfaction]]&lt;=2,"Poor",Table1[[#This Row],[Customer_Satisfaction]]=3,"Neutral",Table1[[#This Row],[Customer_Satisfaction]]=4,"Good",Table1[[#This Row],[Customer_Satisfaction]]=5,"Good")</f>
        <v>Poor</v>
      </c>
    </row>
    <row r="2085" spans="1:27" x14ac:dyDescent="0.35">
      <c r="A2085">
        <v>22083</v>
      </c>
      <c r="B2085" s="1">
        <v>45396</v>
      </c>
      <c r="C2085" t="s">
        <v>50</v>
      </c>
      <c r="D2085" t="s">
        <v>56</v>
      </c>
      <c r="E2085" t="s">
        <v>88</v>
      </c>
      <c r="F2085" t="s">
        <v>53</v>
      </c>
      <c r="G2085" t="s">
        <v>47</v>
      </c>
      <c r="H2085" t="s">
        <v>48</v>
      </c>
      <c r="I2085" t="s">
        <v>55</v>
      </c>
      <c r="J2085" t="s">
        <v>67</v>
      </c>
      <c r="K2085" t="s">
        <v>61</v>
      </c>
      <c r="L2085" t="s">
        <v>28</v>
      </c>
      <c r="M2085" s="4">
        <v>7</v>
      </c>
      <c r="N2085" s="4">
        <v>7</v>
      </c>
      <c r="O2085" t="s">
        <v>36</v>
      </c>
      <c r="P2085" t="s">
        <v>29</v>
      </c>
      <c r="Q2085" s="4">
        <v>246032</v>
      </c>
      <c r="R2085" s="4">
        <v>198459</v>
      </c>
      <c r="S2085" s="4">
        <f>Table1[[#This Row],[Service_Revenue]]-Table1[[#This Row],[Service_Cost]]</f>
        <v>47573</v>
      </c>
      <c r="T2085" s="4">
        <v>4</v>
      </c>
      <c r="U2085" s="4">
        <f>IF(AND(Table1[[#This Row],[Rework_Flag]]="Yes",Table1[[#This Row],[Warranty_Claim]]="No"),Table1[[#This Row],[Service_Revenue]],0)</f>
        <v>0</v>
      </c>
      <c r="V2085" s="4">
        <f>IF(Table1[[#This Row],[Warranty_Claim]]="Yes",1,0)</f>
        <v>1</v>
      </c>
      <c r="W2085" s="4">
        <f>IF(Table1[[#This Row],[Rework_Flag]]="No",1,0)</f>
        <v>1</v>
      </c>
      <c r="X2085" s="4">
        <f>IF(Table1[[#This Row],[Rework_Flag]]="Yes",1,0)</f>
        <v>0</v>
      </c>
      <c r="Y2085" s="4">
        <v>1</v>
      </c>
      <c r="Z2085" s="4" t="str">
        <f>IF(Table1[[#This Row],[TAT_Days]]&gt;Table1[[#This Row],[SLA_TAT]],"Yes","No")</f>
        <v>No</v>
      </c>
      <c r="AA2085" s="4" t="str" cm="1">
        <f t="array" ref="AA2085">_xlfn.IFS(Table1[[#This Row],[Customer_Satisfaction]]&lt;=2,"Poor",Table1[[#This Row],[Customer_Satisfaction]]=3,"Neutral",Table1[[#This Row],[Customer_Satisfaction]]=4,"Good",Table1[[#This Row],[Customer_Satisfaction]]=5,"Good")</f>
        <v>Good</v>
      </c>
    </row>
    <row r="2086" spans="1:27" x14ac:dyDescent="0.35">
      <c r="A2086">
        <v>22084</v>
      </c>
      <c r="B2086" s="1">
        <v>45296</v>
      </c>
      <c r="C2086" t="s">
        <v>30</v>
      </c>
      <c r="D2086" t="s">
        <v>83</v>
      </c>
      <c r="E2086" t="s">
        <v>95</v>
      </c>
      <c r="F2086" t="s">
        <v>40</v>
      </c>
      <c r="G2086" t="s">
        <v>47</v>
      </c>
      <c r="H2086" t="s">
        <v>48</v>
      </c>
      <c r="I2086" t="s">
        <v>25</v>
      </c>
      <c r="J2086" t="s">
        <v>26</v>
      </c>
      <c r="K2086" t="s">
        <v>27</v>
      </c>
      <c r="L2086" t="s">
        <v>28</v>
      </c>
      <c r="M2086" s="4">
        <v>15</v>
      </c>
      <c r="N2086" s="4">
        <v>7</v>
      </c>
      <c r="O2086" t="s">
        <v>29</v>
      </c>
      <c r="P2086" t="s">
        <v>36</v>
      </c>
      <c r="Q2086" s="4">
        <v>483757</v>
      </c>
      <c r="R2086" s="4">
        <v>348296</v>
      </c>
      <c r="S2086" s="4">
        <f>Table1[[#This Row],[Service_Revenue]]-Table1[[#This Row],[Service_Cost]]</f>
        <v>135461</v>
      </c>
      <c r="T2086" s="4">
        <v>1</v>
      </c>
      <c r="U2086" s="4">
        <f>IF(AND(Table1[[#This Row],[Rework_Flag]]="Yes",Table1[[#This Row],[Warranty_Claim]]="No"),Table1[[#This Row],[Service_Revenue]],0)</f>
        <v>483757</v>
      </c>
      <c r="V2086" s="4">
        <f>IF(Table1[[#This Row],[Warranty_Claim]]="Yes",1,0)</f>
        <v>0</v>
      </c>
      <c r="W2086" s="4">
        <f>IF(Table1[[#This Row],[Rework_Flag]]="No",1,0)</f>
        <v>0</v>
      </c>
      <c r="X2086" s="4">
        <f>IF(Table1[[#This Row],[Rework_Flag]]="Yes",1,0)</f>
        <v>1</v>
      </c>
      <c r="Y2086" s="4">
        <v>1</v>
      </c>
      <c r="Z2086" s="4" t="str">
        <f>IF(Table1[[#This Row],[TAT_Days]]&gt;Table1[[#This Row],[SLA_TAT]],"Yes","No")</f>
        <v>Yes</v>
      </c>
      <c r="AA2086" s="4" t="str" cm="1">
        <f t="array" ref="AA2086">_xlfn.IFS(Table1[[#This Row],[Customer_Satisfaction]]&lt;=2,"Poor",Table1[[#This Row],[Customer_Satisfaction]]=3,"Neutral",Table1[[#This Row],[Customer_Satisfaction]]=4,"Good",Table1[[#This Row],[Customer_Satisfaction]]=5,"Good")</f>
        <v>Poor</v>
      </c>
    </row>
    <row r="2087" spans="1:27" x14ac:dyDescent="0.35">
      <c r="A2087">
        <v>22085</v>
      </c>
      <c r="B2087" s="1">
        <v>45442</v>
      </c>
      <c r="C2087" t="s">
        <v>37</v>
      </c>
      <c r="D2087" t="s">
        <v>64</v>
      </c>
      <c r="E2087" t="s">
        <v>103</v>
      </c>
      <c r="F2087" t="s">
        <v>40</v>
      </c>
      <c r="G2087" t="s">
        <v>74</v>
      </c>
      <c r="H2087" t="s">
        <v>34</v>
      </c>
      <c r="I2087" t="s">
        <v>25</v>
      </c>
      <c r="J2087" t="s">
        <v>58</v>
      </c>
      <c r="K2087" t="s">
        <v>27</v>
      </c>
      <c r="L2087" t="s">
        <v>28</v>
      </c>
      <c r="M2087" s="4">
        <v>17</v>
      </c>
      <c r="N2087" s="4">
        <v>7</v>
      </c>
      <c r="O2087" t="s">
        <v>29</v>
      </c>
      <c r="P2087" t="s">
        <v>36</v>
      </c>
      <c r="Q2087" s="4">
        <v>186305</v>
      </c>
      <c r="R2087" s="4">
        <v>94723</v>
      </c>
      <c r="S2087" s="4">
        <f>Table1[[#This Row],[Service_Revenue]]-Table1[[#This Row],[Service_Cost]]</f>
        <v>91582</v>
      </c>
      <c r="T2087" s="4">
        <v>1</v>
      </c>
      <c r="U2087" s="4">
        <f>IF(AND(Table1[[#This Row],[Rework_Flag]]="Yes",Table1[[#This Row],[Warranty_Claim]]="No"),Table1[[#This Row],[Service_Revenue]],0)</f>
        <v>186305</v>
      </c>
      <c r="V2087" s="4">
        <f>IF(Table1[[#This Row],[Warranty_Claim]]="Yes",1,0)</f>
        <v>0</v>
      </c>
      <c r="W2087" s="4">
        <f>IF(Table1[[#This Row],[Rework_Flag]]="No",1,0)</f>
        <v>0</v>
      </c>
      <c r="X2087" s="4">
        <f>IF(Table1[[#This Row],[Rework_Flag]]="Yes",1,0)</f>
        <v>1</v>
      </c>
      <c r="Y2087" s="4">
        <v>1</v>
      </c>
      <c r="Z2087" s="4" t="str">
        <f>IF(Table1[[#This Row],[TAT_Days]]&gt;Table1[[#This Row],[SLA_TAT]],"Yes","No")</f>
        <v>Yes</v>
      </c>
      <c r="AA2087" s="4" t="str" cm="1">
        <f t="array" ref="AA2087">_xlfn.IFS(Table1[[#This Row],[Customer_Satisfaction]]&lt;=2,"Poor",Table1[[#This Row],[Customer_Satisfaction]]=3,"Neutral",Table1[[#This Row],[Customer_Satisfaction]]=4,"Good",Table1[[#This Row],[Customer_Satisfaction]]=5,"Good")</f>
        <v>Poor</v>
      </c>
    </row>
    <row r="2088" spans="1:27" x14ac:dyDescent="0.35">
      <c r="A2088">
        <v>22086</v>
      </c>
      <c r="B2088" s="1">
        <v>45411</v>
      </c>
      <c r="C2088" t="s">
        <v>30</v>
      </c>
      <c r="D2088" t="s">
        <v>31</v>
      </c>
      <c r="E2088" t="s">
        <v>106</v>
      </c>
      <c r="F2088" t="s">
        <v>22</v>
      </c>
      <c r="G2088" t="s">
        <v>63</v>
      </c>
      <c r="H2088" t="s">
        <v>24</v>
      </c>
      <c r="I2088" t="s">
        <v>25</v>
      </c>
      <c r="J2088" t="s">
        <v>26</v>
      </c>
      <c r="K2088" t="s">
        <v>27</v>
      </c>
      <c r="L2088" t="s">
        <v>28</v>
      </c>
      <c r="M2088" s="4">
        <v>6</v>
      </c>
      <c r="N2088" s="4">
        <v>7</v>
      </c>
      <c r="O2088" t="s">
        <v>29</v>
      </c>
      <c r="P2088" t="s">
        <v>29</v>
      </c>
      <c r="Q2088" s="4">
        <v>122974</v>
      </c>
      <c r="R2088" s="4">
        <v>90958</v>
      </c>
      <c r="S2088" s="4">
        <f>Table1[[#This Row],[Service_Revenue]]-Table1[[#This Row],[Service_Cost]]</f>
        <v>32016</v>
      </c>
      <c r="T2088" s="4">
        <v>3</v>
      </c>
      <c r="U2088" s="4">
        <f>IF(AND(Table1[[#This Row],[Rework_Flag]]="Yes",Table1[[#This Row],[Warranty_Claim]]="No"),Table1[[#This Row],[Service_Revenue]],0)</f>
        <v>0</v>
      </c>
      <c r="V2088" s="4">
        <f>IF(Table1[[#This Row],[Warranty_Claim]]="Yes",1,0)</f>
        <v>1</v>
      </c>
      <c r="W2088" s="4">
        <f>IF(Table1[[#This Row],[Rework_Flag]]="No",1,0)</f>
        <v>0</v>
      </c>
      <c r="X2088" s="4">
        <f>IF(Table1[[#This Row],[Rework_Flag]]="Yes",1,0)</f>
        <v>1</v>
      </c>
      <c r="Y2088" s="4">
        <v>1</v>
      </c>
      <c r="Z2088" s="4" t="str">
        <f>IF(Table1[[#This Row],[TAT_Days]]&gt;Table1[[#This Row],[SLA_TAT]],"Yes","No")</f>
        <v>No</v>
      </c>
      <c r="AA2088" s="4" t="str" cm="1">
        <f t="array" ref="AA2088">_xlfn.IFS(Table1[[#This Row],[Customer_Satisfaction]]&lt;=2,"Poor",Table1[[#This Row],[Customer_Satisfaction]]=3,"Neutral",Table1[[#This Row],[Customer_Satisfaction]]=4,"Good",Table1[[#This Row],[Customer_Satisfaction]]=5,"Good")</f>
        <v>Neutral</v>
      </c>
    </row>
    <row r="2089" spans="1:27" x14ac:dyDescent="0.35">
      <c r="A2089">
        <v>22087</v>
      </c>
      <c r="B2089" s="1">
        <v>45384</v>
      </c>
      <c r="C2089" t="s">
        <v>37</v>
      </c>
      <c r="D2089" t="s">
        <v>64</v>
      </c>
      <c r="E2089" t="s">
        <v>115</v>
      </c>
      <c r="F2089" t="s">
        <v>22</v>
      </c>
      <c r="G2089" t="s">
        <v>41</v>
      </c>
      <c r="H2089" t="s">
        <v>42</v>
      </c>
      <c r="I2089" t="s">
        <v>55</v>
      </c>
      <c r="J2089" t="s">
        <v>58</v>
      </c>
      <c r="K2089" t="s">
        <v>27</v>
      </c>
      <c r="L2089" t="s">
        <v>49</v>
      </c>
      <c r="M2089" s="4">
        <v>11</v>
      </c>
      <c r="N2089" s="4">
        <v>7</v>
      </c>
      <c r="O2089" t="s">
        <v>29</v>
      </c>
      <c r="P2089" t="s">
        <v>36</v>
      </c>
      <c r="Q2089" s="4">
        <v>535257</v>
      </c>
      <c r="R2089" s="4">
        <v>278196</v>
      </c>
      <c r="S2089" s="4">
        <f>Table1[[#This Row],[Service_Revenue]]-Table1[[#This Row],[Service_Cost]]</f>
        <v>257061</v>
      </c>
      <c r="T2089" s="4">
        <v>2</v>
      </c>
      <c r="U2089" s="4">
        <f>IF(AND(Table1[[#This Row],[Rework_Flag]]="Yes",Table1[[#This Row],[Warranty_Claim]]="No"),Table1[[#This Row],[Service_Revenue]],0)</f>
        <v>535257</v>
      </c>
      <c r="V2089" s="4">
        <f>IF(Table1[[#This Row],[Warranty_Claim]]="Yes",1,0)</f>
        <v>0</v>
      </c>
      <c r="W2089" s="4">
        <f>IF(Table1[[#This Row],[Rework_Flag]]="No",1,0)</f>
        <v>0</v>
      </c>
      <c r="X2089" s="4">
        <f>IF(Table1[[#This Row],[Rework_Flag]]="Yes",1,0)</f>
        <v>1</v>
      </c>
      <c r="Y2089" s="4">
        <v>1</v>
      </c>
      <c r="Z2089" s="4" t="str">
        <f>IF(Table1[[#This Row],[TAT_Days]]&gt;Table1[[#This Row],[SLA_TAT]],"Yes","No")</f>
        <v>Yes</v>
      </c>
      <c r="AA2089" s="4" t="str" cm="1">
        <f t="array" ref="AA2089">_xlfn.IFS(Table1[[#This Row],[Customer_Satisfaction]]&lt;=2,"Poor",Table1[[#This Row],[Customer_Satisfaction]]=3,"Neutral",Table1[[#This Row],[Customer_Satisfaction]]=4,"Good",Table1[[#This Row],[Customer_Satisfaction]]=5,"Good")</f>
        <v>Poor</v>
      </c>
    </row>
    <row r="2090" spans="1:27" x14ac:dyDescent="0.35">
      <c r="A2090">
        <v>22088</v>
      </c>
      <c r="B2090" s="1">
        <v>45448</v>
      </c>
      <c r="C2090" t="s">
        <v>50</v>
      </c>
      <c r="D2090" t="s">
        <v>56</v>
      </c>
      <c r="E2090" t="s">
        <v>101</v>
      </c>
      <c r="F2090" t="s">
        <v>40</v>
      </c>
      <c r="G2090" t="s">
        <v>74</v>
      </c>
      <c r="H2090" t="s">
        <v>34</v>
      </c>
      <c r="I2090" t="s">
        <v>55</v>
      </c>
      <c r="J2090" t="s">
        <v>43</v>
      </c>
      <c r="K2090" t="s">
        <v>61</v>
      </c>
      <c r="L2090" t="s">
        <v>49</v>
      </c>
      <c r="M2090" s="4">
        <v>10</v>
      </c>
      <c r="N2090" s="4">
        <v>7</v>
      </c>
      <c r="O2090" t="s">
        <v>36</v>
      </c>
      <c r="P2090" t="s">
        <v>36</v>
      </c>
      <c r="Q2090" s="4">
        <v>270986</v>
      </c>
      <c r="R2090" s="4">
        <v>169483</v>
      </c>
      <c r="S2090" s="4">
        <f>Table1[[#This Row],[Service_Revenue]]-Table1[[#This Row],[Service_Cost]]</f>
        <v>101503</v>
      </c>
      <c r="T2090" s="4">
        <v>3</v>
      </c>
      <c r="U2090" s="4">
        <f>IF(AND(Table1[[#This Row],[Rework_Flag]]="Yes",Table1[[#This Row],[Warranty_Claim]]="No"),Table1[[#This Row],[Service_Revenue]],0)</f>
        <v>0</v>
      </c>
      <c r="V2090" s="4">
        <f>IF(Table1[[#This Row],[Warranty_Claim]]="Yes",1,0)</f>
        <v>0</v>
      </c>
      <c r="W2090" s="4">
        <f>IF(Table1[[#This Row],[Rework_Flag]]="No",1,0)</f>
        <v>1</v>
      </c>
      <c r="X2090" s="4">
        <f>IF(Table1[[#This Row],[Rework_Flag]]="Yes",1,0)</f>
        <v>0</v>
      </c>
      <c r="Y2090" s="4">
        <v>1</v>
      </c>
      <c r="Z2090" s="4" t="str">
        <f>IF(Table1[[#This Row],[TAT_Days]]&gt;Table1[[#This Row],[SLA_TAT]],"Yes","No")</f>
        <v>Yes</v>
      </c>
      <c r="AA2090" s="4" t="str" cm="1">
        <f t="array" ref="AA2090">_xlfn.IFS(Table1[[#This Row],[Customer_Satisfaction]]&lt;=2,"Poor",Table1[[#This Row],[Customer_Satisfaction]]=3,"Neutral",Table1[[#This Row],[Customer_Satisfaction]]=4,"Good",Table1[[#This Row],[Customer_Satisfaction]]=5,"Good")</f>
        <v>Neutral</v>
      </c>
    </row>
    <row r="2091" spans="1:27" x14ac:dyDescent="0.35">
      <c r="A2091">
        <v>22089</v>
      </c>
      <c r="B2091" s="1">
        <v>45292</v>
      </c>
      <c r="C2091" t="s">
        <v>50</v>
      </c>
      <c r="D2091" t="s">
        <v>51</v>
      </c>
      <c r="E2091" t="s">
        <v>73</v>
      </c>
      <c r="F2091" t="s">
        <v>40</v>
      </c>
      <c r="G2091" t="s">
        <v>47</v>
      </c>
      <c r="H2091" t="s">
        <v>48</v>
      </c>
      <c r="I2091" t="s">
        <v>55</v>
      </c>
      <c r="J2091" t="s">
        <v>43</v>
      </c>
      <c r="K2091" t="s">
        <v>27</v>
      </c>
      <c r="L2091" t="s">
        <v>49</v>
      </c>
      <c r="M2091" s="4">
        <v>9</v>
      </c>
      <c r="N2091" s="4">
        <v>7</v>
      </c>
      <c r="O2091" t="s">
        <v>36</v>
      </c>
      <c r="P2091" t="s">
        <v>29</v>
      </c>
      <c r="Q2091" s="4">
        <v>559603</v>
      </c>
      <c r="R2091" s="4">
        <v>367966</v>
      </c>
      <c r="S2091" s="4">
        <f>Table1[[#This Row],[Service_Revenue]]-Table1[[#This Row],[Service_Cost]]</f>
        <v>191637</v>
      </c>
      <c r="T2091" s="4">
        <v>4</v>
      </c>
      <c r="U2091" s="4">
        <f>IF(AND(Table1[[#This Row],[Rework_Flag]]="Yes",Table1[[#This Row],[Warranty_Claim]]="No"),Table1[[#This Row],[Service_Revenue]],0)</f>
        <v>0</v>
      </c>
      <c r="V2091" s="4">
        <f>IF(Table1[[#This Row],[Warranty_Claim]]="Yes",1,0)</f>
        <v>1</v>
      </c>
      <c r="W2091" s="4">
        <f>IF(Table1[[#This Row],[Rework_Flag]]="No",1,0)</f>
        <v>1</v>
      </c>
      <c r="X2091" s="4">
        <f>IF(Table1[[#This Row],[Rework_Flag]]="Yes",1,0)</f>
        <v>0</v>
      </c>
      <c r="Y2091" s="4">
        <v>1</v>
      </c>
      <c r="Z2091" s="4" t="str">
        <f>IF(Table1[[#This Row],[TAT_Days]]&gt;Table1[[#This Row],[SLA_TAT]],"Yes","No")</f>
        <v>Yes</v>
      </c>
      <c r="AA2091" s="4" t="str" cm="1">
        <f t="array" ref="AA2091">_xlfn.IFS(Table1[[#This Row],[Customer_Satisfaction]]&lt;=2,"Poor",Table1[[#This Row],[Customer_Satisfaction]]=3,"Neutral",Table1[[#This Row],[Customer_Satisfaction]]=4,"Good",Table1[[#This Row],[Customer_Satisfaction]]=5,"Good")</f>
        <v>Good</v>
      </c>
    </row>
    <row r="2092" spans="1:27" x14ac:dyDescent="0.35">
      <c r="A2092">
        <v>22090</v>
      </c>
      <c r="B2092" s="1">
        <v>45430</v>
      </c>
      <c r="C2092" t="s">
        <v>30</v>
      </c>
      <c r="D2092" t="s">
        <v>83</v>
      </c>
      <c r="E2092" t="s">
        <v>84</v>
      </c>
      <c r="F2092" t="s">
        <v>53</v>
      </c>
      <c r="G2092" t="s">
        <v>47</v>
      </c>
      <c r="H2092" t="s">
        <v>48</v>
      </c>
      <c r="I2092" t="s">
        <v>55</v>
      </c>
      <c r="J2092" t="s">
        <v>35</v>
      </c>
      <c r="K2092" t="s">
        <v>27</v>
      </c>
      <c r="L2092" t="s">
        <v>28</v>
      </c>
      <c r="M2092" s="4">
        <v>19</v>
      </c>
      <c r="N2092" s="4">
        <v>7</v>
      </c>
      <c r="O2092" t="s">
        <v>29</v>
      </c>
      <c r="P2092" t="s">
        <v>36</v>
      </c>
      <c r="Q2092" s="4">
        <v>97881</v>
      </c>
      <c r="R2092" s="4">
        <v>72660</v>
      </c>
      <c r="S2092" s="4">
        <f>Table1[[#This Row],[Service_Revenue]]-Table1[[#This Row],[Service_Cost]]</f>
        <v>25221</v>
      </c>
      <c r="T2092" s="4">
        <v>1</v>
      </c>
      <c r="U2092" s="4">
        <f>IF(AND(Table1[[#This Row],[Rework_Flag]]="Yes",Table1[[#This Row],[Warranty_Claim]]="No"),Table1[[#This Row],[Service_Revenue]],0)</f>
        <v>97881</v>
      </c>
      <c r="V2092" s="4">
        <f>IF(Table1[[#This Row],[Warranty_Claim]]="Yes",1,0)</f>
        <v>0</v>
      </c>
      <c r="W2092" s="4">
        <f>IF(Table1[[#This Row],[Rework_Flag]]="No",1,0)</f>
        <v>0</v>
      </c>
      <c r="X2092" s="4">
        <f>IF(Table1[[#This Row],[Rework_Flag]]="Yes",1,0)</f>
        <v>1</v>
      </c>
      <c r="Y2092" s="4">
        <v>1</v>
      </c>
      <c r="Z2092" s="4" t="str">
        <f>IF(Table1[[#This Row],[TAT_Days]]&gt;Table1[[#This Row],[SLA_TAT]],"Yes","No")</f>
        <v>Yes</v>
      </c>
      <c r="AA2092" s="4" t="str" cm="1">
        <f t="array" ref="AA2092">_xlfn.IFS(Table1[[#This Row],[Customer_Satisfaction]]&lt;=2,"Poor",Table1[[#This Row],[Customer_Satisfaction]]=3,"Neutral",Table1[[#This Row],[Customer_Satisfaction]]=4,"Good",Table1[[#This Row],[Customer_Satisfaction]]=5,"Good")</f>
        <v>Poor</v>
      </c>
    </row>
    <row r="2093" spans="1:27" x14ac:dyDescent="0.35">
      <c r="A2093">
        <v>22091</v>
      </c>
      <c r="B2093" s="1">
        <v>45367</v>
      </c>
      <c r="C2093" t="s">
        <v>37</v>
      </c>
      <c r="D2093" t="s">
        <v>64</v>
      </c>
      <c r="E2093" t="s">
        <v>115</v>
      </c>
      <c r="F2093" t="s">
        <v>22</v>
      </c>
      <c r="G2093" t="s">
        <v>33</v>
      </c>
      <c r="H2093" t="s">
        <v>34</v>
      </c>
      <c r="I2093" t="s">
        <v>55</v>
      </c>
      <c r="J2093" t="s">
        <v>67</v>
      </c>
      <c r="K2093" t="s">
        <v>44</v>
      </c>
      <c r="L2093" t="s">
        <v>28</v>
      </c>
      <c r="M2093" s="4">
        <v>19</v>
      </c>
      <c r="N2093" s="4">
        <v>7</v>
      </c>
      <c r="O2093" t="s">
        <v>36</v>
      </c>
      <c r="P2093" t="s">
        <v>29</v>
      </c>
      <c r="Q2093" s="4">
        <v>579662</v>
      </c>
      <c r="R2093" s="4">
        <v>445855</v>
      </c>
      <c r="S2093" s="4">
        <f>Table1[[#This Row],[Service_Revenue]]-Table1[[#This Row],[Service_Cost]]</f>
        <v>133807</v>
      </c>
      <c r="T2093" s="4">
        <v>2</v>
      </c>
      <c r="U2093" s="4">
        <f>IF(AND(Table1[[#This Row],[Rework_Flag]]="Yes",Table1[[#This Row],[Warranty_Claim]]="No"),Table1[[#This Row],[Service_Revenue]],0)</f>
        <v>0</v>
      </c>
      <c r="V2093" s="4">
        <f>IF(Table1[[#This Row],[Warranty_Claim]]="Yes",1,0)</f>
        <v>1</v>
      </c>
      <c r="W2093" s="4">
        <f>IF(Table1[[#This Row],[Rework_Flag]]="No",1,0)</f>
        <v>1</v>
      </c>
      <c r="X2093" s="4">
        <f>IF(Table1[[#This Row],[Rework_Flag]]="Yes",1,0)</f>
        <v>0</v>
      </c>
      <c r="Y2093" s="4">
        <v>1</v>
      </c>
      <c r="Z2093" s="4" t="str">
        <f>IF(Table1[[#This Row],[TAT_Days]]&gt;Table1[[#This Row],[SLA_TAT]],"Yes","No")</f>
        <v>Yes</v>
      </c>
      <c r="AA2093" s="4" t="str" cm="1">
        <f t="array" ref="AA2093">_xlfn.IFS(Table1[[#This Row],[Customer_Satisfaction]]&lt;=2,"Poor",Table1[[#This Row],[Customer_Satisfaction]]=3,"Neutral",Table1[[#This Row],[Customer_Satisfaction]]=4,"Good",Table1[[#This Row],[Customer_Satisfaction]]=5,"Good")</f>
        <v>Poor</v>
      </c>
    </row>
    <row r="2094" spans="1:27" x14ac:dyDescent="0.35">
      <c r="A2094">
        <v>22092</v>
      </c>
      <c r="B2094" s="1">
        <v>45345</v>
      </c>
      <c r="C2094" t="s">
        <v>19</v>
      </c>
      <c r="D2094" t="s">
        <v>20</v>
      </c>
      <c r="E2094" t="s">
        <v>21</v>
      </c>
      <c r="F2094" t="s">
        <v>22</v>
      </c>
      <c r="G2094" t="s">
        <v>74</v>
      </c>
      <c r="H2094" t="s">
        <v>34</v>
      </c>
      <c r="I2094" t="s">
        <v>55</v>
      </c>
      <c r="J2094" t="s">
        <v>43</v>
      </c>
      <c r="K2094" t="s">
        <v>27</v>
      </c>
      <c r="L2094" t="s">
        <v>28</v>
      </c>
      <c r="M2094" s="4">
        <v>12</v>
      </c>
      <c r="N2094" s="4">
        <v>7</v>
      </c>
      <c r="O2094" t="s">
        <v>29</v>
      </c>
      <c r="P2094" t="s">
        <v>36</v>
      </c>
      <c r="Q2094" s="4">
        <v>360472</v>
      </c>
      <c r="R2094" s="4">
        <v>260455</v>
      </c>
      <c r="S2094" s="4">
        <f>Table1[[#This Row],[Service_Revenue]]-Table1[[#This Row],[Service_Cost]]</f>
        <v>100017</v>
      </c>
      <c r="T2094" s="4">
        <v>2</v>
      </c>
      <c r="U2094" s="4">
        <f>IF(AND(Table1[[#This Row],[Rework_Flag]]="Yes",Table1[[#This Row],[Warranty_Claim]]="No"),Table1[[#This Row],[Service_Revenue]],0)</f>
        <v>360472</v>
      </c>
      <c r="V2094" s="4">
        <f>IF(Table1[[#This Row],[Warranty_Claim]]="Yes",1,0)</f>
        <v>0</v>
      </c>
      <c r="W2094" s="4">
        <f>IF(Table1[[#This Row],[Rework_Flag]]="No",1,0)</f>
        <v>0</v>
      </c>
      <c r="X2094" s="4">
        <f>IF(Table1[[#This Row],[Rework_Flag]]="Yes",1,0)</f>
        <v>1</v>
      </c>
      <c r="Y2094" s="4">
        <v>1</v>
      </c>
      <c r="Z2094" s="4" t="str">
        <f>IF(Table1[[#This Row],[TAT_Days]]&gt;Table1[[#This Row],[SLA_TAT]],"Yes","No")</f>
        <v>Yes</v>
      </c>
      <c r="AA2094" s="4" t="str" cm="1">
        <f t="array" ref="AA2094">_xlfn.IFS(Table1[[#This Row],[Customer_Satisfaction]]&lt;=2,"Poor",Table1[[#This Row],[Customer_Satisfaction]]=3,"Neutral",Table1[[#This Row],[Customer_Satisfaction]]=4,"Good",Table1[[#This Row],[Customer_Satisfaction]]=5,"Good")</f>
        <v>Poor</v>
      </c>
    </row>
    <row r="2095" spans="1:27" x14ac:dyDescent="0.35">
      <c r="A2095">
        <v>22093</v>
      </c>
      <c r="B2095" s="1">
        <v>45452</v>
      </c>
      <c r="C2095" t="s">
        <v>30</v>
      </c>
      <c r="D2095" t="s">
        <v>83</v>
      </c>
      <c r="E2095" t="s">
        <v>119</v>
      </c>
      <c r="F2095" t="s">
        <v>22</v>
      </c>
      <c r="G2095" t="s">
        <v>33</v>
      </c>
      <c r="H2095" t="s">
        <v>34</v>
      </c>
      <c r="I2095" t="s">
        <v>55</v>
      </c>
      <c r="J2095" t="s">
        <v>35</v>
      </c>
      <c r="K2095" t="s">
        <v>61</v>
      </c>
      <c r="L2095" t="s">
        <v>28</v>
      </c>
      <c r="M2095" s="4">
        <v>23</v>
      </c>
      <c r="N2095" s="4">
        <v>7</v>
      </c>
      <c r="O2095" t="s">
        <v>29</v>
      </c>
      <c r="P2095" t="s">
        <v>29</v>
      </c>
      <c r="Q2095" s="4">
        <v>506546</v>
      </c>
      <c r="R2095" s="4">
        <v>346937</v>
      </c>
      <c r="S2095" s="4">
        <f>Table1[[#This Row],[Service_Revenue]]-Table1[[#This Row],[Service_Cost]]</f>
        <v>159609</v>
      </c>
      <c r="T2095" s="4">
        <v>1</v>
      </c>
      <c r="U2095" s="4">
        <f>IF(AND(Table1[[#This Row],[Rework_Flag]]="Yes",Table1[[#This Row],[Warranty_Claim]]="No"),Table1[[#This Row],[Service_Revenue]],0)</f>
        <v>0</v>
      </c>
      <c r="V2095" s="4">
        <f>IF(Table1[[#This Row],[Warranty_Claim]]="Yes",1,0)</f>
        <v>1</v>
      </c>
      <c r="W2095" s="4">
        <f>IF(Table1[[#This Row],[Rework_Flag]]="No",1,0)</f>
        <v>0</v>
      </c>
      <c r="X2095" s="4">
        <f>IF(Table1[[#This Row],[Rework_Flag]]="Yes",1,0)</f>
        <v>1</v>
      </c>
      <c r="Y2095" s="4">
        <v>1</v>
      </c>
      <c r="Z2095" s="4" t="str">
        <f>IF(Table1[[#This Row],[TAT_Days]]&gt;Table1[[#This Row],[SLA_TAT]],"Yes","No")</f>
        <v>Yes</v>
      </c>
      <c r="AA2095" s="4" t="str" cm="1">
        <f t="array" ref="AA2095">_xlfn.IFS(Table1[[#This Row],[Customer_Satisfaction]]&lt;=2,"Poor",Table1[[#This Row],[Customer_Satisfaction]]=3,"Neutral",Table1[[#This Row],[Customer_Satisfaction]]=4,"Good",Table1[[#This Row],[Customer_Satisfaction]]=5,"Good")</f>
        <v>Poor</v>
      </c>
    </row>
    <row r="2096" spans="1:27" x14ac:dyDescent="0.35">
      <c r="A2096">
        <v>22094</v>
      </c>
      <c r="B2096" s="1">
        <v>45337</v>
      </c>
      <c r="C2096" t="s">
        <v>30</v>
      </c>
      <c r="D2096" t="s">
        <v>59</v>
      </c>
      <c r="E2096" t="s">
        <v>66</v>
      </c>
      <c r="F2096" t="s">
        <v>22</v>
      </c>
      <c r="G2096" t="s">
        <v>74</v>
      </c>
      <c r="H2096" t="s">
        <v>34</v>
      </c>
      <c r="I2096" t="s">
        <v>55</v>
      </c>
      <c r="J2096" t="s">
        <v>35</v>
      </c>
      <c r="K2096" t="s">
        <v>61</v>
      </c>
      <c r="L2096" t="s">
        <v>28</v>
      </c>
      <c r="M2096" s="4">
        <v>16</v>
      </c>
      <c r="N2096" s="4">
        <v>7</v>
      </c>
      <c r="O2096" t="s">
        <v>29</v>
      </c>
      <c r="P2096" t="s">
        <v>29</v>
      </c>
      <c r="Q2096" s="4">
        <v>211966</v>
      </c>
      <c r="R2096" s="4">
        <v>172281</v>
      </c>
      <c r="S2096" s="4">
        <f>Table1[[#This Row],[Service_Revenue]]-Table1[[#This Row],[Service_Cost]]</f>
        <v>39685</v>
      </c>
      <c r="T2096" s="4">
        <v>1</v>
      </c>
      <c r="U2096" s="4">
        <f>IF(AND(Table1[[#This Row],[Rework_Flag]]="Yes",Table1[[#This Row],[Warranty_Claim]]="No"),Table1[[#This Row],[Service_Revenue]],0)</f>
        <v>0</v>
      </c>
      <c r="V2096" s="4">
        <f>IF(Table1[[#This Row],[Warranty_Claim]]="Yes",1,0)</f>
        <v>1</v>
      </c>
      <c r="W2096" s="4">
        <f>IF(Table1[[#This Row],[Rework_Flag]]="No",1,0)</f>
        <v>0</v>
      </c>
      <c r="X2096" s="4">
        <f>IF(Table1[[#This Row],[Rework_Flag]]="Yes",1,0)</f>
        <v>1</v>
      </c>
      <c r="Y2096" s="4">
        <v>1</v>
      </c>
      <c r="Z2096" s="4" t="str">
        <f>IF(Table1[[#This Row],[TAT_Days]]&gt;Table1[[#This Row],[SLA_TAT]],"Yes","No")</f>
        <v>Yes</v>
      </c>
      <c r="AA2096" s="4" t="str" cm="1">
        <f t="array" ref="AA2096">_xlfn.IFS(Table1[[#This Row],[Customer_Satisfaction]]&lt;=2,"Poor",Table1[[#This Row],[Customer_Satisfaction]]=3,"Neutral",Table1[[#This Row],[Customer_Satisfaction]]=4,"Good",Table1[[#This Row],[Customer_Satisfaction]]=5,"Good")</f>
        <v>Poor</v>
      </c>
    </row>
    <row r="2097" spans="1:27" x14ac:dyDescent="0.35">
      <c r="A2097">
        <v>22095</v>
      </c>
      <c r="B2097" s="1">
        <v>45411</v>
      </c>
      <c r="C2097" t="s">
        <v>50</v>
      </c>
      <c r="D2097" t="s">
        <v>80</v>
      </c>
      <c r="E2097" t="s">
        <v>85</v>
      </c>
      <c r="F2097" t="s">
        <v>40</v>
      </c>
      <c r="G2097" t="s">
        <v>23</v>
      </c>
      <c r="H2097" t="s">
        <v>24</v>
      </c>
      <c r="I2097" t="s">
        <v>55</v>
      </c>
      <c r="J2097" t="s">
        <v>35</v>
      </c>
      <c r="K2097" t="s">
        <v>61</v>
      </c>
      <c r="L2097" t="s">
        <v>28</v>
      </c>
      <c r="M2097" s="4">
        <v>18</v>
      </c>
      <c r="N2097" s="4">
        <v>7</v>
      </c>
      <c r="O2097" t="s">
        <v>29</v>
      </c>
      <c r="P2097" t="s">
        <v>36</v>
      </c>
      <c r="Q2097" s="4">
        <v>534181</v>
      </c>
      <c r="R2097" s="4">
        <v>382753</v>
      </c>
      <c r="S2097" s="4">
        <f>Table1[[#This Row],[Service_Revenue]]-Table1[[#This Row],[Service_Cost]]</f>
        <v>151428</v>
      </c>
      <c r="T2097" s="4">
        <v>1</v>
      </c>
      <c r="U2097" s="4">
        <f>IF(AND(Table1[[#This Row],[Rework_Flag]]="Yes",Table1[[#This Row],[Warranty_Claim]]="No"),Table1[[#This Row],[Service_Revenue]],0)</f>
        <v>534181</v>
      </c>
      <c r="V2097" s="4">
        <f>IF(Table1[[#This Row],[Warranty_Claim]]="Yes",1,0)</f>
        <v>0</v>
      </c>
      <c r="W2097" s="4">
        <f>IF(Table1[[#This Row],[Rework_Flag]]="No",1,0)</f>
        <v>0</v>
      </c>
      <c r="X2097" s="4">
        <f>IF(Table1[[#This Row],[Rework_Flag]]="Yes",1,0)</f>
        <v>1</v>
      </c>
      <c r="Y2097" s="4">
        <v>1</v>
      </c>
      <c r="Z2097" s="4" t="str">
        <f>IF(Table1[[#This Row],[TAT_Days]]&gt;Table1[[#This Row],[SLA_TAT]],"Yes","No")</f>
        <v>Yes</v>
      </c>
      <c r="AA2097" s="4" t="str" cm="1">
        <f t="array" ref="AA2097">_xlfn.IFS(Table1[[#This Row],[Customer_Satisfaction]]&lt;=2,"Poor",Table1[[#This Row],[Customer_Satisfaction]]=3,"Neutral",Table1[[#This Row],[Customer_Satisfaction]]=4,"Good",Table1[[#This Row],[Customer_Satisfaction]]=5,"Good")</f>
        <v>Poor</v>
      </c>
    </row>
    <row r="2098" spans="1:27" x14ac:dyDescent="0.35">
      <c r="A2098">
        <v>22096</v>
      </c>
      <c r="B2098" s="1">
        <v>45363</v>
      </c>
      <c r="C2098" t="s">
        <v>37</v>
      </c>
      <c r="D2098" t="s">
        <v>64</v>
      </c>
      <c r="E2098" t="s">
        <v>103</v>
      </c>
      <c r="F2098" t="s">
        <v>22</v>
      </c>
      <c r="G2098" t="s">
        <v>63</v>
      </c>
      <c r="H2098" t="s">
        <v>24</v>
      </c>
      <c r="I2098" t="s">
        <v>25</v>
      </c>
      <c r="J2098" t="s">
        <v>43</v>
      </c>
      <c r="K2098" t="s">
        <v>44</v>
      </c>
      <c r="L2098" t="s">
        <v>49</v>
      </c>
      <c r="M2098" s="4">
        <v>13</v>
      </c>
      <c r="N2098" s="4">
        <v>7</v>
      </c>
      <c r="O2098" t="s">
        <v>29</v>
      </c>
      <c r="P2098" t="s">
        <v>36</v>
      </c>
      <c r="Q2098" s="4">
        <v>246026</v>
      </c>
      <c r="R2098" s="4">
        <v>123949</v>
      </c>
      <c r="S2098" s="4">
        <f>Table1[[#This Row],[Service_Revenue]]-Table1[[#This Row],[Service_Cost]]</f>
        <v>122077</v>
      </c>
      <c r="T2098" s="4">
        <v>2</v>
      </c>
      <c r="U2098" s="4">
        <f>IF(AND(Table1[[#This Row],[Rework_Flag]]="Yes",Table1[[#This Row],[Warranty_Claim]]="No"),Table1[[#This Row],[Service_Revenue]],0)</f>
        <v>246026</v>
      </c>
      <c r="V2098" s="4">
        <f>IF(Table1[[#This Row],[Warranty_Claim]]="Yes",1,0)</f>
        <v>0</v>
      </c>
      <c r="W2098" s="4">
        <f>IF(Table1[[#This Row],[Rework_Flag]]="No",1,0)</f>
        <v>0</v>
      </c>
      <c r="X2098" s="4">
        <f>IF(Table1[[#This Row],[Rework_Flag]]="Yes",1,0)</f>
        <v>1</v>
      </c>
      <c r="Y2098" s="4">
        <v>1</v>
      </c>
      <c r="Z2098" s="4" t="str">
        <f>IF(Table1[[#This Row],[TAT_Days]]&gt;Table1[[#This Row],[SLA_TAT]],"Yes","No")</f>
        <v>Yes</v>
      </c>
      <c r="AA2098" s="4" t="str" cm="1">
        <f t="array" ref="AA2098">_xlfn.IFS(Table1[[#This Row],[Customer_Satisfaction]]&lt;=2,"Poor",Table1[[#This Row],[Customer_Satisfaction]]=3,"Neutral",Table1[[#This Row],[Customer_Satisfaction]]=4,"Good",Table1[[#This Row],[Customer_Satisfaction]]=5,"Good")</f>
        <v>Poor</v>
      </c>
    </row>
    <row r="2099" spans="1:27" x14ac:dyDescent="0.35">
      <c r="A2099">
        <v>22097</v>
      </c>
      <c r="B2099" s="1">
        <v>45346</v>
      </c>
      <c r="C2099" t="s">
        <v>30</v>
      </c>
      <c r="D2099" t="s">
        <v>59</v>
      </c>
      <c r="E2099" t="s">
        <v>60</v>
      </c>
      <c r="F2099" t="s">
        <v>40</v>
      </c>
      <c r="G2099" t="s">
        <v>74</v>
      </c>
      <c r="H2099" t="s">
        <v>34</v>
      </c>
      <c r="I2099" t="s">
        <v>55</v>
      </c>
      <c r="J2099" t="s">
        <v>26</v>
      </c>
      <c r="K2099" t="s">
        <v>27</v>
      </c>
      <c r="L2099" t="s">
        <v>49</v>
      </c>
      <c r="M2099" s="4">
        <v>10</v>
      </c>
      <c r="N2099" s="4">
        <v>7</v>
      </c>
      <c r="O2099" t="s">
        <v>29</v>
      </c>
      <c r="P2099" t="s">
        <v>29</v>
      </c>
      <c r="Q2099" s="4">
        <v>286329</v>
      </c>
      <c r="R2099" s="4">
        <v>154600</v>
      </c>
      <c r="S2099" s="4">
        <f>Table1[[#This Row],[Service_Revenue]]-Table1[[#This Row],[Service_Cost]]</f>
        <v>131729</v>
      </c>
      <c r="T2099" s="4">
        <v>2</v>
      </c>
      <c r="U2099" s="4">
        <f>IF(AND(Table1[[#This Row],[Rework_Flag]]="Yes",Table1[[#This Row],[Warranty_Claim]]="No"),Table1[[#This Row],[Service_Revenue]],0)</f>
        <v>0</v>
      </c>
      <c r="V2099" s="4">
        <f>IF(Table1[[#This Row],[Warranty_Claim]]="Yes",1,0)</f>
        <v>1</v>
      </c>
      <c r="W2099" s="4">
        <f>IF(Table1[[#This Row],[Rework_Flag]]="No",1,0)</f>
        <v>0</v>
      </c>
      <c r="X2099" s="4">
        <f>IF(Table1[[#This Row],[Rework_Flag]]="Yes",1,0)</f>
        <v>1</v>
      </c>
      <c r="Y2099" s="4">
        <v>1</v>
      </c>
      <c r="Z2099" s="4" t="str">
        <f>IF(Table1[[#This Row],[TAT_Days]]&gt;Table1[[#This Row],[SLA_TAT]],"Yes","No")</f>
        <v>Yes</v>
      </c>
      <c r="AA2099" s="4" t="str" cm="1">
        <f t="array" ref="AA2099">_xlfn.IFS(Table1[[#This Row],[Customer_Satisfaction]]&lt;=2,"Poor",Table1[[#This Row],[Customer_Satisfaction]]=3,"Neutral",Table1[[#This Row],[Customer_Satisfaction]]=4,"Good",Table1[[#This Row],[Customer_Satisfaction]]=5,"Good")</f>
        <v>Poor</v>
      </c>
    </row>
    <row r="2100" spans="1:27" x14ac:dyDescent="0.35">
      <c r="A2100">
        <v>22098</v>
      </c>
      <c r="B2100" s="1">
        <v>45295</v>
      </c>
      <c r="C2100" t="s">
        <v>30</v>
      </c>
      <c r="D2100" t="s">
        <v>59</v>
      </c>
      <c r="E2100" t="s">
        <v>69</v>
      </c>
      <c r="F2100" t="s">
        <v>22</v>
      </c>
      <c r="G2100" t="s">
        <v>54</v>
      </c>
      <c r="H2100" t="s">
        <v>42</v>
      </c>
      <c r="I2100" t="s">
        <v>25</v>
      </c>
      <c r="J2100" t="s">
        <v>43</v>
      </c>
      <c r="K2100" t="s">
        <v>61</v>
      </c>
      <c r="L2100" t="s">
        <v>49</v>
      </c>
      <c r="M2100" s="4">
        <v>13</v>
      </c>
      <c r="N2100" s="4">
        <v>7</v>
      </c>
      <c r="O2100" t="s">
        <v>29</v>
      </c>
      <c r="P2100" t="s">
        <v>36</v>
      </c>
      <c r="Q2100" s="4">
        <v>278536</v>
      </c>
      <c r="R2100" s="4">
        <v>142479</v>
      </c>
      <c r="S2100" s="4">
        <f>Table1[[#This Row],[Service_Revenue]]-Table1[[#This Row],[Service_Cost]]</f>
        <v>136057</v>
      </c>
      <c r="T2100" s="4">
        <v>2</v>
      </c>
      <c r="U2100" s="4">
        <f>IF(AND(Table1[[#This Row],[Rework_Flag]]="Yes",Table1[[#This Row],[Warranty_Claim]]="No"),Table1[[#This Row],[Service_Revenue]],0)</f>
        <v>278536</v>
      </c>
      <c r="V2100" s="4">
        <f>IF(Table1[[#This Row],[Warranty_Claim]]="Yes",1,0)</f>
        <v>0</v>
      </c>
      <c r="W2100" s="4">
        <f>IF(Table1[[#This Row],[Rework_Flag]]="No",1,0)</f>
        <v>0</v>
      </c>
      <c r="X2100" s="4">
        <f>IF(Table1[[#This Row],[Rework_Flag]]="Yes",1,0)</f>
        <v>1</v>
      </c>
      <c r="Y2100" s="4">
        <v>1</v>
      </c>
      <c r="Z2100" s="4" t="str">
        <f>IF(Table1[[#This Row],[TAT_Days]]&gt;Table1[[#This Row],[SLA_TAT]],"Yes","No")</f>
        <v>Yes</v>
      </c>
      <c r="AA2100" s="4" t="str" cm="1">
        <f t="array" ref="AA2100">_xlfn.IFS(Table1[[#This Row],[Customer_Satisfaction]]&lt;=2,"Poor",Table1[[#This Row],[Customer_Satisfaction]]=3,"Neutral",Table1[[#This Row],[Customer_Satisfaction]]=4,"Good",Table1[[#This Row],[Customer_Satisfaction]]=5,"Good")</f>
        <v>Poor</v>
      </c>
    </row>
    <row r="2101" spans="1:27" x14ac:dyDescent="0.35">
      <c r="A2101">
        <v>22099</v>
      </c>
      <c r="B2101" s="1">
        <v>45381</v>
      </c>
      <c r="C2101" t="s">
        <v>50</v>
      </c>
      <c r="D2101" t="s">
        <v>80</v>
      </c>
      <c r="E2101" t="s">
        <v>81</v>
      </c>
      <c r="F2101" t="s">
        <v>22</v>
      </c>
      <c r="G2101" t="s">
        <v>74</v>
      </c>
      <c r="H2101" t="s">
        <v>34</v>
      </c>
      <c r="I2101" t="s">
        <v>55</v>
      </c>
      <c r="J2101" t="s">
        <v>35</v>
      </c>
      <c r="K2101" t="s">
        <v>27</v>
      </c>
      <c r="L2101" t="s">
        <v>49</v>
      </c>
      <c r="M2101" s="4">
        <v>2</v>
      </c>
      <c r="N2101" s="4">
        <v>7</v>
      </c>
      <c r="O2101" t="s">
        <v>36</v>
      </c>
      <c r="P2101" t="s">
        <v>36</v>
      </c>
      <c r="Q2101" s="4">
        <v>268699</v>
      </c>
      <c r="R2101" s="4">
        <v>199129</v>
      </c>
      <c r="S2101" s="4">
        <f>Table1[[#This Row],[Service_Revenue]]-Table1[[#This Row],[Service_Cost]]</f>
        <v>69570</v>
      </c>
      <c r="T2101" s="4">
        <v>5</v>
      </c>
      <c r="U2101" s="4">
        <f>IF(AND(Table1[[#This Row],[Rework_Flag]]="Yes",Table1[[#This Row],[Warranty_Claim]]="No"),Table1[[#This Row],[Service_Revenue]],0)</f>
        <v>0</v>
      </c>
      <c r="V2101" s="4">
        <f>IF(Table1[[#This Row],[Warranty_Claim]]="Yes",1,0)</f>
        <v>0</v>
      </c>
      <c r="W2101" s="4">
        <f>IF(Table1[[#This Row],[Rework_Flag]]="No",1,0)</f>
        <v>1</v>
      </c>
      <c r="X2101" s="4">
        <f>IF(Table1[[#This Row],[Rework_Flag]]="Yes",1,0)</f>
        <v>0</v>
      </c>
      <c r="Y2101" s="4">
        <v>1</v>
      </c>
      <c r="Z2101" s="4" t="str">
        <f>IF(Table1[[#This Row],[TAT_Days]]&gt;Table1[[#This Row],[SLA_TAT]],"Yes","No")</f>
        <v>No</v>
      </c>
      <c r="AA2101" s="4" t="str" cm="1">
        <f t="array" ref="AA2101">_xlfn.IFS(Table1[[#This Row],[Customer_Satisfaction]]&lt;=2,"Poor",Table1[[#This Row],[Customer_Satisfaction]]=3,"Neutral",Table1[[#This Row],[Customer_Satisfaction]]=4,"Good",Table1[[#This Row],[Customer_Satisfaction]]=5,"Good")</f>
        <v>Good</v>
      </c>
    </row>
    <row r="2102" spans="1:27" x14ac:dyDescent="0.35">
      <c r="A2102">
        <v>22100</v>
      </c>
      <c r="B2102" s="1">
        <v>45451</v>
      </c>
      <c r="C2102" t="s">
        <v>19</v>
      </c>
      <c r="D2102" t="s">
        <v>45</v>
      </c>
      <c r="E2102" t="s">
        <v>99</v>
      </c>
      <c r="F2102" t="s">
        <v>40</v>
      </c>
      <c r="G2102" t="s">
        <v>54</v>
      </c>
      <c r="H2102" t="s">
        <v>42</v>
      </c>
      <c r="I2102" t="s">
        <v>25</v>
      </c>
      <c r="J2102" t="s">
        <v>67</v>
      </c>
      <c r="K2102" t="s">
        <v>61</v>
      </c>
      <c r="L2102" t="s">
        <v>49</v>
      </c>
      <c r="M2102" s="4">
        <v>24</v>
      </c>
      <c r="N2102" s="4">
        <v>7</v>
      </c>
      <c r="O2102" t="s">
        <v>29</v>
      </c>
      <c r="P2102" t="s">
        <v>29</v>
      </c>
      <c r="Q2102" s="4">
        <v>237043</v>
      </c>
      <c r="R2102" s="4">
        <v>176769</v>
      </c>
      <c r="S2102" s="4">
        <f>Table1[[#This Row],[Service_Revenue]]-Table1[[#This Row],[Service_Cost]]</f>
        <v>60274</v>
      </c>
      <c r="T2102" s="4">
        <v>1</v>
      </c>
      <c r="U2102" s="4">
        <f>IF(AND(Table1[[#This Row],[Rework_Flag]]="Yes",Table1[[#This Row],[Warranty_Claim]]="No"),Table1[[#This Row],[Service_Revenue]],0)</f>
        <v>0</v>
      </c>
      <c r="V2102" s="4">
        <f>IF(Table1[[#This Row],[Warranty_Claim]]="Yes",1,0)</f>
        <v>1</v>
      </c>
      <c r="W2102" s="4">
        <f>IF(Table1[[#This Row],[Rework_Flag]]="No",1,0)</f>
        <v>0</v>
      </c>
      <c r="X2102" s="4">
        <f>IF(Table1[[#This Row],[Rework_Flag]]="Yes",1,0)</f>
        <v>1</v>
      </c>
      <c r="Y2102" s="4">
        <v>1</v>
      </c>
      <c r="Z2102" s="4" t="str">
        <f>IF(Table1[[#This Row],[TAT_Days]]&gt;Table1[[#This Row],[SLA_TAT]],"Yes","No")</f>
        <v>Yes</v>
      </c>
      <c r="AA2102" s="4" t="str" cm="1">
        <f t="array" ref="AA2102">_xlfn.IFS(Table1[[#This Row],[Customer_Satisfaction]]&lt;=2,"Poor",Table1[[#This Row],[Customer_Satisfaction]]=3,"Neutral",Table1[[#This Row],[Customer_Satisfaction]]=4,"Good",Table1[[#This Row],[Customer_Satisfaction]]=5,"Good")</f>
        <v>Poor</v>
      </c>
    </row>
    <row r="2103" spans="1:27" x14ac:dyDescent="0.35">
      <c r="A2103">
        <v>22101</v>
      </c>
      <c r="B2103" s="1">
        <v>45350</v>
      </c>
      <c r="C2103" t="s">
        <v>30</v>
      </c>
      <c r="D2103" t="s">
        <v>31</v>
      </c>
      <c r="E2103" t="s">
        <v>106</v>
      </c>
      <c r="F2103" t="s">
        <v>22</v>
      </c>
      <c r="G2103" t="s">
        <v>74</v>
      </c>
      <c r="H2103" t="s">
        <v>34</v>
      </c>
      <c r="I2103" t="s">
        <v>25</v>
      </c>
      <c r="J2103" t="s">
        <v>35</v>
      </c>
      <c r="K2103" t="s">
        <v>27</v>
      </c>
      <c r="L2103" t="s">
        <v>49</v>
      </c>
      <c r="M2103" s="4">
        <v>17</v>
      </c>
      <c r="N2103" s="4">
        <v>7</v>
      </c>
      <c r="O2103" t="s">
        <v>29</v>
      </c>
      <c r="P2103" t="s">
        <v>36</v>
      </c>
      <c r="Q2103" s="4">
        <v>159806</v>
      </c>
      <c r="R2103" s="4">
        <v>118702</v>
      </c>
      <c r="S2103" s="4">
        <f>Table1[[#This Row],[Service_Revenue]]-Table1[[#This Row],[Service_Cost]]</f>
        <v>41104</v>
      </c>
      <c r="T2103" s="4">
        <v>1</v>
      </c>
      <c r="U2103" s="4">
        <f>IF(AND(Table1[[#This Row],[Rework_Flag]]="Yes",Table1[[#This Row],[Warranty_Claim]]="No"),Table1[[#This Row],[Service_Revenue]],0)</f>
        <v>159806</v>
      </c>
      <c r="V2103" s="4">
        <f>IF(Table1[[#This Row],[Warranty_Claim]]="Yes",1,0)</f>
        <v>0</v>
      </c>
      <c r="W2103" s="4">
        <f>IF(Table1[[#This Row],[Rework_Flag]]="No",1,0)</f>
        <v>0</v>
      </c>
      <c r="X2103" s="4">
        <f>IF(Table1[[#This Row],[Rework_Flag]]="Yes",1,0)</f>
        <v>1</v>
      </c>
      <c r="Y2103" s="4">
        <v>1</v>
      </c>
      <c r="Z2103" s="4" t="str">
        <f>IF(Table1[[#This Row],[TAT_Days]]&gt;Table1[[#This Row],[SLA_TAT]],"Yes","No")</f>
        <v>Yes</v>
      </c>
      <c r="AA2103" s="4" t="str" cm="1">
        <f t="array" ref="AA2103">_xlfn.IFS(Table1[[#This Row],[Customer_Satisfaction]]&lt;=2,"Poor",Table1[[#This Row],[Customer_Satisfaction]]=3,"Neutral",Table1[[#This Row],[Customer_Satisfaction]]=4,"Good",Table1[[#This Row],[Customer_Satisfaction]]=5,"Good")</f>
        <v>Poor</v>
      </c>
    </row>
    <row r="2104" spans="1:27" x14ac:dyDescent="0.35">
      <c r="A2104">
        <v>22102</v>
      </c>
      <c r="B2104" s="1">
        <v>45368</v>
      </c>
      <c r="C2104" t="s">
        <v>50</v>
      </c>
      <c r="D2104" t="s">
        <v>51</v>
      </c>
      <c r="E2104" t="s">
        <v>120</v>
      </c>
      <c r="F2104" t="s">
        <v>40</v>
      </c>
      <c r="G2104" t="s">
        <v>54</v>
      </c>
      <c r="H2104" t="s">
        <v>42</v>
      </c>
      <c r="I2104" t="s">
        <v>25</v>
      </c>
      <c r="J2104" t="s">
        <v>67</v>
      </c>
      <c r="K2104" t="s">
        <v>61</v>
      </c>
      <c r="L2104" t="s">
        <v>28</v>
      </c>
      <c r="M2104" s="4">
        <v>13</v>
      </c>
      <c r="N2104" s="4">
        <v>7</v>
      </c>
      <c r="O2104" t="s">
        <v>29</v>
      </c>
      <c r="P2104" t="s">
        <v>29</v>
      </c>
      <c r="Q2104" s="4">
        <v>421420</v>
      </c>
      <c r="R2104" s="4">
        <v>220203</v>
      </c>
      <c r="S2104" s="4">
        <f>Table1[[#This Row],[Service_Revenue]]-Table1[[#This Row],[Service_Cost]]</f>
        <v>201217</v>
      </c>
      <c r="T2104" s="4">
        <v>2</v>
      </c>
      <c r="U2104" s="4">
        <f>IF(AND(Table1[[#This Row],[Rework_Flag]]="Yes",Table1[[#This Row],[Warranty_Claim]]="No"),Table1[[#This Row],[Service_Revenue]],0)</f>
        <v>0</v>
      </c>
      <c r="V2104" s="4">
        <f>IF(Table1[[#This Row],[Warranty_Claim]]="Yes",1,0)</f>
        <v>1</v>
      </c>
      <c r="W2104" s="4">
        <f>IF(Table1[[#This Row],[Rework_Flag]]="No",1,0)</f>
        <v>0</v>
      </c>
      <c r="X2104" s="4">
        <f>IF(Table1[[#This Row],[Rework_Flag]]="Yes",1,0)</f>
        <v>1</v>
      </c>
      <c r="Y2104" s="4">
        <v>1</v>
      </c>
      <c r="Z2104" s="4" t="str">
        <f>IF(Table1[[#This Row],[TAT_Days]]&gt;Table1[[#This Row],[SLA_TAT]],"Yes","No")</f>
        <v>Yes</v>
      </c>
      <c r="AA2104" s="4" t="str" cm="1">
        <f t="array" ref="AA2104">_xlfn.IFS(Table1[[#This Row],[Customer_Satisfaction]]&lt;=2,"Poor",Table1[[#This Row],[Customer_Satisfaction]]=3,"Neutral",Table1[[#This Row],[Customer_Satisfaction]]=4,"Good",Table1[[#This Row],[Customer_Satisfaction]]=5,"Good")</f>
        <v>Poor</v>
      </c>
    </row>
    <row r="2105" spans="1:27" x14ac:dyDescent="0.35">
      <c r="A2105">
        <v>22103</v>
      </c>
      <c r="B2105" s="1">
        <v>45354</v>
      </c>
      <c r="C2105" t="s">
        <v>50</v>
      </c>
      <c r="D2105" t="s">
        <v>56</v>
      </c>
      <c r="E2105" t="s">
        <v>88</v>
      </c>
      <c r="F2105" t="s">
        <v>53</v>
      </c>
      <c r="G2105" t="s">
        <v>23</v>
      </c>
      <c r="H2105" t="s">
        <v>24</v>
      </c>
      <c r="I2105" t="s">
        <v>25</v>
      </c>
      <c r="J2105" t="s">
        <v>67</v>
      </c>
      <c r="K2105" t="s">
        <v>61</v>
      </c>
      <c r="L2105" t="s">
        <v>49</v>
      </c>
      <c r="M2105" s="4">
        <v>6</v>
      </c>
      <c r="N2105" s="4">
        <v>7</v>
      </c>
      <c r="O2105" t="s">
        <v>29</v>
      </c>
      <c r="P2105" t="s">
        <v>29</v>
      </c>
      <c r="Q2105" s="4">
        <v>519908</v>
      </c>
      <c r="R2105" s="4">
        <v>335198</v>
      </c>
      <c r="S2105" s="4">
        <f>Table1[[#This Row],[Service_Revenue]]-Table1[[#This Row],[Service_Cost]]</f>
        <v>184710</v>
      </c>
      <c r="T2105" s="4">
        <v>3</v>
      </c>
      <c r="U2105" s="4">
        <f>IF(AND(Table1[[#This Row],[Rework_Flag]]="Yes",Table1[[#This Row],[Warranty_Claim]]="No"),Table1[[#This Row],[Service_Revenue]],0)</f>
        <v>0</v>
      </c>
      <c r="V2105" s="4">
        <f>IF(Table1[[#This Row],[Warranty_Claim]]="Yes",1,0)</f>
        <v>1</v>
      </c>
      <c r="W2105" s="4">
        <f>IF(Table1[[#This Row],[Rework_Flag]]="No",1,0)</f>
        <v>0</v>
      </c>
      <c r="X2105" s="4">
        <f>IF(Table1[[#This Row],[Rework_Flag]]="Yes",1,0)</f>
        <v>1</v>
      </c>
      <c r="Y2105" s="4">
        <v>1</v>
      </c>
      <c r="Z2105" s="4" t="str">
        <f>IF(Table1[[#This Row],[TAT_Days]]&gt;Table1[[#This Row],[SLA_TAT]],"Yes","No")</f>
        <v>No</v>
      </c>
      <c r="AA2105" s="4" t="str" cm="1">
        <f t="array" ref="AA2105">_xlfn.IFS(Table1[[#This Row],[Customer_Satisfaction]]&lt;=2,"Poor",Table1[[#This Row],[Customer_Satisfaction]]=3,"Neutral",Table1[[#This Row],[Customer_Satisfaction]]=4,"Good",Table1[[#This Row],[Customer_Satisfaction]]=5,"Good")</f>
        <v>Neutral</v>
      </c>
    </row>
    <row r="2106" spans="1:27" x14ac:dyDescent="0.35">
      <c r="A2106">
        <v>22104</v>
      </c>
      <c r="B2106" s="1">
        <v>45460</v>
      </c>
      <c r="C2106" t="s">
        <v>37</v>
      </c>
      <c r="D2106" t="s">
        <v>70</v>
      </c>
      <c r="E2106" t="s">
        <v>71</v>
      </c>
      <c r="F2106" t="s">
        <v>53</v>
      </c>
      <c r="G2106" t="s">
        <v>23</v>
      </c>
      <c r="H2106" t="s">
        <v>24</v>
      </c>
      <c r="I2106" t="s">
        <v>55</v>
      </c>
      <c r="J2106" t="s">
        <v>58</v>
      </c>
      <c r="K2106" t="s">
        <v>44</v>
      </c>
      <c r="L2106" t="s">
        <v>49</v>
      </c>
      <c r="M2106" s="4">
        <v>16</v>
      </c>
      <c r="N2106" s="4">
        <v>7</v>
      </c>
      <c r="O2106" t="s">
        <v>29</v>
      </c>
      <c r="P2106" t="s">
        <v>36</v>
      </c>
      <c r="Q2106" s="4">
        <v>397531</v>
      </c>
      <c r="R2106" s="4">
        <v>255747</v>
      </c>
      <c r="S2106" s="4">
        <f>Table1[[#This Row],[Service_Revenue]]-Table1[[#This Row],[Service_Cost]]</f>
        <v>141784</v>
      </c>
      <c r="T2106" s="4">
        <v>1</v>
      </c>
      <c r="U2106" s="4">
        <f>IF(AND(Table1[[#This Row],[Rework_Flag]]="Yes",Table1[[#This Row],[Warranty_Claim]]="No"),Table1[[#This Row],[Service_Revenue]],0)</f>
        <v>397531</v>
      </c>
      <c r="V2106" s="4">
        <f>IF(Table1[[#This Row],[Warranty_Claim]]="Yes",1,0)</f>
        <v>0</v>
      </c>
      <c r="W2106" s="4">
        <f>IF(Table1[[#This Row],[Rework_Flag]]="No",1,0)</f>
        <v>0</v>
      </c>
      <c r="X2106" s="4">
        <f>IF(Table1[[#This Row],[Rework_Flag]]="Yes",1,0)</f>
        <v>1</v>
      </c>
      <c r="Y2106" s="4">
        <v>1</v>
      </c>
      <c r="Z2106" s="4" t="str">
        <f>IF(Table1[[#This Row],[TAT_Days]]&gt;Table1[[#This Row],[SLA_TAT]],"Yes","No")</f>
        <v>Yes</v>
      </c>
      <c r="AA2106" s="4" t="str" cm="1">
        <f t="array" ref="AA2106">_xlfn.IFS(Table1[[#This Row],[Customer_Satisfaction]]&lt;=2,"Poor",Table1[[#This Row],[Customer_Satisfaction]]=3,"Neutral",Table1[[#This Row],[Customer_Satisfaction]]=4,"Good",Table1[[#This Row],[Customer_Satisfaction]]=5,"Good")</f>
        <v>Poor</v>
      </c>
    </row>
    <row r="2107" spans="1:27" x14ac:dyDescent="0.35">
      <c r="A2107">
        <v>22105</v>
      </c>
      <c r="B2107" s="1">
        <v>45379</v>
      </c>
      <c r="C2107" t="s">
        <v>30</v>
      </c>
      <c r="D2107" t="s">
        <v>59</v>
      </c>
      <c r="E2107" t="s">
        <v>78</v>
      </c>
      <c r="F2107" t="s">
        <v>22</v>
      </c>
      <c r="G2107" t="s">
        <v>41</v>
      </c>
      <c r="H2107" t="s">
        <v>42</v>
      </c>
      <c r="I2107" t="s">
        <v>25</v>
      </c>
      <c r="J2107" t="s">
        <v>58</v>
      </c>
      <c r="K2107" t="s">
        <v>61</v>
      </c>
      <c r="L2107" t="s">
        <v>28</v>
      </c>
      <c r="M2107" s="4">
        <v>14</v>
      </c>
      <c r="N2107" s="4">
        <v>7</v>
      </c>
      <c r="O2107" t="s">
        <v>29</v>
      </c>
      <c r="P2107" t="s">
        <v>29</v>
      </c>
      <c r="Q2107" s="4">
        <v>361642</v>
      </c>
      <c r="R2107" s="4">
        <v>195341</v>
      </c>
      <c r="S2107" s="4">
        <f>Table1[[#This Row],[Service_Revenue]]-Table1[[#This Row],[Service_Cost]]</f>
        <v>166301</v>
      </c>
      <c r="T2107" s="4">
        <v>2</v>
      </c>
      <c r="U2107" s="4">
        <f>IF(AND(Table1[[#This Row],[Rework_Flag]]="Yes",Table1[[#This Row],[Warranty_Claim]]="No"),Table1[[#This Row],[Service_Revenue]],0)</f>
        <v>0</v>
      </c>
      <c r="V2107" s="4">
        <f>IF(Table1[[#This Row],[Warranty_Claim]]="Yes",1,0)</f>
        <v>1</v>
      </c>
      <c r="W2107" s="4">
        <f>IF(Table1[[#This Row],[Rework_Flag]]="No",1,0)</f>
        <v>0</v>
      </c>
      <c r="X2107" s="4">
        <f>IF(Table1[[#This Row],[Rework_Flag]]="Yes",1,0)</f>
        <v>1</v>
      </c>
      <c r="Y2107" s="4">
        <v>1</v>
      </c>
      <c r="Z2107" s="4" t="str">
        <f>IF(Table1[[#This Row],[TAT_Days]]&gt;Table1[[#This Row],[SLA_TAT]],"Yes","No")</f>
        <v>Yes</v>
      </c>
      <c r="AA2107" s="4" t="str" cm="1">
        <f t="array" ref="AA2107">_xlfn.IFS(Table1[[#This Row],[Customer_Satisfaction]]&lt;=2,"Poor",Table1[[#This Row],[Customer_Satisfaction]]=3,"Neutral",Table1[[#This Row],[Customer_Satisfaction]]=4,"Good",Table1[[#This Row],[Customer_Satisfaction]]=5,"Good")</f>
        <v>Poor</v>
      </c>
    </row>
    <row r="2108" spans="1:27" x14ac:dyDescent="0.35">
      <c r="A2108">
        <v>22106</v>
      </c>
      <c r="B2108" s="1">
        <v>45342</v>
      </c>
      <c r="C2108" t="s">
        <v>19</v>
      </c>
      <c r="D2108" t="s">
        <v>20</v>
      </c>
      <c r="E2108" t="s">
        <v>117</v>
      </c>
      <c r="F2108" t="s">
        <v>22</v>
      </c>
      <c r="G2108" t="s">
        <v>63</v>
      </c>
      <c r="H2108" t="s">
        <v>24</v>
      </c>
      <c r="I2108" t="s">
        <v>25</v>
      </c>
      <c r="J2108" t="s">
        <v>43</v>
      </c>
      <c r="K2108" t="s">
        <v>61</v>
      </c>
      <c r="L2108" t="s">
        <v>49</v>
      </c>
      <c r="M2108" s="4">
        <v>20</v>
      </c>
      <c r="N2108" s="4">
        <v>7</v>
      </c>
      <c r="O2108" t="s">
        <v>29</v>
      </c>
      <c r="P2108" t="s">
        <v>36</v>
      </c>
      <c r="Q2108" s="4">
        <v>284298</v>
      </c>
      <c r="R2108" s="4">
        <v>226191</v>
      </c>
      <c r="S2108" s="4">
        <f>Table1[[#This Row],[Service_Revenue]]-Table1[[#This Row],[Service_Cost]]</f>
        <v>58107</v>
      </c>
      <c r="T2108" s="4">
        <v>1</v>
      </c>
      <c r="U2108" s="4">
        <f>IF(AND(Table1[[#This Row],[Rework_Flag]]="Yes",Table1[[#This Row],[Warranty_Claim]]="No"),Table1[[#This Row],[Service_Revenue]],0)</f>
        <v>284298</v>
      </c>
      <c r="V2108" s="4">
        <f>IF(Table1[[#This Row],[Warranty_Claim]]="Yes",1,0)</f>
        <v>0</v>
      </c>
      <c r="W2108" s="4">
        <f>IF(Table1[[#This Row],[Rework_Flag]]="No",1,0)</f>
        <v>0</v>
      </c>
      <c r="X2108" s="4">
        <f>IF(Table1[[#This Row],[Rework_Flag]]="Yes",1,0)</f>
        <v>1</v>
      </c>
      <c r="Y2108" s="4">
        <v>1</v>
      </c>
      <c r="Z2108" s="4" t="str">
        <f>IF(Table1[[#This Row],[TAT_Days]]&gt;Table1[[#This Row],[SLA_TAT]],"Yes","No")</f>
        <v>Yes</v>
      </c>
      <c r="AA2108" s="4" t="str" cm="1">
        <f t="array" ref="AA2108">_xlfn.IFS(Table1[[#This Row],[Customer_Satisfaction]]&lt;=2,"Poor",Table1[[#This Row],[Customer_Satisfaction]]=3,"Neutral",Table1[[#This Row],[Customer_Satisfaction]]=4,"Good",Table1[[#This Row],[Customer_Satisfaction]]=5,"Good")</f>
        <v>Poor</v>
      </c>
    </row>
    <row r="2109" spans="1:27" x14ac:dyDescent="0.35">
      <c r="A2109">
        <v>22107</v>
      </c>
      <c r="B2109" s="1">
        <v>45446</v>
      </c>
      <c r="C2109" t="s">
        <v>30</v>
      </c>
      <c r="D2109" t="s">
        <v>83</v>
      </c>
      <c r="E2109" t="s">
        <v>90</v>
      </c>
      <c r="F2109" t="s">
        <v>53</v>
      </c>
      <c r="G2109" t="s">
        <v>63</v>
      </c>
      <c r="H2109" t="s">
        <v>24</v>
      </c>
      <c r="I2109" t="s">
        <v>55</v>
      </c>
      <c r="J2109" t="s">
        <v>43</v>
      </c>
      <c r="K2109" t="s">
        <v>27</v>
      </c>
      <c r="L2109" t="s">
        <v>28</v>
      </c>
      <c r="M2109" s="4">
        <v>14</v>
      </c>
      <c r="N2109" s="4">
        <v>7</v>
      </c>
      <c r="O2109" t="s">
        <v>29</v>
      </c>
      <c r="P2109" t="s">
        <v>29</v>
      </c>
      <c r="Q2109" s="4">
        <v>325855</v>
      </c>
      <c r="R2109" s="4">
        <v>186896</v>
      </c>
      <c r="S2109" s="4">
        <f>Table1[[#This Row],[Service_Revenue]]-Table1[[#This Row],[Service_Cost]]</f>
        <v>138959</v>
      </c>
      <c r="T2109" s="4">
        <v>2</v>
      </c>
      <c r="U2109" s="4">
        <f>IF(AND(Table1[[#This Row],[Rework_Flag]]="Yes",Table1[[#This Row],[Warranty_Claim]]="No"),Table1[[#This Row],[Service_Revenue]],0)</f>
        <v>0</v>
      </c>
      <c r="V2109" s="4">
        <f>IF(Table1[[#This Row],[Warranty_Claim]]="Yes",1,0)</f>
        <v>1</v>
      </c>
      <c r="W2109" s="4">
        <f>IF(Table1[[#This Row],[Rework_Flag]]="No",1,0)</f>
        <v>0</v>
      </c>
      <c r="X2109" s="4">
        <f>IF(Table1[[#This Row],[Rework_Flag]]="Yes",1,0)</f>
        <v>1</v>
      </c>
      <c r="Y2109" s="4">
        <v>1</v>
      </c>
      <c r="Z2109" s="4" t="str">
        <f>IF(Table1[[#This Row],[TAT_Days]]&gt;Table1[[#This Row],[SLA_TAT]],"Yes","No")</f>
        <v>Yes</v>
      </c>
      <c r="AA2109" s="4" t="str" cm="1">
        <f t="array" ref="AA2109">_xlfn.IFS(Table1[[#This Row],[Customer_Satisfaction]]&lt;=2,"Poor",Table1[[#This Row],[Customer_Satisfaction]]=3,"Neutral",Table1[[#This Row],[Customer_Satisfaction]]=4,"Good",Table1[[#This Row],[Customer_Satisfaction]]=5,"Good")</f>
        <v>Poor</v>
      </c>
    </row>
    <row r="2110" spans="1:27" x14ac:dyDescent="0.35">
      <c r="A2110">
        <v>22108</v>
      </c>
      <c r="B2110" s="1">
        <v>45389</v>
      </c>
      <c r="C2110" t="s">
        <v>30</v>
      </c>
      <c r="D2110" t="s">
        <v>59</v>
      </c>
      <c r="E2110" t="s">
        <v>66</v>
      </c>
      <c r="F2110" t="s">
        <v>22</v>
      </c>
      <c r="G2110" t="s">
        <v>33</v>
      </c>
      <c r="H2110" t="s">
        <v>34</v>
      </c>
      <c r="I2110" t="s">
        <v>55</v>
      </c>
      <c r="J2110" t="s">
        <v>26</v>
      </c>
      <c r="K2110" t="s">
        <v>61</v>
      </c>
      <c r="L2110" t="s">
        <v>28</v>
      </c>
      <c r="M2110" s="4">
        <v>16</v>
      </c>
      <c r="N2110" s="4">
        <v>7</v>
      </c>
      <c r="O2110" t="s">
        <v>29</v>
      </c>
      <c r="P2110" t="s">
        <v>29</v>
      </c>
      <c r="Q2110" s="4">
        <v>226534</v>
      </c>
      <c r="R2110" s="4">
        <v>125104</v>
      </c>
      <c r="S2110" s="4">
        <f>Table1[[#This Row],[Service_Revenue]]-Table1[[#This Row],[Service_Cost]]</f>
        <v>101430</v>
      </c>
      <c r="T2110" s="4">
        <v>1</v>
      </c>
      <c r="U2110" s="4">
        <f>IF(AND(Table1[[#This Row],[Rework_Flag]]="Yes",Table1[[#This Row],[Warranty_Claim]]="No"),Table1[[#This Row],[Service_Revenue]],0)</f>
        <v>0</v>
      </c>
      <c r="V2110" s="4">
        <f>IF(Table1[[#This Row],[Warranty_Claim]]="Yes",1,0)</f>
        <v>1</v>
      </c>
      <c r="W2110" s="4">
        <f>IF(Table1[[#This Row],[Rework_Flag]]="No",1,0)</f>
        <v>0</v>
      </c>
      <c r="X2110" s="4">
        <f>IF(Table1[[#This Row],[Rework_Flag]]="Yes",1,0)</f>
        <v>1</v>
      </c>
      <c r="Y2110" s="4">
        <v>1</v>
      </c>
      <c r="Z2110" s="4" t="str">
        <f>IF(Table1[[#This Row],[TAT_Days]]&gt;Table1[[#This Row],[SLA_TAT]],"Yes","No")</f>
        <v>Yes</v>
      </c>
      <c r="AA2110" s="4" t="str" cm="1">
        <f t="array" ref="AA2110">_xlfn.IFS(Table1[[#This Row],[Customer_Satisfaction]]&lt;=2,"Poor",Table1[[#This Row],[Customer_Satisfaction]]=3,"Neutral",Table1[[#This Row],[Customer_Satisfaction]]=4,"Good",Table1[[#This Row],[Customer_Satisfaction]]=5,"Good")</f>
        <v>Poor</v>
      </c>
    </row>
    <row r="2111" spans="1:27" x14ac:dyDescent="0.35">
      <c r="A2111">
        <v>22109</v>
      </c>
      <c r="B2111" s="1">
        <v>45465</v>
      </c>
      <c r="C2111" t="s">
        <v>19</v>
      </c>
      <c r="D2111" t="s">
        <v>20</v>
      </c>
      <c r="E2111" t="s">
        <v>89</v>
      </c>
      <c r="F2111" t="s">
        <v>22</v>
      </c>
      <c r="G2111" t="s">
        <v>41</v>
      </c>
      <c r="H2111" t="s">
        <v>42</v>
      </c>
      <c r="I2111" t="s">
        <v>25</v>
      </c>
      <c r="J2111" t="s">
        <v>43</v>
      </c>
      <c r="K2111" t="s">
        <v>44</v>
      </c>
      <c r="L2111" t="s">
        <v>28</v>
      </c>
      <c r="M2111" s="4">
        <v>5</v>
      </c>
      <c r="N2111" s="4">
        <v>7</v>
      </c>
      <c r="O2111" t="s">
        <v>29</v>
      </c>
      <c r="P2111" t="s">
        <v>29</v>
      </c>
      <c r="Q2111" s="4">
        <v>557870</v>
      </c>
      <c r="R2111" s="4">
        <v>330696</v>
      </c>
      <c r="S2111" s="4">
        <f>Table1[[#This Row],[Service_Revenue]]-Table1[[#This Row],[Service_Cost]]</f>
        <v>227174</v>
      </c>
      <c r="T2111" s="4">
        <v>3</v>
      </c>
      <c r="U2111" s="4">
        <f>IF(AND(Table1[[#This Row],[Rework_Flag]]="Yes",Table1[[#This Row],[Warranty_Claim]]="No"),Table1[[#This Row],[Service_Revenue]],0)</f>
        <v>0</v>
      </c>
      <c r="V2111" s="4">
        <f>IF(Table1[[#This Row],[Warranty_Claim]]="Yes",1,0)</f>
        <v>1</v>
      </c>
      <c r="W2111" s="4">
        <f>IF(Table1[[#This Row],[Rework_Flag]]="No",1,0)</f>
        <v>0</v>
      </c>
      <c r="X2111" s="4">
        <f>IF(Table1[[#This Row],[Rework_Flag]]="Yes",1,0)</f>
        <v>1</v>
      </c>
      <c r="Y2111" s="4">
        <v>1</v>
      </c>
      <c r="Z2111" s="4" t="str">
        <f>IF(Table1[[#This Row],[TAT_Days]]&gt;Table1[[#This Row],[SLA_TAT]],"Yes","No")</f>
        <v>No</v>
      </c>
      <c r="AA2111" s="4" t="str" cm="1">
        <f t="array" ref="AA2111">_xlfn.IFS(Table1[[#This Row],[Customer_Satisfaction]]&lt;=2,"Poor",Table1[[#This Row],[Customer_Satisfaction]]=3,"Neutral",Table1[[#This Row],[Customer_Satisfaction]]=4,"Good",Table1[[#This Row],[Customer_Satisfaction]]=5,"Good")</f>
        <v>Neutral</v>
      </c>
    </row>
    <row r="2112" spans="1:27" x14ac:dyDescent="0.35">
      <c r="A2112">
        <v>22110</v>
      </c>
      <c r="B2112" s="1">
        <v>45396</v>
      </c>
      <c r="C2112" t="s">
        <v>30</v>
      </c>
      <c r="D2112" t="s">
        <v>31</v>
      </c>
      <c r="E2112" t="s">
        <v>32</v>
      </c>
      <c r="F2112" t="s">
        <v>40</v>
      </c>
      <c r="G2112" t="s">
        <v>41</v>
      </c>
      <c r="H2112" t="s">
        <v>42</v>
      </c>
      <c r="I2112" t="s">
        <v>25</v>
      </c>
      <c r="J2112" t="s">
        <v>26</v>
      </c>
      <c r="K2112" t="s">
        <v>44</v>
      </c>
      <c r="L2112" t="s">
        <v>49</v>
      </c>
      <c r="M2112" s="4">
        <v>6</v>
      </c>
      <c r="N2112" s="4">
        <v>7</v>
      </c>
      <c r="O2112" t="s">
        <v>29</v>
      </c>
      <c r="P2112" t="s">
        <v>36</v>
      </c>
      <c r="Q2112" s="4">
        <v>153480</v>
      </c>
      <c r="R2112" s="4">
        <v>100931</v>
      </c>
      <c r="S2112" s="4">
        <f>Table1[[#This Row],[Service_Revenue]]-Table1[[#This Row],[Service_Cost]]</f>
        <v>52549</v>
      </c>
      <c r="T2112" s="4">
        <v>3</v>
      </c>
      <c r="U2112" s="4">
        <f>IF(AND(Table1[[#This Row],[Rework_Flag]]="Yes",Table1[[#This Row],[Warranty_Claim]]="No"),Table1[[#This Row],[Service_Revenue]],0)</f>
        <v>153480</v>
      </c>
      <c r="V2112" s="4">
        <f>IF(Table1[[#This Row],[Warranty_Claim]]="Yes",1,0)</f>
        <v>0</v>
      </c>
      <c r="W2112" s="4">
        <f>IF(Table1[[#This Row],[Rework_Flag]]="No",1,0)</f>
        <v>0</v>
      </c>
      <c r="X2112" s="4">
        <f>IF(Table1[[#This Row],[Rework_Flag]]="Yes",1,0)</f>
        <v>1</v>
      </c>
      <c r="Y2112" s="4">
        <v>1</v>
      </c>
      <c r="Z2112" s="4" t="str">
        <f>IF(Table1[[#This Row],[TAT_Days]]&gt;Table1[[#This Row],[SLA_TAT]],"Yes","No")</f>
        <v>No</v>
      </c>
      <c r="AA2112" s="4" t="str" cm="1">
        <f t="array" ref="AA2112">_xlfn.IFS(Table1[[#This Row],[Customer_Satisfaction]]&lt;=2,"Poor",Table1[[#This Row],[Customer_Satisfaction]]=3,"Neutral",Table1[[#This Row],[Customer_Satisfaction]]=4,"Good",Table1[[#This Row],[Customer_Satisfaction]]=5,"Good")</f>
        <v>Neutral</v>
      </c>
    </row>
    <row r="2113" spans="1:27" x14ac:dyDescent="0.35">
      <c r="A2113">
        <v>22111</v>
      </c>
      <c r="B2113" s="1">
        <v>45389</v>
      </c>
      <c r="C2113" t="s">
        <v>19</v>
      </c>
      <c r="D2113" t="s">
        <v>45</v>
      </c>
      <c r="E2113" t="s">
        <v>76</v>
      </c>
      <c r="F2113" t="s">
        <v>53</v>
      </c>
      <c r="G2113" t="s">
        <v>54</v>
      </c>
      <c r="H2113" t="s">
        <v>42</v>
      </c>
      <c r="I2113" t="s">
        <v>25</v>
      </c>
      <c r="J2113" t="s">
        <v>35</v>
      </c>
      <c r="K2113" t="s">
        <v>61</v>
      </c>
      <c r="L2113" t="s">
        <v>28</v>
      </c>
      <c r="M2113" s="4">
        <v>2</v>
      </c>
      <c r="N2113" s="4">
        <v>7</v>
      </c>
      <c r="O2113" t="s">
        <v>29</v>
      </c>
      <c r="P2113" t="s">
        <v>29</v>
      </c>
      <c r="Q2113" s="4">
        <v>304124</v>
      </c>
      <c r="R2113" s="4">
        <v>196579</v>
      </c>
      <c r="S2113" s="4">
        <f>Table1[[#This Row],[Service_Revenue]]-Table1[[#This Row],[Service_Cost]]</f>
        <v>107545</v>
      </c>
      <c r="T2113" s="4">
        <v>4</v>
      </c>
      <c r="U2113" s="4">
        <f>IF(AND(Table1[[#This Row],[Rework_Flag]]="Yes",Table1[[#This Row],[Warranty_Claim]]="No"),Table1[[#This Row],[Service_Revenue]],0)</f>
        <v>0</v>
      </c>
      <c r="V2113" s="4">
        <f>IF(Table1[[#This Row],[Warranty_Claim]]="Yes",1,0)</f>
        <v>1</v>
      </c>
      <c r="W2113" s="4">
        <f>IF(Table1[[#This Row],[Rework_Flag]]="No",1,0)</f>
        <v>0</v>
      </c>
      <c r="X2113" s="4">
        <f>IF(Table1[[#This Row],[Rework_Flag]]="Yes",1,0)</f>
        <v>1</v>
      </c>
      <c r="Y2113" s="4">
        <v>1</v>
      </c>
      <c r="Z2113" s="4" t="str">
        <f>IF(Table1[[#This Row],[TAT_Days]]&gt;Table1[[#This Row],[SLA_TAT]],"Yes","No")</f>
        <v>No</v>
      </c>
      <c r="AA2113" s="4" t="str" cm="1">
        <f t="array" ref="AA2113">_xlfn.IFS(Table1[[#This Row],[Customer_Satisfaction]]&lt;=2,"Poor",Table1[[#This Row],[Customer_Satisfaction]]=3,"Neutral",Table1[[#This Row],[Customer_Satisfaction]]=4,"Good",Table1[[#This Row],[Customer_Satisfaction]]=5,"Good")</f>
        <v>Good</v>
      </c>
    </row>
    <row r="2114" spans="1:27" x14ac:dyDescent="0.35">
      <c r="A2114">
        <v>22112</v>
      </c>
      <c r="B2114" s="1">
        <v>45376</v>
      </c>
      <c r="C2114" t="s">
        <v>19</v>
      </c>
      <c r="D2114" t="s">
        <v>45</v>
      </c>
      <c r="E2114" t="s">
        <v>99</v>
      </c>
      <c r="F2114" t="s">
        <v>22</v>
      </c>
      <c r="G2114" t="s">
        <v>74</v>
      </c>
      <c r="H2114" t="s">
        <v>34</v>
      </c>
      <c r="I2114" t="s">
        <v>55</v>
      </c>
      <c r="J2114" t="s">
        <v>26</v>
      </c>
      <c r="K2114" t="s">
        <v>44</v>
      </c>
      <c r="L2114" t="s">
        <v>49</v>
      </c>
      <c r="M2114" s="4">
        <v>22</v>
      </c>
      <c r="N2114" s="4">
        <v>7</v>
      </c>
      <c r="O2114" t="s">
        <v>29</v>
      </c>
      <c r="P2114" t="s">
        <v>29</v>
      </c>
      <c r="Q2114" s="4">
        <v>289312</v>
      </c>
      <c r="R2114" s="4">
        <v>177125</v>
      </c>
      <c r="S2114" s="4">
        <f>Table1[[#This Row],[Service_Revenue]]-Table1[[#This Row],[Service_Cost]]</f>
        <v>112187</v>
      </c>
      <c r="T2114" s="4">
        <v>1</v>
      </c>
      <c r="U2114" s="4">
        <f>IF(AND(Table1[[#This Row],[Rework_Flag]]="Yes",Table1[[#This Row],[Warranty_Claim]]="No"),Table1[[#This Row],[Service_Revenue]],0)</f>
        <v>0</v>
      </c>
      <c r="V2114" s="4">
        <f>IF(Table1[[#This Row],[Warranty_Claim]]="Yes",1,0)</f>
        <v>1</v>
      </c>
      <c r="W2114" s="4">
        <f>IF(Table1[[#This Row],[Rework_Flag]]="No",1,0)</f>
        <v>0</v>
      </c>
      <c r="X2114" s="4">
        <f>IF(Table1[[#This Row],[Rework_Flag]]="Yes",1,0)</f>
        <v>1</v>
      </c>
      <c r="Y2114" s="4">
        <v>1</v>
      </c>
      <c r="Z2114" s="4" t="str">
        <f>IF(Table1[[#This Row],[TAT_Days]]&gt;Table1[[#This Row],[SLA_TAT]],"Yes","No")</f>
        <v>Yes</v>
      </c>
      <c r="AA2114" s="4" t="str" cm="1">
        <f t="array" ref="AA2114">_xlfn.IFS(Table1[[#This Row],[Customer_Satisfaction]]&lt;=2,"Poor",Table1[[#This Row],[Customer_Satisfaction]]=3,"Neutral",Table1[[#This Row],[Customer_Satisfaction]]=4,"Good",Table1[[#This Row],[Customer_Satisfaction]]=5,"Good")</f>
        <v>Poor</v>
      </c>
    </row>
    <row r="2115" spans="1:27" x14ac:dyDescent="0.35">
      <c r="A2115">
        <v>22113</v>
      </c>
      <c r="B2115" s="1">
        <v>45394</v>
      </c>
      <c r="C2115" t="s">
        <v>37</v>
      </c>
      <c r="D2115" t="s">
        <v>70</v>
      </c>
      <c r="E2115" t="s">
        <v>82</v>
      </c>
      <c r="F2115" t="s">
        <v>53</v>
      </c>
      <c r="G2115" t="s">
        <v>74</v>
      </c>
      <c r="H2115" t="s">
        <v>34</v>
      </c>
      <c r="I2115" t="s">
        <v>55</v>
      </c>
      <c r="J2115" t="s">
        <v>67</v>
      </c>
      <c r="K2115" t="s">
        <v>27</v>
      </c>
      <c r="L2115" t="s">
        <v>28</v>
      </c>
      <c r="M2115" s="4">
        <v>25</v>
      </c>
      <c r="N2115" s="4">
        <v>7</v>
      </c>
      <c r="O2115" t="s">
        <v>29</v>
      </c>
      <c r="P2115" t="s">
        <v>36</v>
      </c>
      <c r="Q2115" s="4">
        <v>135363</v>
      </c>
      <c r="R2115" s="4">
        <v>85874</v>
      </c>
      <c r="S2115" s="4">
        <f>Table1[[#This Row],[Service_Revenue]]-Table1[[#This Row],[Service_Cost]]</f>
        <v>49489</v>
      </c>
      <c r="T2115" s="4">
        <v>1</v>
      </c>
      <c r="U2115" s="4">
        <f>IF(AND(Table1[[#This Row],[Rework_Flag]]="Yes",Table1[[#This Row],[Warranty_Claim]]="No"),Table1[[#This Row],[Service_Revenue]],0)</f>
        <v>135363</v>
      </c>
      <c r="V2115" s="4">
        <f>IF(Table1[[#This Row],[Warranty_Claim]]="Yes",1,0)</f>
        <v>0</v>
      </c>
      <c r="W2115" s="4">
        <f>IF(Table1[[#This Row],[Rework_Flag]]="No",1,0)</f>
        <v>0</v>
      </c>
      <c r="X2115" s="4">
        <f>IF(Table1[[#This Row],[Rework_Flag]]="Yes",1,0)</f>
        <v>1</v>
      </c>
      <c r="Y2115" s="4">
        <v>1</v>
      </c>
      <c r="Z2115" s="4" t="str">
        <f>IF(Table1[[#This Row],[TAT_Days]]&gt;Table1[[#This Row],[SLA_TAT]],"Yes","No")</f>
        <v>Yes</v>
      </c>
      <c r="AA2115" s="4" t="str" cm="1">
        <f t="array" ref="AA2115">_xlfn.IFS(Table1[[#This Row],[Customer_Satisfaction]]&lt;=2,"Poor",Table1[[#This Row],[Customer_Satisfaction]]=3,"Neutral",Table1[[#This Row],[Customer_Satisfaction]]=4,"Good",Table1[[#This Row],[Customer_Satisfaction]]=5,"Good")</f>
        <v>Poor</v>
      </c>
    </row>
    <row r="2116" spans="1:27" x14ac:dyDescent="0.35">
      <c r="A2116">
        <v>22114</v>
      </c>
      <c r="B2116" s="1">
        <v>45430</v>
      </c>
      <c r="C2116" t="s">
        <v>30</v>
      </c>
      <c r="D2116" t="s">
        <v>59</v>
      </c>
      <c r="E2116" t="s">
        <v>66</v>
      </c>
      <c r="F2116" t="s">
        <v>53</v>
      </c>
      <c r="G2116" t="s">
        <v>74</v>
      </c>
      <c r="H2116" t="s">
        <v>34</v>
      </c>
      <c r="I2116" t="s">
        <v>55</v>
      </c>
      <c r="J2116" t="s">
        <v>35</v>
      </c>
      <c r="K2116" t="s">
        <v>61</v>
      </c>
      <c r="L2116" t="s">
        <v>49</v>
      </c>
      <c r="M2116" s="4">
        <v>19</v>
      </c>
      <c r="N2116" s="4">
        <v>7</v>
      </c>
      <c r="O2116" t="s">
        <v>36</v>
      </c>
      <c r="P2116" t="s">
        <v>29</v>
      </c>
      <c r="Q2116" s="4">
        <v>525617</v>
      </c>
      <c r="R2116" s="4">
        <v>429142</v>
      </c>
      <c r="S2116" s="4">
        <f>Table1[[#This Row],[Service_Revenue]]-Table1[[#This Row],[Service_Cost]]</f>
        <v>96475</v>
      </c>
      <c r="T2116" s="4">
        <v>2</v>
      </c>
      <c r="U2116" s="4">
        <f>IF(AND(Table1[[#This Row],[Rework_Flag]]="Yes",Table1[[#This Row],[Warranty_Claim]]="No"),Table1[[#This Row],[Service_Revenue]],0)</f>
        <v>0</v>
      </c>
      <c r="V2116" s="4">
        <f>IF(Table1[[#This Row],[Warranty_Claim]]="Yes",1,0)</f>
        <v>1</v>
      </c>
      <c r="W2116" s="4">
        <f>IF(Table1[[#This Row],[Rework_Flag]]="No",1,0)</f>
        <v>1</v>
      </c>
      <c r="X2116" s="4">
        <f>IF(Table1[[#This Row],[Rework_Flag]]="Yes",1,0)</f>
        <v>0</v>
      </c>
      <c r="Y2116" s="4">
        <v>1</v>
      </c>
      <c r="Z2116" s="4" t="str">
        <f>IF(Table1[[#This Row],[TAT_Days]]&gt;Table1[[#This Row],[SLA_TAT]],"Yes","No")</f>
        <v>Yes</v>
      </c>
      <c r="AA2116" s="4" t="str" cm="1">
        <f t="array" ref="AA2116">_xlfn.IFS(Table1[[#This Row],[Customer_Satisfaction]]&lt;=2,"Poor",Table1[[#This Row],[Customer_Satisfaction]]=3,"Neutral",Table1[[#This Row],[Customer_Satisfaction]]=4,"Good",Table1[[#This Row],[Customer_Satisfaction]]=5,"Good")</f>
        <v>Poor</v>
      </c>
    </row>
    <row r="2117" spans="1:27" x14ac:dyDescent="0.35">
      <c r="A2117">
        <v>22115</v>
      </c>
      <c r="B2117" s="1">
        <v>45299</v>
      </c>
      <c r="C2117" t="s">
        <v>19</v>
      </c>
      <c r="D2117" t="s">
        <v>20</v>
      </c>
      <c r="E2117" t="s">
        <v>110</v>
      </c>
      <c r="F2117" t="s">
        <v>22</v>
      </c>
      <c r="G2117" t="s">
        <v>33</v>
      </c>
      <c r="H2117" t="s">
        <v>34</v>
      </c>
      <c r="I2117" t="s">
        <v>55</v>
      </c>
      <c r="J2117" t="s">
        <v>43</v>
      </c>
      <c r="K2117" t="s">
        <v>27</v>
      </c>
      <c r="L2117" t="s">
        <v>28</v>
      </c>
      <c r="M2117" s="4">
        <v>12</v>
      </c>
      <c r="N2117" s="4">
        <v>7</v>
      </c>
      <c r="O2117" t="s">
        <v>29</v>
      </c>
      <c r="P2117" t="s">
        <v>29</v>
      </c>
      <c r="Q2117" s="4">
        <v>133384</v>
      </c>
      <c r="R2117" s="4">
        <v>89781</v>
      </c>
      <c r="S2117" s="4">
        <f>Table1[[#This Row],[Service_Revenue]]-Table1[[#This Row],[Service_Cost]]</f>
        <v>43603</v>
      </c>
      <c r="T2117" s="4">
        <v>2</v>
      </c>
      <c r="U2117" s="4">
        <f>IF(AND(Table1[[#This Row],[Rework_Flag]]="Yes",Table1[[#This Row],[Warranty_Claim]]="No"),Table1[[#This Row],[Service_Revenue]],0)</f>
        <v>0</v>
      </c>
      <c r="V2117" s="4">
        <f>IF(Table1[[#This Row],[Warranty_Claim]]="Yes",1,0)</f>
        <v>1</v>
      </c>
      <c r="W2117" s="4">
        <f>IF(Table1[[#This Row],[Rework_Flag]]="No",1,0)</f>
        <v>0</v>
      </c>
      <c r="X2117" s="4">
        <f>IF(Table1[[#This Row],[Rework_Flag]]="Yes",1,0)</f>
        <v>1</v>
      </c>
      <c r="Y2117" s="4">
        <v>1</v>
      </c>
      <c r="Z2117" s="4" t="str">
        <f>IF(Table1[[#This Row],[TAT_Days]]&gt;Table1[[#This Row],[SLA_TAT]],"Yes","No")</f>
        <v>Yes</v>
      </c>
      <c r="AA2117" s="4" t="str" cm="1">
        <f t="array" ref="AA2117">_xlfn.IFS(Table1[[#This Row],[Customer_Satisfaction]]&lt;=2,"Poor",Table1[[#This Row],[Customer_Satisfaction]]=3,"Neutral",Table1[[#This Row],[Customer_Satisfaction]]=4,"Good",Table1[[#This Row],[Customer_Satisfaction]]=5,"Good")</f>
        <v>Poor</v>
      </c>
    </row>
    <row r="2118" spans="1:27" x14ac:dyDescent="0.35">
      <c r="A2118">
        <v>22116</v>
      </c>
      <c r="B2118" s="1">
        <v>45371</v>
      </c>
      <c r="C2118" t="s">
        <v>19</v>
      </c>
      <c r="D2118" t="s">
        <v>96</v>
      </c>
      <c r="E2118" t="s">
        <v>97</v>
      </c>
      <c r="F2118" t="s">
        <v>22</v>
      </c>
      <c r="G2118" t="s">
        <v>33</v>
      </c>
      <c r="H2118" t="s">
        <v>34</v>
      </c>
      <c r="I2118" t="s">
        <v>55</v>
      </c>
      <c r="J2118" t="s">
        <v>26</v>
      </c>
      <c r="K2118" t="s">
        <v>61</v>
      </c>
      <c r="L2118" t="s">
        <v>28</v>
      </c>
      <c r="M2118" s="4">
        <v>16</v>
      </c>
      <c r="N2118" s="4">
        <v>7</v>
      </c>
      <c r="O2118" t="s">
        <v>29</v>
      </c>
      <c r="P2118" t="s">
        <v>29</v>
      </c>
      <c r="Q2118" s="4">
        <v>300336</v>
      </c>
      <c r="R2118" s="4">
        <v>240148</v>
      </c>
      <c r="S2118" s="4">
        <f>Table1[[#This Row],[Service_Revenue]]-Table1[[#This Row],[Service_Cost]]</f>
        <v>60188</v>
      </c>
      <c r="T2118" s="4">
        <v>1</v>
      </c>
      <c r="U2118" s="4">
        <f>IF(AND(Table1[[#This Row],[Rework_Flag]]="Yes",Table1[[#This Row],[Warranty_Claim]]="No"),Table1[[#This Row],[Service_Revenue]],0)</f>
        <v>0</v>
      </c>
      <c r="V2118" s="4">
        <f>IF(Table1[[#This Row],[Warranty_Claim]]="Yes",1,0)</f>
        <v>1</v>
      </c>
      <c r="W2118" s="4">
        <f>IF(Table1[[#This Row],[Rework_Flag]]="No",1,0)</f>
        <v>0</v>
      </c>
      <c r="X2118" s="4">
        <f>IF(Table1[[#This Row],[Rework_Flag]]="Yes",1,0)</f>
        <v>1</v>
      </c>
      <c r="Y2118" s="4">
        <v>1</v>
      </c>
      <c r="Z2118" s="4" t="str">
        <f>IF(Table1[[#This Row],[TAT_Days]]&gt;Table1[[#This Row],[SLA_TAT]],"Yes","No")</f>
        <v>Yes</v>
      </c>
      <c r="AA2118" s="4" t="str" cm="1">
        <f t="array" ref="AA2118">_xlfn.IFS(Table1[[#This Row],[Customer_Satisfaction]]&lt;=2,"Poor",Table1[[#This Row],[Customer_Satisfaction]]=3,"Neutral",Table1[[#This Row],[Customer_Satisfaction]]=4,"Good",Table1[[#This Row],[Customer_Satisfaction]]=5,"Good")</f>
        <v>Poor</v>
      </c>
    </row>
    <row r="2119" spans="1:27" x14ac:dyDescent="0.35">
      <c r="A2119">
        <v>22117</v>
      </c>
      <c r="B2119" s="1">
        <v>45396</v>
      </c>
      <c r="C2119" t="s">
        <v>30</v>
      </c>
      <c r="D2119" t="s">
        <v>31</v>
      </c>
      <c r="E2119" t="s">
        <v>32</v>
      </c>
      <c r="F2119" t="s">
        <v>22</v>
      </c>
      <c r="G2119" t="s">
        <v>33</v>
      </c>
      <c r="H2119" t="s">
        <v>34</v>
      </c>
      <c r="I2119" t="s">
        <v>25</v>
      </c>
      <c r="J2119" t="s">
        <v>67</v>
      </c>
      <c r="K2119" t="s">
        <v>61</v>
      </c>
      <c r="L2119" t="s">
        <v>49</v>
      </c>
      <c r="M2119" s="4">
        <v>8</v>
      </c>
      <c r="N2119" s="4">
        <v>7</v>
      </c>
      <c r="O2119" t="s">
        <v>36</v>
      </c>
      <c r="P2119" t="s">
        <v>29</v>
      </c>
      <c r="Q2119" s="4">
        <v>421838</v>
      </c>
      <c r="R2119" s="4">
        <v>298164</v>
      </c>
      <c r="S2119" s="4">
        <f>Table1[[#This Row],[Service_Revenue]]-Table1[[#This Row],[Service_Cost]]</f>
        <v>123674</v>
      </c>
      <c r="T2119" s="4">
        <v>4</v>
      </c>
      <c r="U2119" s="4">
        <f>IF(AND(Table1[[#This Row],[Rework_Flag]]="Yes",Table1[[#This Row],[Warranty_Claim]]="No"),Table1[[#This Row],[Service_Revenue]],0)</f>
        <v>0</v>
      </c>
      <c r="V2119" s="4">
        <f>IF(Table1[[#This Row],[Warranty_Claim]]="Yes",1,0)</f>
        <v>1</v>
      </c>
      <c r="W2119" s="4">
        <f>IF(Table1[[#This Row],[Rework_Flag]]="No",1,0)</f>
        <v>1</v>
      </c>
      <c r="X2119" s="4">
        <f>IF(Table1[[#This Row],[Rework_Flag]]="Yes",1,0)</f>
        <v>0</v>
      </c>
      <c r="Y2119" s="4">
        <v>1</v>
      </c>
      <c r="Z2119" s="4" t="str">
        <f>IF(Table1[[#This Row],[TAT_Days]]&gt;Table1[[#This Row],[SLA_TAT]],"Yes","No")</f>
        <v>Yes</v>
      </c>
      <c r="AA2119" s="4" t="str" cm="1">
        <f t="array" ref="AA2119">_xlfn.IFS(Table1[[#This Row],[Customer_Satisfaction]]&lt;=2,"Poor",Table1[[#This Row],[Customer_Satisfaction]]=3,"Neutral",Table1[[#This Row],[Customer_Satisfaction]]=4,"Good",Table1[[#This Row],[Customer_Satisfaction]]=5,"Good")</f>
        <v>Good</v>
      </c>
    </row>
    <row r="2120" spans="1:27" x14ac:dyDescent="0.35">
      <c r="A2120">
        <v>22118</v>
      </c>
      <c r="B2120" s="1">
        <v>45370</v>
      </c>
      <c r="C2120" t="s">
        <v>50</v>
      </c>
      <c r="D2120" t="s">
        <v>56</v>
      </c>
      <c r="E2120" t="s">
        <v>68</v>
      </c>
      <c r="F2120" t="s">
        <v>53</v>
      </c>
      <c r="G2120" t="s">
        <v>54</v>
      </c>
      <c r="H2120" t="s">
        <v>42</v>
      </c>
      <c r="I2120" t="s">
        <v>25</v>
      </c>
      <c r="J2120" t="s">
        <v>35</v>
      </c>
      <c r="K2120" t="s">
        <v>61</v>
      </c>
      <c r="L2120" t="s">
        <v>49</v>
      </c>
      <c r="M2120" s="4">
        <v>24</v>
      </c>
      <c r="N2120" s="4">
        <v>7</v>
      </c>
      <c r="O2120" t="s">
        <v>36</v>
      </c>
      <c r="P2120" t="s">
        <v>36</v>
      </c>
      <c r="Q2120" s="4">
        <v>414628</v>
      </c>
      <c r="R2120" s="4">
        <v>223599</v>
      </c>
      <c r="S2120" s="4">
        <f>Table1[[#This Row],[Service_Revenue]]-Table1[[#This Row],[Service_Cost]]</f>
        <v>191029</v>
      </c>
      <c r="T2120" s="4">
        <v>1</v>
      </c>
      <c r="U2120" s="4">
        <f>IF(AND(Table1[[#This Row],[Rework_Flag]]="Yes",Table1[[#This Row],[Warranty_Claim]]="No"),Table1[[#This Row],[Service_Revenue]],0)</f>
        <v>0</v>
      </c>
      <c r="V2120" s="4">
        <f>IF(Table1[[#This Row],[Warranty_Claim]]="Yes",1,0)</f>
        <v>0</v>
      </c>
      <c r="W2120" s="4">
        <f>IF(Table1[[#This Row],[Rework_Flag]]="No",1,0)</f>
        <v>1</v>
      </c>
      <c r="X2120" s="4">
        <f>IF(Table1[[#This Row],[Rework_Flag]]="Yes",1,0)</f>
        <v>0</v>
      </c>
      <c r="Y2120" s="4">
        <v>1</v>
      </c>
      <c r="Z2120" s="4" t="str">
        <f>IF(Table1[[#This Row],[TAT_Days]]&gt;Table1[[#This Row],[SLA_TAT]],"Yes","No")</f>
        <v>Yes</v>
      </c>
      <c r="AA2120" s="4" t="str" cm="1">
        <f t="array" ref="AA2120">_xlfn.IFS(Table1[[#This Row],[Customer_Satisfaction]]&lt;=2,"Poor",Table1[[#This Row],[Customer_Satisfaction]]=3,"Neutral",Table1[[#This Row],[Customer_Satisfaction]]=4,"Good",Table1[[#This Row],[Customer_Satisfaction]]=5,"Good")</f>
        <v>Poor</v>
      </c>
    </row>
    <row r="2121" spans="1:27" x14ac:dyDescent="0.35">
      <c r="A2121">
        <v>22119</v>
      </c>
      <c r="B2121" s="1">
        <v>45442</v>
      </c>
      <c r="C2121" t="s">
        <v>30</v>
      </c>
      <c r="D2121" t="s">
        <v>83</v>
      </c>
      <c r="E2121" t="s">
        <v>84</v>
      </c>
      <c r="F2121" t="s">
        <v>40</v>
      </c>
      <c r="G2121" t="s">
        <v>74</v>
      </c>
      <c r="H2121" t="s">
        <v>34</v>
      </c>
      <c r="I2121" t="s">
        <v>25</v>
      </c>
      <c r="J2121" t="s">
        <v>67</v>
      </c>
      <c r="K2121" t="s">
        <v>27</v>
      </c>
      <c r="L2121" t="s">
        <v>28</v>
      </c>
      <c r="M2121" s="4">
        <v>21</v>
      </c>
      <c r="N2121" s="4">
        <v>7</v>
      </c>
      <c r="O2121" t="s">
        <v>29</v>
      </c>
      <c r="P2121" t="s">
        <v>36</v>
      </c>
      <c r="Q2121" s="4">
        <v>179436</v>
      </c>
      <c r="R2121" s="4">
        <v>94986</v>
      </c>
      <c r="S2121" s="4">
        <f>Table1[[#This Row],[Service_Revenue]]-Table1[[#This Row],[Service_Cost]]</f>
        <v>84450</v>
      </c>
      <c r="T2121" s="4">
        <v>1</v>
      </c>
      <c r="U2121" s="4">
        <f>IF(AND(Table1[[#This Row],[Rework_Flag]]="Yes",Table1[[#This Row],[Warranty_Claim]]="No"),Table1[[#This Row],[Service_Revenue]],0)</f>
        <v>179436</v>
      </c>
      <c r="V2121" s="4">
        <f>IF(Table1[[#This Row],[Warranty_Claim]]="Yes",1,0)</f>
        <v>0</v>
      </c>
      <c r="W2121" s="4">
        <f>IF(Table1[[#This Row],[Rework_Flag]]="No",1,0)</f>
        <v>0</v>
      </c>
      <c r="X2121" s="4">
        <f>IF(Table1[[#This Row],[Rework_Flag]]="Yes",1,0)</f>
        <v>1</v>
      </c>
      <c r="Y2121" s="4">
        <v>1</v>
      </c>
      <c r="Z2121" s="4" t="str">
        <f>IF(Table1[[#This Row],[TAT_Days]]&gt;Table1[[#This Row],[SLA_TAT]],"Yes","No")</f>
        <v>Yes</v>
      </c>
      <c r="AA2121" s="4" t="str" cm="1">
        <f t="array" ref="AA2121">_xlfn.IFS(Table1[[#This Row],[Customer_Satisfaction]]&lt;=2,"Poor",Table1[[#This Row],[Customer_Satisfaction]]=3,"Neutral",Table1[[#This Row],[Customer_Satisfaction]]=4,"Good",Table1[[#This Row],[Customer_Satisfaction]]=5,"Good")</f>
        <v>Poor</v>
      </c>
    </row>
    <row r="2122" spans="1:27" x14ac:dyDescent="0.35">
      <c r="A2122">
        <v>22120</v>
      </c>
      <c r="B2122" s="1">
        <v>45369</v>
      </c>
      <c r="C2122" t="s">
        <v>37</v>
      </c>
      <c r="D2122" t="s">
        <v>38</v>
      </c>
      <c r="E2122" t="s">
        <v>107</v>
      </c>
      <c r="F2122" t="s">
        <v>22</v>
      </c>
      <c r="G2122" t="s">
        <v>41</v>
      </c>
      <c r="H2122" t="s">
        <v>42</v>
      </c>
      <c r="I2122" t="s">
        <v>55</v>
      </c>
      <c r="J2122" t="s">
        <v>67</v>
      </c>
      <c r="K2122" t="s">
        <v>61</v>
      </c>
      <c r="L2122" t="s">
        <v>28</v>
      </c>
      <c r="M2122" s="4">
        <v>3</v>
      </c>
      <c r="N2122" s="4">
        <v>7</v>
      </c>
      <c r="O2122" t="s">
        <v>36</v>
      </c>
      <c r="P2122" t="s">
        <v>36</v>
      </c>
      <c r="Q2122" s="4">
        <v>97053</v>
      </c>
      <c r="R2122" s="4">
        <v>75620</v>
      </c>
      <c r="S2122" s="4">
        <f>Table1[[#This Row],[Service_Revenue]]-Table1[[#This Row],[Service_Cost]]</f>
        <v>21433</v>
      </c>
      <c r="T2122" s="4">
        <v>5</v>
      </c>
      <c r="U2122" s="4">
        <f>IF(AND(Table1[[#This Row],[Rework_Flag]]="Yes",Table1[[#This Row],[Warranty_Claim]]="No"),Table1[[#This Row],[Service_Revenue]],0)</f>
        <v>0</v>
      </c>
      <c r="V2122" s="4">
        <f>IF(Table1[[#This Row],[Warranty_Claim]]="Yes",1,0)</f>
        <v>0</v>
      </c>
      <c r="W2122" s="4">
        <f>IF(Table1[[#This Row],[Rework_Flag]]="No",1,0)</f>
        <v>1</v>
      </c>
      <c r="X2122" s="4">
        <f>IF(Table1[[#This Row],[Rework_Flag]]="Yes",1,0)</f>
        <v>0</v>
      </c>
      <c r="Y2122" s="4">
        <v>1</v>
      </c>
      <c r="Z2122" s="4" t="str">
        <f>IF(Table1[[#This Row],[TAT_Days]]&gt;Table1[[#This Row],[SLA_TAT]],"Yes","No")</f>
        <v>No</v>
      </c>
      <c r="AA2122" s="4" t="str" cm="1">
        <f t="array" ref="AA2122">_xlfn.IFS(Table1[[#This Row],[Customer_Satisfaction]]&lt;=2,"Poor",Table1[[#This Row],[Customer_Satisfaction]]=3,"Neutral",Table1[[#This Row],[Customer_Satisfaction]]=4,"Good",Table1[[#This Row],[Customer_Satisfaction]]=5,"Good")</f>
        <v>Good</v>
      </c>
    </row>
    <row r="2123" spans="1:27" x14ac:dyDescent="0.35">
      <c r="A2123">
        <v>22121</v>
      </c>
      <c r="B2123" s="1">
        <v>45452</v>
      </c>
      <c r="C2123" t="s">
        <v>30</v>
      </c>
      <c r="D2123" t="s">
        <v>59</v>
      </c>
      <c r="E2123" t="s">
        <v>60</v>
      </c>
      <c r="F2123" t="s">
        <v>53</v>
      </c>
      <c r="G2123" t="s">
        <v>54</v>
      </c>
      <c r="H2123" t="s">
        <v>42</v>
      </c>
      <c r="I2123" t="s">
        <v>55</v>
      </c>
      <c r="J2123" t="s">
        <v>67</v>
      </c>
      <c r="K2123" t="s">
        <v>27</v>
      </c>
      <c r="L2123" t="s">
        <v>28</v>
      </c>
      <c r="M2123" s="4">
        <v>18</v>
      </c>
      <c r="N2123" s="4">
        <v>7</v>
      </c>
      <c r="O2123" t="s">
        <v>29</v>
      </c>
      <c r="P2123" t="s">
        <v>36</v>
      </c>
      <c r="Q2123" s="4">
        <v>357014</v>
      </c>
      <c r="R2123" s="4">
        <v>282664</v>
      </c>
      <c r="S2123" s="4">
        <f>Table1[[#This Row],[Service_Revenue]]-Table1[[#This Row],[Service_Cost]]</f>
        <v>74350</v>
      </c>
      <c r="T2123" s="4">
        <v>1</v>
      </c>
      <c r="U2123" s="4">
        <f>IF(AND(Table1[[#This Row],[Rework_Flag]]="Yes",Table1[[#This Row],[Warranty_Claim]]="No"),Table1[[#This Row],[Service_Revenue]],0)</f>
        <v>357014</v>
      </c>
      <c r="V2123" s="4">
        <f>IF(Table1[[#This Row],[Warranty_Claim]]="Yes",1,0)</f>
        <v>0</v>
      </c>
      <c r="W2123" s="4">
        <f>IF(Table1[[#This Row],[Rework_Flag]]="No",1,0)</f>
        <v>0</v>
      </c>
      <c r="X2123" s="4">
        <f>IF(Table1[[#This Row],[Rework_Flag]]="Yes",1,0)</f>
        <v>1</v>
      </c>
      <c r="Y2123" s="4">
        <v>1</v>
      </c>
      <c r="Z2123" s="4" t="str">
        <f>IF(Table1[[#This Row],[TAT_Days]]&gt;Table1[[#This Row],[SLA_TAT]],"Yes","No")</f>
        <v>Yes</v>
      </c>
      <c r="AA2123" s="4" t="str" cm="1">
        <f t="array" ref="AA2123">_xlfn.IFS(Table1[[#This Row],[Customer_Satisfaction]]&lt;=2,"Poor",Table1[[#This Row],[Customer_Satisfaction]]=3,"Neutral",Table1[[#This Row],[Customer_Satisfaction]]=4,"Good",Table1[[#This Row],[Customer_Satisfaction]]=5,"Good")</f>
        <v>Poor</v>
      </c>
    </row>
    <row r="2124" spans="1:27" x14ac:dyDescent="0.35">
      <c r="A2124">
        <v>22122</v>
      </c>
      <c r="B2124" s="1">
        <v>45372</v>
      </c>
      <c r="C2124" t="s">
        <v>37</v>
      </c>
      <c r="D2124" t="s">
        <v>70</v>
      </c>
      <c r="E2124" t="s">
        <v>100</v>
      </c>
      <c r="F2124" t="s">
        <v>53</v>
      </c>
      <c r="G2124" t="s">
        <v>33</v>
      </c>
      <c r="H2124" t="s">
        <v>34</v>
      </c>
      <c r="I2124" t="s">
        <v>55</v>
      </c>
      <c r="J2124" t="s">
        <v>67</v>
      </c>
      <c r="K2124" t="s">
        <v>61</v>
      </c>
      <c r="L2124" t="s">
        <v>49</v>
      </c>
      <c r="M2124" s="4">
        <v>20</v>
      </c>
      <c r="N2124" s="4">
        <v>7</v>
      </c>
      <c r="O2124" t="s">
        <v>36</v>
      </c>
      <c r="P2124" t="s">
        <v>29</v>
      </c>
      <c r="Q2124" s="4">
        <v>494441</v>
      </c>
      <c r="R2124" s="4">
        <v>371361</v>
      </c>
      <c r="S2124" s="4">
        <f>Table1[[#This Row],[Service_Revenue]]-Table1[[#This Row],[Service_Cost]]</f>
        <v>123080</v>
      </c>
      <c r="T2124" s="4">
        <v>1</v>
      </c>
      <c r="U2124" s="4">
        <f>IF(AND(Table1[[#This Row],[Rework_Flag]]="Yes",Table1[[#This Row],[Warranty_Claim]]="No"),Table1[[#This Row],[Service_Revenue]],0)</f>
        <v>0</v>
      </c>
      <c r="V2124" s="4">
        <f>IF(Table1[[#This Row],[Warranty_Claim]]="Yes",1,0)</f>
        <v>1</v>
      </c>
      <c r="W2124" s="4">
        <f>IF(Table1[[#This Row],[Rework_Flag]]="No",1,0)</f>
        <v>1</v>
      </c>
      <c r="X2124" s="4">
        <f>IF(Table1[[#This Row],[Rework_Flag]]="Yes",1,0)</f>
        <v>0</v>
      </c>
      <c r="Y2124" s="4">
        <v>1</v>
      </c>
      <c r="Z2124" s="4" t="str">
        <f>IF(Table1[[#This Row],[TAT_Days]]&gt;Table1[[#This Row],[SLA_TAT]],"Yes","No")</f>
        <v>Yes</v>
      </c>
      <c r="AA2124" s="4" t="str" cm="1">
        <f t="array" ref="AA2124">_xlfn.IFS(Table1[[#This Row],[Customer_Satisfaction]]&lt;=2,"Poor",Table1[[#This Row],[Customer_Satisfaction]]=3,"Neutral",Table1[[#This Row],[Customer_Satisfaction]]=4,"Good",Table1[[#This Row],[Customer_Satisfaction]]=5,"Good")</f>
        <v>Poor</v>
      </c>
    </row>
    <row r="2125" spans="1:27" x14ac:dyDescent="0.35">
      <c r="A2125">
        <v>22123</v>
      </c>
      <c r="B2125" s="1">
        <v>45467</v>
      </c>
      <c r="C2125" t="s">
        <v>37</v>
      </c>
      <c r="D2125" t="s">
        <v>64</v>
      </c>
      <c r="E2125" t="s">
        <v>103</v>
      </c>
      <c r="F2125" t="s">
        <v>22</v>
      </c>
      <c r="G2125" t="s">
        <v>23</v>
      </c>
      <c r="H2125" t="s">
        <v>24</v>
      </c>
      <c r="I2125" t="s">
        <v>55</v>
      </c>
      <c r="J2125" t="s">
        <v>58</v>
      </c>
      <c r="K2125" t="s">
        <v>27</v>
      </c>
      <c r="L2125" t="s">
        <v>28</v>
      </c>
      <c r="M2125" s="4">
        <v>16</v>
      </c>
      <c r="N2125" s="4">
        <v>7</v>
      </c>
      <c r="O2125" t="s">
        <v>29</v>
      </c>
      <c r="P2125" t="s">
        <v>36</v>
      </c>
      <c r="Q2125" s="4">
        <v>285304</v>
      </c>
      <c r="R2125" s="4">
        <v>238990</v>
      </c>
      <c r="S2125" s="4">
        <f>Table1[[#This Row],[Service_Revenue]]-Table1[[#This Row],[Service_Cost]]</f>
        <v>46314</v>
      </c>
      <c r="T2125" s="4">
        <v>1</v>
      </c>
      <c r="U2125" s="4">
        <f>IF(AND(Table1[[#This Row],[Rework_Flag]]="Yes",Table1[[#This Row],[Warranty_Claim]]="No"),Table1[[#This Row],[Service_Revenue]],0)</f>
        <v>285304</v>
      </c>
      <c r="V2125" s="4">
        <f>IF(Table1[[#This Row],[Warranty_Claim]]="Yes",1,0)</f>
        <v>0</v>
      </c>
      <c r="W2125" s="4">
        <f>IF(Table1[[#This Row],[Rework_Flag]]="No",1,0)</f>
        <v>0</v>
      </c>
      <c r="X2125" s="4">
        <f>IF(Table1[[#This Row],[Rework_Flag]]="Yes",1,0)</f>
        <v>1</v>
      </c>
      <c r="Y2125" s="4">
        <v>1</v>
      </c>
      <c r="Z2125" s="4" t="str">
        <f>IF(Table1[[#This Row],[TAT_Days]]&gt;Table1[[#This Row],[SLA_TAT]],"Yes","No")</f>
        <v>Yes</v>
      </c>
      <c r="AA2125" s="4" t="str" cm="1">
        <f t="array" ref="AA2125">_xlfn.IFS(Table1[[#This Row],[Customer_Satisfaction]]&lt;=2,"Poor",Table1[[#This Row],[Customer_Satisfaction]]=3,"Neutral",Table1[[#This Row],[Customer_Satisfaction]]=4,"Good",Table1[[#This Row],[Customer_Satisfaction]]=5,"Good")</f>
        <v>Poor</v>
      </c>
    </row>
    <row r="2126" spans="1:27" x14ac:dyDescent="0.35">
      <c r="A2126">
        <v>22124</v>
      </c>
      <c r="B2126" s="1">
        <v>45391</v>
      </c>
      <c r="C2126" t="s">
        <v>37</v>
      </c>
      <c r="D2126" t="s">
        <v>38</v>
      </c>
      <c r="E2126" t="s">
        <v>107</v>
      </c>
      <c r="F2126" t="s">
        <v>22</v>
      </c>
      <c r="G2126" t="s">
        <v>33</v>
      </c>
      <c r="H2126" t="s">
        <v>34</v>
      </c>
      <c r="I2126" t="s">
        <v>55</v>
      </c>
      <c r="J2126" t="s">
        <v>67</v>
      </c>
      <c r="K2126" t="s">
        <v>27</v>
      </c>
      <c r="L2126" t="s">
        <v>49</v>
      </c>
      <c r="M2126" s="4">
        <v>25</v>
      </c>
      <c r="N2126" s="4">
        <v>7</v>
      </c>
      <c r="O2126" t="s">
        <v>29</v>
      </c>
      <c r="P2126" t="s">
        <v>29</v>
      </c>
      <c r="Q2126" s="4">
        <v>380638</v>
      </c>
      <c r="R2126" s="4">
        <v>315778</v>
      </c>
      <c r="S2126" s="4">
        <f>Table1[[#This Row],[Service_Revenue]]-Table1[[#This Row],[Service_Cost]]</f>
        <v>64860</v>
      </c>
      <c r="T2126" s="4">
        <v>1</v>
      </c>
      <c r="U2126" s="4">
        <f>IF(AND(Table1[[#This Row],[Rework_Flag]]="Yes",Table1[[#This Row],[Warranty_Claim]]="No"),Table1[[#This Row],[Service_Revenue]],0)</f>
        <v>0</v>
      </c>
      <c r="V2126" s="4">
        <f>IF(Table1[[#This Row],[Warranty_Claim]]="Yes",1,0)</f>
        <v>1</v>
      </c>
      <c r="W2126" s="4">
        <f>IF(Table1[[#This Row],[Rework_Flag]]="No",1,0)</f>
        <v>0</v>
      </c>
      <c r="X2126" s="4">
        <f>IF(Table1[[#This Row],[Rework_Flag]]="Yes",1,0)</f>
        <v>1</v>
      </c>
      <c r="Y2126" s="4">
        <v>1</v>
      </c>
      <c r="Z2126" s="4" t="str">
        <f>IF(Table1[[#This Row],[TAT_Days]]&gt;Table1[[#This Row],[SLA_TAT]],"Yes","No")</f>
        <v>Yes</v>
      </c>
      <c r="AA2126" s="4" t="str" cm="1">
        <f t="array" ref="AA2126">_xlfn.IFS(Table1[[#This Row],[Customer_Satisfaction]]&lt;=2,"Poor",Table1[[#This Row],[Customer_Satisfaction]]=3,"Neutral",Table1[[#This Row],[Customer_Satisfaction]]=4,"Good",Table1[[#This Row],[Customer_Satisfaction]]=5,"Good")</f>
        <v>Poor</v>
      </c>
    </row>
    <row r="2127" spans="1:27" x14ac:dyDescent="0.35">
      <c r="A2127">
        <v>22125</v>
      </c>
      <c r="B2127" s="1">
        <v>45409</v>
      </c>
      <c r="C2127" t="s">
        <v>19</v>
      </c>
      <c r="D2127" t="s">
        <v>96</v>
      </c>
      <c r="E2127" t="s">
        <v>105</v>
      </c>
      <c r="F2127" t="s">
        <v>22</v>
      </c>
      <c r="G2127" t="s">
        <v>63</v>
      </c>
      <c r="H2127" t="s">
        <v>24</v>
      </c>
      <c r="I2127" t="s">
        <v>25</v>
      </c>
      <c r="J2127" t="s">
        <v>58</v>
      </c>
      <c r="K2127" t="s">
        <v>61</v>
      </c>
      <c r="L2127" t="s">
        <v>49</v>
      </c>
      <c r="M2127" s="4">
        <v>9</v>
      </c>
      <c r="N2127" s="4">
        <v>7</v>
      </c>
      <c r="O2127" t="s">
        <v>36</v>
      </c>
      <c r="P2127" t="s">
        <v>36</v>
      </c>
      <c r="Q2127" s="4">
        <v>115595</v>
      </c>
      <c r="R2127" s="4">
        <v>59702</v>
      </c>
      <c r="S2127" s="4">
        <f>Table1[[#This Row],[Service_Revenue]]-Table1[[#This Row],[Service_Cost]]</f>
        <v>55893</v>
      </c>
      <c r="T2127" s="4">
        <v>4</v>
      </c>
      <c r="U2127" s="4">
        <f>IF(AND(Table1[[#This Row],[Rework_Flag]]="Yes",Table1[[#This Row],[Warranty_Claim]]="No"),Table1[[#This Row],[Service_Revenue]],0)</f>
        <v>0</v>
      </c>
      <c r="V2127" s="4">
        <f>IF(Table1[[#This Row],[Warranty_Claim]]="Yes",1,0)</f>
        <v>0</v>
      </c>
      <c r="W2127" s="4">
        <f>IF(Table1[[#This Row],[Rework_Flag]]="No",1,0)</f>
        <v>1</v>
      </c>
      <c r="X2127" s="4">
        <f>IF(Table1[[#This Row],[Rework_Flag]]="Yes",1,0)</f>
        <v>0</v>
      </c>
      <c r="Y2127" s="4">
        <v>1</v>
      </c>
      <c r="Z2127" s="4" t="str">
        <f>IF(Table1[[#This Row],[TAT_Days]]&gt;Table1[[#This Row],[SLA_TAT]],"Yes","No")</f>
        <v>Yes</v>
      </c>
      <c r="AA2127" s="4" t="str" cm="1">
        <f t="array" ref="AA2127">_xlfn.IFS(Table1[[#This Row],[Customer_Satisfaction]]&lt;=2,"Poor",Table1[[#This Row],[Customer_Satisfaction]]=3,"Neutral",Table1[[#This Row],[Customer_Satisfaction]]=4,"Good",Table1[[#This Row],[Customer_Satisfaction]]=5,"Good")</f>
        <v>Good</v>
      </c>
    </row>
    <row r="2128" spans="1:27" x14ac:dyDescent="0.35">
      <c r="A2128">
        <v>22126</v>
      </c>
      <c r="B2128" s="1">
        <v>45349</v>
      </c>
      <c r="C2128" t="s">
        <v>50</v>
      </c>
      <c r="D2128" t="s">
        <v>51</v>
      </c>
      <c r="E2128" t="s">
        <v>113</v>
      </c>
      <c r="F2128" t="s">
        <v>22</v>
      </c>
      <c r="G2128" t="s">
        <v>33</v>
      </c>
      <c r="H2128" t="s">
        <v>34</v>
      </c>
      <c r="I2128" t="s">
        <v>55</v>
      </c>
      <c r="J2128" t="s">
        <v>26</v>
      </c>
      <c r="K2128" t="s">
        <v>61</v>
      </c>
      <c r="L2128" t="s">
        <v>49</v>
      </c>
      <c r="M2128" s="4">
        <v>24</v>
      </c>
      <c r="N2128" s="4">
        <v>7</v>
      </c>
      <c r="O2128" t="s">
        <v>36</v>
      </c>
      <c r="P2128" t="s">
        <v>36</v>
      </c>
      <c r="Q2128" s="4">
        <v>301244</v>
      </c>
      <c r="R2128" s="4">
        <v>254068</v>
      </c>
      <c r="S2128" s="4">
        <f>Table1[[#This Row],[Service_Revenue]]-Table1[[#This Row],[Service_Cost]]</f>
        <v>47176</v>
      </c>
      <c r="T2128" s="4">
        <v>1</v>
      </c>
      <c r="U2128" s="4">
        <f>IF(AND(Table1[[#This Row],[Rework_Flag]]="Yes",Table1[[#This Row],[Warranty_Claim]]="No"),Table1[[#This Row],[Service_Revenue]],0)</f>
        <v>0</v>
      </c>
      <c r="V2128" s="4">
        <f>IF(Table1[[#This Row],[Warranty_Claim]]="Yes",1,0)</f>
        <v>0</v>
      </c>
      <c r="W2128" s="4">
        <f>IF(Table1[[#This Row],[Rework_Flag]]="No",1,0)</f>
        <v>1</v>
      </c>
      <c r="X2128" s="4">
        <f>IF(Table1[[#This Row],[Rework_Flag]]="Yes",1,0)</f>
        <v>0</v>
      </c>
      <c r="Y2128" s="4">
        <v>1</v>
      </c>
      <c r="Z2128" s="4" t="str">
        <f>IF(Table1[[#This Row],[TAT_Days]]&gt;Table1[[#This Row],[SLA_TAT]],"Yes","No")</f>
        <v>Yes</v>
      </c>
      <c r="AA2128" s="4" t="str" cm="1">
        <f t="array" ref="AA2128">_xlfn.IFS(Table1[[#This Row],[Customer_Satisfaction]]&lt;=2,"Poor",Table1[[#This Row],[Customer_Satisfaction]]=3,"Neutral",Table1[[#This Row],[Customer_Satisfaction]]=4,"Good",Table1[[#This Row],[Customer_Satisfaction]]=5,"Good")</f>
        <v>Poor</v>
      </c>
    </row>
    <row r="2129" spans="1:27" x14ac:dyDescent="0.35">
      <c r="A2129">
        <v>22127</v>
      </c>
      <c r="B2129" s="1">
        <v>45372</v>
      </c>
      <c r="C2129" t="s">
        <v>30</v>
      </c>
      <c r="D2129" t="s">
        <v>83</v>
      </c>
      <c r="E2129" t="s">
        <v>92</v>
      </c>
      <c r="F2129" t="s">
        <v>22</v>
      </c>
      <c r="G2129" t="s">
        <v>63</v>
      </c>
      <c r="H2129" t="s">
        <v>24</v>
      </c>
      <c r="I2129" t="s">
        <v>25</v>
      </c>
      <c r="J2129" t="s">
        <v>26</v>
      </c>
      <c r="K2129" t="s">
        <v>61</v>
      </c>
      <c r="L2129" t="s">
        <v>28</v>
      </c>
      <c r="M2129" s="4">
        <v>17</v>
      </c>
      <c r="N2129" s="4">
        <v>7</v>
      </c>
      <c r="O2129" t="s">
        <v>29</v>
      </c>
      <c r="P2129" t="s">
        <v>29</v>
      </c>
      <c r="Q2129" s="4">
        <v>91844</v>
      </c>
      <c r="R2129" s="4">
        <v>64479</v>
      </c>
      <c r="S2129" s="4">
        <f>Table1[[#This Row],[Service_Revenue]]-Table1[[#This Row],[Service_Cost]]</f>
        <v>27365</v>
      </c>
      <c r="T2129" s="4">
        <v>1</v>
      </c>
      <c r="U2129" s="4">
        <f>IF(AND(Table1[[#This Row],[Rework_Flag]]="Yes",Table1[[#This Row],[Warranty_Claim]]="No"),Table1[[#This Row],[Service_Revenue]],0)</f>
        <v>0</v>
      </c>
      <c r="V2129" s="4">
        <f>IF(Table1[[#This Row],[Warranty_Claim]]="Yes",1,0)</f>
        <v>1</v>
      </c>
      <c r="W2129" s="4">
        <f>IF(Table1[[#This Row],[Rework_Flag]]="No",1,0)</f>
        <v>0</v>
      </c>
      <c r="X2129" s="4">
        <f>IF(Table1[[#This Row],[Rework_Flag]]="Yes",1,0)</f>
        <v>1</v>
      </c>
      <c r="Y2129" s="4">
        <v>1</v>
      </c>
      <c r="Z2129" s="4" t="str">
        <f>IF(Table1[[#This Row],[TAT_Days]]&gt;Table1[[#This Row],[SLA_TAT]],"Yes","No")</f>
        <v>Yes</v>
      </c>
      <c r="AA2129" s="4" t="str" cm="1">
        <f t="array" ref="AA2129">_xlfn.IFS(Table1[[#This Row],[Customer_Satisfaction]]&lt;=2,"Poor",Table1[[#This Row],[Customer_Satisfaction]]=3,"Neutral",Table1[[#This Row],[Customer_Satisfaction]]=4,"Good",Table1[[#This Row],[Customer_Satisfaction]]=5,"Good")</f>
        <v>Poor</v>
      </c>
    </row>
    <row r="2130" spans="1:27" x14ac:dyDescent="0.35">
      <c r="A2130">
        <v>22128</v>
      </c>
      <c r="B2130" s="1">
        <v>45468</v>
      </c>
      <c r="C2130" t="s">
        <v>50</v>
      </c>
      <c r="D2130" t="s">
        <v>56</v>
      </c>
      <c r="E2130" t="s">
        <v>68</v>
      </c>
      <c r="F2130" t="s">
        <v>53</v>
      </c>
      <c r="G2130" t="s">
        <v>54</v>
      </c>
      <c r="H2130" t="s">
        <v>42</v>
      </c>
      <c r="I2130" t="s">
        <v>55</v>
      </c>
      <c r="J2130" t="s">
        <v>58</v>
      </c>
      <c r="K2130" t="s">
        <v>44</v>
      </c>
      <c r="L2130" t="s">
        <v>49</v>
      </c>
      <c r="M2130" s="4">
        <v>25</v>
      </c>
      <c r="N2130" s="4">
        <v>7</v>
      </c>
      <c r="O2130" t="s">
        <v>29</v>
      </c>
      <c r="P2130" t="s">
        <v>36</v>
      </c>
      <c r="Q2130" s="4">
        <v>597135</v>
      </c>
      <c r="R2130" s="4">
        <v>436480</v>
      </c>
      <c r="S2130" s="4">
        <f>Table1[[#This Row],[Service_Revenue]]-Table1[[#This Row],[Service_Cost]]</f>
        <v>160655</v>
      </c>
      <c r="T2130" s="4">
        <v>1</v>
      </c>
      <c r="U2130" s="4">
        <f>IF(AND(Table1[[#This Row],[Rework_Flag]]="Yes",Table1[[#This Row],[Warranty_Claim]]="No"),Table1[[#This Row],[Service_Revenue]],0)</f>
        <v>597135</v>
      </c>
      <c r="V2130" s="4">
        <f>IF(Table1[[#This Row],[Warranty_Claim]]="Yes",1,0)</f>
        <v>0</v>
      </c>
      <c r="W2130" s="4">
        <f>IF(Table1[[#This Row],[Rework_Flag]]="No",1,0)</f>
        <v>0</v>
      </c>
      <c r="X2130" s="4">
        <f>IF(Table1[[#This Row],[Rework_Flag]]="Yes",1,0)</f>
        <v>1</v>
      </c>
      <c r="Y2130" s="4">
        <v>1</v>
      </c>
      <c r="Z2130" s="4" t="str">
        <f>IF(Table1[[#This Row],[TAT_Days]]&gt;Table1[[#This Row],[SLA_TAT]],"Yes","No")</f>
        <v>Yes</v>
      </c>
      <c r="AA2130" s="4" t="str" cm="1">
        <f t="array" ref="AA2130">_xlfn.IFS(Table1[[#This Row],[Customer_Satisfaction]]&lt;=2,"Poor",Table1[[#This Row],[Customer_Satisfaction]]=3,"Neutral",Table1[[#This Row],[Customer_Satisfaction]]=4,"Good",Table1[[#This Row],[Customer_Satisfaction]]=5,"Good")</f>
        <v>Poor</v>
      </c>
    </row>
    <row r="2131" spans="1:27" x14ac:dyDescent="0.35">
      <c r="A2131">
        <v>22129</v>
      </c>
      <c r="B2131" s="1">
        <v>45391</v>
      </c>
      <c r="C2131" t="s">
        <v>50</v>
      </c>
      <c r="D2131" t="s">
        <v>80</v>
      </c>
      <c r="E2131" t="s">
        <v>81</v>
      </c>
      <c r="F2131" t="s">
        <v>40</v>
      </c>
      <c r="G2131" t="s">
        <v>54</v>
      </c>
      <c r="H2131" t="s">
        <v>42</v>
      </c>
      <c r="I2131" t="s">
        <v>55</v>
      </c>
      <c r="J2131" t="s">
        <v>43</v>
      </c>
      <c r="K2131" t="s">
        <v>44</v>
      </c>
      <c r="L2131" t="s">
        <v>49</v>
      </c>
      <c r="M2131" s="4">
        <v>21</v>
      </c>
      <c r="N2131" s="4">
        <v>7</v>
      </c>
      <c r="O2131" t="s">
        <v>29</v>
      </c>
      <c r="P2131" t="s">
        <v>29</v>
      </c>
      <c r="Q2131" s="4">
        <v>441060</v>
      </c>
      <c r="R2131" s="4">
        <v>269233</v>
      </c>
      <c r="S2131" s="4">
        <f>Table1[[#This Row],[Service_Revenue]]-Table1[[#This Row],[Service_Cost]]</f>
        <v>171827</v>
      </c>
      <c r="T2131" s="4">
        <v>1</v>
      </c>
      <c r="U2131" s="4">
        <f>IF(AND(Table1[[#This Row],[Rework_Flag]]="Yes",Table1[[#This Row],[Warranty_Claim]]="No"),Table1[[#This Row],[Service_Revenue]],0)</f>
        <v>0</v>
      </c>
      <c r="V2131" s="4">
        <f>IF(Table1[[#This Row],[Warranty_Claim]]="Yes",1,0)</f>
        <v>1</v>
      </c>
      <c r="W2131" s="4">
        <f>IF(Table1[[#This Row],[Rework_Flag]]="No",1,0)</f>
        <v>0</v>
      </c>
      <c r="X2131" s="4">
        <f>IF(Table1[[#This Row],[Rework_Flag]]="Yes",1,0)</f>
        <v>1</v>
      </c>
      <c r="Y2131" s="4">
        <v>1</v>
      </c>
      <c r="Z2131" s="4" t="str">
        <f>IF(Table1[[#This Row],[TAT_Days]]&gt;Table1[[#This Row],[SLA_TAT]],"Yes","No")</f>
        <v>Yes</v>
      </c>
      <c r="AA2131" s="4" t="str" cm="1">
        <f t="array" ref="AA2131">_xlfn.IFS(Table1[[#This Row],[Customer_Satisfaction]]&lt;=2,"Poor",Table1[[#This Row],[Customer_Satisfaction]]=3,"Neutral",Table1[[#This Row],[Customer_Satisfaction]]=4,"Good",Table1[[#This Row],[Customer_Satisfaction]]=5,"Good")</f>
        <v>Poor</v>
      </c>
    </row>
    <row r="2132" spans="1:27" x14ac:dyDescent="0.35">
      <c r="A2132">
        <v>22130</v>
      </c>
      <c r="B2132" s="1">
        <v>45392</v>
      </c>
      <c r="C2132" t="s">
        <v>19</v>
      </c>
      <c r="D2132" t="s">
        <v>96</v>
      </c>
      <c r="E2132" t="s">
        <v>108</v>
      </c>
      <c r="F2132" t="s">
        <v>22</v>
      </c>
      <c r="G2132" t="s">
        <v>63</v>
      </c>
      <c r="H2132" t="s">
        <v>24</v>
      </c>
      <c r="I2132" t="s">
        <v>55</v>
      </c>
      <c r="J2132" t="s">
        <v>35</v>
      </c>
      <c r="K2132" t="s">
        <v>44</v>
      </c>
      <c r="L2132" t="s">
        <v>28</v>
      </c>
      <c r="M2132" s="4">
        <v>4</v>
      </c>
      <c r="N2132" s="4">
        <v>7</v>
      </c>
      <c r="O2132" t="s">
        <v>29</v>
      </c>
      <c r="P2132" t="s">
        <v>36</v>
      </c>
      <c r="Q2132" s="4">
        <v>503206</v>
      </c>
      <c r="R2132" s="4">
        <v>365735</v>
      </c>
      <c r="S2132" s="4">
        <f>Table1[[#This Row],[Service_Revenue]]-Table1[[#This Row],[Service_Cost]]</f>
        <v>137471</v>
      </c>
      <c r="T2132" s="4">
        <v>4</v>
      </c>
      <c r="U2132" s="4">
        <f>IF(AND(Table1[[#This Row],[Rework_Flag]]="Yes",Table1[[#This Row],[Warranty_Claim]]="No"),Table1[[#This Row],[Service_Revenue]],0)</f>
        <v>503206</v>
      </c>
      <c r="V2132" s="4">
        <f>IF(Table1[[#This Row],[Warranty_Claim]]="Yes",1,0)</f>
        <v>0</v>
      </c>
      <c r="W2132" s="4">
        <f>IF(Table1[[#This Row],[Rework_Flag]]="No",1,0)</f>
        <v>0</v>
      </c>
      <c r="X2132" s="4">
        <f>IF(Table1[[#This Row],[Rework_Flag]]="Yes",1,0)</f>
        <v>1</v>
      </c>
      <c r="Y2132" s="4">
        <v>1</v>
      </c>
      <c r="Z2132" s="4" t="str">
        <f>IF(Table1[[#This Row],[TAT_Days]]&gt;Table1[[#This Row],[SLA_TAT]],"Yes","No")</f>
        <v>No</v>
      </c>
      <c r="AA2132" s="4" t="str" cm="1">
        <f t="array" ref="AA2132">_xlfn.IFS(Table1[[#This Row],[Customer_Satisfaction]]&lt;=2,"Poor",Table1[[#This Row],[Customer_Satisfaction]]=3,"Neutral",Table1[[#This Row],[Customer_Satisfaction]]=4,"Good",Table1[[#This Row],[Customer_Satisfaction]]=5,"Good")</f>
        <v>Good</v>
      </c>
    </row>
    <row r="2133" spans="1:27" x14ac:dyDescent="0.35">
      <c r="A2133">
        <v>22131</v>
      </c>
      <c r="B2133" s="1">
        <v>45468</v>
      </c>
      <c r="C2133" t="s">
        <v>50</v>
      </c>
      <c r="D2133" t="s">
        <v>51</v>
      </c>
      <c r="E2133" t="s">
        <v>73</v>
      </c>
      <c r="F2133" t="s">
        <v>53</v>
      </c>
      <c r="G2133" t="s">
        <v>23</v>
      </c>
      <c r="H2133" t="s">
        <v>24</v>
      </c>
      <c r="I2133" t="s">
        <v>55</v>
      </c>
      <c r="J2133" t="s">
        <v>26</v>
      </c>
      <c r="K2133" t="s">
        <v>61</v>
      </c>
      <c r="L2133" t="s">
        <v>28</v>
      </c>
      <c r="M2133" s="4">
        <v>7</v>
      </c>
      <c r="N2133" s="4">
        <v>7</v>
      </c>
      <c r="O2133" t="s">
        <v>36</v>
      </c>
      <c r="P2133" t="s">
        <v>36</v>
      </c>
      <c r="Q2133" s="4">
        <v>91531</v>
      </c>
      <c r="R2133" s="4">
        <v>53453</v>
      </c>
      <c r="S2133" s="4">
        <f>Table1[[#This Row],[Service_Revenue]]-Table1[[#This Row],[Service_Cost]]</f>
        <v>38078</v>
      </c>
      <c r="T2133" s="4">
        <v>4</v>
      </c>
      <c r="U2133" s="4">
        <f>IF(AND(Table1[[#This Row],[Rework_Flag]]="Yes",Table1[[#This Row],[Warranty_Claim]]="No"),Table1[[#This Row],[Service_Revenue]],0)</f>
        <v>0</v>
      </c>
      <c r="V2133" s="4">
        <f>IF(Table1[[#This Row],[Warranty_Claim]]="Yes",1,0)</f>
        <v>0</v>
      </c>
      <c r="W2133" s="4">
        <f>IF(Table1[[#This Row],[Rework_Flag]]="No",1,0)</f>
        <v>1</v>
      </c>
      <c r="X2133" s="4">
        <f>IF(Table1[[#This Row],[Rework_Flag]]="Yes",1,0)</f>
        <v>0</v>
      </c>
      <c r="Y2133" s="4">
        <v>1</v>
      </c>
      <c r="Z2133" s="4" t="str">
        <f>IF(Table1[[#This Row],[TAT_Days]]&gt;Table1[[#This Row],[SLA_TAT]],"Yes","No")</f>
        <v>No</v>
      </c>
      <c r="AA2133" s="4" t="str" cm="1">
        <f t="array" ref="AA2133">_xlfn.IFS(Table1[[#This Row],[Customer_Satisfaction]]&lt;=2,"Poor",Table1[[#This Row],[Customer_Satisfaction]]=3,"Neutral",Table1[[#This Row],[Customer_Satisfaction]]=4,"Good",Table1[[#This Row],[Customer_Satisfaction]]=5,"Good")</f>
        <v>Good</v>
      </c>
    </row>
    <row r="2134" spans="1:27" x14ac:dyDescent="0.35">
      <c r="A2134">
        <v>22132</v>
      </c>
      <c r="B2134" s="1">
        <v>45365</v>
      </c>
      <c r="C2134" t="s">
        <v>19</v>
      </c>
      <c r="D2134" t="s">
        <v>45</v>
      </c>
      <c r="E2134" t="s">
        <v>76</v>
      </c>
      <c r="F2134" t="s">
        <v>40</v>
      </c>
      <c r="G2134" t="s">
        <v>41</v>
      </c>
      <c r="H2134" t="s">
        <v>42</v>
      </c>
      <c r="I2134" t="s">
        <v>25</v>
      </c>
      <c r="J2134" t="s">
        <v>26</v>
      </c>
      <c r="K2134" t="s">
        <v>61</v>
      </c>
      <c r="L2134" t="s">
        <v>49</v>
      </c>
      <c r="M2134" s="4">
        <v>2</v>
      </c>
      <c r="N2134" s="4">
        <v>7</v>
      </c>
      <c r="O2134" t="s">
        <v>29</v>
      </c>
      <c r="P2134" t="s">
        <v>29</v>
      </c>
      <c r="Q2134" s="4">
        <v>179764</v>
      </c>
      <c r="R2134" s="4">
        <v>148969</v>
      </c>
      <c r="S2134" s="4">
        <f>Table1[[#This Row],[Service_Revenue]]-Table1[[#This Row],[Service_Cost]]</f>
        <v>30795</v>
      </c>
      <c r="T2134" s="4">
        <v>4</v>
      </c>
      <c r="U2134" s="4">
        <f>IF(AND(Table1[[#This Row],[Rework_Flag]]="Yes",Table1[[#This Row],[Warranty_Claim]]="No"),Table1[[#This Row],[Service_Revenue]],0)</f>
        <v>0</v>
      </c>
      <c r="V2134" s="4">
        <f>IF(Table1[[#This Row],[Warranty_Claim]]="Yes",1,0)</f>
        <v>1</v>
      </c>
      <c r="W2134" s="4">
        <f>IF(Table1[[#This Row],[Rework_Flag]]="No",1,0)</f>
        <v>0</v>
      </c>
      <c r="X2134" s="4">
        <f>IF(Table1[[#This Row],[Rework_Flag]]="Yes",1,0)</f>
        <v>1</v>
      </c>
      <c r="Y2134" s="4">
        <v>1</v>
      </c>
      <c r="Z2134" s="4" t="str">
        <f>IF(Table1[[#This Row],[TAT_Days]]&gt;Table1[[#This Row],[SLA_TAT]],"Yes","No")</f>
        <v>No</v>
      </c>
      <c r="AA2134" s="4" t="str" cm="1">
        <f t="array" ref="AA2134">_xlfn.IFS(Table1[[#This Row],[Customer_Satisfaction]]&lt;=2,"Poor",Table1[[#This Row],[Customer_Satisfaction]]=3,"Neutral",Table1[[#This Row],[Customer_Satisfaction]]=4,"Good",Table1[[#This Row],[Customer_Satisfaction]]=5,"Good")</f>
        <v>Good</v>
      </c>
    </row>
    <row r="2135" spans="1:27" x14ac:dyDescent="0.35">
      <c r="A2135">
        <v>22133</v>
      </c>
      <c r="B2135" s="1">
        <v>45454</v>
      </c>
      <c r="C2135" t="s">
        <v>30</v>
      </c>
      <c r="D2135" t="s">
        <v>83</v>
      </c>
      <c r="E2135" t="s">
        <v>92</v>
      </c>
      <c r="F2135" t="s">
        <v>22</v>
      </c>
      <c r="G2135" t="s">
        <v>54</v>
      </c>
      <c r="H2135" t="s">
        <v>42</v>
      </c>
      <c r="I2135" t="s">
        <v>55</v>
      </c>
      <c r="J2135" t="s">
        <v>43</v>
      </c>
      <c r="K2135" t="s">
        <v>61</v>
      </c>
      <c r="L2135" t="s">
        <v>28</v>
      </c>
      <c r="M2135" s="4">
        <v>11</v>
      </c>
      <c r="N2135" s="4">
        <v>7</v>
      </c>
      <c r="O2135" t="s">
        <v>36</v>
      </c>
      <c r="P2135" t="s">
        <v>36</v>
      </c>
      <c r="Q2135" s="4">
        <v>171947</v>
      </c>
      <c r="R2135" s="4">
        <v>122851</v>
      </c>
      <c r="S2135" s="4">
        <f>Table1[[#This Row],[Service_Revenue]]-Table1[[#This Row],[Service_Cost]]</f>
        <v>49096</v>
      </c>
      <c r="T2135" s="4">
        <v>3</v>
      </c>
      <c r="U2135" s="4">
        <f>IF(AND(Table1[[#This Row],[Rework_Flag]]="Yes",Table1[[#This Row],[Warranty_Claim]]="No"),Table1[[#This Row],[Service_Revenue]],0)</f>
        <v>0</v>
      </c>
      <c r="V2135" s="4">
        <f>IF(Table1[[#This Row],[Warranty_Claim]]="Yes",1,0)</f>
        <v>0</v>
      </c>
      <c r="W2135" s="4">
        <f>IF(Table1[[#This Row],[Rework_Flag]]="No",1,0)</f>
        <v>1</v>
      </c>
      <c r="X2135" s="4">
        <f>IF(Table1[[#This Row],[Rework_Flag]]="Yes",1,0)</f>
        <v>0</v>
      </c>
      <c r="Y2135" s="4">
        <v>1</v>
      </c>
      <c r="Z2135" s="4" t="str">
        <f>IF(Table1[[#This Row],[TAT_Days]]&gt;Table1[[#This Row],[SLA_TAT]],"Yes","No")</f>
        <v>Yes</v>
      </c>
      <c r="AA2135" s="4" t="str" cm="1">
        <f t="array" ref="AA2135">_xlfn.IFS(Table1[[#This Row],[Customer_Satisfaction]]&lt;=2,"Poor",Table1[[#This Row],[Customer_Satisfaction]]=3,"Neutral",Table1[[#This Row],[Customer_Satisfaction]]=4,"Good",Table1[[#This Row],[Customer_Satisfaction]]=5,"Good")</f>
        <v>Neutral</v>
      </c>
    </row>
    <row r="2136" spans="1:27" x14ac:dyDescent="0.35">
      <c r="A2136">
        <v>22134</v>
      </c>
      <c r="B2136" s="1">
        <v>45459</v>
      </c>
      <c r="C2136" t="s">
        <v>50</v>
      </c>
      <c r="D2136" t="s">
        <v>80</v>
      </c>
      <c r="E2136" t="s">
        <v>81</v>
      </c>
      <c r="F2136" t="s">
        <v>53</v>
      </c>
      <c r="G2136" t="s">
        <v>63</v>
      </c>
      <c r="H2136" t="s">
        <v>24</v>
      </c>
      <c r="I2136" t="s">
        <v>25</v>
      </c>
      <c r="J2136" t="s">
        <v>35</v>
      </c>
      <c r="K2136" t="s">
        <v>61</v>
      </c>
      <c r="L2136" t="s">
        <v>28</v>
      </c>
      <c r="M2136" s="4">
        <v>2</v>
      </c>
      <c r="N2136" s="4">
        <v>7</v>
      </c>
      <c r="O2136" t="s">
        <v>36</v>
      </c>
      <c r="P2136" t="s">
        <v>36</v>
      </c>
      <c r="Q2136" s="4">
        <v>259858</v>
      </c>
      <c r="R2136" s="4">
        <v>198792</v>
      </c>
      <c r="S2136" s="4">
        <f>Table1[[#This Row],[Service_Revenue]]-Table1[[#This Row],[Service_Cost]]</f>
        <v>61066</v>
      </c>
      <c r="T2136" s="4">
        <v>5</v>
      </c>
      <c r="U2136" s="4">
        <f>IF(AND(Table1[[#This Row],[Rework_Flag]]="Yes",Table1[[#This Row],[Warranty_Claim]]="No"),Table1[[#This Row],[Service_Revenue]],0)</f>
        <v>0</v>
      </c>
      <c r="V2136" s="4">
        <f>IF(Table1[[#This Row],[Warranty_Claim]]="Yes",1,0)</f>
        <v>0</v>
      </c>
      <c r="W2136" s="4">
        <f>IF(Table1[[#This Row],[Rework_Flag]]="No",1,0)</f>
        <v>1</v>
      </c>
      <c r="X2136" s="4">
        <f>IF(Table1[[#This Row],[Rework_Flag]]="Yes",1,0)</f>
        <v>0</v>
      </c>
      <c r="Y2136" s="4">
        <v>1</v>
      </c>
      <c r="Z2136" s="4" t="str">
        <f>IF(Table1[[#This Row],[TAT_Days]]&gt;Table1[[#This Row],[SLA_TAT]],"Yes","No")</f>
        <v>No</v>
      </c>
      <c r="AA2136" s="4" t="str" cm="1">
        <f t="array" ref="AA2136">_xlfn.IFS(Table1[[#This Row],[Customer_Satisfaction]]&lt;=2,"Poor",Table1[[#This Row],[Customer_Satisfaction]]=3,"Neutral",Table1[[#This Row],[Customer_Satisfaction]]=4,"Good",Table1[[#This Row],[Customer_Satisfaction]]=5,"Good")</f>
        <v>Good</v>
      </c>
    </row>
    <row r="2137" spans="1:27" x14ac:dyDescent="0.35">
      <c r="A2137">
        <v>22135</v>
      </c>
      <c r="B2137" s="1">
        <v>45323</v>
      </c>
      <c r="C2137" t="s">
        <v>37</v>
      </c>
      <c r="D2137" t="s">
        <v>64</v>
      </c>
      <c r="E2137" t="s">
        <v>103</v>
      </c>
      <c r="F2137" t="s">
        <v>22</v>
      </c>
      <c r="G2137" t="s">
        <v>41</v>
      </c>
      <c r="H2137" t="s">
        <v>42</v>
      </c>
      <c r="I2137" t="s">
        <v>25</v>
      </c>
      <c r="J2137" t="s">
        <v>26</v>
      </c>
      <c r="K2137" t="s">
        <v>44</v>
      </c>
      <c r="L2137" t="s">
        <v>28</v>
      </c>
      <c r="M2137" s="4">
        <v>9</v>
      </c>
      <c r="N2137" s="4">
        <v>7</v>
      </c>
      <c r="O2137" t="s">
        <v>36</v>
      </c>
      <c r="P2137" t="s">
        <v>36</v>
      </c>
      <c r="Q2137" s="4">
        <v>213675</v>
      </c>
      <c r="R2137" s="4">
        <v>180681</v>
      </c>
      <c r="S2137" s="4">
        <f>Table1[[#This Row],[Service_Revenue]]-Table1[[#This Row],[Service_Cost]]</f>
        <v>32994</v>
      </c>
      <c r="T2137" s="4">
        <v>4</v>
      </c>
      <c r="U2137" s="4">
        <f>IF(AND(Table1[[#This Row],[Rework_Flag]]="Yes",Table1[[#This Row],[Warranty_Claim]]="No"),Table1[[#This Row],[Service_Revenue]],0)</f>
        <v>0</v>
      </c>
      <c r="V2137" s="4">
        <f>IF(Table1[[#This Row],[Warranty_Claim]]="Yes",1,0)</f>
        <v>0</v>
      </c>
      <c r="W2137" s="4">
        <f>IF(Table1[[#This Row],[Rework_Flag]]="No",1,0)</f>
        <v>1</v>
      </c>
      <c r="X2137" s="4">
        <f>IF(Table1[[#This Row],[Rework_Flag]]="Yes",1,0)</f>
        <v>0</v>
      </c>
      <c r="Y2137" s="4">
        <v>1</v>
      </c>
      <c r="Z2137" s="4" t="str">
        <f>IF(Table1[[#This Row],[TAT_Days]]&gt;Table1[[#This Row],[SLA_TAT]],"Yes","No")</f>
        <v>Yes</v>
      </c>
      <c r="AA2137" s="4" t="str" cm="1">
        <f t="array" ref="AA2137">_xlfn.IFS(Table1[[#This Row],[Customer_Satisfaction]]&lt;=2,"Poor",Table1[[#This Row],[Customer_Satisfaction]]=3,"Neutral",Table1[[#This Row],[Customer_Satisfaction]]=4,"Good",Table1[[#This Row],[Customer_Satisfaction]]=5,"Good")</f>
        <v>Good</v>
      </c>
    </row>
    <row r="2138" spans="1:27" x14ac:dyDescent="0.35">
      <c r="A2138">
        <v>22136</v>
      </c>
      <c r="B2138" s="1">
        <v>45293</v>
      </c>
      <c r="C2138" t="s">
        <v>19</v>
      </c>
      <c r="D2138" t="s">
        <v>20</v>
      </c>
      <c r="E2138" t="s">
        <v>117</v>
      </c>
      <c r="F2138" t="s">
        <v>40</v>
      </c>
      <c r="G2138" t="s">
        <v>47</v>
      </c>
      <c r="H2138" t="s">
        <v>48</v>
      </c>
      <c r="I2138" t="s">
        <v>55</v>
      </c>
      <c r="J2138" t="s">
        <v>43</v>
      </c>
      <c r="K2138" t="s">
        <v>44</v>
      </c>
      <c r="L2138" t="s">
        <v>49</v>
      </c>
      <c r="M2138" s="4">
        <v>10</v>
      </c>
      <c r="N2138" s="4">
        <v>7</v>
      </c>
      <c r="O2138" t="s">
        <v>29</v>
      </c>
      <c r="P2138" t="s">
        <v>36</v>
      </c>
      <c r="Q2138" s="4">
        <v>572830</v>
      </c>
      <c r="R2138" s="4">
        <v>339677</v>
      </c>
      <c r="S2138" s="4">
        <f>Table1[[#This Row],[Service_Revenue]]-Table1[[#This Row],[Service_Cost]]</f>
        <v>233153</v>
      </c>
      <c r="T2138" s="4">
        <v>2</v>
      </c>
      <c r="U2138" s="4">
        <f>IF(AND(Table1[[#This Row],[Rework_Flag]]="Yes",Table1[[#This Row],[Warranty_Claim]]="No"),Table1[[#This Row],[Service_Revenue]],0)</f>
        <v>572830</v>
      </c>
      <c r="V2138" s="4">
        <f>IF(Table1[[#This Row],[Warranty_Claim]]="Yes",1,0)</f>
        <v>0</v>
      </c>
      <c r="W2138" s="4">
        <f>IF(Table1[[#This Row],[Rework_Flag]]="No",1,0)</f>
        <v>0</v>
      </c>
      <c r="X2138" s="4">
        <f>IF(Table1[[#This Row],[Rework_Flag]]="Yes",1,0)</f>
        <v>1</v>
      </c>
      <c r="Y2138" s="4">
        <v>1</v>
      </c>
      <c r="Z2138" s="4" t="str">
        <f>IF(Table1[[#This Row],[TAT_Days]]&gt;Table1[[#This Row],[SLA_TAT]],"Yes","No")</f>
        <v>Yes</v>
      </c>
      <c r="AA2138" s="4" t="str" cm="1">
        <f t="array" ref="AA2138">_xlfn.IFS(Table1[[#This Row],[Customer_Satisfaction]]&lt;=2,"Poor",Table1[[#This Row],[Customer_Satisfaction]]=3,"Neutral",Table1[[#This Row],[Customer_Satisfaction]]=4,"Good",Table1[[#This Row],[Customer_Satisfaction]]=5,"Good")</f>
        <v>Poor</v>
      </c>
    </row>
    <row r="2139" spans="1:27" x14ac:dyDescent="0.35">
      <c r="A2139">
        <v>22137</v>
      </c>
      <c r="B2139" s="1">
        <v>45418</v>
      </c>
      <c r="C2139" t="s">
        <v>19</v>
      </c>
      <c r="D2139" t="s">
        <v>20</v>
      </c>
      <c r="E2139" t="s">
        <v>86</v>
      </c>
      <c r="F2139" t="s">
        <v>22</v>
      </c>
      <c r="G2139" t="s">
        <v>54</v>
      </c>
      <c r="H2139" t="s">
        <v>42</v>
      </c>
      <c r="I2139" t="s">
        <v>55</v>
      </c>
      <c r="J2139" t="s">
        <v>43</v>
      </c>
      <c r="K2139" t="s">
        <v>61</v>
      </c>
      <c r="L2139" t="s">
        <v>49</v>
      </c>
      <c r="M2139" s="4">
        <v>3</v>
      </c>
      <c r="N2139" s="4">
        <v>7</v>
      </c>
      <c r="O2139" t="s">
        <v>36</v>
      </c>
      <c r="P2139" t="s">
        <v>29</v>
      </c>
      <c r="Q2139" s="4">
        <v>244075</v>
      </c>
      <c r="R2139" s="4">
        <v>154291</v>
      </c>
      <c r="S2139" s="4">
        <f>Table1[[#This Row],[Service_Revenue]]-Table1[[#This Row],[Service_Cost]]</f>
        <v>89784</v>
      </c>
      <c r="T2139" s="4">
        <v>5</v>
      </c>
      <c r="U2139" s="4">
        <f>IF(AND(Table1[[#This Row],[Rework_Flag]]="Yes",Table1[[#This Row],[Warranty_Claim]]="No"),Table1[[#This Row],[Service_Revenue]],0)</f>
        <v>0</v>
      </c>
      <c r="V2139" s="4">
        <f>IF(Table1[[#This Row],[Warranty_Claim]]="Yes",1,0)</f>
        <v>1</v>
      </c>
      <c r="W2139" s="4">
        <f>IF(Table1[[#This Row],[Rework_Flag]]="No",1,0)</f>
        <v>1</v>
      </c>
      <c r="X2139" s="4">
        <f>IF(Table1[[#This Row],[Rework_Flag]]="Yes",1,0)</f>
        <v>0</v>
      </c>
      <c r="Y2139" s="4">
        <v>1</v>
      </c>
      <c r="Z2139" s="4" t="str">
        <f>IF(Table1[[#This Row],[TAT_Days]]&gt;Table1[[#This Row],[SLA_TAT]],"Yes","No")</f>
        <v>No</v>
      </c>
      <c r="AA2139" s="4" t="str" cm="1">
        <f t="array" ref="AA2139">_xlfn.IFS(Table1[[#This Row],[Customer_Satisfaction]]&lt;=2,"Poor",Table1[[#This Row],[Customer_Satisfaction]]=3,"Neutral",Table1[[#This Row],[Customer_Satisfaction]]=4,"Good",Table1[[#This Row],[Customer_Satisfaction]]=5,"Good")</f>
        <v>Good</v>
      </c>
    </row>
    <row r="2140" spans="1:27" x14ac:dyDescent="0.35">
      <c r="A2140">
        <v>22138</v>
      </c>
      <c r="B2140" s="1">
        <v>45327</v>
      </c>
      <c r="C2140" t="s">
        <v>37</v>
      </c>
      <c r="D2140" t="s">
        <v>38</v>
      </c>
      <c r="E2140" t="s">
        <v>102</v>
      </c>
      <c r="F2140" t="s">
        <v>40</v>
      </c>
      <c r="G2140" t="s">
        <v>23</v>
      </c>
      <c r="H2140" t="s">
        <v>24</v>
      </c>
      <c r="I2140" t="s">
        <v>25</v>
      </c>
      <c r="J2140" t="s">
        <v>35</v>
      </c>
      <c r="K2140" t="s">
        <v>61</v>
      </c>
      <c r="L2140" t="s">
        <v>49</v>
      </c>
      <c r="M2140" s="4">
        <v>5</v>
      </c>
      <c r="N2140" s="4">
        <v>7</v>
      </c>
      <c r="O2140" t="s">
        <v>36</v>
      </c>
      <c r="P2140" t="s">
        <v>36</v>
      </c>
      <c r="Q2140" s="4">
        <v>147692</v>
      </c>
      <c r="R2140" s="4">
        <v>111981</v>
      </c>
      <c r="S2140" s="4">
        <f>Table1[[#This Row],[Service_Revenue]]-Table1[[#This Row],[Service_Cost]]</f>
        <v>35711</v>
      </c>
      <c r="T2140" s="4">
        <v>4</v>
      </c>
      <c r="U2140" s="4">
        <f>IF(AND(Table1[[#This Row],[Rework_Flag]]="Yes",Table1[[#This Row],[Warranty_Claim]]="No"),Table1[[#This Row],[Service_Revenue]],0)</f>
        <v>0</v>
      </c>
      <c r="V2140" s="4">
        <f>IF(Table1[[#This Row],[Warranty_Claim]]="Yes",1,0)</f>
        <v>0</v>
      </c>
      <c r="W2140" s="4">
        <f>IF(Table1[[#This Row],[Rework_Flag]]="No",1,0)</f>
        <v>1</v>
      </c>
      <c r="X2140" s="4">
        <f>IF(Table1[[#This Row],[Rework_Flag]]="Yes",1,0)</f>
        <v>0</v>
      </c>
      <c r="Y2140" s="4">
        <v>1</v>
      </c>
      <c r="Z2140" s="4" t="str">
        <f>IF(Table1[[#This Row],[TAT_Days]]&gt;Table1[[#This Row],[SLA_TAT]],"Yes","No")</f>
        <v>No</v>
      </c>
      <c r="AA2140" s="4" t="str" cm="1">
        <f t="array" ref="AA2140">_xlfn.IFS(Table1[[#This Row],[Customer_Satisfaction]]&lt;=2,"Poor",Table1[[#This Row],[Customer_Satisfaction]]=3,"Neutral",Table1[[#This Row],[Customer_Satisfaction]]=4,"Good",Table1[[#This Row],[Customer_Satisfaction]]=5,"Good")</f>
        <v>Good</v>
      </c>
    </row>
    <row r="2141" spans="1:27" x14ac:dyDescent="0.35">
      <c r="A2141">
        <v>22139</v>
      </c>
      <c r="B2141" s="1">
        <v>45437</v>
      </c>
      <c r="C2141" t="s">
        <v>50</v>
      </c>
      <c r="D2141" t="s">
        <v>80</v>
      </c>
      <c r="E2141" t="s">
        <v>85</v>
      </c>
      <c r="F2141" t="s">
        <v>53</v>
      </c>
      <c r="G2141" t="s">
        <v>54</v>
      </c>
      <c r="H2141" t="s">
        <v>42</v>
      </c>
      <c r="I2141" t="s">
        <v>55</v>
      </c>
      <c r="J2141" t="s">
        <v>58</v>
      </c>
      <c r="K2141" t="s">
        <v>27</v>
      </c>
      <c r="L2141" t="s">
        <v>49</v>
      </c>
      <c r="M2141" s="4">
        <v>7</v>
      </c>
      <c r="N2141" s="4">
        <v>7</v>
      </c>
      <c r="O2141" t="s">
        <v>36</v>
      </c>
      <c r="P2141" t="s">
        <v>36</v>
      </c>
      <c r="Q2141" s="4">
        <v>388408</v>
      </c>
      <c r="R2141" s="4">
        <v>289051</v>
      </c>
      <c r="S2141" s="4">
        <f>Table1[[#This Row],[Service_Revenue]]-Table1[[#This Row],[Service_Cost]]</f>
        <v>99357</v>
      </c>
      <c r="T2141" s="4">
        <v>4</v>
      </c>
      <c r="U2141" s="4">
        <f>IF(AND(Table1[[#This Row],[Rework_Flag]]="Yes",Table1[[#This Row],[Warranty_Claim]]="No"),Table1[[#This Row],[Service_Revenue]],0)</f>
        <v>0</v>
      </c>
      <c r="V2141" s="4">
        <f>IF(Table1[[#This Row],[Warranty_Claim]]="Yes",1,0)</f>
        <v>0</v>
      </c>
      <c r="W2141" s="4">
        <f>IF(Table1[[#This Row],[Rework_Flag]]="No",1,0)</f>
        <v>1</v>
      </c>
      <c r="X2141" s="4">
        <f>IF(Table1[[#This Row],[Rework_Flag]]="Yes",1,0)</f>
        <v>0</v>
      </c>
      <c r="Y2141" s="4">
        <v>1</v>
      </c>
      <c r="Z2141" s="4" t="str">
        <f>IF(Table1[[#This Row],[TAT_Days]]&gt;Table1[[#This Row],[SLA_TAT]],"Yes","No")</f>
        <v>No</v>
      </c>
      <c r="AA2141" s="4" t="str" cm="1">
        <f t="array" ref="AA2141">_xlfn.IFS(Table1[[#This Row],[Customer_Satisfaction]]&lt;=2,"Poor",Table1[[#This Row],[Customer_Satisfaction]]=3,"Neutral",Table1[[#This Row],[Customer_Satisfaction]]=4,"Good",Table1[[#This Row],[Customer_Satisfaction]]=5,"Good")</f>
        <v>Good</v>
      </c>
    </row>
    <row r="2142" spans="1:27" x14ac:dyDescent="0.35">
      <c r="A2142">
        <v>22140</v>
      </c>
      <c r="B2142" s="1">
        <v>45347</v>
      </c>
      <c r="C2142" t="s">
        <v>19</v>
      </c>
      <c r="D2142" t="s">
        <v>45</v>
      </c>
      <c r="E2142" t="s">
        <v>114</v>
      </c>
      <c r="F2142" t="s">
        <v>40</v>
      </c>
      <c r="G2142" t="s">
        <v>74</v>
      </c>
      <c r="H2142" t="s">
        <v>34</v>
      </c>
      <c r="I2142" t="s">
        <v>25</v>
      </c>
      <c r="J2142" t="s">
        <v>58</v>
      </c>
      <c r="K2142" t="s">
        <v>44</v>
      </c>
      <c r="L2142" t="s">
        <v>28</v>
      </c>
      <c r="M2142" s="4">
        <v>8</v>
      </c>
      <c r="N2142" s="4">
        <v>7</v>
      </c>
      <c r="O2142" t="s">
        <v>29</v>
      </c>
      <c r="P2142" t="s">
        <v>29</v>
      </c>
      <c r="Q2142" s="4">
        <v>198419</v>
      </c>
      <c r="R2142" s="4">
        <v>120644</v>
      </c>
      <c r="S2142" s="4">
        <f>Table1[[#This Row],[Service_Revenue]]-Table1[[#This Row],[Service_Cost]]</f>
        <v>77775</v>
      </c>
      <c r="T2142" s="4">
        <v>3</v>
      </c>
      <c r="U2142" s="4">
        <f>IF(AND(Table1[[#This Row],[Rework_Flag]]="Yes",Table1[[#This Row],[Warranty_Claim]]="No"),Table1[[#This Row],[Service_Revenue]],0)</f>
        <v>0</v>
      </c>
      <c r="V2142" s="4">
        <f>IF(Table1[[#This Row],[Warranty_Claim]]="Yes",1,0)</f>
        <v>1</v>
      </c>
      <c r="W2142" s="4">
        <f>IF(Table1[[#This Row],[Rework_Flag]]="No",1,0)</f>
        <v>0</v>
      </c>
      <c r="X2142" s="4">
        <f>IF(Table1[[#This Row],[Rework_Flag]]="Yes",1,0)</f>
        <v>1</v>
      </c>
      <c r="Y2142" s="4">
        <v>1</v>
      </c>
      <c r="Z2142" s="4" t="str">
        <f>IF(Table1[[#This Row],[TAT_Days]]&gt;Table1[[#This Row],[SLA_TAT]],"Yes","No")</f>
        <v>Yes</v>
      </c>
      <c r="AA2142" s="4" t="str" cm="1">
        <f t="array" ref="AA2142">_xlfn.IFS(Table1[[#This Row],[Customer_Satisfaction]]&lt;=2,"Poor",Table1[[#This Row],[Customer_Satisfaction]]=3,"Neutral",Table1[[#This Row],[Customer_Satisfaction]]=4,"Good",Table1[[#This Row],[Customer_Satisfaction]]=5,"Good")</f>
        <v>Neutral</v>
      </c>
    </row>
    <row r="2143" spans="1:27" x14ac:dyDescent="0.35">
      <c r="A2143">
        <v>22141</v>
      </c>
      <c r="B2143" s="1">
        <v>45309</v>
      </c>
      <c r="C2143" t="s">
        <v>50</v>
      </c>
      <c r="D2143" t="s">
        <v>80</v>
      </c>
      <c r="E2143" t="s">
        <v>85</v>
      </c>
      <c r="F2143" t="s">
        <v>40</v>
      </c>
      <c r="G2143" t="s">
        <v>54</v>
      </c>
      <c r="H2143" t="s">
        <v>42</v>
      </c>
      <c r="I2143" t="s">
        <v>55</v>
      </c>
      <c r="J2143" t="s">
        <v>67</v>
      </c>
      <c r="K2143" t="s">
        <v>27</v>
      </c>
      <c r="L2143" t="s">
        <v>28</v>
      </c>
      <c r="M2143" s="4">
        <v>23</v>
      </c>
      <c r="N2143" s="4">
        <v>7</v>
      </c>
      <c r="O2143" t="s">
        <v>29</v>
      </c>
      <c r="P2143" t="s">
        <v>36</v>
      </c>
      <c r="Q2143" s="4">
        <v>214522</v>
      </c>
      <c r="R2143" s="4">
        <v>116785</v>
      </c>
      <c r="S2143" s="4">
        <f>Table1[[#This Row],[Service_Revenue]]-Table1[[#This Row],[Service_Cost]]</f>
        <v>97737</v>
      </c>
      <c r="T2143" s="4">
        <v>1</v>
      </c>
      <c r="U2143" s="4">
        <f>IF(AND(Table1[[#This Row],[Rework_Flag]]="Yes",Table1[[#This Row],[Warranty_Claim]]="No"),Table1[[#This Row],[Service_Revenue]],0)</f>
        <v>214522</v>
      </c>
      <c r="V2143" s="4">
        <f>IF(Table1[[#This Row],[Warranty_Claim]]="Yes",1,0)</f>
        <v>0</v>
      </c>
      <c r="W2143" s="4">
        <f>IF(Table1[[#This Row],[Rework_Flag]]="No",1,0)</f>
        <v>0</v>
      </c>
      <c r="X2143" s="4">
        <f>IF(Table1[[#This Row],[Rework_Flag]]="Yes",1,0)</f>
        <v>1</v>
      </c>
      <c r="Y2143" s="4">
        <v>1</v>
      </c>
      <c r="Z2143" s="4" t="str">
        <f>IF(Table1[[#This Row],[TAT_Days]]&gt;Table1[[#This Row],[SLA_TAT]],"Yes","No")</f>
        <v>Yes</v>
      </c>
      <c r="AA2143" s="4" t="str" cm="1">
        <f t="array" ref="AA2143">_xlfn.IFS(Table1[[#This Row],[Customer_Satisfaction]]&lt;=2,"Poor",Table1[[#This Row],[Customer_Satisfaction]]=3,"Neutral",Table1[[#This Row],[Customer_Satisfaction]]=4,"Good",Table1[[#This Row],[Customer_Satisfaction]]=5,"Good")</f>
        <v>Poor</v>
      </c>
    </row>
    <row r="2144" spans="1:27" x14ac:dyDescent="0.35">
      <c r="A2144">
        <v>22142</v>
      </c>
      <c r="B2144" s="1">
        <v>45417</v>
      </c>
      <c r="C2144" t="s">
        <v>30</v>
      </c>
      <c r="D2144" t="s">
        <v>83</v>
      </c>
      <c r="E2144" t="s">
        <v>119</v>
      </c>
      <c r="F2144" t="s">
        <v>22</v>
      </c>
      <c r="G2144" t="s">
        <v>23</v>
      </c>
      <c r="H2144" t="s">
        <v>24</v>
      </c>
      <c r="I2144" t="s">
        <v>25</v>
      </c>
      <c r="J2144" t="s">
        <v>26</v>
      </c>
      <c r="K2144" t="s">
        <v>44</v>
      </c>
      <c r="L2144" t="s">
        <v>28</v>
      </c>
      <c r="M2144" s="4">
        <v>16</v>
      </c>
      <c r="N2144" s="4">
        <v>7</v>
      </c>
      <c r="O2144" t="s">
        <v>29</v>
      </c>
      <c r="P2144" t="s">
        <v>36</v>
      </c>
      <c r="Q2144" s="4">
        <v>112468</v>
      </c>
      <c r="R2144" s="4">
        <v>80135</v>
      </c>
      <c r="S2144" s="4">
        <f>Table1[[#This Row],[Service_Revenue]]-Table1[[#This Row],[Service_Cost]]</f>
        <v>32333</v>
      </c>
      <c r="T2144" s="4">
        <v>1</v>
      </c>
      <c r="U2144" s="4">
        <f>IF(AND(Table1[[#This Row],[Rework_Flag]]="Yes",Table1[[#This Row],[Warranty_Claim]]="No"),Table1[[#This Row],[Service_Revenue]],0)</f>
        <v>112468</v>
      </c>
      <c r="V2144" s="4">
        <f>IF(Table1[[#This Row],[Warranty_Claim]]="Yes",1,0)</f>
        <v>0</v>
      </c>
      <c r="W2144" s="4">
        <f>IF(Table1[[#This Row],[Rework_Flag]]="No",1,0)</f>
        <v>0</v>
      </c>
      <c r="X2144" s="4">
        <f>IF(Table1[[#This Row],[Rework_Flag]]="Yes",1,0)</f>
        <v>1</v>
      </c>
      <c r="Y2144" s="4">
        <v>1</v>
      </c>
      <c r="Z2144" s="4" t="str">
        <f>IF(Table1[[#This Row],[TAT_Days]]&gt;Table1[[#This Row],[SLA_TAT]],"Yes","No")</f>
        <v>Yes</v>
      </c>
      <c r="AA2144" s="4" t="str" cm="1">
        <f t="array" ref="AA2144">_xlfn.IFS(Table1[[#This Row],[Customer_Satisfaction]]&lt;=2,"Poor",Table1[[#This Row],[Customer_Satisfaction]]=3,"Neutral",Table1[[#This Row],[Customer_Satisfaction]]=4,"Good",Table1[[#This Row],[Customer_Satisfaction]]=5,"Good")</f>
        <v>Poor</v>
      </c>
    </row>
    <row r="2145" spans="1:27" x14ac:dyDescent="0.35">
      <c r="A2145">
        <v>22143</v>
      </c>
      <c r="B2145" s="1">
        <v>45344</v>
      </c>
      <c r="C2145" t="s">
        <v>37</v>
      </c>
      <c r="D2145" t="s">
        <v>70</v>
      </c>
      <c r="E2145" t="s">
        <v>71</v>
      </c>
      <c r="F2145" t="s">
        <v>40</v>
      </c>
      <c r="G2145" t="s">
        <v>33</v>
      </c>
      <c r="H2145" t="s">
        <v>34</v>
      </c>
      <c r="I2145" t="s">
        <v>25</v>
      </c>
      <c r="J2145" t="s">
        <v>35</v>
      </c>
      <c r="K2145" t="s">
        <v>27</v>
      </c>
      <c r="L2145" t="s">
        <v>49</v>
      </c>
      <c r="M2145" s="4">
        <v>22</v>
      </c>
      <c r="N2145" s="4">
        <v>7</v>
      </c>
      <c r="O2145" t="s">
        <v>29</v>
      </c>
      <c r="P2145" t="s">
        <v>36</v>
      </c>
      <c r="Q2145" s="4">
        <v>106084</v>
      </c>
      <c r="R2145" s="4">
        <v>87637</v>
      </c>
      <c r="S2145" s="4">
        <f>Table1[[#This Row],[Service_Revenue]]-Table1[[#This Row],[Service_Cost]]</f>
        <v>18447</v>
      </c>
      <c r="T2145" s="4">
        <v>1</v>
      </c>
      <c r="U2145" s="4">
        <f>IF(AND(Table1[[#This Row],[Rework_Flag]]="Yes",Table1[[#This Row],[Warranty_Claim]]="No"),Table1[[#This Row],[Service_Revenue]],0)</f>
        <v>106084</v>
      </c>
      <c r="V2145" s="4">
        <f>IF(Table1[[#This Row],[Warranty_Claim]]="Yes",1,0)</f>
        <v>0</v>
      </c>
      <c r="W2145" s="4">
        <f>IF(Table1[[#This Row],[Rework_Flag]]="No",1,0)</f>
        <v>0</v>
      </c>
      <c r="X2145" s="4">
        <f>IF(Table1[[#This Row],[Rework_Flag]]="Yes",1,0)</f>
        <v>1</v>
      </c>
      <c r="Y2145" s="4">
        <v>1</v>
      </c>
      <c r="Z2145" s="4" t="str">
        <f>IF(Table1[[#This Row],[TAT_Days]]&gt;Table1[[#This Row],[SLA_TAT]],"Yes","No")</f>
        <v>Yes</v>
      </c>
      <c r="AA2145" s="4" t="str" cm="1">
        <f t="array" ref="AA2145">_xlfn.IFS(Table1[[#This Row],[Customer_Satisfaction]]&lt;=2,"Poor",Table1[[#This Row],[Customer_Satisfaction]]=3,"Neutral",Table1[[#This Row],[Customer_Satisfaction]]=4,"Good",Table1[[#This Row],[Customer_Satisfaction]]=5,"Good")</f>
        <v>Poor</v>
      </c>
    </row>
    <row r="2146" spans="1:27" x14ac:dyDescent="0.35">
      <c r="A2146">
        <v>22144</v>
      </c>
      <c r="B2146" s="1">
        <v>45351</v>
      </c>
      <c r="C2146" t="s">
        <v>37</v>
      </c>
      <c r="D2146" t="s">
        <v>64</v>
      </c>
      <c r="E2146" t="s">
        <v>72</v>
      </c>
      <c r="F2146" t="s">
        <v>40</v>
      </c>
      <c r="G2146" t="s">
        <v>74</v>
      </c>
      <c r="H2146" t="s">
        <v>34</v>
      </c>
      <c r="I2146" t="s">
        <v>55</v>
      </c>
      <c r="J2146" t="s">
        <v>26</v>
      </c>
      <c r="K2146" t="s">
        <v>61</v>
      </c>
      <c r="L2146" t="s">
        <v>28</v>
      </c>
      <c r="M2146" s="4">
        <v>5</v>
      </c>
      <c r="N2146" s="4">
        <v>7</v>
      </c>
      <c r="O2146" t="s">
        <v>36</v>
      </c>
      <c r="P2146" t="s">
        <v>29</v>
      </c>
      <c r="Q2146" s="4">
        <v>259674</v>
      </c>
      <c r="R2146" s="4">
        <v>214022</v>
      </c>
      <c r="S2146" s="4">
        <f>Table1[[#This Row],[Service_Revenue]]-Table1[[#This Row],[Service_Cost]]</f>
        <v>45652</v>
      </c>
      <c r="T2146" s="4">
        <v>4</v>
      </c>
      <c r="U2146" s="4">
        <f>IF(AND(Table1[[#This Row],[Rework_Flag]]="Yes",Table1[[#This Row],[Warranty_Claim]]="No"),Table1[[#This Row],[Service_Revenue]],0)</f>
        <v>0</v>
      </c>
      <c r="V2146" s="4">
        <f>IF(Table1[[#This Row],[Warranty_Claim]]="Yes",1,0)</f>
        <v>1</v>
      </c>
      <c r="W2146" s="4">
        <f>IF(Table1[[#This Row],[Rework_Flag]]="No",1,0)</f>
        <v>1</v>
      </c>
      <c r="X2146" s="4">
        <f>IF(Table1[[#This Row],[Rework_Flag]]="Yes",1,0)</f>
        <v>0</v>
      </c>
      <c r="Y2146" s="4">
        <v>1</v>
      </c>
      <c r="Z2146" s="4" t="str">
        <f>IF(Table1[[#This Row],[TAT_Days]]&gt;Table1[[#This Row],[SLA_TAT]],"Yes","No")</f>
        <v>No</v>
      </c>
      <c r="AA2146" s="4" t="str" cm="1">
        <f t="array" ref="AA2146">_xlfn.IFS(Table1[[#This Row],[Customer_Satisfaction]]&lt;=2,"Poor",Table1[[#This Row],[Customer_Satisfaction]]=3,"Neutral",Table1[[#This Row],[Customer_Satisfaction]]=4,"Good",Table1[[#This Row],[Customer_Satisfaction]]=5,"Good")</f>
        <v>Good</v>
      </c>
    </row>
    <row r="2147" spans="1:27" x14ac:dyDescent="0.35">
      <c r="A2147">
        <v>22145</v>
      </c>
      <c r="B2147" s="1">
        <v>45347</v>
      </c>
      <c r="C2147" t="s">
        <v>50</v>
      </c>
      <c r="D2147" t="s">
        <v>51</v>
      </c>
      <c r="E2147" t="s">
        <v>73</v>
      </c>
      <c r="F2147" t="s">
        <v>40</v>
      </c>
      <c r="G2147" t="s">
        <v>47</v>
      </c>
      <c r="H2147" t="s">
        <v>48</v>
      </c>
      <c r="I2147" t="s">
        <v>55</v>
      </c>
      <c r="J2147" t="s">
        <v>43</v>
      </c>
      <c r="K2147" t="s">
        <v>61</v>
      </c>
      <c r="L2147" t="s">
        <v>28</v>
      </c>
      <c r="M2147" s="4">
        <v>22</v>
      </c>
      <c r="N2147" s="4">
        <v>7</v>
      </c>
      <c r="O2147" t="s">
        <v>36</v>
      </c>
      <c r="P2147" t="s">
        <v>29</v>
      </c>
      <c r="Q2147" s="4">
        <v>511271</v>
      </c>
      <c r="R2147" s="4">
        <v>312962</v>
      </c>
      <c r="S2147" s="4">
        <f>Table1[[#This Row],[Service_Revenue]]-Table1[[#This Row],[Service_Cost]]</f>
        <v>198309</v>
      </c>
      <c r="T2147" s="4">
        <v>1</v>
      </c>
      <c r="U2147" s="4">
        <f>IF(AND(Table1[[#This Row],[Rework_Flag]]="Yes",Table1[[#This Row],[Warranty_Claim]]="No"),Table1[[#This Row],[Service_Revenue]],0)</f>
        <v>0</v>
      </c>
      <c r="V2147" s="4">
        <f>IF(Table1[[#This Row],[Warranty_Claim]]="Yes",1,0)</f>
        <v>1</v>
      </c>
      <c r="W2147" s="4">
        <f>IF(Table1[[#This Row],[Rework_Flag]]="No",1,0)</f>
        <v>1</v>
      </c>
      <c r="X2147" s="4">
        <f>IF(Table1[[#This Row],[Rework_Flag]]="Yes",1,0)</f>
        <v>0</v>
      </c>
      <c r="Y2147" s="4">
        <v>1</v>
      </c>
      <c r="Z2147" s="4" t="str">
        <f>IF(Table1[[#This Row],[TAT_Days]]&gt;Table1[[#This Row],[SLA_TAT]],"Yes","No")</f>
        <v>Yes</v>
      </c>
      <c r="AA2147" s="4" t="str" cm="1">
        <f t="array" ref="AA2147">_xlfn.IFS(Table1[[#This Row],[Customer_Satisfaction]]&lt;=2,"Poor",Table1[[#This Row],[Customer_Satisfaction]]=3,"Neutral",Table1[[#This Row],[Customer_Satisfaction]]=4,"Good",Table1[[#This Row],[Customer_Satisfaction]]=5,"Good")</f>
        <v>Poor</v>
      </c>
    </row>
    <row r="2148" spans="1:27" x14ac:dyDescent="0.35">
      <c r="A2148">
        <v>22146</v>
      </c>
      <c r="B2148" s="1">
        <v>45445</v>
      </c>
      <c r="C2148" t="s">
        <v>37</v>
      </c>
      <c r="D2148" t="s">
        <v>64</v>
      </c>
      <c r="E2148" t="s">
        <v>103</v>
      </c>
      <c r="F2148" t="s">
        <v>40</v>
      </c>
      <c r="G2148" t="s">
        <v>33</v>
      </c>
      <c r="H2148" t="s">
        <v>34</v>
      </c>
      <c r="I2148" t="s">
        <v>55</v>
      </c>
      <c r="J2148" t="s">
        <v>35</v>
      </c>
      <c r="K2148" t="s">
        <v>27</v>
      </c>
      <c r="L2148" t="s">
        <v>49</v>
      </c>
      <c r="M2148" s="4">
        <v>7</v>
      </c>
      <c r="N2148" s="4">
        <v>7</v>
      </c>
      <c r="O2148" t="s">
        <v>36</v>
      </c>
      <c r="P2148" t="s">
        <v>29</v>
      </c>
      <c r="Q2148" s="4">
        <v>544951</v>
      </c>
      <c r="R2148" s="4">
        <v>278886</v>
      </c>
      <c r="S2148" s="4">
        <f>Table1[[#This Row],[Service_Revenue]]-Table1[[#This Row],[Service_Cost]]</f>
        <v>266065</v>
      </c>
      <c r="T2148" s="4">
        <v>4</v>
      </c>
      <c r="U2148" s="4">
        <f>IF(AND(Table1[[#This Row],[Rework_Flag]]="Yes",Table1[[#This Row],[Warranty_Claim]]="No"),Table1[[#This Row],[Service_Revenue]],0)</f>
        <v>0</v>
      </c>
      <c r="V2148" s="4">
        <f>IF(Table1[[#This Row],[Warranty_Claim]]="Yes",1,0)</f>
        <v>1</v>
      </c>
      <c r="W2148" s="4">
        <f>IF(Table1[[#This Row],[Rework_Flag]]="No",1,0)</f>
        <v>1</v>
      </c>
      <c r="X2148" s="4">
        <f>IF(Table1[[#This Row],[Rework_Flag]]="Yes",1,0)</f>
        <v>0</v>
      </c>
      <c r="Y2148" s="4">
        <v>1</v>
      </c>
      <c r="Z2148" s="4" t="str">
        <f>IF(Table1[[#This Row],[TAT_Days]]&gt;Table1[[#This Row],[SLA_TAT]],"Yes","No")</f>
        <v>No</v>
      </c>
      <c r="AA2148" s="4" t="str" cm="1">
        <f t="array" ref="AA2148">_xlfn.IFS(Table1[[#This Row],[Customer_Satisfaction]]&lt;=2,"Poor",Table1[[#This Row],[Customer_Satisfaction]]=3,"Neutral",Table1[[#This Row],[Customer_Satisfaction]]=4,"Good",Table1[[#This Row],[Customer_Satisfaction]]=5,"Good")</f>
        <v>Good</v>
      </c>
    </row>
    <row r="2149" spans="1:27" x14ac:dyDescent="0.35">
      <c r="A2149">
        <v>22147</v>
      </c>
      <c r="B2149" s="1">
        <v>45454</v>
      </c>
      <c r="C2149" t="s">
        <v>19</v>
      </c>
      <c r="D2149" t="s">
        <v>20</v>
      </c>
      <c r="E2149" t="s">
        <v>110</v>
      </c>
      <c r="F2149" t="s">
        <v>40</v>
      </c>
      <c r="G2149" t="s">
        <v>74</v>
      </c>
      <c r="H2149" t="s">
        <v>34</v>
      </c>
      <c r="I2149" t="s">
        <v>25</v>
      </c>
      <c r="J2149" t="s">
        <v>58</v>
      </c>
      <c r="K2149" t="s">
        <v>61</v>
      </c>
      <c r="L2149" t="s">
        <v>49</v>
      </c>
      <c r="M2149" s="4">
        <v>24</v>
      </c>
      <c r="N2149" s="4">
        <v>7</v>
      </c>
      <c r="O2149" t="s">
        <v>29</v>
      </c>
      <c r="P2149" t="s">
        <v>36</v>
      </c>
      <c r="Q2149" s="4">
        <v>181003</v>
      </c>
      <c r="R2149" s="4">
        <v>116158</v>
      </c>
      <c r="S2149" s="4">
        <f>Table1[[#This Row],[Service_Revenue]]-Table1[[#This Row],[Service_Cost]]</f>
        <v>64845</v>
      </c>
      <c r="T2149" s="4">
        <v>1</v>
      </c>
      <c r="U2149" s="4">
        <f>IF(AND(Table1[[#This Row],[Rework_Flag]]="Yes",Table1[[#This Row],[Warranty_Claim]]="No"),Table1[[#This Row],[Service_Revenue]],0)</f>
        <v>181003</v>
      </c>
      <c r="V2149" s="4">
        <f>IF(Table1[[#This Row],[Warranty_Claim]]="Yes",1,0)</f>
        <v>0</v>
      </c>
      <c r="W2149" s="4">
        <f>IF(Table1[[#This Row],[Rework_Flag]]="No",1,0)</f>
        <v>0</v>
      </c>
      <c r="X2149" s="4">
        <f>IF(Table1[[#This Row],[Rework_Flag]]="Yes",1,0)</f>
        <v>1</v>
      </c>
      <c r="Y2149" s="4">
        <v>1</v>
      </c>
      <c r="Z2149" s="4" t="str">
        <f>IF(Table1[[#This Row],[TAT_Days]]&gt;Table1[[#This Row],[SLA_TAT]],"Yes","No")</f>
        <v>Yes</v>
      </c>
      <c r="AA2149" s="4" t="str" cm="1">
        <f t="array" ref="AA2149">_xlfn.IFS(Table1[[#This Row],[Customer_Satisfaction]]&lt;=2,"Poor",Table1[[#This Row],[Customer_Satisfaction]]=3,"Neutral",Table1[[#This Row],[Customer_Satisfaction]]=4,"Good",Table1[[#This Row],[Customer_Satisfaction]]=5,"Good")</f>
        <v>Poor</v>
      </c>
    </row>
    <row r="2150" spans="1:27" x14ac:dyDescent="0.35">
      <c r="A2150">
        <v>22148</v>
      </c>
      <c r="B2150" s="1">
        <v>45456</v>
      </c>
      <c r="C2150" t="s">
        <v>37</v>
      </c>
      <c r="D2150" t="s">
        <v>64</v>
      </c>
      <c r="E2150" t="s">
        <v>103</v>
      </c>
      <c r="F2150" t="s">
        <v>53</v>
      </c>
      <c r="G2150" t="s">
        <v>41</v>
      </c>
      <c r="H2150" t="s">
        <v>42</v>
      </c>
      <c r="I2150" t="s">
        <v>55</v>
      </c>
      <c r="J2150" t="s">
        <v>58</v>
      </c>
      <c r="K2150" t="s">
        <v>44</v>
      </c>
      <c r="L2150" t="s">
        <v>49</v>
      </c>
      <c r="M2150" s="4">
        <v>6</v>
      </c>
      <c r="N2150" s="4">
        <v>7</v>
      </c>
      <c r="O2150" t="s">
        <v>36</v>
      </c>
      <c r="P2150" t="s">
        <v>29</v>
      </c>
      <c r="Q2150" s="4">
        <v>204397</v>
      </c>
      <c r="R2150" s="4">
        <v>169685</v>
      </c>
      <c r="S2150" s="4">
        <f>Table1[[#This Row],[Service_Revenue]]-Table1[[#This Row],[Service_Cost]]</f>
        <v>34712</v>
      </c>
      <c r="T2150" s="4">
        <v>4</v>
      </c>
      <c r="U2150" s="4">
        <f>IF(AND(Table1[[#This Row],[Rework_Flag]]="Yes",Table1[[#This Row],[Warranty_Claim]]="No"),Table1[[#This Row],[Service_Revenue]],0)</f>
        <v>0</v>
      </c>
      <c r="V2150" s="4">
        <f>IF(Table1[[#This Row],[Warranty_Claim]]="Yes",1,0)</f>
        <v>1</v>
      </c>
      <c r="W2150" s="4">
        <f>IF(Table1[[#This Row],[Rework_Flag]]="No",1,0)</f>
        <v>1</v>
      </c>
      <c r="X2150" s="4">
        <f>IF(Table1[[#This Row],[Rework_Flag]]="Yes",1,0)</f>
        <v>0</v>
      </c>
      <c r="Y2150" s="4">
        <v>1</v>
      </c>
      <c r="Z2150" s="4" t="str">
        <f>IF(Table1[[#This Row],[TAT_Days]]&gt;Table1[[#This Row],[SLA_TAT]],"Yes","No")</f>
        <v>No</v>
      </c>
      <c r="AA2150" s="4" t="str" cm="1">
        <f t="array" ref="AA2150">_xlfn.IFS(Table1[[#This Row],[Customer_Satisfaction]]&lt;=2,"Poor",Table1[[#This Row],[Customer_Satisfaction]]=3,"Neutral",Table1[[#This Row],[Customer_Satisfaction]]=4,"Good",Table1[[#This Row],[Customer_Satisfaction]]=5,"Good")</f>
        <v>Good</v>
      </c>
    </row>
    <row r="2151" spans="1:27" x14ac:dyDescent="0.35">
      <c r="A2151">
        <v>22149</v>
      </c>
      <c r="B2151" s="1">
        <v>45366</v>
      </c>
      <c r="C2151" t="s">
        <v>50</v>
      </c>
      <c r="D2151" t="s">
        <v>80</v>
      </c>
      <c r="E2151" t="s">
        <v>81</v>
      </c>
      <c r="F2151" t="s">
        <v>22</v>
      </c>
      <c r="G2151" t="s">
        <v>47</v>
      </c>
      <c r="H2151" t="s">
        <v>48</v>
      </c>
      <c r="I2151" t="s">
        <v>55</v>
      </c>
      <c r="J2151" t="s">
        <v>35</v>
      </c>
      <c r="K2151" t="s">
        <v>61</v>
      </c>
      <c r="L2151" t="s">
        <v>28</v>
      </c>
      <c r="M2151" s="4">
        <v>20</v>
      </c>
      <c r="N2151" s="4">
        <v>7</v>
      </c>
      <c r="O2151" t="s">
        <v>29</v>
      </c>
      <c r="P2151" t="s">
        <v>36</v>
      </c>
      <c r="Q2151" s="4">
        <v>426105</v>
      </c>
      <c r="R2151" s="4">
        <v>237270</v>
      </c>
      <c r="S2151" s="4">
        <f>Table1[[#This Row],[Service_Revenue]]-Table1[[#This Row],[Service_Cost]]</f>
        <v>188835</v>
      </c>
      <c r="T2151" s="4">
        <v>1</v>
      </c>
      <c r="U2151" s="4">
        <f>IF(AND(Table1[[#This Row],[Rework_Flag]]="Yes",Table1[[#This Row],[Warranty_Claim]]="No"),Table1[[#This Row],[Service_Revenue]],0)</f>
        <v>426105</v>
      </c>
      <c r="V2151" s="4">
        <f>IF(Table1[[#This Row],[Warranty_Claim]]="Yes",1,0)</f>
        <v>0</v>
      </c>
      <c r="W2151" s="4">
        <f>IF(Table1[[#This Row],[Rework_Flag]]="No",1,0)</f>
        <v>0</v>
      </c>
      <c r="X2151" s="4">
        <f>IF(Table1[[#This Row],[Rework_Flag]]="Yes",1,0)</f>
        <v>1</v>
      </c>
      <c r="Y2151" s="4">
        <v>1</v>
      </c>
      <c r="Z2151" s="4" t="str">
        <f>IF(Table1[[#This Row],[TAT_Days]]&gt;Table1[[#This Row],[SLA_TAT]],"Yes","No")</f>
        <v>Yes</v>
      </c>
      <c r="AA2151" s="4" t="str" cm="1">
        <f t="array" ref="AA2151">_xlfn.IFS(Table1[[#This Row],[Customer_Satisfaction]]&lt;=2,"Poor",Table1[[#This Row],[Customer_Satisfaction]]=3,"Neutral",Table1[[#This Row],[Customer_Satisfaction]]=4,"Good",Table1[[#This Row],[Customer_Satisfaction]]=5,"Good")</f>
        <v>Poor</v>
      </c>
    </row>
    <row r="2152" spans="1:27" x14ac:dyDescent="0.35">
      <c r="A2152">
        <v>22150</v>
      </c>
      <c r="B2152" s="1">
        <v>45365</v>
      </c>
      <c r="C2152" t="s">
        <v>50</v>
      </c>
      <c r="D2152" t="s">
        <v>80</v>
      </c>
      <c r="E2152" t="s">
        <v>81</v>
      </c>
      <c r="F2152" t="s">
        <v>22</v>
      </c>
      <c r="G2152" t="s">
        <v>74</v>
      </c>
      <c r="H2152" t="s">
        <v>34</v>
      </c>
      <c r="I2152" t="s">
        <v>25</v>
      </c>
      <c r="J2152" t="s">
        <v>26</v>
      </c>
      <c r="K2152" t="s">
        <v>61</v>
      </c>
      <c r="L2152" t="s">
        <v>49</v>
      </c>
      <c r="M2152" s="4">
        <v>4</v>
      </c>
      <c r="N2152" s="4">
        <v>7</v>
      </c>
      <c r="O2152" t="s">
        <v>36</v>
      </c>
      <c r="P2152" t="s">
        <v>36</v>
      </c>
      <c r="Q2152" s="4">
        <v>551685</v>
      </c>
      <c r="R2152" s="4">
        <v>327874</v>
      </c>
      <c r="S2152" s="4">
        <f>Table1[[#This Row],[Service_Revenue]]-Table1[[#This Row],[Service_Cost]]</f>
        <v>223811</v>
      </c>
      <c r="T2152" s="4">
        <v>5</v>
      </c>
      <c r="U2152" s="4">
        <f>IF(AND(Table1[[#This Row],[Rework_Flag]]="Yes",Table1[[#This Row],[Warranty_Claim]]="No"),Table1[[#This Row],[Service_Revenue]],0)</f>
        <v>0</v>
      </c>
      <c r="V2152" s="4">
        <f>IF(Table1[[#This Row],[Warranty_Claim]]="Yes",1,0)</f>
        <v>0</v>
      </c>
      <c r="W2152" s="4">
        <f>IF(Table1[[#This Row],[Rework_Flag]]="No",1,0)</f>
        <v>1</v>
      </c>
      <c r="X2152" s="4">
        <f>IF(Table1[[#This Row],[Rework_Flag]]="Yes",1,0)</f>
        <v>0</v>
      </c>
      <c r="Y2152" s="4">
        <v>1</v>
      </c>
      <c r="Z2152" s="4" t="str">
        <f>IF(Table1[[#This Row],[TAT_Days]]&gt;Table1[[#This Row],[SLA_TAT]],"Yes","No")</f>
        <v>No</v>
      </c>
      <c r="AA2152" s="4" t="str" cm="1">
        <f t="array" ref="AA2152">_xlfn.IFS(Table1[[#This Row],[Customer_Satisfaction]]&lt;=2,"Poor",Table1[[#This Row],[Customer_Satisfaction]]=3,"Neutral",Table1[[#This Row],[Customer_Satisfaction]]=4,"Good",Table1[[#This Row],[Customer_Satisfaction]]=5,"Good")</f>
        <v>Good</v>
      </c>
    </row>
    <row r="2153" spans="1:27" x14ac:dyDescent="0.35">
      <c r="A2153">
        <v>22151</v>
      </c>
      <c r="B2153" s="1">
        <v>45386</v>
      </c>
      <c r="C2153" t="s">
        <v>37</v>
      </c>
      <c r="D2153" t="s">
        <v>38</v>
      </c>
      <c r="E2153" t="s">
        <v>107</v>
      </c>
      <c r="F2153" t="s">
        <v>53</v>
      </c>
      <c r="G2153" t="s">
        <v>47</v>
      </c>
      <c r="H2153" t="s">
        <v>48</v>
      </c>
      <c r="I2153" t="s">
        <v>55</v>
      </c>
      <c r="J2153" t="s">
        <v>58</v>
      </c>
      <c r="K2153" t="s">
        <v>61</v>
      </c>
      <c r="L2153" t="s">
        <v>28</v>
      </c>
      <c r="M2153" s="4">
        <v>19</v>
      </c>
      <c r="N2153" s="4">
        <v>7</v>
      </c>
      <c r="O2153" t="s">
        <v>36</v>
      </c>
      <c r="P2153" t="s">
        <v>29</v>
      </c>
      <c r="Q2153" s="4">
        <v>94089</v>
      </c>
      <c r="R2153" s="4">
        <v>54757</v>
      </c>
      <c r="S2153" s="4">
        <f>Table1[[#This Row],[Service_Revenue]]-Table1[[#This Row],[Service_Cost]]</f>
        <v>39332</v>
      </c>
      <c r="T2153" s="4">
        <v>2</v>
      </c>
      <c r="U2153" s="4">
        <f>IF(AND(Table1[[#This Row],[Rework_Flag]]="Yes",Table1[[#This Row],[Warranty_Claim]]="No"),Table1[[#This Row],[Service_Revenue]],0)</f>
        <v>0</v>
      </c>
      <c r="V2153" s="4">
        <f>IF(Table1[[#This Row],[Warranty_Claim]]="Yes",1,0)</f>
        <v>1</v>
      </c>
      <c r="W2153" s="4">
        <f>IF(Table1[[#This Row],[Rework_Flag]]="No",1,0)</f>
        <v>1</v>
      </c>
      <c r="X2153" s="4">
        <f>IF(Table1[[#This Row],[Rework_Flag]]="Yes",1,0)</f>
        <v>0</v>
      </c>
      <c r="Y2153" s="4">
        <v>1</v>
      </c>
      <c r="Z2153" s="4" t="str">
        <f>IF(Table1[[#This Row],[TAT_Days]]&gt;Table1[[#This Row],[SLA_TAT]],"Yes","No")</f>
        <v>Yes</v>
      </c>
      <c r="AA2153" s="4" t="str" cm="1">
        <f t="array" ref="AA2153">_xlfn.IFS(Table1[[#This Row],[Customer_Satisfaction]]&lt;=2,"Poor",Table1[[#This Row],[Customer_Satisfaction]]=3,"Neutral",Table1[[#This Row],[Customer_Satisfaction]]=4,"Good",Table1[[#This Row],[Customer_Satisfaction]]=5,"Good")</f>
        <v>Poor</v>
      </c>
    </row>
    <row r="2154" spans="1:27" x14ac:dyDescent="0.35">
      <c r="A2154">
        <v>22152</v>
      </c>
      <c r="B2154" s="1">
        <v>45369</v>
      </c>
      <c r="C2154" t="s">
        <v>19</v>
      </c>
      <c r="D2154" t="s">
        <v>20</v>
      </c>
      <c r="E2154" t="s">
        <v>89</v>
      </c>
      <c r="F2154" t="s">
        <v>22</v>
      </c>
      <c r="G2154" t="s">
        <v>63</v>
      </c>
      <c r="H2154" t="s">
        <v>24</v>
      </c>
      <c r="I2154" t="s">
        <v>25</v>
      </c>
      <c r="J2154" t="s">
        <v>67</v>
      </c>
      <c r="K2154" t="s">
        <v>61</v>
      </c>
      <c r="L2154" t="s">
        <v>49</v>
      </c>
      <c r="M2154" s="4">
        <v>22</v>
      </c>
      <c r="N2154" s="4">
        <v>7</v>
      </c>
      <c r="O2154" t="s">
        <v>36</v>
      </c>
      <c r="P2154" t="s">
        <v>36</v>
      </c>
      <c r="Q2154" s="4">
        <v>155613</v>
      </c>
      <c r="R2154" s="4">
        <v>103889</v>
      </c>
      <c r="S2154" s="4">
        <f>Table1[[#This Row],[Service_Revenue]]-Table1[[#This Row],[Service_Cost]]</f>
        <v>51724</v>
      </c>
      <c r="T2154" s="4">
        <v>1</v>
      </c>
      <c r="U2154" s="4">
        <f>IF(AND(Table1[[#This Row],[Rework_Flag]]="Yes",Table1[[#This Row],[Warranty_Claim]]="No"),Table1[[#This Row],[Service_Revenue]],0)</f>
        <v>0</v>
      </c>
      <c r="V2154" s="4">
        <f>IF(Table1[[#This Row],[Warranty_Claim]]="Yes",1,0)</f>
        <v>0</v>
      </c>
      <c r="W2154" s="4">
        <f>IF(Table1[[#This Row],[Rework_Flag]]="No",1,0)</f>
        <v>1</v>
      </c>
      <c r="X2154" s="4">
        <f>IF(Table1[[#This Row],[Rework_Flag]]="Yes",1,0)</f>
        <v>0</v>
      </c>
      <c r="Y2154" s="4">
        <v>1</v>
      </c>
      <c r="Z2154" s="4" t="str">
        <f>IF(Table1[[#This Row],[TAT_Days]]&gt;Table1[[#This Row],[SLA_TAT]],"Yes","No")</f>
        <v>Yes</v>
      </c>
      <c r="AA2154" s="4" t="str" cm="1">
        <f t="array" ref="AA2154">_xlfn.IFS(Table1[[#This Row],[Customer_Satisfaction]]&lt;=2,"Poor",Table1[[#This Row],[Customer_Satisfaction]]=3,"Neutral",Table1[[#This Row],[Customer_Satisfaction]]=4,"Good",Table1[[#This Row],[Customer_Satisfaction]]=5,"Good")</f>
        <v>Poor</v>
      </c>
    </row>
    <row r="2155" spans="1:27" x14ac:dyDescent="0.35">
      <c r="A2155">
        <v>22153</v>
      </c>
      <c r="B2155" s="1">
        <v>45351</v>
      </c>
      <c r="C2155" t="s">
        <v>50</v>
      </c>
      <c r="D2155" t="s">
        <v>80</v>
      </c>
      <c r="E2155" t="s">
        <v>121</v>
      </c>
      <c r="F2155" t="s">
        <v>53</v>
      </c>
      <c r="G2155" t="s">
        <v>54</v>
      </c>
      <c r="H2155" t="s">
        <v>42</v>
      </c>
      <c r="I2155" t="s">
        <v>25</v>
      </c>
      <c r="J2155" t="s">
        <v>58</v>
      </c>
      <c r="K2155" t="s">
        <v>61</v>
      </c>
      <c r="L2155" t="s">
        <v>49</v>
      </c>
      <c r="M2155" s="4">
        <v>23</v>
      </c>
      <c r="N2155" s="4">
        <v>7</v>
      </c>
      <c r="O2155" t="s">
        <v>36</v>
      </c>
      <c r="P2155" t="s">
        <v>29</v>
      </c>
      <c r="Q2155" s="4">
        <v>592965</v>
      </c>
      <c r="R2155" s="4">
        <v>427558</v>
      </c>
      <c r="S2155" s="4">
        <f>Table1[[#This Row],[Service_Revenue]]-Table1[[#This Row],[Service_Cost]]</f>
        <v>165407</v>
      </c>
      <c r="T2155" s="4">
        <v>1</v>
      </c>
      <c r="U2155" s="4">
        <f>IF(AND(Table1[[#This Row],[Rework_Flag]]="Yes",Table1[[#This Row],[Warranty_Claim]]="No"),Table1[[#This Row],[Service_Revenue]],0)</f>
        <v>0</v>
      </c>
      <c r="V2155" s="4">
        <f>IF(Table1[[#This Row],[Warranty_Claim]]="Yes",1,0)</f>
        <v>1</v>
      </c>
      <c r="W2155" s="4">
        <f>IF(Table1[[#This Row],[Rework_Flag]]="No",1,0)</f>
        <v>1</v>
      </c>
      <c r="X2155" s="4">
        <f>IF(Table1[[#This Row],[Rework_Flag]]="Yes",1,0)</f>
        <v>0</v>
      </c>
      <c r="Y2155" s="4">
        <v>1</v>
      </c>
      <c r="Z2155" s="4" t="str">
        <f>IF(Table1[[#This Row],[TAT_Days]]&gt;Table1[[#This Row],[SLA_TAT]],"Yes","No")</f>
        <v>Yes</v>
      </c>
      <c r="AA2155" s="4" t="str" cm="1">
        <f t="array" ref="AA2155">_xlfn.IFS(Table1[[#This Row],[Customer_Satisfaction]]&lt;=2,"Poor",Table1[[#This Row],[Customer_Satisfaction]]=3,"Neutral",Table1[[#This Row],[Customer_Satisfaction]]=4,"Good",Table1[[#This Row],[Customer_Satisfaction]]=5,"Good")</f>
        <v>Poor</v>
      </c>
    </row>
    <row r="2156" spans="1:27" x14ac:dyDescent="0.35">
      <c r="A2156">
        <v>22154</v>
      </c>
      <c r="B2156" s="1">
        <v>45468</v>
      </c>
      <c r="C2156" t="s">
        <v>37</v>
      </c>
      <c r="D2156" t="s">
        <v>70</v>
      </c>
      <c r="E2156" t="s">
        <v>82</v>
      </c>
      <c r="F2156" t="s">
        <v>22</v>
      </c>
      <c r="G2156" t="s">
        <v>74</v>
      </c>
      <c r="H2156" t="s">
        <v>34</v>
      </c>
      <c r="I2156" t="s">
        <v>25</v>
      </c>
      <c r="J2156" t="s">
        <v>26</v>
      </c>
      <c r="K2156" t="s">
        <v>27</v>
      </c>
      <c r="L2156" t="s">
        <v>28</v>
      </c>
      <c r="M2156" s="4">
        <v>17</v>
      </c>
      <c r="N2156" s="4">
        <v>7</v>
      </c>
      <c r="O2156" t="s">
        <v>29</v>
      </c>
      <c r="P2156" t="s">
        <v>29</v>
      </c>
      <c r="Q2156" s="4">
        <v>126231</v>
      </c>
      <c r="R2156" s="4">
        <v>95955</v>
      </c>
      <c r="S2156" s="4">
        <f>Table1[[#This Row],[Service_Revenue]]-Table1[[#This Row],[Service_Cost]]</f>
        <v>30276</v>
      </c>
      <c r="T2156" s="4">
        <v>1</v>
      </c>
      <c r="U2156" s="4">
        <f>IF(AND(Table1[[#This Row],[Rework_Flag]]="Yes",Table1[[#This Row],[Warranty_Claim]]="No"),Table1[[#This Row],[Service_Revenue]],0)</f>
        <v>0</v>
      </c>
      <c r="V2156" s="4">
        <f>IF(Table1[[#This Row],[Warranty_Claim]]="Yes",1,0)</f>
        <v>1</v>
      </c>
      <c r="W2156" s="4">
        <f>IF(Table1[[#This Row],[Rework_Flag]]="No",1,0)</f>
        <v>0</v>
      </c>
      <c r="X2156" s="4">
        <f>IF(Table1[[#This Row],[Rework_Flag]]="Yes",1,0)</f>
        <v>1</v>
      </c>
      <c r="Y2156" s="4">
        <v>1</v>
      </c>
      <c r="Z2156" s="4" t="str">
        <f>IF(Table1[[#This Row],[TAT_Days]]&gt;Table1[[#This Row],[SLA_TAT]],"Yes","No")</f>
        <v>Yes</v>
      </c>
      <c r="AA2156" s="4" t="str" cm="1">
        <f t="array" ref="AA2156">_xlfn.IFS(Table1[[#This Row],[Customer_Satisfaction]]&lt;=2,"Poor",Table1[[#This Row],[Customer_Satisfaction]]=3,"Neutral",Table1[[#This Row],[Customer_Satisfaction]]=4,"Good",Table1[[#This Row],[Customer_Satisfaction]]=5,"Good")</f>
        <v>Poor</v>
      </c>
    </row>
    <row r="2157" spans="1:27" x14ac:dyDescent="0.35">
      <c r="A2157">
        <v>22155</v>
      </c>
      <c r="B2157" s="1">
        <v>45408</v>
      </c>
      <c r="C2157" t="s">
        <v>30</v>
      </c>
      <c r="D2157" t="s">
        <v>83</v>
      </c>
      <c r="E2157" t="s">
        <v>119</v>
      </c>
      <c r="F2157" t="s">
        <v>22</v>
      </c>
      <c r="G2157" t="s">
        <v>41</v>
      </c>
      <c r="H2157" t="s">
        <v>42</v>
      </c>
      <c r="I2157" t="s">
        <v>25</v>
      </c>
      <c r="J2157" t="s">
        <v>26</v>
      </c>
      <c r="K2157" t="s">
        <v>61</v>
      </c>
      <c r="L2157" t="s">
        <v>28</v>
      </c>
      <c r="M2157" s="4">
        <v>2</v>
      </c>
      <c r="N2157" s="4">
        <v>7</v>
      </c>
      <c r="O2157" t="s">
        <v>29</v>
      </c>
      <c r="P2157" t="s">
        <v>36</v>
      </c>
      <c r="Q2157" s="4">
        <v>585884</v>
      </c>
      <c r="R2157" s="4">
        <v>435085</v>
      </c>
      <c r="S2157" s="4">
        <f>Table1[[#This Row],[Service_Revenue]]-Table1[[#This Row],[Service_Cost]]</f>
        <v>150799</v>
      </c>
      <c r="T2157" s="4">
        <v>4</v>
      </c>
      <c r="U2157" s="4">
        <f>IF(AND(Table1[[#This Row],[Rework_Flag]]="Yes",Table1[[#This Row],[Warranty_Claim]]="No"),Table1[[#This Row],[Service_Revenue]],0)</f>
        <v>585884</v>
      </c>
      <c r="V2157" s="4">
        <f>IF(Table1[[#This Row],[Warranty_Claim]]="Yes",1,0)</f>
        <v>0</v>
      </c>
      <c r="W2157" s="4">
        <f>IF(Table1[[#This Row],[Rework_Flag]]="No",1,0)</f>
        <v>0</v>
      </c>
      <c r="X2157" s="4">
        <f>IF(Table1[[#This Row],[Rework_Flag]]="Yes",1,0)</f>
        <v>1</v>
      </c>
      <c r="Y2157" s="4">
        <v>1</v>
      </c>
      <c r="Z2157" s="4" t="str">
        <f>IF(Table1[[#This Row],[TAT_Days]]&gt;Table1[[#This Row],[SLA_TAT]],"Yes","No")</f>
        <v>No</v>
      </c>
      <c r="AA2157" s="4" t="str" cm="1">
        <f t="array" ref="AA2157">_xlfn.IFS(Table1[[#This Row],[Customer_Satisfaction]]&lt;=2,"Poor",Table1[[#This Row],[Customer_Satisfaction]]=3,"Neutral",Table1[[#This Row],[Customer_Satisfaction]]=4,"Good",Table1[[#This Row],[Customer_Satisfaction]]=5,"Good")</f>
        <v>Good</v>
      </c>
    </row>
    <row r="2158" spans="1:27" x14ac:dyDescent="0.35">
      <c r="A2158">
        <v>22156</v>
      </c>
      <c r="B2158" s="1">
        <v>45357</v>
      </c>
      <c r="C2158" t="s">
        <v>19</v>
      </c>
      <c r="D2158" t="s">
        <v>96</v>
      </c>
      <c r="E2158" t="s">
        <v>109</v>
      </c>
      <c r="F2158" t="s">
        <v>53</v>
      </c>
      <c r="G2158" t="s">
        <v>33</v>
      </c>
      <c r="H2158" t="s">
        <v>34</v>
      </c>
      <c r="I2158" t="s">
        <v>25</v>
      </c>
      <c r="J2158" t="s">
        <v>58</v>
      </c>
      <c r="K2158" t="s">
        <v>27</v>
      </c>
      <c r="L2158" t="s">
        <v>28</v>
      </c>
      <c r="M2158" s="4">
        <v>25</v>
      </c>
      <c r="N2158" s="4">
        <v>7</v>
      </c>
      <c r="O2158" t="s">
        <v>29</v>
      </c>
      <c r="P2158" t="s">
        <v>36</v>
      </c>
      <c r="Q2158" s="4">
        <v>401512</v>
      </c>
      <c r="R2158" s="4">
        <v>210076</v>
      </c>
      <c r="S2158" s="4">
        <f>Table1[[#This Row],[Service_Revenue]]-Table1[[#This Row],[Service_Cost]]</f>
        <v>191436</v>
      </c>
      <c r="T2158" s="4">
        <v>1</v>
      </c>
      <c r="U2158" s="4">
        <f>IF(AND(Table1[[#This Row],[Rework_Flag]]="Yes",Table1[[#This Row],[Warranty_Claim]]="No"),Table1[[#This Row],[Service_Revenue]],0)</f>
        <v>401512</v>
      </c>
      <c r="V2158" s="4">
        <f>IF(Table1[[#This Row],[Warranty_Claim]]="Yes",1,0)</f>
        <v>0</v>
      </c>
      <c r="W2158" s="4">
        <f>IF(Table1[[#This Row],[Rework_Flag]]="No",1,0)</f>
        <v>0</v>
      </c>
      <c r="X2158" s="4">
        <f>IF(Table1[[#This Row],[Rework_Flag]]="Yes",1,0)</f>
        <v>1</v>
      </c>
      <c r="Y2158" s="4">
        <v>1</v>
      </c>
      <c r="Z2158" s="4" t="str">
        <f>IF(Table1[[#This Row],[TAT_Days]]&gt;Table1[[#This Row],[SLA_TAT]],"Yes","No")</f>
        <v>Yes</v>
      </c>
      <c r="AA2158" s="4" t="str" cm="1">
        <f t="array" ref="AA2158">_xlfn.IFS(Table1[[#This Row],[Customer_Satisfaction]]&lt;=2,"Poor",Table1[[#This Row],[Customer_Satisfaction]]=3,"Neutral",Table1[[#This Row],[Customer_Satisfaction]]=4,"Good",Table1[[#This Row],[Customer_Satisfaction]]=5,"Good")</f>
        <v>Poor</v>
      </c>
    </row>
    <row r="2159" spans="1:27" x14ac:dyDescent="0.35">
      <c r="A2159">
        <v>22157</v>
      </c>
      <c r="B2159" s="1">
        <v>45381</v>
      </c>
      <c r="C2159" t="s">
        <v>50</v>
      </c>
      <c r="D2159" t="s">
        <v>56</v>
      </c>
      <c r="E2159" t="s">
        <v>77</v>
      </c>
      <c r="F2159" t="s">
        <v>53</v>
      </c>
      <c r="G2159" t="s">
        <v>33</v>
      </c>
      <c r="H2159" t="s">
        <v>34</v>
      </c>
      <c r="I2159" t="s">
        <v>25</v>
      </c>
      <c r="J2159" t="s">
        <v>43</v>
      </c>
      <c r="K2159" t="s">
        <v>44</v>
      </c>
      <c r="L2159" t="s">
        <v>28</v>
      </c>
      <c r="M2159" s="4">
        <v>15</v>
      </c>
      <c r="N2159" s="4">
        <v>7</v>
      </c>
      <c r="O2159" t="s">
        <v>29</v>
      </c>
      <c r="P2159" t="s">
        <v>36</v>
      </c>
      <c r="Q2159" s="4">
        <v>121730</v>
      </c>
      <c r="R2159" s="4">
        <v>74036</v>
      </c>
      <c r="S2159" s="4">
        <f>Table1[[#This Row],[Service_Revenue]]-Table1[[#This Row],[Service_Cost]]</f>
        <v>47694</v>
      </c>
      <c r="T2159" s="4">
        <v>1</v>
      </c>
      <c r="U2159" s="4">
        <f>IF(AND(Table1[[#This Row],[Rework_Flag]]="Yes",Table1[[#This Row],[Warranty_Claim]]="No"),Table1[[#This Row],[Service_Revenue]],0)</f>
        <v>121730</v>
      </c>
      <c r="V2159" s="4">
        <f>IF(Table1[[#This Row],[Warranty_Claim]]="Yes",1,0)</f>
        <v>0</v>
      </c>
      <c r="W2159" s="4">
        <f>IF(Table1[[#This Row],[Rework_Flag]]="No",1,0)</f>
        <v>0</v>
      </c>
      <c r="X2159" s="4">
        <f>IF(Table1[[#This Row],[Rework_Flag]]="Yes",1,0)</f>
        <v>1</v>
      </c>
      <c r="Y2159" s="4">
        <v>1</v>
      </c>
      <c r="Z2159" s="4" t="str">
        <f>IF(Table1[[#This Row],[TAT_Days]]&gt;Table1[[#This Row],[SLA_TAT]],"Yes","No")</f>
        <v>Yes</v>
      </c>
      <c r="AA2159" s="4" t="str" cm="1">
        <f t="array" ref="AA2159">_xlfn.IFS(Table1[[#This Row],[Customer_Satisfaction]]&lt;=2,"Poor",Table1[[#This Row],[Customer_Satisfaction]]=3,"Neutral",Table1[[#This Row],[Customer_Satisfaction]]=4,"Good",Table1[[#This Row],[Customer_Satisfaction]]=5,"Good")</f>
        <v>Poor</v>
      </c>
    </row>
    <row r="2160" spans="1:27" x14ac:dyDescent="0.35">
      <c r="A2160">
        <v>22158</v>
      </c>
      <c r="B2160" s="1">
        <v>45299</v>
      </c>
      <c r="C2160" t="s">
        <v>19</v>
      </c>
      <c r="D2160" t="s">
        <v>96</v>
      </c>
      <c r="E2160" t="s">
        <v>105</v>
      </c>
      <c r="F2160" t="s">
        <v>53</v>
      </c>
      <c r="G2160" t="s">
        <v>63</v>
      </c>
      <c r="H2160" t="s">
        <v>24</v>
      </c>
      <c r="I2160" t="s">
        <v>55</v>
      </c>
      <c r="J2160" t="s">
        <v>67</v>
      </c>
      <c r="K2160" t="s">
        <v>27</v>
      </c>
      <c r="L2160" t="s">
        <v>49</v>
      </c>
      <c r="M2160" s="4">
        <v>24</v>
      </c>
      <c r="N2160" s="4">
        <v>7</v>
      </c>
      <c r="O2160" t="s">
        <v>29</v>
      </c>
      <c r="P2160" t="s">
        <v>29</v>
      </c>
      <c r="Q2160" s="4">
        <v>308462</v>
      </c>
      <c r="R2160" s="4">
        <v>210852</v>
      </c>
      <c r="S2160" s="4">
        <f>Table1[[#This Row],[Service_Revenue]]-Table1[[#This Row],[Service_Cost]]</f>
        <v>97610</v>
      </c>
      <c r="T2160" s="4">
        <v>1</v>
      </c>
      <c r="U2160" s="4">
        <f>IF(AND(Table1[[#This Row],[Rework_Flag]]="Yes",Table1[[#This Row],[Warranty_Claim]]="No"),Table1[[#This Row],[Service_Revenue]],0)</f>
        <v>0</v>
      </c>
      <c r="V2160" s="4">
        <f>IF(Table1[[#This Row],[Warranty_Claim]]="Yes",1,0)</f>
        <v>1</v>
      </c>
      <c r="W2160" s="4">
        <f>IF(Table1[[#This Row],[Rework_Flag]]="No",1,0)</f>
        <v>0</v>
      </c>
      <c r="X2160" s="4">
        <f>IF(Table1[[#This Row],[Rework_Flag]]="Yes",1,0)</f>
        <v>1</v>
      </c>
      <c r="Y2160" s="4">
        <v>1</v>
      </c>
      <c r="Z2160" s="4" t="str">
        <f>IF(Table1[[#This Row],[TAT_Days]]&gt;Table1[[#This Row],[SLA_TAT]],"Yes","No")</f>
        <v>Yes</v>
      </c>
      <c r="AA2160" s="4" t="str" cm="1">
        <f t="array" ref="AA2160">_xlfn.IFS(Table1[[#This Row],[Customer_Satisfaction]]&lt;=2,"Poor",Table1[[#This Row],[Customer_Satisfaction]]=3,"Neutral",Table1[[#This Row],[Customer_Satisfaction]]=4,"Good",Table1[[#This Row],[Customer_Satisfaction]]=5,"Good")</f>
        <v>Poor</v>
      </c>
    </row>
    <row r="2161" spans="1:27" x14ac:dyDescent="0.35">
      <c r="A2161">
        <v>22159</v>
      </c>
      <c r="B2161" s="1">
        <v>45457</v>
      </c>
      <c r="C2161" t="s">
        <v>19</v>
      </c>
      <c r="D2161" t="s">
        <v>96</v>
      </c>
      <c r="E2161" t="s">
        <v>105</v>
      </c>
      <c r="F2161" t="s">
        <v>53</v>
      </c>
      <c r="G2161" t="s">
        <v>33</v>
      </c>
      <c r="H2161" t="s">
        <v>34</v>
      </c>
      <c r="I2161" t="s">
        <v>55</v>
      </c>
      <c r="J2161" t="s">
        <v>58</v>
      </c>
      <c r="K2161" t="s">
        <v>61</v>
      </c>
      <c r="L2161" t="s">
        <v>28</v>
      </c>
      <c r="M2161" s="4">
        <v>5</v>
      </c>
      <c r="N2161" s="4">
        <v>7</v>
      </c>
      <c r="O2161" t="s">
        <v>36</v>
      </c>
      <c r="P2161" t="s">
        <v>36</v>
      </c>
      <c r="Q2161" s="4">
        <v>538449</v>
      </c>
      <c r="R2161" s="4">
        <v>280951</v>
      </c>
      <c r="S2161" s="4">
        <f>Table1[[#This Row],[Service_Revenue]]-Table1[[#This Row],[Service_Cost]]</f>
        <v>257498</v>
      </c>
      <c r="T2161" s="4">
        <v>4</v>
      </c>
      <c r="U2161" s="4">
        <f>IF(AND(Table1[[#This Row],[Rework_Flag]]="Yes",Table1[[#This Row],[Warranty_Claim]]="No"),Table1[[#This Row],[Service_Revenue]],0)</f>
        <v>0</v>
      </c>
      <c r="V2161" s="4">
        <f>IF(Table1[[#This Row],[Warranty_Claim]]="Yes",1,0)</f>
        <v>0</v>
      </c>
      <c r="W2161" s="4">
        <f>IF(Table1[[#This Row],[Rework_Flag]]="No",1,0)</f>
        <v>1</v>
      </c>
      <c r="X2161" s="4">
        <f>IF(Table1[[#This Row],[Rework_Flag]]="Yes",1,0)</f>
        <v>0</v>
      </c>
      <c r="Y2161" s="4">
        <v>1</v>
      </c>
      <c r="Z2161" s="4" t="str">
        <f>IF(Table1[[#This Row],[TAT_Days]]&gt;Table1[[#This Row],[SLA_TAT]],"Yes","No")</f>
        <v>No</v>
      </c>
      <c r="AA2161" s="4" t="str" cm="1">
        <f t="array" ref="AA2161">_xlfn.IFS(Table1[[#This Row],[Customer_Satisfaction]]&lt;=2,"Poor",Table1[[#This Row],[Customer_Satisfaction]]=3,"Neutral",Table1[[#This Row],[Customer_Satisfaction]]=4,"Good",Table1[[#This Row],[Customer_Satisfaction]]=5,"Good")</f>
        <v>Good</v>
      </c>
    </row>
    <row r="2162" spans="1:27" x14ac:dyDescent="0.35">
      <c r="A2162">
        <v>22160</v>
      </c>
      <c r="B2162" s="1">
        <v>45320</v>
      </c>
      <c r="C2162" t="s">
        <v>50</v>
      </c>
      <c r="D2162" t="s">
        <v>51</v>
      </c>
      <c r="E2162" t="s">
        <v>52</v>
      </c>
      <c r="F2162" t="s">
        <v>53</v>
      </c>
      <c r="G2162" t="s">
        <v>63</v>
      </c>
      <c r="H2162" t="s">
        <v>24</v>
      </c>
      <c r="I2162" t="s">
        <v>25</v>
      </c>
      <c r="J2162" t="s">
        <v>58</v>
      </c>
      <c r="K2162" t="s">
        <v>27</v>
      </c>
      <c r="L2162" t="s">
        <v>49</v>
      </c>
      <c r="M2162" s="4">
        <v>10</v>
      </c>
      <c r="N2162" s="4">
        <v>7</v>
      </c>
      <c r="O2162" t="s">
        <v>29</v>
      </c>
      <c r="P2162" t="s">
        <v>36</v>
      </c>
      <c r="Q2162" s="4">
        <v>171816</v>
      </c>
      <c r="R2162" s="4">
        <v>92121</v>
      </c>
      <c r="S2162" s="4">
        <f>Table1[[#This Row],[Service_Revenue]]-Table1[[#This Row],[Service_Cost]]</f>
        <v>79695</v>
      </c>
      <c r="T2162" s="4">
        <v>2</v>
      </c>
      <c r="U2162" s="4">
        <f>IF(AND(Table1[[#This Row],[Rework_Flag]]="Yes",Table1[[#This Row],[Warranty_Claim]]="No"),Table1[[#This Row],[Service_Revenue]],0)</f>
        <v>171816</v>
      </c>
      <c r="V2162" s="4">
        <f>IF(Table1[[#This Row],[Warranty_Claim]]="Yes",1,0)</f>
        <v>0</v>
      </c>
      <c r="W2162" s="4">
        <f>IF(Table1[[#This Row],[Rework_Flag]]="No",1,0)</f>
        <v>0</v>
      </c>
      <c r="X2162" s="4">
        <f>IF(Table1[[#This Row],[Rework_Flag]]="Yes",1,0)</f>
        <v>1</v>
      </c>
      <c r="Y2162" s="4">
        <v>1</v>
      </c>
      <c r="Z2162" s="4" t="str">
        <f>IF(Table1[[#This Row],[TAT_Days]]&gt;Table1[[#This Row],[SLA_TAT]],"Yes","No")</f>
        <v>Yes</v>
      </c>
      <c r="AA2162" s="4" t="str" cm="1">
        <f t="array" ref="AA2162">_xlfn.IFS(Table1[[#This Row],[Customer_Satisfaction]]&lt;=2,"Poor",Table1[[#This Row],[Customer_Satisfaction]]=3,"Neutral",Table1[[#This Row],[Customer_Satisfaction]]=4,"Good",Table1[[#This Row],[Customer_Satisfaction]]=5,"Good")</f>
        <v>Poor</v>
      </c>
    </row>
    <row r="2163" spans="1:27" x14ac:dyDescent="0.35">
      <c r="A2163">
        <v>22161</v>
      </c>
      <c r="B2163" s="1">
        <v>45433</v>
      </c>
      <c r="C2163" t="s">
        <v>30</v>
      </c>
      <c r="D2163" t="s">
        <v>31</v>
      </c>
      <c r="E2163" t="s">
        <v>79</v>
      </c>
      <c r="F2163" t="s">
        <v>53</v>
      </c>
      <c r="G2163" t="s">
        <v>63</v>
      </c>
      <c r="H2163" t="s">
        <v>24</v>
      </c>
      <c r="I2163" t="s">
        <v>25</v>
      </c>
      <c r="J2163" t="s">
        <v>67</v>
      </c>
      <c r="K2163" t="s">
        <v>61</v>
      </c>
      <c r="L2163" t="s">
        <v>28</v>
      </c>
      <c r="M2163" s="4">
        <v>5</v>
      </c>
      <c r="N2163" s="4">
        <v>7</v>
      </c>
      <c r="O2163" t="s">
        <v>36</v>
      </c>
      <c r="P2163" t="s">
        <v>29</v>
      </c>
      <c r="Q2163" s="4">
        <v>349029</v>
      </c>
      <c r="R2163" s="4">
        <v>248444</v>
      </c>
      <c r="S2163" s="4">
        <f>Table1[[#This Row],[Service_Revenue]]-Table1[[#This Row],[Service_Cost]]</f>
        <v>100585</v>
      </c>
      <c r="T2163" s="4">
        <v>4</v>
      </c>
      <c r="U2163" s="4">
        <f>IF(AND(Table1[[#This Row],[Rework_Flag]]="Yes",Table1[[#This Row],[Warranty_Claim]]="No"),Table1[[#This Row],[Service_Revenue]],0)</f>
        <v>0</v>
      </c>
      <c r="V2163" s="4">
        <f>IF(Table1[[#This Row],[Warranty_Claim]]="Yes",1,0)</f>
        <v>1</v>
      </c>
      <c r="W2163" s="4">
        <f>IF(Table1[[#This Row],[Rework_Flag]]="No",1,0)</f>
        <v>1</v>
      </c>
      <c r="X2163" s="4">
        <f>IF(Table1[[#This Row],[Rework_Flag]]="Yes",1,0)</f>
        <v>0</v>
      </c>
      <c r="Y2163" s="4">
        <v>1</v>
      </c>
      <c r="Z2163" s="4" t="str">
        <f>IF(Table1[[#This Row],[TAT_Days]]&gt;Table1[[#This Row],[SLA_TAT]],"Yes","No")</f>
        <v>No</v>
      </c>
      <c r="AA2163" s="4" t="str" cm="1">
        <f t="array" ref="AA2163">_xlfn.IFS(Table1[[#This Row],[Customer_Satisfaction]]&lt;=2,"Poor",Table1[[#This Row],[Customer_Satisfaction]]=3,"Neutral",Table1[[#This Row],[Customer_Satisfaction]]=4,"Good",Table1[[#This Row],[Customer_Satisfaction]]=5,"Good")</f>
        <v>Good</v>
      </c>
    </row>
    <row r="2164" spans="1:27" x14ac:dyDescent="0.35">
      <c r="A2164">
        <v>22162</v>
      </c>
      <c r="B2164" s="1">
        <v>45417</v>
      </c>
      <c r="C2164" t="s">
        <v>30</v>
      </c>
      <c r="D2164" t="s">
        <v>31</v>
      </c>
      <c r="E2164" t="s">
        <v>122</v>
      </c>
      <c r="F2164" t="s">
        <v>53</v>
      </c>
      <c r="G2164" t="s">
        <v>33</v>
      </c>
      <c r="H2164" t="s">
        <v>34</v>
      </c>
      <c r="I2164" t="s">
        <v>25</v>
      </c>
      <c r="J2164" t="s">
        <v>26</v>
      </c>
      <c r="K2164" t="s">
        <v>61</v>
      </c>
      <c r="L2164" t="s">
        <v>28</v>
      </c>
      <c r="M2164" s="4">
        <v>12</v>
      </c>
      <c r="N2164" s="4">
        <v>7</v>
      </c>
      <c r="O2164" t="s">
        <v>29</v>
      </c>
      <c r="P2164" t="s">
        <v>29</v>
      </c>
      <c r="Q2164" s="4">
        <v>245197</v>
      </c>
      <c r="R2164" s="4">
        <v>178834</v>
      </c>
      <c r="S2164" s="4">
        <f>Table1[[#This Row],[Service_Revenue]]-Table1[[#This Row],[Service_Cost]]</f>
        <v>66363</v>
      </c>
      <c r="T2164" s="4">
        <v>2</v>
      </c>
      <c r="U2164" s="4">
        <f>IF(AND(Table1[[#This Row],[Rework_Flag]]="Yes",Table1[[#This Row],[Warranty_Claim]]="No"),Table1[[#This Row],[Service_Revenue]],0)</f>
        <v>0</v>
      </c>
      <c r="V2164" s="4">
        <f>IF(Table1[[#This Row],[Warranty_Claim]]="Yes",1,0)</f>
        <v>1</v>
      </c>
      <c r="W2164" s="4">
        <f>IF(Table1[[#This Row],[Rework_Flag]]="No",1,0)</f>
        <v>0</v>
      </c>
      <c r="X2164" s="4">
        <f>IF(Table1[[#This Row],[Rework_Flag]]="Yes",1,0)</f>
        <v>1</v>
      </c>
      <c r="Y2164" s="4">
        <v>1</v>
      </c>
      <c r="Z2164" s="4" t="str">
        <f>IF(Table1[[#This Row],[TAT_Days]]&gt;Table1[[#This Row],[SLA_TAT]],"Yes","No")</f>
        <v>Yes</v>
      </c>
      <c r="AA2164" s="4" t="str" cm="1">
        <f t="array" ref="AA2164">_xlfn.IFS(Table1[[#This Row],[Customer_Satisfaction]]&lt;=2,"Poor",Table1[[#This Row],[Customer_Satisfaction]]=3,"Neutral",Table1[[#This Row],[Customer_Satisfaction]]=4,"Good",Table1[[#This Row],[Customer_Satisfaction]]=5,"Good")</f>
        <v>Poor</v>
      </c>
    </row>
    <row r="2165" spans="1:27" x14ac:dyDescent="0.35">
      <c r="A2165">
        <v>22163</v>
      </c>
      <c r="B2165" s="1">
        <v>45388</v>
      </c>
      <c r="C2165" t="s">
        <v>37</v>
      </c>
      <c r="D2165" t="s">
        <v>38</v>
      </c>
      <c r="E2165" t="s">
        <v>93</v>
      </c>
      <c r="F2165" t="s">
        <v>22</v>
      </c>
      <c r="G2165" t="s">
        <v>33</v>
      </c>
      <c r="H2165" t="s">
        <v>34</v>
      </c>
      <c r="I2165" t="s">
        <v>25</v>
      </c>
      <c r="J2165" t="s">
        <v>67</v>
      </c>
      <c r="K2165" t="s">
        <v>61</v>
      </c>
      <c r="L2165" t="s">
        <v>28</v>
      </c>
      <c r="M2165" s="4">
        <v>17</v>
      </c>
      <c r="N2165" s="4">
        <v>7</v>
      </c>
      <c r="O2165" t="s">
        <v>36</v>
      </c>
      <c r="P2165" t="s">
        <v>36</v>
      </c>
      <c r="Q2165" s="4">
        <v>482911</v>
      </c>
      <c r="R2165" s="4">
        <v>320518</v>
      </c>
      <c r="S2165" s="4">
        <f>Table1[[#This Row],[Service_Revenue]]-Table1[[#This Row],[Service_Cost]]</f>
        <v>162393</v>
      </c>
      <c r="T2165" s="4">
        <v>2</v>
      </c>
      <c r="U2165" s="4">
        <f>IF(AND(Table1[[#This Row],[Rework_Flag]]="Yes",Table1[[#This Row],[Warranty_Claim]]="No"),Table1[[#This Row],[Service_Revenue]],0)</f>
        <v>0</v>
      </c>
      <c r="V2165" s="4">
        <f>IF(Table1[[#This Row],[Warranty_Claim]]="Yes",1,0)</f>
        <v>0</v>
      </c>
      <c r="W2165" s="4">
        <f>IF(Table1[[#This Row],[Rework_Flag]]="No",1,0)</f>
        <v>1</v>
      </c>
      <c r="X2165" s="4">
        <f>IF(Table1[[#This Row],[Rework_Flag]]="Yes",1,0)</f>
        <v>0</v>
      </c>
      <c r="Y2165" s="4">
        <v>1</v>
      </c>
      <c r="Z2165" s="4" t="str">
        <f>IF(Table1[[#This Row],[TAT_Days]]&gt;Table1[[#This Row],[SLA_TAT]],"Yes","No")</f>
        <v>Yes</v>
      </c>
      <c r="AA2165" s="4" t="str" cm="1">
        <f t="array" ref="AA2165">_xlfn.IFS(Table1[[#This Row],[Customer_Satisfaction]]&lt;=2,"Poor",Table1[[#This Row],[Customer_Satisfaction]]=3,"Neutral",Table1[[#This Row],[Customer_Satisfaction]]=4,"Good",Table1[[#This Row],[Customer_Satisfaction]]=5,"Good")</f>
        <v>Poor</v>
      </c>
    </row>
    <row r="2166" spans="1:27" x14ac:dyDescent="0.35">
      <c r="A2166">
        <v>22164</v>
      </c>
      <c r="B2166" s="1">
        <v>45372</v>
      </c>
      <c r="C2166" t="s">
        <v>30</v>
      </c>
      <c r="D2166" t="s">
        <v>83</v>
      </c>
      <c r="E2166" t="s">
        <v>95</v>
      </c>
      <c r="F2166" t="s">
        <v>53</v>
      </c>
      <c r="G2166" t="s">
        <v>47</v>
      </c>
      <c r="H2166" t="s">
        <v>48</v>
      </c>
      <c r="I2166" t="s">
        <v>55</v>
      </c>
      <c r="J2166" t="s">
        <v>43</v>
      </c>
      <c r="K2166" t="s">
        <v>44</v>
      </c>
      <c r="L2166" t="s">
        <v>28</v>
      </c>
      <c r="M2166" s="4">
        <v>8</v>
      </c>
      <c r="N2166" s="4">
        <v>7</v>
      </c>
      <c r="O2166" t="s">
        <v>36</v>
      </c>
      <c r="P2166" t="s">
        <v>36</v>
      </c>
      <c r="Q2166" s="4">
        <v>381106</v>
      </c>
      <c r="R2166" s="4">
        <v>220243</v>
      </c>
      <c r="S2166" s="4">
        <f>Table1[[#This Row],[Service_Revenue]]-Table1[[#This Row],[Service_Cost]]</f>
        <v>160863</v>
      </c>
      <c r="T2166" s="4">
        <v>4</v>
      </c>
      <c r="U2166" s="4">
        <f>IF(AND(Table1[[#This Row],[Rework_Flag]]="Yes",Table1[[#This Row],[Warranty_Claim]]="No"),Table1[[#This Row],[Service_Revenue]],0)</f>
        <v>0</v>
      </c>
      <c r="V2166" s="4">
        <f>IF(Table1[[#This Row],[Warranty_Claim]]="Yes",1,0)</f>
        <v>0</v>
      </c>
      <c r="W2166" s="4">
        <f>IF(Table1[[#This Row],[Rework_Flag]]="No",1,0)</f>
        <v>1</v>
      </c>
      <c r="X2166" s="4">
        <f>IF(Table1[[#This Row],[Rework_Flag]]="Yes",1,0)</f>
        <v>0</v>
      </c>
      <c r="Y2166" s="4">
        <v>1</v>
      </c>
      <c r="Z2166" s="4" t="str">
        <f>IF(Table1[[#This Row],[TAT_Days]]&gt;Table1[[#This Row],[SLA_TAT]],"Yes","No")</f>
        <v>Yes</v>
      </c>
      <c r="AA2166" s="4" t="str" cm="1">
        <f t="array" ref="AA2166">_xlfn.IFS(Table1[[#This Row],[Customer_Satisfaction]]&lt;=2,"Poor",Table1[[#This Row],[Customer_Satisfaction]]=3,"Neutral",Table1[[#This Row],[Customer_Satisfaction]]=4,"Good",Table1[[#This Row],[Customer_Satisfaction]]=5,"Good")</f>
        <v>Good</v>
      </c>
    </row>
    <row r="2167" spans="1:27" x14ac:dyDescent="0.35">
      <c r="A2167">
        <v>22165</v>
      </c>
      <c r="B2167" s="1">
        <v>45456</v>
      </c>
      <c r="C2167" t="s">
        <v>30</v>
      </c>
      <c r="D2167" t="s">
        <v>83</v>
      </c>
      <c r="E2167" t="s">
        <v>90</v>
      </c>
      <c r="F2167" t="s">
        <v>22</v>
      </c>
      <c r="G2167" t="s">
        <v>23</v>
      </c>
      <c r="H2167" t="s">
        <v>24</v>
      </c>
      <c r="I2167" t="s">
        <v>55</v>
      </c>
      <c r="J2167" t="s">
        <v>58</v>
      </c>
      <c r="K2167" t="s">
        <v>61</v>
      </c>
      <c r="L2167" t="s">
        <v>49</v>
      </c>
      <c r="M2167" s="4">
        <v>13</v>
      </c>
      <c r="N2167" s="4">
        <v>7</v>
      </c>
      <c r="O2167" t="s">
        <v>29</v>
      </c>
      <c r="P2167" t="s">
        <v>29</v>
      </c>
      <c r="Q2167" s="4">
        <v>553222</v>
      </c>
      <c r="R2167" s="4">
        <v>341218</v>
      </c>
      <c r="S2167" s="4">
        <f>Table1[[#This Row],[Service_Revenue]]-Table1[[#This Row],[Service_Cost]]</f>
        <v>212004</v>
      </c>
      <c r="T2167" s="4">
        <v>2</v>
      </c>
      <c r="U2167" s="4">
        <f>IF(AND(Table1[[#This Row],[Rework_Flag]]="Yes",Table1[[#This Row],[Warranty_Claim]]="No"),Table1[[#This Row],[Service_Revenue]],0)</f>
        <v>0</v>
      </c>
      <c r="V2167" s="4">
        <f>IF(Table1[[#This Row],[Warranty_Claim]]="Yes",1,0)</f>
        <v>1</v>
      </c>
      <c r="W2167" s="4">
        <f>IF(Table1[[#This Row],[Rework_Flag]]="No",1,0)</f>
        <v>0</v>
      </c>
      <c r="X2167" s="4">
        <f>IF(Table1[[#This Row],[Rework_Flag]]="Yes",1,0)</f>
        <v>1</v>
      </c>
      <c r="Y2167" s="4">
        <v>1</v>
      </c>
      <c r="Z2167" s="4" t="str">
        <f>IF(Table1[[#This Row],[TAT_Days]]&gt;Table1[[#This Row],[SLA_TAT]],"Yes","No")</f>
        <v>Yes</v>
      </c>
      <c r="AA2167" s="4" t="str" cm="1">
        <f t="array" ref="AA2167">_xlfn.IFS(Table1[[#This Row],[Customer_Satisfaction]]&lt;=2,"Poor",Table1[[#This Row],[Customer_Satisfaction]]=3,"Neutral",Table1[[#This Row],[Customer_Satisfaction]]=4,"Good",Table1[[#This Row],[Customer_Satisfaction]]=5,"Good")</f>
        <v>Poor</v>
      </c>
    </row>
    <row r="2168" spans="1:27" x14ac:dyDescent="0.35">
      <c r="A2168">
        <v>22166</v>
      </c>
      <c r="B2168" s="1">
        <v>45396</v>
      </c>
      <c r="C2168" t="s">
        <v>37</v>
      </c>
      <c r="D2168" t="s">
        <v>64</v>
      </c>
      <c r="E2168" t="s">
        <v>115</v>
      </c>
      <c r="F2168" t="s">
        <v>22</v>
      </c>
      <c r="G2168" t="s">
        <v>33</v>
      </c>
      <c r="H2168" t="s">
        <v>34</v>
      </c>
      <c r="I2168" t="s">
        <v>55</v>
      </c>
      <c r="J2168" t="s">
        <v>35</v>
      </c>
      <c r="K2168" t="s">
        <v>27</v>
      </c>
      <c r="L2168" t="s">
        <v>49</v>
      </c>
      <c r="M2168" s="4">
        <v>5</v>
      </c>
      <c r="N2168" s="4">
        <v>7</v>
      </c>
      <c r="O2168" t="s">
        <v>29</v>
      </c>
      <c r="P2168" t="s">
        <v>29</v>
      </c>
      <c r="Q2168" s="4">
        <v>351207</v>
      </c>
      <c r="R2168" s="4">
        <v>237194</v>
      </c>
      <c r="S2168" s="4">
        <f>Table1[[#This Row],[Service_Revenue]]-Table1[[#This Row],[Service_Cost]]</f>
        <v>114013</v>
      </c>
      <c r="T2168" s="4">
        <v>3</v>
      </c>
      <c r="U2168" s="4">
        <f>IF(AND(Table1[[#This Row],[Rework_Flag]]="Yes",Table1[[#This Row],[Warranty_Claim]]="No"),Table1[[#This Row],[Service_Revenue]],0)</f>
        <v>0</v>
      </c>
      <c r="V2168" s="4">
        <f>IF(Table1[[#This Row],[Warranty_Claim]]="Yes",1,0)</f>
        <v>1</v>
      </c>
      <c r="W2168" s="4">
        <f>IF(Table1[[#This Row],[Rework_Flag]]="No",1,0)</f>
        <v>0</v>
      </c>
      <c r="X2168" s="4">
        <f>IF(Table1[[#This Row],[Rework_Flag]]="Yes",1,0)</f>
        <v>1</v>
      </c>
      <c r="Y2168" s="4">
        <v>1</v>
      </c>
      <c r="Z2168" s="4" t="str">
        <f>IF(Table1[[#This Row],[TAT_Days]]&gt;Table1[[#This Row],[SLA_TAT]],"Yes","No")</f>
        <v>No</v>
      </c>
      <c r="AA2168" s="4" t="str" cm="1">
        <f t="array" ref="AA2168">_xlfn.IFS(Table1[[#This Row],[Customer_Satisfaction]]&lt;=2,"Poor",Table1[[#This Row],[Customer_Satisfaction]]=3,"Neutral",Table1[[#This Row],[Customer_Satisfaction]]=4,"Good",Table1[[#This Row],[Customer_Satisfaction]]=5,"Good")</f>
        <v>Neutral</v>
      </c>
    </row>
    <row r="2169" spans="1:27" x14ac:dyDescent="0.35">
      <c r="A2169">
        <v>22167</v>
      </c>
      <c r="B2169" s="1">
        <v>45398</v>
      </c>
      <c r="C2169" t="s">
        <v>19</v>
      </c>
      <c r="D2169" t="s">
        <v>20</v>
      </c>
      <c r="E2169" t="s">
        <v>86</v>
      </c>
      <c r="F2169" t="s">
        <v>40</v>
      </c>
      <c r="G2169" t="s">
        <v>33</v>
      </c>
      <c r="H2169" t="s">
        <v>34</v>
      </c>
      <c r="I2169" t="s">
        <v>25</v>
      </c>
      <c r="J2169" t="s">
        <v>67</v>
      </c>
      <c r="K2169" t="s">
        <v>44</v>
      </c>
      <c r="L2169" t="s">
        <v>28</v>
      </c>
      <c r="M2169" s="4">
        <v>5</v>
      </c>
      <c r="N2169" s="4">
        <v>7</v>
      </c>
      <c r="O2169" t="s">
        <v>29</v>
      </c>
      <c r="P2169" t="s">
        <v>36</v>
      </c>
      <c r="Q2169" s="4">
        <v>188163</v>
      </c>
      <c r="R2169" s="4">
        <v>128615</v>
      </c>
      <c r="S2169" s="4">
        <f>Table1[[#This Row],[Service_Revenue]]-Table1[[#This Row],[Service_Cost]]</f>
        <v>59548</v>
      </c>
      <c r="T2169" s="4">
        <v>3</v>
      </c>
      <c r="U2169" s="4">
        <f>IF(AND(Table1[[#This Row],[Rework_Flag]]="Yes",Table1[[#This Row],[Warranty_Claim]]="No"),Table1[[#This Row],[Service_Revenue]],0)</f>
        <v>188163</v>
      </c>
      <c r="V2169" s="4">
        <f>IF(Table1[[#This Row],[Warranty_Claim]]="Yes",1,0)</f>
        <v>0</v>
      </c>
      <c r="W2169" s="4">
        <f>IF(Table1[[#This Row],[Rework_Flag]]="No",1,0)</f>
        <v>0</v>
      </c>
      <c r="X2169" s="4">
        <f>IF(Table1[[#This Row],[Rework_Flag]]="Yes",1,0)</f>
        <v>1</v>
      </c>
      <c r="Y2169" s="4">
        <v>1</v>
      </c>
      <c r="Z2169" s="4" t="str">
        <f>IF(Table1[[#This Row],[TAT_Days]]&gt;Table1[[#This Row],[SLA_TAT]],"Yes","No")</f>
        <v>No</v>
      </c>
      <c r="AA2169" s="4" t="str" cm="1">
        <f t="array" ref="AA2169">_xlfn.IFS(Table1[[#This Row],[Customer_Satisfaction]]&lt;=2,"Poor",Table1[[#This Row],[Customer_Satisfaction]]=3,"Neutral",Table1[[#This Row],[Customer_Satisfaction]]=4,"Good",Table1[[#This Row],[Customer_Satisfaction]]=5,"Good")</f>
        <v>Neutral</v>
      </c>
    </row>
    <row r="2170" spans="1:27" x14ac:dyDescent="0.35">
      <c r="A2170">
        <v>22168</v>
      </c>
      <c r="B2170" s="1">
        <v>45382</v>
      </c>
      <c r="C2170" t="s">
        <v>30</v>
      </c>
      <c r="D2170" t="s">
        <v>59</v>
      </c>
      <c r="E2170" t="s">
        <v>60</v>
      </c>
      <c r="F2170" t="s">
        <v>22</v>
      </c>
      <c r="G2170" t="s">
        <v>47</v>
      </c>
      <c r="H2170" t="s">
        <v>48</v>
      </c>
      <c r="I2170" t="s">
        <v>25</v>
      </c>
      <c r="J2170" t="s">
        <v>43</v>
      </c>
      <c r="K2170" t="s">
        <v>61</v>
      </c>
      <c r="L2170" t="s">
        <v>28</v>
      </c>
      <c r="M2170" s="4">
        <v>16</v>
      </c>
      <c r="N2170" s="4">
        <v>7</v>
      </c>
      <c r="O2170" t="s">
        <v>29</v>
      </c>
      <c r="P2170" t="s">
        <v>36</v>
      </c>
      <c r="Q2170" s="4">
        <v>219645</v>
      </c>
      <c r="R2170" s="4">
        <v>179302</v>
      </c>
      <c r="S2170" s="4">
        <f>Table1[[#This Row],[Service_Revenue]]-Table1[[#This Row],[Service_Cost]]</f>
        <v>40343</v>
      </c>
      <c r="T2170" s="4">
        <v>1</v>
      </c>
      <c r="U2170" s="4">
        <f>IF(AND(Table1[[#This Row],[Rework_Flag]]="Yes",Table1[[#This Row],[Warranty_Claim]]="No"),Table1[[#This Row],[Service_Revenue]],0)</f>
        <v>219645</v>
      </c>
      <c r="V2170" s="4">
        <f>IF(Table1[[#This Row],[Warranty_Claim]]="Yes",1,0)</f>
        <v>0</v>
      </c>
      <c r="W2170" s="4">
        <f>IF(Table1[[#This Row],[Rework_Flag]]="No",1,0)</f>
        <v>0</v>
      </c>
      <c r="X2170" s="4">
        <f>IF(Table1[[#This Row],[Rework_Flag]]="Yes",1,0)</f>
        <v>1</v>
      </c>
      <c r="Y2170" s="4">
        <v>1</v>
      </c>
      <c r="Z2170" s="4" t="str">
        <f>IF(Table1[[#This Row],[TAT_Days]]&gt;Table1[[#This Row],[SLA_TAT]],"Yes","No")</f>
        <v>Yes</v>
      </c>
      <c r="AA2170" s="4" t="str" cm="1">
        <f t="array" ref="AA2170">_xlfn.IFS(Table1[[#This Row],[Customer_Satisfaction]]&lt;=2,"Poor",Table1[[#This Row],[Customer_Satisfaction]]=3,"Neutral",Table1[[#This Row],[Customer_Satisfaction]]=4,"Good",Table1[[#This Row],[Customer_Satisfaction]]=5,"Good")</f>
        <v>Poor</v>
      </c>
    </row>
    <row r="2171" spans="1:27" x14ac:dyDescent="0.35">
      <c r="A2171">
        <v>22169</v>
      </c>
      <c r="B2171" s="1">
        <v>45452</v>
      </c>
      <c r="C2171" t="s">
        <v>30</v>
      </c>
      <c r="D2171" t="s">
        <v>83</v>
      </c>
      <c r="E2171" t="s">
        <v>92</v>
      </c>
      <c r="F2171" t="s">
        <v>40</v>
      </c>
      <c r="G2171" t="s">
        <v>41</v>
      </c>
      <c r="H2171" t="s">
        <v>42</v>
      </c>
      <c r="I2171" t="s">
        <v>55</v>
      </c>
      <c r="J2171" t="s">
        <v>26</v>
      </c>
      <c r="K2171" t="s">
        <v>61</v>
      </c>
      <c r="L2171" t="s">
        <v>49</v>
      </c>
      <c r="M2171" s="4">
        <v>13</v>
      </c>
      <c r="N2171" s="4">
        <v>7</v>
      </c>
      <c r="O2171" t="s">
        <v>29</v>
      </c>
      <c r="P2171" t="s">
        <v>36</v>
      </c>
      <c r="Q2171" s="4">
        <v>507676</v>
      </c>
      <c r="R2171" s="4">
        <v>415697</v>
      </c>
      <c r="S2171" s="4">
        <f>Table1[[#This Row],[Service_Revenue]]-Table1[[#This Row],[Service_Cost]]</f>
        <v>91979</v>
      </c>
      <c r="T2171" s="4">
        <v>2</v>
      </c>
      <c r="U2171" s="4">
        <f>IF(AND(Table1[[#This Row],[Rework_Flag]]="Yes",Table1[[#This Row],[Warranty_Claim]]="No"),Table1[[#This Row],[Service_Revenue]],0)</f>
        <v>507676</v>
      </c>
      <c r="V2171" s="4">
        <f>IF(Table1[[#This Row],[Warranty_Claim]]="Yes",1,0)</f>
        <v>0</v>
      </c>
      <c r="W2171" s="4">
        <f>IF(Table1[[#This Row],[Rework_Flag]]="No",1,0)</f>
        <v>0</v>
      </c>
      <c r="X2171" s="4">
        <f>IF(Table1[[#This Row],[Rework_Flag]]="Yes",1,0)</f>
        <v>1</v>
      </c>
      <c r="Y2171" s="4">
        <v>1</v>
      </c>
      <c r="Z2171" s="4" t="str">
        <f>IF(Table1[[#This Row],[TAT_Days]]&gt;Table1[[#This Row],[SLA_TAT]],"Yes","No")</f>
        <v>Yes</v>
      </c>
      <c r="AA2171" s="4" t="str" cm="1">
        <f t="array" ref="AA2171">_xlfn.IFS(Table1[[#This Row],[Customer_Satisfaction]]&lt;=2,"Poor",Table1[[#This Row],[Customer_Satisfaction]]=3,"Neutral",Table1[[#This Row],[Customer_Satisfaction]]=4,"Good",Table1[[#This Row],[Customer_Satisfaction]]=5,"Good")</f>
        <v>Poor</v>
      </c>
    </row>
    <row r="2172" spans="1:27" x14ac:dyDescent="0.35">
      <c r="A2172">
        <v>22170</v>
      </c>
      <c r="B2172" s="1">
        <v>45379</v>
      </c>
      <c r="C2172" t="s">
        <v>30</v>
      </c>
      <c r="D2172" t="s">
        <v>83</v>
      </c>
      <c r="E2172" t="s">
        <v>90</v>
      </c>
      <c r="F2172" t="s">
        <v>53</v>
      </c>
      <c r="G2172" t="s">
        <v>54</v>
      </c>
      <c r="H2172" t="s">
        <v>42</v>
      </c>
      <c r="I2172" t="s">
        <v>25</v>
      </c>
      <c r="J2172" t="s">
        <v>43</v>
      </c>
      <c r="K2172" t="s">
        <v>61</v>
      </c>
      <c r="L2172" t="s">
        <v>49</v>
      </c>
      <c r="M2172" s="4">
        <v>24</v>
      </c>
      <c r="N2172" s="4">
        <v>7</v>
      </c>
      <c r="O2172" t="s">
        <v>29</v>
      </c>
      <c r="P2172" t="s">
        <v>29</v>
      </c>
      <c r="Q2172" s="4">
        <v>320496</v>
      </c>
      <c r="R2172" s="4">
        <v>161614</v>
      </c>
      <c r="S2172" s="4">
        <f>Table1[[#This Row],[Service_Revenue]]-Table1[[#This Row],[Service_Cost]]</f>
        <v>158882</v>
      </c>
      <c r="T2172" s="4">
        <v>1</v>
      </c>
      <c r="U2172" s="4">
        <f>IF(AND(Table1[[#This Row],[Rework_Flag]]="Yes",Table1[[#This Row],[Warranty_Claim]]="No"),Table1[[#This Row],[Service_Revenue]],0)</f>
        <v>0</v>
      </c>
      <c r="V2172" s="4">
        <f>IF(Table1[[#This Row],[Warranty_Claim]]="Yes",1,0)</f>
        <v>1</v>
      </c>
      <c r="W2172" s="4">
        <f>IF(Table1[[#This Row],[Rework_Flag]]="No",1,0)</f>
        <v>0</v>
      </c>
      <c r="X2172" s="4">
        <f>IF(Table1[[#This Row],[Rework_Flag]]="Yes",1,0)</f>
        <v>1</v>
      </c>
      <c r="Y2172" s="4">
        <v>1</v>
      </c>
      <c r="Z2172" s="4" t="str">
        <f>IF(Table1[[#This Row],[TAT_Days]]&gt;Table1[[#This Row],[SLA_TAT]],"Yes","No")</f>
        <v>Yes</v>
      </c>
      <c r="AA2172" s="4" t="str" cm="1">
        <f t="array" ref="AA2172">_xlfn.IFS(Table1[[#This Row],[Customer_Satisfaction]]&lt;=2,"Poor",Table1[[#This Row],[Customer_Satisfaction]]=3,"Neutral",Table1[[#This Row],[Customer_Satisfaction]]=4,"Good",Table1[[#This Row],[Customer_Satisfaction]]=5,"Good")</f>
        <v>Poor</v>
      </c>
    </row>
    <row r="2173" spans="1:27" x14ac:dyDescent="0.35">
      <c r="A2173">
        <v>22171</v>
      </c>
      <c r="B2173" s="1">
        <v>45294</v>
      </c>
      <c r="C2173" t="s">
        <v>19</v>
      </c>
      <c r="D2173" t="s">
        <v>45</v>
      </c>
      <c r="E2173" t="s">
        <v>99</v>
      </c>
      <c r="F2173" t="s">
        <v>40</v>
      </c>
      <c r="G2173" t="s">
        <v>63</v>
      </c>
      <c r="H2173" t="s">
        <v>24</v>
      </c>
      <c r="I2173" t="s">
        <v>25</v>
      </c>
      <c r="J2173" t="s">
        <v>35</v>
      </c>
      <c r="K2173" t="s">
        <v>27</v>
      </c>
      <c r="L2173" t="s">
        <v>28</v>
      </c>
      <c r="M2173" s="4">
        <v>23</v>
      </c>
      <c r="N2173" s="4">
        <v>7</v>
      </c>
      <c r="O2173" t="s">
        <v>29</v>
      </c>
      <c r="P2173" t="s">
        <v>36</v>
      </c>
      <c r="Q2173" s="4">
        <v>199948</v>
      </c>
      <c r="R2173" s="4">
        <v>140690</v>
      </c>
      <c r="S2173" s="4">
        <f>Table1[[#This Row],[Service_Revenue]]-Table1[[#This Row],[Service_Cost]]</f>
        <v>59258</v>
      </c>
      <c r="T2173" s="4">
        <v>1</v>
      </c>
      <c r="U2173" s="4">
        <f>IF(AND(Table1[[#This Row],[Rework_Flag]]="Yes",Table1[[#This Row],[Warranty_Claim]]="No"),Table1[[#This Row],[Service_Revenue]],0)</f>
        <v>199948</v>
      </c>
      <c r="V2173" s="4">
        <f>IF(Table1[[#This Row],[Warranty_Claim]]="Yes",1,0)</f>
        <v>0</v>
      </c>
      <c r="W2173" s="4">
        <f>IF(Table1[[#This Row],[Rework_Flag]]="No",1,0)</f>
        <v>0</v>
      </c>
      <c r="X2173" s="4">
        <f>IF(Table1[[#This Row],[Rework_Flag]]="Yes",1,0)</f>
        <v>1</v>
      </c>
      <c r="Y2173" s="4">
        <v>1</v>
      </c>
      <c r="Z2173" s="4" t="str">
        <f>IF(Table1[[#This Row],[TAT_Days]]&gt;Table1[[#This Row],[SLA_TAT]],"Yes","No")</f>
        <v>Yes</v>
      </c>
      <c r="AA2173" s="4" t="str" cm="1">
        <f t="array" ref="AA2173">_xlfn.IFS(Table1[[#This Row],[Customer_Satisfaction]]&lt;=2,"Poor",Table1[[#This Row],[Customer_Satisfaction]]=3,"Neutral",Table1[[#This Row],[Customer_Satisfaction]]=4,"Good",Table1[[#This Row],[Customer_Satisfaction]]=5,"Good")</f>
        <v>Poor</v>
      </c>
    </row>
    <row r="2174" spans="1:27" x14ac:dyDescent="0.35">
      <c r="A2174">
        <v>22172</v>
      </c>
      <c r="B2174" s="1">
        <v>45465</v>
      </c>
      <c r="C2174" t="s">
        <v>30</v>
      </c>
      <c r="D2174" t="s">
        <v>59</v>
      </c>
      <c r="E2174" t="s">
        <v>66</v>
      </c>
      <c r="F2174" t="s">
        <v>22</v>
      </c>
      <c r="G2174" t="s">
        <v>41</v>
      </c>
      <c r="H2174" t="s">
        <v>42</v>
      </c>
      <c r="I2174" t="s">
        <v>55</v>
      </c>
      <c r="J2174" t="s">
        <v>43</v>
      </c>
      <c r="K2174" t="s">
        <v>61</v>
      </c>
      <c r="L2174" t="s">
        <v>49</v>
      </c>
      <c r="M2174" s="4">
        <v>19</v>
      </c>
      <c r="N2174" s="4">
        <v>7</v>
      </c>
      <c r="O2174" t="s">
        <v>29</v>
      </c>
      <c r="P2174" t="s">
        <v>36</v>
      </c>
      <c r="Q2174" s="4">
        <v>547783</v>
      </c>
      <c r="R2174" s="4">
        <v>287708</v>
      </c>
      <c r="S2174" s="4">
        <f>Table1[[#This Row],[Service_Revenue]]-Table1[[#This Row],[Service_Cost]]</f>
        <v>260075</v>
      </c>
      <c r="T2174" s="4">
        <v>1</v>
      </c>
      <c r="U2174" s="4">
        <f>IF(AND(Table1[[#This Row],[Rework_Flag]]="Yes",Table1[[#This Row],[Warranty_Claim]]="No"),Table1[[#This Row],[Service_Revenue]],0)</f>
        <v>547783</v>
      </c>
      <c r="V2174" s="4">
        <f>IF(Table1[[#This Row],[Warranty_Claim]]="Yes",1,0)</f>
        <v>0</v>
      </c>
      <c r="W2174" s="4">
        <f>IF(Table1[[#This Row],[Rework_Flag]]="No",1,0)</f>
        <v>0</v>
      </c>
      <c r="X2174" s="4">
        <f>IF(Table1[[#This Row],[Rework_Flag]]="Yes",1,0)</f>
        <v>1</v>
      </c>
      <c r="Y2174" s="4">
        <v>1</v>
      </c>
      <c r="Z2174" s="4" t="str">
        <f>IF(Table1[[#This Row],[TAT_Days]]&gt;Table1[[#This Row],[SLA_TAT]],"Yes","No")</f>
        <v>Yes</v>
      </c>
      <c r="AA2174" s="4" t="str" cm="1">
        <f t="array" ref="AA2174">_xlfn.IFS(Table1[[#This Row],[Customer_Satisfaction]]&lt;=2,"Poor",Table1[[#This Row],[Customer_Satisfaction]]=3,"Neutral",Table1[[#This Row],[Customer_Satisfaction]]=4,"Good",Table1[[#This Row],[Customer_Satisfaction]]=5,"Good")</f>
        <v>Poor</v>
      </c>
    </row>
    <row r="2175" spans="1:27" x14ac:dyDescent="0.35">
      <c r="A2175">
        <v>22173</v>
      </c>
      <c r="B2175" s="1">
        <v>45373</v>
      </c>
      <c r="C2175" t="s">
        <v>50</v>
      </c>
      <c r="D2175" t="s">
        <v>56</v>
      </c>
      <c r="E2175" t="s">
        <v>101</v>
      </c>
      <c r="F2175" t="s">
        <v>40</v>
      </c>
      <c r="G2175" t="s">
        <v>74</v>
      </c>
      <c r="H2175" t="s">
        <v>34</v>
      </c>
      <c r="I2175" t="s">
        <v>55</v>
      </c>
      <c r="J2175" t="s">
        <v>26</v>
      </c>
      <c r="K2175" t="s">
        <v>61</v>
      </c>
      <c r="L2175" t="s">
        <v>28</v>
      </c>
      <c r="M2175" s="4">
        <v>23</v>
      </c>
      <c r="N2175" s="4">
        <v>7</v>
      </c>
      <c r="O2175" t="s">
        <v>29</v>
      </c>
      <c r="P2175" t="s">
        <v>36</v>
      </c>
      <c r="Q2175" s="4">
        <v>521732</v>
      </c>
      <c r="R2175" s="4">
        <v>294367</v>
      </c>
      <c r="S2175" s="4">
        <f>Table1[[#This Row],[Service_Revenue]]-Table1[[#This Row],[Service_Cost]]</f>
        <v>227365</v>
      </c>
      <c r="T2175" s="4">
        <v>1</v>
      </c>
      <c r="U2175" s="4">
        <f>IF(AND(Table1[[#This Row],[Rework_Flag]]="Yes",Table1[[#This Row],[Warranty_Claim]]="No"),Table1[[#This Row],[Service_Revenue]],0)</f>
        <v>521732</v>
      </c>
      <c r="V2175" s="4">
        <f>IF(Table1[[#This Row],[Warranty_Claim]]="Yes",1,0)</f>
        <v>0</v>
      </c>
      <c r="W2175" s="4">
        <f>IF(Table1[[#This Row],[Rework_Flag]]="No",1,0)</f>
        <v>0</v>
      </c>
      <c r="X2175" s="4">
        <f>IF(Table1[[#This Row],[Rework_Flag]]="Yes",1,0)</f>
        <v>1</v>
      </c>
      <c r="Y2175" s="4">
        <v>1</v>
      </c>
      <c r="Z2175" s="4" t="str">
        <f>IF(Table1[[#This Row],[TAT_Days]]&gt;Table1[[#This Row],[SLA_TAT]],"Yes","No")</f>
        <v>Yes</v>
      </c>
      <c r="AA2175" s="4" t="str" cm="1">
        <f t="array" ref="AA2175">_xlfn.IFS(Table1[[#This Row],[Customer_Satisfaction]]&lt;=2,"Poor",Table1[[#This Row],[Customer_Satisfaction]]=3,"Neutral",Table1[[#This Row],[Customer_Satisfaction]]=4,"Good",Table1[[#This Row],[Customer_Satisfaction]]=5,"Good")</f>
        <v>Poor</v>
      </c>
    </row>
    <row r="2176" spans="1:27" x14ac:dyDescent="0.35">
      <c r="A2176">
        <v>22174</v>
      </c>
      <c r="B2176" s="1">
        <v>45425</v>
      </c>
      <c r="C2176" t="s">
        <v>50</v>
      </c>
      <c r="D2176" t="s">
        <v>56</v>
      </c>
      <c r="E2176" t="s">
        <v>77</v>
      </c>
      <c r="F2176" t="s">
        <v>53</v>
      </c>
      <c r="G2176" t="s">
        <v>63</v>
      </c>
      <c r="H2176" t="s">
        <v>24</v>
      </c>
      <c r="I2176" t="s">
        <v>25</v>
      </c>
      <c r="J2176" t="s">
        <v>67</v>
      </c>
      <c r="K2176" t="s">
        <v>44</v>
      </c>
      <c r="L2176" t="s">
        <v>49</v>
      </c>
      <c r="M2176" s="4">
        <v>6</v>
      </c>
      <c r="N2176" s="4">
        <v>7</v>
      </c>
      <c r="O2176" t="s">
        <v>29</v>
      </c>
      <c r="P2176" t="s">
        <v>36</v>
      </c>
      <c r="Q2176" s="4">
        <v>324130</v>
      </c>
      <c r="R2176" s="4">
        <v>190257</v>
      </c>
      <c r="S2176" s="4">
        <f>Table1[[#This Row],[Service_Revenue]]-Table1[[#This Row],[Service_Cost]]</f>
        <v>133873</v>
      </c>
      <c r="T2176" s="4">
        <v>3</v>
      </c>
      <c r="U2176" s="4">
        <f>IF(AND(Table1[[#This Row],[Rework_Flag]]="Yes",Table1[[#This Row],[Warranty_Claim]]="No"),Table1[[#This Row],[Service_Revenue]],0)</f>
        <v>324130</v>
      </c>
      <c r="V2176" s="4">
        <f>IF(Table1[[#This Row],[Warranty_Claim]]="Yes",1,0)</f>
        <v>0</v>
      </c>
      <c r="W2176" s="4">
        <f>IF(Table1[[#This Row],[Rework_Flag]]="No",1,0)</f>
        <v>0</v>
      </c>
      <c r="X2176" s="4">
        <f>IF(Table1[[#This Row],[Rework_Flag]]="Yes",1,0)</f>
        <v>1</v>
      </c>
      <c r="Y2176" s="4">
        <v>1</v>
      </c>
      <c r="Z2176" s="4" t="str">
        <f>IF(Table1[[#This Row],[TAT_Days]]&gt;Table1[[#This Row],[SLA_TAT]],"Yes","No")</f>
        <v>No</v>
      </c>
      <c r="AA2176" s="4" t="str" cm="1">
        <f t="array" ref="AA2176">_xlfn.IFS(Table1[[#This Row],[Customer_Satisfaction]]&lt;=2,"Poor",Table1[[#This Row],[Customer_Satisfaction]]=3,"Neutral",Table1[[#This Row],[Customer_Satisfaction]]=4,"Good",Table1[[#This Row],[Customer_Satisfaction]]=5,"Good")</f>
        <v>Neutral</v>
      </c>
    </row>
    <row r="2177" spans="1:27" x14ac:dyDescent="0.35">
      <c r="A2177">
        <v>22175</v>
      </c>
      <c r="B2177" s="1">
        <v>45456</v>
      </c>
      <c r="C2177" t="s">
        <v>19</v>
      </c>
      <c r="D2177" t="s">
        <v>45</v>
      </c>
      <c r="E2177" t="s">
        <v>99</v>
      </c>
      <c r="F2177" t="s">
        <v>53</v>
      </c>
      <c r="G2177" t="s">
        <v>54</v>
      </c>
      <c r="H2177" t="s">
        <v>42</v>
      </c>
      <c r="I2177" t="s">
        <v>25</v>
      </c>
      <c r="J2177" t="s">
        <v>26</v>
      </c>
      <c r="K2177" t="s">
        <v>61</v>
      </c>
      <c r="L2177" t="s">
        <v>28</v>
      </c>
      <c r="M2177" s="4">
        <v>17</v>
      </c>
      <c r="N2177" s="4">
        <v>7</v>
      </c>
      <c r="O2177" t="s">
        <v>36</v>
      </c>
      <c r="P2177" t="s">
        <v>29</v>
      </c>
      <c r="Q2177" s="4">
        <v>382262</v>
      </c>
      <c r="R2177" s="4">
        <v>218684</v>
      </c>
      <c r="S2177" s="4">
        <f>Table1[[#This Row],[Service_Revenue]]-Table1[[#This Row],[Service_Cost]]</f>
        <v>163578</v>
      </c>
      <c r="T2177" s="4">
        <v>2</v>
      </c>
      <c r="U2177" s="4">
        <f>IF(AND(Table1[[#This Row],[Rework_Flag]]="Yes",Table1[[#This Row],[Warranty_Claim]]="No"),Table1[[#This Row],[Service_Revenue]],0)</f>
        <v>0</v>
      </c>
      <c r="V2177" s="4">
        <f>IF(Table1[[#This Row],[Warranty_Claim]]="Yes",1,0)</f>
        <v>1</v>
      </c>
      <c r="W2177" s="4">
        <f>IF(Table1[[#This Row],[Rework_Flag]]="No",1,0)</f>
        <v>1</v>
      </c>
      <c r="X2177" s="4">
        <f>IF(Table1[[#This Row],[Rework_Flag]]="Yes",1,0)</f>
        <v>0</v>
      </c>
      <c r="Y2177" s="4">
        <v>1</v>
      </c>
      <c r="Z2177" s="4" t="str">
        <f>IF(Table1[[#This Row],[TAT_Days]]&gt;Table1[[#This Row],[SLA_TAT]],"Yes","No")</f>
        <v>Yes</v>
      </c>
      <c r="AA2177" s="4" t="str" cm="1">
        <f t="array" ref="AA2177">_xlfn.IFS(Table1[[#This Row],[Customer_Satisfaction]]&lt;=2,"Poor",Table1[[#This Row],[Customer_Satisfaction]]=3,"Neutral",Table1[[#This Row],[Customer_Satisfaction]]=4,"Good",Table1[[#This Row],[Customer_Satisfaction]]=5,"Good")</f>
        <v>Poor</v>
      </c>
    </row>
    <row r="2178" spans="1:27" x14ac:dyDescent="0.35">
      <c r="A2178">
        <v>22176</v>
      </c>
      <c r="B2178" s="1">
        <v>45411</v>
      </c>
      <c r="C2178" t="s">
        <v>37</v>
      </c>
      <c r="D2178" t="s">
        <v>64</v>
      </c>
      <c r="E2178" t="s">
        <v>115</v>
      </c>
      <c r="F2178" t="s">
        <v>53</v>
      </c>
      <c r="G2178" t="s">
        <v>41</v>
      </c>
      <c r="H2178" t="s">
        <v>42</v>
      </c>
      <c r="I2178" t="s">
        <v>55</v>
      </c>
      <c r="J2178" t="s">
        <v>43</v>
      </c>
      <c r="K2178" t="s">
        <v>61</v>
      </c>
      <c r="L2178" t="s">
        <v>28</v>
      </c>
      <c r="M2178" s="4">
        <v>7</v>
      </c>
      <c r="N2178" s="4">
        <v>7</v>
      </c>
      <c r="O2178" t="s">
        <v>36</v>
      </c>
      <c r="P2178" t="s">
        <v>29</v>
      </c>
      <c r="Q2178" s="4">
        <v>506747</v>
      </c>
      <c r="R2178" s="4">
        <v>282272</v>
      </c>
      <c r="S2178" s="4">
        <f>Table1[[#This Row],[Service_Revenue]]-Table1[[#This Row],[Service_Cost]]</f>
        <v>224475</v>
      </c>
      <c r="T2178" s="4">
        <v>4</v>
      </c>
      <c r="U2178" s="4">
        <f>IF(AND(Table1[[#This Row],[Rework_Flag]]="Yes",Table1[[#This Row],[Warranty_Claim]]="No"),Table1[[#This Row],[Service_Revenue]],0)</f>
        <v>0</v>
      </c>
      <c r="V2178" s="4">
        <f>IF(Table1[[#This Row],[Warranty_Claim]]="Yes",1,0)</f>
        <v>1</v>
      </c>
      <c r="W2178" s="4">
        <f>IF(Table1[[#This Row],[Rework_Flag]]="No",1,0)</f>
        <v>1</v>
      </c>
      <c r="X2178" s="4">
        <f>IF(Table1[[#This Row],[Rework_Flag]]="Yes",1,0)</f>
        <v>0</v>
      </c>
      <c r="Y2178" s="4">
        <v>1</v>
      </c>
      <c r="Z2178" s="4" t="str">
        <f>IF(Table1[[#This Row],[TAT_Days]]&gt;Table1[[#This Row],[SLA_TAT]],"Yes","No")</f>
        <v>No</v>
      </c>
      <c r="AA2178" s="4" t="str" cm="1">
        <f t="array" ref="AA2178">_xlfn.IFS(Table1[[#This Row],[Customer_Satisfaction]]&lt;=2,"Poor",Table1[[#This Row],[Customer_Satisfaction]]=3,"Neutral",Table1[[#This Row],[Customer_Satisfaction]]=4,"Good",Table1[[#This Row],[Customer_Satisfaction]]=5,"Good")</f>
        <v>Good</v>
      </c>
    </row>
    <row r="2179" spans="1:27" x14ac:dyDescent="0.35">
      <c r="A2179">
        <v>22177</v>
      </c>
      <c r="B2179" s="1">
        <v>45318</v>
      </c>
      <c r="C2179" t="s">
        <v>37</v>
      </c>
      <c r="D2179" t="s">
        <v>38</v>
      </c>
      <c r="E2179" t="s">
        <v>93</v>
      </c>
      <c r="F2179" t="s">
        <v>40</v>
      </c>
      <c r="G2179" t="s">
        <v>63</v>
      </c>
      <c r="H2179" t="s">
        <v>24</v>
      </c>
      <c r="I2179" t="s">
        <v>25</v>
      </c>
      <c r="J2179" t="s">
        <v>67</v>
      </c>
      <c r="K2179" t="s">
        <v>44</v>
      </c>
      <c r="L2179" t="s">
        <v>28</v>
      </c>
      <c r="M2179" s="4">
        <v>16</v>
      </c>
      <c r="N2179" s="4">
        <v>7</v>
      </c>
      <c r="O2179" t="s">
        <v>36</v>
      </c>
      <c r="P2179" t="s">
        <v>29</v>
      </c>
      <c r="Q2179" s="4">
        <v>141351</v>
      </c>
      <c r="R2179" s="4">
        <v>76076</v>
      </c>
      <c r="S2179" s="4">
        <f>Table1[[#This Row],[Service_Revenue]]-Table1[[#This Row],[Service_Cost]]</f>
        <v>65275</v>
      </c>
      <c r="T2179" s="4">
        <v>2</v>
      </c>
      <c r="U2179" s="4">
        <f>IF(AND(Table1[[#This Row],[Rework_Flag]]="Yes",Table1[[#This Row],[Warranty_Claim]]="No"),Table1[[#This Row],[Service_Revenue]],0)</f>
        <v>0</v>
      </c>
      <c r="V2179" s="4">
        <f>IF(Table1[[#This Row],[Warranty_Claim]]="Yes",1,0)</f>
        <v>1</v>
      </c>
      <c r="W2179" s="4">
        <f>IF(Table1[[#This Row],[Rework_Flag]]="No",1,0)</f>
        <v>1</v>
      </c>
      <c r="X2179" s="4">
        <f>IF(Table1[[#This Row],[Rework_Flag]]="Yes",1,0)</f>
        <v>0</v>
      </c>
      <c r="Y2179" s="4">
        <v>1</v>
      </c>
      <c r="Z2179" s="4" t="str">
        <f>IF(Table1[[#This Row],[TAT_Days]]&gt;Table1[[#This Row],[SLA_TAT]],"Yes","No")</f>
        <v>Yes</v>
      </c>
      <c r="AA2179" s="4" t="str" cm="1">
        <f t="array" ref="AA2179">_xlfn.IFS(Table1[[#This Row],[Customer_Satisfaction]]&lt;=2,"Poor",Table1[[#This Row],[Customer_Satisfaction]]=3,"Neutral",Table1[[#This Row],[Customer_Satisfaction]]=4,"Good",Table1[[#This Row],[Customer_Satisfaction]]=5,"Good")</f>
        <v>Poor</v>
      </c>
    </row>
    <row r="2180" spans="1:27" x14ac:dyDescent="0.35">
      <c r="A2180">
        <v>22178</v>
      </c>
      <c r="B2180" s="1">
        <v>45366</v>
      </c>
      <c r="C2180" t="s">
        <v>50</v>
      </c>
      <c r="D2180" t="s">
        <v>80</v>
      </c>
      <c r="E2180" t="s">
        <v>121</v>
      </c>
      <c r="F2180" t="s">
        <v>22</v>
      </c>
      <c r="G2180" t="s">
        <v>63</v>
      </c>
      <c r="H2180" t="s">
        <v>24</v>
      </c>
      <c r="I2180" t="s">
        <v>55</v>
      </c>
      <c r="J2180" t="s">
        <v>43</v>
      </c>
      <c r="K2180" t="s">
        <v>27</v>
      </c>
      <c r="L2180" t="s">
        <v>49</v>
      </c>
      <c r="M2180" s="4">
        <v>20</v>
      </c>
      <c r="N2180" s="4">
        <v>7</v>
      </c>
      <c r="O2180" t="s">
        <v>29</v>
      </c>
      <c r="P2180" t="s">
        <v>36</v>
      </c>
      <c r="Q2180" s="4">
        <v>481284</v>
      </c>
      <c r="R2180" s="4">
        <v>382121</v>
      </c>
      <c r="S2180" s="4">
        <f>Table1[[#This Row],[Service_Revenue]]-Table1[[#This Row],[Service_Cost]]</f>
        <v>99163</v>
      </c>
      <c r="T2180" s="4">
        <v>1</v>
      </c>
      <c r="U2180" s="4">
        <f>IF(AND(Table1[[#This Row],[Rework_Flag]]="Yes",Table1[[#This Row],[Warranty_Claim]]="No"),Table1[[#This Row],[Service_Revenue]],0)</f>
        <v>481284</v>
      </c>
      <c r="V2180" s="4">
        <f>IF(Table1[[#This Row],[Warranty_Claim]]="Yes",1,0)</f>
        <v>0</v>
      </c>
      <c r="W2180" s="4">
        <f>IF(Table1[[#This Row],[Rework_Flag]]="No",1,0)</f>
        <v>0</v>
      </c>
      <c r="X2180" s="4">
        <f>IF(Table1[[#This Row],[Rework_Flag]]="Yes",1,0)</f>
        <v>1</v>
      </c>
      <c r="Y2180" s="4">
        <v>1</v>
      </c>
      <c r="Z2180" s="4" t="str">
        <f>IF(Table1[[#This Row],[TAT_Days]]&gt;Table1[[#This Row],[SLA_TAT]],"Yes","No")</f>
        <v>Yes</v>
      </c>
      <c r="AA2180" s="4" t="str" cm="1">
        <f t="array" ref="AA2180">_xlfn.IFS(Table1[[#This Row],[Customer_Satisfaction]]&lt;=2,"Poor",Table1[[#This Row],[Customer_Satisfaction]]=3,"Neutral",Table1[[#This Row],[Customer_Satisfaction]]=4,"Good",Table1[[#This Row],[Customer_Satisfaction]]=5,"Good")</f>
        <v>Poor</v>
      </c>
    </row>
    <row r="2181" spans="1:27" x14ac:dyDescent="0.35">
      <c r="A2181">
        <v>22179</v>
      </c>
      <c r="B2181" s="1">
        <v>45441</v>
      </c>
      <c r="C2181" t="s">
        <v>30</v>
      </c>
      <c r="D2181" t="s">
        <v>83</v>
      </c>
      <c r="E2181" t="s">
        <v>84</v>
      </c>
      <c r="F2181" t="s">
        <v>53</v>
      </c>
      <c r="G2181" t="s">
        <v>33</v>
      </c>
      <c r="H2181" t="s">
        <v>34</v>
      </c>
      <c r="I2181" t="s">
        <v>55</v>
      </c>
      <c r="J2181" t="s">
        <v>43</v>
      </c>
      <c r="K2181" t="s">
        <v>61</v>
      </c>
      <c r="L2181" t="s">
        <v>49</v>
      </c>
      <c r="M2181" s="4">
        <v>17</v>
      </c>
      <c r="N2181" s="4">
        <v>7</v>
      </c>
      <c r="O2181" t="s">
        <v>36</v>
      </c>
      <c r="P2181" t="s">
        <v>29</v>
      </c>
      <c r="Q2181" s="4">
        <v>165559</v>
      </c>
      <c r="R2181" s="4">
        <v>118638</v>
      </c>
      <c r="S2181" s="4">
        <f>Table1[[#This Row],[Service_Revenue]]-Table1[[#This Row],[Service_Cost]]</f>
        <v>46921</v>
      </c>
      <c r="T2181" s="4">
        <v>2</v>
      </c>
      <c r="U2181" s="4">
        <f>IF(AND(Table1[[#This Row],[Rework_Flag]]="Yes",Table1[[#This Row],[Warranty_Claim]]="No"),Table1[[#This Row],[Service_Revenue]],0)</f>
        <v>0</v>
      </c>
      <c r="V2181" s="4">
        <f>IF(Table1[[#This Row],[Warranty_Claim]]="Yes",1,0)</f>
        <v>1</v>
      </c>
      <c r="W2181" s="4">
        <f>IF(Table1[[#This Row],[Rework_Flag]]="No",1,0)</f>
        <v>1</v>
      </c>
      <c r="X2181" s="4">
        <f>IF(Table1[[#This Row],[Rework_Flag]]="Yes",1,0)</f>
        <v>0</v>
      </c>
      <c r="Y2181" s="4">
        <v>1</v>
      </c>
      <c r="Z2181" s="4" t="str">
        <f>IF(Table1[[#This Row],[TAT_Days]]&gt;Table1[[#This Row],[SLA_TAT]],"Yes","No")</f>
        <v>Yes</v>
      </c>
      <c r="AA2181" s="4" t="str" cm="1">
        <f t="array" ref="AA2181">_xlfn.IFS(Table1[[#This Row],[Customer_Satisfaction]]&lt;=2,"Poor",Table1[[#This Row],[Customer_Satisfaction]]=3,"Neutral",Table1[[#This Row],[Customer_Satisfaction]]=4,"Good",Table1[[#This Row],[Customer_Satisfaction]]=5,"Good")</f>
        <v>Poor</v>
      </c>
    </row>
    <row r="2182" spans="1:27" x14ac:dyDescent="0.35">
      <c r="A2182">
        <v>22180</v>
      </c>
      <c r="B2182" s="1">
        <v>45461</v>
      </c>
      <c r="C2182" t="s">
        <v>19</v>
      </c>
      <c r="D2182" t="s">
        <v>20</v>
      </c>
      <c r="E2182" t="s">
        <v>21</v>
      </c>
      <c r="F2182" t="s">
        <v>22</v>
      </c>
      <c r="G2182" t="s">
        <v>41</v>
      </c>
      <c r="H2182" t="s">
        <v>42</v>
      </c>
      <c r="I2182" t="s">
        <v>55</v>
      </c>
      <c r="J2182" t="s">
        <v>43</v>
      </c>
      <c r="K2182" t="s">
        <v>61</v>
      </c>
      <c r="L2182" t="s">
        <v>28</v>
      </c>
      <c r="M2182" s="4">
        <v>12</v>
      </c>
      <c r="N2182" s="4">
        <v>7</v>
      </c>
      <c r="O2182" t="s">
        <v>36</v>
      </c>
      <c r="P2182" t="s">
        <v>36</v>
      </c>
      <c r="Q2182" s="4">
        <v>218522</v>
      </c>
      <c r="R2182" s="4">
        <v>148325</v>
      </c>
      <c r="S2182" s="4">
        <f>Table1[[#This Row],[Service_Revenue]]-Table1[[#This Row],[Service_Cost]]</f>
        <v>70197</v>
      </c>
      <c r="T2182" s="4">
        <v>3</v>
      </c>
      <c r="U2182" s="4">
        <f>IF(AND(Table1[[#This Row],[Rework_Flag]]="Yes",Table1[[#This Row],[Warranty_Claim]]="No"),Table1[[#This Row],[Service_Revenue]],0)</f>
        <v>0</v>
      </c>
      <c r="V2182" s="4">
        <f>IF(Table1[[#This Row],[Warranty_Claim]]="Yes",1,0)</f>
        <v>0</v>
      </c>
      <c r="W2182" s="4">
        <f>IF(Table1[[#This Row],[Rework_Flag]]="No",1,0)</f>
        <v>1</v>
      </c>
      <c r="X2182" s="4">
        <f>IF(Table1[[#This Row],[Rework_Flag]]="Yes",1,0)</f>
        <v>0</v>
      </c>
      <c r="Y2182" s="4">
        <v>1</v>
      </c>
      <c r="Z2182" s="4" t="str">
        <f>IF(Table1[[#This Row],[TAT_Days]]&gt;Table1[[#This Row],[SLA_TAT]],"Yes","No")</f>
        <v>Yes</v>
      </c>
      <c r="AA2182" s="4" t="str" cm="1">
        <f t="array" ref="AA2182">_xlfn.IFS(Table1[[#This Row],[Customer_Satisfaction]]&lt;=2,"Poor",Table1[[#This Row],[Customer_Satisfaction]]=3,"Neutral",Table1[[#This Row],[Customer_Satisfaction]]=4,"Good",Table1[[#This Row],[Customer_Satisfaction]]=5,"Good")</f>
        <v>Neutral</v>
      </c>
    </row>
    <row r="2183" spans="1:27" x14ac:dyDescent="0.35">
      <c r="A2183">
        <v>22181</v>
      </c>
      <c r="B2183" s="1">
        <v>45382</v>
      </c>
      <c r="C2183" t="s">
        <v>19</v>
      </c>
      <c r="D2183" t="s">
        <v>96</v>
      </c>
      <c r="E2183" t="s">
        <v>97</v>
      </c>
      <c r="F2183" t="s">
        <v>40</v>
      </c>
      <c r="G2183" t="s">
        <v>54</v>
      </c>
      <c r="H2183" t="s">
        <v>42</v>
      </c>
      <c r="I2183" t="s">
        <v>25</v>
      </c>
      <c r="J2183" t="s">
        <v>26</v>
      </c>
      <c r="K2183" t="s">
        <v>44</v>
      </c>
      <c r="L2183" t="s">
        <v>28</v>
      </c>
      <c r="M2183" s="4">
        <v>17</v>
      </c>
      <c r="N2183" s="4">
        <v>7</v>
      </c>
      <c r="O2183" t="s">
        <v>36</v>
      </c>
      <c r="P2183" t="s">
        <v>29</v>
      </c>
      <c r="Q2183" s="4">
        <v>237012</v>
      </c>
      <c r="R2183" s="4">
        <v>175352</v>
      </c>
      <c r="S2183" s="4">
        <f>Table1[[#This Row],[Service_Revenue]]-Table1[[#This Row],[Service_Cost]]</f>
        <v>61660</v>
      </c>
      <c r="T2183" s="4">
        <v>2</v>
      </c>
      <c r="U2183" s="4">
        <f>IF(AND(Table1[[#This Row],[Rework_Flag]]="Yes",Table1[[#This Row],[Warranty_Claim]]="No"),Table1[[#This Row],[Service_Revenue]],0)</f>
        <v>0</v>
      </c>
      <c r="V2183" s="4">
        <f>IF(Table1[[#This Row],[Warranty_Claim]]="Yes",1,0)</f>
        <v>1</v>
      </c>
      <c r="W2183" s="4">
        <f>IF(Table1[[#This Row],[Rework_Flag]]="No",1,0)</f>
        <v>1</v>
      </c>
      <c r="X2183" s="4">
        <f>IF(Table1[[#This Row],[Rework_Flag]]="Yes",1,0)</f>
        <v>0</v>
      </c>
      <c r="Y2183" s="4">
        <v>1</v>
      </c>
      <c r="Z2183" s="4" t="str">
        <f>IF(Table1[[#This Row],[TAT_Days]]&gt;Table1[[#This Row],[SLA_TAT]],"Yes","No")</f>
        <v>Yes</v>
      </c>
      <c r="AA2183" s="4" t="str" cm="1">
        <f t="array" ref="AA2183">_xlfn.IFS(Table1[[#This Row],[Customer_Satisfaction]]&lt;=2,"Poor",Table1[[#This Row],[Customer_Satisfaction]]=3,"Neutral",Table1[[#This Row],[Customer_Satisfaction]]=4,"Good",Table1[[#This Row],[Customer_Satisfaction]]=5,"Good")</f>
        <v>Poor</v>
      </c>
    </row>
    <row r="2184" spans="1:27" x14ac:dyDescent="0.35">
      <c r="A2184">
        <v>22182</v>
      </c>
      <c r="B2184" s="1">
        <v>45364</v>
      </c>
      <c r="C2184" t="s">
        <v>37</v>
      </c>
      <c r="D2184" t="s">
        <v>70</v>
      </c>
      <c r="E2184" t="s">
        <v>91</v>
      </c>
      <c r="F2184" t="s">
        <v>40</v>
      </c>
      <c r="G2184" t="s">
        <v>54</v>
      </c>
      <c r="H2184" t="s">
        <v>42</v>
      </c>
      <c r="I2184" t="s">
        <v>25</v>
      </c>
      <c r="J2184" t="s">
        <v>35</v>
      </c>
      <c r="K2184" t="s">
        <v>44</v>
      </c>
      <c r="L2184" t="s">
        <v>28</v>
      </c>
      <c r="M2184" s="4">
        <v>2</v>
      </c>
      <c r="N2184" s="4">
        <v>7</v>
      </c>
      <c r="O2184" t="s">
        <v>36</v>
      </c>
      <c r="P2184" t="s">
        <v>36</v>
      </c>
      <c r="Q2184" s="4">
        <v>556037</v>
      </c>
      <c r="R2184" s="4">
        <v>327232</v>
      </c>
      <c r="S2184" s="4">
        <f>Table1[[#This Row],[Service_Revenue]]-Table1[[#This Row],[Service_Cost]]</f>
        <v>228805</v>
      </c>
      <c r="T2184" s="4">
        <v>5</v>
      </c>
      <c r="U2184" s="4">
        <f>IF(AND(Table1[[#This Row],[Rework_Flag]]="Yes",Table1[[#This Row],[Warranty_Claim]]="No"),Table1[[#This Row],[Service_Revenue]],0)</f>
        <v>0</v>
      </c>
      <c r="V2184" s="4">
        <f>IF(Table1[[#This Row],[Warranty_Claim]]="Yes",1,0)</f>
        <v>0</v>
      </c>
      <c r="W2184" s="4">
        <f>IF(Table1[[#This Row],[Rework_Flag]]="No",1,0)</f>
        <v>1</v>
      </c>
      <c r="X2184" s="4">
        <f>IF(Table1[[#This Row],[Rework_Flag]]="Yes",1,0)</f>
        <v>0</v>
      </c>
      <c r="Y2184" s="4">
        <v>1</v>
      </c>
      <c r="Z2184" s="4" t="str">
        <f>IF(Table1[[#This Row],[TAT_Days]]&gt;Table1[[#This Row],[SLA_TAT]],"Yes","No")</f>
        <v>No</v>
      </c>
      <c r="AA2184" s="4" t="str" cm="1">
        <f t="array" ref="AA2184">_xlfn.IFS(Table1[[#This Row],[Customer_Satisfaction]]&lt;=2,"Poor",Table1[[#This Row],[Customer_Satisfaction]]=3,"Neutral",Table1[[#This Row],[Customer_Satisfaction]]=4,"Good",Table1[[#This Row],[Customer_Satisfaction]]=5,"Good")</f>
        <v>Good</v>
      </c>
    </row>
    <row r="2185" spans="1:27" x14ac:dyDescent="0.35">
      <c r="A2185">
        <v>22183</v>
      </c>
      <c r="B2185" s="1">
        <v>45439</v>
      </c>
      <c r="C2185" t="s">
        <v>37</v>
      </c>
      <c r="D2185" t="s">
        <v>64</v>
      </c>
      <c r="E2185" t="s">
        <v>72</v>
      </c>
      <c r="F2185" t="s">
        <v>40</v>
      </c>
      <c r="G2185" t="s">
        <v>33</v>
      </c>
      <c r="H2185" t="s">
        <v>34</v>
      </c>
      <c r="I2185" t="s">
        <v>55</v>
      </c>
      <c r="J2185" t="s">
        <v>35</v>
      </c>
      <c r="K2185" t="s">
        <v>61</v>
      </c>
      <c r="L2185" t="s">
        <v>28</v>
      </c>
      <c r="M2185" s="4">
        <v>19</v>
      </c>
      <c r="N2185" s="4">
        <v>7</v>
      </c>
      <c r="O2185" t="s">
        <v>29</v>
      </c>
      <c r="P2185" t="s">
        <v>36</v>
      </c>
      <c r="Q2185" s="4">
        <v>204009</v>
      </c>
      <c r="R2185" s="4">
        <v>159941</v>
      </c>
      <c r="S2185" s="4">
        <f>Table1[[#This Row],[Service_Revenue]]-Table1[[#This Row],[Service_Cost]]</f>
        <v>44068</v>
      </c>
      <c r="T2185" s="4">
        <v>1</v>
      </c>
      <c r="U2185" s="4">
        <f>IF(AND(Table1[[#This Row],[Rework_Flag]]="Yes",Table1[[#This Row],[Warranty_Claim]]="No"),Table1[[#This Row],[Service_Revenue]],0)</f>
        <v>204009</v>
      </c>
      <c r="V2185" s="4">
        <f>IF(Table1[[#This Row],[Warranty_Claim]]="Yes",1,0)</f>
        <v>0</v>
      </c>
      <c r="W2185" s="4">
        <f>IF(Table1[[#This Row],[Rework_Flag]]="No",1,0)</f>
        <v>0</v>
      </c>
      <c r="X2185" s="4">
        <f>IF(Table1[[#This Row],[Rework_Flag]]="Yes",1,0)</f>
        <v>1</v>
      </c>
      <c r="Y2185" s="4">
        <v>1</v>
      </c>
      <c r="Z2185" s="4" t="str">
        <f>IF(Table1[[#This Row],[TAT_Days]]&gt;Table1[[#This Row],[SLA_TAT]],"Yes","No")</f>
        <v>Yes</v>
      </c>
      <c r="AA2185" s="4" t="str" cm="1">
        <f t="array" ref="AA2185">_xlfn.IFS(Table1[[#This Row],[Customer_Satisfaction]]&lt;=2,"Poor",Table1[[#This Row],[Customer_Satisfaction]]=3,"Neutral",Table1[[#This Row],[Customer_Satisfaction]]=4,"Good",Table1[[#This Row],[Customer_Satisfaction]]=5,"Good")</f>
        <v>Poor</v>
      </c>
    </row>
    <row r="2186" spans="1:27" x14ac:dyDescent="0.35">
      <c r="A2186">
        <v>22184</v>
      </c>
      <c r="B2186" s="1">
        <v>45458</v>
      </c>
      <c r="C2186" t="s">
        <v>50</v>
      </c>
      <c r="D2186" t="s">
        <v>56</v>
      </c>
      <c r="E2186" t="s">
        <v>68</v>
      </c>
      <c r="F2186" t="s">
        <v>22</v>
      </c>
      <c r="G2186" t="s">
        <v>47</v>
      </c>
      <c r="H2186" t="s">
        <v>48</v>
      </c>
      <c r="I2186" t="s">
        <v>25</v>
      </c>
      <c r="J2186" t="s">
        <v>43</v>
      </c>
      <c r="K2186" t="s">
        <v>61</v>
      </c>
      <c r="L2186" t="s">
        <v>28</v>
      </c>
      <c r="M2186" s="4">
        <v>17</v>
      </c>
      <c r="N2186" s="4">
        <v>7</v>
      </c>
      <c r="O2186" t="s">
        <v>36</v>
      </c>
      <c r="P2186" t="s">
        <v>36</v>
      </c>
      <c r="Q2186" s="4">
        <v>418467</v>
      </c>
      <c r="R2186" s="4">
        <v>290690</v>
      </c>
      <c r="S2186" s="4">
        <f>Table1[[#This Row],[Service_Revenue]]-Table1[[#This Row],[Service_Cost]]</f>
        <v>127777</v>
      </c>
      <c r="T2186" s="4">
        <v>2</v>
      </c>
      <c r="U2186" s="4">
        <f>IF(AND(Table1[[#This Row],[Rework_Flag]]="Yes",Table1[[#This Row],[Warranty_Claim]]="No"),Table1[[#This Row],[Service_Revenue]],0)</f>
        <v>0</v>
      </c>
      <c r="V2186" s="4">
        <f>IF(Table1[[#This Row],[Warranty_Claim]]="Yes",1,0)</f>
        <v>0</v>
      </c>
      <c r="W2186" s="4">
        <f>IF(Table1[[#This Row],[Rework_Flag]]="No",1,0)</f>
        <v>1</v>
      </c>
      <c r="X2186" s="4">
        <f>IF(Table1[[#This Row],[Rework_Flag]]="Yes",1,0)</f>
        <v>0</v>
      </c>
      <c r="Y2186" s="4">
        <v>1</v>
      </c>
      <c r="Z2186" s="4" t="str">
        <f>IF(Table1[[#This Row],[TAT_Days]]&gt;Table1[[#This Row],[SLA_TAT]],"Yes","No")</f>
        <v>Yes</v>
      </c>
      <c r="AA2186" s="4" t="str" cm="1">
        <f t="array" ref="AA2186">_xlfn.IFS(Table1[[#This Row],[Customer_Satisfaction]]&lt;=2,"Poor",Table1[[#This Row],[Customer_Satisfaction]]=3,"Neutral",Table1[[#This Row],[Customer_Satisfaction]]=4,"Good",Table1[[#This Row],[Customer_Satisfaction]]=5,"Good")</f>
        <v>Poor</v>
      </c>
    </row>
    <row r="2187" spans="1:27" x14ac:dyDescent="0.35">
      <c r="A2187">
        <v>22185</v>
      </c>
      <c r="B2187" s="1">
        <v>45443</v>
      </c>
      <c r="C2187" t="s">
        <v>37</v>
      </c>
      <c r="D2187" t="s">
        <v>64</v>
      </c>
      <c r="E2187" t="s">
        <v>65</v>
      </c>
      <c r="F2187" t="s">
        <v>53</v>
      </c>
      <c r="G2187" t="s">
        <v>47</v>
      </c>
      <c r="H2187" t="s">
        <v>48</v>
      </c>
      <c r="I2187" t="s">
        <v>25</v>
      </c>
      <c r="J2187" t="s">
        <v>67</v>
      </c>
      <c r="K2187" t="s">
        <v>27</v>
      </c>
      <c r="L2187" t="s">
        <v>28</v>
      </c>
      <c r="M2187" s="4">
        <v>20</v>
      </c>
      <c r="N2187" s="4">
        <v>7</v>
      </c>
      <c r="O2187" t="s">
        <v>29</v>
      </c>
      <c r="P2187" t="s">
        <v>29</v>
      </c>
      <c r="Q2187" s="4">
        <v>132568</v>
      </c>
      <c r="R2187" s="4">
        <v>82341</v>
      </c>
      <c r="S2187" s="4">
        <f>Table1[[#This Row],[Service_Revenue]]-Table1[[#This Row],[Service_Cost]]</f>
        <v>50227</v>
      </c>
      <c r="T2187" s="4">
        <v>1</v>
      </c>
      <c r="U2187" s="4">
        <f>IF(AND(Table1[[#This Row],[Rework_Flag]]="Yes",Table1[[#This Row],[Warranty_Claim]]="No"),Table1[[#This Row],[Service_Revenue]],0)</f>
        <v>0</v>
      </c>
      <c r="V2187" s="4">
        <f>IF(Table1[[#This Row],[Warranty_Claim]]="Yes",1,0)</f>
        <v>1</v>
      </c>
      <c r="W2187" s="4">
        <f>IF(Table1[[#This Row],[Rework_Flag]]="No",1,0)</f>
        <v>0</v>
      </c>
      <c r="X2187" s="4">
        <f>IF(Table1[[#This Row],[Rework_Flag]]="Yes",1,0)</f>
        <v>1</v>
      </c>
      <c r="Y2187" s="4">
        <v>1</v>
      </c>
      <c r="Z2187" s="4" t="str">
        <f>IF(Table1[[#This Row],[TAT_Days]]&gt;Table1[[#This Row],[SLA_TAT]],"Yes","No")</f>
        <v>Yes</v>
      </c>
      <c r="AA2187" s="4" t="str" cm="1">
        <f t="array" ref="AA2187">_xlfn.IFS(Table1[[#This Row],[Customer_Satisfaction]]&lt;=2,"Poor",Table1[[#This Row],[Customer_Satisfaction]]=3,"Neutral",Table1[[#This Row],[Customer_Satisfaction]]=4,"Good",Table1[[#This Row],[Customer_Satisfaction]]=5,"Good")</f>
        <v>Poor</v>
      </c>
    </row>
    <row r="2188" spans="1:27" x14ac:dyDescent="0.35">
      <c r="A2188">
        <v>22186</v>
      </c>
      <c r="B2188" s="1">
        <v>45382</v>
      </c>
      <c r="C2188" t="s">
        <v>30</v>
      </c>
      <c r="D2188" t="s">
        <v>83</v>
      </c>
      <c r="E2188" t="s">
        <v>92</v>
      </c>
      <c r="F2188" t="s">
        <v>53</v>
      </c>
      <c r="G2188" t="s">
        <v>47</v>
      </c>
      <c r="H2188" t="s">
        <v>48</v>
      </c>
      <c r="I2188" t="s">
        <v>25</v>
      </c>
      <c r="J2188" t="s">
        <v>26</v>
      </c>
      <c r="K2188" t="s">
        <v>44</v>
      </c>
      <c r="L2188" t="s">
        <v>49</v>
      </c>
      <c r="M2188" s="4">
        <v>4</v>
      </c>
      <c r="N2188" s="4">
        <v>7</v>
      </c>
      <c r="O2188" t="s">
        <v>29</v>
      </c>
      <c r="P2188" t="s">
        <v>36</v>
      </c>
      <c r="Q2188" s="4">
        <v>436157</v>
      </c>
      <c r="R2188" s="4">
        <v>341616</v>
      </c>
      <c r="S2188" s="4">
        <f>Table1[[#This Row],[Service_Revenue]]-Table1[[#This Row],[Service_Cost]]</f>
        <v>94541</v>
      </c>
      <c r="T2188" s="4">
        <v>4</v>
      </c>
      <c r="U2188" s="4">
        <f>IF(AND(Table1[[#This Row],[Rework_Flag]]="Yes",Table1[[#This Row],[Warranty_Claim]]="No"),Table1[[#This Row],[Service_Revenue]],0)</f>
        <v>436157</v>
      </c>
      <c r="V2188" s="4">
        <f>IF(Table1[[#This Row],[Warranty_Claim]]="Yes",1,0)</f>
        <v>0</v>
      </c>
      <c r="W2188" s="4">
        <f>IF(Table1[[#This Row],[Rework_Flag]]="No",1,0)</f>
        <v>0</v>
      </c>
      <c r="X2188" s="4">
        <f>IF(Table1[[#This Row],[Rework_Flag]]="Yes",1,0)</f>
        <v>1</v>
      </c>
      <c r="Y2188" s="4">
        <v>1</v>
      </c>
      <c r="Z2188" s="4" t="str">
        <f>IF(Table1[[#This Row],[TAT_Days]]&gt;Table1[[#This Row],[SLA_TAT]],"Yes","No")</f>
        <v>No</v>
      </c>
      <c r="AA2188" s="4" t="str" cm="1">
        <f t="array" ref="AA2188">_xlfn.IFS(Table1[[#This Row],[Customer_Satisfaction]]&lt;=2,"Poor",Table1[[#This Row],[Customer_Satisfaction]]=3,"Neutral",Table1[[#This Row],[Customer_Satisfaction]]=4,"Good",Table1[[#This Row],[Customer_Satisfaction]]=5,"Good")</f>
        <v>Good</v>
      </c>
    </row>
    <row r="2189" spans="1:27" x14ac:dyDescent="0.35">
      <c r="A2189">
        <v>22187</v>
      </c>
      <c r="B2189" s="1">
        <v>45371</v>
      </c>
      <c r="C2189" t="s">
        <v>50</v>
      </c>
      <c r="D2189" t="s">
        <v>51</v>
      </c>
      <c r="E2189" t="s">
        <v>75</v>
      </c>
      <c r="F2189" t="s">
        <v>53</v>
      </c>
      <c r="G2189" t="s">
        <v>47</v>
      </c>
      <c r="H2189" t="s">
        <v>48</v>
      </c>
      <c r="I2189" t="s">
        <v>55</v>
      </c>
      <c r="J2189" t="s">
        <v>35</v>
      </c>
      <c r="K2189" t="s">
        <v>44</v>
      </c>
      <c r="L2189" t="s">
        <v>28</v>
      </c>
      <c r="M2189" s="4">
        <v>18</v>
      </c>
      <c r="N2189" s="4">
        <v>7</v>
      </c>
      <c r="O2189" t="s">
        <v>29</v>
      </c>
      <c r="P2189" t="s">
        <v>36</v>
      </c>
      <c r="Q2189" s="4">
        <v>297706</v>
      </c>
      <c r="R2189" s="4">
        <v>199545</v>
      </c>
      <c r="S2189" s="4">
        <f>Table1[[#This Row],[Service_Revenue]]-Table1[[#This Row],[Service_Cost]]</f>
        <v>98161</v>
      </c>
      <c r="T2189" s="4">
        <v>1</v>
      </c>
      <c r="U2189" s="4">
        <f>IF(AND(Table1[[#This Row],[Rework_Flag]]="Yes",Table1[[#This Row],[Warranty_Claim]]="No"),Table1[[#This Row],[Service_Revenue]],0)</f>
        <v>297706</v>
      </c>
      <c r="V2189" s="4">
        <f>IF(Table1[[#This Row],[Warranty_Claim]]="Yes",1,0)</f>
        <v>0</v>
      </c>
      <c r="W2189" s="4">
        <f>IF(Table1[[#This Row],[Rework_Flag]]="No",1,0)</f>
        <v>0</v>
      </c>
      <c r="X2189" s="4">
        <f>IF(Table1[[#This Row],[Rework_Flag]]="Yes",1,0)</f>
        <v>1</v>
      </c>
      <c r="Y2189" s="4">
        <v>1</v>
      </c>
      <c r="Z2189" s="4" t="str">
        <f>IF(Table1[[#This Row],[TAT_Days]]&gt;Table1[[#This Row],[SLA_TAT]],"Yes","No")</f>
        <v>Yes</v>
      </c>
      <c r="AA2189" s="4" t="str" cm="1">
        <f t="array" ref="AA2189">_xlfn.IFS(Table1[[#This Row],[Customer_Satisfaction]]&lt;=2,"Poor",Table1[[#This Row],[Customer_Satisfaction]]=3,"Neutral",Table1[[#This Row],[Customer_Satisfaction]]=4,"Good",Table1[[#This Row],[Customer_Satisfaction]]=5,"Good")</f>
        <v>Poor</v>
      </c>
    </row>
    <row r="2190" spans="1:27" x14ac:dyDescent="0.35">
      <c r="A2190">
        <v>22188</v>
      </c>
      <c r="B2190" s="1">
        <v>45415</v>
      </c>
      <c r="C2190" t="s">
        <v>19</v>
      </c>
      <c r="D2190" t="s">
        <v>20</v>
      </c>
      <c r="E2190" t="s">
        <v>117</v>
      </c>
      <c r="F2190" t="s">
        <v>40</v>
      </c>
      <c r="G2190" t="s">
        <v>74</v>
      </c>
      <c r="H2190" t="s">
        <v>34</v>
      </c>
      <c r="I2190" t="s">
        <v>55</v>
      </c>
      <c r="J2190" t="s">
        <v>58</v>
      </c>
      <c r="K2190" t="s">
        <v>44</v>
      </c>
      <c r="L2190" t="s">
        <v>28</v>
      </c>
      <c r="M2190" s="4">
        <v>21</v>
      </c>
      <c r="N2190" s="4">
        <v>7</v>
      </c>
      <c r="O2190" t="s">
        <v>29</v>
      </c>
      <c r="P2190" t="s">
        <v>29</v>
      </c>
      <c r="Q2190" s="4">
        <v>538396</v>
      </c>
      <c r="R2190" s="4">
        <v>290261</v>
      </c>
      <c r="S2190" s="4">
        <f>Table1[[#This Row],[Service_Revenue]]-Table1[[#This Row],[Service_Cost]]</f>
        <v>248135</v>
      </c>
      <c r="T2190" s="4">
        <v>1</v>
      </c>
      <c r="U2190" s="4">
        <f>IF(AND(Table1[[#This Row],[Rework_Flag]]="Yes",Table1[[#This Row],[Warranty_Claim]]="No"),Table1[[#This Row],[Service_Revenue]],0)</f>
        <v>0</v>
      </c>
      <c r="V2190" s="4">
        <f>IF(Table1[[#This Row],[Warranty_Claim]]="Yes",1,0)</f>
        <v>1</v>
      </c>
      <c r="W2190" s="4">
        <f>IF(Table1[[#This Row],[Rework_Flag]]="No",1,0)</f>
        <v>0</v>
      </c>
      <c r="X2190" s="4">
        <f>IF(Table1[[#This Row],[Rework_Flag]]="Yes",1,0)</f>
        <v>1</v>
      </c>
      <c r="Y2190" s="4">
        <v>1</v>
      </c>
      <c r="Z2190" s="4" t="str">
        <f>IF(Table1[[#This Row],[TAT_Days]]&gt;Table1[[#This Row],[SLA_TAT]],"Yes","No")</f>
        <v>Yes</v>
      </c>
      <c r="AA2190" s="4" t="str" cm="1">
        <f t="array" ref="AA2190">_xlfn.IFS(Table1[[#This Row],[Customer_Satisfaction]]&lt;=2,"Poor",Table1[[#This Row],[Customer_Satisfaction]]=3,"Neutral",Table1[[#This Row],[Customer_Satisfaction]]=4,"Good",Table1[[#This Row],[Customer_Satisfaction]]=5,"Good")</f>
        <v>Poor</v>
      </c>
    </row>
    <row r="2191" spans="1:27" x14ac:dyDescent="0.35">
      <c r="A2191">
        <v>22189</v>
      </c>
      <c r="B2191" s="1">
        <v>45390</v>
      </c>
      <c r="C2191" t="s">
        <v>50</v>
      </c>
      <c r="D2191" t="s">
        <v>80</v>
      </c>
      <c r="E2191" t="s">
        <v>104</v>
      </c>
      <c r="F2191" t="s">
        <v>40</v>
      </c>
      <c r="G2191" t="s">
        <v>33</v>
      </c>
      <c r="H2191" t="s">
        <v>34</v>
      </c>
      <c r="I2191" t="s">
        <v>55</v>
      </c>
      <c r="J2191" t="s">
        <v>43</v>
      </c>
      <c r="K2191" t="s">
        <v>27</v>
      </c>
      <c r="L2191" t="s">
        <v>28</v>
      </c>
      <c r="M2191" s="4">
        <v>8</v>
      </c>
      <c r="N2191" s="4">
        <v>7</v>
      </c>
      <c r="O2191" t="s">
        <v>29</v>
      </c>
      <c r="P2191" t="s">
        <v>36</v>
      </c>
      <c r="Q2191" s="4">
        <v>208841</v>
      </c>
      <c r="R2191" s="4">
        <v>133383</v>
      </c>
      <c r="S2191" s="4">
        <f>Table1[[#This Row],[Service_Revenue]]-Table1[[#This Row],[Service_Cost]]</f>
        <v>75458</v>
      </c>
      <c r="T2191" s="4">
        <v>3</v>
      </c>
      <c r="U2191" s="4">
        <f>IF(AND(Table1[[#This Row],[Rework_Flag]]="Yes",Table1[[#This Row],[Warranty_Claim]]="No"),Table1[[#This Row],[Service_Revenue]],0)</f>
        <v>208841</v>
      </c>
      <c r="V2191" s="4">
        <f>IF(Table1[[#This Row],[Warranty_Claim]]="Yes",1,0)</f>
        <v>0</v>
      </c>
      <c r="W2191" s="4">
        <f>IF(Table1[[#This Row],[Rework_Flag]]="No",1,0)</f>
        <v>0</v>
      </c>
      <c r="X2191" s="4">
        <f>IF(Table1[[#This Row],[Rework_Flag]]="Yes",1,0)</f>
        <v>1</v>
      </c>
      <c r="Y2191" s="4">
        <v>1</v>
      </c>
      <c r="Z2191" s="4" t="str">
        <f>IF(Table1[[#This Row],[TAT_Days]]&gt;Table1[[#This Row],[SLA_TAT]],"Yes","No")</f>
        <v>Yes</v>
      </c>
      <c r="AA2191" s="4" t="str" cm="1">
        <f t="array" ref="AA2191">_xlfn.IFS(Table1[[#This Row],[Customer_Satisfaction]]&lt;=2,"Poor",Table1[[#This Row],[Customer_Satisfaction]]=3,"Neutral",Table1[[#This Row],[Customer_Satisfaction]]=4,"Good",Table1[[#This Row],[Customer_Satisfaction]]=5,"Good")</f>
        <v>Neutral</v>
      </c>
    </row>
    <row r="2192" spans="1:27" x14ac:dyDescent="0.35">
      <c r="A2192">
        <v>22190</v>
      </c>
      <c r="B2192" s="1">
        <v>45434</v>
      </c>
      <c r="C2192" t="s">
        <v>30</v>
      </c>
      <c r="D2192" t="s">
        <v>59</v>
      </c>
      <c r="E2192" t="s">
        <v>69</v>
      </c>
      <c r="F2192" t="s">
        <v>40</v>
      </c>
      <c r="G2192" t="s">
        <v>33</v>
      </c>
      <c r="H2192" t="s">
        <v>34</v>
      </c>
      <c r="I2192" t="s">
        <v>25</v>
      </c>
      <c r="J2192" t="s">
        <v>35</v>
      </c>
      <c r="K2192" t="s">
        <v>44</v>
      </c>
      <c r="L2192" t="s">
        <v>28</v>
      </c>
      <c r="M2192" s="4">
        <v>24</v>
      </c>
      <c r="N2192" s="4">
        <v>7</v>
      </c>
      <c r="O2192" t="s">
        <v>29</v>
      </c>
      <c r="P2192" t="s">
        <v>36</v>
      </c>
      <c r="Q2192" s="4">
        <v>310151</v>
      </c>
      <c r="R2192" s="4">
        <v>260958</v>
      </c>
      <c r="S2192" s="4">
        <f>Table1[[#This Row],[Service_Revenue]]-Table1[[#This Row],[Service_Cost]]</f>
        <v>49193</v>
      </c>
      <c r="T2192" s="4">
        <v>1</v>
      </c>
      <c r="U2192" s="4">
        <f>IF(AND(Table1[[#This Row],[Rework_Flag]]="Yes",Table1[[#This Row],[Warranty_Claim]]="No"),Table1[[#This Row],[Service_Revenue]],0)</f>
        <v>310151</v>
      </c>
      <c r="V2192" s="4">
        <f>IF(Table1[[#This Row],[Warranty_Claim]]="Yes",1,0)</f>
        <v>0</v>
      </c>
      <c r="W2192" s="4">
        <f>IF(Table1[[#This Row],[Rework_Flag]]="No",1,0)</f>
        <v>0</v>
      </c>
      <c r="X2192" s="4">
        <f>IF(Table1[[#This Row],[Rework_Flag]]="Yes",1,0)</f>
        <v>1</v>
      </c>
      <c r="Y2192" s="4">
        <v>1</v>
      </c>
      <c r="Z2192" s="4" t="str">
        <f>IF(Table1[[#This Row],[TAT_Days]]&gt;Table1[[#This Row],[SLA_TAT]],"Yes","No")</f>
        <v>Yes</v>
      </c>
      <c r="AA2192" s="4" t="str" cm="1">
        <f t="array" ref="AA2192">_xlfn.IFS(Table1[[#This Row],[Customer_Satisfaction]]&lt;=2,"Poor",Table1[[#This Row],[Customer_Satisfaction]]=3,"Neutral",Table1[[#This Row],[Customer_Satisfaction]]=4,"Good",Table1[[#This Row],[Customer_Satisfaction]]=5,"Good")</f>
        <v>Poor</v>
      </c>
    </row>
    <row r="2193" spans="1:27" x14ac:dyDescent="0.35">
      <c r="A2193">
        <v>22191</v>
      </c>
      <c r="B2193" s="1">
        <v>45352</v>
      </c>
      <c r="C2193" t="s">
        <v>19</v>
      </c>
      <c r="D2193" t="s">
        <v>20</v>
      </c>
      <c r="E2193" t="s">
        <v>110</v>
      </c>
      <c r="F2193" t="s">
        <v>22</v>
      </c>
      <c r="G2193" t="s">
        <v>63</v>
      </c>
      <c r="H2193" t="s">
        <v>24</v>
      </c>
      <c r="I2193" t="s">
        <v>55</v>
      </c>
      <c r="J2193" t="s">
        <v>43</v>
      </c>
      <c r="K2193" t="s">
        <v>44</v>
      </c>
      <c r="L2193" t="s">
        <v>28</v>
      </c>
      <c r="M2193" s="4">
        <v>25</v>
      </c>
      <c r="N2193" s="4">
        <v>7</v>
      </c>
      <c r="O2193" t="s">
        <v>36</v>
      </c>
      <c r="P2193" t="s">
        <v>36</v>
      </c>
      <c r="Q2193" s="4">
        <v>102386</v>
      </c>
      <c r="R2193" s="4">
        <v>71686</v>
      </c>
      <c r="S2193" s="4">
        <f>Table1[[#This Row],[Service_Revenue]]-Table1[[#This Row],[Service_Cost]]</f>
        <v>30700</v>
      </c>
      <c r="T2193" s="4">
        <v>1</v>
      </c>
      <c r="U2193" s="4">
        <f>IF(AND(Table1[[#This Row],[Rework_Flag]]="Yes",Table1[[#This Row],[Warranty_Claim]]="No"),Table1[[#This Row],[Service_Revenue]],0)</f>
        <v>0</v>
      </c>
      <c r="V2193" s="4">
        <f>IF(Table1[[#This Row],[Warranty_Claim]]="Yes",1,0)</f>
        <v>0</v>
      </c>
      <c r="W2193" s="4">
        <f>IF(Table1[[#This Row],[Rework_Flag]]="No",1,0)</f>
        <v>1</v>
      </c>
      <c r="X2193" s="4">
        <f>IF(Table1[[#This Row],[Rework_Flag]]="Yes",1,0)</f>
        <v>0</v>
      </c>
      <c r="Y2193" s="4">
        <v>1</v>
      </c>
      <c r="Z2193" s="4" t="str">
        <f>IF(Table1[[#This Row],[TAT_Days]]&gt;Table1[[#This Row],[SLA_TAT]],"Yes","No")</f>
        <v>Yes</v>
      </c>
      <c r="AA2193" s="4" t="str" cm="1">
        <f t="array" ref="AA2193">_xlfn.IFS(Table1[[#This Row],[Customer_Satisfaction]]&lt;=2,"Poor",Table1[[#This Row],[Customer_Satisfaction]]=3,"Neutral",Table1[[#This Row],[Customer_Satisfaction]]=4,"Good",Table1[[#This Row],[Customer_Satisfaction]]=5,"Good")</f>
        <v>Poor</v>
      </c>
    </row>
    <row r="2194" spans="1:27" x14ac:dyDescent="0.35">
      <c r="A2194">
        <v>22192</v>
      </c>
      <c r="B2194" s="1">
        <v>45471</v>
      </c>
      <c r="C2194" t="s">
        <v>30</v>
      </c>
      <c r="D2194" t="s">
        <v>83</v>
      </c>
      <c r="E2194" t="s">
        <v>84</v>
      </c>
      <c r="F2194" t="s">
        <v>40</v>
      </c>
      <c r="G2194" t="s">
        <v>23</v>
      </c>
      <c r="H2194" t="s">
        <v>24</v>
      </c>
      <c r="I2194" t="s">
        <v>25</v>
      </c>
      <c r="J2194" t="s">
        <v>67</v>
      </c>
      <c r="K2194" t="s">
        <v>27</v>
      </c>
      <c r="L2194" t="s">
        <v>49</v>
      </c>
      <c r="M2194" s="4">
        <v>16</v>
      </c>
      <c r="N2194" s="4">
        <v>7</v>
      </c>
      <c r="O2194" t="s">
        <v>29</v>
      </c>
      <c r="P2194" t="s">
        <v>36</v>
      </c>
      <c r="Q2194" s="4">
        <v>329380</v>
      </c>
      <c r="R2194" s="4">
        <v>246518</v>
      </c>
      <c r="S2194" s="4">
        <f>Table1[[#This Row],[Service_Revenue]]-Table1[[#This Row],[Service_Cost]]</f>
        <v>82862</v>
      </c>
      <c r="T2194" s="4">
        <v>1</v>
      </c>
      <c r="U2194" s="4">
        <f>IF(AND(Table1[[#This Row],[Rework_Flag]]="Yes",Table1[[#This Row],[Warranty_Claim]]="No"),Table1[[#This Row],[Service_Revenue]],0)</f>
        <v>329380</v>
      </c>
      <c r="V2194" s="4">
        <f>IF(Table1[[#This Row],[Warranty_Claim]]="Yes",1,0)</f>
        <v>0</v>
      </c>
      <c r="W2194" s="4">
        <f>IF(Table1[[#This Row],[Rework_Flag]]="No",1,0)</f>
        <v>0</v>
      </c>
      <c r="X2194" s="4">
        <f>IF(Table1[[#This Row],[Rework_Flag]]="Yes",1,0)</f>
        <v>1</v>
      </c>
      <c r="Y2194" s="4">
        <v>1</v>
      </c>
      <c r="Z2194" s="4" t="str">
        <f>IF(Table1[[#This Row],[TAT_Days]]&gt;Table1[[#This Row],[SLA_TAT]],"Yes","No")</f>
        <v>Yes</v>
      </c>
      <c r="AA2194" s="4" t="str" cm="1">
        <f t="array" ref="AA2194">_xlfn.IFS(Table1[[#This Row],[Customer_Satisfaction]]&lt;=2,"Poor",Table1[[#This Row],[Customer_Satisfaction]]=3,"Neutral",Table1[[#This Row],[Customer_Satisfaction]]=4,"Good",Table1[[#This Row],[Customer_Satisfaction]]=5,"Good")</f>
        <v>Poor</v>
      </c>
    </row>
    <row r="2195" spans="1:27" x14ac:dyDescent="0.35">
      <c r="A2195">
        <v>22193</v>
      </c>
      <c r="B2195" s="1">
        <v>45307</v>
      </c>
      <c r="C2195" t="s">
        <v>37</v>
      </c>
      <c r="D2195" t="s">
        <v>64</v>
      </c>
      <c r="E2195" t="s">
        <v>103</v>
      </c>
      <c r="F2195" t="s">
        <v>53</v>
      </c>
      <c r="G2195" t="s">
        <v>41</v>
      </c>
      <c r="H2195" t="s">
        <v>42</v>
      </c>
      <c r="I2195" t="s">
        <v>25</v>
      </c>
      <c r="J2195" t="s">
        <v>43</v>
      </c>
      <c r="K2195" t="s">
        <v>61</v>
      </c>
      <c r="L2195" t="s">
        <v>49</v>
      </c>
      <c r="M2195" s="4">
        <v>15</v>
      </c>
      <c r="N2195" s="4">
        <v>7</v>
      </c>
      <c r="O2195" t="s">
        <v>36</v>
      </c>
      <c r="P2195" t="s">
        <v>36</v>
      </c>
      <c r="Q2195" s="4">
        <v>456236</v>
      </c>
      <c r="R2195" s="4">
        <v>316224</v>
      </c>
      <c r="S2195" s="4">
        <f>Table1[[#This Row],[Service_Revenue]]-Table1[[#This Row],[Service_Cost]]</f>
        <v>140012</v>
      </c>
      <c r="T2195" s="4">
        <v>2</v>
      </c>
      <c r="U2195" s="4">
        <f>IF(AND(Table1[[#This Row],[Rework_Flag]]="Yes",Table1[[#This Row],[Warranty_Claim]]="No"),Table1[[#This Row],[Service_Revenue]],0)</f>
        <v>0</v>
      </c>
      <c r="V2195" s="4">
        <f>IF(Table1[[#This Row],[Warranty_Claim]]="Yes",1,0)</f>
        <v>0</v>
      </c>
      <c r="W2195" s="4">
        <f>IF(Table1[[#This Row],[Rework_Flag]]="No",1,0)</f>
        <v>1</v>
      </c>
      <c r="X2195" s="4">
        <f>IF(Table1[[#This Row],[Rework_Flag]]="Yes",1,0)</f>
        <v>0</v>
      </c>
      <c r="Y2195" s="4">
        <v>1</v>
      </c>
      <c r="Z2195" s="4" t="str">
        <f>IF(Table1[[#This Row],[TAT_Days]]&gt;Table1[[#This Row],[SLA_TAT]],"Yes","No")</f>
        <v>Yes</v>
      </c>
      <c r="AA2195" s="4" t="str" cm="1">
        <f t="array" ref="AA2195">_xlfn.IFS(Table1[[#This Row],[Customer_Satisfaction]]&lt;=2,"Poor",Table1[[#This Row],[Customer_Satisfaction]]=3,"Neutral",Table1[[#This Row],[Customer_Satisfaction]]=4,"Good",Table1[[#This Row],[Customer_Satisfaction]]=5,"Good")</f>
        <v>Poor</v>
      </c>
    </row>
    <row r="2196" spans="1:27" x14ac:dyDescent="0.35">
      <c r="A2196">
        <v>22194</v>
      </c>
      <c r="B2196" s="1">
        <v>45338</v>
      </c>
      <c r="C2196" t="s">
        <v>37</v>
      </c>
      <c r="D2196" t="s">
        <v>70</v>
      </c>
      <c r="E2196" t="s">
        <v>71</v>
      </c>
      <c r="F2196" t="s">
        <v>53</v>
      </c>
      <c r="G2196" t="s">
        <v>33</v>
      </c>
      <c r="H2196" t="s">
        <v>34</v>
      </c>
      <c r="I2196" t="s">
        <v>25</v>
      </c>
      <c r="J2196" t="s">
        <v>26</v>
      </c>
      <c r="K2196" t="s">
        <v>27</v>
      </c>
      <c r="L2196" t="s">
        <v>49</v>
      </c>
      <c r="M2196" s="4">
        <v>21</v>
      </c>
      <c r="N2196" s="4">
        <v>7</v>
      </c>
      <c r="O2196" t="s">
        <v>29</v>
      </c>
      <c r="P2196" t="s">
        <v>36</v>
      </c>
      <c r="Q2196" s="4">
        <v>235306</v>
      </c>
      <c r="R2196" s="4">
        <v>170834</v>
      </c>
      <c r="S2196" s="4">
        <f>Table1[[#This Row],[Service_Revenue]]-Table1[[#This Row],[Service_Cost]]</f>
        <v>64472</v>
      </c>
      <c r="T2196" s="4">
        <v>1</v>
      </c>
      <c r="U2196" s="4">
        <f>IF(AND(Table1[[#This Row],[Rework_Flag]]="Yes",Table1[[#This Row],[Warranty_Claim]]="No"),Table1[[#This Row],[Service_Revenue]],0)</f>
        <v>235306</v>
      </c>
      <c r="V2196" s="4">
        <f>IF(Table1[[#This Row],[Warranty_Claim]]="Yes",1,0)</f>
        <v>0</v>
      </c>
      <c r="W2196" s="4">
        <f>IF(Table1[[#This Row],[Rework_Flag]]="No",1,0)</f>
        <v>0</v>
      </c>
      <c r="X2196" s="4">
        <f>IF(Table1[[#This Row],[Rework_Flag]]="Yes",1,0)</f>
        <v>1</v>
      </c>
      <c r="Y2196" s="4">
        <v>1</v>
      </c>
      <c r="Z2196" s="4" t="str">
        <f>IF(Table1[[#This Row],[TAT_Days]]&gt;Table1[[#This Row],[SLA_TAT]],"Yes","No")</f>
        <v>Yes</v>
      </c>
      <c r="AA2196" s="4" t="str" cm="1">
        <f t="array" ref="AA2196">_xlfn.IFS(Table1[[#This Row],[Customer_Satisfaction]]&lt;=2,"Poor",Table1[[#This Row],[Customer_Satisfaction]]=3,"Neutral",Table1[[#This Row],[Customer_Satisfaction]]=4,"Good",Table1[[#This Row],[Customer_Satisfaction]]=5,"Good")</f>
        <v>Poor</v>
      </c>
    </row>
    <row r="2197" spans="1:27" x14ac:dyDescent="0.35">
      <c r="A2197">
        <v>22195</v>
      </c>
      <c r="B2197" s="1">
        <v>45441</v>
      </c>
      <c r="C2197" t="s">
        <v>30</v>
      </c>
      <c r="D2197" t="s">
        <v>83</v>
      </c>
      <c r="E2197" t="s">
        <v>95</v>
      </c>
      <c r="F2197" t="s">
        <v>53</v>
      </c>
      <c r="G2197" t="s">
        <v>63</v>
      </c>
      <c r="H2197" t="s">
        <v>24</v>
      </c>
      <c r="I2197" t="s">
        <v>25</v>
      </c>
      <c r="J2197" t="s">
        <v>26</v>
      </c>
      <c r="K2197" t="s">
        <v>61</v>
      </c>
      <c r="L2197" t="s">
        <v>49</v>
      </c>
      <c r="M2197" s="4">
        <v>22</v>
      </c>
      <c r="N2197" s="4">
        <v>7</v>
      </c>
      <c r="O2197" t="s">
        <v>36</v>
      </c>
      <c r="P2197" t="s">
        <v>36</v>
      </c>
      <c r="Q2197" s="4">
        <v>440854</v>
      </c>
      <c r="R2197" s="4">
        <v>323524</v>
      </c>
      <c r="S2197" s="4">
        <f>Table1[[#This Row],[Service_Revenue]]-Table1[[#This Row],[Service_Cost]]</f>
        <v>117330</v>
      </c>
      <c r="T2197" s="4">
        <v>1</v>
      </c>
      <c r="U2197" s="4">
        <f>IF(AND(Table1[[#This Row],[Rework_Flag]]="Yes",Table1[[#This Row],[Warranty_Claim]]="No"),Table1[[#This Row],[Service_Revenue]],0)</f>
        <v>0</v>
      </c>
      <c r="V2197" s="4">
        <f>IF(Table1[[#This Row],[Warranty_Claim]]="Yes",1,0)</f>
        <v>0</v>
      </c>
      <c r="W2197" s="4">
        <f>IF(Table1[[#This Row],[Rework_Flag]]="No",1,0)</f>
        <v>1</v>
      </c>
      <c r="X2197" s="4">
        <f>IF(Table1[[#This Row],[Rework_Flag]]="Yes",1,0)</f>
        <v>0</v>
      </c>
      <c r="Y2197" s="4">
        <v>1</v>
      </c>
      <c r="Z2197" s="4" t="str">
        <f>IF(Table1[[#This Row],[TAT_Days]]&gt;Table1[[#This Row],[SLA_TAT]],"Yes","No")</f>
        <v>Yes</v>
      </c>
      <c r="AA2197" s="4" t="str" cm="1">
        <f t="array" ref="AA2197">_xlfn.IFS(Table1[[#This Row],[Customer_Satisfaction]]&lt;=2,"Poor",Table1[[#This Row],[Customer_Satisfaction]]=3,"Neutral",Table1[[#This Row],[Customer_Satisfaction]]=4,"Good",Table1[[#This Row],[Customer_Satisfaction]]=5,"Good")</f>
        <v>Poor</v>
      </c>
    </row>
    <row r="2198" spans="1:27" x14ac:dyDescent="0.35">
      <c r="A2198">
        <v>22196</v>
      </c>
      <c r="B2198" s="1">
        <v>45365</v>
      </c>
      <c r="C2198" t="s">
        <v>37</v>
      </c>
      <c r="D2198" t="s">
        <v>64</v>
      </c>
      <c r="E2198" t="s">
        <v>87</v>
      </c>
      <c r="F2198" t="s">
        <v>40</v>
      </c>
      <c r="G2198" t="s">
        <v>33</v>
      </c>
      <c r="H2198" t="s">
        <v>34</v>
      </c>
      <c r="I2198" t="s">
        <v>25</v>
      </c>
      <c r="J2198" t="s">
        <v>43</v>
      </c>
      <c r="K2198" t="s">
        <v>27</v>
      </c>
      <c r="L2198" t="s">
        <v>28</v>
      </c>
      <c r="M2198" s="4">
        <v>7</v>
      </c>
      <c r="N2198" s="4">
        <v>7</v>
      </c>
      <c r="O2198" t="s">
        <v>29</v>
      </c>
      <c r="P2198" t="s">
        <v>36</v>
      </c>
      <c r="Q2198" s="4">
        <v>515572</v>
      </c>
      <c r="R2198" s="4">
        <v>338532</v>
      </c>
      <c r="S2198" s="4">
        <f>Table1[[#This Row],[Service_Revenue]]-Table1[[#This Row],[Service_Cost]]</f>
        <v>177040</v>
      </c>
      <c r="T2198" s="4">
        <v>3</v>
      </c>
      <c r="U2198" s="4">
        <f>IF(AND(Table1[[#This Row],[Rework_Flag]]="Yes",Table1[[#This Row],[Warranty_Claim]]="No"),Table1[[#This Row],[Service_Revenue]],0)</f>
        <v>515572</v>
      </c>
      <c r="V2198" s="4">
        <f>IF(Table1[[#This Row],[Warranty_Claim]]="Yes",1,0)</f>
        <v>0</v>
      </c>
      <c r="W2198" s="4">
        <f>IF(Table1[[#This Row],[Rework_Flag]]="No",1,0)</f>
        <v>0</v>
      </c>
      <c r="X2198" s="4">
        <f>IF(Table1[[#This Row],[Rework_Flag]]="Yes",1,0)</f>
        <v>1</v>
      </c>
      <c r="Y2198" s="4">
        <v>1</v>
      </c>
      <c r="Z2198" s="4" t="str">
        <f>IF(Table1[[#This Row],[TAT_Days]]&gt;Table1[[#This Row],[SLA_TAT]],"Yes","No")</f>
        <v>No</v>
      </c>
      <c r="AA2198" s="4" t="str" cm="1">
        <f t="array" ref="AA2198">_xlfn.IFS(Table1[[#This Row],[Customer_Satisfaction]]&lt;=2,"Poor",Table1[[#This Row],[Customer_Satisfaction]]=3,"Neutral",Table1[[#This Row],[Customer_Satisfaction]]=4,"Good",Table1[[#This Row],[Customer_Satisfaction]]=5,"Good")</f>
        <v>Neutral</v>
      </c>
    </row>
    <row r="2199" spans="1:27" x14ac:dyDescent="0.35">
      <c r="A2199">
        <v>22197</v>
      </c>
      <c r="B2199" s="1">
        <v>45342</v>
      </c>
      <c r="C2199" t="s">
        <v>19</v>
      </c>
      <c r="D2199" t="s">
        <v>45</v>
      </c>
      <c r="E2199" t="s">
        <v>46</v>
      </c>
      <c r="F2199" t="s">
        <v>40</v>
      </c>
      <c r="G2199" t="s">
        <v>47</v>
      </c>
      <c r="H2199" t="s">
        <v>48</v>
      </c>
      <c r="I2199" t="s">
        <v>55</v>
      </c>
      <c r="J2199" t="s">
        <v>67</v>
      </c>
      <c r="K2199" t="s">
        <v>61</v>
      </c>
      <c r="L2199" t="s">
        <v>49</v>
      </c>
      <c r="M2199" s="4">
        <v>5</v>
      </c>
      <c r="N2199" s="4">
        <v>7</v>
      </c>
      <c r="O2199" t="s">
        <v>29</v>
      </c>
      <c r="P2199" t="s">
        <v>36</v>
      </c>
      <c r="Q2199" s="4">
        <v>129608</v>
      </c>
      <c r="R2199" s="4">
        <v>75619</v>
      </c>
      <c r="S2199" s="4">
        <f>Table1[[#This Row],[Service_Revenue]]-Table1[[#This Row],[Service_Cost]]</f>
        <v>53989</v>
      </c>
      <c r="T2199" s="4">
        <v>3</v>
      </c>
      <c r="U2199" s="4">
        <f>IF(AND(Table1[[#This Row],[Rework_Flag]]="Yes",Table1[[#This Row],[Warranty_Claim]]="No"),Table1[[#This Row],[Service_Revenue]],0)</f>
        <v>129608</v>
      </c>
      <c r="V2199" s="4">
        <f>IF(Table1[[#This Row],[Warranty_Claim]]="Yes",1,0)</f>
        <v>0</v>
      </c>
      <c r="W2199" s="4">
        <f>IF(Table1[[#This Row],[Rework_Flag]]="No",1,0)</f>
        <v>0</v>
      </c>
      <c r="X2199" s="4">
        <f>IF(Table1[[#This Row],[Rework_Flag]]="Yes",1,0)</f>
        <v>1</v>
      </c>
      <c r="Y2199" s="4">
        <v>1</v>
      </c>
      <c r="Z2199" s="4" t="str">
        <f>IF(Table1[[#This Row],[TAT_Days]]&gt;Table1[[#This Row],[SLA_TAT]],"Yes","No")</f>
        <v>No</v>
      </c>
      <c r="AA2199" s="4" t="str" cm="1">
        <f t="array" ref="AA2199">_xlfn.IFS(Table1[[#This Row],[Customer_Satisfaction]]&lt;=2,"Poor",Table1[[#This Row],[Customer_Satisfaction]]=3,"Neutral",Table1[[#This Row],[Customer_Satisfaction]]=4,"Good",Table1[[#This Row],[Customer_Satisfaction]]=5,"Good")</f>
        <v>Neutral</v>
      </c>
    </row>
    <row r="2200" spans="1:27" x14ac:dyDescent="0.35">
      <c r="A2200">
        <v>22198</v>
      </c>
      <c r="B2200" s="1">
        <v>45301</v>
      </c>
      <c r="C2200" t="s">
        <v>30</v>
      </c>
      <c r="D2200" t="s">
        <v>83</v>
      </c>
      <c r="E2200" t="s">
        <v>95</v>
      </c>
      <c r="F2200" t="s">
        <v>40</v>
      </c>
      <c r="G2200" t="s">
        <v>33</v>
      </c>
      <c r="H2200" t="s">
        <v>34</v>
      </c>
      <c r="I2200" t="s">
        <v>55</v>
      </c>
      <c r="J2200" t="s">
        <v>58</v>
      </c>
      <c r="K2200" t="s">
        <v>61</v>
      </c>
      <c r="L2200" t="s">
        <v>49</v>
      </c>
      <c r="M2200" s="4">
        <v>6</v>
      </c>
      <c r="N2200" s="4">
        <v>7</v>
      </c>
      <c r="O2200" t="s">
        <v>29</v>
      </c>
      <c r="P2200" t="s">
        <v>36</v>
      </c>
      <c r="Q2200" s="4">
        <v>305494</v>
      </c>
      <c r="R2200" s="4">
        <v>176005</v>
      </c>
      <c r="S2200" s="4">
        <f>Table1[[#This Row],[Service_Revenue]]-Table1[[#This Row],[Service_Cost]]</f>
        <v>129489</v>
      </c>
      <c r="T2200" s="4">
        <v>3</v>
      </c>
      <c r="U2200" s="4">
        <f>IF(AND(Table1[[#This Row],[Rework_Flag]]="Yes",Table1[[#This Row],[Warranty_Claim]]="No"),Table1[[#This Row],[Service_Revenue]],0)</f>
        <v>305494</v>
      </c>
      <c r="V2200" s="4">
        <f>IF(Table1[[#This Row],[Warranty_Claim]]="Yes",1,0)</f>
        <v>0</v>
      </c>
      <c r="W2200" s="4">
        <f>IF(Table1[[#This Row],[Rework_Flag]]="No",1,0)</f>
        <v>0</v>
      </c>
      <c r="X2200" s="4">
        <f>IF(Table1[[#This Row],[Rework_Flag]]="Yes",1,0)</f>
        <v>1</v>
      </c>
      <c r="Y2200" s="4">
        <v>1</v>
      </c>
      <c r="Z2200" s="4" t="str">
        <f>IF(Table1[[#This Row],[TAT_Days]]&gt;Table1[[#This Row],[SLA_TAT]],"Yes","No")</f>
        <v>No</v>
      </c>
      <c r="AA2200" s="4" t="str" cm="1">
        <f t="array" ref="AA2200">_xlfn.IFS(Table1[[#This Row],[Customer_Satisfaction]]&lt;=2,"Poor",Table1[[#This Row],[Customer_Satisfaction]]=3,"Neutral",Table1[[#This Row],[Customer_Satisfaction]]=4,"Good",Table1[[#This Row],[Customer_Satisfaction]]=5,"Good")</f>
        <v>Neutral</v>
      </c>
    </row>
    <row r="2201" spans="1:27" x14ac:dyDescent="0.35">
      <c r="A2201">
        <v>22199</v>
      </c>
      <c r="B2201" s="1">
        <v>45358</v>
      </c>
      <c r="C2201" t="s">
        <v>50</v>
      </c>
      <c r="D2201" t="s">
        <v>80</v>
      </c>
      <c r="E2201" t="s">
        <v>81</v>
      </c>
      <c r="F2201" t="s">
        <v>40</v>
      </c>
      <c r="G2201" t="s">
        <v>74</v>
      </c>
      <c r="H2201" t="s">
        <v>34</v>
      </c>
      <c r="I2201" t="s">
        <v>55</v>
      </c>
      <c r="J2201" t="s">
        <v>43</v>
      </c>
      <c r="K2201" t="s">
        <v>61</v>
      </c>
      <c r="L2201" t="s">
        <v>28</v>
      </c>
      <c r="M2201" s="4">
        <v>2</v>
      </c>
      <c r="N2201" s="4">
        <v>7</v>
      </c>
      <c r="O2201" t="s">
        <v>36</v>
      </c>
      <c r="P2201" t="s">
        <v>36</v>
      </c>
      <c r="Q2201" s="4">
        <v>545852</v>
      </c>
      <c r="R2201" s="4">
        <v>275556</v>
      </c>
      <c r="S2201" s="4">
        <f>Table1[[#This Row],[Service_Revenue]]-Table1[[#This Row],[Service_Cost]]</f>
        <v>270296</v>
      </c>
      <c r="T2201" s="4">
        <v>5</v>
      </c>
      <c r="U2201" s="4">
        <f>IF(AND(Table1[[#This Row],[Rework_Flag]]="Yes",Table1[[#This Row],[Warranty_Claim]]="No"),Table1[[#This Row],[Service_Revenue]],0)</f>
        <v>0</v>
      </c>
      <c r="V2201" s="4">
        <f>IF(Table1[[#This Row],[Warranty_Claim]]="Yes",1,0)</f>
        <v>0</v>
      </c>
      <c r="W2201" s="4">
        <f>IF(Table1[[#This Row],[Rework_Flag]]="No",1,0)</f>
        <v>1</v>
      </c>
      <c r="X2201" s="4">
        <f>IF(Table1[[#This Row],[Rework_Flag]]="Yes",1,0)</f>
        <v>0</v>
      </c>
      <c r="Y2201" s="4">
        <v>1</v>
      </c>
      <c r="Z2201" s="4" t="str">
        <f>IF(Table1[[#This Row],[TAT_Days]]&gt;Table1[[#This Row],[SLA_TAT]],"Yes","No")</f>
        <v>No</v>
      </c>
      <c r="AA2201" s="4" t="str" cm="1">
        <f t="array" ref="AA2201">_xlfn.IFS(Table1[[#This Row],[Customer_Satisfaction]]&lt;=2,"Poor",Table1[[#This Row],[Customer_Satisfaction]]=3,"Neutral",Table1[[#This Row],[Customer_Satisfaction]]=4,"Good",Table1[[#This Row],[Customer_Satisfaction]]=5,"Good")</f>
        <v>Good</v>
      </c>
    </row>
    <row r="2202" spans="1:27" x14ac:dyDescent="0.35">
      <c r="A2202">
        <v>22200</v>
      </c>
      <c r="B2202" s="1">
        <v>45375</v>
      </c>
      <c r="C2202" t="s">
        <v>30</v>
      </c>
      <c r="D2202" t="s">
        <v>83</v>
      </c>
      <c r="E2202" t="s">
        <v>84</v>
      </c>
      <c r="F2202" t="s">
        <v>53</v>
      </c>
      <c r="G2202" t="s">
        <v>41</v>
      </c>
      <c r="H2202" t="s">
        <v>42</v>
      </c>
      <c r="I2202" t="s">
        <v>25</v>
      </c>
      <c r="J2202" t="s">
        <v>26</v>
      </c>
      <c r="K2202" t="s">
        <v>61</v>
      </c>
      <c r="L2202" t="s">
        <v>28</v>
      </c>
      <c r="M2202" s="4">
        <v>12</v>
      </c>
      <c r="N2202" s="4">
        <v>7</v>
      </c>
      <c r="O2202" t="s">
        <v>36</v>
      </c>
      <c r="P2202" t="s">
        <v>36</v>
      </c>
      <c r="Q2202" s="4">
        <v>115353</v>
      </c>
      <c r="R2202" s="4">
        <v>59126</v>
      </c>
      <c r="S2202" s="4">
        <f>Table1[[#This Row],[Service_Revenue]]-Table1[[#This Row],[Service_Cost]]</f>
        <v>56227</v>
      </c>
      <c r="T2202" s="4">
        <v>3</v>
      </c>
      <c r="U2202" s="4">
        <f>IF(AND(Table1[[#This Row],[Rework_Flag]]="Yes",Table1[[#This Row],[Warranty_Claim]]="No"),Table1[[#This Row],[Service_Revenue]],0)</f>
        <v>0</v>
      </c>
      <c r="V2202" s="4">
        <f>IF(Table1[[#This Row],[Warranty_Claim]]="Yes",1,0)</f>
        <v>0</v>
      </c>
      <c r="W2202" s="4">
        <f>IF(Table1[[#This Row],[Rework_Flag]]="No",1,0)</f>
        <v>1</v>
      </c>
      <c r="X2202" s="4">
        <f>IF(Table1[[#This Row],[Rework_Flag]]="Yes",1,0)</f>
        <v>0</v>
      </c>
      <c r="Y2202" s="4">
        <v>1</v>
      </c>
      <c r="Z2202" s="4" t="str">
        <f>IF(Table1[[#This Row],[TAT_Days]]&gt;Table1[[#This Row],[SLA_TAT]],"Yes","No")</f>
        <v>Yes</v>
      </c>
      <c r="AA2202" s="4" t="str" cm="1">
        <f t="array" ref="AA2202">_xlfn.IFS(Table1[[#This Row],[Customer_Satisfaction]]&lt;=2,"Poor",Table1[[#This Row],[Customer_Satisfaction]]=3,"Neutral",Table1[[#This Row],[Customer_Satisfaction]]=4,"Good",Table1[[#This Row],[Customer_Satisfaction]]=5,"Good")</f>
        <v>Neutral</v>
      </c>
    </row>
    <row r="2203" spans="1:27" x14ac:dyDescent="0.35">
      <c r="A2203">
        <v>22201</v>
      </c>
      <c r="B2203" s="1">
        <v>45415</v>
      </c>
      <c r="C2203" t="s">
        <v>37</v>
      </c>
      <c r="D2203" t="s">
        <v>70</v>
      </c>
      <c r="E2203" t="s">
        <v>116</v>
      </c>
      <c r="F2203" t="s">
        <v>53</v>
      </c>
      <c r="G2203" t="s">
        <v>41</v>
      </c>
      <c r="H2203" t="s">
        <v>42</v>
      </c>
      <c r="I2203" t="s">
        <v>55</v>
      </c>
      <c r="J2203" t="s">
        <v>35</v>
      </c>
      <c r="K2203" t="s">
        <v>27</v>
      </c>
      <c r="L2203" t="s">
        <v>28</v>
      </c>
      <c r="M2203" s="4">
        <v>3</v>
      </c>
      <c r="N2203" s="4">
        <v>7</v>
      </c>
      <c r="O2203" t="s">
        <v>29</v>
      </c>
      <c r="P2203" t="s">
        <v>36</v>
      </c>
      <c r="Q2203" s="4">
        <v>495749</v>
      </c>
      <c r="R2203" s="4">
        <v>391945</v>
      </c>
      <c r="S2203" s="4">
        <f>Table1[[#This Row],[Service_Revenue]]-Table1[[#This Row],[Service_Cost]]</f>
        <v>103804</v>
      </c>
      <c r="T2203" s="4">
        <v>4</v>
      </c>
      <c r="U2203" s="4">
        <f>IF(AND(Table1[[#This Row],[Rework_Flag]]="Yes",Table1[[#This Row],[Warranty_Claim]]="No"),Table1[[#This Row],[Service_Revenue]],0)</f>
        <v>495749</v>
      </c>
      <c r="V2203" s="4">
        <f>IF(Table1[[#This Row],[Warranty_Claim]]="Yes",1,0)</f>
        <v>0</v>
      </c>
      <c r="W2203" s="4">
        <f>IF(Table1[[#This Row],[Rework_Flag]]="No",1,0)</f>
        <v>0</v>
      </c>
      <c r="X2203" s="4">
        <f>IF(Table1[[#This Row],[Rework_Flag]]="Yes",1,0)</f>
        <v>1</v>
      </c>
      <c r="Y2203" s="4">
        <v>1</v>
      </c>
      <c r="Z2203" s="4" t="str">
        <f>IF(Table1[[#This Row],[TAT_Days]]&gt;Table1[[#This Row],[SLA_TAT]],"Yes","No")</f>
        <v>No</v>
      </c>
      <c r="AA2203" s="4" t="str" cm="1">
        <f t="array" ref="AA2203">_xlfn.IFS(Table1[[#This Row],[Customer_Satisfaction]]&lt;=2,"Poor",Table1[[#This Row],[Customer_Satisfaction]]=3,"Neutral",Table1[[#This Row],[Customer_Satisfaction]]=4,"Good",Table1[[#This Row],[Customer_Satisfaction]]=5,"Good")</f>
        <v>Good</v>
      </c>
    </row>
    <row r="2204" spans="1:27" x14ac:dyDescent="0.35">
      <c r="A2204">
        <v>22202</v>
      </c>
      <c r="B2204" s="1">
        <v>45293</v>
      </c>
      <c r="C2204" t="s">
        <v>19</v>
      </c>
      <c r="D2204" t="s">
        <v>20</v>
      </c>
      <c r="E2204" t="s">
        <v>86</v>
      </c>
      <c r="F2204" t="s">
        <v>40</v>
      </c>
      <c r="G2204" t="s">
        <v>47</v>
      </c>
      <c r="H2204" t="s">
        <v>48</v>
      </c>
      <c r="I2204" t="s">
        <v>25</v>
      </c>
      <c r="J2204" t="s">
        <v>35</v>
      </c>
      <c r="K2204" t="s">
        <v>27</v>
      </c>
      <c r="L2204" t="s">
        <v>28</v>
      </c>
      <c r="M2204" s="4">
        <v>17</v>
      </c>
      <c r="N2204" s="4">
        <v>7</v>
      </c>
      <c r="O2204" t="s">
        <v>29</v>
      </c>
      <c r="P2204" t="s">
        <v>29</v>
      </c>
      <c r="Q2204" s="4">
        <v>353225</v>
      </c>
      <c r="R2204" s="4">
        <v>272866</v>
      </c>
      <c r="S2204" s="4">
        <f>Table1[[#This Row],[Service_Revenue]]-Table1[[#This Row],[Service_Cost]]</f>
        <v>80359</v>
      </c>
      <c r="T2204" s="4">
        <v>1</v>
      </c>
      <c r="U2204" s="4">
        <f>IF(AND(Table1[[#This Row],[Rework_Flag]]="Yes",Table1[[#This Row],[Warranty_Claim]]="No"),Table1[[#This Row],[Service_Revenue]],0)</f>
        <v>0</v>
      </c>
      <c r="V2204" s="4">
        <f>IF(Table1[[#This Row],[Warranty_Claim]]="Yes",1,0)</f>
        <v>1</v>
      </c>
      <c r="W2204" s="4">
        <f>IF(Table1[[#This Row],[Rework_Flag]]="No",1,0)</f>
        <v>0</v>
      </c>
      <c r="X2204" s="4">
        <f>IF(Table1[[#This Row],[Rework_Flag]]="Yes",1,0)</f>
        <v>1</v>
      </c>
      <c r="Y2204" s="4">
        <v>1</v>
      </c>
      <c r="Z2204" s="4" t="str">
        <f>IF(Table1[[#This Row],[TAT_Days]]&gt;Table1[[#This Row],[SLA_TAT]],"Yes","No")</f>
        <v>Yes</v>
      </c>
      <c r="AA2204" s="4" t="str" cm="1">
        <f t="array" ref="AA2204">_xlfn.IFS(Table1[[#This Row],[Customer_Satisfaction]]&lt;=2,"Poor",Table1[[#This Row],[Customer_Satisfaction]]=3,"Neutral",Table1[[#This Row],[Customer_Satisfaction]]=4,"Good",Table1[[#This Row],[Customer_Satisfaction]]=5,"Good")</f>
        <v>Poor</v>
      </c>
    </row>
    <row r="2205" spans="1:27" x14ac:dyDescent="0.35">
      <c r="A2205">
        <v>22203</v>
      </c>
      <c r="B2205" s="1">
        <v>45423</v>
      </c>
      <c r="C2205" t="s">
        <v>50</v>
      </c>
      <c r="D2205" t="s">
        <v>51</v>
      </c>
      <c r="E2205" t="s">
        <v>113</v>
      </c>
      <c r="F2205" t="s">
        <v>22</v>
      </c>
      <c r="G2205" t="s">
        <v>33</v>
      </c>
      <c r="H2205" t="s">
        <v>34</v>
      </c>
      <c r="I2205" t="s">
        <v>55</v>
      </c>
      <c r="J2205" t="s">
        <v>35</v>
      </c>
      <c r="K2205" t="s">
        <v>27</v>
      </c>
      <c r="L2205" t="s">
        <v>28</v>
      </c>
      <c r="M2205" s="4">
        <v>22</v>
      </c>
      <c r="N2205" s="4">
        <v>7</v>
      </c>
      <c r="O2205" t="s">
        <v>29</v>
      </c>
      <c r="P2205" t="s">
        <v>36</v>
      </c>
      <c r="Q2205" s="4">
        <v>253238</v>
      </c>
      <c r="R2205" s="4">
        <v>171881</v>
      </c>
      <c r="S2205" s="4">
        <f>Table1[[#This Row],[Service_Revenue]]-Table1[[#This Row],[Service_Cost]]</f>
        <v>81357</v>
      </c>
      <c r="T2205" s="4">
        <v>1</v>
      </c>
      <c r="U2205" s="4">
        <f>IF(AND(Table1[[#This Row],[Rework_Flag]]="Yes",Table1[[#This Row],[Warranty_Claim]]="No"),Table1[[#This Row],[Service_Revenue]],0)</f>
        <v>253238</v>
      </c>
      <c r="V2205" s="4">
        <f>IF(Table1[[#This Row],[Warranty_Claim]]="Yes",1,0)</f>
        <v>0</v>
      </c>
      <c r="W2205" s="4">
        <f>IF(Table1[[#This Row],[Rework_Flag]]="No",1,0)</f>
        <v>0</v>
      </c>
      <c r="X2205" s="4">
        <f>IF(Table1[[#This Row],[Rework_Flag]]="Yes",1,0)</f>
        <v>1</v>
      </c>
      <c r="Y2205" s="4">
        <v>1</v>
      </c>
      <c r="Z2205" s="4" t="str">
        <f>IF(Table1[[#This Row],[TAT_Days]]&gt;Table1[[#This Row],[SLA_TAT]],"Yes","No")</f>
        <v>Yes</v>
      </c>
      <c r="AA2205" s="4" t="str" cm="1">
        <f t="array" ref="AA2205">_xlfn.IFS(Table1[[#This Row],[Customer_Satisfaction]]&lt;=2,"Poor",Table1[[#This Row],[Customer_Satisfaction]]=3,"Neutral",Table1[[#This Row],[Customer_Satisfaction]]=4,"Good",Table1[[#This Row],[Customer_Satisfaction]]=5,"Good")</f>
        <v>Poor</v>
      </c>
    </row>
    <row r="2206" spans="1:27" x14ac:dyDescent="0.35">
      <c r="A2206">
        <v>22204</v>
      </c>
      <c r="B2206" s="1">
        <v>45321</v>
      </c>
      <c r="C2206" t="s">
        <v>19</v>
      </c>
      <c r="D2206" t="s">
        <v>20</v>
      </c>
      <c r="E2206" t="s">
        <v>86</v>
      </c>
      <c r="F2206" t="s">
        <v>40</v>
      </c>
      <c r="G2206" t="s">
        <v>41</v>
      </c>
      <c r="H2206" t="s">
        <v>42</v>
      </c>
      <c r="I2206" t="s">
        <v>55</v>
      </c>
      <c r="J2206" t="s">
        <v>58</v>
      </c>
      <c r="K2206" t="s">
        <v>61</v>
      </c>
      <c r="L2206" t="s">
        <v>49</v>
      </c>
      <c r="M2206" s="4">
        <v>2</v>
      </c>
      <c r="N2206" s="4">
        <v>7</v>
      </c>
      <c r="O2206" t="s">
        <v>29</v>
      </c>
      <c r="P2206" t="s">
        <v>36</v>
      </c>
      <c r="Q2206" s="4">
        <v>507697</v>
      </c>
      <c r="R2206" s="4">
        <v>316468</v>
      </c>
      <c r="S2206" s="4">
        <f>Table1[[#This Row],[Service_Revenue]]-Table1[[#This Row],[Service_Cost]]</f>
        <v>191229</v>
      </c>
      <c r="T2206" s="4">
        <v>4</v>
      </c>
      <c r="U2206" s="4">
        <f>IF(AND(Table1[[#This Row],[Rework_Flag]]="Yes",Table1[[#This Row],[Warranty_Claim]]="No"),Table1[[#This Row],[Service_Revenue]],0)</f>
        <v>507697</v>
      </c>
      <c r="V2206" s="4">
        <f>IF(Table1[[#This Row],[Warranty_Claim]]="Yes",1,0)</f>
        <v>0</v>
      </c>
      <c r="W2206" s="4">
        <f>IF(Table1[[#This Row],[Rework_Flag]]="No",1,0)</f>
        <v>0</v>
      </c>
      <c r="X2206" s="4">
        <f>IF(Table1[[#This Row],[Rework_Flag]]="Yes",1,0)</f>
        <v>1</v>
      </c>
      <c r="Y2206" s="4">
        <v>1</v>
      </c>
      <c r="Z2206" s="4" t="str">
        <f>IF(Table1[[#This Row],[TAT_Days]]&gt;Table1[[#This Row],[SLA_TAT]],"Yes","No")</f>
        <v>No</v>
      </c>
      <c r="AA2206" s="4" t="str" cm="1">
        <f t="array" ref="AA2206">_xlfn.IFS(Table1[[#This Row],[Customer_Satisfaction]]&lt;=2,"Poor",Table1[[#This Row],[Customer_Satisfaction]]=3,"Neutral",Table1[[#This Row],[Customer_Satisfaction]]=4,"Good",Table1[[#This Row],[Customer_Satisfaction]]=5,"Good")</f>
        <v>Good</v>
      </c>
    </row>
    <row r="2207" spans="1:27" x14ac:dyDescent="0.35">
      <c r="A2207">
        <v>22205</v>
      </c>
      <c r="B2207" s="1">
        <v>45346</v>
      </c>
      <c r="C2207" t="s">
        <v>37</v>
      </c>
      <c r="D2207" t="s">
        <v>64</v>
      </c>
      <c r="E2207" t="s">
        <v>72</v>
      </c>
      <c r="F2207" t="s">
        <v>22</v>
      </c>
      <c r="G2207" t="s">
        <v>74</v>
      </c>
      <c r="H2207" t="s">
        <v>34</v>
      </c>
      <c r="I2207" t="s">
        <v>25</v>
      </c>
      <c r="J2207" t="s">
        <v>58</v>
      </c>
      <c r="K2207" t="s">
        <v>61</v>
      </c>
      <c r="L2207" t="s">
        <v>28</v>
      </c>
      <c r="M2207" s="4">
        <v>22</v>
      </c>
      <c r="N2207" s="4">
        <v>7</v>
      </c>
      <c r="O2207" t="s">
        <v>36</v>
      </c>
      <c r="P2207" t="s">
        <v>36</v>
      </c>
      <c r="Q2207" s="4">
        <v>420956</v>
      </c>
      <c r="R2207" s="4">
        <v>273298</v>
      </c>
      <c r="S2207" s="4">
        <f>Table1[[#This Row],[Service_Revenue]]-Table1[[#This Row],[Service_Cost]]</f>
        <v>147658</v>
      </c>
      <c r="T2207" s="4">
        <v>1</v>
      </c>
      <c r="U2207" s="4">
        <f>IF(AND(Table1[[#This Row],[Rework_Flag]]="Yes",Table1[[#This Row],[Warranty_Claim]]="No"),Table1[[#This Row],[Service_Revenue]],0)</f>
        <v>0</v>
      </c>
      <c r="V2207" s="4">
        <f>IF(Table1[[#This Row],[Warranty_Claim]]="Yes",1,0)</f>
        <v>0</v>
      </c>
      <c r="W2207" s="4">
        <f>IF(Table1[[#This Row],[Rework_Flag]]="No",1,0)</f>
        <v>1</v>
      </c>
      <c r="X2207" s="4">
        <f>IF(Table1[[#This Row],[Rework_Flag]]="Yes",1,0)</f>
        <v>0</v>
      </c>
      <c r="Y2207" s="4">
        <v>1</v>
      </c>
      <c r="Z2207" s="4" t="str">
        <f>IF(Table1[[#This Row],[TAT_Days]]&gt;Table1[[#This Row],[SLA_TAT]],"Yes","No")</f>
        <v>Yes</v>
      </c>
      <c r="AA2207" s="4" t="str" cm="1">
        <f t="array" ref="AA2207">_xlfn.IFS(Table1[[#This Row],[Customer_Satisfaction]]&lt;=2,"Poor",Table1[[#This Row],[Customer_Satisfaction]]=3,"Neutral",Table1[[#This Row],[Customer_Satisfaction]]=4,"Good",Table1[[#This Row],[Customer_Satisfaction]]=5,"Good")</f>
        <v>Poor</v>
      </c>
    </row>
    <row r="2208" spans="1:27" x14ac:dyDescent="0.35">
      <c r="A2208">
        <v>22206</v>
      </c>
      <c r="B2208" s="1">
        <v>45366</v>
      </c>
      <c r="C2208" t="s">
        <v>19</v>
      </c>
      <c r="D2208" t="s">
        <v>20</v>
      </c>
      <c r="E2208" t="s">
        <v>110</v>
      </c>
      <c r="F2208" t="s">
        <v>53</v>
      </c>
      <c r="G2208" t="s">
        <v>74</v>
      </c>
      <c r="H2208" t="s">
        <v>34</v>
      </c>
      <c r="I2208" t="s">
        <v>25</v>
      </c>
      <c r="J2208" t="s">
        <v>67</v>
      </c>
      <c r="K2208" t="s">
        <v>27</v>
      </c>
      <c r="L2208" t="s">
        <v>49</v>
      </c>
      <c r="M2208" s="4">
        <v>17</v>
      </c>
      <c r="N2208" s="4">
        <v>7</v>
      </c>
      <c r="O2208" t="s">
        <v>29</v>
      </c>
      <c r="P2208" t="s">
        <v>29</v>
      </c>
      <c r="Q2208" s="4">
        <v>122303</v>
      </c>
      <c r="R2208" s="4">
        <v>68559</v>
      </c>
      <c r="S2208" s="4">
        <f>Table1[[#This Row],[Service_Revenue]]-Table1[[#This Row],[Service_Cost]]</f>
        <v>53744</v>
      </c>
      <c r="T2208" s="4">
        <v>1</v>
      </c>
      <c r="U2208" s="4">
        <f>IF(AND(Table1[[#This Row],[Rework_Flag]]="Yes",Table1[[#This Row],[Warranty_Claim]]="No"),Table1[[#This Row],[Service_Revenue]],0)</f>
        <v>0</v>
      </c>
      <c r="V2208" s="4">
        <f>IF(Table1[[#This Row],[Warranty_Claim]]="Yes",1,0)</f>
        <v>1</v>
      </c>
      <c r="W2208" s="4">
        <f>IF(Table1[[#This Row],[Rework_Flag]]="No",1,0)</f>
        <v>0</v>
      </c>
      <c r="X2208" s="4">
        <f>IF(Table1[[#This Row],[Rework_Flag]]="Yes",1,0)</f>
        <v>1</v>
      </c>
      <c r="Y2208" s="4">
        <v>1</v>
      </c>
      <c r="Z2208" s="4" t="str">
        <f>IF(Table1[[#This Row],[TAT_Days]]&gt;Table1[[#This Row],[SLA_TAT]],"Yes","No")</f>
        <v>Yes</v>
      </c>
      <c r="AA2208" s="4" t="str" cm="1">
        <f t="array" ref="AA2208">_xlfn.IFS(Table1[[#This Row],[Customer_Satisfaction]]&lt;=2,"Poor",Table1[[#This Row],[Customer_Satisfaction]]=3,"Neutral",Table1[[#This Row],[Customer_Satisfaction]]=4,"Good",Table1[[#This Row],[Customer_Satisfaction]]=5,"Good")</f>
        <v>Poor</v>
      </c>
    </row>
    <row r="2209" spans="1:27" x14ac:dyDescent="0.35">
      <c r="A2209">
        <v>22207</v>
      </c>
      <c r="B2209" s="1">
        <v>45446</v>
      </c>
      <c r="C2209" t="s">
        <v>50</v>
      </c>
      <c r="D2209" t="s">
        <v>51</v>
      </c>
      <c r="E2209" t="s">
        <v>73</v>
      </c>
      <c r="F2209" t="s">
        <v>53</v>
      </c>
      <c r="G2209" t="s">
        <v>54</v>
      </c>
      <c r="H2209" t="s">
        <v>42</v>
      </c>
      <c r="I2209" t="s">
        <v>25</v>
      </c>
      <c r="J2209" t="s">
        <v>67</v>
      </c>
      <c r="K2209" t="s">
        <v>27</v>
      </c>
      <c r="L2209" t="s">
        <v>28</v>
      </c>
      <c r="M2209" s="4">
        <v>11</v>
      </c>
      <c r="N2209" s="4">
        <v>7</v>
      </c>
      <c r="O2209" t="s">
        <v>29</v>
      </c>
      <c r="P2209" t="s">
        <v>36</v>
      </c>
      <c r="Q2209" s="4">
        <v>456039</v>
      </c>
      <c r="R2209" s="4">
        <v>383231</v>
      </c>
      <c r="S2209" s="4">
        <f>Table1[[#This Row],[Service_Revenue]]-Table1[[#This Row],[Service_Cost]]</f>
        <v>72808</v>
      </c>
      <c r="T2209" s="4">
        <v>2</v>
      </c>
      <c r="U2209" s="4">
        <f>IF(AND(Table1[[#This Row],[Rework_Flag]]="Yes",Table1[[#This Row],[Warranty_Claim]]="No"),Table1[[#This Row],[Service_Revenue]],0)</f>
        <v>456039</v>
      </c>
      <c r="V2209" s="4">
        <f>IF(Table1[[#This Row],[Warranty_Claim]]="Yes",1,0)</f>
        <v>0</v>
      </c>
      <c r="W2209" s="4">
        <f>IF(Table1[[#This Row],[Rework_Flag]]="No",1,0)</f>
        <v>0</v>
      </c>
      <c r="X2209" s="4">
        <f>IF(Table1[[#This Row],[Rework_Flag]]="Yes",1,0)</f>
        <v>1</v>
      </c>
      <c r="Y2209" s="4">
        <v>1</v>
      </c>
      <c r="Z2209" s="4" t="str">
        <f>IF(Table1[[#This Row],[TAT_Days]]&gt;Table1[[#This Row],[SLA_TAT]],"Yes","No")</f>
        <v>Yes</v>
      </c>
      <c r="AA2209" s="4" t="str" cm="1">
        <f t="array" ref="AA2209">_xlfn.IFS(Table1[[#This Row],[Customer_Satisfaction]]&lt;=2,"Poor",Table1[[#This Row],[Customer_Satisfaction]]=3,"Neutral",Table1[[#This Row],[Customer_Satisfaction]]=4,"Good",Table1[[#This Row],[Customer_Satisfaction]]=5,"Good")</f>
        <v>Poor</v>
      </c>
    </row>
    <row r="2210" spans="1:27" x14ac:dyDescent="0.35">
      <c r="A2210">
        <v>22208</v>
      </c>
      <c r="B2210" s="1">
        <v>45352</v>
      </c>
      <c r="C2210" t="s">
        <v>37</v>
      </c>
      <c r="D2210" t="s">
        <v>70</v>
      </c>
      <c r="E2210" t="s">
        <v>82</v>
      </c>
      <c r="F2210" t="s">
        <v>53</v>
      </c>
      <c r="G2210" t="s">
        <v>41</v>
      </c>
      <c r="H2210" t="s">
        <v>42</v>
      </c>
      <c r="I2210" t="s">
        <v>55</v>
      </c>
      <c r="J2210" t="s">
        <v>35</v>
      </c>
      <c r="K2210" t="s">
        <v>61</v>
      </c>
      <c r="L2210" t="s">
        <v>49</v>
      </c>
      <c r="M2210" s="4">
        <v>2</v>
      </c>
      <c r="N2210" s="4">
        <v>7</v>
      </c>
      <c r="O2210" t="s">
        <v>29</v>
      </c>
      <c r="P2210" t="s">
        <v>36</v>
      </c>
      <c r="Q2210" s="4">
        <v>138949</v>
      </c>
      <c r="R2210" s="4">
        <v>112260</v>
      </c>
      <c r="S2210" s="4">
        <f>Table1[[#This Row],[Service_Revenue]]-Table1[[#This Row],[Service_Cost]]</f>
        <v>26689</v>
      </c>
      <c r="T2210" s="4">
        <v>4</v>
      </c>
      <c r="U2210" s="4">
        <f>IF(AND(Table1[[#This Row],[Rework_Flag]]="Yes",Table1[[#This Row],[Warranty_Claim]]="No"),Table1[[#This Row],[Service_Revenue]],0)</f>
        <v>138949</v>
      </c>
      <c r="V2210" s="4">
        <f>IF(Table1[[#This Row],[Warranty_Claim]]="Yes",1,0)</f>
        <v>0</v>
      </c>
      <c r="W2210" s="4">
        <f>IF(Table1[[#This Row],[Rework_Flag]]="No",1,0)</f>
        <v>0</v>
      </c>
      <c r="X2210" s="4">
        <f>IF(Table1[[#This Row],[Rework_Flag]]="Yes",1,0)</f>
        <v>1</v>
      </c>
      <c r="Y2210" s="4">
        <v>1</v>
      </c>
      <c r="Z2210" s="4" t="str">
        <f>IF(Table1[[#This Row],[TAT_Days]]&gt;Table1[[#This Row],[SLA_TAT]],"Yes","No")</f>
        <v>No</v>
      </c>
      <c r="AA2210" s="4" t="str" cm="1">
        <f t="array" ref="AA2210">_xlfn.IFS(Table1[[#This Row],[Customer_Satisfaction]]&lt;=2,"Poor",Table1[[#This Row],[Customer_Satisfaction]]=3,"Neutral",Table1[[#This Row],[Customer_Satisfaction]]=4,"Good",Table1[[#This Row],[Customer_Satisfaction]]=5,"Good")</f>
        <v>Good</v>
      </c>
    </row>
    <row r="2211" spans="1:27" x14ac:dyDescent="0.35">
      <c r="A2211">
        <v>22209</v>
      </c>
      <c r="B2211" s="1">
        <v>45421</v>
      </c>
      <c r="C2211" t="s">
        <v>30</v>
      </c>
      <c r="D2211" t="s">
        <v>31</v>
      </c>
      <c r="E2211" t="s">
        <v>32</v>
      </c>
      <c r="F2211" t="s">
        <v>22</v>
      </c>
      <c r="G2211" t="s">
        <v>74</v>
      </c>
      <c r="H2211" t="s">
        <v>34</v>
      </c>
      <c r="I2211" t="s">
        <v>55</v>
      </c>
      <c r="J2211" t="s">
        <v>35</v>
      </c>
      <c r="K2211" t="s">
        <v>61</v>
      </c>
      <c r="L2211" t="s">
        <v>49</v>
      </c>
      <c r="M2211" s="4">
        <v>21</v>
      </c>
      <c r="N2211" s="4">
        <v>7</v>
      </c>
      <c r="O2211" t="s">
        <v>36</v>
      </c>
      <c r="P2211" t="s">
        <v>36</v>
      </c>
      <c r="Q2211" s="4">
        <v>464985</v>
      </c>
      <c r="R2211" s="4">
        <v>243369</v>
      </c>
      <c r="S2211" s="4">
        <f>Table1[[#This Row],[Service_Revenue]]-Table1[[#This Row],[Service_Cost]]</f>
        <v>221616</v>
      </c>
      <c r="T2211" s="4">
        <v>1</v>
      </c>
      <c r="U2211" s="4">
        <f>IF(AND(Table1[[#This Row],[Rework_Flag]]="Yes",Table1[[#This Row],[Warranty_Claim]]="No"),Table1[[#This Row],[Service_Revenue]],0)</f>
        <v>0</v>
      </c>
      <c r="V2211" s="4">
        <f>IF(Table1[[#This Row],[Warranty_Claim]]="Yes",1,0)</f>
        <v>0</v>
      </c>
      <c r="W2211" s="4">
        <f>IF(Table1[[#This Row],[Rework_Flag]]="No",1,0)</f>
        <v>1</v>
      </c>
      <c r="X2211" s="4">
        <f>IF(Table1[[#This Row],[Rework_Flag]]="Yes",1,0)</f>
        <v>0</v>
      </c>
      <c r="Y2211" s="4">
        <v>1</v>
      </c>
      <c r="Z2211" s="4" t="str">
        <f>IF(Table1[[#This Row],[TAT_Days]]&gt;Table1[[#This Row],[SLA_TAT]],"Yes","No")</f>
        <v>Yes</v>
      </c>
      <c r="AA2211" s="4" t="str" cm="1">
        <f t="array" ref="AA2211">_xlfn.IFS(Table1[[#This Row],[Customer_Satisfaction]]&lt;=2,"Poor",Table1[[#This Row],[Customer_Satisfaction]]=3,"Neutral",Table1[[#This Row],[Customer_Satisfaction]]=4,"Good",Table1[[#This Row],[Customer_Satisfaction]]=5,"Good")</f>
        <v>Poor</v>
      </c>
    </row>
    <row r="2212" spans="1:27" x14ac:dyDescent="0.35">
      <c r="A2212">
        <v>22210</v>
      </c>
      <c r="B2212" s="1">
        <v>45365</v>
      </c>
      <c r="C2212" t="s">
        <v>50</v>
      </c>
      <c r="D2212" t="s">
        <v>80</v>
      </c>
      <c r="E2212" t="s">
        <v>81</v>
      </c>
      <c r="F2212" t="s">
        <v>40</v>
      </c>
      <c r="G2212" t="s">
        <v>33</v>
      </c>
      <c r="H2212" t="s">
        <v>34</v>
      </c>
      <c r="I2212" t="s">
        <v>25</v>
      </c>
      <c r="J2212" t="s">
        <v>43</v>
      </c>
      <c r="K2212" t="s">
        <v>27</v>
      </c>
      <c r="L2212" t="s">
        <v>28</v>
      </c>
      <c r="M2212" s="4">
        <v>5</v>
      </c>
      <c r="N2212" s="4">
        <v>7</v>
      </c>
      <c r="O2212" t="s">
        <v>36</v>
      </c>
      <c r="P2212" t="s">
        <v>29</v>
      </c>
      <c r="Q2212" s="4">
        <v>467564</v>
      </c>
      <c r="R2212" s="4">
        <v>390759</v>
      </c>
      <c r="S2212" s="4">
        <f>Table1[[#This Row],[Service_Revenue]]-Table1[[#This Row],[Service_Cost]]</f>
        <v>76805</v>
      </c>
      <c r="T2212" s="4">
        <v>4</v>
      </c>
      <c r="U2212" s="4">
        <f>IF(AND(Table1[[#This Row],[Rework_Flag]]="Yes",Table1[[#This Row],[Warranty_Claim]]="No"),Table1[[#This Row],[Service_Revenue]],0)</f>
        <v>0</v>
      </c>
      <c r="V2212" s="4">
        <f>IF(Table1[[#This Row],[Warranty_Claim]]="Yes",1,0)</f>
        <v>1</v>
      </c>
      <c r="W2212" s="4">
        <f>IF(Table1[[#This Row],[Rework_Flag]]="No",1,0)</f>
        <v>1</v>
      </c>
      <c r="X2212" s="4">
        <f>IF(Table1[[#This Row],[Rework_Flag]]="Yes",1,0)</f>
        <v>0</v>
      </c>
      <c r="Y2212" s="4">
        <v>1</v>
      </c>
      <c r="Z2212" s="4" t="str">
        <f>IF(Table1[[#This Row],[TAT_Days]]&gt;Table1[[#This Row],[SLA_TAT]],"Yes","No")</f>
        <v>No</v>
      </c>
      <c r="AA2212" s="4" t="str" cm="1">
        <f t="array" ref="AA2212">_xlfn.IFS(Table1[[#This Row],[Customer_Satisfaction]]&lt;=2,"Poor",Table1[[#This Row],[Customer_Satisfaction]]=3,"Neutral",Table1[[#This Row],[Customer_Satisfaction]]=4,"Good",Table1[[#This Row],[Customer_Satisfaction]]=5,"Good")</f>
        <v>Good</v>
      </c>
    </row>
    <row r="2213" spans="1:27" x14ac:dyDescent="0.35">
      <c r="A2213">
        <v>22211</v>
      </c>
      <c r="B2213" s="1">
        <v>45302</v>
      </c>
      <c r="C2213" t="s">
        <v>50</v>
      </c>
      <c r="D2213" t="s">
        <v>80</v>
      </c>
      <c r="E2213" t="s">
        <v>121</v>
      </c>
      <c r="F2213" t="s">
        <v>22</v>
      </c>
      <c r="G2213" t="s">
        <v>54</v>
      </c>
      <c r="H2213" t="s">
        <v>42</v>
      </c>
      <c r="I2213" t="s">
        <v>25</v>
      </c>
      <c r="J2213" t="s">
        <v>58</v>
      </c>
      <c r="K2213" t="s">
        <v>61</v>
      </c>
      <c r="L2213" t="s">
        <v>28</v>
      </c>
      <c r="M2213" s="4">
        <v>10</v>
      </c>
      <c r="N2213" s="4">
        <v>7</v>
      </c>
      <c r="O2213" t="s">
        <v>36</v>
      </c>
      <c r="P2213" t="s">
        <v>29</v>
      </c>
      <c r="Q2213" s="4">
        <v>166601</v>
      </c>
      <c r="R2213" s="4">
        <v>103699</v>
      </c>
      <c r="S2213" s="4">
        <f>Table1[[#This Row],[Service_Revenue]]-Table1[[#This Row],[Service_Cost]]</f>
        <v>62902</v>
      </c>
      <c r="T2213" s="4">
        <v>3</v>
      </c>
      <c r="U2213" s="4">
        <f>IF(AND(Table1[[#This Row],[Rework_Flag]]="Yes",Table1[[#This Row],[Warranty_Claim]]="No"),Table1[[#This Row],[Service_Revenue]],0)</f>
        <v>0</v>
      </c>
      <c r="V2213" s="4">
        <f>IF(Table1[[#This Row],[Warranty_Claim]]="Yes",1,0)</f>
        <v>1</v>
      </c>
      <c r="W2213" s="4">
        <f>IF(Table1[[#This Row],[Rework_Flag]]="No",1,0)</f>
        <v>1</v>
      </c>
      <c r="X2213" s="4">
        <f>IF(Table1[[#This Row],[Rework_Flag]]="Yes",1,0)</f>
        <v>0</v>
      </c>
      <c r="Y2213" s="4">
        <v>1</v>
      </c>
      <c r="Z2213" s="4" t="str">
        <f>IF(Table1[[#This Row],[TAT_Days]]&gt;Table1[[#This Row],[SLA_TAT]],"Yes","No")</f>
        <v>Yes</v>
      </c>
      <c r="AA2213" s="4" t="str" cm="1">
        <f t="array" ref="AA2213">_xlfn.IFS(Table1[[#This Row],[Customer_Satisfaction]]&lt;=2,"Poor",Table1[[#This Row],[Customer_Satisfaction]]=3,"Neutral",Table1[[#This Row],[Customer_Satisfaction]]=4,"Good",Table1[[#This Row],[Customer_Satisfaction]]=5,"Good")</f>
        <v>Neutral</v>
      </c>
    </row>
    <row r="2214" spans="1:27" x14ac:dyDescent="0.35">
      <c r="A2214">
        <v>22212</v>
      </c>
      <c r="B2214" s="1">
        <v>45356</v>
      </c>
      <c r="C2214" t="s">
        <v>30</v>
      </c>
      <c r="D2214" t="s">
        <v>59</v>
      </c>
      <c r="E2214" t="s">
        <v>69</v>
      </c>
      <c r="F2214" t="s">
        <v>22</v>
      </c>
      <c r="G2214" t="s">
        <v>23</v>
      </c>
      <c r="H2214" t="s">
        <v>24</v>
      </c>
      <c r="I2214" t="s">
        <v>25</v>
      </c>
      <c r="J2214" t="s">
        <v>67</v>
      </c>
      <c r="K2214" t="s">
        <v>27</v>
      </c>
      <c r="L2214" t="s">
        <v>49</v>
      </c>
      <c r="M2214" s="4">
        <v>24</v>
      </c>
      <c r="N2214" s="4">
        <v>7</v>
      </c>
      <c r="O2214" t="s">
        <v>29</v>
      </c>
      <c r="P2214" t="s">
        <v>36</v>
      </c>
      <c r="Q2214" s="4">
        <v>300392</v>
      </c>
      <c r="R2214" s="4">
        <v>180530</v>
      </c>
      <c r="S2214" s="4">
        <f>Table1[[#This Row],[Service_Revenue]]-Table1[[#This Row],[Service_Cost]]</f>
        <v>119862</v>
      </c>
      <c r="T2214" s="4">
        <v>1</v>
      </c>
      <c r="U2214" s="4">
        <f>IF(AND(Table1[[#This Row],[Rework_Flag]]="Yes",Table1[[#This Row],[Warranty_Claim]]="No"),Table1[[#This Row],[Service_Revenue]],0)</f>
        <v>300392</v>
      </c>
      <c r="V2214" s="4">
        <f>IF(Table1[[#This Row],[Warranty_Claim]]="Yes",1,0)</f>
        <v>0</v>
      </c>
      <c r="W2214" s="4">
        <f>IF(Table1[[#This Row],[Rework_Flag]]="No",1,0)</f>
        <v>0</v>
      </c>
      <c r="X2214" s="4">
        <f>IF(Table1[[#This Row],[Rework_Flag]]="Yes",1,0)</f>
        <v>1</v>
      </c>
      <c r="Y2214" s="4">
        <v>1</v>
      </c>
      <c r="Z2214" s="4" t="str">
        <f>IF(Table1[[#This Row],[TAT_Days]]&gt;Table1[[#This Row],[SLA_TAT]],"Yes","No")</f>
        <v>Yes</v>
      </c>
      <c r="AA2214" s="4" t="str" cm="1">
        <f t="array" ref="AA2214">_xlfn.IFS(Table1[[#This Row],[Customer_Satisfaction]]&lt;=2,"Poor",Table1[[#This Row],[Customer_Satisfaction]]=3,"Neutral",Table1[[#This Row],[Customer_Satisfaction]]=4,"Good",Table1[[#This Row],[Customer_Satisfaction]]=5,"Good")</f>
        <v>Poor</v>
      </c>
    </row>
    <row r="2215" spans="1:27" x14ac:dyDescent="0.35">
      <c r="A2215">
        <v>22213</v>
      </c>
      <c r="B2215" s="1">
        <v>45377</v>
      </c>
      <c r="C2215" t="s">
        <v>50</v>
      </c>
      <c r="D2215" t="s">
        <v>80</v>
      </c>
      <c r="E2215" t="s">
        <v>121</v>
      </c>
      <c r="F2215" t="s">
        <v>40</v>
      </c>
      <c r="G2215" t="s">
        <v>74</v>
      </c>
      <c r="H2215" t="s">
        <v>34</v>
      </c>
      <c r="I2215" t="s">
        <v>25</v>
      </c>
      <c r="J2215" t="s">
        <v>67</v>
      </c>
      <c r="K2215" t="s">
        <v>61</v>
      </c>
      <c r="L2215" t="s">
        <v>28</v>
      </c>
      <c r="M2215" s="4">
        <v>4</v>
      </c>
      <c r="N2215" s="4">
        <v>7</v>
      </c>
      <c r="O2215" t="s">
        <v>29</v>
      </c>
      <c r="P2215" t="s">
        <v>36</v>
      </c>
      <c r="Q2215" s="4">
        <v>255211</v>
      </c>
      <c r="R2215" s="4">
        <v>136891</v>
      </c>
      <c r="S2215" s="4">
        <f>Table1[[#This Row],[Service_Revenue]]-Table1[[#This Row],[Service_Cost]]</f>
        <v>118320</v>
      </c>
      <c r="T2215" s="4">
        <v>4</v>
      </c>
      <c r="U2215" s="4">
        <f>IF(AND(Table1[[#This Row],[Rework_Flag]]="Yes",Table1[[#This Row],[Warranty_Claim]]="No"),Table1[[#This Row],[Service_Revenue]],0)</f>
        <v>255211</v>
      </c>
      <c r="V2215" s="4">
        <f>IF(Table1[[#This Row],[Warranty_Claim]]="Yes",1,0)</f>
        <v>0</v>
      </c>
      <c r="W2215" s="4">
        <f>IF(Table1[[#This Row],[Rework_Flag]]="No",1,0)</f>
        <v>0</v>
      </c>
      <c r="X2215" s="4">
        <f>IF(Table1[[#This Row],[Rework_Flag]]="Yes",1,0)</f>
        <v>1</v>
      </c>
      <c r="Y2215" s="4">
        <v>1</v>
      </c>
      <c r="Z2215" s="4" t="str">
        <f>IF(Table1[[#This Row],[TAT_Days]]&gt;Table1[[#This Row],[SLA_TAT]],"Yes","No")</f>
        <v>No</v>
      </c>
      <c r="AA2215" s="4" t="str" cm="1">
        <f t="array" ref="AA2215">_xlfn.IFS(Table1[[#This Row],[Customer_Satisfaction]]&lt;=2,"Poor",Table1[[#This Row],[Customer_Satisfaction]]=3,"Neutral",Table1[[#This Row],[Customer_Satisfaction]]=4,"Good",Table1[[#This Row],[Customer_Satisfaction]]=5,"Good")</f>
        <v>Good</v>
      </c>
    </row>
    <row r="2216" spans="1:27" x14ac:dyDescent="0.35">
      <c r="A2216">
        <v>22214</v>
      </c>
      <c r="B2216" s="1">
        <v>45351</v>
      </c>
      <c r="C2216" t="s">
        <v>19</v>
      </c>
      <c r="D2216" t="s">
        <v>20</v>
      </c>
      <c r="E2216" t="s">
        <v>89</v>
      </c>
      <c r="F2216" t="s">
        <v>53</v>
      </c>
      <c r="G2216" t="s">
        <v>23</v>
      </c>
      <c r="H2216" t="s">
        <v>24</v>
      </c>
      <c r="I2216" t="s">
        <v>55</v>
      </c>
      <c r="J2216" t="s">
        <v>26</v>
      </c>
      <c r="K2216" t="s">
        <v>61</v>
      </c>
      <c r="L2216" t="s">
        <v>49</v>
      </c>
      <c r="M2216" s="4">
        <v>17</v>
      </c>
      <c r="N2216" s="4">
        <v>7</v>
      </c>
      <c r="O2216" t="s">
        <v>36</v>
      </c>
      <c r="P2216" t="s">
        <v>29</v>
      </c>
      <c r="Q2216" s="4">
        <v>333475</v>
      </c>
      <c r="R2216" s="4">
        <v>239184</v>
      </c>
      <c r="S2216" s="4">
        <f>Table1[[#This Row],[Service_Revenue]]-Table1[[#This Row],[Service_Cost]]</f>
        <v>94291</v>
      </c>
      <c r="T2216" s="4">
        <v>2</v>
      </c>
      <c r="U2216" s="4">
        <f>IF(AND(Table1[[#This Row],[Rework_Flag]]="Yes",Table1[[#This Row],[Warranty_Claim]]="No"),Table1[[#This Row],[Service_Revenue]],0)</f>
        <v>0</v>
      </c>
      <c r="V2216" s="4">
        <f>IF(Table1[[#This Row],[Warranty_Claim]]="Yes",1,0)</f>
        <v>1</v>
      </c>
      <c r="W2216" s="4">
        <f>IF(Table1[[#This Row],[Rework_Flag]]="No",1,0)</f>
        <v>1</v>
      </c>
      <c r="X2216" s="4">
        <f>IF(Table1[[#This Row],[Rework_Flag]]="Yes",1,0)</f>
        <v>0</v>
      </c>
      <c r="Y2216" s="4">
        <v>1</v>
      </c>
      <c r="Z2216" s="4" t="str">
        <f>IF(Table1[[#This Row],[TAT_Days]]&gt;Table1[[#This Row],[SLA_TAT]],"Yes","No")</f>
        <v>Yes</v>
      </c>
      <c r="AA2216" s="4" t="str" cm="1">
        <f t="array" ref="AA2216">_xlfn.IFS(Table1[[#This Row],[Customer_Satisfaction]]&lt;=2,"Poor",Table1[[#This Row],[Customer_Satisfaction]]=3,"Neutral",Table1[[#This Row],[Customer_Satisfaction]]=4,"Good",Table1[[#This Row],[Customer_Satisfaction]]=5,"Good")</f>
        <v>Poor</v>
      </c>
    </row>
    <row r="2217" spans="1:27" x14ac:dyDescent="0.35">
      <c r="A2217">
        <v>22215</v>
      </c>
      <c r="B2217" s="1">
        <v>45442</v>
      </c>
      <c r="C2217" t="s">
        <v>30</v>
      </c>
      <c r="D2217" t="s">
        <v>83</v>
      </c>
      <c r="E2217" t="s">
        <v>90</v>
      </c>
      <c r="F2217" t="s">
        <v>53</v>
      </c>
      <c r="G2217" t="s">
        <v>47</v>
      </c>
      <c r="H2217" t="s">
        <v>48</v>
      </c>
      <c r="I2217" t="s">
        <v>55</v>
      </c>
      <c r="J2217" t="s">
        <v>58</v>
      </c>
      <c r="K2217" t="s">
        <v>61</v>
      </c>
      <c r="L2217" t="s">
        <v>28</v>
      </c>
      <c r="M2217" s="4">
        <v>11</v>
      </c>
      <c r="N2217" s="4">
        <v>7</v>
      </c>
      <c r="O2217" t="s">
        <v>36</v>
      </c>
      <c r="P2217" t="s">
        <v>29</v>
      </c>
      <c r="Q2217" s="4">
        <v>116364</v>
      </c>
      <c r="R2217" s="4">
        <v>76991</v>
      </c>
      <c r="S2217" s="4">
        <f>Table1[[#This Row],[Service_Revenue]]-Table1[[#This Row],[Service_Cost]]</f>
        <v>39373</v>
      </c>
      <c r="T2217" s="4">
        <v>3</v>
      </c>
      <c r="U2217" s="4">
        <f>IF(AND(Table1[[#This Row],[Rework_Flag]]="Yes",Table1[[#This Row],[Warranty_Claim]]="No"),Table1[[#This Row],[Service_Revenue]],0)</f>
        <v>0</v>
      </c>
      <c r="V2217" s="4">
        <f>IF(Table1[[#This Row],[Warranty_Claim]]="Yes",1,0)</f>
        <v>1</v>
      </c>
      <c r="W2217" s="4">
        <f>IF(Table1[[#This Row],[Rework_Flag]]="No",1,0)</f>
        <v>1</v>
      </c>
      <c r="X2217" s="4">
        <f>IF(Table1[[#This Row],[Rework_Flag]]="Yes",1,0)</f>
        <v>0</v>
      </c>
      <c r="Y2217" s="4">
        <v>1</v>
      </c>
      <c r="Z2217" s="4" t="str">
        <f>IF(Table1[[#This Row],[TAT_Days]]&gt;Table1[[#This Row],[SLA_TAT]],"Yes","No")</f>
        <v>Yes</v>
      </c>
      <c r="AA2217" s="4" t="str" cm="1">
        <f t="array" ref="AA2217">_xlfn.IFS(Table1[[#This Row],[Customer_Satisfaction]]&lt;=2,"Poor",Table1[[#This Row],[Customer_Satisfaction]]=3,"Neutral",Table1[[#This Row],[Customer_Satisfaction]]=4,"Good",Table1[[#This Row],[Customer_Satisfaction]]=5,"Good")</f>
        <v>Neutral</v>
      </c>
    </row>
    <row r="2218" spans="1:27" x14ac:dyDescent="0.35">
      <c r="A2218">
        <v>22216</v>
      </c>
      <c r="B2218" s="1">
        <v>45344</v>
      </c>
      <c r="C2218" t="s">
        <v>30</v>
      </c>
      <c r="D2218" t="s">
        <v>83</v>
      </c>
      <c r="E2218" t="s">
        <v>84</v>
      </c>
      <c r="F2218" t="s">
        <v>40</v>
      </c>
      <c r="G2218" t="s">
        <v>33</v>
      </c>
      <c r="H2218" t="s">
        <v>34</v>
      </c>
      <c r="I2218" t="s">
        <v>55</v>
      </c>
      <c r="J2218" t="s">
        <v>43</v>
      </c>
      <c r="K2218" t="s">
        <v>61</v>
      </c>
      <c r="L2218" t="s">
        <v>28</v>
      </c>
      <c r="M2218" s="4">
        <v>15</v>
      </c>
      <c r="N2218" s="4">
        <v>7</v>
      </c>
      <c r="O2218" t="s">
        <v>36</v>
      </c>
      <c r="P2218" t="s">
        <v>29</v>
      </c>
      <c r="Q2218" s="4">
        <v>255860</v>
      </c>
      <c r="R2218" s="4">
        <v>132968</v>
      </c>
      <c r="S2218" s="4">
        <f>Table1[[#This Row],[Service_Revenue]]-Table1[[#This Row],[Service_Cost]]</f>
        <v>122892</v>
      </c>
      <c r="T2218" s="4">
        <v>2</v>
      </c>
      <c r="U2218" s="4">
        <f>IF(AND(Table1[[#This Row],[Rework_Flag]]="Yes",Table1[[#This Row],[Warranty_Claim]]="No"),Table1[[#This Row],[Service_Revenue]],0)</f>
        <v>0</v>
      </c>
      <c r="V2218" s="4">
        <f>IF(Table1[[#This Row],[Warranty_Claim]]="Yes",1,0)</f>
        <v>1</v>
      </c>
      <c r="W2218" s="4">
        <f>IF(Table1[[#This Row],[Rework_Flag]]="No",1,0)</f>
        <v>1</v>
      </c>
      <c r="X2218" s="4">
        <f>IF(Table1[[#This Row],[Rework_Flag]]="Yes",1,0)</f>
        <v>0</v>
      </c>
      <c r="Y2218" s="4">
        <v>1</v>
      </c>
      <c r="Z2218" s="4" t="str">
        <f>IF(Table1[[#This Row],[TAT_Days]]&gt;Table1[[#This Row],[SLA_TAT]],"Yes","No")</f>
        <v>Yes</v>
      </c>
      <c r="AA2218" s="4" t="str" cm="1">
        <f t="array" ref="AA2218">_xlfn.IFS(Table1[[#This Row],[Customer_Satisfaction]]&lt;=2,"Poor",Table1[[#This Row],[Customer_Satisfaction]]=3,"Neutral",Table1[[#This Row],[Customer_Satisfaction]]=4,"Good",Table1[[#This Row],[Customer_Satisfaction]]=5,"Good")</f>
        <v>Poor</v>
      </c>
    </row>
    <row r="2219" spans="1:27" x14ac:dyDescent="0.35">
      <c r="A2219">
        <v>22217</v>
      </c>
      <c r="B2219" s="1">
        <v>45405</v>
      </c>
      <c r="C2219" t="s">
        <v>30</v>
      </c>
      <c r="D2219" t="s">
        <v>83</v>
      </c>
      <c r="E2219" t="s">
        <v>90</v>
      </c>
      <c r="F2219" t="s">
        <v>22</v>
      </c>
      <c r="G2219" t="s">
        <v>74</v>
      </c>
      <c r="H2219" t="s">
        <v>34</v>
      </c>
      <c r="I2219" t="s">
        <v>55</v>
      </c>
      <c r="J2219" t="s">
        <v>43</v>
      </c>
      <c r="K2219" t="s">
        <v>27</v>
      </c>
      <c r="L2219" t="s">
        <v>28</v>
      </c>
      <c r="M2219" s="4">
        <v>7</v>
      </c>
      <c r="N2219" s="4">
        <v>7</v>
      </c>
      <c r="O2219" t="s">
        <v>36</v>
      </c>
      <c r="P2219" t="s">
        <v>36</v>
      </c>
      <c r="Q2219" s="4">
        <v>488830</v>
      </c>
      <c r="R2219" s="4">
        <v>279807</v>
      </c>
      <c r="S2219" s="4">
        <f>Table1[[#This Row],[Service_Revenue]]-Table1[[#This Row],[Service_Cost]]</f>
        <v>209023</v>
      </c>
      <c r="T2219" s="4">
        <v>4</v>
      </c>
      <c r="U2219" s="4">
        <f>IF(AND(Table1[[#This Row],[Rework_Flag]]="Yes",Table1[[#This Row],[Warranty_Claim]]="No"),Table1[[#This Row],[Service_Revenue]],0)</f>
        <v>0</v>
      </c>
      <c r="V2219" s="4">
        <f>IF(Table1[[#This Row],[Warranty_Claim]]="Yes",1,0)</f>
        <v>0</v>
      </c>
      <c r="W2219" s="4">
        <f>IF(Table1[[#This Row],[Rework_Flag]]="No",1,0)</f>
        <v>1</v>
      </c>
      <c r="X2219" s="4">
        <f>IF(Table1[[#This Row],[Rework_Flag]]="Yes",1,0)</f>
        <v>0</v>
      </c>
      <c r="Y2219" s="4">
        <v>1</v>
      </c>
      <c r="Z2219" s="4" t="str">
        <f>IF(Table1[[#This Row],[TAT_Days]]&gt;Table1[[#This Row],[SLA_TAT]],"Yes","No")</f>
        <v>No</v>
      </c>
      <c r="AA2219" s="4" t="str" cm="1">
        <f t="array" ref="AA2219">_xlfn.IFS(Table1[[#This Row],[Customer_Satisfaction]]&lt;=2,"Poor",Table1[[#This Row],[Customer_Satisfaction]]=3,"Neutral",Table1[[#This Row],[Customer_Satisfaction]]=4,"Good",Table1[[#This Row],[Customer_Satisfaction]]=5,"Good")</f>
        <v>Good</v>
      </c>
    </row>
    <row r="2220" spans="1:27" x14ac:dyDescent="0.35">
      <c r="A2220">
        <v>22218</v>
      </c>
      <c r="B2220" s="1">
        <v>45449</v>
      </c>
      <c r="C2220" t="s">
        <v>37</v>
      </c>
      <c r="D2220" t="s">
        <v>70</v>
      </c>
      <c r="E2220" t="s">
        <v>116</v>
      </c>
      <c r="F2220" t="s">
        <v>40</v>
      </c>
      <c r="G2220" t="s">
        <v>47</v>
      </c>
      <c r="H2220" t="s">
        <v>48</v>
      </c>
      <c r="I2220" t="s">
        <v>25</v>
      </c>
      <c r="J2220" t="s">
        <v>26</v>
      </c>
      <c r="K2220" t="s">
        <v>61</v>
      </c>
      <c r="L2220" t="s">
        <v>28</v>
      </c>
      <c r="M2220" s="4">
        <v>11</v>
      </c>
      <c r="N2220" s="4">
        <v>7</v>
      </c>
      <c r="O2220" t="s">
        <v>29</v>
      </c>
      <c r="P2220" t="s">
        <v>29</v>
      </c>
      <c r="Q2220" s="4">
        <v>283927</v>
      </c>
      <c r="R2220" s="4">
        <v>178637</v>
      </c>
      <c r="S2220" s="4">
        <f>Table1[[#This Row],[Service_Revenue]]-Table1[[#This Row],[Service_Cost]]</f>
        <v>105290</v>
      </c>
      <c r="T2220" s="4">
        <v>2</v>
      </c>
      <c r="U2220" s="4">
        <f>IF(AND(Table1[[#This Row],[Rework_Flag]]="Yes",Table1[[#This Row],[Warranty_Claim]]="No"),Table1[[#This Row],[Service_Revenue]],0)</f>
        <v>0</v>
      </c>
      <c r="V2220" s="4">
        <f>IF(Table1[[#This Row],[Warranty_Claim]]="Yes",1,0)</f>
        <v>1</v>
      </c>
      <c r="W2220" s="4">
        <f>IF(Table1[[#This Row],[Rework_Flag]]="No",1,0)</f>
        <v>0</v>
      </c>
      <c r="X2220" s="4">
        <f>IF(Table1[[#This Row],[Rework_Flag]]="Yes",1,0)</f>
        <v>1</v>
      </c>
      <c r="Y2220" s="4">
        <v>1</v>
      </c>
      <c r="Z2220" s="4" t="str">
        <f>IF(Table1[[#This Row],[TAT_Days]]&gt;Table1[[#This Row],[SLA_TAT]],"Yes","No")</f>
        <v>Yes</v>
      </c>
      <c r="AA2220" s="4" t="str" cm="1">
        <f t="array" ref="AA2220">_xlfn.IFS(Table1[[#This Row],[Customer_Satisfaction]]&lt;=2,"Poor",Table1[[#This Row],[Customer_Satisfaction]]=3,"Neutral",Table1[[#This Row],[Customer_Satisfaction]]=4,"Good",Table1[[#This Row],[Customer_Satisfaction]]=5,"Good")</f>
        <v>Poor</v>
      </c>
    </row>
    <row r="2221" spans="1:27" x14ac:dyDescent="0.35">
      <c r="A2221">
        <v>22219</v>
      </c>
      <c r="B2221" s="1">
        <v>45366</v>
      </c>
      <c r="C2221" t="s">
        <v>30</v>
      </c>
      <c r="D2221" t="s">
        <v>83</v>
      </c>
      <c r="E2221" t="s">
        <v>95</v>
      </c>
      <c r="F2221" t="s">
        <v>40</v>
      </c>
      <c r="G2221" t="s">
        <v>23</v>
      </c>
      <c r="H2221" t="s">
        <v>24</v>
      </c>
      <c r="I2221" t="s">
        <v>25</v>
      </c>
      <c r="J2221" t="s">
        <v>35</v>
      </c>
      <c r="K2221" t="s">
        <v>44</v>
      </c>
      <c r="L2221" t="s">
        <v>28</v>
      </c>
      <c r="M2221" s="4">
        <v>25</v>
      </c>
      <c r="N2221" s="4">
        <v>7</v>
      </c>
      <c r="O2221" t="s">
        <v>29</v>
      </c>
      <c r="P2221" t="s">
        <v>36</v>
      </c>
      <c r="Q2221" s="4">
        <v>343158</v>
      </c>
      <c r="R2221" s="4">
        <v>276748</v>
      </c>
      <c r="S2221" s="4">
        <f>Table1[[#This Row],[Service_Revenue]]-Table1[[#This Row],[Service_Cost]]</f>
        <v>66410</v>
      </c>
      <c r="T2221" s="4">
        <v>1</v>
      </c>
      <c r="U2221" s="4">
        <f>IF(AND(Table1[[#This Row],[Rework_Flag]]="Yes",Table1[[#This Row],[Warranty_Claim]]="No"),Table1[[#This Row],[Service_Revenue]],0)</f>
        <v>343158</v>
      </c>
      <c r="V2221" s="4">
        <f>IF(Table1[[#This Row],[Warranty_Claim]]="Yes",1,0)</f>
        <v>0</v>
      </c>
      <c r="W2221" s="4">
        <f>IF(Table1[[#This Row],[Rework_Flag]]="No",1,0)</f>
        <v>0</v>
      </c>
      <c r="X2221" s="4">
        <f>IF(Table1[[#This Row],[Rework_Flag]]="Yes",1,0)</f>
        <v>1</v>
      </c>
      <c r="Y2221" s="4">
        <v>1</v>
      </c>
      <c r="Z2221" s="4" t="str">
        <f>IF(Table1[[#This Row],[TAT_Days]]&gt;Table1[[#This Row],[SLA_TAT]],"Yes","No")</f>
        <v>Yes</v>
      </c>
      <c r="AA2221" s="4" t="str" cm="1">
        <f t="array" ref="AA2221">_xlfn.IFS(Table1[[#This Row],[Customer_Satisfaction]]&lt;=2,"Poor",Table1[[#This Row],[Customer_Satisfaction]]=3,"Neutral",Table1[[#This Row],[Customer_Satisfaction]]=4,"Good",Table1[[#This Row],[Customer_Satisfaction]]=5,"Good")</f>
        <v>Poor</v>
      </c>
    </row>
    <row r="2222" spans="1:27" x14ac:dyDescent="0.35">
      <c r="A2222">
        <v>22220</v>
      </c>
      <c r="B2222" s="1">
        <v>45389</v>
      </c>
      <c r="C2222" t="s">
        <v>19</v>
      </c>
      <c r="D2222" t="s">
        <v>20</v>
      </c>
      <c r="E2222" t="s">
        <v>110</v>
      </c>
      <c r="F2222" t="s">
        <v>22</v>
      </c>
      <c r="G2222" t="s">
        <v>47</v>
      </c>
      <c r="H2222" t="s">
        <v>48</v>
      </c>
      <c r="I2222" t="s">
        <v>55</v>
      </c>
      <c r="J2222" t="s">
        <v>58</v>
      </c>
      <c r="K2222" t="s">
        <v>44</v>
      </c>
      <c r="L2222" t="s">
        <v>28</v>
      </c>
      <c r="M2222" s="4">
        <v>12</v>
      </c>
      <c r="N2222" s="4">
        <v>7</v>
      </c>
      <c r="O2222" t="s">
        <v>36</v>
      </c>
      <c r="P2222" t="s">
        <v>36</v>
      </c>
      <c r="Q2222" s="4">
        <v>99841</v>
      </c>
      <c r="R2222" s="4">
        <v>56998</v>
      </c>
      <c r="S2222" s="4">
        <f>Table1[[#This Row],[Service_Revenue]]-Table1[[#This Row],[Service_Cost]]</f>
        <v>42843</v>
      </c>
      <c r="T2222" s="4">
        <v>3</v>
      </c>
      <c r="U2222" s="4">
        <f>IF(AND(Table1[[#This Row],[Rework_Flag]]="Yes",Table1[[#This Row],[Warranty_Claim]]="No"),Table1[[#This Row],[Service_Revenue]],0)</f>
        <v>0</v>
      </c>
      <c r="V2222" s="4">
        <f>IF(Table1[[#This Row],[Warranty_Claim]]="Yes",1,0)</f>
        <v>0</v>
      </c>
      <c r="W2222" s="4">
        <f>IF(Table1[[#This Row],[Rework_Flag]]="No",1,0)</f>
        <v>1</v>
      </c>
      <c r="X2222" s="4">
        <f>IF(Table1[[#This Row],[Rework_Flag]]="Yes",1,0)</f>
        <v>0</v>
      </c>
      <c r="Y2222" s="4">
        <v>1</v>
      </c>
      <c r="Z2222" s="4" t="str">
        <f>IF(Table1[[#This Row],[TAT_Days]]&gt;Table1[[#This Row],[SLA_TAT]],"Yes","No")</f>
        <v>Yes</v>
      </c>
      <c r="AA2222" s="4" t="str" cm="1">
        <f t="array" ref="AA2222">_xlfn.IFS(Table1[[#This Row],[Customer_Satisfaction]]&lt;=2,"Poor",Table1[[#This Row],[Customer_Satisfaction]]=3,"Neutral",Table1[[#This Row],[Customer_Satisfaction]]=4,"Good",Table1[[#This Row],[Customer_Satisfaction]]=5,"Good")</f>
        <v>Neutral</v>
      </c>
    </row>
    <row r="2223" spans="1:27" x14ac:dyDescent="0.35">
      <c r="A2223">
        <v>22221</v>
      </c>
      <c r="B2223" s="1">
        <v>45376</v>
      </c>
      <c r="C2223" t="s">
        <v>30</v>
      </c>
      <c r="D2223" t="s">
        <v>83</v>
      </c>
      <c r="E2223" t="s">
        <v>84</v>
      </c>
      <c r="F2223" t="s">
        <v>22</v>
      </c>
      <c r="G2223" t="s">
        <v>23</v>
      </c>
      <c r="H2223" t="s">
        <v>24</v>
      </c>
      <c r="I2223" t="s">
        <v>55</v>
      </c>
      <c r="J2223" t="s">
        <v>26</v>
      </c>
      <c r="K2223" t="s">
        <v>27</v>
      </c>
      <c r="L2223" t="s">
        <v>49</v>
      </c>
      <c r="M2223" s="4">
        <v>14</v>
      </c>
      <c r="N2223" s="4">
        <v>7</v>
      </c>
      <c r="O2223" t="s">
        <v>29</v>
      </c>
      <c r="P2223" t="s">
        <v>36</v>
      </c>
      <c r="Q2223" s="4">
        <v>137762</v>
      </c>
      <c r="R2223" s="4">
        <v>80686</v>
      </c>
      <c r="S2223" s="4">
        <f>Table1[[#This Row],[Service_Revenue]]-Table1[[#This Row],[Service_Cost]]</f>
        <v>57076</v>
      </c>
      <c r="T2223" s="4">
        <v>2</v>
      </c>
      <c r="U2223" s="4">
        <f>IF(AND(Table1[[#This Row],[Rework_Flag]]="Yes",Table1[[#This Row],[Warranty_Claim]]="No"),Table1[[#This Row],[Service_Revenue]],0)</f>
        <v>137762</v>
      </c>
      <c r="V2223" s="4">
        <f>IF(Table1[[#This Row],[Warranty_Claim]]="Yes",1,0)</f>
        <v>0</v>
      </c>
      <c r="W2223" s="4">
        <f>IF(Table1[[#This Row],[Rework_Flag]]="No",1,0)</f>
        <v>0</v>
      </c>
      <c r="X2223" s="4">
        <f>IF(Table1[[#This Row],[Rework_Flag]]="Yes",1,0)</f>
        <v>1</v>
      </c>
      <c r="Y2223" s="4">
        <v>1</v>
      </c>
      <c r="Z2223" s="4" t="str">
        <f>IF(Table1[[#This Row],[TAT_Days]]&gt;Table1[[#This Row],[SLA_TAT]],"Yes","No")</f>
        <v>Yes</v>
      </c>
      <c r="AA2223" s="4" t="str" cm="1">
        <f t="array" ref="AA2223">_xlfn.IFS(Table1[[#This Row],[Customer_Satisfaction]]&lt;=2,"Poor",Table1[[#This Row],[Customer_Satisfaction]]=3,"Neutral",Table1[[#This Row],[Customer_Satisfaction]]=4,"Good",Table1[[#This Row],[Customer_Satisfaction]]=5,"Good")</f>
        <v>Poor</v>
      </c>
    </row>
    <row r="2224" spans="1:27" x14ac:dyDescent="0.35">
      <c r="A2224">
        <v>22222</v>
      </c>
      <c r="B2224" s="1">
        <v>45402</v>
      </c>
      <c r="C2224" t="s">
        <v>30</v>
      </c>
      <c r="D2224" t="s">
        <v>59</v>
      </c>
      <c r="E2224" t="s">
        <v>94</v>
      </c>
      <c r="F2224" t="s">
        <v>53</v>
      </c>
      <c r="G2224" t="s">
        <v>47</v>
      </c>
      <c r="H2224" t="s">
        <v>48</v>
      </c>
      <c r="I2224" t="s">
        <v>55</v>
      </c>
      <c r="J2224" t="s">
        <v>26</v>
      </c>
      <c r="K2224" t="s">
        <v>27</v>
      </c>
      <c r="L2224" t="s">
        <v>28</v>
      </c>
      <c r="M2224" s="4">
        <v>6</v>
      </c>
      <c r="N2224" s="4">
        <v>7</v>
      </c>
      <c r="O2224" t="s">
        <v>36</v>
      </c>
      <c r="P2224" t="s">
        <v>36</v>
      </c>
      <c r="Q2224" s="4">
        <v>397120</v>
      </c>
      <c r="R2224" s="4">
        <v>273911</v>
      </c>
      <c r="S2224" s="4">
        <f>Table1[[#This Row],[Service_Revenue]]-Table1[[#This Row],[Service_Cost]]</f>
        <v>123209</v>
      </c>
      <c r="T2224" s="4">
        <v>4</v>
      </c>
      <c r="U2224" s="4">
        <f>IF(AND(Table1[[#This Row],[Rework_Flag]]="Yes",Table1[[#This Row],[Warranty_Claim]]="No"),Table1[[#This Row],[Service_Revenue]],0)</f>
        <v>0</v>
      </c>
      <c r="V2224" s="4">
        <f>IF(Table1[[#This Row],[Warranty_Claim]]="Yes",1,0)</f>
        <v>0</v>
      </c>
      <c r="W2224" s="4">
        <f>IF(Table1[[#This Row],[Rework_Flag]]="No",1,0)</f>
        <v>1</v>
      </c>
      <c r="X2224" s="4">
        <f>IF(Table1[[#This Row],[Rework_Flag]]="Yes",1,0)</f>
        <v>0</v>
      </c>
      <c r="Y2224" s="4">
        <v>1</v>
      </c>
      <c r="Z2224" s="4" t="str">
        <f>IF(Table1[[#This Row],[TAT_Days]]&gt;Table1[[#This Row],[SLA_TAT]],"Yes","No")</f>
        <v>No</v>
      </c>
      <c r="AA2224" s="4" t="str" cm="1">
        <f t="array" ref="AA2224">_xlfn.IFS(Table1[[#This Row],[Customer_Satisfaction]]&lt;=2,"Poor",Table1[[#This Row],[Customer_Satisfaction]]=3,"Neutral",Table1[[#This Row],[Customer_Satisfaction]]=4,"Good",Table1[[#This Row],[Customer_Satisfaction]]=5,"Good")</f>
        <v>Good</v>
      </c>
    </row>
    <row r="2225" spans="1:27" x14ac:dyDescent="0.35">
      <c r="A2225">
        <v>22223</v>
      </c>
      <c r="B2225" s="1">
        <v>45469</v>
      </c>
      <c r="C2225" t="s">
        <v>30</v>
      </c>
      <c r="D2225" t="s">
        <v>31</v>
      </c>
      <c r="E2225" t="s">
        <v>62</v>
      </c>
      <c r="F2225" t="s">
        <v>53</v>
      </c>
      <c r="G2225" t="s">
        <v>47</v>
      </c>
      <c r="H2225" t="s">
        <v>48</v>
      </c>
      <c r="I2225" t="s">
        <v>25</v>
      </c>
      <c r="J2225" t="s">
        <v>58</v>
      </c>
      <c r="K2225" t="s">
        <v>27</v>
      </c>
      <c r="L2225" t="s">
        <v>49</v>
      </c>
      <c r="M2225" s="4">
        <v>11</v>
      </c>
      <c r="N2225" s="4">
        <v>7</v>
      </c>
      <c r="O2225" t="s">
        <v>29</v>
      </c>
      <c r="P2225" t="s">
        <v>29</v>
      </c>
      <c r="Q2225" s="4">
        <v>452482</v>
      </c>
      <c r="R2225" s="4">
        <v>345534</v>
      </c>
      <c r="S2225" s="4">
        <f>Table1[[#This Row],[Service_Revenue]]-Table1[[#This Row],[Service_Cost]]</f>
        <v>106948</v>
      </c>
      <c r="T2225" s="4">
        <v>2</v>
      </c>
      <c r="U2225" s="4">
        <f>IF(AND(Table1[[#This Row],[Rework_Flag]]="Yes",Table1[[#This Row],[Warranty_Claim]]="No"),Table1[[#This Row],[Service_Revenue]],0)</f>
        <v>0</v>
      </c>
      <c r="V2225" s="4">
        <f>IF(Table1[[#This Row],[Warranty_Claim]]="Yes",1,0)</f>
        <v>1</v>
      </c>
      <c r="W2225" s="4">
        <f>IF(Table1[[#This Row],[Rework_Flag]]="No",1,0)</f>
        <v>0</v>
      </c>
      <c r="X2225" s="4">
        <f>IF(Table1[[#This Row],[Rework_Flag]]="Yes",1,0)</f>
        <v>1</v>
      </c>
      <c r="Y2225" s="4">
        <v>1</v>
      </c>
      <c r="Z2225" s="4" t="str">
        <f>IF(Table1[[#This Row],[TAT_Days]]&gt;Table1[[#This Row],[SLA_TAT]],"Yes","No")</f>
        <v>Yes</v>
      </c>
      <c r="AA2225" s="4" t="str" cm="1">
        <f t="array" ref="AA2225">_xlfn.IFS(Table1[[#This Row],[Customer_Satisfaction]]&lt;=2,"Poor",Table1[[#This Row],[Customer_Satisfaction]]=3,"Neutral",Table1[[#This Row],[Customer_Satisfaction]]=4,"Good",Table1[[#This Row],[Customer_Satisfaction]]=5,"Good")</f>
        <v>Poor</v>
      </c>
    </row>
    <row r="2226" spans="1:27" x14ac:dyDescent="0.35">
      <c r="A2226">
        <v>22224</v>
      </c>
      <c r="B2226" s="1">
        <v>45310</v>
      </c>
      <c r="C2226" t="s">
        <v>50</v>
      </c>
      <c r="D2226" t="s">
        <v>80</v>
      </c>
      <c r="E2226" t="s">
        <v>118</v>
      </c>
      <c r="F2226" t="s">
        <v>40</v>
      </c>
      <c r="G2226" t="s">
        <v>47</v>
      </c>
      <c r="H2226" t="s">
        <v>48</v>
      </c>
      <c r="I2226" t="s">
        <v>55</v>
      </c>
      <c r="J2226" t="s">
        <v>43</v>
      </c>
      <c r="K2226" t="s">
        <v>61</v>
      </c>
      <c r="L2226" t="s">
        <v>49</v>
      </c>
      <c r="M2226" s="4">
        <v>11</v>
      </c>
      <c r="N2226" s="4">
        <v>7</v>
      </c>
      <c r="O2226" t="s">
        <v>36</v>
      </c>
      <c r="P2226" t="s">
        <v>36</v>
      </c>
      <c r="Q2226" s="4">
        <v>321004</v>
      </c>
      <c r="R2226" s="4">
        <v>193024</v>
      </c>
      <c r="S2226" s="4">
        <f>Table1[[#This Row],[Service_Revenue]]-Table1[[#This Row],[Service_Cost]]</f>
        <v>127980</v>
      </c>
      <c r="T2226" s="4">
        <v>3</v>
      </c>
      <c r="U2226" s="4">
        <f>IF(AND(Table1[[#This Row],[Rework_Flag]]="Yes",Table1[[#This Row],[Warranty_Claim]]="No"),Table1[[#This Row],[Service_Revenue]],0)</f>
        <v>0</v>
      </c>
      <c r="V2226" s="4">
        <f>IF(Table1[[#This Row],[Warranty_Claim]]="Yes",1,0)</f>
        <v>0</v>
      </c>
      <c r="W2226" s="4">
        <f>IF(Table1[[#This Row],[Rework_Flag]]="No",1,0)</f>
        <v>1</v>
      </c>
      <c r="X2226" s="4">
        <f>IF(Table1[[#This Row],[Rework_Flag]]="Yes",1,0)</f>
        <v>0</v>
      </c>
      <c r="Y2226" s="4">
        <v>1</v>
      </c>
      <c r="Z2226" s="4" t="str">
        <f>IF(Table1[[#This Row],[TAT_Days]]&gt;Table1[[#This Row],[SLA_TAT]],"Yes","No")</f>
        <v>Yes</v>
      </c>
      <c r="AA2226" s="4" t="str" cm="1">
        <f t="array" ref="AA2226">_xlfn.IFS(Table1[[#This Row],[Customer_Satisfaction]]&lt;=2,"Poor",Table1[[#This Row],[Customer_Satisfaction]]=3,"Neutral",Table1[[#This Row],[Customer_Satisfaction]]=4,"Good",Table1[[#This Row],[Customer_Satisfaction]]=5,"Good")</f>
        <v>Neutral</v>
      </c>
    </row>
    <row r="2227" spans="1:27" x14ac:dyDescent="0.35">
      <c r="A2227">
        <v>22225</v>
      </c>
      <c r="B2227" s="1">
        <v>45465</v>
      </c>
      <c r="C2227" t="s">
        <v>50</v>
      </c>
      <c r="D2227" t="s">
        <v>51</v>
      </c>
      <c r="E2227" t="s">
        <v>52</v>
      </c>
      <c r="F2227" t="s">
        <v>22</v>
      </c>
      <c r="G2227" t="s">
        <v>74</v>
      </c>
      <c r="H2227" t="s">
        <v>34</v>
      </c>
      <c r="I2227" t="s">
        <v>55</v>
      </c>
      <c r="J2227" t="s">
        <v>67</v>
      </c>
      <c r="K2227" t="s">
        <v>61</v>
      </c>
      <c r="L2227" t="s">
        <v>28</v>
      </c>
      <c r="M2227" s="4">
        <v>19</v>
      </c>
      <c r="N2227" s="4">
        <v>7</v>
      </c>
      <c r="O2227" t="s">
        <v>29</v>
      </c>
      <c r="P2227" t="s">
        <v>29</v>
      </c>
      <c r="Q2227" s="4">
        <v>438997</v>
      </c>
      <c r="R2227" s="4">
        <v>348861</v>
      </c>
      <c r="S2227" s="4">
        <f>Table1[[#This Row],[Service_Revenue]]-Table1[[#This Row],[Service_Cost]]</f>
        <v>90136</v>
      </c>
      <c r="T2227" s="4">
        <v>1</v>
      </c>
      <c r="U2227" s="4">
        <f>IF(AND(Table1[[#This Row],[Rework_Flag]]="Yes",Table1[[#This Row],[Warranty_Claim]]="No"),Table1[[#This Row],[Service_Revenue]],0)</f>
        <v>0</v>
      </c>
      <c r="V2227" s="4">
        <f>IF(Table1[[#This Row],[Warranty_Claim]]="Yes",1,0)</f>
        <v>1</v>
      </c>
      <c r="W2227" s="4">
        <f>IF(Table1[[#This Row],[Rework_Flag]]="No",1,0)</f>
        <v>0</v>
      </c>
      <c r="X2227" s="4">
        <f>IF(Table1[[#This Row],[Rework_Flag]]="Yes",1,0)</f>
        <v>1</v>
      </c>
      <c r="Y2227" s="4">
        <v>1</v>
      </c>
      <c r="Z2227" s="4" t="str">
        <f>IF(Table1[[#This Row],[TAT_Days]]&gt;Table1[[#This Row],[SLA_TAT]],"Yes","No")</f>
        <v>Yes</v>
      </c>
      <c r="AA2227" s="4" t="str" cm="1">
        <f t="array" ref="AA2227">_xlfn.IFS(Table1[[#This Row],[Customer_Satisfaction]]&lt;=2,"Poor",Table1[[#This Row],[Customer_Satisfaction]]=3,"Neutral",Table1[[#This Row],[Customer_Satisfaction]]=4,"Good",Table1[[#This Row],[Customer_Satisfaction]]=5,"Good")</f>
        <v>Poor</v>
      </c>
    </row>
    <row r="2228" spans="1:27" x14ac:dyDescent="0.35">
      <c r="A2228">
        <v>22226</v>
      </c>
      <c r="B2228" s="1">
        <v>45386</v>
      </c>
      <c r="C2228" t="s">
        <v>19</v>
      </c>
      <c r="D2228" t="s">
        <v>96</v>
      </c>
      <c r="E2228" t="s">
        <v>105</v>
      </c>
      <c r="F2228" t="s">
        <v>40</v>
      </c>
      <c r="G2228" t="s">
        <v>23</v>
      </c>
      <c r="H2228" t="s">
        <v>24</v>
      </c>
      <c r="I2228" t="s">
        <v>55</v>
      </c>
      <c r="J2228" t="s">
        <v>43</v>
      </c>
      <c r="K2228" t="s">
        <v>61</v>
      </c>
      <c r="L2228" t="s">
        <v>49</v>
      </c>
      <c r="M2228" s="4">
        <v>15</v>
      </c>
      <c r="N2228" s="4">
        <v>7</v>
      </c>
      <c r="O2228" t="s">
        <v>29</v>
      </c>
      <c r="P2228" t="s">
        <v>36</v>
      </c>
      <c r="Q2228" s="4">
        <v>381524</v>
      </c>
      <c r="R2228" s="4">
        <v>211448</v>
      </c>
      <c r="S2228" s="4">
        <f>Table1[[#This Row],[Service_Revenue]]-Table1[[#This Row],[Service_Cost]]</f>
        <v>170076</v>
      </c>
      <c r="T2228" s="4">
        <v>1</v>
      </c>
      <c r="U2228" s="4">
        <f>IF(AND(Table1[[#This Row],[Rework_Flag]]="Yes",Table1[[#This Row],[Warranty_Claim]]="No"),Table1[[#This Row],[Service_Revenue]],0)</f>
        <v>381524</v>
      </c>
      <c r="V2228" s="4">
        <f>IF(Table1[[#This Row],[Warranty_Claim]]="Yes",1,0)</f>
        <v>0</v>
      </c>
      <c r="W2228" s="4">
        <f>IF(Table1[[#This Row],[Rework_Flag]]="No",1,0)</f>
        <v>0</v>
      </c>
      <c r="X2228" s="4">
        <f>IF(Table1[[#This Row],[Rework_Flag]]="Yes",1,0)</f>
        <v>1</v>
      </c>
      <c r="Y2228" s="4">
        <v>1</v>
      </c>
      <c r="Z2228" s="4" t="str">
        <f>IF(Table1[[#This Row],[TAT_Days]]&gt;Table1[[#This Row],[SLA_TAT]],"Yes","No")</f>
        <v>Yes</v>
      </c>
      <c r="AA2228" s="4" t="str" cm="1">
        <f t="array" ref="AA2228">_xlfn.IFS(Table1[[#This Row],[Customer_Satisfaction]]&lt;=2,"Poor",Table1[[#This Row],[Customer_Satisfaction]]=3,"Neutral",Table1[[#This Row],[Customer_Satisfaction]]=4,"Good",Table1[[#This Row],[Customer_Satisfaction]]=5,"Good")</f>
        <v>Poor</v>
      </c>
    </row>
    <row r="2229" spans="1:27" x14ac:dyDescent="0.35">
      <c r="A2229">
        <v>22227</v>
      </c>
      <c r="B2229" s="1">
        <v>45393</v>
      </c>
      <c r="C2229" t="s">
        <v>19</v>
      </c>
      <c r="D2229" t="s">
        <v>96</v>
      </c>
      <c r="E2229" t="s">
        <v>105</v>
      </c>
      <c r="F2229" t="s">
        <v>22</v>
      </c>
      <c r="G2229" t="s">
        <v>47</v>
      </c>
      <c r="H2229" t="s">
        <v>48</v>
      </c>
      <c r="I2229" t="s">
        <v>25</v>
      </c>
      <c r="J2229" t="s">
        <v>35</v>
      </c>
      <c r="K2229" t="s">
        <v>44</v>
      </c>
      <c r="L2229" t="s">
        <v>28</v>
      </c>
      <c r="M2229" s="4">
        <v>17</v>
      </c>
      <c r="N2229" s="4">
        <v>7</v>
      </c>
      <c r="O2229" t="s">
        <v>36</v>
      </c>
      <c r="P2229" t="s">
        <v>36</v>
      </c>
      <c r="Q2229" s="4">
        <v>377851</v>
      </c>
      <c r="R2229" s="4">
        <v>249043</v>
      </c>
      <c r="S2229" s="4">
        <f>Table1[[#This Row],[Service_Revenue]]-Table1[[#This Row],[Service_Cost]]</f>
        <v>128808</v>
      </c>
      <c r="T2229" s="4">
        <v>2</v>
      </c>
      <c r="U2229" s="4">
        <f>IF(AND(Table1[[#This Row],[Rework_Flag]]="Yes",Table1[[#This Row],[Warranty_Claim]]="No"),Table1[[#This Row],[Service_Revenue]],0)</f>
        <v>0</v>
      </c>
      <c r="V2229" s="4">
        <f>IF(Table1[[#This Row],[Warranty_Claim]]="Yes",1,0)</f>
        <v>0</v>
      </c>
      <c r="W2229" s="4">
        <f>IF(Table1[[#This Row],[Rework_Flag]]="No",1,0)</f>
        <v>1</v>
      </c>
      <c r="X2229" s="4">
        <f>IF(Table1[[#This Row],[Rework_Flag]]="Yes",1,0)</f>
        <v>0</v>
      </c>
      <c r="Y2229" s="4">
        <v>1</v>
      </c>
      <c r="Z2229" s="4" t="str">
        <f>IF(Table1[[#This Row],[TAT_Days]]&gt;Table1[[#This Row],[SLA_TAT]],"Yes","No")</f>
        <v>Yes</v>
      </c>
      <c r="AA2229" s="4" t="str" cm="1">
        <f t="array" ref="AA2229">_xlfn.IFS(Table1[[#This Row],[Customer_Satisfaction]]&lt;=2,"Poor",Table1[[#This Row],[Customer_Satisfaction]]=3,"Neutral",Table1[[#This Row],[Customer_Satisfaction]]=4,"Good",Table1[[#This Row],[Customer_Satisfaction]]=5,"Good")</f>
        <v>Poor</v>
      </c>
    </row>
    <row r="2230" spans="1:27" x14ac:dyDescent="0.35">
      <c r="A2230">
        <v>22228</v>
      </c>
      <c r="B2230" s="1">
        <v>45357</v>
      </c>
      <c r="C2230" t="s">
        <v>19</v>
      </c>
      <c r="D2230" t="s">
        <v>96</v>
      </c>
      <c r="E2230" t="s">
        <v>109</v>
      </c>
      <c r="F2230" t="s">
        <v>53</v>
      </c>
      <c r="G2230" t="s">
        <v>54</v>
      </c>
      <c r="H2230" t="s">
        <v>42</v>
      </c>
      <c r="I2230" t="s">
        <v>25</v>
      </c>
      <c r="J2230" t="s">
        <v>58</v>
      </c>
      <c r="K2230" t="s">
        <v>44</v>
      </c>
      <c r="L2230" t="s">
        <v>49</v>
      </c>
      <c r="M2230" s="4">
        <v>16</v>
      </c>
      <c r="N2230" s="4">
        <v>7</v>
      </c>
      <c r="O2230" t="s">
        <v>36</v>
      </c>
      <c r="P2230" t="s">
        <v>29</v>
      </c>
      <c r="Q2230" s="4">
        <v>213119</v>
      </c>
      <c r="R2230" s="4">
        <v>113358</v>
      </c>
      <c r="S2230" s="4">
        <f>Table1[[#This Row],[Service_Revenue]]-Table1[[#This Row],[Service_Cost]]</f>
        <v>99761</v>
      </c>
      <c r="T2230" s="4">
        <v>2</v>
      </c>
      <c r="U2230" s="4">
        <f>IF(AND(Table1[[#This Row],[Rework_Flag]]="Yes",Table1[[#This Row],[Warranty_Claim]]="No"),Table1[[#This Row],[Service_Revenue]],0)</f>
        <v>0</v>
      </c>
      <c r="V2230" s="4">
        <f>IF(Table1[[#This Row],[Warranty_Claim]]="Yes",1,0)</f>
        <v>1</v>
      </c>
      <c r="W2230" s="4">
        <f>IF(Table1[[#This Row],[Rework_Flag]]="No",1,0)</f>
        <v>1</v>
      </c>
      <c r="X2230" s="4">
        <f>IF(Table1[[#This Row],[Rework_Flag]]="Yes",1,0)</f>
        <v>0</v>
      </c>
      <c r="Y2230" s="4">
        <v>1</v>
      </c>
      <c r="Z2230" s="4" t="str">
        <f>IF(Table1[[#This Row],[TAT_Days]]&gt;Table1[[#This Row],[SLA_TAT]],"Yes","No")</f>
        <v>Yes</v>
      </c>
      <c r="AA2230" s="4" t="str" cm="1">
        <f t="array" ref="AA2230">_xlfn.IFS(Table1[[#This Row],[Customer_Satisfaction]]&lt;=2,"Poor",Table1[[#This Row],[Customer_Satisfaction]]=3,"Neutral",Table1[[#This Row],[Customer_Satisfaction]]=4,"Good",Table1[[#This Row],[Customer_Satisfaction]]=5,"Good")</f>
        <v>Poor</v>
      </c>
    </row>
    <row r="2231" spans="1:27" x14ac:dyDescent="0.35">
      <c r="A2231">
        <v>22229</v>
      </c>
      <c r="B2231" s="1">
        <v>45353</v>
      </c>
      <c r="C2231" t="s">
        <v>30</v>
      </c>
      <c r="D2231" t="s">
        <v>31</v>
      </c>
      <c r="E2231" t="s">
        <v>106</v>
      </c>
      <c r="F2231" t="s">
        <v>40</v>
      </c>
      <c r="G2231" t="s">
        <v>63</v>
      </c>
      <c r="H2231" t="s">
        <v>24</v>
      </c>
      <c r="I2231" t="s">
        <v>55</v>
      </c>
      <c r="J2231" t="s">
        <v>58</v>
      </c>
      <c r="K2231" t="s">
        <v>27</v>
      </c>
      <c r="L2231" t="s">
        <v>49</v>
      </c>
      <c r="M2231" s="4">
        <v>18</v>
      </c>
      <c r="N2231" s="4">
        <v>7</v>
      </c>
      <c r="O2231" t="s">
        <v>29</v>
      </c>
      <c r="P2231" t="s">
        <v>36</v>
      </c>
      <c r="Q2231" s="4">
        <v>393616</v>
      </c>
      <c r="R2231" s="4">
        <v>247402</v>
      </c>
      <c r="S2231" s="4">
        <f>Table1[[#This Row],[Service_Revenue]]-Table1[[#This Row],[Service_Cost]]</f>
        <v>146214</v>
      </c>
      <c r="T2231" s="4">
        <v>1</v>
      </c>
      <c r="U2231" s="4">
        <f>IF(AND(Table1[[#This Row],[Rework_Flag]]="Yes",Table1[[#This Row],[Warranty_Claim]]="No"),Table1[[#This Row],[Service_Revenue]],0)</f>
        <v>393616</v>
      </c>
      <c r="V2231" s="4">
        <f>IF(Table1[[#This Row],[Warranty_Claim]]="Yes",1,0)</f>
        <v>0</v>
      </c>
      <c r="W2231" s="4">
        <f>IF(Table1[[#This Row],[Rework_Flag]]="No",1,0)</f>
        <v>0</v>
      </c>
      <c r="X2231" s="4">
        <f>IF(Table1[[#This Row],[Rework_Flag]]="Yes",1,0)</f>
        <v>1</v>
      </c>
      <c r="Y2231" s="4">
        <v>1</v>
      </c>
      <c r="Z2231" s="4" t="str">
        <f>IF(Table1[[#This Row],[TAT_Days]]&gt;Table1[[#This Row],[SLA_TAT]],"Yes","No")</f>
        <v>Yes</v>
      </c>
      <c r="AA2231" s="4" t="str" cm="1">
        <f t="array" ref="AA2231">_xlfn.IFS(Table1[[#This Row],[Customer_Satisfaction]]&lt;=2,"Poor",Table1[[#This Row],[Customer_Satisfaction]]=3,"Neutral",Table1[[#This Row],[Customer_Satisfaction]]=4,"Good",Table1[[#This Row],[Customer_Satisfaction]]=5,"Good")</f>
        <v>Poor</v>
      </c>
    </row>
    <row r="2232" spans="1:27" x14ac:dyDescent="0.35">
      <c r="A2232">
        <v>22230</v>
      </c>
      <c r="B2232" s="1">
        <v>45338</v>
      </c>
      <c r="C2232" t="s">
        <v>19</v>
      </c>
      <c r="D2232" t="s">
        <v>45</v>
      </c>
      <c r="E2232" t="s">
        <v>46</v>
      </c>
      <c r="F2232" t="s">
        <v>53</v>
      </c>
      <c r="G2232" t="s">
        <v>47</v>
      </c>
      <c r="H2232" t="s">
        <v>48</v>
      </c>
      <c r="I2232" t="s">
        <v>25</v>
      </c>
      <c r="J2232" t="s">
        <v>58</v>
      </c>
      <c r="K2232" t="s">
        <v>61</v>
      </c>
      <c r="L2232" t="s">
        <v>28</v>
      </c>
      <c r="M2232" s="4">
        <v>3</v>
      </c>
      <c r="N2232" s="4">
        <v>7</v>
      </c>
      <c r="O2232" t="s">
        <v>36</v>
      </c>
      <c r="P2232" t="s">
        <v>36</v>
      </c>
      <c r="Q2232" s="4">
        <v>388980</v>
      </c>
      <c r="R2232" s="4">
        <v>309888</v>
      </c>
      <c r="S2232" s="4">
        <f>Table1[[#This Row],[Service_Revenue]]-Table1[[#This Row],[Service_Cost]]</f>
        <v>79092</v>
      </c>
      <c r="T2232" s="4">
        <v>5</v>
      </c>
      <c r="U2232" s="4">
        <f>IF(AND(Table1[[#This Row],[Rework_Flag]]="Yes",Table1[[#This Row],[Warranty_Claim]]="No"),Table1[[#This Row],[Service_Revenue]],0)</f>
        <v>0</v>
      </c>
      <c r="V2232" s="4">
        <f>IF(Table1[[#This Row],[Warranty_Claim]]="Yes",1,0)</f>
        <v>0</v>
      </c>
      <c r="W2232" s="4">
        <f>IF(Table1[[#This Row],[Rework_Flag]]="No",1,0)</f>
        <v>1</v>
      </c>
      <c r="X2232" s="4">
        <f>IF(Table1[[#This Row],[Rework_Flag]]="Yes",1,0)</f>
        <v>0</v>
      </c>
      <c r="Y2232" s="4">
        <v>1</v>
      </c>
      <c r="Z2232" s="4" t="str">
        <f>IF(Table1[[#This Row],[TAT_Days]]&gt;Table1[[#This Row],[SLA_TAT]],"Yes","No")</f>
        <v>No</v>
      </c>
      <c r="AA2232" s="4" t="str" cm="1">
        <f t="array" ref="AA2232">_xlfn.IFS(Table1[[#This Row],[Customer_Satisfaction]]&lt;=2,"Poor",Table1[[#This Row],[Customer_Satisfaction]]=3,"Neutral",Table1[[#This Row],[Customer_Satisfaction]]=4,"Good",Table1[[#This Row],[Customer_Satisfaction]]=5,"Good")</f>
        <v>Good</v>
      </c>
    </row>
    <row r="2233" spans="1:27" x14ac:dyDescent="0.35">
      <c r="A2233">
        <v>22231</v>
      </c>
      <c r="B2233" s="1">
        <v>45385</v>
      </c>
      <c r="C2233" t="s">
        <v>30</v>
      </c>
      <c r="D2233" t="s">
        <v>59</v>
      </c>
      <c r="E2233" t="s">
        <v>78</v>
      </c>
      <c r="F2233" t="s">
        <v>22</v>
      </c>
      <c r="G2233" t="s">
        <v>47</v>
      </c>
      <c r="H2233" t="s">
        <v>48</v>
      </c>
      <c r="I2233" t="s">
        <v>55</v>
      </c>
      <c r="J2233" t="s">
        <v>35</v>
      </c>
      <c r="K2233" t="s">
        <v>27</v>
      </c>
      <c r="L2233" t="s">
        <v>28</v>
      </c>
      <c r="M2233" s="4">
        <v>22</v>
      </c>
      <c r="N2233" s="4">
        <v>7</v>
      </c>
      <c r="O2233" t="s">
        <v>29</v>
      </c>
      <c r="P2233" t="s">
        <v>36</v>
      </c>
      <c r="Q2233" s="4">
        <v>176318</v>
      </c>
      <c r="R2233" s="4">
        <v>123330</v>
      </c>
      <c r="S2233" s="4">
        <f>Table1[[#This Row],[Service_Revenue]]-Table1[[#This Row],[Service_Cost]]</f>
        <v>52988</v>
      </c>
      <c r="T2233" s="4">
        <v>1</v>
      </c>
      <c r="U2233" s="4">
        <f>IF(AND(Table1[[#This Row],[Rework_Flag]]="Yes",Table1[[#This Row],[Warranty_Claim]]="No"),Table1[[#This Row],[Service_Revenue]],0)</f>
        <v>176318</v>
      </c>
      <c r="V2233" s="4">
        <f>IF(Table1[[#This Row],[Warranty_Claim]]="Yes",1,0)</f>
        <v>0</v>
      </c>
      <c r="W2233" s="4">
        <f>IF(Table1[[#This Row],[Rework_Flag]]="No",1,0)</f>
        <v>0</v>
      </c>
      <c r="X2233" s="4">
        <f>IF(Table1[[#This Row],[Rework_Flag]]="Yes",1,0)</f>
        <v>1</v>
      </c>
      <c r="Y2233" s="4">
        <v>1</v>
      </c>
      <c r="Z2233" s="4" t="str">
        <f>IF(Table1[[#This Row],[TAT_Days]]&gt;Table1[[#This Row],[SLA_TAT]],"Yes","No")</f>
        <v>Yes</v>
      </c>
      <c r="AA2233" s="4" t="str" cm="1">
        <f t="array" ref="AA2233">_xlfn.IFS(Table1[[#This Row],[Customer_Satisfaction]]&lt;=2,"Poor",Table1[[#This Row],[Customer_Satisfaction]]=3,"Neutral",Table1[[#This Row],[Customer_Satisfaction]]=4,"Good",Table1[[#This Row],[Customer_Satisfaction]]=5,"Good")</f>
        <v>Poor</v>
      </c>
    </row>
    <row r="2234" spans="1:27" x14ac:dyDescent="0.35">
      <c r="A2234">
        <v>22232</v>
      </c>
      <c r="B2234" s="1">
        <v>45424</v>
      </c>
      <c r="C2234" t="s">
        <v>19</v>
      </c>
      <c r="D2234" t="s">
        <v>20</v>
      </c>
      <c r="E2234" t="s">
        <v>89</v>
      </c>
      <c r="F2234" t="s">
        <v>53</v>
      </c>
      <c r="G2234" t="s">
        <v>54</v>
      </c>
      <c r="H2234" t="s">
        <v>42</v>
      </c>
      <c r="I2234" t="s">
        <v>25</v>
      </c>
      <c r="J2234" t="s">
        <v>43</v>
      </c>
      <c r="K2234" t="s">
        <v>27</v>
      </c>
      <c r="L2234" t="s">
        <v>49</v>
      </c>
      <c r="M2234" s="4">
        <v>17</v>
      </c>
      <c r="N2234" s="4">
        <v>7</v>
      </c>
      <c r="O2234" t="s">
        <v>29</v>
      </c>
      <c r="P2234" t="s">
        <v>36</v>
      </c>
      <c r="Q2234" s="4">
        <v>397295</v>
      </c>
      <c r="R2234" s="4">
        <v>313497</v>
      </c>
      <c r="S2234" s="4">
        <f>Table1[[#This Row],[Service_Revenue]]-Table1[[#This Row],[Service_Cost]]</f>
        <v>83798</v>
      </c>
      <c r="T2234" s="4">
        <v>1</v>
      </c>
      <c r="U2234" s="4">
        <f>IF(AND(Table1[[#This Row],[Rework_Flag]]="Yes",Table1[[#This Row],[Warranty_Claim]]="No"),Table1[[#This Row],[Service_Revenue]],0)</f>
        <v>397295</v>
      </c>
      <c r="V2234" s="4">
        <f>IF(Table1[[#This Row],[Warranty_Claim]]="Yes",1,0)</f>
        <v>0</v>
      </c>
      <c r="W2234" s="4">
        <f>IF(Table1[[#This Row],[Rework_Flag]]="No",1,0)</f>
        <v>0</v>
      </c>
      <c r="X2234" s="4">
        <f>IF(Table1[[#This Row],[Rework_Flag]]="Yes",1,0)</f>
        <v>1</v>
      </c>
      <c r="Y2234" s="4">
        <v>1</v>
      </c>
      <c r="Z2234" s="4" t="str">
        <f>IF(Table1[[#This Row],[TAT_Days]]&gt;Table1[[#This Row],[SLA_TAT]],"Yes","No")</f>
        <v>Yes</v>
      </c>
      <c r="AA2234" s="4" t="str" cm="1">
        <f t="array" ref="AA2234">_xlfn.IFS(Table1[[#This Row],[Customer_Satisfaction]]&lt;=2,"Poor",Table1[[#This Row],[Customer_Satisfaction]]=3,"Neutral",Table1[[#This Row],[Customer_Satisfaction]]=4,"Good",Table1[[#This Row],[Customer_Satisfaction]]=5,"Good")</f>
        <v>Poor</v>
      </c>
    </row>
    <row r="2235" spans="1:27" x14ac:dyDescent="0.35">
      <c r="A2235">
        <v>22233</v>
      </c>
      <c r="B2235" s="1">
        <v>45456</v>
      </c>
      <c r="C2235" t="s">
        <v>37</v>
      </c>
      <c r="D2235" t="s">
        <v>38</v>
      </c>
      <c r="E2235" t="s">
        <v>102</v>
      </c>
      <c r="F2235" t="s">
        <v>22</v>
      </c>
      <c r="G2235" t="s">
        <v>63</v>
      </c>
      <c r="H2235" t="s">
        <v>24</v>
      </c>
      <c r="I2235" t="s">
        <v>55</v>
      </c>
      <c r="J2235" t="s">
        <v>43</v>
      </c>
      <c r="K2235" t="s">
        <v>61</v>
      </c>
      <c r="L2235" t="s">
        <v>28</v>
      </c>
      <c r="M2235" s="4">
        <v>13</v>
      </c>
      <c r="N2235" s="4">
        <v>7</v>
      </c>
      <c r="O2235" t="s">
        <v>36</v>
      </c>
      <c r="P2235" t="s">
        <v>29</v>
      </c>
      <c r="Q2235" s="4">
        <v>443953</v>
      </c>
      <c r="R2235" s="4">
        <v>265470</v>
      </c>
      <c r="S2235" s="4">
        <f>Table1[[#This Row],[Service_Revenue]]-Table1[[#This Row],[Service_Cost]]</f>
        <v>178483</v>
      </c>
      <c r="T2235" s="4">
        <v>3</v>
      </c>
      <c r="U2235" s="4">
        <f>IF(AND(Table1[[#This Row],[Rework_Flag]]="Yes",Table1[[#This Row],[Warranty_Claim]]="No"),Table1[[#This Row],[Service_Revenue]],0)</f>
        <v>0</v>
      </c>
      <c r="V2235" s="4">
        <f>IF(Table1[[#This Row],[Warranty_Claim]]="Yes",1,0)</f>
        <v>1</v>
      </c>
      <c r="W2235" s="4">
        <f>IF(Table1[[#This Row],[Rework_Flag]]="No",1,0)</f>
        <v>1</v>
      </c>
      <c r="X2235" s="4">
        <f>IF(Table1[[#This Row],[Rework_Flag]]="Yes",1,0)</f>
        <v>0</v>
      </c>
      <c r="Y2235" s="4">
        <v>1</v>
      </c>
      <c r="Z2235" s="4" t="str">
        <f>IF(Table1[[#This Row],[TAT_Days]]&gt;Table1[[#This Row],[SLA_TAT]],"Yes","No")</f>
        <v>Yes</v>
      </c>
      <c r="AA2235" s="4" t="str" cm="1">
        <f t="array" ref="AA2235">_xlfn.IFS(Table1[[#This Row],[Customer_Satisfaction]]&lt;=2,"Poor",Table1[[#This Row],[Customer_Satisfaction]]=3,"Neutral",Table1[[#This Row],[Customer_Satisfaction]]=4,"Good",Table1[[#This Row],[Customer_Satisfaction]]=5,"Good")</f>
        <v>Neutral</v>
      </c>
    </row>
    <row r="2236" spans="1:27" x14ac:dyDescent="0.35">
      <c r="A2236">
        <v>22234</v>
      </c>
      <c r="B2236" s="1">
        <v>45307</v>
      </c>
      <c r="C2236" t="s">
        <v>37</v>
      </c>
      <c r="D2236" t="s">
        <v>64</v>
      </c>
      <c r="E2236" t="s">
        <v>103</v>
      </c>
      <c r="F2236" t="s">
        <v>40</v>
      </c>
      <c r="G2236" t="s">
        <v>74</v>
      </c>
      <c r="H2236" t="s">
        <v>34</v>
      </c>
      <c r="I2236" t="s">
        <v>25</v>
      </c>
      <c r="J2236" t="s">
        <v>58</v>
      </c>
      <c r="K2236" t="s">
        <v>61</v>
      </c>
      <c r="L2236" t="s">
        <v>28</v>
      </c>
      <c r="M2236" s="4">
        <v>20</v>
      </c>
      <c r="N2236" s="4">
        <v>7</v>
      </c>
      <c r="O2236" t="s">
        <v>36</v>
      </c>
      <c r="P2236" t="s">
        <v>36</v>
      </c>
      <c r="Q2236" s="4">
        <v>579433</v>
      </c>
      <c r="R2236" s="4">
        <v>488994</v>
      </c>
      <c r="S2236" s="4">
        <f>Table1[[#This Row],[Service_Revenue]]-Table1[[#This Row],[Service_Cost]]</f>
        <v>90439</v>
      </c>
      <c r="T2236" s="4">
        <v>1</v>
      </c>
      <c r="U2236" s="4">
        <f>IF(AND(Table1[[#This Row],[Rework_Flag]]="Yes",Table1[[#This Row],[Warranty_Claim]]="No"),Table1[[#This Row],[Service_Revenue]],0)</f>
        <v>0</v>
      </c>
      <c r="V2236" s="4">
        <f>IF(Table1[[#This Row],[Warranty_Claim]]="Yes",1,0)</f>
        <v>0</v>
      </c>
      <c r="W2236" s="4">
        <f>IF(Table1[[#This Row],[Rework_Flag]]="No",1,0)</f>
        <v>1</v>
      </c>
      <c r="X2236" s="4">
        <f>IF(Table1[[#This Row],[Rework_Flag]]="Yes",1,0)</f>
        <v>0</v>
      </c>
      <c r="Y2236" s="4">
        <v>1</v>
      </c>
      <c r="Z2236" s="4" t="str">
        <f>IF(Table1[[#This Row],[TAT_Days]]&gt;Table1[[#This Row],[SLA_TAT]],"Yes","No")</f>
        <v>Yes</v>
      </c>
      <c r="AA2236" s="4" t="str" cm="1">
        <f t="array" ref="AA2236">_xlfn.IFS(Table1[[#This Row],[Customer_Satisfaction]]&lt;=2,"Poor",Table1[[#This Row],[Customer_Satisfaction]]=3,"Neutral",Table1[[#This Row],[Customer_Satisfaction]]=4,"Good",Table1[[#This Row],[Customer_Satisfaction]]=5,"Good")</f>
        <v>Poor</v>
      </c>
    </row>
    <row r="2237" spans="1:27" x14ac:dyDescent="0.35">
      <c r="A2237">
        <v>22235</v>
      </c>
      <c r="B2237" s="1">
        <v>45468</v>
      </c>
      <c r="C2237" t="s">
        <v>30</v>
      </c>
      <c r="D2237" t="s">
        <v>31</v>
      </c>
      <c r="E2237" t="s">
        <v>62</v>
      </c>
      <c r="F2237" t="s">
        <v>40</v>
      </c>
      <c r="G2237" t="s">
        <v>41</v>
      </c>
      <c r="H2237" t="s">
        <v>42</v>
      </c>
      <c r="I2237" t="s">
        <v>25</v>
      </c>
      <c r="J2237" t="s">
        <v>43</v>
      </c>
      <c r="K2237" t="s">
        <v>61</v>
      </c>
      <c r="L2237" t="s">
        <v>28</v>
      </c>
      <c r="M2237" s="4">
        <v>4</v>
      </c>
      <c r="N2237" s="4">
        <v>7</v>
      </c>
      <c r="O2237" t="s">
        <v>29</v>
      </c>
      <c r="P2237" t="s">
        <v>29</v>
      </c>
      <c r="Q2237" s="4">
        <v>275239</v>
      </c>
      <c r="R2237" s="4">
        <v>151038</v>
      </c>
      <c r="S2237" s="4">
        <f>Table1[[#This Row],[Service_Revenue]]-Table1[[#This Row],[Service_Cost]]</f>
        <v>124201</v>
      </c>
      <c r="T2237" s="4">
        <v>4</v>
      </c>
      <c r="U2237" s="4">
        <f>IF(AND(Table1[[#This Row],[Rework_Flag]]="Yes",Table1[[#This Row],[Warranty_Claim]]="No"),Table1[[#This Row],[Service_Revenue]],0)</f>
        <v>0</v>
      </c>
      <c r="V2237" s="4">
        <f>IF(Table1[[#This Row],[Warranty_Claim]]="Yes",1,0)</f>
        <v>1</v>
      </c>
      <c r="W2237" s="4">
        <f>IF(Table1[[#This Row],[Rework_Flag]]="No",1,0)</f>
        <v>0</v>
      </c>
      <c r="X2237" s="4">
        <f>IF(Table1[[#This Row],[Rework_Flag]]="Yes",1,0)</f>
        <v>1</v>
      </c>
      <c r="Y2237" s="4">
        <v>1</v>
      </c>
      <c r="Z2237" s="4" t="str">
        <f>IF(Table1[[#This Row],[TAT_Days]]&gt;Table1[[#This Row],[SLA_TAT]],"Yes","No")</f>
        <v>No</v>
      </c>
      <c r="AA2237" s="4" t="str" cm="1">
        <f t="array" ref="AA2237">_xlfn.IFS(Table1[[#This Row],[Customer_Satisfaction]]&lt;=2,"Poor",Table1[[#This Row],[Customer_Satisfaction]]=3,"Neutral",Table1[[#This Row],[Customer_Satisfaction]]=4,"Good",Table1[[#This Row],[Customer_Satisfaction]]=5,"Good")</f>
        <v>Good</v>
      </c>
    </row>
    <row r="2238" spans="1:27" x14ac:dyDescent="0.35">
      <c r="A2238">
        <v>22236</v>
      </c>
      <c r="B2238" s="1">
        <v>45447</v>
      </c>
      <c r="C2238" t="s">
        <v>30</v>
      </c>
      <c r="D2238" t="s">
        <v>31</v>
      </c>
      <c r="E2238" t="s">
        <v>32</v>
      </c>
      <c r="F2238" t="s">
        <v>40</v>
      </c>
      <c r="G2238" t="s">
        <v>47</v>
      </c>
      <c r="H2238" t="s">
        <v>48</v>
      </c>
      <c r="I2238" t="s">
        <v>55</v>
      </c>
      <c r="J2238" t="s">
        <v>35</v>
      </c>
      <c r="K2238" t="s">
        <v>27</v>
      </c>
      <c r="L2238" t="s">
        <v>49</v>
      </c>
      <c r="M2238" s="4">
        <v>15</v>
      </c>
      <c r="N2238" s="4">
        <v>7</v>
      </c>
      <c r="O2238" t="s">
        <v>29</v>
      </c>
      <c r="P2238" t="s">
        <v>36</v>
      </c>
      <c r="Q2238" s="4">
        <v>429111</v>
      </c>
      <c r="R2238" s="4">
        <v>240557</v>
      </c>
      <c r="S2238" s="4">
        <f>Table1[[#This Row],[Service_Revenue]]-Table1[[#This Row],[Service_Cost]]</f>
        <v>188554</v>
      </c>
      <c r="T2238" s="4">
        <v>1</v>
      </c>
      <c r="U2238" s="4">
        <f>IF(AND(Table1[[#This Row],[Rework_Flag]]="Yes",Table1[[#This Row],[Warranty_Claim]]="No"),Table1[[#This Row],[Service_Revenue]],0)</f>
        <v>429111</v>
      </c>
      <c r="V2238" s="4">
        <f>IF(Table1[[#This Row],[Warranty_Claim]]="Yes",1,0)</f>
        <v>0</v>
      </c>
      <c r="W2238" s="4">
        <f>IF(Table1[[#This Row],[Rework_Flag]]="No",1,0)</f>
        <v>0</v>
      </c>
      <c r="X2238" s="4">
        <f>IF(Table1[[#This Row],[Rework_Flag]]="Yes",1,0)</f>
        <v>1</v>
      </c>
      <c r="Y2238" s="4">
        <v>1</v>
      </c>
      <c r="Z2238" s="4" t="str">
        <f>IF(Table1[[#This Row],[TAT_Days]]&gt;Table1[[#This Row],[SLA_TAT]],"Yes","No")</f>
        <v>Yes</v>
      </c>
      <c r="AA2238" s="4" t="str" cm="1">
        <f t="array" ref="AA2238">_xlfn.IFS(Table1[[#This Row],[Customer_Satisfaction]]&lt;=2,"Poor",Table1[[#This Row],[Customer_Satisfaction]]=3,"Neutral",Table1[[#This Row],[Customer_Satisfaction]]=4,"Good",Table1[[#This Row],[Customer_Satisfaction]]=5,"Good")</f>
        <v>Poor</v>
      </c>
    </row>
    <row r="2239" spans="1:27" x14ac:dyDescent="0.35">
      <c r="A2239">
        <v>22237</v>
      </c>
      <c r="B2239" s="1">
        <v>45354</v>
      </c>
      <c r="C2239" t="s">
        <v>19</v>
      </c>
      <c r="D2239" t="s">
        <v>20</v>
      </c>
      <c r="E2239" t="s">
        <v>86</v>
      </c>
      <c r="F2239" t="s">
        <v>22</v>
      </c>
      <c r="G2239" t="s">
        <v>47</v>
      </c>
      <c r="H2239" t="s">
        <v>48</v>
      </c>
      <c r="I2239" t="s">
        <v>25</v>
      </c>
      <c r="J2239" t="s">
        <v>26</v>
      </c>
      <c r="K2239" t="s">
        <v>61</v>
      </c>
      <c r="L2239" t="s">
        <v>28</v>
      </c>
      <c r="M2239" s="4">
        <v>22</v>
      </c>
      <c r="N2239" s="4">
        <v>7</v>
      </c>
      <c r="O2239" t="s">
        <v>29</v>
      </c>
      <c r="P2239" t="s">
        <v>29</v>
      </c>
      <c r="Q2239" s="4">
        <v>161393</v>
      </c>
      <c r="R2239" s="4">
        <v>137140</v>
      </c>
      <c r="S2239" s="4">
        <f>Table1[[#This Row],[Service_Revenue]]-Table1[[#This Row],[Service_Cost]]</f>
        <v>24253</v>
      </c>
      <c r="T2239" s="4">
        <v>1</v>
      </c>
      <c r="U2239" s="4">
        <f>IF(AND(Table1[[#This Row],[Rework_Flag]]="Yes",Table1[[#This Row],[Warranty_Claim]]="No"),Table1[[#This Row],[Service_Revenue]],0)</f>
        <v>0</v>
      </c>
      <c r="V2239" s="4">
        <f>IF(Table1[[#This Row],[Warranty_Claim]]="Yes",1,0)</f>
        <v>1</v>
      </c>
      <c r="W2239" s="4">
        <f>IF(Table1[[#This Row],[Rework_Flag]]="No",1,0)</f>
        <v>0</v>
      </c>
      <c r="X2239" s="4">
        <f>IF(Table1[[#This Row],[Rework_Flag]]="Yes",1,0)</f>
        <v>1</v>
      </c>
      <c r="Y2239" s="4">
        <v>1</v>
      </c>
      <c r="Z2239" s="4" t="str">
        <f>IF(Table1[[#This Row],[TAT_Days]]&gt;Table1[[#This Row],[SLA_TAT]],"Yes","No")</f>
        <v>Yes</v>
      </c>
      <c r="AA2239" s="4" t="str" cm="1">
        <f t="array" ref="AA2239">_xlfn.IFS(Table1[[#This Row],[Customer_Satisfaction]]&lt;=2,"Poor",Table1[[#This Row],[Customer_Satisfaction]]=3,"Neutral",Table1[[#This Row],[Customer_Satisfaction]]=4,"Good",Table1[[#This Row],[Customer_Satisfaction]]=5,"Good")</f>
        <v>Poor</v>
      </c>
    </row>
    <row r="2240" spans="1:27" x14ac:dyDescent="0.35">
      <c r="A2240">
        <v>22238</v>
      </c>
      <c r="B2240" s="1">
        <v>45413</v>
      </c>
      <c r="C2240" t="s">
        <v>50</v>
      </c>
      <c r="D2240" t="s">
        <v>51</v>
      </c>
      <c r="E2240" t="s">
        <v>120</v>
      </c>
      <c r="F2240" t="s">
        <v>22</v>
      </c>
      <c r="G2240" t="s">
        <v>23</v>
      </c>
      <c r="H2240" t="s">
        <v>24</v>
      </c>
      <c r="I2240" t="s">
        <v>25</v>
      </c>
      <c r="J2240" t="s">
        <v>43</v>
      </c>
      <c r="K2240" t="s">
        <v>44</v>
      </c>
      <c r="L2240" t="s">
        <v>49</v>
      </c>
      <c r="M2240" s="4">
        <v>20</v>
      </c>
      <c r="N2240" s="4">
        <v>7</v>
      </c>
      <c r="O2240" t="s">
        <v>29</v>
      </c>
      <c r="P2240" t="s">
        <v>36</v>
      </c>
      <c r="Q2240" s="4">
        <v>497326</v>
      </c>
      <c r="R2240" s="4">
        <v>251010</v>
      </c>
      <c r="S2240" s="4">
        <f>Table1[[#This Row],[Service_Revenue]]-Table1[[#This Row],[Service_Cost]]</f>
        <v>246316</v>
      </c>
      <c r="T2240" s="4">
        <v>1</v>
      </c>
      <c r="U2240" s="4">
        <f>IF(AND(Table1[[#This Row],[Rework_Flag]]="Yes",Table1[[#This Row],[Warranty_Claim]]="No"),Table1[[#This Row],[Service_Revenue]],0)</f>
        <v>497326</v>
      </c>
      <c r="V2240" s="4">
        <f>IF(Table1[[#This Row],[Warranty_Claim]]="Yes",1,0)</f>
        <v>0</v>
      </c>
      <c r="W2240" s="4">
        <f>IF(Table1[[#This Row],[Rework_Flag]]="No",1,0)</f>
        <v>0</v>
      </c>
      <c r="X2240" s="4">
        <f>IF(Table1[[#This Row],[Rework_Flag]]="Yes",1,0)</f>
        <v>1</v>
      </c>
      <c r="Y2240" s="4">
        <v>1</v>
      </c>
      <c r="Z2240" s="4" t="str">
        <f>IF(Table1[[#This Row],[TAT_Days]]&gt;Table1[[#This Row],[SLA_TAT]],"Yes","No")</f>
        <v>Yes</v>
      </c>
      <c r="AA2240" s="4" t="str" cm="1">
        <f t="array" ref="AA2240">_xlfn.IFS(Table1[[#This Row],[Customer_Satisfaction]]&lt;=2,"Poor",Table1[[#This Row],[Customer_Satisfaction]]=3,"Neutral",Table1[[#This Row],[Customer_Satisfaction]]=4,"Good",Table1[[#This Row],[Customer_Satisfaction]]=5,"Good")</f>
        <v>Poor</v>
      </c>
    </row>
    <row r="2241" spans="1:27" x14ac:dyDescent="0.35">
      <c r="A2241">
        <v>22239</v>
      </c>
      <c r="B2241" s="1">
        <v>45370</v>
      </c>
      <c r="C2241" t="s">
        <v>30</v>
      </c>
      <c r="D2241" t="s">
        <v>59</v>
      </c>
      <c r="E2241" t="s">
        <v>60</v>
      </c>
      <c r="F2241" t="s">
        <v>22</v>
      </c>
      <c r="G2241" t="s">
        <v>63</v>
      </c>
      <c r="H2241" t="s">
        <v>24</v>
      </c>
      <c r="I2241" t="s">
        <v>25</v>
      </c>
      <c r="J2241" t="s">
        <v>26</v>
      </c>
      <c r="K2241" t="s">
        <v>27</v>
      </c>
      <c r="L2241" t="s">
        <v>49</v>
      </c>
      <c r="M2241" s="4">
        <v>22</v>
      </c>
      <c r="N2241" s="4">
        <v>7</v>
      </c>
      <c r="O2241" t="s">
        <v>29</v>
      </c>
      <c r="P2241" t="s">
        <v>29</v>
      </c>
      <c r="Q2241" s="4">
        <v>236863</v>
      </c>
      <c r="R2241" s="4">
        <v>167417</v>
      </c>
      <c r="S2241" s="4">
        <f>Table1[[#This Row],[Service_Revenue]]-Table1[[#This Row],[Service_Cost]]</f>
        <v>69446</v>
      </c>
      <c r="T2241" s="4">
        <v>1</v>
      </c>
      <c r="U2241" s="4">
        <f>IF(AND(Table1[[#This Row],[Rework_Flag]]="Yes",Table1[[#This Row],[Warranty_Claim]]="No"),Table1[[#This Row],[Service_Revenue]],0)</f>
        <v>0</v>
      </c>
      <c r="V2241" s="4">
        <f>IF(Table1[[#This Row],[Warranty_Claim]]="Yes",1,0)</f>
        <v>1</v>
      </c>
      <c r="W2241" s="4">
        <f>IF(Table1[[#This Row],[Rework_Flag]]="No",1,0)</f>
        <v>0</v>
      </c>
      <c r="X2241" s="4">
        <f>IF(Table1[[#This Row],[Rework_Flag]]="Yes",1,0)</f>
        <v>1</v>
      </c>
      <c r="Y2241" s="4">
        <v>1</v>
      </c>
      <c r="Z2241" s="4" t="str">
        <f>IF(Table1[[#This Row],[TAT_Days]]&gt;Table1[[#This Row],[SLA_TAT]],"Yes","No")</f>
        <v>Yes</v>
      </c>
      <c r="AA2241" s="4" t="str" cm="1">
        <f t="array" ref="AA2241">_xlfn.IFS(Table1[[#This Row],[Customer_Satisfaction]]&lt;=2,"Poor",Table1[[#This Row],[Customer_Satisfaction]]=3,"Neutral",Table1[[#This Row],[Customer_Satisfaction]]=4,"Good",Table1[[#This Row],[Customer_Satisfaction]]=5,"Good")</f>
        <v>Poor</v>
      </c>
    </row>
    <row r="2242" spans="1:27" x14ac:dyDescent="0.35">
      <c r="A2242">
        <v>22240</v>
      </c>
      <c r="B2242" s="1">
        <v>45385</v>
      </c>
      <c r="C2242" t="s">
        <v>30</v>
      </c>
      <c r="D2242" t="s">
        <v>59</v>
      </c>
      <c r="E2242" t="s">
        <v>94</v>
      </c>
      <c r="F2242" t="s">
        <v>22</v>
      </c>
      <c r="G2242" t="s">
        <v>74</v>
      </c>
      <c r="H2242" t="s">
        <v>34</v>
      </c>
      <c r="I2242" t="s">
        <v>55</v>
      </c>
      <c r="J2242" t="s">
        <v>26</v>
      </c>
      <c r="K2242" t="s">
        <v>61</v>
      </c>
      <c r="L2242" t="s">
        <v>49</v>
      </c>
      <c r="M2242" s="4">
        <v>16</v>
      </c>
      <c r="N2242" s="4">
        <v>7</v>
      </c>
      <c r="O2242" t="s">
        <v>29</v>
      </c>
      <c r="P2242" t="s">
        <v>36</v>
      </c>
      <c r="Q2242" s="4">
        <v>582716</v>
      </c>
      <c r="R2242" s="4">
        <v>466342</v>
      </c>
      <c r="S2242" s="4">
        <f>Table1[[#This Row],[Service_Revenue]]-Table1[[#This Row],[Service_Cost]]</f>
        <v>116374</v>
      </c>
      <c r="T2242" s="4">
        <v>1</v>
      </c>
      <c r="U2242" s="4">
        <f>IF(AND(Table1[[#This Row],[Rework_Flag]]="Yes",Table1[[#This Row],[Warranty_Claim]]="No"),Table1[[#This Row],[Service_Revenue]],0)</f>
        <v>582716</v>
      </c>
      <c r="V2242" s="4">
        <f>IF(Table1[[#This Row],[Warranty_Claim]]="Yes",1,0)</f>
        <v>0</v>
      </c>
      <c r="W2242" s="4">
        <f>IF(Table1[[#This Row],[Rework_Flag]]="No",1,0)</f>
        <v>0</v>
      </c>
      <c r="X2242" s="4">
        <f>IF(Table1[[#This Row],[Rework_Flag]]="Yes",1,0)</f>
        <v>1</v>
      </c>
      <c r="Y2242" s="4">
        <v>1</v>
      </c>
      <c r="Z2242" s="4" t="str">
        <f>IF(Table1[[#This Row],[TAT_Days]]&gt;Table1[[#This Row],[SLA_TAT]],"Yes","No")</f>
        <v>Yes</v>
      </c>
      <c r="AA2242" s="4" t="str" cm="1">
        <f t="array" ref="AA2242">_xlfn.IFS(Table1[[#This Row],[Customer_Satisfaction]]&lt;=2,"Poor",Table1[[#This Row],[Customer_Satisfaction]]=3,"Neutral",Table1[[#This Row],[Customer_Satisfaction]]=4,"Good",Table1[[#This Row],[Customer_Satisfaction]]=5,"Good")</f>
        <v>Poor</v>
      </c>
    </row>
    <row r="2243" spans="1:27" x14ac:dyDescent="0.35">
      <c r="A2243">
        <v>22241</v>
      </c>
      <c r="B2243" s="1">
        <v>45362</v>
      </c>
      <c r="C2243" t="s">
        <v>19</v>
      </c>
      <c r="D2243" t="s">
        <v>45</v>
      </c>
      <c r="E2243" t="s">
        <v>76</v>
      </c>
      <c r="F2243" t="s">
        <v>53</v>
      </c>
      <c r="G2243" t="s">
        <v>33</v>
      </c>
      <c r="H2243" t="s">
        <v>34</v>
      </c>
      <c r="I2243" t="s">
        <v>55</v>
      </c>
      <c r="J2243" t="s">
        <v>43</v>
      </c>
      <c r="K2243" t="s">
        <v>27</v>
      </c>
      <c r="L2243" t="s">
        <v>28</v>
      </c>
      <c r="M2243" s="4">
        <v>6</v>
      </c>
      <c r="N2243" s="4">
        <v>7</v>
      </c>
      <c r="O2243" t="s">
        <v>29</v>
      </c>
      <c r="P2243" t="s">
        <v>36</v>
      </c>
      <c r="Q2243" s="4">
        <v>280246</v>
      </c>
      <c r="R2243" s="4">
        <v>183618</v>
      </c>
      <c r="S2243" s="4">
        <f>Table1[[#This Row],[Service_Revenue]]-Table1[[#This Row],[Service_Cost]]</f>
        <v>96628</v>
      </c>
      <c r="T2243" s="4">
        <v>3</v>
      </c>
      <c r="U2243" s="4">
        <f>IF(AND(Table1[[#This Row],[Rework_Flag]]="Yes",Table1[[#This Row],[Warranty_Claim]]="No"),Table1[[#This Row],[Service_Revenue]],0)</f>
        <v>280246</v>
      </c>
      <c r="V2243" s="4">
        <f>IF(Table1[[#This Row],[Warranty_Claim]]="Yes",1,0)</f>
        <v>0</v>
      </c>
      <c r="W2243" s="4">
        <f>IF(Table1[[#This Row],[Rework_Flag]]="No",1,0)</f>
        <v>0</v>
      </c>
      <c r="X2243" s="4">
        <f>IF(Table1[[#This Row],[Rework_Flag]]="Yes",1,0)</f>
        <v>1</v>
      </c>
      <c r="Y2243" s="4">
        <v>1</v>
      </c>
      <c r="Z2243" s="4" t="str">
        <f>IF(Table1[[#This Row],[TAT_Days]]&gt;Table1[[#This Row],[SLA_TAT]],"Yes","No")</f>
        <v>No</v>
      </c>
      <c r="AA2243" s="4" t="str" cm="1">
        <f t="array" ref="AA2243">_xlfn.IFS(Table1[[#This Row],[Customer_Satisfaction]]&lt;=2,"Poor",Table1[[#This Row],[Customer_Satisfaction]]=3,"Neutral",Table1[[#This Row],[Customer_Satisfaction]]=4,"Good",Table1[[#This Row],[Customer_Satisfaction]]=5,"Good")</f>
        <v>Neutral</v>
      </c>
    </row>
    <row r="2244" spans="1:27" x14ac:dyDescent="0.35">
      <c r="A2244">
        <v>22242</v>
      </c>
      <c r="B2244" s="1">
        <v>45340</v>
      </c>
      <c r="C2244" t="s">
        <v>50</v>
      </c>
      <c r="D2244" t="s">
        <v>56</v>
      </c>
      <c r="E2244" t="s">
        <v>101</v>
      </c>
      <c r="F2244" t="s">
        <v>53</v>
      </c>
      <c r="G2244" t="s">
        <v>74</v>
      </c>
      <c r="H2244" t="s">
        <v>34</v>
      </c>
      <c r="I2244" t="s">
        <v>25</v>
      </c>
      <c r="J2244" t="s">
        <v>58</v>
      </c>
      <c r="K2244" t="s">
        <v>27</v>
      </c>
      <c r="L2244" t="s">
        <v>49</v>
      </c>
      <c r="M2244" s="4">
        <v>13</v>
      </c>
      <c r="N2244" s="4">
        <v>7</v>
      </c>
      <c r="O2244" t="s">
        <v>29</v>
      </c>
      <c r="P2244" t="s">
        <v>36</v>
      </c>
      <c r="Q2244" s="4">
        <v>598076</v>
      </c>
      <c r="R2244" s="4">
        <v>474035</v>
      </c>
      <c r="S2244" s="4">
        <f>Table1[[#This Row],[Service_Revenue]]-Table1[[#This Row],[Service_Cost]]</f>
        <v>124041</v>
      </c>
      <c r="T2244" s="4">
        <v>2</v>
      </c>
      <c r="U2244" s="4">
        <f>IF(AND(Table1[[#This Row],[Rework_Flag]]="Yes",Table1[[#This Row],[Warranty_Claim]]="No"),Table1[[#This Row],[Service_Revenue]],0)</f>
        <v>598076</v>
      </c>
      <c r="V2244" s="4">
        <f>IF(Table1[[#This Row],[Warranty_Claim]]="Yes",1,0)</f>
        <v>0</v>
      </c>
      <c r="W2244" s="4">
        <f>IF(Table1[[#This Row],[Rework_Flag]]="No",1,0)</f>
        <v>0</v>
      </c>
      <c r="X2244" s="4">
        <f>IF(Table1[[#This Row],[Rework_Flag]]="Yes",1,0)</f>
        <v>1</v>
      </c>
      <c r="Y2244" s="4">
        <v>1</v>
      </c>
      <c r="Z2244" s="4" t="str">
        <f>IF(Table1[[#This Row],[TAT_Days]]&gt;Table1[[#This Row],[SLA_TAT]],"Yes","No")</f>
        <v>Yes</v>
      </c>
      <c r="AA2244" s="4" t="str" cm="1">
        <f t="array" ref="AA2244">_xlfn.IFS(Table1[[#This Row],[Customer_Satisfaction]]&lt;=2,"Poor",Table1[[#This Row],[Customer_Satisfaction]]=3,"Neutral",Table1[[#This Row],[Customer_Satisfaction]]=4,"Good",Table1[[#This Row],[Customer_Satisfaction]]=5,"Good")</f>
        <v>Poor</v>
      </c>
    </row>
    <row r="2245" spans="1:27" x14ac:dyDescent="0.35">
      <c r="A2245">
        <v>22243</v>
      </c>
      <c r="B2245" s="1">
        <v>45293</v>
      </c>
      <c r="C2245" t="s">
        <v>30</v>
      </c>
      <c r="D2245" t="s">
        <v>31</v>
      </c>
      <c r="E2245" t="s">
        <v>122</v>
      </c>
      <c r="F2245" t="s">
        <v>40</v>
      </c>
      <c r="G2245" t="s">
        <v>47</v>
      </c>
      <c r="H2245" t="s">
        <v>48</v>
      </c>
      <c r="I2245" t="s">
        <v>55</v>
      </c>
      <c r="J2245" t="s">
        <v>35</v>
      </c>
      <c r="K2245" t="s">
        <v>44</v>
      </c>
      <c r="L2245" t="s">
        <v>49</v>
      </c>
      <c r="M2245" s="4">
        <v>14</v>
      </c>
      <c r="N2245" s="4">
        <v>7</v>
      </c>
      <c r="O2245" t="s">
        <v>36</v>
      </c>
      <c r="P2245" t="s">
        <v>36</v>
      </c>
      <c r="Q2245" s="4">
        <v>513770</v>
      </c>
      <c r="R2245" s="4">
        <v>281615</v>
      </c>
      <c r="S2245" s="4">
        <f>Table1[[#This Row],[Service_Revenue]]-Table1[[#This Row],[Service_Cost]]</f>
        <v>232155</v>
      </c>
      <c r="T2245" s="4">
        <v>3</v>
      </c>
      <c r="U2245" s="4">
        <f>IF(AND(Table1[[#This Row],[Rework_Flag]]="Yes",Table1[[#This Row],[Warranty_Claim]]="No"),Table1[[#This Row],[Service_Revenue]],0)</f>
        <v>0</v>
      </c>
      <c r="V2245" s="4">
        <f>IF(Table1[[#This Row],[Warranty_Claim]]="Yes",1,0)</f>
        <v>0</v>
      </c>
      <c r="W2245" s="4">
        <f>IF(Table1[[#This Row],[Rework_Flag]]="No",1,0)</f>
        <v>1</v>
      </c>
      <c r="X2245" s="4">
        <f>IF(Table1[[#This Row],[Rework_Flag]]="Yes",1,0)</f>
        <v>0</v>
      </c>
      <c r="Y2245" s="4">
        <v>1</v>
      </c>
      <c r="Z2245" s="4" t="str">
        <f>IF(Table1[[#This Row],[TAT_Days]]&gt;Table1[[#This Row],[SLA_TAT]],"Yes","No")</f>
        <v>Yes</v>
      </c>
      <c r="AA2245" s="4" t="str" cm="1">
        <f t="array" ref="AA2245">_xlfn.IFS(Table1[[#This Row],[Customer_Satisfaction]]&lt;=2,"Poor",Table1[[#This Row],[Customer_Satisfaction]]=3,"Neutral",Table1[[#This Row],[Customer_Satisfaction]]=4,"Good",Table1[[#This Row],[Customer_Satisfaction]]=5,"Good")</f>
        <v>Neutral</v>
      </c>
    </row>
    <row r="2246" spans="1:27" x14ac:dyDescent="0.35">
      <c r="A2246">
        <v>22244</v>
      </c>
      <c r="B2246" s="1">
        <v>45319</v>
      </c>
      <c r="C2246" t="s">
        <v>30</v>
      </c>
      <c r="D2246" t="s">
        <v>83</v>
      </c>
      <c r="E2246" t="s">
        <v>90</v>
      </c>
      <c r="F2246" t="s">
        <v>22</v>
      </c>
      <c r="G2246" t="s">
        <v>74</v>
      </c>
      <c r="H2246" t="s">
        <v>34</v>
      </c>
      <c r="I2246" t="s">
        <v>25</v>
      </c>
      <c r="J2246" t="s">
        <v>43</v>
      </c>
      <c r="K2246" t="s">
        <v>27</v>
      </c>
      <c r="L2246" t="s">
        <v>28</v>
      </c>
      <c r="M2246" s="4">
        <v>13</v>
      </c>
      <c r="N2246" s="4">
        <v>7</v>
      </c>
      <c r="O2246" t="s">
        <v>29</v>
      </c>
      <c r="P2246" t="s">
        <v>29</v>
      </c>
      <c r="Q2246" s="4">
        <v>454457</v>
      </c>
      <c r="R2246" s="4">
        <v>363146</v>
      </c>
      <c r="S2246" s="4">
        <f>Table1[[#This Row],[Service_Revenue]]-Table1[[#This Row],[Service_Cost]]</f>
        <v>91311</v>
      </c>
      <c r="T2246" s="4">
        <v>2</v>
      </c>
      <c r="U2246" s="4">
        <f>IF(AND(Table1[[#This Row],[Rework_Flag]]="Yes",Table1[[#This Row],[Warranty_Claim]]="No"),Table1[[#This Row],[Service_Revenue]],0)</f>
        <v>0</v>
      </c>
      <c r="V2246" s="4">
        <f>IF(Table1[[#This Row],[Warranty_Claim]]="Yes",1,0)</f>
        <v>1</v>
      </c>
      <c r="W2246" s="4">
        <f>IF(Table1[[#This Row],[Rework_Flag]]="No",1,0)</f>
        <v>0</v>
      </c>
      <c r="X2246" s="4">
        <f>IF(Table1[[#This Row],[Rework_Flag]]="Yes",1,0)</f>
        <v>1</v>
      </c>
      <c r="Y2246" s="4">
        <v>1</v>
      </c>
      <c r="Z2246" s="4" t="str">
        <f>IF(Table1[[#This Row],[TAT_Days]]&gt;Table1[[#This Row],[SLA_TAT]],"Yes","No")</f>
        <v>Yes</v>
      </c>
      <c r="AA2246" s="4" t="str" cm="1">
        <f t="array" ref="AA2246">_xlfn.IFS(Table1[[#This Row],[Customer_Satisfaction]]&lt;=2,"Poor",Table1[[#This Row],[Customer_Satisfaction]]=3,"Neutral",Table1[[#This Row],[Customer_Satisfaction]]=4,"Good",Table1[[#This Row],[Customer_Satisfaction]]=5,"Good")</f>
        <v>Poor</v>
      </c>
    </row>
    <row r="2247" spans="1:27" x14ac:dyDescent="0.35">
      <c r="A2247">
        <v>22245</v>
      </c>
      <c r="B2247" s="1">
        <v>45441</v>
      </c>
      <c r="C2247" t="s">
        <v>50</v>
      </c>
      <c r="D2247" t="s">
        <v>56</v>
      </c>
      <c r="E2247" t="s">
        <v>101</v>
      </c>
      <c r="F2247" t="s">
        <v>40</v>
      </c>
      <c r="G2247" t="s">
        <v>23</v>
      </c>
      <c r="H2247" t="s">
        <v>24</v>
      </c>
      <c r="I2247" t="s">
        <v>25</v>
      </c>
      <c r="J2247" t="s">
        <v>43</v>
      </c>
      <c r="K2247" t="s">
        <v>44</v>
      </c>
      <c r="L2247" t="s">
        <v>28</v>
      </c>
      <c r="M2247" s="4">
        <v>25</v>
      </c>
      <c r="N2247" s="4">
        <v>7</v>
      </c>
      <c r="O2247" t="s">
        <v>29</v>
      </c>
      <c r="P2247" t="s">
        <v>36</v>
      </c>
      <c r="Q2247" s="4">
        <v>264918</v>
      </c>
      <c r="R2247" s="4">
        <v>141689</v>
      </c>
      <c r="S2247" s="4">
        <f>Table1[[#This Row],[Service_Revenue]]-Table1[[#This Row],[Service_Cost]]</f>
        <v>123229</v>
      </c>
      <c r="T2247" s="4">
        <v>1</v>
      </c>
      <c r="U2247" s="4">
        <f>IF(AND(Table1[[#This Row],[Rework_Flag]]="Yes",Table1[[#This Row],[Warranty_Claim]]="No"),Table1[[#This Row],[Service_Revenue]],0)</f>
        <v>264918</v>
      </c>
      <c r="V2247" s="4">
        <f>IF(Table1[[#This Row],[Warranty_Claim]]="Yes",1,0)</f>
        <v>0</v>
      </c>
      <c r="W2247" s="4">
        <f>IF(Table1[[#This Row],[Rework_Flag]]="No",1,0)</f>
        <v>0</v>
      </c>
      <c r="X2247" s="4">
        <f>IF(Table1[[#This Row],[Rework_Flag]]="Yes",1,0)</f>
        <v>1</v>
      </c>
      <c r="Y2247" s="4">
        <v>1</v>
      </c>
      <c r="Z2247" s="4" t="str">
        <f>IF(Table1[[#This Row],[TAT_Days]]&gt;Table1[[#This Row],[SLA_TAT]],"Yes","No")</f>
        <v>Yes</v>
      </c>
      <c r="AA2247" s="4" t="str" cm="1">
        <f t="array" ref="AA2247">_xlfn.IFS(Table1[[#This Row],[Customer_Satisfaction]]&lt;=2,"Poor",Table1[[#This Row],[Customer_Satisfaction]]=3,"Neutral",Table1[[#This Row],[Customer_Satisfaction]]=4,"Good",Table1[[#This Row],[Customer_Satisfaction]]=5,"Good")</f>
        <v>Poor</v>
      </c>
    </row>
    <row r="2248" spans="1:27" x14ac:dyDescent="0.35">
      <c r="A2248">
        <v>22246</v>
      </c>
      <c r="B2248" s="1">
        <v>45359</v>
      </c>
      <c r="C2248" t="s">
        <v>30</v>
      </c>
      <c r="D2248" t="s">
        <v>83</v>
      </c>
      <c r="E2248" t="s">
        <v>119</v>
      </c>
      <c r="F2248" t="s">
        <v>22</v>
      </c>
      <c r="G2248" t="s">
        <v>54</v>
      </c>
      <c r="H2248" t="s">
        <v>42</v>
      </c>
      <c r="I2248" t="s">
        <v>55</v>
      </c>
      <c r="J2248" t="s">
        <v>43</v>
      </c>
      <c r="K2248" t="s">
        <v>44</v>
      </c>
      <c r="L2248" t="s">
        <v>28</v>
      </c>
      <c r="M2248" s="4">
        <v>18</v>
      </c>
      <c r="N2248" s="4">
        <v>7</v>
      </c>
      <c r="O2248" t="s">
        <v>29</v>
      </c>
      <c r="P2248" t="s">
        <v>36</v>
      </c>
      <c r="Q2248" s="4">
        <v>545039</v>
      </c>
      <c r="R2248" s="4">
        <v>345679</v>
      </c>
      <c r="S2248" s="4">
        <f>Table1[[#This Row],[Service_Revenue]]-Table1[[#This Row],[Service_Cost]]</f>
        <v>199360</v>
      </c>
      <c r="T2248" s="4">
        <v>1</v>
      </c>
      <c r="U2248" s="4">
        <f>IF(AND(Table1[[#This Row],[Rework_Flag]]="Yes",Table1[[#This Row],[Warranty_Claim]]="No"),Table1[[#This Row],[Service_Revenue]],0)</f>
        <v>545039</v>
      </c>
      <c r="V2248" s="4">
        <f>IF(Table1[[#This Row],[Warranty_Claim]]="Yes",1,0)</f>
        <v>0</v>
      </c>
      <c r="W2248" s="4">
        <f>IF(Table1[[#This Row],[Rework_Flag]]="No",1,0)</f>
        <v>0</v>
      </c>
      <c r="X2248" s="4">
        <f>IF(Table1[[#This Row],[Rework_Flag]]="Yes",1,0)</f>
        <v>1</v>
      </c>
      <c r="Y2248" s="4">
        <v>1</v>
      </c>
      <c r="Z2248" s="4" t="str">
        <f>IF(Table1[[#This Row],[TAT_Days]]&gt;Table1[[#This Row],[SLA_TAT]],"Yes","No")</f>
        <v>Yes</v>
      </c>
      <c r="AA2248" s="4" t="str" cm="1">
        <f t="array" ref="AA2248">_xlfn.IFS(Table1[[#This Row],[Customer_Satisfaction]]&lt;=2,"Poor",Table1[[#This Row],[Customer_Satisfaction]]=3,"Neutral",Table1[[#This Row],[Customer_Satisfaction]]=4,"Good",Table1[[#This Row],[Customer_Satisfaction]]=5,"Good")</f>
        <v>Poor</v>
      </c>
    </row>
    <row r="2249" spans="1:27" x14ac:dyDescent="0.35">
      <c r="A2249">
        <v>22247</v>
      </c>
      <c r="B2249" s="1">
        <v>45360</v>
      </c>
      <c r="C2249" t="s">
        <v>50</v>
      </c>
      <c r="D2249" t="s">
        <v>80</v>
      </c>
      <c r="E2249" t="s">
        <v>118</v>
      </c>
      <c r="F2249" t="s">
        <v>53</v>
      </c>
      <c r="G2249" t="s">
        <v>47</v>
      </c>
      <c r="H2249" t="s">
        <v>48</v>
      </c>
      <c r="I2249" t="s">
        <v>55</v>
      </c>
      <c r="J2249" t="s">
        <v>58</v>
      </c>
      <c r="K2249" t="s">
        <v>27</v>
      </c>
      <c r="L2249" t="s">
        <v>28</v>
      </c>
      <c r="M2249" s="4">
        <v>2</v>
      </c>
      <c r="N2249" s="4">
        <v>7</v>
      </c>
      <c r="O2249" t="s">
        <v>29</v>
      </c>
      <c r="P2249" t="s">
        <v>36</v>
      </c>
      <c r="Q2249" s="4">
        <v>286219</v>
      </c>
      <c r="R2249" s="4">
        <v>187027</v>
      </c>
      <c r="S2249" s="4">
        <f>Table1[[#This Row],[Service_Revenue]]-Table1[[#This Row],[Service_Cost]]</f>
        <v>99192</v>
      </c>
      <c r="T2249" s="4">
        <v>4</v>
      </c>
      <c r="U2249" s="4">
        <f>IF(AND(Table1[[#This Row],[Rework_Flag]]="Yes",Table1[[#This Row],[Warranty_Claim]]="No"),Table1[[#This Row],[Service_Revenue]],0)</f>
        <v>286219</v>
      </c>
      <c r="V2249" s="4">
        <f>IF(Table1[[#This Row],[Warranty_Claim]]="Yes",1,0)</f>
        <v>0</v>
      </c>
      <c r="W2249" s="4">
        <f>IF(Table1[[#This Row],[Rework_Flag]]="No",1,0)</f>
        <v>0</v>
      </c>
      <c r="X2249" s="4">
        <f>IF(Table1[[#This Row],[Rework_Flag]]="Yes",1,0)</f>
        <v>1</v>
      </c>
      <c r="Y2249" s="4">
        <v>1</v>
      </c>
      <c r="Z2249" s="4" t="str">
        <f>IF(Table1[[#This Row],[TAT_Days]]&gt;Table1[[#This Row],[SLA_TAT]],"Yes","No")</f>
        <v>No</v>
      </c>
      <c r="AA2249" s="4" t="str" cm="1">
        <f t="array" ref="AA2249">_xlfn.IFS(Table1[[#This Row],[Customer_Satisfaction]]&lt;=2,"Poor",Table1[[#This Row],[Customer_Satisfaction]]=3,"Neutral",Table1[[#This Row],[Customer_Satisfaction]]=4,"Good",Table1[[#This Row],[Customer_Satisfaction]]=5,"Good")</f>
        <v>Good</v>
      </c>
    </row>
    <row r="2250" spans="1:27" x14ac:dyDescent="0.35">
      <c r="A2250">
        <v>22248</v>
      </c>
      <c r="B2250" s="1">
        <v>45437</v>
      </c>
      <c r="C2250" t="s">
        <v>30</v>
      </c>
      <c r="D2250" t="s">
        <v>59</v>
      </c>
      <c r="E2250" t="s">
        <v>60</v>
      </c>
      <c r="F2250" t="s">
        <v>53</v>
      </c>
      <c r="G2250" t="s">
        <v>33</v>
      </c>
      <c r="H2250" t="s">
        <v>34</v>
      </c>
      <c r="I2250" t="s">
        <v>55</v>
      </c>
      <c r="J2250" t="s">
        <v>58</v>
      </c>
      <c r="K2250" t="s">
        <v>44</v>
      </c>
      <c r="L2250" t="s">
        <v>28</v>
      </c>
      <c r="M2250" s="4">
        <v>25</v>
      </c>
      <c r="N2250" s="4">
        <v>7</v>
      </c>
      <c r="O2250" t="s">
        <v>36</v>
      </c>
      <c r="P2250" t="s">
        <v>29</v>
      </c>
      <c r="Q2250" s="4">
        <v>317356</v>
      </c>
      <c r="R2250" s="4">
        <v>233230</v>
      </c>
      <c r="S2250" s="4">
        <f>Table1[[#This Row],[Service_Revenue]]-Table1[[#This Row],[Service_Cost]]</f>
        <v>84126</v>
      </c>
      <c r="T2250" s="4">
        <v>1</v>
      </c>
      <c r="U2250" s="4">
        <f>IF(AND(Table1[[#This Row],[Rework_Flag]]="Yes",Table1[[#This Row],[Warranty_Claim]]="No"),Table1[[#This Row],[Service_Revenue]],0)</f>
        <v>0</v>
      </c>
      <c r="V2250" s="4">
        <f>IF(Table1[[#This Row],[Warranty_Claim]]="Yes",1,0)</f>
        <v>1</v>
      </c>
      <c r="W2250" s="4">
        <f>IF(Table1[[#This Row],[Rework_Flag]]="No",1,0)</f>
        <v>1</v>
      </c>
      <c r="X2250" s="4">
        <f>IF(Table1[[#This Row],[Rework_Flag]]="Yes",1,0)</f>
        <v>0</v>
      </c>
      <c r="Y2250" s="4">
        <v>1</v>
      </c>
      <c r="Z2250" s="4" t="str">
        <f>IF(Table1[[#This Row],[TAT_Days]]&gt;Table1[[#This Row],[SLA_TAT]],"Yes","No")</f>
        <v>Yes</v>
      </c>
      <c r="AA2250" s="4" t="str" cm="1">
        <f t="array" ref="AA2250">_xlfn.IFS(Table1[[#This Row],[Customer_Satisfaction]]&lt;=2,"Poor",Table1[[#This Row],[Customer_Satisfaction]]=3,"Neutral",Table1[[#This Row],[Customer_Satisfaction]]=4,"Good",Table1[[#This Row],[Customer_Satisfaction]]=5,"Good")</f>
        <v>Poor</v>
      </c>
    </row>
    <row r="2251" spans="1:27" x14ac:dyDescent="0.35">
      <c r="A2251">
        <v>22249</v>
      </c>
      <c r="B2251" s="1">
        <v>45468</v>
      </c>
      <c r="C2251" t="s">
        <v>19</v>
      </c>
      <c r="D2251" t="s">
        <v>45</v>
      </c>
      <c r="E2251" t="s">
        <v>46</v>
      </c>
      <c r="F2251" t="s">
        <v>22</v>
      </c>
      <c r="G2251" t="s">
        <v>63</v>
      </c>
      <c r="H2251" t="s">
        <v>24</v>
      </c>
      <c r="I2251" t="s">
        <v>55</v>
      </c>
      <c r="J2251" t="s">
        <v>58</v>
      </c>
      <c r="K2251" t="s">
        <v>61</v>
      </c>
      <c r="L2251" t="s">
        <v>49</v>
      </c>
      <c r="M2251" s="4">
        <v>2</v>
      </c>
      <c r="N2251" s="4">
        <v>7</v>
      </c>
      <c r="O2251" t="s">
        <v>36</v>
      </c>
      <c r="P2251" t="s">
        <v>36</v>
      </c>
      <c r="Q2251" s="4">
        <v>447350</v>
      </c>
      <c r="R2251" s="4">
        <v>377852</v>
      </c>
      <c r="S2251" s="4">
        <f>Table1[[#This Row],[Service_Revenue]]-Table1[[#This Row],[Service_Cost]]</f>
        <v>69498</v>
      </c>
      <c r="T2251" s="4">
        <v>5</v>
      </c>
      <c r="U2251" s="4">
        <f>IF(AND(Table1[[#This Row],[Rework_Flag]]="Yes",Table1[[#This Row],[Warranty_Claim]]="No"),Table1[[#This Row],[Service_Revenue]],0)</f>
        <v>0</v>
      </c>
      <c r="V2251" s="4">
        <f>IF(Table1[[#This Row],[Warranty_Claim]]="Yes",1,0)</f>
        <v>0</v>
      </c>
      <c r="W2251" s="4">
        <f>IF(Table1[[#This Row],[Rework_Flag]]="No",1,0)</f>
        <v>1</v>
      </c>
      <c r="X2251" s="4">
        <f>IF(Table1[[#This Row],[Rework_Flag]]="Yes",1,0)</f>
        <v>0</v>
      </c>
      <c r="Y2251" s="4">
        <v>1</v>
      </c>
      <c r="Z2251" s="4" t="str">
        <f>IF(Table1[[#This Row],[TAT_Days]]&gt;Table1[[#This Row],[SLA_TAT]],"Yes","No")</f>
        <v>No</v>
      </c>
      <c r="AA2251" s="4" t="str" cm="1">
        <f t="array" ref="AA2251">_xlfn.IFS(Table1[[#This Row],[Customer_Satisfaction]]&lt;=2,"Poor",Table1[[#This Row],[Customer_Satisfaction]]=3,"Neutral",Table1[[#This Row],[Customer_Satisfaction]]=4,"Good",Table1[[#This Row],[Customer_Satisfaction]]=5,"Good")</f>
        <v>Good</v>
      </c>
    </row>
    <row r="2252" spans="1:27" x14ac:dyDescent="0.35">
      <c r="A2252">
        <v>22250</v>
      </c>
      <c r="B2252" s="1">
        <v>45364</v>
      </c>
      <c r="C2252" t="s">
        <v>50</v>
      </c>
      <c r="D2252" t="s">
        <v>80</v>
      </c>
      <c r="E2252" t="s">
        <v>118</v>
      </c>
      <c r="F2252" t="s">
        <v>22</v>
      </c>
      <c r="G2252" t="s">
        <v>74</v>
      </c>
      <c r="H2252" t="s">
        <v>34</v>
      </c>
      <c r="I2252" t="s">
        <v>25</v>
      </c>
      <c r="J2252" t="s">
        <v>35</v>
      </c>
      <c r="K2252" t="s">
        <v>27</v>
      </c>
      <c r="L2252" t="s">
        <v>28</v>
      </c>
      <c r="M2252" s="4">
        <v>24</v>
      </c>
      <c r="N2252" s="4">
        <v>7</v>
      </c>
      <c r="O2252" t="s">
        <v>29</v>
      </c>
      <c r="P2252" t="s">
        <v>29</v>
      </c>
      <c r="Q2252" s="4">
        <v>136810</v>
      </c>
      <c r="R2252" s="4">
        <v>69385</v>
      </c>
      <c r="S2252" s="4">
        <f>Table1[[#This Row],[Service_Revenue]]-Table1[[#This Row],[Service_Cost]]</f>
        <v>67425</v>
      </c>
      <c r="T2252" s="4">
        <v>1</v>
      </c>
      <c r="U2252" s="4">
        <f>IF(AND(Table1[[#This Row],[Rework_Flag]]="Yes",Table1[[#This Row],[Warranty_Claim]]="No"),Table1[[#This Row],[Service_Revenue]],0)</f>
        <v>0</v>
      </c>
      <c r="V2252" s="4">
        <f>IF(Table1[[#This Row],[Warranty_Claim]]="Yes",1,0)</f>
        <v>1</v>
      </c>
      <c r="W2252" s="4">
        <f>IF(Table1[[#This Row],[Rework_Flag]]="No",1,0)</f>
        <v>0</v>
      </c>
      <c r="X2252" s="4">
        <f>IF(Table1[[#This Row],[Rework_Flag]]="Yes",1,0)</f>
        <v>1</v>
      </c>
      <c r="Y2252" s="4">
        <v>1</v>
      </c>
      <c r="Z2252" s="4" t="str">
        <f>IF(Table1[[#This Row],[TAT_Days]]&gt;Table1[[#This Row],[SLA_TAT]],"Yes","No")</f>
        <v>Yes</v>
      </c>
      <c r="AA2252" s="4" t="str" cm="1">
        <f t="array" ref="AA2252">_xlfn.IFS(Table1[[#This Row],[Customer_Satisfaction]]&lt;=2,"Poor",Table1[[#This Row],[Customer_Satisfaction]]=3,"Neutral",Table1[[#This Row],[Customer_Satisfaction]]=4,"Good",Table1[[#This Row],[Customer_Satisfaction]]=5,"Good")</f>
        <v>Poor</v>
      </c>
    </row>
    <row r="2253" spans="1:27" x14ac:dyDescent="0.35">
      <c r="A2253">
        <v>22251</v>
      </c>
      <c r="B2253" s="1">
        <v>45423</v>
      </c>
      <c r="C2253" t="s">
        <v>50</v>
      </c>
      <c r="D2253" t="s">
        <v>56</v>
      </c>
      <c r="E2253" t="s">
        <v>88</v>
      </c>
      <c r="F2253" t="s">
        <v>40</v>
      </c>
      <c r="G2253" t="s">
        <v>54</v>
      </c>
      <c r="H2253" t="s">
        <v>42</v>
      </c>
      <c r="I2253" t="s">
        <v>25</v>
      </c>
      <c r="J2253" t="s">
        <v>67</v>
      </c>
      <c r="K2253" t="s">
        <v>44</v>
      </c>
      <c r="L2253" t="s">
        <v>28</v>
      </c>
      <c r="M2253" s="4">
        <v>11</v>
      </c>
      <c r="N2253" s="4">
        <v>7</v>
      </c>
      <c r="O2253" t="s">
        <v>36</v>
      </c>
      <c r="P2253" t="s">
        <v>36</v>
      </c>
      <c r="Q2253" s="4">
        <v>316222</v>
      </c>
      <c r="R2253" s="4">
        <v>261381</v>
      </c>
      <c r="S2253" s="4">
        <f>Table1[[#This Row],[Service_Revenue]]-Table1[[#This Row],[Service_Cost]]</f>
        <v>54841</v>
      </c>
      <c r="T2253" s="4">
        <v>3</v>
      </c>
      <c r="U2253" s="4">
        <f>IF(AND(Table1[[#This Row],[Rework_Flag]]="Yes",Table1[[#This Row],[Warranty_Claim]]="No"),Table1[[#This Row],[Service_Revenue]],0)</f>
        <v>0</v>
      </c>
      <c r="V2253" s="4">
        <f>IF(Table1[[#This Row],[Warranty_Claim]]="Yes",1,0)</f>
        <v>0</v>
      </c>
      <c r="W2253" s="4">
        <f>IF(Table1[[#This Row],[Rework_Flag]]="No",1,0)</f>
        <v>1</v>
      </c>
      <c r="X2253" s="4">
        <f>IF(Table1[[#This Row],[Rework_Flag]]="Yes",1,0)</f>
        <v>0</v>
      </c>
      <c r="Y2253" s="4">
        <v>1</v>
      </c>
      <c r="Z2253" s="4" t="str">
        <f>IF(Table1[[#This Row],[TAT_Days]]&gt;Table1[[#This Row],[SLA_TAT]],"Yes","No")</f>
        <v>Yes</v>
      </c>
      <c r="AA2253" s="4" t="str" cm="1">
        <f t="array" ref="AA2253">_xlfn.IFS(Table1[[#This Row],[Customer_Satisfaction]]&lt;=2,"Poor",Table1[[#This Row],[Customer_Satisfaction]]=3,"Neutral",Table1[[#This Row],[Customer_Satisfaction]]=4,"Good",Table1[[#This Row],[Customer_Satisfaction]]=5,"Good")</f>
        <v>Neutral</v>
      </c>
    </row>
    <row r="2254" spans="1:27" x14ac:dyDescent="0.35">
      <c r="A2254">
        <v>22252</v>
      </c>
      <c r="B2254" s="1">
        <v>45332</v>
      </c>
      <c r="C2254" t="s">
        <v>37</v>
      </c>
      <c r="D2254" t="s">
        <v>70</v>
      </c>
      <c r="E2254" t="s">
        <v>71</v>
      </c>
      <c r="F2254" t="s">
        <v>40</v>
      </c>
      <c r="G2254" t="s">
        <v>74</v>
      </c>
      <c r="H2254" t="s">
        <v>34</v>
      </c>
      <c r="I2254" t="s">
        <v>55</v>
      </c>
      <c r="J2254" t="s">
        <v>35</v>
      </c>
      <c r="K2254" t="s">
        <v>44</v>
      </c>
      <c r="L2254" t="s">
        <v>49</v>
      </c>
      <c r="M2254" s="4">
        <v>3</v>
      </c>
      <c r="N2254" s="4">
        <v>7</v>
      </c>
      <c r="O2254" t="s">
        <v>29</v>
      </c>
      <c r="P2254" t="s">
        <v>29</v>
      </c>
      <c r="Q2254" s="4">
        <v>328285</v>
      </c>
      <c r="R2254" s="4">
        <v>227804</v>
      </c>
      <c r="S2254" s="4">
        <f>Table1[[#This Row],[Service_Revenue]]-Table1[[#This Row],[Service_Cost]]</f>
        <v>100481</v>
      </c>
      <c r="T2254" s="4">
        <v>4</v>
      </c>
      <c r="U2254" s="4">
        <f>IF(AND(Table1[[#This Row],[Rework_Flag]]="Yes",Table1[[#This Row],[Warranty_Claim]]="No"),Table1[[#This Row],[Service_Revenue]],0)</f>
        <v>0</v>
      </c>
      <c r="V2254" s="4">
        <f>IF(Table1[[#This Row],[Warranty_Claim]]="Yes",1,0)</f>
        <v>1</v>
      </c>
      <c r="W2254" s="4">
        <f>IF(Table1[[#This Row],[Rework_Flag]]="No",1,0)</f>
        <v>0</v>
      </c>
      <c r="X2254" s="4">
        <f>IF(Table1[[#This Row],[Rework_Flag]]="Yes",1,0)</f>
        <v>1</v>
      </c>
      <c r="Y2254" s="4">
        <v>1</v>
      </c>
      <c r="Z2254" s="4" t="str">
        <f>IF(Table1[[#This Row],[TAT_Days]]&gt;Table1[[#This Row],[SLA_TAT]],"Yes","No")</f>
        <v>No</v>
      </c>
      <c r="AA2254" s="4" t="str" cm="1">
        <f t="array" ref="AA2254">_xlfn.IFS(Table1[[#This Row],[Customer_Satisfaction]]&lt;=2,"Poor",Table1[[#This Row],[Customer_Satisfaction]]=3,"Neutral",Table1[[#This Row],[Customer_Satisfaction]]=4,"Good",Table1[[#This Row],[Customer_Satisfaction]]=5,"Good")</f>
        <v>Good</v>
      </c>
    </row>
    <row r="2255" spans="1:27" x14ac:dyDescent="0.35">
      <c r="A2255">
        <v>22253</v>
      </c>
      <c r="B2255" s="1">
        <v>45457</v>
      </c>
      <c r="C2255" t="s">
        <v>50</v>
      </c>
      <c r="D2255" t="s">
        <v>51</v>
      </c>
      <c r="E2255" t="s">
        <v>113</v>
      </c>
      <c r="F2255" t="s">
        <v>22</v>
      </c>
      <c r="G2255" t="s">
        <v>23</v>
      </c>
      <c r="H2255" t="s">
        <v>24</v>
      </c>
      <c r="I2255" t="s">
        <v>55</v>
      </c>
      <c r="J2255" t="s">
        <v>58</v>
      </c>
      <c r="K2255" t="s">
        <v>44</v>
      </c>
      <c r="L2255" t="s">
        <v>49</v>
      </c>
      <c r="M2255" s="4">
        <v>22</v>
      </c>
      <c r="N2255" s="4">
        <v>7</v>
      </c>
      <c r="O2255" t="s">
        <v>36</v>
      </c>
      <c r="P2255" t="s">
        <v>36</v>
      </c>
      <c r="Q2255" s="4">
        <v>395567</v>
      </c>
      <c r="R2255" s="4">
        <v>244988</v>
      </c>
      <c r="S2255" s="4">
        <f>Table1[[#This Row],[Service_Revenue]]-Table1[[#This Row],[Service_Cost]]</f>
        <v>150579</v>
      </c>
      <c r="T2255" s="4">
        <v>1</v>
      </c>
      <c r="U2255" s="4">
        <f>IF(AND(Table1[[#This Row],[Rework_Flag]]="Yes",Table1[[#This Row],[Warranty_Claim]]="No"),Table1[[#This Row],[Service_Revenue]],0)</f>
        <v>0</v>
      </c>
      <c r="V2255" s="4">
        <f>IF(Table1[[#This Row],[Warranty_Claim]]="Yes",1,0)</f>
        <v>0</v>
      </c>
      <c r="W2255" s="4">
        <f>IF(Table1[[#This Row],[Rework_Flag]]="No",1,0)</f>
        <v>1</v>
      </c>
      <c r="X2255" s="4">
        <f>IF(Table1[[#This Row],[Rework_Flag]]="Yes",1,0)</f>
        <v>0</v>
      </c>
      <c r="Y2255" s="4">
        <v>1</v>
      </c>
      <c r="Z2255" s="4" t="str">
        <f>IF(Table1[[#This Row],[TAT_Days]]&gt;Table1[[#This Row],[SLA_TAT]],"Yes","No")</f>
        <v>Yes</v>
      </c>
      <c r="AA2255" s="4" t="str" cm="1">
        <f t="array" ref="AA2255">_xlfn.IFS(Table1[[#This Row],[Customer_Satisfaction]]&lt;=2,"Poor",Table1[[#This Row],[Customer_Satisfaction]]=3,"Neutral",Table1[[#This Row],[Customer_Satisfaction]]=4,"Good",Table1[[#This Row],[Customer_Satisfaction]]=5,"Good")</f>
        <v>Poor</v>
      </c>
    </row>
    <row r="2256" spans="1:27" x14ac:dyDescent="0.35">
      <c r="A2256">
        <v>22254</v>
      </c>
      <c r="B2256" s="1">
        <v>45318</v>
      </c>
      <c r="C2256" t="s">
        <v>37</v>
      </c>
      <c r="D2256" t="s">
        <v>38</v>
      </c>
      <c r="E2256" t="s">
        <v>102</v>
      </c>
      <c r="F2256" t="s">
        <v>53</v>
      </c>
      <c r="G2256" t="s">
        <v>63</v>
      </c>
      <c r="H2256" t="s">
        <v>24</v>
      </c>
      <c r="I2256" t="s">
        <v>25</v>
      </c>
      <c r="J2256" t="s">
        <v>58</v>
      </c>
      <c r="K2256" t="s">
        <v>27</v>
      </c>
      <c r="L2256" t="s">
        <v>28</v>
      </c>
      <c r="M2256" s="4">
        <v>14</v>
      </c>
      <c r="N2256" s="4">
        <v>7</v>
      </c>
      <c r="O2256" t="s">
        <v>29</v>
      </c>
      <c r="P2256" t="s">
        <v>36</v>
      </c>
      <c r="Q2256" s="4">
        <v>417262</v>
      </c>
      <c r="R2256" s="4">
        <v>336933</v>
      </c>
      <c r="S2256" s="4">
        <f>Table1[[#This Row],[Service_Revenue]]-Table1[[#This Row],[Service_Cost]]</f>
        <v>80329</v>
      </c>
      <c r="T2256" s="4">
        <v>2</v>
      </c>
      <c r="U2256" s="4">
        <f>IF(AND(Table1[[#This Row],[Rework_Flag]]="Yes",Table1[[#This Row],[Warranty_Claim]]="No"),Table1[[#This Row],[Service_Revenue]],0)</f>
        <v>417262</v>
      </c>
      <c r="V2256" s="4">
        <f>IF(Table1[[#This Row],[Warranty_Claim]]="Yes",1,0)</f>
        <v>0</v>
      </c>
      <c r="W2256" s="4">
        <f>IF(Table1[[#This Row],[Rework_Flag]]="No",1,0)</f>
        <v>0</v>
      </c>
      <c r="X2256" s="4">
        <f>IF(Table1[[#This Row],[Rework_Flag]]="Yes",1,0)</f>
        <v>1</v>
      </c>
      <c r="Y2256" s="4">
        <v>1</v>
      </c>
      <c r="Z2256" s="4" t="str">
        <f>IF(Table1[[#This Row],[TAT_Days]]&gt;Table1[[#This Row],[SLA_TAT]],"Yes","No")</f>
        <v>Yes</v>
      </c>
      <c r="AA2256" s="4" t="str" cm="1">
        <f t="array" ref="AA2256">_xlfn.IFS(Table1[[#This Row],[Customer_Satisfaction]]&lt;=2,"Poor",Table1[[#This Row],[Customer_Satisfaction]]=3,"Neutral",Table1[[#This Row],[Customer_Satisfaction]]=4,"Good",Table1[[#This Row],[Customer_Satisfaction]]=5,"Good")</f>
        <v>Poor</v>
      </c>
    </row>
    <row r="2257" spans="1:27" x14ac:dyDescent="0.35">
      <c r="A2257">
        <v>22255</v>
      </c>
      <c r="B2257" s="1">
        <v>45400</v>
      </c>
      <c r="C2257" t="s">
        <v>50</v>
      </c>
      <c r="D2257" t="s">
        <v>51</v>
      </c>
      <c r="E2257" t="s">
        <v>75</v>
      </c>
      <c r="F2257" t="s">
        <v>53</v>
      </c>
      <c r="G2257" t="s">
        <v>41</v>
      </c>
      <c r="H2257" t="s">
        <v>42</v>
      </c>
      <c r="I2257" t="s">
        <v>55</v>
      </c>
      <c r="J2257" t="s">
        <v>43</v>
      </c>
      <c r="K2257" t="s">
        <v>61</v>
      </c>
      <c r="L2257" t="s">
        <v>28</v>
      </c>
      <c r="M2257" s="4">
        <v>10</v>
      </c>
      <c r="N2257" s="4">
        <v>7</v>
      </c>
      <c r="O2257" t="s">
        <v>36</v>
      </c>
      <c r="P2257" t="s">
        <v>36</v>
      </c>
      <c r="Q2257" s="4">
        <v>163776</v>
      </c>
      <c r="R2257" s="4">
        <v>129163</v>
      </c>
      <c r="S2257" s="4">
        <f>Table1[[#This Row],[Service_Revenue]]-Table1[[#This Row],[Service_Cost]]</f>
        <v>34613</v>
      </c>
      <c r="T2257" s="4">
        <v>3</v>
      </c>
      <c r="U2257" s="4">
        <f>IF(AND(Table1[[#This Row],[Rework_Flag]]="Yes",Table1[[#This Row],[Warranty_Claim]]="No"),Table1[[#This Row],[Service_Revenue]],0)</f>
        <v>0</v>
      </c>
      <c r="V2257" s="4">
        <f>IF(Table1[[#This Row],[Warranty_Claim]]="Yes",1,0)</f>
        <v>0</v>
      </c>
      <c r="W2257" s="4">
        <f>IF(Table1[[#This Row],[Rework_Flag]]="No",1,0)</f>
        <v>1</v>
      </c>
      <c r="X2257" s="4">
        <f>IF(Table1[[#This Row],[Rework_Flag]]="Yes",1,0)</f>
        <v>0</v>
      </c>
      <c r="Y2257" s="4">
        <v>1</v>
      </c>
      <c r="Z2257" s="4" t="str">
        <f>IF(Table1[[#This Row],[TAT_Days]]&gt;Table1[[#This Row],[SLA_TAT]],"Yes","No")</f>
        <v>Yes</v>
      </c>
      <c r="AA2257" s="4" t="str" cm="1">
        <f t="array" ref="AA2257">_xlfn.IFS(Table1[[#This Row],[Customer_Satisfaction]]&lt;=2,"Poor",Table1[[#This Row],[Customer_Satisfaction]]=3,"Neutral",Table1[[#This Row],[Customer_Satisfaction]]=4,"Good",Table1[[#This Row],[Customer_Satisfaction]]=5,"Good")</f>
        <v>Neutral</v>
      </c>
    </row>
    <row r="2258" spans="1:27" x14ac:dyDescent="0.35">
      <c r="A2258">
        <v>22256</v>
      </c>
      <c r="B2258" s="1">
        <v>45440</v>
      </c>
      <c r="C2258" t="s">
        <v>19</v>
      </c>
      <c r="D2258" t="s">
        <v>45</v>
      </c>
      <c r="E2258" t="s">
        <v>99</v>
      </c>
      <c r="F2258" t="s">
        <v>40</v>
      </c>
      <c r="G2258" t="s">
        <v>74</v>
      </c>
      <c r="H2258" t="s">
        <v>34</v>
      </c>
      <c r="I2258" t="s">
        <v>25</v>
      </c>
      <c r="J2258" t="s">
        <v>67</v>
      </c>
      <c r="K2258" t="s">
        <v>27</v>
      </c>
      <c r="L2258" t="s">
        <v>28</v>
      </c>
      <c r="M2258" s="4">
        <v>21</v>
      </c>
      <c r="N2258" s="4">
        <v>7</v>
      </c>
      <c r="O2258" t="s">
        <v>29</v>
      </c>
      <c r="P2258" t="s">
        <v>29</v>
      </c>
      <c r="Q2258" s="4">
        <v>518838</v>
      </c>
      <c r="R2258" s="4">
        <v>319079</v>
      </c>
      <c r="S2258" s="4">
        <f>Table1[[#This Row],[Service_Revenue]]-Table1[[#This Row],[Service_Cost]]</f>
        <v>199759</v>
      </c>
      <c r="T2258" s="4">
        <v>1</v>
      </c>
      <c r="U2258" s="4">
        <f>IF(AND(Table1[[#This Row],[Rework_Flag]]="Yes",Table1[[#This Row],[Warranty_Claim]]="No"),Table1[[#This Row],[Service_Revenue]],0)</f>
        <v>0</v>
      </c>
      <c r="V2258" s="4">
        <f>IF(Table1[[#This Row],[Warranty_Claim]]="Yes",1,0)</f>
        <v>1</v>
      </c>
      <c r="W2258" s="4">
        <f>IF(Table1[[#This Row],[Rework_Flag]]="No",1,0)</f>
        <v>0</v>
      </c>
      <c r="X2258" s="4">
        <f>IF(Table1[[#This Row],[Rework_Flag]]="Yes",1,0)</f>
        <v>1</v>
      </c>
      <c r="Y2258" s="4">
        <v>1</v>
      </c>
      <c r="Z2258" s="4" t="str">
        <f>IF(Table1[[#This Row],[TAT_Days]]&gt;Table1[[#This Row],[SLA_TAT]],"Yes","No")</f>
        <v>Yes</v>
      </c>
      <c r="AA2258" s="4" t="str" cm="1">
        <f t="array" ref="AA2258">_xlfn.IFS(Table1[[#This Row],[Customer_Satisfaction]]&lt;=2,"Poor",Table1[[#This Row],[Customer_Satisfaction]]=3,"Neutral",Table1[[#This Row],[Customer_Satisfaction]]=4,"Good",Table1[[#This Row],[Customer_Satisfaction]]=5,"Good")</f>
        <v>Poor</v>
      </c>
    </row>
    <row r="2259" spans="1:27" x14ac:dyDescent="0.35">
      <c r="A2259">
        <v>22257</v>
      </c>
      <c r="B2259" s="1">
        <v>45402</v>
      </c>
      <c r="C2259" t="s">
        <v>50</v>
      </c>
      <c r="D2259" t="s">
        <v>80</v>
      </c>
      <c r="E2259" t="s">
        <v>85</v>
      </c>
      <c r="F2259" t="s">
        <v>40</v>
      </c>
      <c r="G2259" t="s">
        <v>47</v>
      </c>
      <c r="H2259" t="s">
        <v>48</v>
      </c>
      <c r="I2259" t="s">
        <v>55</v>
      </c>
      <c r="J2259" t="s">
        <v>67</v>
      </c>
      <c r="K2259" t="s">
        <v>44</v>
      </c>
      <c r="L2259" t="s">
        <v>49</v>
      </c>
      <c r="M2259" s="4">
        <v>24</v>
      </c>
      <c r="N2259" s="4">
        <v>7</v>
      </c>
      <c r="O2259" t="s">
        <v>36</v>
      </c>
      <c r="P2259" t="s">
        <v>29</v>
      </c>
      <c r="Q2259" s="4">
        <v>90820</v>
      </c>
      <c r="R2259" s="4">
        <v>74092</v>
      </c>
      <c r="S2259" s="4">
        <f>Table1[[#This Row],[Service_Revenue]]-Table1[[#This Row],[Service_Cost]]</f>
        <v>16728</v>
      </c>
      <c r="T2259" s="4">
        <v>1</v>
      </c>
      <c r="U2259" s="4">
        <f>IF(AND(Table1[[#This Row],[Rework_Flag]]="Yes",Table1[[#This Row],[Warranty_Claim]]="No"),Table1[[#This Row],[Service_Revenue]],0)</f>
        <v>0</v>
      </c>
      <c r="V2259" s="4">
        <f>IF(Table1[[#This Row],[Warranty_Claim]]="Yes",1,0)</f>
        <v>1</v>
      </c>
      <c r="W2259" s="4">
        <f>IF(Table1[[#This Row],[Rework_Flag]]="No",1,0)</f>
        <v>1</v>
      </c>
      <c r="X2259" s="4">
        <f>IF(Table1[[#This Row],[Rework_Flag]]="Yes",1,0)</f>
        <v>0</v>
      </c>
      <c r="Y2259" s="4">
        <v>1</v>
      </c>
      <c r="Z2259" s="4" t="str">
        <f>IF(Table1[[#This Row],[TAT_Days]]&gt;Table1[[#This Row],[SLA_TAT]],"Yes","No")</f>
        <v>Yes</v>
      </c>
      <c r="AA2259" s="4" t="str" cm="1">
        <f t="array" ref="AA2259">_xlfn.IFS(Table1[[#This Row],[Customer_Satisfaction]]&lt;=2,"Poor",Table1[[#This Row],[Customer_Satisfaction]]=3,"Neutral",Table1[[#This Row],[Customer_Satisfaction]]=4,"Good",Table1[[#This Row],[Customer_Satisfaction]]=5,"Good")</f>
        <v>Poor</v>
      </c>
    </row>
    <row r="2260" spans="1:27" x14ac:dyDescent="0.35">
      <c r="A2260">
        <v>22258</v>
      </c>
      <c r="B2260" s="1">
        <v>45432</v>
      </c>
      <c r="C2260" t="s">
        <v>30</v>
      </c>
      <c r="D2260" t="s">
        <v>83</v>
      </c>
      <c r="E2260" t="s">
        <v>92</v>
      </c>
      <c r="F2260" t="s">
        <v>22</v>
      </c>
      <c r="G2260" t="s">
        <v>63</v>
      </c>
      <c r="H2260" t="s">
        <v>24</v>
      </c>
      <c r="I2260" t="s">
        <v>55</v>
      </c>
      <c r="J2260" t="s">
        <v>58</v>
      </c>
      <c r="K2260" t="s">
        <v>27</v>
      </c>
      <c r="L2260" t="s">
        <v>28</v>
      </c>
      <c r="M2260" s="4">
        <v>17</v>
      </c>
      <c r="N2260" s="4">
        <v>7</v>
      </c>
      <c r="O2260" t="s">
        <v>29</v>
      </c>
      <c r="P2260" t="s">
        <v>29</v>
      </c>
      <c r="Q2260" s="4">
        <v>164889</v>
      </c>
      <c r="R2260" s="4">
        <v>113968</v>
      </c>
      <c r="S2260" s="4">
        <f>Table1[[#This Row],[Service_Revenue]]-Table1[[#This Row],[Service_Cost]]</f>
        <v>50921</v>
      </c>
      <c r="T2260" s="4">
        <v>1</v>
      </c>
      <c r="U2260" s="4">
        <f>IF(AND(Table1[[#This Row],[Rework_Flag]]="Yes",Table1[[#This Row],[Warranty_Claim]]="No"),Table1[[#This Row],[Service_Revenue]],0)</f>
        <v>0</v>
      </c>
      <c r="V2260" s="4">
        <f>IF(Table1[[#This Row],[Warranty_Claim]]="Yes",1,0)</f>
        <v>1</v>
      </c>
      <c r="W2260" s="4">
        <f>IF(Table1[[#This Row],[Rework_Flag]]="No",1,0)</f>
        <v>0</v>
      </c>
      <c r="X2260" s="4">
        <f>IF(Table1[[#This Row],[Rework_Flag]]="Yes",1,0)</f>
        <v>1</v>
      </c>
      <c r="Y2260" s="4">
        <v>1</v>
      </c>
      <c r="Z2260" s="4" t="str">
        <f>IF(Table1[[#This Row],[TAT_Days]]&gt;Table1[[#This Row],[SLA_TAT]],"Yes","No")</f>
        <v>Yes</v>
      </c>
      <c r="AA2260" s="4" t="str" cm="1">
        <f t="array" ref="AA2260">_xlfn.IFS(Table1[[#This Row],[Customer_Satisfaction]]&lt;=2,"Poor",Table1[[#This Row],[Customer_Satisfaction]]=3,"Neutral",Table1[[#This Row],[Customer_Satisfaction]]=4,"Good",Table1[[#This Row],[Customer_Satisfaction]]=5,"Good")</f>
        <v>Poor</v>
      </c>
    </row>
    <row r="2261" spans="1:27" x14ac:dyDescent="0.35">
      <c r="A2261">
        <v>22259</v>
      </c>
      <c r="B2261" s="1">
        <v>45322</v>
      </c>
      <c r="C2261" t="s">
        <v>50</v>
      </c>
      <c r="D2261" t="s">
        <v>56</v>
      </c>
      <c r="E2261" t="s">
        <v>57</v>
      </c>
      <c r="F2261" t="s">
        <v>53</v>
      </c>
      <c r="G2261" t="s">
        <v>63</v>
      </c>
      <c r="H2261" t="s">
        <v>24</v>
      </c>
      <c r="I2261" t="s">
        <v>55</v>
      </c>
      <c r="J2261" t="s">
        <v>67</v>
      </c>
      <c r="K2261" t="s">
        <v>61</v>
      </c>
      <c r="L2261" t="s">
        <v>28</v>
      </c>
      <c r="M2261" s="4">
        <v>7</v>
      </c>
      <c r="N2261" s="4">
        <v>7</v>
      </c>
      <c r="O2261" t="s">
        <v>36</v>
      </c>
      <c r="P2261" t="s">
        <v>36</v>
      </c>
      <c r="Q2261" s="4">
        <v>368225</v>
      </c>
      <c r="R2261" s="4">
        <v>201089</v>
      </c>
      <c r="S2261" s="4">
        <f>Table1[[#This Row],[Service_Revenue]]-Table1[[#This Row],[Service_Cost]]</f>
        <v>167136</v>
      </c>
      <c r="T2261" s="4">
        <v>4</v>
      </c>
      <c r="U2261" s="4">
        <f>IF(AND(Table1[[#This Row],[Rework_Flag]]="Yes",Table1[[#This Row],[Warranty_Claim]]="No"),Table1[[#This Row],[Service_Revenue]],0)</f>
        <v>0</v>
      </c>
      <c r="V2261" s="4">
        <f>IF(Table1[[#This Row],[Warranty_Claim]]="Yes",1,0)</f>
        <v>0</v>
      </c>
      <c r="W2261" s="4">
        <f>IF(Table1[[#This Row],[Rework_Flag]]="No",1,0)</f>
        <v>1</v>
      </c>
      <c r="X2261" s="4">
        <f>IF(Table1[[#This Row],[Rework_Flag]]="Yes",1,0)</f>
        <v>0</v>
      </c>
      <c r="Y2261" s="4">
        <v>1</v>
      </c>
      <c r="Z2261" s="4" t="str">
        <f>IF(Table1[[#This Row],[TAT_Days]]&gt;Table1[[#This Row],[SLA_TAT]],"Yes","No")</f>
        <v>No</v>
      </c>
      <c r="AA2261" s="4" t="str" cm="1">
        <f t="array" ref="AA2261">_xlfn.IFS(Table1[[#This Row],[Customer_Satisfaction]]&lt;=2,"Poor",Table1[[#This Row],[Customer_Satisfaction]]=3,"Neutral",Table1[[#This Row],[Customer_Satisfaction]]=4,"Good",Table1[[#This Row],[Customer_Satisfaction]]=5,"Good")</f>
        <v>Good</v>
      </c>
    </row>
    <row r="2262" spans="1:27" x14ac:dyDescent="0.35">
      <c r="A2262">
        <v>22260</v>
      </c>
      <c r="B2262" s="1">
        <v>45419</v>
      </c>
      <c r="C2262" t="s">
        <v>50</v>
      </c>
      <c r="D2262" t="s">
        <v>56</v>
      </c>
      <c r="E2262" t="s">
        <v>68</v>
      </c>
      <c r="F2262" t="s">
        <v>22</v>
      </c>
      <c r="G2262" t="s">
        <v>23</v>
      </c>
      <c r="H2262" t="s">
        <v>24</v>
      </c>
      <c r="I2262" t="s">
        <v>25</v>
      </c>
      <c r="J2262" t="s">
        <v>43</v>
      </c>
      <c r="K2262" t="s">
        <v>44</v>
      </c>
      <c r="L2262" t="s">
        <v>49</v>
      </c>
      <c r="M2262" s="4">
        <v>7</v>
      </c>
      <c r="N2262" s="4">
        <v>7</v>
      </c>
      <c r="O2262" t="s">
        <v>36</v>
      </c>
      <c r="P2262" t="s">
        <v>36</v>
      </c>
      <c r="Q2262" s="4">
        <v>289810</v>
      </c>
      <c r="R2262" s="4">
        <v>153517</v>
      </c>
      <c r="S2262" s="4">
        <f>Table1[[#This Row],[Service_Revenue]]-Table1[[#This Row],[Service_Cost]]</f>
        <v>136293</v>
      </c>
      <c r="T2262" s="4">
        <v>4</v>
      </c>
      <c r="U2262" s="4">
        <f>IF(AND(Table1[[#This Row],[Rework_Flag]]="Yes",Table1[[#This Row],[Warranty_Claim]]="No"),Table1[[#This Row],[Service_Revenue]],0)</f>
        <v>0</v>
      </c>
      <c r="V2262" s="4">
        <f>IF(Table1[[#This Row],[Warranty_Claim]]="Yes",1,0)</f>
        <v>0</v>
      </c>
      <c r="W2262" s="4">
        <f>IF(Table1[[#This Row],[Rework_Flag]]="No",1,0)</f>
        <v>1</v>
      </c>
      <c r="X2262" s="4">
        <f>IF(Table1[[#This Row],[Rework_Flag]]="Yes",1,0)</f>
        <v>0</v>
      </c>
      <c r="Y2262" s="4">
        <v>1</v>
      </c>
      <c r="Z2262" s="4" t="str">
        <f>IF(Table1[[#This Row],[TAT_Days]]&gt;Table1[[#This Row],[SLA_TAT]],"Yes","No")</f>
        <v>No</v>
      </c>
      <c r="AA2262" s="4" t="str" cm="1">
        <f t="array" ref="AA2262">_xlfn.IFS(Table1[[#This Row],[Customer_Satisfaction]]&lt;=2,"Poor",Table1[[#This Row],[Customer_Satisfaction]]=3,"Neutral",Table1[[#This Row],[Customer_Satisfaction]]=4,"Good",Table1[[#This Row],[Customer_Satisfaction]]=5,"Good")</f>
        <v>Good</v>
      </c>
    </row>
    <row r="2263" spans="1:27" x14ac:dyDescent="0.35">
      <c r="A2263">
        <v>22261</v>
      </c>
      <c r="B2263" s="1">
        <v>45455</v>
      </c>
      <c r="C2263" t="s">
        <v>50</v>
      </c>
      <c r="D2263" t="s">
        <v>80</v>
      </c>
      <c r="E2263" t="s">
        <v>121</v>
      </c>
      <c r="F2263" t="s">
        <v>22</v>
      </c>
      <c r="G2263" t="s">
        <v>33</v>
      </c>
      <c r="H2263" t="s">
        <v>34</v>
      </c>
      <c r="I2263" t="s">
        <v>25</v>
      </c>
      <c r="J2263" t="s">
        <v>67</v>
      </c>
      <c r="K2263" t="s">
        <v>44</v>
      </c>
      <c r="L2263" t="s">
        <v>28</v>
      </c>
      <c r="M2263" s="4">
        <v>10</v>
      </c>
      <c r="N2263" s="4">
        <v>7</v>
      </c>
      <c r="O2263" t="s">
        <v>36</v>
      </c>
      <c r="P2263" t="s">
        <v>29</v>
      </c>
      <c r="Q2263" s="4">
        <v>231190</v>
      </c>
      <c r="R2263" s="4">
        <v>168536</v>
      </c>
      <c r="S2263" s="4">
        <f>Table1[[#This Row],[Service_Revenue]]-Table1[[#This Row],[Service_Cost]]</f>
        <v>62654</v>
      </c>
      <c r="T2263" s="4">
        <v>3</v>
      </c>
      <c r="U2263" s="4">
        <f>IF(AND(Table1[[#This Row],[Rework_Flag]]="Yes",Table1[[#This Row],[Warranty_Claim]]="No"),Table1[[#This Row],[Service_Revenue]],0)</f>
        <v>0</v>
      </c>
      <c r="V2263" s="4">
        <f>IF(Table1[[#This Row],[Warranty_Claim]]="Yes",1,0)</f>
        <v>1</v>
      </c>
      <c r="W2263" s="4">
        <f>IF(Table1[[#This Row],[Rework_Flag]]="No",1,0)</f>
        <v>1</v>
      </c>
      <c r="X2263" s="4">
        <f>IF(Table1[[#This Row],[Rework_Flag]]="Yes",1,0)</f>
        <v>0</v>
      </c>
      <c r="Y2263" s="4">
        <v>1</v>
      </c>
      <c r="Z2263" s="4" t="str">
        <f>IF(Table1[[#This Row],[TAT_Days]]&gt;Table1[[#This Row],[SLA_TAT]],"Yes","No")</f>
        <v>Yes</v>
      </c>
      <c r="AA2263" s="4" t="str" cm="1">
        <f t="array" ref="AA2263">_xlfn.IFS(Table1[[#This Row],[Customer_Satisfaction]]&lt;=2,"Poor",Table1[[#This Row],[Customer_Satisfaction]]=3,"Neutral",Table1[[#This Row],[Customer_Satisfaction]]=4,"Good",Table1[[#This Row],[Customer_Satisfaction]]=5,"Good")</f>
        <v>Neutral</v>
      </c>
    </row>
    <row r="2264" spans="1:27" x14ac:dyDescent="0.35">
      <c r="A2264">
        <v>22262</v>
      </c>
      <c r="B2264" s="1">
        <v>45315</v>
      </c>
      <c r="C2264" t="s">
        <v>37</v>
      </c>
      <c r="D2264" t="s">
        <v>38</v>
      </c>
      <c r="E2264" t="s">
        <v>39</v>
      </c>
      <c r="F2264" t="s">
        <v>53</v>
      </c>
      <c r="G2264" t="s">
        <v>33</v>
      </c>
      <c r="H2264" t="s">
        <v>34</v>
      </c>
      <c r="I2264" t="s">
        <v>25</v>
      </c>
      <c r="J2264" t="s">
        <v>26</v>
      </c>
      <c r="K2264" t="s">
        <v>61</v>
      </c>
      <c r="L2264" t="s">
        <v>49</v>
      </c>
      <c r="M2264" s="4">
        <v>16</v>
      </c>
      <c r="N2264" s="4">
        <v>7</v>
      </c>
      <c r="O2264" t="s">
        <v>36</v>
      </c>
      <c r="P2264" t="s">
        <v>36</v>
      </c>
      <c r="Q2264" s="4">
        <v>512885</v>
      </c>
      <c r="R2264" s="4">
        <v>329336</v>
      </c>
      <c r="S2264" s="4">
        <f>Table1[[#This Row],[Service_Revenue]]-Table1[[#This Row],[Service_Cost]]</f>
        <v>183549</v>
      </c>
      <c r="T2264" s="4">
        <v>2</v>
      </c>
      <c r="U2264" s="4">
        <f>IF(AND(Table1[[#This Row],[Rework_Flag]]="Yes",Table1[[#This Row],[Warranty_Claim]]="No"),Table1[[#This Row],[Service_Revenue]],0)</f>
        <v>0</v>
      </c>
      <c r="V2264" s="4">
        <f>IF(Table1[[#This Row],[Warranty_Claim]]="Yes",1,0)</f>
        <v>0</v>
      </c>
      <c r="W2264" s="4">
        <f>IF(Table1[[#This Row],[Rework_Flag]]="No",1,0)</f>
        <v>1</v>
      </c>
      <c r="X2264" s="4">
        <f>IF(Table1[[#This Row],[Rework_Flag]]="Yes",1,0)</f>
        <v>0</v>
      </c>
      <c r="Y2264" s="4">
        <v>1</v>
      </c>
      <c r="Z2264" s="4" t="str">
        <f>IF(Table1[[#This Row],[TAT_Days]]&gt;Table1[[#This Row],[SLA_TAT]],"Yes","No")</f>
        <v>Yes</v>
      </c>
      <c r="AA2264" s="4" t="str" cm="1">
        <f t="array" ref="AA2264">_xlfn.IFS(Table1[[#This Row],[Customer_Satisfaction]]&lt;=2,"Poor",Table1[[#This Row],[Customer_Satisfaction]]=3,"Neutral",Table1[[#This Row],[Customer_Satisfaction]]=4,"Good",Table1[[#This Row],[Customer_Satisfaction]]=5,"Good")</f>
        <v>Poor</v>
      </c>
    </row>
    <row r="2265" spans="1:27" x14ac:dyDescent="0.35">
      <c r="A2265">
        <v>22263</v>
      </c>
      <c r="B2265" s="1">
        <v>45380</v>
      </c>
      <c r="C2265" t="s">
        <v>30</v>
      </c>
      <c r="D2265" t="s">
        <v>83</v>
      </c>
      <c r="E2265" t="s">
        <v>90</v>
      </c>
      <c r="F2265" t="s">
        <v>53</v>
      </c>
      <c r="G2265" t="s">
        <v>47</v>
      </c>
      <c r="H2265" t="s">
        <v>48</v>
      </c>
      <c r="I2265" t="s">
        <v>25</v>
      </c>
      <c r="J2265" t="s">
        <v>43</v>
      </c>
      <c r="K2265" t="s">
        <v>27</v>
      </c>
      <c r="L2265" t="s">
        <v>28</v>
      </c>
      <c r="M2265" s="4">
        <v>23</v>
      </c>
      <c r="N2265" s="4">
        <v>7</v>
      </c>
      <c r="O2265" t="s">
        <v>29</v>
      </c>
      <c r="P2265" t="s">
        <v>29</v>
      </c>
      <c r="Q2265" s="4">
        <v>448588</v>
      </c>
      <c r="R2265" s="4">
        <v>355033</v>
      </c>
      <c r="S2265" s="4">
        <f>Table1[[#This Row],[Service_Revenue]]-Table1[[#This Row],[Service_Cost]]</f>
        <v>93555</v>
      </c>
      <c r="T2265" s="4">
        <v>1</v>
      </c>
      <c r="U2265" s="4">
        <f>IF(AND(Table1[[#This Row],[Rework_Flag]]="Yes",Table1[[#This Row],[Warranty_Claim]]="No"),Table1[[#This Row],[Service_Revenue]],0)</f>
        <v>0</v>
      </c>
      <c r="V2265" s="4">
        <f>IF(Table1[[#This Row],[Warranty_Claim]]="Yes",1,0)</f>
        <v>1</v>
      </c>
      <c r="W2265" s="4">
        <f>IF(Table1[[#This Row],[Rework_Flag]]="No",1,0)</f>
        <v>0</v>
      </c>
      <c r="X2265" s="4">
        <f>IF(Table1[[#This Row],[Rework_Flag]]="Yes",1,0)</f>
        <v>1</v>
      </c>
      <c r="Y2265" s="4">
        <v>1</v>
      </c>
      <c r="Z2265" s="4" t="str">
        <f>IF(Table1[[#This Row],[TAT_Days]]&gt;Table1[[#This Row],[SLA_TAT]],"Yes","No")</f>
        <v>Yes</v>
      </c>
      <c r="AA2265" s="4" t="str" cm="1">
        <f t="array" ref="AA2265">_xlfn.IFS(Table1[[#This Row],[Customer_Satisfaction]]&lt;=2,"Poor",Table1[[#This Row],[Customer_Satisfaction]]=3,"Neutral",Table1[[#This Row],[Customer_Satisfaction]]=4,"Good",Table1[[#This Row],[Customer_Satisfaction]]=5,"Good")</f>
        <v>Poor</v>
      </c>
    </row>
    <row r="2266" spans="1:27" x14ac:dyDescent="0.35">
      <c r="A2266">
        <v>22264</v>
      </c>
      <c r="B2266" s="1">
        <v>45300</v>
      </c>
      <c r="C2266" t="s">
        <v>30</v>
      </c>
      <c r="D2266" t="s">
        <v>83</v>
      </c>
      <c r="E2266" t="s">
        <v>119</v>
      </c>
      <c r="F2266" t="s">
        <v>40</v>
      </c>
      <c r="G2266" t="s">
        <v>63</v>
      </c>
      <c r="H2266" t="s">
        <v>24</v>
      </c>
      <c r="I2266" t="s">
        <v>25</v>
      </c>
      <c r="J2266" t="s">
        <v>35</v>
      </c>
      <c r="K2266" t="s">
        <v>27</v>
      </c>
      <c r="L2266" t="s">
        <v>49</v>
      </c>
      <c r="M2266" s="4">
        <v>2</v>
      </c>
      <c r="N2266" s="4">
        <v>7</v>
      </c>
      <c r="O2266" t="s">
        <v>29</v>
      </c>
      <c r="P2266" t="s">
        <v>36</v>
      </c>
      <c r="Q2266" s="4">
        <v>146951</v>
      </c>
      <c r="R2266" s="4">
        <v>95623</v>
      </c>
      <c r="S2266" s="4">
        <f>Table1[[#This Row],[Service_Revenue]]-Table1[[#This Row],[Service_Cost]]</f>
        <v>51328</v>
      </c>
      <c r="T2266" s="4">
        <v>4</v>
      </c>
      <c r="U2266" s="4">
        <f>IF(AND(Table1[[#This Row],[Rework_Flag]]="Yes",Table1[[#This Row],[Warranty_Claim]]="No"),Table1[[#This Row],[Service_Revenue]],0)</f>
        <v>146951</v>
      </c>
      <c r="V2266" s="4">
        <f>IF(Table1[[#This Row],[Warranty_Claim]]="Yes",1,0)</f>
        <v>0</v>
      </c>
      <c r="W2266" s="4">
        <f>IF(Table1[[#This Row],[Rework_Flag]]="No",1,0)</f>
        <v>0</v>
      </c>
      <c r="X2266" s="4">
        <f>IF(Table1[[#This Row],[Rework_Flag]]="Yes",1,0)</f>
        <v>1</v>
      </c>
      <c r="Y2266" s="4">
        <v>1</v>
      </c>
      <c r="Z2266" s="4" t="str">
        <f>IF(Table1[[#This Row],[TAT_Days]]&gt;Table1[[#This Row],[SLA_TAT]],"Yes","No")</f>
        <v>No</v>
      </c>
      <c r="AA2266" s="4" t="str" cm="1">
        <f t="array" ref="AA2266">_xlfn.IFS(Table1[[#This Row],[Customer_Satisfaction]]&lt;=2,"Poor",Table1[[#This Row],[Customer_Satisfaction]]=3,"Neutral",Table1[[#This Row],[Customer_Satisfaction]]=4,"Good",Table1[[#This Row],[Customer_Satisfaction]]=5,"Good")</f>
        <v>Good</v>
      </c>
    </row>
    <row r="2267" spans="1:27" x14ac:dyDescent="0.35">
      <c r="A2267">
        <v>22265</v>
      </c>
      <c r="B2267" s="1">
        <v>45326</v>
      </c>
      <c r="C2267" t="s">
        <v>37</v>
      </c>
      <c r="D2267" t="s">
        <v>38</v>
      </c>
      <c r="E2267" t="s">
        <v>112</v>
      </c>
      <c r="F2267" t="s">
        <v>53</v>
      </c>
      <c r="G2267" t="s">
        <v>54</v>
      </c>
      <c r="H2267" t="s">
        <v>42</v>
      </c>
      <c r="I2267" t="s">
        <v>25</v>
      </c>
      <c r="J2267" t="s">
        <v>58</v>
      </c>
      <c r="K2267" t="s">
        <v>44</v>
      </c>
      <c r="L2267" t="s">
        <v>49</v>
      </c>
      <c r="M2267" s="4">
        <v>11</v>
      </c>
      <c r="N2267" s="4">
        <v>7</v>
      </c>
      <c r="O2267" t="s">
        <v>36</v>
      </c>
      <c r="P2267" t="s">
        <v>29</v>
      </c>
      <c r="Q2267" s="4">
        <v>564500</v>
      </c>
      <c r="R2267" s="4">
        <v>286536</v>
      </c>
      <c r="S2267" s="4">
        <f>Table1[[#This Row],[Service_Revenue]]-Table1[[#This Row],[Service_Cost]]</f>
        <v>277964</v>
      </c>
      <c r="T2267" s="4">
        <v>3</v>
      </c>
      <c r="U2267" s="4">
        <f>IF(AND(Table1[[#This Row],[Rework_Flag]]="Yes",Table1[[#This Row],[Warranty_Claim]]="No"),Table1[[#This Row],[Service_Revenue]],0)</f>
        <v>0</v>
      </c>
      <c r="V2267" s="4">
        <f>IF(Table1[[#This Row],[Warranty_Claim]]="Yes",1,0)</f>
        <v>1</v>
      </c>
      <c r="W2267" s="4">
        <f>IF(Table1[[#This Row],[Rework_Flag]]="No",1,0)</f>
        <v>1</v>
      </c>
      <c r="X2267" s="4">
        <f>IF(Table1[[#This Row],[Rework_Flag]]="Yes",1,0)</f>
        <v>0</v>
      </c>
      <c r="Y2267" s="4">
        <v>1</v>
      </c>
      <c r="Z2267" s="4" t="str">
        <f>IF(Table1[[#This Row],[TAT_Days]]&gt;Table1[[#This Row],[SLA_TAT]],"Yes","No")</f>
        <v>Yes</v>
      </c>
      <c r="AA2267" s="4" t="str" cm="1">
        <f t="array" ref="AA2267">_xlfn.IFS(Table1[[#This Row],[Customer_Satisfaction]]&lt;=2,"Poor",Table1[[#This Row],[Customer_Satisfaction]]=3,"Neutral",Table1[[#This Row],[Customer_Satisfaction]]=4,"Good",Table1[[#This Row],[Customer_Satisfaction]]=5,"Good")</f>
        <v>Neutral</v>
      </c>
    </row>
    <row r="2268" spans="1:27" x14ac:dyDescent="0.35">
      <c r="A2268">
        <v>22266</v>
      </c>
      <c r="B2268" s="1">
        <v>45357</v>
      </c>
      <c r="C2268" t="s">
        <v>50</v>
      </c>
      <c r="D2268" t="s">
        <v>51</v>
      </c>
      <c r="E2268" t="s">
        <v>73</v>
      </c>
      <c r="F2268" t="s">
        <v>22</v>
      </c>
      <c r="G2268" t="s">
        <v>41</v>
      </c>
      <c r="H2268" t="s">
        <v>42</v>
      </c>
      <c r="I2268" t="s">
        <v>25</v>
      </c>
      <c r="J2268" t="s">
        <v>58</v>
      </c>
      <c r="K2268" t="s">
        <v>44</v>
      </c>
      <c r="L2268" t="s">
        <v>28</v>
      </c>
      <c r="M2268" s="4">
        <v>13</v>
      </c>
      <c r="N2268" s="4">
        <v>7</v>
      </c>
      <c r="O2268" t="s">
        <v>29</v>
      </c>
      <c r="P2268" t="s">
        <v>36</v>
      </c>
      <c r="Q2268" s="4">
        <v>385697</v>
      </c>
      <c r="R2268" s="4">
        <v>224338</v>
      </c>
      <c r="S2268" s="4">
        <f>Table1[[#This Row],[Service_Revenue]]-Table1[[#This Row],[Service_Cost]]</f>
        <v>161359</v>
      </c>
      <c r="T2268" s="4">
        <v>2</v>
      </c>
      <c r="U2268" s="4">
        <f>IF(AND(Table1[[#This Row],[Rework_Flag]]="Yes",Table1[[#This Row],[Warranty_Claim]]="No"),Table1[[#This Row],[Service_Revenue]],0)</f>
        <v>385697</v>
      </c>
      <c r="V2268" s="4">
        <f>IF(Table1[[#This Row],[Warranty_Claim]]="Yes",1,0)</f>
        <v>0</v>
      </c>
      <c r="W2268" s="4">
        <f>IF(Table1[[#This Row],[Rework_Flag]]="No",1,0)</f>
        <v>0</v>
      </c>
      <c r="X2268" s="4">
        <f>IF(Table1[[#This Row],[Rework_Flag]]="Yes",1,0)</f>
        <v>1</v>
      </c>
      <c r="Y2268" s="4">
        <v>1</v>
      </c>
      <c r="Z2268" s="4" t="str">
        <f>IF(Table1[[#This Row],[TAT_Days]]&gt;Table1[[#This Row],[SLA_TAT]],"Yes","No")</f>
        <v>Yes</v>
      </c>
      <c r="AA2268" s="4" t="str" cm="1">
        <f t="array" ref="AA2268">_xlfn.IFS(Table1[[#This Row],[Customer_Satisfaction]]&lt;=2,"Poor",Table1[[#This Row],[Customer_Satisfaction]]=3,"Neutral",Table1[[#This Row],[Customer_Satisfaction]]=4,"Good",Table1[[#This Row],[Customer_Satisfaction]]=5,"Good")</f>
        <v>Poor</v>
      </c>
    </row>
    <row r="2269" spans="1:27" x14ac:dyDescent="0.35">
      <c r="A2269">
        <v>22267</v>
      </c>
      <c r="B2269" s="1">
        <v>45351</v>
      </c>
      <c r="C2269" t="s">
        <v>37</v>
      </c>
      <c r="D2269" t="s">
        <v>64</v>
      </c>
      <c r="E2269" t="s">
        <v>87</v>
      </c>
      <c r="F2269" t="s">
        <v>22</v>
      </c>
      <c r="G2269" t="s">
        <v>47</v>
      </c>
      <c r="H2269" t="s">
        <v>48</v>
      </c>
      <c r="I2269" t="s">
        <v>25</v>
      </c>
      <c r="J2269" t="s">
        <v>43</v>
      </c>
      <c r="K2269" t="s">
        <v>27</v>
      </c>
      <c r="L2269" t="s">
        <v>28</v>
      </c>
      <c r="M2269" s="4">
        <v>12</v>
      </c>
      <c r="N2269" s="4">
        <v>7</v>
      </c>
      <c r="O2269" t="s">
        <v>29</v>
      </c>
      <c r="P2269" t="s">
        <v>36</v>
      </c>
      <c r="Q2269" s="4">
        <v>369314</v>
      </c>
      <c r="R2269" s="4">
        <v>275183</v>
      </c>
      <c r="S2269" s="4">
        <f>Table1[[#This Row],[Service_Revenue]]-Table1[[#This Row],[Service_Cost]]</f>
        <v>94131</v>
      </c>
      <c r="T2269" s="4">
        <v>2</v>
      </c>
      <c r="U2269" s="4">
        <f>IF(AND(Table1[[#This Row],[Rework_Flag]]="Yes",Table1[[#This Row],[Warranty_Claim]]="No"),Table1[[#This Row],[Service_Revenue]],0)</f>
        <v>369314</v>
      </c>
      <c r="V2269" s="4">
        <f>IF(Table1[[#This Row],[Warranty_Claim]]="Yes",1,0)</f>
        <v>0</v>
      </c>
      <c r="W2269" s="4">
        <f>IF(Table1[[#This Row],[Rework_Flag]]="No",1,0)</f>
        <v>0</v>
      </c>
      <c r="X2269" s="4">
        <f>IF(Table1[[#This Row],[Rework_Flag]]="Yes",1,0)</f>
        <v>1</v>
      </c>
      <c r="Y2269" s="4">
        <v>1</v>
      </c>
      <c r="Z2269" s="4" t="str">
        <f>IF(Table1[[#This Row],[TAT_Days]]&gt;Table1[[#This Row],[SLA_TAT]],"Yes","No")</f>
        <v>Yes</v>
      </c>
      <c r="AA2269" s="4" t="str" cm="1">
        <f t="array" ref="AA2269">_xlfn.IFS(Table1[[#This Row],[Customer_Satisfaction]]&lt;=2,"Poor",Table1[[#This Row],[Customer_Satisfaction]]=3,"Neutral",Table1[[#This Row],[Customer_Satisfaction]]=4,"Good",Table1[[#This Row],[Customer_Satisfaction]]=5,"Good")</f>
        <v>Poor</v>
      </c>
    </row>
    <row r="2270" spans="1:27" x14ac:dyDescent="0.35">
      <c r="A2270">
        <v>22268</v>
      </c>
      <c r="B2270" s="1">
        <v>45346</v>
      </c>
      <c r="C2270" t="s">
        <v>30</v>
      </c>
      <c r="D2270" t="s">
        <v>31</v>
      </c>
      <c r="E2270" t="s">
        <v>106</v>
      </c>
      <c r="F2270" t="s">
        <v>40</v>
      </c>
      <c r="G2270" t="s">
        <v>74</v>
      </c>
      <c r="H2270" t="s">
        <v>34</v>
      </c>
      <c r="I2270" t="s">
        <v>25</v>
      </c>
      <c r="J2270" t="s">
        <v>67</v>
      </c>
      <c r="K2270" t="s">
        <v>44</v>
      </c>
      <c r="L2270" t="s">
        <v>28</v>
      </c>
      <c r="M2270" s="4">
        <v>15</v>
      </c>
      <c r="N2270" s="4">
        <v>7</v>
      </c>
      <c r="O2270" t="s">
        <v>29</v>
      </c>
      <c r="P2270" t="s">
        <v>36</v>
      </c>
      <c r="Q2270" s="4">
        <v>139360</v>
      </c>
      <c r="R2270" s="4">
        <v>100792</v>
      </c>
      <c r="S2270" s="4">
        <f>Table1[[#This Row],[Service_Revenue]]-Table1[[#This Row],[Service_Cost]]</f>
        <v>38568</v>
      </c>
      <c r="T2270" s="4">
        <v>1</v>
      </c>
      <c r="U2270" s="4">
        <f>IF(AND(Table1[[#This Row],[Rework_Flag]]="Yes",Table1[[#This Row],[Warranty_Claim]]="No"),Table1[[#This Row],[Service_Revenue]],0)</f>
        <v>139360</v>
      </c>
      <c r="V2270" s="4">
        <f>IF(Table1[[#This Row],[Warranty_Claim]]="Yes",1,0)</f>
        <v>0</v>
      </c>
      <c r="W2270" s="4">
        <f>IF(Table1[[#This Row],[Rework_Flag]]="No",1,0)</f>
        <v>0</v>
      </c>
      <c r="X2270" s="4">
        <f>IF(Table1[[#This Row],[Rework_Flag]]="Yes",1,0)</f>
        <v>1</v>
      </c>
      <c r="Y2270" s="4">
        <v>1</v>
      </c>
      <c r="Z2270" s="4" t="str">
        <f>IF(Table1[[#This Row],[TAT_Days]]&gt;Table1[[#This Row],[SLA_TAT]],"Yes","No")</f>
        <v>Yes</v>
      </c>
      <c r="AA2270" s="4" t="str" cm="1">
        <f t="array" ref="AA2270">_xlfn.IFS(Table1[[#This Row],[Customer_Satisfaction]]&lt;=2,"Poor",Table1[[#This Row],[Customer_Satisfaction]]=3,"Neutral",Table1[[#This Row],[Customer_Satisfaction]]=4,"Good",Table1[[#This Row],[Customer_Satisfaction]]=5,"Good")</f>
        <v>Poor</v>
      </c>
    </row>
    <row r="2271" spans="1:27" x14ac:dyDescent="0.35">
      <c r="A2271">
        <v>22269</v>
      </c>
      <c r="B2271" s="1">
        <v>45299</v>
      </c>
      <c r="C2271" t="s">
        <v>30</v>
      </c>
      <c r="D2271" t="s">
        <v>83</v>
      </c>
      <c r="E2271" t="s">
        <v>95</v>
      </c>
      <c r="F2271" t="s">
        <v>22</v>
      </c>
      <c r="G2271" t="s">
        <v>33</v>
      </c>
      <c r="H2271" t="s">
        <v>34</v>
      </c>
      <c r="I2271" t="s">
        <v>55</v>
      </c>
      <c r="J2271" t="s">
        <v>67</v>
      </c>
      <c r="K2271" t="s">
        <v>27</v>
      </c>
      <c r="L2271" t="s">
        <v>28</v>
      </c>
      <c r="M2271" s="4">
        <v>3</v>
      </c>
      <c r="N2271" s="4">
        <v>7</v>
      </c>
      <c r="O2271" t="s">
        <v>36</v>
      </c>
      <c r="P2271" t="s">
        <v>36</v>
      </c>
      <c r="Q2271" s="4">
        <v>299738</v>
      </c>
      <c r="R2271" s="4">
        <v>195218</v>
      </c>
      <c r="S2271" s="4">
        <f>Table1[[#This Row],[Service_Revenue]]-Table1[[#This Row],[Service_Cost]]</f>
        <v>104520</v>
      </c>
      <c r="T2271" s="4">
        <v>5</v>
      </c>
      <c r="U2271" s="4">
        <f>IF(AND(Table1[[#This Row],[Rework_Flag]]="Yes",Table1[[#This Row],[Warranty_Claim]]="No"),Table1[[#This Row],[Service_Revenue]],0)</f>
        <v>0</v>
      </c>
      <c r="V2271" s="4">
        <f>IF(Table1[[#This Row],[Warranty_Claim]]="Yes",1,0)</f>
        <v>0</v>
      </c>
      <c r="W2271" s="4">
        <f>IF(Table1[[#This Row],[Rework_Flag]]="No",1,0)</f>
        <v>1</v>
      </c>
      <c r="X2271" s="4">
        <f>IF(Table1[[#This Row],[Rework_Flag]]="Yes",1,0)</f>
        <v>0</v>
      </c>
      <c r="Y2271" s="4">
        <v>1</v>
      </c>
      <c r="Z2271" s="4" t="str">
        <f>IF(Table1[[#This Row],[TAT_Days]]&gt;Table1[[#This Row],[SLA_TAT]],"Yes","No")</f>
        <v>No</v>
      </c>
      <c r="AA2271" s="4" t="str" cm="1">
        <f t="array" ref="AA2271">_xlfn.IFS(Table1[[#This Row],[Customer_Satisfaction]]&lt;=2,"Poor",Table1[[#This Row],[Customer_Satisfaction]]=3,"Neutral",Table1[[#This Row],[Customer_Satisfaction]]=4,"Good",Table1[[#This Row],[Customer_Satisfaction]]=5,"Good")</f>
        <v>Good</v>
      </c>
    </row>
    <row r="2272" spans="1:27" x14ac:dyDescent="0.35">
      <c r="A2272">
        <v>22270</v>
      </c>
      <c r="B2272" s="1">
        <v>45293</v>
      </c>
      <c r="C2272" t="s">
        <v>19</v>
      </c>
      <c r="D2272" t="s">
        <v>45</v>
      </c>
      <c r="E2272" t="s">
        <v>46</v>
      </c>
      <c r="F2272" t="s">
        <v>53</v>
      </c>
      <c r="G2272" t="s">
        <v>23</v>
      </c>
      <c r="H2272" t="s">
        <v>24</v>
      </c>
      <c r="I2272" t="s">
        <v>25</v>
      </c>
      <c r="J2272" t="s">
        <v>35</v>
      </c>
      <c r="K2272" t="s">
        <v>61</v>
      </c>
      <c r="L2272" t="s">
        <v>28</v>
      </c>
      <c r="M2272" s="4">
        <v>2</v>
      </c>
      <c r="N2272" s="4">
        <v>7</v>
      </c>
      <c r="O2272" t="s">
        <v>29</v>
      </c>
      <c r="P2272" t="s">
        <v>36</v>
      </c>
      <c r="Q2272" s="4">
        <v>171090</v>
      </c>
      <c r="R2272" s="4">
        <v>127675</v>
      </c>
      <c r="S2272" s="4">
        <f>Table1[[#This Row],[Service_Revenue]]-Table1[[#This Row],[Service_Cost]]</f>
        <v>43415</v>
      </c>
      <c r="T2272" s="4">
        <v>4</v>
      </c>
      <c r="U2272" s="4">
        <f>IF(AND(Table1[[#This Row],[Rework_Flag]]="Yes",Table1[[#This Row],[Warranty_Claim]]="No"),Table1[[#This Row],[Service_Revenue]],0)</f>
        <v>171090</v>
      </c>
      <c r="V2272" s="4">
        <f>IF(Table1[[#This Row],[Warranty_Claim]]="Yes",1,0)</f>
        <v>0</v>
      </c>
      <c r="W2272" s="4">
        <f>IF(Table1[[#This Row],[Rework_Flag]]="No",1,0)</f>
        <v>0</v>
      </c>
      <c r="X2272" s="4">
        <f>IF(Table1[[#This Row],[Rework_Flag]]="Yes",1,0)</f>
        <v>1</v>
      </c>
      <c r="Y2272" s="4">
        <v>1</v>
      </c>
      <c r="Z2272" s="4" t="str">
        <f>IF(Table1[[#This Row],[TAT_Days]]&gt;Table1[[#This Row],[SLA_TAT]],"Yes","No")</f>
        <v>No</v>
      </c>
      <c r="AA2272" s="4" t="str" cm="1">
        <f t="array" ref="AA2272">_xlfn.IFS(Table1[[#This Row],[Customer_Satisfaction]]&lt;=2,"Poor",Table1[[#This Row],[Customer_Satisfaction]]=3,"Neutral",Table1[[#This Row],[Customer_Satisfaction]]=4,"Good",Table1[[#This Row],[Customer_Satisfaction]]=5,"Good")</f>
        <v>Good</v>
      </c>
    </row>
    <row r="2273" spans="1:27" x14ac:dyDescent="0.35">
      <c r="A2273">
        <v>22271</v>
      </c>
      <c r="B2273" s="1">
        <v>45315</v>
      </c>
      <c r="C2273" t="s">
        <v>19</v>
      </c>
      <c r="D2273" t="s">
        <v>45</v>
      </c>
      <c r="E2273" t="s">
        <v>99</v>
      </c>
      <c r="F2273" t="s">
        <v>22</v>
      </c>
      <c r="G2273" t="s">
        <v>74</v>
      </c>
      <c r="H2273" t="s">
        <v>34</v>
      </c>
      <c r="I2273" t="s">
        <v>55</v>
      </c>
      <c r="J2273" t="s">
        <v>35</v>
      </c>
      <c r="K2273" t="s">
        <v>27</v>
      </c>
      <c r="L2273" t="s">
        <v>28</v>
      </c>
      <c r="M2273" s="4">
        <v>19</v>
      </c>
      <c r="N2273" s="4">
        <v>7</v>
      </c>
      <c r="O2273" t="s">
        <v>29</v>
      </c>
      <c r="P2273" t="s">
        <v>36</v>
      </c>
      <c r="Q2273" s="4">
        <v>509266</v>
      </c>
      <c r="R2273" s="4">
        <v>326850</v>
      </c>
      <c r="S2273" s="4">
        <f>Table1[[#This Row],[Service_Revenue]]-Table1[[#This Row],[Service_Cost]]</f>
        <v>182416</v>
      </c>
      <c r="T2273" s="4">
        <v>1</v>
      </c>
      <c r="U2273" s="4">
        <f>IF(AND(Table1[[#This Row],[Rework_Flag]]="Yes",Table1[[#This Row],[Warranty_Claim]]="No"),Table1[[#This Row],[Service_Revenue]],0)</f>
        <v>509266</v>
      </c>
      <c r="V2273" s="4">
        <f>IF(Table1[[#This Row],[Warranty_Claim]]="Yes",1,0)</f>
        <v>0</v>
      </c>
      <c r="W2273" s="4">
        <f>IF(Table1[[#This Row],[Rework_Flag]]="No",1,0)</f>
        <v>0</v>
      </c>
      <c r="X2273" s="4">
        <f>IF(Table1[[#This Row],[Rework_Flag]]="Yes",1,0)</f>
        <v>1</v>
      </c>
      <c r="Y2273" s="4">
        <v>1</v>
      </c>
      <c r="Z2273" s="4" t="str">
        <f>IF(Table1[[#This Row],[TAT_Days]]&gt;Table1[[#This Row],[SLA_TAT]],"Yes","No")</f>
        <v>Yes</v>
      </c>
      <c r="AA2273" s="4" t="str" cm="1">
        <f t="array" ref="AA2273">_xlfn.IFS(Table1[[#This Row],[Customer_Satisfaction]]&lt;=2,"Poor",Table1[[#This Row],[Customer_Satisfaction]]=3,"Neutral",Table1[[#This Row],[Customer_Satisfaction]]=4,"Good",Table1[[#This Row],[Customer_Satisfaction]]=5,"Good")</f>
        <v>Poor</v>
      </c>
    </row>
    <row r="2274" spans="1:27" x14ac:dyDescent="0.35">
      <c r="A2274">
        <v>22272</v>
      </c>
      <c r="B2274" s="1">
        <v>45467</v>
      </c>
      <c r="C2274" t="s">
        <v>30</v>
      </c>
      <c r="D2274" t="s">
        <v>31</v>
      </c>
      <c r="E2274" t="s">
        <v>106</v>
      </c>
      <c r="F2274" t="s">
        <v>40</v>
      </c>
      <c r="G2274" t="s">
        <v>54</v>
      </c>
      <c r="H2274" t="s">
        <v>42</v>
      </c>
      <c r="I2274" t="s">
        <v>25</v>
      </c>
      <c r="J2274" t="s">
        <v>26</v>
      </c>
      <c r="K2274" t="s">
        <v>44</v>
      </c>
      <c r="L2274" t="s">
        <v>49</v>
      </c>
      <c r="M2274" s="4">
        <v>16</v>
      </c>
      <c r="N2274" s="4">
        <v>7</v>
      </c>
      <c r="O2274" t="s">
        <v>36</v>
      </c>
      <c r="P2274" t="s">
        <v>29</v>
      </c>
      <c r="Q2274" s="4">
        <v>227365</v>
      </c>
      <c r="R2274" s="4">
        <v>140119</v>
      </c>
      <c r="S2274" s="4">
        <f>Table1[[#This Row],[Service_Revenue]]-Table1[[#This Row],[Service_Cost]]</f>
        <v>87246</v>
      </c>
      <c r="T2274" s="4">
        <v>2</v>
      </c>
      <c r="U2274" s="4">
        <f>IF(AND(Table1[[#This Row],[Rework_Flag]]="Yes",Table1[[#This Row],[Warranty_Claim]]="No"),Table1[[#This Row],[Service_Revenue]],0)</f>
        <v>0</v>
      </c>
      <c r="V2274" s="4">
        <f>IF(Table1[[#This Row],[Warranty_Claim]]="Yes",1,0)</f>
        <v>1</v>
      </c>
      <c r="W2274" s="4">
        <f>IF(Table1[[#This Row],[Rework_Flag]]="No",1,0)</f>
        <v>1</v>
      </c>
      <c r="X2274" s="4">
        <f>IF(Table1[[#This Row],[Rework_Flag]]="Yes",1,0)</f>
        <v>0</v>
      </c>
      <c r="Y2274" s="4">
        <v>1</v>
      </c>
      <c r="Z2274" s="4" t="str">
        <f>IF(Table1[[#This Row],[TAT_Days]]&gt;Table1[[#This Row],[SLA_TAT]],"Yes","No")</f>
        <v>Yes</v>
      </c>
      <c r="AA2274" s="4" t="str" cm="1">
        <f t="array" ref="AA2274">_xlfn.IFS(Table1[[#This Row],[Customer_Satisfaction]]&lt;=2,"Poor",Table1[[#This Row],[Customer_Satisfaction]]=3,"Neutral",Table1[[#This Row],[Customer_Satisfaction]]=4,"Good",Table1[[#This Row],[Customer_Satisfaction]]=5,"Good")</f>
        <v>Poor</v>
      </c>
    </row>
    <row r="2275" spans="1:27" x14ac:dyDescent="0.35">
      <c r="A2275">
        <v>22273</v>
      </c>
      <c r="B2275" s="1">
        <v>45417</v>
      </c>
      <c r="C2275" t="s">
        <v>19</v>
      </c>
      <c r="D2275" t="s">
        <v>20</v>
      </c>
      <c r="E2275" t="s">
        <v>86</v>
      </c>
      <c r="F2275" t="s">
        <v>22</v>
      </c>
      <c r="G2275" t="s">
        <v>47</v>
      </c>
      <c r="H2275" t="s">
        <v>48</v>
      </c>
      <c r="I2275" t="s">
        <v>55</v>
      </c>
      <c r="J2275" t="s">
        <v>67</v>
      </c>
      <c r="K2275" t="s">
        <v>61</v>
      </c>
      <c r="L2275" t="s">
        <v>49</v>
      </c>
      <c r="M2275" s="4">
        <v>13</v>
      </c>
      <c r="N2275" s="4">
        <v>7</v>
      </c>
      <c r="O2275" t="s">
        <v>36</v>
      </c>
      <c r="P2275" t="s">
        <v>29</v>
      </c>
      <c r="Q2275" s="4">
        <v>523822</v>
      </c>
      <c r="R2275" s="4">
        <v>439453</v>
      </c>
      <c r="S2275" s="4">
        <f>Table1[[#This Row],[Service_Revenue]]-Table1[[#This Row],[Service_Cost]]</f>
        <v>84369</v>
      </c>
      <c r="T2275" s="4">
        <v>3</v>
      </c>
      <c r="U2275" s="4">
        <f>IF(AND(Table1[[#This Row],[Rework_Flag]]="Yes",Table1[[#This Row],[Warranty_Claim]]="No"),Table1[[#This Row],[Service_Revenue]],0)</f>
        <v>0</v>
      </c>
      <c r="V2275" s="4">
        <f>IF(Table1[[#This Row],[Warranty_Claim]]="Yes",1,0)</f>
        <v>1</v>
      </c>
      <c r="W2275" s="4">
        <f>IF(Table1[[#This Row],[Rework_Flag]]="No",1,0)</f>
        <v>1</v>
      </c>
      <c r="X2275" s="4">
        <f>IF(Table1[[#This Row],[Rework_Flag]]="Yes",1,0)</f>
        <v>0</v>
      </c>
      <c r="Y2275" s="4">
        <v>1</v>
      </c>
      <c r="Z2275" s="4" t="str">
        <f>IF(Table1[[#This Row],[TAT_Days]]&gt;Table1[[#This Row],[SLA_TAT]],"Yes","No")</f>
        <v>Yes</v>
      </c>
      <c r="AA2275" s="4" t="str" cm="1">
        <f t="array" ref="AA2275">_xlfn.IFS(Table1[[#This Row],[Customer_Satisfaction]]&lt;=2,"Poor",Table1[[#This Row],[Customer_Satisfaction]]=3,"Neutral",Table1[[#This Row],[Customer_Satisfaction]]=4,"Good",Table1[[#This Row],[Customer_Satisfaction]]=5,"Good")</f>
        <v>Neutral</v>
      </c>
    </row>
    <row r="2276" spans="1:27" x14ac:dyDescent="0.35">
      <c r="A2276">
        <v>22274</v>
      </c>
      <c r="B2276" s="1">
        <v>45423</v>
      </c>
      <c r="C2276" t="s">
        <v>19</v>
      </c>
      <c r="D2276" t="s">
        <v>96</v>
      </c>
      <c r="E2276" t="s">
        <v>97</v>
      </c>
      <c r="F2276" t="s">
        <v>22</v>
      </c>
      <c r="G2276" t="s">
        <v>63</v>
      </c>
      <c r="H2276" t="s">
        <v>24</v>
      </c>
      <c r="I2276" t="s">
        <v>25</v>
      </c>
      <c r="J2276" t="s">
        <v>67</v>
      </c>
      <c r="K2276" t="s">
        <v>44</v>
      </c>
      <c r="L2276" t="s">
        <v>28</v>
      </c>
      <c r="M2276" s="4">
        <v>6</v>
      </c>
      <c r="N2276" s="4">
        <v>7</v>
      </c>
      <c r="O2276" t="s">
        <v>29</v>
      </c>
      <c r="P2276" t="s">
        <v>36</v>
      </c>
      <c r="Q2276" s="4">
        <v>167468</v>
      </c>
      <c r="R2276" s="4">
        <v>125032</v>
      </c>
      <c r="S2276" s="4">
        <f>Table1[[#This Row],[Service_Revenue]]-Table1[[#This Row],[Service_Cost]]</f>
        <v>42436</v>
      </c>
      <c r="T2276" s="4">
        <v>3</v>
      </c>
      <c r="U2276" s="4">
        <f>IF(AND(Table1[[#This Row],[Rework_Flag]]="Yes",Table1[[#This Row],[Warranty_Claim]]="No"),Table1[[#This Row],[Service_Revenue]],0)</f>
        <v>167468</v>
      </c>
      <c r="V2276" s="4">
        <f>IF(Table1[[#This Row],[Warranty_Claim]]="Yes",1,0)</f>
        <v>0</v>
      </c>
      <c r="W2276" s="4">
        <f>IF(Table1[[#This Row],[Rework_Flag]]="No",1,0)</f>
        <v>0</v>
      </c>
      <c r="X2276" s="4">
        <f>IF(Table1[[#This Row],[Rework_Flag]]="Yes",1,0)</f>
        <v>1</v>
      </c>
      <c r="Y2276" s="4">
        <v>1</v>
      </c>
      <c r="Z2276" s="4" t="str">
        <f>IF(Table1[[#This Row],[TAT_Days]]&gt;Table1[[#This Row],[SLA_TAT]],"Yes","No")</f>
        <v>No</v>
      </c>
      <c r="AA2276" s="4" t="str" cm="1">
        <f t="array" ref="AA2276">_xlfn.IFS(Table1[[#This Row],[Customer_Satisfaction]]&lt;=2,"Poor",Table1[[#This Row],[Customer_Satisfaction]]=3,"Neutral",Table1[[#This Row],[Customer_Satisfaction]]=4,"Good",Table1[[#This Row],[Customer_Satisfaction]]=5,"Good")</f>
        <v>Neutral</v>
      </c>
    </row>
    <row r="2277" spans="1:27" x14ac:dyDescent="0.35">
      <c r="A2277">
        <v>22275</v>
      </c>
      <c r="B2277" s="1">
        <v>45410</v>
      </c>
      <c r="C2277" t="s">
        <v>19</v>
      </c>
      <c r="D2277" t="s">
        <v>45</v>
      </c>
      <c r="E2277" t="s">
        <v>114</v>
      </c>
      <c r="F2277" t="s">
        <v>53</v>
      </c>
      <c r="G2277" t="s">
        <v>47</v>
      </c>
      <c r="H2277" t="s">
        <v>48</v>
      </c>
      <c r="I2277" t="s">
        <v>25</v>
      </c>
      <c r="J2277" t="s">
        <v>26</v>
      </c>
      <c r="K2277" t="s">
        <v>44</v>
      </c>
      <c r="L2277" t="s">
        <v>28</v>
      </c>
      <c r="M2277" s="4">
        <v>2</v>
      </c>
      <c r="N2277" s="4">
        <v>7</v>
      </c>
      <c r="O2277" t="s">
        <v>29</v>
      </c>
      <c r="P2277" t="s">
        <v>36</v>
      </c>
      <c r="Q2277" s="4">
        <v>97728</v>
      </c>
      <c r="R2277" s="4">
        <v>71313</v>
      </c>
      <c r="S2277" s="4">
        <f>Table1[[#This Row],[Service_Revenue]]-Table1[[#This Row],[Service_Cost]]</f>
        <v>26415</v>
      </c>
      <c r="T2277" s="4">
        <v>4</v>
      </c>
      <c r="U2277" s="4">
        <f>IF(AND(Table1[[#This Row],[Rework_Flag]]="Yes",Table1[[#This Row],[Warranty_Claim]]="No"),Table1[[#This Row],[Service_Revenue]],0)</f>
        <v>97728</v>
      </c>
      <c r="V2277" s="4">
        <f>IF(Table1[[#This Row],[Warranty_Claim]]="Yes",1,0)</f>
        <v>0</v>
      </c>
      <c r="W2277" s="4">
        <f>IF(Table1[[#This Row],[Rework_Flag]]="No",1,0)</f>
        <v>0</v>
      </c>
      <c r="X2277" s="4">
        <f>IF(Table1[[#This Row],[Rework_Flag]]="Yes",1,0)</f>
        <v>1</v>
      </c>
      <c r="Y2277" s="4">
        <v>1</v>
      </c>
      <c r="Z2277" s="4" t="str">
        <f>IF(Table1[[#This Row],[TAT_Days]]&gt;Table1[[#This Row],[SLA_TAT]],"Yes","No")</f>
        <v>No</v>
      </c>
      <c r="AA2277" s="4" t="str" cm="1">
        <f t="array" ref="AA2277">_xlfn.IFS(Table1[[#This Row],[Customer_Satisfaction]]&lt;=2,"Poor",Table1[[#This Row],[Customer_Satisfaction]]=3,"Neutral",Table1[[#This Row],[Customer_Satisfaction]]=4,"Good",Table1[[#This Row],[Customer_Satisfaction]]=5,"Good")</f>
        <v>Good</v>
      </c>
    </row>
    <row r="2278" spans="1:27" x14ac:dyDescent="0.35">
      <c r="A2278">
        <v>22276</v>
      </c>
      <c r="B2278" s="1">
        <v>45396</v>
      </c>
      <c r="C2278" t="s">
        <v>19</v>
      </c>
      <c r="D2278" t="s">
        <v>96</v>
      </c>
      <c r="E2278" t="s">
        <v>109</v>
      </c>
      <c r="F2278" t="s">
        <v>40</v>
      </c>
      <c r="G2278" t="s">
        <v>33</v>
      </c>
      <c r="H2278" t="s">
        <v>34</v>
      </c>
      <c r="I2278" t="s">
        <v>25</v>
      </c>
      <c r="J2278" t="s">
        <v>26</v>
      </c>
      <c r="K2278" t="s">
        <v>44</v>
      </c>
      <c r="L2278" t="s">
        <v>28</v>
      </c>
      <c r="M2278" s="4">
        <v>11</v>
      </c>
      <c r="N2278" s="4">
        <v>7</v>
      </c>
      <c r="O2278" t="s">
        <v>29</v>
      </c>
      <c r="P2278" t="s">
        <v>29</v>
      </c>
      <c r="Q2278" s="4">
        <v>329765</v>
      </c>
      <c r="R2278" s="4">
        <v>189635</v>
      </c>
      <c r="S2278" s="4">
        <f>Table1[[#This Row],[Service_Revenue]]-Table1[[#This Row],[Service_Cost]]</f>
        <v>140130</v>
      </c>
      <c r="T2278" s="4">
        <v>2</v>
      </c>
      <c r="U2278" s="4">
        <f>IF(AND(Table1[[#This Row],[Rework_Flag]]="Yes",Table1[[#This Row],[Warranty_Claim]]="No"),Table1[[#This Row],[Service_Revenue]],0)</f>
        <v>0</v>
      </c>
      <c r="V2278" s="4">
        <f>IF(Table1[[#This Row],[Warranty_Claim]]="Yes",1,0)</f>
        <v>1</v>
      </c>
      <c r="W2278" s="4">
        <f>IF(Table1[[#This Row],[Rework_Flag]]="No",1,0)</f>
        <v>0</v>
      </c>
      <c r="X2278" s="4">
        <f>IF(Table1[[#This Row],[Rework_Flag]]="Yes",1,0)</f>
        <v>1</v>
      </c>
      <c r="Y2278" s="4">
        <v>1</v>
      </c>
      <c r="Z2278" s="4" t="str">
        <f>IF(Table1[[#This Row],[TAT_Days]]&gt;Table1[[#This Row],[SLA_TAT]],"Yes","No")</f>
        <v>Yes</v>
      </c>
      <c r="AA2278" s="4" t="str" cm="1">
        <f t="array" ref="AA2278">_xlfn.IFS(Table1[[#This Row],[Customer_Satisfaction]]&lt;=2,"Poor",Table1[[#This Row],[Customer_Satisfaction]]=3,"Neutral",Table1[[#This Row],[Customer_Satisfaction]]=4,"Good",Table1[[#This Row],[Customer_Satisfaction]]=5,"Good")</f>
        <v>Poor</v>
      </c>
    </row>
    <row r="2279" spans="1:27" x14ac:dyDescent="0.35">
      <c r="A2279">
        <v>22277</v>
      </c>
      <c r="B2279" s="1">
        <v>45405</v>
      </c>
      <c r="C2279" t="s">
        <v>50</v>
      </c>
      <c r="D2279" t="s">
        <v>56</v>
      </c>
      <c r="E2279" t="s">
        <v>88</v>
      </c>
      <c r="F2279" t="s">
        <v>22</v>
      </c>
      <c r="G2279" t="s">
        <v>74</v>
      </c>
      <c r="H2279" t="s">
        <v>34</v>
      </c>
      <c r="I2279" t="s">
        <v>55</v>
      </c>
      <c r="J2279" t="s">
        <v>35</v>
      </c>
      <c r="K2279" t="s">
        <v>27</v>
      </c>
      <c r="L2279" t="s">
        <v>28</v>
      </c>
      <c r="M2279" s="4">
        <v>22</v>
      </c>
      <c r="N2279" s="4">
        <v>7</v>
      </c>
      <c r="O2279" t="s">
        <v>29</v>
      </c>
      <c r="P2279" t="s">
        <v>36</v>
      </c>
      <c r="Q2279" s="4">
        <v>228725</v>
      </c>
      <c r="R2279" s="4">
        <v>132804</v>
      </c>
      <c r="S2279" s="4">
        <f>Table1[[#This Row],[Service_Revenue]]-Table1[[#This Row],[Service_Cost]]</f>
        <v>95921</v>
      </c>
      <c r="T2279" s="4">
        <v>1</v>
      </c>
      <c r="U2279" s="4">
        <f>IF(AND(Table1[[#This Row],[Rework_Flag]]="Yes",Table1[[#This Row],[Warranty_Claim]]="No"),Table1[[#This Row],[Service_Revenue]],0)</f>
        <v>228725</v>
      </c>
      <c r="V2279" s="4">
        <f>IF(Table1[[#This Row],[Warranty_Claim]]="Yes",1,0)</f>
        <v>0</v>
      </c>
      <c r="W2279" s="4">
        <f>IF(Table1[[#This Row],[Rework_Flag]]="No",1,0)</f>
        <v>0</v>
      </c>
      <c r="X2279" s="4">
        <f>IF(Table1[[#This Row],[Rework_Flag]]="Yes",1,0)</f>
        <v>1</v>
      </c>
      <c r="Y2279" s="4">
        <v>1</v>
      </c>
      <c r="Z2279" s="4" t="str">
        <f>IF(Table1[[#This Row],[TAT_Days]]&gt;Table1[[#This Row],[SLA_TAT]],"Yes","No")</f>
        <v>Yes</v>
      </c>
      <c r="AA2279" s="4" t="str" cm="1">
        <f t="array" ref="AA2279">_xlfn.IFS(Table1[[#This Row],[Customer_Satisfaction]]&lt;=2,"Poor",Table1[[#This Row],[Customer_Satisfaction]]=3,"Neutral",Table1[[#This Row],[Customer_Satisfaction]]=4,"Good",Table1[[#This Row],[Customer_Satisfaction]]=5,"Good")</f>
        <v>Poor</v>
      </c>
    </row>
    <row r="2280" spans="1:27" x14ac:dyDescent="0.35">
      <c r="A2280">
        <v>22278</v>
      </c>
      <c r="B2280" s="1">
        <v>45338</v>
      </c>
      <c r="C2280" t="s">
        <v>37</v>
      </c>
      <c r="D2280" t="s">
        <v>38</v>
      </c>
      <c r="E2280" t="s">
        <v>39</v>
      </c>
      <c r="F2280" t="s">
        <v>53</v>
      </c>
      <c r="G2280" t="s">
        <v>63</v>
      </c>
      <c r="H2280" t="s">
        <v>24</v>
      </c>
      <c r="I2280" t="s">
        <v>25</v>
      </c>
      <c r="J2280" t="s">
        <v>58</v>
      </c>
      <c r="K2280" t="s">
        <v>44</v>
      </c>
      <c r="L2280" t="s">
        <v>28</v>
      </c>
      <c r="M2280" s="4">
        <v>3</v>
      </c>
      <c r="N2280" s="4">
        <v>7</v>
      </c>
      <c r="O2280" t="s">
        <v>29</v>
      </c>
      <c r="P2280" t="s">
        <v>36</v>
      </c>
      <c r="Q2280" s="4">
        <v>294024</v>
      </c>
      <c r="R2280" s="4">
        <v>155512</v>
      </c>
      <c r="S2280" s="4">
        <f>Table1[[#This Row],[Service_Revenue]]-Table1[[#This Row],[Service_Cost]]</f>
        <v>138512</v>
      </c>
      <c r="T2280" s="4">
        <v>4</v>
      </c>
      <c r="U2280" s="4">
        <f>IF(AND(Table1[[#This Row],[Rework_Flag]]="Yes",Table1[[#This Row],[Warranty_Claim]]="No"),Table1[[#This Row],[Service_Revenue]],0)</f>
        <v>294024</v>
      </c>
      <c r="V2280" s="4">
        <f>IF(Table1[[#This Row],[Warranty_Claim]]="Yes",1,0)</f>
        <v>0</v>
      </c>
      <c r="W2280" s="4">
        <f>IF(Table1[[#This Row],[Rework_Flag]]="No",1,0)</f>
        <v>0</v>
      </c>
      <c r="X2280" s="4">
        <f>IF(Table1[[#This Row],[Rework_Flag]]="Yes",1,0)</f>
        <v>1</v>
      </c>
      <c r="Y2280" s="4">
        <v>1</v>
      </c>
      <c r="Z2280" s="4" t="str">
        <f>IF(Table1[[#This Row],[TAT_Days]]&gt;Table1[[#This Row],[SLA_TAT]],"Yes","No")</f>
        <v>No</v>
      </c>
      <c r="AA2280" s="4" t="str" cm="1">
        <f t="array" ref="AA2280">_xlfn.IFS(Table1[[#This Row],[Customer_Satisfaction]]&lt;=2,"Poor",Table1[[#This Row],[Customer_Satisfaction]]=3,"Neutral",Table1[[#This Row],[Customer_Satisfaction]]=4,"Good",Table1[[#This Row],[Customer_Satisfaction]]=5,"Good")</f>
        <v>Good</v>
      </c>
    </row>
    <row r="2281" spans="1:27" x14ac:dyDescent="0.35">
      <c r="A2281">
        <v>22279</v>
      </c>
      <c r="B2281" s="1">
        <v>45446</v>
      </c>
      <c r="C2281" t="s">
        <v>50</v>
      </c>
      <c r="D2281" t="s">
        <v>51</v>
      </c>
      <c r="E2281" t="s">
        <v>73</v>
      </c>
      <c r="F2281" t="s">
        <v>53</v>
      </c>
      <c r="G2281" t="s">
        <v>54</v>
      </c>
      <c r="H2281" t="s">
        <v>42</v>
      </c>
      <c r="I2281" t="s">
        <v>55</v>
      </c>
      <c r="J2281" t="s">
        <v>58</v>
      </c>
      <c r="K2281" t="s">
        <v>27</v>
      </c>
      <c r="L2281" t="s">
        <v>28</v>
      </c>
      <c r="M2281" s="4">
        <v>3</v>
      </c>
      <c r="N2281" s="4">
        <v>7</v>
      </c>
      <c r="O2281" t="s">
        <v>29</v>
      </c>
      <c r="P2281" t="s">
        <v>36</v>
      </c>
      <c r="Q2281" s="4">
        <v>539859</v>
      </c>
      <c r="R2281" s="4">
        <v>309501</v>
      </c>
      <c r="S2281" s="4">
        <f>Table1[[#This Row],[Service_Revenue]]-Table1[[#This Row],[Service_Cost]]</f>
        <v>230358</v>
      </c>
      <c r="T2281" s="4">
        <v>4</v>
      </c>
      <c r="U2281" s="4">
        <f>IF(AND(Table1[[#This Row],[Rework_Flag]]="Yes",Table1[[#This Row],[Warranty_Claim]]="No"),Table1[[#This Row],[Service_Revenue]],0)</f>
        <v>539859</v>
      </c>
      <c r="V2281" s="4">
        <f>IF(Table1[[#This Row],[Warranty_Claim]]="Yes",1,0)</f>
        <v>0</v>
      </c>
      <c r="W2281" s="4">
        <f>IF(Table1[[#This Row],[Rework_Flag]]="No",1,0)</f>
        <v>0</v>
      </c>
      <c r="X2281" s="4">
        <f>IF(Table1[[#This Row],[Rework_Flag]]="Yes",1,0)</f>
        <v>1</v>
      </c>
      <c r="Y2281" s="4">
        <v>1</v>
      </c>
      <c r="Z2281" s="4" t="str">
        <f>IF(Table1[[#This Row],[TAT_Days]]&gt;Table1[[#This Row],[SLA_TAT]],"Yes","No")</f>
        <v>No</v>
      </c>
      <c r="AA2281" s="4" t="str" cm="1">
        <f t="array" ref="AA2281">_xlfn.IFS(Table1[[#This Row],[Customer_Satisfaction]]&lt;=2,"Poor",Table1[[#This Row],[Customer_Satisfaction]]=3,"Neutral",Table1[[#This Row],[Customer_Satisfaction]]=4,"Good",Table1[[#This Row],[Customer_Satisfaction]]=5,"Good")</f>
        <v>Good</v>
      </c>
    </row>
    <row r="2282" spans="1:27" x14ac:dyDescent="0.35">
      <c r="A2282">
        <v>22280</v>
      </c>
      <c r="B2282" s="1">
        <v>45390</v>
      </c>
      <c r="C2282" t="s">
        <v>50</v>
      </c>
      <c r="D2282" t="s">
        <v>51</v>
      </c>
      <c r="E2282" t="s">
        <v>75</v>
      </c>
      <c r="F2282" t="s">
        <v>22</v>
      </c>
      <c r="G2282" t="s">
        <v>54</v>
      </c>
      <c r="H2282" t="s">
        <v>42</v>
      </c>
      <c r="I2282" t="s">
        <v>55</v>
      </c>
      <c r="J2282" t="s">
        <v>43</v>
      </c>
      <c r="K2282" t="s">
        <v>61</v>
      </c>
      <c r="L2282" t="s">
        <v>28</v>
      </c>
      <c r="M2282" s="4">
        <v>20</v>
      </c>
      <c r="N2282" s="4">
        <v>7</v>
      </c>
      <c r="O2282" t="s">
        <v>29</v>
      </c>
      <c r="P2282" t="s">
        <v>29</v>
      </c>
      <c r="Q2282" s="4">
        <v>483639</v>
      </c>
      <c r="R2282" s="4">
        <v>271311</v>
      </c>
      <c r="S2282" s="4">
        <f>Table1[[#This Row],[Service_Revenue]]-Table1[[#This Row],[Service_Cost]]</f>
        <v>212328</v>
      </c>
      <c r="T2282" s="4">
        <v>1</v>
      </c>
      <c r="U2282" s="4">
        <f>IF(AND(Table1[[#This Row],[Rework_Flag]]="Yes",Table1[[#This Row],[Warranty_Claim]]="No"),Table1[[#This Row],[Service_Revenue]],0)</f>
        <v>0</v>
      </c>
      <c r="V2282" s="4">
        <f>IF(Table1[[#This Row],[Warranty_Claim]]="Yes",1,0)</f>
        <v>1</v>
      </c>
      <c r="W2282" s="4">
        <f>IF(Table1[[#This Row],[Rework_Flag]]="No",1,0)</f>
        <v>0</v>
      </c>
      <c r="X2282" s="4">
        <f>IF(Table1[[#This Row],[Rework_Flag]]="Yes",1,0)</f>
        <v>1</v>
      </c>
      <c r="Y2282" s="4">
        <v>1</v>
      </c>
      <c r="Z2282" s="4" t="str">
        <f>IF(Table1[[#This Row],[TAT_Days]]&gt;Table1[[#This Row],[SLA_TAT]],"Yes","No")</f>
        <v>Yes</v>
      </c>
      <c r="AA2282" s="4" t="str" cm="1">
        <f t="array" ref="AA2282">_xlfn.IFS(Table1[[#This Row],[Customer_Satisfaction]]&lt;=2,"Poor",Table1[[#This Row],[Customer_Satisfaction]]=3,"Neutral",Table1[[#This Row],[Customer_Satisfaction]]=4,"Good",Table1[[#This Row],[Customer_Satisfaction]]=5,"Good")</f>
        <v>Poor</v>
      </c>
    </row>
    <row r="2283" spans="1:27" x14ac:dyDescent="0.35">
      <c r="A2283">
        <v>22281</v>
      </c>
      <c r="B2283" s="1">
        <v>45318</v>
      </c>
      <c r="C2283" t="s">
        <v>30</v>
      </c>
      <c r="D2283" t="s">
        <v>59</v>
      </c>
      <c r="E2283" t="s">
        <v>69</v>
      </c>
      <c r="F2283" t="s">
        <v>53</v>
      </c>
      <c r="G2283" t="s">
        <v>74</v>
      </c>
      <c r="H2283" t="s">
        <v>34</v>
      </c>
      <c r="I2283" t="s">
        <v>55</v>
      </c>
      <c r="J2283" t="s">
        <v>58</v>
      </c>
      <c r="K2283" t="s">
        <v>61</v>
      </c>
      <c r="L2283" t="s">
        <v>28</v>
      </c>
      <c r="M2283" s="4">
        <v>5</v>
      </c>
      <c r="N2283" s="4">
        <v>7</v>
      </c>
      <c r="O2283" t="s">
        <v>36</v>
      </c>
      <c r="P2283" t="s">
        <v>29</v>
      </c>
      <c r="Q2283" s="4">
        <v>215752</v>
      </c>
      <c r="R2283" s="4">
        <v>134592</v>
      </c>
      <c r="S2283" s="4">
        <f>Table1[[#This Row],[Service_Revenue]]-Table1[[#This Row],[Service_Cost]]</f>
        <v>81160</v>
      </c>
      <c r="T2283" s="4">
        <v>4</v>
      </c>
      <c r="U2283" s="4">
        <f>IF(AND(Table1[[#This Row],[Rework_Flag]]="Yes",Table1[[#This Row],[Warranty_Claim]]="No"),Table1[[#This Row],[Service_Revenue]],0)</f>
        <v>0</v>
      </c>
      <c r="V2283" s="4">
        <f>IF(Table1[[#This Row],[Warranty_Claim]]="Yes",1,0)</f>
        <v>1</v>
      </c>
      <c r="W2283" s="4">
        <f>IF(Table1[[#This Row],[Rework_Flag]]="No",1,0)</f>
        <v>1</v>
      </c>
      <c r="X2283" s="4">
        <f>IF(Table1[[#This Row],[Rework_Flag]]="Yes",1,0)</f>
        <v>0</v>
      </c>
      <c r="Y2283" s="4">
        <v>1</v>
      </c>
      <c r="Z2283" s="4" t="str">
        <f>IF(Table1[[#This Row],[TAT_Days]]&gt;Table1[[#This Row],[SLA_TAT]],"Yes","No")</f>
        <v>No</v>
      </c>
      <c r="AA2283" s="4" t="str" cm="1">
        <f t="array" ref="AA2283">_xlfn.IFS(Table1[[#This Row],[Customer_Satisfaction]]&lt;=2,"Poor",Table1[[#This Row],[Customer_Satisfaction]]=3,"Neutral",Table1[[#This Row],[Customer_Satisfaction]]=4,"Good",Table1[[#This Row],[Customer_Satisfaction]]=5,"Good")</f>
        <v>Good</v>
      </c>
    </row>
    <row r="2284" spans="1:27" x14ac:dyDescent="0.35">
      <c r="A2284">
        <v>22282</v>
      </c>
      <c r="B2284" s="1">
        <v>45389</v>
      </c>
      <c r="C2284" t="s">
        <v>37</v>
      </c>
      <c r="D2284" t="s">
        <v>64</v>
      </c>
      <c r="E2284" t="s">
        <v>87</v>
      </c>
      <c r="F2284" t="s">
        <v>40</v>
      </c>
      <c r="G2284" t="s">
        <v>54</v>
      </c>
      <c r="H2284" t="s">
        <v>42</v>
      </c>
      <c r="I2284" t="s">
        <v>25</v>
      </c>
      <c r="J2284" t="s">
        <v>26</v>
      </c>
      <c r="K2284" t="s">
        <v>27</v>
      </c>
      <c r="L2284" t="s">
        <v>49</v>
      </c>
      <c r="M2284" s="4">
        <v>2</v>
      </c>
      <c r="N2284" s="4">
        <v>7</v>
      </c>
      <c r="O2284" t="s">
        <v>36</v>
      </c>
      <c r="P2284" t="s">
        <v>36</v>
      </c>
      <c r="Q2284" s="4">
        <v>362723</v>
      </c>
      <c r="R2284" s="4">
        <v>202633</v>
      </c>
      <c r="S2284" s="4">
        <f>Table1[[#This Row],[Service_Revenue]]-Table1[[#This Row],[Service_Cost]]</f>
        <v>160090</v>
      </c>
      <c r="T2284" s="4">
        <v>5</v>
      </c>
      <c r="U2284" s="4">
        <f>IF(AND(Table1[[#This Row],[Rework_Flag]]="Yes",Table1[[#This Row],[Warranty_Claim]]="No"),Table1[[#This Row],[Service_Revenue]],0)</f>
        <v>0</v>
      </c>
      <c r="V2284" s="4">
        <f>IF(Table1[[#This Row],[Warranty_Claim]]="Yes",1,0)</f>
        <v>0</v>
      </c>
      <c r="W2284" s="4">
        <f>IF(Table1[[#This Row],[Rework_Flag]]="No",1,0)</f>
        <v>1</v>
      </c>
      <c r="X2284" s="4">
        <f>IF(Table1[[#This Row],[Rework_Flag]]="Yes",1,0)</f>
        <v>0</v>
      </c>
      <c r="Y2284" s="4">
        <v>1</v>
      </c>
      <c r="Z2284" s="4" t="str">
        <f>IF(Table1[[#This Row],[TAT_Days]]&gt;Table1[[#This Row],[SLA_TAT]],"Yes","No")</f>
        <v>No</v>
      </c>
      <c r="AA2284" s="4" t="str" cm="1">
        <f t="array" ref="AA2284">_xlfn.IFS(Table1[[#This Row],[Customer_Satisfaction]]&lt;=2,"Poor",Table1[[#This Row],[Customer_Satisfaction]]=3,"Neutral",Table1[[#This Row],[Customer_Satisfaction]]=4,"Good",Table1[[#This Row],[Customer_Satisfaction]]=5,"Good")</f>
        <v>Good</v>
      </c>
    </row>
    <row r="2285" spans="1:27" x14ac:dyDescent="0.35">
      <c r="A2285">
        <v>22283</v>
      </c>
      <c r="B2285" s="1">
        <v>45345</v>
      </c>
      <c r="C2285" t="s">
        <v>37</v>
      </c>
      <c r="D2285" t="s">
        <v>64</v>
      </c>
      <c r="E2285" t="s">
        <v>103</v>
      </c>
      <c r="F2285" t="s">
        <v>40</v>
      </c>
      <c r="G2285" t="s">
        <v>23</v>
      </c>
      <c r="H2285" t="s">
        <v>24</v>
      </c>
      <c r="I2285" t="s">
        <v>55</v>
      </c>
      <c r="J2285" t="s">
        <v>43</v>
      </c>
      <c r="K2285" t="s">
        <v>44</v>
      </c>
      <c r="L2285" t="s">
        <v>28</v>
      </c>
      <c r="M2285" s="4">
        <v>11</v>
      </c>
      <c r="N2285" s="4">
        <v>7</v>
      </c>
      <c r="O2285" t="s">
        <v>36</v>
      </c>
      <c r="P2285" t="s">
        <v>29</v>
      </c>
      <c r="Q2285" s="4">
        <v>522402</v>
      </c>
      <c r="R2285" s="4">
        <v>333826</v>
      </c>
      <c r="S2285" s="4">
        <f>Table1[[#This Row],[Service_Revenue]]-Table1[[#This Row],[Service_Cost]]</f>
        <v>188576</v>
      </c>
      <c r="T2285" s="4">
        <v>3</v>
      </c>
      <c r="U2285" s="4">
        <f>IF(AND(Table1[[#This Row],[Rework_Flag]]="Yes",Table1[[#This Row],[Warranty_Claim]]="No"),Table1[[#This Row],[Service_Revenue]],0)</f>
        <v>0</v>
      </c>
      <c r="V2285" s="4">
        <f>IF(Table1[[#This Row],[Warranty_Claim]]="Yes",1,0)</f>
        <v>1</v>
      </c>
      <c r="W2285" s="4">
        <f>IF(Table1[[#This Row],[Rework_Flag]]="No",1,0)</f>
        <v>1</v>
      </c>
      <c r="X2285" s="4">
        <f>IF(Table1[[#This Row],[Rework_Flag]]="Yes",1,0)</f>
        <v>0</v>
      </c>
      <c r="Y2285" s="4">
        <v>1</v>
      </c>
      <c r="Z2285" s="4" t="str">
        <f>IF(Table1[[#This Row],[TAT_Days]]&gt;Table1[[#This Row],[SLA_TAT]],"Yes","No")</f>
        <v>Yes</v>
      </c>
      <c r="AA2285" s="4" t="str" cm="1">
        <f t="array" ref="AA2285">_xlfn.IFS(Table1[[#This Row],[Customer_Satisfaction]]&lt;=2,"Poor",Table1[[#This Row],[Customer_Satisfaction]]=3,"Neutral",Table1[[#This Row],[Customer_Satisfaction]]=4,"Good",Table1[[#This Row],[Customer_Satisfaction]]=5,"Good")</f>
        <v>Neutral</v>
      </c>
    </row>
    <row r="2286" spans="1:27" x14ac:dyDescent="0.35">
      <c r="A2286">
        <v>22284</v>
      </c>
      <c r="B2286" s="1">
        <v>45359</v>
      </c>
      <c r="C2286" t="s">
        <v>30</v>
      </c>
      <c r="D2286" t="s">
        <v>83</v>
      </c>
      <c r="E2286" t="s">
        <v>119</v>
      </c>
      <c r="F2286" t="s">
        <v>40</v>
      </c>
      <c r="G2286" t="s">
        <v>33</v>
      </c>
      <c r="H2286" t="s">
        <v>34</v>
      </c>
      <c r="I2286" t="s">
        <v>55</v>
      </c>
      <c r="J2286" t="s">
        <v>58</v>
      </c>
      <c r="K2286" t="s">
        <v>44</v>
      </c>
      <c r="L2286" t="s">
        <v>49</v>
      </c>
      <c r="M2286" s="4">
        <v>20</v>
      </c>
      <c r="N2286" s="4">
        <v>7</v>
      </c>
      <c r="O2286" t="s">
        <v>29</v>
      </c>
      <c r="P2286" t="s">
        <v>36</v>
      </c>
      <c r="Q2286" s="4">
        <v>169913</v>
      </c>
      <c r="R2286" s="4">
        <v>94707</v>
      </c>
      <c r="S2286" s="4">
        <f>Table1[[#This Row],[Service_Revenue]]-Table1[[#This Row],[Service_Cost]]</f>
        <v>75206</v>
      </c>
      <c r="T2286" s="4">
        <v>1</v>
      </c>
      <c r="U2286" s="4">
        <f>IF(AND(Table1[[#This Row],[Rework_Flag]]="Yes",Table1[[#This Row],[Warranty_Claim]]="No"),Table1[[#This Row],[Service_Revenue]],0)</f>
        <v>169913</v>
      </c>
      <c r="V2286" s="4">
        <f>IF(Table1[[#This Row],[Warranty_Claim]]="Yes",1,0)</f>
        <v>0</v>
      </c>
      <c r="W2286" s="4">
        <f>IF(Table1[[#This Row],[Rework_Flag]]="No",1,0)</f>
        <v>0</v>
      </c>
      <c r="X2286" s="4">
        <f>IF(Table1[[#This Row],[Rework_Flag]]="Yes",1,0)</f>
        <v>1</v>
      </c>
      <c r="Y2286" s="4">
        <v>1</v>
      </c>
      <c r="Z2286" s="4" t="str">
        <f>IF(Table1[[#This Row],[TAT_Days]]&gt;Table1[[#This Row],[SLA_TAT]],"Yes","No")</f>
        <v>Yes</v>
      </c>
      <c r="AA2286" s="4" t="str" cm="1">
        <f t="array" ref="AA2286">_xlfn.IFS(Table1[[#This Row],[Customer_Satisfaction]]&lt;=2,"Poor",Table1[[#This Row],[Customer_Satisfaction]]=3,"Neutral",Table1[[#This Row],[Customer_Satisfaction]]=4,"Good",Table1[[#This Row],[Customer_Satisfaction]]=5,"Good")</f>
        <v>Poor</v>
      </c>
    </row>
    <row r="2287" spans="1:27" x14ac:dyDescent="0.35">
      <c r="A2287">
        <v>22285</v>
      </c>
      <c r="B2287" s="1">
        <v>45312</v>
      </c>
      <c r="C2287" t="s">
        <v>50</v>
      </c>
      <c r="D2287" t="s">
        <v>56</v>
      </c>
      <c r="E2287" t="s">
        <v>101</v>
      </c>
      <c r="F2287" t="s">
        <v>53</v>
      </c>
      <c r="G2287" t="s">
        <v>54</v>
      </c>
      <c r="H2287" t="s">
        <v>42</v>
      </c>
      <c r="I2287" t="s">
        <v>25</v>
      </c>
      <c r="J2287" t="s">
        <v>35</v>
      </c>
      <c r="K2287" t="s">
        <v>61</v>
      </c>
      <c r="L2287" t="s">
        <v>49</v>
      </c>
      <c r="M2287" s="4">
        <v>13</v>
      </c>
      <c r="N2287" s="4">
        <v>7</v>
      </c>
      <c r="O2287" t="s">
        <v>29</v>
      </c>
      <c r="P2287" t="s">
        <v>36</v>
      </c>
      <c r="Q2287" s="4">
        <v>306763</v>
      </c>
      <c r="R2287" s="4">
        <v>258671</v>
      </c>
      <c r="S2287" s="4">
        <f>Table1[[#This Row],[Service_Revenue]]-Table1[[#This Row],[Service_Cost]]</f>
        <v>48092</v>
      </c>
      <c r="T2287" s="4">
        <v>2</v>
      </c>
      <c r="U2287" s="4">
        <f>IF(AND(Table1[[#This Row],[Rework_Flag]]="Yes",Table1[[#This Row],[Warranty_Claim]]="No"),Table1[[#This Row],[Service_Revenue]],0)</f>
        <v>306763</v>
      </c>
      <c r="V2287" s="4">
        <f>IF(Table1[[#This Row],[Warranty_Claim]]="Yes",1,0)</f>
        <v>0</v>
      </c>
      <c r="W2287" s="4">
        <f>IF(Table1[[#This Row],[Rework_Flag]]="No",1,0)</f>
        <v>0</v>
      </c>
      <c r="X2287" s="4">
        <f>IF(Table1[[#This Row],[Rework_Flag]]="Yes",1,0)</f>
        <v>1</v>
      </c>
      <c r="Y2287" s="4">
        <v>1</v>
      </c>
      <c r="Z2287" s="4" t="str">
        <f>IF(Table1[[#This Row],[TAT_Days]]&gt;Table1[[#This Row],[SLA_TAT]],"Yes","No")</f>
        <v>Yes</v>
      </c>
      <c r="AA2287" s="4" t="str" cm="1">
        <f t="array" ref="AA2287">_xlfn.IFS(Table1[[#This Row],[Customer_Satisfaction]]&lt;=2,"Poor",Table1[[#This Row],[Customer_Satisfaction]]=3,"Neutral",Table1[[#This Row],[Customer_Satisfaction]]=4,"Good",Table1[[#This Row],[Customer_Satisfaction]]=5,"Good")</f>
        <v>Poor</v>
      </c>
    </row>
    <row r="2288" spans="1:27" x14ac:dyDescent="0.35">
      <c r="A2288">
        <v>22286</v>
      </c>
      <c r="B2288" s="1">
        <v>45320</v>
      </c>
      <c r="C2288" t="s">
        <v>50</v>
      </c>
      <c r="D2288" t="s">
        <v>80</v>
      </c>
      <c r="E2288" t="s">
        <v>85</v>
      </c>
      <c r="F2288" t="s">
        <v>53</v>
      </c>
      <c r="G2288" t="s">
        <v>54</v>
      </c>
      <c r="H2288" t="s">
        <v>42</v>
      </c>
      <c r="I2288" t="s">
        <v>25</v>
      </c>
      <c r="J2288" t="s">
        <v>58</v>
      </c>
      <c r="K2288" t="s">
        <v>44</v>
      </c>
      <c r="L2288" t="s">
        <v>28</v>
      </c>
      <c r="M2288" s="4">
        <v>19</v>
      </c>
      <c r="N2288" s="4">
        <v>7</v>
      </c>
      <c r="O2288" t="s">
        <v>36</v>
      </c>
      <c r="P2288" t="s">
        <v>36</v>
      </c>
      <c r="Q2288" s="4">
        <v>428750</v>
      </c>
      <c r="R2288" s="4">
        <v>264176</v>
      </c>
      <c r="S2288" s="4">
        <f>Table1[[#This Row],[Service_Revenue]]-Table1[[#This Row],[Service_Cost]]</f>
        <v>164574</v>
      </c>
      <c r="T2288" s="4">
        <v>2</v>
      </c>
      <c r="U2288" s="4">
        <f>IF(AND(Table1[[#This Row],[Rework_Flag]]="Yes",Table1[[#This Row],[Warranty_Claim]]="No"),Table1[[#This Row],[Service_Revenue]],0)</f>
        <v>0</v>
      </c>
      <c r="V2288" s="4">
        <f>IF(Table1[[#This Row],[Warranty_Claim]]="Yes",1,0)</f>
        <v>0</v>
      </c>
      <c r="W2288" s="4">
        <f>IF(Table1[[#This Row],[Rework_Flag]]="No",1,0)</f>
        <v>1</v>
      </c>
      <c r="X2288" s="4">
        <f>IF(Table1[[#This Row],[Rework_Flag]]="Yes",1,0)</f>
        <v>0</v>
      </c>
      <c r="Y2288" s="4">
        <v>1</v>
      </c>
      <c r="Z2288" s="4" t="str">
        <f>IF(Table1[[#This Row],[TAT_Days]]&gt;Table1[[#This Row],[SLA_TAT]],"Yes","No")</f>
        <v>Yes</v>
      </c>
      <c r="AA2288" s="4" t="str" cm="1">
        <f t="array" ref="AA2288">_xlfn.IFS(Table1[[#This Row],[Customer_Satisfaction]]&lt;=2,"Poor",Table1[[#This Row],[Customer_Satisfaction]]=3,"Neutral",Table1[[#This Row],[Customer_Satisfaction]]=4,"Good",Table1[[#This Row],[Customer_Satisfaction]]=5,"Good")</f>
        <v>Poor</v>
      </c>
    </row>
    <row r="2289" spans="1:27" x14ac:dyDescent="0.35">
      <c r="A2289">
        <v>22287</v>
      </c>
      <c r="B2289" s="1">
        <v>45388</v>
      </c>
      <c r="C2289" t="s">
        <v>30</v>
      </c>
      <c r="D2289" t="s">
        <v>59</v>
      </c>
      <c r="E2289" t="s">
        <v>66</v>
      </c>
      <c r="F2289" t="s">
        <v>53</v>
      </c>
      <c r="G2289" t="s">
        <v>63</v>
      </c>
      <c r="H2289" t="s">
        <v>24</v>
      </c>
      <c r="I2289" t="s">
        <v>55</v>
      </c>
      <c r="J2289" t="s">
        <v>58</v>
      </c>
      <c r="K2289" t="s">
        <v>44</v>
      </c>
      <c r="L2289" t="s">
        <v>49</v>
      </c>
      <c r="M2289" s="4">
        <v>11</v>
      </c>
      <c r="N2289" s="4">
        <v>7</v>
      </c>
      <c r="O2289" t="s">
        <v>29</v>
      </c>
      <c r="P2289" t="s">
        <v>36</v>
      </c>
      <c r="Q2289" s="4">
        <v>466149</v>
      </c>
      <c r="R2289" s="4">
        <v>294827</v>
      </c>
      <c r="S2289" s="4">
        <f>Table1[[#This Row],[Service_Revenue]]-Table1[[#This Row],[Service_Cost]]</f>
        <v>171322</v>
      </c>
      <c r="T2289" s="4">
        <v>2</v>
      </c>
      <c r="U2289" s="4">
        <f>IF(AND(Table1[[#This Row],[Rework_Flag]]="Yes",Table1[[#This Row],[Warranty_Claim]]="No"),Table1[[#This Row],[Service_Revenue]],0)</f>
        <v>466149</v>
      </c>
      <c r="V2289" s="4">
        <f>IF(Table1[[#This Row],[Warranty_Claim]]="Yes",1,0)</f>
        <v>0</v>
      </c>
      <c r="W2289" s="4">
        <f>IF(Table1[[#This Row],[Rework_Flag]]="No",1,0)</f>
        <v>0</v>
      </c>
      <c r="X2289" s="4">
        <f>IF(Table1[[#This Row],[Rework_Flag]]="Yes",1,0)</f>
        <v>1</v>
      </c>
      <c r="Y2289" s="4">
        <v>1</v>
      </c>
      <c r="Z2289" s="4" t="str">
        <f>IF(Table1[[#This Row],[TAT_Days]]&gt;Table1[[#This Row],[SLA_TAT]],"Yes","No")</f>
        <v>Yes</v>
      </c>
      <c r="AA2289" s="4" t="str" cm="1">
        <f t="array" ref="AA2289">_xlfn.IFS(Table1[[#This Row],[Customer_Satisfaction]]&lt;=2,"Poor",Table1[[#This Row],[Customer_Satisfaction]]=3,"Neutral",Table1[[#This Row],[Customer_Satisfaction]]=4,"Good",Table1[[#This Row],[Customer_Satisfaction]]=5,"Good")</f>
        <v>Poor</v>
      </c>
    </row>
    <row r="2290" spans="1:27" x14ac:dyDescent="0.35">
      <c r="A2290">
        <v>22288</v>
      </c>
      <c r="B2290" s="1">
        <v>45300</v>
      </c>
      <c r="C2290" t="s">
        <v>37</v>
      </c>
      <c r="D2290" t="s">
        <v>64</v>
      </c>
      <c r="E2290" t="s">
        <v>72</v>
      </c>
      <c r="F2290" t="s">
        <v>53</v>
      </c>
      <c r="G2290" t="s">
        <v>41</v>
      </c>
      <c r="H2290" t="s">
        <v>42</v>
      </c>
      <c r="I2290" t="s">
        <v>25</v>
      </c>
      <c r="J2290" t="s">
        <v>58</v>
      </c>
      <c r="K2290" t="s">
        <v>44</v>
      </c>
      <c r="L2290" t="s">
        <v>28</v>
      </c>
      <c r="M2290" s="4">
        <v>8</v>
      </c>
      <c r="N2290" s="4">
        <v>7</v>
      </c>
      <c r="O2290" t="s">
        <v>36</v>
      </c>
      <c r="P2290" t="s">
        <v>29</v>
      </c>
      <c r="Q2290" s="4">
        <v>165861</v>
      </c>
      <c r="R2290" s="4">
        <v>107424</v>
      </c>
      <c r="S2290" s="4">
        <f>Table1[[#This Row],[Service_Revenue]]-Table1[[#This Row],[Service_Cost]]</f>
        <v>58437</v>
      </c>
      <c r="T2290" s="4">
        <v>4</v>
      </c>
      <c r="U2290" s="4">
        <f>IF(AND(Table1[[#This Row],[Rework_Flag]]="Yes",Table1[[#This Row],[Warranty_Claim]]="No"),Table1[[#This Row],[Service_Revenue]],0)</f>
        <v>0</v>
      </c>
      <c r="V2290" s="4">
        <f>IF(Table1[[#This Row],[Warranty_Claim]]="Yes",1,0)</f>
        <v>1</v>
      </c>
      <c r="W2290" s="4">
        <f>IF(Table1[[#This Row],[Rework_Flag]]="No",1,0)</f>
        <v>1</v>
      </c>
      <c r="X2290" s="4">
        <f>IF(Table1[[#This Row],[Rework_Flag]]="Yes",1,0)</f>
        <v>0</v>
      </c>
      <c r="Y2290" s="4">
        <v>1</v>
      </c>
      <c r="Z2290" s="4" t="str">
        <f>IF(Table1[[#This Row],[TAT_Days]]&gt;Table1[[#This Row],[SLA_TAT]],"Yes","No")</f>
        <v>Yes</v>
      </c>
      <c r="AA2290" s="4" t="str" cm="1">
        <f t="array" ref="AA2290">_xlfn.IFS(Table1[[#This Row],[Customer_Satisfaction]]&lt;=2,"Poor",Table1[[#This Row],[Customer_Satisfaction]]=3,"Neutral",Table1[[#This Row],[Customer_Satisfaction]]=4,"Good",Table1[[#This Row],[Customer_Satisfaction]]=5,"Good")</f>
        <v>Good</v>
      </c>
    </row>
    <row r="2291" spans="1:27" x14ac:dyDescent="0.35">
      <c r="A2291">
        <v>22289</v>
      </c>
      <c r="B2291" s="1">
        <v>45351</v>
      </c>
      <c r="C2291" t="s">
        <v>50</v>
      </c>
      <c r="D2291" t="s">
        <v>56</v>
      </c>
      <c r="E2291" t="s">
        <v>101</v>
      </c>
      <c r="F2291" t="s">
        <v>53</v>
      </c>
      <c r="G2291" t="s">
        <v>33</v>
      </c>
      <c r="H2291" t="s">
        <v>34</v>
      </c>
      <c r="I2291" t="s">
        <v>55</v>
      </c>
      <c r="J2291" t="s">
        <v>26</v>
      </c>
      <c r="K2291" t="s">
        <v>27</v>
      </c>
      <c r="L2291" t="s">
        <v>49</v>
      </c>
      <c r="M2291" s="4">
        <v>3</v>
      </c>
      <c r="N2291" s="4">
        <v>7</v>
      </c>
      <c r="O2291" t="s">
        <v>36</v>
      </c>
      <c r="P2291" t="s">
        <v>36</v>
      </c>
      <c r="Q2291" s="4">
        <v>439512</v>
      </c>
      <c r="R2291" s="4">
        <v>307075</v>
      </c>
      <c r="S2291" s="4">
        <f>Table1[[#This Row],[Service_Revenue]]-Table1[[#This Row],[Service_Cost]]</f>
        <v>132437</v>
      </c>
      <c r="T2291" s="4">
        <v>5</v>
      </c>
      <c r="U2291" s="4">
        <f>IF(AND(Table1[[#This Row],[Rework_Flag]]="Yes",Table1[[#This Row],[Warranty_Claim]]="No"),Table1[[#This Row],[Service_Revenue]],0)</f>
        <v>0</v>
      </c>
      <c r="V2291" s="4">
        <f>IF(Table1[[#This Row],[Warranty_Claim]]="Yes",1,0)</f>
        <v>0</v>
      </c>
      <c r="W2291" s="4">
        <f>IF(Table1[[#This Row],[Rework_Flag]]="No",1,0)</f>
        <v>1</v>
      </c>
      <c r="X2291" s="4">
        <f>IF(Table1[[#This Row],[Rework_Flag]]="Yes",1,0)</f>
        <v>0</v>
      </c>
      <c r="Y2291" s="4">
        <v>1</v>
      </c>
      <c r="Z2291" s="4" t="str">
        <f>IF(Table1[[#This Row],[TAT_Days]]&gt;Table1[[#This Row],[SLA_TAT]],"Yes","No")</f>
        <v>No</v>
      </c>
      <c r="AA2291" s="4" t="str" cm="1">
        <f t="array" ref="AA2291">_xlfn.IFS(Table1[[#This Row],[Customer_Satisfaction]]&lt;=2,"Poor",Table1[[#This Row],[Customer_Satisfaction]]=3,"Neutral",Table1[[#This Row],[Customer_Satisfaction]]=4,"Good",Table1[[#This Row],[Customer_Satisfaction]]=5,"Good")</f>
        <v>Good</v>
      </c>
    </row>
    <row r="2292" spans="1:27" x14ac:dyDescent="0.35">
      <c r="A2292">
        <v>22290</v>
      </c>
      <c r="B2292" s="1">
        <v>45359</v>
      </c>
      <c r="C2292" t="s">
        <v>37</v>
      </c>
      <c r="D2292" t="s">
        <v>70</v>
      </c>
      <c r="E2292" t="s">
        <v>100</v>
      </c>
      <c r="F2292" t="s">
        <v>53</v>
      </c>
      <c r="G2292" t="s">
        <v>23</v>
      </c>
      <c r="H2292" t="s">
        <v>24</v>
      </c>
      <c r="I2292" t="s">
        <v>25</v>
      </c>
      <c r="J2292" t="s">
        <v>58</v>
      </c>
      <c r="K2292" t="s">
        <v>61</v>
      </c>
      <c r="L2292" t="s">
        <v>49</v>
      </c>
      <c r="M2292" s="4">
        <v>12</v>
      </c>
      <c r="N2292" s="4">
        <v>7</v>
      </c>
      <c r="O2292" t="s">
        <v>36</v>
      </c>
      <c r="P2292" t="s">
        <v>36</v>
      </c>
      <c r="Q2292" s="4">
        <v>164291</v>
      </c>
      <c r="R2292" s="4">
        <v>123628</v>
      </c>
      <c r="S2292" s="4">
        <f>Table1[[#This Row],[Service_Revenue]]-Table1[[#This Row],[Service_Cost]]</f>
        <v>40663</v>
      </c>
      <c r="T2292" s="4">
        <v>3</v>
      </c>
      <c r="U2292" s="4">
        <f>IF(AND(Table1[[#This Row],[Rework_Flag]]="Yes",Table1[[#This Row],[Warranty_Claim]]="No"),Table1[[#This Row],[Service_Revenue]],0)</f>
        <v>0</v>
      </c>
      <c r="V2292" s="4">
        <f>IF(Table1[[#This Row],[Warranty_Claim]]="Yes",1,0)</f>
        <v>0</v>
      </c>
      <c r="W2292" s="4">
        <f>IF(Table1[[#This Row],[Rework_Flag]]="No",1,0)</f>
        <v>1</v>
      </c>
      <c r="X2292" s="4">
        <f>IF(Table1[[#This Row],[Rework_Flag]]="Yes",1,0)</f>
        <v>0</v>
      </c>
      <c r="Y2292" s="4">
        <v>1</v>
      </c>
      <c r="Z2292" s="4" t="str">
        <f>IF(Table1[[#This Row],[TAT_Days]]&gt;Table1[[#This Row],[SLA_TAT]],"Yes","No")</f>
        <v>Yes</v>
      </c>
      <c r="AA2292" s="4" t="str" cm="1">
        <f t="array" ref="AA2292">_xlfn.IFS(Table1[[#This Row],[Customer_Satisfaction]]&lt;=2,"Poor",Table1[[#This Row],[Customer_Satisfaction]]=3,"Neutral",Table1[[#This Row],[Customer_Satisfaction]]=4,"Good",Table1[[#This Row],[Customer_Satisfaction]]=5,"Good")</f>
        <v>Neutral</v>
      </c>
    </row>
    <row r="2293" spans="1:27" x14ac:dyDescent="0.35">
      <c r="A2293">
        <v>22291</v>
      </c>
      <c r="B2293" s="1">
        <v>45365</v>
      </c>
      <c r="C2293" t="s">
        <v>19</v>
      </c>
      <c r="D2293" t="s">
        <v>20</v>
      </c>
      <c r="E2293" t="s">
        <v>86</v>
      </c>
      <c r="F2293" t="s">
        <v>53</v>
      </c>
      <c r="G2293" t="s">
        <v>23</v>
      </c>
      <c r="H2293" t="s">
        <v>24</v>
      </c>
      <c r="I2293" t="s">
        <v>25</v>
      </c>
      <c r="J2293" t="s">
        <v>58</v>
      </c>
      <c r="K2293" t="s">
        <v>27</v>
      </c>
      <c r="L2293" t="s">
        <v>28</v>
      </c>
      <c r="M2293" s="4">
        <v>16</v>
      </c>
      <c r="N2293" s="4">
        <v>7</v>
      </c>
      <c r="O2293" t="s">
        <v>29</v>
      </c>
      <c r="P2293" t="s">
        <v>29</v>
      </c>
      <c r="Q2293" s="4">
        <v>336255</v>
      </c>
      <c r="R2293" s="4">
        <v>203186</v>
      </c>
      <c r="S2293" s="4">
        <f>Table1[[#This Row],[Service_Revenue]]-Table1[[#This Row],[Service_Cost]]</f>
        <v>133069</v>
      </c>
      <c r="T2293" s="4">
        <v>1</v>
      </c>
      <c r="U2293" s="4">
        <f>IF(AND(Table1[[#This Row],[Rework_Flag]]="Yes",Table1[[#This Row],[Warranty_Claim]]="No"),Table1[[#This Row],[Service_Revenue]],0)</f>
        <v>0</v>
      </c>
      <c r="V2293" s="4">
        <f>IF(Table1[[#This Row],[Warranty_Claim]]="Yes",1,0)</f>
        <v>1</v>
      </c>
      <c r="W2293" s="4">
        <f>IF(Table1[[#This Row],[Rework_Flag]]="No",1,0)</f>
        <v>0</v>
      </c>
      <c r="X2293" s="4">
        <f>IF(Table1[[#This Row],[Rework_Flag]]="Yes",1,0)</f>
        <v>1</v>
      </c>
      <c r="Y2293" s="4">
        <v>1</v>
      </c>
      <c r="Z2293" s="4" t="str">
        <f>IF(Table1[[#This Row],[TAT_Days]]&gt;Table1[[#This Row],[SLA_TAT]],"Yes","No")</f>
        <v>Yes</v>
      </c>
      <c r="AA2293" s="4" t="str" cm="1">
        <f t="array" ref="AA2293">_xlfn.IFS(Table1[[#This Row],[Customer_Satisfaction]]&lt;=2,"Poor",Table1[[#This Row],[Customer_Satisfaction]]=3,"Neutral",Table1[[#This Row],[Customer_Satisfaction]]=4,"Good",Table1[[#This Row],[Customer_Satisfaction]]=5,"Good")</f>
        <v>Poor</v>
      </c>
    </row>
    <row r="2294" spans="1:27" x14ac:dyDescent="0.35">
      <c r="A2294">
        <v>22292</v>
      </c>
      <c r="B2294" s="1">
        <v>45377</v>
      </c>
      <c r="C2294" t="s">
        <v>30</v>
      </c>
      <c r="D2294" t="s">
        <v>31</v>
      </c>
      <c r="E2294" t="s">
        <v>32</v>
      </c>
      <c r="F2294" t="s">
        <v>22</v>
      </c>
      <c r="G2294" t="s">
        <v>54</v>
      </c>
      <c r="H2294" t="s">
        <v>42</v>
      </c>
      <c r="I2294" t="s">
        <v>55</v>
      </c>
      <c r="J2294" t="s">
        <v>58</v>
      </c>
      <c r="K2294" t="s">
        <v>27</v>
      </c>
      <c r="L2294" t="s">
        <v>28</v>
      </c>
      <c r="M2294" s="4">
        <v>11</v>
      </c>
      <c r="N2294" s="4">
        <v>7</v>
      </c>
      <c r="O2294" t="s">
        <v>29</v>
      </c>
      <c r="P2294" t="s">
        <v>36</v>
      </c>
      <c r="Q2294" s="4">
        <v>292831</v>
      </c>
      <c r="R2294" s="4">
        <v>195990</v>
      </c>
      <c r="S2294" s="4">
        <f>Table1[[#This Row],[Service_Revenue]]-Table1[[#This Row],[Service_Cost]]</f>
        <v>96841</v>
      </c>
      <c r="T2294" s="4">
        <v>2</v>
      </c>
      <c r="U2294" s="4">
        <f>IF(AND(Table1[[#This Row],[Rework_Flag]]="Yes",Table1[[#This Row],[Warranty_Claim]]="No"),Table1[[#This Row],[Service_Revenue]],0)</f>
        <v>292831</v>
      </c>
      <c r="V2294" s="4">
        <f>IF(Table1[[#This Row],[Warranty_Claim]]="Yes",1,0)</f>
        <v>0</v>
      </c>
      <c r="W2294" s="4">
        <f>IF(Table1[[#This Row],[Rework_Flag]]="No",1,0)</f>
        <v>0</v>
      </c>
      <c r="X2294" s="4">
        <f>IF(Table1[[#This Row],[Rework_Flag]]="Yes",1,0)</f>
        <v>1</v>
      </c>
      <c r="Y2294" s="4">
        <v>1</v>
      </c>
      <c r="Z2294" s="4" t="str">
        <f>IF(Table1[[#This Row],[TAT_Days]]&gt;Table1[[#This Row],[SLA_TAT]],"Yes","No")</f>
        <v>Yes</v>
      </c>
      <c r="AA2294" s="4" t="str" cm="1">
        <f t="array" ref="AA2294">_xlfn.IFS(Table1[[#This Row],[Customer_Satisfaction]]&lt;=2,"Poor",Table1[[#This Row],[Customer_Satisfaction]]=3,"Neutral",Table1[[#This Row],[Customer_Satisfaction]]=4,"Good",Table1[[#This Row],[Customer_Satisfaction]]=5,"Good")</f>
        <v>Poor</v>
      </c>
    </row>
    <row r="2295" spans="1:27" x14ac:dyDescent="0.35">
      <c r="A2295">
        <v>22293</v>
      </c>
      <c r="B2295" s="1">
        <v>45422</v>
      </c>
      <c r="C2295" t="s">
        <v>50</v>
      </c>
      <c r="D2295" t="s">
        <v>80</v>
      </c>
      <c r="E2295" t="s">
        <v>118</v>
      </c>
      <c r="F2295" t="s">
        <v>40</v>
      </c>
      <c r="G2295" t="s">
        <v>41</v>
      </c>
      <c r="H2295" t="s">
        <v>42</v>
      </c>
      <c r="I2295" t="s">
        <v>25</v>
      </c>
      <c r="J2295" t="s">
        <v>26</v>
      </c>
      <c r="K2295" t="s">
        <v>61</v>
      </c>
      <c r="L2295" t="s">
        <v>28</v>
      </c>
      <c r="M2295" s="4">
        <v>7</v>
      </c>
      <c r="N2295" s="4">
        <v>7</v>
      </c>
      <c r="O2295" t="s">
        <v>36</v>
      </c>
      <c r="P2295" t="s">
        <v>29</v>
      </c>
      <c r="Q2295" s="4">
        <v>107036</v>
      </c>
      <c r="R2295" s="4">
        <v>55708</v>
      </c>
      <c r="S2295" s="4">
        <f>Table1[[#This Row],[Service_Revenue]]-Table1[[#This Row],[Service_Cost]]</f>
        <v>51328</v>
      </c>
      <c r="T2295" s="4">
        <v>4</v>
      </c>
      <c r="U2295" s="4">
        <f>IF(AND(Table1[[#This Row],[Rework_Flag]]="Yes",Table1[[#This Row],[Warranty_Claim]]="No"),Table1[[#This Row],[Service_Revenue]],0)</f>
        <v>0</v>
      </c>
      <c r="V2295" s="4">
        <f>IF(Table1[[#This Row],[Warranty_Claim]]="Yes",1,0)</f>
        <v>1</v>
      </c>
      <c r="W2295" s="4">
        <f>IF(Table1[[#This Row],[Rework_Flag]]="No",1,0)</f>
        <v>1</v>
      </c>
      <c r="X2295" s="4">
        <f>IF(Table1[[#This Row],[Rework_Flag]]="Yes",1,0)</f>
        <v>0</v>
      </c>
      <c r="Y2295" s="4">
        <v>1</v>
      </c>
      <c r="Z2295" s="4" t="str">
        <f>IF(Table1[[#This Row],[TAT_Days]]&gt;Table1[[#This Row],[SLA_TAT]],"Yes","No")</f>
        <v>No</v>
      </c>
      <c r="AA2295" s="4" t="str" cm="1">
        <f t="array" ref="AA2295">_xlfn.IFS(Table1[[#This Row],[Customer_Satisfaction]]&lt;=2,"Poor",Table1[[#This Row],[Customer_Satisfaction]]=3,"Neutral",Table1[[#This Row],[Customer_Satisfaction]]=4,"Good",Table1[[#This Row],[Customer_Satisfaction]]=5,"Good")</f>
        <v>Good</v>
      </c>
    </row>
    <row r="2296" spans="1:27" x14ac:dyDescent="0.35">
      <c r="A2296">
        <v>22294</v>
      </c>
      <c r="B2296" s="1">
        <v>45460</v>
      </c>
      <c r="C2296" t="s">
        <v>30</v>
      </c>
      <c r="D2296" t="s">
        <v>59</v>
      </c>
      <c r="E2296" t="s">
        <v>60</v>
      </c>
      <c r="F2296" t="s">
        <v>53</v>
      </c>
      <c r="G2296" t="s">
        <v>33</v>
      </c>
      <c r="H2296" t="s">
        <v>34</v>
      </c>
      <c r="I2296" t="s">
        <v>55</v>
      </c>
      <c r="J2296" t="s">
        <v>35</v>
      </c>
      <c r="K2296" t="s">
        <v>61</v>
      </c>
      <c r="L2296" t="s">
        <v>28</v>
      </c>
      <c r="M2296" s="4">
        <v>14</v>
      </c>
      <c r="N2296" s="4">
        <v>7</v>
      </c>
      <c r="O2296" t="s">
        <v>36</v>
      </c>
      <c r="P2296" t="s">
        <v>36</v>
      </c>
      <c r="Q2296" s="4">
        <v>323943</v>
      </c>
      <c r="R2296" s="4">
        <v>207424</v>
      </c>
      <c r="S2296" s="4">
        <f>Table1[[#This Row],[Service_Revenue]]-Table1[[#This Row],[Service_Cost]]</f>
        <v>116519</v>
      </c>
      <c r="T2296" s="4">
        <v>3</v>
      </c>
      <c r="U2296" s="4">
        <f>IF(AND(Table1[[#This Row],[Rework_Flag]]="Yes",Table1[[#This Row],[Warranty_Claim]]="No"),Table1[[#This Row],[Service_Revenue]],0)</f>
        <v>0</v>
      </c>
      <c r="V2296" s="4">
        <f>IF(Table1[[#This Row],[Warranty_Claim]]="Yes",1,0)</f>
        <v>0</v>
      </c>
      <c r="W2296" s="4">
        <f>IF(Table1[[#This Row],[Rework_Flag]]="No",1,0)</f>
        <v>1</v>
      </c>
      <c r="X2296" s="4">
        <f>IF(Table1[[#This Row],[Rework_Flag]]="Yes",1,0)</f>
        <v>0</v>
      </c>
      <c r="Y2296" s="4">
        <v>1</v>
      </c>
      <c r="Z2296" s="4" t="str">
        <f>IF(Table1[[#This Row],[TAT_Days]]&gt;Table1[[#This Row],[SLA_TAT]],"Yes","No")</f>
        <v>Yes</v>
      </c>
      <c r="AA2296" s="4" t="str" cm="1">
        <f t="array" ref="AA2296">_xlfn.IFS(Table1[[#This Row],[Customer_Satisfaction]]&lt;=2,"Poor",Table1[[#This Row],[Customer_Satisfaction]]=3,"Neutral",Table1[[#This Row],[Customer_Satisfaction]]=4,"Good",Table1[[#This Row],[Customer_Satisfaction]]=5,"Good")</f>
        <v>Neutral</v>
      </c>
    </row>
    <row r="2297" spans="1:27" x14ac:dyDescent="0.35">
      <c r="A2297">
        <v>22295</v>
      </c>
      <c r="B2297" s="1">
        <v>45371</v>
      </c>
      <c r="C2297" t="s">
        <v>37</v>
      </c>
      <c r="D2297" t="s">
        <v>64</v>
      </c>
      <c r="E2297" t="s">
        <v>103</v>
      </c>
      <c r="F2297" t="s">
        <v>40</v>
      </c>
      <c r="G2297" t="s">
        <v>47</v>
      </c>
      <c r="H2297" t="s">
        <v>48</v>
      </c>
      <c r="I2297" t="s">
        <v>25</v>
      </c>
      <c r="J2297" t="s">
        <v>58</v>
      </c>
      <c r="K2297" t="s">
        <v>44</v>
      </c>
      <c r="L2297" t="s">
        <v>49</v>
      </c>
      <c r="M2297" s="4">
        <v>14</v>
      </c>
      <c r="N2297" s="4">
        <v>7</v>
      </c>
      <c r="O2297" t="s">
        <v>29</v>
      </c>
      <c r="P2297" t="s">
        <v>36</v>
      </c>
      <c r="Q2297" s="4">
        <v>539183</v>
      </c>
      <c r="R2297" s="4">
        <v>282121</v>
      </c>
      <c r="S2297" s="4">
        <f>Table1[[#This Row],[Service_Revenue]]-Table1[[#This Row],[Service_Cost]]</f>
        <v>257062</v>
      </c>
      <c r="T2297" s="4">
        <v>2</v>
      </c>
      <c r="U2297" s="4">
        <f>IF(AND(Table1[[#This Row],[Rework_Flag]]="Yes",Table1[[#This Row],[Warranty_Claim]]="No"),Table1[[#This Row],[Service_Revenue]],0)</f>
        <v>539183</v>
      </c>
      <c r="V2297" s="4">
        <f>IF(Table1[[#This Row],[Warranty_Claim]]="Yes",1,0)</f>
        <v>0</v>
      </c>
      <c r="W2297" s="4">
        <f>IF(Table1[[#This Row],[Rework_Flag]]="No",1,0)</f>
        <v>0</v>
      </c>
      <c r="X2297" s="4">
        <f>IF(Table1[[#This Row],[Rework_Flag]]="Yes",1,0)</f>
        <v>1</v>
      </c>
      <c r="Y2297" s="4">
        <v>1</v>
      </c>
      <c r="Z2297" s="4" t="str">
        <f>IF(Table1[[#This Row],[TAT_Days]]&gt;Table1[[#This Row],[SLA_TAT]],"Yes","No")</f>
        <v>Yes</v>
      </c>
      <c r="AA2297" s="4" t="str" cm="1">
        <f t="array" ref="AA2297">_xlfn.IFS(Table1[[#This Row],[Customer_Satisfaction]]&lt;=2,"Poor",Table1[[#This Row],[Customer_Satisfaction]]=3,"Neutral",Table1[[#This Row],[Customer_Satisfaction]]=4,"Good",Table1[[#This Row],[Customer_Satisfaction]]=5,"Good")</f>
        <v>Poor</v>
      </c>
    </row>
    <row r="2298" spans="1:27" x14ac:dyDescent="0.35">
      <c r="A2298">
        <v>22296</v>
      </c>
      <c r="B2298" s="1">
        <v>45410</v>
      </c>
      <c r="C2298" t="s">
        <v>19</v>
      </c>
      <c r="D2298" t="s">
        <v>96</v>
      </c>
      <c r="E2298" t="s">
        <v>108</v>
      </c>
      <c r="F2298" t="s">
        <v>53</v>
      </c>
      <c r="G2298" t="s">
        <v>47</v>
      </c>
      <c r="H2298" t="s">
        <v>48</v>
      </c>
      <c r="I2298" t="s">
        <v>55</v>
      </c>
      <c r="J2298" t="s">
        <v>26</v>
      </c>
      <c r="K2298" t="s">
        <v>44</v>
      </c>
      <c r="L2298" t="s">
        <v>28</v>
      </c>
      <c r="M2298" s="4">
        <v>13</v>
      </c>
      <c r="N2298" s="4">
        <v>7</v>
      </c>
      <c r="O2298" t="s">
        <v>29</v>
      </c>
      <c r="P2298" t="s">
        <v>36</v>
      </c>
      <c r="Q2298" s="4">
        <v>497327</v>
      </c>
      <c r="R2298" s="4">
        <v>416998</v>
      </c>
      <c r="S2298" s="4">
        <f>Table1[[#This Row],[Service_Revenue]]-Table1[[#This Row],[Service_Cost]]</f>
        <v>80329</v>
      </c>
      <c r="T2298" s="4">
        <v>2</v>
      </c>
      <c r="U2298" s="4">
        <f>IF(AND(Table1[[#This Row],[Rework_Flag]]="Yes",Table1[[#This Row],[Warranty_Claim]]="No"),Table1[[#This Row],[Service_Revenue]],0)</f>
        <v>497327</v>
      </c>
      <c r="V2298" s="4">
        <f>IF(Table1[[#This Row],[Warranty_Claim]]="Yes",1,0)</f>
        <v>0</v>
      </c>
      <c r="W2298" s="4">
        <f>IF(Table1[[#This Row],[Rework_Flag]]="No",1,0)</f>
        <v>0</v>
      </c>
      <c r="X2298" s="4">
        <f>IF(Table1[[#This Row],[Rework_Flag]]="Yes",1,0)</f>
        <v>1</v>
      </c>
      <c r="Y2298" s="4">
        <v>1</v>
      </c>
      <c r="Z2298" s="4" t="str">
        <f>IF(Table1[[#This Row],[TAT_Days]]&gt;Table1[[#This Row],[SLA_TAT]],"Yes","No")</f>
        <v>Yes</v>
      </c>
      <c r="AA2298" s="4" t="str" cm="1">
        <f t="array" ref="AA2298">_xlfn.IFS(Table1[[#This Row],[Customer_Satisfaction]]&lt;=2,"Poor",Table1[[#This Row],[Customer_Satisfaction]]=3,"Neutral",Table1[[#This Row],[Customer_Satisfaction]]=4,"Good",Table1[[#This Row],[Customer_Satisfaction]]=5,"Good")</f>
        <v>Poor</v>
      </c>
    </row>
    <row r="2299" spans="1:27" x14ac:dyDescent="0.35">
      <c r="A2299">
        <v>22297</v>
      </c>
      <c r="B2299" s="1">
        <v>45306</v>
      </c>
      <c r="C2299" t="s">
        <v>19</v>
      </c>
      <c r="D2299" t="s">
        <v>96</v>
      </c>
      <c r="E2299" t="s">
        <v>109</v>
      </c>
      <c r="F2299" t="s">
        <v>53</v>
      </c>
      <c r="G2299" t="s">
        <v>74</v>
      </c>
      <c r="H2299" t="s">
        <v>34</v>
      </c>
      <c r="I2299" t="s">
        <v>55</v>
      </c>
      <c r="J2299" t="s">
        <v>35</v>
      </c>
      <c r="K2299" t="s">
        <v>44</v>
      </c>
      <c r="L2299" t="s">
        <v>28</v>
      </c>
      <c r="M2299" s="4">
        <v>24</v>
      </c>
      <c r="N2299" s="4">
        <v>7</v>
      </c>
      <c r="O2299" t="s">
        <v>36</v>
      </c>
      <c r="P2299" t="s">
        <v>36</v>
      </c>
      <c r="Q2299" s="4">
        <v>241994</v>
      </c>
      <c r="R2299" s="4">
        <v>176177</v>
      </c>
      <c r="S2299" s="4">
        <f>Table1[[#This Row],[Service_Revenue]]-Table1[[#This Row],[Service_Cost]]</f>
        <v>65817</v>
      </c>
      <c r="T2299" s="4">
        <v>1</v>
      </c>
      <c r="U2299" s="4">
        <f>IF(AND(Table1[[#This Row],[Rework_Flag]]="Yes",Table1[[#This Row],[Warranty_Claim]]="No"),Table1[[#This Row],[Service_Revenue]],0)</f>
        <v>0</v>
      </c>
      <c r="V2299" s="4">
        <f>IF(Table1[[#This Row],[Warranty_Claim]]="Yes",1,0)</f>
        <v>0</v>
      </c>
      <c r="W2299" s="4">
        <f>IF(Table1[[#This Row],[Rework_Flag]]="No",1,0)</f>
        <v>1</v>
      </c>
      <c r="X2299" s="4">
        <f>IF(Table1[[#This Row],[Rework_Flag]]="Yes",1,0)</f>
        <v>0</v>
      </c>
      <c r="Y2299" s="4">
        <v>1</v>
      </c>
      <c r="Z2299" s="4" t="str">
        <f>IF(Table1[[#This Row],[TAT_Days]]&gt;Table1[[#This Row],[SLA_TAT]],"Yes","No")</f>
        <v>Yes</v>
      </c>
      <c r="AA2299" s="4" t="str" cm="1">
        <f t="array" ref="AA2299">_xlfn.IFS(Table1[[#This Row],[Customer_Satisfaction]]&lt;=2,"Poor",Table1[[#This Row],[Customer_Satisfaction]]=3,"Neutral",Table1[[#This Row],[Customer_Satisfaction]]=4,"Good",Table1[[#This Row],[Customer_Satisfaction]]=5,"Good")</f>
        <v>Poor</v>
      </c>
    </row>
    <row r="2300" spans="1:27" x14ac:dyDescent="0.35">
      <c r="A2300">
        <v>22298</v>
      </c>
      <c r="B2300" s="1">
        <v>45350</v>
      </c>
      <c r="C2300" t="s">
        <v>30</v>
      </c>
      <c r="D2300" t="s">
        <v>83</v>
      </c>
      <c r="E2300" t="s">
        <v>90</v>
      </c>
      <c r="F2300" t="s">
        <v>53</v>
      </c>
      <c r="G2300" t="s">
        <v>41</v>
      </c>
      <c r="H2300" t="s">
        <v>42</v>
      </c>
      <c r="I2300" t="s">
        <v>55</v>
      </c>
      <c r="J2300" t="s">
        <v>67</v>
      </c>
      <c r="K2300" t="s">
        <v>61</v>
      </c>
      <c r="L2300" t="s">
        <v>49</v>
      </c>
      <c r="M2300" s="4">
        <v>15</v>
      </c>
      <c r="N2300" s="4">
        <v>7</v>
      </c>
      <c r="O2300" t="s">
        <v>29</v>
      </c>
      <c r="P2300" t="s">
        <v>36</v>
      </c>
      <c r="Q2300" s="4">
        <v>265573</v>
      </c>
      <c r="R2300" s="4">
        <v>155167</v>
      </c>
      <c r="S2300" s="4">
        <f>Table1[[#This Row],[Service_Revenue]]-Table1[[#This Row],[Service_Cost]]</f>
        <v>110406</v>
      </c>
      <c r="T2300" s="4">
        <v>1</v>
      </c>
      <c r="U2300" s="4">
        <f>IF(AND(Table1[[#This Row],[Rework_Flag]]="Yes",Table1[[#This Row],[Warranty_Claim]]="No"),Table1[[#This Row],[Service_Revenue]],0)</f>
        <v>265573</v>
      </c>
      <c r="V2300" s="4">
        <f>IF(Table1[[#This Row],[Warranty_Claim]]="Yes",1,0)</f>
        <v>0</v>
      </c>
      <c r="W2300" s="4">
        <f>IF(Table1[[#This Row],[Rework_Flag]]="No",1,0)</f>
        <v>0</v>
      </c>
      <c r="X2300" s="4">
        <f>IF(Table1[[#This Row],[Rework_Flag]]="Yes",1,0)</f>
        <v>1</v>
      </c>
      <c r="Y2300" s="4">
        <v>1</v>
      </c>
      <c r="Z2300" s="4" t="str">
        <f>IF(Table1[[#This Row],[TAT_Days]]&gt;Table1[[#This Row],[SLA_TAT]],"Yes","No")</f>
        <v>Yes</v>
      </c>
      <c r="AA2300" s="4" t="str" cm="1">
        <f t="array" ref="AA2300">_xlfn.IFS(Table1[[#This Row],[Customer_Satisfaction]]&lt;=2,"Poor",Table1[[#This Row],[Customer_Satisfaction]]=3,"Neutral",Table1[[#This Row],[Customer_Satisfaction]]=4,"Good",Table1[[#This Row],[Customer_Satisfaction]]=5,"Good")</f>
        <v>Poor</v>
      </c>
    </row>
    <row r="2301" spans="1:27" x14ac:dyDescent="0.35">
      <c r="A2301">
        <v>22299</v>
      </c>
      <c r="B2301" s="1">
        <v>45324</v>
      </c>
      <c r="C2301" t="s">
        <v>30</v>
      </c>
      <c r="D2301" t="s">
        <v>83</v>
      </c>
      <c r="E2301" t="s">
        <v>90</v>
      </c>
      <c r="F2301" t="s">
        <v>40</v>
      </c>
      <c r="G2301" t="s">
        <v>54</v>
      </c>
      <c r="H2301" t="s">
        <v>42</v>
      </c>
      <c r="I2301" t="s">
        <v>55</v>
      </c>
      <c r="J2301" t="s">
        <v>35</v>
      </c>
      <c r="K2301" t="s">
        <v>61</v>
      </c>
      <c r="L2301" t="s">
        <v>49</v>
      </c>
      <c r="M2301" s="4">
        <v>9</v>
      </c>
      <c r="N2301" s="4">
        <v>7</v>
      </c>
      <c r="O2301" t="s">
        <v>29</v>
      </c>
      <c r="P2301" t="s">
        <v>29</v>
      </c>
      <c r="Q2301" s="4">
        <v>134065</v>
      </c>
      <c r="R2301" s="4">
        <v>84154</v>
      </c>
      <c r="S2301" s="4">
        <f>Table1[[#This Row],[Service_Revenue]]-Table1[[#This Row],[Service_Cost]]</f>
        <v>49911</v>
      </c>
      <c r="T2301" s="4">
        <v>3</v>
      </c>
      <c r="U2301" s="4">
        <f>IF(AND(Table1[[#This Row],[Rework_Flag]]="Yes",Table1[[#This Row],[Warranty_Claim]]="No"),Table1[[#This Row],[Service_Revenue]],0)</f>
        <v>0</v>
      </c>
      <c r="V2301" s="4">
        <f>IF(Table1[[#This Row],[Warranty_Claim]]="Yes",1,0)</f>
        <v>1</v>
      </c>
      <c r="W2301" s="4">
        <f>IF(Table1[[#This Row],[Rework_Flag]]="No",1,0)</f>
        <v>0</v>
      </c>
      <c r="X2301" s="4">
        <f>IF(Table1[[#This Row],[Rework_Flag]]="Yes",1,0)</f>
        <v>1</v>
      </c>
      <c r="Y2301" s="4">
        <v>1</v>
      </c>
      <c r="Z2301" s="4" t="str">
        <f>IF(Table1[[#This Row],[TAT_Days]]&gt;Table1[[#This Row],[SLA_TAT]],"Yes","No")</f>
        <v>Yes</v>
      </c>
      <c r="AA2301" s="4" t="str" cm="1">
        <f t="array" ref="AA2301">_xlfn.IFS(Table1[[#This Row],[Customer_Satisfaction]]&lt;=2,"Poor",Table1[[#This Row],[Customer_Satisfaction]]=3,"Neutral",Table1[[#This Row],[Customer_Satisfaction]]=4,"Good",Table1[[#This Row],[Customer_Satisfaction]]=5,"Good")</f>
        <v>Neutral</v>
      </c>
    </row>
    <row r="2302" spans="1:27" x14ac:dyDescent="0.35">
      <c r="A2302">
        <v>22300</v>
      </c>
      <c r="B2302" s="1">
        <v>45355</v>
      </c>
      <c r="C2302" t="s">
        <v>50</v>
      </c>
      <c r="D2302" t="s">
        <v>80</v>
      </c>
      <c r="E2302" t="s">
        <v>85</v>
      </c>
      <c r="F2302" t="s">
        <v>53</v>
      </c>
      <c r="G2302" t="s">
        <v>23</v>
      </c>
      <c r="H2302" t="s">
        <v>24</v>
      </c>
      <c r="I2302" t="s">
        <v>55</v>
      </c>
      <c r="J2302" t="s">
        <v>35</v>
      </c>
      <c r="K2302" t="s">
        <v>61</v>
      </c>
      <c r="L2302" t="s">
        <v>28</v>
      </c>
      <c r="M2302" s="4">
        <v>7</v>
      </c>
      <c r="N2302" s="4">
        <v>7</v>
      </c>
      <c r="O2302" t="s">
        <v>36</v>
      </c>
      <c r="P2302" t="s">
        <v>36</v>
      </c>
      <c r="Q2302" s="4">
        <v>211035</v>
      </c>
      <c r="R2302" s="4">
        <v>154953</v>
      </c>
      <c r="S2302" s="4">
        <f>Table1[[#This Row],[Service_Revenue]]-Table1[[#This Row],[Service_Cost]]</f>
        <v>56082</v>
      </c>
      <c r="T2302" s="4">
        <v>4</v>
      </c>
      <c r="U2302" s="4">
        <f>IF(AND(Table1[[#This Row],[Rework_Flag]]="Yes",Table1[[#This Row],[Warranty_Claim]]="No"),Table1[[#This Row],[Service_Revenue]],0)</f>
        <v>0</v>
      </c>
      <c r="V2302" s="4">
        <f>IF(Table1[[#This Row],[Warranty_Claim]]="Yes",1,0)</f>
        <v>0</v>
      </c>
      <c r="W2302" s="4">
        <f>IF(Table1[[#This Row],[Rework_Flag]]="No",1,0)</f>
        <v>1</v>
      </c>
      <c r="X2302" s="4">
        <f>IF(Table1[[#This Row],[Rework_Flag]]="Yes",1,0)</f>
        <v>0</v>
      </c>
      <c r="Y2302" s="4">
        <v>1</v>
      </c>
      <c r="Z2302" s="4" t="str">
        <f>IF(Table1[[#This Row],[TAT_Days]]&gt;Table1[[#This Row],[SLA_TAT]],"Yes","No")</f>
        <v>No</v>
      </c>
      <c r="AA2302" s="4" t="str" cm="1">
        <f t="array" ref="AA2302">_xlfn.IFS(Table1[[#This Row],[Customer_Satisfaction]]&lt;=2,"Poor",Table1[[#This Row],[Customer_Satisfaction]]=3,"Neutral",Table1[[#This Row],[Customer_Satisfaction]]=4,"Good",Table1[[#This Row],[Customer_Satisfaction]]=5,"Good")</f>
        <v>Good</v>
      </c>
    </row>
    <row r="2303" spans="1:27" x14ac:dyDescent="0.35">
      <c r="A2303">
        <v>22301</v>
      </c>
      <c r="B2303" s="1">
        <v>45412</v>
      </c>
      <c r="C2303" t="s">
        <v>37</v>
      </c>
      <c r="D2303" t="s">
        <v>64</v>
      </c>
      <c r="E2303" t="s">
        <v>87</v>
      </c>
      <c r="F2303" t="s">
        <v>53</v>
      </c>
      <c r="G2303" t="s">
        <v>74</v>
      </c>
      <c r="H2303" t="s">
        <v>34</v>
      </c>
      <c r="I2303" t="s">
        <v>25</v>
      </c>
      <c r="J2303" t="s">
        <v>43</v>
      </c>
      <c r="K2303" t="s">
        <v>61</v>
      </c>
      <c r="L2303" t="s">
        <v>28</v>
      </c>
      <c r="M2303" s="4">
        <v>18</v>
      </c>
      <c r="N2303" s="4">
        <v>7</v>
      </c>
      <c r="O2303" t="s">
        <v>29</v>
      </c>
      <c r="P2303" t="s">
        <v>29</v>
      </c>
      <c r="Q2303" s="4">
        <v>328003</v>
      </c>
      <c r="R2303" s="4">
        <v>266284</v>
      </c>
      <c r="S2303" s="4">
        <f>Table1[[#This Row],[Service_Revenue]]-Table1[[#This Row],[Service_Cost]]</f>
        <v>61719</v>
      </c>
      <c r="T2303" s="4">
        <v>1</v>
      </c>
      <c r="U2303" s="4">
        <f>IF(AND(Table1[[#This Row],[Rework_Flag]]="Yes",Table1[[#This Row],[Warranty_Claim]]="No"),Table1[[#This Row],[Service_Revenue]],0)</f>
        <v>0</v>
      </c>
      <c r="V2303" s="4">
        <f>IF(Table1[[#This Row],[Warranty_Claim]]="Yes",1,0)</f>
        <v>1</v>
      </c>
      <c r="W2303" s="4">
        <f>IF(Table1[[#This Row],[Rework_Flag]]="No",1,0)</f>
        <v>0</v>
      </c>
      <c r="X2303" s="4">
        <f>IF(Table1[[#This Row],[Rework_Flag]]="Yes",1,0)</f>
        <v>1</v>
      </c>
      <c r="Y2303" s="4">
        <v>1</v>
      </c>
      <c r="Z2303" s="4" t="str">
        <f>IF(Table1[[#This Row],[TAT_Days]]&gt;Table1[[#This Row],[SLA_TAT]],"Yes","No")</f>
        <v>Yes</v>
      </c>
      <c r="AA2303" s="4" t="str" cm="1">
        <f t="array" ref="AA2303">_xlfn.IFS(Table1[[#This Row],[Customer_Satisfaction]]&lt;=2,"Poor",Table1[[#This Row],[Customer_Satisfaction]]=3,"Neutral",Table1[[#This Row],[Customer_Satisfaction]]=4,"Good",Table1[[#This Row],[Customer_Satisfaction]]=5,"Good")</f>
        <v>Poor</v>
      </c>
    </row>
    <row r="2304" spans="1:27" x14ac:dyDescent="0.35">
      <c r="A2304">
        <v>22302</v>
      </c>
      <c r="B2304" s="1">
        <v>45435</v>
      </c>
      <c r="C2304" t="s">
        <v>37</v>
      </c>
      <c r="D2304" t="s">
        <v>64</v>
      </c>
      <c r="E2304" t="s">
        <v>65</v>
      </c>
      <c r="F2304" t="s">
        <v>53</v>
      </c>
      <c r="G2304" t="s">
        <v>54</v>
      </c>
      <c r="H2304" t="s">
        <v>42</v>
      </c>
      <c r="I2304" t="s">
        <v>25</v>
      </c>
      <c r="J2304" t="s">
        <v>43</v>
      </c>
      <c r="K2304" t="s">
        <v>61</v>
      </c>
      <c r="L2304" t="s">
        <v>49</v>
      </c>
      <c r="M2304" s="4">
        <v>15</v>
      </c>
      <c r="N2304" s="4">
        <v>7</v>
      </c>
      <c r="O2304" t="s">
        <v>29</v>
      </c>
      <c r="P2304" t="s">
        <v>29</v>
      </c>
      <c r="Q2304" s="4">
        <v>103032</v>
      </c>
      <c r="R2304" s="4">
        <v>87213</v>
      </c>
      <c r="S2304" s="4">
        <f>Table1[[#This Row],[Service_Revenue]]-Table1[[#This Row],[Service_Cost]]</f>
        <v>15819</v>
      </c>
      <c r="T2304" s="4">
        <v>1</v>
      </c>
      <c r="U2304" s="4">
        <f>IF(AND(Table1[[#This Row],[Rework_Flag]]="Yes",Table1[[#This Row],[Warranty_Claim]]="No"),Table1[[#This Row],[Service_Revenue]],0)</f>
        <v>0</v>
      </c>
      <c r="V2304" s="4">
        <f>IF(Table1[[#This Row],[Warranty_Claim]]="Yes",1,0)</f>
        <v>1</v>
      </c>
      <c r="W2304" s="4">
        <f>IF(Table1[[#This Row],[Rework_Flag]]="No",1,0)</f>
        <v>0</v>
      </c>
      <c r="X2304" s="4">
        <f>IF(Table1[[#This Row],[Rework_Flag]]="Yes",1,0)</f>
        <v>1</v>
      </c>
      <c r="Y2304" s="4">
        <v>1</v>
      </c>
      <c r="Z2304" s="4" t="str">
        <f>IF(Table1[[#This Row],[TAT_Days]]&gt;Table1[[#This Row],[SLA_TAT]],"Yes","No")</f>
        <v>Yes</v>
      </c>
      <c r="AA2304" s="4" t="str" cm="1">
        <f t="array" ref="AA2304">_xlfn.IFS(Table1[[#This Row],[Customer_Satisfaction]]&lt;=2,"Poor",Table1[[#This Row],[Customer_Satisfaction]]=3,"Neutral",Table1[[#This Row],[Customer_Satisfaction]]=4,"Good",Table1[[#This Row],[Customer_Satisfaction]]=5,"Good")</f>
        <v>Poor</v>
      </c>
    </row>
    <row r="2305" spans="1:27" x14ac:dyDescent="0.35">
      <c r="A2305">
        <v>22303</v>
      </c>
      <c r="B2305" s="1">
        <v>45452</v>
      </c>
      <c r="C2305" t="s">
        <v>37</v>
      </c>
      <c r="D2305" t="s">
        <v>70</v>
      </c>
      <c r="E2305" t="s">
        <v>82</v>
      </c>
      <c r="F2305" t="s">
        <v>22</v>
      </c>
      <c r="G2305" t="s">
        <v>63</v>
      </c>
      <c r="H2305" t="s">
        <v>24</v>
      </c>
      <c r="I2305" t="s">
        <v>25</v>
      </c>
      <c r="J2305" t="s">
        <v>58</v>
      </c>
      <c r="K2305" t="s">
        <v>27</v>
      </c>
      <c r="L2305" t="s">
        <v>28</v>
      </c>
      <c r="M2305" s="4">
        <v>20</v>
      </c>
      <c r="N2305" s="4">
        <v>7</v>
      </c>
      <c r="O2305" t="s">
        <v>29</v>
      </c>
      <c r="P2305" t="s">
        <v>29</v>
      </c>
      <c r="Q2305" s="4">
        <v>316738</v>
      </c>
      <c r="R2305" s="4">
        <v>238356</v>
      </c>
      <c r="S2305" s="4">
        <f>Table1[[#This Row],[Service_Revenue]]-Table1[[#This Row],[Service_Cost]]</f>
        <v>78382</v>
      </c>
      <c r="T2305" s="4">
        <v>1</v>
      </c>
      <c r="U2305" s="4">
        <f>IF(AND(Table1[[#This Row],[Rework_Flag]]="Yes",Table1[[#This Row],[Warranty_Claim]]="No"),Table1[[#This Row],[Service_Revenue]],0)</f>
        <v>0</v>
      </c>
      <c r="V2305" s="4">
        <f>IF(Table1[[#This Row],[Warranty_Claim]]="Yes",1,0)</f>
        <v>1</v>
      </c>
      <c r="W2305" s="4">
        <f>IF(Table1[[#This Row],[Rework_Flag]]="No",1,0)</f>
        <v>0</v>
      </c>
      <c r="X2305" s="4">
        <f>IF(Table1[[#This Row],[Rework_Flag]]="Yes",1,0)</f>
        <v>1</v>
      </c>
      <c r="Y2305" s="4">
        <v>1</v>
      </c>
      <c r="Z2305" s="4" t="str">
        <f>IF(Table1[[#This Row],[TAT_Days]]&gt;Table1[[#This Row],[SLA_TAT]],"Yes","No")</f>
        <v>Yes</v>
      </c>
      <c r="AA2305" s="4" t="str" cm="1">
        <f t="array" ref="AA2305">_xlfn.IFS(Table1[[#This Row],[Customer_Satisfaction]]&lt;=2,"Poor",Table1[[#This Row],[Customer_Satisfaction]]=3,"Neutral",Table1[[#This Row],[Customer_Satisfaction]]=4,"Good",Table1[[#This Row],[Customer_Satisfaction]]=5,"Good")</f>
        <v>Poor</v>
      </c>
    </row>
    <row r="2306" spans="1:27" x14ac:dyDescent="0.35">
      <c r="A2306">
        <v>22304</v>
      </c>
      <c r="B2306" s="1">
        <v>45381</v>
      </c>
      <c r="C2306" t="s">
        <v>30</v>
      </c>
      <c r="D2306" t="s">
        <v>31</v>
      </c>
      <c r="E2306" t="s">
        <v>122</v>
      </c>
      <c r="F2306" t="s">
        <v>40</v>
      </c>
      <c r="G2306" t="s">
        <v>23</v>
      </c>
      <c r="H2306" t="s">
        <v>24</v>
      </c>
      <c r="I2306" t="s">
        <v>55</v>
      </c>
      <c r="J2306" t="s">
        <v>43</v>
      </c>
      <c r="K2306" t="s">
        <v>44</v>
      </c>
      <c r="L2306" t="s">
        <v>49</v>
      </c>
      <c r="M2306" s="4">
        <v>17</v>
      </c>
      <c r="N2306" s="4">
        <v>7</v>
      </c>
      <c r="O2306" t="s">
        <v>29</v>
      </c>
      <c r="P2306" t="s">
        <v>29</v>
      </c>
      <c r="Q2306" s="4">
        <v>479576</v>
      </c>
      <c r="R2306" s="4">
        <v>253921</v>
      </c>
      <c r="S2306" s="4">
        <f>Table1[[#This Row],[Service_Revenue]]-Table1[[#This Row],[Service_Cost]]</f>
        <v>225655</v>
      </c>
      <c r="T2306" s="4">
        <v>1</v>
      </c>
      <c r="U2306" s="4">
        <f>IF(AND(Table1[[#This Row],[Rework_Flag]]="Yes",Table1[[#This Row],[Warranty_Claim]]="No"),Table1[[#This Row],[Service_Revenue]],0)</f>
        <v>0</v>
      </c>
      <c r="V2306" s="4">
        <f>IF(Table1[[#This Row],[Warranty_Claim]]="Yes",1,0)</f>
        <v>1</v>
      </c>
      <c r="W2306" s="4">
        <f>IF(Table1[[#This Row],[Rework_Flag]]="No",1,0)</f>
        <v>0</v>
      </c>
      <c r="X2306" s="4">
        <f>IF(Table1[[#This Row],[Rework_Flag]]="Yes",1,0)</f>
        <v>1</v>
      </c>
      <c r="Y2306" s="4">
        <v>1</v>
      </c>
      <c r="Z2306" s="4" t="str">
        <f>IF(Table1[[#This Row],[TAT_Days]]&gt;Table1[[#This Row],[SLA_TAT]],"Yes","No")</f>
        <v>Yes</v>
      </c>
      <c r="AA2306" s="4" t="str" cm="1">
        <f t="array" ref="AA2306">_xlfn.IFS(Table1[[#This Row],[Customer_Satisfaction]]&lt;=2,"Poor",Table1[[#This Row],[Customer_Satisfaction]]=3,"Neutral",Table1[[#This Row],[Customer_Satisfaction]]=4,"Good",Table1[[#This Row],[Customer_Satisfaction]]=5,"Good")</f>
        <v>Poor</v>
      </c>
    </row>
    <row r="2307" spans="1:27" x14ac:dyDescent="0.35">
      <c r="A2307">
        <v>22305</v>
      </c>
      <c r="B2307" s="1">
        <v>45457</v>
      </c>
      <c r="C2307" t="s">
        <v>19</v>
      </c>
      <c r="D2307" t="s">
        <v>45</v>
      </c>
      <c r="E2307" t="s">
        <v>76</v>
      </c>
      <c r="F2307" t="s">
        <v>40</v>
      </c>
      <c r="G2307" t="s">
        <v>47</v>
      </c>
      <c r="H2307" t="s">
        <v>48</v>
      </c>
      <c r="I2307" t="s">
        <v>55</v>
      </c>
      <c r="J2307" t="s">
        <v>58</v>
      </c>
      <c r="K2307" t="s">
        <v>27</v>
      </c>
      <c r="L2307" t="s">
        <v>49</v>
      </c>
      <c r="M2307" s="4">
        <v>2</v>
      </c>
      <c r="N2307" s="4">
        <v>7</v>
      </c>
      <c r="O2307" t="s">
        <v>36</v>
      </c>
      <c r="P2307" t="s">
        <v>36</v>
      </c>
      <c r="Q2307" s="4">
        <v>498454</v>
      </c>
      <c r="R2307" s="4">
        <v>366247</v>
      </c>
      <c r="S2307" s="4">
        <f>Table1[[#This Row],[Service_Revenue]]-Table1[[#This Row],[Service_Cost]]</f>
        <v>132207</v>
      </c>
      <c r="T2307" s="4">
        <v>5</v>
      </c>
      <c r="U2307" s="4">
        <f>IF(AND(Table1[[#This Row],[Rework_Flag]]="Yes",Table1[[#This Row],[Warranty_Claim]]="No"),Table1[[#This Row],[Service_Revenue]],0)</f>
        <v>0</v>
      </c>
      <c r="V2307" s="4">
        <f>IF(Table1[[#This Row],[Warranty_Claim]]="Yes",1,0)</f>
        <v>0</v>
      </c>
      <c r="W2307" s="4">
        <f>IF(Table1[[#This Row],[Rework_Flag]]="No",1,0)</f>
        <v>1</v>
      </c>
      <c r="X2307" s="4">
        <f>IF(Table1[[#This Row],[Rework_Flag]]="Yes",1,0)</f>
        <v>0</v>
      </c>
      <c r="Y2307" s="4">
        <v>1</v>
      </c>
      <c r="Z2307" s="4" t="str">
        <f>IF(Table1[[#This Row],[TAT_Days]]&gt;Table1[[#This Row],[SLA_TAT]],"Yes","No")</f>
        <v>No</v>
      </c>
      <c r="AA2307" s="4" t="str" cm="1">
        <f t="array" ref="AA2307">_xlfn.IFS(Table1[[#This Row],[Customer_Satisfaction]]&lt;=2,"Poor",Table1[[#This Row],[Customer_Satisfaction]]=3,"Neutral",Table1[[#This Row],[Customer_Satisfaction]]=4,"Good",Table1[[#This Row],[Customer_Satisfaction]]=5,"Good")</f>
        <v>Good</v>
      </c>
    </row>
    <row r="2308" spans="1:27" x14ac:dyDescent="0.35">
      <c r="A2308">
        <v>22306</v>
      </c>
      <c r="B2308" s="1">
        <v>45441</v>
      </c>
      <c r="C2308" t="s">
        <v>19</v>
      </c>
      <c r="D2308" t="s">
        <v>45</v>
      </c>
      <c r="E2308" t="s">
        <v>99</v>
      </c>
      <c r="F2308" t="s">
        <v>22</v>
      </c>
      <c r="G2308" t="s">
        <v>47</v>
      </c>
      <c r="H2308" t="s">
        <v>48</v>
      </c>
      <c r="I2308" t="s">
        <v>25</v>
      </c>
      <c r="J2308" t="s">
        <v>67</v>
      </c>
      <c r="K2308" t="s">
        <v>44</v>
      </c>
      <c r="L2308" t="s">
        <v>28</v>
      </c>
      <c r="M2308" s="4">
        <v>3</v>
      </c>
      <c r="N2308" s="4">
        <v>7</v>
      </c>
      <c r="O2308" t="s">
        <v>29</v>
      </c>
      <c r="P2308" t="s">
        <v>29</v>
      </c>
      <c r="Q2308" s="4">
        <v>282070</v>
      </c>
      <c r="R2308" s="4">
        <v>222588</v>
      </c>
      <c r="S2308" s="4">
        <f>Table1[[#This Row],[Service_Revenue]]-Table1[[#This Row],[Service_Cost]]</f>
        <v>59482</v>
      </c>
      <c r="T2308" s="4">
        <v>4</v>
      </c>
      <c r="U2308" s="4">
        <f>IF(AND(Table1[[#This Row],[Rework_Flag]]="Yes",Table1[[#This Row],[Warranty_Claim]]="No"),Table1[[#This Row],[Service_Revenue]],0)</f>
        <v>0</v>
      </c>
      <c r="V2308" s="4">
        <f>IF(Table1[[#This Row],[Warranty_Claim]]="Yes",1,0)</f>
        <v>1</v>
      </c>
      <c r="W2308" s="4">
        <f>IF(Table1[[#This Row],[Rework_Flag]]="No",1,0)</f>
        <v>0</v>
      </c>
      <c r="X2308" s="4">
        <f>IF(Table1[[#This Row],[Rework_Flag]]="Yes",1,0)</f>
        <v>1</v>
      </c>
      <c r="Y2308" s="4">
        <v>1</v>
      </c>
      <c r="Z2308" s="4" t="str">
        <f>IF(Table1[[#This Row],[TAT_Days]]&gt;Table1[[#This Row],[SLA_TAT]],"Yes","No")</f>
        <v>No</v>
      </c>
      <c r="AA2308" s="4" t="str" cm="1">
        <f t="array" ref="AA2308">_xlfn.IFS(Table1[[#This Row],[Customer_Satisfaction]]&lt;=2,"Poor",Table1[[#This Row],[Customer_Satisfaction]]=3,"Neutral",Table1[[#This Row],[Customer_Satisfaction]]=4,"Good",Table1[[#This Row],[Customer_Satisfaction]]=5,"Good")</f>
        <v>Good</v>
      </c>
    </row>
    <row r="2309" spans="1:27" x14ac:dyDescent="0.35">
      <c r="A2309">
        <v>22307</v>
      </c>
      <c r="B2309" s="1">
        <v>45459</v>
      </c>
      <c r="C2309" t="s">
        <v>50</v>
      </c>
      <c r="D2309" t="s">
        <v>56</v>
      </c>
      <c r="E2309" t="s">
        <v>101</v>
      </c>
      <c r="F2309" t="s">
        <v>22</v>
      </c>
      <c r="G2309" t="s">
        <v>23</v>
      </c>
      <c r="H2309" t="s">
        <v>24</v>
      </c>
      <c r="I2309" t="s">
        <v>55</v>
      </c>
      <c r="J2309" t="s">
        <v>67</v>
      </c>
      <c r="K2309" t="s">
        <v>61</v>
      </c>
      <c r="L2309" t="s">
        <v>28</v>
      </c>
      <c r="M2309" s="4">
        <v>11</v>
      </c>
      <c r="N2309" s="4">
        <v>7</v>
      </c>
      <c r="O2309" t="s">
        <v>29</v>
      </c>
      <c r="P2309" t="s">
        <v>36</v>
      </c>
      <c r="Q2309" s="4">
        <v>408426</v>
      </c>
      <c r="R2309" s="4">
        <v>256992</v>
      </c>
      <c r="S2309" s="4">
        <f>Table1[[#This Row],[Service_Revenue]]-Table1[[#This Row],[Service_Cost]]</f>
        <v>151434</v>
      </c>
      <c r="T2309" s="4">
        <v>2</v>
      </c>
      <c r="U2309" s="4">
        <f>IF(AND(Table1[[#This Row],[Rework_Flag]]="Yes",Table1[[#This Row],[Warranty_Claim]]="No"),Table1[[#This Row],[Service_Revenue]],0)</f>
        <v>408426</v>
      </c>
      <c r="V2309" s="4">
        <f>IF(Table1[[#This Row],[Warranty_Claim]]="Yes",1,0)</f>
        <v>0</v>
      </c>
      <c r="W2309" s="4">
        <f>IF(Table1[[#This Row],[Rework_Flag]]="No",1,0)</f>
        <v>0</v>
      </c>
      <c r="X2309" s="4">
        <f>IF(Table1[[#This Row],[Rework_Flag]]="Yes",1,0)</f>
        <v>1</v>
      </c>
      <c r="Y2309" s="4">
        <v>1</v>
      </c>
      <c r="Z2309" s="4" t="str">
        <f>IF(Table1[[#This Row],[TAT_Days]]&gt;Table1[[#This Row],[SLA_TAT]],"Yes","No")</f>
        <v>Yes</v>
      </c>
      <c r="AA2309" s="4" t="str" cm="1">
        <f t="array" ref="AA2309">_xlfn.IFS(Table1[[#This Row],[Customer_Satisfaction]]&lt;=2,"Poor",Table1[[#This Row],[Customer_Satisfaction]]=3,"Neutral",Table1[[#This Row],[Customer_Satisfaction]]=4,"Good",Table1[[#This Row],[Customer_Satisfaction]]=5,"Good")</f>
        <v>Poor</v>
      </c>
    </row>
    <row r="2310" spans="1:27" x14ac:dyDescent="0.35">
      <c r="A2310">
        <v>22308</v>
      </c>
      <c r="B2310" s="1">
        <v>45345</v>
      </c>
      <c r="C2310" t="s">
        <v>19</v>
      </c>
      <c r="D2310" t="s">
        <v>20</v>
      </c>
      <c r="E2310" t="s">
        <v>86</v>
      </c>
      <c r="F2310" t="s">
        <v>40</v>
      </c>
      <c r="G2310" t="s">
        <v>33</v>
      </c>
      <c r="H2310" t="s">
        <v>34</v>
      </c>
      <c r="I2310" t="s">
        <v>55</v>
      </c>
      <c r="J2310" t="s">
        <v>43</v>
      </c>
      <c r="K2310" t="s">
        <v>61</v>
      </c>
      <c r="L2310" t="s">
        <v>49</v>
      </c>
      <c r="M2310" s="4">
        <v>3</v>
      </c>
      <c r="N2310" s="4">
        <v>7</v>
      </c>
      <c r="O2310" t="s">
        <v>29</v>
      </c>
      <c r="P2310" t="s">
        <v>36</v>
      </c>
      <c r="Q2310" s="4">
        <v>174009</v>
      </c>
      <c r="R2310" s="4">
        <v>125897</v>
      </c>
      <c r="S2310" s="4">
        <f>Table1[[#This Row],[Service_Revenue]]-Table1[[#This Row],[Service_Cost]]</f>
        <v>48112</v>
      </c>
      <c r="T2310" s="4">
        <v>4</v>
      </c>
      <c r="U2310" s="4">
        <f>IF(AND(Table1[[#This Row],[Rework_Flag]]="Yes",Table1[[#This Row],[Warranty_Claim]]="No"),Table1[[#This Row],[Service_Revenue]],0)</f>
        <v>174009</v>
      </c>
      <c r="V2310" s="4">
        <f>IF(Table1[[#This Row],[Warranty_Claim]]="Yes",1,0)</f>
        <v>0</v>
      </c>
      <c r="W2310" s="4">
        <f>IF(Table1[[#This Row],[Rework_Flag]]="No",1,0)</f>
        <v>0</v>
      </c>
      <c r="X2310" s="4">
        <f>IF(Table1[[#This Row],[Rework_Flag]]="Yes",1,0)</f>
        <v>1</v>
      </c>
      <c r="Y2310" s="4">
        <v>1</v>
      </c>
      <c r="Z2310" s="4" t="str">
        <f>IF(Table1[[#This Row],[TAT_Days]]&gt;Table1[[#This Row],[SLA_TAT]],"Yes","No")</f>
        <v>No</v>
      </c>
      <c r="AA2310" s="4" t="str" cm="1">
        <f t="array" ref="AA2310">_xlfn.IFS(Table1[[#This Row],[Customer_Satisfaction]]&lt;=2,"Poor",Table1[[#This Row],[Customer_Satisfaction]]=3,"Neutral",Table1[[#This Row],[Customer_Satisfaction]]=4,"Good",Table1[[#This Row],[Customer_Satisfaction]]=5,"Good")</f>
        <v>Good</v>
      </c>
    </row>
    <row r="2311" spans="1:27" x14ac:dyDescent="0.35">
      <c r="A2311">
        <v>22309</v>
      </c>
      <c r="B2311" s="1">
        <v>45366</v>
      </c>
      <c r="C2311" t="s">
        <v>50</v>
      </c>
      <c r="D2311" t="s">
        <v>80</v>
      </c>
      <c r="E2311" t="s">
        <v>85</v>
      </c>
      <c r="F2311" t="s">
        <v>22</v>
      </c>
      <c r="G2311" t="s">
        <v>47</v>
      </c>
      <c r="H2311" t="s">
        <v>48</v>
      </c>
      <c r="I2311" t="s">
        <v>25</v>
      </c>
      <c r="J2311" t="s">
        <v>43</v>
      </c>
      <c r="K2311" t="s">
        <v>27</v>
      </c>
      <c r="L2311" t="s">
        <v>28</v>
      </c>
      <c r="M2311" s="4">
        <v>15</v>
      </c>
      <c r="N2311" s="4">
        <v>7</v>
      </c>
      <c r="O2311" t="s">
        <v>29</v>
      </c>
      <c r="P2311" t="s">
        <v>36</v>
      </c>
      <c r="Q2311" s="4">
        <v>261106</v>
      </c>
      <c r="R2311" s="4">
        <v>138089</v>
      </c>
      <c r="S2311" s="4">
        <f>Table1[[#This Row],[Service_Revenue]]-Table1[[#This Row],[Service_Cost]]</f>
        <v>123017</v>
      </c>
      <c r="T2311" s="4">
        <v>1</v>
      </c>
      <c r="U2311" s="4">
        <f>IF(AND(Table1[[#This Row],[Rework_Flag]]="Yes",Table1[[#This Row],[Warranty_Claim]]="No"),Table1[[#This Row],[Service_Revenue]],0)</f>
        <v>261106</v>
      </c>
      <c r="V2311" s="4">
        <f>IF(Table1[[#This Row],[Warranty_Claim]]="Yes",1,0)</f>
        <v>0</v>
      </c>
      <c r="W2311" s="4">
        <f>IF(Table1[[#This Row],[Rework_Flag]]="No",1,0)</f>
        <v>0</v>
      </c>
      <c r="X2311" s="4">
        <f>IF(Table1[[#This Row],[Rework_Flag]]="Yes",1,0)</f>
        <v>1</v>
      </c>
      <c r="Y2311" s="4">
        <v>1</v>
      </c>
      <c r="Z2311" s="4" t="str">
        <f>IF(Table1[[#This Row],[TAT_Days]]&gt;Table1[[#This Row],[SLA_TAT]],"Yes","No")</f>
        <v>Yes</v>
      </c>
      <c r="AA2311" s="4" t="str" cm="1">
        <f t="array" ref="AA2311">_xlfn.IFS(Table1[[#This Row],[Customer_Satisfaction]]&lt;=2,"Poor",Table1[[#This Row],[Customer_Satisfaction]]=3,"Neutral",Table1[[#This Row],[Customer_Satisfaction]]=4,"Good",Table1[[#This Row],[Customer_Satisfaction]]=5,"Good")</f>
        <v>Poor</v>
      </c>
    </row>
    <row r="2312" spans="1:27" x14ac:dyDescent="0.35">
      <c r="A2312">
        <v>22310</v>
      </c>
      <c r="B2312" s="1">
        <v>45463</v>
      </c>
      <c r="C2312" t="s">
        <v>19</v>
      </c>
      <c r="D2312" t="s">
        <v>45</v>
      </c>
      <c r="E2312" t="s">
        <v>111</v>
      </c>
      <c r="F2312" t="s">
        <v>22</v>
      </c>
      <c r="G2312" t="s">
        <v>74</v>
      </c>
      <c r="H2312" t="s">
        <v>34</v>
      </c>
      <c r="I2312" t="s">
        <v>55</v>
      </c>
      <c r="J2312" t="s">
        <v>67</v>
      </c>
      <c r="K2312" t="s">
        <v>27</v>
      </c>
      <c r="L2312" t="s">
        <v>28</v>
      </c>
      <c r="M2312" s="4">
        <v>14</v>
      </c>
      <c r="N2312" s="4">
        <v>7</v>
      </c>
      <c r="O2312" t="s">
        <v>29</v>
      </c>
      <c r="P2312" t="s">
        <v>36</v>
      </c>
      <c r="Q2312" s="4">
        <v>384356</v>
      </c>
      <c r="R2312" s="4">
        <v>238558</v>
      </c>
      <c r="S2312" s="4">
        <f>Table1[[#This Row],[Service_Revenue]]-Table1[[#This Row],[Service_Cost]]</f>
        <v>145798</v>
      </c>
      <c r="T2312" s="4">
        <v>2</v>
      </c>
      <c r="U2312" s="4">
        <f>IF(AND(Table1[[#This Row],[Rework_Flag]]="Yes",Table1[[#This Row],[Warranty_Claim]]="No"),Table1[[#This Row],[Service_Revenue]],0)</f>
        <v>384356</v>
      </c>
      <c r="V2312" s="4">
        <f>IF(Table1[[#This Row],[Warranty_Claim]]="Yes",1,0)</f>
        <v>0</v>
      </c>
      <c r="W2312" s="4">
        <f>IF(Table1[[#This Row],[Rework_Flag]]="No",1,0)</f>
        <v>0</v>
      </c>
      <c r="X2312" s="4">
        <f>IF(Table1[[#This Row],[Rework_Flag]]="Yes",1,0)</f>
        <v>1</v>
      </c>
      <c r="Y2312" s="4">
        <v>1</v>
      </c>
      <c r="Z2312" s="4" t="str">
        <f>IF(Table1[[#This Row],[TAT_Days]]&gt;Table1[[#This Row],[SLA_TAT]],"Yes","No")</f>
        <v>Yes</v>
      </c>
      <c r="AA2312" s="4" t="str" cm="1">
        <f t="array" ref="AA2312">_xlfn.IFS(Table1[[#This Row],[Customer_Satisfaction]]&lt;=2,"Poor",Table1[[#This Row],[Customer_Satisfaction]]=3,"Neutral",Table1[[#This Row],[Customer_Satisfaction]]=4,"Good",Table1[[#This Row],[Customer_Satisfaction]]=5,"Good")</f>
        <v>Poor</v>
      </c>
    </row>
    <row r="2313" spans="1:27" x14ac:dyDescent="0.35">
      <c r="A2313">
        <v>22311</v>
      </c>
      <c r="B2313" s="1">
        <v>45435</v>
      </c>
      <c r="C2313" t="s">
        <v>30</v>
      </c>
      <c r="D2313" t="s">
        <v>83</v>
      </c>
      <c r="E2313" t="s">
        <v>92</v>
      </c>
      <c r="F2313" t="s">
        <v>22</v>
      </c>
      <c r="G2313" t="s">
        <v>54</v>
      </c>
      <c r="H2313" t="s">
        <v>42</v>
      </c>
      <c r="I2313" t="s">
        <v>55</v>
      </c>
      <c r="J2313" t="s">
        <v>43</v>
      </c>
      <c r="K2313" t="s">
        <v>44</v>
      </c>
      <c r="L2313" t="s">
        <v>28</v>
      </c>
      <c r="M2313" s="4">
        <v>15</v>
      </c>
      <c r="N2313" s="4">
        <v>7</v>
      </c>
      <c r="O2313" t="s">
        <v>29</v>
      </c>
      <c r="P2313" t="s">
        <v>36</v>
      </c>
      <c r="Q2313" s="4">
        <v>510273</v>
      </c>
      <c r="R2313" s="4">
        <v>414794</v>
      </c>
      <c r="S2313" s="4">
        <f>Table1[[#This Row],[Service_Revenue]]-Table1[[#This Row],[Service_Cost]]</f>
        <v>95479</v>
      </c>
      <c r="T2313" s="4">
        <v>1</v>
      </c>
      <c r="U2313" s="4">
        <f>IF(AND(Table1[[#This Row],[Rework_Flag]]="Yes",Table1[[#This Row],[Warranty_Claim]]="No"),Table1[[#This Row],[Service_Revenue]],0)</f>
        <v>510273</v>
      </c>
      <c r="V2313" s="4">
        <f>IF(Table1[[#This Row],[Warranty_Claim]]="Yes",1,0)</f>
        <v>0</v>
      </c>
      <c r="W2313" s="4">
        <f>IF(Table1[[#This Row],[Rework_Flag]]="No",1,0)</f>
        <v>0</v>
      </c>
      <c r="X2313" s="4">
        <f>IF(Table1[[#This Row],[Rework_Flag]]="Yes",1,0)</f>
        <v>1</v>
      </c>
      <c r="Y2313" s="4">
        <v>1</v>
      </c>
      <c r="Z2313" s="4" t="str">
        <f>IF(Table1[[#This Row],[TAT_Days]]&gt;Table1[[#This Row],[SLA_TAT]],"Yes","No")</f>
        <v>Yes</v>
      </c>
      <c r="AA2313" s="4" t="str" cm="1">
        <f t="array" ref="AA2313">_xlfn.IFS(Table1[[#This Row],[Customer_Satisfaction]]&lt;=2,"Poor",Table1[[#This Row],[Customer_Satisfaction]]=3,"Neutral",Table1[[#This Row],[Customer_Satisfaction]]=4,"Good",Table1[[#This Row],[Customer_Satisfaction]]=5,"Good")</f>
        <v>Poor</v>
      </c>
    </row>
    <row r="2314" spans="1:27" x14ac:dyDescent="0.35">
      <c r="A2314">
        <v>22312</v>
      </c>
      <c r="B2314" s="1">
        <v>45296</v>
      </c>
      <c r="C2314" t="s">
        <v>30</v>
      </c>
      <c r="D2314" t="s">
        <v>83</v>
      </c>
      <c r="E2314" t="s">
        <v>119</v>
      </c>
      <c r="F2314" t="s">
        <v>22</v>
      </c>
      <c r="G2314" t="s">
        <v>33</v>
      </c>
      <c r="H2314" t="s">
        <v>34</v>
      </c>
      <c r="I2314" t="s">
        <v>25</v>
      </c>
      <c r="J2314" t="s">
        <v>58</v>
      </c>
      <c r="K2314" t="s">
        <v>61</v>
      </c>
      <c r="L2314" t="s">
        <v>28</v>
      </c>
      <c r="M2314" s="4">
        <v>19</v>
      </c>
      <c r="N2314" s="4">
        <v>7</v>
      </c>
      <c r="O2314" t="s">
        <v>36</v>
      </c>
      <c r="P2314" t="s">
        <v>36</v>
      </c>
      <c r="Q2314" s="4">
        <v>247182</v>
      </c>
      <c r="R2314" s="4">
        <v>203478</v>
      </c>
      <c r="S2314" s="4">
        <f>Table1[[#This Row],[Service_Revenue]]-Table1[[#This Row],[Service_Cost]]</f>
        <v>43704</v>
      </c>
      <c r="T2314" s="4">
        <v>2</v>
      </c>
      <c r="U2314" s="4">
        <f>IF(AND(Table1[[#This Row],[Rework_Flag]]="Yes",Table1[[#This Row],[Warranty_Claim]]="No"),Table1[[#This Row],[Service_Revenue]],0)</f>
        <v>0</v>
      </c>
      <c r="V2314" s="4">
        <f>IF(Table1[[#This Row],[Warranty_Claim]]="Yes",1,0)</f>
        <v>0</v>
      </c>
      <c r="W2314" s="4">
        <f>IF(Table1[[#This Row],[Rework_Flag]]="No",1,0)</f>
        <v>1</v>
      </c>
      <c r="X2314" s="4">
        <f>IF(Table1[[#This Row],[Rework_Flag]]="Yes",1,0)</f>
        <v>0</v>
      </c>
      <c r="Y2314" s="4">
        <v>1</v>
      </c>
      <c r="Z2314" s="4" t="str">
        <f>IF(Table1[[#This Row],[TAT_Days]]&gt;Table1[[#This Row],[SLA_TAT]],"Yes","No")</f>
        <v>Yes</v>
      </c>
      <c r="AA2314" s="4" t="str" cm="1">
        <f t="array" ref="AA2314">_xlfn.IFS(Table1[[#This Row],[Customer_Satisfaction]]&lt;=2,"Poor",Table1[[#This Row],[Customer_Satisfaction]]=3,"Neutral",Table1[[#This Row],[Customer_Satisfaction]]=4,"Good",Table1[[#This Row],[Customer_Satisfaction]]=5,"Good")</f>
        <v>Poor</v>
      </c>
    </row>
    <row r="2315" spans="1:27" x14ac:dyDescent="0.35">
      <c r="A2315">
        <v>22313</v>
      </c>
      <c r="B2315" s="1">
        <v>45349</v>
      </c>
      <c r="C2315" t="s">
        <v>19</v>
      </c>
      <c r="D2315" t="s">
        <v>45</v>
      </c>
      <c r="E2315" t="s">
        <v>46</v>
      </c>
      <c r="F2315" t="s">
        <v>40</v>
      </c>
      <c r="G2315" t="s">
        <v>33</v>
      </c>
      <c r="H2315" t="s">
        <v>34</v>
      </c>
      <c r="I2315" t="s">
        <v>55</v>
      </c>
      <c r="J2315" t="s">
        <v>58</v>
      </c>
      <c r="K2315" t="s">
        <v>27</v>
      </c>
      <c r="L2315" t="s">
        <v>28</v>
      </c>
      <c r="M2315" s="4">
        <v>17</v>
      </c>
      <c r="N2315" s="4">
        <v>7</v>
      </c>
      <c r="O2315" t="s">
        <v>29</v>
      </c>
      <c r="P2315" t="s">
        <v>36</v>
      </c>
      <c r="Q2315" s="4">
        <v>598986</v>
      </c>
      <c r="R2315" s="4">
        <v>353865</v>
      </c>
      <c r="S2315" s="4">
        <f>Table1[[#This Row],[Service_Revenue]]-Table1[[#This Row],[Service_Cost]]</f>
        <v>245121</v>
      </c>
      <c r="T2315" s="4">
        <v>1</v>
      </c>
      <c r="U2315" s="4">
        <f>IF(AND(Table1[[#This Row],[Rework_Flag]]="Yes",Table1[[#This Row],[Warranty_Claim]]="No"),Table1[[#This Row],[Service_Revenue]],0)</f>
        <v>598986</v>
      </c>
      <c r="V2315" s="4">
        <f>IF(Table1[[#This Row],[Warranty_Claim]]="Yes",1,0)</f>
        <v>0</v>
      </c>
      <c r="W2315" s="4">
        <f>IF(Table1[[#This Row],[Rework_Flag]]="No",1,0)</f>
        <v>0</v>
      </c>
      <c r="X2315" s="4">
        <f>IF(Table1[[#This Row],[Rework_Flag]]="Yes",1,0)</f>
        <v>1</v>
      </c>
      <c r="Y2315" s="4">
        <v>1</v>
      </c>
      <c r="Z2315" s="4" t="str">
        <f>IF(Table1[[#This Row],[TAT_Days]]&gt;Table1[[#This Row],[SLA_TAT]],"Yes","No")</f>
        <v>Yes</v>
      </c>
      <c r="AA2315" s="4" t="str" cm="1">
        <f t="array" ref="AA2315">_xlfn.IFS(Table1[[#This Row],[Customer_Satisfaction]]&lt;=2,"Poor",Table1[[#This Row],[Customer_Satisfaction]]=3,"Neutral",Table1[[#This Row],[Customer_Satisfaction]]=4,"Good",Table1[[#This Row],[Customer_Satisfaction]]=5,"Good")</f>
        <v>Poor</v>
      </c>
    </row>
    <row r="2316" spans="1:27" x14ac:dyDescent="0.35">
      <c r="A2316">
        <v>22314</v>
      </c>
      <c r="B2316" s="1">
        <v>45318</v>
      </c>
      <c r="C2316" t="s">
        <v>50</v>
      </c>
      <c r="D2316" t="s">
        <v>80</v>
      </c>
      <c r="E2316" t="s">
        <v>81</v>
      </c>
      <c r="F2316" t="s">
        <v>53</v>
      </c>
      <c r="G2316" t="s">
        <v>74</v>
      </c>
      <c r="H2316" t="s">
        <v>34</v>
      </c>
      <c r="I2316" t="s">
        <v>25</v>
      </c>
      <c r="J2316" t="s">
        <v>35</v>
      </c>
      <c r="K2316" t="s">
        <v>27</v>
      </c>
      <c r="L2316" t="s">
        <v>28</v>
      </c>
      <c r="M2316" s="4">
        <v>24</v>
      </c>
      <c r="N2316" s="4">
        <v>7</v>
      </c>
      <c r="O2316" t="s">
        <v>29</v>
      </c>
      <c r="P2316" t="s">
        <v>29</v>
      </c>
      <c r="Q2316" s="4">
        <v>208876</v>
      </c>
      <c r="R2316" s="4">
        <v>112809</v>
      </c>
      <c r="S2316" s="4">
        <f>Table1[[#This Row],[Service_Revenue]]-Table1[[#This Row],[Service_Cost]]</f>
        <v>96067</v>
      </c>
      <c r="T2316" s="4">
        <v>1</v>
      </c>
      <c r="U2316" s="4">
        <f>IF(AND(Table1[[#This Row],[Rework_Flag]]="Yes",Table1[[#This Row],[Warranty_Claim]]="No"),Table1[[#This Row],[Service_Revenue]],0)</f>
        <v>0</v>
      </c>
      <c r="V2316" s="4">
        <f>IF(Table1[[#This Row],[Warranty_Claim]]="Yes",1,0)</f>
        <v>1</v>
      </c>
      <c r="W2316" s="4">
        <f>IF(Table1[[#This Row],[Rework_Flag]]="No",1,0)</f>
        <v>0</v>
      </c>
      <c r="X2316" s="4">
        <f>IF(Table1[[#This Row],[Rework_Flag]]="Yes",1,0)</f>
        <v>1</v>
      </c>
      <c r="Y2316" s="4">
        <v>1</v>
      </c>
      <c r="Z2316" s="4" t="str">
        <f>IF(Table1[[#This Row],[TAT_Days]]&gt;Table1[[#This Row],[SLA_TAT]],"Yes","No")</f>
        <v>Yes</v>
      </c>
      <c r="AA2316" s="4" t="str" cm="1">
        <f t="array" ref="AA2316">_xlfn.IFS(Table1[[#This Row],[Customer_Satisfaction]]&lt;=2,"Poor",Table1[[#This Row],[Customer_Satisfaction]]=3,"Neutral",Table1[[#This Row],[Customer_Satisfaction]]=4,"Good",Table1[[#This Row],[Customer_Satisfaction]]=5,"Good")</f>
        <v>Poor</v>
      </c>
    </row>
    <row r="2317" spans="1:27" x14ac:dyDescent="0.35">
      <c r="A2317">
        <v>22315</v>
      </c>
      <c r="B2317" s="1">
        <v>45437</v>
      </c>
      <c r="C2317" t="s">
        <v>37</v>
      </c>
      <c r="D2317" t="s">
        <v>70</v>
      </c>
      <c r="E2317" t="s">
        <v>71</v>
      </c>
      <c r="F2317" t="s">
        <v>22</v>
      </c>
      <c r="G2317" t="s">
        <v>33</v>
      </c>
      <c r="H2317" t="s">
        <v>34</v>
      </c>
      <c r="I2317" t="s">
        <v>55</v>
      </c>
      <c r="J2317" t="s">
        <v>35</v>
      </c>
      <c r="K2317" t="s">
        <v>44</v>
      </c>
      <c r="L2317" t="s">
        <v>28</v>
      </c>
      <c r="M2317" s="4">
        <v>16</v>
      </c>
      <c r="N2317" s="4">
        <v>7</v>
      </c>
      <c r="O2317" t="s">
        <v>36</v>
      </c>
      <c r="P2317" t="s">
        <v>36</v>
      </c>
      <c r="Q2317" s="4">
        <v>219074</v>
      </c>
      <c r="R2317" s="4">
        <v>137684</v>
      </c>
      <c r="S2317" s="4">
        <f>Table1[[#This Row],[Service_Revenue]]-Table1[[#This Row],[Service_Cost]]</f>
        <v>81390</v>
      </c>
      <c r="T2317" s="4">
        <v>2</v>
      </c>
      <c r="U2317" s="4">
        <f>IF(AND(Table1[[#This Row],[Rework_Flag]]="Yes",Table1[[#This Row],[Warranty_Claim]]="No"),Table1[[#This Row],[Service_Revenue]],0)</f>
        <v>0</v>
      </c>
      <c r="V2317" s="4">
        <f>IF(Table1[[#This Row],[Warranty_Claim]]="Yes",1,0)</f>
        <v>0</v>
      </c>
      <c r="W2317" s="4">
        <f>IF(Table1[[#This Row],[Rework_Flag]]="No",1,0)</f>
        <v>1</v>
      </c>
      <c r="X2317" s="4">
        <f>IF(Table1[[#This Row],[Rework_Flag]]="Yes",1,0)</f>
        <v>0</v>
      </c>
      <c r="Y2317" s="4">
        <v>1</v>
      </c>
      <c r="Z2317" s="4" t="str">
        <f>IF(Table1[[#This Row],[TAT_Days]]&gt;Table1[[#This Row],[SLA_TAT]],"Yes","No")</f>
        <v>Yes</v>
      </c>
      <c r="AA2317" s="4" t="str" cm="1">
        <f t="array" ref="AA2317">_xlfn.IFS(Table1[[#This Row],[Customer_Satisfaction]]&lt;=2,"Poor",Table1[[#This Row],[Customer_Satisfaction]]=3,"Neutral",Table1[[#This Row],[Customer_Satisfaction]]=4,"Good",Table1[[#This Row],[Customer_Satisfaction]]=5,"Good")</f>
        <v>Poor</v>
      </c>
    </row>
    <row r="2318" spans="1:27" x14ac:dyDescent="0.35">
      <c r="A2318">
        <v>22316</v>
      </c>
      <c r="B2318" s="1">
        <v>45348</v>
      </c>
      <c r="C2318" t="s">
        <v>30</v>
      </c>
      <c r="D2318" t="s">
        <v>59</v>
      </c>
      <c r="E2318" t="s">
        <v>60</v>
      </c>
      <c r="F2318" t="s">
        <v>22</v>
      </c>
      <c r="G2318" t="s">
        <v>23</v>
      </c>
      <c r="H2318" t="s">
        <v>24</v>
      </c>
      <c r="I2318" t="s">
        <v>55</v>
      </c>
      <c r="J2318" t="s">
        <v>35</v>
      </c>
      <c r="K2318" t="s">
        <v>61</v>
      </c>
      <c r="L2318" t="s">
        <v>49</v>
      </c>
      <c r="M2318" s="4">
        <v>20</v>
      </c>
      <c r="N2318" s="4">
        <v>7</v>
      </c>
      <c r="O2318" t="s">
        <v>36</v>
      </c>
      <c r="P2318" t="s">
        <v>36</v>
      </c>
      <c r="Q2318" s="4">
        <v>161555</v>
      </c>
      <c r="R2318" s="4">
        <v>123522</v>
      </c>
      <c r="S2318" s="4">
        <f>Table1[[#This Row],[Service_Revenue]]-Table1[[#This Row],[Service_Cost]]</f>
        <v>38033</v>
      </c>
      <c r="T2318" s="4">
        <v>1</v>
      </c>
      <c r="U2318" s="4">
        <f>IF(AND(Table1[[#This Row],[Rework_Flag]]="Yes",Table1[[#This Row],[Warranty_Claim]]="No"),Table1[[#This Row],[Service_Revenue]],0)</f>
        <v>0</v>
      </c>
      <c r="V2318" s="4">
        <f>IF(Table1[[#This Row],[Warranty_Claim]]="Yes",1,0)</f>
        <v>0</v>
      </c>
      <c r="W2318" s="4">
        <f>IF(Table1[[#This Row],[Rework_Flag]]="No",1,0)</f>
        <v>1</v>
      </c>
      <c r="X2318" s="4">
        <f>IF(Table1[[#This Row],[Rework_Flag]]="Yes",1,0)</f>
        <v>0</v>
      </c>
      <c r="Y2318" s="4">
        <v>1</v>
      </c>
      <c r="Z2318" s="4" t="str">
        <f>IF(Table1[[#This Row],[TAT_Days]]&gt;Table1[[#This Row],[SLA_TAT]],"Yes","No")</f>
        <v>Yes</v>
      </c>
      <c r="AA2318" s="4" t="str" cm="1">
        <f t="array" ref="AA2318">_xlfn.IFS(Table1[[#This Row],[Customer_Satisfaction]]&lt;=2,"Poor",Table1[[#This Row],[Customer_Satisfaction]]=3,"Neutral",Table1[[#This Row],[Customer_Satisfaction]]=4,"Good",Table1[[#This Row],[Customer_Satisfaction]]=5,"Good")</f>
        <v>Poor</v>
      </c>
    </row>
    <row r="2319" spans="1:27" x14ac:dyDescent="0.35">
      <c r="A2319">
        <v>22317</v>
      </c>
      <c r="B2319" s="1">
        <v>45353</v>
      </c>
      <c r="C2319" t="s">
        <v>30</v>
      </c>
      <c r="D2319" t="s">
        <v>83</v>
      </c>
      <c r="E2319" t="s">
        <v>90</v>
      </c>
      <c r="F2319" t="s">
        <v>22</v>
      </c>
      <c r="G2319" t="s">
        <v>23</v>
      </c>
      <c r="H2319" t="s">
        <v>24</v>
      </c>
      <c r="I2319" t="s">
        <v>55</v>
      </c>
      <c r="J2319" t="s">
        <v>43</v>
      </c>
      <c r="K2319" t="s">
        <v>61</v>
      </c>
      <c r="L2319" t="s">
        <v>49</v>
      </c>
      <c r="M2319" s="4">
        <v>17</v>
      </c>
      <c r="N2319" s="4">
        <v>7</v>
      </c>
      <c r="O2319" t="s">
        <v>29</v>
      </c>
      <c r="P2319" t="s">
        <v>36</v>
      </c>
      <c r="Q2319" s="4">
        <v>228916</v>
      </c>
      <c r="R2319" s="4">
        <v>148737</v>
      </c>
      <c r="S2319" s="4">
        <f>Table1[[#This Row],[Service_Revenue]]-Table1[[#This Row],[Service_Cost]]</f>
        <v>80179</v>
      </c>
      <c r="T2319" s="4">
        <v>1</v>
      </c>
      <c r="U2319" s="4">
        <f>IF(AND(Table1[[#This Row],[Rework_Flag]]="Yes",Table1[[#This Row],[Warranty_Claim]]="No"),Table1[[#This Row],[Service_Revenue]],0)</f>
        <v>228916</v>
      </c>
      <c r="V2319" s="4">
        <f>IF(Table1[[#This Row],[Warranty_Claim]]="Yes",1,0)</f>
        <v>0</v>
      </c>
      <c r="W2319" s="4">
        <f>IF(Table1[[#This Row],[Rework_Flag]]="No",1,0)</f>
        <v>0</v>
      </c>
      <c r="X2319" s="4">
        <f>IF(Table1[[#This Row],[Rework_Flag]]="Yes",1,0)</f>
        <v>1</v>
      </c>
      <c r="Y2319" s="4">
        <v>1</v>
      </c>
      <c r="Z2319" s="4" t="str">
        <f>IF(Table1[[#This Row],[TAT_Days]]&gt;Table1[[#This Row],[SLA_TAT]],"Yes","No")</f>
        <v>Yes</v>
      </c>
      <c r="AA2319" s="4" t="str" cm="1">
        <f t="array" ref="AA2319">_xlfn.IFS(Table1[[#This Row],[Customer_Satisfaction]]&lt;=2,"Poor",Table1[[#This Row],[Customer_Satisfaction]]=3,"Neutral",Table1[[#This Row],[Customer_Satisfaction]]=4,"Good",Table1[[#This Row],[Customer_Satisfaction]]=5,"Good")</f>
        <v>Poor</v>
      </c>
    </row>
    <row r="2320" spans="1:27" x14ac:dyDescent="0.35">
      <c r="A2320">
        <v>22318</v>
      </c>
      <c r="B2320" s="1">
        <v>45385</v>
      </c>
      <c r="C2320" t="s">
        <v>30</v>
      </c>
      <c r="D2320" t="s">
        <v>31</v>
      </c>
      <c r="E2320" t="s">
        <v>122</v>
      </c>
      <c r="F2320" t="s">
        <v>53</v>
      </c>
      <c r="G2320" t="s">
        <v>23</v>
      </c>
      <c r="H2320" t="s">
        <v>24</v>
      </c>
      <c r="I2320" t="s">
        <v>55</v>
      </c>
      <c r="J2320" t="s">
        <v>35</v>
      </c>
      <c r="K2320" t="s">
        <v>27</v>
      </c>
      <c r="L2320" t="s">
        <v>28</v>
      </c>
      <c r="M2320" s="4">
        <v>23</v>
      </c>
      <c r="N2320" s="4">
        <v>7</v>
      </c>
      <c r="O2320" t="s">
        <v>29</v>
      </c>
      <c r="P2320" t="s">
        <v>36</v>
      </c>
      <c r="Q2320" s="4">
        <v>587165</v>
      </c>
      <c r="R2320" s="4">
        <v>461405</v>
      </c>
      <c r="S2320" s="4">
        <f>Table1[[#This Row],[Service_Revenue]]-Table1[[#This Row],[Service_Cost]]</f>
        <v>125760</v>
      </c>
      <c r="T2320" s="4">
        <v>1</v>
      </c>
      <c r="U2320" s="4">
        <f>IF(AND(Table1[[#This Row],[Rework_Flag]]="Yes",Table1[[#This Row],[Warranty_Claim]]="No"),Table1[[#This Row],[Service_Revenue]],0)</f>
        <v>587165</v>
      </c>
      <c r="V2320" s="4">
        <f>IF(Table1[[#This Row],[Warranty_Claim]]="Yes",1,0)</f>
        <v>0</v>
      </c>
      <c r="W2320" s="4">
        <f>IF(Table1[[#This Row],[Rework_Flag]]="No",1,0)</f>
        <v>0</v>
      </c>
      <c r="X2320" s="4">
        <f>IF(Table1[[#This Row],[Rework_Flag]]="Yes",1,0)</f>
        <v>1</v>
      </c>
      <c r="Y2320" s="4">
        <v>1</v>
      </c>
      <c r="Z2320" s="4" t="str">
        <f>IF(Table1[[#This Row],[TAT_Days]]&gt;Table1[[#This Row],[SLA_TAT]],"Yes","No")</f>
        <v>Yes</v>
      </c>
      <c r="AA2320" s="4" t="str" cm="1">
        <f t="array" ref="AA2320">_xlfn.IFS(Table1[[#This Row],[Customer_Satisfaction]]&lt;=2,"Poor",Table1[[#This Row],[Customer_Satisfaction]]=3,"Neutral",Table1[[#This Row],[Customer_Satisfaction]]=4,"Good",Table1[[#This Row],[Customer_Satisfaction]]=5,"Good")</f>
        <v>Poor</v>
      </c>
    </row>
    <row r="2321" spans="1:27" x14ac:dyDescent="0.35">
      <c r="A2321">
        <v>22319</v>
      </c>
      <c r="B2321" s="1">
        <v>45358</v>
      </c>
      <c r="C2321" t="s">
        <v>19</v>
      </c>
      <c r="D2321" t="s">
        <v>20</v>
      </c>
      <c r="E2321" t="s">
        <v>117</v>
      </c>
      <c r="F2321" t="s">
        <v>40</v>
      </c>
      <c r="G2321" t="s">
        <v>41</v>
      </c>
      <c r="H2321" t="s">
        <v>42</v>
      </c>
      <c r="I2321" t="s">
        <v>55</v>
      </c>
      <c r="J2321" t="s">
        <v>43</v>
      </c>
      <c r="K2321" t="s">
        <v>44</v>
      </c>
      <c r="L2321" t="s">
        <v>28</v>
      </c>
      <c r="M2321" s="4">
        <v>13</v>
      </c>
      <c r="N2321" s="4">
        <v>7</v>
      </c>
      <c r="O2321" t="s">
        <v>36</v>
      </c>
      <c r="P2321" t="s">
        <v>36</v>
      </c>
      <c r="Q2321" s="4">
        <v>553283</v>
      </c>
      <c r="R2321" s="4">
        <v>295712</v>
      </c>
      <c r="S2321" s="4">
        <f>Table1[[#This Row],[Service_Revenue]]-Table1[[#This Row],[Service_Cost]]</f>
        <v>257571</v>
      </c>
      <c r="T2321" s="4">
        <v>3</v>
      </c>
      <c r="U2321" s="4">
        <f>IF(AND(Table1[[#This Row],[Rework_Flag]]="Yes",Table1[[#This Row],[Warranty_Claim]]="No"),Table1[[#This Row],[Service_Revenue]],0)</f>
        <v>0</v>
      </c>
      <c r="V2321" s="4">
        <f>IF(Table1[[#This Row],[Warranty_Claim]]="Yes",1,0)</f>
        <v>0</v>
      </c>
      <c r="W2321" s="4">
        <f>IF(Table1[[#This Row],[Rework_Flag]]="No",1,0)</f>
        <v>1</v>
      </c>
      <c r="X2321" s="4">
        <f>IF(Table1[[#This Row],[Rework_Flag]]="Yes",1,0)</f>
        <v>0</v>
      </c>
      <c r="Y2321" s="4">
        <v>1</v>
      </c>
      <c r="Z2321" s="4" t="str">
        <f>IF(Table1[[#This Row],[TAT_Days]]&gt;Table1[[#This Row],[SLA_TAT]],"Yes","No")</f>
        <v>Yes</v>
      </c>
      <c r="AA2321" s="4" t="str" cm="1">
        <f t="array" ref="AA2321">_xlfn.IFS(Table1[[#This Row],[Customer_Satisfaction]]&lt;=2,"Poor",Table1[[#This Row],[Customer_Satisfaction]]=3,"Neutral",Table1[[#This Row],[Customer_Satisfaction]]=4,"Good",Table1[[#This Row],[Customer_Satisfaction]]=5,"Good")</f>
        <v>Neutral</v>
      </c>
    </row>
    <row r="2322" spans="1:27" x14ac:dyDescent="0.35">
      <c r="A2322">
        <v>22320</v>
      </c>
      <c r="B2322" s="1">
        <v>45311</v>
      </c>
      <c r="C2322" t="s">
        <v>50</v>
      </c>
      <c r="D2322" t="s">
        <v>56</v>
      </c>
      <c r="E2322" t="s">
        <v>77</v>
      </c>
      <c r="F2322" t="s">
        <v>22</v>
      </c>
      <c r="G2322" t="s">
        <v>54</v>
      </c>
      <c r="H2322" t="s">
        <v>42</v>
      </c>
      <c r="I2322" t="s">
        <v>55</v>
      </c>
      <c r="J2322" t="s">
        <v>26</v>
      </c>
      <c r="K2322" t="s">
        <v>44</v>
      </c>
      <c r="L2322" t="s">
        <v>49</v>
      </c>
      <c r="M2322" s="4">
        <v>3</v>
      </c>
      <c r="N2322" s="4">
        <v>7</v>
      </c>
      <c r="O2322" t="s">
        <v>29</v>
      </c>
      <c r="P2322" t="s">
        <v>36</v>
      </c>
      <c r="Q2322" s="4">
        <v>264006</v>
      </c>
      <c r="R2322" s="4">
        <v>199860</v>
      </c>
      <c r="S2322" s="4">
        <f>Table1[[#This Row],[Service_Revenue]]-Table1[[#This Row],[Service_Cost]]</f>
        <v>64146</v>
      </c>
      <c r="T2322" s="4">
        <v>4</v>
      </c>
      <c r="U2322" s="4">
        <f>IF(AND(Table1[[#This Row],[Rework_Flag]]="Yes",Table1[[#This Row],[Warranty_Claim]]="No"),Table1[[#This Row],[Service_Revenue]],0)</f>
        <v>264006</v>
      </c>
      <c r="V2322" s="4">
        <f>IF(Table1[[#This Row],[Warranty_Claim]]="Yes",1,0)</f>
        <v>0</v>
      </c>
      <c r="W2322" s="4">
        <f>IF(Table1[[#This Row],[Rework_Flag]]="No",1,0)</f>
        <v>0</v>
      </c>
      <c r="X2322" s="4">
        <f>IF(Table1[[#This Row],[Rework_Flag]]="Yes",1,0)</f>
        <v>1</v>
      </c>
      <c r="Y2322" s="4">
        <v>1</v>
      </c>
      <c r="Z2322" s="4" t="str">
        <f>IF(Table1[[#This Row],[TAT_Days]]&gt;Table1[[#This Row],[SLA_TAT]],"Yes","No")</f>
        <v>No</v>
      </c>
      <c r="AA2322" s="4" t="str" cm="1">
        <f t="array" ref="AA2322">_xlfn.IFS(Table1[[#This Row],[Customer_Satisfaction]]&lt;=2,"Poor",Table1[[#This Row],[Customer_Satisfaction]]=3,"Neutral",Table1[[#This Row],[Customer_Satisfaction]]=4,"Good",Table1[[#This Row],[Customer_Satisfaction]]=5,"Good")</f>
        <v>Good</v>
      </c>
    </row>
    <row r="2323" spans="1:27" x14ac:dyDescent="0.35">
      <c r="A2323">
        <v>22321</v>
      </c>
      <c r="B2323" s="1">
        <v>45454</v>
      </c>
      <c r="C2323" t="s">
        <v>19</v>
      </c>
      <c r="D2323" t="s">
        <v>20</v>
      </c>
      <c r="E2323" t="s">
        <v>21</v>
      </c>
      <c r="F2323" t="s">
        <v>40</v>
      </c>
      <c r="G2323" t="s">
        <v>47</v>
      </c>
      <c r="H2323" t="s">
        <v>48</v>
      </c>
      <c r="I2323" t="s">
        <v>55</v>
      </c>
      <c r="J2323" t="s">
        <v>58</v>
      </c>
      <c r="K2323" t="s">
        <v>27</v>
      </c>
      <c r="L2323" t="s">
        <v>49</v>
      </c>
      <c r="M2323" s="4">
        <v>11</v>
      </c>
      <c r="N2323" s="4">
        <v>7</v>
      </c>
      <c r="O2323" t="s">
        <v>29</v>
      </c>
      <c r="P2323" t="s">
        <v>29</v>
      </c>
      <c r="Q2323" s="4">
        <v>362366</v>
      </c>
      <c r="R2323" s="4">
        <v>292515</v>
      </c>
      <c r="S2323" s="4">
        <f>Table1[[#This Row],[Service_Revenue]]-Table1[[#This Row],[Service_Cost]]</f>
        <v>69851</v>
      </c>
      <c r="T2323" s="4">
        <v>2</v>
      </c>
      <c r="U2323" s="4">
        <f>IF(AND(Table1[[#This Row],[Rework_Flag]]="Yes",Table1[[#This Row],[Warranty_Claim]]="No"),Table1[[#This Row],[Service_Revenue]],0)</f>
        <v>0</v>
      </c>
      <c r="V2323" s="4">
        <f>IF(Table1[[#This Row],[Warranty_Claim]]="Yes",1,0)</f>
        <v>1</v>
      </c>
      <c r="W2323" s="4">
        <f>IF(Table1[[#This Row],[Rework_Flag]]="No",1,0)</f>
        <v>0</v>
      </c>
      <c r="X2323" s="4">
        <f>IF(Table1[[#This Row],[Rework_Flag]]="Yes",1,0)</f>
        <v>1</v>
      </c>
      <c r="Y2323" s="4">
        <v>1</v>
      </c>
      <c r="Z2323" s="4" t="str">
        <f>IF(Table1[[#This Row],[TAT_Days]]&gt;Table1[[#This Row],[SLA_TAT]],"Yes","No")</f>
        <v>Yes</v>
      </c>
      <c r="AA2323" s="4" t="str" cm="1">
        <f t="array" ref="AA2323">_xlfn.IFS(Table1[[#This Row],[Customer_Satisfaction]]&lt;=2,"Poor",Table1[[#This Row],[Customer_Satisfaction]]=3,"Neutral",Table1[[#This Row],[Customer_Satisfaction]]=4,"Good",Table1[[#This Row],[Customer_Satisfaction]]=5,"Good")</f>
        <v>Poor</v>
      </c>
    </row>
    <row r="2324" spans="1:27" x14ac:dyDescent="0.35">
      <c r="A2324">
        <v>22322</v>
      </c>
      <c r="B2324" s="1">
        <v>45467</v>
      </c>
      <c r="C2324" t="s">
        <v>37</v>
      </c>
      <c r="D2324" t="s">
        <v>70</v>
      </c>
      <c r="E2324" t="s">
        <v>71</v>
      </c>
      <c r="F2324" t="s">
        <v>40</v>
      </c>
      <c r="G2324" t="s">
        <v>47</v>
      </c>
      <c r="H2324" t="s">
        <v>48</v>
      </c>
      <c r="I2324" t="s">
        <v>25</v>
      </c>
      <c r="J2324" t="s">
        <v>58</v>
      </c>
      <c r="K2324" t="s">
        <v>27</v>
      </c>
      <c r="L2324" t="s">
        <v>28</v>
      </c>
      <c r="M2324" s="4">
        <v>11</v>
      </c>
      <c r="N2324" s="4">
        <v>7</v>
      </c>
      <c r="O2324" t="s">
        <v>29</v>
      </c>
      <c r="P2324" t="s">
        <v>36</v>
      </c>
      <c r="Q2324" s="4">
        <v>414962</v>
      </c>
      <c r="R2324" s="4">
        <v>273685</v>
      </c>
      <c r="S2324" s="4">
        <f>Table1[[#This Row],[Service_Revenue]]-Table1[[#This Row],[Service_Cost]]</f>
        <v>141277</v>
      </c>
      <c r="T2324" s="4">
        <v>2</v>
      </c>
      <c r="U2324" s="4">
        <f>IF(AND(Table1[[#This Row],[Rework_Flag]]="Yes",Table1[[#This Row],[Warranty_Claim]]="No"),Table1[[#This Row],[Service_Revenue]],0)</f>
        <v>414962</v>
      </c>
      <c r="V2324" s="4">
        <f>IF(Table1[[#This Row],[Warranty_Claim]]="Yes",1,0)</f>
        <v>0</v>
      </c>
      <c r="W2324" s="4">
        <f>IF(Table1[[#This Row],[Rework_Flag]]="No",1,0)</f>
        <v>0</v>
      </c>
      <c r="X2324" s="4">
        <f>IF(Table1[[#This Row],[Rework_Flag]]="Yes",1,0)</f>
        <v>1</v>
      </c>
      <c r="Y2324" s="4">
        <v>1</v>
      </c>
      <c r="Z2324" s="4" t="str">
        <f>IF(Table1[[#This Row],[TAT_Days]]&gt;Table1[[#This Row],[SLA_TAT]],"Yes","No")</f>
        <v>Yes</v>
      </c>
      <c r="AA2324" s="4" t="str" cm="1">
        <f t="array" ref="AA2324">_xlfn.IFS(Table1[[#This Row],[Customer_Satisfaction]]&lt;=2,"Poor",Table1[[#This Row],[Customer_Satisfaction]]=3,"Neutral",Table1[[#This Row],[Customer_Satisfaction]]=4,"Good",Table1[[#This Row],[Customer_Satisfaction]]=5,"Good")</f>
        <v>Poor</v>
      </c>
    </row>
    <row r="2325" spans="1:27" x14ac:dyDescent="0.35">
      <c r="A2325">
        <v>22323</v>
      </c>
      <c r="B2325" s="1">
        <v>45378</v>
      </c>
      <c r="C2325" t="s">
        <v>37</v>
      </c>
      <c r="D2325" t="s">
        <v>64</v>
      </c>
      <c r="E2325" t="s">
        <v>65</v>
      </c>
      <c r="F2325" t="s">
        <v>53</v>
      </c>
      <c r="G2325" t="s">
        <v>47</v>
      </c>
      <c r="H2325" t="s">
        <v>48</v>
      </c>
      <c r="I2325" t="s">
        <v>25</v>
      </c>
      <c r="J2325" t="s">
        <v>26</v>
      </c>
      <c r="K2325" t="s">
        <v>44</v>
      </c>
      <c r="L2325" t="s">
        <v>28</v>
      </c>
      <c r="M2325" s="4">
        <v>14</v>
      </c>
      <c r="N2325" s="4">
        <v>7</v>
      </c>
      <c r="O2325" t="s">
        <v>36</v>
      </c>
      <c r="P2325" t="s">
        <v>36</v>
      </c>
      <c r="Q2325" s="4">
        <v>131117</v>
      </c>
      <c r="R2325" s="4">
        <v>74775</v>
      </c>
      <c r="S2325" s="4">
        <f>Table1[[#This Row],[Service_Revenue]]-Table1[[#This Row],[Service_Cost]]</f>
        <v>56342</v>
      </c>
      <c r="T2325" s="4">
        <v>3</v>
      </c>
      <c r="U2325" s="4">
        <f>IF(AND(Table1[[#This Row],[Rework_Flag]]="Yes",Table1[[#This Row],[Warranty_Claim]]="No"),Table1[[#This Row],[Service_Revenue]],0)</f>
        <v>0</v>
      </c>
      <c r="V2325" s="4">
        <f>IF(Table1[[#This Row],[Warranty_Claim]]="Yes",1,0)</f>
        <v>0</v>
      </c>
      <c r="W2325" s="4">
        <f>IF(Table1[[#This Row],[Rework_Flag]]="No",1,0)</f>
        <v>1</v>
      </c>
      <c r="X2325" s="4">
        <f>IF(Table1[[#This Row],[Rework_Flag]]="Yes",1,0)</f>
        <v>0</v>
      </c>
      <c r="Y2325" s="4">
        <v>1</v>
      </c>
      <c r="Z2325" s="4" t="str">
        <f>IF(Table1[[#This Row],[TAT_Days]]&gt;Table1[[#This Row],[SLA_TAT]],"Yes","No")</f>
        <v>Yes</v>
      </c>
      <c r="AA2325" s="4" t="str" cm="1">
        <f t="array" ref="AA2325">_xlfn.IFS(Table1[[#This Row],[Customer_Satisfaction]]&lt;=2,"Poor",Table1[[#This Row],[Customer_Satisfaction]]=3,"Neutral",Table1[[#This Row],[Customer_Satisfaction]]=4,"Good",Table1[[#This Row],[Customer_Satisfaction]]=5,"Good")</f>
        <v>Neutral</v>
      </c>
    </row>
    <row r="2326" spans="1:27" x14ac:dyDescent="0.35">
      <c r="A2326">
        <v>22324</v>
      </c>
      <c r="B2326" s="1">
        <v>45438</v>
      </c>
      <c r="C2326" t="s">
        <v>19</v>
      </c>
      <c r="D2326" t="s">
        <v>20</v>
      </c>
      <c r="E2326" t="s">
        <v>117</v>
      </c>
      <c r="F2326" t="s">
        <v>40</v>
      </c>
      <c r="G2326" t="s">
        <v>63</v>
      </c>
      <c r="H2326" t="s">
        <v>24</v>
      </c>
      <c r="I2326" t="s">
        <v>55</v>
      </c>
      <c r="J2326" t="s">
        <v>58</v>
      </c>
      <c r="K2326" t="s">
        <v>27</v>
      </c>
      <c r="L2326" t="s">
        <v>49</v>
      </c>
      <c r="M2326" s="4">
        <v>24</v>
      </c>
      <c r="N2326" s="4">
        <v>7</v>
      </c>
      <c r="O2326" t="s">
        <v>29</v>
      </c>
      <c r="P2326" t="s">
        <v>29</v>
      </c>
      <c r="Q2326" s="4">
        <v>466609</v>
      </c>
      <c r="R2326" s="4">
        <v>286360</v>
      </c>
      <c r="S2326" s="4">
        <f>Table1[[#This Row],[Service_Revenue]]-Table1[[#This Row],[Service_Cost]]</f>
        <v>180249</v>
      </c>
      <c r="T2326" s="4">
        <v>1</v>
      </c>
      <c r="U2326" s="4">
        <f>IF(AND(Table1[[#This Row],[Rework_Flag]]="Yes",Table1[[#This Row],[Warranty_Claim]]="No"),Table1[[#This Row],[Service_Revenue]],0)</f>
        <v>0</v>
      </c>
      <c r="V2326" s="4">
        <f>IF(Table1[[#This Row],[Warranty_Claim]]="Yes",1,0)</f>
        <v>1</v>
      </c>
      <c r="W2326" s="4">
        <f>IF(Table1[[#This Row],[Rework_Flag]]="No",1,0)</f>
        <v>0</v>
      </c>
      <c r="X2326" s="4">
        <f>IF(Table1[[#This Row],[Rework_Flag]]="Yes",1,0)</f>
        <v>1</v>
      </c>
      <c r="Y2326" s="4">
        <v>1</v>
      </c>
      <c r="Z2326" s="4" t="str">
        <f>IF(Table1[[#This Row],[TAT_Days]]&gt;Table1[[#This Row],[SLA_TAT]],"Yes","No")</f>
        <v>Yes</v>
      </c>
      <c r="AA2326" s="4" t="str" cm="1">
        <f t="array" ref="AA2326">_xlfn.IFS(Table1[[#This Row],[Customer_Satisfaction]]&lt;=2,"Poor",Table1[[#This Row],[Customer_Satisfaction]]=3,"Neutral",Table1[[#This Row],[Customer_Satisfaction]]=4,"Good",Table1[[#This Row],[Customer_Satisfaction]]=5,"Good")</f>
        <v>Poor</v>
      </c>
    </row>
    <row r="2327" spans="1:27" x14ac:dyDescent="0.35">
      <c r="A2327">
        <v>22325</v>
      </c>
      <c r="B2327" s="1">
        <v>45311</v>
      </c>
      <c r="C2327" t="s">
        <v>37</v>
      </c>
      <c r="D2327" t="s">
        <v>64</v>
      </c>
      <c r="E2327" t="s">
        <v>65</v>
      </c>
      <c r="F2327" t="s">
        <v>40</v>
      </c>
      <c r="G2327" t="s">
        <v>23</v>
      </c>
      <c r="H2327" t="s">
        <v>24</v>
      </c>
      <c r="I2327" t="s">
        <v>25</v>
      </c>
      <c r="J2327" t="s">
        <v>58</v>
      </c>
      <c r="K2327" t="s">
        <v>27</v>
      </c>
      <c r="L2327" t="s">
        <v>28</v>
      </c>
      <c r="M2327" s="4">
        <v>19</v>
      </c>
      <c r="N2327" s="4">
        <v>7</v>
      </c>
      <c r="O2327" t="s">
        <v>29</v>
      </c>
      <c r="P2327" t="s">
        <v>29</v>
      </c>
      <c r="Q2327" s="4">
        <v>509921</v>
      </c>
      <c r="R2327" s="4">
        <v>310560</v>
      </c>
      <c r="S2327" s="4">
        <f>Table1[[#This Row],[Service_Revenue]]-Table1[[#This Row],[Service_Cost]]</f>
        <v>199361</v>
      </c>
      <c r="T2327" s="4">
        <v>1</v>
      </c>
      <c r="U2327" s="4">
        <f>IF(AND(Table1[[#This Row],[Rework_Flag]]="Yes",Table1[[#This Row],[Warranty_Claim]]="No"),Table1[[#This Row],[Service_Revenue]],0)</f>
        <v>0</v>
      </c>
      <c r="V2327" s="4">
        <f>IF(Table1[[#This Row],[Warranty_Claim]]="Yes",1,0)</f>
        <v>1</v>
      </c>
      <c r="W2327" s="4">
        <f>IF(Table1[[#This Row],[Rework_Flag]]="No",1,0)</f>
        <v>0</v>
      </c>
      <c r="X2327" s="4">
        <f>IF(Table1[[#This Row],[Rework_Flag]]="Yes",1,0)</f>
        <v>1</v>
      </c>
      <c r="Y2327" s="4">
        <v>1</v>
      </c>
      <c r="Z2327" s="4" t="str">
        <f>IF(Table1[[#This Row],[TAT_Days]]&gt;Table1[[#This Row],[SLA_TAT]],"Yes","No")</f>
        <v>Yes</v>
      </c>
      <c r="AA2327" s="4" t="str" cm="1">
        <f t="array" ref="AA2327">_xlfn.IFS(Table1[[#This Row],[Customer_Satisfaction]]&lt;=2,"Poor",Table1[[#This Row],[Customer_Satisfaction]]=3,"Neutral",Table1[[#This Row],[Customer_Satisfaction]]=4,"Good",Table1[[#This Row],[Customer_Satisfaction]]=5,"Good")</f>
        <v>Poor</v>
      </c>
    </row>
    <row r="2328" spans="1:27" x14ac:dyDescent="0.35">
      <c r="A2328">
        <v>22326</v>
      </c>
      <c r="B2328" s="1">
        <v>45415</v>
      </c>
      <c r="C2328" t="s">
        <v>50</v>
      </c>
      <c r="D2328" t="s">
        <v>51</v>
      </c>
      <c r="E2328" t="s">
        <v>113</v>
      </c>
      <c r="F2328" t="s">
        <v>22</v>
      </c>
      <c r="G2328" t="s">
        <v>74</v>
      </c>
      <c r="H2328" t="s">
        <v>34</v>
      </c>
      <c r="I2328" t="s">
        <v>25</v>
      </c>
      <c r="J2328" t="s">
        <v>35</v>
      </c>
      <c r="K2328" t="s">
        <v>61</v>
      </c>
      <c r="L2328" t="s">
        <v>28</v>
      </c>
      <c r="M2328" s="4">
        <v>2</v>
      </c>
      <c r="N2328" s="4">
        <v>7</v>
      </c>
      <c r="O2328" t="s">
        <v>36</v>
      </c>
      <c r="P2328" t="s">
        <v>36</v>
      </c>
      <c r="Q2328" s="4">
        <v>587895</v>
      </c>
      <c r="R2328" s="4">
        <v>450559</v>
      </c>
      <c r="S2328" s="4">
        <f>Table1[[#This Row],[Service_Revenue]]-Table1[[#This Row],[Service_Cost]]</f>
        <v>137336</v>
      </c>
      <c r="T2328" s="4">
        <v>5</v>
      </c>
      <c r="U2328" s="4">
        <f>IF(AND(Table1[[#This Row],[Rework_Flag]]="Yes",Table1[[#This Row],[Warranty_Claim]]="No"),Table1[[#This Row],[Service_Revenue]],0)</f>
        <v>0</v>
      </c>
      <c r="V2328" s="4">
        <f>IF(Table1[[#This Row],[Warranty_Claim]]="Yes",1,0)</f>
        <v>0</v>
      </c>
      <c r="W2328" s="4">
        <f>IF(Table1[[#This Row],[Rework_Flag]]="No",1,0)</f>
        <v>1</v>
      </c>
      <c r="X2328" s="4">
        <f>IF(Table1[[#This Row],[Rework_Flag]]="Yes",1,0)</f>
        <v>0</v>
      </c>
      <c r="Y2328" s="4">
        <v>1</v>
      </c>
      <c r="Z2328" s="4" t="str">
        <f>IF(Table1[[#This Row],[TAT_Days]]&gt;Table1[[#This Row],[SLA_TAT]],"Yes","No")</f>
        <v>No</v>
      </c>
      <c r="AA2328" s="4" t="str" cm="1">
        <f t="array" ref="AA2328">_xlfn.IFS(Table1[[#This Row],[Customer_Satisfaction]]&lt;=2,"Poor",Table1[[#This Row],[Customer_Satisfaction]]=3,"Neutral",Table1[[#This Row],[Customer_Satisfaction]]=4,"Good",Table1[[#This Row],[Customer_Satisfaction]]=5,"Good")</f>
        <v>Good</v>
      </c>
    </row>
    <row r="2329" spans="1:27" x14ac:dyDescent="0.35">
      <c r="A2329">
        <v>22327</v>
      </c>
      <c r="B2329" s="1">
        <v>45401</v>
      </c>
      <c r="C2329" t="s">
        <v>50</v>
      </c>
      <c r="D2329" t="s">
        <v>51</v>
      </c>
      <c r="E2329" t="s">
        <v>75</v>
      </c>
      <c r="F2329" t="s">
        <v>40</v>
      </c>
      <c r="G2329" t="s">
        <v>23</v>
      </c>
      <c r="H2329" t="s">
        <v>24</v>
      </c>
      <c r="I2329" t="s">
        <v>55</v>
      </c>
      <c r="J2329" t="s">
        <v>35</v>
      </c>
      <c r="K2329" t="s">
        <v>61</v>
      </c>
      <c r="L2329" t="s">
        <v>28</v>
      </c>
      <c r="M2329" s="4">
        <v>3</v>
      </c>
      <c r="N2329" s="4">
        <v>7</v>
      </c>
      <c r="O2329" t="s">
        <v>36</v>
      </c>
      <c r="P2329" t="s">
        <v>29</v>
      </c>
      <c r="Q2329" s="4">
        <v>577500</v>
      </c>
      <c r="R2329" s="4">
        <v>368793</v>
      </c>
      <c r="S2329" s="4">
        <f>Table1[[#This Row],[Service_Revenue]]-Table1[[#This Row],[Service_Cost]]</f>
        <v>208707</v>
      </c>
      <c r="T2329" s="4">
        <v>5</v>
      </c>
      <c r="U2329" s="4">
        <f>IF(AND(Table1[[#This Row],[Rework_Flag]]="Yes",Table1[[#This Row],[Warranty_Claim]]="No"),Table1[[#This Row],[Service_Revenue]],0)</f>
        <v>0</v>
      </c>
      <c r="V2329" s="4">
        <f>IF(Table1[[#This Row],[Warranty_Claim]]="Yes",1,0)</f>
        <v>1</v>
      </c>
      <c r="W2329" s="4">
        <f>IF(Table1[[#This Row],[Rework_Flag]]="No",1,0)</f>
        <v>1</v>
      </c>
      <c r="X2329" s="4">
        <f>IF(Table1[[#This Row],[Rework_Flag]]="Yes",1,0)</f>
        <v>0</v>
      </c>
      <c r="Y2329" s="4">
        <v>1</v>
      </c>
      <c r="Z2329" s="4" t="str">
        <f>IF(Table1[[#This Row],[TAT_Days]]&gt;Table1[[#This Row],[SLA_TAT]],"Yes","No")</f>
        <v>No</v>
      </c>
      <c r="AA2329" s="4" t="str" cm="1">
        <f t="array" ref="AA2329">_xlfn.IFS(Table1[[#This Row],[Customer_Satisfaction]]&lt;=2,"Poor",Table1[[#This Row],[Customer_Satisfaction]]=3,"Neutral",Table1[[#This Row],[Customer_Satisfaction]]=4,"Good",Table1[[#This Row],[Customer_Satisfaction]]=5,"Good")</f>
        <v>Good</v>
      </c>
    </row>
    <row r="2330" spans="1:27" x14ac:dyDescent="0.35">
      <c r="A2330">
        <v>22328</v>
      </c>
      <c r="B2330" s="1">
        <v>45349</v>
      </c>
      <c r="C2330" t="s">
        <v>30</v>
      </c>
      <c r="D2330" t="s">
        <v>83</v>
      </c>
      <c r="E2330" t="s">
        <v>84</v>
      </c>
      <c r="F2330" t="s">
        <v>53</v>
      </c>
      <c r="G2330" t="s">
        <v>23</v>
      </c>
      <c r="H2330" t="s">
        <v>24</v>
      </c>
      <c r="I2330" t="s">
        <v>55</v>
      </c>
      <c r="J2330" t="s">
        <v>35</v>
      </c>
      <c r="K2330" t="s">
        <v>44</v>
      </c>
      <c r="L2330" t="s">
        <v>49</v>
      </c>
      <c r="M2330" s="4">
        <v>8</v>
      </c>
      <c r="N2330" s="4">
        <v>7</v>
      </c>
      <c r="O2330" t="s">
        <v>36</v>
      </c>
      <c r="P2330" t="s">
        <v>36</v>
      </c>
      <c r="Q2330" s="4">
        <v>362448</v>
      </c>
      <c r="R2330" s="4">
        <v>254443</v>
      </c>
      <c r="S2330" s="4">
        <f>Table1[[#This Row],[Service_Revenue]]-Table1[[#This Row],[Service_Cost]]</f>
        <v>108005</v>
      </c>
      <c r="T2330" s="4">
        <v>4</v>
      </c>
      <c r="U2330" s="4">
        <f>IF(AND(Table1[[#This Row],[Rework_Flag]]="Yes",Table1[[#This Row],[Warranty_Claim]]="No"),Table1[[#This Row],[Service_Revenue]],0)</f>
        <v>0</v>
      </c>
      <c r="V2330" s="4">
        <f>IF(Table1[[#This Row],[Warranty_Claim]]="Yes",1,0)</f>
        <v>0</v>
      </c>
      <c r="W2330" s="4">
        <f>IF(Table1[[#This Row],[Rework_Flag]]="No",1,0)</f>
        <v>1</v>
      </c>
      <c r="X2330" s="4">
        <f>IF(Table1[[#This Row],[Rework_Flag]]="Yes",1,0)</f>
        <v>0</v>
      </c>
      <c r="Y2330" s="4">
        <v>1</v>
      </c>
      <c r="Z2330" s="4" t="str">
        <f>IF(Table1[[#This Row],[TAT_Days]]&gt;Table1[[#This Row],[SLA_TAT]],"Yes","No")</f>
        <v>Yes</v>
      </c>
      <c r="AA2330" s="4" t="str" cm="1">
        <f t="array" ref="AA2330">_xlfn.IFS(Table1[[#This Row],[Customer_Satisfaction]]&lt;=2,"Poor",Table1[[#This Row],[Customer_Satisfaction]]=3,"Neutral",Table1[[#This Row],[Customer_Satisfaction]]=4,"Good",Table1[[#This Row],[Customer_Satisfaction]]=5,"Good")</f>
        <v>Good</v>
      </c>
    </row>
    <row r="2331" spans="1:27" x14ac:dyDescent="0.35">
      <c r="A2331">
        <v>22329</v>
      </c>
      <c r="B2331" s="1">
        <v>45310</v>
      </c>
      <c r="C2331" t="s">
        <v>19</v>
      </c>
      <c r="D2331" t="s">
        <v>20</v>
      </c>
      <c r="E2331" t="s">
        <v>117</v>
      </c>
      <c r="F2331" t="s">
        <v>53</v>
      </c>
      <c r="G2331" t="s">
        <v>33</v>
      </c>
      <c r="H2331" t="s">
        <v>34</v>
      </c>
      <c r="I2331" t="s">
        <v>25</v>
      </c>
      <c r="J2331" t="s">
        <v>43</v>
      </c>
      <c r="K2331" t="s">
        <v>44</v>
      </c>
      <c r="L2331" t="s">
        <v>28</v>
      </c>
      <c r="M2331" s="4">
        <v>8</v>
      </c>
      <c r="N2331" s="4">
        <v>7</v>
      </c>
      <c r="O2331" t="s">
        <v>29</v>
      </c>
      <c r="P2331" t="s">
        <v>29</v>
      </c>
      <c r="Q2331" s="4">
        <v>289478</v>
      </c>
      <c r="R2331" s="4">
        <v>204632</v>
      </c>
      <c r="S2331" s="4">
        <f>Table1[[#This Row],[Service_Revenue]]-Table1[[#This Row],[Service_Cost]]</f>
        <v>84846</v>
      </c>
      <c r="T2331" s="4">
        <v>3</v>
      </c>
      <c r="U2331" s="4">
        <f>IF(AND(Table1[[#This Row],[Rework_Flag]]="Yes",Table1[[#This Row],[Warranty_Claim]]="No"),Table1[[#This Row],[Service_Revenue]],0)</f>
        <v>0</v>
      </c>
      <c r="V2331" s="4">
        <f>IF(Table1[[#This Row],[Warranty_Claim]]="Yes",1,0)</f>
        <v>1</v>
      </c>
      <c r="W2331" s="4">
        <f>IF(Table1[[#This Row],[Rework_Flag]]="No",1,0)</f>
        <v>0</v>
      </c>
      <c r="X2331" s="4">
        <f>IF(Table1[[#This Row],[Rework_Flag]]="Yes",1,0)</f>
        <v>1</v>
      </c>
      <c r="Y2331" s="4">
        <v>1</v>
      </c>
      <c r="Z2331" s="4" t="str">
        <f>IF(Table1[[#This Row],[TAT_Days]]&gt;Table1[[#This Row],[SLA_TAT]],"Yes","No")</f>
        <v>Yes</v>
      </c>
      <c r="AA2331" s="4" t="str" cm="1">
        <f t="array" ref="AA2331">_xlfn.IFS(Table1[[#This Row],[Customer_Satisfaction]]&lt;=2,"Poor",Table1[[#This Row],[Customer_Satisfaction]]=3,"Neutral",Table1[[#This Row],[Customer_Satisfaction]]=4,"Good",Table1[[#This Row],[Customer_Satisfaction]]=5,"Good")</f>
        <v>Neutral</v>
      </c>
    </row>
    <row r="2332" spans="1:27" x14ac:dyDescent="0.35">
      <c r="A2332">
        <v>22330</v>
      </c>
      <c r="B2332" s="1">
        <v>45363</v>
      </c>
      <c r="C2332" t="s">
        <v>19</v>
      </c>
      <c r="D2332" t="s">
        <v>20</v>
      </c>
      <c r="E2332" t="s">
        <v>89</v>
      </c>
      <c r="F2332" t="s">
        <v>40</v>
      </c>
      <c r="G2332" t="s">
        <v>33</v>
      </c>
      <c r="H2332" t="s">
        <v>34</v>
      </c>
      <c r="I2332" t="s">
        <v>25</v>
      </c>
      <c r="J2332" t="s">
        <v>35</v>
      </c>
      <c r="K2332" t="s">
        <v>44</v>
      </c>
      <c r="L2332" t="s">
        <v>28</v>
      </c>
      <c r="M2332" s="4">
        <v>19</v>
      </c>
      <c r="N2332" s="4">
        <v>7</v>
      </c>
      <c r="O2332" t="s">
        <v>29</v>
      </c>
      <c r="P2332" t="s">
        <v>36</v>
      </c>
      <c r="Q2332" s="4">
        <v>217678</v>
      </c>
      <c r="R2332" s="4">
        <v>169735</v>
      </c>
      <c r="S2332" s="4">
        <f>Table1[[#This Row],[Service_Revenue]]-Table1[[#This Row],[Service_Cost]]</f>
        <v>47943</v>
      </c>
      <c r="T2332" s="4">
        <v>1</v>
      </c>
      <c r="U2332" s="4">
        <f>IF(AND(Table1[[#This Row],[Rework_Flag]]="Yes",Table1[[#This Row],[Warranty_Claim]]="No"),Table1[[#This Row],[Service_Revenue]],0)</f>
        <v>217678</v>
      </c>
      <c r="V2332" s="4">
        <f>IF(Table1[[#This Row],[Warranty_Claim]]="Yes",1,0)</f>
        <v>0</v>
      </c>
      <c r="W2332" s="4">
        <f>IF(Table1[[#This Row],[Rework_Flag]]="No",1,0)</f>
        <v>0</v>
      </c>
      <c r="X2332" s="4">
        <f>IF(Table1[[#This Row],[Rework_Flag]]="Yes",1,0)</f>
        <v>1</v>
      </c>
      <c r="Y2332" s="4">
        <v>1</v>
      </c>
      <c r="Z2332" s="4" t="str">
        <f>IF(Table1[[#This Row],[TAT_Days]]&gt;Table1[[#This Row],[SLA_TAT]],"Yes","No")</f>
        <v>Yes</v>
      </c>
      <c r="AA2332" s="4" t="str" cm="1">
        <f t="array" ref="AA2332">_xlfn.IFS(Table1[[#This Row],[Customer_Satisfaction]]&lt;=2,"Poor",Table1[[#This Row],[Customer_Satisfaction]]=3,"Neutral",Table1[[#This Row],[Customer_Satisfaction]]=4,"Good",Table1[[#This Row],[Customer_Satisfaction]]=5,"Good")</f>
        <v>Poor</v>
      </c>
    </row>
    <row r="2333" spans="1:27" x14ac:dyDescent="0.35">
      <c r="A2333">
        <v>22331</v>
      </c>
      <c r="B2333" s="1">
        <v>45374</v>
      </c>
      <c r="C2333" t="s">
        <v>30</v>
      </c>
      <c r="D2333" t="s">
        <v>59</v>
      </c>
      <c r="E2333" t="s">
        <v>94</v>
      </c>
      <c r="F2333" t="s">
        <v>40</v>
      </c>
      <c r="G2333" t="s">
        <v>33</v>
      </c>
      <c r="H2333" t="s">
        <v>34</v>
      </c>
      <c r="I2333" t="s">
        <v>55</v>
      </c>
      <c r="J2333" t="s">
        <v>43</v>
      </c>
      <c r="K2333" t="s">
        <v>44</v>
      </c>
      <c r="L2333" t="s">
        <v>49</v>
      </c>
      <c r="M2333" s="4">
        <v>15</v>
      </c>
      <c r="N2333" s="4">
        <v>7</v>
      </c>
      <c r="O2333" t="s">
        <v>29</v>
      </c>
      <c r="P2333" t="s">
        <v>36</v>
      </c>
      <c r="Q2333" s="4">
        <v>342197</v>
      </c>
      <c r="R2333" s="4">
        <v>258332</v>
      </c>
      <c r="S2333" s="4">
        <f>Table1[[#This Row],[Service_Revenue]]-Table1[[#This Row],[Service_Cost]]</f>
        <v>83865</v>
      </c>
      <c r="T2333" s="4">
        <v>1</v>
      </c>
      <c r="U2333" s="4">
        <f>IF(AND(Table1[[#This Row],[Rework_Flag]]="Yes",Table1[[#This Row],[Warranty_Claim]]="No"),Table1[[#This Row],[Service_Revenue]],0)</f>
        <v>342197</v>
      </c>
      <c r="V2333" s="4">
        <f>IF(Table1[[#This Row],[Warranty_Claim]]="Yes",1,0)</f>
        <v>0</v>
      </c>
      <c r="W2333" s="4">
        <f>IF(Table1[[#This Row],[Rework_Flag]]="No",1,0)</f>
        <v>0</v>
      </c>
      <c r="X2333" s="4">
        <f>IF(Table1[[#This Row],[Rework_Flag]]="Yes",1,0)</f>
        <v>1</v>
      </c>
      <c r="Y2333" s="4">
        <v>1</v>
      </c>
      <c r="Z2333" s="4" t="str">
        <f>IF(Table1[[#This Row],[TAT_Days]]&gt;Table1[[#This Row],[SLA_TAT]],"Yes","No")</f>
        <v>Yes</v>
      </c>
      <c r="AA2333" s="4" t="str" cm="1">
        <f t="array" ref="AA2333">_xlfn.IFS(Table1[[#This Row],[Customer_Satisfaction]]&lt;=2,"Poor",Table1[[#This Row],[Customer_Satisfaction]]=3,"Neutral",Table1[[#This Row],[Customer_Satisfaction]]=4,"Good",Table1[[#This Row],[Customer_Satisfaction]]=5,"Good")</f>
        <v>Poor</v>
      </c>
    </row>
    <row r="2334" spans="1:27" x14ac:dyDescent="0.35">
      <c r="A2334">
        <v>22332</v>
      </c>
      <c r="B2334" s="1">
        <v>45416</v>
      </c>
      <c r="C2334" t="s">
        <v>19</v>
      </c>
      <c r="D2334" t="s">
        <v>96</v>
      </c>
      <c r="E2334" t="s">
        <v>108</v>
      </c>
      <c r="F2334" t="s">
        <v>40</v>
      </c>
      <c r="G2334" t="s">
        <v>33</v>
      </c>
      <c r="H2334" t="s">
        <v>34</v>
      </c>
      <c r="I2334" t="s">
        <v>55</v>
      </c>
      <c r="J2334" t="s">
        <v>67</v>
      </c>
      <c r="K2334" t="s">
        <v>44</v>
      </c>
      <c r="L2334" t="s">
        <v>49</v>
      </c>
      <c r="M2334" s="4">
        <v>25</v>
      </c>
      <c r="N2334" s="4">
        <v>7</v>
      </c>
      <c r="O2334" t="s">
        <v>29</v>
      </c>
      <c r="P2334" t="s">
        <v>29</v>
      </c>
      <c r="Q2334" s="4">
        <v>246492</v>
      </c>
      <c r="R2334" s="4">
        <v>123385</v>
      </c>
      <c r="S2334" s="4">
        <f>Table1[[#This Row],[Service_Revenue]]-Table1[[#This Row],[Service_Cost]]</f>
        <v>123107</v>
      </c>
      <c r="T2334" s="4">
        <v>1</v>
      </c>
      <c r="U2334" s="4">
        <f>IF(AND(Table1[[#This Row],[Rework_Flag]]="Yes",Table1[[#This Row],[Warranty_Claim]]="No"),Table1[[#This Row],[Service_Revenue]],0)</f>
        <v>0</v>
      </c>
      <c r="V2334" s="4">
        <f>IF(Table1[[#This Row],[Warranty_Claim]]="Yes",1,0)</f>
        <v>1</v>
      </c>
      <c r="W2334" s="4">
        <f>IF(Table1[[#This Row],[Rework_Flag]]="No",1,0)</f>
        <v>0</v>
      </c>
      <c r="X2334" s="4">
        <f>IF(Table1[[#This Row],[Rework_Flag]]="Yes",1,0)</f>
        <v>1</v>
      </c>
      <c r="Y2334" s="4">
        <v>1</v>
      </c>
      <c r="Z2334" s="4" t="str">
        <f>IF(Table1[[#This Row],[TAT_Days]]&gt;Table1[[#This Row],[SLA_TAT]],"Yes","No")</f>
        <v>Yes</v>
      </c>
      <c r="AA2334" s="4" t="str" cm="1">
        <f t="array" ref="AA2334">_xlfn.IFS(Table1[[#This Row],[Customer_Satisfaction]]&lt;=2,"Poor",Table1[[#This Row],[Customer_Satisfaction]]=3,"Neutral",Table1[[#This Row],[Customer_Satisfaction]]=4,"Good",Table1[[#This Row],[Customer_Satisfaction]]=5,"Good")</f>
        <v>Poor</v>
      </c>
    </row>
    <row r="2335" spans="1:27" x14ac:dyDescent="0.35">
      <c r="A2335">
        <v>22333</v>
      </c>
      <c r="B2335" s="1">
        <v>45403</v>
      </c>
      <c r="C2335" t="s">
        <v>19</v>
      </c>
      <c r="D2335" t="s">
        <v>20</v>
      </c>
      <c r="E2335" t="s">
        <v>21</v>
      </c>
      <c r="F2335" t="s">
        <v>40</v>
      </c>
      <c r="G2335" t="s">
        <v>33</v>
      </c>
      <c r="H2335" t="s">
        <v>34</v>
      </c>
      <c r="I2335" t="s">
        <v>55</v>
      </c>
      <c r="J2335" t="s">
        <v>26</v>
      </c>
      <c r="K2335" t="s">
        <v>44</v>
      </c>
      <c r="L2335" t="s">
        <v>28</v>
      </c>
      <c r="M2335" s="4">
        <v>4</v>
      </c>
      <c r="N2335" s="4">
        <v>7</v>
      </c>
      <c r="O2335" t="s">
        <v>36</v>
      </c>
      <c r="P2335" t="s">
        <v>36</v>
      </c>
      <c r="Q2335" s="4">
        <v>254810</v>
      </c>
      <c r="R2335" s="4">
        <v>194732</v>
      </c>
      <c r="S2335" s="4">
        <f>Table1[[#This Row],[Service_Revenue]]-Table1[[#This Row],[Service_Cost]]</f>
        <v>60078</v>
      </c>
      <c r="T2335" s="4">
        <v>5</v>
      </c>
      <c r="U2335" s="4">
        <f>IF(AND(Table1[[#This Row],[Rework_Flag]]="Yes",Table1[[#This Row],[Warranty_Claim]]="No"),Table1[[#This Row],[Service_Revenue]],0)</f>
        <v>0</v>
      </c>
      <c r="V2335" s="4">
        <f>IF(Table1[[#This Row],[Warranty_Claim]]="Yes",1,0)</f>
        <v>0</v>
      </c>
      <c r="W2335" s="4">
        <f>IF(Table1[[#This Row],[Rework_Flag]]="No",1,0)</f>
        <v>1</v>
      </c>
      <c r="X2335" s="4">
        <f>IF(Table1[[#This Row],[Rework_Flag]]="Yes",1,0)</f>
        <v>0</v>
      </c>
      <c r="Y2335" s="4">
        <v>1</v>
      </c>
      <c r="Z2335" s="4" t="str">
        <f>IF(Table1[[#This Row],[TAT_Days]]&gt;Table1[[#This Row],[SLA_TAT]],"Yes","No")</f>
        <v>No</v>
      </c>
      <c r="AA2335" s="4" t="str" cm="1">
        <f t="array" ref="AA2335">_xlfn.IFS(Table1[[#This Row],[Customer_Satisfaction]]&lt;=2,"Poor",Table1[[#This Row],[Customer_Satisfaction]]=3,"Neutral",Table1[[#This Row],[Customer_Satisfaction]]=4,"Good",Table1[[#This Row],[Customer_Satisfaction]]=5,"Good")</f>
        <v>Good</v>
      </c>
    </row>
    <row r="2336" spans="1:27" x14ac:dyDescent="0.35">
      <c r="A2336">
        <v>22334</v>
      </c>
      <c r="B2336" s="1">
        <v>45312</v>
      </c>
      <c r="C2336" t="s">
        <v>30</v>
      </c>
      <c r="D2336" t="s">
        <v>59</v>
      </c>
      <c r="E2336" t="s">
        <v>78</v>
      </c>
      <c r="F2336" t="s">
        <v>40</v>
      </c>
      <c r="G2336" t="s">
        <v>33</v>
      </c>
      <c r="H2336" t="s">
        <v>34</v>
      </c>
      <c r="I2336" t="s">
        <v>55</v>
      </c>
      <c r="J2336" t="s">
        <v>67</v>
      </c>
      <c r="K2336" t="s">
        <v>44</v>
      </c>
      <c r="L2336" t="s">
        <v>49</v>
      </c>
      <c r="M2336" s="4">
        <v>10</v>
      </c>
      <c r="N2336" s="4">
        <v>7</v>
      </c>
      <c r="O2336" t="s">
        <v>29</v>
      </c>
      <c r="P2336" t="s">
        <v>36</v>
      </c>
      <c r="Q2336" s="4">
        <v>476725</v>
      </c>
      <c r="R2336" s="4">
        <v>341390</v>
      </c>
      <c r="S2336" s="4">
        <f>Table1[[#This Row],[Service_Revenue]]-Table1[[#This Row],[Service_Cost]]</f>
        <v>135335</v>
      </c>
      <c r="T2336" s="4">
        <v>2</v>
      </c>
      <c r="U2336" s="4">
        <f>IF(AND(Table1[[#This Row],[Rework_Flag]]="Yes",Table1[[#This Row],[Warranty_Claim]]="No"),Table1[[#This Row],[Service_Revenue]],0)</f>
        <v>476725</v>
      </c>
      <c r="V2336" s="4">
        <f>IF(Table1[[#This Row],[Warranty_Claim]]="Yes",1,0)</f>
        <v>0</v>
      </c>
      <c r="W2336" s="4">
        <f>IF(Table1[[#This Row],[Rework_Flag]]="No",1,0)</f>
        <v>0</v>
      </c>
      <c r="X2336" s="4">
        <f>IF(Table1[[#This Row],[Rework_Flag]]="Yes",1,0)</f>
        <v>1</v>
      </c>
      <c r="Y2336" s="4">
        <v>1</v>
      </c>
      <c r="Z2336" s="4" t="str">
        <f>IF(Table1[[#This Row],[TAT_Days]]&gt;Table1[[#This Row],[SLA_TAT]],"Yes","No")</f>
        <v>Yes</v>
      </c>
      <c r="AA2336" s="4" t="str" cm="1">
        <f t="array" ref="AA2336">_xlfn.IFS(Table1[[#This Row],[Customer_Satisfaction]]&lt;=2,"Poor",Table1[[#This Row],[Customer_Satisfaction]]=3,"Neutral",Table1[[#This Row],[Customer_Satisfaction]]=4,"Good",Table1[[#This Row],[Customer_Satisfaction]]=5,"Good")</f>
        <v>Poor</v>
      </c>
    </row>
    <row r="2337" spans="1:27" x14ac:dyDescent="0.35">
      <c r="A2337">
        <v>22335</v>
      </c>
      <c r="B2337" s="1">
        <v>45354</v>
      </c>
      <c r="C2337" t="s">
        <v>50</v>
      </c>
      <c r="D2337" t="s">
        <v>56</v>
      </c>
      <c r="E2337" t="s">
        <v>57</v>
      </c>
      <c r="F2337" t="s">
        <v>22</v>
      </c>
      <c r="G2337" t="s">
        <v>54</v>
      </c>
      <c r="H2337" t="s">
        <v>42</v>
      </c>
      <c r="I2337" t="s">
        <v>55</v>
      </c>
      <c r="J2337" t="s">
        <v>26</v>
      </c>
      <c r="K2337" t="s">
        <v>61</v>
      </c>
      <c r="L2337" t="s">
        <v>49</v>
      </c>
      <c r="M2337" s="4">
        <v>11</v>
      </c>
      <c r="N2337" s="4">
        <v>7</v>
      </c>
      <c r="O2337" t="s">
        <v>29</v>
      </c>
      <c r="P2337" t="s">
        <v>36</v>
      </c>
      <c r="Q2337" s="4">
        <v>257299</v>
      </c>
      <c r="R2337" s="4">
        <v>146657</v>
      </c>
      <c r="S2337" s="4">
        <f>Table1[[#This Row],[Service_Revenue]]-Table1[[#This Row],[Service_Cost]]</f>
        <v>110642</v>
      </c>
      <c r="T2337" s="4">
        <v>2</v>
      </c>
      <c r="U2337" s="4">
        <f>IF(AND(Table1[[#This Row],[Rework_Flag]]="Yes",Table1[[#This Row],[Warranty_Claim]]="No"),Table1[[#This Row],[Service_Revenue]],0)</f>
        <v>257299</v>
      </c>
      <c r="V2337" s="4">
        <f>IF(Table1[[#This Row],[Warranty_Claim]]="Yes",1,0)</f>
        <v>0</v>
      </c>
      <c r="W2337" s="4">
        <f>IF(Table1[[#This Row],[Rework_Flag]]="No",1,0)</f>
        <v>0</v>
      </c>
      <c r="X2337" s="4">
        <f>IF(Table1[[#This Row],[Rework_Flag]]="Yes",1,0)</f>
        <v>1</v>
      </c>
      <c r="Y2337" s="4">
        <v>1</v>
      </c>
      <c r="Z2337" s="4" t="str">
        <f>IF(Table1[[#This Row],[TAT_Days]]&gt;Table1[[#This Row],[SLA_TAT]],"Yes","No")</f>
        <v>Yes</v>
      </c>
      <c r="AA2337" s="4" t="str" cm="1">
        <f t="array" ref="AA2337">_xlfn.IFS(Table1[[#This Row],[Customer_Satisfaction]]&lt;=2,"Poor",Table1[[#This Row],[Customer_Satisfaction]]=3,"Neutral",Table1[[#This Row],[Customer_Satisfaction]]=4,"Good",Table1[[#This Row],[Customer_Satisfaction]]=5,"Good")</f>
        <v>Poor</v>
      </c>
    </row>
    <row r="2338" spans="1:27" x14ac:dyDescent="0.35">
      <c r="A2338">
        <v>22336</v>
      </c>
      <c r="B2338" s="1">
        <v>45390</v>
      </c>
      <c r="C2338" t="s">
        <v>19</v>
      </c>
      <c r="D2338" t="s">
        <v>45</v>
      </c>
      <c r="E2338" t="s">
        <v>114</v>
      </c>
      <c r="F2338" t="s">
        <v>22</v>
      </c>
      <c r="G2338" t="s">
        <v>74</v>
      </c>
      <c r="H2338" t="s">
        <v>34</v>
      </c>
      <c r="I2338" t="s">
        <v>55</v>
      </c>
      <c r="J2338" t="s">
        <v>26</v>
      </c>
      <c r="K2338" t="s">
        <v>44</v>
      </c>
      <c r="L2338" t="s">
        <v>28</v>
      </c>
      <c r="M2338" s="4">
        <v>18</v>
      </c>
      <c r="N2338" s="4">
        <v>7</v>
      </c>
      <c r="O2338" t="s">
        <v>29</v>
      </c>
      <c r="P2338" t="s">
        <v>29</v>
      </c>
      <c r="Q2338" s="4">
        <v>458315</v>
      </c>
      <c r="R2338" s="4">
        <v>353575</v>
      </c>
      <c r="S2338" s="4">
        <f>Table1[[#This Row],[Service_Revenue]]-Table1[[#This Row],[Service_Cost]]</f>
        <v>104740</v>
      </c>
      <c r="T2338" s="4">
        <v>1</v>
      </c>
      <c r="U2338" s="4">
        <f>IF(AND(Table1[[#This Row],[Rework_Flag]]="Yes",Table1[[#This Row],[Warranty_Claim]]="No"),Table1[[#This Row],[Service_Revenue]],0)</f>
        <v>0</v>
      </c>
      <c r="V2338" s="4">
        <f>IF(Table1[[#This Row],[Warranty_Claim]]="Yes",1,0)</f>
        <v>1</v>
      </c>
      <c r="W2338" s="4">
        <f>IF(Table1[[#This Row],[Rework_Flag]]="No",1,0)</f>
        <v>0</v>
      </c>
      <c r="X2338" s="4">
        <f>IF(Table1[[#This Row],[Rework_Flag]]="Yes",1,0)</f>
        <v>1</v>
      </c>
      <c r="Y2338" s="4">
        <v>1</v>
      </c>
      <c r="Z2338" s="4" t="str">
        <f>IF(Table1[[#This Row],[TAT_Days]]&gt;Table1[[#This Row],[SLA_TAT]],"Yes","No")</f>
        <v>Yes</v>
      </c>
      <c r="AA2338" s="4" t="str" cm="1">
        <f t="array" ref="AA2338">_xlfn.IFS(Table1[[#This Row],[Customer_Satisfaction]]&lt;=2,"Poor",Table1[[#This Row],[Customer_Satisfaction]]=3,"Neutral",Table1[[#This Row],[Customer_Satisfaction]]=4,"Good",Table1[[#This Row],[Customer_Satisfaction]]=5,"Good")</f>
        <v>Poor</v>
      </c>
    </row>
    <row r="2339" spans="1:27" x14ac:dyDescent="0.35">
      <c r="A2339">
        <v>22337</v>
      </c>
      <c r="B2339" s="1">
        <v>45460</v>
      </c>
      <c r="C2339" t="s">
        <v>30</v>
      </c>
      <c r="D2339" t="s">
        <v>83</v>
      </c>
      <c r="E2339" t="s">
        <v>90</v>
      </c>
      <c r="F2339" t="s">
        <v>40</v>
      </c>
      <c r="G2339" t="s">
        <v>23</v>
      </c>
      <c r="H2339" t="s">
        <v>24</v>
      </c>
      <c r="I2339" t="s">
        <v>55</v>
      </c>
      <c r="J2339" t="s">
        <v>43</v>
      </c>
      <c r="K2339" t="s">
        <v>61</v>
      </c>
      <c r="L2339" t="s">
        <v>49</v>
      </c>
      <c r="M2339" s="4">
        <v>23</v>
      </c>
      <c r="N2339" s="4">
        <v>7</v>
      </c>
      <c r="O2339" t="s">
        <v>36</v>
      </c>
      <c r="P2339" t="s">
        <v>29</v>
      </c>
      <c r="Q2339" s="4">
        <v>123210</v>
      </c>
      <c r="R2339" s="4">
        <v>79300</v>
      </c>
      <c r="S2339" s="4">
        <f>Table1[[#This Row],[Service_Revenue]]-Table1[[#This Row],[Service_Cost]]</f>
        <v>43910</v>
      </c>
      <c r="T2339" s="4">
        <v>1</v>
      </c>
      <c r="U2339" s="4">
        <f>IF(AND(Table1[[#This Row],[Rework_Flag]]="Yes",Table1[[#This Row],[Warranty_Claim]]="No"),Table1[[#This Row],[Service_Revenue]],0)</f>
        <v>0</v>
      </c>
      <c r="V2339" s="4">
        <f>IF(Table1[[#This Row],[Warranty_Claim]]="Yes",1,0)</f>
        <v>1</v>
      </c>
      <c r="W2339" s="4">
        <f>IF(Table1[[#This Row],[Rework_Flag]]="No",1,0)</f>
        <v>1</v>
      </c>
      <c r="X2339" s="4">
        <f>IF(Table1[[#This Row],[Rework_Flag]]="Yes",1,0)</f>
        <v>0</v>
      </c>
      <c r="Y2339" s="4">
        <v>1</v>
      </c>
      <c r="Z2339" s="4" t="str">
        <f>IF(Table1[[#This Row],[TAT_Days]]&gt;Table1[[#This Row],[SLA_TAT]],"Yes","No")</f>
        <v>Yes</v>
      </c>
      <c r="AA2339" s="4" t="str" cm="1">
        <f t="array" ref="AA2339">_xlfn.IFS(Table1[[#This Row],[Customer_Satisfaction]]&lt;=2,"Poor",Table1[[#This Row],[Customer_Satisfaction]]=3,"Neutral",Table1[[#This Row],[Customer_Satisfaction]]=4,"Good",Table1[[#This Row],[Customer_Satisfaction]]=5,"Good")</f>
        <v>Poor</v>
      </c>
    </row>
    <row r="2340" spans="1:27" x14ac:dyDescent="0.35">
      <c r="A2340">
        <v>22338</v>
      </c>
      <c r="B2340" s="1">
        <v>45302</v>
      </c>
      <c r="C2340" t="s">
        <v>19</v>
      </c>
      <c r="D2340" t="s">
        <v>20</v>
      </c>
      <c r="E2340" t="s">
        <v>89</v>
      </c>
      <c r="F2340" t="s">
        <v>22</v>
      </c>
      <c r="G2340" t="s">
        <v>41</v>
      </c>
      <c r="H2340" t="s">
        <v>42</v>
      </c>
      <c r="I2340" t="s">
        <v>55</v>
      </c>
      <c r="J2340" t="s">
        <v>43</v>
      </c>
      <c r="K2340" t="s">
        <v>44</v>
      </c>
      <c r="L2340" t="s">
        <v>49</v>
      </c>
      <c r="M2340" s="4">
        <v>6</v>
      </c>
      <c r="N2340" s="4">
        <v>7</v>
      </c>
      <c r="O2340" t="s">
        <v>29</v>
      </c>
      <c r="P2340" t="s">
        <v>36</v>
      </c>
      <c r="Q2340" s="4">
        <v>508978</v>
      </c>
      <c r="R2340" s="4">
        <v>284888</v>
      </c>
      <c r="S2340" s="4">
        <f>Table1[[#This Row],[Service_Revenue]]-Table1[[#This Row],[Service_Cost]]</f>
        <v>224090</v>
      </c>
      <c r="T2340" s="4">
        <v>3</v>
      </c>
      <c r="U2340" s="4">
        <f>IF(AND(Table1[[#This Row],[Rework_Flag]]="Yes",Table1[[#This Row],[Warranty_Claim]]="No"),Table1[[#This Row],[Service_Revenue]],0)</f>
        <v>508978</v>
      </c>
      <c r="V2340" s="4">
        <f>IF(Table1[[#This Row],[Warranty_Claim]]="Yes",1,0)</f>
        <v>0</v>
      </c>
      <c r="W2340" s="4">
        <f>IF(Table1[[#This Row],[Rework_Flag]]="No",1,0)</f>
        <v>0</v>
      </c>
      <c r="X2340" s="4">
        <f>IF(Table1[[#This Row],[Rework_Flag]]="Yes",1,0)</f>
        <v>1</v>
      </c>
      <c r="Y2340" s="4">
        <v>1</v>
      </c>
      <c r="Z2340" s="4" t="str">
        <f>IF(Table1[[#This Row],[TAT_Days]]&gt;Table1[[#This Row],[SLA_TAT]],"Yes","No")</f>
        <v>No</v>
      </c>
      <c r="AA2340" s="4" t="str" cm="1">
        <f t="array" ref="AA2340">_xlfn.IFS(Table1[[#This Row],[Customer_Satisfaction]]&lt;=2,"Poor",Table1[[#This Row],[Customer_Satisfaction]]=3,"Neutral",Table1[[#This Row],[Customer_Satisfaction]]=4,"Good",Table1[[#This Row],[Customer_Satisfaction]]=5,"Good")</f>
        <v>Neutral</v>
      </c>
    </row>
    <row r="2341" spans="1:27" x14ac:dyDescent="0.35">
      <c r="A2341">
        <v>22339</v>
      </c>
      <c r="B2341" s="1">
        <v>45405</v>
      </c>
      <c r="C2341" t="s">
        <v>19</v>
      </c>
      <c r="D2341" t="s">
        <v>96</v>
      </c>
      <c r="E2341" t="s">
        <v>108</v>
      </c>
      <c r="F2341" t="s">
        <v>40</v>
      </c>
      <c r="G2341" t="s">
        <v>63</v>
      </c>
      <c r="H2341" t="s">
        <v>24</v>
      </c>
      <c r="I2341" t="s">
        <v>55</v>
      </c>
      <c r="J2341" t="s">
        <v>26</v>
      </c>
      <c r="K2341" t="s">
        <v>27</v>
      </c>
      <c r="L2341" t="s">
        <v>49</v>
      </c>
      <c r="M2341" s="4">
        <v>24</v>
      </c>
      <c r="N2341" s="4">
        <v>7</v>
      </c>
      <c r="O2341" t="s">
        <v>29</v>
      </c>
      <c r="P2341" t="s">
        <v>29</v>
      </c>
      <c r="Q2341" s="4">
        <v>493101</v>
      </c>
      <c r="R2341" s="4">
        <v>334527</v>
      </c>
      <c r="S2341" s="4">
        <f>Table1[[#This Row],[Service_Revenue]]-Table1[[#This Row],[Service_Cost]]</f>
        <v>158574</v>
      </c>
      <c r="T2341" s="4">
        <v>1</v>
      </c>
      <c r="U2341" s="4">
        <f>IF(AND(Table1[[#This Row],[Rework_Flag]]="Yes",Table1[[#This Row],[Warranty_Claim]]="No"),Table1[[#This Row],[Service_Revenue]],0)</f>
        <v>0</v>
      </c>
      <c r="V2341" s="4">
        <f>IF(Table1[[#This Row],[Warranty_Claim]]="Yes",1,0)</f>
        <v>1</v>
      </c>
      <c r="W2341" s="4">
        <f>IF(Table1[[#This Row],[Rework_Flag]]="No",1,0)</f>
        <v>0</v>
      </c>
      <c r="X2341" s="4">
        <f>IF(Table1[[#This Row],[Rework_Flag]]="Yes",1,0)</f>
        <v>1</v>
      </c>
      <c r="Y2341" s="4">
        <v>1</v>
      </c>
      <c r="Z2341" s="4" t="str">
        <f>IF(Table1[[#This Row],[TAT_Days]]&gt;Table1[[#This Row],[SLA_TAT]],"Yes","No")</f>
        <v>Yes</v>
      </c>
      <c r="AA2341" s="4" t="str" cm="1">
        <f t="array" ref="AA2341">_xlfn.IFS(Table1[[#This Row],[Customer_Satisfaction]]&lt;=2,"Poor",Table1[[#This Row],[Customer_Satisfaction]]=3,"Neutral",Table1[[#This Row],[Customer_Satisfaction]]=4,"Good",Table1[[#This Row],[Customer_Satisfaction]]=5,"Good")</f>
        <v>Poor</v>
      </c>
    </row>
    <row r="2342" spans="1:27" x14ac:dyDescent="0.35">
      <c r="A2342">
        <v>22340</v>
      </c>
      <c r="B2342" s="1">
        <v>45440</v>
      </c>
      <c r="C2342" t="s">
        <v>37</v>
      </c>
      <c r="D2342" t="s">
        <v>64</v>
      </c>
      <c r="E2342" t="s">
        <v>103</v>
      </c>
      <c r="F2342" t="s">
        <v>40</v>
      </c>
      <c r="G2342" t="s">
        <v>47</v>
      </c>
      <c r="H2342" t="s">
        <v>48</v>
      </c>
      <c r="I2342" t="s">
        <v>25</v>
      </c>
      <c r="J2342" t="s">
        <v>26</v>
      </c>
      <c r="K2342" t="s">
        <v>27</v>
      </c>
      <c r="L2342" t="s">
        <v>28</v>
      </c>
      <c r="M2342" s="4">
        <v>10</v>
      </c>
      <c r="N2342" s="4">
        <v>7</v>
      </c>
      <c r="O2342" t="s">
        <v>29</v>
      </c>
      <c r="P2342" t="s">
        <v>29</v>
      </c>
      <c r="Q2342" s="4">
        <v>333841</v>
      </c>
      <c r="R2342" s="4">
        <v>275472</v>
      </c>
      <c r="S2342" s="4">
        <f>Table1[[#This Row],[Service_Revenue]]-Table1[[#This Row],[Service_Cost]]</f>
        <v>58369</v>
      </c>
      <c r="T2342" s="4">
        <v>2</v>
      </c>
      <c r="U2342" s="4">
        <f>IF(AND(Table1[[#This Row],[Rework_Flag]]="Yes",Table1[[#This Row],[Warranty_Claim]]="No"),Table1[[#This Row],[Service_Revenue]],0)</f>
        <v>0</v>
      </c>
      <c r="V2342" s="4">
        <f>IF(Table1[[#This Row],[Warranty_Claim]]="Yes",1,0)</f>
        <v>1</v>
      </c>
      <c r="W2342" s="4">
        <f>IF(Table1[[#This Row],[Rework_Flag]]="No",1,0)</f>
        <v>0</v>
      </c>
      <c r="X2342" s="4">
        <f>IF(Table1[[#This Row],[Rework_Flag]]="Yes",1,0)</f>
        <v>1</v>
      </c>
      <c r="Y2342" s="4">
        <v>1</v>
      </c>
      <c r="Z2342" s="4" t="str">
        <f>IF(Table1[[#This Row],[TAT_Days]]&gt;Table1[[#This Row],[SLA_TAT]],"Yes","No")</f>
        <v>Yes</v>
      </c>
      <c r="AA2342" s="4" t="str" cm="1">
        <f t="array" ref="AA2342">_xlfn.IFS(Table1[[#This Row],[Customer_Satisfaction]]&lt;=2,"Poor",Table1[[#This Row],[Customer_Satisfaction]]=3,"Neutral",Table1[[#This Row],[Customer_Satisfaction]]=4,"Good",Table1[[#This Row],[Customer_Satisfaction]]=5,"Good")</f>
        <v>Poor</v>
      </c>
    </row>
    <row r="2343" spans="1:27" x14ac:dyDescent="0.35">
      <c r="A2343">
        <v>22341</v>
      </c>
      <c r="B2343" s="1">
        <v>45353</v>
      </c>
      <c r="C2343" t="s">
        <v>30</v>
      </c>
      <c r="D2343" t="s">
        <v>83</v>
      </c>
      <c r="E2343" t="s">
        <v>95</v>
      </c>
      <c r="F2343" t="s">
        <v>53</v>
      </c>
      <c r="G2343" t="s">
        <v>33</v>
      </c>
      <c r="H2343" t="s">
        <v>34</v>
      </c>
      <c r="I2343" t="s">
        <v>25</v>
      </c>
      <c r="J2343" t="s">
        <v>43</v>
      </c>
      <c r="K2343" t="s">
        <v>61</v>
      </c>
      <c r="L2343" t="s">
        <v>28</v>
      </c>
      <c r="M2343" s="4">
        <v>8</v>
      </c>
      <c r="N2343" s="4">
        <v>7</v>
      </c>
      <c r="O2343" t="s">
        <v>29</v>
      </c>
      <c r="P2343" t="s">
        <v>36</v>
      </c>
      <c r="Q2343" s="4">
        <v>315976</v>
      </c>
      <c r="R2343" s="4">
        <v>200949</v>
      </c>
      <c r="S2343" s="4">
        <f>Table1[[#This Row],[Service_Revenue]]-Table1[[#This Row],[Service_Cost]]</f>
        <v>115027</v>
      </c>
      <c r="T2343" s="4">
        <v>3</v>
      </c>
      <c r="U2343" s="4">
        <f>IF(AND(Table1[[#This Row],[Rework_Flag]]="Yes",Table1[[#This Row],[Warranty_Claim]]="No"),Table1[[#This Row],[Service_Revenue]],0)</f>
        <v>315976</v>
      </c>
      <c r="V2343" s="4">
        <f>IF(Table1[[#This Row],[Warranty_Claim]]="Yes",1,0)</f>
        <v>0</v>
      </c>
      <c r="W2343" s="4">
        <f>IF(Table1[[#This Row],[Rework_Flag]]="No",1,0)</f>
        <v>0</v>
      </c>
      <c r="X2343" s="4">
        <f>IF(Table1[[#This Row],[Rework_Flag]]="Yes",1,0)</f>
        <v>1</v>
      </c>
      <c r="Y2343" s="4">
        <v>1</v>
      </c>
      <c r="Z2343" s="4" t="str">
        <f>IF(Table1[[#This Row],[TAT_Days]]&gt;Table1[[#This Row],[SLA_TAT]],"Yes","No")</f>
        <v>Yes</v>
      </c>
      <c r="AA2343" s="4" t="str" cm="1">
        <f t="array" ref="AA2343">_xlfn.IFS(Table1[[#This Row],[Customer_Satisfaction]]&lt;=2,"Poor",Table1[[#This Row],[Customer_Satisfaction]]=3,"Neutral",Table1[[#This Row],[Customer_Satisfaction]]=4,"Good",Table1[[#This Row],[Customer_Satisfaction]]=5,"Good")</f>
        <v>Neutral</v>
      </c>
    </row>
    <row r="2344" spans="1:27" x14ac:dyDescent="0.35">
      <c r="A2344">
        <v>22342</v>
      </c>
      <c r="B2344" s="1">
        <v>45345</v>
      </c>
      <c r="C2344" t="s">
        <v>30</v>
      </c>
      <c r="D2344" t="s">
        <v>83</v>
      </c>
      <c r="E2344" t="s">
        <v>95</v>
      </c>
      <c r="F2344" t="s">
        <v>53</v>
      </c>
      <c r="G2344" t="s">
        <v>47</v>
      </c>
      <c r="H2344" t="s">
        <v>48</v>
      </c>
      <c r="I2344" t="s">
        <v>25</v>
      </c>
      <c r="J2344" t="s">
        <v>35</v>
      </c>
      <c r="K2344" t="s">
        <v>61</v>
      </c>
      <c r="L2344" t="s">
        <v>49</v>
      </c>
      <c r="M2344" s="4">
        <v>6</v>
      </c>
      <c r="N2344" s="4">
        <v>7</v>
      </c>
      <c r="O2344" t="s">
        <v>36</v>
      </c>
      <c r="P2344" t="s">
        <v>29</v>
      </c>
      <c r="Q2344" s="4">
        <v>117430</v>
      </c>
      <c r="R2344" s="4">
        <v>63636</v>
      </c>
      <c r="S2344" s="4">
        <f>Table1[[#This Row],[Service_Revenue]]-Table1[[#This Row],[Service_Cost]]</f>
        <v>53794</v>
      </c>
      <c r="T2344" s="4">
        <v>4</v>
      </c>
      <c r="U2344" s="4">
        <f>IF(AND(Table1[[#This Row],[Rework_Flag]]="Yes",Table1[[#This Row],[Warranty_Claim]]="No"),Table1[[#This Row],[Service_Revenue]],0)</f>
        <v>0</v>
      </c>
      <c r="V2344" s="4">
        <f>IF(Table1[[#This Row],[Warranty_Claim]]="Yes",1,0)</f>
        <v>1</v>
      </c>
      <c r="W2344" s="4">
        <f>IF(Table1[[#This Row],[Rework_Flag]]="No",1,0)</f>
        <v>1</v>
      </c>
      <c r="X2344" s="4">
        <f>IF(Table1[[#This Row],[Rework_Flag]]="Yes",1,0)</f>
        <v>0</v>
      </c>
      <c r="Y2344" s="4">
        <v>1</v>
      </c>
      <c r="Z2344" s="4" t="str">
        <f>IF(Table1[[#This Row],[TAT_Days]]&gt;Table1[[#This Row],[SLA_TAT]],"Yes","No")</f>
        <v>No</v>
      </c>
      <c r="AA2344" s="4" t="str" cm="1">
        <f t="array" ref="AA2344">_xlfn.IFS(Table1[[#This Row],[Customer_Satisfaction]]&lt;=2,"Poor",Table1[[#This Row],[Customer_Satisfaction]]=3,"Neutral",Table1[[#This Row],[Customer_Satisfaction]]=4,"Good",Table1[[#This Row],[Customer_Satisfaction]]=5,"Good")</f>
        <v>Good</v>
      </c>
    </row>
    <row r="2345" spans="1:27" x14ac:dyDescent="0.35">
      <c r="A2345">
        <v>22343</v>
      </c>
      <c r="B2345" s="1">
        <v>45470</v>
      </c>
      <c r="C2345" t="s">
        <v>19</v>
      </c>
      <c r="D2345" t="s">
        <v>45</v>
      </c>
      <c r="E2345" t="s">
        <v>99</v>
      </c>
      <c r="F2345" t="s">
        <v>53</v>
      </c>
      <c r="G2345" t="s">
        <v>47</v>
      </c>
      <c r="H2345" t="s">
        <v>48</v>
      </c>
      <c r="I2345" t="s">
        <v>25</v>
      </c>
      <c r="J2345" t="s">
        <v>58</v>
      </c>
      <c r="K2345" t="s">
        <v>27</v>
      </c>
      <c r="L2345" t="s">
        <v>49</v>
      </c>
      <c r="M2345" s="4">
        <v>19</v>
      </c>
      <c r="N2345" s="4">
        <v>7</v>
      </c>
      <c r="O2345" t="s">
        <v>29</v>
      </c>
      <c r="P2345" t="s">
        <v>29</v>
      </c>
      <c r="Q2345" s="4">
        <v>341687</v>
      </c>
      <c r="R2345" s="4">
        <v>244644</v>
      </c>
      <c r="S2345" s="4">
        <f>Table1[[#This Row],[Service_Revenue]]-Table1[[#This Row],[Service_Cost]]</f>
        <v>97043</v>
      </c>
      <c r="T2345" s="4">
        <v>1</v>
      </c>
      <c r="U2345" s="4">
        <f>IF(AND(Table1[[#This Row],[Rework_Flag]]="Yes",Table1[[#This Row],[Warranty_Claim]]="No"),Table1[[#This Row],[Service_Revenue]],0)</f>
        <v>0</v>
      </c>
      <c r="V2345" s="4">
        <f>IF(Table1[[#This Row],[Warranty_Claim]]="Yes",1,0)</f>
        <v>1</v>
      </c>
      <c r="W2345" s="4">
        <f>IF(Table1[[#This Row],[Rework_Flag]]="No",1,0)</f>
        <v>0</v>
      </c>
      <c r="X2345" s="4">
        <f>IF(Table1[[#This Row],[Rework_Flag]]="Yes",1,0)</f>
        <v>1</v>
      </c>
      <c r="Y2345" s="4">
        <v>1</v>
      </c>
      <c r="Z2345" s="4" t="str">
        <f>IF(Table1[[#This Row],[TAT_Days]]&gt;Table1[[#This Row],[SLA_TAT]],"Yes","No")</f>
        <v>Yes</v>
      </c>
      <c r="AA2345" s="4" t="str" cm="1">
        <f t="array" ref="AA2345">_xlfn.IFS(Table1[[#This Row],[Customer_Satisfaction]]&lt;=2,"Poor",Table1[[#This Row],[Customer_Satisfaction]]=3,"Neutral",Table1[[#This Row],[Customer_Satisfaction]]=4,"Good",Table1[[#This Row],[Customer_Satisfaction]]=5,"Good")</f>
        <v>Poor</v>
      </c>
    </row>
    <row r="2346" spans="1:27" x14ac:dyDescent="0.35">
      <c r="A2346">
        <v>22344</v>
      </c>
      <c r="B2346" s="1">
        <v>45358</v>
      </c>
      <c r="C2346" t="s">
        <v>30</v>
      </c>
      <c r="D2346" t="s">
        <v>59</v>
      </c>
      <c r="E2346" t="s">
        <v>66</v>
      </c>
      <c r="F2346" t="s">
        <v>40</v>
      </c>
      <c r="G2346" t="s">
        <v>47</v>
      </c>
      <c r="H2346" t="s">
        <v>48</v>
      </c>
      <c r="I2346" t="s">
        <v>25</v>
      </c>
      <c r="J2346" t="s">
        <v>58</v>
      </c>
      <c r="K2346" t="s">
        <v>44</v>
      </c>
      <c r="L2346" t="s">
        <v>49</v>
      </c>
      <c r="M2346" s="4">
        <v>13</v>
      </c>
      <c r="N2346" s="4">
        <v>7</v>
      </c>
      <c r="O2346" t="s">
        <v>29</v>
      </c>
      <c r="P2346" t="s">
        <v>36</v>
      </c>
      <c r="Q2346" s="4">
        <v>378507</v>
      </c>
      <c r="R2346" s="4">
        <v>254110</v>
      </c>
      <c r="S2346" s="4">
        <f>Table1[[#This Row],[Service_Revenue]]-Table1[[#This Row],[Service_Cost]]</f>
        <v>124397</v>
      </c>
      <c r="T2346" s="4">
        <v>2</v>
      </c>
      <c r="U2346" s="4">
        <f>IF(AND(Table1[[#This Row],[Rework_Flag]]="Yes",Table1[[#This Row],[Warranty_Claim]]="No"),Table1[[#This Row],[Service_Revenue]],0)</f>
        <v>378507</v>
      </c>
      <c r="V2346" s="4">
        <f>IF(Table1[[#This Row],[Warranty_Claim]]="Yes",1,0)</f>
        <v>0</v>
      </c>
      <c r="W2346" s="4">
        <f>IF(Table1[[#This Row],[Rework_Flag]]="No",1,0)</f>
        <v>0</v>
      </c>
      <c r="X2346" s="4">
        <f>IF(Table1[[#This Row],[Rework_Flag]]="Yes",1,0)</f>
        <v>1</v>
      </c>
      <c r="Y2346" s="4">
        <v>1</v>
      </c>
      <c r="Z2346" s="4" t="str">
        <f>IF(Table1[[#This Row],[TAT_Days]]&gt;Table1[[#This Row],[SLA_TAT]],"Yes","No")</f>
        <v>Yes</v>
      </c>
      <c r="AA2346" s="4" t="str" cm="1">
        <f t="array" ref="AA2346">_xlfn.IFS(Table1[[#This Row],[Customer_Satisfaction]]&lt;=2,"Poor",Table1[[#This Row],[Customer_Satisfaction]]=3,"Neutral",Table1[[#This Row],[Customer_Satisfaction]]=4,"Good",Table1[[#This Row],[Customer_Satisfaction]]=5,"Good")</f>
        <v>Poor</v>
      </c>
    </row>
    <row r="2347" spans="1:27" x14ac:dyDescent="0.35">
      <c r="A2347">
        <v>22345</v>
      </c>
      <c r="B2347" s="1">
        <v>45302</v>
      </c>
      <c r="C2347" t="s">
        <v>50</v>
      </c>
      <c r="D2347" t="s">
        <v>56</v>
      </c>
      <c r="E2347" t="s">
        <v>88</v>
      </c>
      <c r="F2347" t="s">
        <v>53</v>
      </c>
      <c r="G2347" t="s">
        <v>47</v>
      </c>
      <c r="H2347" t="s">
        <v>48</v>
      </c>
      <c r="I2347" t="s">
        <v>25</v>
      </c>
      <c r="J2347" t="s">
        <v>58</v>
      </c>
      <c r="K2347" t="s">
        <v>61</v>
      </c>
      <c r="L2347" t="s">
        <v>28</v>
      </c>
      <c r="M2347" s="4">
        <v>8</v>
      </c>
      <c r="N2347" s="4">
        <v>7</v>
      </c>
      <c r="O2347" t="s">
        <v>29</v>
      </c>
      <c r="P2347" t="s">
        <v>36</v>
      </c>
      <c r="Q2347" s="4">
        <v>583459</v>
      </c>
      <c r="R2347" s="4">
        <v>391219</v>
      </c>
      <c r="S2347" s="4">
        <f>Table1[[#This Row],[Service_Revenue]]-Table1[[#This Row],[Service_Cost]]</f>
        <v>192240</v>
      </c>
      <c r="T2347" s="4">
        <v>3</v>
      </c>
      <c r="U2347" s="4">
        <f>IF(AND(Table1[[#This Row],[Rework_Flag]]="Yes",Table1[[#This Row],[Warranty_Claim]]="No"),Table1[[#This Row],[Service_Revenue]],0)</f>
        <v>583459</v>
      </c>
      <c r="V2347" s="4">
        <f>IF(Table1[[#This Row],[Warranty_Claim]]="Yes",1,0)</f>
        <v>0</v>
      </c>
      <c r="W2347" s="4">
        <f>IF(Table1[[#This Row],[Rework_Flag]]="No",1,0)</f>
        <v>0</v>
      </c>
      <c r="X2347" s="4">
        <f>IF(Table1[[#This Row],[Rework_Flag]]="Yes",1,0)</f>
        <v>1</v>
      </c>
      <c r="Y2347" s="4">
        <v>1</v>
      </c>
      <c r="Z2347" s="4" t="str">
        <f>IF(Table1[[#This Row],[TAT_Days]]&gt;Table1[[#This Row],[SLA_TAT]],"Yes","No")</f>
        <v>Yes</v>
      </c>
      <c r="AA2347" s="4" t="str" cm="1">
        <f t="array" ref="AA2347">_xlfn.IFS(Table1[[#This Row],[Customer_Satisfaction]]&lt;=2,"Poor",Table1[[#This Row],[Customer_Satisfaction]]=3,"Neutral",Table1[[#This Row],[Customer_Satisfaction]]=4,"Good",Table1[[#This Row],[Customer_Satisfaction]]=5,"Good")</f>
        <v>Neutral</v>
      </c>
    </row>
    <row r="2348" spans="1:27" x14ac:dyDescent="0.35">
      <c r="A2348">
        <v>22346</v>
      </c>
      <c r="B2348" s="1">
        <v>45403</v>
      </c>
      <c r="C2348" t="s">
        <v>50</v>
      </c>
      <c r="D2348" t="s">
        <v>80</v>
      </c>
      <c r="E2348" t="s">
        <v>85</v>
      </c>
      <c r="F2348" t="s">
        <v>40</v>
      </c>
      <c r="G2348" t="s">
        <v>33</v>
      </c>
      <c r="H2348" t="s">
        <v>34</v>
      </c>
      <c r="I2348" t="s">
        <v>55</v>
      </c>
      <c r="J2348" t="s">
        <v>43</v>
      </c>
      <c r="K2348" t="s">
        <v>27</v>
      </c>
      <c r="L2348" t="s">
        <v>28</v>
      </c>
      <c r="M2348" s="4">
        <v>12</v>
      </c>
      <c r="N2348" s="4">
        <v>7</v>
      </c>
      <c r="O2348" t="s">
        <v>29</v>
      </c>
      <c r="P2348" t="s">
        <v>36</v>
      </c>
      <c r="Q2348" s="4">
        <v>496043</v>
      </c>
      <c r="R2348" s="4">
        <v>285897</v>
      </c>
      <c r="S2348" s="4">
        <f>Table1[[#This Row],[Service_Revenue]]-Table1[[#This Row],[Service_Cost]]</f>
        <v>210146</v>
      </c>
      <c r="T2348" s="4">
        <v>2</v>
      </c>
      <c r="U2348" s="4">
        <f>IF(AND(Table1[[#This Row],[Rework_Flag]]="Yes",Table1[[#This Row],[Warranty_Claim]]="No"),Table1[[#This Row],[Service_Revenue]],0)</f>
        <v>496043</v>
      </c>
      <c r="V2348" s="4">
        <f>IF(Table1[[#This Row],[Warranty_Claim]]="Yes",1,0)</f>
        <v>0</v>
      </c>
      <c r="W2348" s="4">
        <f>IF(Table1[[#This Row],[Rework_Flag]]="No",1,0)</f>
        <v>0</v>
      </c>
      <c r="X2348" s="4">
        <f>IF(Table1[[#This Row],[Rework_Flag]]="Yes",1,0)</f>
        <v>1</v>
      </c>
      <c r="Y2348" s="4">
        <v>1</v>
      </c>
      <c r="Z2348" s="4" t="str">
        <f>IF(Table1[[#This Row],[TAT_Days]]&gt;Table1[[#This Row],[SLA_TAT]],"Yes","No")</f>
        <v>Yes</v>
      </c>
      <c r="AA2348" s="4" t="str" cm="1">
        <f t="array" ref="AA2348">_xlfn.IFS(Table1[[#This Row],[Customer_Satisfaction]]&lt;=2,"Poor",Table1[[#This Row],[Customer_Satisfaction]]=3,"Neutral",Table1[[#This Row],[Customer_Satisfaction]]=4,"Good",Table1[[#This Row],[Customer_Satisfaction]]=5,"Good")</f>
        <v>Poor</v>
      </c>
    </row>
    <row r="2349" spans="1:27" x14ac:dyDescent="0.35">
      <c r="A2349">
        <v>22347</v>
      </c>
      <c r="B2349" s="1">
        <v>45325</v>
      </c>
      <c r="C2349" t="s">
        <v>30</v>
      </c>
      <c r="D2349" t="s">
        <v>59</v>
      </c>
      <c r="E2349" t="s">
        <v>66</v>
      </c>
      <c r="F2349" t="s">
        <v>40</v>
      </c>
      <c r="G2349" t="s">
        <v>41</v>
      </c>
      <c r="H2349" t="s">
        <v>42</v>
      </c>
      <c r="I2349" t="s">
        <v>25</v>
      </c>
      <c r="J2349" t="s">
        <v>43</v>
      </c>
      <c r="K2349" t="s">
        <v>27</v>
      </c>
      <c r="L2349" t="s">
        <v>28</v>
      </c>
      <c r="M2349" s="4">
        <v>11</v>
      </c>
      <c r="N2349" s="4">
        <v>7</v>
      </c>
      <c r="O2349" t="s">
        <v>29</v>
      </c>
      <c r="P2349" t="s">
        <v>36</v>
      </c>
      <c r="Q2349" s="4">
        <v>241805</v>
      </c>
      <c r="R2349" s="4">
        <v>200777</v>
      </c>
      <c r="S2349" s="4">
        <f>Table1[[#This Row],[Service_Revenue]]-Table1[[#This Row],[Service_Cost]]</f>
        <v>41028</v>
      </c>
      <c r="T2349" s="4">
        <v>2</v>
      </c>
      <c r="U2349" s="4">
        <f>IF(AND(Table1[[#This Row],[Rework_Flag]]="Yes",Table1[[#This Row],[Warranty_Claim]]="No"),Table1[[#This Row],[Service_Revenue]],0)</f>
        <v>241805</v>
      </c>
      <c r="V2349" s="4">
        <f>IF(Table1[[#This Row],[Warranty_Claim]]="Yes",1,0)</f>
        <v>0</v>
      </c>
      <c r="W2349" s="4">
        <f>IF(Table1[[#This Row],[Rework_Flag]]="No",1,0)</f>
        <v>0</v>
      </c>
      <c r="X2349" s="4">
        <f>IF(Table1[[#This Row],[Rework_Flag]]="Yes",1,0)</f>
        <v>1</v>
      </c>
      <c r="Y2349" s="4">
        <v>1</v>
      </c>
      <c r="Z2349" s="4" t="str">
        <f>IF(Table1[[#This Row],[TAT_Days]]&gt;Table1[[#This Row],[SLA_TAT]],"Yes","No")</f>
        <v>Yes</v>
      </c>
      <c r="AA2349" s="4" t="str" cm="1">
        <f t="array" ref="AA2349">_xlfn.IFS(Table1[[#This Row],[Customer_Satisfaction]]&lt;=2,"Poor",Table1[[#This Row],[Customer_Satisfaction]]=3,"Neutral",Table1[[#This Row],[Customer_Satisfaction]]=4,"Good",Table1[[#This Row],[Customer_Satisfaction]]=5,"Good")</f>
        <v>Poor</v>
      </c>
    </row>
    <row r="2350" spans="1:27" x14ac:dyDescent="0.35">
      <c r="A2350">
        <v>22348</v>
      </c>
      <c r="B2350" s="1">
        <v>45371</v>
      </c>
      <c r="C2350" t="s">
        <v>30</v>
      </c>
      <c r="D2350" t="s">
        <v>59</v>
      </c>
      <c r="E2350" t="s">
        <v>69</v>
      </c>
      <c r="F2350" t="s">
        <v>40</v>
      </c>
      <c r="G2350" t="s">
        <v>23</v>
      </c>
      <c r="H2350" t="s">
        <v>24</v>
      </c>
      <c r="I2350" t="s">
        <v>55</v>
      </c>
      <c r="J2350" t="s">
        <v>58</v>
      </c>
      <c r="K2350" t="s">
        <v>44</v>
      </c>
      <c r="L2350" t="s">
        <v>28</v>
      </c>
      <c r="M2350" s="4">
        <v>16</v>
      </c>
      <c r="N2350" s="4">
        <v>7</v>
      </c>
      <c r="O2350" t="s">
        <v>29</v>
      </c>
      <c r="P2350" t="s">
        <v>36</v>
      </c>
      <c r="Q2350" s="4">
        <v>550443</v>
      </c>
      <c r="R2350" s="4">
        <v>454751</v>
      </c>
      <c r="S2350" s="4">
        <f>Table1[[#This Row],[Service_Revenue]]-Table1[[#This Row],[Service_Cost]]</f>
        <v>95692</v>
      </c>
      <c r="T2350" s="4">
        <v>1</v>
      </c>
      <c r="U2350" s="4">
        <f>IF(AND(Table1[[#This Row],[Rework_Flag]]="Yes",Table1[[#This Row],[Warranty_Claim]]="No"),Table1[[#This Row],[Service_Revenue]],0)</f>
        <v>550443</v>
      </c>
      <c r="V2350" s="4">
        <f>IF(Table1[[#This Row],[Warranty_Claim]]="Yes",1,0)</f>
        <v>0</v>
      </c>
      <c r="W2350" s="4">
        <f>IF(Table1[[#This Row],[Rework_Flag]]="No",1,0)</f>
        <v>0</v>
      </c>
      <c r="X2350" s="4">
        <f>IF(Table1[[#This Row],[Rework_Flag]]="Yes",1,0)</f>
        <v>1</v>
      </c>
      <c r="Y2350" s="4">
        <v>1</v>
      </c>
      <c r="Z2350" s="4" t="str">
        <f>IF(Table1[[#This Row],[TAT_Days]]&gt;Table1[[#This Row],[SLA_TAT]],"Yes","No")</f>
        <v>Yes</v>
      </c>
      <c r="AA2350" s="4" t="str" cm="1">
        <f t="array" ref="AA2350">_xlfn.IFS(Table1[[#This Row],[Customer_Satisfaction]]&lt;=2,"Poor",Table1[[#This Row],[Customer_Satisfaction]]=3,"Neutral",Table1[[#This Row],[Customer_Satisfaction]]=4,"Good",Table1[[#This Row],[Customer_Satisfaction]]=5,"Good")</f>
        <v>Poor</v>
      </c>
    </row>
    <row r="2351" spans="1:27" x14ac:dyDescent="0.35">
      <c r="A2351">
        <v>22349</v>
      </c>
      <c r="B2351" s="1">
        <v>45446</v>
      </c>
      <c r="C2351" t="s">
        <v>37</v>
      </c>
      <c r="D2351" t="s">
        <v>70</v>
      </c>
      <c r="E2351" t="s">
        <v>71</v>
      </c>
      <c r="F2351" t="s">
        <v>53</v>
      </c>
      <c r="G2351" t="s">
        <v>63</v>
      </c>
      <c r="H2351" t="s">
        <v>24</v>
      </c>
      <c r="I2351" t="s">
        <v>25</v>
      </c>
      <c r="J2351" t="s">
        <v>43</v>
      </c>
      <c r="K2351" t="s">
        <v>44</v>
      </c>
      <c r="L2351" t="s">
        <v>28</v>
      </c>
      <c r="M2351" s="4">
        <v>6</v>
      </c>
      <c r="N2351" s="4">
        <v>7</v>
      </c>
      <c r="O2351" t="s">
        <v>29</v>
      </c>
      <c r="P2351" t="s">
        <v>36</v>
      </c>
      <c r="Q2351" s="4">
        <v>271187</v>
      </c>
      <c r="R2351" s="4">
        <v>203642</v>
      </c>
      <c r="S2351" s="4">
        <f>Table1[[#This Row],[Service_Revenue]]-Table1[[#This Row],[Service_Cost]]</f>
        <v>67545</v>
      </c>
      <c r="T2351" s="4">
        <v>3</v>
      </c>
      <c r="U2351" s="4">
        <f>IF(AND(Table1[[#This Row],[Rework_Flag]]="Yes",Table1[[#This Row],[Warranty_Claim]]="No"),Table1[[#This Row],[Service_Revenue]],0)</f>
        <v>271187</v>
      </c>
      <c r="V2351" s="4">
        <f>IF(Table1[[#This Row],[Warranty_Claim]]="Yes",1,0)</f>
        <v>0</v>
      </c>
      <c r="W2351" s="4">
        <f>IF(Table1[[#This Row],[Rework_Flag]]="No",1,0)</f>
        <v>0</v>
      </c>
      <c r="X2351" s="4">
        <f>IF(Table1[[#This Row],[Rework_Flag]]="Yes",1,0)</f>
        <v>1</v>
      </c>
      <c r="Y2351" s="4">
        <v>1</v>
      </c>
      <c r="Z2351" s="4" t="str">
        <f>IF(Table1[[#This Row],[TAT_Days]]&gt;Table1[[#This Row],[SLA_TAT]],"Yes","No")</f>
        <v>No</v>
      </c>
      <c r="AA2351" s="4" t="str" cm="1">
        <f t="array" ref="AA2351">_xlfn.IFS(Table1[[#This Row],[Customer_Satisfaction]]&lt;=2,"Poor",Table1[[#This Row],[Customer_Satisfaction]]=3,"Neutral",Table1[[#This Row],[Customer_Satisfaction]]=4,"Good",Table1[[#This Row],[Customer_Satisfaction]]=5,"Good")</f>
        <v>Neutral</v>
      </c>
    </row>
    <row r="2352" spans="1:27" x14ac:dyDescent="0.35">
      <c r="A2352">
        <v>22350</v>
      </c>
      <c r="B2352" s="1">
        <v>45472</v>
      </c>
      <c r="C2352" t="s">
        <v>19</v>
      </c>
      <c r="D2352" t="s">
        <v>45</v>
      </c>
      <c r="E2352" t="s">
        <v>46</v>
      </c>
      <c r="F2352" t="s">
        <v>53</v>
      </c>
      <c r="G2352" t="s">
        <v>63</v>
      </c>
      <c r="H2352" t="s">
        <v>24</v>
      </c>
      <c r="I2352" t="s">
        <v>55</v>
      </c>
      <c r="J2352" t="s">
        <v>35</v>
      </c>
      <c r="K2352" t="s">
        <v>61</v>
      </c>
      <c r="L2352" t="s">
        <v>28</v>
      </c>
      <c r="M2352" s="4">
        <v>20</v>
      </c>
      <c r="N2352" s="4">
        <v>7</v>
      </c>
      <c r="O2352" t="s">
        <v>36</v>
      </c>
      <c r="P2352" t="s">
        <v>36</v>
      </c>
      <c r="Q2352" s="4">
        <v>114709</v>
      </c>
      <c r="R2352" s="4">
        <v>77499</v>
      </c>
      <c r="S2352" s="4">
        <f>Table1[[#This Row],[Service_Revenue]]-Table1[[#This Row],[Service_Cost]]</f>
        <v>37210</v>
      </c>
      <c r="T2352" s="4">
        <v>1</v>
      </c>
      <c r="U2352" s="4">
        <f>IF(AND(Table1[[#This Row],[Rework_Flag]]="Yes",Table1[[#This Row],[Warranty_Claim]]="No"),Table1[[#This Row],[Service_Revenue]],0)</f>
        <v>0</v>
      </c>
      <c r="V2352" s="4">
        <f>IF(Table1[[#This Row],[Warranty_Claim]]="Yes",1,0)</f>
        <v>0</v>
      </c>
      <c r="W2352" s="4">
        <f>IF(Table1[[#This Row],[Rework_Flag]]="No",1,0)</f>
        <v>1</v>
      </c>
      <c r="X2352" s="4">
        <f>IF(Table1[[#This Row],[Rework_Flag]]="Yes",1,0)</f>
        <v>0</v>
      </c>
      <c r="Y2352" s="4">
        <v>1</v>
      </c>
      <c r="Z2352" s="4" t="str">
        <f>IF(Table1[[#This Row],[TAT_Days]]&gt;Table1[[#This Row],[SLA_TAT]],"Yes","No")</f>
        <v>Yes</v>
      </c>
      <c r="AA2352" s="4" t="str" cm="1">
        <f t="array" ref="AA2352">_xlfn.IFS(Table1[[#This Row],[Customer_Satisfaction]]&lt;=2,"Poor",Table1[[#This Row],[Customer_Satisfaction]]=3,"Neutral",Table1[[#This Row],[Customer_Satisfaction]]=4,"Good",Table1[[#This Row],[Customer_Satisfaction]]=5,"Good")</f>
        <v>Poor</v>
      </c>
    </row>
    <row r="2353" spans="1:27" x14ac:dyDescent="0.35">
      <c r="A2353">
        <v>22351</v>
      </c>
      <c r="B2353" s="1">
        <v>45343</v>
      </c>
      <c r="C2353" t="s">
        <v>37</v>
      </c>
      <c r="D2353" t="s">
        <v>70</v>
      </c>
      <c r="E2353" t="s">
        <v>91</v>
      </c>
      <c r="F2353" t="s">
        <v>53</v>
      </c>
      <c r="G2353" t="s">
        <v>47</v>
      </c>
      <c r="H2353" t="s">
        <v>48</v>
      </c>
      <c r="I2353" t="s">
        <v>55</v>
      </c>
      <c r="J2353" t="s">
        <v>58</v>
      </c>
      <c r="K2353" t="s">
        <v>27</v>
      </c>
      <c r="L2353" t="s">
        <v>28</v>
      </c>
      <c r="M2353" s="4">
        <v>13</v>
      </c>
      <c r="N2353" s="4">
        <v>7</v>
      </c>
      <c r="O2353" t="s">
        <v>29</v>
      </c>
      <c r="P2353" t="s">
        <v>29</v>
      </c>
      <c r="Q2353" s="4">
        <v>464454</v>
      </c>
      <c r="R2353" s="4">
        <v>310416</v>
      </c>
      <c r="S2353" s="4">
        <f>Table1[[#This Row],[Service_Revenue]]-Table1[[#This Row],[Service_Cost]]</f>
        <v>154038</v>
      </c>
      <c r="T2353" s="4">
        <v>2</v>
      </c>
      <c r="U2353" s="4">
        <f>IF(AND(Table1[[#This Row],[Rework_Flag]]="Yes",Table1[[#This Row],[Warranty_Claim]]="No"),Table1[[#This Row],[Service_Revenue]],0)</f>
        <v>0</v>
      </c>
      <c r="V2353" s="4">
        <f>IF(Table1[[#This Row],[Warranty_Claim]]="Yes",1,0)</f>
        <v>1</v>
      </c>
      <c r="W2353" s="4">
        <f>IF(Table1[[#This Row],[Rework_Flag]]="No",1,0)</f>
        <v>0</v>
      </c>
      <c r="X2353" s="4">
        <f>IF(Table1[[#This Row],[Rework_Flag]]="Yes",1,0)</f>
        <v>1</v>
      </c>
      <c r="Y2353" s="4">
        <v>1</v>
      </c>
      <c r="Z2353" s="4" t="str">
        <f>IF(Table1[[#This Row],[TAT_Days]]&gt;Table1[[#This Row],[SLA_TAT]],"Yes","No")</f>
        <v>Yes</v>
      </c>
      <c r="AA2353" s="4" t="str" cm="1">
        <f t="array" ref="AA2353">_xlfn.IFS(Table1[[#This Row],[Customer_Satisfaction]]&lt;=2,"Poor",Table1[[#This Row],[Customer_Satisfaction]]=3,"Neutral",Table1[[#This Row],[Customer_Satisfaction]]=4,"Good",Table1[[#This Row],[Customer_Satisfaction]]=5,"Good")</f>
        <v>Poor</v>
      </c>
    </row>
    <row r="2354" spans="1:27" x14ac:dyDescent="0.35">
      <c r="A2354">
        <v>22352</v>
      </c>
      <c r="B2354" s="1">
        <v>45338</v>
      </c>
      <c r="C2354" t="s">
        <v>37</v>
      </c>
      <c r="D2354" t="s">
        <v>38</v>
      </c>
      <c r="E2354" t="s">
        <v>112</v>
      </c>
      <c r="F2354" t="s">
        <v>40</v>
      </c>
      <c r="G2354" t="s">
        <v>41</v>
      </c>
      <c r="H2354" t="s">
        <v>42</v>
      </c>
      <c r="I2354" t="s">
        <v>25</v>
      </c>
      <c r="J2354" t="s">
        <v>43</v>
      </c>
      <c r="K2354" t="s">
        <v>61</v>
      </c>
      <c r="L2354" t="s">
        <v>49</v>
      </c>
      <c r="M2354" s="4">
        <v>7</v>
      </c>
      <c r="N2354" s="4">
        <v>7</v>
      </c>
      <c r="O2354" t="s">
        <v>36</v>
      </c>
      <c r="P2354" t="s">
        <v>29</v>
      </c>
      <c r="Q2354" s="4">
        <v>492476</v>
      </c>
      <c r="R2354" s="4">
        <v>370571</v>
      </c>
      <c r="S2354" s="4">
        <f>Table1[[#This Row],[Service_Revenue]]-Table1[[#This Row],[Service_Cost]]</f>
        <v>121905</v>
      </c>
      <c r="T2354" s="4">
        <v>4</v>
      </c>
      <c r="U2354" s="4">
        <f>IF(AND(Table1[[#This Row],[Rework_Flag]]="Yes",Table1[[#This Row],[Warranty_Claim]]="No"),Table1[[#This Row],[Service_Revenue]],0)</f>
        <v>0</v>
      </c>
      <c r="V2354" s="4">
        <f>IF(Table1[[#This Row],[Warranty_Claim]]="Yes",1,0)</f>
        <v>1</v>
      </c>
      <c r="W2354" s="4">
        <f>IF(Table1[[#This Row],[Rework_Flag]]="No",1,0)</f>
        <v>1</v>
      </c>
      <c r="X2354" s="4">
        <f>IF(Table1[[#This Row],[Rework_Flag]]="Yes",1,0)</f>
        <v>0</v>
      </c>
      <c r="Y2354" s="4">
        <v>1</v>
      </c>
      <c r="Z2354" s="4" t="str">
        <f>IF(Table1[[#This Row],[TAT_Days]]&gt;Table1[[#This Row],[SLA_TAT]],"Yes","No")</f>
        <v>No</v>
      </c>
      <c r="AA2354" s="4" t="str" cm="1">
        <f t="array" ref="AA2354">_xlfn.IFS(Table1[[#This Row],[Customer_Satisfaction]]&lt;=2,"Poor",Table1[[#This Row],[Customer_Satisfaction]]=3,"Neutral",Table1[[#This Row],[Customer_Satisfaction]]=4,"Good",Table1[[#This Row],[Customer_Satisfaction]]=5,"Good")</f>
        <v>Good</v>
      </c>
    </row>
    <row r="2355" spans="1:27" x14ac:dyDescent="0.35">
      <c r="A2355">
        <v>22353</v>
      </c>
      <c r="B2355" s="1">
        <v>45296</v>
      </c>
      <c r="C2355" t="s">
        <v>37</v>
      </c>
      <c r="D2355" t="s">
        <v>38</v>
      </c>
      <c r="E2355" t="s">
        <v>102</v>
      </c>
      <c r="F2355" t="s">
        <v>53</v>
      </c>
      <c r="G2355" t="s">
        <v>33</v>
      </c>
      <c r="H2355" t="s">
        <v>34</v>
      </c>
      <c r="I2355" t="s">
        <v>25</v>
      </c>
      <c r="J2355" t="s">
        <v>35</v>
      </c>
      <c r="K2355" t="s">
        <v>44</v>
      </c>
      <c r="L2355" t="s">
        <v>28</v>
      </c>
      <c r="M2355" s="4">
        <v>15</v>
      </c>
      <c r="N2355" s="4">
        <v>7</v>
      </c>
      <c r="O2355" t="s">
        <v>29</v>
      </c>
      <c r="P2355" t="s">
        <v>29</v>
      </c>
      <c r="Q2355" s="4">
        <v>374866</v>
      </c>
      <c r="R2355" s="4">
        <v>255987</v>
      </c>
      <c r="S2355" s="4">
        <f>Table1[[#This Row],[Service_Revenue]]-Table1[[#This Row],[Service_Cost]]</f>
        <v>118879</v>
      </c>
      <c r="T2355" s="4">
        <v>1</v>
      </c>
      <c r="U2355" s="4">
        <f>IF(AND(Table1[[#This Row],[Rework_Flag]]="Yes",Table1[[#This Row],[Warranty_Claim]]="No"),Table1[[#This Row],[Service_Revenue]],0)</f>
        <v>0</v>
      </c>
      <c r="V2355" s="4">
        <f>IF(Table1[[#This Row],[Warranty_Claim]]="Yes",1,0)</f>
        <v>1</v>
      </c>
      <c r="W2355" s="4">
        <f>IF(Table1[[#This Row],[Rework_Flag]]="No",1,0)</f>
        <v>0</v>
      </c>
      <c r="X2355" s="4">
        <f>IF(Table1[[#This Row],[Rework_Flag]]="Yes",1,0)</f>
        <v>1</v>
      </c>
      <c r="Y2355" s="4">
        <v>1</v>
      </c>
      <c r="Z2355" s="4" t="str">
        <f>IF(Table1[[#This Row],[TAT_Days]]&gt;Table1[[#This Row],[SLA_TAT]],"Yes","No")</f>
        <v>Yes</v>
      </c>
      <c r="AA2355" s="4" t="str" cm="1">
        <f t="array" ref="AA2355">_xlfn.IFS(Table1[[#This Row],[Customer_Satisfaction]]&lt;=2,"Poor",Table1[[#This Row],[Customer_Satisfaction]]=3,"Neutral",Table1[[#This Row],[Customer_Satisfaction]]=4,"Good",Table1[[#This Row],[Customer_Satisfaction]]=5,"Good")</f>
        <v>Poor</v>
      </c>
    </row>
    <row r="2356" spans="1:27" x14ac:dyDescent="0.35">
      <c r="A2356">
        <v>22354</v>
      </c>
      <c r="B2356" s="1">
        <v>45344</v>
      </c>
      <c r="C2356" t="s">
        <v>37</v>
      </c>
      <c r="D2356" t="s">
        <v>70</v>
      </c>
      <c r="E2356" t="s">
        <v>71</v>
      </c>
      <c r="F2356" t="s">
        <v>40</v>
      </c>
      <c r="G2356" t="s">
        <v>63</v>
      </c>
      <c r="H2356" t="s">
        <v>24</v>
      </c>
      <c r="I2356" t="s">
        <v>25</v>
      </c>
      <c r="J2356" t="s">
        <v>43</v>
      </c>
      <c r="K2356" t="s">
        <v>27</v>
      </c>
      <c r="L2356" t="s">
        <v>49</v>
      </c>
      <c r="M2356" s="4">
        <v>3</v>
      </c>
      <c r="N2356" s="4">
        <v>7</v>
      </c>
      <c r="O2356" t="s">
        <v>29</v>
      </c>
      <c r="P2356" t="s">
        <v>29</v>
      </c>
      <c r="Q2356" s="4">
        <v>311964</v>
      </c>
      <c r="R2356" s="4">
        <v>184328</v>
      </c>
      <c r="S2356" s="4">
        <f>Table1[[#This Row],[Service_Revenue]]-Table1[[#This Row],[Service_Cost]]</f>
        <v>127636</v>
      </c>
      <c r="T2356" s="4">
        <v>4</v>
      </c>
      <c r="U2356" s="4">
        <f>IF(AND(Table1[[#This Row],[Rework_Flag]]="Yes",Table1[[#This Row],[Warranty_Claim]]="No"),Table1[[#This Row],[Service_Revenue]],0)</f>
        <v>0</v>
      </c>
      <c r="V2356" s="4">
        <f>IF(Table1[[#This Row],[Warranty_Claim]]="Yes",1,0)</f>
        <v>1</v>
      </c>
      <c r="W2356" s="4">
        <f>IF(Table1[[#This Row],[Rework_Flag]]="No",1,0)</f>
        <v>0</v>
      </c>
      <c r="X2356" s="4">
        <f>IF(Table1[[#This Row],[Rework_Flag]]="Yes",1,0)</f>
        <v>1</v>
      </c>
      <c r="Y2356" s="4">
        <v>1</v>
      </c>
      <c r="Z2356" s="4" t="str">
        <f>IF(Table1[[#This Row],[TAT_Days]]&gt;Table1[[#This Row],[SLA_TAT]],"Yes","No")</f>
        <v>No</v>
      </c>
      <c r="AA2356" s="4" t="str" cm="1">
        <f t="array" ref="AA2356">_xlfn.IFS(Table1[[#This Row],[Customer_Satisfaction]]&lt;=2,"Poor",Table1[[#This Row],[Customer_Satisfaction]]=3,"Neutral",Table1[[#This Row],[Customer_Satisfaction]]=4,"Good",Table1[[#This Row],[Customer_Satisfaction]]=5,"Good")</f>
        <v>Good</v>
      </c>
    </row>
    <row r="2357" spans="1:27" x14ac:dyDescent="0.35">
      <c r="A2357">
        <v>22355</v>
      </c>
      <c r="B2357" s="1">
        <v>45434</v>
      </c>
      <c r="C2357" t="s">
        <v>30</v>
      </c>
      <c r="D2357" t="s">
        <v>59</v>
      </c>
      <c r="E2357" t="s">
        <v>78</v>
      </c>
      <c r="F2357" t="s">
        <v>53</v>
      </c>
      <c r="G2357" t="s">
        <v>23</v>
      </c>
      <c r="H2357" t="s">
        <v>24</v>
      </c>
      <c r="I2357" t="s">
        <v>25</v>
      </c>
      <c r="J2357" t="s">
        <v>67</v>
      </c>
      <c r="K2357" t="s">
        <v>61</v>
      </c>
      <c r="L2357" t="s">
        <v>49</v>
      </c>
      <c r="M2357" s="4">
        <v>11</v>
      </c>
      <c r="N2357" s="4">
        <v>7</v>
      </c>
      <c r="O2357" t="s">
        <v>36</v>
      </c>
      <c r="P2357" t="s">
        <v>29</v>
      </c>
      <c r="Q2357" s="4">
        <v>158589</v>
      </c>
      <c r="R2357" s="4">
        <v>114539</v>
      </c>
      <c r="S2357" s="4">
        <f>Table1[[#This Row],[Service_Revenue]]-Table1[[#This Row],[Service_Cost]]</f>
        <v>44050</v>
      </c>
      <c r="T2357" s="4">
        <v>3</v>
      </c>
      <c r="U2357" s="4">
        <f>IF(AND(Table1[[#This Row],[Rework_Flag]]="Yes",Table1[[#This Row],[Warranty_Claim]]="No"),Table1[[#This Row],[Service_Revenue]],0)</f>
        <v>0</v>
      </c>
      <c r="V2357" s="4">
        <f>IF(Table1[[#This Row],[Warranty_Claim]]="Yes",1,0)</f>
        <v>1</v>
      </c>
      <c r="W2357" s="4">
        <f>IF(Table1[[#This Row],[Rework_Flag]]="No",1,0)</f>
        <v>1</v>
      </c>
      <c r="X2357" s="4">
        <f>IF(Table1[[#This Row],[Rework_Flag]]="Yes",1,0)</f>
        <v>0</v>
      </c>
      <c r="Y2357" s="4">
        <v>1</v>
      </c>
      <c r="Z2357" s="4" t="str">
        <f>IF(Table1[[#This Row],[TAT_Days]]&gt;Table1[[#This Row],[SLA_TAT]],"Yes","No")</f>
        <v>Yes</v>
      </c>
      <c r="AA2357" s="4" t="str" cm="1">
        <f t="array" ref="AA2357">_xlfn.IFS(Table1[[#This Row],[Customer_Satisfaction]]&lt;=2,"Poor",Table1[[#This Row],[Customer_Satisfaction]]=3,"Neutral",Table1[[#This Row],[Customer_Satisfaction]]=4,"Good",Table1[[#This Row],[Customer_Satisfaction]]=5,"Good")</f>
        <v>Neutral</v>
      </c>
    </row>
    <row r="2358" spans="1:27" x14ac:dyDescent="0.35">
      <c r="A2358">
        <v>22356</v>
      </c>
      <c r="B2358" s="1">
        <v>45329</v>
      </c>
      <c r="C2358" t="s">
        <v>30</v>
      </c>
      <c r="D2358" t="s">
        <v>31</v>
      </c>
      <c r="E2358" t="s">
        <v>122</v>
      </c>
      <c r="F2358" t="s">
        <v>53</v>
      </c>
      <c r="G2358" t="s">
        <v>41</v>
      </c>
      <c r="H2358" t="s">
        <v>42</v>
      </c>
      <c r="I2358" t="s">
        <v>55</v>
      </c>
      <c r="J2358" t="s">
        <v>35</v>
      </c>
      <c r="K2358" t="s">
        <v>61</v>
      </c>
      <c r="L2358" t="s">
        <v>28</v>
      </c>
      <c r="M2358" s="4">
        <v>12</v>
      </c>
      <c r="N2358" s="4">
        <v>7</v>
      </c>
      <c r="O2358" t="s">
        <v>29</v>
      </c>
      <c r="P2358" t="s">
        <v>29</v>
      </c>
      <c r="Q2358" s="4">
        <v>590506</v>
      </c>
      <c r="R2358" s="4">
        <v>469020</v>
      </c>
      <c r="S2358" s="4">
        <f>Table1[[#This Row],[Service_Revenue]]-Table1[[#This Row],[Service_Cost]]</f>
        <v>121486</v>
      </c>
      <c r="T2358" s="4">
        <v>2</v>
      </c>
      <c r="U2358" s="4">
        <f>IF(AND(Table1[[#This Row],[Rework_Flag]]="Yes",Table1[[#This Row],[Warranty_Claim]]="No"),Table1[[#This Row],[Service_Revenue]],0)</f>
        <v>0</v>
      </c>
      <c r="V2358" s="4">
        <f>IF(Table1[[#This Row],[Warranty_Claim]]="Yes",1,0)</f>
        <v>1</v>
      </c>
      <c r="W2358" s="4">
        <f>IF(Table1[[#This Row],[Rework_Flag]]="No",1,0)</f>
        <v>0</v>
      </c>
      <c r="X2358" s="4">
        <f>IF(Table1[[#This Row],[Rework_Flag]]="Yes",1,0)</f>
        <v>1</v>
      </c>
      <c r="Y2358" s="4">
        <v>1</v>
      </c>
      <c r="Z2358" s="4" t="str">
        <f>IF(Table1[[#This Row],[TAT_Days]]&gt;Table1[[#This Row],[SLA_TAT]],"Yes","No")</f>
        <v>Yes</v>
      </c>
      <c r="AA2358" s="4" t="str" cm="1">
        <f t="array" ref="AA2358">_xlfn.IFS(Table1[[#This Row],[Customer_Satisfaction]]&lt;=2,"Poor",Table1[[#This Row],[Customer_Satisfaction]]=3,"Neutral",Table1[[#This Row],[Customer_Satisfaction]]=4,"Good",Table1[[#This Row],[Customer_Satisfaction]]=5,"Good")</f>
        <v>Poor</v>
      </c>
    </row>
    <row r="2359" spans="1:27" x14ac:dyDescent="0.35">
      <c r="A2359">
        <v>22357</v>
      </c>
      <c r="B2359" s="1">
        <v>45404</v>
      </c>
      <c r="C2359" t="s">
        <v>37</v>
      </c>
      <c r="D2359" t="s">
        <v>70</v>
      </c>
      <c r="E2359" t="s">
        <v>82</v>
      </c>
      <c r="F2359" t="s">
        <v>22</v>
      </c>
      <c r="G2359" t="s">
        <v>23</v>
      </c>
      <c r="H2359" t="s">
        <v>24</v>
      </c>
      <c r="I2359" t="s">
        <v>25</v>
      </c>
      <c r="J2359" t="s">
        <v>67</v>
      </c>
      <c r="K2359" t="s">
        <v>61</v>
      </c>
      <c r="L2359" t="s">
        <v>49</v>
      </c>
      <c r="M2359" s="4">
        <v>17</v>
      </c>
      <c r="N2359" s="4">
        <v>7</v>
      </c>
      <c r="O2359" t="s">
        <v>29</v>
      </c>
      <c r="P2359" t="s">
        <v>36</v>
      </c>
      <c r="Q2359" s="4">
        <v>94768</v>
      </c>
      <c r="R2359" s="4">
        <v>57088</v>
      </c>
      <c r="S2359" s="4">
        <f>Table1[[#This Row],[Service_Revenue]]-Table1[[#This Row],[Service_Cost]]</f>
        <v>37680</v>
      </c>
      <c r="T2359" s="4">
        <v>1</v>
      </c>
      <c r="U2359" s="4">
        <f>IF(AND(Table1[[#This Row],[Rework_Flag]]="Yes",Table1[[#This Row],[Warranty_Claim]]="No"),Table1[[#This Row],[Service_Revenue]],0)</f>
        <v>94768</v>
      </c>
      <c r="V2359" s="4">
        <f>IF(Table1[[#This Row],[Warranty_Claim]]="Yes",1,0)</f>
        <v>0</v>
      </c>
      <c r="W2359" s="4">
        <f>IF(Table1[[#This Row],[Rework_Flag]]="No",1,0)</f>
        <v>0</v>
      </c>
      <c r="X2359" s="4">
        <f>IF(Table1[[#This Row],[Rework_Flag]]="Yes",1,0)</f>
        <v>1</v>
      </c>
      <c r="Y2359" s="4">
        <v>1</v>
      </c>
      <c r="Z2359" s="4" t="str">
        <f>IF(Table1[[#This Row],[TAT_Days]]&gt;Table1[[#This Row],[SLA_TAT]],"Yes","No")</f>
        <v>Yes</v>
      </c>
      <c r="AA2359" s="4" t="str" cm="1">
        <f t="array" ref="AA2359">_xlfn.IFS(Table1[[#This Row],[Customer_Satisfaction]]&lt;=2,"Poor",Table1[[#This Row],[Customer_Satisfaction]]=3,"Neutral",Table1[[#This Row],[Customer_Satisfaction]]=4,"Good",Table1[[#This Row],[Customer_Satisfaction]]=5,"Good")</f>
        <v>Poor</v>
      </c>
    </row>
    <row r="2360" spans="1:27" x14ac:dyDescent="0.35">
      <c r="A2360">
        <v>22358</v>
      </c>
      <c r="B2360" s="1">
        <v>45468</v>
      </c>
      <c r="C2360" t="s">
        <v>30</v>
      </c>
      <c r="D2360" t="s">
        <v>31</v>
      </c>
      <c r="E2360" t="s">
        <v>106</v>
      </c>
      <c r="F2360" t="s">
        <v>40</v>
      </c>
      <c r="G2360" t="s">
        <v>54</v>
      </c>
      <c r="H2360" t="s">
        <v>42</v>
      </c>
      <c r="I2360" t="s">
        <v>55</v>
      </c>
      <c r="J2360" t="s">
        <v>67</v>
      </c>
      <c r="K2360" t="s">
        <v>27</v>
      </c>
      <c r="L2360" t="s">
        <v>28</v>
      </c>
      <c r="M2360" s="4">
        <v>7</v>
      </c>
      <c r="N2360" s="4">
        <v>7</v>
      </c>
      <c r="O2360" t="s">
        <v>36</v>
      </c>
      <c r="P2360" t="s">
        <v>36</v>
      </c>
      <c r="Q2360" s="4">
        <v>518777</v>
      </c>
      <c r="R2360" s="4">
        <v>434035</v>
      </c>
      <c r="S2360" s="4">
        <f>Table1[[#This Row],[Service_Revenue]]-Table1[[#This Row],[Service_Cost]]</f>
        <v>84742</v>
      </c>
      <c r="T2360" s="4">
        <v>4</v>
      </c>
      <c r="U2360" s="4">
        <f>IF(AND(Table1[[#This Row],[Rework_Flag]]="Yes",Table1[[#This Row],[Warranty_Claim]]="No"),Table1[[#This Row],[Service_Revenue]],0)</f>
        <v>0</v>
      </c>
      <c r="V2360" s="4">
        <f>IF(Table1[[#This Row],[Warranty_Claim]]="Yes",1,0)</f>
        <v>0</v>
      </c>
      <c r="W2360" s="4">
        <f>IF(Table1[[#This Row],[Rework_Flag]]="No",1,0)</f>
        <v>1</v>
      </c>
      <c r="X2360" s="4">
        <f>IF(Table1[[#This Row],[Rework_Flag]]="Yes",1,0)</f>
        <v>0</v>
      </c>
      <c r="Y2360" s="4">
        <v>1</v>
      </c>
      <c r="Z2360" s="4" t="str">
        <f>IF(Table1[[#This Row],[TAT_Days]]&gt;Table1[[#This Row],[SLA_TAT]],"Yes","No")</f>
        <v>No</v>
      </c>
      <c r="AA2360" s="4" t="str" cm="1">
        <f t="array" ref="AA2360">_xlfn.IFS(Table1[[#This Row],[Customer_Satisfaction]]&lt;=2,"Poor",Table1[[#This Row],[Customer_Satisfaction]]=3,"Neutral",Table1[[#This Row],[Customer_Satisfaction]]=4,"Good",Table1[[#This Row],[Customer_Satisfaction]]=5,"Good")</f>
        <v>Good</v>
      </c>
    </row>
    <row r="2361" spans="1:27" x14ac:dyDescent="0.35">
      <c r="A2361">
        <v>22359</v>
      </c>
      <c r="B2361" s="1">
        <v>45428</v>
      </c>
      <c r="C2361" t="s">
        <v>19</v>
      </c>
      <c r="D2361" t="s">
        <v>96</v>
      </c>
      <c r="E2361" t="s">
        <v>108</v>
      </c>
      <c r="F2361" t="s">
        <v>53</v>
      </c>
      <c r="G2361" t="s">
        <v>74</v>
      </c>
      <c r="H2361" t="s">
        <v>34</v>
      </c>
      <c r="I2361" t="s">
        <v>25</v>
      </c>
      <c r="J2361" t="s">
        <v>35</v>
      </c>
      <c r="K2361" t="s">
        <v>61</v>
      </c>
      <c r="L2361" t="s">
        <v>49</v>
      </c>
      <c r="M2361" s="4">
        <v>24</v>
      </c>
      <c r="N2361" s="4">
        <v>7</v>
      </c>
      <c r="O2361" t="s">
        <v>29</v>
      </c>
      <c r="P2361" t="s">
        <v>29</v>
      </c>
      <c r="Q2361" s="4">
        <v>254146</v>
      </c>
      <c r="R2361" s="4">
        <v>211749</v>
      </c>
      <c r="S2361" s="4">
        <f>Table1[[#This Row],[Service_Revenue]]-Table1[[#This Row],[Service_Cost]]</f>
        <v>42397</v>
      </c>
      <c r="T2361" s="4">
        <v>1</v>
      </c>
      <c r="U2361" s="4">
        <f>IF(AND(Table1[[#This Row],[Rework_Flag]]="Yes",Table1[[#This Row],[Warranty_Claim]]="No"),Table1[[#This Row],[Service_Revenue]],0)</f>
        <v>0</v>
      </c>
      <c r="V2361" s="4">
        <f>IF(Table1[[#This Row],[Warranty_Claim]]="Yes",1,0)</f>
        <v>1</v>
      </c>
      <c r="W2361" s="4">
        <f>IF(Table1[[#This Row],[Rework_Flag]]="No",1,0)</f>
        <v>0</v>
      </c>
      <c r="X2361" s="4">
        <f>IF(Table1[[#This Row],[Rework_Flag]]="Yes",1,0)</f>
        <v>1</v>
      </c>
      <c r="Y2361" s="4">
        <v>1</v>
      </c>
      <c r="Z2361" s="4" t="str">
        <f>IF(Table1[[#This Row],[TAT_Days]]&gt;Table1[[#This Row],[SLA_TAT]],"Yes","No")</f>
        <v>Yes</v>
      </c>
      <c r="AA2361" s="4" t="str" cm="1">
        <f t="array" ref="AA2361">_xlfn.IFS(Table1[[#This Row],[Customer_Satisfaction]]&lt;=2,"Poor",Table1[[#This Row],[Customer_Satisfaction]]=3,"Neutral",Table1[[#This Row],[Customer_Satisfaction]]=4,"Good",Table1[[#This Row],[Customer_Satisfaction]]=5,"Good")</f>
        <v>Poor</v>
      </c>
    </row>
    <row r="2362" spans="1:27" x14ac:dyDescent="0.35">
      <c r="A2362">
        <v>22360</v>
      </c>
      <c r="B2362" s="1">
        <v>45351</v>
      </c>
      <c r="C2362" t="s">
        <v>50</v>
      </c>
      <c r="D2362" t="s">
        <v>51</v>
      </c>
      <c r="E2362" t="s">
        <v>120</v>
      </c>
      <c r="F2362" t="s">
        <v>40</v>
      </c>
      <c r="G2362" t="s">
        <v>63</v>
      </c>
      <c r="H2362" t="s">
        <v>24</v>
      </c>
      <c r="I2362" t="s">
        <v>55</v>
      </c>
      <c r="J2362" t="s">
        <v>35</v>
      </c>
      <c r="K2362" t="s">
        <v>44</v>
      </c>
      <c r="L2362" t="s">
        <v>28</v>
      </c>
      <c r="M2362" s="4">
        <v>14</v>
      </c>
      <c r="N2362" s="4">
        <v>7</v>
      </c>
      <c r="O2362" t="s">
        <v>36</v>
      </c>
      <c r="P2362" t="s">
        <v>36</v>
      </c>
      <c r="Q2362" s="4">
        <v>205502</v>
      </c>
      <c r="R2362" s="4">
        <v>127630</v>
      </c>
      <c r="S2362" s="4">
        <f>Table1[[#This Row],[Service_Revenue]]-Table1[[#This Row],[Service_Cost]]</f>
        <v>77872</v>
      </c>
      <c r="T2362" s="4">
        <v>3</v>
      </c>
      <c r="U2362" s="4">
        <f>IF(AND(Table1[[#This Row],[Rework_Flag]]="Yes",Table1[[#This Row],[Warranty_Claim]]="No"),Table1[[#This Row],[Service_Revenue]],0)</f>
        <v>0</v>
      </c>
      <c r="V2362" s="4">
        <f>IF(Table1[[#This Row],[Warranty_Claim]]="Yes",1,0)</f>
        <v>0</v>
      </c>
      <c r="W2362" s="4">
        <f>IF(Table1[[#This Row],[Rework_Flag]]="No",1,0)</f>
        <v>1</v>
      </c>
      <c r="X2362" s="4">
        <f>IF(Table1[[#This Row],[Rework_Flag]]="Yes",1,0)</f>
        <v>0</v>
      </c>
      <c r="Y2362" s="4">
        <v>1</v>
      </c>
      <c r="Z2362" s="4" t="str">
        <f>IF(Table1[[#This Row],[TAT_Days]]&gt;Table1[[#This Row],[SLA_TAT]],"Yes","No")</f>
        <v>Yes</v>
      </c>
      <c r="AA2362" s="4" t="str" cm="1">
        <f t="array" ref="AA2362">_xlfn.IFS(Table1[[#This Row],[Customer_Satisfaction]]&lt;=2,"Poor",Table1[[#This Row],[Customer_Satisfaction]]=3,"Neutral",Table1[[#This Row],[Customer_Satisfaction]]=4,"Good",Table1[[#This Row],[Customer_Satisfaction]]=5,"Good")</f>
        <v>Neutral</v>
      </c>
    </row>
    <row r="2363" spans="1:27" x14ac:dyDescent="0.35">
      <c r="A2363">
        <v>22361</v>
      </c>
      <c r="B2363" s="1">
        <v>45361</v>
      </c>
      <c r="C2363" t="s">
        <v>50</v>
      </c>
      <c r="D2363" t="s">
        <v>51</v>
      </c>
      <c r="E2363" t="s">
        <v>113</v>
      </c>
      <c r="F2363" t="s">
        <v>53</v>
      </c>
      <c r="G2363" t="s">
        <v>47</v>
      </c>
      <c r="H2363" t="s">
        <v>48</v>
      </c>
      <c r="I2363" t="s">
        <v>25</v>
      </c>
      <c r="J2363" t="s">
        <v>58</v>
      </c>
      <c r="K2363" t="s">
        <v>44</v>
      </c>
      <c r="L2363" t="s">
        <v>28</v>
      </c>
      <c r="M2363" s="4">
        <v>18</v>
      </c>
      <c r="N2363" s="4">
        <v>7</v>
      </c>
      <c r="O2363" t="s">
        <v>36</v>
      </c>
      <c r="P2363" t="s">
        <v>29</v>
      </c>
      <c r="Q2363" s="4">
        <v>253693</v>
      </c>
      <c r="R2363" s="4">
        <v>138881</v>
      </c>
      <c r="S2363" s="4">
        <f>Table1[[#This Row],[Service_Revenue]]-Table1[[#This Row],[Service_Cost]]</f>
        <v>114812</v>
      </c>
      <c r="T2363" s="4">
        <v>2</v>
      </c>
      <c r="U2363" s="4">
        <f>IF(AND(Table1[[#This Row],[Rework_Flag]]="Yes",Table1[[#This Row],[Warranty_Claim]]="No"),Table1[[#This Row],[Service_Revenue]],0)</f>
        <v>0</v>
      </c>
      <c r="V2363" s="4">
        <f>IF(Table1[[#This Row],[Warranty_Claim]]="Yes",1,0)</f>
        <v>1</v>
      </c>
      <c r="W2363" s="4">
        <f>IF(Table1[[#This Row],[Rework_Flag]]="No",1,0)</f>
        <v>1</v>
      </c>
      <c r="X2363" s="4">
        <f>IF(Table1[[#This Row],[Rework_Flag]]="Yes",1,0)</f>
        <v>0</v>
      </c>
      <c r="Y2363" s="4">
        <v>1</v>
      </c>
      <c r="Z2363" s="4" t="str">
        <f>IF(Table1[[#This Row],[TAT_Days]]&gt;Table1[[#This Row],[SLA_TAT]],"Yes","No")</f>
        <v>Yes</v>
      </c>
      <c r="AA2363" s="4" t="str" cm="1">
        <f t="array" ref="AA2363">_xlfn.IFS(Table1[[#This Row],[Customer_Satisfaction]]&lt;=2,"Poor",Table1[[#This Row],[Customer_Satisfaction]]=3,"Neutral",Table1[[#This Row],[Customer_Satisfaction]]=4,"Good",Table1[[#This Row],[Customer_Satisfaction]]=5,"Good")</f>
        <v>Poor</v>
      </c>
    </row>
    <row r="2364" spans="1:27" x14ac:dyDescent="0.35">
      <c r="A2364">
        <v>22362</v>
      </c>
      <c r="B2364" s="1">
        <v>45306</v>
      </c>
      <c r="C2364" t="s">
        <v>30</v>
      </c>
      <c r="D2364" t="s">
        <v>59</v>
      </c>
      <c r="E2364" t="s">
        <v>60</v>
      </c>
      <c r="F2364" t="s">
        <v>40</v>
      </c>
      <c r="G2364" t="s">
        <v>47</v>
      </c>
      <c r="H2364" t="s">
        <v>48</v>
      </c>
      <c r="I2364" t="s">
        <v>25</v>
      </c>
      <c r="J2364" t="s">
        <v>67</v>
      </c>
      <c r="K2364" t="s">
        <v>27</v>
      </c>
      <c r="L2364" t="s">
        <v>28</v>
      </c>
      <c r="M2364" s="4">
        <v>15</v>
      </c>
      <c r="N2364" s="4">
        <v>7</v>
      </c>
      <c r="O2364" t="s">
        <v>29</v>
      </c>
      <c r="P2364" t="s">
        <v>36</v>
      </c>
      <c r="Q2364" s="4">
        <v>383772</v>
      </c>
      <c r="R2364" s="4">
        <v>237687</v>
      </c>
      <c r="S2364" s="4">
        <f>Table1[[#This Row],[Service_Revenue]]-Table1[[#This Row],[Service_Cost]]</f>
        <v>146085</v>
      </c>
      <c r="T2364" s="4">
        <v>1</v>
      </c>
      <c r="U2364" s="4">
        <f>IF(AND(Table1[[#This Row],[Rework_Flag]]="Yes",Table1[[#This Row],[Warranty_Claim]]="No"),Table1[[#This Row],[Service_Revenue]],0)</f>
        <v>383772</v>
      </c>
      <c r="V2364" s="4">
        <f>IF(Table1[[#This Row],[Warranty_Claim]]="Yes",1,0)</f>
        <v>0</v>
      </c>
      <c r="W2364" s="4">
        <f>IF(Table1[[#This Row],[Rework_Flag]]="No",1,0)</f>
        <v>0</v>
      </c>
      <c r="X2364" s="4">
        <f>IF(Table1[[#This Row],[Rework_Flag]]="Yes",1,0)</f>
        <v>1</v>
      </c>
      <c r="Y2364" s="4">
        <v>1</v>
      </c>
      <c r="Z2364" s="4" t="str">
        <f>IF(Table1[[#This Row],[TAT_Days]]&gt;Table1[[#This Row],[SLA_TAT]],"Yes","No")</f>
        <v>Yes</v>
      </c>
      <c r="AA2364" s="4" t="str" cm="1">
        <f t="array" ref="AA2364">_xlfn.IFS(Table1[[#This Row],[Customer_Satisfaction]]&lt;=2,"Poor",Table1[[#This Row],[Customer_Satisfaction]]=3,"Neutral",Table1[[#This Row],[Customer_Satisfaction]]=4,"Good",Table1[[#This Row],[Customer_Satisfaction]]=5,"Good")</f>
        <v>Poor</v>
      </c>
    </row>
    <row r="2365" spans="1:27" x14ac:dyDescent="0.35">
      <c r="A2365">
        <v>22363</v>
      </c>
      <c r="B2365" s="1">
        <v>45415</v>
      </c>
      <c r="C2365" t="s">
        <v>19</v>
      </c>
      <c r="D2365" t="s">
        <v>45</v>
      </c>
      <c r="E2365" t="s">
        <v>76</v>
      </c>
      <c r="F2365" t="s">
        <v>22</v>
      </c>
      <c r="G2365" t="s">
        <v>33</v>
      </c>
      <c r="H2365" t="s">
        <v>34</v>
      </c>
      <c r="I2365" t="s">
        <v>25</v>
      </c>
      <c r="J2365" t="s">
        <v>43</v>
      </c>
      <c r="K2365" t="s">
        <v>27</v>
      </c>
      <c r="L2365" t="s">
        <v>49</v>
      </c>
      <c r="M2365" s="4">
        <v>22</v>
      </c>
      <c r="N2365" s="4">
        <v>7</v>
      </c>
      <c r="O2365" t="s">
        <v>29</v>
      </c>
      <c r="P2365" t="s">
        <v>36</v>
      </c>
      <c r="Q2365" s="4">
        <v>488109</v>
      </c>
      <c r="R2365" s="4">
        <v>361829</v>
      </c>
      <c r="S2365" s="4">
        <f>Table1[[#This Row],[Service_Revenue]]-Table1[[#This Row],[Service_Cost]]</f>
        <v>126280</v>
      </c>
      <c r="T2365" s="4">
        <v>1</v>
      </c>
      <c r="U2365" s="4">
        <f>IF(AND(Table1[[#This Row],[Rework_Flag]]="Yes",Table1[[#This Row],[Warranty_Claim]]="No"),Table1[[#This Row],[Service_Revenue]],0)</f>
        <v>488109</v>
      </c>
      <c r="V2365" s="4">
        <f>IF(Table1[[#This Row],[Warranty_Claim]]="Yes",1,0)</f>
        <v>0</v>
      </c>
      <c r="W2365" s="4">
        <f>IF(Table1[[#This Row],[Rework_Flag]]="No",1,0)</f>
        <v>0</v>
      </c>
      <c r="X2365" s="4">
        <f>IF(Table1[[#This Row],[Rework_Flag]]="Yes",1,0)</f>
        <v>1</v>
      </c>
      <c r="Y2365" s="4">
        <v>1</v>
      </c>
      <c r="Z2365" s="4" t="str">
        <f>IF(Table1[[#This Row],[TAT_Days]]&gt;Table1[[#This Row],[SLA_TAT]],"Yes","No")</f>
        <v>Yes</v>
      </c>
      <c r="AA2365" s="4" t="str" cm="1">
        <f t="array" ref="AA2365">_xlfn.IFS(Table1[[#This Row],[Customer_Satisfaction]]&lt;=2,"Poor",Table1[[#This Row],[Customer_Satisfaction]]=3,"Neutral",Table1[[#This Row],[Customer_Satisfaction]]=4,"Good",Table1[[#This Row],[Customer_Satisfaction]]=5,"Good")</f>
        <v>Poor</v>
      </c>
    </row>
    <row r="2366" spans="1:27" x14ac:dyDescent="0.35">
      <c r="A2366">
        <v>22364</v>
      </c>
      <c r="B2366" s="1">
        <v>45299</v>
      </c>
      <c r="C2366" t="s">
        <v>50</v>
      </c>
      <c r="D2366" t="s">
        <v>51</v>
      </c>
      <c r="E2366" t="s">
        <v>113</v>
      </c>
      <c r="F2366" t="s">
        <v>22</v>
      </c>
      <c r="G2366" t="s">
        <v>47</v>
      </c>
      <c r="H2366" t="s">
        <v>48</v>
      </c>
      <c r="I2366" t="s">
        <v>25</v>
      </c>
      <c r="J2366" t="s">
        <v>35</v>
      </c>
      <c r="K2366" t="s">
        <v>27</v>
      </c>
      <c r="L2366" t="s">
        <v>49</v>
      </c>
      <c r="M2366" s="4">
        <v>15</v>
      </c>
      <c r="N2366" s="4">
        <v>7</v>
      </c>
      <c r="O2366" t="s">
        <v>29</v>
      </c>
      <c r="P2366" t="s">
        <v>36</v>
      </c>
      <c r="Q2366" s="4">
        <v>91212</v>
      </c>
      <c r="R2366" s="4">
        <v>46588</v>
      </c>
      <c r="S2366" s="4">
        <f>Table1[[#This Row],[Service_Revenue]]-Table1[[#This Row],[Service_Cost]]</f>
        <v>44624</v>
      </c>
      <c r="T2366" s="4">
        <v>1</v>
      </c>
      <c r="U2366" s="4">
        <f>IF(AND(Table1[[#This Row],[Rework_Flag]]="Yes",Table1[[#This Row],[Warranty_Claim]]="No"),Table1[[#This Row],[Service_Revenue]],0)</f>
        <v>91212</v>
      </c>
      <c r="V2366" s="4">
        <f>IF(Table1[[#This Row],[Warranty_Claim]]="Yes",1,0)</f>
        <v>0</v>
      </c>
      <c r="W2366" s="4">
        <f>IF(Table1[[#This Row],[Rework_Flag]]="No",1,0)</f>
        <v>0</v>
      </c>
      <c r="X2366" s="4">
        <f>IF(Table1[[#This Row],[Rework_Flag]]="Yes",1,0)</f>
        <v>1</v>
      </c>
      <c r="Y2366" s="4">
        <v>1</v>
      </c>
      <c r="Z2366" s="4" t="str">
        <f>IF(Table1[[#This Row],[TAT_Days]]&gt;Table1[[#This Row],[SLA_TAT]],"Yes","No")</f>
        <v>Yes</v>
      </c>
      <c r="AA2366" s="4" t="str" cm="1">
        <f t="array" ref="AA2366">_xlfn.IFS(Table1[[#This Row],[Customer_Satisfaction]]&lt;=2,"Poor",Table1[[#This Row],[Customer_Satisfaction]]=3,"Neutral",Table1[[#This Row],[Customer_Satisfaction]]=4,"Good",Table1[[#This Row],[Customer_Satisfaction]]=5,"Good")</f>
        <v>Poor</v>
      </c>
    </row>
    <row r="2367" spans="1:27" x14ac:dyDescent="0.35">
      <c r="A2367">
        <v>22365</v>
      </c>
      <c r="B2367" s="1">
        <v>45382</v>
      </c>
      <c r="C2367" t="s">
        <v>50</v>
      </c>
      <c r="D2367" t="s">
        <v>56</v>
      </c>
      <c r="E2367" t="s">
        <v>88</v>
      </c>
      <c r="F2367" t="s">
        <v>40</v>
      </c>
      <c r="G2367" t="s">
        <v>33</v>
      </c>
      <c r="H2367" t="s">
        <v>34</v>
      </c>
      <c r="I2367" t="s">
        <v>25</v>
      </c>
      <c r="J2367" t="s">
        <v>43</v>
      </c>
      <c r="K2367" t="s">
        <v>61</v>
      </c>
      <c r="L2367" t="s">
        <v>28</v>
      </c>
      <c r="M2367" s="4">
        <v>14</v>
      </c>
      <c r="N2367" s="4">
        <v>7</v>
      </c>
      <c r="O2367" t="s">
        <v>36</v>
      </c>
      <c r="P2367" t="s">
        <v>29</v>
      </c>
      <c r="Q2367" s="4">
        <v>379152</v>
      </c>
      <c r="R2367" s="4">
        <v>245908</v>
      </c>
      <c r="S2367" s="4">
        <f>Table1[[#This Row],[Service_Revenue]]-Table1[[#This Row],[Service_Cost]]</f>
        <v>133244</v>
      </c>
      <c r="T2367" s="4">
        <v>3</v>
      </c>
      <c r="U2367" s="4">
        <f>IF(AND(Table1[[#This Row],[Rework_Flag]]="Yes",Table1[[#This Row],[Warranty_Claim]]="No"),Table1[[#This Row],[Service_Revenue]],0)</f>
        <v>0</v>
      </c>
      <c r="V2367" s="4">
        <f>IF(Table1[[#This Row],[Warranty_Claim]]="Yes",1,0)</f>
        <v>1</v>
      </c>
      <c r="W2367" s="4">
        <f>IF(Table1[[#This Row],[Rework_Flag]]="No",1,0)</f>
        <v>1</v>
      </c>
      <c r="X2367" s="4">
        <f>IF(Table1[[#This Row],[Rework_Flag]]="Yes",1,0)</f>
        <v>0</v>
      </c>
      <c r="Y2367" s="4">
        <v>1</v>
      </c>
      <c r="Z2367" s="4" t="str">
        <f>IF(Table1[[#This Row],[TAT_Days]]&gt;Table1[[#This Row],[SLA_TAT]],"Yes","No")</f>
        <v>Yes</v>
      </c>
      <c r="AA2367" s="4" t="str" cm="1">
        <f t="array" ref="AA2367">_xlfn.IFS(Table1[[#This Row],[Customer_Satisfaction]]&lt;=2,"Poor",Table1[[#This Row],[Customer_Satisfaction]]=3,"Neutral",Table1[[#This Row],[Customer_Satisfaction]]=4,"Good",Table1[[#This Row],[Customer_Satisfaction]]=5,"Good")</f>
        <v>Neutral</v>
      </c>
    </row>
    <row r="2368" spans="1:27" x14ac:dyDescent="0.35">
      <c r="A2368">
        <v>22366</v>
      </c>
      <c r="B2368" s="1">
        <v>45300</v>
      </c>
      <c r="C2368" t="s">
        <v>37</v>
      </c>
      <c r="D2368" t="s">
        <v>70</v>
      </c>
      <c r="E2368" t="s">
        <v>71</v>
      </c>
      <c r="F2368" t="s">
        <v>22</v>
      </c>
      <c r="G2368" t="s">
        <v>54</v>
      </c>
      <c r="H2368" t="s">
        <v>42</v>
      </c>
      <c r="I2368" t="s">
        <v>55</v>
      </c>
      <c r="J2368" t="s">
        <v>67</v>
      </c>
      <c r="K2368" t="s">
        <v>27</v>
      </c>
      <c r="L2368" t="s">
        <v>49</v>
      </c>
      <c r="M2368" s="4">
        <v>24</v>
      </c>
      <c r="N2368" s="4">
        <v>7</v>
      </c>
      <c r="O2368" t="s">
        <v>29</v>
      </c>
      <c r="P2368" t="s">
        <v>36</v>
      </c>
      <c r="Q2368" s="4">
        <v>579687</v>
      </c>
      <c r="R2368" s="4">
        <v>363928</v>
      </c>
      <c r="S2368" s="4">
        <f>Table1[[#This Row],[Service_Revenue]]-Table1[[#This Row],[Service_Cost]]</f>
        <v>215759</v>
      </c>
      <c r="T2368" s="4">
        <v>1</v>
      </c>
      <c r="U2368" s="4">
        <f>IF(AND(Table1[[#This Row],[Rework_Flag]]="Yes",Table1[[#This Row],[Warranty_Claim]]="No"),Table1[[#This Row],[Service_Revenue]],0)</f>
        <v>579687</v>
      </c>
      <c r="V2368" s="4">
        <f>IF(Table1[[#This Row],[Warranty_Claim]]="Yes",1,0)</f>
        <v>0</v>
      </c>
      <c r="W2368" s="4">
        <f>IF(Table1[[#This Row],[Rework_Flag]]="No",1,0)</f>
        <v>0</v>
      </c>
      <c r="X2368" s="4">
        <f>IF(Table1[[#This Row],[Rework_Flag]]="Yes",1,0)</f>
        <v>1</v>
      </c>
      <c r="Y2368" s="4">
        <v>1</v>
      </c>
      <c r="Z2368" s="4" t="str">
        <f>IF(Table1[[#This Row],[TAT_Days]]&gt;Table1[[#This Row],[SLA_TAT]],"Yes","No")</f>
        <v>Yes</v>
      </c>
      <c r="AA2368" s="4" t="str" cm="1">
        <f t="array" ref="AA2368">_xlfn.IFS(Table1[[#This Row],[Customer_Satisfaction]]&lt;=2,"Poor",Table1[[#This Row],[Customer_Satisfaction]]=3,"Neutral",Table1[[#This Row],[Customer_Satisfaction]]=4,"Good",Table1[[#This Row],[Customer_Satisfaction]]=5,"Good")</f>
        <v>Poor</v>
      </c>
    </row>
    <row r="2369" spans="1:27" x14ac:dyDescent="0.35">
      <c r="A2369">
        <v>22367</v>
      </c>
      <c r="B2369" s="1">
        <v>45438</v>
      </c>
      <c r="C2369" t="s">
        <v>37</v>
      </c>
      <c r="D2369" t="s">
        <v>64</v>
      </c>
      <c r="E2369" t="s">
        <v>72</v>
      </c>
      <c r="F2369" t="s">
        <v>53</v>
      </c>
      <c r="G2369" t="s">
        <v>63</v>
      </c>
      <c r="H2369" t="s">
        <v>24</v>
      </c>
      <c r="I2369" t="s">
        <v>55</v>
      </c>
      <c r="J2369" t="s">
        <v>67</v>
      </c>
      <c r="K2369" t="s">
        <v>27</v>
      </c>
      <c r="L2369" t="s">
        <v>28</v>
      </c>
      <c r="M2369" s="4">
        <v>24</v>
      </c>
      <c r="N2369" s="4">
        <v>7</v>
      </c>
      <c r="O2369" t="s">
        <v>29</v>
      </c>
      <c r="P2369" t="s">
        <v>29</v>
      </c>
      <c r="Q2369" s="4">
        <v>495896</v>
      </c>
      <c r="R2369" s="4">
        <v>391180</v>
      </c>
      <c r="S2369" s="4">
        <f>Table1[[#This Row],[Service_Revenue]]-Table1[[#This Row],[Service_Cost]]</f>
        <v>104716</v>
      </c>
      <c r="T2369" s="4">
        <v>1</v>
      </c>
      <c r="U2369" s="4">
        <f>IF(AND(Table1[[#This Row],[Rework_Flag]]="Yes",Table1[[#This Row],[Warranty_Claim]]="No"),Table1[[#This Row],[Service_Revenue]],0)</f>
        <v>0</v>
      </c>
      <c r="V2369" s="4">
        <f>IF(Table1[[#This Row],[Warranty_Claim]]="Yes",1,0)</f>
        <v>1</v>
      </c>
      <c r="W2369" s="4">
        <f>IF(Table1[[#This Row],[Rework_Flag]]="No",1,0)</f>
        <v>0</v>
      </c>
      <c r="X2369" s="4">
        <f>IF(Table1[[#This Row],[Rework_Flag]]="Yes",1,0)</f>
        <v>1</v>
      </c>
      <c r="Y2369" s="4">
        <v>1</v>
      </c>
      <c r="Z2369" s="4" t="str">
        <f>IF(Table1[[#This Row],[TAT_Days]]&gt;Table1[[#This Row],[SLA_TAT]],"Yes","No")</f>
        <v>Yes</v>
      </c>
      <c r="AA2369" s="4" t="str" cm="1">
        <f t="array" ref="AA2369">_xlfn.IFS(Table1[[#This Row],[Customer_Satisfaction]]&lt;=2,"Poor",Table1[[#This Row],[Customer_Satisfaction]]=3,"Neutral",Table1[[#This Row],[Customer_Satisfaction]]=4,"Good",Table1[[#This Row],[Customer_Satisfaction]]=5,"Good")</f>
        <v>Poor</v>
      </c>
    </row>
    <row r="2370" spans="1:27" x14ac:dyDescent="0.35">
      <c r="A2370">
        <v>22368</v>
      </c>
      <c r="B2370" s="1">
        <v>45303</v>
      </c>
      <c r="C2370" t="s">
        <v>50</v>
      </c>
      <c r="D2370" t="s">
        <v>56</v>
      </c>
      <c r="E2370" t="s">
        <v>88</v>
      </c>
      <c r="F2370" t="s">
        <v>40</v>
      </c>
      <c r="G2370" t="s">
        <v>63</v>
      </c>
      <c r="H2370" t="s">
        <v>24</v>
      </c>
      <c r="I2370" t="s">
        <v>55</v>
      </c>
      <c r="J2370" t="s">
        <v>26</v>
      </c>
      <c r="K2370" t="s">
        <v>61</v>
      </c>
      <c r="L2370" t="s">
        <v>49</v>
      </c>
      <c r="M2370" s="4">
        <v>16</v>
      </c>
      <c r="N2370" s="4">
        <v>7</v>
      </c>
      <c r="O2370" t="s">
        <v>36</v>
      </c>
      <c r="P2370" t="s">
        <v>36</v>
      </c>
      <c r="Q2370" s="4">
        <v>521686</v>
      </c>
      <c r="R2370" s="4">
        <v>423199</v>
      </c>
      <c r="S2370" s="4">
        <f>Table1[[#This Row],[Service_Revenue]]-Table1[[#This Row],[Service_Cost]]</f>
        <v>98487</v>
      </c>
      <c r="T2370" s="4">
        <v>2</v>
      </c>
      <c r="U2370" s="4">
        <f>IF(AND(Table1[[#This Row],[Rework_Flag]]="Yes",Table1[[#This Row],[Warranty_Claim]]="No"),Table1[[#This Row],[Service_Revenue]],0)</f>
        <v>0</v>
      </c>
      <c r="V2370" s="4">
        <f>IF(Table1[[#This Row],[Warranty_Claim]]="Yes",1,0)</f>
        <v>0</v>
      </c>
      <c r="W2370" s="4">
        <f>IF(Table1[[#This Row],[Rework_Flag]]="No",1,0)</f>
        <v>1</v>
      </c>
      <c r="X2370" s="4">
        <f>IF(Table1[[#This Row],[Rework_Flag]]="Yes",1,0)</f>
        <v>0</v>
      </c>
      <c r="Y2370" s="4">
        <v>1</v>
      </c>
      <c r="Z2370" s="4" t="str">
        <f>IF(Table1[[#This Row],[TAT_Days]]&gt;Table1[[#This Row],[SLA_TAT]],"Yes","No")</f>
        <v>Yes</v>
      </c>
      <c r="AA2370" s="4" t="str" cm="1">
        <f t="array" ref="AA2370">_xlfn.IFS(Table1[[#This Row],[Customer_Satisfaction]]&lt;=2,"Poor",Table1[[#This Row],[Customer_Satisfaction]]=3,"Neutral",Table1[[#This Row],[Customer_Satisfaction]]=4,"Good",Table1[[#This Row],[Customer_Satisfaction]]=5,"Good")</f>
        <v>Poor</v>
      </c>
    </row>
    <row r="2371" spans="1:27" x14ac:dyDescent="0.35">
      <c r="A2371">
        <v>22369</v>
      </c>
      <c r="B2371" s="1">
        <v>45335</v>
      </c>
      <c r="C2371" t="s">
        <v>19</v>
      </c>
      <c r="D2371" t="s">
        <v>20</v>
      </c>
      <c r="E2371" t="s">
        <v>89</v>
      </c>
      <c r="F2371" t="s">
        <v>22</v>
      </c>
      <c r="G2371" t="s">
        <v>23</v>
      </c>
      <c r="H2371" t="s">
        <v>24</v>
      </c>
      <c r="I2371" t="s">
        <v>25</v>
      </c>
      <c r="J2371" t="s">
        <v>67</v>
      </c>
      <c r="K2371" t="s">
        <v>61</v>
      </c>
      <c r="L2371" t="s">
        <v>28</v>
      </c>
      <c r="M2371" s="4">
        <v>22</v>
      </c>
      <c r="N2371" s="4">
        <v>7</v>
      </c>
      <c r="O2371" t="s">
        <v>29</v>
      </c>
      <c r="P2371" t="s">
        <v>36</v>
      </c>
      <c r="Q2371" s="4">
        <v>282079</v>
      </c>
      <c r="R2371" s="4">
        <v>206593</v>
      </c>
      <c r="S2371" s="4">
        <f>Table1[[#This Row],[Service_Revenue]]-Table1[[#This Row],[Service_Cost]]</f>
        <v>75486</v>
      </c>
      <c r="T2371" s="4">
        <v>1</v>
      </c>
      <c r="U2371" s="4">
        <f>IF(AND(Table1[[#This Row],[Rework_Flag]]="Yes",Table1[[#This Row],[Warranty_Claim]]="No"),Table1[[#This Row],[Service_Revenue]],0)</f>
        <v>282079</v>
      </c>
      <c r="V2371" s="4">
        <f>IF(Table1[[#This Row],[Warranty_Claim]]="Yes",1,0)</f>
        <v>0</v>
      </c>
      <c r="W2371" s="4">
        <f>IF(Table1[[#This Row],[Rework_Flag]]="No",1,0)</f>
        <v>0</v>
      </c>
      <c r="X2371" s="4">
        <f>IF(Table1[[#This Row],[Rework_Flag]]="Yes",1,0)</f>
        <v>1</v>
      </c>
      <c r="Y2371" s="4">
        <v>1</v>
      </c>
      <c r="Z2371" s="4" t="str">
        <f>IF(Table1[[#This Row],[TAT_Days]]&gt;Table1[[#This Row],[SLA_TAT]],"Yes","No")</f>
        <v>Yes</v>
      </c>
      <c r="AA2371" s="4" t="str" cm="1">
        <f t="array" ref="AA2371">_xlfn.IFS(Table1[[#This Row],[Customer_Satisfaction]]&lt;=2,"Poor",Table1[[#This Row],[Customer_Satisfaction]]=3,"Neutral",Table1[[#This Row],[Customer_Satisfaction]]=4,"Good",Table1[[#This Row],[Customer_Satisfaction]]=5,"Good")</f>
        <v>Poor</v>
      </c>
    </row>
    <row r="2372" spans="1:27" x14ac:dyDescent="0.35">
      <c r="A2372">
        <v>22370</v>
      </c>
      <c r="B2372" s="1">
        <v>45418</v>
      </c>
      <c r="C2372" t="s">
        <v>37</v>
      </c>
      <c r="D2372" t="s">
        <v>70</v>
      </c>
      <c r="E2372" t="s">
        <v>100</v>
      </c>
      <c r="F2372" t="s">
        <v>53</v>
      </c>
      <c r="G2372" t="s">
        <v>54</v>
      </c>
      <c r="H2372" t="s">
        <v>42</v>
      </c>
      <c r="I2372" t="s">
        <v>55</v>
      </c>
      <c r="J2372" t="s">
        <v>58</v>
      </c>
      <c r="K2372" t="s">
        <v>44</v>
      </c>
      <c r="L2372" t="s">
        <v>28</v>
      </c>
      <c r="M2372" s="4">
        <v>8</v>
      </c>
      <c r="N2372" s="4">
        <v>7</v>
      </c>
      <c r="O2372" t="s">
        <v>29</v>
      </c>
      <c r="P2372" t="s">
        <v>36</v>
      </c>
      <c r="Q2372" s="4">
        <v>306942</v>
      </c>
      <c r="R2372" s="4">
        <v>188002</v>
      </c>
      <c r="S2372" s="4">
        <f>Table1[[#This Row],[Service_Revenue]]-Table1[[#This Row],[Service_Cost]]</f>
        <v>118940</v>
      </c>
      <c r="T2372" s="4">
        <v>3</v>
      </c>
      <c r="U2372" s="4">
        <f>IF(AND(Table1[[#This Row],[Rework_Flag]]="Yes",Table1[[#This Row],[Warranty_Claim]]="No"),Table1[[#This Row],[Service_Revenue]],0)</f>
        <v>306942</v>
      </c>
      <c r="V2372" s="4">
        <f>IF(Table1[[#This Row],[Warranty_Claim]]="Yes",1,0)</f>
        <v>0</v>
      </c>
      <c r="W2372" s="4">
        <f>IF(Table1[[#This Row],[Rework_Flag]]="No",1,0)</f>
        <v>0</v>
      </c>
      <c r="X2372" s="4">
        <f>IF(Table1[[#This Row],[Rework_Flag]]="Yes",1,0)</f>
        <v>1</v>
      </c>
      <c r="Y2372" s="4">
        <v>1</v>
      </c>
      <c r="Z2372" s="4" t="str">
        <f>IF(Table1[[#This Row],[TAT_Days]]&gt;Table1[[#This Row],[SLA_TAT]],"Yes","No")</f>
        <v>Yes</v>
      </c>
      <c r="AA2372" s="4" t="str" cm="1">
        <f t="array" ref="AA2372">_xlfn.IFS(Table1[[#This Row],[Customer_Satisfaction]]&lt;=2,"Poor",Table1[[#This Row],[Customer_Satisfaction]]=3,"Neutral",Table1[[#This Row],[Customer_Satisfaction]]=4,"Good",Table1[[#This Row],[Customer_Satisfaction]]=5,"Good")</f>
        <v>Neutral</v>
      </c>
    </row>
    <row r="2373" spans="1:27" x14ac:dyDescent="0.35">
      <c r="A2373">
        <v>22371</v>
      </c>
      <c r="B2373" s="1">
        <v>45440</v>
      </c>
      <c r="C2373" t="s">
        <v>30</v>
      </c>
      <c r="D2373" t="s">
        <v>59</v>
      </c>
      <c r="E2373" t="s">
        <v>78</v>
      </c>
      <c r="F2373" t="s">
        <v>53</v>
      </c>
      <c r="G2373" t="s">
        <v>41</v>
      </c>
      <c r="H2373" t="s">
        <v>42</v>
      </c>
      <c r="I2373" t="s">
        <v>55</v>
      </c>
      <c r="J2373" t="s">
        <v>26</v>
      </c>
      <c r="K2373" t="s">
        <v>61</v>
      </c>
      <c r="L2373" t="s">
        <v>49</v>
      </c>
      <c r="M2373" s="4">
        <v>25</v>
      </c>
      <c r="N2373" s="4">
        <v>7</v>
      </c>
      <c r="O2373" t="s">
        <v>36</v>
      </c>
      <c r="P2373" t="s">
        <v>36</v>
      </c>
      <c r="Q2373" s="4">
        <v>207024</v>
      </c>
      <c r="R2373" s="4">
        <v>157594</v>
      </c>
      <c r="S2373" s="4">
        <f>Table1[[#This Row],[Service_Revenue]]-Table1[[#This Row],[Service_Cost]]</f>
        <v>49430</v>
      </c>
      <c r="T2373" s="4">
        <v>1</v>
      </c>
      <c r="U2373" s="4">
        <f>IF(AND(Table1[[#This Row],[Rework_Flag]]="Yes",Table1[[#This Row],[Warranty_Claim]]="No"),Table1[[#This Row],[Service_Revenue]],0)</f>
        <v>0</v>
      </c>
      <c r="V2373" s="4">
        <f>IF(Table1[[#This Row],[Warranty_Claim]]="Yes",1,0)</f>
        <v>0</v>
      </c>
      <c r="W2373" s="4">
        <f>IF(Table1[[#This Row],[Rework_Flag]]="No",1,0)</f>
        <v>1</v>
      </c>
      <c r="X2373" s="4">
        <f>IF(Table1[[#This Row],[Rework_Flag]]="Yes",1,0)</f>
        <v>0</v>
      </c>
      <c r="Y2373" s="4">
        <v>1</v>
      </c>
      <c r="Z2373" s="4" t="str">
        <f>IF(Table1[[#This Row],[TAT_Days]]&gt;Table1[[#This Row],[SLA_TAT]],"Yes","No")</f>
        <v>Yes</v>
      </c>
      <c r="AA2373" s="4" t="str" cm="1">
        <f t="array" ref="AA2373">_xlfn.IFS(Table1[[#This Row],[Customer_Satisfaction]]&lt;=2,"Poor",Table1[[#This Row],[Customer_Satisfaction]]=3,"Neutral",Table1[[#This Row],[Customer_Satisfaction]]=4,"Good",Table1[[#This Row],[Customer_Satisfaction]]=5,"Good")</f>
        <v>Poor</v>
      </c>
    </row>
    <row r="2374" spans="1:27" x14ac:dyDescent="0.35">
      <c r="A2374">
        <v>22372</v>
      </c>
      <c r="B2374" s="1">
        <v>45408</v>
      </c>
      <c r="C2374" t="s">
        <v>50</v>
      </c>
      <c r="D2374" t="s">
        <v>51</v>
      </c>
      <c r="E2374" t="s">
        <v>75</v>
      </c>
      <c r="F2374" t="s">
        <v>40</v>
      </c>
      <c r="G2374" t="s">
        <v>74</v>
      </c>
      <c r="H2374" t="s">
        <v>34</v>
      </c>
      <c r="I2374" t="s">
        <v>55</v>
      </c>
      <c r="J2374" t="s">
        <v>26</v>
      </c>
      <c r="K2374" t="s">
        <v>44</v>
      </c>
      <c r="L2374" t="s">
        <v>28</v>
      </c>
      <c r="M2374" s="4">
        <v>19</v>
      </c>
      <c r="N2374" s="4">
        <v>7</v>
      </c>
      <c r="O2374" t="s">
        <v>29</v>
      </c>
      <c r="P2374" t="s">
        <v>29</v>
      </c>
      <c r="Q2374" s="4">
        <v>471156</v>
      </c>
      <c r="R2374" s="4">
        <v>318389</v>
      </c>
      <c r="S2374" s="4">
        <f>Table1[[#This Row],[Service_Revenue]]-Table1[[#This Row],[Service_Cost]]</f>
        <v>152767</v>
      </c>
      <c r="T2374" s="4">
        <v>1</v>
      </c>
      <c r="U2374" s="4">
        <f>IF(AND(Table1[[#This Row],[Rework_Flag]]="Yes",Table1[[#This Row],[Warranty_Claim]]="No"),Table1[[#This Row],[Service_Revenue]],0)</f>
        <v>0</v>
      </c>
      <c r="V2374" s="4">
        <f>IF(Table1[[#This Row],[Warranty_Claim]]="Yes",1,0)</f>
        <v>1</v>
      </c>
      <c r="W2374" s="4">
        <f>IF(Table1[[#This Row],[Rework_Flag]]="No",1,0)</f>
        <v>0</v>
      </c>
      <c r="X2374" s="4">
        <f>IF(Table1[[#This Row],[Rework_Flag]]="Yes",1,0)</f>
        <v>1</v>
      </c>
      <c r="Y2374" s="4">
        <v>1</v>
      </c>
      <c r="Z2374" s="4" t="str">
        <f>IF(Table1[[#This Row],[TAT_Days]]&gt;Table1[[#This Row],[SLA_TAT]],"Yes","No")</f>
        <v>Yes</v>
      </c>
      <c r="AA2374" s="4" t="str" cm="1">
        <f t="array" ref="AA2374">_xlfn.IFS(Table1[[#This Row],[Customer_Satisfaction]]&lt;=2,"Poor",Table1[[#This Row],[Customer_Satisfaction]]=3,"Neutral",Table1[[#This Row],[Customer_Satisfaction]]=4,"Good",Table1[[#This Row],[Customer_Satisfaction]]=5,"Good")</f>
        <v>Poor</v>
      </c>
    </row>
    <row r="2375" spans="1:27" x14ac:dyDescent="0.35">
      <c r="A2375">
        <v>22373</v>
      </c>
      <c r="B2375" s="1">
        <v>45330</v>
      </c>
      <c r="C2375" t="s">
        <v>19</v>
      </c>
      <c r="D2375" t="s">
        <v>96</v>
      </c>
      <c r="E2375" t="s">
        <v>108</v>
      </c>
      <c r="F2375" t="s">
        <v>22</v>
      </c>
      <c r="G2375" t="s">
        <v>33</v>
      </c>
      <c r="H2375" t="s">
        <v>34</v>
      </c>
      <c r="I2375" t="s">
        <v>25</v>
      </c>
      <c r="J2375" t="s">
        <v>43</v>
      </c>
      <c r="K2375" t="s">
        <v>27</v>
      </c>
      <c r="L2375" t="s">
        <v>28</v>
      </c>
      <c r="M2375" s="4">
        <v>3</v>
      </c>
      <c r="N2375" s="4">
        <v>7</v>
      </c>
      <c r="O2375" t="s">
        <v>29</v>
      </c>
      <c r="P2375" t="s">
        <v>36</v>
      </c>
      <c r="Q2375" s="4">
        <v>281624</v>
      </c>
      <c r="R2375" s="4">
        <v>151468</v>
      </c>
      <c r="S2375" s="4">
        <f>Table1[[#This Row],[Service_Revenue]]-Table1[[#This Row],[Service_Cost]]</f>
        <v>130156</v>
      </c>
      <c r="T2375" s="4">
        <v>4</v>
      </c>
      <c r="U2375" s="4">
        <f>IF(AND(Table1[[#This Row],[Rework_Flag]]="Yes",Table1[[#This Row],[Warranty_Claim]]="No"),Table1[[#This Row],[Service_Revenue]],0)</f>
        <v>281624</v>
      </c>
      <c r="V2375" s="4">
        <f>IF(Table1[[#This Row],[Warranty_Claim]]="Yes",1,0)</f>
        <v>0</v>
      </c>
      <c r="W2375" s="4">
        <f>IF(Table1[[#This Row],[Rework_Flag]]="No",1,0)</f>
        <v>0</v>
      </c>
      <c r="X2375" s="4">
        <f>IF(Table1[[#This Row],[Rework_Flag]]="Yes",1,0)</f>
        <v>1</v>
      </c>
      <c r="Y2375" s="4">
        <v>1</v>
      </c>
      <c r="Z2375" s="4" t="str">
        <f>IF(Table1[[#This Row],[TAT_Days]]&gt;Table1[[#This Row],[SLA_TAT]],"Yes","No")</f>
        <v>No</v>
      </c>
      <c r="AA2375" s="4" t="str" cm="1">
        <f t="array" ref="AA2375">_xlfn.IFS(Table1[[#This Row],[Customer_Satisfaction]]&lt;=2,"Poor",Table1[[#This Row],[Customer_Satisfaction]]=3,"Neutral",Table1[[#This Row],[Customer_Satisfaction]]=4,"Good",Table1[[#This Row],[Customer_Satisfaction]]=5,"Good")</f>
        <v>Good</v>
      </c>
    </row>
    <row r="2376" spans="1:27" x14ac:dyDescent="0.35">
      <c r="A2376">
        <v>22374</v>
      </c>
      <c r="B2376" s="1">
        <v>45433</v>
      </c>
      <c r="C2376" t="s">
        <v>30</v>
      </c>
      <c r="D2376" t="s">
        <v>83</v>
      </c>
      <c r="E2376" t="s">
        <v>90</v>
      </c>
      <c r="F2376" t="s">
        <v>22</v>
      </c>
      <c r="G2376" t="s">
        <v>47</v>
      </c>
      <c r="H2376" t="s">
        <v>48</v>
      </c>
      <c r="I2376" t="s">
        <v>55</v>
      </c>
      <c r="J2376" t="s">
        <v>67</v>
      </c>
      <c r="K2376" t="s">
        <v>61</v>
      </c>
      <c r="L2376" t="s">
        <v>49</v>
      </c>
      <c r="M2376" s="4">
        <v>22</v>
      </c>
      <c r="N2376" s="4">
        <v>7</v>
      </c>
      <c r="O2376" t="s">
        <v>29</v>
      </c>
      <c r="P2376" t="s">
        <v>36</v>
      </c>
      <c r="Q2376" s="4">
        <v>292110</v>
      </c>
      <c r="R2376" s="4">
        <v>221752</v>
      </c>
      <c r="S2376" s="4">
        <f>Table1[[#This Row],[Service_Revenue]]-Table1[[#This Row],[Service_Cost]]</f>
        <v>70358</v>
      </c>
      <c r="T2376" s="4">
        <v>1</v>
      </c>
      <c r="U2376" s="4">
        <f>IF(AND(Table1[[#This Row],[Rework_Flag]]="Yes",Table1[[#This Row],[Warranty_Claim]]="No"),Table1[[#This Row],[Service_Revenue]],0)</f>
        <v>292110</v>
      </c>
      <c r="V2376" s="4">
        <f>IF(Table1[[#This Row],[Warranty_Claim]]="Yes",1,0)</f>
        <v>0</v>
      </c>
      <c r="W2376" s="4">
        <f>IF(Table1[[#This Row],[Rework_Flag]]="No",1,0)</f>
        <v>0</v>
      </c>
      <c r="X2376" s="4">
        <f>IF(Table1[[#This Row],[Rework_Flag]]="Yes",1,0)</f>
        <v>1</v>
      </c>
      <c r="Y2376" s="4">
        <v>1</v>
      </c>
      <c r="Z2376" s="4" t="str">
        <f>IF(Table1[[#This Row],[TAT_Days]]&gt;Table1[[#This Row],[SLA_TAT]],"Yes","No")</f>
        <v>Yes</v>
      </c>
      <c r="AA2376" s="4" t="str" cm="1">
        <f t="array" ref="AA2376">_xlfn.IFS(Table1[[#This Row],[Customer_Satisfaction]]&lt;=2,"Poor",Table1[[#This Row],[Customer_Satisfaction]]=3,"Neutral",Table1[[#This Row],[Customer_Satisfaction]]=4,"Good",Table1[[#This Row],[Customer_Satisfaction]]=5,"Good")</f>
        <v>Poor</v>
      </c>
    </row>
    <row r="2377" spans="1:27" x14ac:dyDescent="0.35">
      <c r="A2377">
        <v>22375</v>
      </c>
      <c r="B2377" s="1">
        <v>45300</v>
      </c>
      <c r="C2377" t="s">
        <v>50</v>
      </c>
      <c r="D2377" t="s">
        <v>56</v>
      </c>
      <c r="E2377" t="s">
        <v>77</v>
      </c>
      <c r="F2377" t="s">
        <v>22</v>
      </c>
      <c r="G2377" t="s">
        <v>23</v>
      </c>
      <c r="H2377" t="s">
        <v>24</v>
      </c>
      <c r="I2377" t="s">
        <v>25</v>
      </c>
      <c r="J2377" t="s">
        <v>67</v>
      </c>
      <c r="K2377" t="s">
        <v>44</v>
      </c>
      <c r="L2377" t="s">
        <v>28</v>
      </c>
      <c r="M2377" s="4">
        <v>2</v>
      </c>
      <c r="N2377" s="4">
        <v>7</v>
      </c>
      <c r="O2377" t="s">
        <v>29</v>
      </c>
      <c r="P2377" t="s">
        <v>36</v>
      </c>
      <c r="Q2377" s="4">
        <v>480034</v>
      </c>
      <c r="R2377" s="4">
        <v>376699</v>
      </c>
      <c r="S2377" s="4">
        <f>Table1[[#This Row],[Service_Revenue]]-Table1[[#This Row],[Service_Cost]]</f>
        <v>103335</v>
      </c>
      <c r="T2377" s="4">
        <v>4</v>
      </c>
      <c r="U2377" s="4">
        <f>IF(AND(Table1[[#This Row],[Rework_Flag]]="Yes",Table1[[#This Row],[Warranty_Claim]]="No"),Table1[[#This Row],[Service_Revenue]],0)</f>
        <v>480034</v>
      </c>
      <c r="V2377" s="4">
        <f>IF(Table1[[#This Row],[Warranty_Claim]]="Yes",1,0)</f>
        <v>0</v>
      </c>
      <c r="W2377" s="4">
        <f>IF(Table1[[#This Row],[Rework_Flag]]="No",1,0)</f>
        <v>0</v>
      </c>
      <c r="X2377" s="4">
        <f>IF(Table1[[#This Row],[Rework_Flag]]="Yes",1,0)</f>
        <v>1</v>
      </c>
      <c r="Y2377" s="4">
        <v>1</v>
      </c>
      <c r="Z2377" s="4" t="str">
        <f>IF(Table1[[#This Row],[TAT_Days]]&gt;Table1[[#This Row],[SLA_TAT]],"Yes","No")</f>
        <v>No</v>
      </c>
      <c r="AA2377" s="4" t="str" cm="1">
        <f t="array" ref="AA2377">_xlfn.IFS(Table1[[#This Row],[Customer_Satisfaction]]&lt;=2,"Poor",Table1[[#This Row],[Customer_Satisfaction]]=3,"Neutral",Table1[[#This Row],[Customer_Satisfaction]]=4,"Good",Table1[[#This Row],[Customer_Satisfaction]]=5,"Good")</f>
        <v>Good</v>
      </c>
    </row>
    <row r="2378" spans="1:27" x14ac:dyDescent="0.35">
      <c r="A2378">
        <v>22376</v>
      </c>
      <c r="B2378" s="1">
        <v>45361</v>
      </c>
      <c r="C2378" t="s">
        <v>19</v>
      </c>
      <c r="D2378" t="s">
        <v>20</v>
      </c>
      <c r="E2378" t="s">
        <v>110</v>
      </c>
      <c r="F2378" t="s">
        <v>40</v>
      </c>
      <c r="G2378" t="s">
        <v>74</v>
      </c>
      <c r="H2378" t="s">
        <v>34</v>
      </c>
      <c r="I2378" t="s">
        <v>25</v>
      </c>
      <c r="J2378" t="s">
        <v>35</v>
      </c>
      <c r="K2378" t="s">
        <v>27</v>
      </c>
      <c r="L2378" t="s">
        <v>28</v>
      </c>
      <c r="M2378" s="4">
        <v>20</v>
      </c>
      <c r="N2378" s="4">
        <v>7</v>
      </c>
      <c r="O2378" t="s">
        <v>29</v>
      </c>
      <c r="P2378" t="s">
        <v>36</v>
      </c>
      <c r="Q2378" s="4">
        <v>153787</v>
      </c>
      <c r="R2378" s="4">
        <v>86278</v>
      </c>
      <c r="S2378" s="4">
        <f>Table1[[#This Row],[Service_Revenue]]-Table1[[#This Row],[Service_Cost]]</f>
        <v>67509</v>
      </c>
      <c r="T2378" s="4">
        <v>1</v>
      </c>
      <c r="U2378" s="4">
        <f>IF(AND(Table1[[#This Row],[Rework_Flag]]="Yes",Table1[[#This Row],[Warranty_Claim]]="No"),Table1[[#This Row],[Service_Revenue]],0)</f>
        <v>153787</v>
      </c>
      <c r="V2378" s="4">
        <f>IF(Table1[[#This Row],[Warranty_Claim]]="Yes",1,0)</f>
        <v>0</v>
      </c>
      <c r="W2378" s="4">
        <f>IF(Table1[[#This Row],[Rework_Flag]]="No",1,0)</f>
        <v>0</v>
      </c>
      <c r="X2378" s="4">
        <f>IF(Table1[[#This Row],[Rework_Flag]]="Yes",1,0)</f>
        <v>1</v>
      </c>
      <c r="Y2378" s="4">
        <v>1</v>
      </c>
      <c r="Z2378" s="4" t="str">
        <f>IF(Table1[[#This Row],[TAT_Days]]&gt;Table1[[#This Row],[SLA_TAT]],"Yes","No")</f>
        <v>Yes</v>
      </c>
      <c r="AA2378" s="4" t="str" cm="1">
        <f t="array" ref="AA2378">_xlfn.IFS(Table1[[#This Row],[Customer_Satisfaction]]&lt;=2,"Poor",Table1[[#This Row],[Customer_Satisfaction]]=3,"Neutral",Table1[[#This Row],[Customer_Satisfaction]]=4,"Good",Table1[[#This Row],[Customer_Satisfaction]]=5,"Good")</f>
        <v>Poor</v>
      </c>
    </row>
    <row r="2379" spans="1:27" x14ac:dyDescent="0.35">
      <c r="A2379">
        <v>22377</v>
      </c>
      <c r="B2379" s="1">
        <v>45358</v>
      </c>
      <c r="C2379" t="s">
        <v>30</v>
      </c>
      <c r="D2379" t="s">
        <v>59</v>
      </c>
      <c r="E2379" t="s">
        <v>60</v>
      </c>
      <c r="F2379" t="s">
        <v>22</v>
      </c>
      <c r="G2379" t="s">
        <v>23</v>
      </c>
      <c r="H2379" t="s">
        <v>24</v>
      </c>
      <c r="I2379" t="s">
        <v>55</v>
      </c>
      <c r="J2379" t="s">
        <v>67</v>
      </c>
      <c r="K2379" t="s">
        <v>27</v>
      </c>
      <c r="L2379" t="s">
        <v>49</v>
      </c>
      <c r="M2379" s="4">
        <v>2</v>
      </c>
      <c r="N2379" s="4">
        <v>7</v>
      </c>
      <c r="O2379" t="s">
        <v>36</v>
      </c>
      <c r="P2379" t="s">
        <v>36</v>
      </c>
      <c r="Q2379" s="4">
        <v>401670</v>
      </c>
      <c r="R2379" s="4">
        <v>261880</v>
      </c>
      <c r="S2379" s="4">
        <f>Table1[[#This Row],[Service_Revenue]]-Table1[[#This Row],[Service_Cost]]</f>
        <v>139790</v>
      </c>
      <c r="T2379" s="4">
        <v>5</v>
      </c>
      <c r="U2379" s="4">
        <f>IF(AND(Table1[[#This Row],[Rework_Flag]]="Yes",Table1[[#This Row],[Warranty_Claim]]="No"),Table1[[#This Row],[Service_Revenue]],0)</f>
        <v>0</v>
      </c>
      <c r="V2379" s="4">
        <f>IF(Table1[[#This Row],[Warranty_Claim]]="Yes",1,0)</f>
        <v>0</v>
      </c>
      <c r="W2379" s="4">
        <f>IF(Table1[[#This Row],[Rework_Flag]]="No",1,0)</f>
        <v>1</v>
      </c>
      <c r="X2379" s="4">
        <f>IF(Table1[[#This Row],[Rework_Flag]]="Yes",1,0)</f>
        <v>0</v>
      </c>
      <c r="Y2379" s="4">
        <v>1</v>
      </c>
      <c r="Z2379" s="4" t="str">
        <f>IF(Table1[[#This Row],[TAT_Days]]&gt;Table1[[#This Row],[SLA_TAT]],"Yes","No")</f>
        <v>No</v>
      </c>
      <c r="AA2379" s="4" t="str" cm="1">
        <f t="array" ref="AA2379">_xlfn.IFS(Table1[[#This Row],[Customer_Satisfaction]]&lt;=2,"Poor",Table1[[#This Row],[Customer_Satisfaction]]=3,"Neutral",Table1[[#This Row],[Customer_Satisfaction]]=4,"Good",Table1[[#This Row],[Customer_Satisfaction]]=5,"Good")</f>
        <v>Good</v>
      </c>
    </row>
    <row r="2380" spans="1:27" x14ac:dyDescent="0.35">
      <c r="A2380">
        <v>22378</v>
      </c>
      <c r="B2380" s="1">
        <v>45390</v>
      </c>
      <c r="C2380" t="s">
        <v>19</v>
      </c>
      <c r="D2380" t="s">
        <v>96</v>
      </c>
      <c r="E2380" t="s">
        <v>97</v>
      </c>
      <c r="F2380" t="s">
        <v>53</v>
      </c>
      <c r="G2380" t="s">
        <v>23</v>
      </c>
      <c r="H2380" t="s">
        <v>24</v>
      </c>
      <c r="I2380" t="s">
        <v>55</v>
      </c>
      <c r="J2380" t="s">
        <v>58</v>
      </c>
      <c r="K2380" t="s">
        <v>61</v>
      </c>
      <c r="L2380" t="s">
        <v>28</v>
      </c>
      <c r="M2380" s="4">
        <v>11</v>
      </c>
      <c r="N2380" s="4">
        <v>7</v>
      </c>
      <c r="O2380" t="s">
        <v>36</v>
      </c>
      <c r="P2380" t="s">
        <v>29</v>
      </c>
      <c r="Q2380" s="4">
        <v>358679</v>
      </c>
      <c r="R2380" s="4">
        <v>264700</v>
      </c>
      <c r="S2380" s="4">
        <f>Table1[[#This Row],[Service_Revenue]]-Table1[[#This Row],[Service_Cost]]</f>
        <v>93979</v>
      </c>
      <c r="T2380" s="4">
        <v>3</v>
      </c>
      <c r="U2380" s="4">
        <f>IF(AND(Table1[[#This Row],[Rework_Flag]]="Yes",Table1[[#This Row],[Warranty_Claim]]="No"),Table1[[#This Row],[Service_Revenue]],0)</f>
        <v>0</v>
      </c>
      <c r="V2380" s="4">
        <f>IF(Table1[[#This Row],[Warranty_Claim]]="Yes",1,0)</f>
        <v>1</v>
      </c>
      <c r="W2380" s="4">
        <f>IF(Table1[[#This Row],[Rework_Flag]]="No",1,0)</f>
        <v>1</v>
      </c>
      <c r="X2380" s="4">
        <f>IF(Table1[[#This Row],[Rework_Flag]]="Yes",1,0)</f>
        <v>0</v>
      </c>
      <c r="Y2380" s="4">
        <v>1</v>
      </c>
      <c r="Z2380" s="4" t="str">
        <f>IF(Table1[[#This Row],[TAT_Days]]&gt;Table1[[#This Row],[SLA_TAT]],"Yes","No")</f>
        <v>Yes</v>
      </c>
      <c r="AA2380" s="4" t="str" cm="1">
        <f t="array" ref="AA2380">_xlfn.IFS(Table1[[#This Row],[Customer_Satisfaction]]&lt;=2,"Poor",Table1[[#This Row],[Customer_Satisfaction]]=3,"Neutral",Table1[[#This Row],[Customer_Satisfaction]]=4,"Good",Table1[[#This Row],[Customer_Satisfaction]]=5,"Good")</f>
        <v>Neutral</v>
      </c>
    </row>
    <row r="2381" spans="1:27" x14ac:dyDescent="0.35">
      <c r="A2381">
        <v>22379</v>
      </c>
      <c r="B2381" s="1">
        <v>45426</v>
      </c>
      <c r="C2381" t="s">
        <v>19</v>
      </c>
      <c r="D2381" t="s">
        <v>96</v>
      </c>
      <c r="E2381" t="s">
        <v>105</v>
      </c>
      <c r="F2381" t="s">
        <v>22</v>
      </c>
      <c r="G2381" t="s">
        <v>54</v>
      </c>
      <c r="H2381" t="s">
        <v>42</v>
      </c>
      <c r="I2381" t="s">
        <v>55</v>
      </c>
      <c r="J2381" t="s">
        <v>67</v>
      </c>
      <c r="K2381" t="s">
        <v>27</v>
      </c>
      <c r="L2381" t="s">
        <v>49</v>
      </c>
      <c r="M2381" s="4">
        <v>15</v>
      </c>
      <c r="N2381" s="4">
        <v>7</v>
      </c>
      <c r="O2381" t="s">
        <v>29</v>
      </c>
      <c r="P2381" t="s">
        <v>36</v>
      </c>
      <c r="Q2381" s="4">
        <v>125652</v>
      </c>
      <c r="R2381" s="4">
        <v>72599</v>
      </c>
      <c r="S2381" s="4">
        <f>Table1[[#This Row],[Service_Revenue]]-Table1[[#This Row],[Service_Cost]]</f>
        <v>53053</v>
      </c>
      <c r="T2381" s="4">
        <v>1</v>
      </c>
      <c r="U2381" s="4">
        <f>IF(AND(Table1[[#This Row],[Rework_Flag]]="Yes",Table1[[#This Row],[Warranty_Claim]]="No"),Table1[[#This Row],[Service_Revenue]],0)</f>
        <v>125652</v>
      </c>
      <c r="V2381" s="4">
        <f>IF(Table1[[#This Row],[Warranty_Claim]]="Yes",1,0)</f>
        <v>0</v>
      </c>
      <c r="W2381" s="4">
        <f>IF(Table1[[#This Row],[Rework_Flag]]="No",1,0)</f>
        <v>0</v>
      </c>
      <c r="X2381" s="4">
        <f>IF(Table1[[#This Row],[Rework_Flag]]="Yes",1,0)</f>
        <v>1</v>
      </c>
      <c r="Y2381" s="4">
        <v>1</v>
      </c>
      <c r="Z2381" s="4" t="str">
        <f>IF(Table1[[#This Row],[TAT_Days]]&gt;Table1[[#This Row],[SLA_TAT]],"Yes","No")</f>
        <v>Yes</v>
      </c>
      <c r="AA2381" s="4" t="str" cm="1">
        <f t="array" ref="AA2381">_xlfn.IFS(Table1[[#This Row],[Customer_Satisfaction]]&lt;=2,"Poor",Table1[[#This Row],[Customer_Satisfaction]]=3,"Neutral",Table1[[#This Row],[Customer_Satisfaction]]=4,"Good",Table1[[#This Row],[Customer_Satisfaction]]=5,"Good")</f>
        <v>Poor</v>
      </c>
    </row>
    <row r="2382" spans="1:27" x14ac:dyDescent="0.35">
      <c r="A2382">
        <v>22380</v>
      </c>
      <c r="B2382" s="1">
        <v>45301</v>
      </c>
      <c r="C2382" t="s">
        <v>19</v>
      </c>
      <c r="D2382" t="s">
        <v>45</v>
      </c>
      <c r="E2382" t="s">
        <v>76</v>
      </c>
      <c r="F2382" t="s">
        <v>40</v>
      </c>
      <c r="G2382" t="s">
        <v>33</v>
      </c>
      <c r="H2382" t="s">
        <v>34</v>
      </c>
      <c r="I2382" t="s">
        <v>55</v>
      </c>
      <c r="J2382" t="s">
        <v>58</v>
      </c>
      <c r="K2382" t="s">
        <v>61</v>
      </c>
      <c r="L2382" t="s">
        <v>28</v>
      </c>
      <c r="M2382" s="4">
        <v>9</v>
      </c>
      <c r="N2382" s="4">
        <v>7</v>
      </c>
      <c r="O2382" t="s">
        <v>36</v>
      </c>
      <c r="P2382" t="s">
        <v>36</v>
      </c>
      <c r="Q2382" s="4">
        <v>412536</v>
      </c>
      <c r="R2382" s="4">
        <v>299449</v>
      </c>
      <c r="S2382" s="4">
        <f>Table1[[#This Row],[Service_Revenue]]-Table1[[#This Row],[Service_Cost]]</f>
        <v>113087</v>
      </c>
      <c r="T2382" s="4">
        <v>4</v>
      </c>
      <c r="U2382" s="4">
        <f>IF(AND(Table1[[#This Row],[Rework_Flag]]="Yes",Table1[[#This Row],[Warranty_Claim]]="No"),Table1[[#This Row],[Service_Revenue]],0)</f>
        <v>0</v>
      </c>
      <c r="V2382" s="4">
        <f>IF(Table1[[#This Row],[Warranty_Claim]]="Yes",1,0)</f>
        <v>0</v>
      </c>
      <c r="W2382" s="4">
        <f>IF(Table1[[#This Row],[Rework_Flag]]="No",1,0)</f>
        <v>1</v>
      </c>
      <c r="X2382" s="4">
        <f>IF(Table1[[#This Row],[Rework_Flag]]="Yes",1,0)</f>
        <v>0</v>
      </c>
      <c r="Y2382" s="4">
        <v>1</v>
      </c>
      <c r="Z2382" s="4" t="str">
        <f>IF(Table1[[#This Row],[TAT_Days]]&gt;Table1[[#This Row],[SLA_TAT]],"Yes","No")</f>
        <v>Yes</v>
      </c>
      <c r="AA2382" s="4" t="str" cm="1">
        <f t="array" ref="AA2382">_xlfn.IFS(Table1[[#This Row],[Customer_Satisfaction]]&lt;=2,"Poor",Table1[[#This Row],[Customer_Satisfaction]]=3,"Neutral",Table1[[#This Row],[Customer_Satisfaction]]=4,"Good",Table1[[#This Row],[Customer_Satisfaction]]=5,"Good")</f>
        <v>Good</v>
      </c>
    </row>
    <row r="2383" spans="1:27" x14ac:dyDescent="0.35">
      <c r="A2383">
        <v>22381</v>
      </c>
      <c r="B2383" s="1">
        <v>45412</v>
      </c>
      <c r="C2383" t="s">
        <v>37</v>
      </c>
      <c r="D2383" t="s">
        <v>64</v>
      </c>
      <c r="E2383" t="s">
        <v>87</v>
      </c>
      <c r="F2383" t="s">
        <v>22</v>
      </c>
      <c r="G2383" t="s">
        <v>23</v>
      </c>
      <c r="H2383" t="s">
        <v>24</v>
      </c>
      <c r="I2383" t="s">
        <v>55</v>
      </c>
      <c r="J2383" t="s">
        <v>35</v>
      </c>
      <c r="K2383" t="s">
        <v>44</v>
      </c>
      <c r="L2383" t="s">
        <v>49</v>
      </c>
      <c r="M2383" s="4">
        <v>9</v>
      </c>
      <c r="N2383" s="4">
        <v>7</v>
      </c>
      <c r="O2383" t="s">
        <v>29</v>
      </c>
      <c r="P2383" t="s">
        <v>29</v>
      </c>
      <c r="Q2383" s="4">
        <v>417754</v>
      </c>
      <c r="R2383" s="4">
        <v>251548</v>
      </c>
      <c r="S2383" s="4">
        <f>Table1[[#This Row],[Service_Revenue]]-Table1[[#This Row],[Service_Cost]]</f>
        <v>166206</v>
      </c>
      <c r="T2383" s="4">
        <v>3</v>
      </c>
      <c r="U2383" s="4">
        <f>IF(AND(Table1[[#This Row],[Rework_Flag]]="Yes",Table1[[#This Row],[Warranty_Claim]]="No"),Table1[[#This Row],[Service_Revenue]],0)</f>
        <v>0</v>
      </c>
      <c r="V2383" s="4">
        <f>IF(Table1[[#This Row],[Warranty_Claim]]="Yes",1,0)</f>
        <v>1</v>
      </c>
      <c r="W2383" s="4">
        <f>IF(Table1[[#This Row],[Rework_Flag]]="No",1,0)</f>
        <v>0</v>
      </c>
      <c r="X2383" s="4">
        <f>IF(Table1[[#This Row],[Rework_Flag]]="Yes",1,0)</f>
        <v>1</v>
      </c>
      <c r="Y2383" s="4">
        <v>1</v>
      </c>
      <c r="Z2383" s="4" t="str">
        <f>IF(Table1[[#This Row],[TAT_Days]]&gt;Table1[[#This Row],[SLA_TAT]],"Yes","No")</f>
        <v>Yes</v>
      </c>
      <c r="AA2383" s="4" t="str" cm="1">
        <f t="array" ref="AA2383">_xlfn.IFS(Table1[[#This Row],[Customer_Satisfaction]]&lt;=2,"Poor",Table1[[#This Row],[Customer_Satisfaction]]=3,"Neutral",Table1[[#This Row],[Customer_Satisfaction]]=4,"Good",Table1[[#This Row],[Customer_Satisfaction]]=5,"Good")</f>
        <v>Neutral</v>
      </c>
    </row>
    <row r="2384" spans="1:27" x14ac:dyDescent="0.35">
      <c r="A2384">
        <v>22382</v>
      </c>
      <c r="B2384" s="1">
        <v>45319</v>
      </c>
      <c r="C2384" t="s">
        <v>37</v>
      </c>
      <c r="D2384" t="s">
        <v>64</v>
      </c>
      <c r="E2384" t="s">
        <v>103</v>
      </c>
      <c r="F2384" t="s">
        <v>53</v>
      </c>
      <c r="G2384" t="s">
        <v>41</v>
      </c>
      <c r="H2384" t="s">
        <v>42</v>
      </c>
      <c r="I2384" t="s">
        <v>25</v>
      </c>
      <c r="J2384" t="s">
        <v>35</v>
      </c>
      <c r="K2384" t="s">
        <v>27</v>
      </c>
      <c r="L2384" t="s">
        <v>28</v>
      </c>
      <c r="M2384" s="4">
        <v>18</v>
      </c>
      <c r="N2384" s="4">
        <v>7</v>
      </c>
      <c r="O2384" t="s">
        <v>29</v>
      </c>
      <c r="P2384" t="s">
        <v>36</v>
      </c>
      <c r="Q2384" s="4">
        <v>96159</v>
      </c>
      <c r="R2384" s="4">
        <v>68617</v>
      </c>
      <c r="S2384" s="4">
        <f>Table1[[#This Row],[Service_Revenue]]-Table1[[#This Row],[Service_Cost]]</f>
        <v>27542</v>
      </c>
      <c r="T2384" s="4">
        <v>1</v>
      </c>
      <c r="U2384" s="4">
        <f>IF(AND(Table1[[#This Row],[Rework_Flag]]="Yes",Table1[[#This Row],[Warranty_Claim]]="No"),Table1[[#This Row],[Service_Revenue]],0)</f>
        <v>96159</v>
      </c>
      <c r="V2384" s="4">
        <f>IF(Table1[[#This Row],[Warranty_Claim]]="Yes",1,0)</f>
        <v>0</v>
      </c>
      <c r="W2384" s="4">
        <f>IF(Table1[[#This Row],[Rework_Flag]]="No",1,0)</f>
        <v>0</v>
      </c>
      <c r="X2384" s="4">
        <f>IF(Table1[[#This Row],[Rework_Flag]]="Yes",1,0)</f>
        <v>1</v>
      </c>
      <c r="Y2384" s="4">
        <v>1</v>
      </c>
      <c r="Z2384" s="4" t="str">
        <f>IF(Table1[[#This Row],[TAT_Days]]&gt;Table1[[#This Row],[SLA_TAT]],"Yes","No")</f>
        <v>Yes</v>
      </c>
      <c r="AA2384" s="4" t="str" cm="1">
        <f t="array" ref="AA2384">_xlfn.IFS(Table1[[#This Row],[Customer_Satisfaction]]&lt;=2,"Poor",Table1[[#This Row],[Customer_Satisfaction]]=3,"Neutral",Table1[[#This Row],[Customer_Satisfaction]]=4,"Good",Table1[[#This Row],[Customer_Satisfaction]]=5,"Good")</f>
        <v>Poor</v>
      </c>
    </row>
    <row r="2385" spans="1:27" x14ac:dyDescent="0.35">
      <c r="A2385">
        <v>22383</v>
      </c>
      <c r="B2385" s="1">
        <v>45430</v>
      </c>
      <c r="C2385" t="s">
        <v>19</v>
      </c>
      <c r="D2385" t="s">
        <v>96</v>
      </c>
      <c r="E2385" t="s">
        <v>97</v>
      </c>
      <c r="F2385" t="s">
        <v>40</v>
      </c>
      <c r="G2385" t="s">
        <v>63</v>
      </c>
      <c r="H2385" t="s">
        <v>24</v>
      </c>
      <c r="I2385" t="s">
        <v>55</v>
      </c>
      <c r="J2385" t="s">
        <v>43</v>
      </c>
      <c r="K2385" t="s">
        <v>61</v>
      </c>
      <c r="L2385" t="s">
        <v>28</v>
      </c>
      <c r="M2385" s="4">
        <v>25</v>
      </c>
      <c r="N2385" s="4">
        <v>7</v>
      </c>
      <c r="O2385" t="s">
        <v>36</v>
      </c>
      <c r="P2385" t="s">
        <v>36</v>
      </c>
      <c r="Q2385" s="4">
        <v>394464</v>
      </c>
      <c r="R2385" s="4">
        <v>312191</v>
      </c>
      <c r="S2385" s="4">
        <f>Table1[[#This Row],[Service_Revenue]]-Table1[[#This Row],[Service_Cost]]</f>
        <v>82273</v>
      </c>
      <c r="T2385" s="4">
        <v>1</v>
      </c>
      <c r="U2385" s="4">
        <f>IF(AND(Table1[[#This Row],[Rework_Flag]]="Yes",Table1[[#This Row],[Warranty_Claim]]="No"),Table1[[#This Row],[Service_Revenue]],0)</f>
        <v>0</v>
      </c>
      <c r="V2385" s="4">
        <f>IF(Table1[[#This Row],[Warranty_Claim]]="Yes",1,0)</f>
        <v>0</v>
      </c>
      <c r="W2385" s="4">
        <f>IF(Table1[[#This Row],[Rework_Flag]]="No",1,0)</f>
        <v>1</v>
      </c>
      <c r="X2385" s="4">
        <f>IF(Table1[[#This Row],[Rework_Flag]]="Yes",1,0)</f>
        <v>0</v>
      </c>
      <c r="Y2385" s="4">
        <v>1</v>
      </c>
      <c r="Z2385" s="4" t="str">
        <f>IF(Table1[[#This Row],[TAT_Days]]&gt;Table1[[#This Row],[SLA_TAT]],"Yes","No")</f>
        <v>Yes</v>
      </c>
      <c r="AA2385" s="4" t="str" cm="1">
        <f t="array" ref="AA2385">_xlfn.IFS(Table1[[#This Row],[Customer_Satisfaction]]&lt;=2,"Poor",Table1[[#This Row],[Customer_Satisfaction]]=3,"Neutral",Table1[[#This Row],[Customer_Satisfaction]]=4,"Good",Table1[[#This Row],[Customer_Satisfaction]]=5,"Good")</f>
        <v>Poor</v>
      </c>
    </row>
    <row r="2386" spans="1:27" x14ac:dyDescent="0.35">
      <c r="A2386">
        <v>22384</v>
      </c>
      <c r="B2386" s="1">
        <v>45469</v>
      </c>
      <c r="C2386" t="s">
        <v>37</v>
      </c>
      <c r="D2386" t="s">
        <v>38</v>
      </c>
      <c r="E2386" t="s">
        <v>102</v>
      </c>
      <c r="F2386" t="s">
        <v>53</v>
      </c>
      <c r="G2386" t="s">
        <v>23</v>
      </c>
      <c r="H2386" t="s">
        <v>24</v>
      </c>
      <c r="I2386" t="s">
        <v>55</v>
      </c>
      <c r="J2386" t="s">
        <v>58</v>
      </c>
      <c r="K2386" t="s">
        <v>61</v>
      </c>
      <c r="L2386" t="s">
        <v>28</v>
      </c>
      <c r="M2386" s="4">
        <v>22</v>
      </c>
      <c r="N2386" s="4">
        <v>7</v>
      </c>
      <c r="O2386" t="s">
        <v>36</v>
      </c>
      <c r="P2386" t="s">
        <v>36</v>
      </c>
      <c r="Q2386" s="4">
        <v>339098</v>
      </c>
      <c r="R2386" s="4">
        <v>261815</v>
      </c>
      <c r="S2386" s="4">
        <f>Table1[[#This Row],[Service_Revenue]]-Table1[[#This Row],[Service_Cost]]</f>
        <v>77283</v>
      </c>
      <c r="T2386" s="4">
        <v>1</v>
      </c>
      <c r="U2386" s="4">
        <f>IF(AND(Table1[[#This Row],[Rework_Flag]]="Yes",Table1[[#This Row],[Warranty_Claim]]="No"),Table1[[#This Row],[Service_Revenue]],0)</f>
        <v>0</v>
      </c>
      <c r="V2386" s="4">
        <f>IF(Table1[[#This Row],[Warranty_Claim]]="Yes",1,0)</f>
        <v>0</v>
      </c>
      <c r="W2386" s="4">
        <f>IF(Table1[[#This Row],[Rework_Flag]]="No",1,0)</f>
        <v>1</v>
      </c>
      <c r="X2386" s="4">
        <f>IF(Table1[[#This Row],[Rework_Flag]]="Yes",1,0)</f>
        <v>0</v>
      </c>
      <c r="Y2386" s="4">
        <v>1</v>
      </c>
      <c r="Z2386" s="4" t="str">
        <f>IF(Table1[[#This Row],[TAT_Days]]&gt;Table1[[#This Row],[SLA_TAT]],"Yes","No")</f>
        <v>Yes</v>
      </c>
      <c r="AA2386" s="4" t="str" cm="1">
        <f t="array" ref="AA2386">_xlfn.IFS(Table1[[#This Row],[Customer_Satisfaction]]&lt;=2,"Poor",Table1[[#This Row],[Customer_Satisfaction]]=3,"Neutral",Table1[[#This Row],[Customer_Satisfaction]]=4,"Good",Table1[[#This Row],[Customer_Satisfaction]]=5,"Good")</f>
        <v>Poor</v>
      </c>
    </row>
    <row r="2387" spans="1:27" x14ac:dyDescent="0.35">
      <c r="A2387">
        <v>22385</v>
      </c>
      <c r="B2387" s="1">
        <v>45336</v>
      </c>
      <c r="C2387" t="s">
        <v>30</v>
      </c>
      <c r="D2387" t="s">
        <v>59</v>
      </c>
      <c r="E2387" t="s">
        <v>60</v>
      </c>
      <c r="F2387" t="s">
        <v>53</v>
      </c>
      <c r="G2387" t="s">
        <v>54</v>
      </c>
      <c r="H2387" t="s">
        <v>42</v>
      </c>
      <c r="I2387" t="s">
        <v>55</v>
      </c>
      <c r="J2387" t="s">
        <v>67</v>
      </c>
      <c r="K2387" t="s">
        <v>44</v>
      </c>
      <c r="L2387" t="s">
        <v>49</v>
      </c>
      <c r="M2387" s="4">
        <v>7</v>
      </c>
      <c r="N2387" s="4">
        <v>7</v>
      </c>
      <c r="O2387" t="s">
        <v>36</v>
      </c>
      <c r="P2387" t="s">
        <v>36</v>
      </c>
      <c r="Q2387" s="4">
        <v>352964</v>
      </c>
      <c r="R2387" s="4">
        <v>227572</v>
      </c>
      <c r="S2387" s="4">
        <f>Table1[[#This Row],[Service_Revenue]]-Table1[[#This Row],[Service_Cost]]</f>
        <v>125392</v>
      </c>
      <c r="T2387" s="4">
        <v>4</v>
      </c>
      <c r="U2387" s="4">
        <f>IF(AND(Table1[[#This Row],[Rework_Flag]]="Yes",Table1[[#This Row],[Warranty_Claim]]="No"),Table1[[#This Row],[Service_Revenue]],0)</f>
        <v>0</v>
      </c>
      <c r="V2387" s="4">
        <f>IF(Table1[[#This Row],[Warranty_Claim]]="Yes",1,0)</f>
        <v>0</v>
      </c>
      <c r="W2387" s="4">
        <f>IF(Table1[[#This Row],[Rework_Flag]]="No",1,0)</f>
        <v>1</v>
      </c>
      <c r="X2387" s="4">
        <f>IF(Table1[[#This Row],[Rework_Flag]]="Yes",1,0)</f>
        <v>0</v>
      </c>
      <c r="Y2387" s="4">
        <v>1</v>
      </c>
      <c r="Z2387" s="4" t="str">
        <f>IF(Table1[[#This Row],[TAT_Days]]&gt;Table1[[#This Row],[SLA_TAT]],"Yes","No")</f>
        <v>No</v>
      </c>
      <c r="AA2387" s="4" t="str" cm="1">
        <f t="array" ref="AA2387">_xlfn.IFS(Table1[[#This Row],[Customer_Satisfaction]]&lt;=2,"Poor",Table1[[#This Row],[Customer_Satisfaction]]=3,"Neutral",Table1[[#This Row],[Customer_Satisfaction]]=4,"Good",Table1[[#This Row],[Customer_Satisfaction]]=5,"Good")</f>
        <v>Good</v>
      </c>
    </row>
    <row r="2388" spans="1:27" x14ac:dyDescent="0.35">
      <c r="A2388">
        <v>22386</v>
      </c>
      <c r="B2388" s="1">
        <v>45403</v>
      </c>
      <c r="C2388" t="s">
        <v>37</v>
      </c>
      <c r="D2388" t="s">
        <v>64</v>
      </c>
      <c r="E2388" t="s">
        <v>115</v>
      </c>
      <c r="F2388" t="s">
        <v>22</v>
      </c>
      <c r="G2388" t="s">
        <v>41</v>
      </c>
      <c r="H2388" t="s">
        <v>42</v>
      </c>
      <c r="I2388" t="s">
        <v>25</v>
      </c>
      <c r="J2388" t="s">
        <v>35</v>
      </c>
      <c r="K2388" t="s">
        <v>61</v>
      </c>
      <c r="L2388" t="s">
        <v>28</v>
      </c>
      <c r="M2388" s="4">
        <v>4</v>
      </c>
      <c r="N2388" s="4">
        <v>7</v>
      </c>
      <c r="O2388" t="s">
        <v>36</v>
      </c>
      <c r="P2388" t="s">
        <v>29</v>
      </c>
      <c r="Q2388" s="4">
        <v>546471</v>
      </c>
      <c r="R2388" s="4">
        <v>296867</v>
      </c>
      <c r="S2388" s="4">
        <f>Table1[[#This Row],[Service_Revenue]]-Table1[[#This Row],[Service_Cost]]</f>
        <v>249604</v>
      </c>
      <c r="T2388" s="4">
        <v>5</v>
      </c>
      <c r="U2388" s="4">
        <f>IF(AND(Table1[[#This Row],[Rework_Flag]]="Yes",Table1[[#This Row],[Warranty_Claim]]="No"),Table1[[#This Row],[Service_Revenue]],0)</f>
        <v>0</v>
      </c>
      <c r="V2388" s="4">
        <f>IF(Table1[[#This Row],[Warranty_Claim]]="Yes",1,0)</f>
        <v>1</v>
      </c>
      <c r="W2388" s="4">
        <f>IF(Table1[[#This Row],[Rework_Flag]]="No",1,0)</f>
        <v>1</v>
      </c>
      <c r="X2388" s="4">
        <f>IF(Table1[[#This Row],[Rework_Flag]]="Yes",1,0)</f>
        <v>0</v>
      </c>
      <c r="Y2388" s="4">
        <v>1</v>
      </c>
      <c r="Z2388" s="4" t="str">
        <f>IF(Table1[[#This Row],[TAT_Days]]&gt;Table1[[#This Row],[SLA_TAT]],"Yes","No")</f>
        <v>No</v>
      </c>
      <c r="AA2388" s="4" t="str" cm="1">
        <f t="array" ref="AA2388">_xlfn.IFS(Table1[[#This Row],[Customer_Satisfaction]]&lt;=2,"Poor",Table1[[#This Row],[Customer_Satisfaction]]=3,"Neutral",Table1[[#This Row],[Customer_Satisfaction]]=4,"Good",Table1[[#This Row],[Customer_Satisfaction]]=5,"Good")</f>
        <v>Good</v>
      </c>
    </row>
    <row r="2389" spans="1:27" x14ac:dyDescent="0.35">
      <c r="A2389">
        <v>22387</v>
      </c>
      <c r="B2389" s="1">
        <v>45433</v>
      </c>
      <c r="C2389" t="s">
        <v>50</v>
      </c>
      <c r="D2389" t="s">
        <v>80</v>
      </c>
      <c r="E2389" t="s">
        <v>104</v>
      </c>
      <c r="F2389" t="s">
        <v>53</v>
      </c>
      <c r="G2389" t="s">
        <v>47</v>
      </c>
      <c r="H2389" t="s">
        <v>48</v>
      </c>
      <c r="I2389" t="s">
        <v>55</v>
      </c>
      <c r="J2389" t="s">
        <v>43</v>
      </c>
      <c r="K2389" t="s">
        <v>61</v>
      </c>
      <c r="L2389" t="s">
        <v>28</v>
      </c>
      <c r="M2389" s="4">
        <v>15</v>
      </c>
      <c r="N2389" s="4">
        <v>7</v>
      </c>
      <c r="O2389" t="s">
        <v>36</v>
      </c>
      <c r="P2389" t="s">
        <v>36</v>
      </c>
      <c r="Q2389" s="4">
        <v>441746</v>
      </c>
      <c r="R2389" s="4">
        <v>347800</v>
      </c>
      <c r="S2389" s="4">
        <f>Table1[[#This Row],[Service_Revenue]]-Table1[[#This Row],[Service_Cost]]</f>
        <v>93946</v>
      </c>
      <c r="T2389" s="4">
        <v>2</v>
      </c>
      <c r="U2389" s="4">
        <f>IF(AND(Table1[[#This Row],[Rework_Flag]]="Yes",Table1[[#This Row],[Warranty_Claim]]="No"),Table1[[#This Row],[Service_Revenue]],0)</f>
        <v>0</v>
      </c>
      <c r="V2389" s="4">
        <f>IF(Table1[[#This Row],[Warranty_Claim]]="Yes",1,0)</f>
        <v>0</v>
      </c>
      <c r="W2389" s="4">
        <f>IF(Table1[[#This Row],[Rework_Flag]]="No",1,0)</f>
        <v>1</v>
      </c>
      <c r="X2389" s="4">
        <f>IF(Table1[[#This Row],[Rework_Flag]]="Yes",1,0)</f>
        <v>0</v>
      </c>
      <c r="Y2389" s="4">
        <v>1</v>
      </c>
      <c r="Z2389" s="4" t="str">
        <f>IF(Table1[[#This Row],[TAT_Days]]&gt;Table1[[#This Row],[SLA_TAT]],"Yes","No")</f>
        <v>Yes</v>
      </c>
      <c r="AA2389" s="4" t="str" cm="1">
        <f t="array" ref="AA2389">_xlfn.IFS(Table1[[#This Row],[Customer_Satisfaction]]&lt;=2,"Poor",Table1[[#This Row],[Customer_Satisfaction]]=3,"Neutral",Table1[[#This Row],[Customer_Satisfaction]]=4,"Good",Table1[[#This Row],[Customer_Satisfaction]]=5,"Good")</f>
        <v>Poor</v>
      </c>
    </row>
    <row r="2390" spans="1:27" x14ac:dyDescent="0.35">
      <c r="A2390">
        <v>22388</v>
      </c>
      <c r="B2390" s="1">
        <v>45426</v>
      </c>
      <c r="C2390" t="s">
        <v>37</v>
      </c>
      <c r="D2390" t="s">
        <v>64</v>
      </c>
      <c r="E2390" t="s">
        <v>103</v>
      </c>
      <c r="F2390" t="s">
        <v>22</v>
      </c>
      <c r="G2390" t="s">
        <v>23</v>
      </c>
      <c r="H2390" t="s">
        <v>24</v>
      </c>
      <c r="I2390" t="s">
        <v>25</v>
      </c>
      <c r="J2390" t="s">
        <v>58</v>
      </c>
      <c r="K2390" t="s">
        <v>61</v>
      </c>
      <c r="L2390" t="s">
        <v>28</v>
      </c>
      <c r="M2390" s="4">
        <v>11</v>
      </c>
      <c r="N2390" s="4">
        <v>7</v>
      </c>
      <c r="O2390" t="s">
        <v>29</v>
      </c>
      <c r="P2390" t="s">
        <v>36</v>
      </c>
      <c r="Q2390" s="4">
        <v>408035</v>
      </c>
      <c r="R2390" s="4">
        <v>338962</v>
      </c>
      <c r="S2390" s="4">
        <f>Table1[[#This Row],[Service_Revenue]]-Table1[[#This Row],[Service_Cost]]</f>
        <v>69073</v>
      </c>
      <c r="T2390" s="4">
        <v>2</v>
      </c>
      <c r="U2390" s="4">
        <f>IF(AND(Table1[[#This Row],[Rework_Flag]]="Yes",Table1[[#This Row],[Warranty_Claim]]="No"),Table1[[#This Row],[Service_Revenue]],0)</f>
        <v>408035</v>
      </c>
      <c r="V2390" s="4">
        <f>IF(Table1[[#This Row],[Warranty_Claim]]="Yes",1,0)</f>
        <v>0</v>
      </c>
      <c r="W2390" s="4">
        <f>IF(Table1[[#This Row],[Rework_Flag]]="No",1,0)</f>
        <v>0</v>
      </c>
      <c r="X2390" s="4">
        <f>IF(Table1[[#This Row],[Rework_Flag]]="Yes",1,0)</f>
        <v>1</v>
      </c>
      <c r="Y2390" s="4">
        <v>1</v>
      </c>
      <c r="Z2390" s="4" t="str">
        <f>IF(Table1[[#This Row],[TAT_Days]]&gt;Table1[[#This Row],[SLA_TAT]],"Yes","No")</f>
        <v>Yes</v>
      </c>
      <c r="AA2390" s="4" t="str" cm="1">
        <f t="array" ref="AA2390">_xlfn.IFS(Table1[[#This Row],[Customer_Satisfaction]]&lt;=2,"Poor",Table1[[#This Row],[Customer_Satisfaction]]=3,"Neutral",Table1[[#This Row],[Customer_Satisfaction]]=4,"Good",Table1[[#This Row],[Customer_Satisfaction]]=5,"Good")</f>
        <v>Poor</v>
      </c>
    </row>
    <row r="2391" spans="1:27" x14ac:dyDescent="0.35">
      <c r="A2391">
        <v>22389</v>
      </c>
      <c r="B2391" s="1">
        <v>45333</v>
      </c>
      <c r="C2391" t="s">
        <v>37</v>
      </c>
      <c r="D2391" t="s">
        <v>70</v>
      </c>
      <c r="E2391" t="s">
        <v>82</v>
      </c>
      <c r="F2391" t="s">
        <v>53</v>
      </c>
      <c r="G2391" t="s">
        <v>63</v>
      </c>
      <c r="H2391" t="s">
        <v>24</v>
      </c>
      <c r="I2391" t="s">
        <v>55</v>
      </c>
      <c r="J2391" t="s">
        <v>67</v>
      </c>
      <c r="K2391" t="s">
        <v>27</v>
      </c>
      <c r="L2391" t="s">
        <v>49</v>
      </c>
      <c r="M2391" s="4">
        <v>6</v>
      </c>
      <c r="N2391" s="4">
        <v>7</v>
      </c>
      <c r="O2391" t="s">
        <v>29</v>
      </c>
      <c r="P2391" t="s">
        <v>29</v>
      </c>
      <c r="Q2391" s="4">
        <v>365685</v>
      </c>
      <c r="R2391" s="4">
        <v>294193</v>
      </c>
      <c r="S2391" s="4">
        <f>Table1[[#This Row],[Service_Revenue]]-Table1[[#This Row],[Service_Cost]]</f>
        <v>71492</v>
      </c>
      <c r="T2391" s="4">
        <v>3</v>
      </c>
      <c r="U2391" s="4">
        <f>IF(AND(Table1[[#This Row],[Rework_Flag]]="Yes",Table1[[#This Row],[Warranty_Claim]]="No"),Table1[[#This Row],[Service_Revenue]],0)</f>
        <v>0</v>
      </c>
      <c r="V2391" s="4">
        <f>IF(Table1[[#This Row],[Warranty_Claim]]="Yes",1,0)</f>
        <v>1</v>
      </c>
      <c r="W2391" s="4">
        <f>IF(Table1[[#This Row],[Rework_Flag]]="No",1,0)</f>
        <v>0</v>
      </c>
      <c r="X2391" s="4">
        <f>IF(Table1[[#This Row],[Rework_Flag]]="Yes",1,0)</f>
        <v>1</v>
      </c>
      <c r="Y2391" s="4">
        <v>1</v>
      </c>
      <c r="Z2391" s="4" t="str">
        <f>IF(Table1[[#This Row],[TAT_Days]]&gt;Table1[[#This Row],[SLA_TAT]],"Yes","No")</f>
        <v>No</v>
      </c>
      <c r="AA2391" s="4" t="str" cm="1">
        <f t="array" ref="AA2391">_xlfn.IFS(Table1[[#This Row],[Customer_Satisfaction]]&lt;=2,"Poor",Table1[[#This Row],[Customer_Satisfaction]]=3,"Neutral",Table1[[#This Row],[Customer_Satisfaction]]=4,"Good",Table1[[#This Row],[Customer_Satisfaction]]=5,"Good")</f>
        <v>Neutral</v>
      </c>
    </row>
    <row r="2392" spans="1:27" x14ac:dyDescent="0.35">
      <c r="A2392">
        <v>22390</v>
      </c>
      <c r="B2392" s="1">
        <v>45293</v>
      </c>
      <c r="C2392" t="s">
        <v>37</v>
      </c>
      <c r="D2392" t="s">
        <v>70</v>
      </c>
      <c r="E2392" t="s">
        <v>91</v>
      </c>
      <c r="F2392" t="s">
        <v>22</v>
      </c>
      <c r="G2392" t="s">
        <v>23</v>
      </c>
      <c r="H2392" t="s">
        <v>24</v>
      </c>
      <c r="I2392" t="s">
        <v>55</v>
      </c>
      <c r="J2392" t="s">
        <v>67</v>
      </c>
      <c r="K2392" t="s">
        <v>44</v>
      </c>
      <c r="L2392" t="s">
        <v>28</v>
      </c>
      <c r="M2392" s="4">
        <v>19</v>
      </c>
      <c r="N2392" s="4">
        <v>7</v>
      </c>
      <c r="O2392" t="s">
        <v>36</v>
      </c>
      <c r="P2392" t="s">
        <v>36</v>
      </c>
      <c r="Q2392" s="4">
        <v>511102</v>
      </c>
      <c r="R2392" s="4">
        <v>268347</v>
      </c>
      <c r="S2392" s="4">
        <f>Table1[[#This Row],[Service_Revenue]]-Table1[[#This Row],[Service_Cost]]</f>
        <v>242755</v>
      </c>
      <c r="T2392" s="4">
        <v>2</v>
      </c>
      <c r="U2392" s="4">
        <f>IF(AND(Table1[[#This Row],[Rework_Flag]]="Yes",Table1[[#This Row],[Warranty_Claim]]="No"),Table1[[#This Row],[Service_Revenue]],0)</f>
        <v>0</v>
      </c>
      <c r="V2392" s="4">
        <f>IF(Table1[[#This Row],[Warranty_Claim]]="Yes",1,0)</f>
        <v>0</v>
      </c>
      <c r="W2392" s="4">
        <f>IF(Table1[[#This Row],[Rework_Flag]]="No",1,0)</f>
        <v>1</v>
      </c>
      <c r="X2392" s="4">
        <f>IF(Table1[[#This Row],[Rework_Flag]]="Yes",1,0)</f>
        <v>0</v>
      </c>
      <c r="Y2392" s="4">
        <v>1</v>
      </c>
      <c r="Z2392" s="4" t="str">
        <f>IF(Table1[[#This Row],[TAT_Days]]&gt;Table1[[#This Row],[SLA_TAT]],"Yes","No")</f>
        <v>Yes</v>
      </c>
      <c r="AA2392" s="4" t="str" cm="1">
        <f t="array" ref="AA2392">_xlfn.IFS(Table1[[#This Row],[Customer_Satisfaction]]&lt;=2,"Poor",Table1[[#This Row],[Customer_Satisfaction]]=3,"Neutral",Table1[[#This Row],[Customer_Satisfaction]]=4,"Good",Table1[[#This Row],[Customer_Satisfaction]]=5,"Good")</f>
        <v>Poor</v>
      </c>
    </row>
    <row r="2393" spans="1:27" x14ac:dyDescent="0.35">
      <c r="A2393">
        <v>22391</v>
      </c>
      <c r="B2393" s="1">
        <v>45328</v>
      </c>
      <c r="C2393" t="s">
        <v>37</v>
      </c>
      <c r="D2393" t="s">
        <v>70</v>
      </c>
      <c r="E2393" t="s">
        <v>116</v>
      </c>
      <c r="F2393" t="s">
        <v>53</v>
      </c>
      <c r="G2393" t="s">
        <v>74</v>
      </c>
      <c r="H2393" t="s">
        <v>34</v>
      </c>
      <c r="I2393" t="s">
        <v>55</v>
      </c>
      <c r="J2393" t="s">
        <v>43</v>
      </c>
      <c r="K2393" t="s">
        <v>61</v>
      </c>
      <c r="L2393" t="s">
        <v>49</v>
      </c>
      <c r="M2393" s="4">
        <v>2</v>
      </c>
      <c r="N2393" s="4">
        <v>7</v>
      </c>
      <c r="O2393" t="s">
        <v>36</v>
      </c>
      <c r="P2393" t="s">
        <v>36</v>
      </c>
      <c r="Q2393" s="4">
        <v>230575</v>
      </c>
      <c r="R2393" s="4">
        <v>152450</v>
      </c>
      <c r="S2393" s="4">
        <f>Table1[[#This Row],[Service_Revenue]]-Table1[[#This Row],[Service_Cost]]</f>
        <v>78125</v>
      </c>
      <c r="T2393" s="4">
        <v>5</v>
      </c>
      <c r="U2393" s="4">
        <f>IF(AND(Table1[[#This Row],[Rework_Flag]]="Yes",Table1[[#This Row],[Warranty_Claim]]="No"),Table1[[#This Row],[Service_Revenue]],0)</f>
        <v>0</v>
      </c>
      <c r="V2393" s="4">
        <f>IF(Table1[[#This Row],[Warranty_Claim]]="Yes",1,0)</f>
        <v>0</v>
      </c>
      <c r="W2393" s="4">
        <f>IF(Table1[[#This Row],[Rework_Flag]]="No",1,0)</f>
        <v>1</v>
      </c>
      <c r="X2393" s="4">
        <f>IF(Table1[[#This Row],[Rework_Flag]]="Yes",1,0)</f>
        <v>0</v>
      </c>
      <c r="Y2393" s="4">
        <v>1</v>
      </c>
      <c r="Z2393" s="4" t="str">
        <f>IF(Table1[[#This Row],[TAT_Days]]&gt;Table1[[#This Row],[SLA_TAT]],"Yes","No")</f>
        <v>No</v>
      </c>
      <c r="AA2393" s="4" t="str" cm="1">
        <f t="array" ref="AA2393">_xlfn.IFS(Table1[[#This Row],[Customer_Satisfaction]]&lt;=2,"Poor",Table1[[#This Row],[Customer_Satisfaction]]=3,"Neutral",Table1[[#This Row],[Customer_Satisfaction]]=4,"Good",Table1[[#This Row],[Customer_Satisfaction]]=5,"Good")</f>
        <v>Good</v>
      </c>
    </row>
    <row r="2394" spans="1:27" x14ac:dyDescent="0.35">
      <c r="A2394">
        <v>22392</v>
      </c>
      <c r="B2394" s="1">
        <v>45431</v>
      </c>
      <c r="C2394" t="s">
        <v>37</v>
      </c>
      <c r="D2394" t="s">
        <v>70</v>
      </c>
      <c r="E2394" t="s">
        <v>82</v>
      </c>
      <c r="F2394" t="s">
        <v>40</v>
      </c>
      <c r="G2394" t="s">
        <v>23</v>
      </c>
      <c r="H2394" t="s">
        <v>24</v>
      </c>
      <c r="I2394" t="s">
        <v>55</v>
      </c>
      <c r="J2394" t="s">
        <v>26</v>
      </c>
      <c r="K2394" t="s">
        <v>27</v>
      </c>
      <c r="L2394" t="s">
        <v>28</v>
      </c>
      <c r="M2394" s="4">
        <v>5</v>
      </c>
      <c r="N2394" s="4">
        <v>7</v>
      </c>
      <c r="O2394" t="s">
        <v>29</v>
      </c>
      <c r="P2394" t="s">
        <v>29</v>
      </c>
      <c r="Q2394" s="4">
        <v>324670</v>
      </c>
      <c r="R2394" s="4">
        <v>263086</v>
      </c>
      <c r="S2394" s="4">
        <f>Table1[[#This Row],[Service_Revenue]]-Table1[[#This Row],[Service_Cost]]</f>
        <v>61584</v>
      </c>
      <c r="T2394" s="4">
        <v>3</v>
      </c>
      <c r="U2394" s="4">
        <f>IF(AND(Table1[[#This Row],[Rework_Flag]]="Yes",Table1[[#This Row],[Warranty_Claim]]="No"),Table1[[#This Row],[Service_Revenue]],0)</f>
        <v>0</v>
      </c>
      <c r="V2394" s="4">
        <f>IF(Table1[[#This Row],[Warranty_Claim]]="Yes",1,0)</f>
        <v>1</v>
      </c>
      <c r="W2394" s="4">
        <f>IF(Table1[[#This Row],[Rework_Flag]]="No",1,0)</f>
        <v>0</v>
      </c>
      <c r="X2394" s="4">
        <f>IF(Table1[[#This Row],[Rework_Flag]]="Yes",1,0)</f>
        <v>1</v>
      </c>
      <c r="Y2394" s="4">
        <v>1</v>
      </c>
      <c r="Z2394" s="4" t="str">
        <f>IF(Table1[[#This Row],[TAT_Days]]&gt;Table1[[#This Row],[SLA_TAT]],"Yes","No")</f>
        <v>No</v>
      </c>
      <c r="AA2394" s="4" t="str" cm="1">
        <f t="array" ref="AA2394">_xlfn.IFS(Table1[[#This Row],[Customer_Satisfaction]]&lt;=2,"Poor",Table1[[#This Row],[Customer_Satisfaction]]=3,"Neutral",Table1[[#This Row],[Customer_Satisfaction]]=4,"Good",Table1[[#This Row],[Customer_Satisfaction]]=5,"Good")</f>
        <v>Neutral</v>
      </c>
    </row>
    <row r="2395" spans="1:27" x14ac:dyDescent="0.35">
      <c r="A2395">
        <v>22393</v>
      </c>
      <c r="B2395" s="1">
        <v>45360</v>
      </c>
      <c r="C2395" t="s">
        <v>50</v>
      </c>
      <c r="D2395" t="s">
        <v>51</v>
      </c>
      <c r="E2395" t="s">
        <v>113</v>
      </c>
      <c r="F2395" t="s">
        <v>40</v>
      </c>
      <c r="G2395" t="s">
        <v>63</v>
      </c>
      <c r="H2395" t="s">
        <v>24</v>
      </c>
      <c r="I2395" t="s">
        <v>55</v>
      </c>
      <c r="J2395" t="s">
        <v>58</v>
      </c>
      <c r="K2395" t="s">
        <v>61</v>
      </c>
      <c r="L2395" t="s">
        <v>49</v>
      </c>
      <c r="M2395" s="4">
        <v>2</v>
      </c>
      <c r="N2395" s="4">
        <v>7</v>
      </c>
      <c r="O2395" t="s">
        <v>29</v>
      </c>
      <c r="P2395" t="s">
        <v>36</v>
      </c>
      <c r="Q2395" s="4">
        <v>478797</v>
      </c>
      <c r="R2395" s="4">
        <v>317712</v>
      </c>
      <c r="S2395" s="4">
        <f>Table1[[#This Row],[Service_Revenue]]-Table1[[#This Row],[Service_Cost]]</f>
        <v>161085</v>
      </c>
      <c r="T2395" s="4">
        <v>4</v>
      </c>
      <c r="U2395" s="4">
        <f>IF(AND(Table1[[#This Row],[Rework_Flag]]="Yes",Table1[[#This Row],[Warranty_Claim]]="No"),Table1[[#This Row],[Service_Revenue]],0)</f>
        <v>478797</v>
      </c>
      <c r="V2395" s="4">
        <f>IF(Table1[[#This Row],[Warranty_Claim]]="Yes",1,0)</f>
        <v>0</v>
      </c>
      <c r="W2395" s="4">
        <f>IF(Table1[[#This Row],[Rework_Flag]]="No",1,0)</f>
        <v>0</v>
      </c>
      <c r="X2395" s="4">
        <f>IF(Table1[[#This Row],[Rework_Flag]]="Yes",1,0)</f>
        <v>1</v>
      </c>
      <c r="Y2395" s="4">
        <v>1</v>
      </c>
      <c r="Z2395" s="4" t="str">
        <f>IF(Table1[[#This Row],[TAT_Days]]&gt;Table1[[#This Row],[SLA_TAT]],"Yes","No")</f>
        <v>No</v>
      </c>
      <c r="AA2395" s="4" t="str" cm="1">
        <f t="array" ref="AA2395">_xlfn.IFS(Table1[[#This Row],[Customer_Satisfaction]]&lt;=2,"Poor",Table1[[#This Row],[Customer_Satisfaction]]=3,"Neutral",Table1[[#This Row],[Customer_Satisfaction]]=4,"Good",Table1[[#This Row],[Customer_Satisfaction]]=5,"Good")</f>
        <v>Good</v>
      </c>
    </row>
    <row r="2396" spans="1:27" x14ac:dyDescent="0.35">
      <c r="A2396">
        <v>22394</v>
      </c>
      <c r="B2396" s="1">
        <v>45389</v>
      </c>
      <c r="C2396" t="s">
        <v>50</v>
      </c>
      <c r="D2396" t="s">
        <v>80</v>
      </c>
      <c r="E2396" t="s">
        <v>118</v>
      </c>
      <c r="F2396" t="s">
        <v>40</v>
      </c>
      <c r="G2396" t="s">
        <v>63</v>
      </c>
      <c r="H2396" t="s">
        <v>24</v>
      </c>
      <c r="I2396" t="s">
        <v>25</v>
      </c>
      <c r="J2396" t="s">
        <v>58</v>
      </c>
      <c r="K2396" t="s">
        <v>27</v>
      </c>
      <c r="L2396" t="s">
        <v>28</v>
      </c>
      <c r="M2396" s="4">
        <v>7</v>
      </c>
      <c r="N2396" s="4">
        <v>7</v>
      </c>
      <c r="O2396" t="s">
        <v>36</v>
      </c>
      <c r="P2396" t="s">
        <v>36</v>
      </c>
      <c r="Q2396" s="4">
        <v>196045</v>
      </c>
      <c r="R2396" s="4">
        <v>155810</v>
      </c>
      <c r="S2396" s="4">
        <f>Table1[[#This Row],[Service_Revenue]]-Table1[[#This Row],[Service_Cost]]</f>
        <v>40235</v>
      </c>
      <c r="T2396" s="4">
        <v>4</v>
      </c>
      <c r="U2396" s="4">
        <f>IF(AND(Table1[[#This Row],[Rework_Flag]]="Yes",Table1[[#This Row],[Warranty_Claim]]="No"),Table1[[#This Row],[Service_Revenue]],0)</f>
        <v>0</v>
      </c>
      <c r="V2396" s="4">
        <f>IF(Table1[[#This Row],[Warranty_Claim]]="Yes",1,0)</f>
        <v>0</v>
      </c>
      <c r="W2396" s="4">
        <f>IF(Table1[[#This Row],[Rework_Flag]]="No",1,0)</f>
        <v>1</v>
      </c>
      <c r="X2396" s="4">
        <f>IF(Table1[[#This Row],[Rework_Flag]]="Yes",1,0)</f>
        <v>0</v>
      </c>
      <c r="Y2396" s="4">
        <v>1</v>
      </c>
      <c r="Z2396" s="4" t="str">
        <f>IF(Table1[[#This Row],[TAT_Days]]&gt;Table1[[#This Row],[SLA_TAT]],"Yes","No")</f>
        <v>No</v>
      </c>
      <c r="AA2396" s="4" t="str" cm="1">
        <f t="array" ref="AA2396">_xlfn.IFS(Table1[[#This Row],[Customer_Satisfaction]]&lt;=2,"Poor",Table1[[#This Row],[Customer_Satisfaction]]=3,"Neutral",Table1[[#This Row],[Customer_Satisfaction]]=4,"Good",Table1[[#This Row],[Customer_Satisfaction]]=5,"Good")</f>
        <v>Good</v>
      </c>
    </row>
    <row r="2397" spans="1:27" x14ac:dyDescent="0.35">
      <c r="A2397">
        <v>22395</v>
      </c>
      <c r="B2397" s="1">
        <v>45443</v>
      </c>
      <c r="C2397" t="s">
        <v>50</v>
      </c>
      <c r="D2397" t="s">
        <v>80</v>
      </c>
      <c r="E2397" t="s">
        <v>104</v>
      </c>
      <c r="F2397" t="s">
        <v>53</v>
      </c>
      <c r="G2397" t="s">
        <v>63</v>
      </c>
      <c r="H2397" t="s">
        <v>24</v>
      </c>
      <c r="I2397" t="s">
        <v>55</v>
      </c>
      <c r="J2397" t="s">
        <v>26</v>
      </c>
      <c r="K2397" t="s">
        <v>44</v>
      </c>
      <c r="L2397" t="s">
        <v>49</v>
      </c>
      <c r="M2397" s="4">
        <v>3</v>
      </c>
      <c r="N2397" s="4">
        <v>7</v>
      </c>
      <c r="O2397" t="s">
        <v>29</v>
      </c>
      <c r="P2397" t="s">
        <v>36</v>
      </c>
      <c r="Q2397" s="4">
        <v>536931</v>
      </c>
      <c r="R2397" s="4">
        <v>352443</v>
      </c>
      <c r="S2397" s="4">
        <f>Table1[[#This Row],[Service_Revenue]]-Table1[[#This Row],[Service_Cost]]</f>
        <v>184488</v>
      </c>
      <c r="T2397" s="4">
        <v>4</v>
      </c>
      <c r="U2397" s="4">
        <f>IF(AND(Table1[[#This Row],[Rework_Flag]]="Yes",Table1[[#This Row],[Warranty_Claim]]="No"),Table1[[#This Row],[Service_Revenue]],0)</f>
        <v>536931</v>
      </c>
      <c r="V2397" s="4">
        <f>IF(Table1[[#This Row],[Warranty_Claim]]="Yes",1,0)</f>
        <v>0</v>
      </c>
      <c r="W2397" s="4">
        <f>IF(Table1[[#This Row],[Rework_Flag]]="No",1,0)</f>
        <v>0</v>
      </c>
      <c r="X2397" s="4">
        <f>IF(Table1[[#This Row],[Rework_Flag]]="Yes",1,0)</f>
        <v>1</v>
      </c>
      <c r="Y2397" s="4">
        <v>1</v>
      </c>
      <c r="Z2397" s="4" t="str">
        <f>IF(Table1[[#This Row],[TAT_Days]]&gt;Table1[[#This Row],[SLA_TAT]],"Yes","No")</f>
        <v>No</v>
      </c>
      <c r="AA2397" s="4" t="str" cm="1">
        <f t="array" ref="AA2397">_xlfn.IFS(Table1[[#This Row],[Customer_Satisfaction]]&lt;=2,"Poor",Table1[[#This Row],[Customer_Satisfaction]]=3,"Neutral",Table1[[#This Row],[Customer_Satisfaction]]=4,"Good",Table1[[#This Row],[Customer_Satisfaction]]=5,"Good")</f>
        <v>Good</v>
      </c>
    </row>
    <row r="2398" spans="1:27" x14ac:dyDescent="0.35">
      <c r="A2398">
        <v>22396</v>
      </c>
      <c r="B2398" s="1">
        <v>45432</v>
      </c>
      <c r="C2398" t="s">
        <v>30</v>
      </c>
      <c r="D2398" t="s">
        <v>59</v>
      </c>
      <c r="E2398" t="s">
        <v>60</v>
      </c>
      <c r="F2398" t="s">
        <v>22</v>
      </c>
      <c r="G2398" t="s">
        <v>63</v>
      </c>
      <c r="H2398" t="s">
        <v>24</v>
      </c>
      <c r="I2398" t="s">
        <v>55</v>
      </c>
      <c r="J2398" t="s">
        <v>58</v>
      </c>
      <c r="K2398" t="s">
        <v>61</v>
      </c>
      <c r="L2398" t="s">
        <v>49</v>
      </c>
      <c r="M2398" s="4">
        <v>20</v>
      </c>
      <c r="N2398" s="4">
        <v>7</v>
      </c>
      <c r="O2398" t="s">
        <v>36</v>
      </c>
      <c r="P2398" t="s">
        <v>36</v>
      </c>
      <c r="Q2398" s="4">
        <v>219483</v>
      </c>
      <c r="R2398" s="4">
        <v>183863</v>
      </c>
      <c r="S2398" s="4">
        <f>Table1[[#This Row],[Service_Revenue]]-Table1[[#This Row],[Service_Cost]]</f>
        <v>35620</v>
      </c>
      <c r="T2398" s="4">
        <v>1</v>
      </c>
      <c r="U2398" s="4">
        <f>IF(AND(Table1[[#This Row],[Rework_Flag]]="Yes",Table1[[#This Row],[Warranty_Claim]]="No"),Table1[[#This Row],[Service_Revenue]],0)</f>
        <v>0</v>
      </c>
      <c r="V2398" s="4">
        <f>IF(Table1[[#This Row],[Warranty_Claim]]="Yes",1,0)</f>
        <v>0</v>
      </c>
      <c r="W2398" s="4">
        <f>IF(Table1[[#This Row],[Rework_Flag]]="No",1,0)</f>
        <v>1</v>
      </c>
      <c r="X2398" s="4">
        <f>IF(Table1[[#This Row],[Rework_Flag]]="Yes",1,0)</f>
        <v>0</v>
      </c>
      <c r="Y2398" s="4">
        <v>1</v>
      </c>
      <c r="Z2398" s="4" t="str">
        <f>IF(Table1[[#This Row],[TAT_Days]]&gt;Table1[[#This Row],[SLA_TAT]],"Yes","No")</f>
        <v>Yes</v>
      </c>
      <c r="AA2398" s="4" t="str" cm="1">
        <f t="array" ref="AA2398">_xlfn.IFS(Table1[[#This Row],[Customer_Satisfaction]]&lt;=2,"Poor",Table1[[#This Row],[Customer_Satisfaction]]=3,"Neutral",Table1[[#This Row],[Customer_Satisfaction]]=4,"Good",Table1[[#This Row],[Customer_Satisfaction]]=5,"Good")</f>
        <v>Poor</v>
      </c>
    </row>
    <row r="2399" spans="1:27" x14ac:dyDescent="0.35">
      <c r="A2399">
        <v>22397</v>
      </c>
      <c r="B2399" s="1">
        <v>45413</v>
      </c>
      <c r="C2399" t="s">
        <v>30</v>
      </c>
      <c r="D2399" t="s">
        <v>59</v>
      </c>
      <c r="E2399" t="s">
        <v>66</v>
      </c>
      <c r="F2399" t="s">
        <v>40</v>
      </c>
      <c r="G2399" t="s">
        <v>41</v>
      </c>
      <c r="H2399" t="s">
        <v>42</v>
      </c>
      <c r="I2399" t="s">
        <v>25</v>
      </c>
      <c r="J2399" t="s">
        <v>43</v>
      </c>
      <c r="K2399" t="s">
        <v>61</v>
      </c>
      <c r="L2399" t="s">
        <v>49</v>
      </c>
      <c r="M2399" s="4">
        <v>8</v>
      </c>
      <c r="N2399" s="4">
        <v>7</v>
      </c>
      <c r="O2399" t="s">
        <v>29</v>
      </c>
      <c r="P2399" t="s">
        <v>29</v>
      </c>
      <c r="Q2399" s="4">
        <v>163473</v>
      </c>
      <c r="R2399" s="4">
        <v>112742</v>
      </c>
      <c r="S2399" s="4">
        <f>Table1[[#This Row],[Service_Revenue]]-Table1[[#This Row],[Service_Cost]]</f>
        <v>50731</v>
      </c>
      <c r="T2399" s="4">
        <v>3</v>
      </c>
      <c r="U2399" s="4">
        <f>IF(AND(Table1[[#This Row],[Rework_Flag]]="Yes",Table1[[#This Row],[Warranty_Claim]]="No"),Table1[[#This Row],[Service_Revenue]],0)</f>
        <v>0</v>
      </c>
      <c r="V2399" s="4">
        <f>IF(Table1[[#This Row],[Warranty_Claim]]="Yes",1,0)</f>
        <v>1</v>
      </c>
      <c r="W2399" s="4">
        <f>IF(Table1[[#This Row],[Rework_Flag]]="No",1,0)</f>
        <v>0</v>
      </c>
      <c r="X2399" s="4">
        <f>IF(Table1[[#This Row],[Rework_Flag]]="Yes",1,0)</f>
        <v>1</v>
      </c>
      <c r="Y2399" s="4">
        <v>1</v>
      </c>
      <c r="Z2399" s="4" t="str">
        <f>IF(Table1[[#This Row],[TAT_Days]]&gt;Table1[[#This Row],[SLA_TAT]],"Yes","No")</f>
        <v>Yes</v>
      </c>
      <c r="AA2399" s="4" t="str" cm="1">
        <f t="array" ref="AA2399">_xlfn.IFS(Table1[[#This Row],[Customer_Satisfaction]]&lt;=2,"Poor",Table1[[#This Row],[Customer_Satisfaction]]=3,"Neutral",Table1[[#This Row],[Customer_Satisfaction]]=4,"Good",Table1[[#This Row],[Customer_Satisfaction]]=5,"Good")</f>
        <v>Neutral</v>
      </c>
    </row>
    <row r="2400" spans="1:27" x14ac:dyDescent="0.35">
      <c r="A2400">
        <v>22398</v>
      </c>
      <c r="B2400" s="1">
        <v>45443</v>
      </c>
      <c r="C2400" t="s">
        <v>30</v>
      </c>
      <c r="D2400" t="s">
        <v>59</v>
      </c>
      <c r="E2400" t="s">
        <v>60</v>
      </c>
      <c r="F2400" t="s">
        <v>40</v>
      </c>
      <c r="G2400" t="s">
        <v>74</v>
      </c>
      <c r="H2400" t="s">
        <v>34</v>
      </c>
      <c r="I2400" t="s">
        <v>55</v>
      </c>
      <c r="J2400" t="s">
        <v>58</v>
      </c>
      <c r="K2400" t="s">
        <v>61</v>
      </c>
      <c r="L2400" t="s">
        <v>49</v>
      </c>
      <c r="M2400" s="4">
        <v>22</v>
      </c>
      <c r="N2400" s="4">
        <v>7</v>
      </c>
      <c r="O2400" t="s">
        <v>29</v>
      </c>
      <c r="P2400" t="s">
        <v>36</v>
      </c>
      <c r="Q2400" s="4">
        <v>483900</v>
      </c>
      <c r="R2400" s="4">
        <v>249045</v>
      </c>
      <c r="S2400" s="4">
        <f>Table1[[#This Row],[Service_Revenue]]-Table1[[#This Row],[Service_Cost]]</f>
        <v>234855</v>
      </c>
      <c r="T2400" s="4">
        <v>1</v>
      </c>
      <c r="U2400" s="4">
        <f>IF(AND(Table1[[#This Row],[Rework_Flag]]="Yes",Table1[[#This Row],[Warranty_Claim]]="No"),Table1[[#This Row],[Service_Revenue]],0)</f>
        <v>483900</v>
      </c>
      <c r="V2400" s="4">
        <f>IF(Table1[[#This Row],[Warranty_Claim]]="Yes",1,0)</f>
        <v>0</v>
      </c>
      <c r="W2400" s="4">
        <f>IF(Table1[[#This Row],[Rework_Flag]]="No",1,0)</f>
        <v>0</v>
      </c>
      <c r="X2400" s="4">
        <f>IF(Table1[[#This Row],[Rework_Flag]]="Yes",1,0)</f>
        <v>1</v>
      </c>
      <c r="Y2400" s="4">
        <v>1</v>
      </c>
      <c r="Z2400" s="4" t="str">
        <f>IF(Table1[[#This Row],[TAT_Days]]&gt;Table1[[#This Row],[SLA_TAT]],"Yes","No")</f>
        <v>Yes</v>
      </c>
      <c r="AA2400" s="4" t="str" cm="1">
        <f t="array" ref="AA2400">_xlfn.IFS(Table1[[#This Row],[Customer_Satisfaction]]&lt;=2,"Poor",Table1[[#This Row],[Customer_Satisfaction]]=3,"Neutral",Table1[[#This Row],[Customer_Satisfaction]]=4,"Good",Table1[[#This Row],[Customer_Satisfaction]]=5,"Good")</f>
        <v>Poor</v>
      </c>
    </row>
    <row r="2401" spans="1:27" x14ac:dyDescent="0.35">
      <c r="A2401">
        <v>22399</v>
      </c>
      <c r="B2401" s="1">
        <v>45386</v>
      </c>
      <c r="C2401" t="s">
        <v>30</v>
      </c>
      <c r="D2401" t="s">
        <v>59</v>
      </c>
      <c r="E2401" t="s">
        <v>60</v>
      </c>
      <c r="F2401" t="s">
        <v>53</v>
      </c>
      <c r="G2401" t="s">
        <v>74</v>
      </c>
      <c r="H2401" t="s">
        <v>34</v>
      </c>
      <c r="I2401" t="s">
        <v>25</v>
      </c>
      <c r="J2401" t="s">
        <v>67</v>
      </c>
      <c r="K2401" t="s">
        <v>61</v>
      </c>
      <c r="L2401" t="s">
        <v>49</v>
      </c>
      <c r="M2401" s="4">
        <v>13</v>
      </c>
      <c r="N2401" s="4">
        <v>7</v>
      </c>
      <c r="O2401" t="s">
        <v>29</v>
      </c>
      <c r="P2401" t="s">
        <v>36</v>
      </c>
      <c r="Q2401" s="4">
        <v>589051</v>
      </c>
      <c r="R2401" s="4">
        <v>302429</v>
      </c>
      <c r="S2401" s="4">
        <f>Table1[[#This Row],[Service_Revenue]]-Table1[[#This Row],[Service_Cost]]</f>
        <v>286622</v>
      </c>
      <c r="T2401" s="4">
        <v>2</v>
      </c>
      <c r="U2401" s="4">
        <f>IF(AND(Table1[[#This Row],[Rework_Flag]]="Yes",Table1[[#This Row],[Warranty_Claim]]="No"),Table1[[#This Row],[Service_Revenue]],0)</f>
        <v>589051</v>
      </c>
      <c r="V2401" s="4">
        <f>IF(Table1[[#This Row],[Warranty_Claim]]="Yes",1,0)</f>
        <v>0</v>
      </c>
      <c r="W2401" s="4">
        <f>IF(Table1[[#This Row],[Rework_Flag]]="No",1,0)</f>
        <v>0</v>
      </c>
      <c r="X2401" s="4">
        <f>IF(Table1[[#This Row],[Rework_Flag]]="Yes",1,0)</f>
        <v>1</v>
      </c>
      <c r="Y2401" s="4">
        <v>1</v>
      </c>
      <c r="Z2401" s="4" t="str">
        <f>IF(Table1[[#This Row],[TAT_Days]]&gt;Table1[[#This Row],[SLA_TAT]],"Yes","No")</f>
        <v>Yes</v>
      </c>
      <c r="AA2401" s="4" t="str" cm="1">
        <f t="array" ref="AA2401">_xlfn.IFS(Table1[[#This Row],[Customer_Satisfaction]]&lt;=2,"Poor",Table1[[#This Row],[Customer_Satisfaction]]=3,"Neutral",Table1[[#This Row],[Customer_Satisfaction]]=4,"Good",Table1[[#This Row],[Customer_Satisfaction]]=5,"Good")</f>
        <v>Poor</v>
      </c>
    </row>
    <row r="2402" spans="1:27" x14ac:dyDescent="0.35">
      <c r="A2402">
        <v>22400</v>
      </c>
      <c r="B2402" s="1">
        <v>45378</v>
      </c>
      <c r="C2402" t="s">
        <v>19</v>
      </c>
      <c r="D2402" t="s">
        <v>96</v>
      </c>
      <c r="E2402" t="s">
        <v>109</v>
      </c>
      <c r="F2402" t="s">
        <v>40</v>
      </c>
      <c r="G2402" t="s">
        <v>74</v>
      </c>
      <c r="H2402" t="s">
        <v>34</v>
      </c>
      <c r="I2402" t="s">
        <v>55</v>
      </c>
      <c r="J2402" t="s">
        <v>67</v>
      </c>
      <c r="K2402" t="s">
        <v>61</v>
      </c>
      <c r="L2402" t="s">
        <v>28</v>
      </c>
      <c r="M2402" s="4">
        <v>22</v>
      </c>
      <c r="N2402" s="4">
        <v>7</v>
      </c>
      <c r="O2402" t="s">
        <v>36</v>
      </c>
      <c r="P2402" t="s">
        <v>36</v>
      </c>
      <c r="Q2402" s="4">
        <v>114187</v>
      </c>
      <c r="R2402" s="4">
        <v>90394</v>
      </c>
      <c r="S2402" s="4">
        <f>Table1[[#This Row],[Service_Revenue]]-Table1[[#This Row],[Service_Cost]]</f>
        <v>23793</v>
      </c>
      <c r="T2402" s="4">
        <v>1</v>
      </c>
      <c r="U2402" s="4">
        <f>IF(AND(Table1[[#This Row],[Rework_Flag]]="Yes",Table1[[#This Row],[Warranty_Claim]]="No"),Table1[[#This Row],[Service_Revenue]],0)</f>
        <v>0</v>
      </c>
      <c r="V2402" s="4">
        <f>IF(Table1[[#This Row],[Warranty_Claim]]="Yes",1,0)</f>
        <v>0</v>
      </c>
      <c r="W2402" s="4">
        <f>IF(Table1[[#This Row],[Rework_Flag]]="No",1,0)</f>
        <v>1</v>
      </c>
      <c r="X2402" s="4">
        <f>IF(Table1[[#This Row],[Rework_Flag]]="Yes",1,0)</f>
        <v>0</v>
      </c>
      <c r="Y2402" s="4">
        <v>1</v>
      </c>
      <c r="Z2402" s="4" t="str">
        <f>IF(Table1[[#This Row],[TAT_Days]]&gt;Table1[[#This Row],[SLA_TAT]],"Yes","No")</f>
        <v>Yes</v>
      </c>
      <c r="AA2402" s="4" t="str" cm="1">
        <f t="array" ref="AA2402">_xlfn.IFS(Table1[[#This Row],[Customer_Satisfaction]]&lt;=2,"Poor",Table1[[#This Row],[Customer_Satisfaction]]=3,"Neutral",Table1[[#This Row],[Customer_Satisfaction]]=4,"Good",Table1[[#This Row],[Customer_Satisfaction]]=5,"Good")</f>
        <v>Poor</v>
      </c>
    </row>
    <row r="2403" spans="1:27" x14ac:dyDescent="0.35">
      <c r="A2403">
        <v>22401</v>
      </c>
      <c r="B2403" s="1">
        <v>45432</v>
      </c>
      <c r="C2403" t="s">
        <v>37</v>
      </c>
      <c r="D2403" t="s">
        <v>70</v>
      </c>
      <c r="E2403" t="s">
        <v>82</v>
      </c>
      <c r="F2403" t="s">
        <v>40</v>
      </c>
      <c r="G2403" t="s">
        <v>47</v>
      </c>
      <c r="H2403" t="s">
        <v>48</v>
      </c>
      <c r="I2403" t="s">
        <v>25</v>
      </c>
      <c r="J2403" t="s">
        <v>58</v>
      </c>
      <c r="K2403" t="s">
        <v>27</v>
      </c>
      <c r="L2403" t="s">
        <v>49</v>
      </c>
      <c r="M2403" s="4">
        <v>17</v>
      </c>
      <c r="N2403" s="4">
        <v>7</v>
      </c>
      <c r="O2403" t="s">
        <v>29</v>
      </c>
      <c r="P2403" t="s">
        <v>29</v>
      </c>
      <c r="Q2403" s="4">
        <v>157304</v>
      </c>
      <c r="R2403" s="4">
        <v>119557</v>
      </c>
      <c r="S2403" s="4">
        <f>Table1[[#This Row],[Service_Revenue]]-Table1[[#This Row],[Service_Cost]]</f>
        <v>37747</v>
      </c>
      <c r="T2403" s="4">
        <v>1</v>
      </c>
      <c r="U2403" s="4">
        <f>IF(AND(Table1[[#This Row],[Rework_Flag]]="Yes",Table1[[#This Row],[Warranty_Claim]]="No"),Table1[[#This Row],[Service_Revenue]],0)</f>
        <v>0</v>
      </c>
      <c r="V2403" s="4">
        <f>IF(Table1[[#This Row],[Warranty_Claim]]="Yes",1,0)</f>
        <v>1</v>
      </c>
      <c r="W2403" s="4">
        <f>IF(Table1[[#This Row],[Rework_Flag]]="No",1,0)</f>
        <v>0</v>
      </c>
      <c r="X2403" s="4">
        <f>IF(Table1[[#This Row],[Rework_Flag]]="Yes",1,0)</f>
        <v>1</v>
      </c>
      <c r="Y2403" s="4">
        <v>1</v>
      </c>
      <c r="Z2403" s="4" t="str">
        <f>IF(Table1[[#This Row],[TAT_Days]]&gt;Table1[[#This Row],[SLA_TAT]],"Yes","No")</f>
        <v>Yes</v>
      </c>
      <c r="AA2403" s="4" t="str" cm="1">
        <f t="array" ref="AA2403">_xlfn.IFS(Table1[[#This Row],[Customer_Satisfaction]]&lt;=2,"Poor",Table1[[#This Row],[Customer_Satisfaction]]=3,"Neutral",Table1[[#This Row],[Customer_Satisfaction]]=4,"Good",Table1[[#This Row],[Customer_Satisfaction]]=5,"Good")</f>
        <v>Poor</v>
      </c>
    </row>
    <row r="2404" spans="1:27" x14ac:dyDescent="0.35">
      <c r="A2404">
        <v>22402</v>
      </c>
      <c r="B2404" s="1">
        <v>45432</v>
      </c>
      <c r="C2404" t="s">
        <v>30</v>
      </c>
      <c r="D2404" t="s">
        <v>83</v>
      </c>
      <c r="E2404" t="s">
        <v>90</v>
      </c>
      <c r="F2404" t="s">
        <v>53</v>
      </c>
      <c r="G2404" t="s">
        <v>54</v>
      </c>
      <c r="H2404" t="s">
        <v>42</v>
      </c>
      <c r="I2404" t="s">
        <v>55</v>
      </c>
      <c r="J2404" t="s">
        <v>35</v>
      </c>
      <c r="K2404" t="s">
        <v>44</v>
      </c>
      <c r="L2404" t="s">
        <v>28</v>
      </c>
      <c r="M2404" s="4">
        <v>7</v>
      </c>
      <c r="N2404" s="4">
        <v>7</v>
      </c>
      <c r="O2404" t="s">
        <v>36</v>
      </c>
      <c r="P2404" t="s">
        <v>36</v>
      </c>
      <c r="Q2404" s="4">
        <v>246360</v>
      </c>
      <c r="R2404" s="4">
        <v>170175</v>
      </c>
      <c r="S2404" s="4">
        <f>Table1[[#This Row],[Service_Revenue]]-Table1[[#This Row],[Service_Cost]]</f>
        <v>76185</v>
      </c>
      <c r="T2404" s="4">
        <v>4</v>
      </c>
      <c r="U2404" s="4">
        <f>IF(AND(Table1[[#This Row],[Rework_Flag]]="Yes",Table1[[#This Row],[Warranty_Claim]]="No"),Table1[[#This Row],[Service_Revenue]],0)</f>
        <v>0</v>
      </c>
      <c r="V2404" s="4">
        <f>IF(Table1[[#This Row],[Warranty_Claim]]="Yes",1,0)</f>
        <v>0</v>
      </c>
      <c r="W2404" s="4">
        <f>IF(Table1[[#This Row],[Rework_Flag]]="No",1,0)</f>
        <v>1</v>
      </c>
      <c r="X2404" s="4">
        <f>IF(Table1[[#This Row],[Rework_Flag]]="Yes",1,0)</f>
        <v>0</v>
      </c>
      <c r="Y2404" s="4">
        <v>1</v>
      </c>
      <c r="Z2404" s="4" t="str">
        <f>IF(Table1[[#This Row],[TAT_Days]]&gt;Table1[[#This Row],[SLA_TAT]],"Yes","No")</f>
        <v>No</v>
      </c>
      <c r="AA2404" s="4" t="str" cm="1">
        <f t="array" ref="AA2404">_xlfn.IFS(Table1[[#This Row],[Customer_Satisfaction]]&lt;=2,"Poor",Table1[[#This Row],[Customer_Satisfaction]]=3,"Neutral",Table1[[#This Row],[Customer_Satisfaction]]=4,"Good",Table1[[#This Row],[Customer_Satisfaction]]=5,"Good")</f>
        <v>Good</v>
      </c>
    </row>
    <row r="2405" spans="1:27" x14ac:dyDescent="0.35">
      <c r="A2405">
        <v>22403</v>
      </c>
      <c r="B2405" s="1">
        <v>45444</v>
      </c>
      <c r="C2405" t="s">
        <v>50</v>
      </c>
      <c r="D2405" t="s">
        <v>80</v>
      </c>
      <c r="E2405" t="s">
        <v>85</v>
      </c>
      <c r="F2405" t="s">
        <v>53</v>
      </c>
      <c r="G2405" t="s">
        <v>74</v>
      </c>
      <c r="H2405" t="s">
        <v>34</v>
      </c>
      <c r="I2405" t="s">
        <v>25</v>
      </c>
      <c r="J2405" t="s">
        <v>58</v>
      </c>
      <c r="K2405" t="s">
        <v>61</v>
      </c>
      <c r="L2405" t="s">
        <v>28</v>
      </c>
      <c r="M2405" s="4">
        <v>19</v>
      </c>
      <c r="N2405" s="4">
        <v>7</v>
      </c>
      <c r="O2405" t="s">
        <v>29</v>
      </c>
      <c r="P2405" t="s">
        <v>36</v>
      </c>
      <c r="Q2405" s="4">
        <v>404377</v>
      </c>
      <c r="R2405" s="4">
        <v>299414</v>
      </c>
      <c r="S2405" s="4">
        <f>Table1[[#This Row],[Service_Revenue]]-Table1[[#This Row],[Service_Cost]]</f>
        <v>104963</v>
      </c>
      <c r="T2405" s="4">
        <v>1</v>
      </c>
      <c r="U2405" s="4">
        <f>IF(AND(Table1[[#This Row],[Rework_Flag]]="Yes",Table1[[#This Row],[Warranty_Claim]]="No"),Table1[[#This Row],[Service_Revenue]],0)</f>
        <v>404377</v>
      </c>
      <c r="V2405" s="4">
        <f>IF(Table1[[#This Row],[Warranty_Claim]]="Yes",1,0)</f>
        <v>0</v>
      </c>
      <c r="W2405" s="4">
        <f>IF(Table1[[#This Row],[Rework_Flag]]="No",1,0)</f>
        <v>0</v>
      </c>
      <c r="X2405" s="4">
        <f>IF(Table1[[#This Row],[Rework_Flag]]="Yes",1,0)</f>
        <v>1</v>
      </c>
      <c r="Y2405" s="4">
        <v>1</v>
      </c>
      <c r="Z2405" s="4" t="str">
        <f>IF(Table1[[#This Row],[TAT_Days]]&gt;Table1[[#This Row],[SLA_TAT]],"Yes","No")</f>
        <v>Yes</v>
      </c>
      <c r="AA2405" s="4" t="str" cm="1">
        <f t="array" ref="AA2405">_xlfn.IFS(Table1[[#This Row],[Customer_Satisfaction]]&lt;=2,"Poor",Table1[[#This Row],[Customer_Satisfaction]]=3,"Neutral",Table1[[#This Row],[Customer_Satisfaction]]=4,"Good",Table1[[#This Row],[Customer_Satisfaction]]=5,"Good")</f>
        <v>Poor</v>
      </c>
    </row>
    <row r="2406" spans="1:27" x14ac:dyDescent="0.35">
      <c r="A2406">
        <v>22404</v>
      </c>
      <c r="B2406" s="1">
        <v>45405</v>
      </c>
      <c r="C2406" t="s">
        <v>30</v>
      </c>
      <c r="D2406" t="s">
        <v>31</v>
      </c>
      <c r="E2406" t="s">
        <v>122</v>
      </c>
      <c r="F2406" t="s">
        <v>40</v>
      </c>
      <c r="G2406" t="s">
        <v>33</v>
      </c>
      <c r="H2406" t="s">
        <v>34</v>
      </c>
      <c r="I2406" t="s">
        <v>25</v>
      </c>
      <c r="J2406" t="s">
        <v>26</v>
      </c>
      <c r="K2406" t="s">
        <v>44</v>
      </c>
      <c r="L2406" t="s">
        <v>49</v>
      </c>
      <c r="M2406" s="4">
        <v>14</v>
      </c>
      <c r="N2406" s="4">
        <v>7</v>
      </c>
      <c r="O2406" t="s">
        <v>29</v>
      </c>
      <c r="P2406" t="s">
        <v>36</v>
      </c>
      <c r="Q2406" s="4">
        <v>444307</v>
      </c>
      <c r="R2406" s="4">
        <v>223380</v>
      </c>
      <c r="S2406" s="4">
        <f>Table1[[#This Row],[Service_Revenue]]-Table1[[#This Row],[Service_Cost]]</f>
        <v>220927</v>
      </c>
      <c r="T2406" s="4">
        <v>2</v>
      </c>
      <c r="U2406" s="4">
        <f>IF(AND(Table1[[#This Row],[Rework_Flag]]="Yes",Table1[[#This Row],[Warranty_Claim]]="No"),Table1[[#This Row],[Service_Revenue]],0)</f>
        <v>444307</v>
      </c>
      <c r="V2406" s="4">
        <f>IF(Table1[[#This Row],[Warranty_Claim]]="Yes",1,0)</f>
        <v>0</v>
      </c>
      <c r="W2406" s="4">
        <f>IF(Table1[[#This Row],[Rework_Flag]]="No",1,0)</f>
        <v>0</v>
      </c>
      <c r="X2406" s="4">
        <f>IF(Table1[[#This Row],[Rework_Flag]]="Yes",1,0)</f>
        <v>1</v>
      </c>
      <c r="Y2406" s="4">
        <v>1</v>
      </c>
      <c r="Z2406" s="4" t="str">
        <f>IF(Table1[[#This Row],[TAT_Days]]&gt;Table1[[#This Row],[SLA_TAT]],"Yes","No")</f>
        <v>Yes</v>
      </c>
      <c r="AA2406" s="4" t="str" cm="1">
        <f t="array" ref="AA2406">_xlfn.IFS(Table1[[#This Row],[Customer_Satisfaction]]&lt;=2,"Poor",Table1[[#This Row],[Customer_Satisfaction]]=3,"Neutral",Table1[[#This Row],[Customer_Satisfaction]]=4,"Good",Table1[[#This Row],[Customer_Satisfaction]]=5,"Good")</f>
        <v>Poor</v>
      </c>
    </row>
    <row r="2407" spans="1:27" x14ac:dyDescent="0.35">
      <c r="A2407">
        <v>22405</v>
      </c>
      <c r="B2407" s="1">
        <v>45340</v>
      </c>
      <c r="C2407" t="s">
        <v>19</v>
      </c>
      <c r="D2407" t="s">
        <v>45</v>
      </c>
      <c r="E2407" t="s">
        <v>111</v>
      </c>
      <c r="F2407" t="s">
        <v>40</v>
      </c>
      <c r="G2407" t="s">
        <v>63</v>
      </c>
      <c r="H2407" t="s">
        <v>24</v>
      </c>
      <c r="I2407" t="s">
        <v>25</v>
      </c>
      <c r="J2407" t="s">
        <v>58</v>
      </c>
      <c r="K2407" t="s">
        <v>27</v>
      </c>
      <c r="L2407" t="s">
        <v>28</v>
      </c>
      <c r="M2407" s="4">
        <v>11</v>
      </c>
      <c r="N2407" s="4">
        <v>7</v>
      </c>
      <c r="O2407" t="s">
        <v>29</v>
      </c>
      <c r="P2407" t="s">
        <v>29</v>
      </c>
      <c r="Q2407" s="4">
        <v>268469</v>
      </c>
      <c r="R2407" s="4">
        <v>220682</v>
      </c>
      <c r="S2407" s="4">
        <f>Table1[[#This Row],[Service_Revenue]]-Table1[[#This Row],[Service_Cost]]</f>
        <v>47787</v>
      </c>
      <c r="T2407" s="4">
        <v>2</v>
      </c>
      <c r="U2407" s="4">
        <f>IF(AND(Table1[[#This Row],[Rework_Flag]]="Yes",Table1[[#This Row],[Warranty_Claim]]="No"),Table1[[#This Row],[Service_Revenue]],0)</f>
        <v>0</v>
      </c>
      <c r="V2407" s="4">
        <f>IF(Table1[[#This Row],[Warranty_Claim]]="Yes",1,0)</f>
        <v>1</v>
      </c>
      <c r="W2407" s="4">
        <f>IF(Table1[[#This Row],[Rework_Flag]]="No",1,0)</f>
        <v>0</v>
      </c>
      <c r="X2407" s="4">
        <f>IF(Table1[[#This Row],[Rework_Flag]]="Yes",1,0)</f>
        <v>1</v>
      </c>
      <c r="Y2407" s="4">
        <v>1</v>
      </c>
      <c r="Z2407" s="4" t="str">
        <f>IF(Table1[[#This Row],[TAT_Days]]&gt;Table1[[#This Row],[SLA_TAT]],"Yes","No")</f>
        <v>Yes</v>
      </c>
      <c r="AA2407" s="4" t="str" cm="1">
        <f t="array" ref="AA2407">_xlfn.IFS(Table1[[#This Row],[Customer_Satisfaction]]&lt;=2,"Poor",Table1[[#This Row],[Customer_Satisfaction]]=3,"Neutral",Table1[[#This Row],[Customer_Satisfaction]]=4,"Good",Table1[[#This Row],[Customer_Satisfaction]]=5,"Good")</f>
        <v>Poor</v>
      </c>
    </row>
    <row r="2408" spans="1:27" x14ac:dyDescent="0.35">
      <c r="A2408">
        <v>22406</v>
      </c>
      <c r="B2408" s="1">
        <v>45307</v>
      </c>
      <c r="C2408" t="s">
        <v>19</v>
      </c>
      <c r="D2408" t="s">
        <v>96</v>
      </c>
      <c r="E2408" t="s">
        <v>108</v>
      </c>
      <c r="F2408" t="s">
        <v>53</v>
      </c>
      <c r="G2408" t="s">
        <v>23</v>
      </c>
      <c r="H2408" t="s">
        <v>24</v>
      </c>
      <c r="I2408" t="s">
        <v>25</v>
      </c>
      <c r="J2408" t="s">
        <v>43</v>
      </c>
      <c r="K2408" t="s">
        <v>27</v>
      </c>
      <c r="L2408" t="s">
        <v>28</v>
      </c>
      <c r="M2408" s="4">
        <v>22</v>
      </c>
      <c r="N2408" s="4">
        <v>7</v>
      </c>
      <c r="O2408" t="s">
        <v>29</v>
      </c>
      <c r="P2408" t="s">
        <v>29</v>
      </c>
      <c r="Q2408" s="4">
        <v>368624</v>
      </c>
      <c r="R2408" s="4">
        <v>291057</v>
      </c>
      <c r="S2408" s="4">
        <f>Table1[[#This Row],[Service_Revenue]]-Table1[[#This Row],[Service_Cost]]</f>
        <v>77567</v>
      </c>
      <c r="T2408" s="4">
        <v>1</v>
      </c>
      <c r="U2408" s="4">
        <f>IF(AND(Table1[[#This Row],[Rework_Flag]]="Yes",Table1[[#This Row],[Warranty_Claim]]="No"),Table1[[#This Row],[Service_Revenue]],0)</f>
        <v>0</v>
      </c>
      <c r="V2408" s="4">
        <f>IF(Table1[[#This Row],[Warranty_Claim]]="Yes",1,0)</f>
        <v>1</v>
      </c>
      <c r="W2408" s="4">
        <f>IF(Table1[[#This Row],[Rework_Flag]]="No",1,0)</f>
        <v>0</v>
      </c>
      <c r="X2408" s="4">
        <f>IF(Table1[[#This Row],[Rework_Flag]]="Yes",1,0)</f>
        <v>1</v>
      </c>
      <c r="Y2408" s="4">
        <v>1</v>
      </c>
      <c r="Z2408" s="4" t="str">
        <f>IF(Table1[[#This Row],[TAT_Days]]&gt;Table1[[#This Row],[SLA_TAT]],"Yes","No")</f>
        <v>Yes</v>
      </c>
      <c r="AA2408" s="4" t="str" cm="1">
        <f t="array" ref="AA2408">_xlfn.IFS(Table1[[#This Row],[Customer_Satisfaction]]&lt;=2,"Poor",Table1[[#This Row],[Customer_Satisfaction]]=3,"Neutral",Table1[[#This Row],[Customer_Satisfaction]]=4,"Good",Table1[[#This Row],[Customer_Satisfaction]]=5,"Good")</f>
        <v>Poor</v>
      </c>
    </row>
    <row r="2409" spans="1:27" x14ac:dyDescent="0.35">
      <c r="A2409">
        <v>22407</v>
      </c>
      <c r="B2409" s="1">
        <v>45438</v>
      </c>
      <c r="C2409" t="s">
        <v>30</v>
      </c>
      <c r="D2409" t="s">
        <v>83</v>
      </c>
      <c r="E2409" t="s">
        <v>119</v>
      </c>
      <c r="F2409" t="s">
        <v>22</v>
      </c>
      <c r="G2409" t="s">
        <v>63</v>
      </c>
      <c r="H2409" t="s">
        <v>24</v>
      </c>
      <c r="I2409" t="s">
        <v>55</v>
      </c>
      <c r="J2409" t="s">
        <v>58</v>
      </c>
      <c r="K2409" t="s">
        <v>27</v>
      </c>
      <c r="L2409" t="s">
        <v>49</v>
      </c>
      <c r="M2409" s="4">
        <v>20</v>
      </c>
      <c r="N2409" s="4">
        <v>7</v>
      </c>
      <c r="O2409" t="s">
        <v>29</v>
      </c>
      <c r="P2409" t="s">
        <v>36</v>
      </c>
      <c r="Q2409" s="4">
        <v>405102</v>
      </c>
      <c r="R2409" s="4">
        <v>291987</v>
      </c>
      <c r="S2409" s="4">
        <f>Table1[[#This Row],[Service_Revenue]]-Table1[[#This Row],[Service_Cost]]</f>
        <v>113115</v>
      </c>
      <c r="T2409" s="4">
        <v>1</v>
      </c>
      <c r="U2409" s="4">
        <f>IF(AND(Table1[[#This Row],[Rework_Flag]]="Yes",Table1[[#This Row],[Warranty_Claim]]="No"),Table1[[#This Row],[Service_Revenue]],0)</f>
        <v>405102</v>
      </c>
      <c r="V2409" s="4">
        <f>IF(Table1[[#This Row],[Warranty_Claim]]="Yes",1,0)</f>
        <v>0</v>
      </c>
      <c r="W2409" s="4">
        <f>IF(Table1[[#This Row],[Rework_Flag]]="No",1,0)</f>
        <v>0</v>
      </c>
      <c r="X2409" s="4">
        <f>IF(Table1[[#This Row],[Rework_Flag]]="Yes",1,0)</f>
        <v>1</v>
      </c>
      <c r="Y2409" s="4">
        <v>1</v>
      </c>
      <c r="Z2409" s="4" t="str">
        <f>IF(Table1[[#This Row],[TAT_Days]]&gt;Table1[[#This Row],[SLA_TAT]],"Yes","No")</f>
        <v>Yes</v>
      </c>
      <c r="AA2409" s="4" t="str" cm="1">
        <f t="array" ref="AA2409">_xlfn.IFS(Table1[[#This Row],[Customer_Satisfaction]]&lt;=2,"Poor",Table1[[#This Row],[Customer_Satisfaction]]=3,"Neutral",Table1[[#This Row],[Customer_Satisfaction]]=4,"Good",Table1[[#This Row],[Customer_Satisfaction]]=5,"Good")</f>
        <v>Poor</v>
      </c>
    </row>
    <row r="2410" spans="1:27" x14ac:dyDescent="0.35">
      <c r="A2410">
        <v>22408</v>
      </c>
      <c r="B2410" s="1">
        <v>45413</v>
      </c>
      <c r="C2410" t="s">
        <v>37</v>
      </c>
      <c r="D2410" t="s">
        <v>70</v>
      </c>
      <c r="E2410" t="s">
        <v>116</v>
      </c>
      <c r="F2410" t="s">
        <v>40</v>
      </c>
      <c r="G2410" t="s">
        <v>63</v>
      </c>
      <c r="H2410" t="s">
        <v>24</v>
      </c>
      <c r="I2410" t="s">
        <v>25</v>
      </c>
      <c r="J2410" t="s">
        <v>58</v>
      </c>
      <c r="K2410" t="s">
        <v>44</v>
      </c>
      <c r="L2410" t="s">
        <v>28</v>
      </c>
      <c r="M2410" s="4">
        <v>18</v>
      </c>
      <c r="N2410" s="4">
        <v>7</v>
      </c>
      <c r="O2410" t="s">
        <v>29</v>
      </c>
      <c r="P2410" t="s">
        <v>36</v>
      </c>
      <c r="Q2410" s="4">
        <v>391512</v>
      </c>
      <c r="R2410" s="4">
        <v>332128</v>
      </c>
      <c r="S2410" s="4">
        <f>Table1[[#This Row],[Service_Revenue]]-Table1[[#This Row],[Service_Cost]]</f>
        <v>59384</v>
      </c>
      <c r="T2410" s="4">
        <v>1</v>
      </c>
      <c r="U2410" s="4">
        <f>IF(AND(Table1[[#This Row],[Rework_Flag]]="Yes",Table1[[#This Row],[Warranty_Claim]]="No"),Table1[[#This Row],[Service_Revenue]],0)</f>
        <v>391512</v>
      </c>
      <c r="V2410" s="4">
        <f>IF(Table1[[#This Row],[Warranty_Claim]]="Yes",1,0)</f>
        <v>0</v>
      </c>
      <c r="W2410" s="4">
        <f>IF(Table1[[#This Row],[Rework_Flag]]="No",1,0)</f>
        <v>0</v>
      </c>
      <c r="X2410" s="4">
        <f>IF(Table1[[#This Row],[Rework_Flag]]="Yes",1,0)</f>
        <v>1</v>
      </c>
      <c r="Y2410" s="4">
        <v>1</v>
      </c>
      <c r="Z2410" s="4" t="str">
        <f>IF(Table1[[#This Row],[TAT_Days]]&gt;Table1[[#This Row],[SLA_TAT]],"Yes","No")</f>
        <v>Yes</v>
      </c>
      <c r="AA2410" s="4" t="str" cm="1">
        <f t="array" ref="AA2410">_xlfn.IFS(Table1[[#This Row],[Customer_Satisfaction]]&lt;=2,"Poor",Table1[[#This Row],[Customer_Satisfaction]]=3,"Neutral",Table1[[#This Row],[Customer_Satisfaction]]=4,"Good",Table1[[#This Row],[Customer_Satisfaction]]=5,"Good")</f>
        <v>Poor</v>
      </c>
    </row>
    <row r="2411" spans="1:27" x14ac:dyDescent="0.35">
      <c r="A2411">
        <v>22409</v>
      </c>
      <c r="B2411" s="1">
        <v>45356</v>
      </c>
      <c r="C2411" t="s">
        <v>50</v>
      </c>
      <c r="D2411" t="s">
        <v>51</v>
      </c>
      <c r="E2411" t="s">
        <v>75</v>
      </c>
      <c r="F2411" t="s">
        <v>53</v>
      </c>
      <c r="G2411" t="s">
        <v>54</v>
      </c>
      <c r="H2411" t="s">
        <v>42</v>
      </c>
      <c r="I2411" t="s">
        <v>25</v>
      </c>
      <c r="J2411" t="s">
        <v>67</v>
      </c>
      <c r="K2411" t="s">
        <v>61</v>
      </c>
      <c r="L2411" t="s">
        <v>49</v>
      </c>
      <c r="M2411" s="4">
        <v>13</v>
      </c>
      <c r="N2411" s="4">
        <v>7</v>
      </c>
      <c r="O2411" t="s">
        <v>36</v>
      </c>
      <c r="P2411" t="s">
        <v>36</v>
      </c>
      <c r="Q2411" s="4">
        <v>222071</v>
      </c>
      <c r="R2411" s="4">
        <v>123218</v>
      </c>
      <c r="S2411" s="4">
        <f>Table1[[#This Row],[Service_Revenue]]-Table1[[#This Row],[Service_Cost]]</f>
        <v>98853</v>
      </c>
      <c r="T2411" s="4">
        <v>3</v>
      </c>
      <c r="U2411" s="4">
        <f>IF(AND(Table1[[#This Row],[Rework_Flag]]="Yes",Table1[[#This Row],[Warranty_Claim]]="No"),Table1[[#This Row],[Service_Revenue]],0)</f>
        <v>0</v>
      </c>
      <c r="V2411" s="4">
        <f>IF(Table1[[#This Row],[Warranty_Claim]]="Yes",1,0)</f>
        <v>0</v>
      </c>
      <c r="W2411" s="4">
        <f>IF(Table1[[#This Row],[Rework_Flag]]="No",1,0)</f>
        <v>1</v>
      </c>
      <c r="X2411" s="4">
        <f>IF(Table1[[#This Row],[Rework_Flag]]="Yes",1,0)</f>
        <v>0</v>
      </c>
      <c r="Y2411" s="4">
        <v>1</v>
      </c>
      <c r="Z2411" s="4" t="str">
        <f>IF(Table1[[#This Row],[TAT_Days]]&gt;Table1[[#This Row],[SLA_TAT]],"Yes","No")</f>
        <v>Yes</v>
      </c>
      <c r="AA2411" s="4" t="str" cm="1">
        <f t="array" ref="AA2411">_xlfn.IFS(Table1[[#This Row],[Customer_Satisfaction]]&lt;=2,"Poor",Table1[[#This Row],[Customer_Satisfaction]]=3,"Neutral",Table1[[#This Row],[Customer_Satisfaction]]=4,"Good",Table1[[#This Row],[Customer_Satisfaction]]=5,"Good")</f>
        <v>Neutral</v>
      </c>
    </row>
    <row r="2412" spans="1:27" x14ac:dyDescent="0.35">
      <c r="A2412">
        <v>22410</v>
      </c>
      <c r="B2412" s="1">
        <v>45436</v>
      </c>
      <c r="C2412" t="s">
        <v>50</v>
      </c>
      <c r="D2412" t="s">
        <v>56</v>
      </c>
      <c r="E2412" t="s">
        <v>68</v>
      </c>
      <c r="F2412" t="s">
        <v>40</v>
      </c>
      <c r="G2412" t="s">
        <v>33</v>
      </c>
      <c r="H2412" t="s">
        <v>34</v>
      </c>
      <c r="I2412" t="s">
        <v>25</v>
      </c>
      <c r="J2412" t="s">
        <v>58</v>
      </c>
      <c r="K2412" t="s">
        <v>27</v>
      </c>
      <c r="L2412" t="s">
        <v>49</v>
      </c>
      <c r="M2412" s="4">
        <v>19</v>
      </c>
      <c r="N2412" s="4">
        <v>7</v>
      </c>
      <c r="O2412" t="s">
        <v>29</v>
      </c>
      <c r="P2412" t="s">
        <v>29</v>
      </c>
      <c r="Q2412" s="4">
        <v>349507</v>
      </c>
      <c r="R2412" s="4">
        <v>293637</v>
      </c>
      <c r="S2412" s="4">
        <f>Table1[[#This Row],[Service_Revenue]]-Table1[[#This Row],[Service_Cost]]</f>
        <v>55870</v>
      </c>
      <c r="T2412" s="4">
        <v>1</v>
      </c>
      <c r="U2412" s="4">
        <f>IF(AND(Table1[[#This Row],[Rework_Flag]]="Yes",Table1[[#This Row],[Warranty_Claim]]="No"),Table1[[#This Row],[Service_Revenue]],0)</f>
        <v>0</v>
      </c>
      <c r="V2412" s="4">
        <f>IF(Table1[[#This Row],[Warranty_Claim]]="Yes",1,0)</f>
        <v>1</v>
      </c>
      <c r="W2412" s="4">
        <f>IF(Table1[[#This Row],[Rework_Flag]]="No",1,0)</f>
        <v>0</v>
      </c>
      <c r="X2412" s="4">
        <f>IF(Table1[[#This Row],[Rework_Flag]]="Yes",1,0)</f>
        <v>1</v>
      </c>
      <c r="Y2412" s="4">
        <v>1</v>
      </c>
      <c r="Z2412" s="4" t="str">
        <f>IF(Table1[[#This Row],[TAT_Days]]&gt;Table1[[#This Row],[SLA_TAT]],"Yes","No")</f>
        <v>Yes</v>
      </c>
      <c r="AA2412" s="4" t="str" cm="1">
        <f t="array" ref="AA2412">_xlfn.IFS(Table1[[#This Row],[Customer_Satisfaction]]&lt;=2,"Poor",Table1[[#This Row],[Customer_Satisfaction]]=3,"Neutral",Table1[[#This Row],[Customer_Satisfaction]]=4,"Good",Table1[[#This Row],[Customer_Satisfaction]]=5,"Good")</f>
        <v>Poor</v>
      </c>
    </row>
    <row r="2413" spans="1:27" x14ac:dyDescent="0.35">
      <c r="A2413">
        <v>22411</v>
      </c>
      <c r="B2413" s="1">
        <v>45419</v>
      </c>
      <c r="C2413" t="s">
        <v>19</v>
      </c>
      <c r="D2413" t="s">
        <v>20</v>
      </c>
      <c r="E2413" t="s">
        <v>21</v>
      </c>
      <c r="F2413" t="s">
        <v>22</v>
      </c>
      <c r="G2413" t="s">
        <v>47</v>
      </c>
      <c r="H2413" t="s">
        <v>48</v>
      </c>
      <c r="I2413" t="s">
        <v>25</v>
      </c>
      <c r="J2413" t="s">
        <v>67</v>
      </c>
      <c r="K2413" t="s">
        <v>44</v>
      </c>
      <c r="L2413" t="s">
        <v>28</v>
      </c>
      <c r="M2413" s="4">
        <v>22</v>
      </c>
      <c r="N2413" s="4">
        <v>7</v>
      </c>
      <c r="O2413" t="s">
        <v>29</v>
      </c>
      <c r="P2413" t="s">
        <v>29</v>
      </c>
      <c r="Q2413" s="4">
        <v>119140</v>
      </c>
      <c r="R2413" s="4">
        <v>81737</v>
      </c>
      <c r="S2413" s="4">
        <f>Table1[[#This Row],[Service_Revenue]]-Table1[[#This Row],[Service_Cost]]</f>
        <v>37403</v>
      </c>
      <c r="T2413" s="4">
        <v>1</v>
      </c>
      <c r="U2413" s="4">
        <f>IF(AND(Table1[[#This Row],[Rework_Flag]]="Yes",Table1[[#This Row],[Warranty_Claim]]="No"),Table1[[#This Row],[Service_Revenue]],0)</f>
        <v>0</v>
      </c>
      <c r="V2413" s="4">
        <f>IF(Table1[[#This Row],[Warranty_Claim]]="Yes",1,0)</f>
        <v>1</v>
      </c>
      <c r="W2413" s="4">
        <f>IF(Table1[[#This Row],[Rework_Flag]]="No",1,0)</f>
        <v>0</v>
      </c>
      <c r="X2413" s="4">
        <f>IF(Table1[[#This Row],[Rework_Flag]]="Yes",1,0)</f>
        <v>1</v>
      </c>
      <c r="Y2413" s="4">
        <v>1</v>
      </c>
      <c r="Z2413" s="4" t="str">
        <f>IF(Table1[[#This Row],[TAT_Days]]&gt;Table1[[#This Row],[SLA_TAT]],"Yes","No")</f>
        <v>Yes</v>
      </c>
      <c r="AA2413" s="4" t="str" cm="1">
        <f t="array" ref="AA2413">_xlfn.IFS(Table1[[#This Row],[Customer_Satisfaction]]&lt;=2,"Poor",Table1[[#This Row],[Customer_Satisfaction]]=3,"Neutral",Table1[[#This Row],[Customer_Satisfaction]]=4,"Good",Table1[[#This Row],[Customer_Satisfaction]]=5,"Good")</f>
        <v>Poor</v>
      </c>
    </row>
    <row r="2414" spans="1:27" x14ac:dyDescent="0.35">
      <c r="A2414">
        <v>22412</v>
      </c>
      <c r="B2414" s="1">
        <v>45393</v>
      </c>
      <c r="C2414" t="s">
        <v>30</v>
      </c>
      <c r="D2414" t="s">
        <v>83</v>
      </c>
      <c r="E2414" t="s">
        <v>92</v>
      </c>
      <c r="F2414" t="s">
        <v>53</v>
      </c>
      <c r="G2414" t="s">
        <v>23</v>
      </c>
      <c r="H2414" t="s">
        <v>24</v>
      </c>
      <c r="I2414" t="s">
        <v>55</v>
      </c>
      <c r="J2414" t="s">
        <v>58</v>
      </c>
      <c r="K2414" t="s">
        <v>61</v>
      </c>
      <c r="L2414" t="s">
        <v>28</v>
      </c>
      <c r="M2414" s="4">
        <v>16</v>
      </c>
      <c r="N2414" s="4">
        <v>7</v>
      </c>
      <c r="O2414" t="s">
        <v>36</v>
      </c>
      <c r="P2414" t="s">
        <v>36</v>
      </c>
      <c r="Q2414" s="4">
        <v>418402</v>
      </c>
      <c r="R2414" s="4">
        <v>229558</v>
      </c>
      <c r="S2414" s="4">
        <f>Table1[[#This Row],[Service_Revenue]]-Table1[[#This Row],[Service_Cost]]</f>
        <v>188844</v>
      </c>
      <c r="T2414" s="4">
        <v>2</v>
      </c>
      <c r="U2414" s="4">
        <f>IF(AND(Table1[[#This Row],[Rework_Flag]]="Yes",Table1[[#This Row],[Warranty_Claim]]="No"),Table1[[#This Row],[Service_Revenue]],0)</f>
        <v>0</v>
      </c>
      <c r="V2414" s="4">
        <f>IF(Table1[[#This Row],[Warranty_Claim]]="Yes",1,0)</f>
        <v>0</v>
      </c>
      <c r="W2414" s="4">
        <f>IF(Table1[[#This Row],[Rework_Flag]]="No",1,0)</f>
        <v>1</v>
      </c>
      <c r="X2414" s="4">
        <f>IF(Table1[[#This Row],[Rework_Flag]]="Yes",1,0)</f>
        <v>0</v>
      </c>
      <c r="Y2414" s="4">
        <v>1</v>
      </c>
      <c r="Z2414" s="4" t="str">
        <f>IF(Table1[[#This Row],[TAT_Days]]&gt;Table1[[#This Row],[SLA_TAT]],"Yes","No")</f>
        <v>Yes</v>
      </c>
      <c r="AA2414" s="4" t="str" cm="1">
        <f t="array" ref="AA2414">_xlfn.IFS(Table1[[#This Row],[Customer_Satisfaction]]&lt;=2,"Poor",Table1[[#This Row],[Customer_Satisfaction]]=3,"Neutral",Table1[[#This Row],[Customer_Satisfaction]]=4,"Good",Table1[[#This Row],[Customer_Satisfaction]]=5,"Good")</f>
        <v>Poor</v>
      </c>
    </row>
    <row r="2415" spans="1:27" x14ac:dyDescent="0.35">
      <c r="A2415">
        <v>22413</v>
      </c>
      <c r="B2415" s="1">
        <v>45381</v>
      </c>
      <c r="C2415" t="s">
        <v>37</v>
      </c>
      <c r="D2415" t="s">
        <v>64</v>
      </c>
      <c r="E2415" t="s">
        <v>72</v>
      </c>
      <c r="F2415" t="s">
        <v>22</v>
      </c>
      <c r="G2415" t="s">
        <v>41</v>
      </c>
      <c r="H2415" t="s">
        <v>42</v>
      </c>
      <c r="I2415" t="s">
        <v>25</v>
      </c>
      <c r="J2415" t="s">
        <v>26</v>
      </c>
      <c r="K2415" t="s">
        <v>61</v>
      </c>
      <c r="L2415" t="s">
        <v>28</v>
      </c>
      <c r="M2415" s="4">
        <v>4</v>
      </c>
      <c r="N2415" s="4">
        <v>7</v>
      </c>
      <c r="O2415" t="s">
        <v>36</v>
      </c>
      <c r="P2415" t="s">
        <v>36</v>
      </c>
      <c r="Q2415" s="4">
        <v>139519</v>
      </c>
      <c r="R2415" s="4">
        <v>81278</v>
      </c>
      <c r="S2415" s="4">
        <f>Table1[[#This Row],[Service_Revenue]]-Table1[[#This Row],[Service_Cost]]</f>
        <v>58241</v>
      </c>
      <c r="T2415" s="4">
        <v>5</v>
      </c>
      <c r="U2415" s="4">
        <f>IF(AND(Table1[[#This Row],[Rework_Flag]]="Yes",Table1[[#This Row],[Warranty_Claim]]="No"),Table1[[#This Row],[Service_Revenue]],0)</f>
        <v>0</v>
      </c>
      <c r="V2415" s="4">
        <f>IF(Table1[[#This Row],[Warranty_Claim]]="Yes",1,0)</f>
        <v>0</v>
      </c>
      <c r="W2415" s="4">
        <f>IF(Table1[[#This Row],[Rework_Flag]]="No",1,0)</f>
        <v>1</v>
      </c>
      <c r="X2415" s="4">
        <f>IF(Table1[[#This Row],[Rework_Flag]]="Yes",1,0)</f>
        <v>0</v>
      </c>
      <c r="Y2415" s="4">
        <v>1</v>
      </c>
      <c r="Z2415" s="4" t="str">
        <f>IF(Table1[[#This Row],[TAT_Days]]&gt;Table1[[#This Row],[SLA_TAT]],"Yes","No")</f>
        <v>No</v>
      </c>
      <c r="AA2415" s="4" t="str" cm="1">
        <f t="array" ref="AA2415">_xlfn.IFS(Table1[[#This Row],[Customer_Satisfaction]]&lt;=2,"Poor",Table1[[#This Row],[Customer_Satisfaction]]=3,"Neutral",Table1[[#This Row],[Customer_Satisfaction]]=4,"Good",Table1[[#This Row],[Customer_Satisfaction]]=5,"Good")</f>
        <v>Good</v>
      </c>
    </row>
    <row r="2416" spans="1:27" x14ac:dyDescent="0.35">
      <c r="A2416">
        <v>22414</v>
      </c>
      <c r="B2416" s="1">
        <v>45439</v>
      </c>
      <c r="C2416" t="s">
        <v>19</v>
      </c>
      <c r="D2416" t="s">
        <v>96</v>
      </c>
      <c r="E2416" t="s">
        <v>98</v>
      </c>
      <c r="F2416" t="s">
        <v>40</v>
      </c>
      <c r="G2416" t="s">
        <v>63</v>
      </c>
      <c r="H2416" t="s">
        <v>24</v>
      </c>
      <c r="I2416" t="s">
        <v>55</v>
      </c>
      <c r="J2416" t="s">
        <v>58</v>
      </c>
      <c r="K2416" t="s">
        <v>61</v>
      </c>
      <c r="L2416" t="s">
        <v>49</v>
      </c>
      <c r="M2416" s="4">
        <v>14</v>
      </c>
      <c r="N2416" s="4">
        <v>7</v>
      </c>
      <c r="O2416" t="s">
        <v>29</v>
      </c>
      <c r="P2416" t="s">
        <v>29</v>
      </c>
      <c r="Q2416" s="4">
        <v>222404</v>
      </c>
      <c r="R2416" s="4">
        <v>155975</v>
      </c>
      <c r="S2416" s="4">
        <f>Table1[[#This Row],[Service_Revenue]]-Table1[[#This Row],[Service_Cost]]</f>
        <v>66429</v>
      </c>
      <c r="T2416" s="4">
        <v>2</v>
      </c>
      <c r="U2416" s="4">
        <f>IF(AND(Table1[[#This Row],[Rework_Flag]]="Yes",Table1[[#This Row],[Warranty_Claim]]="No"),Table1[[#This Row],[Service_Revenue]],0)</f>
        <v>0</v>
      </c>
      <c r="V2416" s="4">
        <f>IF(Table1[[#This Row],[Warranty_Claim]]="Yes",1,0)</f>
        <v>1</v>
      </c>
      <c r="W2416" s="4">
        <f>IF(Table1[[#This Row],[Rework_Flag]]="No",1,0)</f>
        <v>0</v>
      </c>
      <c r="X2416" s="4">
        <f>IF(Table1[[#This Row],[Rework_Flag]]="Yes",1,0)</f>
        <v>1</v>
      </c>
      <c r="Y2416" s="4">
        <v>1</v>
      </c>
      <c r="Z2416" s="4" t="str">
        <f>IF(Table1[[#This Row],[TAT_Days]]&gt;Table1[[#This Row],[SLA_TAT]],"Yes","No")</f>
        <v>Yes</v>
      </c>
      <c r="AA2416" s="4" t="str" cm="1">
        <f t="array" ref="AA2416">_xlfn.IFS(Table1[[#This Row],[Customer_Satisfaction]]&lt;=2,"Poor",Table1[[#This Row],[Customer_Satisfaction]]=3,"Neutral",Table1[[#This Row],[Customer_Satisfaction]]=4,"Good",Table1[[#This Row],[Customer_Satisfaction]]=5,"Good")</f>
        <v>Poor</v>
      </c>
    </row>
    <row r="2417" spans="1:27" x14ac:dyDescent="0.35">
      <c r="A2417">
        <v>22415</v>
      </c>
      <c r="B2417" s="1">
        <v>45379</v>
      </c>
      <c r="C2417" t="s">
        <v>50</v>
      </c>
      <c r="D2417" t="s">
        <v>80</v>
      </c>
      <c r="E2417" t="s">
        <v>104</v>
      </c>
      <c r="F2417" t="s">
        <v>53</v>
      </c>
      <c r="G2417" t="s">
        <v>41</v>
      </c>
      <c r="H2417" t="s">
        <v>42</v>
      </c>
      <c r="I2417" t="s">
        <v>55</v>
      </c>
      <c r="J2417" t="s">
        <v>35</v>
      </c>
      <c r="K2417" t="s">
        <v>61</v>
      </c>
      <c r="L2417" t="s">
        <v>49</v>
      </c>
      <c r="M2417" s="4">
        <v>2</v>
      </c>
      <c r="N2417" s="4">
        <v>7</v>
      </c>
      <c r="O2417" t="s">
        <v>29</v>
      </c>
      <c r="P2417" t="s">
        <v>36</v>
      </c>
      <c r="Q2417" s="4">
        <v>356849</v>
      </c>
      <c r="R2417" s="4">
        <v>181478</v>
      </c>
      <c r="S2417" s="4">
        <f>Table1[[#This Row],[Service_Revenue]]-Table1[[#This Row],[Service_Cost]]</f>
        <v>175371</v>
      </c>
      <c r="T2417" s="4">
        <v>4</v>
      </c>
      <c r="U2417" s="4">
        <f>IF(AND(Table1[[#This Row],[Rework_Flag]]="Yes",Table1[[#This Row],[Warranty_Claim]]="No"),Table1[[#This Row],[Service_Revenue]],0)</f>
        <v>356849</v>
      </c>
      <c r="V2417" s="4">
        <f>IF(Table1[[#This Row],[Warranty_Claim]]="Yes",1,0)</f>
        <v>0</v>
      </c>
      <c r="W2417" s="4">
        <f>IF(Table1[[#This Row],[Rework_Flag]]="No",1,0)</f>
        <v>0</v>
      </c>
      <c r="X2417" s="4">
        <f>IF(Table1[[#This Row],[Rework_Flag]]="Yes",1,0)</f>
        <v>1</v>
      </c>
      <c r="Y2417" s="4">
        <v>1</v>
      </c>
      <c r="Z2417" s="4" t="str">
        <f>IF(Table1[[#This Row],[TAT_Days]]&gt;Table1[[#This Row],[SLA_TAT]],"Yes","No")</f>
        <v>No</v>
      </c>
      <c r="AA2417" s="4" t="str" cm="1">
        <f t="array" ref="AA2417">_xlfn.IFS(Table1[[#This Row],[Customer_Satisfaction]]&lt;=2,"Poor",Table1[[#This Row],[Customer_Satisfaction]]=3,"Neutral",Table1[[#This Row],[Customer_Satisfaction]]=4,"Good",Table1[[#This Row],[Customer_Satisfaction]]=5,"Good")</f>
        <v>Good</v>
      </c>
    </row>
    <row r="2418" spans="1:27" x14ac:dyDescent="0.35">
      <c r="A2418">
        <v>22416</v>
      </c>
      <c r="B2418" s="1">
        <v>45398</v>
      </c>
      <c r="C2418" t="s">
        <v>19</v>
      </c>
      <c r="D2418" t="s">
        <v>96</v>
      </c>
      <c r="E2418" t="s">
        <v>109</v>
      </c>
      <c r="F2418" t="s">
        <v>53</v>
      </c>
      <c r="G2418" t="s">
        <v>74</v>
      </c>
      <c r="H2418" t="s">
        <v>34</v>
      </c>
      <c r="I2418" t="s">
        <v>25</v>
      </c>
      <c r="J2418" t="s">
        <v>35</v>
      </c>
      <c r="K2418" t="s">
        <v>61</v>
      </c>
      <c r="L2418" t="s">
        <v>49</v>
      </c>
      <c r="M2418" s="4">
        <v>19</v>
      </c>
      <c r="N2418" s="4">
        <v>7</v>
      </c>
      <c r="O2418" t="s">
        <v>29</v>
      </c>
      <c r="P2418" t="s">
        <v>36</v>
      </c>
      <c r="Q2418" s="4">
        <v>441035</v>
      </c>
      <c r="R2418" s="4">
        <v>339342</v>
      </c>
      <c r="S2418" s="4">
        <f>Table1[[#This Row],[Service_Revenue]]-Table1[[#This Row],[Service_Cost]]</f>
        <v>101693</v>
      </c>
      <c r="T2418" s="4">
        <v>1</v>
      </c>
      <c r="U2418" s="4">
        <f>IF(AND(Table1[[#This Row],[Rework_Flag]]="Yes",Table1[[#This Row],[Warranty_Claim]]="No"),Table1[[#This Row],[Service_Revenue]],0)</f>
        <v>441035</v>
      </c>
      <c r="V2418" s="4">
        <f>IF(Table1[[#This Row],[Warranty_Claim]]="Yes",1,0)</f>
        <v>0</v>
      </c>
      <c r="W2418" s="4">
        <f>IF(Table1[[#This Row],[Rework_Flag]]="No",1,0)</f>
        <v>0</v>
      </c>
      <c r="X2418" s="4">
        <f>IF(Table1[[#This Row],[Rework_Flag]]="Yes",1,0)</f>
        <v>1</v>
      </c>
      <c r="Y2418" s="4">
        <v>1</v>
      </c>
      <c r="Z2418" s="4" t="str">
        <f>IF(Table1[[#This Row],[TAT_Days]]&gt;Table1[[#This Row],[SLA_TAT]],"Yes","No")</f>
        <v>Yes</v>
      </c>
      <c r="AA2418" s="4" t="str" cm="1">
        <f t="array" ref="AA2418">_xlfn.IFS(Table1[[#This Row],[Customer_Satisfaction]]&lt;=2,"Poor",Table1[[#This Row],[Customer_Satisfaction]]=3,"Neutral",Table1[[#This Row],[Customer_Satisfaction]]=4,"Good",Table1[[#This Row],[Customer_Satisfaction]]=5,"Good")</f>
        <v>Poor</v>
      </c>
    </row>
    <row r="2419" spans="1:27" x14ac:dyDescent="0.35">
      <c r="A2419">
        <v>22417</v>
      </c>
      <c r="B2419" s="1">
        <v>45396</v>
      </c>
      <c r="C2419" t="s">
        <v>30</v>
      </c>
      <c r="D2419" t="s">
        <v>59</v>
      </c>
      <c r="E2419" t="s">
        <v>66</v>
      </c>
      <c r="F2419" t="s">
        <v>22</v>
      </c>
      <c r="G2419" t="s">
        <v>33</v>
      </c>
      <c r="H2419" t="s">
        <v>34</v>
      </c>
      <c r="I2419" t="s">
        <v>55</v>
      </c>
      <c r="J2419" t="s">
        <v>58</v>
      </c>
      <c r="K2419" t="s">
        <v>61</v>
      </c>
      <c r="L2419" t="s">
        <v>28</v>
      </c>
      <c r="M2419" s="4">
        <v>22</v>
      </c>
      <c r="N2419" s="4">
        <v>7</v>
      </c>
      <c r="O2419" t="s">
        <v>36</v>
      </c>
      <c r="P2419" t="s">
        <v>36</v>
      </c>
      <c r="Q2419" s="4">
        <v>177606</v>
      </c>
      <c r="R2419" s="4">
        <v>121226</v>
      </c>
      <c r="S2419" s="4">
        <f>Table1[[#This Row],[Service_Revenue]]-Table1[[#This Row],[Service_Cost]]</f>
        <v>56380</v>
      </c>
      <c r="T2419" s="4">
        <v>1</v>
      </c>
      <c r="U2419" s="4">
        <f>IF(AND(Table1[[#This Row],[Rework_Flag]]="Yes",Table1[[#This Row],[Warranty_Claim]]="No"),Table1[[#This Row],[Service_Revenue]],0)</f>
        <v>0</v>
      </c>
      <c r="V2419" s="4">
        <f>IF(Table1[[#This Row],[Warranty_Claim]]="Yes",1,0)</f>
        <v>0</v>
      </c>
      <c r="W2419" s="4">
        <f>IF(Table1[[#This Row],[Rework_Flag]]="No",1,0)</f>
        <v>1</v>
      </c>
      <c r="X2419" s="4">
        <f>IF(Table1[[#This Row],[Rework_Flag]]="Yes",1,0)</f>
        <v>0</v>
      </c>
      <c r="Y2419" s="4">
        <v>1</v>
      </c>
      <c r="Z2419" s="4" t="str">
        <f>IF(Table1[[#This Row],[TAT_Days]]&gt;Table1[[#This Row],[SLA_TAT]],"Yes","No")</f>
        <v>Yes</v>
      </c>
      <c r="AA2419" s="4" t="str" cm="1">
        <f t="array" ref="AA2419">_xlfn.IFS(Table1[[#This Row],[Customer_Satisfaction]]&lt;=2,"Poor",Table1[[#This Row],[Customer_Satisfaction]]=3,"Neutral",Table1[[#This Row],[Customer_Satisfaction]]=4,"Good",Table1[[#This Row],[Customer_Satisfaction]]=5,"Good")</f>
        <v>Poor</v>
      </c>
    </row>
    <row r="2420" spans="1:27" x14ac:dyDescent="0.35">
      <c r="A2420">
        <v>22418</v>
      </c>
      <c r="B2420" s="1">
        <v>45438</v>
      </c>
      <c r="C2420" t="s">
        <v>37</v>
      </c>
      <c r="D2420" t="s">
        <v>38</v>
      </c>
      <c r="E2420" t="s">
        <v>93</v>
      </c>
      <c r="F2420" t="s">
        <v>40</v>
      </c>
      <c r="G2420" t="s">
        <v>74</v>
      </c>
      <c r="H2420" t="s">
        <v>34</v>
      </c>
      <c r="I2420" t="s">
        <v>55</v>
      </c>
      <c r="J2420" t="s">
        <v>26</v>
      </c>
      <c r="K2420" t="s">
        <v>61</v>
      </c>
      <c r="L2420" t="s">
        <v>28</v>
      </c>
      <c r="M2420" s="4">
        <v>7</v>
      </c>
      <c r="N2420" s="4">
        <v>7</v>
      </c>
      <c r="O2420" t="s">
        <v>36</v>
      </c>
      <c r="P2420" t="s">
        <v>29</v>
      </c>
      <c r="Q2420" s="4">
        <v>130793</v>
      </c>
      <c r="R2420" s="4">
        <v>100356</v>
      </c>
      <c r="S2420" s="4">
        <f>Table1[[#This Row],[Service_Revenue]]-Table1[[#This Row],[Service_Cost]]</f>
        <v>30437</v>
      </c>
      <c r="T2420" s="4">
        <v>4</v>
      </c>
      <c r="U2420" s="4">
        <f>IF(AND(Table1[[#This Row],[Rework_Flag]]="Yes",Table1[[#This Row],[Warranty_Claim]]="No"),Table1[[#This Row],[Service_Revenue]],0)</f>
        <v>0</v>
      </c>
      <c r="V2420" s="4">
        <f>IF(Table1[[#This Row],[Warranty_Claim]]="Yes",1,0)</f>
        <v>1</v>
      </c>
      <c r="W2420" s="4">
        <f>IF(Table1[[#This Row],[Rework_Flag]]="No",1,0)</f>
        <v>1</v>
      </c>
      <c r="X2420" s="4">
        <f>IF(Table1[[#This Row],[Rework_Flag]]="Yes",1,0)</f>
        <v>0</v>
      </c>
      <c r="Y2420" s="4">
        <v>1</v>
      </c>
      <c r="Z2420" s="4" t="str">
        <f>IF(Table1[[#This Row],[TAT_Days]]&gt;Table1[[#This Row],[SLA_TAT]],"Yes","No")</f>
        <v>No</v>
      </c>
      <c r="AA2420" s="4" t="str" cm="1">
        <f t="array" ref="AA2420">_xlfn.IFS(Table1[[#This Row],[Customer_Satisfaction]]&lt;=2,"Poor",Table1[[#This Row],[Customer_Satisfaction]]=3,"Neutral",Table1[[#This Row],[Customer_Satisfaction]]=4,"Good",Table1[[#This Row],[Customer_Satisfaction]]=5,"Good")</f>
        <v>Good</v>
      </c>
    </row>
    <row r="2421" spans="1:27" x14ac:dyDescent="0.35">
      <c r="A2421">
        <v>22419</v>
      </c>
      <c r="B2421" s="1">
        <v>45425</v>
      </c>
      <c r="C2421" t="s">
        <v>37</v>
      </c>
      <c r="D2421" t="s">
        <v>38</v>
      </c>
      <c r="E2421" t="s">
        <v>39</v>
      </c>
      <c r="F2421" t="s">
        <v>40</v>
      </c>
      <c r="G2421" t="s">
        <v>74</v>
      </c>
      <c r="H2421" t="s">
        <v>34</v>
      </c>
      <c r="I2421" t="s">
        <v>55</v>
      </c>
      <c r="J2421" t="s">
        <v>67</v>
      </c>
      <c r="K2421" t="s">
        <v>61</v>
      </c>
      <c r="L2421" t="s">
        <v>28</v>
      </c>
      <c r="M2421" s="4">
        <v>10</v>
      </c>
      <c r="N2421" s="4">
        <v>7</v>
      </c>
      <c r="O2421" t="s">
        <v>29</v>
      </c>
      <c r="P2421" t="s">
        <v>36</v>
      </c>
      <c r="Q2421" s="4">
        <v>529961</v>
      </c>
      <c r="R2421" s="4">
        <v>371766</v>
      </c>
      <c r="S2421" s="4">
        <f>Table1[[#This Row],[Service_Revenue]]-Table1[[#This Row],[Service_Cost]]</f>
        <v>158195</v>
      </c>
      <c r="T2421" s="4">
        <v>2</v>
      </c>
      <c r="U2421" s="4">
        <f>IF(AND(Table1[[#This Row],[Rework_Flag]]="Yes",Table1[[#This Row],[Warranty_Claim]]="No"),Table1[[#This Row],[Service_Revenue]],0)</f>
        <v>529961</v>
      </c>
      <c r="V2421" s="4">
        <f>IF(Table1[[#This Row],[Warranty_Claim]]="Yes",1,0)</f>
        <v>0</v>
      </c>
      <c r="W2421" s="4">
        <f>IF(Table1[[#This Row],[Rework_Flag]]="No",1,0)</f>
        <v>0</v>
      </c>
      <c r="X2421" s="4">
        <f>IF(Table1[[#This Row],[Rework_Flag]]="Yes",1,0)</f>
        <v>1</v>
      </c>
      <c r="Y2421" s="4">
        <v>1</v>
      </c>
      <c r="Z2421" s="4" t="str">
        <f>IF(Table1[[#This Row],[TAT_Days]]&gt;Table1[[#This Row],[SLA_TAT]],"Yes","No")</f>
        <v>Yes</v>
      </c>
      <c r="AA2421" s="4" t="str" cm="1">
        <f t="array" ref="AA2421">_xlfn.IFS(Table1[[#This Row],[Customer_Satisfaction]]&lt;=2,"Poor",Table1[[#This Row],[Customer_Satisfaction]]=3,"Neutral",Table1[[#This Row],[Customer_Satisfaction]]=4,"Good",Table1[[#This Row],[Customer_Satisfaction]]=5,"Good")</f>
        <v>Poor</v>
      </c>
    </row>
    <row r="2422" spans="1:27" x14ac:dyDescent="0.35">
      <c r="A2422">
        <v>22420</v>
      </c>
      <c r="B2422" s="1">
        <v>45461</v>
      </c>
      <c r="C2422" t="s">
        <v>50</v>
      </c>
      <c r="D2422" t="s">
        <v>80</v>
      </c>
      <c r="E2422" t="s">
        <v>104</v>
      </c>
      <c r="F2422" t="s">
        <v>22</v>
      </c>
      <c r="G2422" t="s">
        <v>33</v>
      </c>
      <c r="H2422" t="s">
        <v>34</v>
      </c>
      <c r="I2422" t="s">
        <v>25</v>
      </c>
      <c r="J2422" t="s">
        <v>43</v>
      </c>
      <c r="K2422" t="s">
        <v>27</v>
      </c>
      <c r="L2422" t="s">
        <v>49</v>
      </c>
      <c r="M2422" s="4">
        <v>2</v>
      </c>
      <c r="N2422" s="4">
        <v>7</v>
      </c>
      <c r="O2422" t="s">
        <v>36</v>
      </c>
      <c r="P2422" t="s">
        <v>36</v>
      </c>
      <c r="Q2422" s="4">
        <v>143241</v>
      </c>
      <c r="R2422" s="4">
        <v>112893</v>
      </c>
      <c r="S2422" s="4">
        <f>Table1[[#This Row],[Service_Revenue]]-Table1[[#This Row],[Service_Cost]]</f>
        <v>30348</v>
      </c>
      <c r="T2422" s="4">
        <v>5</v>
      </c>
      <c r="U2422" s="4">
        <f>IF(AND(Table1[[#This Row],[Rework_Flag]]="Yes",Table1[[#This Row],[Warranty_Claim]]="No"),Table1[[#This Row],[Service_Revenue]],0)</f>
        <v>0</v>
      </c>
      <c r="V2422" s="4">
        <f>IF(Table1[[#This Row],[Warranty_Claim]]="Yes",1,0)</f>
        <v>0</v>
      </c>
      <c r="W2422" s="4">
        <f>IF(Table1[[#This Row],[Rework_Flag]]="No",1,0)</f>
        <v>1</v>
      </c>
      <c r="X2422" s="4">
        <f>IF(Table1[[#This Row],[Rework_Flag]]="Yes",1,0)</f>
        <v>0</v>
      </c>
      <c r="Y2422" s="4">
        <v>1</v>
      </c>
      <c r="Z2422" s="4" t="str">
        <f>IF(Table1[[#This Row],[TAT_Days]]&gt;Table1[[#This Row],[SLA_TAT]],"Yes","No")</f>
        <v>No</v>
      </c>
      <c r="AA2422" s="4" t="str" cm="1">
        <f t="array" ref="AA2422">_xlfn.IFS(Table1[[#This Row],[Customer_Satisfaction]]&lt;=2,"Poor",Table1[[#This Row],[Customer_Satisfaction]]=3,"Neutral",Table1[[#This Row],[Customer_Satisfaction]]=4,"Good",Table1[[#This Row],[Customer_Satisfaction]]=5,"Good")</f>
        <v>Good</v>
      </c>
    </row>
    <row r="2423" spans="1:27" x14ac:dyDescent="0.35">
      <c r="A2423">
        <v>22421</v>
      </c>
      <c r="B2423" s="1">
        <v>45425</v>
      </c>
      <c r="C2423" t="s">
        <v>37</v>
      </c>
      <c r="D2423" t="s">
        <v>38</v>
      </c>
      <c r="E2423" t="s">
        <v>39</v>
      </c>
      <c r="F2423" t="s">
        <v>22</v>
      </c>
      <c r="G2423" t="s">
        <v>54</v>
      </c>
      <c r="H2423" t="s">
        <v>42</v>
      </c>
      <c r="I2423" t="s">
        <v>25</v>
      </c>
      <c r="J2423" t="s">
        <v>26</v>
      </c>
      <c r="K2423" t="s">
        <v>61</v>
      </c>
      <c r="L2423" t="s">
        <v>49</v>
      </c>
      <c r="M2423" s="4">
        <v>4</v>
      </c>
      <c r="N2423" s="4">
        <v>7</v>
      </c>
      <c r="O2423" t="s">
        <v>29</v>
      </c>
      <c r="P2423" t="s">
        <v>36</v>
      </c>
      <c r="Q2423" s="4">
        <v>300239</v>
      </c>
      <c r="R2423" s="4">
        <v>184031</v>
      </c>
      <c r="S2423" s="4">
        <f>Table1[[#This Row],[Service_Revenue]]-Table1[[#This Row],[Service_Cost]]</f>
        <v>116208</v>
      </c>
      <c r="T2423" s="4">
        <v>4</v>
      </c>
      <c r="U2423" s="4">
        <f>IF(AND(Table1[[#This Row],[Rework_Flag]]="Yes",Table1[[#This Row],[Warranty_Claim]]="No"),Table1[[#This Row],[Service_Revenue]],0)</f>
        <v>300239</v>
      </c>
      <c r="V2423" s="4">
        <f>IF(Table1[[#This Row],[Warranty_Claim]]="Yes",1,0)</f>
        <v>0</v>
      </c>
      <c r="W2423" s="4">
        <f>IF(Table1[[#This Row],[Rework_Flag]]="No",1,0)</f>
        <v>0</v>
      </c>
      <c r="X2423" s="4">
        <f>IF(Table1[[#This Row],[Rework_Flag]]="Yes",1,0)</f>
        <v>1</v>
      </c>
      <c r="Y2423" s="4">
        <v>1</v>
      </c>
      <c r="Z2423" s="4" t="str">
        <f>IF(Table1[[#This Row],[TAT_Days]]&gt;Table1[[#This Row],[SLA_TAT]],"Yes","No")</f>
        <v>No</v>
      </c>
      <c r="AA2423" s="4" t="str" cm="1">
        <f t="array" ref="AA2423">_xlfn.IFS(Table1[[#This Row],[Customer_Satisfaction]]&lt;=2,"Poor",Table1[[#This Row],[Customer_Satisfaction]]=3,"Neutral",Table1[[#This Row],[Customer_Satisfaction]]=4,"Good",Table1[[#This Row],[Customer_Satisfaction]]=5,"Good")</f>
        <v>Good</v>
      </c>
    </row>
    <row r="2424" spans="1:27" x14ac:dyDescent="0.35">
      <c r="A2424">
        <v>22422</v>
      </c>
      <c r="B2424" s="1">
        <v>45368</v>
      </c>
      <c r="C2424" t="s">
        <v>19</v>
      </c>
      <c r="D2424" t="s">
        <v>45</v>
      </c>
      <c r="E2424" t="s">
        <v>99</v>
      </c>
      <c r="F2424" t="s">
        <v>40</v>
      </c>
      <c r="G2424" t="s">
        <v>63</v>
      </c>
      <c r="H2424" t="s">
        <v>24</v>
      </c>
      <c r="I2424" t="s">
        <v>55</v>
      </c>
      <c r="J2424" t="s">
        <v>67</v>
      </c>
      <c r="K2424" t="s">
        <v>27</v>
      </c>
      <c r="L2424" t="s">
        <v>49</v>
      </c>
      <c r="M2424" s="4">
        <v>16</v>
      </c>
      <c r="N2424" s="4">
        <v>7</v>
      </c>
      <c r="O2424" t="s">
        <v>29</v>
      </c>
      <c r="P2424" t="s">
        <v>36</v>
      </c>
      <c r="Q2424" s="4">
        <v>99456</v>
      </c>
      <c r="R2424" s="4">
        <v>76562</v>
      </c>
      <c r="S2424" s="4">
        <f>Table1[[#This Row],[Service_Revenue]]-Table1[[#This Row],[Service_Cost]]</f>
        <v>22894</v>
      </c>
      <c r="T2424" s="4">
        <v>1</v>
      </c>
      <c r="U2424" s="4">
        <f>IF(AND(Table1[[#This Row],[Rework_Flag]]="Yes",Table1[[#This Row],[Warranty_Claim]]="No"),Table1[[#This Row],[Service_Revenue]],0)</f>
        <v>99456</v>
      </c>
      <c r="V2424" s="4">
        <f>IF(Table1[[#This Row],[Warranty_Claim]]="Yes",1,0)</f>
        <v>0</v>
      </c>
      <c r="W2424" s="4">
        <f>IF(Table1[[#This Row],[Rework_Flag]]="No",1,0)</f>
        <v>0</v>
      </c>
      <c r="X2424" s="4">
        <f>IF(Table1[[#This Row],[Rework_Flag]]="Yes",1,0)</f>
        <v>1</v>
      </c>
      <c r="Y2424" s="4">
        <v>1</v>
      </c>
      <c r="Z2424" s="4" t="str">
        <f>IF(Table1[[#This Row],[TAT_Days]]&gt;Table1[[#This Row],[SLA_TAT]],"Yes","No")</f>
        <v>Yes</v>
      </c>
      <c r="AA2424" s="4" t="str" cm="1">
        <f t="array" ref="AA2424">_xlfn.IFS(Table1[[#This Row],[Customer_Satisfaction]]&lt;=2,"Poor",Table1[[#This Row],[Customer_Satisfaction]]=3,"Neutral",Table1[[#This Row],[Customer_Satisfaction]]=4,"Good",Table1[[#This Row],[Customer_Satisfaction]]=5,"Good")</f>
        <v>Poor</v>
      </c>
    </row>
    <row r="2425" spans="1:27" x14ac:dyDescent="0.35">
      <c r="A2425">
        <v>22423</v>
      </c>
      <c r="B2425" s="1">
        <v>45404</v>
      </c>
      <c r="C2425" t="s">
        <v>37</v>
      </c>
      <c r="D2425" t="s">
        <v>70</v>
      </c>
      <c r="E2425" t="s">
        <v>116</v>
      </c>
      <c r="F2425" t="s">
        <v>53</v>
      </c>
      <c r="G2425" t="s">
        <v>63</v>
      </c>
      <c r="H2425" t="s">
        <v>24</v>
      </c>
      <c r="I2425" t="s">
        <v>55</v>
      </c>
      <c r="J2425" t="s">
        <v>43</v>
      </c>
      <c r="K2425" t="s">
        <v>44</v>
      </c>
      <c r="L2425" t="s">
        <v>49</v>
      </c>
      <c r="M2425" s="4">
        <v>3</v>
      </c>
      <c r="N2425" s="4">
        <v>7</v>
      </c>
      <c r="O2425" t="s">
        <v>36</v>
      </c>
      <c r="P2425" t="s">
        <v>36</v>
      </c>
      <c r="Q2425" s="4">
        <v>367276</v>
      </c>
      <c r="R2425" s="4">
        <v>266850</v>
      </c>
      <c r="S2425" s="4">
        <f>Table1[[#This Row],[Service_Revenue]]-Table1[[#This Row],[Service_Cost]]</f>
        <v>100426</v>
      </c>
      <c r="T2425" s="4">
        <v>5</v>
      </c>
      <c r="U2425" s="4">
        <f>IF(AND(Table1[[#This Row],[Rework_Flag]]="Yes",Table1[[#This Row],[Warranty_Claim]]="No"),Table1[[#This Row],[Service_Revenue]],0)</f>
        <v>0</v>
      </c>
      <c r="V2425" s="4">
        <f>IF(Table1[[#This Row],[Warranty_Claim]]="Yes",1,0)</f>
        <v>0</v>
      </c>
      <c r="W2425" s="4">
        <f>IF(Table1[[#This Row],[Rework_Flag]]="No",1,0)</f>
        <v>1</v>
      </c>
      <c r="X2425" s="4">
        <f>IF(Table1[[#This Row],[Rework_Flag]]="Yes",1,0)</f>
        <v>0</v>
      </c>
      <c r="Y2425" s="4">
        <v>1</v>
      </c>
      <c r="Z2425" s="4" t="str">
        <f>IF(Table1[[#This Row],[TAT_Days]]&gt;Table1[[#This Row],[SLA_TAT]],"Yes","No")</f>
        <v>No</v>
      </c>
      <c r="AA2425" s="4" t="str" cm="1">
        <f t="array" ref="AA2425">_xlfn.IFS(Table1[[#This Row],[Customer_Satisfaction]]&lt;=2,"Poor",Table1[[#This Row],[Customer_Satisfaction]]=3,"Neutral",Table1[[#This Row],[Customer_Satisfaction]]=4,"Good",Table1[[#This Row],[Customer_Satisfaction]]=5,"Good")</f>
        <v>Good</v>
      </c>
    </row>
    <row r="2426" spans="1:27" x14ac:dyDescent="0.35">
      <c r="A2426">
        <v>22424</v>
      </c>
      <c r="B2426" s="1">
        <v>45353</v>
      </c>
      <c r="C2426" t="s">
        <v>30</v>
      </c>
      <c r="D2426" t="s">
        <v>31</v>
      </c>
      <c r="E2426" t="s">
        <v>32</v>
      </c>
      <c r="F2426" t="s">
        <v>40</v>
      </c>
      <c r="G2426" t="s">
        <v>23</v>
      </c>
      <c r="H2426" t="s">
        <v>24</v>
      </c>
      <c r="I2426" t="s">
        <v>25</v>
      </c>
      <c r="J2426" t="s">
        <v>43</v>
      </c>
      <c r="K2426" t="s">
        <v>27</v>
      </c>
      <c r="L2426" t="s">
        <v>28</v>
      </c>
      <c r="M2426" s="4">
        <v>21</v>
      </c>
      <c r="N2426" s="4">
        <v>7</v>
      </c>
      <c r="O2426" t="s">
        <v>29</v>
      </c>
      <c r="P2426" t="s">
        <v>36</v>
      </c>
      <c r="Q2426" s="4">
        <v>146502</v>
      </c>
      <c r="R2426" s="4">
        <v>94762</v>
      </c>
      <c r="S2426" s="4">
        <f>Table1[[#This Row],[Service_Revenue]]-Table1[[#This Row],[Service_Cost]]</f>
        <v>51740</v>
      </c>
      <c r="T2426" s="4">
        <v>1</v>
      </c>
      <c r="U2426" s="4">
        <f>IF(AND(Table1[[#This Row],[Rework_Flag]]="Yes",Table1[[#This Row],[Warranty_Claim]]="No"),Table1[[#This Row],[Service_Revenue]],0)</f>
        <v>146502</v>
      </c>
      <c r="V2426" s="4">
        <f>IF(Table1[[#This Row],[Warranty_Claim]]="Yes",1,0)</f>
        <v>0</v>
      </c>
      <c r="W2426" s="4">
        <f>IF(Table1[[#This Row],[Rework_Flag]]="No",1,0)</f>
        <v>0</v>
      </c>
      <c r="X2426" s="4">
        <f>IF(Table1[[#This Row],[Rework_Flag]]="Yes",1,0)</f>
        <v>1</v>
      </c>
      <c r="Y2426" s="4">
        <v>1</v>
      </c>
      <c r="Z2426" s="4" t="str">
        <f>IF(Table1[[#This Row],[TAT_Days]]&gt;Table1[[#This Row],[SLA_TAT]],"Yes","No")</f>
        <v>Yes</v>
      </c>
      <c r="AA2426" s="4" t="str" cm="1">
        <f t="array" ref="AA2426">_xlfn.IFS(Table1[[#This Row],[Customer_Satisfaction]]&lt;=2,"Poor",Table1[[#This Row],[Customer_Satisfaction]]=3,"Neutral",Table1[[#This Row],[Customer_Satisfaction]]=4,"Good",Table1[[#This Row],[Customer_Satisfaction]]=5,"Good")</f>
        <v>Poor</v>
      </c>
    </row>
    <row r="2427" spans="1:27" x14ac:dyDescent="0.35">
      <c r="A2427">
        <v>22425</v>
      </c>
      <c r="B2427" s="1">
        <v>45295</v>
      </c>
      <c r="C2427" t="s">
        <v>30</v>
      </c>
      <c r="D2427" t="s">
        <v>31</v>
      </c>
      <c r="E2427" t="s">
        <v>106</v>
      </c>
      <c r="F2427" t="s">
        <v>53</v>
      </c>
      <c r="G2427" t="s">
        <v>74</v>
      </c>
      <c r="H2427" t="s">
        <v>34</v>
      </c>
      <c r="I2427" t="s">
        <v>25</v>
      </c>
      <c r="J2427" t="s">
        <v>26</v>
      </c>
      <c r="K2427" t="s">
        <v>44</v>
      </c>
      <c r="L2427" t="s">
        <v>49</v>
      </c>
      <c r="M2427" s="4">
        <v>12</v>
      </c>
      <c r="N2427" s="4">
        <v>7</v>
      </c>
      <c r="O2427" t="s">
        <v>36</v>
      </c>
      <c r="P2427" t="s">
        <v>36</v>
      </c>
      <c r="Q2427" s="4">
        <v>539364</v>
      </c>
      <c r="R2427" s="4">
        <v>313553</v>
      </c>
      <c r="S2427" s="4">
        <f>Table1[[#This Row],[Service_Revenue]]-Table1[[#This Row],[Service_Cost]]</f>
        <v>225811</v>
      </c>
      <c r="T2427" s="4">
        <v>3</v>
      </c>
      <c r="U2427" s="4">
        <f>IF(AND(Table1[[#This Row],[Rework_Flag]]="Yes",Table1[[#This Row],[Warranty_Claim]]="No"),Table1[[#This Row],[Service_Revenue]],0)</f>
        <v>0</v>
      </c>
      <c r="V2427" s="4">
        <f>IF(Table1[[#This Row],[Warranty_Claim]]="Yes",1,0)</f>
        <v>0</v>
      </c>
      <c r="W2427" s="4">
        <f>IF(Table1[[#This Row],[Rework_Flag]]="No",1,0)</f>
        <v>1</v>
      </c>
      <c r="X2427" s="4">
        <f>IF(Table1[[#This Row],[Rework_Flag]]="Yes",1,0)</f>
        <v>0</v>
      </c>
      <c r="Y2427" s="4">
        <v>1</v>
      </c>
      <c r="Z2427" s="4" t="str">
        <f>IF(Table1[[#This Row],[TAT_Days]]&gt;Table1[[#This Row],[SLA_TAT]],"Yes","No")</f>
        <v>Yes</v>
      </c>
      <c r="AA2427" s="4" t="str" cm="1">
        <f t="array" ref="AA2427">_xlfn.IFS(Table1[[#This Row],[Customer_Satisfaction]]&lt;=2,"Poor",Table1[[#This Row],[Customer_Satisfaction]]=3,"Neutral",Table1[[#This Row],[Customer_Satisfaction]]=4,"Good",Table1[[#This Row],[Customer_Satisfaction]]=5,"Good")</f>
        <v>Neutral</v>
      </c>
    </row>
    <row r="2428" spans="1:27" x14ac:dyDescent="0.35">
      <c r="A2428">
        <v>22426</v>
      </c>
      <c r="B2428" s="1">
        <v>45302</v>
      </c>
      <c r="C2428" t="s">
        <v>37</v>
      </c>
      <c r="D2428" t="s">
        <v>38</v>
      </c>
      <c r="E2428" t="s">
        <v>112</v>
      </c>
      <c r="F2428" t="s">
        <v>53</v>
      </c>
      <c r="G2428" t="s">
        <v>41</v>
      </c>
      <c r="H2428" t="s">
        <v>42</v>
      </c>
      <c r="I2428" t="s">
        <v>25</v>
      </c>
      <c r="J2428" t="s">
        <v>67</v>
      </c>
      <c r="K2428" t="s">
        <v>61</v>
      </c>
      <c r="L2428" t="s">
        <v>49</v>
      </c>
      <c r="M2428" s="4">
        <v>8</v>
      </c>
      <c r="N2428" s="4">
        <v>7</v>
      </c>
      <c r="O2428" t="s">
        <v>36</v>
      </c>
      <c r="P2428" t="s">
        <v>29</v>
      </c>
      <c r="Q2428" s="4">
        <v>272835</v>
      </c>
      <c r="R2428" s="4">
        <v>181439</v>
      </c>
      <c r="S2428" s="4">
        <f>Table1[[#This Row],[Service_Revenue]]-Table1[[#This Row],[Service_Cost]]</f>
        <v>91396</v>
      </c>
      <c r="T2428" s="4">
        <v>4</v>
      </c>
      <c r="U2428" s="4">
        <f>IF(AND(Table1[[#This Row],[Rework_Flag]]="Yes",Table1[[#This Row],[Warranty_Claim]]="No"),Table1[[#This Row],[Service_Revenue]],0)</f>
        <v>0</v>
      </c>
      <c r="V2428" s="4">
        <f>IF(Table1[[#This Row],[Warranty_Claim]]="Yes",1,0)</f>
        <v>1</v>
      </c>
      <c r="W2428" s="4">
        <f>IF(Table1[[#This Row],[Rework_Flag]]="No",1,0)</f>
        <v>1</v>
      </c>
      <c r="X2428" s="4">
        <f>IF(Table1[[#This Row],[Rework_Flag]]="Yes",1,0)</f>
        <v>0</v>
      </c>
      <c r="Y2428" s="4">
        <v>1</v>
      </c>
      <c r="Z2428" s="4" t="str">
        <f>IF(Table1[[#This Row],[TAT_Days]]&gt;Table1[[#This Row],[SLA_TAT]],"Yes","No")</f>
        <v>Yes</v>
      </c>
      <c r="AA2428" s="4" t="str" cm="1">
        <f t="array" ref="AA2428">_xlfn.IFS(Table1[[#This Row],[Customer_Satisfaction]]&lt;=2,"Poor",Table1[[#This Row],[Customer_Satisfaction]]=3,"Neutral",Table1[[#This Row],[Customer_Satisfaction]]=4,"Good",Table1[[#This Row],[Customer_Satisfaction]]=5,"Good")</f>
        <v>Good</v>
      </c>
    </row>
    <row r="2429" spans="1:27" x14ac:dyDescent="0.35">
      <c r="A2429">
        <v>22427</v>
      </c>
      <c r="B2429" s="1">
        <v>45375</v>
      </c>
      <c r="C2429" t="s">
        <v>19</v>
      </c>
      <c r="D2429" t="s">
        <v>20</v>
      </c>
      <c r="E2429" t="s">
        <v>21</v>
      </c>
      <c r="F2429" t="s">
        <v>40</v>
      </c>
      <c r="G2429" t="s">
        <v>41</v>
      </c>
      <c r="H2429" t="s">
        <v>42</v>
      </c>
      <c r="I2429" t="s">
        <v>55</v>
      </c>
      <c r="J2429" t="s">
        <v>43</v>
      </c>
      <c r="K2429" t="s">
        <v>61</v>
      </c>
      <c r="L2429" t="s">
        <v>28</v>
      </c>
      <c r="M2429" s="4">
        <v>21</v>
      </c>
      <c r="N2429" s="4">
        <v>7</v>
      </c>
      <c r="O2429" t="s">
        <v>29</v>
      </c>
      <c r="P2429" t="s">
        <v>36</v>
      </c>
      <c r="Q2429" s="4">
        <v>406758</v>
      </c>
      <c r="R2429" s="4">
        <v>208908</v>
      </c>
      <c r="S2429" s="4">
        <f>Table1[[#This Row],[Service_Revenue]]-Table1[[#This Row],[Service_Cost]]</f>
        <v>197850</v>
      </c>
      <c r="T2429" s="4">
        <v>1</v>
      </c>
      <c r="U2429" s="4">
        <f>IF(AND(Table1[[#This Row],[Rework_Flag]]="Yes",Table1[[#This Row],[Warranty_Claim]]="No"),Table1[[#This Row],[Service_Revenue]],0)</f>
        <v>406758</v>
      </c>
      <c r="V2429" s="4">
        <f>IF(Table1[[#This Row],[Warranty_Claim]]="Yes",1,0)</f>
        <v>0</v>
      </c>
      <c r="W2429" s="4">
        <f>IF(Table1[[#This Row],[Rework_Flag]]="No",1,0)</f>
        <v>0</v>
      </c>
      <c r="X2429" s="4">
        <f>IF(Table1[[#This Row],[Rework_Flag]]="Yes",1,0)</f>
        <v>1</v>
      </c>
      <c r="Y2429" s="4">
        <v>1</v>
      </c>
      <c r="Z2429" s="4" t="str">
        <f>IF(Table1[[#This Row],[TAT_Days]]&gt;Table1[[#This Row],[SLA_TAT]],"Yes","No")</f>
        <v>Yes</v>
      </c>
      <c r="AA2429" s="4" t="str" cm="1">
        <f t="array" ref="AA2429">_xlfn.IFS(Table1[[#This Row],[Customer_Satisfaction]]&lt;=2,"Poor",Table1[[#This Row],[Customer_Satisfaction]]=3,"Neutral",Table1[[#This Row],[Customer_Satisfaction]]=4,"Good",Table1[[#This Row],[Customer_Satisfaction]]=5,"Good")</f>
        <v>Poor</v>
      </c>
    </row>
    <row r="2430" spans="1:27" x14ac:dyDescent="0.35">
      <c r="A2430">
        <v>22428</v>
      </c>
      <c r="B2430" s="1">
        <v>45333</v>
      </c>
      <c r="C2430" t="s">
        <v>50</v>
      </c>
      <c r="D2430" t="s">
        <v>56</v>
      </c>
      <c r="E2430" t="s">
        <v>57</v>
      </c>
      <c r="F2430" t="s">
        <v>53</v>
      </c>
      <c r="G2430" t="s">
        <v>33</v>
      </c>
      <c r="H2430" t="s">
        <v>34</v>
      </c>
      <c r="I2430" t="s">
        <v>25</v>
      </c>
      <c r="J2430" t="s">
        <v>58</v>
      </c>
      <c r="K2430" t="s">
        <v>44</v>
      </c>
      <c r="L2430" t="s">
        <v>28</v>
      </c>
      <c r="M2430" s="4">
        <v>21</v>
      </c>
      <c r="N2430" s="4">
        <v>7</v>
      </c>
      <c r="O2430" t="s">
        <v>36</v>
      </c>
      <c r="P2430" t="s">
        <v>29</v>
      </c>
      <c r="Q2430" s="4">
        <v>223456</v>
      </c>
      <c r="R2430" s="4">
        <v>147923</v>
      </c>
      <c r="S2430" s="4">
        <f>Table1[[#This Row],[Service_Revenue]]-Table1[[#This Row],[Service_Cost]]</f>
        <v>75533</v>
      </c>
      <c r="T2430" s="4">
        <v>1</v>
      </c>
      <c r="U2430" s="4">
        <f>IF(AND(Table1[[#This Row],[Rework_Flag]]="Yes",Table1[[#This Row],[Warranty_Claim]]="No"),Table1[[#This Row],[Service_Revenue]],0)</f>
        <v>0</v>
      </c>
      <c r="V2430" s="4">
        <f>IF(Table1[[#This Row],[Warranty_Claim]]="Yes",1,0)</f>
        <v>1</v>
      </c>
      <c r="W2430" s="4">
        <f>IF(Table1[[#This Row],[Rework_Flag]]="No",1,0)</f>
        <v>1</v>
      </c>
      <c r="X2430" s="4">
        <f>IF(Table1[[#This Row],[Rework_Flag]]="Yes",1,0)</f>
        <v>0</v>
      </c>
      <c r="Y2430" s="4">
        <v>1</v>
      </c>
      <c r="Z2430" s="4" t="str">
        <f>IF(Table1[[#This Row],[TAT_Days]]&gt;Table1[[#This Row],[SLA_TAT]],"Yes","No")</f>
        <v>Yes</v>
      </c>
      <c r="AA2430" s="4" t="str" cm="1">
        <f t="array" ref="AA2430">_xlfn.IFS(Table1[[#This Row],[Customer_Satisfaction]]&lt;=2,"Poor",Table1[[#This Row],[Customer_Satisfaction]]=3,"Neutral",Table1[[#This Row],[Customer_Satisfaction]]=4,"Good",Table1[[#This Row],[Customer_Satisfaction]]=5,"Good")</f>
        <v>Poor</v>
      </c>
    </row>
    <row r="2431" spans="1:27" x14ac:dyDescent="0.35">
      <c r="A2431">
        <v>22429</v>
      </c>
      <c r="B2431" s="1">
        <v>45298</v>
      </c>
      <c r="C2431" t="s">
        <v>30</v>
      </c>
      <c r="D2431" t="s">
        <v>83</v>
      </c>
      <c r="E2431" t="s">
        <v>95</v>
      </c>
      <c r="F2431" t="s">
        <v>22</v>
      </c>
      <c r="G2431" t="s">
        <v>54</v>
      </c>
      <c r="H2431" t="s">
        <v>42</v>
      </c>
      <c r="I2431" t="s">
        <v>55</v>
      </c>
      <c r="J2431" t="s">
        <v>58</v>
      </c>
      <c r="K2431" t="s">
        <v>27</v>
      </c>
      <c r="L2431" t="s">
        <v>49</v>
      </c>
      <c r="M2431" s="4">
        <v>4</v>
      </c>
      <c r="N2431" s="4">
        <v>7</v>
      </c>
      <c r="O2431" t="s">
        <v>29</v>
      </c>
      <c r="P2431" t="s">
        <v>36</v>
      </c>
      <c r="Q2431" s="4">
        <v>236576</v>
      </c>
      <c r="R2431" s="4">
        <v>143298</v>
      </c>
      <c r="S2431" s="4">
        <f>Table1[[#This Row],[Service_Revenue]]-Table1[[#This Row],[Service_Cost]]</f>
        <v>93278</v>
      </c>
      <c r="T2431" s="4">
        <v>4</v>
      </c>
      <c r="U2431" s="4">
        <f>IF(AND(Table1[[#This Row],[Rework_Flag]]="Yes",Table1[[#This Row],[Warranty_Claim]]="No"),Table1[[#This Row],[Service_Revenue]],0)</f>
        <v>236576</v>
      </c>
      <c r="V2431" s="4">
        <f>IF(Table1[[#This Row],[Warranty_Claim]]="Yes",1,0)</f>
        <v>0</v>
      </c>
      <c r="W2431" s="4">
        <f>IF(Table1[[#This Row],[Rework_Flag]]="No",1,0)</f>
        <v>0</v>
      </c>
      <c r="X2431" s="4">
        <f>IF(Table1[[#This Row],[Rework_Flag]]="Yes",1,0)</f>
        <v>1</v>
      </c>
      <c r="Y2431" s="4">
        <v>1</v>
      </c>
      <c r="Z2431" s="4" t="str">
        <f>IF(Table1[[#This Row],[TAT_Days]]&gt;Table1[[#This Row],[SLA_TAT]],"Yes","No")</f>
        <v>No</v>
      </c>
      <c r="AA2431" s="4" t="str" cm="1">
        <f t="array" ref="AA2431">_xlfn.IFS(Table1[[#This Row],[Customer_Satisfaction]]&lt;=2,"Poor",Table1[[#This Row],[Customer_Satisfaction]]=3,"Neutral",Table1[[#This Row],[Customer_Satisfaction]]=4,"Good",Table1[[#This Row],[Customer_Satisfaction]]=5,"Good")</f>
        <v>Good</v>
      </c>
    </row>
    <row r="2432" spans="1:27" x14ac:dyDescent="0.35">
      <c r="A2432">
        <v>22430</v>
      </c>
      <c r="B2432" s="1">
        <v>45388</v>
      </c>
      <c r="C2432" t="s">
        <v>30</v>
      </c>
      <c r="D2432" t="s">
        <v>59</v>
      </c>
      <c r="E2432" t="s">
        <v>94</v>
      </c>
      <c r="F2432" t="s">
        <v>22</v>
      </c>
      <c r="G2432" t="s">
        <v>47</v>
      </c>
      <c r="H2432" t="s">
        <v>48</v>
      </c>
      <c r="I2432" t="s">
        <v>25</v>
      </c>
      <c r="J2432" t="s">
        <v>26</v>
      </c>
      <c r="K2432" t="s">
        <v>44</v>
      </c>
      <c r="L2432" t="s">
        <v>28</v>
      </c>
      <c r="M2432" s="4">
        <v>3</v>
      </c>
      <c r="N2432" s="4">
        <v>7</v>
      </c>
      <c r="O2432" t="s">
        <v>36</v>
      </c>
      <c r="P2432" t="s">
        <v>29</v>
      </c>
      <c r="Q2432" s="4">
        <v>529016</v>
      </c>
      <c r="R2432" s="4">
        <v>377365</v>
      </c>
      <c r="S2432" s="4">
        <f>Table1[[#This Row],[Service_Revenue]]-Table1[[#This Row],[Service_Cost]]</f>
        <v>151651</v>
      </c>
      <c r="T2432" s="4">
        <v>5</v>
      </c>
      <c r="U2432" s="4">
        <f>IF(AND(Table1[[#This Row],[Rework_Flag]]="Yes",Table1[[#This Row],[Warranty_Claim]]="No"),Table1[[#This Row],[Service_Revenue]],0)</f>
        <v>0</v>
      </c>
      <c r="V2432" s="4">
        <f>IF(Table1[[#This Row],[Warranty_Claim]]="Yes",1,0)</f>
        <v>1</v>
      </c>
      <c r="W2432" s="4">
        <f>IF(Table1[[#This Row],[Rework_Flag]]="No",1,0)</f>
        <v>1</v>
      </c>
      <c r="X2432" s="4">
        <f>IF(Table1[[#This Row],[Rework_Flag]]="Yes",1,0)</f>
        <v>0</v>
      </c>
      <c r="Y2432" s="4">
        <v>1</v>
      </c>
      <c r="Z2432" s="4" t="str">
        <f>IF(Table1[[#This Row],[TAT_Days]]&gt;Table1[[#This Row],[SLA_TAT]],"Yes","No")</f>
        <v>No</v>
      </c>
      <c r="AA2432" s="4" t="str" cm="1">
        <f t="array" ref="AA2432">_xlfn.IFS(Table1[[#This Row],[Customer_Satisfaction]]&lt;=2,"Poor",Table1[[#This Row],[Customer_Satisfaction]]=3,"Neutral",Table1[[#This Row],[Customer_Satisfaction]]=4,"Good",Table1[[#This Row],[Customer_Satisfaction]]=5,"Good")</f>
        <v>Good</v>
      </c>
    </row>
    <row r="2433" spans="1:27" x14ac:dyDescent="0.35">
      <c r="A2433">
        <v>22431</v>
      </c>
      <c r="B2433" s="1">
        <v>45346</v>
      </c>
      <c r="C2433" t="s">
        <v>19</v>
      </c>
      <c r="D2433" t="s">
        <v>96</v>
      </c>
      <c r="E2433" t="s">
        <v>98</v>
      </c>
      <c r="F2433" t="s">
        <v>22</v>
      </c>
      <c r="G2433" t="s">
        <v>33</v>
      </c>
      <c r="H2433" t="s">
        <v>34</v>
      </c>
      <c r="I2433" t="s">
        <v>25</v>
      </c>
      <c r="J2433" t="s">
        <v>58</v>
      </c>
      <c r="K2433" t="s">
        <v>27</v>
      </c>
      <c r="L2433" t="s">
        <v>49</v>
      </c>
      <c r="M2433" s="4">
        <v>20</v>
      </c>
      <c r="N2433" s="4">
        <v>7</v>
      </c>
      <c r="O2433" t="s">
        <v>29</v>
      </c>
      <c r="P2433" t="s">
        <v>36</v>
      </c>
      <c r="Q2433" s="4">
        <v>313036</v>
      </c>
      <c r="R2433" s="4">
        <v>251730</v>
      </c>
      <c r="S2433" s="4">
        <f>Table1[[#This Row],[Service_Revenue]]-Table1[[#This Row],[Service_Cost]]</f>
        <v>61306</v>
      </c>
      <c r="T2433" s="4">
        <v>1</v>
      </c>
      <c r="U2433" s="4">
        <f>IF(AND(Table1[[#This Row],[Rework_Flag]]="Yes",Table1[[#This Row],[Warranty_Claim]]="No"),Table1[[#This Row],[Service_Revenue]],0)</f>
        <v>313036</v>
      </c>
      <c r="V2433" s="4">
        <f>IF(Table1[[#This Row],[Warranty_Claim]]="Yes",1,0)</f>
        <v>0</v>
      </c>
      <c r="W2433" s="4">
        <f>IF(Table1[[#This Row],[Rework_Flag]]="No",1,0)</f>
        <v>0</v>
      </c>
      <c r="X2433" s="4">
        <f>IF(Table1[[#This Row],[Rework_Flag]]="Yes",1,0)</f>
        <v>1</v>
      </c>
      <c r="Y2433" s="4">
        <v>1</v>
      </c>
      <c r="Z2433" s="4" t="str">
        <f>IF(Table1[[#This Row],[TAT_Days]]&gt;Table1[[#This Row],[SLA_TAT]],"Yes","No")</f>
        <v>Yes</v>
      </c>
      <c r="AA2433" s="4" t="str" cm="1">
        <f t="array" ref="AA2433">_xlfn.IFS(Table1[[#This Row],[Customer_Satisfaction]]&lt;=2,"Poor",Table1[[#This Row],[Customer_Satisfaction]]=3,"Neutral",Table1[[#This Row],[Customer_Satisfaction]]=4,"Good",Table1[[#This Row],[Customer_Satisfaction]]=5,"Good")</f>
        <v>Poor</v>
      </c>
    </row>
    <row r="2434" spans="1:27" x14ac:dyDescent="0.35">
      <c r="A2434">
        <v>22432</v>
      </c>
      <c r="B2434" s="1">
        <v>45405</v>
      </c>
      <c r="C2434" t="s">
        <v>50</v>
      </c>
      <c r="D2434" t="s">
        <v>51</v>
      </c>
      <c r="E2434" t="s">
        <v>73</v>
      </c>
      <c r="F2434" t="s">
        <v>40</v>
      </c>
      <c r="G2434" t="s">
        <v>54</v>
      </c>
      <c r="H2434" t="s">
        <v>42</v>
      </c>
      <c r="I2434" t="s">
        <v>25</v>
      </c>
      <c r="J2434" t="s">
        <v>43</v>
      </c>
      <c r="K2434" t="s">
        <v>61</v>
      </c>
      <c r="L2434" t="s">
        <v>28</v>
      </c>
      <c r="M2434" s="4">
        <v>7</v>
      </c>
      <c r="N2434" s="4">
        <v>7</v>
      </c>
      <c r="O2434" t="s">
        <v>29</v>
      </c>
      <c r="P2434" t="s">
        <v>29</v>
      </c>
      <c r="Q2434" s="4">
        <v>592084</v>
      </c>
      <c r="R2434" s="4">
        <v>353732</v>
      </c>
      <c r="S2434" s="4">
        <f>Table1[[#This Row],[Service_Revenue]]-Table1[[#This Row],[Service_Cost]]</f>
        <v>238352</v>
      </c>
      <c r="T2434" s="4">
        <v>3</v>
      </c>
      <c r="U2434" s="4">
        <f>IF(AND(Table1[[#This Row],[Rework_Flag]]="Yes",Table1[[#This Row],[Warranty_Claim]]="No"),Table1[[#This Row],[Service_Revenue]],0)</f>
        <v>0</v>
      </c>
      <c r="V2434" s="4">
        <f>IF(Table1[[#This Row],[Warranty_Claim]]="Yes",1,0)</f>
        <v>1</v>
      </c>
      <c r="W2434" s="4">
        <f>IF(Table1[[#This Row],[Rework_Flag]]="No",1,0)</f>
        <v>0</v>
      </c>
      <c r="X2434" s="4">
        <f>IF(Table1[[#This Row],[Rework_Flag]]="Yes",1,0)</f>
        <v>1</v>
      </c>
      <c r="Y2434" s="4">
        <v>1</v>
      </c>
      <c r="Z2434" s="4" t="str">
        <f>IF(Table1[[#This Row],[TAT_Days]]&gt;Table1[[#This Row],[SLA_TAT]],"Yes","No")</f>
        <v>No</v>
      </c>
      <c r="AA2434" s="4" t="str" cm="1">
        <f t="array" ref="AA2434">_xlfn.IFS(Table1[[#This Row],[Customer_Satisfaction]]&lt;=2,"Poor",Table1[[#This Row],[Customer_Satisfaction]]=3,"Neutral",Table1[[#This Row],[Customer_Satisfaction]]=4,"Good",Table1[[#This Row],[Customer_Satisfaction]]=5,"Good")</f>
        <v>Neutral</v>
      </c>
    </row>
    <row r="2435" spans="1:27" x14ac:dyDescent="0.35">
      <c r="A2435">
        <v>22433</v>
      </c>
      <c r="B2435" s="1">
        <v>45417</v>
      </c>
      <c r="C2435" t="s">
        <v>19</v>
      </c>
      <c r="D2435" t="s">
        <v>45</v>
      </c>
      <c r="E2435" t="s">
        <v>46</v>
      </c>
      <c r="F2435" t="s">
        <v>22</v>
      </c>
      <c r="G2435" t="s">
        <v>23</v>
      </c>
      <c r="H2435" t="s">
        <v>24</v>
      </c>
      <c r="I2435" t="s">
        <v>25</v>
      </c>
      <c r="J2435" t="s">
        <v>26</v>
      </c>
      <c r="K2435" t="s">
        <v>27</v>
      </c>
      <c r="L2435" t="s">
        <v>49</v>
      </c>
      <c r="M2435" s="4">
        <v>18</v>
      </c>
      <c r="N2435" s="4">
        <v>7</v>
      </c>
      <c r="O2435" t="s">
        <v>29</v>
      </c>
      <c r="P2435" t="s">
        <v>36</v>
      </c>
      <c r="Q2435" s="4">
        <v>219892</v>
      </c>
      <c r="R2435" s="4">
        <v>150621</v>
      </c>
      <c r="S2435" s="4">
        <f>Table1[[#This Row],[Service_Revenue]]-Table1[[#This Row],[Service_Cost]]</f>
        <v>69271</v>
      </c>
      <c r="T2435" s="4">
        <v>1</v>
      </c>
      <c r="U2435" s="4">
        <f>IF(AND(Table1[[#This Row],[Rework_Flag]]="Yes",Table1[[#This Row],[Warranty_Claim]]="No"),Table1[[#This Row],[Service_Revenue]],0)</f>
        <v>219892</v>
      </c>
      <c r="V2435" s="4">
        <f>IF(Table1[[#This Row],[Warranty_Claim]]="Yes",1,0)</f>
        <v>0</v>
      </c>
      <c r="W2435" s="4">
        <f>IF(Table1[[#This Row],[Rework_Flag]]="No",1,0)</f>
        <v>0</v>
      </c>
      <c r="X2435" s="4">
        <f>IF(Table1[[#This Row],[Rework_Flag]]="Yes",1,0)</f>
        <v>1</v>
      </c>
      <c r="Y2435" s="4">
        <v>1</v>
      </c>
      <c r="Z2435" s="4" t="str">
        <f>IF(Table1[[#This Row],[TAT_Days]]&gt;Table1[[#This Row],[SLA_TAT]],"Yes","No")</f>
        <v>Yes</v>
      </c>
      <c r="AA2435" s="4" t="str" cm="1">
        <f t="array" ref="AA2435">_xlfn.IFS(Table1[[#This Row],[Customer_Satisfaction]]&lt;=2,"Poor",Table1[[#This Row],[Customer_Satisfaction]]=3,"Neutral",Table1[[#This Row],[Customer_Satisfaction]]=4,"Good",Table1[[#This Row],[Customer_Satisfaction]]=5,"Good")</f>
        <v>Poor</v>
      </c>
    </row>
    <row r="2436" spans="1:27" x14ac:dyDescent="0.35">
      <c r="A2436">
        <v>22434</v>
      </c>
      <c r="B2436" s="1">
        <v>45421</v>
      </c>
      <c r="C2436" t="s">
        <v>50</v>
      </c>
      <c r="D2436" t="s">
        <v>56</v>
      </c>
      <c r="E2436" t="s">
        <v>68</v>
      </c>
      <c r="F2436" t="s">
        <v>53</v>
      </c>
      <c r="G2436" t="s">
        <v>54</v>
      </c>
      <c r="H2436" t="s">
        <v>42</v>
      </c>
      <c r="I2436" t="s">
        <v>55</v>
      </c>
      <c r="J2436" t="s">
        <v>43</v>
      </c>
      <c r="K2436" t="s">
        <v>44</v>
      </c>
      <c r="L2436" t="s">
        <v>49</v>
      </c>
      <c r="M2436" s="4">
        <v>22</v>
      </c>
      <c r="N2436" s="4">
        <v>7</v>
      </c>
      <c r="O2436" t="s">
        <v>36</v>
      </c>
      <c r="P2436" t="s">
        <v>36</v>
      </c>
      <c r="Q2436" s="4">
        <v>153711</v>
      </c>
      <c r="R2436" s="4">
        <v>85728</v>
      </c>
      <c r="S2436" s="4">
        <f>Table1[[#This Row],[Service_Revenue]]-Table1[[#This Row],[Service_Cost]]</f>
        <v>67983</v>
      </c>
      <c r="T2436" s="4">
        <v>1</v>
      </c>
      <c r="U2436" s="4">
        <f>IF(AND(Table1[[#This Row],[Rework_Flag]]="Yes",Table1[[#This Row],[Warranty_Claim]]="No"),Table1[[#This Row],[Service_Revenue]],0)</f>
        <v>0</v>
      </c>
      <c r="V2436" s="4">
        <f>IF(Table1[[#This Row],[Warranty_Claim]]="Yes",1,0)</f>
        <v>0</v>
      </c>
      <c r="W2436" s="4">
        <f>IF(Table1[[#This Row],[Rework_Flag]]="No",1,0)</f>
        <v>1</v>
      </c>
      <c r="X2436" s="4">
        <f>IF(Table1[[#This Row],[Rework_Flag]]="Yes",1,0)</f>
        <v>0</v>
      </c>
      <c r="Y2436" s="4">
        <v>1</v>
      </c>
      <c r="Z2436" s="4" t="str">
        <f>IF(Table1[[#This Row],[TAT_Days]]&gt;Table1[[#This Row],[SLA_TAT]],"Yes","No")</f>
        <v>Yes</v>
      </c>
      <c r="AA2436" s="4" t="str" cm="1">
        <f t="array" ref="AA2436">_xlfn.IFS(Table1[[#This Row],[Customer_Satisfaction]]&lt;=2,"Poor",Table1[[#This Row],[Customer_Satisfaction]]=3,"Neutral",Table1[[#This Row],[Customer_Satisfaction]]=4,"Good",Table1[[#This Row],[Customer_Satisfaction]]=5,"Good")</f>
        <v>Poor</v>
      </c>
    </row>
    <row r="2437" spans="1:27" x14ac:dyDescent="0.35">
      <c r="A2437">
        <v>22435</v>
      </c>
      <c r="B2437" s="1">
        <v>45428</v>
      </c>
      <c r="C2437" t="s">
        <v>37</v>
      </c>
      <c r="D2437" t="s">
        <v>64</v>
      </c>
      <c r="E2437" t="s">
        <v>115</v>
      </c>
      <c r="F2437" t="s">
        <v>22</v>
      </c>
      <c r="G2437" t="s">
        <v>41</v>
      </c>
      <c r="H2437" t="s">
        <v>42</v>
      </c>
      <c r="I2437" t="s">
        <v>25</v>
      </c>
      <c r="J2437" t="s">
        <v>43</v>
      </c>
      <c r="K2437" t="s">
        <v>27</v>
      </c>
      <c r="L2437" t="s">
        <v>28</v>
      </c>
      <c r="M2437" s="4">
        <v>10</v>
      </c>
      <c r="N2437" s="4">
        <v>7</v>
      </c>
      <c r="O2437" t="s">
        <v>36</v>
      </c>
      <c r="P2437" t="s">
        <v>36</v>
      </c>
      <c r="Q2437" s="4">
        <v>331890</v>
      </c>
      <c r="R2437" s="4">
        <v>173170</v>
      </c>
      <c r="S2437" s="4">
        <f>Table1[[#This Row],[Service_Revenue]]-Table1[[#This Row],[Service_Cost]]</f>
        <v>158720</v>
      </c>
      <c r="T2437" s="4">
        <v>3</v>
      </c>
      <c r="U2437" s="4">
        <f>IF(AND(Table1[[#This Row],[Rework_Flag]]="Yes",Table1[[#This Row],[Warranty_Claim]]="No"),Table1[[#This Row],[Service_Revenue]],0)</f>
        <v>0</v>
      </c>
      <c r="V2437" s="4">
        <f>IF(Table1[[#This Row],[Warranty_Claim]]="Yes",1,0)</f>
        <v>0</v>
      </c>
      <c r="W2437" s="4">
        <f>IF(Table1[[#This Row],[Rework_Flag]]="No",1,0)</f>
        <v>1</v>
      </c>
      <c r="X2437" s="4">
        <f>IF(Table1[[#This Row],[Rework_Flag]]="Yes",1,0)</f>
        <v>0</v>
      </c>
      <c r="Y2437" s="4">
        <v>1</v>
      </c>
      <c r="Z2437" s="4" t="str">
        <f>IF(Table1[[#This Row],[TAT_Days]]&gt;Table1[[#This Row],[SLA_TAT]],"Yes","No")</f>
        <v>Yes</v>
      </c>
      <c r="AA2437" s="4" t="str" cm="1">
        <f t="array" ref="AA2437">_xlfn.IFS(Table1[[#This Row],[Customer_Satisfaction]]&lt;=2,"Poor",Table1[[#This Row],[Customer_Satisfaction]]=3,"Neutral",Table1[[#This Row],[Customer_Satisfaction]]=4,"Good",Table1[[#This Row],[Customer_Satisfaction]]=5,"Good")</f>
        <v>Neutral</v>
      </c>
    </row>
    <row r="2438" spans="1:27" x14ac:dyDescent="0.35">
      <c r="A2438">
        <v>22436</v>
      </c>
      <c r="B2438" s="1">
        <v>45414</v>
      </c>
      <c r="C2438" t="s">
        <v>30</v>
      </c>
      <c r="D2438" t="s">
        <v>83</v>
      </c>
      <c r="E2438" t="s">
        <v>92</v>
      </c>
      <c r="F2438" t="s">
        <v>40</v>
      </c>
      <c r="G2438" t="s">
        <v>41</v>
      </c>
      <c r="H2438" t="s">
        <v>42</v>
      </c>
      <c r="I2438" t="s">
        <v>25</v>
      </c>
      <c r="J2438" t="s">
        <v>58</v>
      </c>
      <c r="K2438" t="s">
        <v>61</v>
      </c>
      <c r="L2438" t="s">
        <v>28</v>
      </c>
      <c r="M2438" s="4">
        <v>7</v>
      </c>
      <c r="N2438" s="4">
        <v>7</v>
      </c>
      <c r="O2438" t="s">
        <v>36</v>
      </c>
      <c r="P2438" t="s">
        <v>29</v>
      </c>
      <c r="Q2438" s="4">
        <v>469771</v>
      </c>
      <c r="R2438" s="4">
        <v>337983</v>
      </c>
      <c r="S2438" s="4">
        <f>Table1[[#This Row],[Service_Revenue]]-Table1[[#This Row],[Service_Cost]]</f>
        <v>131788</v>
      </c>
      <c r="T2438" s="4">
        <v>4</v>
      </c>
      <c r="U2438" s="4">
        <f>IF(AND(Table1[[#This Row],[Rework_Flag]]="Yes",Table1[[#This Row],[Warranty_Claim]]="No"),Table1[[#This Row],[Service_Revenue]],0)</f>
        <v>0</v>
      </c>
      <c r="V2438" s="4">
        <f>IF(Table1[[#This Row],[Warranty_Claim]]="Yes",1,0)</f>
        <v>1</v>
      </c>
      <c r="W2438" s="4">
        <f>IF(Table1[[#This Row],[Rework_Flag]]="No",1,0)</f>
        <v>1</v>
      </c>
      <c r="X2438" s="4">
        <f>IF(Table1[[#This Row],[Rework_Flag]]="Yes",1,0)</f>
        <v>0</v>
      </c>
      <c r="Y2438" s="4">
        <v>1</v>
      </c>
      <c r="Z2438" s="4" t="str">
        <f>IF(Table1[[#This Row],[TAT_Days]]&gt;Table1[[#This Row],[SLA_TAT]],"Yes","No")</f>
        <v>No</v>
      </c>
      <c r="AA2438" s="4" t="str" cm="1">
        <f t="array" ref="AA2438">_xlfn.IFS(Table1[[#This Row],[Customer_Satisfaction]]&lt;=2,"Poor",Table1[[#This Row],[Customer_Satisfaction]]=3,"Neutral",Table1[[#This Row],[Customer_Satisfaction]]=4,"Good",Table1[[#This Row],[Customer_Satisfaction]]=5,"Good")</f>
        <v>Good</v>
      </c>
    </row>
    <row r="2439" spans="1:27" x14ac:dyDescent="0.35">
      <c r="A2439">
        <v>22437</v>
      </c>
      <c r="B2439" s="1">
        <v>45449</v>
      </c>
      <c r="C2439" t="s">
        <v>50</v>
      </c>
      <c r="D2439" t="s">
        <v>80</v>
      </c>
      <c r="E2439" t="s">
        <v>85</v>
      </c>
      <c r="F2439" t="s">
        <v>53</v>
      </c>
      <c r="G2439" t="s">
        <v>74</v>
      </c>
      <c r="H2439" t="s">
        <v>34</v>
      </c>
      <c r="I2439" t="s">
        <v>55</v>
      </c>
      <c r="J2439" t="s">
        <v>26</v>
      </c>
      <c r="K2439" t="s">
        <v>61</v>
      </c>
      <c r="L2439" t="s">
        <v>28</v>
      </c>
      <c r="M2439" s="4">
        <v>24</v>
      </c>
      <c r="N2439" s="4">
        <v>7</v>
      </c>
      <c r="O2439" t="s">
        <v>29</v>
      </c>
      <c r="P2439" t="s">
        <v>36</v>
      </c>
      <c r="Q2439" s="4">
        <v>249290</v>
      </c>
      <c r="R2439" s="4">
        <v>134921</v>
      </c>
      <c r="S2439" s="4">
        <f>Table1[[#This Row],[Service_Revenue]]-Table1[[#This Row],[Service_Cost]]</f>
        <v>114369</v>
      </c>
      <c r="T2439" s="4">
        <v>1</v>
      </c>
      <c r="U2439" s="4">
        <f>IF(AND(Table1[[#This Row],[Rework_Flag]]="Yes",Table1[[#This Row],[Warranty_Claim]]="No"),Table1[[#This Row],[Service_Revenue]],0)</f>
        <v>249290</v>
      </c>
      <c r="V2439" s="4">
        <f>IF(Table1[[#This Row],[Warranty_Claim]]="Yes",1,0)</f>
        <v>0</v>
      </c>
      <c r="W2439" s="4">
        <f>IF(Table1[[#This Row],[Rework_Flag]]="No",1,0)</f>
        <v>0</v>
      </c>
      <c r="X2439" s="4">
        <f>IF(Table1[[#This Row],[Rework_Flag]]="Yes",1,0)</f>
        <v>1</v>
      </c>
      <c r="Y2439" s="4">
        <v>1</v>
      </c>
      <c r="Z2439" s="4" t="str">
        <f>IF(Table1[[#This Row],[TAT_Days]]&gt;Table1[[#This Row],[SLA_TAT]],"Yes","No")</f>
        <v>Yes</v>
      </c>
      <c r="AA2439" s="4" t="str" cm="1">
        <f t="array" ref="AA2439">_xlfn.IFS(Table1[[#This Row],[Customer_Satisfaction]]&lt;=2,"Poor",Table1[[#This Row],[Customer_Satisfaction]]=3,"Neutral",Table1[[#This Row],[Customer_Satisfaction]]=4,"Good",Table1[[#This Row],[Customer_Satisfaction]]=5,"Good")</f>
        <v>Poor</v>
      </c>
    </row>
    <row r="2440" spans="1:27" x14ac:dyDescent="0.35">
      <c r="A2440">
        <v>22438</v>
      </c>
      <c r="B2440" s="1">
        <v>45446</v>
      </c>
      <c r="C2440" t="s">
        <v>37</v>
      </c>
      <c r="D2440" t="s">
        <v>38</v>
      </c>
      <c r="E2440" t="s">
        <v>112</v>
      </c>
      <c r="F2440" t="s">
        <v>53</v>
      </c>
      <c r="G2440" t="s">
        <v>41</v>
      </c>
      <c r="H2440" t="s">
        <v>42</v>
      </c>
      <c r="I2440" t="s">
        <v>55</v>
      </c>
      <c r="J2440" t="s">
        <v>35</v>
      </c>
      <c r="K2440" t="s">
        <v>61</v>
      </c>
      <c r="L2440" t="s">
        <v>28</v>
      </c>
      <c r="M2440" s="4">
        <v>4</v>
      </c>
      <c r="N2440" s="4">
        <v>7</v>
      </c>
      <c r="O2440" t="s">
        <v>36</v>
      </c>
      <c r="P2440" t="s">
        <v>29</v>
      </c>
      <c r="Q2440" s="4">
        <v>340315</v>
      </c>
      <c r="R2440" s="4">
        <v>285697</v>
      </c>
      <c r="S2440" s="4">
        <f>Table1[[#This Row],[Service_Revenue]]-Table1[[#This Row],[Service_Cost]]</f>
        <v>54618</v>
      </c>
      <c r="T2440" s="4">
        <v>5</v>
      </c>
      <c r="U2440" s="4">
        <f>IF(AND(Table1[[#This Row],[Rework_Flag]]="Yes",Table1[[#This Row],[Warranty_Claim]]="No"),Table1[[#This Row],[Service_Revenue]],0)</f>
        <v>0</v>
      </c>
      <c r="V2440" s="4">
        <f>IF(Table1[[#This Row],[Warranty_Claim]]="Yes",1,0)</f>
        <v>1</v>
      </c>
      <c r="W2440" s="4">
        <f>IF(Table1[[#This Row],[Rework_Flag]]="No",1,0)</f>
        <v>1</v>
      </c>
      <c r="X2440" s="4">
        <f>IF(Table1[[#This Row],[Rework_Flag]]="Yes",1,0)</f>
        <v>0</v>
      </c>
      <c r="Y2440" s="4">
        <v>1</v>
      </c>
      <c r="Z2440" s="4" t="str">
        <f>IF(Table1[[#This Row],[TAT_Days]]&gt;Table1[[#This Row],[SLA_TAT]],"Yes","No")</f>
        <v>No</v>
      </c>
      <c r="AA2440" s="4" t="str" cm="1">
        <f t="array" ref="AA2440">_xlfn.IFS(Table1[[#This Row],[Customer_Satisfaction]]&lt;=2,"Poor",Table1[[#This Row],[Customer_Satisfaction]]=3,"Neutral",Table1[[#This Row],[Customer_Satisfaction]]=4,"Good",Table1[[#This Row],[Customer_Satisfaction]]=5,"Good")</f>
        <v>Good</v>
      </c>
    </row>
    <row r="2441" spans="1:27" x14ac:dyDescent="0.35">
      <c r="A2441">
        <v>22439</v>
      </c>
      <c r="B2441" s="1">
        <v>45299</v>
      </c>
      <c r="C2441" t="s">
        <v>50</v>
      </c>
      <c r="D2441" t="s">
        <v>51</v>
      </c>
      <c r="E2441" t="s">
        <v>113</v>
      </c>
      <c r="F2441" t="s">
        <v>22</v>
      </c>
      <c r="G2441" t="s">
        <v>74</v>
      </c>
      <c r="H2441" t="s">
        <v>34</v>
      </c>
      <c r="I2441" t="s">
        <v>25</v>
      </c>
      <c r="J2441" t="s">
        <v>67</v>
      </c>
      <c r="K2441" t="s">
        <v>27</v>
      </c>
      <c r="L2441" t="s">
        <v>28</v>
      </c>
      <c r="M2441" s="4">
        <v>5</v>
      </c>
      <c r="N2441" s="4">
        <v>7</v>
      </c>
      <c r="O2441" t="s">
        <v>29</v>
      </c>
      <c r="P2441" t="s">
        <v>29</v>
      </c>
      <c r="Q2441" s="4">
        <v>405404</v>
      </c>
      <c r="R2441" s="4">
        <v>222062</v>
      </c>
      <c r="S2441" s="4">
        <f>Table1[[#This Row],[Service_Revenue]]-Table1[[#This Row],[Service_Cost]]</f>
        <v>183342</v>
      </c>
      <c r="T2441" s="4">
        <v>3</v>
      </c>
      <c r="U2441" s="4">
        <f>IF(AND(Table1[[#This Row],[Rework_Flag]]="Yes",Table1[[#This Row],[Warranty_Claim]]="No"),Table1[[#This Row],[Service_Revenue]],0)</f>
        <v>0</v>
      </c>
      <c r="V2441" s="4">
        <f>IF(Table1[[#This Row],[Warranty_Claim]]="Yes",1,0)</f>
        <v>1</v>
      </c>
      <c r="W2441" s="4">
        <f>IF(Table1[[#This Row],[Rework_Flag]]="No",1,0)</f>
        <v>0</v>
      </c>
      <c r="X2441" s="4">
        <f>IF(Table1[[#This Row],[Rework_Flag]]="Yes",1,0)</f>
        <v>1</v>
      </c>
      <c r="Y2441" s="4">
        <v>1</v>
      </c>
      <c r="Z2441" s="4" t="str">
        <f>IF(Table1[[#This Row],[TAT_Days]]&gt;Table1[[#This Row],[SLA_TAT]],"Yes","No")</f>
        <v>No</v>
      </c>
      <c r="AA2441" s="4" t="str" cm="1">
        <f t="array" ref="AA2441">_xlfn.IFS(Table1[[#This Row],[Customer_Satisfaction]]&lt;=2,"Poor",Table1[[#This Row],[Customer_Satisfaction]]=3,"Neutral",Table1[[#This Row],[Customer_Satisfaction]]=4,"Good",Table1[[#This Row],[Customer_Satisfaction]]=5,"Good")</f>
        <v>Neutral</v>
      </c>
    </row>
    <row r="2442" spans="1:27" x14ac:dyDescent="0.35">
      <c r="A2442">
        <v>22440</v>
      </c>
      <c r="B2442" s="1">
        <v>45355</v>
      </c>
      <c r="C2442" t="s">
        <v>50</v>
      </c>
      <c r="D2442" t="s">
        <v>51</v>
      </c>
      <c r="E2442" t="s">
        <v>120</v>
      </c>
      <c r="F2442" t="s">
        <v>53</v>
      </c>
      <c r="G2442" t="s">
        <v>74</v>
      </c>
      <c r="H2442" t="s">
        <v>34</v>
      </c>
      <c r="I2442" t="s">
        <v>25</v>
      </c>
      <c r="J2442" t="s">
        <v>43</v>
      </c>
      <c r="K2442" t="s">
        <v>27</v>
      </c>
      <c r="L2442" t="s">
        <v>28</v>
      </c>
      <c r="M2442" s="4">
        <v>16</v>
      </c>
      <c r="N2442" s="4">
        <v>7</v>
      </c>
      <c r="O2442" t="s">
        <v>29</v>
      </c>
      <c r="P2442" t="s">
        <v>36</v>
      </c>
      <c r="Q2442" s="4">
        <v>411120</v>
      </c>
      <c r="R2442" s="4">
        <v>267625</v>
      </c>
      <c r="S2442" s="4">
        <f>Table1[[#This Row],[Service_Revenue]]-Table1[[#This Row],[Service_Cost]]</f>
        <v>143495</v>
      </c>
      <c r="T2442" s="4">
        <v>1</v>
      </c>
      <c r="U2442" s="4">
        <f>IF(AND(Table1[[#This Row],[Rework_Flag]]="Yes",Table1[[#This Row],[Warranty_Claim]]="No"),Table1[[#This Row],[Service_Revenue]],0)</f>
        <v>411120</v>
      </c>
      <c r="V2442" s="4">
        <f>IF(Table1[[#This Row],[Warranty_Claim]]="Yes",1,0)</f>
        <v>0</v>
      </c>
      <c r="W2442" s="4">
        <f>IF(Table1[[#This Row],[Rework_Flag]]="No",1,0)</f>
        <v>0</v>
      </c>
      <c r="X2442" s="4">
        <f>IF(Table1[[#This Row],[Rework_Flag]]="Yes",1,0)</f>
        <v>1</v>
      </c>
      <c r="Y2442" s="4">
        <v>1</v>
      </c>
      <c r="Z2442" s="4" t="str">
        <f>IF(Table1[[#This Row],[TAT_Days]]&gt;Table1[[#This Row],[SLA_TAT]],"Yes","No")</f>
        <v>Yes</v>
      </c>
      <c r="AA2442" s="4" t="str" cm="1">
        <f t="array" ref="AA2442">_xlfn.IFS(Table1[[#This Row],[Customer_Satisfaction]]&lt;=2,"Poor",Table1[[#This Row],[Customer_Satisfaction]]=3,"Neutral",Table1[[#This Row],[Customer_Satisfaction]]=4,"Good",Table1[[#This Row],[Customer_Satisfaction]]=5,"Good")</f>
        <v>Poor</v>
      </c>
    </row>
    <row r="2443" spans="1:27" x14ac:dyDescent="0.35">
      <c r="A2443">
        <v>22441</v>
      </c>
      <c r="B2443" s="1">
        <v>45415</v>
      </c>
      <c r="C2443" t="s">
        <v>19</v>
      </c>
      <c r="D2443" t="s">
        <v>20</v>
      </c>
      <c r="E2443" t="s">
        <v>86</v>
      </c>
      <c r="F2443" t="s">
        <v>22</v>
      </c>
      <c r="G2443" t="s">
        <v>41</v>
      </c>
      <c r="H2443" t="s">
        <v>42</v>
      </c>
      <c r="I2443" t="s">
        <v>25</v>
      </c>
      <c r="J2443" t="s">
        <v>58</v>
      </c>
      <c r="K2443" t="s">
        <v>44</v>
      </c>
      <c r="L2443" t="s">
        <v>28</v>
      </c>
      <c r="M2443" s="4">
        <v>3</v>
      </c>
      <c r="N2443" s="4">
        <v>7</v>
      </c>
      <c r="O2443" t="s">
        <v>36</v>
      </c>
      <c r="P2443" t="s">
        <v>36</v>
      </c>
      <c r="Q2443" s="4">
        <v>280893</v>
      </c>
      <c r="R2443" s="4">
        <v>155346</v>
      </c>
      <c r="S2443" s="4">
        <f>Table1[[#This Row],[Service_Revenue]]-Table1[[#This Row],[Service_Cost]]</f>
        <v>125547</v>
      </c>
      <c r="T2443" s="4">
        <v>5</v>
      </c>
      <c r="U2443" s="4">
        <f>IF(AND(Table1[[#This Row],[Rework_Flag]]="Yes",Table1[[#This Row],[Warranty_Claim]]="No"),Table1[[#This Row],[Service_Revenue]],0)</f>
        <v>0</v>
      </c>
      <c r="V2443" s="4">
        <f>IF(Table1[[#This Row],[Warranty_Claim]]="Yes",1,0)</f>
        <v>0</v>
      </c>
      <c r="W2443" s="4">
        <f>IF(Table1[[#This Row],[Rework_Flag]]="No",1,0)</f>
        <v>1</v>
      </c>
      <c r="X2443" s="4">
        <f>IF(Table1[[#This Row],[Rework_Flag]]="Yes",1,0)</f>
        <v>0</v>
      </c>
      <c r="Y2443" s="4">
        <v>1</v>
      </c>
      <c r="Z2443" s="4" t="str">
        <f>IF(Table1[[#This Row],[TAT_Days]]&gt;Table1[[#This Row],[SLA_TAT]],"Yes","No")</f>
        <v>No</v>
      </c>
      <c r="AA2443" s="4" t="str" cm="1">
        <f t="array" ref="AA2443">_xlfn.IFS(Table1[[#This Row],[Customer_Satisfaction]]&lt;=2,"Poor",Table1[[#This Row],[Customer_Satisfaction]]=3,"Neutral",Table1[[#This Row],[Customer_Satisfaction]]=4,"Good",Table1[[#This Row],[Customer_Satisfaction]]=5,"Good")</f>
        <v>Good</v>
      </c>
    </row>
    <row r="2444" spans="1:27" x14ac:dyDescent="0.35">
      <c r="A2444">
        <v>22442</v>
      </c>
      <c r="B2444" s="1">
        <v>45388</v>
      </c>
      <c r="C2444" t="s">
        <v>50</v>
      </c>
      <c r="D2444" t="s">
        <v>51</v>
      </c>
      <c r="E2444" t="s">
        <v>73</v>
      </c>
      <c r="F2444" t="s">
        <v>22</v>
      </c>
      <c r="G2444" t="s">
        <v>47</v>
      </c>
      <c r="H2444" t="s">
        <v>48</v>
      </c>
      <c r="I2444" t="s">
        <v>25</v>
      </c>
      <c r="J2444" t="s">
        <v>67</v>
      </c>
      <c r="K2444" t="s">
        <v>44</v>
      </c>
      <c r="L2444" t="s">
        <v>49</v>
      </c>
      <c r="M2444" s="4">
        <v>20</v>
      </c>
      <c r="N2444" s="4">
        <v>7</v>
      </c>
      <c r="O2444" t="s">
        <v>29</v>
      </c>
      <c r="P2444" t="s">
        <v>36</v>
      </c>
      <c r="Q2444" s="4">
        <v>461847</v>
      </c>
      <c r="R2444" s="4">
        <v>329039</v>
      </c>
      <c r="S2444" s="4">
        <f>Table1[[#This Row],[Service_Revenue]]-Table1[[#This Row],[Service_Cost]]</f>
        <v>132808</v>
      </c>
      <c r="T2444" s="4">
        <v>1</v>
      </c>
      <c r="U2444" s="4">
        <f>IF(AND(Table1[[#This Row],[Rework_Flag]]="Yes",Table1[[#This Row],[Warranty_Claim]]="No"),Table1[[#This Row],[Service_Revenue]],0)</f>
        <v>461847</v>
      </c>
      <c r="V2444" s="4">
        <f>IF(Table1[[#This Row],[Warranty_Claim]]="Yes",1,0)</f>
        <v>0</v>
      </c>
      <c r="W2444" s="4">
        <f>IF(Table1[[#This Row],[Rework_Flag]]="No",1,0)</f>
        <v>0</v>
      </c>
      <c r="X2444" s="4">
        <f>IF(Table1[[#This Row],[Rework_Flag]]="Yes",1,0)</f>
        <v>1</v>
      </c>
      <c r="Y2444" s="4">
        <v>1</v>
      </c>
      <c r="Z2444" s="4" t="str">
        <f>IF(Table1[[#This Row],[TAT_Days]]&gt;Table1[[#This Row],[SLA_TAT]],"Yes","No")</f>
        <v>Yes</v>
      </c>
      <c r="AA2444" s="4" t="str" cm="1">
        <f t="array" ref="AA2444">_xlfn.IFS(Table1[[#This Row],[Customer_Satisfaction]]&lt;=2,"Poor",Table1[[#This Row],[Customer_Satisfaction]]=3,"Neutral",Table1[[#This Row],[Customer_Satisfaction]]=4,"Good",Table1[[#This Row],[Customer_Satisfaction]]=5,"Good")</f>
        <v>Poor</v>
      </c>
    </row>
    <row r="2445" spans="1:27" x14ac:dyDescent="0.35">
      <c r="A2445">
        <v>22443</v>
      </c>
      <c r="B2445" s="1">
        <v>45390</v>
      </c>
      <c r="C2445" t="s">
        <v>19</v>
      </c>
      <c r="D2445" t="s">
        <v>96</v>
      </c>
      <c r="E2445" t="s">
        <v>109</v>
      </c>
      <c r="F2445" t="s">
        <v>22</v>
      </c>
      <c r="G2445" t="s">
        <v>47</v>
      </c>
      <c r="H2445" t="s">
        <v>48</v>
      </c>
      <c r="I2445" t="s">
        <v>55</v>
      </c>
      <c r="J2445" t="s">
        <v>35</v>
      </c>
      <c r="K2445" t="s">
        <v>61</v>
      </c>
      <c r="L2445" t="s">
        <v>28</v>
      </c>
      <c r="M2445" s="4">
        <v>2</v>
      </c>
      <c r="N2445" s="4">
        <v>7</v>
      </c>
      <c r="O2445" t="s">
        <v>29</v>
      </c>
      <c r="P2445" t="s">
        <v>36</v>
      </c>
      <c r="Q2445" s="4">
        <v>322119</v>
      </c>
      <c r="R2445" s="4">
        <v>262045</v>
      </c>
      <c r="S2445" s="4">
        <f>Table1[[#This Row],[Service_Revenue]]-Table1[[#This Row],[Service_Cost]]</f>
        <v>60074</v>
      </c>
      <c r="T2445" s="4">
        <v>4</v>
      </c>
      <c r="U2445" s="4">
        <f>IF(AND(Table1[[#This Row],[Rework_Flag]]="Yes",Table1[[#This Row],[Warranty_Claim]]="No"),Table1[[#This Row],[Service_Revenue]],0)</f>
        <v>322119</v>
      </c>
      <c r="V2445" s="4">
        <f>IF(Table1[[#This Row],[Warranty_Claim]]="Yes",1,0)</f>
        <v>0</v>
      </c>
      <c r="W2445" s="4">
        <f>IF(Table1[[#This Row],[Rework_Flag]]="No",1,0)</f>
        <v>0</v>
      </c>
      <c r="X2445" s="4">
        <f>IF(Table1[[#This Row],[Rework_Flag]]="Yes",1,0)</f>
        <v>1</v>
      </c>
      <c r="Y2445" s="4">
        <v>1</v>
      </c>
      <c r="Z2445" s="4" t="str">
        <f>IF(Table1[[#This Row],[TAT_Days]]&gt;Table1[[#This Row],[SLA_TAT]],"Yes","No")</f>
        <v>No</v>
      </c>
      <c r="AA2445" s="4" t="str" cm="1">
        <f t="array" ref="AA2445">_xlfn.IFS(Table1[[#This Row],[Customer_Satisfaction]]&lt;=2,"Poor",Table1[[#This Row],[Customer_Satisfaction]]=3,"Neutral",Table1[[#This Row],[Customer_Satisfaction]]=4,"Good",Table1[[#This Row],[Customer_Satisfaction]]=5,"Good")</f>
        <v>Good</v>
      </c>
    </row>
    <row r="2446" spans="1:27" x14ac:dyDescent="0.35">
      <c r="A2446">
        <v>22444</v>
      </c>
      <c r="B2446" s="1">
        <v>45392</v>
      </c>
      <c r="C2446" t="s">
        <v>50</v>
      </c>
      <c r="D2446" t="s">
        <v>51</v>
      </c>
      <c r="E2446" t="s">
        <v>120</v>
      </c>
      <c r="F2446" t="s">
        <v>22</v>
      </c>
      <c r="G2446" t="s">
        <v>63</v>
      </c>
      <c r="H2446" t="s">
        <v>24</v>
      </c>
      <c r="I2446" t="s">
        <v>55</v>
      </c>
      <c r="J2446" t="s">
        <v>67</v>
      </c>
      <c r="K2446" t="s">
        <v>27</v>
      </c>
      <c r="L2446" t="s">
        <v>28</v>
      </c>
      <c r="M2446" s="4">
        <v>3</v>
      </c>
      <c r="N2446" s="4">
        <v>7</v>
      </c>
      <c r="O2446" t="s">
        <v>36</v>
      </c>
      <c r="P2446" t="s">
        <v>36</v>
      </c>
      <c r="Q2446" s="4">
        <v>329732</v>
      </c>
      <c r="R2446" s="4">
        <v>207971</v>
      </c>
      <c r="S2446" s="4">
        <f>Table1[[#This Row],[Service_Revenue]]-Table1[[#This Row],[Service_Cost]]</f>
        <v>121761</v>
      </c>
      <c r="T2446" s="4">
        <v>5</v>
      </c>
      <c r="U2446" s="4">
        <f>IF(AND(Table1[[#This Row],[Rework_Flag]]="Yes",Table1[[#This Row],[Warranty_Claim]]="No"),Table1[[#This Row],[Service_Revenue]],0)</f>
        <v>0</v>
      </c>
      <c r="V2446" s="4">
        <f>IF(Table1[[#This Row],[Warranty_Claim]]="Yes",1,0)</f>
        <v>0</v>
      </c>
      <c r="W2446" s="4">
        <f>IF(Table1[[#This Row],[Rework_Flag]]="No",1,0)</f>
        <v>1</v>
      </c>
      <c r="X2446" s="4">
        <f>IF(Table1[[#This Row],[Rework_Flag]]="Yes",1,0)</f>
        <v>0</v>
      </c>
      <c r="Y2446" s="4">
        <v>1</v>
      </c>
      <c r="Z2446" s="4" t="str">
        <f>IF(Table1[[#This Row],[TAT_Days]]&gt;Table1[[#This Row],[SLA_TAT]],"Yes","No")</f>
        <v>No</v>
      </c>
      <c r="AA2446" s="4" t="str" cm="1">
        <f t="array" ref="AA2446">_xlfn.IFS(Table1[[#This Row],[Customer_Satisfaction]]&lt;=2,"Poor",Table1[[#This Row],[Customer_Satisfaction]]=3,"Neutral",Table1[[#This Row],[Customer_Satisfaction]]=4,"Good",Table1[[#This Row],[Customer_Satisfaction]]=5,"Good")</f>
        <v>Good</v>
      </c>
    </row>
    <row r="2447" spans="1:27" x14ac:dyDescent="0.35">
      <c r="A2447">
        <v>22445</v>
      </c>
      <c r="B2447" s="1">
        <v>45413</v>
      </c>
      <c r="C2447" t="s">
        <v>50</v>
      </c>
      <c r="D2447" t="s">
        <v>51</v>
      </c>
      <c r="E2447" t="s">
        <v>75</v>
      </c>
      <c r="F2447" t="s">
        <v>22</v>
      </c>
      <c r="G2447" t="s">
        <v>54</v>
      </c>
      <c r="H2447" t="s">
        <v>42</v>
      </c>
      <c r="I2447" t="s">
        <v>25</v>
      </c>
      <c r="J2447" t="s">
        <v>26</v>
      </c>
      <c r="K2447" t="s">
        <v>44</v>
      </c>
      <c r="L2447" t="s">
        <v>49</v>
      </c>
      <c r="M2447" s="4">
        <v>7</v>
      </c>
      <c r="N2447" s="4">
        <v>7</v>
      </c>
      <c r="O2447" t="s">
        <v>29</v>
      </c>
      <c r="P2447" t="s">
        <v>36</v>
      </c>
      <c r="Q2447" s="4">
        <v>388282</v>
      </c>
      <c r="R2447" s="4">
        <v>201877</v>
      </c>
      <c r="S2447" s="4">
        <f>Table1[[#This Row],[Service_Revenue]]-Table1[[#This Row],[Service_Cost]]</f>
        <v>186405</v>
      </c>
      <c r="T2447" s="4">
        <v>3</v>
      </c>
      <c r="U2447" s="4">
        <f>IF(AND(Table1[[#This Row],[Rework_Flag]]="Yes",Table1[[#This Row],[Warranty_Claim]]="No"),Table1[[#This Row],[Service_Revenue]],0)</f>
        <v>388282</v>
      </c>
      <c r="V2447" s="4">
        <f>IF(Table1[[#This Row],[Warranty_Claim]]="Yes",1,0)</f>
        <v>0</v>
      </c>
      <c r="W2447" s="4">
        <f>IF(Table1[[#This Row],[Rework_Flag]]="No",1,0)</f>
        <v>0</v>
      </c>
      <c r="X2447" s="4">
        <f>IF(Table1[[#This Row],[Rework_Flag]]="Yes",1,0)</f>
        <v>1</v>
      </c>
      <c r="Y2447" s="4">
        <v>1</v>
      </c>
      <c r="Z2447" s="4" t="str">
        <f>IF(Table1[[#This Row],[TAT_Days]]&gt;Table1[[#This Row],[SLA_TAT]],"Yes","No")</f>
        <v>No</v>
      </c>
      <c r="AA2447" s="4" t="str" cm="1">
        <f t="array" ref="AA2447">_xlfn.IFS(Table1[[#This Row],[Customer_Satisfaction]]&lt;=2,"Poor",Table1[[#This Row],[Customer_Satisfaction]]=3,"Neutral",Table1[[#This Row],[Customer_Satisfaction]]=4,"Good",Table1[[#This Row],[Customer_Satisfaction]]=5,"Good")</f>
        <v>Neutral</v>
      </c>
    </row>
    <row r="2448" spans="1:27" x14ac:dyDescent="0.35">
      <c r="A2448">
        <v>22446</v>
      </c>
      <c r="B2448" s="1">
        <v>45417</v>
      </c>
      <c r="C2448" t="s">
        <v>30</v>
      </c>
      <c r="D2448" t="s">
        <v>59</v>
      </c>
      <c r="E2448" t="s">
        <v>66</v>
      </c>
      <c r="F2448" t="s">
        <v>53</v>
      </c>
      <c r="G2448" t="s">
        <v>63</v>
      </c>
      <c r="H2448" t="s">
        <v>24</v>
      </c>
      <c r="I2448" t="s">
        <v>25</v>
      </c>
      <c r="J2448" t="s">
        <v>43</v>
      </c>
      <c r="K2448" t="s">
        <v>61</v>
      </c>
      <c r="L2448" t="s">
        <v>28</v>
      </c>
      <c r="M2448" s="4">
        <v>6</v>
      </c>
      <c r="N2448" s="4">
        <v>7</v>
      </c>
      <c r="O2448" t="s">
        <v>29</v>
      </c>
      <c r="P2448" t="s">
        <v>36</v>
      </c>
      <c r="Q2448" s="4">
        <v>446928</v>
      </c>
      <c r="R2448" s="4">
        <v>379648</v>
      </c>
      <c r="S2448" s="4">
        <f>Table1[[#This Row],[Service_Revenue]]-Table1[[#This Row],[Service_Cost]]</f>
        <v>67280</v>
      </c>
      <c r="T2448" s="4">
        <v>3</v>
      </c>
      <c r="U2448" s="4">
        <f>IF(AND(Table1[[#This Row],[Rework_Flag]]="Yes",Table1[[#This Row],[Warranty_Claim]]="No"),Table1[[#This Row],[Service_Revenue]],0)</f>
        <v>446928</v>
      </c>
      <c r="V2448" s="4">
        <f>IF(Table1[[#This Row],[Warranty_Claim]]="Yes",1,0)</f>
        <v>0</v>
      </c>
      <c r="W2448" s="4">
        <f>IF(Table1[[#This Row],[Rework_Flag]]="No",1,0)</f>
        <v>0</v>
      </c>
      <c r="X2448" s="4">
        <f>IF(Table1[[#This Row],[Rework_Flag]]="Yes",1,0)</f>
        <v>1</v>
      </c>
      <c r="Y2448" s="4">
        <v>1</v>
      </c>
      <c r="Z2448" s="4" t="str">
        <f>IF(Table1[[#This Row],[TAT_Days]]&gt;Table1[[#This Row],[SLA_TAT]],"Yes","No")</f>
        <v>No</v>
      </c>
      <c r="AA2448" s="4" t="str" cm="1">
        <f t="array" ref="AA2448">_xlfn.IFS(Table1[[#This Row],[Customer_Satisfaction]]&lt;=2,"Poor",Table1[[#This Row],[Customer_Satisfaction]]=3,"Neutral",Table1[[#This Row],[Customer_Satisfaction]]=4,"Good",Table1[[#This Row],[Customer_Satisfaction]]=5,"Good")</f>
        <v>Neutral</v>
      </c>
    </row>
    <row r="2449" spans="1:27" x14ac:dyDescent="0.35">
      <c r="A2449">
        <v>22447</v>
      </c>
      <c r="B2449" s="1">
        <v>45355</v>
      </c>
      <c r="C2449" t="s">
        <v>19</v>
      </c>
      <c r="D2449" t="s">
        <v>20</v>
      </c>
      <c r="E2449" t="s">
        <v>21</v>
      </c>
      <c r="F2449" t="s">
        <v>53</v>
      </c>
      <c r="G2449" t="s">
        <v>63</v>
      </c>
      <c r="H2449" t="s">
        <v>24</v>
      </c>
      <c r="I2449" t="s">
        <v>25</v>
      </c>
      <c r="J2449" t="s">
        <v>58</v>
      </c>
      <c r="K2449" t="s">
        <v>44</v>
      </c>
      <c r="L2449" t="s">
        <v>28</v>
      </c>
      <c r="M2449" s="4">
        <v>25</v>
      </c>
      <c r="N2449" s="4">
        <v>7</v>
      </c>
      <c r="O2449" t="s">
        <v>29</v>
      </c>
      <c r="P2449" t="s">
        <v>36</v>
      </c>
      <c r="Q2449" s="4">
        <v>233973</v>
      </c>
      <c r="R2449" s="4">
        <v>157201</v>
      </c>
      <c r="S2449" s="4">
        <f>Table1[[#This Row],[Service_Revenue]]-Table1[[#This Row],[Service_Cost]]</f>
        <v>76772</v>
      </c>
      <c r="T2449" s="4">
        <v>1</v>
      </c>
      <c r="U2449" s="4">
        <f>IF(AND(Table1[[#This Row],[Rework_Flag]]="Yes",Table1[[#This Row],[Warranty_Claim]]="No"),Table1[[#This Row],[Service_Revenue]],0)</f>
        <v>233973</v>
      </c>
      <c r="V2449" s="4">
        <f>IF(Table1[[#This Row],[Warranty_Claim]]="Yes",1,0)</f>
        <v>0</v>
      </c>
      <c r="W2449" s="4">
        <f>IF(Table1[[#This Row],[Rework_Flag]]="No",1,0)</f>
        <v>0</v>
      </c>
      <c r="X2449" s="4">
        <f>IF(Table1[[#This Row],[Rework_Flag]]="Yes",1,0)</f>
        <v>1</v>
      </c>
      <c r="Y2449" s="4">
        <v>1</v>
      </c>
      <c r="Z2449" s="4" t="str">
        <f>IF(Table1[[#This Row],[TAT_Days]]&gt;Table1[[#This Row],[SLA_TAT]],"Yes","No")</f>
        <v>Yes</v>
      </c>
      <c r="AA2449" s="4" t="str" cm="1">
        <f t="array" ref="AA2449">_xlfn.IFS(Table1[[#This Row],[Customer_Satisfaction]]&lt;=2,"Poor",Table1[[#This Row],[Customer_Satisfaction]]=3,"Neutral",Table1[[#This Row],[Customer_Satisfaction]]=4,"Good",Table1[[#This Row],[Customer_Satisfaction]]=5,"Good")</f>
        <v>Poor</v>
      </c>
    </row>
    <row r="2450" spans="1:27" x14ac:dyDescent="0.35">
      <c r="A2450">
        <v>22448</v>
      </c>
      <c r="B2450" s="1">
        <v>45408</v>
      </c>
      <c r="C2450" t="s">
        <v>30</v>
      </c>
      <c r="D2450" t="s">
        <v>83</v>
      </c>
      <c r="E2450" t="s">
        <v>84</v>
      </c>
      <c r="F2450" t="s">
        <v>53</v>
      </c>
      <c r="G2450" t="s">
        <v>33</v>
      </c>
      <c r="H2450" t="s">
        <v>34</v>
      </c>
      <c r="I2450" t="s">
        <v>55</v>
      </c>
      <c r="J2450" t="s">
        <v>26</v>
      </c>
      <c r="K2450" t="s">
        <v>61</v>
      </c>
      <c r="L2450" t="s">
        <v>49</v>
      </c>
      <c r="M2450" s="4">
        <v>17</v>
      </c>
      <c r="N2450" s="4">
        <v>7</v>
      </c>
      <c r="O2450" t="s">
        <v>36</v>
      </c>
      <c r="P2450" t="s">
        <v>36</v>
      </c>
      <c r="Q2450" s="4">
        <v>374360</v>
      </c>
      <c r="R2450" s="4">
        <v>289210</v>
      </c>
      <c r="S2450" s="4">
        <f>Table1[[#This Row],[Service_Revenue]]-Table1[[#This Row],[Service_Cost]]</f>
        <v>85150</v>
      </c>
      <c r="T2450" s="4">
        <v>2</v>
      </c>
      <c r="U2450" s="4">
        <f>IF(AND(Table1[[#This Row],[Rework_Flag]]="Yes",Table1[[#This Row],[Warranty_Claim]]="No"),Table1[[#This Row],[Service_Revenue]],0)</f>
        <v>0</v>
      </c>
      <c r="V2450" s="4">
        <f>IF(Table1[[#This Row],[Warranty_Claim]]="Yes",1,0)</f>
        <v>0</v>
      </c>
      <c r="W2450" s="4">
        <f>IF(Table1[[#This Row],[Rework_Flag]]="No",1,0)</f>
        <v>1</v>
      </c>
      <c r="X2450" s="4">
        <f>IF(Table1[[#This Row],[Rework_Flag]]="Yes",1,0)</f>
        <v>0</v>
      </c>
      <c r="Y2450" s="4">
        <v>1</v>
      </c>
      <c r="Z2450" s="4" t="str">
        <f>IF(Table1[[#This Row],[TAT_Days]]&gt;Table1[[#This Row],[SLA_TAT]],"Yes","No")</f>
        <v>Yes</v>
      </c>
      <c r="AA2450" s="4" t="str" cm="1">
        <f t="array" ref="AA2450">_xlfn.IFS(Table1[[#This Row],[Customer_Satisfaction]]&lt;=2,"Poor",Table1[[#This Row],[Customer_Satisfaction]]=3,"Neutral",Table1[[#This Row],[Customer_Satisfaction]]=4,"Good",Table1[[#This Row],[Customer_Satisfaction]]=5,"Good")</f>
        <v>Poor</v>
      </c>
    </row>
    <row r="2451" spans="1:27" x14ac:dyDescent="0.35">
      <c r="A2451">
        <v>22449</v>
      </c>
      <c r="B2451" s="1">
        <v>45472</v>
      </c>
      <c r="C2451" t="s">
        <v>37</v>
      </c>
      <c r="D2451" t="s">
        <v>64</v>
      </c>
      <c r="E2451" t="s">
        <v>115</v>
      </c>
      <c r="F2451" t="s">
        <v>53</v>
      </c>
      <c r="G2451" t="s">
        <v>74</v>
      </c>
      <c r="H2451" t="s">
        <v>34</v>
      </c>
      <c r="I2451" t="s">
        <v>25</v>
      </c>
      <c r="J2451" t="s">
        <v>58</v>
      </c>
      <c r="K2451" t="s">
        <v>27</v>
      </c>
      <c r="L2451" t="s">
        <v>28</v>
      </c>
      <c r="M2451" s="4">
        <v>9</v>
      </c>
      <c r="N2451" s="4">
        <v>7</v>
      </c>
      <c r="O2451" t="s">
        <v>36</v>
      </c>
      <c r="P2451" t="s">
        <v>36</v>
      </c>
      <c r="Q2451" s="4">
        <v>228031</v>
      </c>
      <c r="R2451" s="4">
        <v>137951</v>
      </c>
      <c r="S2451" s="4">
        <f>Table1[[#This Row],[Service_Revenue]]-Table1[[#This Row],[Service_Cost]]</f>
        <v>90080</v>
      </c>
      <c r="T2451" s="4">
        <v>4</v>
      </c>
      <c r="U2451" s="4">
        <f>IF(AND(Table1[[#This Row],[Rework_Flag]]="Yes",Table1[[#This Row],[Warranty_Claim]]="No"),Table1[[#This Row],[Service_Revenue]],0)</f>
        <v>0</v>
      </c>
      <c r="V2451" s="4">
        <f>IF(Table1[[#This Row],[Warranty_Claim]]="Yes",1,0)</f>
        <v>0</v>
      </c>
      <c r="W2451" s="4">
        <f>IF(Table1[[#This Row],[Rework_Flag]]="No",1,0)</f>
        <v>1</v>
      </c>
      <c r="X2451" s="4">
        <f>IF(Table1[[#This Row],[Rework_Flag]]="Yes",1,0)</f>
        <v>0</v>
      </c>
      <c r="Y2451" s="4">
        <v>1</v>
      </c>
      <c r="Z2451" s="4" t="str">
        <f>IF(Table1[[#This Row],[TAT_Days]]&gt;Table1[[#This Row],[SLA_TAT]],"Yes","No")</f>
        <v>Yes</v>
      </c>
      <c r="AA2451" s="4" t="str" cm="1">
        <f t="array" ref="AA2451">_xlfn.IFS(Table1[[#This Row],[Customer_Satisfaction]]&lt;=2,"Poor",Table1[[#This Row],[Customer_Satisfaction]]=3,"Neutral",Table1[[#This Row],[Customer_Satisfaction]]=4,"Good",Table1[[#This Row],[Customer_Satisfaction]]=5,"Good")</f>
        <v>Good</v>
      </c>
    </row>
    <row r="2452" spans="1:27" x14ac:dyDescent="0.35">
      <c r="A2452">
        <v>22450</v>
      </c>
      <c r="B2452" s="1">
        <v>45391</v>
      </c>
      <c r="C2452" t="s">
        <v>50</v>
      </c>
      <c r="D2452" t="s">
        <v>56</v>
      </c>
      <c r="E2452" t="s">
        <v>68</v>
      </c>
      <c r="F2452" t="s">
        <v>40</v>
      </c>
      <c r="G2452" t="s">
        <v>33</v>
      </c>
      <c r="H2452" t="s">
        <v>34</v>
      </c>
      <c r="I2452" t="s">
        <v>25</v>
      </c>
      <c r="J2452" t="s">
        <v>26</v>
      </c>
      <c r="K2452" t="s">
        <v>27</v>
      </c>
      <c r="L2452" t="s">
        <v>49</v>
      </c>
      <c r="M2452" s="4">
        <v>10</v>
      </c>
      <c r="N2452" s="4">
        <v>7</v>
      </c>
      <c r="O2452" t="s">
        <v>36</v>
      </c>
      <c r="P2452" t="s">
        <v>36</v>
      </c>
      <c r="Q2452" s="4">
        <v>116324</v>
      </c>
      <c r="R2452" s="4">
        <v>73836</v>
      </c>
      <c r="S2452" s="4">
        <f>Table1[[#This Row],[Service_Revenue]]-Table1[[#This Row],[Service_Cost]]</f>
        <v>42488</v>
      </c>
      <c r="T2452" s="4">
        <v>3</v>
      </c>
      <c r="U2452" s="4">
        <f>IF(AND(Table1[[#This Row],[Rework_Flag]]="Yes",Table1[[#This Row],[Warranty_Claim]]="No"),Table1[[#This Row],[Service_Revenue]],0)</f>
        <v>0</v>
      </c>
      <c r="V2452" s="4">
        <f>IF(Table1[[#This Row],[Warranty_Claim]]="Yes",1,0)</f>
        <v>0</v>
      </c>
      <c r="W2452" s="4">
        <f>IF(Table1[[#This Row],[Rework_Flag]]="No",1,0)</f>
        <v>1</v>
      </c>
      <c r="X2452" s="4">
        <f>IF(Table1[[#This Row],[Rework_Flag]]="Yes",1,0)</f>
        <v>0</v>
      </c>
      <c r="Y2452" s="4">
        <v>1</v>
      </c>
      <c r="Z2452" s="4" t="str">
        <f>IF(Table1[[#This Row],[TAT_Days]]&gt;Table1[[#This Row],[SLA_TAT]],"Yes","No")</f>
        <v>Yes</v>
      </c>
      <c r="AA2452" s="4" t="str" cm="1">
        <f t="array" ref="AA2452">_xlfn.IFS(Table1[[#This Row],[Customer_Satisfaction]]&lt;=2,"Poor",Table1[[#This Row],[Customer_Satisfaction]]=3,"Neutral",Table1[[#This Row],[Customer_Satisfaction]]=4,"Good",Table1[[#This Row],[Customer_Satisfaction]]=5,"Good")</f>
        <v>Neutral</v>
      </c>
    </row>
    <row r="2453" spans="1:27" x14ac:dyDescent="0.35">
      <c r="A2453">
        <v>22451</v>
      </c>
      <c r="B2453" s="1">
        <v>45406</v>
      </c>
      <c r="C2453" t="s">
        <v>37</v>
      </c>
      <c r="D2453" t="s">
        <v>70</v>
      </c>
      <c r="E2453" t="s">
        <v>100</v>
      </c>
      <c r="F2453" t="s">
        <v>53</v>
      </c>
      <c r="G2453" t="s">
        <v>63</v>
      </c>
      <c r="H2453" t="s">
        <v>24</v>
      </c>
      <c r="I2453" t="s">
        <v>55</v>
      </c>
      <c r="J2453" t="s">
        <v>35</v>
      </c>
      <c r="K2453" t="s">
        <v>27</v>
      </c>
      <c r="L2453" t="s">
        <v>28</v>
      </c>
      <c r="M2453" s="4">
        <v>8</v>
      </c>
      <c r="N2453" s="4">
        <v>7</v>
      </c>
      <c r="O2453" t="s">
        <v>29</v>
      </c>
      <c r="P2453" t="s">
        <v>36</v>
      </c>
      <c r="Q2453" s="4">
        <v>274862</v>
      </c>
      <c r="R2453" s="4">
        <v>148890</v>
      </c>
      <c r="S2453" s="4">
        <f>Table1[[#This Row],[Service_Revenue]]-Table1[[#This Row],[Service_Cost]]</f>
        <v>125972</v>
      </c>
      <c r="T2453" s="4">
        <v>3</v>
      </c>
      <c r="U2453" s="4">
        <f>IF(AND(Table1[[#This Row],[Rework_Flag]]="Yes",Table1[[#This Row],[Warranty_Claim]]="No"),Table1[[#This Row],[Service_Revenue]],0)</f>
        <v>274862</v>
      </c>
      <c r="V2453" s="4">
        <f>IF(Table1[[#This Row],[Warranty_Claim]]="Yes",1,0)</f>
        <v>0</v>
      </c>
      <c r="W2453" s="4">
        <f>IF(Table1[[#This Row],[Rework_Flag]]="No",1,0)</f>
        <v>0</v>
      </c>
      <c r="X2453" s="4">
        <f>IF(Table1[[#This Row],[Rework_Flag]]="Yes",1,0)</f>
        <v>1</v>
      </c>
      <c r="Y2453" s="4">
        <v>1</v>
      </c>
      <c r="Z2453" s="4" t="str">
        <f>IF(Table1[[#This Row],[TAT_Days]]&gt;Table1[[#This Row],[SLA_TAT]],"Yes","No")</f>
        <v>Yes</v>
      </c>
      <c r="AA2453" s="4" t="str" cm="1">
        <f t="array" ref="AA2453">_xlfn.IFS(Table1[[#This Row],[Customer_Satisfaction]]&lt;=2,"Poor",Table1[[#This Row],[Customer_Satisfaction]]=3,"Neutral",Table1[[#This Row],[Customer_Satisfaction]]=4,"Good",Table1[[#This Row],[Customer_Satisfaction]]=5,"Good")</f>
        <v>Neutral</v>
      </c>
    </row>
    <row r="2454" spans="1:27" x14ac:dyDescent="0.35">
      <c r="A2454">
        <v>22452</v>
      </c>
      <c r="B2454" s="1">
        <v>45366</v>
      </c>
      <c r="C2454" t="s">
        <v>37</v>
      </c>
      <c r="D2454" t="s">
        <v>38</v>
      </c>
      <c r="E2454" t="s">
        <v>112</v>
      </c>
      <c r="F2454" t="s">
        <v>40</v>
      </c>
      <c r="G2454" t="s">
        <v>74</v>
      </c>
      <c r="H2454" t="s">
        <v>34</v>
      </c>
      <c r="I2454" t="s">
        <v>25</v>
      </c>
      <c r="J2454" t="s">
        <v>26</v>
      </c>
      <c r="K2454" t="s">
        <v>61</v>
      </c>
      <c r="L2454" t="s">
        <v>28</v>
      </c>
      <c r="M2454" s="4">
        <v>15</v>
      </c>
      <c r="N2454" s="4">
        <v>7</v>
      </c>
      <c r="O2454" t="s">
        <v>29</v>
      </c>
      <c r="P2454" t="s">
        <v>36</v>
      </c>
      <c r="Q2454" s="4">
        <v>347660</v>
      </c>
      <c r="R2454" s="4">
        <v>214601</v>
      </c>
      <c r="S2454" s="4">
        <f>Table1[[#This Row],[Service_Revenue]]-Table1[[#This Row],[Service_Cost]]</f>
        <v>133059</v>
      </c>
      <c r="T2454" s="4">
        <v>1</v>
      </c>
      <c r="U2454" s="4">
        <f>IF(AND(Table1[[#This Row],[Rework_Flag]]="Yes",Table1[[#This Row],[Warranty_Claim]]="No"),Table1[[#This Row],[Service_Revenue]],0)</f>
        <v>347660</v>
      </c>
      <c r="V2454" s="4">
        <f>IF(Table1[[#This Row],[Warranty_Claim]]="Yes",1,0)</f>
        <v>0</v>
      </c>
      <c r="W2454" s="4">
        <f>IF(Table1[[#This Row],[Rework_Flag]]="No",1,0)</f>
        <v>0</v>
      </c>
      <c r="X2454" s="4">
        <f>IF(Table1[[#This Row],[Rework_Flag]]="Yes",1,0)</f>
        <v>1</v>
      </c>
      <c r="Y2454" s="4">
        <v>1</v>
      </c>
      <c r="Z2454" s="4" t="str">
        <f>IF(Table1[[#This Row],[TAT_Days]]&gt;Table1[[#This Row],[SLA_TAT]],"Yes","No")</f>
        <v>Yes</v>
      </c>
      <c r="AA2454" s="4" t="str" cm="1">
        <f t="array" ref="AA2454">_xlfn.IFS(Table1[[#This Row],[Customer_Satisfaction]]&lt;=2,"Poor",Table1[[#This Row],[Customer_Satisfaction]]=3,"Neutral",Table1[[#This Row],[Customer_Satisfaction]]=4,"Good",Table1[[#This Row],[Customer_Satisfaction]]=5,"Good")</f>
        <v>Poor</v>
      </c>
    </row>
    <row r="2455" spans="1:27" x14ac:dyDescent="0.35">
      <c r="A2455">
        <v>22453</v>
      </c>
      <c r="B2455" s="1">
        <v>45420</v>
      </c>
      <c r="C2455" t="s">
        <v>19</v>
      </c>
      <c r="D2455" t="s">
        <v>45</v>
      </c>
      <c r="E2455" t="s">
        <v>114</v>
      </c>
      <c r="F2455" t="s">
        <v>53</v>
      </c>
      <c r="G2455" t="s">
        <v>63</v>
      </c>
      <c r="H2455" t="s">
        <v>24</v>
      </c>
      <c r="I2455" t="s">
        <v>55</v>
      </c>
      <c r="J2455" t="s">
        <v>43</v>
      </c>
      <c r="K2455" t="s">
        <v>27</v>
      </c>
      <c r="L2455" t="s">
        <v>28</v>
      </c>
      <c r="M2455" s="4">
        <v>21</v>
      </c>
      <c r="N2455" s="4">
        <v>7</v>
      </c>
      <c r="O2455" t="s">
        <v>29</v>
      </c>
      <c r="P2455" t="s">
        <v>36</v>
      </c>
      <c r="Q2455" s="4">
        <v>366677</v>
      </c>
      <c r="R2455" s="4">
        <v>235888</v>
      </c>
      <c r="S2455" s="4">
        <f>Table1[[#This Row],[Service_Revenue]]-Table1[[#This Row],[Service_Cost]]</f>
        <v>130789</v>
      </c>
      <c r="T2455" s="4">
        <v>1</v>
      </c>
      <c r="U2455" s="4">
        <f>IF(AND(Table1[[#This Row],[Rework_Flag]]="Yes",Table1[[#This Row],[Warranty_Claim]]="No"),Table1[[#This Row],[Service_Revenue]],0)</f>
        <v>366677</v>
      </c>
      <c r="V2455" s="4">
        <f>IF(Table1[[#This Row],[Warranty_Claim]]="Yes",1,0)</f>
        <v>0</v>
      </c>
      <c r="W2455" s="4">
        <f>IF(Table1[[#This Row],[Rework_Flag]]="No",1,0)</f>
        <v>0</v>
      </c>
      <c r="X2455" s="4">
        <f>IF(Table1[[#This Row],[Rework_Flag]]="Yes",1,0)</f>
        <v>1</v>
      </c>
      <c r="Y2455" s="4">
        <v>1</v>
      </c>
      <c r="Z2455" s="4" t="str">
        <f>IF(Table1[[#This Row],[TAT_Days]]&gt;Table1[[#This Row],[SLA_TAT]],"Yes","No")</f>
        <v>Yes</v>
      </c>
      <c r="AA2455" s="4" t="str" cm="1">
        <f t="array" ref="AA2455">_xlfn.IFS(Table1[[#This Row],[Customer_Satisfaction]]&lt;=2,"Poor",Table1[[#This Row],[Customer_Satisfaction]]=3,"Neutral",Table1[[#This Row],[Customer_Satisfaction]]=4,"Good",Table1[[#This Row],[Customer_Satisfaction]]=5,"Good")</f>
        <v>Poor</v>
      </c>
    </row>
    <row r="2456" spans="1:27" x14ac:dyDescent="0.35">
      <c r="A2456">
        <v>22454</v>
      </c>
      <c r="B2456" s="1">
        <v>45452</v>
      </c>
      <c r="C2456" t="s">
        <v>30</v>
      </c>
      <c r="D2456" t="s">
        <v>59</v>
      </c>
      <c r="E2456" t="s">
        <v>66</v>
      </c>
      <c r="F2456" t="s">
        <v>40</v>
      </c>
      <c r="G2456" t="s">
        <v>63</v>
      </c>
      <c r="H2456" t="s">
        <v>24</v>
      </c>
      <c r="I2456" t="s">
        <v>25</v>
      </c>
      <c r="J2456" t="s">
        <v>58</v>
      </c>
      <c r="K2456" t="s">
        <v>61</v>
      </c>
      <c r="L2456" t="s">
        <v>28</v>
      </c>
      <c r="M2456" s="4">
        <v>24</v>
      </c>
      <c r="N2456" s="4">
        <v>7</v>
      </c>
      <c r="O2456" t="s">
        <v>36</v>
      </c>
      <c r="P2456" t="s">
        <v>36</v>
      </c>
      <c r="Q2456" s="4">
        <v>291927</v>
      </c>
      <c r="R2456" s="4">
        <v>225700</v>
      </c>
      <c r="S2456" s="4">
        <f>Table1[[#This Row],[Service_Revenue]]-Table1[[#This Row],[Service_Cost]]</f>
        <v>66227</v>
      </c>
      <c r="T2456" s="4">
        <v>1</v>
      </c>
      <c r="U2456" s="4">
        <f>IF(AND(Table1[[#This Row],[Rework_Flag]]="Yes",Table1[[#This Row],[Warranty_Claim]]="No"),Table1[[#This Row],[Service_Revenue]],0)</f>
        <v>0</v>
      </c>
      <c r="V2456" s="4">
        <f>IF(Table1[[#This Row],[Warranty_Claim]]="Yes",1,0)</f>
        <v>0</v>
      </c>
      <c r="W2456" s="4">
        <f>IF(Table1[[#This Row],[Rework_Flag]]="No",1,0)</f>
        <v>1</v>
      </c>
      <c r="X2456" s="4">
        <f>IF(Table1[[#This Row],[Rework_Flag]]="Yes",1,0)</f>
        <v>0</v>
      </c>
      <c r="Y2456" s="4">
        <v>1</v>
      </c>
      <c r="Z2456" s="4" t="str">
        <f>IF(Table1[[#This Row],[TAT_Days]]&gt;Table1[[#This Row],[SLA_TAT]],"Yes","No")</f>
        <v>Yes</v>
      </c>
      <c r="AA2456" s="4" t="str" cm="1">
        <f t="array" ref="AA2456">_xlfn.IFS(Table1[[#This Row],[Customer_Satisfaction]]&lt;=2,"Poor",Table1[[#This Row],[Customer_Satisfaction]]=3,"Neutral",Table1[[#This Row],[Customer_Satisfaction]]=4,"Good",Table1[[#This Row],[Customer_Satisfaction]]=5,"Good")</f>
        <v>Poor</v>
      </c>
    </row>
    <row r="2457" spans="1:27" x14ac:dyDescent="0.35">
      <c r="A2457">
        <v>22455</v>
      </c>
      <c r="B2457" s="1">
        <v>45402</v>
      </c>
      <c r="C2457" t="s">
        <v>37</v>
      </c>
      <c r="D2457" t="s">
        <v>38</v>
      </c>
      <c r="E2457" t="s">
        <v>93</v>
      </c>
      <c r="F2457" t="s">
        <v>53</v>
      </c>
      <c r="G2457" t="s">
        <v>54</v>
      </c>
      <c r="H2457" t="s">
        <v>42</v>
      </c>
      <c r="I2457" t="s">
        <v>25</v>
      </c>
      <c r="J2457" t="s">
        <v>58</v>
      </c>
      <c r="K2457" t="s">
        <v>27</v>
      </c>
      <c r="L2457" t="s">
        <v>49</v>
      </c>
      <c r="M2457" s="4">
        <v>18</v>
      </c>
      <c r="N2457" s="4">
        <v>7</v>
      </c>
      <c r="O2457" t="s">
        <v>29</v>
      </c>
      <c r="P2457" t="s">
        <v>36</v>
      </c>
      <c r="Q2457" s="4">
        <v>573025</v>
      </c>
      <c r="R2457" s="4">
        <v>297104</v>
      </c>
      <c r="S2457" s="4">
        <f>Table1[[#This Row],[Service_Revenue]]-Table1[[#This Row],[Service_Cost]]</f>
        <v>275921</v>
      </c>
      <c r="T2457" s="4">
        <v>1</v>
      </c>
      <c r="U2457" s="4">
        <f>IF(AND(Table1[[#This Row],[Rework_Flag]]="Yes",Table1[[#This Row],[Warranty_Claim]]="No"),Table1[[#This Row],[Service_Revenue]],0)</f>
        <v>573025</v>
      </c>
      <c r="V2457" s="4">
        <f>IF(Table1[[#This Row],[Warranty_Claim]]="Yes",1,0)</f>
        <v>0</v>
      </c>
      <c r="W2457" s="4">
        <f>IF(Table1[[#This Row],[Rework_Flag]]="No",1,0)</f>
        <v>0</v>
      </c>
      <c r="X2457" s="4">
        <f>IF(Table1[[#This Row],[Rework_Flag]]="Yes",1,0)</f>
        <v>1</v>
      </c>
      <c r="Y2457" s="4">
        <v>1</v>
      </c>
      <c r="Z2457" s="4" t="str">
        <f>IF(Table1[[#This Row],[TAT_Days]]&gt;Table1[[#This Row],[SLA_TAT]],"Yes","No")</f>
        <v>Yes</v>
      </c>
      <c r="AA2457" s="4" t="str" cm="1">
        <f t="array" ref="AA2457">_xlfn.IFS(Table1[[#This Row],[Customer_Satisfaction]]&lt;=2,"Poor",Table1[[#This Row],[Customer_Satisfaction]]=3,"Neutral",Table1[[#This Row],[Customer_Satisfaction]]=4,"Good",Table1[[#This Row],[Customer_Satisfaction]]=5,"Good")</f>
        <v>Poor</v>
      </c>
    </row>
    <row r="2458" spans="1:27" x14ac:dyDescent="0.35">
      <c r="A2458">
        <v>22456</v>
      </c>
      <c r="B2458" s="1">
        <v>45416</v>
      </c>
      <c r="C2458" t="s">
        <v>37</v>
      </c>
      <c r="D2458" t="s">
        <v>38</v>
      </c>
      <c r="E2458" t="s">
        <v>93</v>
      </c>
      <c r="F2458" t="s">
        <v>53</v>
      </c>
      <c r="G2458" t="s">
        <v>23</v>
      </c>
      <c r="H2458" t="s">
        <v>24</v>
      </c>
      <c r="I2458" t="s">
        <v>55</v>
      </c>
      <c r="J2458" t="s">
        <v>35</v>
      </c>
      <c r="K2458" t="s">
        <v>27</v>
      </c>
      <c r="L2458" t="s">
        <v>49</v>
      </c>
      <c r="M2458" s="4">
        <v>19</v>
      </c>
      <c r="N2458" s="4">
        <v>7</v>
      </c>
      <c r="O2458" t="s">
        <v>29</v>
      </c>
      <c r="P2458" t="s">
        <v>36</v>
      </c>
      <c r="Q2458" s="4">
        <v>207506</v>
      </c>
      <c r="R2458" s="4">
        <v>108748</v>
      </c>
      <c r="S2458" s="4">
        <f>Table1[[#This Row],[Service_Revenue]]-Table1[[#This Row],[Service_Cost]]</f>
        <v>98758</v>
      </c>
      <c r="T2458" s="4">
        <v>1</v>
      </c>
      <c r="U2458" s="4">
        <f>IF(AND(Table1[[#This Row],[Rework_Flag]]="Yes",Table1[[#This Row],[Warranty_Claim]]="No"),Table1[[#This Row],[Service_Revenue]],0)</f>
        <v>207506</v>
      </c>
      <c r="V2458" s="4">
        <f>IF(Table1[[#This Row],[Warranty_Claim]]="Yes",1,0)</f>
        <v>0</v>
      </c>
      <c r="W2458" s="4">
        <f>IF(Table1[[#This Row],[Rework_Flag]]="No",1,0)</f>
        <v>0</v>
      </c>
      <c r="X2458" s="4">
        <f>IF(Table1[[#This Row],[Rework_Flag]]="Yes",1,0)</f>
        <v>1</v>
      </c>
      <c r="Y2458" s="4">
        <v>1</v>
      </c>
      <c r="Z2458" s="4" t="str">
        <f>IF(Table1[[#This Row],[TAT_Days]]&gt;Table1[[#This Row],[SLA_TAT]],"Yes","No")</f>
        <v>Yes</v>
      </c>
      <c r="AA2458" s="4" t="str" cm="1">
        <f t="array" ref="AA2458">_xlfn.IFS(Table1[[#This Row],[Customer_Satisfaction]]&lt;=2,"Poor",Table1[[#This Row],[Customer_Satisfaction]]=3,"Neutral",Table1[[#This Row],[Customer_Satisfaction]]=4,"Good",Table1[[#This Row],[Customer_Satisfaction]]=5,"Good")</f>
        <v>Poor</v>
      </c>
    </row>
    <row r="2459" spans="1:27" x14ac:dyDescent="0.35">
      <c r="A2459">
        <v>22457</v>
      </c>
      <c r="B2459" s="1">
        <v>45451</v>
      </c>
      <c r="C2459" t="s">
        <v>19</v>
      </c>
      <c r="D2459" t="s">
        <v>96</v>
      </c>
      <c r="E2459" t="s">
        <v>108</v>
      </c>
      <c r="F2459" t="s">
        <v>22</v>
      </c>
      <c r="G2459" t="s">
        <v>63</v>
      </c>
      <c r="H2459" t="s">
        <v>24</v>
      </c>
      <c r="I2459" t="s">
        <v>55</v>
      </c>
      <c r="J2459" t="s">
        <v>58</v>
      </c>
      <c r="K2459" t="s">
        <v>61</v>
      </c>
      <c r="L2459" t="s">
        <v>28</v>
      </c>
      <c r="M2459" s="4">
        <v>24</v>
      </c>
      <c r="N2459" s="4">
        <v>7</v>
      </c>
      <c r="O2459" t="s">
        <v>29</v>
      </c>
      <c r="P2459" t="s">
        <v>36</v>
      </c>
      <c r="Q2459" s="4">
        <v>95963</v>
      </c>
      <c r="R2459" s="4">
        <v>64718</v>
      </c>
      <c r="S2459" s="4">
        <f>Table1[[#This Row],[Service_Revenue]]-Table1[[#This Row],[Service_Cost]]</f>
        <v>31245</v>
      </c>
      <c r="T2459" s="4">
        <v>1</v>
      </c>
      <c r="U2459" s="4">
        <f>IF(AND(Table1[[#This Row],[Rework_Flag]]="Yes",Table1[[#This Row],[Warranty_Claim]]="No"),Table1[[#This Row],[Service_Revenue]],0)</f>
        <v>95963</v>
      </c>
      <c r="V2459" s="4">
        <f>IF(Table1[[#This Row],[Warranty_Claim]]="Yes",1,0)</f>
        <v>0</v>
      </c>
      <c r="W2459" s="4">
        <f>IF(Table1[[#This Row],[Rework_Flag]]="No",1,0)</f>
        <v>0</v>
      </c>
      <c r="X2459" s="4">
        <f>IF(Table1[[#This Row],[Rework_Flag]]="Yes",1,0)</f>
        <v>1</v>
      </c>
      <c r="Y2459" s="4">
        <v>1</v>
      </c>
      <c r="Z2459" s="4" t="str">
        <f>IF(Table1[[#This Row],[TAT_Days]]&gt;Table1[[#This Row],[SLA_TAT]],"Yes","No")</f>
        <v>Yes</v>
      </c>
      <c r="AA2459" s="4" t="str" cm="1">
        <f t="array" ref="AA2459">_xlfn.IFS(Table1[[#This Row],[Customer_Satisfaction]]&lt;=2,"Poor",Table1[[#This Row],[Customer_Satisfaction]]=3,"Neutral",Table1[[#This Row],[Customer_Satisfaction]]=4,"Good",Table1[[#This Row],[Customer_Satisfaction]]=5,"Good")</f>
        <v>Poor</v>
      </c>
    </row>
    <row r="2460" spans="1:27" x14ac:dyDescent="0.35">
      <c r="A2460">
        <v>22458</v>
      </c>
      <c r="B2460" s="1">
        <v>45316</v>
      </c>
      <c r="C2460" t="s">
        <v>19</v>
      </c>
      <c r="D2460" t="s">
        <v>20</v>
      </c>
      <c r="E2460" t="s">
        <v>89</v>
      </c>
      <c r="F2460" t="s">
        <v>22</v>
      </c>
      <c r="G2460" t="s">
        <v>23</v>
      </c>
      <c r="H2460" t="s">
        <v>24</v>
      </c>
      <c r="I2460" t="s">
        <v>25</v>
      </c>
      <c r="J2460" t="s">
        <v>26</v>
      </c>
      <c r="K2460" t="s">
        <v>44</v>
      </c>
      <c r="L2460" t="s">
        <v>49</v>
      </c>
      <c r="M2460" s="4">
        <v>17</v>
      </c>
      <c r="N2460" s="4">
        <v>7</v>
      </c>
      <c r="O2460" t="s">
        <v>29</v>
      </c>
      <c r="P2460" t="s">
        <v>36</v>
      </c>
      <c r="Q2460" s="4">
        <v>98177</v>
      </c>
      <c r="R2460" s="4">
        <v>62472</v>
      </c>
      <c r="S2460" s="4">
        <f>Table1[[#This Row],[Service_Revenue]]-Table1[[#This Row],[Service_Cost]]</f>
        <v>35705</v>
      </c>
      <c r="T2460" s="4">
        <v>1</v>
      </c>
      <c r="U2460" s="4">
        <f>IF(AND(Table1[[#This Row],[Rework_Flag]]="Yes",Table1[[#This Row],[Warranty_Claim]]="No"),Table1[[#This Row],[Service_Revenue]],0)</f>
        <v>98177</v>
      </c>
      <c r="V2460" s="4">
        <f>IF(Table1[[#This Row],[Warranty_Claim]]="Yes",1,0)</f>
        <v>0</v>
      </c>
      <c r="W2460" s="4">
        <f>IF(Table1[[#This Row],[Rework_Flag]]="No",1,0)</f>
        <v>0</v>
      </c>
      <c r="X2460" s="4">
        <f>IF(Table1[[#This Row],[Rework_Flag]]="Yes",1,0)</f>
        <v>1</v>
      </c>
      <c r="Y2460" s="4">
        <v>1</v>
      </c>
      <c r="Z2460" s="4" t="str">
        <f>IF(Table1[[#This Row],[TAT_Days]]&gt;Table1[[#This Row],[SLA_TAT]],"Yes","No")</f>
        <v>Yes</v>
      </c>
      <c r="AA2460" s="4" t="str" cm="1">
        <f t="array" ref="AA2460">_xlfn.IFS(Table1[[#This Row],[Customer_Satisfaction]]&lt;=2,"Poor",Table1[[#This Row],[Customer_Satisfaction]]=3,"Neutral",Table1[[#This Row],[Customer_Satisfaction]]=4,"Good",Table1[[#This Row],[Customer_Satisfaction]]=5,"Good")</f>
        <v>Poor</v>
      </c>
    </row>
    <row r="2461" spans="1:27" x14ac:dyDescent="0.35">
      <c r="A2461">
        <v>22459</v>
      </c>
      <c r="B2461" s="1">
        <v>45405</v>
      </c>
      <c r="C2461" t="s">
        <v>37</v>
      </c>
      <c r="D2461" t="s">
        <v>70</v>
      </c>
      <c r="E2461" t="s">
        <v>100</v>
      </c>
      <c r="F2461" t="s">
        <v>53</v>
      </c>
      <c r="G2461" t="s">
        <v>54</v>
      </c>
      <c r="H2461" t="s">
        <v>42</v>
      </c>
      <c r="I2461" t="s">
        <v>25</v>
      </c>
      <c r="J2461" t="s">
        <v>26</v>
      </c>
      <c r="K2461" t="s">
        <v>27</v>
      </c>
      <c r="L2461" t="s">
        <v>28</v>
      </c>
      <c r="M2461" s="4">
        <v>6</v>
      </c>
      <c r="N2461" s="4">
        <v>7</v>
      </c>
      <c r="O2461" t="s">
        <v>29</v>
      </c>
      <c r="P2461" t="s">
        <v>36</v>
      </c>
      <c r="Q2461" s="4">
        <v>335817</v>
      </c>
      <c r="R2461" s="4">
        <v>238212</v>
      </c>
      <c r="S2461" s="4">
        <f>Table1[[#This Row],[Service_Revenue]]-Table1[[#This Row],[Service_Cost]]</f>
        <v>97605</v>
      </c>
      <c r="T2461" s="4">
        <v>3</v>
      </c>
      <c r="U2461" s="4">
        <f>IF(AND(Table1[[#This Row],[Rework_Flag]]="Yes",Table1[[#This Row],[Warranty_Claim]]="No"),Table1[[#This Row],[Service_Revenue]],0)</f>
        <v>335817</v>
      </c>
      <c r="V2461" s="4">
        <f>IF(Table1[[#This Row],[Warranty_Claim]]="Yes",1,0)</f>
        <v>0</v>
      </c>
      <c r="W2461" s="4">
        <f>IF(Table1[[#This Row],[Rework_Flag]]="No",1,0)</f>
        <v>0</v>
      </c>
      <c r="X2461" s="4">
        <f>IF(Table1[[#This Row],[Rework_Flag]]="Yes",1,0)</f>
        <v>1</v>
      </c>
      <c r="Y2461" s="4">
        <v>1</v>
      </c>
      <c r="Z2461" s="4" t="str">
        <f>IF(Table1[[#This Row],[TAT_Days]]&gt;Table1[[#This Row],[SLA_TAT]],"Yes","No")</f>
        <v>No</v>
      </c>
      <c r="AA2461" s="4" t="str" cm="1">
        <f t="array" ref="AA2461">_xlfn.IFS(Table1[[#This Row],[Customer_Satisfaction]]&lt;=2,"Poor",Table1[[#This Row],[Customer_Satisfaction]]=3,"Neutral",Table1[[#This Row],[Customer_Satisfaction]]=4,"Good",Table1[[#This Row],[Customer_Satisfaction]]=5,"Good")</f>
        <v>Neutral</v>
      </c>
    </row>
    <row r="2462" spans="1:27" x14ac:dyDescent="0.35">
      <c r="A2462">
        <v>22460</v>
      </c>
      <c r="B2462" s="1">
        <v>45298</v>
      </c>
      <c r="C2462" t="s">
        <v>19</v>
      </c>
      <c r="D2462" t="s">
        <v>45</v>
      </c>
      <c r="E2462" t="s">
        <v>76</v>
      </c>
      <c r="F2462" t="s">
        <v>53</v>
      </c>
      <c r="G2462" t="s">
        <v>33</v>
      </c>
      <c r="H2462" t="s">
        <v>34</v>
      </c>
      <c r="I2462" t="s">
        <v>25</v>
      </c>
      <c r="J2462" t="s">
        <v>58</v>
      </c>
      <c r="K2462" t="s">
        <v>44</v>
      </c>
      <c r="L2462" t="s">
        <v>28</v>
      </c>
      <c r="M2462" s="4">
        <v>7</v>
      </c>
      <c r="N2462" s="4">
        <v>7</v>
      </c>
      <c r="O2462" t="s">
        <v>29</v>
      </c>
      <c r="P2462" t="s">
        <v>36</v>
      </c>
      <c r="Q2462" s="4">
        <v>167487</v>
      </c>
      <c r="R2462" s="4">
        <v>131784</v>
      </c>
      <c r="S2462" s="4">
        <f>Table1[[#This Row],[Service_Revenue]]-Table1[[#This Row],[Service_Cost]]</f>
        <v>35703</v>
      </c>
      <c r="T2462" s="4">
        <v>3</v>
      </c>
      <c r="U2462" s="4">
        <f>IF(AND(Table1[[#This Row],[Rework_Flag]]="Yes",Table1[[#This Row],[Warranty_Claim]]="No"),Table1[[#This Row],[Service_Revenue]],0)</f>
        <v>167487</v>
      </c>
      <c r="V2462" s="4">
        <f>IF(Table1[[#This Row],[Warranty_Claim]]="Yes",1,0)</f>
        <v>0</v>
      </c>
      <c r="W2462" s="4">
        <f>IF(Table1[[#This Row],[Rework_Flag]]="No",1,0)</f>
        <v>0</v>
      </c>
      <c r="X2462" s="4">
        <f>IF(Table1[[#This Row],[Rework_Flag]]="Yes",1,0)</f>
        <v>1</v>
      </c>
      <c r="Y2462" s="4">
        <v>1</v>
      </c>
      <c r="Z2462" s="4" t="str">
        <f>IF(Table1[[#This Row],[TAT_Days]]&gt;Table1[[#This Row],[SLA_TAT]],"Yes","No")</f>
        <v>No</v>
      </c>
      <c r="AA2462" s="4" t="str" cm="1">
        <f t="array" ref="AA2462">_xlfn.IFS(Table1[[#This Row],[Customer_Satisfaction]]&lt;=2,"Poor",Table1[[#This Row],[Customer_Satisfaction]]=3,"Neutral",Table1[[#This Row],[Customer_Satisfaction]]=4,"Good",Table1[[#This Row],[Customer_Satisfaction]]=5,"Good")</f>
        <v>Neutral</v>
      </c>
    </row>
    <row r="2463" spans="1:27" x14ac:dyDescent="0.35">
      <c r="A2463">
        <v>22461</v>
      </c>
      <c r="B2463" s="1">
        <v>45413</v>
      </c>
      <c r="C2463" t="s">
        <v>50</v>
      </c>
      <c r="D2463" t="s">
        <v>80</v>
      </c>
      <c r="E2463" t="s">
        <v>118</v>
      </c>
      <c r="F2463" t="s">
        <v>40</v>
      </c>
      <c r="G2463" t="s">
        <v>63</v>
      </c>
      <c r="H2463" t="s">
        <v>24</v>
      </c>
      <c r="I2463" t="s">
        <v>25</v>
      </c>
      <c r="J2463" t="s">
        <v>58</v>
      </c>
      <c r="K2463" t="s">
        <v>44</v>
      </c>
      <c r="L2463" t="s">
        <v>28</v>
      </c>
      <c r="M2463" s="4">
        <v>6</v>
      </c>
      <c r="N2463" s="4">
        <v>7</v>
      </c>
      <c r="O2463" t="s">
        <v>36</v>
      </c>
      <c r="P2463" t="s">
        <v>29</v>
      </c>
      <c r="Q2463" s="4">
        <v>384584</v>
      </c>
      <c r="R2463" s="4">
        <v>263731</v>
      </c>
      <c r="S2463" s="4">
        <f>Table1[[#This Row],[Service_Revenue]]-Table1[[#This Row],[Service_Cost]]</f>
        <v>120853</v>
      </c>
      <c r="T2463" s="4">
        <v>4</v>
      </c>
      <c r="U2463" s="4">
        <f>IF(AND(Table1[[#This Row],[Rework_Flag]]="Yes",Table1[[#This Row],[Warranty_Claim]]="No"),Table1[[#This Row],[Service_Revenue]],0)</f>
        <v>0</v>
      </c>
      <c r="V2463" s="4">
        <f>IF(Table1[[#This Row],[Warranty_Claim]]="Yes",1,0)</f>
        <v>1</v>
      </c>
      <c r="W2463" s="4">
        <f>IF(Table1[[#This Row],[Rework_Flag]]="No",1,0)</f>
        <v>1</v>
      </c>
      <c r="X2463" s="4">
        <f>IF(Table1[[#This Row],[Rework_Flag]]="Yes",1,0)</f>
        <v>0</v>
      </c>
      <c r="Y2463" s="4">
        <v>1</v>
      </c>
      <c r="Z2463" s="4" t="str">
        <f>IF(Table1[[#This Row],[TAT_Days]]&gt;Table1[[#This Row],[SLA_TAT]],"Yes","No")</f>
        <v>No</v>
      </c>
      <c r="AA2463" s="4" t="str" cm="1">
        <f t="array" ref="AA2463">_xlfn.IFS(Table1[[#This Row],[Customer_Satisfaction]]&lt;=2,"Poor",Table1[[#This Row],[Customer_Satisfaction]]=3,"Neutral",Table1[[#This Row],[Customer_Satisfaction]]=4,"Good",Table1[[#This Row],[Customer_Satisfaction]]=5,"Good")</f>
        <v>Good</v>
      </c>
    </row>
    <row r="2464" spans="1:27" x14ac:dyDescent="0.35">
      <c r="A2464">
        <v>22462</v>
      </c>
      <c r="B2464" s="1">
        <v>45345</v>
      </c>
      <c r="C2464" t="s">
        <v>50</v>
      </c>
      <c r="D2464" t="s">
        <v>51</v>
      </c>
      <c r="E2464" t="s">
        <v>73</v>
      </c>
      <c r="F2464" t="s">
        <v>53</v>
      </c>
      <c r="G2464" t="s">
        <v>47</v>
      </c>
      <c r="H2464" t="s">
        <v>48</v>
      </c>
      <c r="I2464" t="s">
        <v>25</v>
      </c>
      <c r="J2464" t="s">
        <v>43</v>
      </c>
      <c r="K2464" t="s">
        <v>27</v>
      </c>
      <c r="L2464" t="s">
        <v>49</v>
      </c>
      <c r="M2464" s="4">
        <v>15</v>
      </c>
      <c r="N2464" s="4">
        <v>7</v>
      </c>
      <c r="O2464" t="s">
        <v>29</v>
      </c>
      <c r="P2464" t="s">
        <v>29</v>
      </c>
      <c r="Q2464" s="4">
        <v>452822</v>
      </c>
      <c r="R2464" s="4">
        <v>309446</v>
      </c>
      <c r="S2464" s="4">
        <f>Table1[[#This Row],[Service_Revenue]]-Table1[[#This Row],[Service_Cost]]</f>
        <v>143376</v>
      </c>
      <c r="T2464" s="4">
        <v>1</v>
      </c>
      <c r="U2464" s="4">
        <f>IF(AND(Table1[[#This Row],[Rework_Flag]]="Yes",Table1[[#This Row],[Warranty_Claim]]="No"),Table1[[#This Row],[Service_Revenue]],0)</f>
        <v>0</v>
      </c>
      <c r="V2464" s="4">
        <f>IF(Table1[[#This Row],[Warranty_Claim]]="Yes",1,0)</f>
        <v>1</v>
      </c>
      <c r="W2464" s="4">
        <f>IF(Table1[[#This Row],[Rework_Flag]]="No",1,0)</f>
        <v>0</v>
      </c>
      <c r="X2464" s="4">
        <f>IF(Table1[[#This Row],[Rework_Flag]]="Yes",1,0)</f>
        <v>1</v>
      </c>
      <c r="Y2464" s="4">
        <v>1</v>
      </c>
      <c r="Z2464" s="4" t="str">
        <f>IF(Table1[[#This Row],[TAT_Days]]&gt;Table1[[#This Row],[SLA_TAT]],"Yes","No")</f>
        <v>Yes</v>
      </c>
      <c r="AA2464" s="4" t="str" cm="1">
        <f t="array" ref="AA2464">_xlfn.IFS(Table1[[#This Row],[Customer_Satisfaction]]&lt;=2,"Poor",Table1[[#This Row],[Customer_Satisfaction]]=3,"Neutral",Table1[[#This Row],[Customer_Satisfaction]]=4,"Good",Table1[[#This Row],[Customer_Satisfaction]]=5,"Good")</f>
        <v>Poor</v>
      </c>
    </row>
    <row r="2465" spans="1:27" x14ac:dyDescent="0.35">
      <c r="A2465">
        <v>22463</v>
      </c>
      <c r="B2465" s="1">
        <v>45392</v>
      </c>
      <c r="C2465" t="s">
        <v>50</v>
      </c>
      <c r="D2465" t="s">
        <v>80</v>
      </c>
      <c r="E2465" t="s">
        <v>85</v>
      </c>
      <c r="F2465" t="s">
        <v>53</v>
      </c>
      <c r="G2465" t="s">
        <v>63</v>
      </c>
      <c r="H2465" t="s">
        <v>24</v>
      </c>
      <c r="I2465" t="s">
        <v>25</v>
      </c>
      <c r="J2465" t="s">
        <v>26</v>
      </c>
      <c r="K2465" t="s">
        <v>27</v>
      </c>
      <c r="L2465" t="s">
        <v>49</v>
      </c>
      <c r="M2465" s="4">
        <v>11</v>
      </c>
      <c r="N2465" s="4">
        <v>7</v>
      </c>
      <c r="O2465" t="s">
        <v>29</v>
      </c>
      <c r="P2465" t="s">
        <v>29</v>
      </c>
      <c r="Q2465" s="4">
        <v>467367</v>
      </c>
      <c r="R2465" s="4">
        <v>375388</v>
      </c>
      <c r="S2465" s="4">
        <f>Table1[[#This Row],[Service_Revenue]]-Table1[[#This Row],[Service_Cost]]</f>
        <v>91979</v>
      </c>
      <c r="T2465" s="4">
        <v>2</v>
      </c>
      <c r="U2465" s="4">
        <f>IF(AND(Table1[[#This Row],[Rework_Flag]]="Yes",Table1[[#This Row],[Warranty_Claim]]="No"),Table1[[#This Row],[Service_Revenue]],0)</f>
        <v>0</v>
      </c>
      <c r="V2465" s="4">
        <f>IF(Table1[[#This Row],[Warranty_Claim]]="Yes",1,0)</f>
        <v>1</v>
      </c>
      <c r="W2465" s="4">
        <f>IF(Table1[[#This Row],[Rework_Flag]]="No",1,0)</f>
        <v>0</v>
      </c>
      <c r="X2465" s="4">
        <f>IF(Table1[[#This Row],[Rework_Flag]]="Yes",1,0)</f>
        <v>1</v>
      </c>
      <c r="Y2465" s="4">
        <v>1</v>
      </c>
      <c r="Z2465" s="4" t="str">
        <f>IF(Table1[[#This Row],[TAT_Days]]&gt;Table1[[#This Row],[SLA_TAT]],"Yes","No")</f>
        <v>Yes</v>
      </c>
      <c r="AA2465" s="4" t="str" cm="1">
        <f t="array" ref="AA2465">_xlfn.IFS(Table1[[#This Row],[Customer_Satisfaction]]&lt;=2,"Poor",Table1[[#This Row],[Customer_Satisfaction]]=3,"Neutral",Table1[[#This Row],[Customer_Satisfaction]]=4,"Good",Table1[[#This Row],[Customer_Satisfaction]]=5,"Good")</f>
        <v>Poor</v>
      </c>
    </row>
    <row r="2466" spans="1:27" x14ac:dyDescent="0.35">
      <c r="A2466">
        <v>22464</v>
      </c>
      <c r="B2466" s="1">
        <v>45315</v>
      </c>
      <c r="C2466" t="s">
        <v>50</v>
      </c>
      <c r="D2466" t="s">
        <v>80</v>
      </c>
      <c r="E2466" t="s">
        <v>121</v>
      </c>
      <c r="F2466" t="s">
        <v>22</v>
      </c>
      <c r="G2466" t="s">
        <v>63</v>
      </c>
      <c r="H2466" t="s">
        <v>24</v>
      </c>
      <c r="I2466" t="s">
        <v>25</v>
      </c>
      <c r="J2466" t="s">
        <v>35</v>
      </c>
      <c r="K2466" t="s">
        <v>61</v>
      </c>
      <c r="L2466" t="s">
        <v>28</v>
      </c>
      <c r="M2466" s="4">
        <v>7</v>
      </c>
      <c r="N2466" s="4">
        <v>7</v>
      </c>
      <c r="O2466" t="s">
        <v>36</v>
      </c>
      <c r="P2466" t="s">
        <v>36</v>
      </c>
      <c r="Q2466" s="4">
        <v>129180</v>
      </c>
      <c r="R2466" s="4">
        <v>77356</v>
      </c>
      <c r="S2466" s="4">
        <f>Table1[[#This Row],[Service_Revenue]]-Table1[[#This Row],[Service_Cost]]</f>
        <v>51824</v>
      </c>
      <c r="T2466" s="4">
        <v>4</v>
      </c>
      <c r="U2466" s="4">
        <f>IF(AND(Table1[[#This Row],[Rework_Flag]]="Yes",Table1[[#This Row],[Warranty_Claim]]="No"),Table1[[#This Row],[Service_Revenue]],0)</f>
        <v>0</v>
      </c>
      <c r="V2466" s="4">
        <f>IF(Table1[[#This Row],[Warranty_Claim]]="Yes",1,0)</f>
        <v>0</v>
      </c>
      <c r="W2466" s="4">
        <f>IF(Table1[[#This Row],[Rework_Flag]]="No",1,0)</f>
        <v>1</v>
      </c>
      <c r="X2466" s="4">
        <f>IF(Table1[[#This Row],[Rework_Flag]]="Yes",1,0)</f>
        <v>0</v>
      </c>
      <c r="Y2466" s="4">
        <v>1</v>
      </c>
      <c r="Z2466" s="4" t="str">
        <f>IF(Table1[[#This Row],[TAT_Days]]&gt;Table1[[#This Row],[SLA_TAT]],"Yes","No")</f>
        <v>No</v>
      </c>
      <c r="AA2466" s="4" t="str" cm="1">
        <f t="array" ref="AA2466">_xlfn.IFS(Table1[[#This Row],[Customer_Satisfaction]]&lt;=2,"Poor",Table1[[#This Row],[Customer_Satisfaction]]=3,"Neutral",Table1[[#This Row],[Customer_Satisfaction]]=4,"Good",Table1[[#This Row],[Customer_Satisfaction]]=5,"Good")</f>
        <v>Good</v>
      </c>
    </row>
    <row r="2467" spans="1:27" x14ac:dyDescent="0.35">
      <c r="A2467">
        <v>22465</v>
      </c>
      <c r="B2467" s="1">
        <v>45435</v>
      </c>
      <c r="C2467" t="s">
        <v>37</v>
      </c>
      <c r="D2467" t="s">
        <v>64</v>
      </c>
      <c r="E2467" t="s">
        <v>115</v>
      </c>
      <c r="F2467" t="s">
        <v>22</v>
      </c>
      <c r="G2467" t="s">
        <v>33</v>
      </c>
      <c r="H2467" t="s">
        <v>34</v>
      </c>
      <c r="I2467" t="s">
        <v>25</v>
      </c>
      <c r="J2467" t="s">
        <v>35</v>
      </c>
      <c r="K2467" t="s">
        <v>27</v>
      </c>
      <c r="L2467" t="s">
        <v>28</v>
      </c>
      <c r="M2467" s="4">
        <v>19</v>
      </c>
      <c r="N2467" s="4">
        <v>7</v>
      </c>
      <c r="O2467" t="s">
        <v>29</v>
      </c>
      <c r="P2467" t="s">
        <v>29</v>
      </c>
      <c r="Q2467" s="4">
        <v>444727</v>
      </c>
      <c r="R2467" s="4">
        <v>246186</v>
      </c>
      <c r="S2467" s="4">
        <f>Table1[[#This Row],[Service_Revenue]]-Table1[[#This Row],[Service_Cost]]</f>
        <v>198541</v>
      </c>
      <c r="T2467" s="4">
        <v>1</v>
      </c>
      <c r="U2467" s="4">
        <f>IF(AND(Table1[[#This Row],[Rework_Flag]]="Yes",Table1[[#This Row],[Warranty_Claim]]="No"),Table1[[#This Row],[Service_Revenue]],0)</f>
        <v>0</v>
      </c>
      <c r="V2467" s="4">
        <f>IF(Table1[[#This Row],[Warranty_Claim]]="Yes",1,0)</f>
        <v>1</v>
      </c>
      <c r="W2467" s="4">
        <f>IF(Table1[[#This Row],[Rework_Flag]]="No",1,0)</f>
        <v>0</v>
      </c>
      <c r="X2467" s="4">
        <f>IF(Table1[[#This Row],[Rework_Flag]]="Yes",1,0)</f>
        <v>1</v>
      </c>
      <c r="Y2467" s="4">
        <v>1</v>
      </c>
      <c r="Z2467" s="4" t="str">
        <f>IF(Table1[[#This Row],[TAT_Days]]&gt;Table1[[#This Row],[SLA_TAT]],"Yes","No")</f>
        <v>Yes</v>
      </c>
      <c r="AA2467" s="4" t="str" cm="1">
        <f t="array" ref="AA2467">_xlfn.IFS(Table1[[#This Row],[Customer_Satisfaction]]&lt;=2,"Poor",Table1[[#This Row],[Customer_Satisfaction]]=3,"Neutral",Table1[[#This Row],[Customer_Satisfaction]]=4,"Good",Table1[[#This Row],[Customer_Satisfaction]]=5,"Good")</f>
        <v>Poor</v>
      </c>
    </row>
    <row r="2468" spans="1:27" x14ac:dyDescent="0.35">
      <c r="A2468">
        <v>22466</v>
      </c>
      <c r="B2468" s="1">
        <v>45365</v>
      </c>
      <c r="C2468" t="s">
        <v>50</v>
      </c>
      <c r="D2468" t="s">
        <v>51</v>
      </c>
      <c r="E2468" t="s">
        <v>75</v>
      </c>
      <c r="F2468" t="s">
        <v>40</v>
      </c>
      <c r="G2468" t="s">
        <v>74</v>
      </c>
      <c r="H2468" t="s">
        <v>34</v>
      </c>
      <c r="I2468" t="s">
        <v>55</v>
      </c>
      <c r="J2468" t="s">
        <v>58</v>
      </c>
      <c r="K2468" t="s">
        <v>61</v>
      </c>
      <c r="L2468" t="s">
        <v>49</v>
      </c>
      <c r="M2468" s="4">
        <v>4</v>
      </c>
      <c r="N2468" s="4">
        <v>7</v>
      </c>
      <c r="O2468" t="s">
        <v>29</v>
      </c>
      <c r="P2468" t="s">
        <v>36</v>
      </c>
      <c r="Q2468" s="4">
        <v>105022</v>
      </c>
      <c r="R2468" s="4">
        <v>76453</v>
      </c>
      <c r="S2468" s="4">
        <f>Table1[[#This Row],[Service_Revenue]]-Table1[[#This Row],[Service_Cost]]</f>
        <v>28569</v>
      </c>
      <c r="T2468" s="4">
        <v>4</v>
      </c>
      <c r="U2468" s="4">
        <f>IF(AND(Table1[[#This Row],[Rework_Flag]]="Yes",Table1[[#This Row],[Warranty_Claim]]="No"),Table1[[#This Row],[Service_Revenue]],0)</f>
        <v>105022</v>
      </c>
      <c r="V2468" s="4">
        <f>IF(Table1[[#This Row],[Warranty_Claim]]="Yes",1,0)</f>
        <v>0</v>
      </c>
      <c r="W2468" s="4">
        <f>IF(Table1[[#This Row],[Rework_Flag]]="No",1,0)</f>
        <v>0</v>
      </c>
      <c r="X2468" s="4">
        <f>IF(Table1[[#This Row],[Rework_Flag]]="Yes",1,0)</f>
        <v>1</v>
      </c>
      <c r="Y2468" s="4">
        <v>1</v>
      </c>
      <c r="Z2468" s="4" t="str">
        <f>IF(Table1[[#This Row],[TAT_Days]]&gt;Table1[[#This Row],[SLA_TAT]],"Yes","No")</f>
        <v>No</v>
      </c>
      <c r="AA2468" s="4" t="str" cm="1">
        <f t="array" ref="AA2468">_xlfn.IFS(Table1[[#This Row],[Customer_Satisfaction]]&lt;=2,"Poor",Table1[[#This Row],[Customer_Satisfaction]]=3,"Neutral",Table1[[#This Row],[Customer_Satisfaction]]=4,"Good",Table1[[#This Row],[Customer_Satisfaction]]=5,"Good")</f>
        <v>Good</v>
      </c>
    </row>
    <row r="2469" spans="1:27" x14ac:dyDescent="0.35">
      <c r="A2469">
        <v>22467</v>
      </c>
      <c r="B2469" s="1">
        <v>45301</v>
      </c>
      <c r="C2469" t="s">
        <v>19</v>
      </c>
      <c r="D2469" t="s">
        <v>20</v>
      </c>
      <c r="E2469" t="s">
        <v>110</v>
      </c>
      <c r="F2469" t="s">
        <v>22</v>
      </c>
      <c r="G2469" t="s">
        <v>63</v>
      </c>
      <c r="H2469" t="s">
        <v>24</v>
      </c>
      <c r="I2469" t="s">
        <v>55</v>
      </c>
      <c r="J2469" t="s">
        <v>43</v>
      </c>
      <c r="K2469" t="s">
        <v>61</v>
      </c>
      <c r="L2469" t="s">
        <v>49</v>
      </c>
      <c r="M2469" s="4">
        <v>10</v>
      </c>
      <c r="N2469" s="4">
        <v>7</v>
      </c>
      <c r="O2469" t="s">
        <v>29</v>
      </c>
      <c r="P2469" t="s">
        <v>36</v>
      </c>
      <c r="Q2469" s="4">
        <v>551549</v>
      </c>
      <c r="R2469" s="4">
        <v>449951</v>
      </c>
      <c r="S2469" s="4">
        <f>Table1[[#This Row],[Service_Revenue]]-Table1[[#This Row],[Service_Cost]]</f>
        <v>101598</v>
      </c>
      <c r="T2469" s="4">
        <v>2</v>
      </c>
      <c r="U2469" s="4">
        <f>IF(AND(Table1[[#This Row],[Rework_Flag]]="Yes",Table1[[#This Row],[Warranty_Claim]]="No"),Table1[[#This Row],[Service_Revenue]],0)</f>
        <v>551549</v>
      </c>
      <c r="V2469" s="4">
        <f>IF(Table1[[#This Row],[Warranty_Claim]]="Yes",1,0)</f>
        <v>0</v>
      </c>
      <c r="W2469" s="4">
        <f>IF(Table1[[#This Row],[Rework_Flag]]="No",1,0)</f>
        <v>0</v>
      </c>
      <c r="X2469" s="4">
        <f>IF(Table1[[#This Row],[Rework_Flag]]="Yes",1,0)</f>
        <v>1</v>
      </c>
      <c r="Y2469" s="4">
        <v>1</v>
      </c>
      <c r="Z2469" s="4" t="str">
        <f>IF(Table1[[#This Row],[TAT_Days]]&gt;Table1[[#This Row],[SLA_TAT]],"Yes","No")</f>
        <v>Yes</v>
      </c>
      <c r="AA2469" s="4" t="str" cm="1">
        <f t="array" ref="AA2469">_xlfn.IFS(Table1[[#This Row],[Customer_Satisfaction]]&lt;=2,"Poor",Table1[[#This Row],[Customer_Satisfaction]]=3,"Neutral",Table1[[#This Row],[Customer_Satisfaction]]=4,"Good",Table1[[#This Row],[Customer_Satisfaction]]=5,"Good")</f>
        <v>Poor</v>
      </c>
    </row>
    <row r="2470" spans="1:27" x14ac:dyDescent="0.35">
      <c r="A2470">
        <v>22468</v>
      </c>
      <c r="B2470" s="1">
        <v>45391</v>
      </c>
      <c r="C2470" t="s">
        <v>19</v>
      </c>
      <c r="D2470" t="s">
        <v>45</v>
      </c>
      <c r="E2470" t="s">
        <v>46</v>
      </c>
      <c r="F2470" t="s">
        <v>53</v>
      </c>
      <c r="G2470" t="s">
        <v>63</v>
      </c>
      <c r="H2470" t="s">
        <v>24</v>
      </c>
      <c r="I2470" t="s">
        <v>25</v>
      </c>
      <c r="J2470" t="s">
        <v>43</v>
      </c>
      <c r="K2470" t="s">
        <v>61</v>
      </c>
      <c r="L2470" t="s">
        <v>28</v>
      </c>
      <c r="M2470" s="4">
        <v>16</v>
      </c>
      <c r="N2470" s="4">
        <v>7</v>
      </c>
      <c r="O2470" t="s">
        <v>29</v>
      </c>
      <c r="P2470" t="s">
        <v>36</v>
      </c>
      <c r="Q2470" s="4">
        <v>371749</v>
      </c>
      <c r="R2470" s="4">
        <v>306752</v>
      </c>
      <c r="S2470" s="4">
        <f>Table1[[#This Row],[Service_Revenue]]-Table1[[#This Row],[Service_Cost]]</f>
        <v>64997</v>
      </c>
      <c r="T2470" s="4">
        <v>1</v>
      </c>
      <c r="U2470" s="4">
        <f>IF(AND(Table1[[#This Row],[Rework_Flag]]="Yes",Table1[[#This Row],[Warranty_Claim]]="No"),Table1[[#This Row],[Service_Revenue]],0)</f>
        <v>371749</v>
      </c>
      <c r="V2470" s="4">
        <f>IF(Table1[[#This Row],[Warranty_Claim]]="Yes",1,0)</f>
        <v>0</v>
      </c>
      <c r="W2470" s="4">
        <f>IF(Table1[[#This Row],[Rework_Flag]]="No",1,0)</f>
        <v>0</v>
      </c>
      <c r="X2470" s="4">
        <f>IF(Table1[[#This Row],[Rework_Flag]]="Yes",1,0)</f>
        <v>1</v>
      </c>
      <c r="Y2470" s="4">
        <v>1</v>
      </c>
      <c r="Z2470" s="4" t="str">
        <f>IF(Table1[[#This Row],[TAT_Days]]&gt;Table1[[#This Row],[SLA_TAT]],"Yes","No")</f>
        <v>Yes</v>
      </c>
      <c r="AA2470" s="4" t="str" cm="1">
        <f t="array" ref="AA2470">_xlfn.IFS(Table1[[#This Row],[Customer_Satisfaction]]&lt;=2,"Poor",Table1[[#This Row],[Customer_Satisfaction]]=3,"Neutral",Table1[[#This Row],[Customer_Satisfaction]]=4,"Good",Table1[[#This Row],[Customer_Satisfaction]]=5,"Good")</f>
        <v>Poor</v>
      </c>
    </row>
    <row r="2471" spans="1:27" x14ac:dyDescent="0.35">
      <c r="A2471">
        <v>22469</v>
      </c>
      <c r="B2471" s="1">
        <v>45348</v>
      </c>
      <c r="C2471" t="s">
        <v>30</v>
      </c>
      <c r="D2471" t="s">
        <v>31</v>
      </c>
      <c r="E2471" t="s">
        <v>62</v>
      </c>
      <c r="F2471" t="s">
        <v>22</v>
      </c>
      <c r="G2471" t="s">
        <v>41</v>
      </c>
      <c r="H2471" t="s">
        <v>42</v>
      </c>
      <c r="I2471" t="s">
        <v>55</v>
      </c>
      <c r="J2471" t="s">
        <v>67</v>
      </c>
      <c r="K2471" t="s">
        <v>44</v>
      </c>
      <c r="L2471" t="s">
        <v>49</v>
      </c>
      <c r="M2471" s="4">
        <v>23</v>
      </c>
      <c r="N2471" s="4">
        <v>7</v>
      </c>
      <c r="O2471" t="s">
        <v>36</v>
      </c>
      <c r="P2471" t="s">
        <v>29</v>
      </c>
      <c r="Q2471" s="4">
        <v>584054</v>
      </c>
      <c r="R2471" s="4">
        <v>364582</v>
      </c>
      <c r="S2471" s="4">
        <f>Table1[[#This Row],[Service_Revenue]]-Table1[[#This Row],[Service_Cost]]</f>
        <v>219472</v>
      </c>
      <c r="T2471" s="4">
        <v>1</v>
      </c>
      <c r="U2471" s="4">
        <f>IF(AND(Table1[[#This Row],[Rework_Flag]]="Yes",Table1[[#This Row],[Warranty_Claim]]="No"),Table1[[#This Row],[Service_Revenue]],0)</f>
        <v>0</v>
      </c>
      <c r="V2471" s="4">
        <f>IF(Table1[[#This Row],[Warranty_Claim]]="Yes",1,0)</f>
        <v>1</v>
      </c>
      <c r="W2471" s="4">
        <f>IF(Table1[[#This Row],[Rework_Flag]]="No",1,0)</f>
        <v>1</v>
      </c>
      <c r="X2471" s="4">
        <f>IF(Table1[[#This Row],[Rework_Flag]]="Yes",1,0)</f>
        <v>0</v>
      </c>
      <c r="Y2471" s="4">
        <v>1</v>
      </c>
      <c r="Z2471" s="4" t="str">
        <f>IF(Table1[[#This Row],[TAT_Days]]&gt;Table1[[#This Row],[SLA_TAT]],"Yes","No")</f>
        <v>Yes</v>
      </c>
      <c r="AA2471" s="4" t="str" cm="1">
        <f t="array" ref="AA2471">_xlfn.IFS(Table1[[#This Row],[Customer_Satisfaction]]&lt;=2,"Poor",Table1[[#This Row],[Customer_Satisfaction]]=3,"Neutral",Table1[[#This Row],[Customer_Satisfaction]]=4,"Good",Table1[[#This Row],[Customer_Satisfaction]]=5,"Good")</f>
        <v>Poor</v>
      </c>
    </row>
    <row r="2472" spans="1:27" x14ac:dyDescent="0.35">
      <c r="A2472">
        <v>22470</v>
      </c>
      <c r="B2472" s="1">
        <v>45452</v>
      </c>
      <c r="C2472" t="s">
        <v>37</v>
      </c>
      <c r="D2472" t="s">
        <v>64</v>
      </c>
      <c r="E2472" t="s">
        <v>103</v>
      </c>
      <c r="F2472" t="s">
        <v>53</v>
      </c>
      <c r="G2472" t="s">
        <v>74</v>
      </c>
      <c r="H2472" t="s">
        <v>34</v>
      </c>
      <c r="I2472" t="s">
        <v>25</v>
      </c>
      <c r="J2472" t="s">
        <v>43</v>
      </c>
      <c r="K2472" t="s">
        <v>27</v>
      </c>
      <c r="L2472" t="s">
        <v>28</v>
      </c>
      <c r="M2472" s="4">
        <v>14</v>
      </c>
      <c r="N2472" s="4">
        <v>7</v>
      </c>
      <c r="O2472" t="s">
        <v>29</v>
      </c>
      <c r="P2472" t="s">
        <v>29</v>
      </c>
      <c r="Q2472" s="4">
        <v>271732</v>
      </c>
      <c r="R2472" s="4">
        <v>196821</v>
      </c>
      <c r="S2472" s="4">
        <f>Table1[[#This Row],[Service_Revenue]]-Table1[[#This Row],[Service_Cost]]</f>
        <v>74911</v>
      </c>
      <c r="T2472" s="4">
        <v>2</v>
      </c>
      <c r="U2472" s="4">
        <f>IF(AND(Table1[[#This Row],[Rework_Flag]]="Yes",Table1[[#This Row],[Warranty_Claim]]="No"),Table1[[#This Row],[Service_Revenue]],0)</f>
        <v>0</v>
      </c>
      <c r="V2472" s="4">
        <f>IF(Table1[[#This Row],[Warranty_Claim]]="Yes",1,0)</f>
        <v>1</v>
      </c>
      <c r="W2472" s="4">
        <f>IF(Table1[[#This Row],[Rework_Flag]]="No",1,0)</f>
        <v>0</v>
      </c>
      <c r="X2472" s="4">
        <f>IF(Table1[[#This Row],[Rework_Flag]]="Yes",1,0)</f>
        <v>1</v>
      </c>
      <c r="Y2472" s="4">
        <v>1</v>
      </c>
      <c r="Z2472" s="4" t="str">
        <f>IF(Table1[[#This Row],[TAT_Days]]&gt;Table1[[#This Row],[SLA_TAT]],"Yes","No")</f>
        <v>Yes</v>
      </c>
      <c r="AA2472" s="4" t="str" cm="1">
        <f t="array" ref="AA2472">_xlfn.IFS(Table1[[#This Row],[Customer_Satisfaction]]&lt;=2,"Poor",Table1[[#This Row],[Customer_Satisfaction]]=3,"Neutral",Table1[[#This Row],[Customer_Satisfaction]]=4,"Good",Table1[[#This Row],[Customer_Satisfaction]]=5,"Good")</f>
        <v>Poor</v>
      </c>
    </row>
    <row r="2473" spans="1:27" x14ac:dyDescent="0.35">
      <c r="A2473">
        <v>22471</v>
      </c>
      <c r="B2473" s="1">
        <v>45365</v>
      </c>
      <c r="C2473" t="s">
        <v>50</v>
      </c>
      <c r="D2473" t="s">
        <v>56</v>
      </c>
      <c r="E2473" t="s">
        <v>68</v>
      </c>
      <c r="F2473" t="s">
        <v>40</v>
      </c>
      <c r="G2473" t="s">
        <v>23</v>
      </c>
      <c r="H2473" t="s">
        <v>24</v>
      </c>
      <c r="I2473" t="s">
        <v>55</v>
      </c>
      <c r="J2473" t="s">
        <v>43</v>
      </c>
      <c r="K2473" t="s">
        <v>61</v>
      </c>
      <c r="L2473" t="s">
        <v>49</v>
      </c>
      <c r="M2473" s="4">
        <v>25</v>
      </c>
      <c r="N2473" s="4">
        <v>7</v>
      </c>
      <c r="O2473" t="s">
        <v>29</v>
      </c>
      <c r="P2473" t="s">
        <v>29</v>
      </c>
      <c r="Q2473" s="4">
        <v>538911</v>
      </c>
      <c r="R2473" s="4">
        <v>346828</v>
      </c>
      <c r="S2473" s="4">
        <f>Table1[[#This Row],[Service_Revenue]]-Table1[[#This Row],[Service_Cost]]</f>
        <v>192083</v>
      </c>
      <c r="T2473" s="4">
        <v>1</v>
      </c>
      <c r="U2473" s="4">
        <f>IF(AND(Table1[[#This Row],[Rework_Flag]]="Yes",Table1[[#This Row],[Warranty_Claim]]="No"),Table1[[#This Row],[Service_Revenue]],0)</f>
        <v>0</v>
      </c>
      <c r="V2473" s="4">
        <f>IF(Table1[[#This Row],[Warranty_Claim]]="Yes",1,0)</f>
        <v>1</v>
      </c>
      <c r="W2473" s="4">
        <f>IF(Table1[[#This Row],[Rework_Flag]]="No",1,0)</f>
        <v>0</v>
      </c>
      <c r="X2473" s="4">
        <f>IF(Table1[[#This Row],[Rework_Flag]]="Yes",1,0)</f>
        <v>1</v>
      </c>
      <c r="Y2473" s="4">
        <v>1</v>
      </c>
      <c r="Z2473" s="4" t="str">
        <f>IF(Table1[[#This Row],[TAT_Days]]&gt;Table1[[#This Row],[SLA_TAT]],"Yes","No")</f>
        <v>Yes</v>
      </c>
      <c r="AA2473" s="4" t="str" cm="1">
        <f t="array" ref="AA2473">_xlfn.IFS(Table1[[#This Row],[Customer_Satisfaction]]&lt;=2,"Poor",Table1[[#This Row],[Customer_Satisfaction]]=3,"Neutral",Table1[[#This Row],[Customer_Satisfaction]]=4,"Good",Table1[[#This Row],[Customer_Satisfaction]]=5,"Good")</f>
        <v>Poor</v>
      </c>
    </row>
    <row r="2474" spans="1:27" x14ac:dyDescent="0.35">
      <c r="A2474">
        <v>22472</v>
      </c>
      <c r="B2474" s="1">
        <v>45366</v>
      </c>
      <c r="C2474" t="s">
        <v>30</v>
      </c>
      <c r="D2474" t="s">
        <v>83</v>
      </c>
      <c r="E2474" t="s">
        <v>90</v>
      </c>
      <c r="F2474" t="s">
        <v>40</v>
      </c>
      <c r="G2474" t="s">
        <v>54</v>
      </c>
      <c r="H2474" t="s">
        <v>42</v>
      </c>
      <c r="I2474" t="s">
        <v>55</v>
      </c>
      <c r="J2474" t="s">
        <v>67</v>
      </c>
      <c r="K2474" t="s">
        <v>61</v>
      </c>
      <c r="L2474" t="s">
        <v>28</v>
      </c>
      <c r="M2474" s="4">
        <v>18</v>
      </c>
      <c r="N2474" s="4">
        <v>7</v>
      </c>
      <c r="O2474" t="s">
        <v>36</v>
      </c>
      <c r="P2474" t="s">
        <v>36</v>
      </c>
      <c r="Q2474" s="4">
        <v>382984</v>
      </c>
      <c r="R2474" s="4">
        <v>246103</v>
      </c>
      <c r="S2474" s="4">
        <f>Table1[[#This Row],[Service_Revenue]]-Table1[[#This Row],[Service_Cost]]</f>
        <v>136881</v>
      </c>
      <c r="T2474" s="4">
        <v>2</v>
      </c>
      <c r="U2474" s="4">
        <f>IF(AND(Table1[[#This Row],[Rework_Flag]]="Yes",Table1[[#This Row],[Warranty_Claim]]="No"),Table1[[#This Row],[Service_Revenue]],0)</f>
        <v>0</v>
      </c>
      <c r="V2474" s="4">
        <f>IF(Table1[[#This Row],[Warranty_Claim]]="Yes",1,0)</f>
        <v>0</v>
      </c>
      <c r="W2474" s="4">
        <f>IF(Table1[[#This Row],[Rework_Flag]]="No",1,0)</f>
        <v>1</v>
      </c>
      <c r="X2474" s="4">
        <f>IF(Table1[[#This Row],[Rework_Flag]]="Yes",1,0)</f>
        <v>0</v>
      </c>
      <c r="Y2474" s="4">
        <v>1</v>
      </c>
      <c r="Z2474" s="4" t="str">
        <f>IF(Table1[[#This Row],[TAT_Days]]&gt;Table1[[#This Row],[SLA_TAT]],"Yes","No")</f>
        <v>Yes</v>
      </c>
      <c r="AA2474" s="4" t="str" cm="1">
        <f t="array" ref="AA2474">_xlfn.IFS(Table1[[#This Row],[Customer_Satisfaction]]&lt;=2,"Poor",Table1[[#This Row],[Customer_Satisfaction]]=3,"Neutral",Table1[[#This Row],[Customer_Satisfaction]]=4,"Good",Table1[[#This Row],[Customer_Satisfaction]]=5,"Good")</f>
        <v>Poor</v>
      </c>
    </row>
    <row r="2475" spans="1:27" x14ac:dyDescent="0.35">
      <c r="A2475">
        <v>22473</v>
      </c>
      <c r="B2475" s="1">
        <v>45301</v>
      </c>
      <c r="C2475" t="s">
        <v>30</v>
      </c>
      <c r="D2475" t="s">
        <v>59</v>
      </c>
      <c r="E2475" t="s">
        <v>60</v>
      </c>
      <c r="F2475" t="s">
        <v>22</v>
      </c>
      <c r="G2475" t="s">
        <v>74</v>
      </c>
      <c r="H2475" t="s">
        <v>34</v>
      </c>
      <c r="I2475" t="s">
        <v>25</v>
      </c>
      <c r="J2475" t="s">
        <v>43</v>
      </c>
      <c r="K2475" t="s">
        <v>61</v>
      </c>
      <c r="L2475" t="s">
        <v>49</v>
      </c>
      <c r="M2475" s="4">
        <v>12</v>
      </c>
      <c r="N2475" s="4">
        <v>7</v>
      </c>
      <c r="O2475" t="s">
        <v>29</v>
      </c>
      <c r="P2475" t="s">
        <v>36</v>
      </c>
      <c r="Q2475" s="4">
        <v>228696</v>
      </c>
      <c r="R2475" s="4">
        <v>189431</v>
      </c>
      <c r="S2475" s="4">
        <f>Table1[[#This Row],[Service_Revenue]]-Table1[[#This Row],[Service_Cost]]</f>
        <v>39265</v>
      </c>
      <c r="T2475" s="4">
        <v>2</v>
      </c>
      <c r="U2475" s="4">
        <f>IF(AND(Table1[[#This Row],[Rework_Flag]]="Yes",Table1[[#This Row],[Warranty_Claim]]="No"),Table1[[#This Row],[Service_Revenue]],0)</f>
        <v>228696</v>
      </c>
      <c r="V2475" s="4">
        <f>IF(Table1[[#This Row],[Warranty_Claim]]="Yes",1,0)</f>
        <v>0</v>
      </c>
      <c r="W2475" s="4">
        <f>IF(Table1[[#This Row],[Rework_Flag]]="No",1,0)</f>
        <v>0</v>
      </c>
      <c r="X2475" s="4">
        <f>IF(Table1[[#This Row],[Rework_Flag]]="Yes",1,0)</f>
        <v>1</v>
      </c>
      <c r="Y2475" s="4">
        <v>1</v>
      </c>
      <c r="Z2475" s="4" t="str">
        <f>IF(Table1[[#This Row],[TAT_Days]]&gt;Table1[[#This Row],[SLA_TAT]],"Yes","No")</f>
        <v>Yes</v>
      </c>
      <c r="AA2475" s="4" t="str" cm="1">
        <f t="array" ref="AA2475">_xlfn.IFS(Table1[[#This Row],[Customer_Satisfaction]]&lt;=2,"Poor",Table1[[#This Row],[Customer_Satisfaction]]=3,"Neutral",Table1[[#This Row],[Customer_Satisfaction]]=4,"Good",Table1[[#This Row],[Customer_Satisfaction]]=5,"Good")</f>
        <v>Poor</v>
      </c>
    </row>
    <row r="2476" spans="1:27" x14ac:dyDescent="0.35">
      <c r="A2476">
        <v>22474</v>
      </c>
      <c r="B2476" s="1">
        <v>45318</v>
      </c>
      <c r="C2476" t="s">
        <v>30</v>
      </c>
      <c r="D2476" t="s">
        <v>83</v>
      </c>
      <c r="E2476" t="s">
        <v>119</v>
      </c>
      <c r="F2476" t="s">
        <v>22</v>
      </c>
      <c r="G2476" t="s">
        <v>23</v>
      </c>
      <c r="H2476" t="s">
        <v>24</v>
      </c>
      <c r="I2476" t="s">
        <v>25</v>
      </c>
      <c r="J2476" t="s">
        <v>58</v>
      </c>
      <c r="K2476" t="s">
        <v>27</v>
      </c>
      <c r="L2476" t="s">
        <v>49</v>
      </c>
      <c r="M2476" s="4">
        <v>24</v>
      </c>
      <c r="N2476" s="4">
        <v>7</v>
      </c>
      <c r="O2476" t="s">
        <v>29</v>
      </c>
      <c r="P2476" t="s">
        <v>29</v>
      </c>
      <c r="Q2476" s="4">
        <v>346635</v>
      </c>
      <c r="R2476" s="4">
        <v>185851</v>
      </c>
      <c r="S2476" s="4">
        <f>Table1[[#This Row],[Service_Revenue]]-Table1[[#This Row],[Service_Cost]]</f>
        <v>160784</v>
      </c>
      <c r="T2476" s="4">
        <v>1</v>
      </c>
      <c r="U2476" s="4">
        <f>IF(AND(Table1[[#This Row],[Rework_Flag]]="Yes",Table1[[#This Row],[Warranty_Claim]]="No"),Table1[[#This Row],[Service_Revenue]],0)</f>
        <v>0</v>
      </c>
      <c r="V2476" s="4">
        <f>IF(Table1[[#This Row],[Warranty_Claim]]="Yes",1,0)</f>
        <v>1</v>
      </c>
      <c r="W2476" s="4">
        <f>IF(Table1[[#This Row],[Rework_Flag]]="No",1,0)</f>
        <v>0</v>
      </c>
      <c r="X2476" s="4">
        <f>IF(Table1[[#This Row],[Rework_Flag]]="Yes",1,0)</f>
        <v>1</v>
      </c>
      <c r="Y2476" s="4">
        <v>1</v>
      </c>
      <c r="Z2476" s="4" t="str">
        <f>IF(Table1[[#This Row],[TAT_Days]]&gt;Table1[[#This Row],[SLA_TAT]],"Yes","No")</f>
        <v>Yes</v>
      </c>
      <c r="AA2476" s="4" t="str" cm="1">
        <f t="array" ref="AA2476">_xlfn.IFS(Table1[[#This Row],[Customer_Satisfaction]]&lt;=2,"Poor",Table1[[#This Row],[Customer_Satisfaction]]=3,"Neutral",Table1[[#This Row],[Customer_Satisfaction]]=4,"Good",Table1[[#This Row],[Customer_Satisfaction]]=5,"Good")</f>
        <v>Poor</v>
      </c>
    </row>
    <row r="2477" spans="1:27" x14ac:dyDescent="0.35">
      <c r="A2477">
        <v>22475</v>
      </c>
      <c r="B2477" s="1">
        <v>45365</v>
      </c>
      <c r="C2477" t="s">
        <v>19</v>
      </c>
      <c r="D2477" t="s">
        <v>20</v>
      </c>
      <c r="E2477" t="s">
        <v>117</v>
      </c>
      <c r="F2477" t="s">
        <v>40</v>
      </c>
      <c r="G2477" t="s">
        <v>33</v>
      </c>
      <c r="H2477" t="s">
        <v>34</v>
      </c>
      <c r="I2477" t="s">
        <v>25</v>
      </c>
      <c r="J2477" t="s">
        <v>43</v>
      </c>
      <c r="K2477" t="s">
        <v>61</v>
      </c>
      <c r="L2477" t="s">
        <v>49</v>
      </c>
      <c r="M2477" s="4">
        <v>12</v>
      </c>
      <c r="N2477" s="4">
        <v>7</v>
      </c>
      <c r="O2477" t="s">
        <v>29</v>
      </c>
      <c r="P2477" t="s">
        <v>29</v>
      </c>
      <c r="Q2477" s="4">
        <v>445906</v>
      </c>
      <c r="R2477" s="4">
        <v>300315</v>
      </c>
      <c r="S2477" s="4">
        <f>Table1[[#This Row],[Service_Revenue]]-Table1[[#This Row],[Service_Cost]]</f>
        <v>145591</v>
      </c>
      <c r="T2477" s="4">
        <v>2</v>
      </c>
      <c r="U2477" s="4">
        <f>IF(AND(Table1[[#This Row],[Rework_Flag]]="Yes",Table1[[#This Row],[Warranty_Claim]]="No"),Table1[[#This Row],[Service_Revenue]],0)</f>
        <v>0</v>
      </c>
      <c r="V2477" s="4">
        <f>IF(Table1[[#This Row],[Warranty_Claim]]="Yes",1,0)</f>
        <v>1</v>
      </c>
      <c r="W2477" s="4">
        <f>IF(Table1[[#This Row],[Rework_Flag]]="No",1,0)</f>
        <v>0</v>
      </c>
      <c r="X2477" s="4">
        <f>IF(Table1[[#This Row],[Rework_Flag]]="Yes",1,0)</f>
        <v>1</v>
      </c>
      <c r="Y2477" s="4">
        <v>1</v>
      </c>
      <c r="Z2477" s="4" t="str">
        <f>IF(Table1[[#This Row],[TAT_Days]]&gt;Table1[[#This Row],[SLA_TAT]],"Yes","No")</f>
        <v>Yes</v>
      </c>
      <c r="AA2477" s="4" t="str" cm="1">
        <f t="array" ref="AA2477">_xlfn.IFS(Table1[[#This Row],[Customer_Satisfaction]]&lt;=2,"Poor",Table1[[#This Row],[Customer_Satisfaction]]=3,"Neutral",Table1[[#This Row],[Customer_Satisfaction]]=4,"Good",Table1[[#This Row],[Customer_Satisfaction]]=5,"Good")</f>
        <v>Poor</v>
      </c>
    </row>
    <row r="2478" spans="1:27" x14ac:dyDescent="0.35">
      <c r="A2478">
        <v>22476</v>
      </c>
      <c r="B2478" s="1">
        <v>45310</v>
      </c>
      <c r="C2478" t="s">
        <v>19</v>
      </c>
      <c r="D2478" t="s">
        <v>20</v>
      </c>
      <c r="E2478" t="s">
        <v>117</v>
      </c>
      <c r="F2478" t="s">
        <v>53</v>
      </c>
      <c r="G2478" t="s">
        <v>41</v>
      </c>
      <c r="H2478" t="s">
        <v>42</v>
      </c>
      <c r="I2478" t="s">
        <v>25</v>
      </c>
      <c r="J2478" t="s">
        <v>67</v>
      </c>
      <c r="K2478" t="s">
        <v>44</v>
      </c>
      <c r="L2478" t="s">
        <v>49</v>
      </c>
      <c r="M2478" s="4">
        <v>23</v>
      </c>
      <c r="N2478" s="4">
        <v>7</v>
      </c>
      <c r="O2478" t="s">
        <v>29</v>
      </c>
      <c r="P2478" t="s">
        <v>36</v>
      </c>
      <c r="Q2478" s="4">
        <v>548632</v>
      </c>
      <c r="R2478" s="4">
        <v>377591</v>
      </c>
      <c r="S2478" s="4">
        <f>Table1[[#This Row],[Service_Revenue]]-Table1[[#This Row],[Service_Cost]]</f>
        <v>171041</v>
      </c>
      <c r="T2478" s="4">
        <v>1</v>
      </c>
      <c r="U2478" s="4">
        <f>IF(AND(Table1[[#This Row],[Rework_Flag]]="Yes",Table1[[#This Row],[Warranty_Claim]]="No"),Table1[[#This Row],[Service_Revenue]],0)</f>
        <v>548632</v>
      </c>
      <c r="V2478" s="4">
        <f>IF(Table1[[#This Row],[Warranty_Claim]]="Yes",1,0)</f>
        <v>0</v>
      </c>
      <c r="W2478" s="4">
        <f>IF(Table1[[#This Row],[Rework_Flag]]="No",1,0)</f>
        <v>0</v>
      </c>
      <c r="X2478" s="4">
        <f>IF(Table1[[#This Row],[Rework_Flag]]="Yes",1,0)</f>
        <v>1</v>
      </c>
      <c r="Y2478" s="4">
        <v>1</v>
      </c>
      <c r="Z2478" s="4" t="str">
        <f>IF(Table1[[#This Row],[TAT_Days]]&gt;Table1[[#This Row],[SLA_TAT]],"Yes","No")</f>
        <v>Yes</v>
      </c>
      <c r="AA2478" s="4" t="str" cm="1">
        <f t="array" ref="AA2478">_xlfn.IFS(Table1[[#This Row],[Customer_Satisfaction]]&lt;=2,"Poor",Table1[[#This Row],[Customer_Satisfaction]]=3,"Neutral",Table1[[#This Row],[Customer_Satisfaction]]=4,"Good",Table1[[#This Row],[Customer_Satisfaction]]=5,"Good")</f>
        <v>Poor</v>
      </c>
    </row>
    <row r="2479" spans="1:27" x14ac:dyDescent="0.35">
      <c r="A2479">
        <v>22477</v>
      </c>
      <c r="B2479" s="1">
        <v>45418</v>
      </c>
      <c r="C2479" t="s">
        <v>50</v>
      </c>
      <c r="D2479" t="s">
        <v>80</v>
      </c>
      <c r="E2479" t="s">
        <v>104</v>
      </c>
      <c r="F2479" t="s">
        <v>40</v>
      </c>
      <c r="G2479" t="s">
        <v>47</v>
      </c>
      <c r="H2479" t="s">
        <v>48</v>
      </c>
      <c r="I2479" t="s">
        <v>55</v>
      </c>
      <c r="J2479" t="s">
        <v>26</v>
      </c>
      <c r="K2479" t="s">
        <v>27</v>
      </c>
      <c r="L2479" t="s">
        <v>28</v>
      </c>
      <c r="M2479" s="4">
        <v>24</v>
      </c>
      <c r="N2479" s="4">
        <v>7</v>
      </c>
      <c r="O2479" t="s">
        <v>29</v>
      </c>
      <c r="P2479" t="s">
        <v>36</v>
      </c>
      <c r="Q2479" s="4">
        <v>415571</v>
      </c>
      <c r="R2479" s="4">
        <v>238163</v>
      </c>
      <c r="S2479" s="4">
        <f>Table1[[#This Row],[Service_Revenue]]-Table1[[#This Row],[Service_Cost]]</f>
        <v>177408</v>
      </c>
      <c r="T2479" s="4">
        <v>1</v>
      </c>
      <c r="U2479" s="4">
        <f>IF(AND(Table1[[#This Row],[Rework_Flag]]="Yes",Table1[[#This Row],[Warranty_Claim]]="No"),Table1[[#This Row],[Service_Revenue]],0)</f>
        <v>415571</v>
      </c>
      <c r="V2479" s="4">
        <f>IF(Table1[[#This Row],[Warranty_Claim]]="Yes",1,0)</f>
        <v>0</v>
      </c>
      <c r="W2479" s="4">
        <f>IF(Table1[[#This Row],[Rework_Flag]]="No",1,0)</f>
        <v>0</v>
      </c>
      <c r="X2479" s="4">
        <f>IF(Table1[[#This Row],[Rework_Flag]]="Yes",1,0)</f>
        <v>1</v>
      </c>
      <c r="Y2479" s="4">
        <v>1</v>
      </c>
      <c r="Z2479" s="4" t="str">
        <f>IF(Table1[[#This Row],[TAT_Days]]&gt;Table1[[#This Row],[SLA_TAT]],"Yes","No")</f>
        <v>Yes</v>
      </c>
      <c r="AA2479" s="4" t="str" cm="1">
        <f t="array" ref="AA2479">_xlfn.IFS(Table1[[#This Row],[Customer_Satisfaction]]&lt;=2,"Poor",Table1[[#This Row],[Customer_Satisfaction]]=3,"Neutral",Table1[[#This Row],[Customer_Satisfaction]]=4,"Good",Table1[[#This Row],[Customer_Satisfaction]]=5,"Good")</f>
        <v>Poor</v>
      </c>
    </row>
    <row r="2480" spans="1:27" x14ac:dyDescent="0.35">
      <c r="A2480">
        <v>22478</v>
      </c>
      <c r="B2480" s="1">
        <v>45398</v>
      </c>
      <c r="C2480" t="s">
        <v>30</v>
      </c>
      <c r="D2480" t="s">
        <v>83</v>
      </c>
      <c r="E2480" t="s">
        <v>84</v>
      </c>
      <c r="F2480" t="s">
        <v>40</v>
      </c>
      <c r="G2480" t="s">
        <v>63</v>
      </c>
      <c r="H2480" t="s">
        <v>24</v>
      </c>
      <c r="I2480" t="s">
        <v>55</v>
      </c>
      <c r="J2480" t="s">
        <v>26</v>
      </c>
      <c r="K2480" t="s">
        <v>27</v>
      </c>
      <c r="L2480" t="s">
        <v>28</v>
      </c>
      <c r="M2480" s="4">
        <v>6</v>
      </c>
      <c r="N2480" s="4">
        <v>7</v>
      </c>
      <c r="O2480" t="s">
        <v>29</v>
      </c>
      <c r="P2480" t="s">
        <v>36</v>
      </c>
      <c r="Q2480" s="4">
        <v>547368</v>
      </c>
      <c r="R2480" s="4">
        <v>275604</v>
      </c>
      <c r="S2480" s="4">
        <f>Table1[[#This Row],[Service_Revenue]]-Table1[[#This Row],[Service_Cost]]</f>
        <v>271764</v>
      </c>
      <c r="T2480" s="4">
        <v>3</v>
      </c>
      <c r="U2480" s="4">
        <f>IF(AND(Table1[[#This Row],[Rework_Flag]]="Yes",Table1[[#This Row],[Warranty_Claim]]="No"),Table1[[#This Row],[Service_Revenue]],0)</f>
        <v>547368</v>
      </c>
      <c r="V2480" s="4">
        <f>IF(Table1[[#This Row],[Warranty_Claim]]="Yes",1,0)</f>
        <v>0</v>
      </c>
      <c r="W2480" s="4">
        <f>IF(Table1[[#This Row],[Rework_Flag]]="No",1,0)</f>
        <v>0</v>
      </c>
      <c r="X2480" s="4">
        <f>IF(Table1[[#This Row],[Rework_Flag]]="Yes",1,0)</f>
        <v>1</v>
      </c>
      <c r="Y2480" s="4">
        <v>1</v>
      </c>
      <c r="Z2480" s="4" t="str">
        <f>IF(Table1[[#This Row],[TAT_Days]]&gt;Table1[[#This Row],[SLA_TAT]],"Yes","No")</f>
        <v>No</v>
      </c>
      <c r="AA2480" s="4" t="str" cm="1">
        <f t="array" ref="AA2480">_xlfn.IFS(Table1[[#This Row],[Customer_Satisfaction]]&lt;=2,"Poor",Table1[[#This Row],[Customer_Satisfaction]]=3,"Neutral",Table1[[#This Row],[Customer_Satisfaction]]=4,"Good",Table1[[#This Row],[Customer_Satisfaction]]=5,"Good")</f>
        <v>Neutral</v>
      </c>
    </row>
    <row r="2481" spans="1:27" x14ac:dyDescent="0.35">
      <c r="A2481">
        <v>22479</v>
      </c>
      <c r="B2481" s="1">
        <v>45349</v>
      </c>
      <c r="C2481" t="s">
        <v>50</v>
      </c>
      <c r="D2481" t="s">
        <v>80</v>
      </c>
      <c r="E2481" t="s">
        <v>121</v>
      </c>
      <c r="F2481" t="s">
        <v>22</v>
      </c>
      <c r="G2481" t="s">
        <v>54</v>
      </c>
      <c r="H2481" t="s">
        <v>42</v>
      </c>
      <c r="I2481" t="s">
        <v>25</v>
      </c>
      <c r="J2481" t="s">
        <v>43</v>
      </c>
      <c r="K2481" t="s">
        <v>61</v>
      </c>
      <c r="L2481" t="s">
        <v>49</v>
      </c>
      <c r="M2481" s="4">
        <v>18</v>
      </c>
      <c r="N2481" s="4">
        <v>7</v>
      </c>
      <c r="O2481" t="s">
        <v>36</v>
      </c>
      <c r="P2481" t="s">
        <v>29</v>
      </c>
      <c r="Q2481" s="4">
        <v>149786</v>
      </c>
      <c r="R2481" s="4">
        <v>101646</v>
      </c>
      <c r="S2481" s="4">
        <f>Table1[[#This Row],[Service_Revenue]]-Table1[[#This Row],[Service_Cost]]</f>
        <v>48140</v>
      </c>
      <c r="T2481" s="4">
        <v>2</v>
      </c>
      <c r="U2481" s="4">
        <f>IF(AND(Table1[[#This Row],[Rework_Flag]]="Yes",Table1[[#This Row],[Warranty_Claim]]="No"),Table1[[#This Row],[Service_Revenue]],0)</f>
        <v>0</v>
      </c>
      <c r="V2481" s="4">
        <f>IF(Table1[[#This Row],[Warranty_Claim]]="Yes",1,0)</f>
        <v>1</v>
      </c>
      <c r="W2481" s="4">
        <f>IF(Table1[[#This Row],[Rework_Flag]]="No",1,0)</f>
        <v>1</v>
      </c>
      <c r="X2481" s="4">
        <f>IF(Table1[[#This Row],[Rework_Flag]]="Yes",1,0)</f>
        <v>0</v>
      </c>
      <c r="Y2481" s="4">
        <v>1</v>
      </c>
      <c r="Z2481" s="4" t="str">
        <f>IF(Table1[[#This Row],[TAT_Days]]&gt;Table1[[#This Row],[SLA_TAT]],"Yes","No")</f>
        <v>Yes</v>
      </c>
      <c r="AA2481" s="4" t="str" cm="1">
        <f t="array" ref="AA2481">_xlfn.IFS(Table1[[#This Row],[Customer_Satisfaction]]&lt;=2,"Poor",Table1[[#This Row],[Customer_Satisfaction]]=3,"Neutral",Table1[[#This Row],[Customer_Satisfaction]]=4,"Good",Table1[[#This Row],[Customer_Satisfaction]]=5,"Good")</f>
        <v>Poor</v>
      </c>
    </row>
    <row r="2482" spans="1:27" x14ac:dyDescent="0.35">
      <c r="A2482">
        <v>22480</v>
      </c>
      <c r="B2482" s="1">
        <v>45407</v>
      </c>
      <c r="C2482" t="s">
        <v>19</v>
      </c>
      <c r="D2482" t="s">
        <v>20</v>
      </c>
      <c r="E2482" t="s">
        <v>89</v>
      </c>
      <c r="F2482" t="s">
        <v>40</v>
      </c>
      <c r="G2482" t="s">
        <v>63</v>
      </c>
      <c r="H2482" t="s">
        <v>24</v>
      </c>
      <c r="I2482" t="s">
        <v>25</v>
      </c>
      <c r="J2482" t="s">
        <v>67</v>
      </c>
      <c r="K2482" t="s">
        <v>44</v>
      </c>
      <c r="L2482" t="s">
        <v>28</v>
      </c>
      <c r="M2482" s="4">
        <v>14</v>
      </c>
      <c r="N2482" s="4">
        <v>7</v>
      </c>
      <c r="O2482" t="s">
        <v>36</v>
      </c>
      <c r="P2482" t="s">
        <v>36</v>
      </c>
      <c r="Q2482" s="4">
        <v>474032</v>
      </c>
      <c r="R2482" s="4">
        <v>263464</v>
      </c>
      <c r="S2482" s="4">
        <f>Table1[[#This Row],[Service_Revenue]]-Table1[[#This Row],[Service_Cost]]</f>
        <v>210568</v>
      </c>
      <c r="T2482" s="4">
        <v>3</v>
      </c>
      <c r="U2482" s="4">
        <f>IF(AND(Table1[[#This Row],[Rework_Flag]]="Yes",Table1[[#This Row],[Warranty_Claim]]="No"),Table1[[#This Row],[Service_Revenue]],0)</f>
        <v>0</v>
      </c>
      <c r="V2482" s="4">
        <f>IF(Table1[[#This Row],[Warranty_Claim]]="Yes",1,0)</f>
        <v>0</v>
      </c>
      <c r="W2482" s="4">
        <f>IF(Table1[[#This Row],[Rework_Flag]]="No",1,0)</f>
        <v>1</v>
      </c>
      <c r="X2482" s="4">
        <f>IF(Table1[[#This Row],[Rework_Flag]]="Yes",1,0)</f>
        <v>0</v>
      </c>
      <c r="Y2482" s="4">
        <v>1</v>
      </c>
      <c r="Z2482" s="4" t="str">
        <f>IF(Table1[[#This Row],[TAT_Days]]&gt;Table1[[#This Row],[SLA_TAT]],"Yes","No")</f>
        <v>Yes</v>
      </c>
      <c r="AA2482" s="4" t="str" cm="1">
        <f t="array" ref="AA2482">_xlfn.IFS(Table1[[#This Row],[Customer_Satisfaction]]&lt;=2,"Poor",Table1[[#This Row],[Customer_Satisfaction]]=3,"Neutral",Table1[[#This Row],[Customer_Satisfaction]]=4,"Good",Table1[[#This Row],[Customer_Satisfaction]]=5,"Good")</f>
        <v>Neutral</v>
      </c>
    </row>
    <row r="2483" spans="1:27" x14ac:dyDescent="0.35">
      <c r="A2483">
        <v>22481</v>
      </c>
      <c r="B2483" s="1">
        <v>45363</v>
      </c>
      <c r="C2483" t="s">
        <v>30</v>
      </c>
      <c r="D2483" t="s">
        <v>59</v>
      </c>
      <c r="E2483" t="s">
        <v>69</v>
      </c>
      <c r="F2483" t="s">
        <v>22</v>
      </c>
      <c r="G2483" t="s">
        <v>74</v>
      </c>
      <c r="H2483" t="s">
        <v>34</v>
      </c>
      <c r="I2483" t="s">
        <v>55</v>
      </c>
      <c r="J2483" t="s">
        <v>26</v>
      </c>
      <c r="K2483" t="s">
        <v>61</v>
      </c>
      <c r="L2483" t="s">
        <v>28</v>
      </c>
      <c r="M2483" s="4">
        <v>3</v>
      </c>
      <c r="N2483" s="4">
        <v>7</v>
      </c>
      <c r="O2483" t="s">
        <v>29</v>
      </c>
      <c r="P2483" t="s">
        <v>29</v>
      </c>
      <c r="Q2483" s="4">
        <v>533737</v>
      </c>
      <c r="R2483" s="4">
        <v>381120</v>
      </c>
      <c r="S2483" s="4">
        <f>Table1[[#This Row],[Service_Revenue]]-Table1[[#This Row],[Service_Cost]]</f>
        <v>152617</v>
      </c>
      <c r="T2483" s="4">
        <v>4</v>
      </c>
      <c r="U2483" s="4">
        <f>IF(AND(Table1[[#This Row],[Rework_Flag]]="Yes",Table1[[#This Row],[Warranty_Claim]]="No"),Table1[[#This Row],[Service_Revenue]],0)</f>
        <v>0</v>
      </c>
      <c r="V2483" s="4">
        <f>IF(Table1[[#This Row],[Warranty_Claim]]="Yes",1,0)</f>
        <v>1</v>
      </c>
      <c r="W2483" s="4">
        <f>IF(Table1[[#This Row],[Rework_Flag]]="No",1,0)</f>
        <v>0</v>
      </c>
      <c r="X2483" s="4">
        <f>IF(Table1[[#This Row],[Rework_Flag]]="Yes",1,0)</f>
        <v>1</v>
      </c>
      <c r="Y2483" s="4">
        <v>1</v>
      </c>
      <c r="Z2483" s="4" t="str">
        <f>IF(Table1[[#This Row],[TAT_Days]]&gt;Table1[[#This Row],[SLA_TAT]],"Yes","No")</f>
        <v>No</v>
      </c>
      <c r="AA2483" s="4" t="str" cm="1">
        <f t="array" ref="AA2483">_xlfn.IFS(Table1[[#This Row],[Customer_Satisfaction]]&lt;=2,"Poor",Table1[[#This Row],[Customer_Satisfaction]]=3,"Neutral",Table1[[#This Row],[Customer_Satisfaction]]=4,"Good",Table1[[#This Row],[Customer_Satisfaction]]=5,"Good")</f>
        <v>Good</v>
      </c>
    </row>
    <row r="2484" spans="1:27" x14ac:dyDescent="0.35">
      <c r="A2484">
        <v>22482</v>
      </c>
      <c r="B2484" s="1">
        <v>45317</v>
      </c>
      <c r="C2484" t="s">
        <v>19</v>
      </c>
      <c r="D2484" t="s">
        <v>20</v>
      </c>
      <c r="E2484" t="s">
        <v>89</v>
      </c>
      <c r="F2484" t="s">
        <v>53</v>
      </c>
      <c r="G2484" t="s">
        <v>54</v>
      </c>
      <c r="H2484" t="s">
        <v>42</v>
      </c>
      <c r="I2484" t="s">
        <v>55</v>
      </c>
      <c r="J2484" t="s">
        <v>35</v>
      </c>
      <c r="K2484" t="s">
        <v>44</v>
      </c>
      <c r="L2484" t="s">
        <v>49</v>
      </c>
      <c r="M2484" s="4">
        <v>24</v>
      </c>
      <c r="N2484" s="4">
        <v>7</v>
      </c>
      <c r="O2484" t="s">
        <v>36</v>
      </c>
      <c r="P2484" t="s">
        <v>29</v>
      </c>
      <c r="Q2484" s="4">
        <v>510768</v>
      </c>
      <c r="R2484" s="4">
        <v>299579</v>
      </c>
      <c r="S2484" s="4">
        <f>Table1[[#This Row],[Service_Revenue]]-Table1[[#This Row],[Service_Cost]]</f>
        <v>211189</v>
      </c>
      <c r="T2484" s="4">
        <v>1</v>
      </c>
      <c r="U2484" s="4">
        <f>IF(AND(Table1[[#This Row],[Rework_Flag]]="Yes",Table1[[#This Row],[Warranty_Claim]]="No"),Table1[[#This Row],[Service_Revenue]],0)</f>
        <v>0</v>
      </c>
      <c r="V2484" s="4">
        <f>IF(Table1[[#This Row],[Warranty_Claim]]="Yes",1,0)</f>
        <v>1</v>
      </c>
      <c r="W2484" s="4">
        <f>IF(Table1[[#This Row],[Rework_Flag]]="No",1,0)</f>
        <v>1</v>
      </c>
      <c r="X2484" s="4">
        <f>IF(Table1[[#This Row],[Rework_Flag]]="Yes",1,0)</f>
        <v>0</v>
      </c>
      <c r="Y2484" s="4">
        <v>1</v>
      </c>
      <c r="Z2484" s="4" t="str">
        <f>IF(Table1[[#This Row],[TAT_Days]]&gt;Table1[[#This Row],[SLA_TAT]],"Yes","No")</f>
        <v>Yes</v>
      </c>
      <c r="AA2484" s="4" t="str" cm="1">
        <f t="array" ref="AA2484">_xlfn.IFS(Table1[[#This Row],[Customer_Satisfaction]]&lt;=2,"Poor",Table1[[#This Row],[Customer_Satisfaction]]=3,"Neutral",Table1[[#This Row],[Customer_Satisfaction]]=4,"Good",Table1[[#This Row],[Customer_Satisfaction]]=5,"Good")</f>
        <v>Poor</v>
      </c>
    </row>
    <row r="2485" spans="1:27" x14ac:dyDescent="0.35">
      <c r="A2485">
        <v>22483</v>
      </c>
      <c r="B2485" s="1">
        <v>45447</v>
      </c>
      <c r="C2485" t="s">
        <v>30</v>
      </c>
      <c r="D2485" t="s">
        <v>31</v>
      </c>
      <c r="E2485" t="s">
        <v>32</v>
      </c>
      <c r="F2485" t="s">
        <v>53</v>
      </c>
      <c r="G2485" t="s">
        <v>41</v>
      </c>
      <c r="H2485" t="s">
        <v>42</v>
      </c>
      <c r="I2485" t="s">
        <v>55</v>
      </c>
      <c r="J2485" t="s">
        <v>58</v>
      </c>
      <c r="K2485" t="s">
        <v>27</v>
      </c>
      <c r="L2485" t="s">
        <v>49</v>
      </c>
      <c r="M2485" s="4">
        <v>22</v>
      </c>
      <c r="N2485" s="4">
        <v>7</v>
      </c>
      <c r="O2485" t="s">
        <v>29</v>
      </c>
      <c r="P2485" t="s">
        <v>29</v>
      </c>
      <c r="Q2485" s="4">
        <v>482646</v>
      </c>
      <c r="R2485" s="4">
        <v>395101</v>
      </c>
      <c r="S2485" s="4">
        <f>Table1[[#This Row],[Service_Revenue]]-Table1[[#This Row],[Service_Cost]]</f>
        <v>87545</v>
      </c>
      <c r="T2485" s="4">
        <v>1</v>
      </c>
      <c r="U2485" s="4">
        <f>IF(AND(Table1[[#This Row],[Rework_Flag]]="Yes",Table1[[#This Row],[Warranty_Claim]]="No"),Table1[[#This Row],[Service_Revenue]],0)</f>
        <v>0</v>
      </c>
      <c r="V2485" s="4">
        <f>IF(Table1[[#This Row],[Warranty_Claim]]="Yes",1,0)</f>
        <v>1</v>
      </c>
      <c r="W2485" s="4">
        <f>IF(Table1[[#This Row],[Rework_Flag]]="No",1,0)</f>
        <v>0</v>
      </c>
      <c r="X2485" s="4">
        <f>IF(Table1[[#This Row],[Rework_Flag]]="Yes",1,0)</f>
        <v>1</v>
      </c>
      <c r="Y2485" s="4">
        <v>1</v>
      </c>
      <c r="Z2485" s="4" t="str">
        <f>IF(Table1[[#This Row],[TAT_Days]]&gt;Table1[[#This Row],[SLA_TAT]],"Yes","No")</f>
        <v>Yes</v>
      </c>
      <c r="AA2485" s="4" t="str" cm="1">
        <f t="array" ref="AA2485">_xlfn.IFS(Table1[[#This Row],[Customer_Satisfaction]]&lt;=2,"Poor",Table1[[#This Row],[Customer_Satisfaction]]=3,"Neutral",Table1[[#This Row],[Customer_Satisfaction]]=4,"Good",Table1[[#This Row],[Customer_Satisfaction]]=5,"Good")</f>
        <v>Poor</v>
      </c>
    </row>
    <row r="2486" spans="1:27" x14ac:dyDescent="0.35">
      <c r="A2486">
        <v>22484</v>
      </c>
      <c r="B2486" s="1">
        <v>45433</v>
      </c>
      <c r="C2486" t="s">
        <v>37</v>
      </c>
      <c r="D2486" t="s">
        <v>70</v>
      </c>
      <c r="E2486" t="s">
        <v>91</v>
      </c>
      <c r="F2486" t="s">
        <v>40</v>
      </c>
      <c r="G2486" t="s">
        <v>23</v>
      </c>
      <c r="H2486" t="s">
        <v>24</v>
      </c>
      <c r="I2486" t="s">
        <v>55</v>
      </c>
      <c r="J2486" t="s">
        <v>67</v>
      </c>
      <c r="K2486" t="s">
        <v>61</v>
      </c>
      <c r="L2486" t="s">
        <v>49</v>
      </c>
      <c r="M2486" s="4">
        <v>24</v>
      </c>
      <c r="N2486" s="4">
        <v>7</v>
      </c>
      <c r="O2486" t="s">
        <v>29</v>
      </c>
      <c r="P2486" t="s">
        <v>29</v>
      </c>
      <c r="Q2486" s="4">
        <v>539257</v>
      </c>
      <c r="R2486" s="4">
        <v>418137</v>
      </c>
      <c r="S2486" s="4">
        <f>Table1[[#This Row],[Service_Revenue]]-Table1[[#This Row],[Service_Cost]]</f>
        <v>121120</v>
      </c>
      <c r="T2486" s="4">
        <v>1</v>
      </c>
      <c r="U2486" s="4">
        <f>IF(AND(Table1[[#This Row],[Rework_Flag]]="Yes",Table1[[#This Row],[Warranty_Claim]]="No"),Table1[[#This Row],[Service_Revenue]],0)</f>
        <v>0</v>
      </c>
      <c r="V2486" s="4">
        <f>IF(Table1[[#This Row],[Warranty_Claim]]="Yes",1,0)</f>
        <v>1</v>
      </c>
      <c r="W2486" s="4">
        <f>IF(Table1[[#This Row],[Rework_Flag]]="No",1,0)</f>
        <v>0</v>
      </c>
      <c r="X2486" s="4">
        <f>IF(Table1[[#This Row],[Rework_Flag]]="Yes",1,0)</f>
        <v>1</v>
      </c>
      <c r="Y2486" s="4">
        <v>1</v>
      </c>
      <c r="Z2486" s="4" t="str">
        <f>IF(Table1[[#This Row],[TAT_Days]]&gt;Table1[[#This Row],[SLA_TAT]],"Yes","No")</f>
        <v>Yes</v>
      </c>
      <c r="AA2486" s="4" t="str" cm="1">
        <f t="array" ref="AA2486">_xlfn.IFS(Table1[[#This Row],[Customer_Satisfaction]]&lt;=2,"Poor",Table1[[#This Row],[Customer_Satisfaction]]=3,"Neutral",Table1[[#This Row],[Customer_Satisfaction]]=4,"Good",Table1[[#This Row],[Customer_Satisfaction]]=5,"Good")</f>
        <v>Poor</v>
      </c>
    </row>
    <row r="2487" spans="1:27" x14ac:dyDescent="0.35">
      <c r="A2487">
        <v>22485</v>
      </c>
      <c r="B2487" s="1">
        <v>45334</v>
      </c>
      <c r="C2487" t="s">
        <v>19</v>
      </c>
      <c r="D2487" t="s">
        <v>96</v>
      </c>
      <c r="E2487" t="s">
        <v>105</v>
      </c>
      <c r="F2487" t="s">
        <v>40</v>
      </c>
      <c r="G2487" t="s">
        <v>54</v>
      </c>
      <c r="H2487" t="s">
        <v>42</v>
      </c>
      <c r="I2487" t="s">
        <v>25</v>
      </c>
      <c r="J2487" t="s">
        <v>67</v>
      </c>
      <c r="K2487" t="s">
        <v>44</v>
      </c>
      <c r="L2487" t="s">
        <v>28</v>
      </c>
      <c r="M2487" s="4">
        <v>10</v>
      </c>
      <c r="N2487" s="4">
        <v>7</v>
      </c>
      <c r="O2487" t="s">
        <v>29</v>
      </c>
      <c r="P2487" t="s">
        <v>29</v>
      </c>
      <c r="Q2487" s="4">
        <v>270644</v>
      </c>
      <c r="R2487" s="4">
        <v>170541</v>
      </c>
      <c r="S2487" s="4">
        <f>Table1[[#This Row],[Service_Revenue]]-Table1[[#This Row],[Service_Cost]]</f>
        <v>100103</v>
      </c>
      <c r="T2487" s="4">
        <v>2</v>
      </c>
      <c r="U2487" s="4">
        <f>IF(AND(Table1[[#This Row],[Rework_Flag]]="Yes",Table1[[#This Row],[Warranty_Claim]]="No"),Table1[[#This Row],[Service_Revenue]],0)</f>
        <v>0</v>
      </c>
      <c r="V2487" s="4">
        <f>IF(Table1[[#This Row],[Warranty_Claim]]="Yes",1,0)</f>
        <v>1</v>
      </c>
      <c r="W2487" s="4">
        <f>IF(Table1[[#This Row],[Rework_Flag]]="No",1,0)</f>
        <v>0</v>
      </c>
      <c r="X2487" s="4">
        <f>IF(Table1[[#This Row],[Rework_Flag]]="Yes",1,0)</f>
        <v>1</v>
      </c>
      <c r="Y2487" s="4">
        <v>1</v>
      </c>
      <c r="Z2487" s="4" t="str">
        <f>IF(Table1[[#This Row],[TAT_Days]]&gt;Table1[[#This Row],[SLA_TAT]],"Yes","No")</f>
        <v>Yes</v>
      </c>
      <c r="AA2487" s="4" t="str" cm="1">
        <f t="array" ref="AA2487">_xlfn.IFS(Table1[[#This Row],[Customer_Satisfaction]]&lt;=2,"Poor",Table1[[#This Row],[Customer_Satisfaction]]=3,"Neutral",Table1[[#This Row],[Customer_Satisfaction]]=4,"Good",Table1[[#This Row],[Customer_Satisfaction]]=5,"Good")</f>
        <v>Poor</v>
      </c>
    </row>
    <row r="2488" spans="1:27" x14ac:dyDescent="0.35">
      <c r="A2488">
        <v>22486</v>
      </c>
      <c r="B2488" s="1">
        <v>45466</v>
      </c>
      <c r="C2488" t="s">
        <v>19</v>
      </c>
      <c r="D2488" t="s">
        <v>20</v>
      </c>
      <c r="E2488" t="s">
        <v>21</v>
      </c>
      <c r="F2488" t="s">
        <v>40</v>
      </c>
      <c r="G2488" t="s">
        <v>63</v>
      </c>
      <c r="H2488" t="s">
        <v>24</v>
      </c>
      <c r="I2488" t="s">
        <v>25</v>
      </c>
      <c r="J2488" t="s">
        <v>58</v>
      </c>
      <c r="K2488" t="s">
        <v>44</v>
      </c>
      <c r="L2488" t="s">
        <v>28</v>
      </c>
      <c r="M2488" s="4">
        <v>14</v>
      </c>
      <c r="N2488" s="4">
        <v>7</v>
      </c>
      <c r="O2488" t="s">
        <v>29</v>
      </c>
      <c r="P2488" t="s">
        <v>29</v>
      </c>
      <c r="Q2488" s="4">
        <v>221007</v>
      </c>
      <c r="R2488" s="4">
        <v>126580</v>
      </c>
      <c r="S2488" s="4">
        <f>Table1[[#This Row],[Service_Revenue]]-Table1[[#This Row],[Service_Cost]]</f>
        <v>94427</v>
      </c>
      <c r="T2488" s="4">
        <v>2</v>
      </c>
      <c r="U2488" s="4">
        <f>IF(AND(Table1[[#This Row],[Rework_Flag]]="Yes",Table1[[#This Row],[Warranty_Claim]]="No"),Table1[[#This Row],[Service_Revenue]],0)</f>
        <v>0</v>
      </c>
      <c r="V2488" s="4">
        <f>IF(Table1[[#This Row],[Warranty_Claim]]="Yes",1,0)</f>
        <v>1</v>
      </c>
      <c r="W2488" s="4">
        <f>IF(Table1[[#This Row],[Rework_Flag]]="No",1,0)</f>
        <v>0</v>
      </c>
      <c r="X2488" s="4">
        <f>IF(Table1[[#This Row],[Rework_Flag]]="Yes",1,0)</f>
        <v>1</v>
      </c>
      <c r="Y2488" s="4">
        <v>1</v>
      </c>
      <c r="Z2488" s="4" t="str">
        <f>IF(Table1[[#This Row],[TAT_Days]]&gt;Table1[[#This Row],[SLA_TAT]],"Yes","No")</f>
        <v>Yes</v>
      </c>
      <c r="AA2488" s="4" t="str" cm="1">
        <f t="array" ref="AA2488">_xlfn.IFS(Table1[[#This Row],[Customer_Satisfaction]]&lt;=2,"Poor",Table1[[#This Row],[Customer_Satisfaction]]=3,"Neutral",Table1[[#This Row],[Customer_Satisfaction]]=4,"Good",Table1[[#This Row],[Customer_Satisfaction]]=5,"Good")</f>
        <v>Poor</v>
      </c>
    </row>
    <row r="2489" spans="1:27" x14ac:dyDescent="0.35">
      <c r="A2489">
        <v>22487</v>
      </c>
      <c r="B2489" s="1">
        <v>45464</v>
      </c>
      <c r="C2489" t="s">
        <v>30</v>
      </c>
      <c r="D2489" t="s">
        <v>59</v>
      </c>
      <c r="E2489" t="s">
        <v>66</v>
      </c>
      <c r="F2489" t="s">
        <v>22</v>
      </c>
      <c r="G2489" t="s">
        <v>23</v>
      </c>
      <c r="H2489" t="s">
        <v>24</v>
      </c>
      <c r="I2489" t="s">
        <v>55</v>
      </c>
      <c r="J2489" t="s">
        <v>26</v>
      </c>
      <c r="K2489" t="s">
        <v>44</v>
      </c>
      <c r="L2489" t="s">
        <v>28</v>
      </c>
      <c r="M2489" s="4">
        <v>10</v>
      </c>
      <c r="N2489" s="4">
        <v>7</v>
      </c>
      <c r="O2489" t="s">
        <v>29</v>
      </c>
      <c r="P2489" t="s">
        <v>36</v>
      </c>
      <c r="Q2489" s="4">
        <v>505119</v>
      </c>
      <c r="R2489" s="4">
        <v>352753</v>
      </c>
      <c r="S2489" s="4">
        <f>Table1[[#This Row],[Service_Revenue]]-Table1[[#This Row],[Service_Cost]]</f>
        <v>152366</v>
      </c>
      <c r="T2489" s="4">
        <v>2</v>
      </c>
      <c r="U2489" s="4">
        <f>IF(AND(Table1[[#This Row],[Rework_Flag]]="Yes",Table1[[#This Row],[Warranty_Claim]]="No"),Table1[[#This Row],[Service_Revenue]],0)</f>
        <v>505119</v>
      </c>
      <c r="V2489" s="4">
        <f>IF(Table1[[#This Row],[Warranty_Claim]]="Yes",1,0)</f>
        <v>0</v>
      </c>
      <c r="W2489" s="4">
        <f>IF(Table1[[#This Row],[Rework_Flag]]="No",1,0)</f>
        <v>0</v>
      </c>
      <c r="X2489" s="4">
        <f>IF(Table1[[#This Row],[Rework_Flag]]="Yes",1,0)</f>
        <v>1</v>
      </c>
      <c r="Y2489" s="4">
        <v>1</v>
      </c>
      <c r="Z2489" s="4" t="str">
        <f>IF(Table1[[#This Row],[TAT_Days]]&gt;Table1[[#This Row],[SLA_TAT]],"Yes","No")</f>
        <v>Yes</v>
      </c>
      <c r="AA2489" s="4" t="str" cm="1">
        <f t="array" ref="AA2489">_xlfn.IFS(Table1[[#This Row],[Customer_Satisfaction]]&lt;=2,"Poor",Table1[[#This Row],[Customer_Satisfaction]]=3,"Neutral",Table1[[#This Row],[Customer_Satisfaction]]=4,"Good",Table1[[#This Row],[Customer_Satisfaction]]=5,"Good")</f>
        <v>Poor</v>
      </c>
    </row>
    <row r="2490" spans="1:27" x14ac:dyDescent="0.35">
      <c r="A2490">
        <v>22488</v>
      </c>
      <c r="B2490" s="1">
        <v>45303</v>
      </c>
      <c r="C2490" t="s">
        <v>50</v>
      </c>
      <c r="D2490" t="s">
        <v>80</v>
      </c>
      <c r="E2490" t="s">
        <v>121</v>
      </c>
      <c r="F2490" t="s">
        <v>22</v>
      </c>
      <c r="G2490" t="s">
        <v>41</v>
      </c>
      <c r="H2490" t="s">
        <v>42</v>
      </c>
      <c r="I2490" t="s">
        <v>25</v>
      </c>
      <c r="J2490" t="s">
        <v>43</v>
      </c>
      <c r="K2490" t="s">
        <v>27</v>
      </c>
      <c r="L2490" t="s">
        <v>28</v>
      </c>
      <c r="M2490" s="4">
        <v>10</v>
      </c>
      <c r="N2490" s="4">
        <v>7</v>
      </c>
      <c r="O2490" t="s">
        <v>36</v>
      </c>
      <c r="P2490" t="s">
        <v>29</v>
      </c>
      <c r="Q2490" s="4">
        <v>463815</v>
      </c>
      <c r="R2490" s="4">
        <v>338972</v>
      </c>
      <c r="S2490" s="4">
        <f>Table1[[#This Row],[Service_Revenue]]-Table1[[#This Row],[Service_Cost]]</f>
        <v>124843</v>
      </c>
      <c r="T2490" s="4">
        <v>3</v>
      </c>
      <c r="U2490" s="4">
        <f>IF(AND(Table1[[#This Row],[Rework_Flag]]="Yes",Table1[[#This Row],[Warranty_Claim]]="No"),Table1[[#This Row],[Service_Revenue]],0)</f>
        <v>0</v>
      </c>
      <c r="V2490" s="4">
        <f>IF(Table1[[#This Row],[Warranty_Claim]]="Yes",1,0)</f>
        <v>1</v>
      </c>
      <c r="W2490" s="4">
        <f>IF(Table1[[#This Row],[Rework_Flag]]="No",1,0)</f>
        <v>1</v>
      </c>
      <c r="X2490" s="4">
        <f>IF(Table1[[#This Row],[Rework_Flag]]="Yes",1,0)</f>
        <v>0</v>
      </c>
      <c r="Y2490" s="4">
        <v>1</v>
      </c>
      <c r="Z2490" s="4" t="str">
        <f>IF(Table1[[#This Row],[TAT_Days]]&gt;Table1[[#This Row],[SLA_TAT]],"Yes","No")</f>
        <v>Yes</v>
      </c>
      <c r="AA2490" s="4" t="str" cm="1">
        <f t="array" ref="AA2490">_xlfn.IFS(Table1[[#This Row],[Customer_Satisfaction]]&lt;=2,"Poor",Table1[[#This Row],[Customer_Satisfaction]]=3,"Neutral",Table1[[#This Row],[Customer_Satisfaction]]=4,"Good",Table1[[#This Row],[Customer_Satisfaction]]=5,"Good")</f>
        <v>Neutral</v>
      </c>
    </row>
    <row r="2491" spans="1:27" x14ac:dyDescent="0.35">
      <c r="A2491">
        <v>22489</v>
      </c>
      <c r="B2491" s="1">
        <v>45386</v>
      </c>
      <c r="C2491" t="s">
        <v>19</v>
      </c>
      <c r="D2491" t="s">
        <v>45</v>
      </c>
      <c r="E2491" t="s">
        <v>46</v>
      </c>
      <c r="F2491" t="s">
        <v>53</v>
      </c>
      <c r="G2491" t="s">
        <v>74</v>
      </c>
      <c r="H2491" t="s">
        <v>34</v>
      </c>
      <c r="I2491" t="s">
        <v>25</v>
      </c>
      <c r="J2491" t="s">
        <v>26</v>
      </c>
      <c r="K2491" t="s">
        <v>27</v>
      </c>
      <c r="L2491" t="s">
        <v>28</v>
      </c>
      <c r="M2491" s="4">
        <v>20</v>
      </c>
      <c r="N2491" s="4">
        <v>7</v>
      </c>
      <c r="O2491" t="s">
        <v>29</v>
      </c>
      <c r="P2491" t="s">
        <v>36</v>
      </c>
      <c r="Q2491" s="4">
        <v>377724</v>
      </c>
      <c r="R2491" s="4">
        <v>238490</v>
      </c>
      <c r="S2491" s="4">
        <f>Table1[[#This Row],[Service_Revenue]]-Table1[[#This Row],[Service_Cost]]</f>
        <v>139234</v>
      </c>
      <c r="T2491" s="4">
        <v>1</v>
      </c>
      <c r="U2491" s="4">
        <f>IF(AND(Table1[[#This Row],[Rework_Flag]]="Yes",Table1[[#This Row],[Warranty_Claim]]="No"),Table1[[#This Row],[Service_Revenue]],0)</f>
        <v>377724</v>
      </c>
      <c r="V2491" s="4">
        <f>IF(Table1[[#This Row],[Warranty_Claim]]="Yes",1,0)</f>
        <v>0</v>
      </c>
      <c r="W2491" s="4">
        <f>IF(Table1[[#This Row],[Rework_Flag]]="No",1,0)</f>
        <v>0</v>
      </c>
      <c r="X2491" s="4">
        <f>IF(Table1[[#This Row],[Rework_Flag]]="Yes",1,0)</f>
        <v>1</v>
      </c>
      <c r="Y2491" s="4">
        <v>1</v>
      </c>
      <c r="Z2491" s="4" t="str">
        <f>IF(Table1[[#This Row],[TAT_Days]]&gt;Table1[[#This Row],[SLA_TAT]],"Yes","No")</f>
        <v>Yes</v>
      </c>
      <c r="AA2491" s="4" t="str" cm="1">
        <f t="array" ref="AA2491">_xlfn.IFS(Table1[[#This Row],[Customer_Satisfaction]]&lt;=2,"Poor",Table1[[#This Row],[Customer_Satisfaction]]=3,"Neutral",Table1[[#This Row],[Customer_Satisfaction]]=4,"Good",Table1[[#This Row],[Customer_Satisfaction]]=5,"Good")</f>
        <v>Poor</v>
      </c>
    </row>
    <row r="2492" spans="1:27" x14ac:dyDescent="0.35">
      <c r="A2492">
        <v>22490</v>
      </c>
      <c r="B2492" s="1">
        <v>45350</v>
      </c>
      <c r="C2492" t="s">
        <v>19</v>
      </c>
      <c r="D2492" t="s">
        <v>20</v>
      </c>
      <c r="E2492" t="s">
        <v>21</v>
      </c>
      <c r="F2492" t="s">
        <v>53</v>
      </c>
      <c r="G2492" t="s">
        <v>33</v>
      </c>
      <c r="H2492" t="s">
        <v>34</v>
      </c>
      <c r="I2492" t="s">
        <v>25</v>
      </c>
      <c r="J2492" t="s">
        <v>35</v>
      </c>
      <c r="K2492" t="s">
        <v>61</v>
      </c>
      <c r="L2492" t="s">
        <v>28</v>
      </c>
      <c r="M2492" s="4">
        <v>22</v>
      </c>
      <c r="N2492" s="4">
        <v>7</v>
      </c>
      <c r="O2492" t="s">
        <v>29</v>
      </c>
      <c r="P2492" t="s">
        <v>36</v>
      </c>
      <c r="Q2492" s="4">
        <v>464179</v>
      </c>
      <c r="R2492" s="4">
        <v>373320</v>
      </c>
      <c r="S2492" s="4">
        <f>Table1[[#This Row],[Service_Revenue]]-Table1[[#This Row],[Service_Cost]]</f>
        <v>90859</v>
      </c>
      <c r="T2492" s="4">
        <v>1</v>
      </c>
      <c r="U2492" s="4">
        <f>IF(AND(Table1[[#This Row],[Rework_Flag]]="Yes",Table1[[#This Row],[Warranty_Claim]]="No"),Table1[[#This Row],[Service_Revenue]],0)</f>
        <v>464179</v>
      </c>
      <c r="V2492" s="4">
        <f>IF(Table1[[#This Row],[Warranty_Claim]]="Yes",1,0)</f>
        <v>0</v>
      </c>
      <c r="W2492" s="4">
        <f>IF(Table1[[#This Row],[Rework_Flag]]="No",1,0)</f>
        <v>0</v>
      </c>
      <c r="X2492" s="4">
        <f>IF(Table1[[#This Row],[Rework_Flag]]="Yes",1,0)</f>
        <v>1</v>
      </c>
      <c r="Y2492" s="4">
        <v>1</v>
      </c>
      <c r="Z2492" s="4" t="str">
        <f>IF(Table1[[#This Row],[TAT_Days]]&gt;Table1[[#This Row],[SLA_TAT]],"Yes","No")</f>
        <v>Yes</v>
      </c>
      <c r="AA2492" s="4" t="str" cm="1">
        <f t="array" ref="AA2492">_xlfn.IFS(Table1[[#This Row],[Customer_Satisfaction]]&lt;=2,"Poor",Table1[[#This Row],[Customer_Satisfaction]]=3,"Neutral",Table1[[#This Row],[Customer_Satisfaction]]=4,"Good",Table1[[#This Row],[Customer_Satisfaction]]=5,"Good")</f>
        <v>Poor</v>
      </c>
    </row>
    <row r="2493" spans="1:27" x14ac:dyDescent="0.35">
      <c r="A2493">
        <v>22491</v>
      </c>
      <c r="B2493" s="1">
        <v>45459</v>
      </c>
      <c r="C2493" t="s">
        <v>50</v>
      </c>
      <c r="D2493" t="s">
        <v>51</v>
      </c>
      <c r="E2493" t="s">
        <v>120</v>
      </c>
      <c r="F2493" t="s">
        <v>53</v>
      </c>
      <c r="G2493" t="s">
        <v>63</v>
      </c>
      <c r="H2493" t="s">
        <v>24</v>
      </c>
      <c r="I2493" t="s">
        <v>25</v>
      </c>
      <c r="J2493" t="s">
        <v>35</v>
      </c>
      <c r="K2493" t="s">
        <v>61</v>
      </c>
      <c r="L2493" t="s">
        <v>49</v>
      </c>
      <c r="M2493" s="4">
        <v>15</v>
      </c>
      <c r="N2493" s="4">
        <v>7</v>
      </c>
      <c r="O2493" t="s">
        <v>29</v>
      </c>
      <c r="P2493" t="s">
        <v>36</v>
      </c>
      <c r="Q2493" s="4">
        <v>315876</v>
      </c>
      <c r="R2493" s="4">
        <v>184504</v>
      </c>
      <c r="S2493" s="4">
        <f>Table1[[#This Row],[Service_Revenue]]-Table1[[#This Row],[Service_Cost]]</f>
        <v>131372</v>
      </c>
      <c r="T2493" s="4">
        <v>1</v>
      </c>
      <c r="U2493" s="4">
        <f>IF(AND(Table1[[#This Row],[Rework_Flag]]="Yes",Table1[[#This Row],[Warranty_Claim]]="No"),Table1[[#This Row],[Service_Revenue]],0)</f>
        <v>315876</v>
      </c>
      <c r="V2493" s="4">
        <f>IF(Table1[[#This Row],[Warranty_Claim]]="Yes",1,0)</f>
        <v>0</v>
      </c>
      <c r="W2493" s="4">
        <f>IF(Table1[[#This Row],[Rework_Flag]]="No",1,0)</f>
        <v>0</v>
      </c>
      <c r="X2493" s="4">
        <f>IF(Table1[[#This Row],[Rework_Flag]]="Yes",1,0)</f>
        <v>1</v>
      </c>
      <c r="Y2493" s="4">
        <v>1</v>
      </c>
      <c r="Z2493" s="4" t="str">
        <f>IF(Table1[[#This Row],[TAT_Days]]&gt;Table1[[#This Row],[SLA_TAT]],"Yes","No")</f>
        <v>Yes</v>
      </c>
      <c r="AA2493" s="4" t="str" cm="1">
        <f t="array" ref="AA2493">_xlfn.IFS(Table1[[#This Row],[Customer_Satisfaction]]&lt;=2,"Poor",Table1[[#This Row],[Customer_Satisfaction]]=3,"Neutral",Table1[[#This Row],[Customer_Satisfaction]]=4,"Good",Table1[[#This Row],[Customer_Satisfaction]]=5,"Good")</f>
        <v>Poor</v>
      </c>
    </row>
    <row r="2494" spans="1:27" x14ac:dyDescent="0.35">
      <c r="A2494">
        <v>22492</v>
      </c>
      <c r="B2494" s="1">
        <v>45460</v>
      </c>
      <c r="C2494" t="s">
        <v>37</v>
      </c>
      <c r="D2494" t="s">
        <v>38</v>
      </c>
      <c r="E2494" t="s">
        <v>39</v>
      </c>
      <c r="F2494" t="s">
        <v>22</v>
      </c>
      <c r="G2494" t="s">
        <v>74</v>
      </c>
      <c r="H2494" t="s">
        <v>34</v>
      </c>
      <c r="I2494" t="s">
        <v>55</v>
      </c>
      <c r="J2494" t="s">
        <v>67</v>
      </c>
      <c r="K2494" t="s">
        <v>61</v>
      </c>
      <c r="L2494" t="s">
        <v>28</v>
      </c>
      <c r="M2494" s="4">
        <v>14</v>
      </c>
      <c r="N2494" s="4">
        <v>7</v>
      </c>
      <c r="O2494" t="s">
        <v>29</v>
      </c>
      <c r="P2494" t="s">
        <v>29</v>
      </c>
      <c r="Q2494" s="4">
        <v>483214</v>
      </c>
      <c r="R2494" s="4">
        <v>251172</v>
      </c>
      <c r="S2494" s="4">
        <f>Table1[[#This Row],[Service_Revenue]]-Table1[[#This Row],[Service_Cost]]</f>
        <v>232042</v>
      </c>
      <c r="T2494" s="4">
        <v>2</v>
      </c>
      <c r="U2494" s="4">
        <f>IF(AND(Table1[[#This Row],[Rework_Flag]]="Yes",Table1[[#This Row],[Warranty_Claim]]="No"),Table1[[#This Row],[Service_Revenue]],0)</f>
        <v>0</v>
      </c>
      <c r="V2494" s="4">
        <f>IF(Table1[[#This Row],[Warranty_Claim]]="Yes",1,0)</f>
        <v>1</v>
      </c>
      <c r="W2494" s="4">
        <f>IF(Table1[[#This Row],[Rework_Flag]]="No",1,0)</f>
        <v>0</v>
      </c>
      <c r="X2494" s="4">
        <f>IF(Table1[[#This Row],[Rework_Flag]]="Yes",1,0)</f>
        <v>1</v>
      </c>
      <c r="Y2494" s="4">
        <v>1</v>
      </c>
      <c r="Z2494" s="4" t="str">
        <f>IF(Table1[[#This Row],[TAT_Days]]&gt;Table1[[#This Row],[SLA_TAT]],"Yes","No")</f>
        <v>Yes</v>
      </c>
      <c r="AA2494" s="4" t="str" cm="1">
        <f t="array" ref="AA2494">_xlfn.IFS(Table1[[#This Row],[Customer_Satisfaction]]&lt;=2,"Poor",Table1[[#This Row],[Customer_Satisfaction]]=3,"Neutral",Table1[[#This Row],[Customer_Satisfaction]]=4,"Good",Table1[[#This Row],[Customer_Satisfaction]]=5,"Good")</f>
        <v>Poor</v>
      </c>
    </row>
    <row r="2495" spans="1:27" x14ac:dyDescent="0.35">
      <c r="A2495">
        <v>22493</v>
      </c>
      <c r="B2495" s="1">
        <v>45431</v>
      </c>
      <c r="C2495" t="s">
        <v>37</v>
      </c>
      <c r="D2495" t="s">
        <v>64</v>
      </c>
      <c r="E2495" t="s">
        <v>87</v>
      </c>
      <c r="F2495" t="s">
        <v>40</v>
      </c>
      <c r="G2495" t="s">
        <v>33</v>
      </c>
      <c r="H2495" t="s">
        <v>34</v>
      </c>
      <c r="I2495" t="s">
        <v>25</v>
      </c>
      <c r="J2495" t="s">
        <v>58</v>
      </c>
      <c r="K2495" t="s">
        <v>44</v>
      </c>
      <c r="L2495" t="s">
        <v>28</v>
      </c>
      <c r="M2495" s="4">
        <v>24</v>
      </c>
      <c r="N2495" s="4">
        <v>7</v>
      </c>
      <c r="O2495" t="s">
        <v>36</v>
      </c>
      <c r="P2495" t="s">
        <v>36</v>
      </c>
      <c r="Q2495" s="4">
        <v>440898</v>
      </c>
      <c r="R2495" s="4">
        <v>259639</v>
      </c>
      <c r="S2495" s="4">
        <f>Table1[[#This Row],[Service_Revenue]]-Table1[[#This Row],[Service_Cost]]</f>
        <v>181259</v>
      </c>
      <c r="T2495" s="4">
        <v>1</v>
      </c>
      <c r="U2495" s="4">
        <f>IF(AND(Table1[[#This Row],[Rework_Flag]]="Yes",Table1[[#This Row],[Warranty_Claim]]="No"),Table1[[#This Row],[Service_Revenue]],0)</f>
        <v>0</v>
      </c>
      <c r="V2495" s="4">
        <f>IF(Table1[[#This Row],[Warranty_Claim]]="Yes",1,0)</f>
        <v>0</v>
      </c>
      <c r="W2495" s="4">
        <f>IF(Table1[[#This Row],[Rework_Flag]]="No",1,0)</f>
        <v>1</v>
      </c>
      <c r="X2495" s="4">
        <f>IF(Table1[[#This Row],[Rework_Flag]]="Yes",1,0)</f>
        <v>0</v>
      </c>
      <c r="Y2495" s="4">
        <v>1</v>
      </c>
      <c r="Z2495" s="4" t="str">
        <f>IF(Table1[[#This Row],[TAT_Days]]&gt;Table1[[#This Row],[SLA_TAT]],"Yes","No")</f>
        <v>Yes</v>
      </c>
      <c r="AA2495" s="4" t="str" cm="1">
        <f t="array" ref="AA2495">_xlfn.IFS(Table1[[#This Row],[Customer_Satisfaction]]&lt;=2,"Poor",Table1[[#This Row],[Customer_Satisfaction]]=3,"Neutral",Table1[[#This Row],[Customer_Satisfaction]]=4,"Good",Table1[[#This Row],[Customer_Satisfaction]]=5,"Good")</f>
        <v>Poor</v>
      </c>
    </row>
    <row r="2496" spans="1:27" x14ac:dyDescent="0.35">
      <c r="A2496">
        <v>22494</v>
      </c>
      <c r="B2496" s="1">
        <v>45391</v>
      </c>
      <c r="C2496" t="s">
        <v>30</v>
      </c>
      <c r="D2496" t="s">
        <v>31</v>
      </c>
      <c r="E2496" t="s">
        <v>32</v>
      </c>
      <c r="F2496" t="s">
        <v>53</v>
      </c>
      <c r="G2496" t="s">
        <v>47</v>
      </c>
      <c r="H2496" t="s">
        <v>48</v>
      </c>
      <c r="I2496" t="s">
        <v>25</v>
      </c>
      <c r="J2496" t="s">
        <v>26</v>
      </c>
      <c r="K2496" t="s">
        <v>44</v>
      </c>
      <c r="L2496" t="s">
        <v>49</v>
      </c>
      <c r="M2496" s="4">
        <v>16</v>
      </c>
      <c r="N2496" s="4">
        <v>7</v>
      </c>
      <c r="O2496" t="s">
        <v>29</v>
      </c>
      <c r="P2496" t="s">
        <v>29</v>
      </c>
      <c r="Q2496" s="4">
        <v>134933</v>
      </c>
      <c r="R2496" s="4">
        <v>104456</v>
      </c>
      <c r="S2496" s="4">
        <f>Table1[[#This Row],[Service_Revenue]]-Table1[[#This Row],[Service_Cost]]</f>
        <v>30477</v>
      </c>
      <c r="T2496" s="4">
        <v>1</v>
      </c>
      <c r="U2496" s="4">
        <f>IF(AND(Table1[[#This Row],[Rework_Flag]]="Yes",Table1[[#This Row],[Warranty_Claim]]="No"),Table1[[#This Row],[Service_Revenue]],0)</f>
        <v>0</v>
      </c>
      <c r="V2496" s="4">
        <f>IF(Table1[[#This Row],[Warranty_Claim]]="Yes",1,0)</f>
        <v>1</v>
      </c>
      <c r="W2496" s="4">
        <f>IF(Table1[[#This Row],[Rework_Flag]]="No",1,0)</f>
        <v>0</v>
      </c>
      <c r="X2496" s="4">
        <f>IF(Table1[[#This Row],[Rework_Flag]]="Yes",1,0)</f>
        <v>1</v>
      </c>
      <c r="Y2496" s="4">
        <v>1</v>
      </c>
      <c r="Z2496" s="4" t="str">
        <f>IF(Table1[[#This Row],[TAT_Days]]&gt;Table1[[#This Row],[SLA_TAT]],"Yes","No")</f>
        <v>Yes</v>
      </c>
      <c r="AA2496" s="4" t="str" cm="1">
        <f t="array" ref="AA2496">_xlfn.IFS(Table1[[#This Row],[Customer_Satisfaction]]&lt;=2,"Poor",Table1[[#This Row],[Customer_Satisfaction]]=3,"Neutral",Table1[[#This Row],[Customer_Satisfaction]]=4,"Good",Table1[[#This Row],[Customer_Satisfaction]]=5,"Good")</f>
        <v>Poor</v>
      </c>
    </row>
    <row r="2497" spans="1:27" x14ac:dyDescent="0.35">
      <c r="A2497">
        <v>22495</v>
      </c>
      <c r="B2497" s="1">
        <v>45424</v>
      </c>
      <c r="C2497" t="s">
        <v>19</v>
      </c>
      <c r="D2497" t="s">
        <v>20</v>
      </c>
      <c r="E2497" t="s">
        <v>86</v>
      </c>
      <c r="F2497" t="s">
        <v>22</v>
      </c>
      <c r="G2497" t="s">
        <v>41</v>
      </c>
      <c r="H2497" t="s">
        <v>42</v>
      </c>
      <c r="I2497" t="s">
        <v>55</v>
      </c>
      <c r="J2497" t="s">
        <v>26</v>
      </c>
      <c r="K2497" t="s">
        <v>61</v>
      </c>
      <c r="L2497" t="s">
        <v>28</v>
      </c>
      <c r="M2497" s="4">
        <v>18</v>
      </c>
      <c r="N2497" s="4">
        <v>7</v>
      </c>
      <c r="O2497" t="s">
        <v>36</v>
      </c>
      <c r="P2497" t="s">
        <v>29</v>
      </c>
      <c r="Q2497" s="4">
        <v>414737</v>
      </c>
      <c r="R2497" s="4">
        <v>253615</v>
      </c>
      <c r="S2497" s="4">
        <f>Table1[[#This Row],[Service_Revenue]]-Table1[[#This Row],[Service_Cost]]</f>
        <v>161122</v>
      </c>
      <c r="T2497" s="4">
        <v>2</v>
      </c>
      <c r="U2497" s="4">
        <f>IF(AND(Table1[[#This Row],[Rework_Flag]]="Yes",Table1[[#This Row],[Warranty_Claim]]="No"),Table1[[#This Row],[Service_Revenue]],0)</f>
        <v>0</v>
      </c>
      <c r="V2497" s="4">
        <f>IF(Table1[[#This Row],[Warranty_Claim]]="Yes",1,0)</f>
        <v>1</v>
      </c>
      <c r="W2497" s="4">
        <f>IF(Table1[[#This Row],[Rework_Flag]]="No",1,0)</f>
        <v>1</v>
      </c>
      <c r="X2497" s="4">
        <f>IF(Table1[[#This Row],[Rework_Flag]]="Yes",1,0)</f>
        <v>0</v>
      </c>
      <c r="Y2497" s="4">
        <v>1</v>
      </c>
      <c r="Z2497" s="4" t="str">
        <f>IF(Table1[[#This Row],[TAT_Days]]&gt;Table1[[#This Row],[SLA_TAT]],"Yes","No")</f>
        <v>Yes</v>
      </c>
      <c r="AA2497" s="4" t="str" cm="1">
        <f t="array" ref="AA2497">_xlfn.IFS(Table1[[#This Row],[Customer_Satisfaction]]&lt;=2,"Poor",Table1[[#This Row],[Customer_Satisfaction]]=3,"Neutral",Table1[[#This Row],[Customer_Satisfaction]]=4,"Good",Table1[[#This Row],[Customer_Satisfaction]]=5,"Good")</f>
        <v>Poor</v>
      </c>
    </row>
    <row r="2498" spans="1:27" x14ac:dyDescent="0.35">
      <c r="A2498">
        <v>22496</v>
      </c>
      <c r="B2498" s="1">
        <v>45349</v>
      </c>
      <c r="C2498" t="s">
        <v>37</v>
      </c>
      <c r="D2498" t="s">
        <v>70</v>
      </c>
      <c r="E2498" t="s">
        <v>91</v>
      </c>
      <c r="F2498" t="s">
        <v>22</v>
      </c>
      <c r="G2498" t="s">
        <v>54</v>
      </c>
      <c r="H2498" t="s">
        <v>42</v>
      </c>
      <c r="I2498" t="s">
        <v>25</v>
      </c>
      <c r="J2498" t="s">
        <v>43</v>
      </c>
      <c r="K2498" t="s">
        <v>44</v>
      </c>
      <c r="L2498" t="s">
        <v>28</v>
      </c>
      <c r="M2498" s="4">
        <v>8</v>
      </c>
      <c r="N2498" s="4">
        <v>7</v>
      </c>
      <c r="O2498" t="s">
        <v>36</v>
      </c>
      <c r="P2498" t="s">
        <v>29</v>
      </c>
      <c r="Q2498" s="4">
        <v>384091</v>
      </c>
      <c r="R2498" s="4">
        <v>274810</v>
      </c>
      <c r="S2498" s="4">
        <f>Table1[[#This Row],[Service_Revenue]]-Table1[[#This Row],[Service_Cost]]</f>
        <v>109281</v>
      </c>
      <c r="T2498" s="4">
        <v>4</v>
      </c>
      <c r="U2498" s="4">
        <f>IF(AND(Table1[[#This Row],[Rework_Flag]]="Yes",Table1[[#This Row],[Warranty_Claim]]="No"),Table1[[#This Row],[Service_Revenue]],0)</f>
        <v>0</v>
      </c>
      <c r="V2498" s="4">
        <f>IF(Table1[[#This Row],[Warranty_Claim]]="Yes",1,0)</f>
        <v>1</v>
      </c>
      <c r="W2498" s="4">
        <f>IF(Table1[[#This Row],[Rework_Flag]]="No",1,0)</f>
        <v>1</v>
      </c>
      <c r="X2498" s="4">
        <f>IF(Table1[[#This Row],[Rework_Flag]]="Yes",1,0)</f>
        <v>0</v>
      </c>
      <c r="Y2498" s="4">
        <v>1</v>
      </c>
      <c r="Z2498" s="4" t="str">
        <f>IF(Table1[[#This Row],[TAT_Days]]&gt;Table1[[#This Row],[SLA_TAT]],"Yes","No")</f>
        <v>Yes</v>
      </c>
      <c r="AA2498" s="4" t="str" cm="1">
        <f t="array" ref="AA2498">_xlfn.IFS(Table1[[#This Row],[Customer_Satisfaction]]&lt;=2,"Poor",Table1[[#This Row],[Customer_Satisfaction]]=3,"Neutral",Table1[[#This Row],[Customer_Satisfaction]]=4,"Good",Table1[[#This Row],[Customer_Satisfaction]]=5,"Good")</f>
        <v>Good</v>
      </c>
    </row>
    <row r="2499" spans="1:27" x14ac:dyDescent="0.35">
      <c r="A2499">
        <v>22497</v>
      </c>
      <c r="B2499" s="1">
        <v>45467</v>
      </c>
      <c r="C2499" t="s">
        <v>37</v>
      </c>
      <c r="D2499" t="s">
        <v>70</v>
      </c>
      <c r="E2499" t="s">
        <v>116</v>
      </c>
      <c r="F2499" t="s">
        <v>53</v>
      </c>
      <c r="G2499" t="s">
        <v>47</v>
      </c>
      <c r="H2499" t="s">
        <v>48</v>
      </c>
      <c r="I2499" t="s">
        <v>25</v>
      </c>
      <c r="J2499" t="s">
        <v>58</v>
      </c>
      <c r="K2499" t="s">
        <v>44</v>
      </c>
      <c r="L2499" t="s">
        <v>28</v>
      </c>
      <c r="M2499" s="4">
        <v>22</v>
      </c>
      <c r="N2499" s="4">
        <v>7</v>
      </c>
      <c r="O2499" t="s">
        <v>29</v>
      </c>
      <c r="P2499" t="s">
        <v>36</v>
      </c>
      <c r="Q2499" s="4">
        <v>234199</v>
      </c>
      <c r="R2499" s="4">
        <v>149551</v>
      </c>
      <c r="S2499" s="4">
        <f>Table1[[#This Row],[Service_Revenue]]-Table1[[#This Row],[Service_Cost]]</f>
        <v>84648</v>
      </c>
      <c r="T2499" s="4">
        <v>1</v>
      </c>
      <c r="U2499" s="4">
        <f>IF(AND(Table1[[#This Row],[Rework_Flag]]="Yes",Table1[[#This Row],[Warranty_Claim]]="No"),Table1[[#This Row],[Service_Revenue]],0)</f>
        <v>234199</v>
      </c>
      <c r="V2499" s="4">
        <f>IF(Table1[[#This Row],[Warranty_Claim]]="Yes",1,0)</f>
        <v>0</v>
      </c>
      <c r="W2499" s="4">
        <f>IF(Table1[[#This Row],[Rework_Flag]]="No",1,0)</f>
        <v>0</v>
      </c>
      <c r="X2499" s="4">
        <f>IF(Table1[[#This Row],[Rework_Flag]]="Yes",1,0)</f>
        <v>1</v>
      </c>
      <c r="Y2499" s="4">
        <v>1</v>
      </c>
      <c r="Z2499" s="4" t="str">
        <f>IF(Table1[[#This Row],[TAT_Days]]&gt;Table1[[#This Row],[SLA_TAT]],"Yes","No")</f>
        <v>Yes</v>
      </c>
      <c r="AA2499" s="4" t="str" cm="1">
        <f t="array" ref="AA2499">_xlfn.IFS(Table1[[#This Row],[Customer_Satisfaction]]&lt;=2,"Poor",Table1[[#This Row],[Customer_Satisfaction]]=3,"Neutral",Table1[[#This Row],[Customer_Satisfaction]]=4,"Good",Table1[[#This Row],[Customer_Satisfaction]]=5,"Good")</f>
        <v>Poor</v>
      </c>
    </row>
    <row r="2500" spans="1:27" x14ac:dyDescent="0.35">
      <c r="A2500">
        <v>22498</v>
      </c>
      <c r="B2500" s="1">
        <v>45414</v>
      </c>
      <c r="C2500" t="s">
        <v>30</v>
      </c>
      <c r="D2500" t="s">
        <v>31</v>
      </c>
      <c r="E2500" t="s">
        <v>122</v>
      </c>
      <c r="F2500" t="s">
        <v>53</v>
      </c>
      <c r="G2500" t="s">
        <v>41</v>
      </c>
      <c r="H2500" t="s">
        <v>42</v>
      </c>
      <c r="I2500" t="s">
        <v>25</v>
      </c>
      <c r="J2500" t="s">
        <v>43</v>
      </c>
      <c r="K2500" t="s">
        <v>27</v>
      </c>
      <c r="L2500" t="s">
        <v>49</v>
      </c>
      <c r="M2500" s="4">
        <v>15</v>
      </c>
      <c r="N2500" s="4">
        <v>7</v>
      </c>
      <c r="O2500" t="s">
        <v>29</v>
      </c>
      <c r="P2500" t="s">
        <v>36</v>
      </c>
      <c r="Q2500" s="4">
        <v>495941</v>
      </c>
      <c r="R2500" s="4">
        <v>273756</v>
      </c>
      <c r="S2500" s="4">
        <f>Table1[[#This Row],[Service_Revenue]]-Table1[[#This Row],[Service_Cost]]</f>
        <v>222185</v>
      </c>
      <c r="T2500" s="4">
        <v>1</v>
      </c>
      <c r="U2500" s="4">
        <f>IF(AND(Table1[[#This Row],[Rework_Flag]]="Yes",Table1[[#This Row],[Warranty_Claim]]="No"),Table1[[#This Row],[Service_Revenue]],0)</f>
        <v>495941</v>
      </c>
      <c r="V2500" s="4">
        <f>IF(Table1[[#This Row],[Warranty_Claim]]="Yes",1,0)</f>
        <v>0</v>
      </c>
      <c r="W2500" s="4">
        <f>IF(Table1[[#This Row],[Rework_Flag]]="No",1,0)</f>
        <v>0</v>
      </c>
      <c r="X2500" s="4">
        <f>IF(Table1[[#This Row],[Rework_Flag]]="Yes",1,0)</f>
        <v>1</v>
      </c>
      <c r="Y2500" s="4">
        <v>1</v>
      </c>
      <c r="Z2500" s="4" t="str">
        <f>IF(Table1[[#This Row],[TAT_Days]]&gt;Table1[[#This Row],[SLA_TAT]],"Yes","No")</f>
        <v>Yes</v>
      </c>
      <c r="AA2500" s="4" t="str" cm="1">
        <f t="array" ref="AA2500">_xlfn.IFS(Table1[[#This Row],[Customer_Satisfaction]]&lt;=2,"Poor",Table1[[#This Row],[Customer_Satisfaction]]=3,"Neutral",Table1[[#This Row],[Customer_Satisfaction]]=4,"Good",Table1[[#This Row],[Customer_Satisfaction]]=5,"Good")</f>
        <v>Poor</v>
      </c>
    </row>
    <row r="2501" spans="1:27" x14ac:dyDescent="0.35">
      <c r="A2501">
        <v>22499</v>
      </c>
      <c r="B2501" s="1">
        <v>45440</v>
      </c>
      <c r="C2501" t="s">
        <v>30</v>
      </c>
      <c r="D2501" t="s">
        <v>83</v>
      </c>
      <c r="E2501" t="s">
        <v>92</v>
      </c>
      <c r="F2501" t="s">
        <v>40</v>
      </c>
      <c r="G2501" t="s">
        <v>33</v>
      </c>
      <c r="H2501" t="s">
        <v>34</v>
      </c>
      <c r="I2501" t="s">
        <v>25</v>
      </c>
      <c r="J2501" t="s">
        <v>35</v>
      </c>
      <c r="K2501" t="s">
        <v>61</v>
      </c>
      <c r="L2501" t="s">
        <v>49</v>
      </c>
      <c r="M2501" s="4">
        <v>7</v>
      </c>
      <c r="N2501" s="4">
        <v>7</v>
      </c>
      <c r="O2501" t="s">
        <v>36</v>
      </c>
      <c r="P2501" t="s">
        <v>36</v>
      </c>
      <c r="Q2501" s="4">
        <v>475745</v>
      </c>
      <c r="R2501" s="4">
        <v>391152</v>
      </c>
      <c r="S2501" s="4">
        <f>Table1[[#This Row],[Service_Revenue]]-Table1[[#This Row],[Service_Cost]]</f>
        <v>84593</v>
      </c>
      <c r="T2501" s="4">
        <v>4</v>
      </c>
      <c r="U2501" s="4">
        <f>IF(AND(Table1[[#This Row],[Rework_Flag]]="Yes",Table1[[#This Row],[Warranty_Claim]]="No"),Table1[[#This Row],[Service_Revenue]],0)</f>
        <v>0</v>
      </c>
      <c r="V2501" s="4">
        <f>IF(Table1[[#This Row],[Warranty_Claim]]="Yes",1,0)</f>
        <v>0</v>
      </c>
      <c r="W2501" s="4">
        <f>IF(Table1[[#This Row],[Rework_Flag]]="No",1,0)</f>
        <v>1</v>
      </c>
      <c r="X2501" s="4">
        <f>IF(Table1[[#This Row],[Rework_Flag]]="Yes",1,0)</f>
        <v>0</v>
      </c>
      <c r="Y2501" s="4">
        <v>1</v>
      </c>
      <c r="Z2501" s="4" t="str">
        <f>IF(Table1[[#This Row],[TAT_Days]]&gt;Table1[[#This Row],[SLA_TAT]],"Yes","No")</f>
        <v>No</v>
      </c>
      <c r="AA2501" s="4" t="str" cm="1">
        <f t="array" ref="AA2501">_xlfn.IFS(Table1[[#This Row],[Customer_Satisfaction]]&lt;=2,"Poor",Table1[[#This Row],[Customer_Satisfaction]]=3,"Neutral",Table1[[#This Row],[Customer_Satisfaction]]=4,"Good",Table1[[#This Row],[Customer_Satisfaction]]=5,"Good")</f>
        <v>Good</v>
      </c>
    </row>
    <row r="2502" spans="1:27" x14ac:dyDescent="0.35">
      <c r="A2502">
        <v>22500</v>
      </c>
      <c r="B2502" s="1">
        <v>45337</v>
      </c>
      <c r="C2502" t="s">
        <v>19</v>
      </c>
      <c r="D2502" t="s">
        <v>45</v>
      </c>
      <c r="E2502" t="s">
        <v>46</v>
      </c>
      <c r="F2502" t="s">
        <v>22</v>
      </c>
      <c r="G2502" t="s">
        <v>23</v>
      </c>
      <c r="H2502" t="s">
        <v>24</v>
      </c>
      <c r="I2502" t="s">
        <v>55</v>
      </c>
      <c r="J2502" t="s">
        <v>26</v>
      </c>
      <c r="K2502" t="s">
        <v>61</v>
      </c>
      <c r="L2502" t="s">
        <v>49</v>
      </c>
      <c r="M2502" s="4">
        <v>6</v>
      </c>
      <c r="N2502" s="4">
        <v>7</v>
      </c>
      <c r="O2502" t="s">
        <v>29</v>
      </c>
      <c r="P2502" t="s">
        <v>36</v>
      </c>
      <c r="Q2502" s="4">
        <v>240441</v>
      </c>
      <c r="R2502" s="4">
        <v>175069</v>
      </c>
      <c r="S2502" s="4">
        <f>Table1[[#This Row],[Service_Revenue]]-Table1[[#This Row],[Service_Cost]]</f>
        <v>65372</v>
      </c>
      <c r="T2502" s="4">
        <v>3</v>
      </c>
      <c r="U2502" s="4">
        <f>IF(AND(Table1[[#This Row],[Rework_Flag]]="Yes",Table1[[#This Row],[Warranty_Claim]]="No"),Table1[[#This Row],[Service_Revenue]],0)</f>
        <v>240441</v>
      </c>
      <c r="V2502" s="4">
        <f>IF(Table1[[#This Row],[Warranty_Claim]]="Yes",1,0)</f>
        <v>0</v>
      </c>
      <c r="W2502" s="4">
        <f>IF(Table1[[#This Row],[Rework_Flag]]="No",1,0)</f>
        <v>0</v>
      </c>
      <c r="X2502" s="4">
        <f>IF(Table1[[#This Row],[Rework_Flag]]="Yes",1,0)</f>
        <v>1</v>
      </c>
      <c r="Y2502" s="4">
        <v>1</v>
      </c>
      <c r="Z2502" s="4" t="str">
        <f>IF(Table1[[#This Row],[TAT_Days]]&gt;Table1[[#This Row],[SLA_TAT]],"Yes","No")</f>
        <v>No</v>
      </c>
      <c r="AA2502" s="4" t="str" cm="1">
        <f t="array" ref="AA2502">_xlfn.IFS(Table1[[#This Row],[Customer_Satisfaction]]&lt;=2,"Poor",Table1[[#This Row],[Customer_Satisfaction]]=3,"Neutral",Table1[[#This Row],[Customer_Satisfaction]]=4,"Good",Table1[[#This Row],[Customer_Satisfaction]]=5,"Good")</f>
        <v>Neutral</v>
      </c>
    </row>
    <row r="2503" spans="1:27" x14ac:dyDescent="0.35">
      <c r="A2503">
        <v>22501</v>
      </c>
      <c r="B2503" s="1">
        <v>45376</v>
      </c>
      <c r="C2503" t="s">
        <v>50</v>
      </c>
      <c r="D2503" t="s">
        <v>51</v>
      </c>
      <c r="E2503" t="s">
        <v>73</v>
      </c>
      <c r="F2503" t="s">
        <v>40</v>
      </c>
      <c r="G2503" t="s">
        <v>74</v>
      </c>
      <c r="H2503" t="s">
        <v>34</v>
      </c>
      <c r="I2503" t="s">
        <v>25</v>
      </c>
      <c r="J2503" t="s">
        <v>35</v>
      </c>
      <c r="K2503" t="s">
        <v>27</v>
      </c>
      <c r="L2503" t="s">
        <v>49</v>
      </c>
      <c r="M2503" s="4">
        <v>5</v>
      </c>
      <c r="N2503" s="4">
        <v>7</v>
      </c>
      <c r="O2503" t="s">
        <v>36</v>
      </c>
      <c r="P2503" t="s">
        <v>36</v>
      </c>
      <c r="Q2503" s="4">
        <v>340702</v>
      </c>
      <c r="R2503" s="4">
        <v>259369</v>
      </c>
      <c r="S2503" s="4">
        <f>Table1[[#This Row],[Service_Revenue]]-Table1[[#This Row],[Service_Cost]]</f>
        <v>81333</v>
      </c>
      <c r="T2503" s="4">
        <v>4</v>
      </c>
      <c r="U2503" s="4">
        <f>IF(AND(Table1[[#This Row],[Rework_Flag]]="Yes",Table1[[#This Row],[Warranty_Claim]]="No"),Table1[[#This Row],[Service_Revenue]],0)</f>
        <v>0</v>
      </c>
      <c r="V2503" s="4">
        <f>IF(Table1[[#This Row],[Warranty_Claim]]="Yes",1,0)</f>
        <v>0</v>
      </c>
      <c r="W2503" s="4">
        <f>IF(Table1[[#This Row],[Rework_Flag]]="No",1,0)</f>
        <v>1</v>
      </c>
      <c r="X2503" s="4">
        <f>IF(Table1[[#This Row],[Rework_Flag]]="Yes",1,0)</f>
        <v>0</v>
      </c>
      <c r="Y2503" s="4">
        <v>1</v>
      </c>
      <c r="Z2503" s="4" t="str">
        <f>IF(Table1[[#This Row],[TAT_Days]]&gt;Table1[[#This Row],[SLA_TAT]],"Yes","No")</f>
        <v>No</v>
      </c>
      <c r="AA2503" s="4" t="str" cm="1">
        <f t="array" ref="AA2503">_xlfn.IFS(Table1[[#This Row],[Customer_Satisfaction]]&lt;=2,"Poor",Table1[[#This Row],[Customer_Satisfaction]]=3,"Neutral",Table1[[#This Row],[Customer_Satisfaction]]=4,"Good",Table1[[#This Row],[Customer_Satisfaction]]=5,"Good")</f>
        <v>Good</v>
      </c>
    </row>
    <row r="2504" spans="1:27" x14ac:dyDescent="0.35">
      <c r="A2504">
        <v>22502</v>
      </c>
      <c r="B2504" s="1">
        <v>45363</v>
      </c>
      <c r="C2504" t="s">
        <v>50</v>
      </c>
      <c r="D2504" t="s">
        <v>56</v>
      </c>
      <c r="E2504" t="s">
        <v>77</v>
      </c>
      <c r="F2504" t="s">
        <v>22</v>
      </c>
      <c r="G2504" t="s">
        <v>63</v>
      </c>
      <c r="H2504" t="s">
        <v>24</v>
      </c>
      <c r="I2504" t="s">
        <v>55</v>
      </c>
      <c r="J2504" t="s">
        <v>67</v>
      </c>
      <c r="K2504" t="s">
        <v>44</v>
      </c>
      <c r="L2504" t="s">
        <v>28</v>
      </c>
      <c r="M2504" s="4">
        <v>17</v>
      </c>
      <c r="N2504" s="4">
        <v>7</v>
      </c>
      <c r="O2504" t="s">
        <v>36</v>
      </c>
      <c r="P2504" t="s">
        <v>29</v>
      </c>
      <c r="Q2504" s="4">
        <v>130015</v>
      </c>
      <c r="R2504" s="4">
        <v>79974</v>
      </c>
      <c r="S2504" s="4">
        <f>Table1[[#This Row],[Service_Revenue]]-Table1[[#This Row],[Service_Cost]]</f>
        <v>50041</v>
      </c>
      <c r="T2504" s="4">
        <v>2</v>
      </c>
      <c r="U2504" s="4">
        <f>IF(AND(Table1[[#This Row],[Rework_Flag]]="Yes",Table1[[#This Row],[Warranty_Claim]]="No"),Table1[[#This Row],[Service_Revenue]],0)</f>
        <v>0</v>
      </c>
      <c r="V2504" s="4">
        <f>IF(Table1[[#This Row],[Warranty_Claim]]="Yes",1,0)</f>
        <v>1</v>
      </c>
      <c r="W2504" s="4">
        <f>IF(Table1[[#This Row],[Rework_Flag]]="No",1,0)</f>
        <v>1</v>
      </c>
      <c r="X2504" s="4">
        <f>IF(Table1[[#This Row],[Rework_Flag]]="Yes",1,0)</f>
        <v>0</v>
      </c>
      <c r="Y2504" s="4">
        <v>1</v>
      </c>
      <c r="Z2504" s="4" t="str">
        <f>IF(Table1[[#This Row],[TAT_Days]]&gt;Table1[[#This Row],[SLA_TAT]],"Yes","No")</f>
        <v>Yes</v>
      </c>
      <c r="AA2504" s="4" t="str" cm="1">
        <f t="array" ref="AA2504">_xlfn.IFS(Table1[[#This Row],[Customer_Satisfaction]]&lt;=2,"Poor",Table1[[#This Row],[Customer_Satisfaction]]=3,"Neutral",Table1[[#This Row],[Customer_Satisfaction]]=4,"Good",Table1[[#This Row],[Customer_Satisfaction]]=5,"Good")</f>
        <v>Poor</v>
      </c>
    </row>
    <row r="2505" spans="1:27" x14ac:dyDescent="0.35">
      <c r="A2505">
        <v>22503</v>
      </c>
      <c r="B2505" s="1">
        <v>45469</v>
      </c>
      <c r="C2505" t="s">
        <v>37</v>
      </c>
      <c r="D2505" t="s">
        <v>64</v>
      </c>
      <c r="E2505" t="s">
        <v>103</v>
      </c>
      <c r="F2505" t="s">
        <v>53</v>
      </c>
      <c r="G2505" t="s">
        <v>63</v>
      </c>
      <c r="H2505" t="s">
        <v>24</v>
      </c>
      <c r="I2505" t="s">
        <v>25</v>
      </c>
      <c r="J2505" t="s">
        <v>26</v>
      </c>
      <c r="K2505" t="s">
        <v>44</v>
      </c>
      <c r="L2505" t="s">
        <v>28</v>
      </c>
      <c r="M2505" s="4">
        <v>6</v>
      </c>
      <c r="N2505" s="4">
        <v>7</v>
      </c>
      <c r="O2505" t="s">
        <v>36</v>
      </c>
      <c r="P2505" t="s">
        <v>29</v>
      </c>
      <c r="Q2505" s="4">
        <v>466967</v>
      </c>
      <c r="R2505" s="4">
        <v>314492</v>
      </c>
      <c r="S2505" s="4">
        <f>Table1[[#This Row],[Service_Revenue]]-Table1[[#This Row],[Service_Cost]]</f>
        <v>152475</v>
      </c>
      <c r="T2505" s="4">
        <v>4</v>
      </c>
      <c r="U2505" s="4">
        <f>IF(AND(Table1[[#This Row],[Rework_Flag]]="Yes",Table1[[#This Row],[Warranty_Claim]]="No"),Table1[[#This Row],[Service_Revenue]],0)</f>
        <v>0</v>
      </c>
      <c r="V2505" s="4">
        <f>IF(Table1[[#This Row],[Warranty_Claim]]="Yes",1,0)</f>
        <v>1</v>
      </c>
      <c r="W2505" s="4">
        <f>IF(Table1[[#This Row],[Rework_Flag]]="No",1,0)</f>
        <v>1</v>
      </c>
      <c r="X2505" s="4">
        <f>IF(Table1[[#This Row],[Rework_Flag]]="Yes",1,0)</f>
        <v>0</v>
      </c>
      <c r="Y2505" s="4">
        <v>1</v>
      </c>
      <c r="Z2505" s="4" t="str">
        <f>IF(Table1[[#This Row],[TAT_Days]]&gt;Table1[[#This Row],[SLA_TAT]],"Yes","No")</f>
        <v>No</v>
      </c>
      <c r="AA2505" s="4" t="str" cm="1">
        <f t="array" ref="AA2505">_xlfn.IFS(Table1[[#This Row],[Customer_Satisfaction]]&lt;=2,"Poor",Table1[[#This Row],[Customer_Satisfaction]]=3,"Neutral",Table1[[#This Row],[Customer_Satisfaction]]=4,"Good",Table1[[#This Row],[Customer_Satisfaction]]=5,"Good")</f>
        <v>Good</v>
      </c>
    </row>
    <row r="2506" spans="1:27" x14ac:dyDescent="0.35">
      <c r="A2506">
        <v>22504</v>
      </c>
      <c r="B2506" s="1">
        <v>45352</v>
      </c>
      <c r="C2506" t="s">
        <v>37</v>
      </c>
      <c r="D2506" t="s">
        <v>38</v>
      </c>
      <c r="E2506" t="s">
        <v>102</v>
      </c>
      <c r="F2506" t="s">
        <v>53</v>
      </c>
      <c r="G2506" t="s">
        <v>47</v>
      </c>
      <c r="H2506" t="s">
        <v>48</v>
      </c>
      <c r="I2506" t="s">
        <v>25</v>
      </c>
      <c r="J2506" t="s">
        <v>26</v>
      </c>
      <c r="K2506" t="s">
        <v>61</v>
      </c>
      <c r="L2506" t="s">
        <v>49</v>
      </c>
      <c r="M2506" s="4">
        <v>7</v>
      </c>
      <c r="N2506" s="4">
        <v>7</v>
      </c>
      <c r="O2506" t="s">
        <v>36</v>
      </c>
      <c r="P2506" t="s">
        <v>36</v>
      </c>
      <c r="Q2506" s="4">
        <v>304176</v>
      </c>
      <c r="R2506" s="4">
        <v>163599</v>
      </c>
      <c r="S2506" s="4">
        <f>Table1[[#This Row],[Service_Revenue]]-Table1[[#This Row],[Service_Cost]]</f>
        <v>140577</v>
      </c>
      <c r="T2506" s="4">
        <v>4</v>
      </c>
      <c r="U2506" s="4">
        <f>IF(AND(Table1[[#This Row],[Rework_Flag]]="Yes",Table1[[#This Row],[Warranty_Claim]]="No"),Table1[[#This Row],[Service_Revenue]],0)</f>
        <v>0</v>
      </c>
      <c r="V2506" s="4">
        <f>IF(Table1[[#This Row],[Warranty_Claim]]="Yes",1,0)</f>
        <v>0</v>
      </c>
      <c r="W2506" s="4">
        <f>IF(Table1[[#This Row],[Rework_Flag]]="No",1,0)</f>
        <v>1</v>
      </c>
      <c r="X2506" s="4">
        <f>IF(Table1[[#This Row],[Rework_Flag]]="Yes",1,0)</f>
        <v>0</v>
      </c>
      <c r="Y2506" s="4">
        <v>1</v>
      </c>
      <c r="Z2506" s="4" t="str">
        <f>IF(Table1[[#This Row],[TAT_Days]]&gt;Table1[[#This Row],[SLA_TAT]],"Yes","No")</f>
        <v>No</v>
      </c>
      <c r="AA2506" s="4" t="str" cm="1">
        <f t="array" ref="AA2506">_xlfn.IFS(Table1[[#This Row],[Customer_Satisfaction]]&lt;=2,"Poor",Table1[[#This Row],[Customer_Satisfaction]]=3,"Neutral",Table1[[#This Row],[Customer_Satisfaction]]=4,"Good",Table1[[#This Row],[Customer_Satisfaction]]=5,"Good")</f>
        <v>Good</v>
      </c>
    </row>
    <row r="2507" spans="1:27" x14ac:dyDescent="0.35">
      <c r="A2507">
        <v>22505</v>
      </c>
      <c r="B2507" s="1">
        <v>45447</v>
      </c>
      <c r="C2507" t="s">
        <v>19</v>
      </c>
      <c r="D2507" t="s">
        <v>45</v>
      </c>
      <c r="E2507" t="s">
        <v>99</v>
      </c>
      <c r="F2507" t="s">
        <v>22</v>
      </c>
      <c r="G2507" t="s">
        <v>33</v>
      </c>
      <c r="H2507" t="s">
        <v>34</v>
      </c>
      <c r="I2507" t="s">
        <v>25</v>
      </c>
      <c r="J2507" t="s">
        <v>43</v>
      </c>
      <c r="K2507" t="s">
        <v>61</v>
      </c>
      <c r="L2507" t="s">
        <v>49</v>
      </c>
      <c r="M2507" s="4">
        <v>18</v>
      </c>
      <c r="N2507" s="4">
        <v>7</v>
      </c>
      <c r="O2507" t="s">
        <v>36</v>
      </c>
      <c r="P2507" t="s">
        <v>36</v>
      </c>
      <c r="Q2507" s="4">
        <v>506074</v>
      </c>
      <c r="R2507" s="4">
        <v>319779</v>
      </c>
      <c r="S2507" s="4">
        <f>Table1[[#This Row],[Service_Revenue]]-Table1[[#This Row],[Service_Cost]]</f>
        <v>186295</v>
      </c>
      <c r="T2507" s="4">
        <v>2</v>
      </c>
      <c r="U2507" s="4">
        <f>IF(AND(Table1[[#This Row],[Rework_Flag]]="Yes",Table1[[#This Row],[Warranty_Claim]]="No"),Table1[[#This Row],[Service_Revenue]],0)</f>
        <v>0</v>
      </c>
      <c r="V2507" s="4">
        <f>IF(Table1[[#This Row],[Warranty_Claim]]="Yes",1,0)</f>
        <v>0</v>
      </c>
      <c r="W2507" s="4">
        <f>IF(Table1[[#This Row],[Rework_Flag]]="No",1,0)</f>
        <v>1</v>
      </c>
      <c r="X2507" s="4">
        <f>IF(Table1[[#This Row],[Rework_Flag]]="Yes",1,0)</f>
        <v>0</v>
      </c>
      <c r="Y2507" s="4">
        <v>1</v>
      </c>
      <c r="Z2507" s="4" t="str">
        <f>IF(Table1[[#This Row],[TAT_Days]]&gt;Table1[[#This Row],[SLA_TAT]],"Yes","No")</f>
        <v>Yes</v>
      </c>
      <c r="AA2507" s="4" t="str" cm="1">
        <f t="array" ref="AA2507">_xlfn.IFS(Table1[[#This Row],[Customer_Satisfaction]]&lt;=2,"Poor",Table1[[#This Row],[Customer_Satisfaction]]=3,"Neutral",Table1[[#This Row],[Customer_Satisfaction]]=4,"Good",Table1[[#This Row],[Customer_Satisfaction]]=5,"Good")</f>
        <v>Poor</v>
      </c>
    </row>
    <row r="2508" spans="1:27" x14ac:dyDescent="0.35">
      <c r="A2508">
        <v>22506</v>
      </c>
      <c r="B2508" s="1">
        <v>45455</v>
      </c>
      <c r="C2508" t="s">
        <v>30</v>
      </c>
      <c r="D2508" t="s">
        <v>31</v>
      </c>
      <c r="E2508" t="s">
        <v>79</v>
      </c>
      <c r="F2508" t="s">
        <v>53</v>
      </c>
      <c r="G2508" t="s">
        <v>41</v>
      </c>
      <c r="H2508" t="s">
        <v>42</v>
      </c>
      <c r="I2508" t="s">
        <v>55</v>
      </c>
      <c r="J2508" t="s">
        <v>67</v>
      </c>
      <c r="K2508" t="s">
        <v>27</v>
      </c>
      <c r="L2508" t="s">
        <v>28</v>
      </c>
      <c r="M2508" s="4">
        <v>20</v>
      </c>
      <c r="N2508" s="4">
        <v>7</v>
      </c>
      <c r="O2508" t="s">
        <v>29</v>
      </c>
      <c r="P2508" t="s">
        <v>36</v>
      </c>
      <c r="Q2508" s="4">
        <v>387729</v>
      </c>
      <c r="R2508" s="4">
        <v>211723</v>
      </c>
      <c r="S2508" s="4">
        <f>Table1[[#This Row],[Service_Revenue]]-Table1[[#This Row],[Service_Cost]]</f>
        <v>176006</v>
      </c>
      <c r="T2508" s="4">
        <v>1</v>
      </c>
      <c r="U2508" s="4">
        <f>IF(AND(Table1[[#This Row],[Rework_Flag]]="Yes",Table1[[#This Row],[Warranty_Claim]]="No"),Table1[[#This Row],[Service_Revenue]],0)</f>
        <v>387729</v>
      </c>
      <c r="V2508" s="4">
        <f>IF(Table1[[#This Row],[Warranty_Claim]]="Yes",1,0)</f>
        <v>0</v>
      </c>
      <c r="W2508" s="4">
        <f>IF(Table1[[#This Row],[Rework_Flag]]="No",1,0)</f>
        <v>0</v>
      </c>
      <c r="X2508" s="4">
        <f>IF(Table1[[#This Row],[Rework_Flag]]="Yes",1,0)</f>
        <v>1</v>
      </c>
      <c r="Y2508" s="4">
        <v>1</v>
      </c>
      <c r="Z2508" s="4" t="str">
        <f>IF(Table1[[#This Row],[TAT_Days]]&gt;Table1[[#This Row],[SLA_TAT]],"Yes","No")</f>
        <v>Yes</v>
      </c>
      <c r="AA2508" s="4" t="str" cm="1">
        <f t="array" ref="AA2508">_xlfn.IFS(Table1[[#This Row],[Customer_Satisfaction]]&lt;=2,"Poor",Table1[[#This Row],[Customer_Satisfaction]]=3,"Neutral",Table1[[#This Row],[Customer_Satisfaction]]=4,"Good",Table1[[#This Row],[Customer_Satisfaction]]=5,"Good")</f>
        <v>Poor</v>
      </c>
    </row>
    <row r="2509" spans="1:27" x14ac:dyDescent="0.35">
      <c r="A2509">
        <v>22507</v>
      </c>
      <c r="B2509" s="1">
        <v>45368</v>
      </c>
      <c r="C2509" t="s">
        <v>30</v>
      </c>
      <c r="D2509" t="s">
        <v>83</v>
      </c>
      <c r="E2509" t="s">
        <v>119</v>
      </c>
      <c r="F2509" t="s">
        <v>40</v>
      </c>
      <c r="G2509" t="s">
        <v>47</v>
      </c>
      <c r="H2509" t="s">
        <v>48</v>
      </c>
      <c r="I2509" t="s">
        <v>55</v>
      </c>
      <c r="J2509" t="s">
        <v>43</v>
      </c>
      <c r="K2509" t="s">
        <v>27</v>
      </c>
      <c r="L2509" t="s">
        <v>28</v>
      </c>
      <c r="M2509" s="4">
        <v>13</v>
      </c>
      <c r="N2509" s="4">
        <v>7</v>
      </c>
      <c r="O2509" t="s">
        <v>29</v>
      </c>
      <c r="P2509" t="s">
        <v>29</v>
      </c>
      <c r="Q2509" s="4">
        <v>164722</v>
      </c>
      <c r="R2509" s="4">
        <v>91952</v>
      </c>
      <c r="S2509" s="4">
        <f>Table1[[#This Row],[Service_Revenue]]-Table1[[#This Row],[Service_Cost]]</f>
        <v>72770</v>
      </c>
      <c r="T2509" s="4">
        <v>2</v>
      </c>
      <c r="U2509" s="4">
        <f>IF(AND(Table1[[#This Row],[Rework_Flag]]="Yes",Table1[[#This Row],[Warranty_Claim]]="No"),Table1[[#This Row],[Service_Revenue]],0)</f>
        <v>0</v>
      </c>
      <c r="V2509" s="4">
        <f>IF(Table1[[#This Row],[Warranty_Claim]]="Yes",1,0)</f>
        <v>1</v>
      </c>
      <c r="W2509" s="4">
        <f>IF(Table1[[#This Row],[Rework_Flag]]="No",1,0)</f>
        <v>0</v>
      </c>
      <c r="X2509" s="4">
        <f>IF(Table1[[#This Row],[Rework_Flag]]="Yes",1,0)</f>
        <v>1</v>
      </c>
      <c r="Y2509" s="4">
        <v>1</v>
      </c>
      <c r="Z2509" s="4" t="str">
        <f>IF(Table1[[#This Row],[TAT_Days]]&gt;Table1[[#This Row],[SLA_TAT]],"Yes","No")</f>
        <v>Yes</v>
      </c>
      <c r="AA2509" s="4" t="str" cm="1">
        <f t="array" ref="AA2509">_xlfn.IFS(Table1[[#This Row],[Customer_Satisfaction]]&lt;=2,"Poor",Table1[[#This Row],[Customer_Satisfaction]]=3,"Neutral",Table1[[#This Row],[Customer_Satisfaction]]=4,"Good",Table1[[#This Row],[Customer_Satisfaction]]=5,"Good")</f>
        <v>Poor</v>
      </c>
    </row>
    <row r="2510" spans="1:27" x14ac:dyDescent="0.35">
      <c r="A2510">
        <v>22508</v>
      </c>
      <c r="B2510" s="1">
        <v>45322</v>
      </c>
      <c r="C2510" t="s">
        <v>19</v>
      </c>
      <c r="D2510" t="s">
        <v>96</v>
      </c>
      <c r="E2510" t="s">
        <v>108</v>
      </c>
      <c r="F2510" t="s">
        <v>22</v>
      </c>
      <c r="G2510" t="s">
        <v>47</v>
      </c>
      <c r="H2510" t="s">
        <v>48</v>
      </c>
      <c r="I2510" t="s">
        <v>55</v>
      </c>
      <c r="J2510" t="s">
        <v>67</v>
      </c>
      <c r="K2510" t="s">
        <v>44</v>
      </c>
      <c r="L2510" t="s">
        <v>28</v>
      </c>
      <c r="M2510" s="4">
        <v>19</v>
      </c>
      <c r="N2510" s="4">
        <v>7</v>
      </c>
      <c r="O2510" t="s">
        <v>36</v>
      </c>
      <c r="P2510" t="s">
        <v>36</v>
      </c>
      <c r="Q2510" s="4">
        <v>452568</v>
      </c>
      <c r="R2510" s="4">
        <v>259695</v>
      </c>
      <c r="S2510" s="4">
        <f>Table1[[#This Row],[Service_Revenue]]-Table1[[#This Row],[Service_Cost]]</f>
        <v>192873</v>
      </c>
      <c r="T2510" s="4">
        <v>2</v>
      </c>
      <c r="U2510" s="4">
        <f>IF(AND(Table1[[#This Row],[Rework_Flag]]="Yes",Table1[[#This Row],[Warranty_Claim]]="No"),Table1[[#This Row],[Service_Revenue]],0)</f>
        <v>0</v>
      </c>
      <c r="V2510" s="4">
        <f>IF(Table1[[#This Row],[Warranty_Claim]]="Yes",1,0)</f>
        <v>0</v>
      </c>
      <c r="W2510" s="4">
        <f>IF(Table1[[#This Row],[Rework_Flag]]="No",1,0)</f>
        <v>1</v>
      </c>
      <c r="X2510" s="4">
        <f>IF(Table1[[#This Row],[Rework_Flag]]="Yes",1,0)</f>
        <v>0</v>
      </c>
      <c r="Y2510" s="4">
        <v>1</v>
      </c>
      <c r="Z2510" s="4" t="str">
        <f>IF(Table1[[#This Row],[TAT_Days]]&gt;Table1[[#This Row],[SLA_TAT]],"Yes","No")</f>
        <v>Yes</v>
      </c>
      <c r="AA2510" s="4" t="str" cm="1">
        <f t="array" ref="AA2510">_xlfn.IFS(Table1[[#This Row],[Customer_Satisfaction]]&lt;=2,"Poor",Table1[[#This Row],[Customer_Satisfaction]]=3,"Neutral",Table1[[#This Row],[Customer_Satisfaction]]=4,"Good",Table1[[#This Row],[Customer_Satisfaction]]=5,"Good")</f>
        <v>Poor</v>
      </c>
    </row>
    <row r="2511" spans="1:27" x14ac:dyDescent="0.35">
      <c r="A2511">
        <v>22509</v>
      </c>
      <c r="B2511" s="1">
        <v>45423</v>
      </c>
      <c r="C2511" t="s">
        <v>30</v>
      </c>
      <c r="D2511" t="s">
        <v>31</v>
      </c>
      <c r="E2511" t="s">
        <v>32</v>
      </c>
      <c r="F2511" t="s">
        <v>22</v>
      </c>
      <c r="G2511" t="s">
        <v>54</v>
      </c>
      <c r="H2511" t="s">
        <v>42</v>
      </c>
      <c r="I2511" t="s">
        <v>25</v>
      </c>
      <c r="J2511" t="s">
        <v>43</v>
      </c>
      <c r="K2511" t="s">
        <v>27</v>
      </c>
      <c r="L2511" t="s">
        <v>49</v>
      </c>
      <c r="M2511" s="4">
        <v>16</v>
      </c>
      <c r="N2511" s="4">
        <v>7</v>
      </c>
      <c r="O2511" t="s">
        <v>29</v>
      </c>
      <c r="P2511" t="s">
        <v>36</v>
      </c>
      <c r="Q2511" s="4">
        <v>258669</v>
      </c>
      <c r="R2511" s="4">
        <v>207574</v>
      </c>
      <c r="S2511" s="4">
        <f>Table1[[#This Row],[Service_Revenue]]-Table1[[#This Row],[Service_Cost]]</f>
        <v>51095</v>
      </c>
      <c r="T2511" s="4">
        <v>1</v>
      </c>
      <c r="U2511" s="4">
        <f>IF(AND(Table1[[#This Row],[Rework_Flag]]="Yes",Table1[[#This Row],[Warranty_Claim]]="No"),Table1[[#This Row],[Service_Revenue]],0)</f>
        <v>258669</v>
      </c>
      <c r="V2511" s="4">
        <f>IF(Table1[[#This Row],[Warranty_Claim]]="Yes",1,0)</f>
        <v>0</v>
      </c>
      <c r="W2511" s="4">
        <f>IF(Table1[[#This Row],[Rework_Flag]]="No",1,0)</f>
        <v>0</v>
      </c>
      <c r="X2511" s="4">
        <f>IF(Table1[[#This Row],[Rework_Flag]]="Yes",1,0)</f>
        <v>1</v>
      </c>
      <c r="Y2511" s="4">
        <v>1</v>
      </c>
      <c r="Z2511" s="4" t="str">
        <f>IF(Table1[[#This Row],[TAT_Days]]&gt;Table1[[#This Row],[SLA_TAT]],"Yes","No")</f>
        <v>Yes</v>
      </c>
      <c r="AA2511" s="4" t="str" cm="1">
        <f t="array" ref="AA2511">_xlfn.IFS(Table1[[#This Row],[Customer_Satisfaction]]&lt;=2,"Poor",Table1[[#This Row],[Customer_Satisfaction]]=3,"Neutral",Table1[[#This Row],[Customer_Satisfaction]]=4,"Good",Table1[[#This Row],[Customer_Satisfaction]]=5,"Good")</f>
        <v>Poor</v>
      </c>
    </row>
    <row r="2512" spans="1:27" x14ac:dyDescent="0.35">
      <c r="A2512">
        <v>22510</v>
      </c>
      <c r="B2512" s="1">
        <v>45386</v>
      </c>
      <c r="C2512" t="s">
        <v>19</v>
      </c>
      <c r="D2512" t="s">
        <v>20</v>
      </c>
      <c r="E2512" t="s">
        <v>89</v>
      </c>
      <c r="F2512" t="s">
        <v>53</v>
      </c>
      <c r="G2512" t="s">
        <v>74</v>
      </c>
      <c r="H2512" t="s">
        <v>34</v>
      </c>
      <c r="I2512" t="s">
        <v>25</v>
      </c>
      <c r="J2512" t="s">
        <v>67</v>
      </c>
      <c r="K2512" t="s">
        <v>27</v>
      </c>
      <c r="L2512" t="s">
        <v>49</v>
      </c>
      <c r="M2512" s="4">
        <v>5</v>
      </c>
      <c r="N2512" s="4">
        <v>7</v>
      </c>
      <c r="O2512" t="s">
        <v>29</v>
      </c>
      <c r="P2512" t="s">
        <v>36</v>
      </c>
      <c r="Q2512" s="4">
        <v>513075</v>
      </c>
      <c r="R2512" s="4">
        <v>307115</v>
      </c>
      <c r="S2512" s="4">
        <f>Table1[[#This Row],[Service_Revenue]]-Table1[[#This Row],[Service_Cost]]</f>
        <v>205960</v>
      </c>
      <c r="T2512" s="4">
        <v>3</v>
      </c>
      <c r="U2512" s="4">
        <f>IF(AND(Table1[[#This Row],[Rework_Flag]]="Yes",Table1[[#This Row],[Warranty_Claim]]="No"),Table1[[#This Row],[Service_Revenue]],0)</f>
        <v>513075</v>
      </c>
      <c r="V2512" s="4">
        <f>IF(Table1[[#This Row],[Warranty_Claim]]="Yes",1,0)</f>
        <v>0</v>
      </c>
      <c r="W2512" s="4">
        <f>IF(Table1[[#This Row],[Rework_Flag]]="No",1,0)</f>
        <v>0</v>
      </c>
      <c r="X2512" s="4">
        <f>IF(Table1[[#This Row],[Rework_Flag]]="Yes",1,0)</f>
        <v>1</v>
      </c>
      <c r="Y2512" s="4">
        <v>1</v>
      </c>
      <c r="Z2512" s="4" t="str">
        <f>IF(Table1[[#This Row],[TAT_Days]]&gt;Table1[[#This Row],[SLA_TAT]],"Yes","No")</f>
        <v>No</v>
      </c>
      <c r="AA2512" s="4" t="str" cm="1">
        <f t="array" ref="AA2512">_xlfn.IFS(Table1[[#This Row],[Customer_Satisfaction]]&lt;=2,"Poor",Table1[[#This Row],[Customer_Satisfaction]]=3,"Neutral",Table1[[#This Row],[Customer_Satisfaction]]=4,"Good",Table1[[#This Row],[Customer_Satisfaction]]=5,"Good")</f>
        <v>Neutral</v>
      </c>
    </row>
    <row r="2513" spans="1:27" x14ac:dyDescent="0.35">
      <c r="A2513">
        <v>22511</v>
      </c>
      <c r="B2513" s="1">
        <v>45295</v>
      </c>
      <c r="C2513" t="s">
        <v>37</v>
      </c>
      <c r="D2513" t="s">
        <v>70</v>
      </c>
      <c r="E2513" t="s">
        <v>116</v>
      </c>
      <c r="F2513" t="s">
        <v>40</v>
      </c>
      <c r="G2513" t="s">
        <v>63</v>
      </c>
      <c r="H2513" t="s">
        <v>24</v>
      </c>
      <c r="I2513" t="s">
        <v>25</v>
      </c>
      <c r="J2513" t="s">
        <v>58</v>
      </c>
      <c r="K2513" t="s">
        <v>61</v>
      </c>
      <c r="L2513" t="s">
        <v>28</v>
      </c>
      <c r="M2513" s="4">
        <v>22</v>
      </c>
      <c r="N2513" s="4">
        <v>7</v>
      </c>
      <c r="O2513" t="s">
        <v>29</v>
      </c>
      <c r="P2513" t="s">
        <v>29</v>
      </c>
      <c r="Q2513" s="4">
        <v>437218</v>
      </c>
      <c r="R2513" s="4">
        <v>257773</v>
      </c>
      <c r="S2513" s="4">
        <f>Table1[[#This Row],[Service_Revenue]]-Table1[[#This Row],[Service_Cost]]</f>
        <v>179445</v>
      </c>
      <c r="T2513" s="4">
        <v>1</v>
      </c>
      <c r="U2513" s="4">
        <f>IF(AND(Table1[[#This Row],[Rework_Flag]]="Yes",Table1[[#This Row],[Warranty_Claim]]="No"),Table1[[#This Row],[Service_Revenue]],0)</f>
        <v>0</v>
      </c>
      <c r="V2513" s="4">
        <f>IF(Table1[[#This Row],[Warranty_Claim]]="Yes",1,0)</f>
        <v>1</v>
      </c>
      <c r="W2513" s="4">
        <f>IF(Table1[[#This Row],[Rework_Flag]]="No",1,0)</f>
        <v>0</v>
      </c>
      <c r="X2513" s="4">
        <f>IF(Table1[[#This Row],[Rework_Flag]]="Yes",1,0)</f>
        <v>1</v>
      </c>
      <c r="Y2513" s="4">
        <v>1</v>
      </c>
      <c r="Z2513" s="4" t="str">
        <f>IF(Table1[[#This Row],[TAT_Days]]&gt;Table1[[#This Row],[SLA_TAT]],"Yes","No")</f>
        <v>Yes</v>
      </c>
      <c r="AA2513" s="4" t="str" cm="1">
        <f t="array" ref="AA2513">_xlfn.IFS(Table1[[#This Row],[Customer_Satisfaction]]&lt;=2,"Poor",Table1[[#This Row],[Customer_Satisfaction]]=3,"Neutral",Table1[[#This Row],[Customer_Satisfaction]]=4,"Good",Table1[[#This Row],[Customer_Satisfaction]]=5,"Good")</f>
        <v>Poor</v>
      </c>
    </row>
    <row r="2514" spans="1:27" x14ac:dyDescent="0.35">
      <c r="A2514">
        <v>22512</v>
      </c>
      <c r="B2514" s="1">
        <v>45464</v>
      </c>
      <c r="C2514" t="s">
        <v>19</v>
      </c>
      <c r="D2514" t="s">
        <v>20</v>
      </c>
      <c r="E2514" t="s">
        <v>21</v>
      </c>
      <c r="F2514" t="s">
        <v>22</v>
      </c>
      <c r="G2514" t="s">
        <v>33</v>
      </c>
      <c r="H2514" t="s">
        <v>34</v>
      </c>
      <c r="I2514" t="s">
        <v>55</v>
      </c>
      <c r="J2514" t="s">
        <v>67</v>
      </c>
      <c r="K2514" t="s">
        <v>27</v>
      </c>
      <c r="L2514" t="s">
        <v>49</v>
      </c>
      <c r="M2514" s="4">
        <v>25</v>
      </c>
      <c r="N2514" s="4">
        <v>7</v>
      </c>
      <c r="O2514" t="s">
        <v>29</v>
      </c>
      <c r="P2514" t="s">
        <v>36</v>
      </c>
      <c r="Q2514" s="4">
        <v>528439</v>
      </c>
      <c r="R2514" s="4">
        <v>329893</v>
      </c>
      <c r="S2514" s="4">
        <f>Table1[[#This Row],[Service_Revenue]]-Table1[[#This Row],[Service_Cost]]</f>
        <v>198546</v>
      </c>
      <c r="T2514" s="4">
        <v>1</v>
      </c>
      <c r="U2514" s="4">
        <f>IF(AND(Table1[[#This Row],[Rework_Flag]]="Yes",Table1[[#This Row],[Warranty_Claim]]="No"),Table1[[#This Row],[Service_Revenue]],0)</f>
        <v>528439</v>
      </c>
      <c r="V2514" s="4">
        <f>IF(Table1[[#This Row],[Warranty_Claim]]="Yes",1,0)</f>
        <v>0</v>
      </c>
      <c r="W2514" s="4">
        <f>IF(Table1[[#This Row],[Rework_Flag]]="No",1,0)</f>
        <v>0</v>
      </c>
      <c r="X2514" s="4">
        <f>IF(Table1[[#This Row],[Rework_Flag]]="Yes",1,0)</f>
        <v>1</v>
      </c>
      <c r="Y2514" s="4">
        <v>1</v>
      </c>
      <c r="Z2514" s="4" t="str">
        <f>IF(Table1[[#This Row],[TAT_Days]]&gt;Table1[[#This Row],[SLA_TAT]],"Yes","No")</f>
        <v>Yes</v>
      </c>
      <c r="AA2514" s="4" t="str" cm="1">
        <f t="array" ref="AA2514">_xlfn.IFS(Table1[[#This Row],[Customer_Satisfaction]]&lt;=2,"Poor",Table1[[#This Row],[Customer_Satisfaction]]=3,"Neutral",Table1[[#This Row],[Customer_Satisfaction]]=4,"Good",Table1[[#This Row],[Customer_Satisfaction]]=5,"Good")</f>
        <v>Poor</v>
      </c>
    </row>
    <row r="2515" spans="1:27" x14ac:dyDescent="0.35">
      <c r="A2515">
        <v>22513</v>
      </c>
      <c r="B2515" s="1">
        <v>45347</v>
      </c>
      <c r="C2515" t="s">
        <v>19</v>
      </c>
      <c r="D2515" t="s">
        <v>96</v>
      </c>
      <c r="E2515" t="s">
        <v>97</v>
      </c>
      <c r="F2515" t="s">
        <v>40</v>
      </c>
      <c r="G2515" t="s">
        <v>23</v>
      </c>
      <c r="H2515" t="s">
        <v>24</v>
      </c>
      <c r="I2515" t="s">
        <v>55</v>
      </c>
      <c r="J2515" t="s">
        <v>58</v>
      </c>
      <c r="K2515" t="s">
        <v>44</v>
      </c>
      <c r="L2515" t="s">
        <v>49</v>
      </c>
      <c r="M2515" s="4">
        <v>8</v>
      </c>
      <c r="N2515" s="4">
        <v>7</v>
      </c>
      <c r="O2515" t="s">
        <v>36</v>
      </c>
      <c r="P2515" t="s">
        <v>36</v>
      </c>
      <c r="Q2515" s="4">
        <v>347548</v>
      </c>
      <c r="R2515" s="4">
        <v>216922</v>
      </c>
      <c r="S2515" s="4">
        <f>Table1[[#This Row],[Service_Revenue]]-Table1[[#This Row],[Service_Cost]]</f>
        <v>130626</v>
      </c>
      <c r="T2515" s="4">
        <v>4</v>
      </c>
      <c r="U2515" s="4">
        <f>IF(AND(Table1[[#This Row],[Rework_Flag]]="Yes",Table1[[#This Row],[Warranty_Claim]]="No"),Table1[[#This Row],[Service_Revenue]],0)</f>
        <v>0</v>
      </c>
      <c r="V2515" s="4">
        <f>IF(Table1[[#This Row],[Warranty_Claim]]="Yes",1,0)</f>
        <v>0</v>
      </c>
      <c r="W2515" s="4">
        <f>IF(Table1[[#This Row],[Rework_Flag]]="No",1,0)</f>
        <v>1</v>
      </c>
      <c r="X2515" s="4">
        <f>IF(Table1[[#This Row],[Rework_Flag]]="Yes",1,0)</f>
        <v>0</v>
      </c>
      <c r="Y2515" s="4">
        <v>1</v>
      </c>
      <c r="Z2515" s="4" t="str">
        <f>IF(Table1[[#This Row],[TAT_Days]]&gt;Table1[[#This Row],[SLA_TAT]],"Yes","No")</f>
        <v>Yes</v>
      </c>
      <c r="AA2515" s="4" t="str" cm="1">
        <f t="array" ref="AA2515">_xlfn.IFS(Table1[[#This Row],[Customer_Satisfaction]]&lt;=2,"Poor",Table1[[#This Row],[Customer_Satisfaction]]=3,"Neutral",Table1[[#This Row],[Customer_Satisfaction]]=4,"Good",Table1[[#This Row],[Customer_Satisfaction]]=5,"Good")</f>
        <v>Good</v>
      </c>
    </row>
    <row r="2516" spans="1:27" x14ac:dyDescent="0.35">
      <c r="A2516">
        <v>22514</v>
      </c>
      <c r="B2516" s="1">
        <v>45367</v>
      </c>
      <c r="C2516" t="s">
        <v>19</v>
      </c>
      <c r="D2516" t="s">
        <v>45</v>
      </c>
      <c r="E2516" t="s">
        <v>114</v>
      </c>
      <c r="F2516" t="s">
        <v>40</v>
      </c>
      <c r="G2516" t="s">
        <v>54</v>
      </c>
      <c r="H2516" t="s">
        <v>42</v>
      </c>
      <c r="I2516" t="s">
        <v>25</v>
      </c>
      <c r="J2516" t="s">
        <v>58</v>
      </c>
      <c r="K2516" t="s">
        <v>44</v>
      </c>
      <c r="L2516" t="s">
        <v>28</v>
      </c>
      <c r="M2516" s="4">
        <v>5</v>
      </c>
      <c r="N2516" s="4">
        <v>7</v>
      </c>
      <c r="O2516" t="s">
        <v>36</v>
      </c>
      <c r="P2516" t="s">
        <v>36</v>
      </c>
      <c r="Q2516" s="4">
        <v>161269</v>
      </c>
      <c r="R2516" s="4">
        <v>134375</v>
      </c>
      <c r="S2516" s="4">
        <f>Table1[[#This Row],[Service_Revenue]]-Table1[[#This Row],[Service_Cost]]</f>
        <v>26894</v>
      </c>
      <c r="T2516" s="4">
        <v>4</v>
      </c>
      <c r="U2516" s="4">
        <f>IF(AND(Table1[[#This Row],[Rework_Flag]]="Yes",Table1[[#This Row],[Warranty_Claim]]="No"),Table1[[#This Row],[Service_Revenue]],0)</f>
        <v>0</v>
      </c>
      <c r="V2516" s="4">
        <f>IF(Table1[[#This Row],[Warranty_Claim]]="Yes",1,0)</f>
        <v>0</v>
      </c>
      <c r="W2516" s="4">
        <f>IF(Table1[[#This Row],[Rework_Flag]]="No",1,0)</f>
        <v>1</v>
      </c>
      <c r="X2516" s="4">
        <f>IF(Table1[[#This Row],[Rework_Flag]]="Yes",1,0)</f>
        <v>0</v>
      </c>
      <c r="Y2516" s="4">
        <v>1</v>
      </c>
      <c r="Z2516" s="4" t="str">
        <f>IF(Table1[[#This Row],[TAT_Days]]&gt;Table1[[#This Row],[SLA_TAT]],"Yes","No")</f>
        <v>No</v>
      </c>
      <c r="AA2516" s="4" t="str" cm="1">
        <f t="array" ref="AA2516">_xlfn.IFS(Table1[[#This Row],[Customer_Satisfaction]]&lt;=2,"Poor",Table1[[#This Row],[Customer_Satisfaction]]=3,"Neutral",Table1[[#This Row],[Customer_Satisfaction]]=4,"Good",Table1[[#This Row],[Customer_Satisfaction]]=5,"Good")</f>
        <v>Good</v>
      </c>
    </row>
    <row r="2517" spans="1:27" x14ac:dyDescent="0.35">
      <c r="A2517">
        <v>22515</v>
      </c>
      <c r="B2517" s="1">
        <v>45379</v>
      </c>
      <c r="C2517" t="s">
        <v>50</v>
      </c>
      <c r="D2517" t="s">
        <v>80</v>
      </c>
      <c r="E2517" t="s">
        <v>104</v>
      </c>
      <c r="F2517" t="s">
        <v>40</v>
      </c>
      <c r="G2517" t="s">
        <v>74</v>
      </c>
      <c r="H2517" t="s">
        <v>34</v>
      </c>
      <c r="I2517" t="s">
        <v>55</v>
      </c>
      <c r="J2517" t="s">
        <v>58</v>
      </c>
      <c r="K2517" t="s">
        <v>61</v>
      </c>
      <c r="L2517" t="s">
        <v>28</v>
      </c>
      <c r="M2517" s="4">
        <v>2</v>
      </c>
      <c r="N2517" s="4">
        <v>7</v>
      </c>
      <c r="O2517" t="s">
        <v>36</v>
      </c>
      <c r="P2517" t="s">
        <v>29</v>
      </c>
      <c r="Q2517" s="4">
        <v>211500</v>
      </c>
      <c r="R2517" s="4">
        <v>127530</v>
      </c>
      <c r="S2517" s="4">
        <f>Table1[[#This Row],[Service_Revenue]]-Table1[[#This Row],[Service_Cost]]</f>
        <v>83970</v>
      </c>
      <c r="T2517" s="4">
        <v>5</v>
      </c>
      <c r="U2517" s="4">
        <f>IF(AND(Table1[[#This Row],[Rework_Flag]]="Yes",Table1[[#This Row],[Warranty_Claim]]="No"),Table1[[#This Row],[Service_Revenue]],0)</f>
        <v>0</v>
      </c>
      <c r="V2517" s="4">
        <f>IF(Table1[[#This Row],[Warranty_Claim]]="Yes",1,0)</f>
        <v>1</v>
      </c>
      <c r="W2517" s="4">
        <f>IF(Table1[[#This Row],[Rework_Flag]]="No",1,0)</f>
        <v>1</v>
      </c>
      <c r="X2517" s="4">
        <f>IF(Table1[[#This Row],[Rework_Flag]]="Yes",1,0)</f>
        <v>0</v>
      </c>
      <c r="Y2517" s="4">
        <v>1</v>
      </c>
      <c r="Z2517" s="4" t="str">
        <f>IF(Table1[[#This Row],[TAT_Days]]&gt;Table1[[#This Row],[SLA_TAT]],"Yes","No")</f>
        <v>No</v>
      </c>
      <c r="AA2517" s="4" t="str" cm="1">
        <f t="array" ref="AA2517">_xlfn.IFS(Table1[[#This Row],[Customer_Satisfaction]]&lt;=2,"Poor",Table1[[#This Row],[Customer_Satisfaction]]=3,"Neutral",Table1[[#This Row],[Customer_Satisfaction]]=4,"Good",Table1[[#This Row],[Customer_Satisfaction]]=5,"Good")</f>
        <v>Good</v>
      </c>
    </row>
    <row r="2518" spans="1:27" x14ac:dyDescent="0.35">
      <c r="A2518">
        <v>22516</v>
      </c>
      <c r="B2518" s="1">
        <v>45426</v>
      </c>
      <c r="C2518" t="s">
        <v>50</v>
      </c>
      <c r="D2518" t="s">
        <v>56</v>
      </c>
      <c r="E2518" t="s">
        <v>101</v>
      </c>
      <c r="F2518" t="s">
        <v>53</v>
      </c>
      <c r="G2518" t="s">
        <v>41</v>
      </c>
      <c r="H2518" t="s">
        <v>42</v>
      </c>
      <c r="I2518" t="s">
        <v>55</v>
      </c>
      <c r="J2518" t="s">
        <v>67</v>
      </c>
      <c r="K2518" t="s">
        <v>44</v>
      </c>
      <c r="L2518" t="s">
        <v>49</v>
      </c>
      <c r="M2518" s="4">
        <v>15</v>
      </c>
      <c r="N2518" s="4">
        <v>7</v>
      </c>
      <c r="O2518" t="s">
        <v>29</v>
      </c>
      <c r="P2518" t="s">
        <v>36</v>
      </c>
      <c r="Q2518" s="4">
        <v>543644</v>
      </c>
      <c r="R2518" s="4">
        <v>300281</v>
      </c>
      <c r="S2518" s="4">
        <f>Table1[[#This Row],[Service_Revenue]]-Table1[[#This Row],[Service_Cost]]</f>
        <v>243363</v>
      </c>
      <c r="T2518" s="4">
        <v>1</v>
      </c>
      <c r="U2518" s="4">
        <f>IF(AND(Table1[[#This Row],[Rework_Flag]]="Yes",Table1[[#This Row],[Warranty_Claim]]="No"),Table1[[#This Row],[Service_Revenue]],0)</f>
        <v>543644</v>
      </c>
      <c r="V2518" s="4">
        <f>IF(Table1[[#This Row],[Warranty_Claim]]="Yes",1,0)</f>
        <v>0</v>
      </c>
      <c r="W2518" s="4">
        <f>IF(Table1[[#This Row],[Rework_Flag]]="No",1,0)</f>
        <v>0</v>
      </c>
      <c r="X2518" s="4">
        <f>IF(Table1[[#This Row],[Rework_Flag]]="Yes",1,0)</f>
        <v>1</v>
      </c>
      <c r="Y2518" s="4">
        <v>1</v>
      </c>
      <c r="Z2518" s="4" t="str">
        <f>IF(Table1[[#This Row],[TAT_Days]]&gt;Table1[[#This Row],[SLA_TAT]],"Yes","No")</f>
        <v>Yes</v>
      </c>
      <c r="AA2518" s="4" t="str" cm="1">
        <f t="array" ref="AA2518">_xlfn.IFS(Table1[[#This Row],[Customer_Satisfaction]]&lt;=2,"Poor",Table1[[#This Row],[Customer_Satisfaction]]=3,"Neutral",Table1[[#This Row],[Customer_Satisfaction]]=4,"Good",Table1[[#This Row],[Customer_Satisfaction]]=5,"Good")</f>
        <v>Poor</v>
      </c>
    </row>
    <row r="2519" spans="1:27" x14ac:dyDescent="0.35">
      <c r="A2519">
        <v>22517</v>
      </c>
      <c r="B2519" s="1">
        <v>45468</v>
      </c>
      <c r="C2519" t="s">
        <v>19</v>
      </c>
      <c r="D2519" t="s">
        <v>20</v>
      </c>
      <c r="E2519" t="s">
        <v>110</v>
      </c>
      <c r="F2519" t="s">
        <v>22</v>
      </c>
      <c r="G2519" t="s">
        <v>41</v>
      </c>
      <c r="H2519" t="s">
        <v>42</v>
      </c>
      <c r="I2519" t="s">
        <v>55</v>
      </c>
      <c r="J2519" t="s">
        <v>26</v>
      </c>
      <c r="K2519" t="s">
        <v>61</v>
      </c>
      <c r="L2519" t="s">
        <v>49</v>
      </c>
      <c r="M2519" s="4">
        <v>23</v>
      </c>
      <c r="N2519" s="4">
        <v>7</v>
      </c>
      <c r="O2519" t="s">
        <v>36</v>
      </c>
      <c r="P2519" t="s">
        <v>29</v>
      </c>
      <c r="Q2519" s="4">
        <v>251577</v>
      </c>
      <c r="R2519" s="4">
        <v>147193</v>
      </c>
      <c r="S2519" s="4">
        <f>Table1[[#This Row],[Service_Revenue]]-Table1[[#This Row],[Service_Cost]]</f>
        <v>104384</v>
      </c>
      <c r="T2519" s="4">
        <v>1</v>
      </c>
      <c r="U2519" s="4">
        <f>IF(AND(Table1[[#This Row],[Rework_Flag]]="Yes",Table1[[#This Row],[Warranty_Claim]]="No"),Table1[[#This Row],[Service_Revenue]],0)</f>
        <v>0</v>
      </c>
      <c r="V2519" s="4">
        <f>IF(Table1[[#This Row],[Warranty_Claim]]="Yes",1,0)</f>
        <v>1</v>
      </c>
      <c r="W2519" s="4">
        <f>IF(Table1[[#This Row],[Rework_Flag]]="No",1,0)</f>
        <v>1</v>
      </c>
      <c r="X2519" s="4">
        <f>IF(Table1[[#This Row],[Rework_Flag]]="Yes",1,0)</f>
        <v>0</v>
      </c>
      <c r="Y2519" s="4">
        <v>1</v>
      </c>
      <c r="Z2519" s="4" t="str">
        <f>IF(Table1[[#This Row],[TAT_Days]]&gt;Table1[[#This Row],[SLA_TAT]],"Yes","No")</f>
        <v>Yes</v>
      </c>
      <c r="AA2519" s="4" t="str" cm="1">
        <f t="array" ref="AA2519">_xlfn.IFS(Table1[[#This Row],[Customer_Satisfaction]]&lt;=2,"Poor",Table1[[#This Row],[Customer_Satisfaction]]=3,"Neutral",Table1[[#This Row],[Customer_Satisfaction]]=4,"Good",Table1[[#This Row],[Customer_Satisfaction]]=5,"Good")</f>
        <v>Poor</v>
      </c>
    </row>
    <row r="2520" spans="1:27" x14ac:dyDescent="0.35">
      <c r="A2520">
        <v>22518</v>
      </c>
      <c r="B2520" s="1">
        <v>45436</v>
      </c>
      <c r="C2520" t="s">
        <v>50</v>
      </c>
      <c r="D2520" t="s">
        <v>51</v>
      </c>
      <c r="E2520" t="s">
        <v>75</v>
      </c>
      <c r="F2520" t="s">
        <v>53</v>
      </c>
      <c r="G2520" t="s">
        <v>41</v>
      </c>
      <c r="H2520" t="s">
        <v>42</v>
      </c>
      <c r="I2520" t="s">
        <v>55</v>
      </c>
      <c r="J2520" t="s">
        <v>26</v>
      </c>
      <c r="K2520" t="s">
        <v>44</v>
      </c>
      <c r="L2520" t="s">
        <v>28</v>
      </c>
      <c r="M2520" s="4">
        <v>2</v>
      </c>
      <c r="N2520" s="4">
        <v>7</v>
      </c>
      <c r="O2520" t="s">
        <v>36</v>
      </c>
      <c r="P2520" t="s">
        <v>36</v>
      </c>
      <c r="Q2520" s="4">
        <v>140799</v>
      </c>
      <c r="R2520" s="4">
        <v>95824</v>
      </c>
      <c r="S2520" s="4">
        <f>Table1[[#This Row],[Service_Revenue]]-Table1[[#This Row],[Service_Cost]]</f>
        <v>44975</v>
      </c>
      <c r="T2520" s="4">
        <v>5</v>
      </c>
      <c r="U2520" s="4">
        <f>IF(AND(Table1[[#This Row],[Rework_Flag]]="Yes",Table1[[#This Row],[Warranty_Claim]]="No"),Table1[[#This Row],[Service_Revenue]],0)</f>
        <v>0</v>
      </c>
      <c r="V2520" s="4">
        <f>IF(Table1[[#This Row],[Warranty_Claim]]="Yes",1,0)</f>
        <v>0</v>
      </c>
      <c r="W2520" s="4">
        <f>IF(Table1[[#This Row],[Rework_Flag]]="No",1,0)</f>
        <v>1</v>
      </c>
      <c r="X2520" s="4">
        <f>IF(Table1[[#This Row],[Rework_Flag]]="Yes",1,0)</f>
        <v>0</v>
      </c>
      <c r="Y2520" s="4">
        <v>1</v>
      </c>
      <c r="Z2520" s="4" t="str">
        <f>IF(Table1[[#This Row],[TAT_Days]]&gt;Table1[[#This Row],[SLA_TAT]],"Yes","No")</f>
        <v>No</v>
      </c>
      <c r="AA2520" s="4" t="str" cm="1">
        <f t="array" ref="AA2520">_xlfn.IFS(Table1[[#This Row],[Customer_Satisfaction]]&lt;=2,"Poor",Table1[[#This Row],[Customer_Satisfaction]]=3,"Neutral",Table1[[#This Row],[Customer_Satisfaction]]=4,"Good",Table1[[#This Row],[Customer_Satisfaction]]=5,"Good")</f>
        <v>Good</v>
      </c>
    </row>
    <row r="2521" spans="1:27" x14ac:dyDescent="0.35">
      <c r="A2521">
        <v>22519</v>
      </c>
      <c r="B2521" s="1">
        <v>45449</v>
      </c>
      <c r="C2521" t="s">
        <v>30</v>
      </c>
      <c r="D2521" t="s">
        <v>59</v>
      </c>
      <c r="E2521" t="s">
        <v>69</v>
      </c>
      <c r="F2521" t="s">
        <v>40</v>
      </c>
      <c r="G2521" t="s">
        <v>33</v>
      </c>
      <c r="H2521" t="s">
        <v>34</v>
      </c>
      <c r="I2521" t="s">
        <v>25</v>
      </c>
      <c r="J2521" t="s">
        <v>67</v>
      </c>
      <c r="K2521" t="s">
        <v>27</v>
      </c>
      <c r="L2521" t="s">
        <v>49</v>
      </c>
      <c r="M2521" s="4">
        <v>15</v>
      </c>
      <c r="N2521" s="4">
        <v>7</v>
      </c>
      <c r="O2521" t="s">
        <v>29</v>
      </c>
      <c r="P2521" t="s">
        <v>36</v>
      </c>
      <c r="Q2521" s="4">
        <v>213663</v>
      </c>
      <c r="R2521" s="4">
        <v>162976</v>
      </c>
      <c r="S2521" s="4">
        <f>Table1[[#This Row],[Service_Revenue]]-Table1[[#This Row],[Service_Cost]]</f>
        <v>50687</v>
      </c>
      <c r="T2521" s="4">
        <v>1</v>
      </c>
      <c r="U2521" s="4">
        <f>IF(AND(Table1[[#This Row],[Rework_Flag]]="Yes",Table1[[#This Row],[Warranty_Claim]]="No"),Table1[[#This Row],[Service_Revenue]],0)</f>
        <v>213663</v>
      </c>
      <c r="V2521" s="4">
        <f>IF(Table1[[#This Row],[Warranty_Claim]]="Yes",1,0)</f>
        <v>0</v>
      </c>
      <c r="W2521" s="4">
        <f>IF(Table1[[#This Row],[Rework_Flag]]="No",1,0)</f>
        <v>0</v>
      </c>
      <c r="X2521" s="4">
        <f>IF(Table1[[#This Row],[Rework_Flag]]="Yes",1,0)</f>
        <v>1</v>
      </c>
      <c r="Y2521" s="4">
        <v>1</v>
      </c>
      <c r="Z2521" s="4" t="str">
        <f>IF(Table1[[#This Row],[TAT_Days]]&gt;Table1[[#This Row],[SLA_TAT]],"Yes","No")</f>
        <v>Yes</v>
      </c>
      <c r="AA2521" s="4" t="str" cm="1">
        <f t="array" ref="AA2521">_xlfn.IFS(Table1[[#This Row],[Customer_Satisfaction]]&lt;=2,"Poor",Table1[[#This Row],[Customer_Satisfaction]]=3,"Neutral",Table1[[#This Row],[Customer_Satisfaction]]=4,"Good",Table1[[#This Row],[Customer_Satisfaction]]=5,"Good")</f>
        <v>Poor</v>
      </c>
    </row>
    <row r="2522" spans="1:27" x14ac:dyDescent="0.35">
      <c r="A2522">
        <v>22520</v>
      </c>
      <c r="B2522" s="1">
        <v>45303</v>
      </c>
      <c r="C2522" t="s">
        <v>50</v>
      </c>
      <c r="D2522" t="s">
        <v>80</v>
      </c>
      <c r="E2522" t="s">
        <v>104</v>
      </c>
      <c r="F2522" t="s">
        <v>22</v>
      </c>
      <c r="G2522" t="s">
        <v>74</v>
      </c>
      <c r="H2522" t="s">
        <v>34</v>
      </c>
      <c r="I2522" t="s">
        <v>25</v>
      </c>
      <c r="J2522" t="s">
        <v>67</v>
      </c>
      <c r="K2522" t="s">
        <v>61</v>
      </c>
      <c r="L2522" t="s">
        <v>49</v>
      </c>
      <c r="M2522" s="4">
        <v>21</v>
      </c>
      <c r="N2522" s="4">
        <v>7</v>
      </c>
      <c r="O2522" t="s">
        <v>36</v>
      </c>
      <c r="P2522" t="s">
        <v>29</v>
      </c>
      <c r="Q2522" s="4">
        <v>100919</v>
      </c>
      <c r="R2522" s="4">
        <v>84854</v>
      </c>
      <c r="S2522" s="4">
        <f>Table1[[#This Row],[Service_Revenue]]-Table1[[#This Row],[Service_Cost]]</f>
        <v>16065</v>
      </c>
      <c r="T2522" s="4">
        <v>1</v>
      </c>
      <c r="U2522" s="4">
        <f>IF(AND(Table1[[#This Row],[Rework_Flag]]="Yes",Table1[[#This Row],[Warranty_Claim]]="No"),Table1[[#This Row],[Service_Revenue]],0)</f>
        <v>0</v>
      </c>
      <c r="V2522" s="4">
        <f>IF(Table1[[#This Row],[Warranty_Claim]]="Yes",1,0)</f>
        <v>1</v>
      </c>
      <c r="W2522" s="4">
        <f>IF(Table1[[#This Row],[Rework_Flag]]="No",1,0)</f>
        <v>1</v>
      </c>
      <c r="X2522" s="4">
        <f>IF(Table1[[#This Row],[Rework_Flag]]="Yes",1,0)</f>
        <v>0</v>
      </c>
      <c r="Y2522" s="4">
        <v>1</v>
      </c>
      <c r="Z2522" s="4" t="str">
        <f>IF(Table1[[#This Row],[TAT_Days]]&gt;Table1[[#This Row],[SLA_TAT]],"Yes","No")</f>
        <v>Yes</v>
      </c>
      <c r="AA2522" s="4" t="str" cm="1">
        <f t="array" ref="AA2522">_xlfn.IFS(Table1[[#This Row],[Customer_Satisfaction]]&lt;=2,"Poor",Table1[[#This Row],[Customer_Satisfaction]]=3,"Neutral",Table1[[#This Row],[Customer_Satisfaction]]=4,"Good",Table1[[#This Row],[Customer_Satisfaction]]=5,"Good")</f>
        <v>Poor</v>
      </c>
    </row>
    <row r="2523" spans="1:27" x14ac:dyDescent="0.35">
      <c r="A2523">
        <v>22521</v>
      </c>
      <c r="B2523" s="1">
        <v>45430</v>
      </c>
      <c r="C2523" t="s">
        <v>50</v>
      </c>
      <c r="D2523" t="s">
        <v>51</v>
      </c>
      <c r="E2523" t="s">
        <v>120</v>
      </c>
      <c r="F2523" t="s">
        <v>40</v>
      </c>
      <c r="G2523" t="s">
        <v>54</v>
      </c>
      <c r="H2523" t="s">
        <v>42</v>
      </c>
      <c r="I2523" t="s">
        <v>55</v>
      </c>
      <c r="J2523" t="s">
        <v>35</v>
      </c>
      <c r="K2523" t="s">
        <v>61</v>
      </c>
      <c r="L2523" t="s">
        <v>49</v>
      </c>
      <c r="M2523" s="4">
        <v>11</v>
      </c>
      <c r="N2523" s="4">
        <v>7</v>
      </c>
      <c r="O2523" t="s">
        <v>29</v>
      </c>
      <c r="P2523" t="s">
        <v>36</v>
      </c>
      <c r="Q2523" s="4">
        <v>466006</v>
      </c>
      <c r="R2523" s="4">
        <v>299698</v>
      </c>
      <c r="S2523" s="4">
        <f>Table1[[#This Row],[Service_Revenue]]-Table1[[#This Row],[Service_Cost]]</f>
        <v>166308</v>
      </c>
      <c r="T2523" s="4">
        <v>2</v>
      </c>
      <c r="U2523" s="4">
        <f>IF(AND(Table1[[#This Row],[Rework_Flag]]="Yes",Table1[[#This Row],[Warranty_Claim]]="No"),Table1[[#This Row],[Service_Revenue]],0)</f>
        <v>466006</v>
      </c>
      <c r="V2523" s="4">
        <f>IF(Table1[[#This Row],[Warranty_Claim]]="Yes",1,0)</f>
        <v>0</v>
      </c>
      <c r="W2523" s="4">
        <f>IF(Table1[[#This Row],[Rework_Flag]]="No",1,0)</f>
        <v>0</v>
      </c>
      <c r="X2523" s="4">
        <f>IF(Table1[[#This Row],[Rework_Flag]]="Yes",1,0)</f>
        <v>1</v>
      </c>
      <c r="Y2523" s="4">
        <v>1</v>
      </c>
      <c r="Z2523" s="4" t="str">
        <f>IF(Table1[[#This Row],[TAT_Days]]&gt;Table1[[#This Row],[SLA_TAT]],"Yes","No")</f>
        <v>Yes</v>
      </c>
      <c r="AA2523" s="4" t="str" cm="1">
        <f t="array" ref="AA2523">_xlfn.IFS(Table1[[#This Row],[Customer_Satisfaction]]&lt;=2,"Poor",Table1[[#This Row],[Customer_Satisfaction]]=3,"Neutral",Table1[[#This Row],[Customer_Satisfaction]]=4,"Good",Table1[[#This Row],[Customer_Satisfaction]]=5,"Good")</f>
        <v>Poor</v>
      </c>
    </row>
    <row r="2524" spans="1:27" x14ac:dyDescent="0.35">
      <c r="A2524">
        <v>22522</v>
      </c>
      <c r="B2524" s="1">
        <v>45386</v>
      </c>
      <c r="C2524" t="s">
        <v>19</v>
      </c>
      <c r="D2524" t="s">
        <v>20</v>
      </c>
      <c r="E2524" t="s">
        <v>117</v>
      </c>
      <c r="F2524" t="s">
        <v>53</v>
      </c>
      <c r="G2524" t="s">
        <v>47</v>
      </c>
      <c r="H2524" t="s">
        <v>48</v>
      </c>
      <c r="I2524" t="s">
        <v>25</v>
      </c>
      <c r="J2524" t="s">
        <v>43</v>
      </c>
      <c r="K2524" t="s">
        <v>61</v>
      </c>
      <c r="L2524" t="s">
        <v>28</v>
      </c>
      <c r="M2524" s="4">
        <v>25</v>
      </c>
      <c r="N2524" s="4">
        <v>7</v>
      </c>
      <c r="O2524" t="s">
        <v>36</v>
      </c>
      <c r="P2524" t="s">
        <v>36</v>
      </c>
      <c r="Q2524" s="4">
        <v>461635</v>
      </c>
      <c r="R2524" s="4">
        <v>254058</v>
      </c>
      <c r="S2524" s="4">
        <f>Table1[[#This Row],[Service_Revenue]]-Table1[[#This Row],[Service_Cost]]</f>
        <v>207577</v>
      </c>
      <c r="T2524" s="4">
        <v>1</v>
      </c>
      <c r="U2524" s="4">
        <f>IF(AND(Table1[[#This Row],[Rework_Flag]]="Yes",Table1[[#This Row],[Warranty_Claim]]="No"),Table1[[#This Row],[Service_Revenue]],0)</f>
        <v>0</v>
      </c>
      <c r="V2524" s="4">
        <f>IF(Table1[[#This Row],[Warranty_Claim]]="Yes",1,0)</f>
        <v>0</v>
      </c>
      <c r="W2524" s="4">
        <f>IF(Table1[[#This Row],[Rework_Flag]]="No",1,0)</f>
        <v>1</v>
      </c>
      <c r="X2524" s="4">
        <f>IF(Table1[[#This Row],[Rework_Flag]]="Yes",1,0)</f>
        <v>0</v>
      </c>
      <c r="Y2524" s="4">
        <v>1</v>
      </c>
      <c r="Z2524" s="4" t="str">
        <f>IF(Table1[[#This Row],[TAT_Days]]&gt;Table1[[#This Row],[SLA_TAT]],"Yes","No")</f>
        <v>Yes</v>
      </c>
      <c r="AA2524" s="4" t="str" cm="1">
        <f t="array" ref="AA2524">_xlfn.IFS(Table1[[#This Row],[Customer_Satisfaction]]&lt;=2,"Poor",Table1[[#This Row],[Customer_Satisfaction]]=3,"Neutral",Table1[[#This Row],[Customer_Satisfaction]]=4,"Good",Table1[[#This Row],[Customer_Satisfaction]]=5,"Good")</f>
        <v>Poor</v>
      </c>
    </row>
    <row r="2525" spans="1:27" x14ac:dyDescent="0.35">
      <c r="A2525">
        <v>22523</v>
      </c>
      <c r="B2525" s="1">
        <v>45333</v>
      </c>
      <c r="C2525" t="s">
        <v>19</v>
      </c>
      <c r="D2525" t="s">
        <v>96</v>
      </c>
      <c r="E2525" t="s">
        <v>105</v>
      </c>
      <c r="F2525" t="s">
        <v>22</v>
      </c>
      <c r="G2525" t="s">
        <v>41</v>
      </c>
      <c r="H2525" t="s">
        <v>42</v>
      </c>
      <c r="I2525" t="s">
        <v>25</v>
      </c>
      <c r="J2525" t="s">
        <v>26</v>
      </c>
      <c r="K2525" t="s">
        <v>44</v>
      </c>
      <c r="L2525" t="s">
        <v>28</v>
      </c>
      <c r="M2525" s="4">
        <v>7</v>
      </c>
      <c r="N2525" s="4">
        <v>7</v>
      </c>
      <c r="O2525" t="s">
        <v>36</v>
      </c>
      <c r="P2525" t="s">
        <v>36</v>
      </c>
      <c r="Q2525" s="4">
        <v>469425</v>
      </c>
      <c r="R2525" s="4">
        <v>285383</v>
      </c>
      <c r="S2525" s="4">
        <f>Table1[[#This Row],[Service_Revenue]]-Table1[[#This Row],[Service_Cost]]</f>
        <v>184042</v>
      </c>
      <c r="T2525" s="4">
        <v>4</v>
      </c>
      <c r="U2525" s="4">
        <f>IF(AND(Table1[[#This Row],[Rework_Flag]]="Yes",Table1[[#This Row],[Warranty_Claim]]="No"),Table1[[#This Row],[Service_Revenue]],0)</f>
        <v>0</v>
      </c>
      <c r="V2525" s="4">
        <f>IF(Table1[[#This Row],[Warranty_Claim]]="Yes",1,0)</f>
        <v>0</v>
      </c>
      <c r="W2525" s="4">
        <f>IF(Table1[[#This Row],[Rework_Flag]]="No",1,0)</f>
        <v>1</v>
      </c>
      <c r="X2525" s="4">
        <f>IF(Table1[[#This Row],[Rework_Flag]]="Yes",1,0)</f>
        <v>0</v>
      </c>
      <c r="Y2525" s="4">
        <v>1</v>
      </c>
      <c r="Z2525" s="4" t="str">
        <f>IF(Table1[[#This Row],[TAT_Days]]&gt;Table1[[#This Row],[SLA_TAT]],"Yes","No")</f>
        <v>No</v>
      </c>
      <c r="AA2525" s="4" t="str" cm="1">
        <f t="array" ref="AA2525">_xlfn.IFS(Table1[[#This Row],[Customer_Satisfaction]]&lt;=2,"Poor",Table1[[#This Row],[Customer_Satisfaction]]=3,"Neutral",Table1[[#This Row],[Customer_Satisfaction]]=4,"Good",Table1[[#This Row],[Customer_Satisfaction]]=5,"Good")</f>
        <v>Good</v>
      </c>
    </row>
    <row r="2526" spans="1:27" x14ac:dyDescent="0.35">
      <c r="A2526">
        <v>22524</v>
      </c>
      <c r="B2526" s="1">
        <v>45331</v>
      </c>
      <c r="C2526" t="s">
        <v>50</v>
      </c>
      <c r="D2526" t="s">
        <v>80</v>
      </c>
      <c r="E2526" t="s">
        <v>81</v>
      </c>
      <c r="F2526" t="s">
        <v>40</v>
      </c>
      <c r="G2526" t="s">
        <v>23</v>
      </c>
      <c r="H2526" t="s">
        <v>24</v>
      </c>
      <c r="I2526" t="s">
        <v>55</v>
      </c>
      <c r="J2526" t="s">
        <v>26</v>
      </c>
      <c r="K2526" t="s">
        <v>61</v>
      </c>
      <c r="L2526" t="s">
        <v>28</v>
      </c>
      <c r="M2526" s="4">
        <v>9</v>
      </c>
      <c r="N2526" s="4">
        <v>7</v>
      </c>
      <c r="O2526" t="s">
        <v>29</v>
      </c>
      <c r="P2526" t="s">
        <v>29</v>
      </c>
      <c r="Q2526" s="4">
        <v>263035</v>
      </c>
      <c r="R2526" s="4">
        <v>200841</v>
      </c>
      <c r="S2526" s="4">
        <f>Table1[[#This Row],[Service_Revenue]]-Table1[[#This Row],[Service_Cost]]</f>
        <v>62194</v>
      </c>
      <c r="T2526" s="4">
        <v>3</v>
      </c>
      <c r="U2526" s="4">
        <f>IF(AND(Table1[[#This Row],[Rework_Flag]]="Yes",Table1[[#This Row],[Warranty_Claim]]="No"),Table1[[#This Row],[Service_Revenue]],0)</f>
        <v>0</v>
      </c>
      <c r="V2526" s="4">
        <f>IF(Table1[[#This Row],[Warranty_Claim]]="Yes",1,0)</f>
        <v>1</v>
      </c>
      <c r="W2526" s="4">
        <f>IF(Table1[[#This Row],[Rework_Flag]]="No",1,0)</f>
        <v>0</v>
      </c>
      <c r="X2526" s="4">
        <f>IF(Table1[[#This Row],[Rework_Flag]]="Yes",1,0)</f>
        <v>1</v>
      </c>
      <c r="Y2526" s="4">
        <v>1</v>
      </c>
      <c r="Z2526" s="4" t="str">
        <f>IF(Table1[[#This Row],[TAT_Days]]&gt;Table1[[#This Row],[SLA_TAT]],"Yes","No")</f>
        <v>Yes</v>
      </c>
      <c r="AA2526" s="4" t="str" cm="1">
        <f t="array" ref="AA2526">_xlfn.IFS(Table1[[#This Row],[Customer_Satisfaction]]&lt;=2,"Poor",Table1[[#This Row],[Customer_Satisfaction]]=3,"Neutral",Table1[[#This Row],[Customer_Satisfaction]]=4,"Good",Table1[[#This Row],[Customer_Satisfaction]]=5,"Good")</f>
        <v>Neutral</v>
      </c>
    </row>
    <row r="2527" spans="1:27" x14ac:dyDescent="0.35">
      <c r="A2527">
        <v>22525</v>
      </c>
      <c r="B2527" s="1">
        <v>45313</v>
      </c>
      <c r="C2527" t="s">
        <v>30</v>
      </c>
      <c r="D2527" t="s">
        <v>59</v>
      </c>
      <c r="E2527" t="s">
        <v>69</v>
      </c>
      <c r="F2527" t="s">
        <v>22</v>
      </c>
      <c r="G2527" t="s">
        <v>47</v>
      </c>
      <c r="H2527" t="s">
        <v>48</v>
      </c>
      <c r="I2527" t="s">
        <v>55</v>
      </c>
      <c r="J2527" t="s">
        <v>43</v>
      </c>
      <c r="K2527" t="s">
        <v>44</v>
      </c>
      <c r="L2527" t="s">
        <v>49</v>
      </c>
      <c r="M2527" s="4">
        <v>11</v>
      </c>
      <c r="N2527" s="4">
        <v>7</v>
      </c>
      <c r="O2527" t="s">
        <v>36</v>
      </c>
      <c r="P2527" t="s">
        <v>29</v>
      </c>
      <c r="Q2527" s="4">
        <v>507307</v>
      </c>
      <c r="R2527" s="4">
        <v>291891</v>
      </c>
      <c r="S2527" s="4">
        <f>Table1[[#This Row],[Service_Revenue]]-Table1[[#This Row],[Service_Cost]]</f>
        <v>215416</v>
      </c>
      <c r="T2527" s="4">
        <v>3</v>
      </c>
      <c r="U2527" s="4">
        <f>IF(AND(Table1[[#This Row],[Rework_Flag]]="Yes",Table1[[#This Row],[Warranty_Claim]]="No"),Table1[[#This Row],[Service_Revenue]],0)</f>
        <v>0</v>
      </c>
      <c r="V2527" s="4">
        <f>IF(Table1[[#This Row],[Warranty_Claim]]="Yes",1,0)</f>
        <v>1</v>
      </c>
      <c r="W2527" s="4">
        <f>IF(Table1[[#This Row],[Rework_Flag]]="No",1,0)</f>
        <v>1</v>
      </c>
      <c r="X2527" s="4">
        <f>IF(Table1[[#This Row],[Rework_Flag]]="Yes",1,0)</f>
        <v>0</v>
      </c>
      <c r="Y2527" s="4">
        <v>1</v>
      </c>
      <c r="Z2527" s="4" t="str">
        <f>IF(Table1[[#This Row],[TAT_Days]]&gt;Table1[[#This Row],[SLA_TAT]],"Yes","No")</f>
        <v>Yes</v>
      </c>
      <c r="AA2527" s="4" t="str" cm="1">
        <f t="array" ref="AA2527">_xlfn.IFS(Table1[[#This Row],[Customer_Satisfaction]]&lt;=2,"Poor",Table1[[#This Row],[Customer_Satisfaction]]=3,"Neutral",Table1[[#This Row],[Customer_Satisfaction]]=4,"Good",Table1[[#This Row],[Customer_Satisfaction]]=5,"Good")</f>
        <v>Neutral</v>
      </c>
    </row>
    <row r="2528" spans="1:27" x14ac:dyDescent="0.35">
      <c r="A2528">
        <v>22526</v>
      </c>
      <c r="B2528" s="1">
        <v>45349</v>
      </c>
      <c r="C2528" t="s">
        <v>50</v>
      </c>
      <c r="D2528" t="s">
        <v>80</v>
      </c>
      <c r="E2528" t="s">
        <v>81</v>
      </c>
      <c r="F2528" t="s">
        <v>22</v>
      </c>
      <c r="G2528" t="s">
        <v>54</v>
      </c>
      <c r="H2528" t="s">
        <v>42</v>
      </c>
      <c r="I2528" t="s">
        <v>55</v>
      </c>
      <c r="J2528" t="s">
        <v>35</v>
      </c>
      <c r="K2528" t="s">
        <v>27</v>
      </c>
      <c r="L2528" t="s">
        <v>49</v>
      </c>
      <c r="M2528" s="4">
        <v>13</v>
      </c>
      <c r="N2528" s="4">
        <v>7</v>
      </c>
      <c r="O2528" t="s">
        <v>29</v>
      </c>
      <c r="P2528" t="s">
        <v>36</v>
      </c>
      <c r="Q2528" s="4">
        <v>338263</v>
      </c>
      <c r="R2528" s="4">
        <v>239605</v>
      </c>
      <c r="S2528" s="4">
        <f>Table1[[#This Row],[Service_Revenue]]-Table1[[#This Row],[Service_Cost]]</f>
        <v>98658</v>
      </c>
      <c r="T2528" s="4">
        <v>2</v>
      </c>
      <c r="U2528" s="4">
        <f>IF(AND(Table1[[#This Row],[Rework_Flag]]="Yes",Table1[[#This Row],[Warranty_Claim]]="No"),Table1[[#This Row],[Service_Revenue]],0)</f>
        <v>338263</v>
      </c>
      <c r="V2528" s="4">
        <f>IF(Table1[[#This Row],[Warranty_Claim]]="Yes",1,0)</f>
        <v>0</v>
      </c>
      <c r="W2528" s="4">
        <f>IF(Table1[[#This Row],[Rework_Flag]]="No",1,0)</f>
        <v>0</v>
      </c>
      <c r="X2528" s="4">
        <f>IF(Table1[[#This Row],[Rework_Flag]]="Yes",1,0)</f>
        <v>1</v>
      </c>
      <c r="Y2528" s="4">
        <v>1</v>
      </c>
      <c r="Z2528" s="4" t="str">
        <f>IF(Table1[[#This Row],[TAT_Days]]&gt;Table1[[#This Row],[SLA_TAT]],"Yes","No")</f>
        <v>Yes</v>
      </c>
      <c r="AA2528" s="4" t="str" cm="1">
        <f t="array" ref="AA2528">_xlfn.IFS(Table1[[#This Row],[Customer_Satisfaction]]&lt;=2,"Poor",Table1[[#This Row],[Customer_Satisfaction]]=3,"Neutral",Table1[[#This Row],[Customer_Satisfaction]]=4,"Good",Table1[[#This Row],[Customer_Satisfaction]]=5,"Good")</f>
        <v>Poor</v>
      </c>
    </row>
    <row r="2529" spans="1:27" x14ac:dyDescent="0.35">
      <c r="A2529">
        <v>22527</v>
      </c>
      <c r="B2529" s="1">
        <v>45449</v>
      </c>
      <c r="C2529" t="s">
        <v>37</v>
      </c>
      <c r="D2529" t="s">
        <v>64</v>
      </c>
      <c r="E2529" t="s">
        <v>103</v>
      </c>
      <c r="F2529" t="s">
        <v>40</v>
      </c>
      <c r="G2529" t="s">
        <v>74</v>
      </c>
      <c r="H2529" t="s">
        <v>34</v>
      </c>
      <c r="I2529" t="s">
        <v>25</v>
      </c>
      <c r="J2529" t="s">
        <v>35</v>
      </c>
      <c r="K2529" t="s">
        <v>27</v>
      </c>
      <c r="L2529" t="s">
        <v>28</v>
      </c>
      <c r="M2529" s="4">
        <v>7</v>
      </c>
      <c r="N2529" s="4">
        <v>7</v>
      </c>
      <c r="O2529" t="s">
        <v>29</v>
      </c>
      <c r="P2529" t="s">
        <v>29</v>
      </c>
      <c r="Q2529" s="4">
        <v>587169</v>
      </c>
      <c r="R2529" s="4">
        <v>375238</v>
      </c>
      <c r="S2529" s="4">
        <f>Table1[[#This Row],[Service_Revenue]]-Table1[[#This Row],[Service_Cost]]</f>
        <v>211931</v>
      </c>
      <c r="T2529" s="4">
        <v>3</v>
      </c>
      <c r="U2529" s="4">
        <f>IF(AND(Table1[[#This Row],[Rework_Flag]]="Yes",Table1[[#This Row],[Warranty_Claim]]="No"),Table1[[#This Row],[Service_Revenue]],0)</f>
        <v>0</v>
      </c>
      <c r="V2529" s="4">
        <f>IF(Table1[[#This Row],[Warranty_Claim]]="Yes",1,0)</f>
        <v>1</v>
      </c>
      <c r="W2529" s="4">
        <f>IF(Table1[[#This Row],[Rework_Flag]]="No",1,0)</f>
        <v>0</v>
      </c>
      <c r="X2529" s="4">
        <f>IF(Table1[[#This Row],[Rework_Flag]]="Yes",1,0)</f>
        <v>1</v>
      </c>
      <c r="Y2529" s="4">
        <v>1</v>
      </c>
      <c r="Z2529" s="4" t="str">
        <f>IF(Table1[[#This Row],[TAT_Days]]&gt;Table1[[#This Row],[SLA_TAT]],"Yes","No")</f>
        <v>No</v>
      </c>
      <c r="AA2529" s="4" t="str" cm="1">
        <f t="array" ref="AA2529">_xlfn.IFS(Table1[[#This Row],[Customer_Satisfaction]]&lt;=2,"Poor",Table1[[#This Row],[Customer_Satisfaction]]=3,"Neutral",Table1[[#This Row],[Customer_Satisfaction]]=4,"Good",Table1[[#This Row],[Customer_Satisfaction]]=5,"Good")</f>
        <v>Neutral</v>
      </c>
    </row>
    <row r="2530" spans="1:27" x14ac:dyDescent="0.35">
      <c r="A2530">
        <v>22528</v>
      </c>
      <c r="B2530" s="1">
        <v>45337</v>
      </c>
      <c r="C2530" t="s">
        <v>19</v>
      </c>
      <c r="D2530" t="s">
        <v>96</v>
      </c>
      <c r="E2530" t="s">
        <v>98</v>
      </c>
      <c r="F2530" t="s">
        <v>22</v>
      </c>
      <c r="G2530" t="s">
        <v>33</v>
      </c>
      <c r="H2530" t="s">
        <v>34</v>
      </c>
      <c r="I2530" t="s">
        <v>55</v>
      </c>
      <c r="J2530" t="s">
        <v>58</v>
      </c>
      <c r="K2530" t="s">
        <v>27</v>
      </c>
      <c r="L2530" t="s">
        <v>49</v>
      </c>
      <c r="M2530" s="4">
        <v>13</v>
      </c>
      <c r="N2530" s="4">
        <v>7</v>
      </c>
      <c r="O2530" t="s">
        <v>29</v>
      </c>
      <c r="P2530" t="s">
        <v>36</v>
      </c>
      <c r="Q2530" s="4">
        <v>466525</v>
      </c>
      <c r="R2530" s="4">
        <v>389663</v>
      </c>
      <c r="S2530" s="4">
        <f>Table1[[#This Row],[Service_Revenue]]-Table1[[#This Row],[Service_Cost]]</f>
        <v>76862</v>
      </c>
      <c r="T2530" s="4">
        <v>2</v>
      </c>
      <c r="U2530" s="4">
        <f>IF(AND(Table1[[#This Row],[Rework_Flag]]="Yes",Table1[[#This Row],[Warranty_Claim]]="No"),Table1[[#This Row],[Service_Revenue]],0)</f>
        <v>466525</v>
      </c>
      <c r="V2530" s="4">
        <f>IF(Table1[[#This Row],[Warranty_Claim]]="Yes",1,0)</f>
        <v>0</v>
      </c>
      <c r="W2530" s="4">
        <f>IF(Table1[[#This Row],[Rework_Flag]]="No",1,0)</f>
        <v>0</v>
      </c>
      <c r="X2530" s="4">
        <f>IF(Table1[[#This Row],[Rework_Flag]]="Yes",1,0)</f>
        <v>1</v>
      </c>
      <c r="Y2530" s="4">
        <v>1</v>
      </c>
      <c r="Z2530" s="4" t="str">
        <f>IF(Table1[[#This Row],[TAT_Days]]&gt;Table1[[#This Row],[SLA_TAT]],"Yes","No")</f>
        <v>Yes</v>
      </c>
      <c r="AA2530" s="4" t="str" cm="1">
        <f t="array" ref="AA2530">_xlfn.IFS(Table1[[#This Row],[Customer_Satisfaction]]&lt;=2,"Poor",Table1[[#This Row],[Customer_Satisfaction]]=3,"Neutral",Table1[[#This Row],[Customer_Satisfaction]]=4,"Good",Table1[[#This Row],[Customer_Satisfaction]]=5,"Good")</f>
        <v>Poor</v>
      </c>
    </row>
    <row r="2531" spans="1:27" x14ac:dyDescent="0.35">
      <c r="A2531">
        <v>22529</v>
      </c>
      <c r="B2531" s="1">
        <v>45450</v>
      </c>
      <c r="C2531" t="s">
        <v>30</v>
      </c>
      <c r="D2531" t="s">
        <v>83</v>
      </c>
      <c r="E2531" t="s">
        <v>92</v>
      </c>
      <c r="F2531" t="s">
        <v>22</v>
      </c>
      <c r="G2531" t="s">
        <v>63</v>
      </c>
      <c r="H2531" t="s">
        <v>24</v>
      </c>
      <c r="I2531" t="s">
        <v>25</v>
      </c>
      <c r="J2531" t="s">
        <v>35</v>
      </c>
      <c r="K2531" t="s">
        <v>61</v>
      </c>
      <c r="L2531" t="s">
        <v>28</v>
      </c>
      <c r="M2531" s="4">
        <v>24</v>
      </c>
      <c r="N2531" s="4">
        <v>7</v>
      </c>
      <c r="O2531" t="s">
        <v>29</v>
      </c>
      <c r="P2531" t="s">
        <v>36</v>
      </c>
      <c r="Q2531" s="4">
        <v>524040</v>
      </c>
      <c r="R2531" s="4">
        <v>278441</v>
      </c>
      <c r="S2531" s="4">
        <f>Table1[[#This Row],[Service_Revenue]]-Table1[[#This Row],[Service_Cost]]</f>
        <v>245599</v>
      </c>
      <c r="T2531" s="4">
        <v>1</v>
      </c>
      <c r="U2531" s="4">
        <f>IF(AND(Table1[[#This Row],[Rework_Flag]]="Yes",Table1[[#This Row],[Warranty_Claim]]="No"),Table1[[#This Row],[Service_Revenue]],0)</f>
        <v>524040</v>
      </c>
      <c r="V2531" s="4">
        <f>IF(Table1[[#This Row],[Warranty_Claim]]="Yes",1,0)</f>
        <v>0</v>
      </c>
      <c r="W2531" s="4">
        <f>IF(Table1[[#This Row],[Rework_Flag]]="No",1,0)</f>
        <v>0</v>
      </c>
      <c r="X2531" s="4">
        <f>IF(Table1[[#This Row],[Rework_Flag]]="Yes",1,0)</f>
        <v>1</v>
      </c>
      <c r="Y2531" s="4">
        <v>1</v>
      </c>
      <c r="Z2531" s="4" t="str">
        <f>IF(Table1[[#This Row],[TAT_Days]]&gt;Table1[[#This Row],[SLA_TAT]],"Yes","No")</f>
        <v>Yes</v>
      </c>
      <c r="AA2531" s="4" t="str" cm="1">
        <f t="array" ref="AA2531">_xlfn.IFS(Table1[[#This Row],[Customer_Satisfaction]]&lt;=2,"Poor",Table1[[#This Row],[Customer_Satisfaction]]=3,"Neutral",Table1[[#This Row],[Customer_Satisfaction]]=4,"Good",Table1[[#This Row],[Customer_Satisfaction]]=5,"Good")</f>
        <v>Poor</v>
      </c>
    </row>
    <row r="2532" spans="1:27" x14ac:dyDescent="0.35">
      <c r="A2532">
        <v>22530</v>
      </c>
      <c r="B2532" s="1">
        <v>45462</v>
      </c>
      <c r="C2532" t="s">
        <v>50</v>
      </c>
      <c r="D2532" t="s">
        <v>80</v>
      </c>
      <c r="E2532" t="s">
        <v>118</v>
      </c>
      <c r="F2532" t="s">
        <v>40</v>
      </c>
      <c r="G2532" t="s">
        <v>74</v>
      </c>
      <c r="H2532" t="s">
        <v>34</v>
      </c>
      <c r="I2532" t="s">
        <v>55</v>
      </c>
      <c r="J2532" t="s">
        <v>26</v>
      </c>
      <c r="K2532" t="s">
        <v>27</v>
      </c>
      <c r="L2532" t="s">
        <v>28</v>
      </c>
      <c r="M2532" s="4">
        <v>5</v>
      </c>
      <c r="N2532" s="4">
        <v>7</v>
      </c>
      <c r="O2532" t="s">
        <v>29</v>
      </c>
      <c r="P2532" t="s">
        <v>29</v>
      </c>
      <c r="Q2532" s="4">
        <v>401717</v>
      </c>
      <c r="R2532" s="4">
        <v>226538</v>
      </c>
      <c r="S2532" s="4">
        <f>Table1[[#This Row],[Service_Revenue]]-Table1[[#This Row],[Service_Cost]]</f>
        <v>175179</v>
      </c>
      <c r="T2532" s="4">
        <v>3</v>
      </c>
      <c r="U2532" s="4">
        <f>IF(AND(Table1[[#This Row],[Rework_Flag]]="Yes",Table1[[#This Row],[Warranty_Claim]]="No"),Table1[[#This Row],[Service_Revenue]],0)</f>
        <v>0</v>
      </c>
      <c r="V2532" s="4">
        <f>IF(Table1[[#This Row],[Warranty_Claim]]="Yes",1,0)</f>
        <v>1</v>
      </c>
      <c r="W2532" s="4">
        <f>IF(Table1[[#This Row],[Rework_Flag]]="No",1,0)</f>
        <v>0</v>
      </c>
      <c r="X2532" s="4">
        <f>IF(Table1[[#This Row],[Rework_Flag]]="Yes",1,0)</f>
        <v>1</v>
      </c>
      <c r="Y2532" s="4">
        <v>1</v>
      </c>
      <c r="Z2532" s="4" t="str">
        <f>IF(Table1[[#This Row],[TAT_Days]]&gt;Table1[[#This Row],[SLA_TAT]],"Yes","No")</f>
        <v>No</v>
      </c>
      <c r="AA2532" s="4" t="str" cm="1">
        <f t="array" ref="AA2532">_xlfn.IFS(Table1[[#This Row],[Customer_Satisfaction]]&lt;=2,"Poor",Table1[[#This Row],[Customer_Satisfaction]]=3,"Neutral",Table1[[#This Row],[Customer_Satisfaction]]=4,"Good",Table1[[#This Row],[Customer_Satisfaction]]=5,"Good")</f>
        <v>Neutral</v>
      </c>
    </row>
    <row r="2533" spans="1:27" x14ac:dyDescent="0.35">
      <c r="A2533">
        <v>22531</v>
      </c>
      <c r="B2533" s="1">
        <v>45424</v>
      </c>
      <c r="C2533" t="s">
        <v>37</v>
      </c>
      <c r="D2533" t="s">
        <v>64</v>
      </c>
      <c r="E2533" t="s">
        <v>72</v>
      </c>
      <c r="F2533" t="s">
        <v>40</v>
      </c>
      <c r="G2533" t="s">
        <v>33</v>
      </c>
      <c r="H2533" t="s">
        <v>34</v>
      </c>
      <c r="I2533" t="s">
        <v>55</v>
      </c>
      <c r="J2533" t="s">
        <v>67</v>
      </c>
      <c r="K2533" t="s">
        <v>61</v>
      </c>
      <c r="L2533" t="s">
        <v>28</v>
      </c>
      <c r="M2533" s="4">
        <v>8</v>
      </c>
      <c r="N2533" s="4">
        <v>7</v>
      </c>
      <c r="O2533" t="s">
        <v>29</v>
      </c>
      <c r="P2533" t="s">
        <v>29</v>
      </c>
      <c r="Q2533" s="4">
        <v>280812</v>
      </c>
      <c r="R2533" s="4">
        <v>180742</v>
      </c>
      <c r="S2533" s="4">
        <f>Table1[[#This Row],[Service_Revenue]]-Table1[[#This Row],[Service_Cost]]</f>
        <v>100070</v>
      </c>
      <c r="T2533" s="4">
        <v>3</v>
      </c>
      <c r="U2533" s="4">
        <f>IF(AND(Table1[[#This Row],[Rework_Flag]]="Yes",Table1[[#This Row],[Warranty_Claim]]="No"),Table1[[#This Row],[Service_Revenue]],0)</f>
        <v>0</v>
      </c>
      <c r="V2533" s="4">
        <f>IF(Table1[[#This Row],[Warranty_Claim]]="Yes",1,0)</f>
        <v>1</v>
      </c>
      <c r="W2533" s="4">
        <f>IF(Table1[[#This Row],[Rework_Flag]]="No",1,0)</f>
        <v>0</v>
      </c>
      <c r="X2533" s="4">
        <f>IF(Table1[[#This Row],[Rework_Flag]]="Yes",1,0)</f>
        <v>1</v>
      </c>
      <c r="Y2533" s="4">
        <v>1</v>
      </c>
      <c r="Z2533" s="4" t="str">
        <f>IF(Table1[[#This Row],[TAT_Days]]&gt;Table1[[#This Row],[SLA_TAT]],"Yes","No")</f>
        <v>Yes</v>
      </c>
      <c r="AA2533" s="4" t="str" cm="1">
        <f t="array" ref="AA2533">_xlfn.IFS(Table1[[#This Row],[Customer_Satisfaction]]&lt;=2,"Poor",Table1[[#This Row],[Customer_Satisfaction]]=3,"Neutral",Table1[[#This Row],[Customer_Satisfaction]]=4,"Good",Table1[[#This Row],[Customer_Satisfaction]]=5,"Good")</f>
        <v>Neutral</v>
      </c>
    </row>
    <row r="2534" spans="1:27" x14ac:dyDescent="0.35">
      <c r="A2534">
        <v>22532</v>
      </c>
      <c r="B2534" s="1">
        <v>45468</v>
      </c>
      <c r="C2534" t="s">
        <v>37</v>
      </c>
      <c r="D2534" t="s">
        <v>64</v>
      </c>
      <c r="E2534" t="s">
        <v>65</v>
      </c>
      <c r="F2534" t="s">
        <v>53</v>
      </c>
      <c r="G2534" t="s">
        <v>63</v>
      </c>
      <c r="H2534" t="s">
        <v>24</v>
      </c>
      <c r="I2534" t="s">
        <v>55</v>
      </c>
      <c r="J2534" t="s">
        <v>43</v>
      </c>
      <c r="K2534" t="s">
        <v>61</v>
      </c>
      <c r="L2534" t="s">
        <v>49</v>
      </c>
      <c r="M2534" s="4">
        <v>3</v>
      </c>
      <c r="N2534" s="4">
        <v>7</v>
      </c>
      <c r="O2534" t="s">
        <v>29</v>
      </c>
      <c r="P2534" t="s">
        <v>29</v>
      </c>
      <c r="Q2534" s="4">
        <v>222038</v>
      </c>
      <c r="R2534" s="4">
        <v>166301</v>
      </c>
      <c r="S2534" s="4">
        <f>Table1[[#This Row],[Service_Revenue]]-Table1[[#This Row],[Service_Cost]]</f>
        <v>55737</v>
      </c>
      <c r="T2534" s="4">
        <v>4</v>
      </c>
      <c r="U2534" s="4">
        <f>IF(AND(Table1[[#This Row],[Rework_Flag]]="Yes",Table1[[#This Row],[Warranty_Claim]]="No"),Table1[[#This Row],[Service_Revenue]],0)</f>
        <v>0</v>
      </c>
      <c r="V2534" s="4">
        <f>IF(Table1[[#This Row],[Warranty_Claim]]="Yes",1,0)</f>
        <v>1</v>
      </c>
      <c r="W2534" s="4">
        <f>IF(Table1[[#This Row],[Rework_Flag]]="No",1,0)</f>
        <v>0</v>
      </c>
      <c r="X2534" s="4">
        <f>IF(Table1[[#This Row],[Rework_Flag]]="Yes",1,0)</f>
        <v>1</v>
      </c>
      <c r="Y2534" s="4">
        <v>1</v>
      </c>
      <c r="Z2534" s="4" t="str">
        <f>IF(Table1[[#This Row],[TAT_Days]]&gt;Table1[[#This Row],[SLA_TAT]],"Yes","No")</f>
        <v>No</v>
      </c>
      <c r="AA2534" s="4" t="str" cm="1">
        <f t="array" ref="AA2534">_xlfn.IFS(Table1[[#This Row],[Customer_Satisfaction]]&lt;=2,"Poor",Table1[[#This Row],[Customer_Satisfaction]]=3,"Neutral",Table1[[#This Row],[Customer_Satisfaction]]=4,"Good",Table1[[#This Row],[Customer_Satisfaction]]=5,"Good")</f>
        <v>Good</v>
      </c>
    </row>
    <row r="2535" spans="1:27" x14ac:dyDescent="0.35">
      <c r="A2535">
        <v>22533</v>
      </c>
      <c r="B2535" s="1">
        <v>45388</v>
      </c>
      <c r="C2535" t="s">
        <v>50</v>
      </c>
      <c r="D2535" t="s">
        <v>56</v>
      </c>
      <c r="E2535" t="s">
        <v>88</v>
      </c>
      <c r="F2535" t="s">
        <v>22</v>
      </c>
      <c r="G2535" t="s">
        <v>54</v>
      </c>
      <c r="H2535" t="s">
        <v>42</v>
      </c>
      <c r="I2535" t="s">
        <v>25</v>
      </c>
      <c r="J2535" t="s">
        <v>35</v>
      </c>
      <c r="K2535" t="s">
        <v>44</v>
      </c>
      <c r="L2535" t="s">
        <v>28</v>
      </c>
      <c r="M2535" s="4">
        <v>12</v>
      </c>
      <c r="N2535" s="4">
        <v>7</v>
      </c>
      <c r="O2535" t="s">
        <v>29</v>
      </c>
      <c r="P2535" t="s">
        <v>36</v>
      </c>
      <c r="Q2535" s="4">
        <v>134934</v>
      </c>
      <c r="R2535" s="4">
        <v>80855</v>
      </c>
      <c r="S2535" s="4">
        <f>Table1[[#This Row],[Service_Revenue]]-Table1[[#This Row],[Service_Cost]]</f>
        <v>54079</v>
      </c>
      <c r="T2535" s="4">
        <v>2</v>
      </c>
      <c r="U2535" s="4">
        <f>IF(AND(Table1[[#This Row],[Rework_Flag]]="Yes",Table1[[#This Row],[Warranty_Claim]]="No"),Table1[[#This Row],[Service_Revenue]],0)</f>
        <v>134934</v>
      </c>
      <c r="V2535" s="4">
        <f>IF(Table1[[#This Row],[Warranty_Claim]]="Yes",1,0)</f>
        <v>0</v>
      </c>
      <c r="W2535" s="4">
        <f>IF(Table1[[#This Row],[Rework_Flag]]="No",1,0)</f>
        <v>0</v>
      </c>
      <c r="X2535" s="4">
        <f>IF(Table1[[#This Row],[Rework_Flag]]="Yes",1,0)</f>
        <v>1</v>
      </c>
      <c r="Y2535" s="4">
        <v>1</v>
      </c>
      <c r="Z2535" s="4" t="str">
        <f>IF(Table1[[#This Row],[TAT_Days]]&gt;Table1[[#This Row],[SLA_TAT]],"Yes","No")</f>
        <v>Yes</v>
      </c>
      <c r="AA2535" s="4" t="str" cm="1">
        <f t="array" ref="AA2535">_xlfn.IFS(Table1[[#This Row],[Customer_Satisfaction]]&lt;=2,"Poor",Table1[[#This Row],[Customer_Satisfaction]]=3,"Neutral",Table1[[#This Row],[Customer_Satisfaction]]=4,"Good",Table1[[#This Row],[Customer_Satisfaction]]=5,"Good")</f>
        <v>Poor</v>
      </c>
    </row>
    <row r="2536" spans="1:27" x14ac:dyDescent="0.35">
      <c r="A2536">
        <v>22534</v>
      </c>
      <c r="B2536" s="1">
        <v>45436</v>
      </c>
      <c r="C2536" t="s">
        <v>50</v>
      </c>
      <c r="D2536" t="s">
        <v>51</v>
      </c>
      <c r="E2536" t="s">
        <v>113</v>
      </c>
      <c r="F2536" t="s">
        <v>22</v>
      </c>
      <c r="G2536" t="s">
        <v>41</v>
      </c>
      <c r="H2536" t="s">
        <v>42</v>
      </c>
      <c r="I2536" t="s">
        <v>25</v>
      </c>
      <c r="J2536" t="s">
        <v>58</v>
      </c>
      <c r="K2536" t="s">
        <v>44</v>
      </c>
      <c r="L2536" t="s">
        <v>28</v>
      </c>
      <c r="M2536" s="4">
        <v>9</v>
      </c>
      <c r="N2536" s="4">
        <v>7</v>
      </c>
      <c r="O2536" t="s">
        <v>29</v>
      </c>
      <c r="P2536" t="s">
        <v>29</v>
      </c>
      <c r="Q2536" s="4">
        <v>156590</v>
      </c>
      <c r="R2536" s="4">
        <v>102248</v>
      </c>
      <c r="S2536" s="4">
        <f>Table1[[#This Row],[Service_Revenue]]-Table1[[#This Row],[Service_Cost]]</f>
        <v>54342</v>
      </c>
      <c r="T2536" s="4">
        <v>3</v>
      </c>
      <c r="U2536" s="4">
        <f>IF(AND(Table1[[#This Row],[Rework_Flag]]="Yes",Table1[[#This Row],[Warranty_Claim]]="No"),Table1[[#This Row],[Service_Revenue]],0)</f>
        <v>0</v>
      </c>
      <c r="V2536" s="4">
        <f>IF(Table1[[#This Row],[Warranty_Claim]]="Yes",1,0)</f>
        <v>1</v>
      </c>
      <c r="W2536" s="4">
        <f>IF(Table1[[#This Row],[Rework_Flag]]="No",1,0)</f>
        <v>0</v>
      </c>
      <c r="X2536" s="4">
        <f>IF(Table1[[#This Row],[Rework_Flag]]="Yes",1,0)</f>
        <v>1</v>
      </c>
      <c r="Y2536" s="4">
        <v>1</v>
      </c>
      <c r="Z2536" s="4" t="str">
        <f>IF(Table1[[#This Row],[TAT_Days]]&gt;Table1[[#This Row],[SLA_TAT]],"Yes","No")</f>
        <v>Yes</v>
      </c>
      <c r="AA2536" s="4" t="str" cm="1">
        <f t="array" ref="AA2536">_xlfn.IFS(Table1[[#This Row],[Customer_Satisfaction]]&lt;=2,"Poor",Table1[[#This Row],[Customer_Satisfaction]]=3,"Neutral",Table1[[#This Row],[Customer_Satisfaction]]=4,"Good",Table1[[#This Row],[Customer_Satisfaction]]=5,"Good")</f>
        <v>Neutral</v>
      </c>
    </row>
    <row r="2537" spans="1:27" x14ac:dyDescent="0.35">
      <c r="A2537">
        <v>22535</v>
      </c>
      <c r="B2537" s="1">
        <v>45425</v>
      </c>
      <c r="C2537" t="s">
        <v>30</v>
      </c>
      <c r="D2537" t="s">
        <v>83</v>
      </c>
      <c r="E2537" t="s">
        <v>92</v>
      </c>
      <c r="F2537" t="s">
        <v>40</v>
      </c>
      <c r="G2537" t="s">
        <v>41</v>
      </c>
      <c r="H2537" t="s">
        <v>42</v>
      </c>
      <c r="I2537" t="s">
        <v>55</v>
      </c>
      <c r="J2537" t="s">
        <v>58</v>
      </c>
      <c r="K2537" t="s">
        <v>27</v>
      </c>
      <c r="L2537" t="s">
        <v>49</v>
      </c>
      <c r="M2537" s="4">
        <v>9</v>
      </c>
      <c r="N2537" s="4">
        <v>7</v>
      </c>
      <c r="O2537" t="s">
        <v>29</v>
      </c>
      <c r="P2537" t="s">
        <v>29</v>
      </c>
      <c r="Q2537" s="4">
        <v>549090</v>
      </c>
      <c r="R2537" s="4">
        <v>443258</v>
      </c>
      <c r="S2537" s="4">
        <f>Table1[[#This Row],[Service_Revenue]]-Table1[[#This Row],[Service_Cost]]</f>
        <v>105832</v>
      </c>
      <c r="T2537" s="4">
        <v>3</v>
      </c>
      <c r="U2537" s="4">
        <f>IF(AND(Table1[[#This Row],[Rework_Flag]]="Yes",Table1[[#This Row],[Warranty_Claim]]="No"),Table1[[#This Row],[Service_Revenue]],0)</f>
        <v>0</v>
      </c>
      <c r="V2537" s="4">
        <f>IF(Table1[[#This Row],[Warranty_Claim]]="Yes",1,0)</f>
        <v>1</v>
      </c>
      <c r="W2537" s="4">
        <f>IF(Table1[[#This Row],[Rework_Flag]]="No",1,0)</f>
        <v>0</v>
      </c>
      <c r="X2537" s="4">
        <f>IF(Table1[[#This Row],[Rework_Flag]]="Yes",1,0)</f>
        <v>1</v>
      </c>
      <c r="Y2537" s="4">
        <v>1</v>
      </c>
      <c r="Z2537" s="4" t="str">
        <f>IF(Table1[[#This Row],[TAT_Days]]&gt;Table1[[#This Row],[SLA_TAT]],"Yes","No")</f>
        <v>Yes</v>
      </c>
      <c r="AA2537" s="4" t="str" cm="1">
        <f t="array" ref="AA2537">_xlfn.IFS(Table1[[#This Row],[Customer_Satisfaction]]&lt;=2,"Poor",Table1[[#This Row],[Customer_Satisfaction]]=3,"Neutral",Table1[[#This Row],[Customer_Satisfaction]]=4,"Good",Table1[[#This Row],[Customer_Satisfaction]]=5,"Good")</f>
        <v>Neutral</v>
      </c>
    </row>
    <row r="2538" spans="1:27" x14ac:dyDescent="0.35">
      <c r="A2538">
        <v>22536</v>
      </c>
      <c r="B2538" s="1">
        <v>45343</v>
      </c>
      <c r="C2538" t="s">
        <v>19</v>
      </c>
      <c r="D2538" t="s">
        <v>96</v>
      </c>
      <c r="E2538" t="s">
        <v>108</v>
      </c>
      <c r="F2538" t="s">
        <v>53</v>
      </c>
      <c r="G2538" t="s">
        <v>47</v>
      </c>
      <c r="H2538" t="s">
        <v>48</v>
      </c>
      <c r="I2538" t="s">
        <v>25</v>
      </c>
      <c r="J2538" t="s">
        <v>26</v>
      </c>
      <c r="K2538" t="s">
        <v>27</v>
      </c>
      <c r="L2538" t="s">
        <v>49</v>
      </c>
      <c r="M2538" s="4">
        <v>22</v>
      </c>
      <c r="N2538" s="4">
        <v>7</v>
      </c>
      <c r="O2538" t="s">
        <v>29</v>
      </c>
      <c r="P2538" t="s">
        <v>36</v>
      </c>
      <c r="Q2538" s="4">
        <v>402699</v>
      </c>
      <c r="R2538" s="4">
        <v>332541</v>
      </c>
      <c r="S2538" s="4">
        <f>Table1[[#This Row],[Service_Revenue]]-Table1[[#This Row],[Service_Cost]]</f>
        <v>70158</v>
      </c>
      <c r="T2538" s="4">
        <v>1</v>
      </c>
      <c r="U2538" s="4">
        <f>IF(AND(Table1[[#This Row],[Rework_Flag]]="Yes",Table1[[#This Row],[Warranty_Claim]]="No"),Table1[[#This Row],[Service_Revenue]],0)</f>
        <v>402699</v>
      </c>
      <c r="V2538" s="4">
        <f>IF(Table1[[#This Row],[Warranty_Claim]]="Yes",1,0)</f>
        <v>0</v>
      </c>
      <c r="W2538" s="4">
        <f>IF(Table1[[#This Row],[Rework_Flag]]="No",1,0)</f>
        <v>0</v>
      </c>
      <c r="X2538" s="4">
        <f>IF(Table1[[#This Row],[Rework_Flag]]="Yes",1,0)</f>
        <v>1</v>
      </c>
      <c r="Y2538" s="4">
        <v>1</v>
      </c>
      <c r="Z2538" s="4" t="str">
        <f>IF(Table1[[#This Row],[TAT_Days]]&gt;Table1[[#This Row],[SLA_TAT]],"Yes","No")</f>
        <v>Yes</v>
      </c>
      <c r="AA2538" s="4" t="str" cm="1">
        <f t="array" ref="AA2538">_xlfn.IFS(Table1[[#This Row],[Customer_Satisfaction]]&lt;=2,"Poor",Table1[[#This Row],[Customer_Satisfaction]]=3,"Neutral",Table1[[#This Row],[Customer_Satisfaction]]=4,"Good",Table1[[#This Row],[Customer_Satisfaction]]=5,"Good")</f>
        <v>Poor</v>
      </c>
    </row>
    <row r="2539" spans="1:27" x14ac:dyDescent="0.35">
      <c r="A2539">
        <v>22537</v>
      </c>
      <c r="B2539" s="1">
        <v>45402</v>
      </c>
      <c r="C2539" t="s">
        <v>30</v>
      </c>
      <c r="D2539" t="s">
        <v>59</v>
      </c>
      <c r="E2539" t="s">
        <v>66</v>
      </c>
      <c r="F2539" t="s">
        <v>40</v>
      </c>
      <c r="G2539" t="s">
        <v>74</v>
      </c>
      <c r="H2539" t="s">
        <v>34</v>
      </c>
      <c r="I2539" t="s">
        <v>25</v>
      </c>
      <c r="J2539" t="s">
        <v>43</v>
      </c>
      <c r="K2539" t="s">
        <v>44</v>
      </c>
      <c r="L2539" t="s">
        <v>28</v>
      </c>
      <c r="M2539" s="4">
        <v>9</v>
      </c>
      <c r="N2539" s="4">
        <v>7</v>
      </c>
      <c r="O2539" t="s">
        <v>36</v>
      </c>
      <c r="P2539" t="s">
        <v>36</v>
      </c>
      <c r="Q2539" s="4">
        <v>151555</v>
      </c>
      <c r="R2539" s="4">
        <v>82327</v>
      </c>
      <c r="S2539" s="4">
        <f>Table1[[#This Row],[Service_Revenue]]-Table1[[#This Row],[Service_Cost]]</f>
        <v>69228</v>
      </c>
      <c r="T2539" s="4">
        <v>4</v>
      </c>
      <c r="U2539" s="4">
        <f>IF(AND(Table1[[#This Row],[Rework_Flag]]="Yes",Table1[[#This Row],[Warranty_Claim]]="No"),Table1[[#This Row],[Service_Revenue]],0)</f>
        <v>0</v>
      </c>
      <c r="V2539" s="4">
        <f>IF(Table1[[#This Row],[Warranty_Claim]]="Yes",1,0)</f>
        <v>0</v>
      </c>
      <c r="W2539" s="4">
        <f>IF(Table1[[#This Row],[Rework_Flag]]="No",1,0)</f>
        <v>1</v>
      </c>
      <c r="X2539" s="4">
        <f>IF(Table1[[#This Row],[Rework_Flag]]="Yes",1,0)</f>
        <v>0</v>
      </c>
      <c r="Y2539" s="4">
        <v>1</v>
      </c>
      <c r="Z2539" s="4" t="str">
        <f>IF(Table1[[#This Row],[TAT_Days]]&gt;Table1[[#This Row],[SLA_TAT]],"Yes","No")</f>
        <v>Yes</v>
      </c>
      <c r="AA2539" s="4" t="str" cm="1">
        <f t="array" ref="AA2539">_xlfn.IFS(Table1[[#This Row],[Customer_Satisfaction]]&lt;=2,"Poor",Table1[[#This Row],[Customer_Satisfaction]]=3,"Neutral",Table1[[#This Row],[Customer_Satisfaction]]=4,"Good",Table1[[#This Row],[Customer_Satisfaction]]=5,"Good")</f>
        <v>Good</v>
      </c>
    </row>
    <row r="2540" spans="1:27" x14ac:dyDescent="0.35">
      <c r="A2540">
        <v>22538</v>
      </c>
      <c r="B2540" s="1">
        <v>45436</v>
      </c>
      <c r="C2540" t="s">
        <v>30</v>
      </c>
      <c r="D2540" t="s">
        <v>59</v>
      </c>
      <c r="E2540" t="s">
        <v>66</v>
      </c>
      <c r="F2540" t="s">
        <v>40</v>
      </c>
      <c r="G2540" t="s">
        <v>54</v>
      </c>
      <c r="H2540" t="s">
        <v>42</v>
      </c>
      <c r="I2540" t="s">
        <v>25</v>
      </c>
      <c r="J2540" t="s">
        <v>58</v>
      </c>
      <c r="K2540" t="s">
        <v>61</v>
      </c>
      <c r="L2540" t="s">
        <v>28</v>
      </c>
      <c r="M2540" s="4">
        <v>25</v>
      </c>
      <c r="N2540" s="4">
        <v>7</v>
      </c>
      <c r="O2540" t="s">
        <v>36</v>
      </c>
      <c r="P2540" t="s">
        <v>36</v>
      </c>
      <c r="Q2540" s="4">
        <v>277372</v>
      </c>
      <c r="R2540" s="4">
        <v>195776</v>
      </c>
      <c r="S2540" s="4">
        <f>Table1[[#This Row],[Service_Revenue]]-Table1[[#This Row],[Service_Cost]]</f>
        <v>81596</v>
      </c>
      <c r="T2540" s="4">
        <v>1</v>
      </c>
      <c r="U2540" s="4">
        <f>IF(AND(Table1[[#This Row],[Rework_Flag]]="Yes",Table1[[#This Row],[Warranty_Claim]]="No"),Table1[[#This Row],[Service_Revenue]],0)</f>
        <v>0</v>
      </c>
      <c r="V2540" s="4">
        <f>IF(Table1[[#This Row],[Warranty_Claim]]="Yes",1,0)</f>
        <v>0</v>
      </c>
      <c r="W2540" s="4">
        <f>IF(Table1[[#This Row],[Rework_Flag]]="No",1,0)</f>
        <v>1</v>
      </c>
      <c r="X2540" s="4">
        <f>IF(Table1[[#This Row],[Rework_Flag]]="Yes",1,0)</f>
        <v>0</v>
      </c>
      <c r="Y2540" s="4">
        <v>1</v>
      </c>
      <c r="Z2540" s="4" t="str">
        <f>IF(Table1[[#This Row],[TAT_Days]]&gt;Table1[[#This Row],[SLA_TAT]],"Yes","No")</f>
        <v>Yes</v>
      </c>
      <c r="AA2540" s="4" t="str" cm="1">
        <f t="array" ref="AA2540">_xlfn.IFS(Table1[[#This Row],[Customer_Satisfaction]]&lt;=2,"Poor",Table1[[#This Row],[Customer_Satisfaction]]=3,"Neutral",Table1[[#This Row],[Customer_Satisfaction]]=4,"Good",Table1[[#This Row],[Customer_Satisfaction]]=5,"Good")</f>
        <v>Poor</v>
      </c>
    </row>
    <row r="2541" spans="1:27" x14ac:dyDescent="0.35">
      <c r="A2541">
        <v>22539</v>
      </c>
      <c r="B2541" s="1">
        <v>45292</v>
      </c>
      <c r="C2541" t="s">
        <v>19</v>
      </c>
      <c r="D2541" t="s">
        <v>45</v>
      </c>
      <c r="E2541" t="s">
        <v>99</v>
      </c>
      <c r="F2541" t="s">
        <v>40</v>
      </c>
      <c r="G2541" t="s">
        <v>54</v>
      </c>
      <c r="H2541" t="s">
        <v>42</v>
      </c>
      <c r="I2541" t="s">
        <v>25</v>
      </c>
      <c r="J2541" t="s">
        <v>67</v>
      </c>
      <c r="K2541" t="s">
        <v>61</v>
      </c>
      <c r="L2541" t="s">
        <v>28</v>
      </c>
      <c r="M2541" s="4">
        <v>22</v>
      </c>
      <c r="N2541" s="4">
        <v>7</v>
      </c>
      <c r="O2541" t="s">
        <v>29</v>
      </c>
      <c r="P2541" t="s">
        <v>36</v>
      </c>
      <c r="Q2541" s="4">
        <v>278761</v>
      </c>
      <c r="R2541" s="4">
        <v>209177</v>
      </c>
      <c r="S2541" s="4">
        <f>Table1[[#This Row],[Service_Revenue]]-Table1[[#This Row],[Service_Cost]]</f>
        <v>69584</v>
      </c>
      <c r="T2541" s="4">
        <v>1</v>
      </c>
      <c r="U2541" s="4">
        <f>IF(AND(Table1[[#This Row],[Rework_Flag]]="Yes",Table1[[#This Row],[Warranty_Claim]]="No"),Table1[[#This Row],[Service_Revenue]],0)</f>
        <v>278761</v>
      </c>
      <c r="V2541" s="4">
        <f>IF(Table1[[#This Row],[Warranty_Claim]]="Yes",1,0)</f>
        <v>0</v>
      </c>
      <c r="W2541" s="4">
        <f>IF(Table1[[#This Row],[Rework_Flag]]="No",1,0)</f>
        <v>0</v>
      </c>
      <c r="X2541" s="4">
        <f>IF(Table1[[#This Row],[Rework_Flag]]="Yes",1,0)</f>
        <v>1</v>
      </c>
      <c r="Y2541" s="4">
        <v>1</v>
      </c>
      <c r="Z2541" s="4" t="str">
        <f>IF(Table1[[#This Row],[TAT_Days]]&gt;Table1[[#This Row],[SLA_TAT]],"Yes","No")</f>
        <v>Yes</v>
      </c>
      <c r="AA2541" s="4" t="str" cm="1">
        <f t="array" ref="AA2541">_xlfn.IFS(Table1[[#This Row],[Customer_Satisfaction]]&lt;=2,"Poor",Table1[[#This Row],[Customer_Satisfaction]]=3,"Neutral",Table1[[#This Row],[Customer_Satisfaction]]=4,"Good",Table1[[#This Row],[Customer_Satisfaction]]=5,"Good")</f>
        <v>Poor</v>
      </c>
    </row>
    <row r="2542" spans="1:27" x14ac:dyDescent="0.35">
      <c r="A2542">
        <v>22540</v>
      </c>
      <c r="B2542" s="1">
        <v>45393</v>
      </c>
      <c r="C2542" t="s">
        <v>19</v>
      </c>
      <c r="D2542" t="s">
        <v>20</v>
      </c>
      <c r="E2542" t="s">
        <v>86</v>
      </c>
      <c r="F2542" t="s">
        <v>53</v>
      </c>
      <c r="G2542" t="s">
        <v>47</v>
      </c>
      <c r="H2542" t="s">
        <v>48</v>
      </c>
      <c r="I2542" t="s">
        <v>55</v>
      </c>
      <c r="J2542" t="s">
        <v>58</v>
      </c>
      <c r="K2542" t="s">
        <v>61</v>
      </c>
      <c r="L2542" t="s">
        <v>28</v>
      </c>
      <c r="M2542" s="4">
        <v>12</v>
      </c>
      <c r="N2542" s="4">
        <v>7</v>
      </c>
      <c r="O2542" t="s">
        <v>29</v>
      </c>
      <c r="P2542" t="s">
        <v>29</v>
      </c>
      <c r="Q2542" s="4">
        <v>417651</v>
      </c>
      <c r="R2542" s="4">
        <v>293023</v>
      </c>
      <c r="S2542" s="4">
        <f>Table1[[#This Row],[Service_Revenue]]-Table1[[#This Row],[Service_Cost]]</f>
        <v>124628</v>
      </c>
      <c r="T2542" s="4">
        <v>2</v>
      </c>
      <c r="U2542" s="4">
        <f>IF(AND(Table1[[#This Row],[Rework_Flag]]="Yes",Table1[[#This Row],[Warranty_Claim]]="No"),Table1[[#This Row],[Service_Revenue]],0)</f>
        <v>0</v>
      </c>
      <c r="V2542" s="4">
        <f>IF(Table1[[#This Row],[Warranty_Claim]]="Yes",1,0)</f>
        <v>1</v>
      </c>
      <c r="W2542" s="4">
        <f>IF(Table1[[#This Row],[Rework_Flag]]="No",1,0)</f>
        <v>0</v>
      </c>
      <c r="X2542" s="4">
        <f>IF(Table1[[#This Row],[Rework_Flag]]="Yes",1,0)</f>
        <v>1</v>
      </c>
      <c r="Y2542" s="4">
        <v>1</v>
      </c>
      <c r="Z2542" s="4" t="str">
        <f>IF(Table1[[#This Row],[TAT_Days]]&gt;Table1[[#This Row],[SLA_TAT]],"Yes","No")</f>
        <v>Yes</v>
      </c>
      <c r="AA2542" s="4" t="str" cm="1">
        <f t="array" ref="AA2542">_xlfn.IFS(Table1[[#This Row],[Customer_Satisfaction]]&lt;=2,"Poor",Table1[[#This Row],[Customer_Satisfaction]]=3,"Neutral",Table1[[#This Row],[Customer_Satisfaction]]=4,"Good",Table1[[#This Row],[Customer_Satisfaction]]=5,"Good")</f>
        <v>Poor</v>
      </c>
    </row>
    <row r="2543" spans="1:27" x14ac:dyDescent="0.35">
      <c r="A2543">
        <v>22541</v>
      </c>
      <c r="B2543" s="1">
        <v>45322</v>
      </c>
      <c r="C2543" t="s">
        <v>50</v>
      </c>
      <c r="D2543" t="s">
        <v>51</v>
      </c>
      <c r="E2543" t="s">
        <v>120</v>
      </c>
      <c r="F2543" t="s">
        <v>22</v>
      </c>
      <c r="G2543" t="s">
        <v>33</v>
      </c>
      <c r="H2543" t="s">
        <v>34</v>
      </c>
      <c r="I2543" t="s">
        <v>25</v>
      </c>
      <c r="J2543" t="s">
        <v>67</v>
      </c>
      <c r="K2543" t="s">
        <v>61</v>
      </c>
      <c r="L2543" t="s">
        <v>49</v>
      </c>
      <c r="M2543" s="4">
        <v>2</v>
      </c>
      <c r="N2543" s="4">
        <v>7</v>
      </c>
      <c r="O2543" t="s">
        <v>29</v>
      </c>
      <c r="P2543" t="s">
        <v>36</v>
      </c>
      <c r="Q2543" s="4">
        <v>335565</v>
      </c>
      <c r="R2543" s="4">
        <v>185139</v>
      </c>
      <c r="S2543" s="4">
        <f>Table1[[#This Row],[Service_Revenue]]-Table1[[#This Row],[Service_Cost]]</f>
        <v>150426</v>
      </c>
      <c r="T2543" s="4">
        <v>4</v>
      </c>
      <c r="U2543" s="4">
        <f>IF(AND(Table1[[#This Row],[Rework_Flag]]="Yes",Table1[[#This Row],[Warranty_Claim]]="No"),Table1[[#This Row],[Service_Revenue]],0)</f>
        <v>335565</v>
      </c>
      <c r="V2543" s="4">
        <f>IF(Table1[[#This Row],[Warranty_Claim]]="Yes",1,0)</f>
        <v>0</v>
      </c>
      <c r="W2543" s="4">
        <f>IF(Table1[[#This Row],[Rework_Flag]]="No",1,0)</f>
        <v>0</v>
      </c>
      <c r="X2543" s="4">
        <f>IF(Table1[[#This Row],[Rework_Flag]]="Yes",1,0)</f>
        <v>1</v>
      </c>
      <c r="Y2543" s="4">
        <v>1</v>
      </c>
      <c r="Z2543" s="4" t="str">
        <f>IF(Table1[[#This Row],[TAT_Days]]&gt;Table1[[#This Row],[SLA_TAT]],"Yes","No")</f>
        <v>No</v>
      </c>
      <c r="AA2543" s="4" t="str" cm="1">
        <f t="array" ref="AA2543">_xlfn.IFS(Table1[[#This Row],[Customer_Satisfaction]]&lt;=2,"Poor",Table1[[#This Row],[Customer_Satisfaction]]=3,"Neutral",Table1[[#This Row],[Customer_Satisfaction]]=4,"Good",Table1[[#This Row],[Customer_Satisfaction]]=5,"Good")</f>
        <v>Good</v>
      </c>
    </row>
    <row r="2544" spans="1:27" x14ac:dyDescent="0.35">
      <c r="A2544">
        <v>22542</v>
      </c>
      <c r="B2544" s="1">
        <v>45388</v>
      </c>
      <c r="C2544" t="s">
        <v>50</v>
      </c>
      <c r="D2544" t="s">
        <v>51</v>
      </c>
      <c r="E2544" t="s">
        <v>113</v>
      </c>
      <c r="F2544" t="s">
        <v>53</v>
      </c>
      <c r="G2544" t="s">
        <v>63</v>
      </c>
      <c r="H2544" t="s">
        <v>24</v>
      </c>
      <c r="I2544" t="s">
        <v>55</v>
      </c>
      <c r="J2544" t="s">
        <v>58</v>
      </c>
      <c r="K2544" t="s">
        <v>44</v>
      </c>
      <c r="L2544" t="s">
        <v>28</v>
      </c>
      <c r="M2544" s="4">
        <v>7</v>
      </c>
      <c r="N2544" s="4">
        <v>7</v>
      </c>
      <c r="O2544" t="s">
        <v>29</v>
      </c>
      <c r="P2544" t="s">
        <v>36</v>
      </c>
      <c r="Q2544" s="4">
        <v>520388</v>
      </c>
      <c r="R2544" s="4">
        <v>275404</v>
      </c>
      <c r="S2544" s="4">
        <f>Table1[[#This Row],[Service_Revenue]]-Table1[[#This Row],[Service_Cost]]</f>
        <v>244984</v>
      </c>
      <c r="T2544" s="4">
        <v>3</v>
      </c>
      <c r="U2544" s="4">
        <f>IF(AND(Table1[[#This Row],[Rework_Flag]]="Yes",Table1[[#This Row],[Warranty_Claim]]="No"),Table1[[#This Row],[Service_Revenue]],0)</f>
        <v>520388</v>
      </c>
      <c r="V2544" s="4">
        <f>IF(Table1[[#This Row],[Warranty_Claim]]="Yes",1,0)</f>
        <v>0</v>
      </c>
      <c r="W2544" s="4">
        <f>IF(Table1[[#This Row],[Rework_Flag]]="No",1,0)</f>
        <v>0</v>
      </c>
      <c r="X2544" s="4">
        <f>IF(Table1[[#This Row],[Rework_Flag]]="Yes",1,0)</f>
        <v>1</v>
      </c>
      <c r="Y2544" s="4">
        <v>1</v>
      </c>
      <c r="Z2544" s="4" t="str">
        <f>IF(Table1[[#This Row],[TAT_Days]]&gt;Table1[[#This Row],[SLA_TAT]],"Yes","No")</f>
        <v>No</v>
      </c>
      <c r="AA2544" s="4" t="str" cm="1">
        <f t="array" ref="AA2544">_xlfn.IFS(Table1[[#This Row],[Customer_Satisfaction]]&lt;=2,"Poor",Table1[[#This Row],[Customer_Satisfaction]]=3,"Neutral",Table1[[#This Row],[Customer_Satisfaction]]=4,"Good",Table1[[#This Row],[Customer_Satisfaction]]=5,"Good")</f>
        <v>Neutral</v>
      </c>
    </row>
    <row r="2545" spans="1:27" x14ac:dyDescent="0.35">
      <c r="A2545">
        <v>22543</v>
      </c>
      <c r="B2545" s="1">
        <v>45297</v>
      </c>
      <c r="C2545" t="s">
        <v>50</v>
      </c>
      <c r="D2545" t="s">
        <v>51</v>
      </c>
      <c r="E2545" t="s">
        <v>120</v>
      </c>
      <c r="F2545" t="s">
        <v>53</v>
      </c>
      <c r="G2545" t="s">
        <v>23</v>
      </c>
      <c r="H2545" t="s">
        <v>24</v>
      </c>
      <c r="I2545" t="s">
        <v>25</v>
      </c>
      <c r="J2545" t="s">
        <v>43</v>
      </c>
      <c r="K2545" t="s">
        <v>44</v>
      </c>
      <c r="L2545" t="s">
        <v>28</v>
      </c>
      <c r="M2545" s="4">
        <v>25</v>
      </c>
      <c r="N2545" s="4">
        <v>7</v>
      </c>
      <c r="O2545" t="s">
        <v>36</v>
      </c>
      <c r="P2545" t="s">
        <v>36</v>
      </c>
      <c r="Q2545" s="4">
        <v>484435</v>
      </c>
      <c r="R2545" s="4">
        <v>309190</v>
      </c>
      <c r="S2545" s="4">
        <f>Table1[[#This Row],[Service_Revenue]]-Table1[[#This Row],[Service_Cost]]</f>
        <v>175245</v>
      </c>
      <c r="T2545" s="4">
        <v>1</v>
      </c>
      <c r="U2545" s="4">
        <f>IF(AND(Table1[[#This Row],[Rework_Flag]]="Yes",Table1[[#This Row],[Warranty_Claim]]="No"),Table1[[#This Row],[Service_Revenue]],0)</f>
        <v>0</v>
      </c>
      <c r="V2545" s="4">
        <f>IF(Table1[[#This Row],[Warranty_Claim]]="Yes",1,0)</f>
        <v>0</v>
      </c>
      <c r="W2545" s="4">
        <f>IF(Table1[[#This Row],[Rework_Flag]]="No",1,0)</f>
        <v>1</v>
      </c>
      <c r="X2545" s="4">
        <f>IF(Table1[[#This Row],[Rework_Flag]]="Yes",1,0)</f>
        <v>0</v>
      </c>
      <c r="Y2545" s="4">
        <v>1</v>
      </c>
      <c r="Z2545" s="4" t="str">
        <f>IF(Table1[[#This Row],[TAT_Days]]&gt;Table1[[#This Row],[SLA_TAT]],"Yes","No")</f>
        <v>Yes</v>
      </c>
      <c r="AA2545" s="4" t="str" cm="1">
        <f t="array" ref="AA2545">_xlfn.IFS(Table1[[#This Row],[Customer_Satisfaction]]&lt;=2,"Poor",Table1[[#This Row],[Customer_Satisfaction]]=3,"Neutral",Table1[[#This Row],[Customer_Satisfaction]]=4,"Good",Table1[[#This Row],[Customer_Satisfaction]]=5,"Good")</f>
        <v>Poor</v>
      </c>
    </row>
    <row r="2546" spans="1:27" x14ac:dyDescent="0.35">
      <c r="A2546">
        <v>22544</v>
      </c>
      <c r="B2546" s="1">
        <v>45323</v>
      </c>
      <c r="C2546" t="s">
        <v>19</v>
      </c>
      <c r="D2546" t="s">
        <v>45</v>
      </c>
      <c r="E2546" t="s">
        <v>111</v>
      </c>
      <c r="F2546" t="s">
        <v>22</v>
      </c>
      <c r="G2546" t="s">
        <v>63</v>
      </c>
      <c r="H2546" t="s">
        <v>24</v>
      </c>
      <c r="I2546" t="s">
        <v>25</v>
      </c>
      <c r="J2546" t="s">
        <v>35</v>
      </c>
      <c r="K2546" t="s">
        <v>61</v>
      </c>
      <c r="L2546" t="s">
        <v>28</v>
      </c>
      <c r="M2546" s="4">
        <v>8</v>
      </c>
      <c r="N2546" s="4">
        <v>7</v>
      </c>
      <c r="O2546" t="s">
        <v>36</v>
      </c>
      <c r="P2546" t="s">
        <v>29</v>
      </c>
      <c r="Q2546" s="4">
        <v>350411</v>
      </c>
      <c r="R2546" s="4">
        <v>268479</v>
      </c>
      <c r="S2546" s="4">
        <f>Table1[[#This Row],[Service_Revenue]]-Table1[[#This Row],[Service_Cost]]</f>
        <v>81932</v>
      </c>
      <c r="T2546" s="4">
        <v>4</v>
      </c>
      <c r="U2546" s="4">
        <f>IF(AND(Table1[[#This Row],[Rework_Flag]]="Yes",Table1[[#This Row],[Warranty_Claim]]="No"),Table1[[#This Row],[Service_Revenue]],0)</f>
        <v>0</v>
      </c>
      <c r="V2546" s="4">
        <f>IF(Table1[[#This Row],[Warranty_Claim]]="Yes",1,0)</f>
        <v>1</v>
      </c>
      <c r="W2546" s="4">
        <f>IF(Table1[[#This Row],[Rework_Flag]]="No",1,0)</f>
        <v>1</v>
      </c>
      <c r="X2546" s="4">
        <f>IF(Table1[[#This Row],[Rework_Flag]]="Yes",1,0)</f>
        <v>0</v>
      </c>
      <c r="Y2546" s="4">
        <v>1</v>
      </c>
      <c r="Z2546" s="4" t="str">
        <f>IF(Table1[[#This Row],[TAT_Days]]&gt;Table1[[#This Row],[SLA_TAT]],"Yes","No")</f>
        <v>Yes</v>
      </c>
      <c r="AA2546" s="4" t="str" cm="1">
        <f t="array" ref="AA2546">_xlfn.IFS(Table1[[#This Row],[Customer_Satisfaction]]&lt;=2,"Poor",Table1[[#This Row],[Customer_Satisfaction]]=3,"Neutral",Table1[[#This Row],[Customer_Satisfaction]]=4,"Good",Table1[[#This Row],[Customer_Satisfaction]]=5,"Good")</f>
        <v>Good</v>
      </c>
    </row>
    <row r="2547" spans="1:27" x14ac:dyDescent="0.35">
      <c r="A2547">
        <v>22545</v>
      </c>
      <c r="B2547" s="1">
        <v>45371</v>
      </c>
      <c r="C2547" t="s">
        <v>30</v>
      </c>
      <c r="D2547" t="s">
        <v>31</v>
      </c>
      <c r="E2547" t="s">
        <v>106</v>
      </c>
      <c r="F2547" t="s">
        <v>53</v>
      </c>
      <c r="G2547" t="s">
        <v>47</v>
      </c>
      <c r="H2547" t="s">
        <v>48</v>
      </c>
      <c r="I2547" t="s">
        <v>55</v>
      </c>
      <c r="J2547" t="s">
        <v>58</v>
      </c>
      <c r="K2547" t="s">
        <v>44</v>
      </c>
      <c r="L2547" t="s">
        <v>28</v>
      </c>
      <c r="M2547" s="4">
        <v>20</v>
      </c>
      <c r="N2547" s="4">
        <v>7</v>
      </c>
      <c r="O2547" t="s">
        <v>29</v>
      </c>
      <c r="P2547" t="s">
        <v>29</v>
      </c>
      <c r="Q2547" s="4">
        <v>175462</v>
      </c>
      <c r="R2547" s="4">
        <v>139456</v>
      </c>
      <c r="S2547" s="4">
        <f>Table1[[#This Row],[Service_Revenue]]-Table1[[#This Row],[Service_Cost]]</f>
        <v>36006</v>
      </c>
      <c r="T2547" s="4">
        <v>1</v>
      </c>
      <c r="U2547" s="4">
        <f>IF(AND(Table1[[#This Row],[Rework_Flag]]="Yes",Table1[[#This Row],[Warranty_Claim]]="No"),Table1[[#This Row],[Service_Revenue]],0)</f>
        <v>0</v>
      </c>
      <c r="V2547" s="4">
        <f>IF(Table1[[#This Row],[Warranty_Claim]]="Yes",1,0)</f>
        <v>1</v>
      </c>
      <c r="W2547" s="4">
        <f>IF(Table1[[#This Row],[Rework_Flag]]="No",1,0)</f>
        <v>0</v>
      </c>
      <c r="X2547" s="4">
        <f>IF(Table1[[#This Row],[Rework_Flag]]="Yes",1,0)</f>
        <v>1</v>
      </c>
      <c r="Y2547" s="4">
        <v>1</v>
      </c>
      <c r="Z2547" s="4" t="str">
        <f>IF(Table1[[#This Row],[TAT_Days]]&gt;Table1[[#This Row],[SLA_TAT]],"Yes","No")</f>
        <v>Yes</v>
      </c>
      <c r="AA2547" s="4" t="str" cm="1">
        <f t="array" ref="AA2547">_xlfn.IFS(Table1[[#This Row],[Customer_Satisfaction]]&lt;=2,"Poor",Table1[[#This Row],[Customer_Satisfaction]]=3,"Neutral",Table1[[#This Row],[Customer_Satisfaction]]=4,"Good",Table1[[#This Row],[Customer_Satisfaction]]=5,"Good")</f>
        <v>Poor</v>
      </c>
    </row>
    <row r="2548" spans="1:27" x14ac:dyDescent="0.35">
      <c r="A2548">
        <v>22546</v>
      </c>
      <c r="B2548" s="1">
        <v>45338</v>
      </c>
      <c r="C2548" t="s">
        <v>19</v>
      </c>
      <c r="D2548" t="s">
        <v>45</v>
      </c>
      <c r="E2548" t="s">
        <v>114</v>
      </c>
      <c r="F2548" t="s">
        <v>22</v>
      </c>
      <c r="G2548" t="s">
        <v>54</v>
      </c>
      <c r="H2548" t="s">
        <v>42</v>
      </c>
      <c r="I2548" t="s">
        <v>25</v>
      </c>
      <c r="J2548" t="s">
        <v>67</v>
      </c>
      <c r="K2548" t="s">
        <v>61</v>
      </c>
      <c r="L2548" t="s">
        <v>49</v>
      </c>
      <c r="M2548" s="4">
        <v>10</v>
      </c>
      <c r="N2548" s="4">
        <v>7</v>
      </c>
      <c r="O2548" t="s">
        <v>36</v>
      </c>
      <c r="P2548" t="s">
        <v>29</v>
      </c>
      <c r="Q2548" s="4">
        <v>571991</v>
      </c>
      <c r="R2548" s="4">
        <v>386258</v>
      </c>
      <c r="S2548" s="4">
        <f>Table1[[#This Row],[Service_Revenue]]-Table1[[#This Row],[Service_Cost]]</f>
        <v>185733</v>
      </c>
      <c r="T2548" s="4">
        <v>3</v>
      </c>
      <c r="U2548" s="4">
        <f>IF(AND(Table1[[#This Row],[Rework_Flag]]="Yes",Table1[[#This Row],[Warranty_Claim]]="No"),Table1[[#This Row],[Service_Revenue]],0)</f>
        <v>0</v>
      </c>
      <c r="V2548" s="4">
        <f>IF(Table1[[#This Row],[Warranty_Claim]]="Yes",1,0)</f>
        <v>1</v>
      </c>
      <c r="W2548" s="4">
        <f>IF(Table1[[#This Row],[Rework_Flag]]="No",1,0)</f>
        <v>1</v>
      </c>
      <c r="X2548" s="4">
        <f>IF(Table1[[#This Row],[Rework_Flag]]="Yes",1,0)</f>
        <v>0</v>
      </c>
      <c r="Y2548" s="4">
        <v>1</v>
      </c>
      <c r="Z2548" s="4" t="str">
        <f>IF(Table1[[#This Row],[TAT_Days]]&gt;Table1[[#This Row],[SLA_TAT]],"Yes","No")</f>
        <v>Yes</v>
      </c>
      <c r="AA2548" s="4" t="str" cm="1">
        <f t="array" ref="AA2548">_xlfn.IFS(Table1[[#This Row],[Customer_Satisfaction]]&lt;=2,"Poor",Table1[[#This Row],[Customer_Satisfaction]]=3,"Neutral",Table1[[#This Row],[Customer_Satisfaction]]=4,"Good",Table1[[#This Row],[Customer_Satisfaction]]=5,"Good")</f>
        <v>Neutral</v>
      </c>
    </row>
    <row r="2549" spans="1:27" x14ac:dyDescent="0.35">
      <c r="A2549">
        <v>22547</v>
      </c>
      <c r="B2549" s="1">
        <v>45299</v>
      </c>
      <c r="C2549" t="s">
        <v>19</v>
      </c>
      <c r="D2549" t="s">
        <v>45</v>
      </c>
      <c r="E2549" t="s">
        <v>76</v>
      </c>
      <c r="F2549" t="s">
        <v>40</v>
      </c>
      <c r="G2549" t="s">
        <v>33</v>
      </c>
      <c r="H2549" t="s">
        <v>34</v>
      </c>
      <c r="I2549" t="s">
        <v>25</v>
      </c>
      <c r="J2549" t="s">
        <v>26</v>
      </c>
      <c r="K2549" t="s">
        <v>27</v>
      </c>
      <c r="L2549" t="s">
        <v>49</v>
      </c>
      <c r="M2549" s="4">
        <v>13</v>
      </c>
      <c r="N2549" s="4">
        <v>7</v>
      </c>
      <c r="O2549" t="s">
        <v>29</v>
      </c>
      <c r="P2549" t="s">
        <v>36</v>
      </c>
      <c r="Q2549" s="4">
        <v>428840</v>
      </c>
      <c r="R2549" s="4">
        <v>242404</v>
      </c>
      <c r="S2549" s="4">
        <f>Table1[[#This Row],[Service_Revenue]]-Table1[[#This Row],[Service_Cost]]</f>
        <v>186436</v>
      </c>
      <c r="T2549" s="4">
        <v>2</v>
      </c>
      <c r="U2549" s="4">
        <f>IF(AND(Table1[[#This Row],[Rework_Flag]]="Yes",Table1[[#This Row],[Warranty_Claim]]="No"),Table1[[#This Row],[Service_Revenue]],0)</f>
        <v>428840</v>
      </c>
      <c r="V2549" s="4">
        <f>IF(Table1[[#This Row],[Warranty_Claim]]="Yes",1,0)</f>
        <v>0</v>
      </c>
      <c r="W2549" s="4">
        <f>IF(Table1[[#This Row],[Rework_Flag]]="No",1,0)</f>
        <v>0</v>
      </c>
      <c r="X2549" s="4">
        <f>IF(Table1[[#This Row],[Rework_Flag]]="Yes",1,0)</f>
        <v>1</v>
      </c>
      <c r="Y2549" s="4">
        <v>1</v>
      </c>
      <c r="Z2549" s="4" t="str">
        <f>IF(Table1[[#This Row],[TAT_Days]]&gt;Table1[[#This Row],[SLA_TAT]],"Yes","No")</f>
        <v>Yes</v>
      </c>
      <c r="AA2549" s="4" t="str" cm="1">
        <f t="array" ref="AA2549">_xlfn.IFS(Table1[[#This Row],[Customer_Satisfaction]]&lt;=2,"Poor",Table1[[#This Row],[Customer_Satisfaction]]=3,"Neutral",Table1[[#This Row],[Customer_Satisfaction]]=4,"Good",Table1[[#This Row],[Customer_Satisfaction]]=5,"Good")</f>
        <v>Poor</v>
      </c>
    </row>
    <row r="2550" spans="1:27" x14ac:dyDescent="0.35">
      <c r="A2550">
        <v>22548</v>
      </c>
      <c r="B2550" s="1">
        <v>45336</v>
      </c>
      <c r="C2550" t="s">
        <v>50</v>
      </c>
      <c r="D2550" t="s">
        <v>56</v>
      </c>
      <c r="E2550" t="s">
        <v>101</v>
      </c>
      <c r="F2550" t="s">
        <v>53</v>
      </c>
      <c r="G2550" t="s">
        <v>54</v>
      </c>
      <c r="H2550" t="s">
        <v>42</v>
      </c>
      <c r="I2550" t="s">
        <v>25</v>
      </c>
      <c r="J2550" t="s">
        <v>67</v>
      </c>
      <c r="K2550" t="s">
        <v>27</v>
      </c>
      <c r="L2550" t="s">
        <v>28</v>
      </c>
      <c r="M2550" s="4">
        <v>8</v>
      </c>
      <c r="N2550" s="4">
        <v>7</v>
      </c>
      <c r="O2550" t="s">
        <v>36</v>
      </c>
      <c r="P2550" t="s">
        <v>36</v>
      </c>
      <c r="Q2550" s="4">
        <v>153837</v>
      </c>
      <c r="R2550" s="4">
        <v>128142</v>
      </c>
      <c r="S2550" s="4">
        <f>Table1[[#This Row],[Service_Revenue]]-Table1[[#This Row],[Service_Cost]]</f>
        <v>25695</v>
      </c>
      <c r="T2550" s="4">
        <v>4</v>
      </c>
      <c r="U2550" s="4">
        <f>IF(AND(Table1[[#This Row],[Rework_Flag]]="Yes",Table1[[#This Row],[Warranty_Claim]]="No"),Table1[[#This Row],[Service_Revenue]],0)</f>
        <v>0</v>
      </c>
      <c r="V2550" s="4">
        <f>IF(Table1[[#This Row],[Warranty_Claim]]="Yes",1,0)</f>
        <v>0</v>
      </c>
      <c r="W2550" s="4">
        <f>IF(Table1[[#This Row],[Rework_Flag]]="No",1,0)</f>
        <v>1</v>
      </c>
      <c r="X2550" s="4">
        <f>IF(Table1[[#This Row],[Rework_Flag]]="Yes",1,0)</f>
        <v>0</v>
      </c>
      <c r="Y2550" s="4">
        <v>1</v>
      </c>
      <c r="Z2550" s="4" t="str">
        <f>IF(Table1[[#This Row],[TAT_Days]]&gt;Table1[[#This Row],[SLA_TAT]],"Yes","No")</f>
        <v>Yes</v>
      </c>
      <c r="AA2550" s="4" t="str" cm="1">
        <f t="array" ref="AA2550">_xlfn.IFS(Table1[[#This Row],[Customer_Satisfaction]]&lt;=2,"Poor",Table1[[#This Row],[Customer_Satisfaction]]=3,"Neutral",Table1[[#This Row],[Customer_Satisfaction]]=4,"Good",Table1[[#This Row],[Customer_Satisfaction]]=5,"Good")</f>
        <v>Good</v>
      </c>
    </row>
    <row r="2551" spans="1:27" x14ac:dyDescent="0.35">
      <c r="A2551">
        <v>22549</v>
      </c>
      <c r="B2551" s="1">
        <v>45357</v>
      </c>
      <c r="C2551" t="s">
        <v>50</v>
      </c>
      <c r="D2551" t="s">
        <v>56</v>
      </c>
      <c r="E2551" t="s">
        <v>88</v>
      </c>
      <c r="F2551" t="s">
        <v>53</v>
      </c>
      <c r="G2551" t="s">
        <v>47</v>
      </c>
      <c r="H2551" t="s">
        <v>48</v>
      </c>
      <c r="I2551" t="s">
        <v>25</v>
      </c>
      <c r="J2551" t="s">
        <v>43</v>
      </c>
      <c r="K2551" t="s">
        <v>27</v>
      </c>
      <c r="L2551" t="s">
        <v>49</v>
      </c>
      <c r="M2551" s="4">
        <v>14</v>
      </c>
      <c r="N2551" s="4">
        <v>7</v>
      </c>
      <c r="O2551" t="s">
        <v>29</v>
      </c>
      <c r="P2551" t="s">
        <v>36</v>
      </c>
      <c r="Q2551" s="4">
        <v>183826</v>
      </c>
      <c r="R2551" s="4">
        <v>95092</v>
      </c>
      <c r="S2551" s="4">
        <f>Table1[[#This Row],[Service_Revenue]]-Table1[[#This Row],[Service_Cost]]</f>
        <v>88734</v>
      </c>
      <c r="T2551" s="4">
        <v>2</v>
      </c>
      <c r="U2551" s="4">
        <f>IF(AND(Table1[[#This Row],[Rework_Flag]]="Yes",Table1[[#This Row],[Warranty_Claim]]="No"),Table1[[#This Row],[Service_Revenue]],0)</f>
        <v>183826</v>
      </c>
      <c r="V2551" s="4">
        <f>IF(Table1[[#This Row],[Warranty_Claim]]="Yes",1,0)</f>
        <v>0</v>
      </c>
      <c r="W2551" s="4">
        <f>IF(Table1[[#This Row],[Rework_Flag]]="No",1,0)</f>
        <v>0</v>
      </c>
      <c r="X2551" s="4">
        <f>IF(Table1[[#This Row],[Rework_Flag]]="Yes",1,0)</f>
        <v>1</v>
      </c>
      <c r="Y2551" s="4">
        <v>1</v>
      </c>
      <c r="Z2551" s="4" t="str">
        <f>IF(Table1[[#This Row],[TAT_Days]]&gt;Table1[[#This Row],[SLA_TAT]],"Yes","No")</f>
        <v>Yes</v>
      </c>
      <c r="AA2551" s="4" t="str" cm="1">
        <f t="array" ref="AA2551">_xlfn.IFS(Table1[[#This Row],[Customer_Satisfaction]]&lt;=2,"Poor",Table1[[#This Row],[Customer_Satisfaction]]=3,"Neutral",Table1[[#This Row],[Customer_Satisfaction]]=4,"Good",Table1[[#This Row],[Customer_Satisfaction]]=5,"Good")</f>
        <v>Poor</v>
      </c>
    </row>
    <row r="2552" spans="1:27" x14ac:dyDescent="0.35">
      <c r="A2552">
        <v>22550</v>
      </c>
      <c r="B2552" s="1">
        <v>45423</v>
      </c>
      <c r="C2552" t="s">
        <v>50</v>
      </c>
      <c r="D2552" t="s">
        <v>56</v>
      </c>
      <c r="E2552" t="s">
        <v>101</v>
      </c>
      <c r="F2552" t="s">
        <v>40</v>
      </c>
      <c r="G2552" t="s">
        <v>54</v>
      </c>
      <c r="H2552" t="s">
        <v>42</v>
      </c>
      <c r="I2552" t="s">
        <v>25</v>
      </c>
      <c r="J2552" t="s">
        <v>26</v>
      </c>
      <c r="K2552" t="s">
        <v>27</v>
      </c>
      <c r="L2552" t="s">
        <v>49</v>
      </c>
      <c r="M2552" s="4">
        <v>9</v>
      </c>
      <c r="N2552" s="4">
        <v>7</v>
      </c>
      <c r="O2552" t="s">
        <v>29</v>
      </c>
      <c r="P2552" t="s">
        <v>29</v>
      </c>
      <c r="Q2552" s="4">
        <v>92646</v>
      </c>
      <c r="R2552" s="4">
        <v>77497</v>
      </c>
      <c r="S2552" s="4">
        <f>Table1[[#This Row],[Service_Revenue]]-Table1[[#This Row],[Service_Cost]]</f>
        <v>15149</v>
      </c>
      <c r="T2552" s="4">
        <v>3</v>
      </c>
      <c r="U2552" s="4">
        <f>IF(AND(Table1[[#This Row],[Rework_Flag]]="Yes",Table1[[#This Row],[Warranty_Claim]]="No"),Table1[[#This Row],[Service_Revenue]],0)</f>
        <v>0</v>
      </c>
      <c r="V2552" s="4">
        <f>IF(Table1[[#This Row],[Warranty_Claim]]="Yes",1,0)</f>
        <v>1</v>
      </c>
      <c r="W2552" s="4">
        <f>IF(Table1[[#This Row],[Rework_Flag]]="No",1,0)</f>
        <v>0</v>
      </c>
      <c r="X2552" s="4">
        <f>IF(Table1[[#This Row],[Rework_Flag]]="Yes",1,0)</f>
        <v>1</v>
      </c>
      <c r="Y2552" s="4">
        <v>1</v>
      </c>
      <c r="Z2552" s="4" t="str">
        <f>IF(Table1[[#This Row],[TAT_Days]]&gt;Table1[[#This Row],[SLA_TAT]],"Yes","No")</f>
        <v>Yes</v>
      </c>
      <c r="AA2552" s="4" t="str" cm="1">
        <f t="array" ref="AA2552">_xlfn.IFS(Table1[[#This Row],[Customer_Satisfaction]]&lt;=2,"Poor",Table1[[#This Row],[Customer_Satisfaction]]=3,"Neutral",Table1[[#This Row],[Customer_Satisfaction]]=4,"Good",Table1[[#This Row],[Customer_Satisfaction]]=5,"Good")</f>
        <v>Neutral</v>
      </c>
    </row>
    <row r="2553" spans="1:27" x14ac:dyDescent="0.35">
      <c r="A2553">
        <v>22551</v>
      </c>
      <c r="B2553" s="1">
        <v>45400</v>
      </c>
      <c r="C2553" t="s">
        <v>30</v>
      </c>
      <c r="D2553" t="s">
        <v>83</v>
      </c>
      <c r="E2553" t="s">
        <v>90</v>
      </c>
      <c r="F2553" t="s">
        <v>22</v>
      </c>
      <c r="G2553" t="s">
        <v>41</v>
      </c>
      <c r="H2553" t="s">
        <v>42</v>
      </c>
      <c r="I2553" t="s">
        <v>25</v>
      </c>
      <c r="J2553" t="s">
        <v>43</v>
      </c>
      <c r="K2553" t="s">
        <v>44</v>
      </c>
      <c r="L2553" t="s">
        <v>49</v>
      </c>
      <c r="M2553" s="4">
        <v>22</v>
      </c>
      <c r="N2553" s="4">
        <v>7</v>
      </c>
      <c r="O2553" t="s">
        <v>29</v>
      </c>
      <c r="P2553" t="s">
        <v>36</v>
      </c>
      <c r="Q2553" s="4">
        <v>177095</v>
      </c>
      <c r="R2553" s="4">
        <v>95941</v>
      </c>
      <c r="S2553" s="4">
        <f>Table1[[#This Row],[Service_Revenue]]-Table1[[#This Row],[Service_Cost]]</f>
        <v>81154</v>
      </c>
      <c r="T2553" s="4">
        <v>1</v>
      </c>
      <c r="U2553" s="4">
        <f>IF(AND(Table1[[#This Row],[Rework_Flag]]="Yes",Table1[[#This Row],[Warranty_Claim]]="No"),Table1[[#This Row],[Service_Revenue]],0)</f>
        <v>177095</v>
      </c>
      <c r="V2553" s="4">
        <f>IF(Table1[[#This Row],[Warranty_Claim]]="Yes",1,0)</f>
        <v>0</v>
      </c>
      <c r="W2553" s="4">
        <f>IF(Table1[[#This Row],[Rework_Flag]]="No",1,0)</f>
        <v>0</v>
      </c>
      <c r="X2553" s="4">
        <f>IF(Table1[[#This Row],[Rework_Flag]]="Yes",1,0)</f>
        <v>1</v>
      </c>
      <c r="Y2553" s="4">
        <v>1</v>
      </c>
      <c r="Z2553" s="4" t="str">
        <f>IF(Table1[[#This Row],[TAT_Days]]&gt;Table1[[#This Row],[SLA_TAT]],"Yes","No")</f>
        <v>Yes</v>
      </c>
      <c r="AA2553" s="4" t="str" cm="1">
        <f t="array" ref="AA2553">_xlfn.IFS(Table1[[#This Row],[Customer_Satisfaction]]&lt;=2,"Poor",Table1[[#This Row],[Customer_Satisfaction]]=3,"Neutral",Table1[[#This Row],[Customer_Satisfaction]]=4,"Good",Table1[[#This Row],[Customer_Satisfaction]]=5,"Good")</f>
        <v>Poor</v>
      </c>
    </row>
    <row r="2554" spans="1:27" x14ac:dyDescent="0.35">
      <c r="A2554">
        <v>22552</v>
      </c>
      <c r="B2554" s="1">
        <v>45466</v>
      </c>
      <c r="C2554" t="s">
        <v>37</v>
      </c>
      <c r="D2554" t="s">
        <v>38</v>
      </c>
      <c r="E2554" t="s">
        <v>107</v>
      </c>
      <c r="F2554" t="s">
        <v>22</v>
      </c>
      <c r="G2554" t="s">
        <v>23</v>
      </c>
      <c r="H2554" t="s">
        <v>24</v>
      </c>
      <c r="I2554" t="s">
        <v>55</v>
      </c>
      <c r="J2554" t="s">
        <v>58</v>
      </c>
      <c r="K2554" t="s">
        <v>44</v>
      </c>
      <c r="L2554" t="s">
        <v>49</v>
      </c>
      <c r="M2554" s="4">
        <v>15</v>
      </c>
      <c r="N2554" s="4">
        <v>7</v>
      </c>
      <c r="O2554" t="s">
        <v>36</v>
      </c>
      <c r="P2554" t="s">
        <v>36</v>
      </c>
      <c r="Q2554" s="4">
        <v>295062</v>
      </c>
      <c r="R2554" s="4">
        <v>229032</v>
      </c>
      <c r="S2554" s="4">
        <f>Table1[[#This Row],[Service_Revenue]]-Table1[[#This Row],[Service_Cost]]</f>
        <v>66030</v>
      </c>
      <c r="T2554" s="4">
        <v>2</v>
      </c>
      <c r="U2554" s="4">
        <f>IF(AND(Table1[[#This Row],[Rework_Flag]]="Yes",Table1[[#This Row],[Warranty_Claim]]="No"),Table1[[#This Row],[Service_Revenue]],0)</f>
        <v>0</v>
      </c>
      <c r="V2554" s="4">
        <f>IF(Table1[[#This Row],[Warranty_Claim]]="Yes",1,0)</f>
        <v>0</v>
      </c>
      <c r="W2554" s="4">
        <f>IF(Table1[[#This Row],[Rework_Flag]]="No",1,0)</f>
        <v>1</v>
      </c>
      <c r="X2554" s="4">
        <f>IF(Table1[[#This Row],[Rework_Flag]]="Yes",1,0)</f>
        <v>0</v>
      </c>
      <c r="Y2554" s="4">
        <v>1</v>
      </c>
      <c r="Z2554" s="4" t="str">
        <f>IF(Table1[[#This Row],[TAT_Days]]&gt;Table1[[#This Row],[SLA_TAT]],"Yes","No")</f>
        <v>Yes</v>
      </c>
      <c r="AA2554" s="4" t="str" cm="1">
        <f t="array" ref="AA2554">_xlfn.IFS(Table1[[#This Row],[Customer_Satisfaction]]&lt;=2,"Poor",Table1[[#This Row],[Customer_Satisfaction]]=3,"Neutral",Table1[[#This Row],[Customer_Satisfaction]]=4,"Good",Table1[[#This Row],[Customer_Satisfaction]]=5,"Good")</f>
        <v>Poor</v>
      </c>
    </row>
    <row r="2555" spans="1:27" x14ac:dyDescent="0.35">
      <c r="A2555">
        <v>22553</v>
      </c>
      <c r="B2555" s="1">
        <v>45391</v>
      </c>
      <c r="C2555" t="s">
        <v>19</v>
      </c>
      <c r="D2555" t="s">
        <v>45</v>
      </c>
      <c r="E2555" t="s">
        <v>46</v>
      </c>
      <c r="F2555" t="s">
        <v>40</v>
      </c>
      <c r="G2555" t="s">
        <v>47</v>
      </c>
      <c r="H2555" t="s">
        <v>48</v>
      </c>
      <c r="I2555" t="s">
        <v>55</v>
      </c>
      <c r="J2555" t="s">
        <v>43</v>
      </c>
      <c r="K2555" t="s">
        <v>27</v>
      </c>
      <c r="L2555" t="s">
        <v>49</v>
      </c>
      <c r="M2555" s="4">
        <v>4</v>
      </c>
      <c r="N2555" s="4">
        <v>7</v>
      </c>
      <c r="O2555" t="s">
        <v>36</v>
      </c>
      <c r="P2555" t="s">
        <v>29</v>
      </c>
      <c r="Q2555" s="4">
        <v>328296</v>
      </c>
      <c r="R2555" s="4">
        <v>210596</v>
      </c>
      <c r="S2555" s="4">
        <f>Table1[[#This Row],[Service_Revenue]]-Table1[[#This Row],[Service_Cost]]</f>
        <v>117700</v>
      </c>
      <c r="T2555" s="4">
        <v>5</v>
      </c>
      <c r="U2555" s="4">
        <f>IF(AND(Table1[[#This Row],[Rework_Flag]]="Yes",Table1[[#This Row],[Warranty_Claim]]="No"),Table1[[#This Row],[Service_Revenue]],0)</f>
        <v>0</v>
      </c>
      <c r="V2555" s="4">
        <f>IF(Table1[[#This Row],[Warranty_Claim]]="Yes",1,0)</f>
        <v>1</v>
      </c>
      <c r="W2555" s="4">
        <f>IF(Table1[[#This Row],[Rework_Flag]]="No",1,0)</f>
        <v>1</v>
      </c>
      <c r="X2555" s="4">
        <f>IF(Table1[[#This Row],[Rework_Flag]]="Yes",1,0)</f>
        <v>0</v>
      </c>
      <c r="Y2555" s="4">
        <v>1</v>
      </c>
      <c r="Z2555" s="4" t="str">
        <f>IF(Table1[[#This Row],[TAT_Days]]&gt;Table1[[#This Row],[SLA_TAT]],"Yes","No")</f>
        <v>No</v>
      </c>
      <c r="AA2555" s="4" t="str" cm="1">
        <f t="array" ref="AA2555">_xlfn.IFS(Table1[[#This Row],[Customer_Satisfaction]]&lt;=2,"Poor",Table1[[#This Row],[Customer_Satisfaction]]=3,"Neutral",Table1[[#This Row],[Customer_Satisfaction]]=4,"Good",Table1[[#This Row],[Customer_Satisfaction]]=5,"Good")</f>
        <v>Good</v>
      </c>
    </row>
    <row r="2556" spans="1:27" x14ac:dyDescent="0.35">
      <c r="A2556">
        <v>22554</v>
      </c>
      <c r="B2556" s="1">
        <v>45442</v>
      </c>
      <c r="C2556" t="s">
        <v>19</v>
      </c>
      <c r="D2556" t="s">
        <v>20</v>
      </c>
      <c r="E2556" t="s">
        <v>117</v>
      </c>
      <c r="F2556" t="s">
        <v>22</v>
      </c>
      <c r="G2556" t="s">
        <v>47</v>
      </c>
      <c r="H2556" t="s">
        <v>48</v>
      </c>
      <c r="I2556" t="s">
        <v>55</v>
      </c>
      <c r="J2556" t="s">
        <v>67</v>
      </c>
      <c r="K2556" t="s">
        <v>61</v>
      </c>
      <c r="L2556" t="s">
        <v>49</v>
      </c>
      <c r="M2556" s="4">
        <v>18</v>
      </c>
      <c r="N2556" s="4">
        <v>7</v>
      </c>
      <c r="O2556" t="s">
        <v>29</v>
      </c>
      <c r="P2556" t="s">
        <v>36</v>
      </c>
      <c r="Q2556" s="4">
        <v>459651</v>
      </c>
      <c r="R2556" s="4">
        <v>259544</v>
      </c>
      <c r="S2556" s="4">
        <f>Table1[[#This Row],[Service_Revenue]]-Table1[[#This Row],[Service_Cost]]</f>
        <v>200107</v>
      </c>
      <c r="T2556" s="4">
        <v>1</v>
      </c>
      <c r="U2556" s="4">
        <f>IF(AND(Table1[[#This Row],[Rework_Flag]]="Yes",Table1[[#This Row],[Warranty_Claim]]="No"),Table1[[#This Row],[Service_Revenue]],0)</f>
        <v>459651</v>
      </c>
      <c r="V2556" s="4">
        <f>IF(Table1[[#This Row],[Warranty_Claim]]="Yes",1,0)</f>
        <v>0</v>
      </c>
      <c r="W2556" s="4">
        <f>IF(Table1[[#This Row],[Rework_Flag]]="No",1,0)</f>
        <v>0</v>
      </c>
      <c r="X2556" s="4">
        <f>IF(Table1[[#This Row],[Rework_Flag]]="Yes",1,0)</f>
        <v>1</v>
      </c>
      <c r="Y2556" s="4">
        <v>1</v>
      </c>
      <c r="Z2556" s="4" t="str">
        <f>IF(Table1[[#This Row],[TAT_Days]]&gt;Table1[[#This Row],[SLA_TAT]],"Yes","No")</f>
        <v>Yes</v>
      </c>
      <c r="AA2556" s="4" t="str" cm="1">
        <f t="array" ref="AA2556">_xlfn.IFS(Table1[[#This Row],[Customer_Satisfaction]]&lt;=2,"Poor",Table1[[#This Row],[Customer_Satisfaction]]=3,"Neutral",Table1[[#This Row],[Customer_Satisfaction]]=4,"Good",Table1[[#This Row],[Customer_Satisfaction]]=5,"Good")</f>
        <v>Poor</v>
      </c>
    </row>
    <row r="2557" spans="1:27" x14ac:dyDescent="0.35">
      <c r="A2557">
        <v>22555</v>
      </c>
      <c r="B2557" s="1">
        <v>45403</v>
      </c>
      <c r="C2557" t="s">
        <v>30</v>
      </c>
      <c r="D2557" t="s">
        <v>83</v>
      </c>
      <c r="E2557" t="s">
        <v>90</v>
      </c>
      <c r="F2557" t="s">
        <v>22</v>
      </c>
      <c r="G2557" t="s">
        <v>74</v>
      </c>
      <c r="H2557" t="s">
        <v>34</v>
      </c>
      <c r="I2557" t="s">
        <v>55</v>
      </c>
      <c r="J2557" t="s">
        <v>35</v>
      </c>
      <c r="K2557" t="s">
        <v>27</v>
      </c>
      <c r="L2557" t="s">
        <v>28</v>
      </c>
      <c r="M2557" s="4">
        <v>13</v>
      </c>
      <c r="N2557" s="4">
        <v>7</v>
      </c>
      <c r="O2557" t="s">
        <v>29</v>
      </c>
      <c r="P2557" t="s">
        <v>36</v>
      </c>
      <c r="Q2557" s="4">
        <v>123695</v>
      </c>
      <c r="R2557" s="4">
        <v>91490</v>
      </c>
      <c r="S2557" s="4">
        <f>Table1[[#This Row],[Service_Revenue]]-Table1[[#This Row],[Service_Cost]]</f>
        <v>32205</v>
      </c>
      <c r="T2557" s="4">
        <v>2</v>
      </c>
      <c r="U2557" s="4">
        <f>IF(AND(Table1[[#This Row],[Rework_Flag]]="Yes",Table1[[#This Row],[Warranty_Claim]]="No"),Table1[[#This Row],[Service_Revenue]],0)</f>
        <v>123695</v>
      </c>
      <c r="V2557" s="4">
        <f>IF(Table1[[#This Row],[Warranty_Claim]]="Yes",1,0)</f>
        <v>0</v>
      </c>
      <c r="W2557" s="4">
        <f>IF(Table1[[#This Row],[Rework_Flag]]="No",1,0)</f>
        <v>0</v>
      </c>
      <c r="X2557" s="4">
        <f>IF(Table1[[#This Row],[Rework_Flag]]="Yes",1,0)</f>
        <v>1</v>
      </c>
      <c r="Y2557" s="4">
        <v>1</v>
      </c>
      <c r="Z2557" s="4" t="str">
        <f>IF(Table1[[#This Row],[TAT_Days]]&gt;Table1[[#This Row],[SLA_TAT]],"Yes","No")</f>
        <v>Yes</v>
      </c>
      <c r="AA2557" s="4" t="str" cm="1">
        <f t="array" ref="AA2557">_xlfn.IFS(Table1[[#This Row],[Customer_Satisfaction]]&lt;=2,"Poor",Table1[[#This Row],[Customer_Satisfaction]]=3,"Neutral",Table1[[#This Row],[Customer_Satisfaction]]=4,"Good",Table1[[#This Row],[Customer_Satisfaction]]=5,"Good")</f>
        <v>Poor</v>
      </c>
    </row>
    <row r="2558" spans="1:27" x14ac:dyDescent="0.35">
      <c r="A2558">
        <v>22556</v>
      </c>
      <c r="B2558" s="1">
        <v>45457</v>
      </c>
      <c r="C2558" t="s">
        <v>19</v>
      </c>
      <c r="D2558" t="s">
        <v>96</v>
      </c>
      <c r="E2558" t="s">
        <v>108</v>
      </c>
      <c r="F2558" t="s">
        <v>40</v>
      </c>
      <c r="G2558" t="s">
        <v>63</v>
      </c>
      <c r="H2558" t="s">
        <v>24</v>
      </c>
      <c r="I2558" t="s">
        <v>55</v>
      </c>
      <c r="J2558" t="s">
        <v>35</v>
      </c>
      <c r="K2558" t="s">
        <v>27</v>
      </c>
      <c r="L2558" t="s">
        <v>49</v>
      </c>
      <c r="M2558" s="4">
        <v>21</v>
      </c>
      <c r="N2558" s="4">
        <v>7</v>
      </c>
      <c r="O2558" t="s">
        <v>29</v>
      </c>
      <c r="P2558" t="s">
        <v>36</v>
      </c>
      <c r="Q2558" s="4">
        <v>351560</v>
      </c>
      <c r="R2558" s="4">
        <v>184953</v>
      </c>
      <c r="S2558" s="4">
        <f>Table1[[#This Row],[Service_Revenue]]-Table1[[#This Row],[Service_Cost]]</f>
        <v>166607</v>
      </c>
      <c r="T2558" s="4">
        <v>1</v>
      </c>
      <c r="U2558" s="4">
        <f>IF(AND(Table1[[#This Row],[Rework_Flag]]="Yes",Table1[[#This Row],[Warranty_Claim]]="No"),Table1[[#This Row],[Service_Revenue]],0)</f>
        <v>351560</v>
      </c>
      <c r="V2558" s="4">
        <f>IF(Table1[[#This Row],[Warranty_Claim]]="Yes",1,0)</f>
        <v>0</v>
      </c>
      <c r="W2558" s="4">
        <f>IF(Table1[[#This Row],[Rework_Flag]]="No",1,0)</f>
        <v>0</v>
      </c>
      <c r="X2558" s="4">
        <f>IF(Table1[[#This Row],[Rework_Flag]]="Yes",1,0)</f>
        <v>1</v>
      </c>
      <c r="Y2558" s="4">
        <v>1</v>
      </c>
      <c r="Z2558" s="4" t="str">
        <f>IF(Table1[[#This Row],[TAT_Days]]&gt;Table1[[#This Row],[SLA_TAT]],"Yes","No")</f>
        <v>Yes</v>
      </c>
      <c r="AA2558" s="4" t="str" cm="1">
        <f t="array" ref="AA2558">_xlfn.IFS(Table1[[#This Row],[Customer_Satisfaction]]&lt;=2,"Poor",Table1[[#This Row],[Customer_Satisfaction]]=3,"Neutral",Table1[[#This Row],[Customer_Satisfaction]]=4,"Good",Table1[[#This Row],[Customer_Satisfaction]]=5,"Good")</f>
        <v>Poor</v>
      </c>
    </row>
    <row r="2559" spans="1:27" x14ac:dyDescent="0.35">
      <c r="A2559">
        <v>22557</v>
      </c>
      <c r="B2559" s="1">
        <v>45334</v>
      </c>
      <c r="C2559" t="s">
        <v>19</v>
      </c>
      <c r="D2559" t="s">
        <v>20</v>
      </c>
      <c r="E2559" t="s">
        <v>110</v>
      </c>
      <c r="F2559" t="s">
        <v>53</v>
      </c>
      <c r="G2559" t="s">
        <v>74</v>
      </c>
      <c r="H2559" t="s">
        <v>34</v>
      </c>
      <c r="I2559" t="s">
        <v>55</v>
      </c>
      <c r="J2559" t="s">
        <v>43</v>
      </c>
      <c r="K2559" t="s">
        <v>44</v>
      </c>
      <c r="L2559" t="s">
        <v>49</v>
      </c>
      <c r="M2559" s="4">
        <v>21</v>
      </c>
      <c r="N2559" s="4">
        <v>7</v>
      </c>
      <c r="O2559" t="s">
        <v>29</v>
      </c>
      <c r="P2559" t="s">
        <v>36</v>
      </c>
      <c r="Q2559" s="4">
        <v>124117</v>
      </c>
      <c r="R2559" s="4">
        <v>72087</v>
      </c>
      <c r="S2559" s="4">
        <f>Table1[[#This Row],[Service_Revenue]]-Table1[[#This Row],[Service_Cost]]</f>
        <v>52030</v>
      </c>
      <c r="T2559" s="4">
        <v>1</v>
      </c>
      <c r="U2559" s="4">
        <f>IF(AND(Table1[[#This Row],[Rework_Flag]]="Yes",Table1[[#This Row],[Warranty_Claim]]="No"),Table1[[#This Row],[Service_Revenue]],0)</f>
        <v>124117</v>
      </c>
      <c r="V2559" s="4">
        <f>IF(Table1[[#This Row],[Warranty_Claim]]="Yes",1,0)</f>
        <v>0</v>
      </c>
      <c r="W2559" s="4">
        <f>IF(Table1[[#This Row],[Rework_Flag]]="No",1,0)</f>
        <v>0</v>
      </c>
      <c r="X2559" s="4">
        <f>IF(Table1[[#This Row],[Rework_Flag]]="Yes",1,0)</f>
        <v>1</v>
      </c>
      <c r="Y2559" s="4">
        <v>1</v>
      </c>
      <c r="Z2559" s="4" t="str">
        <f>IF(Table1[[#This Row],[TAT_Days]]&gt;Table1[[#This Row],[SLA_TAT]],"Yes","No")</f>
        <v>Yes</v>
      </c>
      <c r="AA2559" s="4" t="str" cm="1">
        <f t="array" ref="AA2559">_xlfn.IFS(Table1[[#This Row],[Customer_Satisfaction]]&lt;=2,"Poor",Table1[[#This Row],[Customer_Satisfaction]]=3,"Neutral",Table1[[#This Row],[Customer_Satisfaction]]=4,"Good",Table1[[#This Row],[Customer_Satisfaction]]=5,"Good")</f>
        <v>Poor</v>
      </c>
    </row>
    <row r="2560" spans="1:27" x14ac:dyDescent="0.35">
      <c r="A2560">
        <v>22558</v>
      </c>
      <c r="B2560" s="1">
        <v>45341</v>
      </c>
      <c r="C2560" t="s">
        <v>50</v>
      </c>
      <c r="D2560" t="s">
        <v>80</v>
      </c>
      <c r="E2560" t="s">
        <v>104</v>
      </c>
      <c r="F2560" t="s">
        <v>40</v>
      </c>
      <c r="G2560" t="s">
        <v>63</v>
      </c>
      <c r="H2560" t="s">
        <v>24</v>
      </c>
      <c r="I2560" t="s">
        <v>25</v>
      </c>
      <c r="J2560" t="s">
        <v>26</v>
      </c>
      <c r="K2560" t="s">
        <v>27</v>
      </c>
      <c r="L2560" t="s">
        <v>49</v>
      </c>
      <c r="M2560" s="4">
        <v>15</v>
      </c>
      <c r="N2560" s="4">
        <v>7</v>
      </c>
      <c r="O2560" t="s">
        <v>29</v>
      </c>
      <c r="P2560" t="s">
        <v>29</v>
      </c>
      <c r="Q2560" s="4">
        <v>217421</v>
      </c>
      <c r="R2560" s="4">
        <v>147625</v>
      </c>
      <c r="S2560" s="4">
        <f>Table1[[#This Row],[Service_Revenue]]-Table1[[#This Row],[Service_Cost]]</f>
        <v>69796</v>
      </c>
      <c r="T2560" s="4">
        <v>1</v>
      </c>
      <c r="U2560" s="4">
        <f>IF(AND(Table1[[#This Row],[Rework_Flag]]="Yes",Table1[[#This Row],[Warranty_Claim]]="No"),Table1[[#This Row],[Service_Revenue]],0)</f>
        <v>0</v>
      </c>
      <c r="V2560" s="4">
        <f>IF(Table1[[#This Row],[Warranty_Claim]]="Yes",1,0)</f>
        <v>1</v>
      </c>
      <c r="W2560" s="4">
        <f>IF(Table1[[#This Row],[Rework_Flag]]="No",1,0)</f>
        <v>0</v>
      </c>
      <c r="X2560" s="4">
        <f>IF(Table1[[#This Row],[Rework_Flag]]="Yes",1,0)</f>
        <v>1</v>
      </c>
      <c r="Y2560" s="4">
        <v>1</v>
      </c>
      <c r="Z2560" s="4" t="str">
        <f>IF(Table1[[#This Row],[TAT_Days]]&gt;Table1[[#This Row],[SLA_TAT]],"Yes","No")</f>
        <v>Yes</v>
      </c>
      <c r="AA2560" s="4" t="str" cm="1">
        <f t="array" ref="AA2560">_xlfn.IFS(Table1[[#This Row],[Customer_Satisfaction]]&lt;=2,"Poor",Table1[[#This Row],[Customer_Satisfaction]]=3,"Neutral",Table1[[#This Row],[Customer_Satisfaction]]=4,"Good",Table1[[#This Row],[Customer_Satisfaction]]=5,"Good")</f>
        <v>Poor</v>
      </c>
    </row>
    <row r="2561" spans="1:27" x14ac:dyDescent="0.35">
      <c r="A2561">
        <v>22559</v>
      </c>
      <c r="B2561" s="1">
        <v>45435</v>
      </c>
      <c r="C2561" t="s">
        <v>37</v>
      </c>
      <c r="D2561" t="s">
        <v>64</v>
      </c>
      <c r="E2561" t="s">
        <v>65</v>
      </c>
      <c r="F2561" t="s">
        <v>40</v>
      </c>
      <c r="G2561" t="s">
        <v>41</v>
      </c>
      <c r="H2561" t="s">
        <v>42</v>
      </c>
      <c r="I2561" t="s">
        <v>25</v>
      </c>
      <c r="J2561" t="s">
        <v>43</v>
      </c>
      <c r="K2561" t="s">
        <v>44</v>
      </c>
      <c r="L2561" t="s">
        <v>28</v>
      </c>
      <c r="M2561" s="4">
        <v>17</v>
      </c>
      <c r="N2561" s="4">
        <v>7</v>
      </c>
      <c r="O2561" t="s">
        <v>29</v>
      </c>
      <c r="P2561" t="s">
        <v>29</v>
      </c>
      <c r="Q2561" s="4">
        <v>316860</v>
      </c>
      <c r="R2561" s="4">
        <v>184184</v>
      </c>
      <c r="S2561" s="4">
        <f>Table1[[#This Row],[Service_Revenue]]-Table1[[#This Row],[Service_Cost]]</f>
        <v>132676</v>
      </c>
      <c r="T2561" s="4">
        <v>1</v>
      </c>
      <c r="U2561" s="4">
        <f>IF(AND(Table1[[#This Row],[Rework_Flag]]="Yes",Table1[[#This Row],[Warranty_Claim]]="No"),Table1[[#This Row],[Service_Revenue]],0)</f>
        <v>0</v>
      </c>
      <c r="V2561" s="4">
        <f>IF(Table1[[#This Row],[Warranty_Claim]]="Yes",1,0)</f>
        <v>1</v>
      </c>
      <c r="W2561" s="4">
        <f>IF(Table1[[#This Row],[Rework_Flag]]="No",1,0)</f>
        <v>0</v>
      </c>
      <c r="X2561" s="4">
        <f>IF(Table1[[#This Row],[Rework_Flag]]="Yes",1,0)</f>
        <v>1</v>
      </c>
      <c r="Y2561" s="4">
        <v>1</v>
      </c>
      <c r="Z2561" s="4" t="str">
        <f>IF(Table1[[#This Row],[TAT_Days]]&gt;Table1[[#This Row],[SLA_TAT]],"Yes","No")</f>
        <v>Yes</v>
      </c>
      <c r="AA2561" s="4" t="str" cm="1">
        <f t="array" ref="AA2561">_xlfn.IFS(Table1[[#This Row],[Customer_Satisfaction]]&lt;=2,"Poor",Table1[[#This Row],[Customer_Satisfaction]]=3,"Neutral",Table1[[#This Row],[Customer_Satisfaction]]=4,"Good",Table1[[#This Row],[Customer_Satisfaction]]=5,"Good")</f>
        <v>Poor</v>
      </c>
    </row>
    <row r="2562" spans="1:27" x14ac:dyDescent="0.35">
      <c r="A2562">
        <v>22560</v>
      </c>
      <c r="B2562" s="1">
        <v>45425</v>
      </c>
      <c r="C2562" t="s">
        <v>19</v>
      </c>
      <c r="D2562" t="s">
        <v>45</v>
      </c>
      <c r="E2562" t="s">
        <v>111</v>
      </c>
      <c r="F2562" t="s">
        <v>53</v>
      </c>
      <c r="G2562" t="s">
        <v>33</v>
      </c>
      <c r="H2562" t="s">
        <v>34</v>
      </c>
      <c r="I2562" t="s">
        <v>25</v>
      </c>
      <c r="J2562" t="s">
        <v>67</v>
      </c>
      <c r="K2562" t="s">
        <v>44</v>
      </c>
      <c r="L2562" t="s">
        <v>28</v>
      </c>
      <c r="M2562" s="4">
        <v>20</v>
      </c>
      <c r="N2562" s="4">
        <v>7</v>
      </c>
      <c r="O2562" t="s">
        <v>29</v>
      </c>
      <c r="P2562" t="s">
        <v>36</v>
      </c>
      <c r="Q2562" s="4">
        <v>210170</v>
      </c>
      <c r="R2562" s="4">
        <v>124491</v>
      </c>
      <c r="S2562" s="4">
        <f>Table1[[#This Row],[Service_Revenue]]-Table1[[#This Row],[Service_Cost]]</f>
        <v>85679</v>
      </c>
      <c r="T2562" s="4">
        <v>1</v>
      </c>
      <c r="U2562" s="4">
        <f>IF(AND(Table1[[#This Row],[Rework_Flag]]="Yes",Table1[[#This Row],[Warranty_Claim]]="No"),Table1[[#This Row],[Service_Revenue]],0)</f>
        <v>210170</v>
      </c>
      <c r="V2562" s="4">
        <f>IF(Table1[[#This Row],[Warranty_Claim]]="Yes",1,0)</f>
        <v>0</v>
      </c>
      <c r="W2562" s="4">
        <f>IF(Table1[[#This Row],[Rework_Flag]]="No",1,0)</f>
        <v>0</v>
      </c>
      <c r="X2562" s="4">
        <f>IF(Table1[[#This Row],[Rework_Flag]]="Yes",1,0)</f>
        <v>1</v>
      </c>
      <c r="Y2562" s="4">
        <v>1</v>
      </c>
      <c r="Z2562" s="4" t="str">
        <f>IF(Table1[[#This Row],[TAT_Days]]&gt;Table1[[#This Row],[SLA_TAT]],"Yes","No")</f>
        <v>Yes</v>
      </c>
      <c r="AA2562" s="4" t="str" cm="1">
        <f t="array" ref="AA2562">_xlfn.IFS(Table1[[#This Row],[Customer_Satisfaction]]&lt;=2,"Poor",Table1[[#This Row],[Customer_Satisfaction]]=3,"Neutral",Table1[[#This Row],[Customer_Satisfaction]]=4,"Good",Table1[[#This Row],[Customer_Satisfaction]]=5,"Good")</f>
        <v>Poor</v>
      </c>
    </row>
    <row r="2563" spans="1:27" x14ac:dyDescent="0.35">
      <c r="A2563">
        <v>22561</v>
      </c>
      <c r="B2563" s="1">
        <v>45350</v>
      </c>
      <c r="C2563" t="s">
        <v>30</v>
      </c>
      <c r="D2563" t="s">
        <v>59</v>
      </c>
      <c r="E2563" t="s">
        <v>94</v>
      </c>
      <c r="F2563" t="s">
        <v>22</v>
      </c>
      <c r="G2563" t="s">
        <v>47</v>
      </c>
      <c r="H2563" t="s">
        <v>48</v>
      </c>
      <c r="I2563" t="s">
        <v>55</v>
      </c>
      <c r="J2563" t="s">
        <v>43</v>
      </c>
      <c r="K2563" t="s">
        <v>61</v>
      </c>
      <c r="L2563" t="s">
        <v>28</v>
      </c>
      <c r="M2563" s="4">
        <v>11</v>
      </c>
      <c r="N2563" s="4">
        <v>7</v>
      </c>
      <c r="O2563" t="s">
        <v>36</v>
      </c>
      <c r="P2563" t="s">
        <v>36</v>
      </c>
      <c r="Q2563" s="4">
        <v>189589</v>
      </c>
      <c r="R2563" s="4">
        <v>127860</v>
      </c>
      <c r="S2563" s="4">
        <f>Table1[[#This Row],[Service_Revenue]]-Table1[[#This Row],[Service_Cost]]</f>
        <v>61729</v>
      </c>
      <c r="T2563" s="4">
        <v>3</v>
      </c>
      <c r="U2563" s="4">
        <f>IF(AND(Table1[[#This Row],[Rework_Flag]]="Yes",Table1[[#This Row],[Warranty_Claim]]="No"),Table1[[#This Row],[Service_Revenue]],0)</f>
        <v>0</v>
      </c>
      <c r="V2563" s="4">
        <f>IF(Table1[[#This Row],[Warranty_Claim]]="Yes",1,0)</f>
        <v>0</v>
      </c>
      <c r="W2563" s="4">
        <f>IF(Table1[[#This Row],[Rework_Flag]]="No",1,0)</f>
        <v>1</v>
      </c>
      <c r="X2563" s="4">
        <f>IF(Table1[[#This Row],[Rework_Flag]]="Yes",1,0)</f>
        <v>0</v>
      </c>
      <c r="Y2563" s="4">
        <v>1</v>
      </c>
      <c r="Z2563" s="4" t="str">
        <f>IF(Table1[[#This Row],[TAT_Days]]&gt;Table1[[#This Row],[SLA_TAT]],"Yes","No")</f>
        <v>Yes</v>
      </c>
      <c r="AA2563" s="4" t="str" cm="1">
        <f t="array" ref="AA2563">_xlfn.IFS(Table1[[#This Row],[Customer_Satisfaction]]&lt;=2,"Poor",Table1[[#This Row],[Customer_Satisfaction]]=3,"Neutral",Table1[[#This Row],[Customer_Satisfaction]]=4,"Good",Table1[[#This Row],[Customer_Satisfaction]]=5,"Good")</f>
        <v>Neutral</v>
      </c>
    </row>
    <row r="2564" spans="1:27" x14ac:dyDescent="0.35">
      <c r="A2564">
        <v>22562</v>
      </c>
      <c r="B2564" s="1">
        <v>45423</v>
      </c>
      <c r="C2564" t="s">
        <v>30</v>
      </c>
      <c r="D2564" t="s">
        <v>83</v>
      </c>
      <c r="E2564" t="s">
        <v>90</v>
      </c>
      <c r="F2564" t="s">
        <v>22</v>
      </c>
      <c r="G2564" t="s">
        <v>23</v>
      </c>
      <c r="H2564" t="s">
        <v>24</v>
      </c>
      <c r="I2564" t="s">
        <v>55</v>
      </c>
      <c r="J2564" t="s">
        <v>26</v>
      </c>
      <c r="K2564" t="s">
        <v>27</v>
      </c>
      <c r="L2564" t="s">
        <v>28</v>
      </c>
      <c r="M2564" s="4">
        <v>16</v>
      </c>
      <c r="N2564" s="4">
        <v>7</v>
      </c>
      <c r="O2564" t="s">
        <v>29</v>
      </c>
      <c r="P2564" t="s">
        <v>36</v>
      </c>
      <c r="Q2564" s="4">
        <v>132226</v>
      </c>
      <c r="R2564" s="4">
        <v>83901</v>
      </c>
      <c r="S2564" s="4">
        <f>Table1[[#This Row],[Service_Revenue]]-Table1[[#This Row],[Service_Cost]]</f>
        <v>48325</v>
      </c>
      <c r="T2564" s="4">
        <v>1</v>
      </c>
      <c r="U2564" s="4">
        <f>IF(AND(Table1[[#This Row],[Rework_Flag]]="Yes",Table1[[#This Row],[Warranty_Claim]]="No"),Table1[[#This Row],[Service_Revenue]],0)</f>
        <v>132226</v>
      </c>
      <c r="V2564" s="4">
        <f>IF(Table1[[#This Row],[Warranty_Claim]]="Yes",1,0)</f>
        <v>0</v>
      </c>
      <c r="W2564" s="4">
        <f>IF(Table1[[#This Row],[Rework_Flag]]="No",1,0)</f>
        <v>0</v>
      </c>
      <c r="X2564" s="4">
        <f>IF(Table1[[#This Row],[Rework_Flag]]="Yes",1,0)</f>
        <v>1</v>
      </c>
      <c r="Y2564" s="4">
        <v>1</v>
      </c>
      <c r="Z2564" s="4" t="str">
        <f>IF(Table1[[#This Row],[TAT_Days]]&gt;Table1[[#This Row],[SLA_TAT]],"Yes","No")</f>
        <v>Yes</v>
      </c>
      <c r="AA2564" s="4" t="str" cm="1">
        <f t="array" ref="AA2564">_xlfn.IFS(Table1[[#This Row],[Customer_Satisfaction]]&lt;=2,"Poor",Table1[[#This Row],[Customer_Satisfaction]]=3,"Neutral",Table1[[#This Row],[Customer_Satisfaction]]=4,"Good",Table1[[#This Row],[Customer_Satisfaction]]=5,"Good")</f>
        <v>Poor</v>
      </c>
    </row>
    <row r="2565" spans="1:27" x14ac:dyDescent="0.35">
      <c r="A2565">
        <v>22563</v>
      </c>
      <c r="B2565" s="1">
        <v>45364</v>
      </c>
      <c r="C2565" t="s">
        <v>30</v>
      </c>
      <c r="D2565" t="s">
        <v>83</v>
      </c>
      <c r="E2565" t="s">
        <v>90</v>
      </c>
      <c r="F2565" t="s">
        <v>22</v>
      </c>
      <c r="G2565" t="s">
        <v>63</v>
      </c>
      <c r="H2565" t="s">
        <v>24</v>
      </c>
      <c r="I2565" t="s">
        <v>55</v>
      </c>
      <c r="J2565" t="s">
        <v>35</v>
      </c>
      <c r="K2565" t="s">
        <v>61</v>
      </c>
      <c r="L2565" t="s">
        <v>28</v>
      </c>
      <c r="M2565" s="4">
        <v>21</v>
      </c>
      <c r="N2565" s="4">
        <v>7</v>
      </c>
      <c r="O2565" t="s">
        <v>29</v>
      </c>
      <c r="P2565" t="s">
        <v>36</v>
      </c>
      <c r="Q2565" s="4">
        <v>550932</v>
      </c>
      <c r="R2565" s="4">
        <v>330922</v>
      </c>
      <c r="S2565" s="4">
        <f>Table1[[#This Row],[Service_Revenue]]-Table1[[#This Row],[Service_Cost]]</f>
        <v>220010</v>
      </c>
      <c r="T2565" s="4">
        <v>1</v>
      </c>
      <c r="U2565" s="4">
        <f>IF(AND(Table1[[#This Row],[Rework_Flag]]="Yes",Table1[[#This Row],[Warranty_Claim]]="No"),Table1[[#This Row],[Service_Revenue]],0)</f>
        <v>550932</v>
      </c>
      <c r="V2565" s="4">
        <f>IF(Table1[[#This Row],[Warranty_Claim]]="Yes",1,0)</f>
        <v>0</v>
      </c>
      <c r="W2565" s="4">
        <f>IF(Table1[[#This Row],[Rework_Flag]]="No",1,0)</f>
        <v>0</v>
      </c>
      <c r="X2565" s="4">
        <f>IF(Table1[[#This Row],[Rework_Flag]]="Yes",1,0)</f>
        <v>1</v>
      </c>
      <c r="Y2565" s="4">
        <v>1</v>
      </c>
      <c r="Z2565" s="4" t="str">
        <f>IF(Table1[[#This Row],[TAT_Days]]&gt;Table1[[#This Row],[SLA_TAT]],"Yes","No")</f>
        <v>Yes</v>
      </c>
      <c r="AA2565" s="4" t="str" cm="1">
        <f t="array" ref="AA2565">_xlfn.IFS(Table1[[#This Row],[Customer_Satisfaction]]&lt;=2,"Poor",Table1[[#This Row],[Customer_Satisfaction]]=3,"Neutral",Table1[[#This Row],[Customer_Satisfaction]]=4,"Good",Table1[[#This Row],[Customer_Satisfaction]]=5,"Good")</f>
        <v>Poor</v>
      </c>
    </row>
    <row r="2566" spans="1:27" x14ac:dyDescent="0.35">
      <c r="A2566">
        <v>22564</v>
      </c>
      <c r="B2566" s="1">
        <v>45333</v>
      </c>
      <c r="C2566" t="s">
        <v>19</v>
      </c>
      <c r="D2566" t="s">
        <v>45</v>
      </c>
      <c r="E2566" t="s">
        <v>46</v>
      </c>
      <c r="F2566" t="s">
        <v>40</v>
      </c>
      <c r="G2566" t="s">
        <v>74</v>
      </c>
      <c r="H2566" t="s">
        <v>34</v>
      </c>
      <c r="I2566" t="s">
        <v>25</v>
      </c>
      <c r="J2566" t="s">
        <v>58</v>
      </c>
      <c r="K2566" t="s">
        <v>61</v>
      </c>
      <c r="L2566" t="s">
        <v>28</v>
      </c>
      <c r="M2566" s="4">
        <v>8</v>
      </c>
      <c r="N2566" s="4">
        <v>7</v>
      </c>
      <c r="O2566" t="s">
        <v>29</v>
      </c>
      <c r="P2566" t="s">
        <v>36</v>
      </c>
      <c r="Q2566" s="4">
        <v>342686</v>
      </c>
      <c r="R2566" s="4">
        <v>257941</v>
      </c>
      <c r="S2566" s="4">
        <f>Table1[[#This Row],[Service_Revenue]]-Table1[[#This Row],[Service_Cost]]</f>
        <v>84745</v>
      </c>
      <c r="T2566" s="4">
        <v>3</v>
      </c>
      <c r="U2566" s="4">
        <f>IF(AND(Table1[[#This Row],[Rework_Flag]]="Yes",Table1[[#This Row],[Warranty_Claim]]="No"),Table1[[#This Row],[Service_Revenue]],0)</f>
        <v>342686</v>
      </c>
      <c r="V2566" s="4">
        <f>IF(Table1[[#This Row],[Warranty_Claim]]="Yes",1,0)</f>
        <v>0</v>
      </c>
      <c r="W2566" s="4">
        <f>IF(Table1[[#This Row],[Rework_Flag]]="No",1,0)</f>
        <v>0</v>
      </c>
      <c r="X2566" s="4">
        <f>IF(Table1[[#This Row],[Rework_Flag]]="Yes",1,0)</f>
        <v>1</v>
      </c>
      <c r="Y2566" s="4">
        <v>1</v>
      </c>
      <c r="Z2566" s="4" t="str">
        <f>IF(Table1[[#This Row],[TAT_Days]]&gt;Table1[[#This Row],[SLA_TAT]],"Yes","No")</f>
        <v>Yes</v>
      </c>
      <c r="AA2566" s="4" t="str" cm="1">
        <f t="array" ref="AA2566">_xlfn.IFS(Table1[[#This Row],[Customer_Satisfaction]]&lt;=2,"Poor",Table1[[#This Row],[Customer_Satisfaction]]=3,"Neutral",Table1[[#This Row],[Customer_Satisfaction]]=4,"Good",Table1[[#This Row],[Customer_Satisfaction]]=5,"Good")</f>
        <v>Neutral</v>
      </c>
    </row>
    <row r="2567" spans="1:27" x14ac:dyDescent="0.35">
      <c r="A2567">
        <v>22565</v>
      </c>
      <c r="B2567" s="1">
        <v>45456</v>
      </c>
      <c r="C2567" t="s">
        <v>30</v>
      </c>
      <c r="D2567" t="s">
        <v>59</v>
      </c>
      <c r="E2567" t="s">
        <v>94</v>
      </c>
      <c r="F2567" t="s">
        <v>40</v>
      </c>
      <c r="G2567" t="s">
        <v>74</v>
      </c>
      <c r="H2567" t="s">
        <v>34</v>
      </c>
      <c r="I2567" t="s">
        <v>55</v>
      </c>
      <c r="J2567" t="s">
        <v>58</v>
      </c>
      <c r="K2567" t="s">
        <v>44</v>
      </c>
      <c r="L2567" t="s">
        <v>49</v>
      </c>
      <c r="M2567" s="4">
        <v>6</v>
      </c>
      <c r="N2567" s="4">
        <v>7</v>
      </c>
      <c r="O2567" t="s">
        <v>29</v>
      </c>
      <c r="P2567" t="s">
        <v>36</v>
      </c>
      <c r="Q2567" s="4">
        <v>488536</v>
      </c>
      <c r="R2567" s="4">
        <v>258332</v>
      </c>
      <c r="S2567" s="4">
        <f>Table1[[#This Row],[Service_Revenue]]-Table1[[#This Row],[Service_Cost]]</f>
        <v>230204</v>
      </c>
      <c r="T2567" s="4">
        <v>3</v>
      </c>
      <c r="U2567" s="4">
        <f>IF(AND(Table1[[#This Row],[Rework_Flag]]="Yes",Table1[[#This Row],[Warranty_Claim]]="No"),Table1[[#This Row],[Service_Revenue]],0)</f>
        <v>488536</v>
      </c>
      <c r="V2567" s="4">
        <f>IF(Table1[[#This Row],[Warranty_Claim]]="Yes",1,0)</f>
        <v>0</v>
      </c>
      <c r="W2567" s="4">
        <f>IF(Table1[[#This Row],[Rework_Flag]]="No",1,0)</f>
        <v>0</v>
      </c>
      <c r="X2567" s="4">
        <f>IF(Table1[[#This Row],[Rework_Flag]]="Yes",1,0)</f>
        <v>1</v>
      </c>
      <c r="Y2567" s="4">
        <v>1</v>
      </c>
      <c r="Z2567" s="4" t="str">
        <f>IF(Table1[[#This Row],[TAT_Days]]&gt;Table1[[#This Row],[SLA_TAT]],"Yes","No")</f>
        <v>No</v>
      </c>
      <c r="AA2567" s="4" t="str" cm="1">
        <f t="array" ref="AA2567">_xlfn.IFS(Table1[[#This Row],[Customer_Satisfaction]]&lt;=2,"Poor",Table1[[#This Row],[Customer_Satisfaction]]=3,"Neutral",Table1[[#This Row],[Customer_Satisfaction]]=4,"Good",Table1[[#This Row],[Customer_Satisfaction]]=5,"Good")</f>
        <v>Neutral</v>
      </c>
    </row>
    <row r="2568" spans="1:27" x14ac:dyDescent="0.35">
      <c r="A2568">
        <v>22566</v>
      </c>
      <c r="B2568" s="1">
        <v>45322</v>
      </c>
      <c r="C2568" t="s">
        <v>37</v>
      </c>
      <c r="D2568" t="s">
        <v>38</v>
      </c>
      <c r="E2568" t="s">
        <v>112</v>
      </c>
      <c r="F2568" t="s">
        <v>40</v>
      </c>
      <c r="G2568" t="s">
        <v>41</v>
      </c>
      <c r="H2568" t="s">
        <v>42</v>
      </c>
      <c r="I2568" t="s">
        <v>55</v>
      </c>
      <c r="J2568" t="s">
        <v>67</v>
      </c>
      <c r="K2568" t="s">
        <v>61</v>
      </c>
      <c r="L2568" t="s">
        <v>28</v>
      </c>
      <c r="M2568" s="4">
        <v>10</v>
      </c>
      <c r="N2568" s="4">
        <v>7</v>
      </c>
      <c r="O2568" t="s">
        <v>36</v>
      </c>
      <c r="P2568" t="s">
        <v>36</v>
      </c>
      <c r="Q2568" s="4">
        <v>401401</v>
      </c>
      <c r="R2568" s="4">
        <v>204499</v>
      </c>
      <c r="S2568" s="4">
        <f>Table1[[#This Row],[Service_Revenue]]-Table1[[#This Row],[Service_Cost]]</f>
        <v>196902</v>
      </c>
      <c r="T2568" s="4">
        <v>3</v>
      </c>
      <c r="U2568" s="4">
        <f>IF(AND(Table1[[#This Row],[Rework_Flag]]="Yes",Table1[[#This Row],[Warranty_Claim]]="No"),Table1[[#This Row],[Service_Revenue]],0)</f>
        <v>0</v>
      </c>
      <c r="V2568" s="4">
        <f>IF(Table1[[#This Row],[Warranty_Claim]]="Yes",1,0)</f>
        <v>0</v>
      </c>
      <c r="W2568" s="4">
        <f>IF(Table1[[#This Row],[Rework_Flag]]="No",1,0)</f>
        <v>1</v>
      </c>
      <c r="X2568" s="4">
        <f>IF(Table1[[#This Row],[Rework_Flag]]="Yes",1,0)</f>
        <v>0</v>
      </c>
      <c r="Y2568" s="4">
        <v>1</v>
      </c>
      <c r="Z2568" s="4" t="str">
        <f>IF(Table1[[#This Row],[TAT_Days]]&gt;Table1[[#This Row],[SLA_TAT]],"Yes","No")</f>
        <v>Yes</v>
      </c>
      <c r="AA2568" s="4" t="str" cm="1">
        <f t="array" ref="AA2568">_xlfn.IFS(Table1[[#This Row],[Customer_Satisfaction]]&lt;=2,"Poor",Table1[[#This Row],[Customer_Satisfaction]]=3,"Neutral",Table1[[#This Row],[Customer_Satisfaction]]=4,"Good",Table1[[#This Row],[Customer_Satisfaction]]=5,"Good")</f>
        <v>Neutral</v>
      </c>
    </row>
    <row r="2569" spans="1:27" x14ac:dyDescent="0.35">
      <c r="A2569">
        <v>22567</v>
      </c>
      <c r="B2569" s="1">
        <v>45429</v>
      </c>
      <c r="C2569" t="s">
        <v>30</v>
      </c>
      <c r="D2569" t="s">
        <v>59</v>
      </c>
      <c r="E2569" t="s">
        <v>78</v>
      </c>
      <c r="F2569" t="s">
        <v>40</v>
      </c>
      <c r="G2569" t="s">
        <v>41</v>
      </c>
      <c r="H2569" t="s">
        <v>42</v>
      </c>
      <c r="I2569" t="s">
        <v>55</v>
      </c>
      <c r="J2569" t="s">
        <v>35</v>
      </c>
      <c r="K2569" t="s">
        <v>61</v>
      </c>
      <c r="L2569" t="s">
        <v>28</v>
      </c>
      <c r="M2569" s="4">
        <v>16</v>
      </c>
      <c r="N2569" s="4">
        <v>7</v>
      </c>
      <c r="O2569" t="s">
        <v>36</v>
      </c>
      <c r="P2569" t="s">
        <v>29</v>
      </c>
      <c r="Q2569" s="4">
        <v>255983</v>
      </c>
      <c r="R2569" s="4">
        <v>146145</v>
      </c>
      <c r="S2569" s="4">
        <f>Table1[[#This Row],[Service_Revenue]]-Table1[[#This Row],[Service_Cost]]</f>
        <v>109838</v>
      </c>
      <c r="T2569" s="4">
        <v>2</v>
      </c>
      <c r="U2569" s="4">
        <f>IF(AND(Table1[[#This Row],[Rework_Flag]]="Yes",Table1[[#This Row],[Warranty_Claim]]="No"),Table1[[#This Row],[Service_Revenue]],0)</f>
        <v>0</v>
      </c>
      <c r="V2569" s="4">
        <f>IF(Table1[[#This Row],[Warranty_Claim]]="Yes",1,0)</f>
        <v>1</v>
      </c>
      <c r="W2569" s="4">
        <f>IF(Table1[[#This Row],[Rework_Flag]]="No",1,0)</f>
        <v>1</v>
      </c>
      <c r="X2569" s="4">
        <f>IF(Table1[[#This Row],[Rework_Flag]]="Yes",1,0)</f>
        <v>0</v>
      </c>
      <c r="Y2569" s="4">
        <v>1</v>
      </c>
      <c r="Z2569" s="4" t="str">
        <f>IF(Table1[[#This Row],[TAT_Days]]&gt;Table1[[#This Row],[SLA_TAT]],"Yes","No")</f>
        <v>Yes</v>
      </c>
      <c r="AA2569" s="4" t="str" cm="1">
        <f t="array" ref="AA2569">_xlfn.IFS(Table1[[#This Row],[Customer_Satisfaction]]&lt;=2,"Poor",Table1[[#This Row],[Customer_Satisfaction]]=3,"Neutral",Table1[[#This Row],[Customer_Satisfaction]]=4,"Good",Table1[[#This Row],[Customer_Satisfaction]]=5,"Good")</f>
        <v>Poor</v>
      </c>
    </row>
    <row r="2570" spans="1:27" x14ac:dyDescent="0.35">
      <c r="A2570">
        <v>22568</v>
      </c>
      <c r="B2570" s="1">
        <v>45403</v>
      </c>
      <c r="C2570" t="s">
        <v>19</v>
      </c>
      <c r="D2570" t="s">
        <v>20</v>
      </c>
      <c r="E2570" t="s">
        <v>21</v>
      </c>
      <c r="F2570" t="s">
        <v>40</v>
      </c>
      <c r="G2570" t="s">
        <v>41</v>
      </c>
      <c r="H2570" t="s">
        <v>42</v>
      </c>
      <c r="I2570" t="s">
        <v>55</v>
      </c>
      <c r="J2570" t="s">
        <v>26</v>
      </c>
      <c r="K2570" t="s">
        <v>44</v>
      </c>
      <c r="L2570" t="s">
        <v>49</v>
      </c>
      <c r="M2570" s="4">
        <v>8</v>
      </c>
      <c r="N2570" s="4">
        <v>7</v>
      </c>
      <c r="O2570" t="s">
        <v>36</v>
      </c>
      <c r="P2570" t="s">
        <v>36</v>
      </c>
      <c r="Q2570" s="4">
        <v>358887</v>
      </c>
      <c r="R2570" s="4">
        <v>228402</v>
      </c>
      <c r="S2570" s="4">
        <f>Table1[[#This Row],[Service_Revenue]]-Table1[[#This Row],[Service_Cost]]</f>
        <v>130485</v>
      </c>
      <c r="T2570" s="4">
        <v>4</v>
      </c>
      <c r="U2570" s="4">
        <f>IF(AND(Table1[[#This Row],[Rework_Flag]]="Yes",Table1[[#This Row],[Warranty_Claim]]="No"),Table1[[#This Row],[Service_Revenue]],0)</f>
        <v>0</v>
      </c>
      <c r="V2570" s="4">
        <f>IF(Table1[[#This Row],[Warranty_Claim]]="Yes",1,0)</f>
        <v>0</v>
      </c>
      <c r="W2570" s="4">
        <f>IF(Table1[[#This Row],[Rework_Flag]]="No",1,0)</f>
        <v>1</v>
      </c>
      <c r="X2570" s="4">
        <f>IF(Table1[[#This Row],[Rework_Flag]]="Yes",1,0)</f>
        <v>0</v>
      </c>
      <c r="Y2570" s="4">
        <v>1</v>
      </c>
      <c r="Z2570" s="4" t="str">
        <f>IF(Table1[[#This Row],[TAT_Days]]&gt;Table1[[#This Row],[SLA_TAT]],"Yes","No")</f>
        <v>Yes</v>
      </c>
      <c r="AA2570" s="4" t="str" cm="1">
        <f t="array" ref="AA2570">_xlfn.IFS(Table1[[#This Row],[Customer_Satisfaction]]&lt;=2,"Poor",Table1[[#This Row],[Customer_Satisfaction]]=3,"Neutral",Table1[[#This Row],[Customer_Satisfaction]]=4,"Good",Table1[[#This Row],[Customer_Satisfaction]]=5,"Good")</f>
        <v>Good</v>
      </c>
    </row>
    <row r="2571" spans="1:27" x14ac:dyDescent="0.35">
      <c r="A2571">
        <v>22569</v>
      </c>
      <c r="B2571" s="1">
        <v>45357</v>
      </c>
      <c r="C2571" t="s">
        <v>19</v>
      </c>
      <c r="D2571" t="s">
        <v>20</v>
      </c>
      <c r="E2571" t="s">
        <v>21</v>
      </c>
      <c r="F2571" t="s">
        <v>53</v>
      </c>
      <c r="G2571" t="s">
        <v>33</v>
      </c>
      <c r="H2571" t="s">
        <v>34</v>
      </c>
      <c r="I2571" t="s">
        <v>25</v>
      </c>
      <c r="J2571" t="s">
        <v>58</v>
      </c>
      <c r="K2571" t="s">
        <v>61</v>
      </c>
      <c r="L2571" t="s">
        <v>49</v>
      </c>
      <c r="M2571" s="4">
        <v>19</v>
      </c>
      <c r="N2571" s="4">
        <v>7</v>
      </c>
      <c r="O2571" t="s">
        <v>36</v>
      </c>
      <c r="P2571" t="s">
        <v>36</v>
      </c>
      <c r="Q2571" s="4">
        <v>266404</v>
      </c>
      <c r="R2571" s="4">
        <v>134805</v>
      </c>
      <c r="S2571" s="4">
        <f>Table1[[#This Row],[Service_Revenue]]-Table1[[#This Row],[Service_Cost]]</f>
        <v>131599</v>
      </c>
      <c r="T2571" s="4">
        <v>2</v>
      </c>
      <c r="U2571" s="4">
        <f>IF(AND(Table1[[#This Row],[Rework_Flag]]="Yes",Table1[[#This Row],[Warranty_Claim]]="No"),Table1[[#This Row],[Service_Revenue]],0)</f>
        <v>0</v>
      </c>
      <c r="V2571" s="4">
        <f>IF(Table1[[#This Row],[Warranty_Claim]]="Yes",1,0)</f>
        <v>0</v>
      </c>
      <c r="W2571" s="4">
        <f>IF(Table1[[#This Row],[Rework_Flag]]="No",1,0)</f>
        <v>1</v>
      </c>
      <c r="X2571" s="4">
        <f>IF(Table1[[#This Row],[Rework_Flag]]="Yes",1,0)</f>
        <v>0</v>
      </c>
      <c r="Y2571" s="4">
        <v>1</v>
      </c>
      <c r="Z2571" s="4" t="str">
        <f>IF(Table1[[#This Row],[TAT_Days]]&gt;Table1[[#This Row],[SLA_TAT]],"Yes","No")</f>
        <v>Yes</v>
      </c>
      <c r="AA2571" s="4" t="str" cm="1">
        <f t="array" ref="AA2571">_xlfn.IFS(Table1[[#This Row],[Customer_Satisfaction]]&lt;=2,"Poor",Table1[[#This Row],[Customer_Satisfaction]]=3,"Neutral",Table1[[#This Row],[Customer_Satisfaction]]=4,"Good",Table1[[#This Row],[Customer_Satisfaction]]=5,"Good")</f>
        <v>Poor</v>
      </c>
    </row>
    <row r="2572" spans="1:27" x14ac:dyDescent="0.35">
      <c r="A2572">
        <v>22570</v>
      </c>
      <c r="B2572" s="1">
        <v>45344</v>
      </c>
      <c r="C2572" t="s">
        <v>50</v>
      </c>
      <c r="D2572" t="s">
        <v>80</v>
      </c>
      <c r="E2572" t="s">
        <v>81</v>
      </c>
      <c r="F2572" t="s">
        <v>40</v>
      </c>
      <c r="G2572" t="s">
        <v>23</v>
      </c>
      <c r="H2572" t="s">
        <v>24</v>
      </c>
      <c r="I2572" t="s">
        <v>25</v>
      </c>
      <c r="J2572" t="s">
        <v>67</v>
      </c>
      <c r="K2572" t="s">
        <v>61</v>
      </c>
      <c r="L2572" t="s">
        <v>49</v>
      </c>
      <c r="M2572" s="4">
        <v>17</v>
      </c>
      <c r="N2572" s="4">
        <v>7</v>
      </c>
      <c r="O2572" t="s">
        <v>36</v>
      </c>
      <c r="P2572" t="s">
        <v>36</v>
      </c>
      <c r="Q2572" s="4">
        <v>315970</v>
      </c>
      <c r="R2572" s="4">
        <v>221693</v>
      </c>
      <c r="S2572" s="4">
        <f>Table1[[#This Row],[Service_Revenue]]-Table1[[#This Row],[Service_Cost]]</f>
        <v>94277</v>
      </c>
      <c r="T2572" s="4">
        <v>2</v>
      </c>
      <c r="U2572" s="4">
        <f>IF(AND(Table1[[#This Row],[Rework_Flag]]="Yes",Table1[[#This Row],[Warranty_Claim]]="No"),Table1[[#This Row],[Service_Revenue]],0)</f>
        <v>0</v>
      </c>
      <c r="V2572" s="4">
        <f>IF(Table1[[#This Row],[Warranty_Claim]]="Yes",1,0)</f>
        <v>0</v>
      </c>
      <c r="W2572" s="4">
        <f>IF(Table1[[#This Row],[Rework_Flag]]="No",1,0)</f>
        <v>1</v>
      </c>
      <c r="X2572" s="4">
        <f>IF(Table1[[#This Row],[Rework_Flag]]="Yes",1,0)</f>
        <v>0</v>
      </c>
      <c r="Y2572" s="4">
        <v>1</v>
      </c>
      <c r="Z2572" s="4" t="str">
        <f>IF(Table1[[#This Row],[TAT_Days]]&gt;Table1[[#This Row],[SLA_TAT]],"Yes","No")</f>
        <v>Yes</v>
      </c>
      <c r="AA2572" s="4" t="str" cm="1">
        <f t="array" ref="AA2572">_xlfn.IFS(Table1[[#This Row],[Customer_Satisfaction]]&lt;=2,"Poor",Table1[[#This Row],[Customer_Satisfaction]]=3,"Neutral",Table1[[#This Row],[Customer_Satisfaction]]=4,"Good",Table1[[#This Row],[Customer_Satisfaction]]=5,"Good")</f>
        <v>Poor</v>
      </c>
    </row>
    <row r="2573" spans="1:27" x14ac:dyDescent="0.35">
      <c r="A2573">
        <v>22571</v>
      </c>
      <c r="B2573" s="1">
        <v>45353</v>
      </c>
      <c r="C2573" t="s">
        <v>19</v>
      </c>
      <c r="D2573" t="s">
        <v>20</v>
      </c>
      <c r="E2573" t="s">
        <v>21</v>
      </c>
      <c r="F2573" t="s">
        <v>53</v>
      </c>
      <c r="G2573" t="s">
        <v>23</v>
      </c>
      <c r="H2573" t="s">
        <v>24</v>
      </c>
      <c r="I2573" t="s">
        <v>25</v>
      </c>
      <c r="J2573" t="s">
        <v>35</v>
      </c>
      <c r="K2573" t="s">
        <v>61</v>
      </c>
      <c r="L2573" t="s">
        <v>49</v>
      </c>
      <c r="M2573" s="4">
        <v>22</v>
      </c>
      <c r="N2573" s="4">
        <v>7</v>
      </c>
      <c r="O2573" t="s">
        <v>29</v>
      </c>
      <c r="P2573" t="s">
        <v>36</v>
      </c>
      <c r="Q2573" s="4">
        <v>306914</v>
      </c>
      <c r="R2573" s="4">
        <v>188649</v>
      </c>
      <c r="S2573" s="4">
        <f>Table1[[#This Row],[Service_Revenue]]-Table1[[#This Row],[Service_Cost]]</f>
        <v>118265</v>
      </c>
      <c r="T2573" s="4">
        <v>1</v>
      </c>
      <c r="U2573" s="4">
        <f>IF(AND(Table1[[#This Row],[Rework_Flag]]="Yes",Table1[[#This Row],[Warranty_Claim]]="No"),Table1[[#This Row],[Service_Revenue]],0)</f>
        <v>306914</v>
      </c>
      <c r="V2573" s="4">
        <f>IF(Table1[[#This Row],[Warranty_Claim]]="Yes",1,0)</f>
        <v>0</v>
      </c>
      <c r="W2573" s="4">
        <f>IF(Table1[[#This Row],[Rework_Flag]]="No",1,0)</f>
        <v>0</v>
      </c>
      <c r="X2573" s="4">
        <f>IF(Table1[[#This Row],[Rework_Flag]]="Yes",1,0)</f>
        <v>1</v>
      </c>
      <c r="Y2573" s="4">
        <v>1</v>
      </c>
      <c r="Z2573" s="4" t="str">
        <f>IF(Table1[[#This Row],[TAT_Days]]&gt;Table1[[#This Row],[SLA_TAT]],"Yes","No")</f>
        <v>Yes</v>
      </c>
      <c r="AA2573" s="4" t="str" cm="1">
        <f t="array" ref="AA2573">_xlfn.IFS(Table1[[#This Row],[Customer_Satisfaction]]&lt;=2,"Poor",Table1[[#This Row],[Customer_Satisfaction]]=3,"Neutral",Table1[[#This Row],[Customer_Satisfaction]]=4,"Good",Table1[[#This Row],[Customer_Satisfaction]]=5,"Good")</f>
        <v>Poor</v>
      </c>
    </row>
    <row r="2574" spans="1:27" x14ac:dyDescent="0.35">
      <c r="A2574">
        <v>22572</v>
      </c>
      <c r="B2574" s="1">
        <v>45370</v>
      </c>
      <c r="C2574" t="s">
        <v>50</v>
      </c>
      <c r="D2574" t="s">
        <v>56</v>
      </c>
      <c r="E2574" t="s">
        <v>88</v>
      </c>
      <c r="F2574" t="s">
        <v>22</v>
      </c>
      <c r="G2574" t="s">
        <v>23</v>
      </c>
      <c r="H2574" t="s">
        <v>24</v>
      </c>
      <c r="I2574" t="s">
        <v>55</v>
      </c>
      <c r="J2574" t="s">
        <v>67</v>
      </c>
      <c r="K2574" t="s">
        <v>44</v>
      </c>
      <c r="L2574" t="s">
        <v>28</v>
      </c>
      <c r="M2574" s="4">
        <v>18</v>
      </c>
      <c r="N2574" s="4">
        <v>7</v>
      </c>
      <c r="O2574" t="s">
        <v>29</v>
      </c>
      <c r="P2574" t="s">
        <v>29</v>
      </c>
      <c r="Q2574" s="4">
        <v>494607</v>
      </c>
      <c r="R2574" s="4">
        <v>312380</v>
      </c>
      <c r="S2574" s="4">
        <f>Table1[[#This Row],[Service_Revenue]]-Table1[[#This Row],[Service_Cost]]</f>
        <v>182227</v>
      </c>
      <c r="T2574" s="4">
        <v>1</v>
      </c>
      <c r="U2574" s="4">
        <f>IF(AND(Table1[[#This Row],[Rework_Flag]]="Yes",Table1[[#This Row],[Warranty_Claim]]="No"),Table1[[#This Row],[Service_Revenue]],0)</f>
        <v>0</v>
      </c>
      <c r="V2574" s="4">
        <f>IF(Table1[[#This Row],[Warranty_Claim]]="Yes",1,0)</f>
        <v>1</v>
      </c>
      <c r="W2574" s="4">
        <f>IF(Table1[[#This Row],[Rework_Flag]]="No",1,0)</f>
        <v>0</v>
      </c>
      <c r="X2574" s="4">
        <f>IF(Table1[[#This Row],[Rework_Flag]]="Yes",1,0)</f>
        <v>1</v>
      </c>
      <c r="Y2574" s="4">
        <v>1</v>
      </c>
      <c r="Z2574" s="4" t="str">
        <f>IF(Table1[[#This Row],[TAT_Days]]&gt;Table1[[#This Row],[SLA_TAT]],"Yes","No")</f>
        <v>Yes</v>
      </c>
      <c r="AA2574" s="4" t="str" cm="1">
        <f t="array" ref="AA2574">_xlfn.IFS(Table1[[#This Row],[Customer_Satisfaction]]&lt;=2,"Poor",Table1[[#This Row],[Customer_Satisfaction]]=3,"Neutral",Table1[[#This Row],[Customer_Satisfaction]]=4,"Good",Table1[[#This Row],[Customer_Satisfaction]]=5,"Good")</f>
        <v>Poor</v>
      </c>
    </row>
    <row r="2575" spans="1:27" x14ac:dyDescent="0.35">
      <c r="A2575">
        <v>22573</v>
      </c>
      <c r="B2575" s="1">
        <v>45325</v>
      </c>
      <c r="C2575" t="s">
        <v>37</v>
      </c>
      <c r="D2575" t="s">
        <v>38</v>
      </c>
      <c r="E2575" t="s">
        <v>112</v>
      </c>
      <c r="F2575" t="s">
        <v>40</v>
      </c>
      <c r="G2575" t="s">
        <v>63</v>
      </c>
      <c r="H2575" t="s">
        <v>24</v>
      </c>
      <c r="I2575" t="s">
        <v>25</v>
      </c>
      <c r="J2575" t="s">
        <v>67</v>
      </c>
      <c r="K2575" t="s">
        <v>27</v>
      </c>
      <c r="L2575" t="s">
        <v>49</v>
      </c>
      <c r="M2575" s="4">
        <v>25</v>
      </c>
      <c r="N2575" s="4">
        <v>7</v>
      </c>
      <c r="O2575" t="s">
        <v>29</v>
      </c>
      <c r="P2575" t="s">
        <v>29</v>
      </c>
      <c r="Q2575" s="4">
        <v>451541</v>
      </c>
      <c r="R2575" s="4">
        <v>367223</v>
      </c>
      <c r="S2575" s="4">
        <f>Table1[[#This Row],[Service_Revenue]]-Table1[[#This Row],[Service_Cost]]</f>
        <v>84318</v>
      </c>
      <c r="T2575" s="4">
        <v>1</v>
      </c>
      <c r="U2575" s="4">
        <f>IF(AND(Table1[[#This Row],[Rework_Flag]]="Yes",Table1[[#This Row],[Warranty_Claim]]="No"),Table1[[#This Row],[Service_Revenue]],0)</f>
        <v>0</v>
      </c>
      <c r="V2575" s="4">
        <f>IF(Table1[[#This Row],[Warranty_Claim]]="Yes",1,0)</f>
        <v>1</v>
      </c>
      <c r="W2575" s="4">
        <f>IF(Table1[[#This Row],[Rework_Flag]]="No",1,0)</f>
        <v>0</v>
      </c>
      <c r="X2575" s="4">
        <f>IF(Table1[[#This Row],[Rework_Flag]]="Yes",1,0)</f>
        <v>1</v>
      </c>
      <c r="Y2575" s="4">
        <v>1</v>
      </c>
      <c r="Z2575" s="4" t="str">
        <f>IF(Table1[[#This Row],[TAT_Days]]&gt;Table1[[#This Row],[SLA_TAT]],"Yes","No")</f>
        <v>Yes</v>
      </c>
      <c r="AA2575" s="4" t="str" cm="1">
        <f t="array" ref="AA2575">_xlfn.IFS(Table1[[#This Row],[Customer_Satisfaction]]&lt;=2,"Poor",Table1[[#This Row],[Customer_Satisfaction]]=3,"Neutral",Table1[[#This Row],[Customer_Satisfaction]]=4,"Good",Table1[[#This Row],[Customer_Satisfaction]]=5,"Good")</f>
        <v>Poor</v>
      </c>
    </row>
    <row r="2576" spans="1:27" x14ac:dyDescent="0.35">
      <c r="A2576">
        <v>22574</v>
      </c>
      <c r="B2576" s="1">
        <v>45320</v>
      </c>
      <c r="C2576" t="s">
        <v>19</v>
      </c>
      <c r="D2576" t="s">
        <v>20</v>
      </c>
      <c r="E2576" t="s">
        <v>117</v>
      </c>
      <c r="F2576" t="s">
        <v>22</v>
      </c>
      <c r="G2576" t="s">
        <v>41</v>
      </c>
      <c r="H2576" t="s">
        <v>42</v>
      </c>
      <c r="I2576" t="s">
        <v>25</v>
      </c>
      <c r="J2576" t="s">
        <v>35</v>
      </c>
      <c r="K2576" t="s">
        <v>61</v>
      </c>
      <c r="L2576" t="s">
        <v>28</v>
      </c>
      <c r="M2576" s="4">
        <v>6</v>
      </c>
      <c r="N2576" s="4">
        <v>7</v>
      </c>
      <c r="O2576" t="s">
        <v>36</v>
      </c>
      <c r="P2576" t="s">
        <v>36</v>
      </c>
      <c r="Q2576" s="4">
        <v>505356</v>
      </c>
      <c r="R2576" s="4">
        <v>380680</v>
      </c>
      <c r="S2576" s="4">
        <f>Table1[[#This Row],[Service_Revenue]]-Table1[[#This Row],[Service_Cost]]</f>
        <v>124676</v>
      </c>
      <c r="T2576" s="4">
        <v>4</v>
      </c>
      <c r="U2576" s="4">
        <f>IF(AND(Table1[[#This Row],[Rework_Flag]]="Yes",Table1[[#This Row],[Warranty_Claim]]="No"),Table1[[#This Row],[Service_Revenue]],0)</f>
        <v>0</v>
      </c>
      <c r="V2576" s="4">
        <f>IF(Table1[[#This Row],[Warranty_Claim]]="Yes",1,0)</f>
        <v>0</v>
      </c>
      <c r="W2576" s="4">
        <f>IF(Table1[[#This Row],[Rework_Flag]]="No",1,0)</f>
        <v>1</v>
      </c>
      <c r="X2576" s="4">
        <f>IF(Table1[[#This Row],[Rework_Flag]]="Yes",1,0)</f>
        <v>0</v>
      </c>
      <c r="Y2576" s="4">
        <v>1</v>
      </c>
      <c r="Z2576" s="4" t="str">
        <f>IF(Table1[[#This Row],[TAT_Days]]&gt;Table1[[#This Row],[SLA_TAT]],"Yes","No")</f>
        <v>No</v>
      </c>
      <c r="AA2576" s="4" t="str" cm="1">
        <f t="array" ref="AA2576">_xlfn.IFS(Table1[[#This Row],[Customer_Satisfaction]]&lt;=2,"Poor",Table1[[#This Row],[Customer_Satisfaction]]=3,"Neutral",Table1[[#This Row],[Customer_Satisfaction]]=4,"Good",Table1[[#This Row],[Customer_Satisfaction]]=5,"Good")</f>
        <v>Good</v>
      </c>
    </row>
    <row r="2577" spans="1:27" x14ac:dyDescent="0.35">
      <c r="A2577">
        <v>22575</v>
      </c>
      <c r="B2577" s="1">
        <v>45322</v>
      </c>
      <c r="C2577" t="s">
        <v>19</v>
      </c>
      <c r="D2577" t="s">
        <v>20</v>
      </c>
      <c r="E2577" t="s">
        <v>21</v>
      </c>
      <c r="F2577" t="s">
        <v>53</v>
      </c>
      <c r="G2577" t="s">
        <v>74</v>
      </c>
      <c r="H2577" t="s">
        <v>34</v>
      </c>
      <c r="I2577" t="s">
        <v>25</v>
      </c>
      <c r="J2577" t="s">
        <v>35</v>
      </c>
      <c r="K2577" t="s">
        <v>27</v>
      </c>
      <c r="L2577" t="s">
        <v>28</v>
      </c>
      <c r="M2577" s="4">
        <v>3</v>
      </c>
      <c r="N2577" s="4">
        <v>7</v>
      </c>
      <c r="O2577" t="s">
        <v>36</v>
      </c>
      <c r="P2577" t="s">
        <v>29</v>
      </c>
      <c r="Q2577" s="4">
        <v>446565</v>
      </c>
      <c r="R2577" s="4">
        <v>319204</v>
      </c>
      <c r="S2577" s="4">
        <f>Table1[[#This Row],[Service_Revenue]]-Table1[[#This Row],[Service_Cost]]</f>
        <v>127361</v>
      </c>
      <c r="T2577" s="4">
        <v>5</v>
      </c>
      <c r="U2577" s="4">
        <f>IF(AND(Table1[[#This Row],[Rework_Flag]]="Yes",Table1[[#This Row],[Warranty_Claim]]="No"),Table1[[#This Row],[Service_Revenue]],0)</f>
        <v>0</v>
      </c>
      <c r="V2577" s="4">
        <f>IF(Table1[[#This Row],[Warranty_Claim]]="Yes",1,0)</f>
        <v>1</v>
      </c>
      <c r="W2577" s="4">
        <f>IF(Table1[[#This Row],[Rework_Flag]]="No",1,0)</f>
        <v>1</v>
      </c>
      <c r="X2577" s="4">
        <f>IF(Table1[[#This Row],[Rework_Flag]]="Yes",1,0)</f>
        <v>0</v>
      </c>
      <c r="Y2577" s="4">
        <v>1</v>
      </c>
      <c r="Z2577" s="4" t="str">
        <f>IF(Table1[[#This Row],[TAT_Days]]&gt;Table1[[#This Row],[SLA_TAT]],"Yes","No")</f>
        <v>No</v>
      </c>
      <c r="AA2577" s="4" t="str" cm="1">
        <f t="array" ref="AA2577">_xlfn.IFS(Table1[[#This Row],[Customer_Satisfaction]]&lt;=2,"Poor",Table1[[#This Row],[Customer_Satisfaction]]=3,"Neutral",Table1[[#This Row],[Customer_Satisfaction]]=4,"Good",Table1[[#This Row],[Customer_Satisfaction]]=5,"Good")</f>
        <v>Good</v>
      </c>
    </row>
    <row r="2578" spans="1:27" x14ac:dyDescent="0.35">
      <c r="A2578">
        <v>22576</v>
      </c>
      <c r="B2578" s="1">
        <v>45353</v>
      </c>
      <c r="C2578" t="s">
        <v>19</v>
      </c>
      <c r="D2578" t="s">
        <v>20</v>
      </c>
      <c r="E2578" t="s">
        <v>117</v>
      </c>
      <c r="F2578" t="s">
        <v>53</v>
      </c>
      <c r="G2578" t="s">
        <v>33</v>
      </c>
      <c r="H2578" t="s">
        <v>34</v>
      </c>
      <c r="I2578" t="s">
        <v>25</v>
      </c>
      <c r="J2578" t="s">
        <v>35</v>
      </c>
      <c r="K2578" t="s">
        <v>61</v>
      </c>
      <c r="L2578" t="s">
        <v>49</v>
      </c>
      <c r="M2578" s="4">
        <v>8</v>
      </c>
      <c r="N2578" s="4">
        <v>7</v>
      </c>
      <c r="O2578" t="s">
        <v>36</v>
      </c>
      <c r="P2578" t="s">
        <v>36</v>
      </c>
      <c r="Q2578" s="4">
        <v>137937</v>
      </c>
      <c r="R2578" s="4">
        <v>71258</v>
      </c>
      <c r="S2578" s="4">
        <f>Table1[[#This Row],[Service_Revenue]]-Table1[[#This Row],[Service_Cost]]</f>
        <v>66679</v>
      </c>
      <c r="T2578" s="4">
        <v>4</v>
      </c>
      <c r="U2578" s="4">
        <f>IF(AND(Table1[[#This Row],[Rework_Flag]]="Yes",Table1[[#This Row],[Warranty_Claim]]="No"),Table1[[#This Row],[Service_Revenue]],0)</f>
        <v>0</v>
      </c>
      <c r="V2578" s="4">
        <f>IF(Table1[[#This Row],[Warranty_Claim]]="Yes",1,0)</f>
        <v>0</v>
      </c>
      <c r="W2578" s="4">
        <f>IF(Table1[[#This Row],[Rework_Flag]]="No",1,0)</f>
        <v>1</v>
      </c>
      <c r="X2578" s="4">
        <f>IF(Table1[[#This Row],[Rework_Flag]]="Yes",1,0)</f>
        <v>0</v>
      </c>
      <c r="Y2578" s="4">
        <v>1</v>
      </c>
      <c r="Z2578" s="4" t="str">
        <f>IF(Table1[[#This Row],[TAT_Days]]&gt;Table1[[#This Row],[SLA_TAT]],"Yes","No")</f>
        <v>Yes</v>
      </c>
      <c r="AA2578" s="4" t="str" cm="1">
        <f t="array" ref="AA2578">_xlfn.IFS(Table1[[#This Row],[Customer_Satisfaction]]&lt;=2,"Poor",Table1[[#This Row],[Customer_Satisfaction]]=3,"Neutral",Table1[[#This Row],[Customer_Satisfaction]]=4,"Good",Table1[[#This Row],[Customer_Satisfaction]]=5,"Good")</f>
        <v>Good</v>
      </c>
    </row>
    <row r="2579" spans="1:27" x14ac:dyDescent="0.35">
      <c r="A2579">
        <v>22577</v>
      </c>
      <c r="B2579" s="1">
        <v>45431</v>
      </c>
      <c r="C2579" t="s">
        <v>30</v>
      </c>
      <c r="D2579" t="s">
        <v>59</v>
      </c>
      <c r="E2579" t="s">
        <v>69</v>
      </c>
      <c r="F2579" t="s">
        <v>40</v>
      </c>
      <c r="G2579" t="s">
        <v>63</v>
      </c>
      <c r="H2579" t="s">
        <v>24</v>
      </c>
      <c r="I2579" t="s">
        <v>55</v>
      </c>
      <c r="J2579" t="s">
        <v>58</v>
      </c>
      <c r="K2579" t="s">
        <v>44</v>
      </c>
      <c r="L2579" t="s">
        <v>49</v>
      </c>
      <c r="M2579" s="4">
        <v>5</v>
      </c>
      <c r="N2579" s="4">
        <v>7</v>
      </c>
      <c r="O2579" t="s">
        <v>36</v>
      </c>
      <c r="P2579" t="s">
        <v>36</v>
      </c>
      <c r="Q2579" s="4">
        <v>211020</v>
      </c>
      <c r="R2579" s="4">
        <v>168636</v>
      </c>
      <c r="S2579" s="4">
        <f>Table1[[#This Row],[Service_Revenue]]-Table1[[#This Row],[Service_Cost]]</f>
        <v>42384</v>
      </c>
      <c r="T2579" s="4">
        <v>4</v>
      </c>
      <c r="U2579" s="4">
        <f>IF(AND(Table1[[#This Row],[Rework_Flag]]="Yes",Table1[[#This Row],[Warranty_Claim]]="No"),Table1[[#This Row],[Service_Revenue]],0)</f>
        <v>0</v>
      </c>
      <c r="V2579" s="4">
        <f>IF(Table1[[#This Row],[Warranty_Claim]]="Yes",1,0)</f>
        <v>0</v>
      </c>
      <c r="W2579" s="4">
        <f>IF(Table1[[#This Row],[Rework_Flag]]="No",1,0)</f>
        <v>1</v>
      </c>
      <c r="X2579" s="4">
        <f>IF(Table1[[#This Row],[Rework_Flag]]="Yes",1,0)</f>
        <v>0</v>
      </c>
      <c r="Y2579" s="4">
        <v>1</v>
      </c>
      <c r="Z2579" s="4" t="str">
        <f>IF(Table1[[#This Row],[TAT_Days]]&gt;Table1[[#This Row],[SLA_TAT]],"Yes","No")</f>
        <v>No</v>
      </c>
      <c r="AA2579" s="4" t="str" cm="1">
        <f t="array" ref="AA2579">_xlfn.IFS(Table1[[#This Row],[Customer_Satisfaction]]&lt;=2,"Poor",Table1[[#This Row],[Customer_Satisfaction]]=3,"Neutral",Table1[[#This Row],[Customer_Satisfaction]]=4,"Good",Table1[[#This Row],[Customer_Satisfaction]]=5,"Good")</f>
        <v>Good</v>
      </c>
    </row>
    <row r="2580" spans="1:27" x14ac:dyDescent="0.35">
      <c r="A2580">
        <v>22578</v>
      </c>
      <c r="B2580" s="1">
        <v>45393</v>
      </c>
      <c r="C2580" t="s">
        <v>30</v>
      </c>
      <c r="D2580" t="s">
        <v>31</v>
      </c>
      <c r="E2580" t="s">
        <v>32</v>
      </c>
      <c r="F2580" t="s">
        <v>22</v>
      </c>
      <c r="G2580" t="s">
        <v>33</v>
      </c>
      <c r="H2580" t="s">
        <v>34</v>
      </c>
      <c r="I2580" t="s">
        <v>55</v>
      </c>
      <c r="J2580" t="s">
        <v>58</v>
      </c>
      <c r="K2580" t="s">
        <v>61</v>
      </c>
      <c r="L2580" t="s">
        <v>28</v>
      </c>
      <c r="M2580" s="4">
        <v>19</v>
      </c>
      <c r="N2580" s="4">
        <v>7</v>
      </c>
      <c r="O2580" t="s">
        <v>36</v>
      </c>
      <c r="P2580" t="s">
        <v>36</v>
      </c>
      <c r="Q2580" s="4">
        <v>371848</v>
      </c>
      <c r="R2580" s="4">
        <v>254814</v>
      </c>
      <c r="S2580" s="4">
        <f>Table1[[#This Row],[Service_Revenue]]-Table1[[#This Row],[Service_Cost]]</f>
        <v>117034</v>
      </c>
      <c r="T2580" s="4">
        <v>2</v>
      </c>
      <c r="U2580" s="4">
        <f>IF(AND(Table1[[#This Row],[Rework_Flag]]="Yes",Table1[[#This Row],[Warranty_Claim]]="No"),Table1[[#This Row],[Service_Revenue]],0)</f>
        <v>0</v>
      </c>
      <c r="V2580" s="4">
        <f>IF(Table1[[#This Row],[Warranty_Claim]]="Yes",1,0)</f>
        <v>0</v>
      </c>
      <c r="W2580" s="4">
        <f>IF(Table1[[#This Row],[Rework_Flag]]="No",1,0)</f>
        <v>1</v>
      </c>
      <c r="X2580" s="4">
        <f>IF(Table1[[#This Row],[Rework_Flag]]="Yes",1,0)</f>
        <v>0</v>
      </c>
      <c r="Y2580" s="4">
        <v>1</v>
      </c>
      <c r="Z2580" s="4" t="str">
        <f>IF(Table1[[#This Row],[TAT_Days]]&gt;Table1[[#This Row],[SLA_TAT]],"Yes","No")</f>
        <v>Yes</v>
      </c>
      <c r="AA2580" s="4" t="str" cm="1">
        <f t="array" ref="AA2580">_xlfn.IFS(Table1[[#This Row],[Customer_Satisfaction]]&lt;=2,"Poor",Table1[[#This Row],[Customer_Satisfaction]]=3,"Neutral",Table1[[#This Row],[Customer_Satisfaction]]=4,"Good",Table1[[#This Row],[Customer_Satisfaction]]=5,"Good")</f>
        <v>Poor</v>
      </c>
    </row>
    <row r="2581" spans="1:27" x14ac:dyDescent="0.35">
      <c r="A2581">
        <v>22579</v>
      </c>
      <c r="B2581" s="1">
        <v>45361</v>
      </c>
      <c r="C2581" t="s">
        <v>30</v>
      </c>
      <c r="D2581" t="s">
        <v>83</v>
      </c>
      <c r="E2581" t="s">
        <v>92</v>
      </c>
      <c r="F2581" t="s">
        <v>53</v>
      </c>
      <c r="G2581" t="s">
        <v>74</v>
      </c>
      <c r="H2581" t="s">
        <v>34</v>
      </c>
      <c r="I2581" t="s">
        <v>25</v>
      </c>
      <c r="J2581" t="s">
        <v>58</v>
      </c>
      <c r="K2581" t="s">
        <v>61</v>
      </c>
      <c r="L2581" t="s">
        <v>28</v>
      </c>
      <c r="M2581" s="4">
        <v>5</v>
      </c>
      <c r="N2581" s="4">
        <v>7</v>
      </c>
      <c r="O2581" t="s">
        <v>29</v>
      </c>
      <c r="P2581" t="s">
        <v>36</v>
      </c>
      <c r="Q2581" s="4">
        <v>457289</v>
      </c>
      <c r="R2581" s="4">
        <v>348434</v>
      </c>
      <c r="S2581" s="4">
        <f>Table1[[#This Row],[Service_Revenue]]-Table1[[#This Row],[Service_Cost]]</f>
        <v>108855</v>
      </c>
      <c r="T2581" s="4">
        <v>3</v>
      </c>
      <c r="U2581" s="4">
        <f>IF(AND(Table1[[#This Row],[Rework_Flag]]="Yes",Table1[[#This Row],[Warranty_Claim]]="No"),Table1[[#This Row],[Service_Revenue]],0)</f>
        <v>457289</v>
      </c>
      <c r="V2581" s="4">
        <f>IF(Table1[[#This Row],[Warranty_Claim]]="Yes",1,0)</f>
        <v>0</v>
      </c>
      <c r="W2581" s="4">
        <f>IF(Table1[[#This Row],[Rework_Flag]]="No",1,0)</f>
        <v>0</v>
      </c>
      <c r="X2581" s="4">
        <f>IF(Table1[[#This Row],[Rework_Flag]]="Yes",1,0)</f>
        <v>1</v>
      </c>
      <c r="Y2581" s="4">
        <v>1</v>
      </c>
      <c r="Z2581" s="4" t="str">
        <f>IF(Table1[[#This Row],[TAT_Days]]&gt;Table1[[#This Row],[SLA_TAT]],"Yes","No")</f>
        <v>No</v>
      </c>
      <c r="AA2581" s="4" t="str" cm="1">
        <f t="array" ref="AA2581">_xlfn.IFS(Table1[[#This Row],[Customer_Satisfaction]]&lt;=2,"Poor",Table1[[#This Row],[Customer_Satisfaction]]=3,"Neutral",Table1[[#This Row],[Customer_Satisfaction]]=4,"Good",Table1[[#This Row],[Customer_Satisfaction]]=5,"Good")</f>
        <v>Neutral</v>
      </c>
    </row>
    <row r="2582" spans="1:27" x14ac:dyDescent="0.35">
      <c r="A2582">
        <v>22580</v>
      </c>
      <c r="B2582" s="1">
        <v>45425</v>
      </c>
      <c r="C2582" t="s">
        <v>19</v>
      </c>
      <c r="D2582" t="s">
        <v>20</v>
      </c>
      <c r="E2582" t="s">
        <v>117</v>
      </c>
      <c r="F2582" t="s">
        <v>40</v>
      </c>
      <c r="G2582" t="s">
        <v>74</v>
      </c>
      <c r="H2582" t="s">
        <v>34</v>
      </c>
      <c r="I2582" t="s">
        <v>25</v>
      </c>
      <c r="J2582" t="s">
        <v>35</v>
      </c>
      <c r="K2582" t="s">
        <v>44</v>
      </c>
      <c r="L2582" t="s">
        <v>28</v>
      </c>
      <c r="M2582" s="4">
        <v>7</v>
      </c>
      <c r="N2582" s="4">
        <v>7</v>
      </c>
      <c r="O2582" t="s">
        <v>29</v>
      </c>
      <c r="P2582" t="s">
        <v>36</v>
      </c>
      <c r="Q2582" s="4">
        <v>270890</v>
      </c>
      <c r="R2582" s="4">
        <v>174338</v>
      </c>
      <c r="S2582" s="4">
        <f>Table1[[#This Row],[Service_Revenue]]-Table1[[#This Row],[Service_Cost]]</f>
        <v>96552</v>
      </c>
      <c r="T2582" s="4">
        <v>3</v>
      </c>
      <c r="U2582" s="4">
        <f>IF(AND(Table1[[#This Row],[Rework_Flag]]="Yes",Table1[[#This Row],[Warranty_Claim]]="No"),Table1[[#This Row],[Service_Revenue]],0)</f>
        <v>270890</v>
      </c>
      <c r="V2582" s="4">
        <f>IF(Table1[[#This Row],[Warranty_Claim]]="Yes",1,0)</f>
        <v>0</v>
      </c>
      <c r="W2582" s="4">
        <f>IF(Table1[[#This Row],[Rework_Flag]]="No",1,0)</f>
        <v>0</v>
      </c>
      <c r="X2582" s="4">
        <f>IF(Table1[[#This Row],[Rework_Flag]]="Yes",1,0)</f>
        <v>1</v>
      </c>
      <c r="Y2582" s="4">
        <v>1</v>
      </c>
      <c r="Z2582" s="4" t="str">
        <f>IF(Table1[[#This Row],[TAT_Days]]&gt;Table1[[#This Row],[SLA_TAT]],"Yes","No")</f>
        <v>No</v>
      </c>
      <c r="AA2582" s="4" t="str" cm="1">
        <f t="array" ref="AA2582">_xlfn.IFS(Table1[[#This Row],[Customer_Satisfaction]]&lt;=2,"Poor",Table1[[#This Row],[Customer_Satisfaction]]=3,"Neutral",Table1[[#This Row],[Customer_Satisfaction]]=4,"Good",Table1[[#This Row],[Customer_Satisfaction]]=5,"Good")</f>
        <v>Neutral</v>
      </c>
    </row>
    <row r="2583" spans="1:27" x14ac:dyDescent="0.35">
      <c r="A2583">
        <v>22581</v>
      </c>
      <c r="B2583" s="1">
        <v>45427</v>
      </c>
      <c r="C2583" t="s">
        <v>37</v>
      </c>
      <c r="D2583" t="s">
        <v>70</v>
      </c>
      <c r="E2583" t="s">
        <v>91</v>
      </c>
      <c r="F2583" t="s">
        <v>53</v>
      </c>
      <c r="G2583" t="s">
        <v>74</v>
      </c>
      <c r="H2583" t="s">
        <v>34</v>
      </c>
      <c r="I2583" t="s">
        <v>25</v>
      </c>
      <c r="J2583" t="s">
        <v>43</v>
      </c>
      <c r="K2583" t="s">
        <v>61</v>
      </c>
      <c r="L2583" t="s">
        <v>28</v>
      </c>
      <c r="M2583" s="4">
        <v>7</v>
      </c>
      <c r="N2583" s="4">
        <v>7</v>
      </c>
      <c r="O2583" t="s">
        <v>36</v>
      </c>
      <c r="P2583" t="s">
        <v>29</v>
      </c>
      <c r="Q2583" s="4">
        <v>115821</v>
      </c>
      <c r="R2583" s="4">
        <v>59963</v>
      </c>
      <c r="S2583" s="4">
        <f>Table1[[#This Row],[Service_Revenue]]-Table1[[#This Row],[Service_Cost]]</f>
        <v>55858</v>
      </c>
      <c r="T2583" s="4">
        <v>4</v>
      </c>
      <c r="U2583" s="4">
        <f>IF(AND(Table1[[#This Row],[Rework_Flag]]="Yes",Table1[[#This Row],[Warranty_Claim]]="No"),Table1[[#This Row],[Service_Revenue]],0)</f>
        <v>0</v>
      </c>
      <c r="V2583" s="4">
        <f>IF(Table1[[#This Row],[Warranty_Claim]]="Yes",1,0)</f>
        <v>1</v>
      </c>
      <c r="W2583" s="4">
        <f>IF(Table1[[#This Row],[Rework_Flag]]="No",1,0)</f>
        <v>1</v>
      </c>
      <c r="X2583" s="4">
        <f>IF(Table1[[#This Row],[Rework_Flag]]="Yes",1,0)</f>
        <v>0</v>
      </c>
      <c r="Y2583" s="4">
        <v>1</v>
      </c>
      <c r="Z2583" s="4" t="str">
        <f>IF(Table1[[#This Row],[TAT_Days]]&gt;Table1[[#This Row],[SLA_TAT]],"Yes","No")</f>
        <v>No</v>
      </c>
      <c r="AA2583" s="4" t="str" cm="1">
        <f t="array" ref="AA2583">_xlfn.IFS(Table1[[#This Row],[Customer_Satisfaction]]&lt;=2,"Poor",Table1[[#This Row],[Customer_Satisfaction]]=3,"Neutral",Table1[[#This Row],[Customer_Satisfaction]]=4,"Good",Table1[[#This Row],[Customer_Satisfaction]]=5,"Good")</f>
        <v>Good</v>
      </c>
    </row>
    <row r="2584" spans="1:27" x14ac:dyDescent="0.35">
      <c r="A2584">
        <v>22582</v>
      </c>
      <c r="B2584" s="1">
        <v>45433</v>
      </c>
      <c r="C2584" t="s">
        <v>30</v>
      </c>
      <c r="D2584" t="s">
        <v>59</v>
      </c>
      <c r="E2584" t="s">
        <v>60</v>
      </c>
      <c r="F2584" t="s">
        <v>40</v>
      </c>
      <c r="G2584" t="s">
        <v>63</v>
      </c>
      <c r="H2584" t="s">
        <v>24</v>
      </c>
      <c r="I2584" t="s">
        <v>55</v>
      </c>
      <c r="J2584" t="s">
        <v>26</v>
      </c>
      <c r="K2584" t="s">
        <v>61</v>
      </c>
      <c r="L2584" t="s">
        <v>28</v>
      </c>
      <c r="M2584" s="4">
        <v>18</v>
      </c>
      <c r="N2584" s="4">
        <v>7</v>
      </c>
      <c r="O2584" t="s">
        <v>29</v>
      </c>
      <c r="P2584" t="s">
        <v>36</v>
      </c>
      <c r="Q2584" s="4">
        <v>242162</v>
      </c>
      <c r="R2584" s="4">
        <v>166436</v>
      </c>
      <c r="S2584" s="4">
        <f>Table1[[#This Row],[Service_Revenue]]-Table1[[#This Row],[Service_Cost]]</f>
        <v>75726</v>
      </c>
      <c r="T2584" s="4">
        <v>1</v>
      </c>
      <c r="U2584" s="4">
        <f>IF(AND(Table1[[#This Row],[Rework_Flag]]="Yes",Table1[[#This Row],[Warranty_Claim]]="No"),Table1[[#This Row],[Service_Revenue]],0)</f>
        <v>242162</v>
      </c>
      <c r="V2584" s="4">
        <f>IF(Table1[[#This Row],[Warranty_Claim]]="Yes",1,0)</f>
        <v>0</v>
      </c>
      <c r="W2584" s="4">
        <f>IF(Table1[[#This Row],[Rework_Flag]]="No",1,0)</f>
        <v>0</v>
      </c>
      <c r="X2584" s="4">
        <f>IF(Table1[[#This Row],[Rework_Flag]]="Yes",1,0)</f>
        <v>1</v>
      </c>
      <c r="Y2584" s="4">
        <v>1</v>
      </c>
      <c r="Z2584" s="4" t="str">
        <f>IF(Table1[[#This Row],[TAT_Days]]&gt;Table1[[#This Row],[SLA_TAT]],"Yes","No")</f>
        <v>Yes</v>
      </c>
      <c r="AA2584" s="4" t="str" cm="1">
        <f t="array" ref="AA2584">_xlfn.IFS(Table1[[#This Row],[Customer_Satisfaction]]&lt;=2,"Poor",Table1[[#This Row],[Customer_Satisfaction]]=3,"Neutral",Table1[[#This Row],[Customer_Satisfaction]]=4,"Good",Table1[[#This Row],[Customer_Satisfaction]]=5,"Good")</f>
        <v>Poor</v>
      </c>
    </row>
    <row r="2585" spans="1:27" x14ac:dyDescent="0.35">
      <c r="A2585">
        <v>22583</v>
      </c>
      <c r="B2585" s="1">
        <v>45410</v>
      </c>
      <c r="C2585" t="s">
        <v>50</v>
      </c>
      <c r="D2585" t="s">
        <v>80</v>
      </c>
      <c r="E2585" t="s">
        <v>85</v>
      </c>
      <c r="F2585" t="s">
        <v>53</v>
      </c>
      <c r="G2585" t="s">
        <v>23</v>
      </c>
      <c r="H2585" t="s">
        <v>24</v>
      </c>
      <c r="I2585" t="s">
        <v>55</v>
      </c>
      <c r="J2585" t="s">
        <v>67</v>
      </c>
      <c r="K2585" t="s">
        <v>27</v>
      </c>
      <c r="L2585" t="s">
        <v>28</v>
      </c>
      <c r="M2585" s="4">
        <v>14</v>
      </c>
      <c r="N2585" s="4">
        <v>7</v>
      </c>
      <c r="O2585" t="s">
        <v>29</v>
      </c>
      <c r="P2585" t="s">
        <v>36</v>
      </c>
      <c r="Q2585" s="4">
        <v>298588</v>
      </c>
      <c r="R2585" s="4">
        <v>244135</v>
      </c>
      <c r="S2585" s="4">
        <f>Table1[[#This Row],[Service_Revenue]]-Table1[[#This Row],[Service_Cost]]</f>
        <v>54453</v>
      </c>
      <c r="T2585" s="4">
        <v>2</v>
      </c>
      <c r="U2585" s="4">
        <f>IF(AND(Table1[[#This Row],[Rework_Flag]]="Yes",Table1[[#This Row],[Warranty_Claim]]="No"),Table1[[#This Row],[Service_Revenue]],0)</f>
        <v>298588</v>
      </c>
      <c r="V2585" s="4">
        <f>IF(Table1[[#This Row],[Warranty_Claim]]="Yes",1,0)</f>
        <v>0</v>
      </c>
      <c r="W2585" s="4">
        <f>IF(Table1[[#This Row],[Rework_Flag]]="No",1,0)</f>
        <v>0</v>
      </c>
      <c r="X2585" s="4">
        <f>IF(Table1[[#This Row],[Rework_Flag]]="Yes",1,0)</f>
        <v>1</v>
      </c>
      <c r="Y2585" s="4">
        <v>1</v>
      </c>
      <c r="Z2585" s="4" t="str">
        <f>IF(Table1[[#This Row],[TAT_Days]]&gt;Table1[[#This Row],[SLA_TAT]],"Yes","No")</f>
        <v>Yes</v>
      </c>
      <c r="AA2585" s="4" t="str" cm="1">
        <f t="array" ref="AA2585">_xlfn.IFS(Table1[[#This Row],[Customer_Satisfaction]]&lt;=2,"Poor",Table1[[#This Row],[Customer_Satisfaction]]=3,"Neutral",Table1[[#This Row],[Customer_Satisfaction]]=4,"Good",Table1[[#This Row],[Customer_Satisfaction]]=5,"Good")</f>
        <v>Poor</v>
      </c>
    </row>
    <row r="2586" spans="1:27" x14ac:dyDescent="0.35">
      <c r="A2586">
        <v>22584</v>
      </c>
      <c r="B2586" s="1">
        <v>45400</v>
      </c>
      <c r="C2586" t="s">
        <v>30</v>
      </c>
      <c r="D2586" t="s">
        <v>59</v>
      </c>
      <c r="E2586" t="s">
        <v>66</v>
      </c>
      <c r="F2586" t="s">
        <v>22</v>
      </c>
      <c r="G2586" t="s">
        <v>23</v>
      </c>
      <c r="H2586" t="s">
        <v>24</v>
      </c>
      <c r="I2586" t="s">
        <v>55</v>
      </c>
      <c r="J2586" t="s">
        <v>43</v>
      </c>
      <c r="K2586" t="s">
        <v>61</v>
      </c>
      <c r="L2586" t="s">
        <v>49</v>
      </c>
      <c r="M2586" s="4">
        <v>4</v>
      </c>
      <c r="N2586" s="4">
        <v>7</v>
      </c>
      <c r="O2586" t="s">
        <v>29</v>
      </c>
      <c r="P2586" t="s">
        <v>36</v>
      </c>
      <c r="Q2586" s="4">
        <v>425007</v>
      </c>
      <c r="R2586" s="4">
        <v>320599</v>
      </c>
      <c r="S2586" s="4">
        <f>Table1[[#This Row],[Service_Revenue]]-Table1[[#This Row],[Service_Cost]]</f>
        <v>104408</v>
      </c>
      <c r="T2586" s="4">
        <v>4</v>
      </c>
      <c r="U2586" s="4">
        <f>IF(AND(Table1[[#This Row],[Rework_Flag]]="Yes",Table1[[#This Row],[Warranty_Claim]]="No"),Table1[[#This Row],[Service_Revenue]],0)</f>
        <v>425007</v>
      </c>
      <c r="V2586" s="4">
        <f>IF(Table1[[#This Row],[Warranty_Claim]]="Yes",1,0)</f>
        <v>0</v>
      </c>
      <c r="W2586" s="4">
        <f>IF(Table1[[#This Row],[Rework_Flag]]="No",1,0)</f>
        <v>0</v>
      </c>
      <c r="X2586" s="4">
        <f>IF(Table1[[#This Row],[Rework_Flag]]="Yes",1,0)</f>
        <v>1</v>
      </c>
      <c r="Y2586" s="4">
        <v>1</v>
      </c>
      <c r="Z2586" s="4" t="str">
        <f>IF(Table1[[#This Row],[TAT_Days]]&gt;Table1[[#This Row],[SLA_TAT]],"Yes","No")</f>
        <v>No</v>
      </c>
      <c r="AA2586" s="4" t="str" cm="1">
        <f t="array" ref="AA2586">_xlfn.IFS(Table1[[#This Row],[Customer_Satisfaction]]&lt;=2,"Poor",Table1[[#This Row],[Customer_Satisfaction]]=3,"Neutral",Table1[[#This Row],[Customer_Satisfaction]]=4,"Good",Table1[[#This Row],[Customer_Satisfaction]]=5,"Good")</f>
        <v>Good</v>
      </c>
    </row>
    <row r="2587" spans="1:27" x14ac:dyDescent="0.35">
      <c r="A2587">
        <v>22585</v>
      </c>
      <c r="B2587" s="1">
        <v>45312</v>
      </c>
      <c r="C2587" t="s">
        <v>30</v>
      </c>
      <c r="D2587" t="s">
        <v>59</v>
      </c>
      <c r="E2587" t="s">
        <v>94</v>
      </c>
      <c r="F2587" t="s">
        <v>53</v>
      </c>
      <c r="G2587" t="s">
        <v>33</v>
      </c>
      <c r="H2587" t="s">
        <v>34</v>
      </c>
      <c r="I2587" t="s">
        <v>25</v>
      </c>
      <c r="J2587" t="s">
        <v>67</v>
      </c>
      <c r="K2587" t="s">
        <v>61</v>
      </c>
      <c r="L2587" t="s">
        <v>28</v>
      </c>
      <c r="M2587" s="4">
        <v>20</v>
      </c>
      <c r="N2587" s="4">
        <v>7</v>
      </c>
      <c r="O2587" t="s">
        <v>29</v>
      </c>
      <c r="P2587" t="s">
        <v>29</v>
      </c>
      <c r="Q2587" s="4">
        <v>128876</v>
      </c>
      <c r="R2587" s="4">
        <v>95902</v>
      </c>
      <c r="S2587" s="4">
        <f>Table1[[#This Row],[Service_Revenue]]-Table1[[#This Row],[Service_Cost]]</f>
        <v>32974</v>
      </c>
      <c r="T2587" s="4">
        <v>1</v>
      </c>
      <c r="U2587" s="4">
        <f>IF(AND(Table1[[#This Row],[Rework_Flag]]="Yes",Table1[[#This Row],[Warranty_Claim]]="No"),Table1[[#This Row],[Service_Revenue]],0)</f>
        <v>0</v>
      </c>
      <c r="V2587" s="4">
        <f>IF(Table1[[#This Row],[Warranty_Claim]]="Yes",1,0)</f>
        <v>1</v>
      </c>
      <c r="W2587" s="4">
        <f>IF(Table1[[#This Row],[Rework_Flag]]="No",1,0)</f>
        <v>0</v>
      </c>
      <c r="X2587" s="4">
        <f>IF(Table1[[#This Row],[Rework_Flag]]="Yes",1,0)</f>
        <v>1</v>
      </c>
      <c r="Y2587" s="4">
        <v>1</v>
      </c>
      <c r="Z2587" s="4" t="str">
        <f>IF(Table1[[#This Row],[TAT_Days]]&gt;Table1[[#This Row],[SLA_TAT]],"Yes","No")</f>
        <v>Yes</v>
      </c>
      <c r="AA2587" s="4" t="str" cm="1">
        <f t="array" ref="AA2587">_xlfn.IFS(Table1[[#This Row],[Customer_Satisfaction]]&lt;=2,"Poor",Table1[[#This Row],[Customer_Satisfaction]]=3,"Neutral",Table1[[#This Row],[Customer_Satisfaction]]=4,"Good",Table1[[#This Row],[Customer_Satisfaction]]=5,"Good")</f>
        <v>Poor</v>
      </c>
    </row>
    <row r="2588" spans="1:27" x14ac:dyDescent="0.35">
      <c r="A2588">
        <v>22586</v>
      </c>
      <c r="B2588" s="1">
        <v>45371</v>
      </c>
      <c r="C2588" t="s">
        <v>37</v>
      </c>
      <c r="D2588" t="s">
        <v>64</v>
      </c>
      <c r="E2588" t="s">
        <v>103</v>
      </c>
      <c r="F2588" t="s">
        <v>40</v>
      </c>
      <c r="G2588" t="s">
        <v>63</v>
      </c>
      <c r="H2588" t="s">
        <v>24</v>
      </c>
      <c r="I2588" t="s">
        <v>55</v>
      </c>
      <c r="J2588" t="s">
        <v>43</v>
      </c>
      <c r="K2588" t="s">
        <v>61</v>
      </c>
      <c r="L2588" t="s">
        <v>49</v>
      </c>
      <c r="M2588" s="4">
        <v>23</v>
      </c>
      <c r="N2588" s="4">
        <v>7</v>
      </c>
      <c r="O2588" t="s">
        <v>29</v>
      </c>
      <c r="P2588" t="s">
        <v>36</v>
      </c>
      <c r="Q2588" s="4">
        <v>407189</v>
      </c>
      <c r="R2588" s="4">
        <v>340937</v>
      </c>
      <c r="S2588" s="4">
        <f>Table1[[#This Row],[Service_Revenue]]-Table1[[#This Row],[Service_Cost]]</f>
        <v>66252</v>
      </c>
      <c r="T2588" s="4">
        <v>1</v>
      </c>
      <c r="U2588" s="4">
        <f>IF(AND(Table1[[#This Row],[Rework_Flag]]="Yes",Table1[[#This Row],[Warranty_Claim]]="No"),Table1[[#This Row],[Service_Revenue]],0)</f>
        <v>407189</v>
      </c>
      <c r="V2588" s="4">
        <f>IF(Table1[[#This Row],[Warranty_Claim]]="Yes",1,0)</f>
        <v>0</v>
      </c>
      <c r="W2588" s="4">
        <f>IF(Table1[[#This Row],[Rework_Flag]]="No",1,0)</f>
        <v>0</v>
      </c>
      <c r="X2588" s="4">
        <f>IF(Table1[[#This Row],[Rework_Flag]]="Yes",1,0)</f>
        <v>1</v>
      </c>
      <c r="Y2588" s="4">
        <v>1</v>
      </c>
      <c r="Z2588" s="4" t="str">
        <f>IF(Table1[[#This Row],[TAT_Days]]&gt;Table1[[#This Row],[SLA_TAT]],"Yes","No")</f>
        <v>Yes</v>
      </c>
      <c r="AA2588" s="4" t="str" cm="1">
        <f t="array" ref="AA2588">_xlfn.IFS(Table1[[#This Row],[Customer_Satisfaction]]&lt;=2,"Poor",Table1[[#This Row],[Customer_Satisfaction]]=3,"Neutral",Table1[[#This Row],[Customer_Satisfaction]]=4,"Good",Table1[[#This Row],[Customer_Satisfaction]]=5,"Good")</f>
        <v>Poor</v>
      </c>
    </row>
    <row r="2589" spans="1:27" x14ac:dyDescent="0.35">
      <c r="A2589">
        <v>22587</v>
      </c>
      <c r="B2589" s="1">
        <v>45356</v>
      </c>
      <c r="C2589" t="s">
        <v>30</v>
      </c>
      <c r="D2589" t="s">
        <v>83</v>
      </c>
      <c r="E2589" t="s">
        <v>90</v>
      </c>
      <c r="F2589" t="s">
        <v>53</v>
      </c>
      <c r="G2589" t="s">
        <v>23</v>
      </c>
      <c r="H2589" t="s">
        <v>24</v>
      </c>
      <c r="I2589" t="s">
        <v>55</v>
      </c>
      <c r="J2589" t="s">
        <v>26</v>
      </c>
      <c r="K2589" t="s">
        <v>27</v>
      </c>
      <c r="L2589" t="s">
        <v>49</v>
      </c>
      <c r="M2589" s="4">
        <v>15</v>
      </c>
      <c r="N2589" s="4">
        <v>7</v>
      </c>
      <c r="O2589" t="s">
        <v>29</v>
      </c>
      <c r="P2589" t="s">
        <v>29</v>
      </c>
      <c r="Q2589" s="4">
        <v>580872</v>
      </c>
      <c r="R2589" s="4">
        <v>327145</v>
      </c>
      <c r="S2589" s="4">
        <f>Table1[[#This Row],[Service_Revenue]]-Table1[[#This Row],[Service_Cost]]</f>
        <v>253727</v>
      </c>
      <c r="T2589" s="4">
        <v>1</v>
      </c>
      <c r="U2589" s="4">
        <f>IF(AND(Table1[[#This Row],[Rework_Flag]]="Yes",Table1[[#This Row],[Warranty_Claim]]="No"),Table1[[#This Row],[Service_Revenue]],0)</f>
        <v>0</v>
      </c>
      <c r="V2589" s="4">
        <f>IF(Table1[[#This Row],[Warranty_Claim]]="Yes",1,0)</f>
        <v>1</v>
      </c>
      <c r="W2589" s="4">
        <f>IF(Table1[[#This Row],[Rework_Flag]]="No",1,0)</f>
        <v>0</v>
      </c>
      <c r="X2589" s="4">
        <f>IF(Table1[[#This Row],[Rework_Flag]]="Yes",1,0)</f>
        <v>1</v>
      </c>
      <c r="Y2589" s="4">
        <v>1</v>
      </c>
      <c r="Z2589" s="4" t="str">
        <f>IF(Table1[[#This Row],[TAT_Days]]&gt;Table1[[#This Row],[SLA_TAT]],"Yes","No")</f>
        <v>Yes</v>
      </c>
      <c r="AA2589" s="4" t="str" cm="1">
        <f t="array" ref="AA2589">_xlfn.IFS(Table1[[#This Row],[Customer_Satisfaction]]&lt;=2,"Poor",Table1[[#This Row],[Customer_Satisfaction]]=3,"Neutral",Table1[[#This Row],[Customer_Satisfaction]]=4,"Good",Table1[[#This Row],[Customer_Satisfaction]]=5,"Good")</f>
        <v>Poor</v>
      </c>
    </row>
    <row r="2590" spans="1:27" x14ac:dyDescent="0.35">
      <c r="A2590">
        <v>22588</v>
      </c>
      <c r="B2590" s="1">
        <v>45445</v>
      </c>
      <c r="C2590" t="s">
        <v>19</v>
      </c>
      <c r="D2590" t="s">
        <v>20</v>
      </c>
      <c r="E2590" t="s">
        <v>89</v>
      </c>
      <c r="F2590" t="s">
        <v>22</v>
      </c>
      <c r="G2590" t="s">
        <v>41</v>
      </c>
      <c r="H2590" t="s">
        <v>42</v>
      </c>
      <c r="I2590" t="s">
        <v>55</v>
      </c>
      <c r="J2590" t="s">
        <v>67</v>
      </c>
      <c r="K2590" t="s">
        <v>44</v>
      </c>
      <c r="L2590" t="s">
        <v>28</v>
      </c>
      <c r="M2590" s="4">
        <v>21</v>
      </c>
      <c r="N2590" s="4">
        <v>7</v>
      </c>
      <c r="O2590" t="s">
        <v>36</v>
      </c>
      <c r="P2590" t="s">
        <v>36</v>
      </c>
      <c r="Q2590" s="4">
        <v>224075</v>
      </c>
      <c r="R2590" s="4">
        <v>133437</v>
      </c>
      <c r="S2590" s="4">
        <f>Table1[[#This Row],[Service_Revenue]]-Table1[[#This Row],[Service_Cost]]</f>
        <v>90638</v>
      </c>
      <c r="T2590" s="4">
        <v>1</v>
      </c>
      <c r="U2590" s="4">
        <f>IF(AND(Table1[[#This Row],[Rework_Flag]]="Yes",Table1[[#This Row],[Warranty_Claim]]="No"),Table1[[#This Row],[Service_Revenue]],0)</f>
        <v>0</v>
      </c>
      <c r="V2590" s="4">
        <f>IF(Table1[[#This Row],[Warranty_Claim]]="Yes",1,0)</f>
        <v>0</v>
      </c>
      <c r="W2590" s="4">
        <f>IF(Table1[[#This Row],[Rework_Flag]]="No",1,0)</f>
        <v>1</v>
      </c>
      <c r="X2590" s="4">
        <f>IF(Table1[[#This Row],[Rework_Flag]]="Yes",1,0)</f>
        <v>0</v>
      </c>
      <c r="Y2590" s="4">
        <v>1</v>
      </c>
      <c r="Z2590" s="4" t="str">
        <f>IF(Table1[[#This Row],[TAT_Days]]&gt;Table1[[#This Row],[SLA_TAT]],"Yes","No")</f>
        <v>Yes</v>
      </c>
      <c r="AA2590" s="4" t="str" cm="1">
        <f t="array" ref="AA2590">_xlfn.IFS(Table1[[#This Row],[Customer_Satisfaction]]&lt;=2,"Poor",Table1[[#This Row],[Customer_Satisfaction]]=3,"Neutral",Table1[[#This Row],[Customer_Satisfaction]]=4,"Good",Table1[[#This Row],[Customer_Satisfaction]]=5,"Good")</f>
        <v>Poor</v>
      </c>
    </row>
    <row r="2591" spans="1:27" x14ac:dyDescent="0.35">
      <c r="A2591">
        <v>22589</v>
      </c>
      <c r="B2591" s="1">
        <v>45367</v>
      </c>
      <c r="C2591" t="s">
        <v>37</v>
      </c>
      <c r="D2591" t="s">
        <v>64</v>
      </c>
      <c r="E2591" t="s">
        <v>87</v>
      </c>
      <c r="F2591" t="s">
        <v>22</v>
      </c>
      <c r="G2591" t="s">
        <v>41</v>
      </c>
      <c r="H2591" t="s">
        <v>42</v>
      </c>
      <c r="I2591" t="s">
        <v>55</v>
      </c>
      <c r="J2591" t="s">
        <v>67</v>
      </c>
      <c r="K2591" t="s">
        <v>61</v>
      </c>
      <c r="L2591" t="s">
        <v>49</v>
      </c>
      <c r="M2591" s="4">
        <v>25</v>
      </c>
      <c r="N2591" s="4">
        <v>7</v>
      </c>
      <c r="O2591" t="s">
        <v>29</v>
      </c>
      <c r="P2591" t="s">
        <v>36</v>
      </c>
      <c r="Q2591" s="4">
        <v>564179</v>
      </c>
      <c r="R2591" s="4">
        <v>350551</v>
      </c>
      <c r="S2591" s="4">
        <f>Table1[[#This Row],[Service_Revenue]]-Table1[[#This Row],[Service_Cost]]</f>
        <v>213628</v>
      </c>
      <c r="T2591" s="4">
        <v>1</v>
      </c>
      <c r="U2591" s="4">
        <f>IF(AND(Table1[[#This Row],[Rework_Flag]]="Yes",Table1[[#This Row],[Warranty_Claim]]="No"),Table1[[#This Row],[Service_Revenue]],0)</f>
        <v>564179</v>
      </c>
      <c r="V2591" s="4">
        <f>IF(Table1[[#This Row],[Warranty_Claim]]="Yes",1,0)</f>
        <v>0</v>
      </c>
      <c r="W2591" s="4">
        <f>IF(Table1[[#This Row],[Rework_Flag]]="No",1,0)</f>
        <v>0</v>
      </c>
      <c r="X2591" s="4">
        <f>IF(Table1[[#This Row],[Rework_Flag]]="Yes",1,0)</f>
        <v>1</v>
      </c>
      <c r="Y2591" s="4">
        <v>1</v>
      </c>
      <c r="Z2591" s="4" t="str">
        <f>IF(Table1[[#This Row],[TAT_Days]]&gt;Table1[[#This Row],[SLA_TAT]],"Yes","No")</f>
        <v>Yes</v>
      </c>
      <c r="AA2591" s="4" t="str" cm="1">
        <f t="array" ref="AA2591">_xlfn.IFS(Table1[[#This Row],[Customer_Satisfaction]]&lt;=2,"Poor",Table1[[#This Row],[Customer_Satisfaction]]=3,"Neutral",Table1[[#This Row],[Customer_Satisfaction]]=4,"Good",Table1[[#This Row],[Customer_Satisfaction]]=5,"Good")</f>
        <v>Poor</v>
      </c>
    </row>
    <row r="2592" spans="1:27" x14ac:dyDescent="0.35">
      <c r="A2592">
        <v>22590</v>
      </c>
      <c r="B2592" s="1">
        <v>45435</v>
      </c>
      <c r="C2592" t="s">
        <v>37</v>
      </c>
      <c r="D2592" t="s">
        <v>38</v>
      </c>
      <c r="E2592" t="s">
        <v>93</v>
      </c>
      <c r="F2592" t="s">
        <v>22</v>
      </c>
      <c r="G2592" t="s">
        <v>54</v>
      </c>
      <c r="H2592" t="s">
        <v>42</v>
      </c>
      <c r="I2592" t="s">
        <v>55</v>
      </c>
      <c r="J2592" t="s">
        <v>43</v>
      </c>
      <c r="K2592" t="s">
        <v>27</v>
      </c>
      <c r="L2592" t="s">
        <v>49</v>
      </c>
      <c r="M2592" s="4">
        <v>23</v>
      </c>
      <c r="N2592" s="4">
        <v>7</v>
      </c>
      <c r="O2592" t="s">
        <v>29</v>
      </c>
      <c r="P2592" t="s">
        <v>36</v>
      </c>
      <c r="Q2592" s="4">
        <v>265361</v>
      </c>
      <c r="R2592" s="4">
        <v>148238</v>
      </c>
      <c r="S2592" s="4">
        <f>Table1[[#This Row],[Service_Revenue]]-Table1[[#This Row],[Service_Cost]]</f>
        <v>117123</v>
      </c>
      <c r="T2592" s="4">
        <v>1</v>
      </c>
      <c r="U2592" s="4">
        <f>IF(AND(Table1[[#This Row],[Rework_Flag]]="Yes",Table1[[#This Row],[Warranty_Claim]]="No"),Table1[[#This Row],[Service_Revenue]],0)</f>
        <v>265361</v>
      </c>
      <c r="V2592" s="4">
        <f>IF(Table1[[#This Row],[Warranty_Claim]]="Yes",1,0)</f>
        <v>0</v>
      </c>
      <c r="W2592" s="4">
        <f>IF(Table1[[#This Row],[Rework_Flag]]="No",1,0)</f>
        <v>0</v>
      </c>
      <c r="X2592" s="4">
        <f>IF(Table1[[#This Row],[Rework_Flag]]="Yes",1,0)</f>
        <v>1</v>
      </c>
      <c r="Y2592" s="4">
        <v>1</v>
      </c>
      <c r="Z2592" s="4" t="str">
        <f>IF(Table1[[#This Row],[TAT_Days]]&gt;Table1[[#This Row],[SLA_TAT]],"Yes","No")</f>
        <v>Yes</v>
      </c>
      <c r="AA2592" s="4" t="str" cm="1">
        <f t="array" ref="AA2592">_xlfn.IFS(Table1[[#This Row],[Customer_Satisfaction]]&lt;=2,"Poor",Table1[[#This Row],[Customer_Satisfaction]]=3,"Neutral",Table1[[#This Row],[Customer_Satisfaction]]=4,"Good",Table1[[#This Row],[Customer_Satisfaction]]=5,"Good")</f>
        <v>Poor</v>
      </c>
    </row>
    <row r="2593" spans="1:27" x14ac:dyDescent="0.35">
      <c r="A2593">
        <v>22591</v>
      </c>
      <c r="B2593" s="1">
        <v>45412</v>
      </c>
      <c r="C2593" t="s">
        <v>50</v>
      </c>
      <c r="D2593" t="s">
        <v>56</v>
      </c>
      <c r="E2593" t="s">
        <v>68</v>
      </c>
      <c r="F2593" t="s">
        <v>22</v>
      </c>
      <c r="G2593" t="s">
        <v>47</v>
      </c>
      <c r="H2593" t="s">
        <v>48</v>
      </c>
      <c r="I2593" t="s">
        <v>25</v>
      </c>
      <c r="J2593" t="s">
        <v>26</v>
      </c>
      <c r="K2593" t="s">
        <v>61</v>
      </c>
      <c r="L2593" t="s">
        <v>49</v>
      </c>
      <c r="M2593" s="4">
        <v>21</v>
      </c>
      <c r="N2593" s="4">
        <v>7</v>
      </c>
      <c r="O2593" t="s">
        <v>36</v>
      </c>
      <c r="P2593" t="s">
        <v>29</v>
      </c>
      <c r="Q2593" s="4">
        <v>437128</v>
      </c>
      <c r="R2593" s="4">
        <v>305172</v>
      </c>
      <c r="S2593" s="4">
        <f>Table1[[#This Row],[Service_Revenue]]-Table1[[#This Row],[Service_Cost]]</f>
        <v>131956</v>
      </c>
      <c r="T2593" s="4">
        <v>1</v>
      </c>
      <c r="U2593" s="4">
        <f>IF(AND(Table1[[#This Row],[Rework_Flag]]="Yes",Table1[[#This Row],[Warranty_Claim]]="No"),Table1[[#This Row],[Service_Revenue]],0)</f>
        <v>0</v>
      </c>
      <c r="V2593" s="4">
        <f>IF(Table1[[#This Row],[Warranty_Claim]]="Yes",1,0)</f>
        <v>1</v>
      </c>
      <c r="W2593" s="4">
        <f>IF(Table1[[#This Row],[Rework_Flag]]="No",1,0)</f>
        <v>1</v>
      </c>
      <c r="X2593" s="4">
        <f>IF(Table1[[#This Row],[Rework_Flag]]="Yes",1,0)</f>
        <v>0</v>
      </c>
      <c r="Y2593" s="4">
        <v>1</v>
      </c>
      <c r="Z2593" s="4" t="str">
        <f>IF(Table1[[#This Row],[TAT_Days]]&gt;Table1[[#This Row],[SLA_TAT]],"Yes","No")</f>
        <v>Yes</v>
      </c>
      <c r="AA2593" s="4" t="str" cm="1">
        <f t="array" ref="AA2593">_xlfn.IFS(Table1[[#This Row],[Customer_Satisfaction]]&lt;=2,"Poor",Table1[[#This Row],[Customer_Satisfaction]]=3,"Neutral",Table1[[#This Row],[Customer_Satisfaction]]=4,"Good",Table1[[#This Row],[Customer_Satisfaction]]=5,"Good")</f>
        <v>Poor</v>
      </c>
    </row>
    <row r="2594" spans="1:27" x14ac:dyDescent="0.35">
      <c r="A2594">
        <v>22592</v>
      </c>
      <c r="B2594" s="1">
        <v>45459</v>
      </c>
      <c r="C2594" t="s">
        <v>19</v>
      </c>
      <c r="D2594" t="s">
        <v>20</v>
      </c>
      <c r="E2594" t="s">
        <v>86</v>
      </c>
      <c r="F2594" t="s">
        <v>22</v>
      </c>
      <c r="G2594" t="s">
        <v>54</v>
      </c>
      <c r="H2594" t="s">
        <v>42</v>
      </c>
      <c r="I2594" t="s">
        <v>25</v>
      </c>
      <c r="J2594" t="s">
        <v>26</v>
      </c>
      <c r="K2594" t="s">
        <v>44</v>
      </c>
      <c r="L2594" t="s">
        <v>49</v>
      </c>
      <c r="M2594" s="4">
        <v>12</v>
      </c>
      <c r="N2594" s="4">
        <v>7</v>
      </c>
      <c r="O2594" t="s">
        <v>36</v>
      </c>
      <c r="P2594" t="s">
        <v>36</v>
      </c>
      <c r="Q2594" s="4">
        <v>158969</v>
      </c>
      <c r="R2594" s="4">
        <v>111720</v>
      </c>
      <c r="S2594" s="4">
        <f>Table1[[#This Row],[Service_Revenue]]-Table1[[#This Row],[Service_Cost]]</f>
        <v>47249</v>
      </c>
      <c r="T2594" s="4">
        <v>3</v>
      </c>
      <c r="U2594" s="4">
        <f>IF(AND(Table1[[#This Row],[Rework_Flag]]="Yes",Table1[[#This Row],[Warranty_Claim]]="No"),Table1[[#This Row],[Service_Revenue]],0)</f>
        <v>0</v>
      </c>
      <c r="V2594" s="4">
        <f>IF(Table1[[#This Row],[Warranty_Claim]]="Yes",1,0)</f>
        <v>0</v>
      </c>
      <c r="W2594" s="4">
        <f>IF(Table1[[#This Row],[Rework_Flag]]="No",1,0)</f>
        <v>1</v>
      </c>
      <c r="X2594" s="4">
        <f>IF(Table1[[#This Row],[Rework_Flag]]="Yes",1,0)</f>
        <v>0</v>
      </c>
      <c r="Y2594" s="4">
        <v>1</v>
      </c>
      <c r="Z2594" s="4" t="str">
        <f>IF(Table1[[#This Row],[TAT_Days]]&gt;Table1[[#This Row],[SLA_TAT]],"Yes","No")</f>
        <v>Yes</v>
      </c>
      <c r="AA2594" s="4" t="str" cm="1">
        <f t="array" ref="AA2594">_xlfn.IFS(Table1[[#This Row],[Customer_Satisfaction]]&lt;=2,"Poor",Table1[[#This Row],[Customer_Satisfaction]]=3,"Neutral",Table1[[#This Row],[Customer_Satisfaction]]=4,"Good",Table1[[#This Row],[Customer_Satisfaction]]=5,"Good")</f>
        <v>Neutral</v>
      </c>
    </row>
    <row r="2595" spans="1:27" x14ac:dyDescent="0.35">
      <c r="A2595">
        <v>22593</v>
      </c>
      <c r="B2595" s="1">
        <v>45444</v>
      </c>
      <c r="C2595" t="s">
        <v>37</v>
      </c>
      <c r="D2595" t="s">
        <v>70</v>
      </c>
      <c r="E2595" t="s">
        <v>82</v>
      </c>
      <c r="F2595" t="s">
        <v>40</v>
      </c>
      <c r="G2595" t="s">
        <v>63</v>
      </c>
      <c r="H2595" t="s">
        <v>24</v>
      </c>
      <c r="I2595" t="s">
        <v>25</v>
      </c>
      <c r="J2595" t="s">
        <v>35</v>
      </c>
      <c r="K2595" t="s">
        <v>27</v>
      </c>
      <c r="L2595" t="s">
        <v>28</v>
      </c>
      <c r="M2595" s="4">
        <v>2</v>
      </c>
      <c r="N2595" s="4">
        <v>7</v>
      </c>
      <c r="O2595" t="s">
        <v>36</v>
      </c>
      <c r="P2595" t="s">
        <v>36</v>
      </c>
      <c r="Q2595" s="4">
        <v>552449</v>
      </c>
      <c r="R2595" s="4">
        <v>462508</v>
      </c>
      <c r="S2595" s="4">
        <f>Table1[[#This Row],[Service_Revenue]]-Table1[[#This Row],[Service_Cost]]</f>
        <v>89941</v>
      </c>
      <c r="T2595" s="4">
        <v>5</v>
      </c>
      <c r="U2595" s="4">
        <f>IF(AND(Table1[[#This Row],[Rework_Flag]]="Yes",Table1[[#This Row],[Warranty_Claim]]="No"),Table1[[#This Row],[Service_Revenue]],0)</f>
        <v>0</v>
      </c>
      <c r="V2595" s="4">
        <f>IF(Table1[[#This Row],[Warranty_Claim]]="Yes",1,0)</f>
        <v>0</v>
      </c>
      <c r="W2595" s="4">
        <f>IF(Table1[[#This Row],[Rework_Flag]]="No",1,0)</f>
        <v>1</v>
      </c>
      <c r="X2595" s="4">
        <f>IF(Table1[[#This Row],[Rework_Flag]]="Yes",1,0)</f>
        <v>0</v>
      </c>
      <c r="Y2595" s="4">
        <v>1</v>
      </c>
      <c r="Z2595" s="4" t="str">
        <f>IF(Table1[[#This Row],[TAT_Days]]&gt;Table1[[#This Row],[SLA_TAT]],"Yes","No")</f>
        <v>No</v>
      </c>
      <c r="AA2595" s="4" t="str" cm="1">
        <f t="array" ref="AA2595">_xlfn.IFS(Table1[[#This Row],[Customer_Satisfaction]]&lt;=2,"Poor",Table1[[#This Row],[Customer_Satisfaction]]=3,"Neutral",Table1[[#This Row],[Customer_Satisfaction]]=4,"Good",Table1[[#This Row],[Customer_Satisfaction]]=5,"Good")</f>
        <v>Good</v>
      </c>
    </row>
    <row r="2596" spans="1:27" x14ac:dyDescent="0.35">
      <c r="A2596">
        <v>22594</v>
      </c>
      <c r="B2596" s="1">
        <v>45464</v>
      </c>
      <c r="C2596" t="s">
        <v>37</v>
      </c>
      <c r="D2596" t="s">
        <v>64</v>
      </c>
      <c r="E2596" t="s">
        <v>87</v>
      </c>
      <c r="F2596" t="s">
        <v>40</v>
      </c>
      <c r="G2596" t="s">
        <v>33</v>
      </c>
      <c r="H2596" t="s">
        <v>34</v>
      </c>
      <c r="I2596" t="s">
        <v>55</v>
      </c>
      <c r="J2596" t="s">
        <v>67</v>
      </c>
      <c r="K2596" t="s">
        <v>61</v>
      </c>
      <c r="L2596" t="s">
        <v>49</v>
      </c>
      <c r="M2596" s="4">
        <v>6</v>
      </c>
      <c r="N2596" s="4">
        <v>7</v>
      </c>
      <c r="O2596" t="s">
        <v>29</v>
      </c>
      <c r="P2596" t="s">
        <v>36</v>
      </c>
      <c r="Q2596" s="4">
        <v>535195</v>
      </c>
      <c r="R2596" s="4">
        <v>387068</v>
      </c>
      <c r="S2596" s="4">
        <f>Table1[[#This Row],[Service_Revenue]]-Table1[[#This Row],[Service_Cost]]</f>
        <v>148127</v>
      </c>
      <c r="T2596" s="4">
        <v>3</v>
      </c>
      <c r="U2596" s="4">
        <f>IF(AND(Table1[[#This Row],[Rework_Flag]]="Yes",Table1[[#This Row],[Warranty_Claim]]="No"),Table1[[#This Row],[Service_Revenue]],0)</f>
        <v>535195</v>
      </c>
      <c r="V2596" s="4">
        <f>IF(Table1[[#This Row],[Warranty_Claim]]="Yes",1,0)</f>
        <v>0</v>
      </c>
      <c r="W2596" s="4">
        <f>IF(Table1[[#This Row],[Rework_Flag]]="No",1,0)</f>
        <v>0</v>
      </c>
      <c r="X2596" s="4">
        <f>IF(Table1[[#This Row],[Rework_Flag]]="Yes",1,0)</f>
        <v>1</v>
      </c>
      <c r="Y2596" s="4">
        <v>1</v>
      </c>
      <c r="Z2596" s="4" t="str">
        <f>IF(Table1[[#This Row],[TAT_Days]]&gt;Table1[[#This Row],[SLA_TAT]],"Yes","No")</f>
        <v>No</v>
      </c>
      <c r="AA2596" s="4" t="str" cm="1">
        <f t="array" ref="AA2596">_xlfn.IFS(Table1[[#This Row],[Customer_Satisfaction]]&lt;=2,"Poor",Table1[[#This Row],[Customer_Satisfaction]]=3,"Neutral",Table1[[#This Row],[Customer_Satisfaction]]=4,"Good",Table1[[#This Row],[Customer_Satisfaction]]=5,"Good")</f>
        <v>Neutral</v>
      </c>
    </row>
    <row r="2597" spans="1:27" x14ac:dyDescent="0.35">
      <c r="A2597">
        <v>22595</v>
      </c>
      <c r="B2597" s="1">
        <v>45368</v>
      </c>
      <c r="C2597" t="s">
        <v>30</v>
      </c>
      <c r="D2597" t="s">
        <v>83</v>
      </c>
      <c r="E2597" t="s">
        <v>92</v>
      </c>
      <c r="F2597" t="s">
        <v>40</v>
      </c>
      <c r="G2597" t="s">
        <v>63</v>
      </c>
      <c r="H2597" t="s">
        <v>24</v>
      </c>
      <c r="I2597" t="s">
        <v>55</v>
      </c>
      <c r="J2597" t="s">
        <v>58</v>
      </c>
      <c r="K2597" t="s">
        <v>44</v>
      </c>
      <c r="L2597" t="s">
        <v>28</v>
      </c>
      <c r="M2597" s="4">
        <v>5</v>
      </c>
      <c r="N2597" s="4">
        <v>7</v>
      </c>
      <c r="O2597" t="s">
        <v>36</v>
      </c>
      <c r="P2597" t="s">
        <v>36</v>
      </c>
      <c r="Q2597" s="4">
        <v>115362</v>
      </c>
      <c r="R2597" s="4">
        <v>84334</v>
      </c>
      <c r="S2597" s="4">
        <f>Table1[[#This Row],[Service_Revenue]]-Table1[[#This Row],[Service_Cost]]</f>
        <v>31028</v>
      </c>
      <c r="T2597" s="4">
        <v>4</v>
      </c>
      <c r="U2597" s="4">
        <f>IF(AND(Table1[[#This Row],[Rework_Flag]]="Yes",Table1[[#This Row],[Warranty_Claim]]="No"),Table1[[#This Row],[Service_Revenue]],0)</f>
        <v>0</v>
      </c>
      <c r="V2597" s="4">
        <f>IF(Table1[[#This Row],[Warranty_Claim]]="Yes",1,0)</f>
        <v>0</v>
      </c>
      <c r="W2597" s="4">
        <f>IF(Table1[[#This Row],[Rework_Flag]]="No",1,0)</f>
        <v>1</v>
      </c>
      <c r="X2597" s="4">
        <f>IF(Table1[[#This Row],[Rework_Flag]]="Yes",1,0)</f>
        <v>0</v>
      </c>
      <c r="Y2597" s="4">
        <v>1</v>
      </c>
      <c r="Z2597" s="4" t="str">
        <f>IF(Table1[[#This Row],[TAT_Days]]&gt;Table1[[#This Row],[SLA_TAT]],"Yes","No")</f>
        <v>No</v>
      </c>
      <c r="AA2597" s="4" t="str" cm="1">
        <f t="array" ref="AA2597">_xlfn.IFS(Table1[[#This Row],[Customer_Satisfaction]]&lt;=2,"Poor",Table1[[#This Row],[Customer_Satisfaction]]=3,"Neutral",Table1[[#This Row],[Customer_Satisfaction]]=4,"Good",Table1[[#This Row],[Customer_Satisfaction]]=5,"Good")</f>
        <v>Good</v>
      </c>
    </row>
    <row r="2598" spans="1:27" x14ac:dyDescent="0.35">
      <c r="A2598">
        <v>22596</v>
      </c>
      <c r="B2598" s="1">
        <v>45453</v>
      </c>
      <c r="C2598" t="s">
        <v>50</v>
      </c>
      <c r="D2598" t="s">
        <v>51</v>
      </c>
      <c r="E2598" t="s">
        <v>75</v>
      </c>
      <c r="F2598" t="s">
        <v>22</v>
      </c>
      <c r="G2598" t="s">
        <v>63</v>
      </c>
      <c r="H2598" t="s">
        <v>24</v>
      </c>
      <c r="I2598" t="s">
        <v>25</v>
      </c>
      <c r="J2598" t="s">
        <v>26</v>
      </c>
      <c r="K2598" t="s">
        <v>61</v>
      </c>
      <c r="L2598" t="s">
        <v>28</v>
      </c>
      <c r="M2598" s="4">
        <v>8</v>
      </c>
      <c r="N2598" s="4">
        <v>7</v>
      </c>
      <c r="O2598" t="s">
        <v>29</v>
      </c>
      <c r="P2598" t="s">
        <v>36</v>
      </c>
      <c r="Q2598" s="4">
        <v>324460</v>
      </c>
      <c r="R2598" s="4">
        <v>194281</v>
      </c>
      <c r="S2598" s="4">
        <f>Table1[[#This Row],[Service_Revenue]]-Table1[[#This Row],[Service_Cost]]</f>
        <v>130179</v>
      </c>
      <c r="T2598" s="4">
        <v>3</v>
      </c>
      <c r="U2598" s="4">
        <f>IF(AND(Table1[[#This Row],[Rework_Flag]]="Yes",Table1[[#This Row],[Warranty_Claim]]="No"),Table1[[#This Row],[Service_Revenue]],0)</f>
        <v>324460</v>
      </c>
      <c r="V2598" s="4">
        <f>IF(Table1[[#This Row],[Warranty_Claim]]="Yes",1,0)</f>
        <v>0</v>
      </c>
      <c r="W2598" s="4">
        <f>IF(Table1[[#This Row],[Rework_Flag]]="No",1,0)</f>
        <v>0</v>
      </c>
      <c r="X2598" s="4">
        <f>IF(Table1[[#This Row],[Rework_Flag]]="Yes",1,0)</f>
        <v>1</v>
      </c>
      <c r="Y2598" s="4">
        <v>1</v>
      </c>
      <c r="Z2598" s="4" t="str">
        <f>IF(Table1[[#This Row],[TAT_Days]]&gt;Table1[[#This Row],[SLA_TAT]],"Yes","No")</f>
        <v>Yes</v>
      </c>
      <c r="AA2598" s="4" t="str" cm="1">
        <f t="array" ref="AA2598">_xlfn.IFS(Table1[[#This Row],[Customer_Satisfaction]]&lt;=2,"Poor",Table1[[#This Row],[Customer_Satisfaction]]=3,"Neutral",Table1[[#This Row],[Customer_Satisfaction]]=4,"Good",Table1[[#This Row],[Customer_Satisfaction]]=5,"Good")</f>
        <v>Neutral</v>
      </c>
    </row>
    <row r="2599" spans="1:27" x14ac:dyDescent="0.35">
      <c r="A2599">
        <v>22597</v>
      </c>
      <c r="B2599" s="1">
        <v>45342</v>
      </c>
      <c r="C2599" t="s">
        <v>37</v>
      </c>
      <c r="D2599" t="s">
        <v>64</v>
      </c>
      <c r="E2599" t="s">
        <v>115</v>
      </c>
      <c r="F2599" t="s">
        <v>40</v>
      </c>
      <c r="G2599" t="s">
        <v>23</v>
      </c>
      <c r="H2599" t="s">
        <v>24</v>
      </c>
      <c r="I2599" t="s">
        <v>25</v>
      </c>
      <c r="J2599" t="s">
        <v>43</v>
      </c>
      <c r="K2599" t="s">
        <v>27</v>
      </c>
      <c r="L2599" t="s">
        <v>28</v>
      </c>
      <c r="M2599" s="4">
        <v>7</v>
      </c>
      <c r="N2599" s="4">
        <v>7</v>
      </c>
      <c r="O2599" t="s">
        <v>29</v>
      </c>
      <c r="P2599" t="s">
        <v>29</v>
      </c>
      <c r="Q2599" s="4">
        <v>268796</v>
      </c>
      <c r="R2599" s="4">
        <v>191460</v>
      </c>
      <c r="S2599" s="4">
        <f>Table1[[#This Row],[Service_Revenue]]-Table1[[#This Row],[Service_Cost]]</f>
        <v>77336</v>
      </c>
      <c r="T2599" s="4">
        <v>3</v>
      </c>
      <c r="U2599" s="4">
        <f>IF(AND(Table1[[#This Row],[Rework_Flag]]="Yes",Table1[[#This Row],[Warranty_Claim]]="No"),Table1[[#This Row],[Service_Revenue]],0)</f>
        <v>0</v>
      </c>
      <c r="V2599" s="4">
        <f>IF(Table1[[#This Row],[Warranty_Claim]]="Yes",1,0)</f>
        <v>1</v>
      </c>
      <c r="W2599" s="4">
        <f>IF(Table1[[#This Row],[Rework_Flag]]="No",1,0)</f>
        <v>0</v>
      </c>
      <c r="X2599" s="4">
        <f>IF(Table1[[#This Row],[Rework_Flag]]="Yes",1,0)</f>
        <v>1</v>
      </c>
      <c r="Y2599" s="4">
        <v>1</v>
      </c>
      <c r="Z2599" s="4" t="str">
        <f>IF(Table1[[#This Row],[TAT_Days]]&gt;Table1[[#This Row],[SLA_TAT]],"Yes","No")</f>
        <v>No</v>
      </c>
      <c r="AA2599" s="4" t="str" cm="1">
        <f t="array" ref="AA2599">_xlfn.IFS(Table1[[#This Row],[Customer_Satisfaction]]&lt;=2,"Poor",Table1[[#This Row],[Customer_Satisfaction]]=3,"Neutral",Table1[[#This Row],[Customer_Satisfaction]]=4,"Good",Table1[[#This Row],[Customer_Satisfaction]]=5,"Good")</f>
        <v>Neutral</v>
      </c>
    </row>
    <row r="2600" spans="1:27" x14ac:dyDescent="0.35">
      <c r="A2600">
        <v>22598</v>
      </c>
      <c r="B2600" s="1">
        <v>45471</v>
      </c>
      <c r="C2600" t="s">
        <v>37</v>
      </c>
      <c r="D2600" t="s">
        <v>38</v>
      </c>
      <c r="E2600" t="s">
        <v>93</v>
      </c>
      <c r="F2600" t="s">
        <v>53</v>
      </c>
      <c r="G2600" t="s">
        <v>54</v>
      </c>
      <c r="H2600" t="s">
        <v>42</v>
      </c>
      <c r="I2600" t="s">
        <v>55</v>
      </c>
      <c r="J2600" t="s">
        <v>67</v>
      </c>
      <c r="K2600" t="s">
        <v>27</v>
      </c>
      <c r="L2600" t="s">
        <v>28</v>
      </c>
      <c r="M2600" s="4">
        <v>13</v>
      </c>
      <c r="N2600" s="4">
        <v>7</v>
      </c>
      <c r="O2600" t="s">
        <v>29</v>
      </c>
      <c r="P2600" t="s">
        <v>36</v>
      </c>
      <c r="Q2600" s="4">
        <v>518450</v>
      </c>
      <c r="R2600" s="4">
        <v>274513</v>
      </c>
      <c r="S2600" s="4">
        <f>Table1[[#This Row],[Service_Revenue]]-Table1[[#This Row],[Service_Cost]]</f>
        <v>243937</v>
      </c>
      <c r="T2600" s="4">
        <v>2</v>
      </c>
      <c r="U2600" s="4">
        <f>IF(AND(Table1[[#This Row],[Rework_Flag]]="Yes",Table1[[#This Row],[Warranty_Claim]]="No"),Table1[[#This Row],[Service_Revenue]],0)</f>
        <v>518450</v>
      </c>
      <c r="V2600" s="4">
        <f>IF(Table1[[#This Row],[Warranty_Claim]]="Yes",1,0)</f>
        <v>0</v>
      </c>
      <c r="W2600" s="4">
        <f>IF(Table1[[#This Row],[Rework_Flag]]="No",1,0)</f>
        <v>0</v>
      </c>
      <c r="X2600" s="4">
        <f>IF(Table1[[#This Row],[Rework_Flag]]="Yes",1,0)</f>
        <v>1</v>
      </c>
      <c r="Y2600" s="4">
        <v>1</v>
      </c>
      <c r="Z2600" s="4" t="str">
        <f>IF(Table1[[#This Row],[TAT_Days]]&gt;Table1[[#This Row],[SLA_TAT]],"Yes","No")</f>
        <v>Yes</v>
      </c>
      <c r="AA2600" s="4" t="str" cm="1">
        <f t="array" ref="AA2600">_xlfn.IFS(Table1[[#This Row],[Customer_Satisfaction]]&lt;=2,"Poor",Table1[[#This Row],[Customer_Satisfaction]]=3,"Neutral",Table1[[#This Row],[Customer_Satisfaction]]=4,"Good",Table1[[#This Row],[Customer_Satisfaction]]=5,"Good")</f>
        <v>Poor</v>
      </c>
    </row>
    <row r="2601" spans="1:27" x14ac:dyDescent="0.35">
      <c r="A2601">
        <v>22599</v>
      </c>
      <c r="B2601" s="1">
        <v>45355</v>
      </c>
      <c r="C2601" t="s">
        <v>37</v>
      </c>
      <c r="D2601" t="s">
        <v>38</v>
      </c>
      <c r="E2601" t="s">
        <v>39</v>
      </c>
      <c r="F2601" t="s">
        <v>40</v>
      </c>
      <c r="G2601" t="s">
        <v>47</v>
      </c>
      <c r="H2601" t="s">
        <v>48</v>
      </c>
      <c r="I2601" t="s">
        <v>55</v>
      </c>
      <c r="J2601" t="s">
        <v>43</v>
      </c>
      <c r="K2601" t="s">
        <v>27</v>
      </c>
      <c r="L2601" t="s">
        <v>28</v>
      </c>
      <c r="M2601" s="4">
        <v>12</v>
      </c>
      <c r="N2601" s="4">
        <v>7</v>
      </c>
      <c r="O2601" t="s">
        <v>29</v>
      </c>
      <c r="P2601" t="s">
        <v>29</v>
      </c>
      <c r="Q2601" s="4">
        <v>117608</v>
      </c>
      <c r="R2601" s="4">
        <v>74847</v>
      </c>
      <c r="S2601" s="4">
        <f>Table1[[#This Row],[Service_Revenue]]-Table1[[#This Row],[Service_Cost]]</f>
        <v>42761</v>
      </c>
      <c r="T2601" s="4">
        <v>2</v>
      </c>
      <c r="U2601" s="4">
        <f>IF(AND(Table1[[#This Row],[Rework_Flag]]="Yes",Table1[[#This Row],[Warranty_Claim]]="No"),Table1[[#This Row],[Service_Revenue]],0)</f>
        <v>0</v>
      </c>
      <c r="V2601" s="4">
        <f>IF(Table1[[#This Row],[Warranty_Claim]]="Yes",1,0)</f>
        <v>1</v>
      </c>
      <c r="W2601" s="4">
        <f>IF(Table1[[#This Row],[Rework_Flag]]="No",1,0)</f>
        <v>0</v>
      </c>
      <c r="X2601" s="4">
        <f>IF(Table1[[#This Row],[Rework_Flag]]="Yes",1,0)</f>
        <v>1</v>
      </c>
      <c r="Y2601" s="4">
        <v>1</v>
      </c>
      <c r="Z2601" s="4" t="str">
        <f>IF(Table1[[#This Row],[TAT_Days]]&gt;Table1[[#This Row],[SLA_TAT]],"Yes","No")</f>
        <v>Yes</v>
      </c>
      <c r="AA2601" s="4" t="str" cm="1">
        <f t="array" ref="AA2601">_xlfn.IFS(Table1[[#This Row],[Customer_Satisfaction]]&lt;=2,"Poor",Table1[[#This Row],[Customer_Satisfaction]]=3,"Neutral",Table1[[#This Row],[Customer_Satisfaction]]=4,"Good",Table1[[#This Row],[Customer_Satisfaction]]=5,"Good")</f>
        <v>Poor</v>
      </c>
    </row>
    <row r="2602" spans="1:27" x14ac:dyDescent="0.35">
      <c r="A2602">
        <v>22600</v>
      </c>
      <c r="B2602" s="1">
        <v>45452</v>
      </c>
      <c r="C2602" t="s">
        <v>50</v>
      </c>
      <c r="D2602" t="s">
        <v>80</v>
      </c>
      <c r="E2602" t="s">
        <v>81</v>
      </c>
      <c r="F2602" t="s">
        <v>53</v>
      </c>
      <c r="G2602" t="s">
        <v>74</v>
      </c>
      <c r="H2602" t="s">
        <v>34</v>
      </c>
      <c r="I2602" t="s">
        <v>25</v>
      </c>
      <c r="J2602" t="s">
        <v>58</v>
      </c>
      <c r="K2602" t="s">
        <v>61</v>
      </c>
      <c r="L2602" t="s">
        <v>49</v>
      </c>
      <c r="M2602" s="4">
        <v>9</v>
      </c>
      <c r="N2602" s="4">
        <v>7</v>
      </c>
      <c r="O2602" t="s">
        <v>36</v>
      </c>
      <c r="P2602" t="s">
        <v>29</v>
      </c>
      <c r="Q2602" s="4">
        <v>174686</v>
      </c>
      <c r="R2602" s="4">
        <v>101973</v>
      </c>
      <c r="S2602" s="4">
        <f>Table1[[#This Row],[Service_Revenue]]-Table1[[#This Row],[Service_Cost]]</f>
        <v>72713</v>
      </c>
      <c r="T2602" s="4">
        <v>4</v>
      </c>
      <c r="U2602" s="4">
        <f>IF(AND(Table1[[#This Row],[Rework_Flag]]="Yes",Table1[[#This Row],[Warranty_Claim]]="No"),Table1[[#This Row],[Service_Revenue]],0)</f>
        <v>0</v>
      </c>
      <c r="V2602" s="4">
        <f>IF(Table1[[#This Row],[Warranty_Claim]]="Yes",1,0)</f>
        <v>1</v>
      </c>
      <c r="W2602" s="4">
        <f>IF(Table1[[#This Row],[Rework_Flag]]="No",1,0)</f>
        <v>1</v>
      </c>
      <c r="X2602" s="4">
        <f>IF(Table1[[#This Row],[Rework_Flag]]="Yes",1,0)</f>
        <v>0</v>
      </c>
      <c r="Y2602" s="4">
        <v>1</v>
      </c>
      <c r="Z2602" s="4" t="str">
        <f>IF(Table1[[#This Row],[TAT_Days]]&gt;Table1[[#This Row],[SLA_TAT]],"Yes","No")</f>
        <v>Yes</v>
      </c>
      <c r="AA2602" s="4" t="str" cm="1">
        <f t="array" ref="AA2602">_xlfn.IFS(Table1[[#This Row],[Customer_Satisfaction]]&lt;=2,"Poor",Table1[[#This Row],[Customer_Satisfaction]]=3,"Neutral",Table1[[#This Row],[Customer_Satisfaction]]=4,"Good",Table1[[#This Row],[Customer_Satisfaction]]=5,"Good")</f>
        <v>Good</v>
      </c>
    </row>
    <row r="2603" spans="1:27" x14ac:dyDescent="0.35">
      <c r="A2603">
        <v>22601</v>
      </c>
      <c r="B2603" s="1">
        <v>45411</v>
      </c>
      <c r="C2603" t="s">
        <v>19</v>
      </c>
      <c r="D2603" t="s">
        <v>96</v>
      </c>
      <c r="E2603" t="s">
        <v>98</v>
      </c>
      <c r="F2603" t="s">
        <v>40</v>
      </c>
      <c r="G2603" t="s">
        <v>54</v>
      </c>
      <c r="H2603" t="s">
        <v>42</v>
      </c>
      <c r="I2603" t="s">
        <v>25</v>
      </c>
      <c r="J2603" t="s">
        <v>67</v>
      </c>
      <c r="K2603" t="s">
        <v>44</v>
      </c>
      <c r="L2603" t="s">
        <v>49</v>
      </c>
      <c r="M2603" s="4">
        <v>16</v>
      </c>
      <c r="N2603" s="4">
        <v>7</v>
      </c>
      <c r="O2603" t="s">
        <v>36</v>
      </c>
      <c r="P2603" t="s">
        <v>36</v>
      </c>
      <c r="Q2603" s="4">
        <v>309558</v>
      </c>
      <c r="R2603" s="4">
        <v>201396</v>
      </c>
      <c r="S2603" s="4">
        <f>Table1[[#This Row],[Service_Revenue]]-Table1[[#This Row],[Service_Cost]]</f>
        <v>108162</v>
      </c>
      <c r="T2603" s="4">
        <v>2</v>
      </c>
      <c r="U2603" s="4">
        <f>IF(AND(Table1[[#This Row],[Rework_Flag]]="Yes",Table1[[#This Row],[Warranty_Claim]]="No"),Table1[[#This Row],[Service_Revenue]],0)</f>
        <v>0</v>
      </c>
      <c r="V2603" s="4">
        <f>IF(Table1[[#This Row],[Warranty_Claim]]="Yes",1,0)</f>
        <v>0</v>
      </c>
      <c r="W2603" s="4">
        <f>IF(Table1[[#This Row],[Rework_Flag]]="No",1,0)</f>
        <v>1</v>
      </c>
      <c r="X2603" s="4">
        <f>IF(Table1[[#This Row],[Rework_Flag]]="Yes",1,0)</f>
        <v>0</v>
      </c>
      <c r="Y2603" s="4">
        <v>1</v>
      </c>
      <c r="Z2603" s="4" t="str">
        <f>IF(Table1[[#This Row],[TAT_Days]]&gt;Table1[[#This Row],[SLA_TAT]],"Yes","No")</f>
        <v>Yes</v>
      </c>
      <c r="AA2603" s="4" t="str" cm="1">
        <f t="array" ref="AA2603">_xlfn.IFS(Table1[[#This Row],[Customer_Satisfaction]]&lt;=2,"Poor",Table1[[#This Row],[Customer_Satisfaction]]=3,"Neutral",Table1[[#This Row],[Customer_Satisfaction]]=4,"Good",Table1[[#This Row],[Customer_Satisfaction]]=5,"Good")</f>
        <v>Poor</v>
      </c>
    </row>
    <row r="2604" spans="1:27" x14ac:dyDescent="0.35">
      <c r="A2604">
        <v>22602</v>
      </c>
      <c r="B2604" s="1">
        <v>45377</v>
      </c>
      <c r="C2604" t="s">
        <v>30</v>
      </c>
      <c r="D2604" t="s">
        <v>31</v>
      </c>
      <c r="E2604" t="s">
        <v>106</v>
      </c>
      <c r="F2604" t="s">
        <v>40</v>
      </c>
      <c r="G2604" t="s">
        <v>74</v>
      </c>
      <c r="H2604" t="s">
        <v>34</v>
      </c>
      <c r="I2604" t="s">
        <v>55</v>
      </c>
      <c r="J2604" t="s">
        <v>58</v>
      </c>
      <c r="K2604" t="s">
        <v>27</v>
      </c>
      <c r="L2604" t="s">
        <v>49</v>
      </c>
      <c r="M2604" s="4">
        <v>18</v>
      </c>
      <c r="N2604" s="4">
        <v>7</v>
      </c>
      <c r="O2604" t="s">
        <v>29</v>
      </c>
      <c r="P2604" t="s">
        <v>29</v>
      </c>
      <c r="Q2604" s="4">
        <v>459371</v>
      </c>
      <c r="R2604" s="4">
        <v>336076</v>
      </c>
      <c r="S2604" s="4">
        <f>Table1[[#This Row],[Service_Revenue]]-Table1[[#This Row],[Service_Cost]]</f>
        <v>123295</v>
      </c>
      <c r="T2604" s="4">
        <v>1</v>
      </c>
      <c r="U2604" s="4">
        <f>IF(AND(Table1[[#This Row],[Rework_Flag]]="Yes",Table1[[#This Row],[Warranty_Claim]]="No"),Table1[[#This Row],[Service_Revenue]],0)</f>
        <v>0</v>
      </c>
      <c r="V2604" s="4">
        <f>IF(Table1[[#This Row],[Warranty_Claim]]="Yes",1,0)</f>
        <v>1</v>
      </c>
      <c r="W2604" s="4">
        <f>IF(Table1[[#This Row],[Rework_Flag]]="No",1,0)</f>
        <v>0</v>
      </c>
      <c r="X2604" s="4">
        <f>IF(Table1[[#This Row],[Rework_Flag]]="Yes",1,0)</f>
        <v>1</v>
      </c>
      <c r="Y2604" s="4">
        <v>1</v>
      </c>
      <c r="Z2604" s="4" t="str">
        <f>IF(Table1[[#This Row],[TAT_Days]]&gt;Table1[[#This Row],[SLA_TAT]],"Yes","No")</f>
        <v>Yes</v>
      </c>
      <c r="AA2604" s="4" t="str" cm="1">
        <f t="array" ref="AA2604">_xlfn.IFS(Table1[[#This Row],[Customer_Satisfaction]]&lt;=2,"Poor",Table1[[#This Row],[Customer_Satisfaction]]=3,"Neutral",Table1[[#This Row],[Customer_Satisfaction]]=4,"Good",Table1[[#This Row],[Customer_Satisfaction]]=5,"Good")</f>
        <v>Poor</v>
      </c>
    </row>
    <row r="2605" spans="1:27" x14ac:dyDescent="0.35">
      <c r="A2605">
        <v>22603</v>
      </c>
      <c r="B2605" s="1">
        <v>45459</v>
      </c>
      <c r="C2605" t="s">
        <v>19</v>
      </c>
      <c r="D2605" t="s">
        <v>20</v>
      </c>
      <c r="E2605" t="s">
        <v>89</v>
      </c>
      <c r="F2605" t="s">
        <v>40</v>
      </c>
      <c r="G2605" t="s">
        <v>47</v>
      </c>
      <c r="H2605" t="s">
        <v>48</v>
      </c>
      <c r="I2605" t="s">
        <v>25</v>
      </c>
      <c r="J2605" t="s">
        <v>26</v>
      </c>
      <c r="K2605" t="s">
        <v>27</v>
      </c>
      <c r="L2605" t="s">
        <v>49</v>
      </c>
      <c r="M2605" s="4">
        <v>16</v>
      </c>
      <c r="N2605" s="4">
        <v>7</v>
      </c>
      <c r="O2605" t="s">
        <v>29</v>
      </c>
      <c r="P2605" t="s">
        <v>36</v>
      </c>
      <c r="Q2605" s="4">
        <v>404625</v>
      </c>
      <c r="R2605" s="4">
        <v>314648</v>
      </c>
      <c r="S2605" s="4">
        <f>Table1[[#This Row],[Service_Revenue]]-Table1[[#This Row],[Service_Cost]]</f>
        <v>89977</v>
      </c>
      <c r="T2605" s="4">
        <v>1</v>
      </c>
      <c r="U2605" s="4">
        <f>IF(AND(Table1[[#This Row],[Rework_Flag]]="Yes",Table1[[#This Row],[Warranty_Claim]]="No"),Table1[[#This Row],[Service_Revenue]],0)</f>
        <v>404625</v>
      </c>
      <c r="V2605" s="4">
        <f>IF(Table1[[#This Row],[Warranty_Claim]]="Yes",1,0)</f>
        <v>0</v>
      </c>
      <c r="W2605" s="4">
        <f>IF(Table1[[#This Row],[Rework_Flag]]="No",1,0)</f>
        <v>0</v>
      </c>
      <c r="X2605" s="4">
        <f>IF(Table1[[#This Row],[Rework_Flag]]="Yes",1,0)</f>
        <v>1</v>
      </c>
      <c r="Y2605" s="4">
        <v>1</v>
      </c>
      <c r="Z2605" s="4" t="str">
        <f>IF(Table1[[#This Row],[TAT_Days]]&gt;Table1[[#This Row],[SLA_TAT]],"Yes","No")</f>
        <v>Yes</v>
      </c>
      <c r="AA2605" s="4" t="str" cm="1">
        <f t="array" ref="AA2605">_xlfn.IFS(Table1[[#This Row],[Customer_Satisfaction]]&lt;=2,"Poor",Table1[[#This Row],[Customer_Satisfaction]]=3,"Neutral",Table1[[#This Row],[Customer_Satisfaction]]=4,"Good",Table1[[#This Row],[Customer_Satisfaction]]=5,"Good")</f>
        <v>Poor</v>
      </c>
    </row>
    <row r="2606" spans="1:27" x14ac:dyDescent="0.35">
      <c r="A2606">
        <v>22604</v>
      </c>
      <c r="B2606" s="1">
        <v>45389</v>
      </c>
      <c r="C2606" t="s">
        <v>19</v>
      </c>
      <c r="D2606" t="s">
        <v>45</v>
      </c>
      <c r="E2606" t="s">
        <v>99</v>
      </c>
      <c r="F2606" t="s">
        <v>53</v>
      </c>
      <c r="G2606" t="s">
        <v>74</v>
      </c>
      <c r="H2606" t="s">
        <v>34</v>
      </c>
      <c r="I2606" t="s">
        <v>55</v>
      </c>
      <c r="J2606" t="s">
        <v>67</v>
      </c>
      <c r="K2606" t="s">
        <v>44</v>
      </c>
      <c r="L2606" t="s">
        <v>28</v>
      </c>
      <c r="M2606" s="4">
        <v>7</v>
      </c>
      <c r="N2606" s="4">
        <v>7</v>
      </c>
      <c r="O2606" t="s">
        <v>29</v>
      </c>
      <c r="P2606" t="s">
        <v>36</v>
      </c>
      <c r="Q2606" s="4">
        <v>196003</v>
      </c>
      <c r="R2606" s="4">
        <v>115176</v>
      </c>
      <c r="S2606" s="4">
        <f>Table1[[#This Row],[Service_Revenue]]-Table1[[#This Row],[Service_Cost]]</f>
        <v>80827</v>
      </c>
      <c r="T2606" s="4">
        <v>3</v>
      </c>
      <c r="U2606" s="4">
        <f>IF(AND(Table1[[#This Row],[Rework_Flag]]="Yes",Table1[[#This Row],[Warranty_Claim]]="No"),Table1[[#This Row],[Service_Revenue]],0)</f>
        <v>196003</v>
      </c>
      <c r="V2606" s="4">
        <f>IF(Table1[[#This Row],[Warranty_Claim]]="Yes",1,0)</f>
        <v>0</v>
      </c>
      <c r="W2606" s="4">
        <f>IF(Table1[[#This Row],[Rework_Flag]]="No",1,0)</f>
        <v>0</v>
      </c>
      <c r="X2606" s="4">
        <f>IF(Table1[[#This Row],[Rework_Flag]]="Yes",1,0)</f>
        <v>1</v>
      </c>
      <c r="Y2606" s="4">
        <v>1</v>
      </c>
      <c r="Z2606" s="4" t="str">
        <f>IF(Table1[[#This Row],[TAT_Days]]&gt;Table1[[#This Row],[SLA_TAT]],"Yes","No")</f>
        <v>No</v>
      </c>
      <c r="AA2606" s="4" t="str" cm="1">
        <f t="array" ref="AA2606">_xlfn.IFS(Table1[[#This Row],[Customer_Satisfaction]]&lt;=2,"Poor",Table1[[#This Row],[Customer_Satisfaction]]=3,"Neutral",Table1[[#This Row],[Customer_Satisfaction]]=4,"Good",Table1[[#This Row],[Customer_Satisfaction]]=5,"Good")</f>
        <v>Neutral</v>
      </c>
    </row>
    <row r="2607" spans="1:27" x14ac:dyDescent="0.35">
      <c r="A2607">
        <v>22605</v>
      </c>
      <c r="B2607" s="1">
        <v>45431</v>
      </c>
      <c r="C2607" t="s">
        <v>50</v>
      </c>
      <c r="D2607" t="s">
        <v>56</v>
      </c>
      <c r="E2607" t="s">
        <v>88</v>
      </c>
      <c r="F2607" t="s">
        <v>53</v>
      </c>
      <c r="G2607" t="s">
        <v>63</v>
      </c>
      <c r="H2607" t="s">
        <v>24</v>
      </c>
      <c r="I2607" t="s">
        <v>55</v>
      </c>
      <c r="J2607" t="s">
        <v>35</v>
      </c>
      <c r="K2607" t="s">
        <v>61</v>
      </c>
      <c r="L2607" t="s">
        <v>28</v>
      </c>
      <c r="M2607" s="4">
        <v>19</v>
      </c>
      <c r="N2607" s="4">
        <v>7</v>
      </c>
      <c r="O2607" t="s">
        <v>36</v>
      </c>
      <c r="P2607" t="s">
        <v>36</v>
      </c>
      <c r="Q2607" s="4">
        <v>273861</v>
      </c>
      <c r="R2607" s="4">
        <v>198814</v>
      </c>
      <c r="S2607" s="4">
        <f>Table1[[#This Row],[Service_Revenue]]-Table1[[#This Row],[Service_Cost]]</f>
        <v>75047</v>
      </c>
      <c r="T2607" s="4">
        <v>2</v>
      </c>
      <c r="U2607" s="4">
        <f>IF(AND(Table1[[#This Row],[Rework_Flag]]="Yes",Table1[[#This Row],[Warranty_Claim]]="No"),Table1[[#This Row],[Service_Revenue]],0)</f>
        <v>0</v>
      </c>
      <c r="V2607" s="4">
        <f>IF(Table1[[#This Row],[Warranty_Claim]]="Yes",1,0)</f>
        <v>0</v>
      </c>
      <c r="W2607" s="4">
        <f>IF(Table1[[#This Row],[Rework_Flag]]="No",1,0)</f>
        <v>1</v>
      </c>
      <c r="X2607" s="4">
        <f>IF(Table1[[#This Row],[Rework_Flag]]="Yes",1,0)</f>
        <v>0</v>
      </c>
      <c r="Y2607" s="4">
        <v>1</v>
      </c>
      <c r="Z2607" s="4" t="str">
        <f>IF(Table1[[#This Row],[TAT_Days]]&gt;Table1[[#This Row],[SLA_TAT]],"Yes","No")</f>
        <v>Yes</v>
      </c>
      <c r="AA2607" s="4" t="str" cm="1">
        <f t="array" ref="AA2607">_xlfn.IFS(Table1[[#This Row],[Customer_Satisfaction]]&lt;=2,"Poor",Table1[[#This Row],[Customer_Satisfaction]]=3,"Neutral",Table1[[#This Row],[Customer_Satisfaction]]=4,"Good",Table1[[#This Row],[Customer_Satisfaction]]=5,"Good")</f>
        <v>Poor</v>
      </c>
    </row>
    <row r="2608" spans="1:27" x14ac:dyDescent="0.35">
      <c r="A2608">
        <v>22606</v>
      </c>
      <c r="B2608" s="1">
        <v>45417</v>
      </c>
      <c r="C2608" t="s">
        <v>50</v>
      </c>
      <c r="D2608" t="s">
        <v>56</v>
      </c>
      <c r="E2608" t="s">
        <v>101</v>
      </c>
      <c r="F2608" t="s">
        <v>40</v>
      </c>
      <c r="G2608" t="s">
        <v>41</v>
      </c>
      <c r="H2608" t="s">
        <v>42</v>
      </c>
      <c r="I2608" t="s">
        <v>55</v>
      </c>
      <c r="J2608" t="s">
        <v>43</v>
      </c>
      <c r="K2608" t="s">
        <v>61</v>
      </c>
      <c r="L2608" t="s">
        <v>49</v>
      </c>
      <c r="M2608" s="4">
        <v>5</v>
      </c>
      <c r="N2608" s="4">
        <v>7</v>
      </c>
      <c r="O2608" t="s">
        <v>29</v>
      </c>
      <c r="P2608" t="s">
        <v>36</v>
      </c>
      <c r="Q2608" s="4">
        <v>222232</v>
      </c>
      <c r="R2608" s="4">
        <v>118707</v>
      </c>
      <c r="S2608" s="4">
        <f>Table1[[#This Row],[Service_Revenue]]-Table1[[#This Row],[Service_Cost]]</f>
        <v>103525</v>
      </c>
      <c r="T2608" s="4">
        <v>3</v>
      </c>
      <c r="U2608" s="4">
        <f>IF(AND(Table1[[#This Row],[Rework_Flag]]="Yes",Table1[[#This Row],[Warranty_Claim]]="No"),Table1[[#This Row],[Service_Revenue]],0)</f>
        <v>222232</v>
      </c>
      <c r="V2608" s="4">
        <f>IF(Table1[[#This Row],[Warranty_Claim]]="Yes",1,0)</f>
        <v>0</v>
      </c>
      <c r="W2608" s="4">
        <f>IF(Table1[[#This Row],[Rework_Flag]]="No",1,0)</f>
        <v>0</v>
      </c>
      <c r="X2608" s="4">
        <f>IF(Table1[[#This Row],[Rework_Flag]]="Yes",1,0)</f>
        <v>1</v>
      </c>
      <c r="Y2608" s="4">
        <v>1</v>
      </c>
      <c r="Z2608" s="4" t="str">
        <f>IF(Table1[[#This Row],[TAT_Days]]&gt;Table1[[#This Row],[SLA_TAT]],"Yes","No")</f>
        <v>No</v>
      </c>
      <c r="AA2608" s="4" t="str" cm="1">
        <f t="array" ref="AA2608">_xlfn.IFS(Table1[[#This Row],[Customer_Satisfaction]]&lt;=2,"Poor",Table1[[#This Row],[Customer_Satisfaction]]=3,"Neutral",Table1[[#This Row],[Customer_Satisfaction]]=4,"Good",Table1[[#This Row],[Customer_Satisfaction]]=5,"Good")</f>
        <v>Neutral</v>
      </c>
    </row>
    <row r="2609" spans="1:27" x14ac:dyDescent="0.35">
      <c r="A2609">
        <v>22607</v>
      </c>
      <c r="B2609" s="1">
        <v>45389</v>
      </c>
      <c r="C2609" t="s">
        <v>37</v>
      </c>
      <c r="D2609" t="s">
        <v>64</v>
      </c>
      <c r="E2609" t="s">
        <v>103</v>
      </c>
      <c r="F2609" t="s">
        <v>53</v>
      </c>
      <c r="G2609" t="s">
        <v>74</v>
      </c>
      <c r="H2609" t="s">
        <v>34</v>
      </c>
      <c r="I2609" t="s">
        <v>55</v>
      </c>
      <c r="J2609" t="s">
        <v>67</v>
      </c>
      <c r="K2609" t="s">
        <v>27</v>
      </c>
      <c r="L2609" t="s">
        <v>49</v>
      </c>
      <c r="M2609" s="4">
        <v>10</v>
      </c>
      <c r="N2609" s="4">
        <v>7</v>
      </c>
      <c r="O2609" t="s">
        <v>36</v>
      </c>
      <c r="P2609" t="s">
        <v>29</v>
      </c>
      <c r="Q2609" s="4">
        <v>276540</v>
      </c>
      <c r="R2609" s="4">
        <v>218028</v>
      </c>
      <c r="S2609" s="4">
        <f>Table1[[#This Row],[Service_Revenue]]-Table1[[#This Row],[Service_Cost]]</f>
        <v>58512</v>
      </c>
      <c r="T2609" s="4">
        <v>3</v>
      </c>
      <c r="U2609" s="4">
        <f>IF(AND(Table1[[#This Row],[Rework_Flag]]="Yes",Table1[[#This Row],[Warranty_Claim]]="No"),Table1[[#This Row],[Service_Revenue]],0)</f>
        <v>0</v>
      </c>
      <c r="V2609" s="4">
        <f>IF(Table1[[#This Row],[Warranty_Claim]]="Yes",1,0)</f>
        <v>1</v>
      </c>
      <c r="W2609" s="4">
        <f>IF(Table1[[#This Row],[Rework_Flag]]="No",1,0)</f>
        <v>1</v>
      </c>
      <c r="X2609" s="4">
        <f>IF(Table1[[#This Row],[Rework_Flag]]="Yes",1,0)</f>
        <v>0</v>
      </c>
      <c r="Y2609" s="4">
        <v>1</v>
      </c>
      <c r="Z2609" s="4" t="str">
        <f>IF(Table1[[#This Row],[TAT_Days]]&gt;Table1[[#This Row],[SLA_TAT]],"Yes","No")</f>
        <v>Yes</v>
      </c>
      <c r="AA2609" s="4" t="str" cm="1">
        <f t="array" ref="AA2609">_xlfn.IFS(Table1[[#This Row],[Customer_Satisfaction]]&lt;=2,"Poor",Table1[[#This Row],[Customer_Satisfaction]]=3,"Neutral",Table1[[#This Row],[Customer_Satisfaction]]=4,"Good",Table1[[#This Row],[Customer_Satisfaction]]=5,"Good")</f>
        <v>Neutral</v>
      </c>
    </row>
    <row r="2610" spans="1:27" x14ac:dyDescent="0.35">
      <c r="A2610">
        <v>22608</v>
      </c>
      <c r="B2610" s="1">
        <v>45300</v>
      </c>
      <c r="C2610" t="s">
        <v>19</v>
      </c>
      <c r="D2610" t="s">
        <v>20</v>
      </c>
      <c r="E2610" t="s">
        <v>117</v>
      </c>
      <c r="F2610" t="s">
        <v>22</v>
      </c>
      <c r="G2610" t="s">
        <v>47</v>
      </c>
      <c r="H2610" t="s">
        <v>48</v>
      </c>
      <c r="I2610" t="s">
        <v>25</v>
      </c>
      <c r="J2610" t="s">
        <v>67</v>
      </c>
      <c r="K2610" t="s">
        <v>44</v>
      </c>
      <c r="L2610" t="s">
        <v>28</v>
      </c>
      <c r="M2610" s="4">
        <v>7</v>
      </c>
      <c r="N2610" s="4">
        <v>7</v>
      </c>
      <c r="O2610" t="s">
        <v>29</v>
      </c>
      <c r="P2610" t="s">
        <v>29</v>
      </c>
      <c r="Q2610" s="4">
        <v>307764</v>
      </c>
      <c r="R2610" s="4">
        <v>180437</v>
      </c>
      <c r="S2610" s="4">
        <f>Table1[[#This Row],[Service_Revenue]]-Table1[[#This Row],[Service_Cost]]</f>
        <v>127327</v>
      </c>
      <c r="T2610" s="4">
        <v>3</v>
      </c>
      <c r="U2610" s="4">
        <f>IF(AND(Table1[[#This Row],[Rework_Flag]]="Yes",Table1[[#This Row],[Warranty_Claim]]="No"),Table1[[#This Row],[Service_Revenue]],0)</f>
        <v>0</v>
      </c>
      <c r="V2610" s="4">
        <f>IF(Table1[[#This Row],[Warranty_Claim]]="Yes",1,0)</f>
        <v>1</v>
      </c>
      <c r="W2610" s="4">
        <f>IF(Table1[[#This Row],[Rework_Flag]]="No",1,0)</f>
        <v>0</v>
      </c>
      <c r="X2610" s="4">
        <f>IF(Table1[[#This Row],[Rework_Flag]]="Yes",1,0)</f>
        <v>1</v>
      </c>
      <c r="Y2610" s="4">
        <v>1</v>
      </c>
      <c r="Z2610" s="4" t="str">
        <f>IF(Table1[[#This Row],[TAT_Days]]&gt;Table1[[#This Row],[SLA_TAT]],"Yes","No")</f>
        <v>No</v>
      </c>
      <c r="AA2610" s="4" t="str" cm="1">
        <f t="array" ref="AA2610">_xlfn.IFS(Table1[[#This Row],[Customer_Satisfaction]]&lt;=2,"Poor",Table1[[#This Row],[Customer_Satisfaction]]=3,"Neutral",Table1[[#This Row],[Customer_Satisfaction]]=4,"Good",Table1[[#This Row],[Customer_Satisfaction]]=5,"Good")</f>
        <v>Neutral</v>
      </c>
    </row>
    <row r="2611" spans="1:27" x14ac:dyDescent="0.35">
      <c r="A2611">
        <v>22609</v>
      </c>
      <c r="B2611" s="1">
        <v>45451</v>
      </c>
      <c r="C2611" t="s">
        <v>37</v>
      </c>
      <c r="D2611" t="s">
        <v>70</v>
      </c>
      <c r="E2611" t="s">
        <v>116</v>
      </c>
      <c r="F2611" t="s">
        <v>40</v>
      </c>
      <c r="G2611" t="s">
        <v>47</v>
      </c>
      <c r="H2611" t="s">
        <v>48</v>
      </c>
      <c r="I2611" t="s">
        <v>25</v>
      </c>
      <c r="J2611" t="s">
        <v>26</v>
      </c>
      <c r="K2611" t="s">
        <v>27</v>
      </c>
      <c r="L2611" t="s">
        <v>28</v>
      </c>
      <c r="M2611" s="4">
        <v>8</v>
      </c>
      <c r="N2611" s="4">
        <v>7</v>
      </c>
      <c r="O2611" t="s">
        <v>29</v>
      </c>
      <c r="P2611" t="s">
        <v>36</v>
      </c>
      <c r="Q2611" s="4">
        <v>117836</v>
      </c>
      <c r="R2611" s="4">
        <v>95334</v>
      </c>
      <c r="S2611" s="4">
        <f>Table1[[#This Row],[Service_Revenue]]-Table1[[#This Row],[Service_Cost]]</f>
        <v>22502</v>
      </c>
      <c r="T2611" s="4">
        <v>3</v>
      </c>
      <c r="U2611" s="4">
        <f>IF(AND(Table1[[#This Row],[Rework_Flag]]="Yes",Table1[[#This Row],[Warranty_Claim]]="No"),Table1[[#This Row],[Service_Revenue]],0)</f>
        <v>117836</v>
      </c>
      <c r="V2611" s="4">
        <f>IF(Table1[[#This Row],[Warranty_Claim]]="Yes",1,0)</f>
        <v>0</v>
      </c>
      <c r="W2611" s="4">
        <f>IF(Table1[[#This Row],[Rework_Flag]]="No",1,0)</f>
        <v>0</v>
      </c>
      <c r="X2611" s="4">
        <f>IF(Table1[[#This Row],[Rework_Flag]]="Yes",1,0)</f>
        <v>1</v>
      </c>
      <c r="Y2611" s="4">
        <v>1</v>
      </c>
      <c r="Z2611" s="4" t="str">
        <f>IF(Table1[[#This Row],[TAT_Days]]&gt;Table1[[#This Row],[SLA_TAT]],"Yes","No")</f>
        <v>Yes</v>
      </c>
      <c r="AA2611" s="4" t="str" cm="1">
        <f t="array" ref="AA2611">_xlfn.IFS(Table1[[#This Row],[Customer_Satisfaction]]&lt;=2,"Poor",Table1[[#This Row],[Customer_Satisfaction]]=3,"Neutral",Table1[[#This Row],[Customer_Satisfaction]]=4,"Good",Table1[[#This Row],[Customer_Satisfaction]]=5,"Good")</f>
        <v>Neutral</v>
      </c>
    </row>
    <row r="2612" spans="1:27" x14ac:dyDescent="0.35">
      <c r="A2612">
        <v>22610</v>
      </c>
      <c r="B2612" s="1">
        <v>45469</v>
      </c>
      <c r="C2612" t="s">
        <v>19</v>
      </c>
      <c r="D2612" t="s">
        <v>45</v>
      </c>
      <c r="E2612" t="s">
        <v>46</v>
      </c>
      <c r="F2612" t="s">
        <v>22</v>
      </c>
      <c r="G2612" t="s">
        <v>23</v>
      </c>
      <c r="H2612" t="s">
        <v>24</v>
      </c>
      <c r="I2612" t="s">
        <v>25</v>
      </c>
      <c r="J2612" t="s">
        <v>67</v>
      </c>
      <c r="K2612" t="s">
        <v>44</v>
      </c>
      <c r="L2612" t="s">
        <v>28</v>
      </c>
      <c r="M2612" s="4">
        <v>23</v>
      </c>
      <c r="N2612" s="4">
        <v>7</v>
      </c>
      <c r="O2612" t="s">
        <v>29</v>
      </c>
      <c r="P2612" t="s">
        <v>29</v>
      </c>
      <c r="Q2612" s="4">
        <v>219047</v>
      </c>
      <c r="R2612" s="4">
        <v>164154</v>
      </c>
      <c r="S2612" s="4">
        <f>Table1[[#This Row],[Service_Revenue]]-Table1[[#This Row],[Service_Cost]]</f>
        <v>54893</v>
      </c>
      <c r="T2612" s="4">
        <v>1</v>
      </c>
      <c r="U2612" s="4">
        <f>IF(AND(Table1[[#This Row],[Rework_Flag]]="Yes",Table1[[#This Row],[Warranty_Claim]]="No"),Table1[[#This Row],[Service_Revenue]],0)</f>
        <v>0</v>
      </c>
      <c r="V2612" s="4">
        <f>IF(Table1[[#This Row],[Warranty_Claim]]="Yes",1,0)</f>
        <v>1</v>
      </c>
      <c r="W2612" s="4">
        <f>IF(Table1[[#This Row],[Rework_Flag]]="No",1,0)</f>
        <v>0</v>
      </c>
      <c r="X2612" s="4">
        <f>IF(Table1[[#This Row],[Rework_Flag]]="Yes",1,0)</f>
        <v>1</v>
      </c>
      <c r="Y2612" s="4">
        <v>1</v>
      </c>
      <c r="Z2612" s="4" t="str">
        <f>IF(Table1[[#This Row],[TAT_Days]]&gt;Table1[[#This Row],[SLA_TAT]],"Yes","No")</f>
        <v>Yes</v>
      </c>
      <c r="AA2612" s="4" t="str" cm="1">
        <f t="array" ref="AA2612">_xlfn.IFS(Table1[[#This Row],[Customer_Satisfaction]]&lt;=2,"Poor",Table1[[#This Row],[Customer_Satisfaction]]=3,"Neutral",Table1[[#This Row],[Customer_Satisfaction]]=4,"Good",Table1[[#This Row],[Customer_Satisfaction]]=5,"Good")</f>
        <v>Poor</v>
      </c>
    </row>
    <row r="2613" spans="1:27" x14ac:dyDescent="0.35">
      <c r="A2613">
        <v>22611</v>
      </c>
      <c r="B2613" s="1">
        <v>45312</v>
      </c>
      <c r="C2613" t="s">
        <v>37</v>
      </c>
      <c r="D2613" t="s">
        <v>38</v>
      </c>
      <c r="E2613" t="s">
        <v>93</v>
      </c>
      <c r="F2613" t="s">
        <v>22</v>
      </c>
      <c r="G2613" t="s">
        <v>54</v>
      </c>
      <c r="H2613" t="s">
        <v>42</v>
      </c>
      <c r="I2613" t="s">
        <v>25</v>
      </c>
      <c r="J2613" t="s">
        <v>35</v>
      </c>
      <c r="K2613" t="s">
        <v>44</v>
      </c>
      <c r="L2613" t="s">
        <v>28</v>
      </c>
      <c r="M2613" s="4">
        <v>7</v>
      </c>
      <c r="N2613" s="4">
        <v>7</v>
      </c>
      <c r="O2613" t="s">
        <v>36</v>
      </c>
      <c r="P2613" t="s">
        <v>29</v>
      </c>
      <c r="Q2613" s="4">
        <v>464293</v>
      </c>
      <c r="R2613" s="4">
        <v>305021</v>
      </c>
      <c r="S2613" s="4">
        <f>Table1[[#This Row],[Service_Revenue]]-Table1[[#This Row],[Service_Cost]]</f>
        <v>159272</v>
      </c>
      <c r="T2613" s="4">
        <v>4</v>
      </c>
      <c r="U2613" s="4">
        <f>IF(AND(Table1[[#This Row],[Rework_Flag]]="Yes",Table1[[#This Row],[Warranty_Claim]]="No"),Table1[[#This Row],[Service_Revenue]],0)</f>
        <v>0</v>
      </c>
      <c r="V2613" s="4">
        <f>IF(Table1[[#This Row],[Warranty_Claim]]="Yes",1,0)</f>
        <v>1</v>
      </c>
      <c r="W2613" s="4">
        <f>IF(Table1[[#This Row],[Rework_Flag]]="No",1,0)</f>
        <v>1</v>
      </c>
      <c r="X2613" s="4">
        <f>IF(Table1[[#This Row],[Rework_Flag]]="Yes",1,0)</f>
        <v>0</v>
      </c>
      <c r="Y2613" s="4">
        <v>1</v>
      </c>
      <c r="Z2613" s="4" t="str">
        <f>IF(Table1[[#This Row],[TAT_Days]]&gt;Table1[[#This Row],[SLA_TAT]],"Yes","No")</f>
        <v>No</v>
      </c>
      <c r="AA2613" s="4" t="str" cm="1">
        <f t="array" ref="AA2613">_xlfn.IFS(Table1[[#This Row],[Customer_Satisfaction]]&lt;=2,"Poor",Table1[[#This Row],[Customer_Satisfaction]]=3,"Neutral",Table1[[#This Row],[Customer_Satisfaction]]=4,"Good",Table1[[#This Row],[Customer_Satisfaction]]=5,"Good")</f>
        <v>Good</v>
      </c>
    </row>
    <row r="2614" spans="1:27" x14ac:dyDescent="0.35">
      <c r="A2614">
        <v>22612</v>
      </c>
      <c r="B2614" s="1">
        <v>45370</v>
      </c>
      <c r="C2614" t="s">
        <v>50</v>
      </c>
      <c r="D2614" t="s">
        <v>51</v>
      </c>
      <c r="E2614" t="s">
        <v>52</v>
      </c>
      <c r="F2614" t="s">
        <v>53</v>
      </c>
      <c r="G2614" t="s">
        <v>54</v>
      </c>
      <c r="H2614" t="s">
        <v>42</v>
      </c>
      <c r="I2614" t="s">
        <v>55</v>
      </c>
      <c r="J2614" t="s">
        <v>26</v>
      </c>
      <c r="K2614" t="s">
        <v>61</v>
      </c>
      <c r="L2614" t="s">
        <v>49</v>
      </c>
      <c r="M2614" s="4">
        <v>8</v>
      </c>
      <c r="N2614" s="4">
        <v>7</v>
      </c>
      <c r="O2614" t="s">
        <v>29</v>
      </c>
      <c r="P2614" t="s">
        <v>29</v>
      </c>
      <c r="Q2614" s="4">
        <v>502266</v>
      </c>
      <c r="R2614" s="4">
        <v>300938</v>
      </c>
      <c r="S2614" s="4">
        <f>Table1[[#This Row],[Service_Revenue]]-Table1[[#This Row],[Service_Cost]]</f>
        <v>201328</v>
      </c>
      <c r="T2614" s="4">
        <v>3</v>
      </c>
      <c r="U2614" s="4">
        <f>IF(AND(Table1[[#This Row],[Rework_Flag]]="Yes",Table1[[#This Row],[Warranty_Claim]]="No"),Table1[[#This Row],[Service_Revenue]],0)</f>
        <v>0</v>
      </c>
      <c r="V2614" s="4">
        <f>IF(Table1[[#This Row],[Warranty_Claim]]="Yes",1,0)</f>
        <v>1</v>
      </c>
      <c r="W2614" s="4">
        <f>IF(Table1[[#This Row],[Rework_Flag]]="No",1,0)</f>
        <v>0</v>
      </c>
      <c r="X2614" s="4">
        <f>IF(Table1[[#This Row],[Rework_Flag]]="Yes",1,0)</f>
        <v>1</v>
      </c>
      <c r="Y2614" s="4">
        <v>1</v>
      </c>
      <c r="Z2614" s="4" t="str">
        <f>IF(Table1[[#This Row],[TAT_Days]]&gt;Table1[[#This Row],[SLA_TAT]],"Yes","No")</f>
        <v>Yes</v>
      </c>
      <c r="AA2614" s="4" t="str" cm="1">
        <f t="array" ref="AA2614">_xlfn.IFS(Table1[[#This Row],[Customer_Satisfaction]]&lt;=2,"Poor",Table1[[#This Row],[Customer_Satisfaction]]=3,"Neutral",Table1[[#This Row],[Customer_Satisfaction]]=4,"Good",Table1[[#This Row],[Customer_Satisfaction]]=5,"Good")</f>
        <v>Neutral</v>
      </c>
    </row>
    <row r="2615" spans="1:27" x14ac:dyDescent="0.35">
      <c r="A2615">
        <v>22613</v>
      </c>
      <c r="B2615" s="1">
        <v>45398</v>
      </c>
      <c r="C2615" t="s">
        <v>37</v>
      </c>
      <c r="D2615" t="s">
        <v>70</v>
      </c>
      <c r="E2615" t="s">
        <v>71</v>
      </c>
      <c r="F2615" t="s">
        <v>22</v>
      </c>
      <c r="G2615" t="s">
        <v>41</v>
      </c>
      <c r="H2615" t="s">
        <v>42</v>
      </c>
      <c r="I2615" t="s">
        <v>55</v>
      </c>
      <c r="J2615" t="s">
        <v>43</v>
      </c>
      <c r="K2615" t="s">
        <v>61</v>
      </c>
      <c r="L2615" t="s">
        <v>28</v>
      </c>
      <c r="M2615" s="4">
        <v>16</v>
      </c>
      <c r="N2615" s="4">
        <v>7</v>
      </c>
      <c r="O2615" t="s">
        <v>36</v>
      </c>
      <c r="P2615" t="s">
        <v>36</v>
      </c>
      <c r="Q2615" s="4">
        <v>444203</v>
      </c>
      <c r="R2615" s="4">
        <v>283972</v>
      </c>
      <c r="S2615" s="4">
        <f>Table1[[#This Row],[Service_Revenue]]-Table1[[#This Row],[Service_Cost]]</f>
        <v>160231</v>
      </c>
      <c r="T2615" s="4">
        <v>2</v>
      </c>
      <c r="U2615" s="4">
        <f>IF(AND(Table1[[#This Row],[Rework_Flag]]="Yes",Table1[[#This Row],[Warranty_Claim]]="No"),Table1[[#This Row],[Service_Revenue]],0)</f>
        <v>0</v>
      </c>
      <c r="V2615" s="4">
        <f>IF(Table1[[#This Row],[Warranty_Claim]]="Yes",1,0)</f>
        <v>0</v>
      </c>
      <c r="W2615" s="4">
        <f>IF(Table1[[#This Row],[Rework_Flag]]="No",1,0)</f>
        <v>1</v>
      </c>
      <c r="X2615" s="4">
        <f>IF(Table1[[#This Row],[Rework_Flag]]="Yes",1,0)</f>
        <v>0</v>
      </c>
      <c r="Y2615" s="4">
        <v>1</v>
      </c>
      <c r="Z2615" s="4" t="str">
        <f>IF(Table1[[#This Row],[TAT_Days]]&gt;Table1[[#This Row],[SLA_TAT]],"Yes","No")</f>
        <v>Yes</v>
      </c>
      <c r="AA2615" s="4" t="str" cm="1">
        <f t="array" ref="AA2615">_xlfn.IFS(Table1[[#This Row],[Customer_Satisfaction]]&lt;=2,"Poor",Table1[[#This Row],[Customer_Satisfaction]]=3,"Neutral",Table1[[#This Row],[Customer_Satisfaction]]=4,"Good",Table1[[#This Row],[Customer_Satisfaction]]=5,"Good")</f>
        <v>Poor</v>
      </c>
    </row>
    <row r="2616" spans="1:27" x14ac:dyDescent="0.35">
      <c r="A2616">
        <v>22614</v>
      </c>
      <c r="B2616" s="1">
        <v>45335</v>
      </c>
      <c r="C2616" t="s">
        <v>19</v>
      </c>
      <c r="D2616" t="s">
        <v>20</v>
      </c>
      <c r="E2616" t="s">
        <v>117</v>
      </c>
      <c r="F2616" t="s">
        <v>22</v>
      </c>
      <c r="G2616" t="s">
        <v>63</v>
      </c>
      <c r="H2616" t="s">
        <v>24</v>
      </c>
      <c r="I2616" t="s">
        <v>55</v>
      </c>
      <c r="J2616" t="s">
        <v>43</v>
      </c>
      <c r="K2616" t="s">
        <v>44</v>
      </c>
      <c r="L2616" t="s">
        <v>28</v>
      </c>
      <c r="M2616" s="4">
        <v>11</v>
      </c>
      <c r="N2616" s="4">
        <v>7</v>
      </c>
      <c r="O2616" t="s">
        <v>29</v>
      </c>
      <c r="P2616" t="s">
        <v>36</v>
      </c>
      <c r="Q2616" s="4">
        <v>493978</v>
      </c>
      <c r="R2616" s="4">
        <v>322339</v>
      </c>
      <c r="S2616" s="4">
        <f>Table1[[#This Row],[Service_Revenue]]-Table1[[#This Row],[Service_Cost]]</f>
        <v>171639</v>
      </c>
      <c r="T2616" s="4">
        <v>2</v>
      </c>
      <c r="U2616" s="4">
        <f>IF(AND(Table1[[#This Row],[Rework_Flag]]="Yes",Table1[[#This Row],[Warranty_Claim]]="No"),Table1[[#This Row],[Service_Revenue]],0)</f>
        <v>493978</v>
      </c>
      <c r="V2616" s="4">
        <f>IF(Table1[[#This Row],[Warranty_Claim]]="Yes",1,0)</f>
        <v>0</v>
      </c>
      <c r="W2616" s="4">
        <f>IF(Table1[[#This Row],[Rework_Flag]]="No",1,0)</f>
        <v>0</v>
      </c>
      <c r="X2616" s="4">
        <f>IF(Table1[[#This Row],[Rework_Flag]]="Yes",1,0)</f>
        <v>1</v>
      </c>
      <c r="Y2616" s="4">
        <v>1</v>
      </c>
      <c r="Z2616" s="4" t="str">
        <f>IF(Table1[[#This Row],[TAT_Days]]&gt;Table1[[#This Row],[SLA_TAT]],"Yes","No")</f>
        <v>Yes</v>
      </c>
      <c r="AA2616" s="4" t="str" cm="1">
        <f t="array" ref="AA2616">_xlfn.IFS(Table1[[#This Row],[Customer_Satisfaction]]&lt;=2,"Poor",Table1[[#This Row],[Customer_Satisfaction]]=3,"Neutral",Table1[[#This Row],[Customer_Satisfaction]]=4,"Good",Table1[[#This Row],[Customer_Satisfaction]]=5,"Good")</f>
        <v>Poor</v>
      </c>
    </row>
    <row r="2617" spans="1:27" x14ac:dyDescent="0.35">
      <c r="A2617">
        <v>22615</v>
      </c>
      <c r="B2617" s="1">
        <v>45410</v>
      </c>
      <c r="C2617" t="s">
        <v>19</v>
      </c>
      <c r="D2617" t="s">
        <v>20</v>
      </c>
      <c r="E2617" t="s">
        <v>110</v>
      </c>
      <c r="F2617" t="s">
        <v>40</v>
      </c>
      <c r="G2617" t="s">
        <v>33</v>
      </c>
      <c r="H2617" t="s">
        <v>34</v>
      </c>
      <c r="I2617" t="s">
        <v>55</v>
      </c>
      <c r="J2617" t="s">
        <v>43</v>
      </c>
      <c r="K2617" t="s">
        <v>61</v>
      </c>
      <c r="L2617" t="s">
        <v>28</v>
      </c>
      <c r="M2617" s="4">
        <v>16</v>
      </c>
      <c r="N2617" s="4">
        <v>7</v>
      </c>
      <c r="O2617" t="s">
        <v>29</v>
      </c>
      <c r="P2617" t="s">
        <v>36</v>
      </c>
      <c r="Q2617" s="4">
        <v>344718</v>
      </c>
      <c r="R2617" s="4">
        <v>276131</v>
      </c>
      <c r="S2617" s="4">
        <f>Table1[[#This Row],[Service_Revenue]]-Table1[[#This Row],[Service_Cost]]</f>
        <v>68587</v>
      </c>
      <c r="T2617" s="4">
        <v>1</v>
      </c>
      <c r="U2617" s="4">
        <f>IF(AND(Table1[[#This Row],[Rework_Flag]]="Yes",Table1[[#This Row],[Warranty_Claim]]="No"),Table1[[#This Row],[Service_Revenue]],0)</f>
        <v>344718</v>
      </c>
      <c r="V2617" s="4">
        <f>IF(Table1[[#This Row],[Warranty_Claim]]="Yes",1,0)</f>
        <v>0</v>
      </c>
      <c r="W2617" s="4">
        <f>IF(Table1[[#This Row],[Rework_Flag]]="No",1,0)</f>
        <v>0</v>
      </c>
      <c r="X2617" s="4">
        <f>IF(Table1[[#This Row],[Rework_Flag]]="Yes",1,0)</f>
        <v>1</v>
      </c>
      <c r="Y2617" s="4">
        <v>1</v>
      </c>
      <c r="Z2617" s="4" t="str">
        <f>IF(Table1[[#This Row],[TAT_Days]]&gt;Table1[[#This Row],[SLA_TAT]],"Yes","No")</f>
        <v>Yes</v>
      </c>
      <c r="AA2617" s="4" t="str" cm="1">
        <f t="array" ref="AA2617">_xlfn.IFS(Table1[[#This Row],[Customer_Satisfaction]]&lt;=2,"Poor",Table1[[#This Row],[Customer_Satisfaction]]=3,"Neutral",Table1[[#This Row],[Customer_Satisfaction]]=4,"Good",Table1[[#This Row],[Customer_Satisfaction]]=5,"Good")</f>
        <v>Poor</v>
      </c>
    </row>
    <row r="2618" spans="1:27" x14ac:dyDescent="0.35">
      <c r="A2618">
        <v>22616</v>
      </c>
      <c r="B2618" s="1">
        <v>45311</v>
      </c>
      <c r="C2618" t="s">
        <v>50</v>
      </c>
      <c r="D2618" t="s">
        <v>51</v>
      </c>
      <c r="E2618" t="s">
        <v>52</v>
      </c>
      <c r="F2618" t="s">
        <v>53</v>
      </c>
      <c r="G2618" t="s">
        <v>33</v>
      </c>
      <c r="H2618" t="s">
        <v>34</v>
      </c>
      <c r="I2618" t="s">
        <v>25</v>
      </c>
      <c r="J2618" t="s">
        <v>43</v>
      </c>
      <c r="K2618" t="s">
        <v>61</v>
      </c>
      <c r="L2618" t="s">
        <v>28</v>
      </c>
      <c r="M2618" s="4">
        <v>20</v>
      </c>
      <c r="N2618" s="4">
        <v>7</v>
      </c>
      <c r="O2618" t="s">
        <v>29</v>
      </c>
      <c r="P2618" t="s">
        <v>29</v>
      </c>
      <c r="Q2618" s="4">
        <v>521860</v>
      </c>
      <c r="R2618" s="4">
        <v>432082</v>
      </c>
      <c r="S2618" s="4">
        <f>Table1[[#This Row],[Service_Revenue]]-Table1[[#This Row],[Service_Cost]]</f>
        <v>89778</v>
      </c>
      <c r="T2618" s="4">
        <v>1</v>
      </c>
      <c r="U2618" s="4">
        <f>IF(AND(Table1[[#This Row],[Rework_Flag]]="Yes",Table1[[#This Row],[Warranty_Claim]]="No"),Table1[[#This Row],[Service_Revenue]],0)</f>
        <v>0</v>
      </c>
      <c r="V2618" s="4">
        <f>IF(Table1[[#This Row],[Warranty_Claim]]="Yes",1,0)</f>
        <v>1</v>
      </c>
      <c r="W2618" s="4">
        <f>IF(Table1[[#This Row],[Rework_Flag]]="No",1,0)</f>
        <v>0</v>
      </c>
      <c r="X2618" s="4">
        <f>IF(Table1[[#This Row],[Rework_Flag]]="Yes",1,0)</f>
        <v>1</v>
      </c>
      <c r="Y2618" s="4">
        <v>1</v>
      </c>
      <c r="Z2618" s="4" t="str">
        <f>IF(Table1[[#This Row],[TAT_Days]]&gt;Table1[[#This Row],[SLA_TAT]],"Yes","No")</f>
        <v>Yes</v>
      </c>
      <c r="AA2618" s="4" t="str" cm="1">
        <f t="array" ref="AA2618">_xlfn.IFS(Table1[[#This Row],[Customer_Satisfaction]]&lt;=2,"Poor",Table1[[#This Row],[Customer_Satisfaction]]=3,"Neutral",Table1[[#This Row],[Customer_Satisfaction]]=4,"Good",Table1[[#This Row],[Customer_Satisfaction]]=5,"Good")</f>
        <v>Poor</v>
      </c>
    </row>
    <row r="2619" spans="1:27" x14ac:dyDescent="0.35">
      <c r="A2619">
        <v>22617</v>
      </c>
      <c r="B2619" s="1">
        <v>45327</v>
      </c>
      <c r="C2619" t="s">
        <v>30</v>
      </c>
      <c r="D2619" t="s">
        <v>83</v>
      </c>
      <c r="E2619" t="s">
        <v>90</v>
      </c>
      <c r="F2619" t="s">
        <v>22</v>
      </c>
      <c r="G2619" t="s">
        <v>74</v>
      </c>
      <c r="H2619" t="s">
        <v>34</v>
      </c>
      <c r="I2619" t="s">
        <v>55</v>
      </c>
      <c r="J2619" t="s">
        <v>43</v>
      </c>
      <c r="K2619" t="s">
        <v>61</v>
      </c>
      <c r="L2619" t="s">
        <v>28</v>
      </c>
      <c r="M2619" s="4">
        <v>14</v>
      </c>
      <c r="N2619" s="4">
        <v>7</v>
      </c>
      <c r="O2619" t="s">
        <v>36</v>
      </c>
      <c r="P2619" t="s">
        <v>29</v>
      </c>
      <c r="Q2619" s="4">
        <v>97660</v>
      </c>
      <c r="R2619" s="4">
        <v>81082</v>
      </c>
      <c r="S2619" s="4">
        <f>Table1[[#This Row],[Service_Revenue]]-Table1[[#This Row],[Service_Cost]]</f>
        <v>16578</v>
      </c>
      <c r="T2619" s="4">
        <v>3</v>
      </c>
      <c r="U2619" s="4">
        <f>IF(AND(Table1[[#This Row],[Rework_Flag]]="Yes",Table1[[#This Row],[Warranty_Claim]]="No"),Table1[[#This Row],[Service_Revenue]],0)</f>
        <v>0</v>
      </c>
      <c r="V2619" s="4">
        <f>IF(Table1[[#This Row],[Warranty_Claim]]="Yes",1,0)</f>
        <v>1</v>
      </c>
      <c r="W2619" s="4">
        <f>IF(Table1[[#This Row],[Rework_Flag]]="No",1,0)</f>
        <v>1</v>
      </c>
      <c r="X2619" s="4">
        <f>IF(Table1[[#This Row],[Rework_Flag]]="Yes",1,0)</f>
        <v>0</v>
      </c>
      <c r="Y2619" s="4">
        <v>1</v>
      </c>
      <c r="Z2619" s="4" t="str">
        <f>IF(Table1[[#This Row],[TAT_Days]]&gt;Table1[[#This Row],[SLA_TAT]],"Yes","No")</f>
        <v>Yes</v>
      </c>
      <c r="AA2619" s="4" t="str" cm="1">
        <f t="array" ref="AA2619">_xlfn.IFS(Table1[[#This Row],[Customer_Satisfaction]]&lt;=2,"Poor",Table1[[#This Row],[Customer_Satisfaction]]=3,"Neutral",Table1[[#This Row],[Customer_Satisfaction]]=4,"Good",Table1[[#This Row],[Customer_Satisfaction]]=5,"Good")</f>
        <v>Neutral</v>
      </c>
    </row>
    <row r="2620" spans="1:27" x14ac:dyDescent="0.35">
      <c r="A2620">
        <v>22618</v>
      </c>
      <c r="B2620" s="1">
        <v>45301</v>
      </c>
      <c r="C2620" t="s">
        <v>50</v>
      </c>
      <c r="D2620" t="s">
        <v>80</v>
      </c>
      <c r="E2620" t="s">
        <v>85</v>
      </c>
      <c r="F2620" t="s">
        <v>40</v>
      </c>
      <c r="G2620" t="s">
        <v>47</v>
      </c>
      <c r="H2620" t="s">
        <v>48</v>
      </c>
      <c r="I2620" t="s">
        <v>55</v>
      </c>
      <c r="J2620" t="s">
        <v>43</v>
      </c>
      <c r="K2620" t="s">
        <v>61</v>
      </c>
      <c r="L2620" t="s">
        <v>28</v>
      </c>
      <c r="M2620" s="4">
        <v>17</v>
      </c>
      <c r="N2620" s="4">
        <v>7</v>
      </c>
      <c r="O2620" t="s">
        <v>36</v>
      </c>
      <c r="P2620" t="s">
        <v>36</v>
      </c>
      <c r="Q2620" s="4">
        <v>226689</v>
      </c>
      <c r="R2620" s="4">
        <v>145827</v>
      </c>
      <c r="S2620" s="4">
        <f>Table1[[#This Row],[Service_Revenue]]-Table1[[#This Row],[Service_Cost]]</f>
        <v>80862</v>
      </c>
      <c r="T2620" s="4">
        <v>2</v>
      </c>
      <c r="U2620" s="4">
        <f>IF(AND(Table1[[#This Row],[Rework_Flag]]="Yes",Table1[[#This Row],[Warranty_Claim]]="No"),Table1[[#This Row],[Service_Revenue]],0)</f>
        <v>0</v>
      </c>
      <c r="V2620" s="4">
        <f>IF(Table1[[#This Row],[Warranty_Claim]]="Yes",1,0)</f>
        <v>0</v>
      </c>
      <c r="W2620" s="4">
        <f>IF(Table1[[#This Row],[Rework_Flag]]="No",1,0)</f>
        <v>1</v>
      </c>
      <c r="X2620" s="4">
        <f>IF(Table1[[#This Row],[Rework_Flag]]="Yes",1,0)</f>
        <v>0</v>
      </c>
      <c r="Y2620" s="4">
        <v>1</v>
      </c>
      <c r="Z2620" s="4" t="str">
        <f>IF(Table1[[#This Row],[TAT_Days]]&gt;Table1[[#This Row],[SLA_TAT]],"Yes","No")</f>
        <v>Yes</v>
      </c>
      <c r="AA2620" s="4" t="str" cm="1">
        <f t="array" ref="AA2620">_xlfn.IFS(Table1[[#This Row],[Customer_Satisfaction]]&lt;=2,"Poor",Table1[[#This Row],[Customer_Satisfaction]]=3,"Neutral",Table1[[#This Row],[Customer_Satisfaction]]=4,"Good",Table1[[#This Row],[Customer_Satisfaction]]=5,"Good")</f>
        <v>Poor</v>
      </c>
    </row>
    <row r="2621" spans="1:27" x14ac:dyDescent="0.35">
      <c r="A2621">
        <v>22619</v>
      </c>
      <c r="B2621" s="1">
        <v>45449</v>
      </c>
      <c r="C2621" t="s">
        <v>37</v>
      </c>
      <c r="D2621" t="s">
        <v>64</v>
      </c>
      <c r="E2621" t="s">
        <v>87</v>
      </c>
      <c r="F2621" t="s">
        <v>40</v>
      </c>
      <c r="G2621" t="s">
        <v>33</v>
      </c>
      <c r="H2621" t="s">
        <v>34</v>
      </c>
      <c r="I2621" t="s">
        <v>25</v>
      </c>
      <c r="J2621" t="s">
        <v>35</v>
      </c>
      <c r="K2621" t="s">
        <v>61</v>
      </c>
      <c r="L2621" t="s">
        <v>28</v>
      </c>
      <c r="M2621" s="4">
        <v>3</v>
      </c>
      <c r="N2621" s="4">
        <v>7</v>
      </c>
      <c r="O2621" t="s">
        <v>29</v>
      </c>
      <c r="P2621" t="s">
        <v>29</v>
      </c>
      <c r="Q2621" s="4">
        <v>220493</v>
      </c>
      <c r="R2621" s="4">
        <v>160599</v>
      </c>
      <c r="S2621" s="4">
        <f>Table1[[#This Row],[Service_Revenue]]-Table1[[#This Row],[Service_Cost]]</f>
        <v>59894</v>
      </c>
      <c r="T2621" s="4">
        <v>4</v>
      </c>
      <c r="U2621" s="4">
        <f>IF(AND(Table1[[#This Row],[Rework_Flag]]="Yes",Table1[[#This Row],[Warranty_Claim]]="No"),Table1[[#This Row],[Service_Revenue]],0)</f>
        <v>0</v>
      </c>
      <c r="V2621" s="4">
        <f>IF(Table1[[#This Row],[Warranty_Claim]]="Yes",1,0)</f>
        <v>1</v>
      </c>
      <c r="W2621" s="4">
        <f>IF(Table1[[#This Row],[Rework_Flag]]="No",1,0)</f>
        <v>0</v>
      </c>
      <c r="X2621" s="4">
        <f>IF(Table1[[#This Row],[Rework_Flag]]="Yes",1,0)</f>
        <v>1</v>
      </c>
      <c r="Y2621" s="4">
        <v>1</v>
      </c>
      <c r="Z2621" s="4" t="str">
        <f>IF(Table1[[#This Row],[TAT_Days]]&gt;Table1[[#This Row],[SLA_TAT]],"Yes","No")</f>
        <v>No</v>
      </c>
      <c r="AA2621" s="4" t="str" cm="1">
        <f t="array" ref="AA2621">_xlfn.IFS(Table1[[#This Row],[Customer_Satisfaction]]&lt;=2,"Poor",Table1[[#This Row],[Customer_Satisfaction]]=3,"Neutral",Table1[[#This Row],[Customer_Satisfaction]]=4,"Good",Table1[[#This Row],[Customer_Satisfaction]]=5,"Good")</f>
        <v>Good</v>
      </c>
    </row>
    <row r="2622" spans="1:27" x14ac:dyDescent="0.35">
      <c r="A2622">
        <v>22620</v>
      </c>
      <c r="B2622" s="1">
        <v>45323</v>
      </c>
      <c r="C2622" t="s">
        <v>30</v>
      </c>
      <c r="D2622" t="s">
        <v>83</v>
      </c>
      <c r="E2622" t="s">
        <v>95</v>
      </c>
      <c r="F2622" t="s">
        <v>53</v>
      </c>
      <c r="G2622" t="s">
        <v>33</v>
      </c>
      <c r="H2622" t="s">
        <v>34</v>
      </c>
      <c r="I2622" t="s">
        <v>25</v>
      </c>
      <c r="J2622" t="s">
        <v>67</v>
      </c>
      <c r="K2622" t="s">
        <v>44</v>
      </c>
      <c r="L2622" t="s">
        <v>49</v>
      </c>
      <c r="M2622" s="4">
        <v>24</v>
      </c>
      <c r="N2622" s="4">
        <v>7</v>
      </c>
      <c r="O2622" t="s">
        <v>29</v>
      </c>
      <c r="P2622" t="s">
        <v>36</v>
      </c>
      <c r="Q2622" s="4">
        <v>590821</v>
      </c>
      <c r="R2622" s="4">
        <v>323039</v>
      </c>
      <c r="S2622" s="4">
        <f>Table1[[#This Row],[Service_Revenue]]-Table1[[#This Row],[Service_Cost]]</f>
        <v>267782</v>
      </c>
      <c r="T2622" s="4">
        <v>1</v>
      </c>
      <c r="U2622" s="4">
        <f>IF(AND(Table1[[#This Row],[Rework_Flag]]="Yes",Table1[[#This Row],[Warranty_Claim]]="No"),Table1[[#This Row],[Service_Revenue]],0)</f>
        <v>590821</v>
      </c>
      <c r="V2622" s="4">
        <f>IF(Table1[[#This Row],[Warranty_Claim]]="Yes",1,0)</f>
        <v>0</v>
      </c>
      <c r="W2622" s="4">
        <f>IF(Table1[[#This Row],[Rework_Flag]]="No",1,0)</f>
        <v>0</v>
      </c>
      <c r="X2622" s="4">
        <f>IF(Table1[[#This Row],[Rework_Flag]]="Yes",1,0)</f>
        <v>1</v>
      </c>
      <c r="Y2622" s="4">
        <v>1</v>
      </c>
      <c r="Z2622" s="4" t="str">
        <f>IF(Table1[[#This Row],[TAT_Days]]&gt;Table1[[#This Row],[SLA_TAT]],"Yes","No")</f>
        <v>Yes</v>
      </c>
      <c r="AA2622" s="4" t="str" cm="1">
        <f t="array" ref="AA2622">_xlfn.IFS(Table1[[#This Row],[Customer_Satisfaction]]&lt;=2,"Poor",Table1[[#This Row],[Customer_Satisfaction]]=3,"Neutral",Table1[[#This Row],[Customer_Satisfaction]]=4,"Good",Table1[[#This Row],[Customer_Satisfaction]]=5,"Good")</f>
        <v>Poor</v>
      </c>
    </row>
    <row r="2623" spans="1:27" x14ac:dyDescent="0.35">
      <c r="A2623">
        <v>22621</v>
      </c>
      <c r="B2623" s="1">
        <v>45318</v>
      </c>
      <c r="C2623" t="s">
        <v>19</v>
      </c>
      <c r="D2623" t="s">
        <v>45</v>
      </c>
      <c r="E2623" t="s">
        <v>111</v>
      </c>
      <c r="F2623" t="s">
        <v>22</v>
      </c>
      <c r="G2623" t="s">
        <v>63</v>
      </c>
      <c r="H2623" t="s">
        <v>24</v>
      </c>
      <c r="I2623" t="s">
        <v>25</v>
      </c>
      <c r="J2623" t="s">
        <v>35</v>
      </c>
      <c r="K2623" t="s">
        <v>61</v>
      </c>
      <c r="L2623" t="s">
        <v>49</v>
      </c>
      <c r="M2623" s="4">
        <v>24</v>
      </c>
      <c r="N2623" s="4">
        <v>7</v>
      </c>
      <c r="O2623" t="s">
        <v>36</v>
      </c>
      <c r="P2623" t="s">
        <v>36</v>
      </c>
      <c r="Q2623" s="4">
        <v>329150</v>
      </c>
      <c r="R2623" s="4">
        <v>271842</v>
      </c>
      <c r="S2623" s="4">
        <f>Table1[[#This Row],[Service_Revenue]]-Table1[[#This Row],[Service_Cost]]</f>
        <v>57308</v>
      </c>
      <c r="T2623" s="4">
        <v>1</v>
      </c>
      <c r="U2623" s="4">
        <f>IF(AND(Table1[[#This Row],[Rework_Flag]]="Yes",Table1[[#This Row],[Warranty_Claim]]="No"),Table1[[#This Row],[Service_Revenue]],0)</f>
        <v>0</v>
      </c>
      <c r="V2623" s="4">
        <f>IF(Table1[[#This Row],[Warranty_Claim]]="Yes",1,0)</f>
        <v>0</v>
      </c>
      <c r="W2623" s="4">
        <f>IF(Table1[[#This Row],[Rework_Flag]]="No",1,0)</f>
        <v>1</v>
      </c>
      <c r="X2623" s="4">
        <f>IF(Table1[[#This Row],[Rework_Flag]]="Yes",1,0)</f>
        <v>0</v>
      </c>
      <c r="Y2623" s="4">
        <v>1</v>
      </c>
      <c r="Z2623" s="4" t="str">
        <f>IF(Table1[[#This Row],[TAT_Days]]&gt;Table1[[#This Row],[SLA_TAT]],"Yes","No")</f>
        <v>Yes</v>
      </c>
      <c r="AA2623" s="4" t="str" cm="1">
        <f t="array" ref="AA2623">_xlfn.IFS(Table1[[#This Row],[Customer_Satisfaction]]&lt;=2,"Poor",Table1[[#This Row],[Customer_Satisfaction]]=3,"Neutral",Table1[[#This Row],[Customer_Satisfaction]]=4,"Good",Table1[[#This Row],[Customer_Satisfaction]]=5,"Good")</f>
        <v>Poor</v>
      </c>
    </row>
    <row r="2624" spans="1:27" x14ac:dyDescent="0.35">
      <c r="A2624">
        <v>22622</v>
      </c>
      <c r="B2624" s="1">
        <v>45458</v>
      </c>
      <c r="C2624" t="s">
        <v>50</v>
      </c>
      <c r="D2624" t="s">
        <v>80</v>
      </c>
      <c r="E2624" t="s">
        <v>104</v>
      </c>
      <c r="F2624" t="s">
        <v>40</v>
      </c>
      <c r="G2624" t="s">
        <v>23</v>
      </c>
      <c r="H2624" t="s">
        <v>24</v>
      </c>
      <c r="I2624" t="s">
        <v>55</v>
      </c>
      <c r="J2624" t="s">
        <v>43</v>
      </c>
      <c r="K2624" t="s">
        <v>44</v>
      </c>
      <c r="L2624" t="s">
        <v>49</v>
      </c>
      <c r="M2624" s="4">
        <v>17</v>
      </c>
      <c r="N2624" s="4">
        <v>7</v>
      </c>
      <c r="O2624" t="s">
        <v>29</v>
      </c>
      <c r="P2624" t="s">
        <v>29</v>
      </c>
      <c r="Q2624" s="4">
        <v>353477</v>
      </c>
      <c r="R2624" s="4">
        <v>201293</v>
      </c>
      <c r="S2624" s="4">
        <f>Table1[[#This Row],[Service_Revenue]]-Table1[[#This Row],[Service_Cost]]</f>
        <v>152184</v>
      </c>
      <c r="T2624" s="4">
        <v>1</v>
      </c>
      <c r="U2624" s="4">
        <f>IF(AND(Table1[[#This Row],[Rework_Flag]]="Yes",Table1[[#This Row],[Warranty_Claim]]="No"),Table1[[#This Row],[Service_Revenue]],0)</f>
        <v>0</v>
      </c>
      <c r="V2624" s="4">
        <f>IF(Table1[[#This Row],[Warranty_Claim]]="Yes",1,0)</f>
        <v>1</v>
      </c>
      <c r="W2624" s="4">
        <f>IF(Table1[[#This Row],[Rework_Flag]]="No",1,0)</f>
        <v>0</v>
      </c>
      <c r="X2624" s="4">
        <f>IF(Table1[[#This Row],[Rework_Flag]]="Yes",1,0)</f>
        <v>1</v>
      </c>
      <c r="Y2624" s="4">
        <v>1</v>
      </c>
      <c r="Z2624" s="4" t="str">
        <f>IF(Table1[[#This Row],[TAT_Days]]&gt;Table1[[#This Row],[SLA_TAT]],"Yes","No")</f>
        <v>Yes</v>
      </c>
      <c r="AA2624" s="4" t="str" cm="1">
        <f t="array" ref="AA2624">_xlfn.IFS(Table1[[#This Row],[Customer_Satisfaction]]&lt;=2,"Poor",Table1[[#This Row],[Customer_Satisfaction]]=3,"Neutral",Table1[[#This Row],[Customer_Satisfaction]]=4,"Good",Table1[[#This Row],[Customer_Satisfaction]]=5,"Good")</f>
        <v>Poor</v>
      </c>
    </row>
    <row r="2625" spans="1:27" x14ac:dyDescent="0.35">
      <c r="A2625">
        <v>22623</v>
      </c>
      <c r="B2625" s="1">
        <v>45432</v>
      </c>
      <c r="C2625" t="s">
        <v>30</v>
      </c>
      <c r="D2625" t="s">
        <v>83</v>
      </c>
      <c r="E2625" t="s">
        <v>84</v>
      </c>
      <c r="F2625" t="s">
        <v>22</v>
      </c>
      <c r="G2625" t="s">
        <v>74</v>
      </c>
      <c r="H2625" t="s">
        <v>34</v>
      </c>
      <c r="I2625" t="s">
        <v>55</v>
      </c>
      <c r="J2625" t="s">
        <v>67</v>
      </c>
      <c r="K2625" t="s">
        <v>27</v>
      </c>
      <c r="L2625" t="s">
        <v>49</v>
      </c>
      <c r="M2625" s="4">
        <v>11</v>
      </c>
      <c r="N2625" s="4">
        <v>7</v>
      </c>
      <c r="O2625" t="s">
        <v>29</v>
      </c>
      <c r="P2625" t="s">
        <v>29</v>
      </c>
      <c r="Q2625" s="4">
        <v>480239</v>
      </c>
      <c r="R2625" s="4">
        <v>404192</v>
      </c>
      <c r="S2625" s="4">
        <f>Table1[[#This Row],[Service_Revenue]]-Table1[[#This Row],[Service_Cost]]</f>
        <v>76047</v>
      </c>
      <c r="T2625" s="4">
        <v>2</v>
      </c>
      <c r="U2625" s="4">
        <f>IF(AND(Table1[[#This Row],[Rework_Flag]]="Yes",Table1[[#This Row],[Warranty_Claim]]="No"),Table1[[#This Row],[Service_Revenue]],0)</f>
        <v>0</v>
      </c>
      <c r="V2625" s="4">
        <f>IF(Table1[[#This Row],[Warranty_Claim]]="Yes",1,0)</f>
        <v>1</v>
      </c>
      <c r="W2625" s="4">
        <f>IF(Table1[[#This Row],[Rework_Flag]]="No",1,0)</f>
        <v>0</v>
      </c>
      <c r="X2625" s="4">
        <f>IF(Table1[[#This Row],[Rework_Flag]]="Yes",1,0)</f>
        <v>1</v>
      </c>
      <c r="Y2625" s="4">
        <v>1</v>
      </c>
      <c r="Z2625" s="4" t="str">
        <f>IF(Table1[[#This Row],[TAT_Days]]&gt;Table1[[#This Row],[SLA_TAT]],"Yes","No")</f>
        <v>Yes</v>
      </c>
      <c r="AA2625" s="4" t="str" cm="1">
        <f t="array" ref="AA2625">_xlfn.IFS(Table1[[#This Row],[Customer_Satisfaction]]&lt;=2,"Poor",Table1[[#This Row],[Customer_Satisfaction]]=3,"Neutral",Table1[[#This Row],[Customer_Satisfaction]]=4,"Good",Table1[[#This Row],[Customer_Satisfaction]]=5,"Good")</f>
        <v>Poor</v>
      </c>
    </row>
    <row r="2626" spans="1:27" x14ac:dyDescent="0.35">
      <c r="A2626">
        <v>22624</v>
      </c>
      <c r="B2626" s="1">
        <v>45452</v>
      </c>
      <c r="C2626" t="s">
        <v>30</v>
      </c>
      <c r="D2626" t="s">
        <v>59</v>
      </c>
      <c r="E2626" t="s">
        <v>60</v>
      </c>
      <c r="F2626" t="s">
        <v>53</v>
      </c>
      <c r="G2626" t="s">
        <v>41</v>
      </c>
      <c r="H2626" t="s">
        <v>42</v>
      </c>
      <c r="I2626" t="s">
        <v>25</v>
      </c>
      <c r="J2626" t="s">
        <v>35</v>
      </c>
      <c r="K2626" t="s">
        <v>44</v>
      </c>
      <c r="L2626" t="s">
        <v>28</v>
      </c>
      <c r="M2626" s="4">
        <v>6</v>
      </c>
      <c r="N2626" s="4">
        <v>7</v>
      </c>
      <c r="O2626" t="s">
        <v>36</v>
      </c>
      <c r="P2626" t="s">
        <v>29</v>
      </c>
      <c r="Q2626" s="4">
        <v>95673</v>
      </c>
      <c r="R2626" s="4">
        <v>69226</v>
      </c>
      <c r="S2626" s="4">
        <f>Table1[[#This Row],[Service_Revenue]]-Table1[[#This Row],[Service_Cost]]</f>
        <v>26447</v>
      </c>
      <c r="T2626" s="4">
        <v>4</v>
      </c>
      <c r="U2626" s="4">
        <f>IF(AND(Table1[[#This Row],[Rework_Flag]]="Yes",Table1[[#This Row],[Warranty_Claim]]="No"),Table1[[#This Row],[Service_Revenue]],0)</f>
        <v>0</v>
      </c>
      <c r="V2626" s="4">
        <f>IF(Table1[[#This Row],[Warranty_Claim]]="Yes",1,0)</f>
        <v>1</v>
      </c>
      <c r="W2626" s="4">
        <f>IF(Table1[[#This Row],[Rework_Flag]]="No",1,0)</f>
        <v>1</v>
      </c>
      <c r="X2626" s="4">
        <f>IF(Table1[[#This Row],[Rework_Flag]]="Yes",1,0)</f>
        <v>0</v>
      </c>
      <c r="Y2626" s="4">
        <v>1</v>
      </c>
      <c r="Z2626" s="4" t="str">
        <f>IF(Table1[[#This Row],[TAT_Days]]&gt;Table1[[#This Row],[SLA_TAT]],"Yes","No")</f>
        <v>No</v>
      </c>
      <c r="AA2626" s="4" t="str" cm="1">
        <f t="array" ref="AA2626">_xlfn.IFS(Table1[[#This Row],[Customer_Satisfaction]]&lt;=2,"Poor",Table1[[#This Row],[Customer_Satisfaction]]=3,"Neutral",Table1[[#This Row],[Customer_Satisfaction]]=4,"Good",Table1[[#This Row],[Customer_Satisfaction]]=5,"Good")</f>
        <v>Good</v>
      </c>
    </row>
    <row r="2627" spans="1:27" x14ac:dyDescent="0.35">
      <c r="A2627">
        <v>22625</v>
      </c>
      <c r="B2627" s="1">
        <v>45368</v>
      </c>
      <c r="C2627" t="s">
        <v>37</v>
      </c>
      <c r="D2627" t="s">
        <v>70</v>
      </c>
      <c r="E2627" t="s">
        <v>91</v>
      </c>
      <c r="F2627" t="s">
        <v>22</v>
      </c>
      <c r="G2627" t="s">
        <v>33</v>
      </c>
      <c r="H2627" t="s">
        <v>34</v>
      </c>
      <c r="I2627" t="s">
        <v>55</v>
      </c>
      <c r="J2627" t="s">
        <v>58</v>
      </c>
      <c r="K2627" t="s">
        <v>44</v>
      </c>
      <c r="L2627" t="s">
        <v>49</v>
      </c>
      <c r="M2627" s="4">
        <v>18</v>
      </c>
      <c r="N2627" s="4">
        <v>7</v>
      </c>
      <c r="O2627" t="s">
        <v>29</v>
      </c>
      <c r="P2627" t="s">
        <v>36</v>
      </c>
      <c r="Q2627" s="4">
        <v>505935</v>
      </c>
      <c r="R2627" s="4">
        <v>427189</v>
      </c>
      <c r="S2627" s="4">
        <f>Table1[[#This Row],[Service_Revenue]]-Table1[[#This Row],[Service_Cost]]</f>
        <v>78746</v>
      </c>
      <c r="T2627" s="4">
        <v>1</v>
      </c>
      <c r="U2627" s="4">
        <f>IF(AND(Table1[[#This Row],[Rework_Flag]]="Yes",Table1[[#This Row],[Warranty_Claim]]="No"),Table1[[#This Row],[Service_Revenue]],0)</f>
        <v>505935</v>
      </c>
      <c r="V2627" s="4">
        <f>IF(Table1[[#This Row],[Warranty_Claim]]="Yes",1,0)</f>
        <v>0</v>
      </c>
      <c r="W2627" s="4">
        <f>IF(Table1[[#This Row],[Rework_Flag]]="No",1,0)</f>
        <v>0</v>
      </c>
      <c r="X2627" s="4">
        <f>IF(Table1[[#This Row],[Rework_Flag]]="Yes",1,0)</f>
        <v>1</v>
      </c>
      <c r="Y2627" s="4">
        <v>1</v>
      </c>
      <c r="Z2627" s="4" t="str">
        <f>IF(Table1[[#This Row],[TAT_Days]]&gt;Table1[[#This Row],[SLA_TAT]],"Yes","No")</f>
        <v>Yes</v>
      </c>
      <c r="AA2627" s="4" t="str" cm="1">
        <f t="array" ref="AA2627">_xlfn.IFS(Table1[[#This Row],[Customer_Satisfaction]]&lt;=2,"Poor",Table1[[#This Row],[Customer_Satisfaction]]=3,"Neutral",Table1[[#This Row],[Customer_Satisfaction]]=4,"Good",Table1[[#This Row],[Customer_Satisfaction]]=5,"Good")</f>
        <v>Poor</v>
      </c>
    </row>
    <row r="2628" spans="1:27" x14ac:dyDescent="0.35">
      <c r="A2628">
        <v>22626</v>
      </c>
      <c r="B2628" s="1">
        <v>45312</v>
      </c>
      <c r="C2628" t="s">
        <v>50</v>
      </c>
      <c r="D2628" t="s">
        <v>56</v>
      </c>
      <c r="E2628" t="s">
        <v>101</v>
      </c>
      <c r="F2628" t="s">
        <v>40</v>
      </c>
      <c r="G2628" t="s">
        <v>33</v>
      </c>
      <c r="H2628" t="s">
        <v>34</v>
      </c>
      <c r="I2628" t="s">
        <v>55</v>
      </c>
      <c r="J2628" t="s">
        <v>26</v>
      </c>
      <c r="K2628" t="s">
        <v>61</v>
      </c>
      <c r="L2628" t="s">
        <v>28</v>
      </c>
      <c r="M2628" s="4">
        <v>10</v>
      </c>
      <c r="N2628" s="4">
        <v>7</v>
      </c>
      <c r="O2628" t="s">
        <v>36</v>
      </c>
      <c r="P2628" t="s">
        <v>36</v>
      </c>
      <c r="Q2628" s="4">
        <v>496301</v>
      </c>
      <c r="R2628" s="4">
        <v>335638</v>
      </c>
      <c r="S2628" s="4">
        <f>Table1[[#This Row],[Service_Revenue]]-Table1[[#This Row],[Service_Cost]]</f>
        <v>160663</v>
      </c>
      <c r="T2628" s="4">
        <v>3</v>
      </c>
      <c r="U2628" s="4">
        <f>IF(AND(Table1[[#This Row],[Rework_Flag]]="Yes",Table1[[#This Row],[Warranty_Claim]]="No"),Table1[[#This Row],[Service_Revenue]],0)</f>
        <v>0</v>
      </c>
      <c r="V2628" s="4">
        <f>IF(Table1[[#This Row],[Warranty_Claim]]="Yes",1,0)</f>
        <v>0</v>
      </c>
      <c r="W2628" s="4">
        <f>IF(Table1[[#This Row],[Rework_Flag]]="No",1,0)</f>
        <v>1</v>
      </c>
      <c r="X2628" s="4">
        <f>IF(Table1[[#This Row],[Rework_Flag]]="Yes",1,0)</f>
        <v>0</v>
      </c>
      <c r="Y2628" s="4">
        <v>1</v>
      </c>
      <c r="Z2628" s="4" t="str">
        <f>IF(Table1[[#This Row],[TAT_Days]]&gt;Table1[[#This Row],[SLA_TAT]],"Yes","No")</f>
        <v>Yes</v>
      </c>
      <c r="AA2628" s="4" t="str" cm="1">
        <f t="array" ref="AA2628">_xlfn.IFS(Table1[[#This Row],[Customer_Satisfaction]]&lt;=2,"Poor",Table1[[#This Row],[Customer_Satisfaction]]=3,"Neutral",Table1[[#This Row],[Customer_Satisfaction]]=4,"Good",Table1[[#This Row],[Customer_Satisfaction]]=5,"Good")</f>
        <v>Neutral</v>
      </c>
    </row>
    <row r="2629" spans="1:27" x14ac:dyDescent="0.35">
      <c r="A2629">
        <v>22627</v>
      </c>
      <c r="B2629" s="1">
        <v>45384</v>
      </c>
      <c r="C2629" t="s">
        <v>37</v>
      </c>
      <c r="D2629" t="s">
        <v>64</v>
      </c>
      <c r="E2629" t="s">
        <v>103</v>
      </c>
      <c r="F2629" t="s">
        <v>40</v>
      </c>
      <c r="G2629" t="s">
        <v>41</v>
      </c>
      <c r="H2629" t="s">
        <v>42</v>
      </c>
      <c r="I2629" t="s">
        <v>55</v>
      </c>
      <c r="J2629" t="s">
        <v>26</v>
      </c>
      <c r="K2629" t="s">
        <v>61</v>
      </c>
      <c r="L2629" t="s">
        <v>49</v>
      </c>
      <c r="M2629" s="4">
        <v>25</v>
      </c>
      <c r="N2629" s="4">
        <v>7</v>
      </c>
      <c r="O2629" t="s">
        <v>36</v>
      </c>
      <c r="P2629" t="s">
        <v>36</v>
      </c>
      <c r="Q2629" s="4">
        <v>97609</v>
      </c>
      <c r="R2629" s="4">
        <v>59398</v>
      </c>
      <c r="S2629" s="4">
        <f>Table1[[#This Row],[Service_Revenue]]-Table1[[#This Row],[Service_Cost]]</f>
        <v>38211</v>
      </c>
      <c r="T2629" s="4">
        <v>1</v>
      </c>
      <c r="U2629" s="4">
        <f>IF(AND(Table1[[#This Row],[Rework_Flag]]="Yes",Table1[[#This Row],[Warranty_Claim]]="No"),Table1[[#This Row],[Service_Revenue]],0)</f>
        <v>0</v>
      </c>
      <c r="V2629" s="4">
        <f>IF(Table1[[#This Row],[Warranty_Claim]]="Yes",1,0)</f>
        <v>0</v>
      </c>
      <c r="W2629" s="4">
        <f>IF(Table1[[#This Row],[Rework_Flag]]="No",1,0)</f>
        <v>1</v>
      </c>
      <c r="X2629" s="4">
        <f>IF(Table1[[#This Row],[Rework_Flag]]="Yes",1,0)</f>
        <v>0</v>
      </c>
      <c r="Y2629" s="4">
        <v>1</v>
      </c>
      <c r="Z2629" s="4" t="str">
        <f>IF(Table1[[#This Row],[TAT_Days]]&gt;Table1[[#This Row],[SLA_TAT]],"Yes","No")</f>
        <v>Yes</v>
      </c>
      <c r="AA2629" s="4" t="str" cm="1">
        <f t="array" ref="AA2629">_xlfn.IFS(Table1[[#This Row],[Customer_Satisfaction]]&lt;=2,"Poor",Table1[[#This Row],[Customer_Satisfaction]]=3,"Neutral",Table1[[#This Row],[Customer_Satisfaction]]=4,"Good",Table1[[#This Row],[Customer_Satisfaction]]=5,"Good")</f>
        <v>Poor</v>
      </c>
    </row>
    <row r="2630" spans="1:27" x14ac:dyDescent="0.35">
      <c r="A2630">
        <v>22628</v>
      </c>
      <c r="B2630" s="1">
        <v>45358</v>
      </c>
      <c r="C2630" t="s">
        <v>50</v>
      </c>
      <c r="D2630" t="s">
        <v>80</v>
      </c>
      <c r="E2630" t="s">
        <v>118</v>
      </c>
      <c r="F2630" t="s">
        <v>53</v>
      </c>
      <c r="G2630" t="s">
        <v>74</v>
      </c>
      <c r="H2630" t="s">
        <v>34</v>
      </c>
      <c r="I2630" t="s">
        <v>55</v>
      </c>
      <c r="J2630" t="s">
        <v>58</v>
      </c>
      <c r="K2630" t="s">
        <v>44</v>
      </c>
      <c r="L2630" t="s">
        <v>49</v>
      </c>
      <c r="M2630" s="4">
        <v>13</v>
      </c>
      <c r="N2630" s="4">
        <v>7</v>
      </c>
      <c r="O2630" t="s">
        <v>29</v>
      </c>
      <c r="P2630" t="s">
        <v>36</v>
      </c>
      <c r="Q2630" s="4">
        <v>501339</v>
      </c>
      <c r="R2630" s="4">
        <v>401895</v>
      </c>
      <c r="S2630" s="4">
        <f>Table1[[#This Row],[Service_Revenue]]-Table1[[#This Row],[Service_Cost]]</f>
        <v>99444</v>
      </c>
      <c r="T2630" s="4">
        <v>2</v>
      </c>
      <c r="U2630" s="4">
        <f>IF(AND(Table1[[#This Row],[Rework_Flag]]="Yes",Table1[[#This Row],[Warranty_Claim]]="No"),Table1[[#This Row],[Service_Revenue]],0)</f>
        <v>501339</v>
      </c>
      <c r="V2630" s="4">
        <f>IF(Table1[[#This Row],[Warranty_Claim]]="Yes",1,0)</f>
        <v>0</v>
      </c>
      <c r="W2630" s="4">
        <f>IF(Table1[[#This Row],[Rework_Flag]]="No",1,0)</f>
        <v>0</v>
      </c>
      <c r="X2630" s="4">
        <f>IF(Table1[[#This Row],[Rework_Flag]]="Yes",1,0)</f>
        <v>1</v>
      </c>
      <c r="Y2630" s="4">
        <v>1</v>
      </c>
      <c r="Z2630" s="4" t="str">
        <f>IF(Table1[[#This Row],[TAT_Days]]&gt;Table1[[#This Row],[SLA_TAT]],"Yes","No")</f>
        <v>Yes</v>
      </c>
      <c r="AA2630" s="4" t="str" cm="1">
        <f t="array" ref="AA2630">_xlfn.IFS(Table1[[#This Row],[Customer_Satisfaction]]&lt;=2,"Poor",Table1[[#This Row],[Customer_Satisfaction]]=3,"Neutral",Table1[[#This Row],[Customer_Satisfaction]]=4,"Good",Table1[[#This Row],[Customer_Satisfaction]]=5,"Good")</f>
        <v>Poor</v>
      </c>
    </row>
    <row r="2631" spans="1:27" x14ac:dyDescent="0.35">
      <c r="A2631">
        <v>22629</v>
      </c>
      <c r="B2631" s="1">
        <v>45367</v>
      </c>
      <c r="C2631" t="s">
        <v>19</v>
      </c>
      <c r="D2631" t="s">
        <v>96</v>
      </c>
      <c r="E2631" t="s">
        <v>108</v>
      </c>
      <c r="F2631" t="s">
        <v>40</v>
      </c>
      <c r="G2631" t="s">
        <v>54</v>
      </c>
      <c r="H2631" t="s">
        <v>42</v>
      </c>
      <c r="I2631" t="s">
        <v>55</v>
      </c>
      <c r="J2631" t="s">
        <v>35</v>
      </c>
      <c r="K2631" t="s">
        <v>61</v>
      </c>
      <c r="L2631" t="s">
        <v>28</v>
      </c>
      <c r="M2631" s="4">
        <v>24</v>
      </c>
      <c r="N2631" s="4">
        <v>7</v>
      </c>
      <c r="O2631" t="s">
        <v>36</v>
      </c>
      <c r="P2631" t="s">
        <v>36</v>
      </c>
      <c r="Q2631" s="4">
        <v>249503</v>
      </c>
      <c r="R2631" s="4">
        <v>164961</v>
      </c>
      <c r="S2631" s="4">
        <f>Table1[[#This Row],[Service_Revenue]]-Table1[[#This Row],[Service_Cost]]</f>
        <v>84542</v>
      </c>
      <c r="T2631" s="4">
        <v>1</v>
      </c>
      <c r="U2631" s="4">
        <f>IF(AND(Table1[[#This Row],[Rework_Flag]]="Yes",Table1[[#This Row],[Warranty_Claim]]="No"),Table1[[#This Row],[Service_Revenue]],0)</f>
        <v>0</v>
      </c>
      <c r="V2631" s="4">
        <f>IF(Table1[[#This Row],[Warranty_Claim]]="Yes",1,0)</f>
        <v>0</v>
      </c>
      <c r="W2631" s="4">
        <f>IF(Table1[[#This Row],[Rework_Flag]]="No",1,0)</f>
        <v>1</v>
      </c>
      <c r="X2631" s="4">
        <f>IF(Table1[[#This Row],[Rework_Flag]]="Yes",1,0)</f>
        <v>0</v>
      </c>
      <c r="Y2631" s="4">
        <v>1</v>
      </c>
      <c r="Z2631" s="4" t="str">
        <f>IF(Table1[[#This Row],[TAT_Days]]&gt;Table1[[#This Row],[SLA_TAT]],"Yes","No")</f>
        <v>Yes</v>
      </c>
      <c r="AA2631" s="4" t="str" cm="1">
        <f t="array" ref="AA2631">_xlfn.IFS(Table1[[#This Row],[Customer_Satisfaction]]&lt;=2,"Poor",Table1[[#This Row],[Customer_Satisfaction]]=3,"Neutral",Table1[[#This Row],[Customer_Satisfaction]]=4,"Good",Table1[[#This Row],[Customer_Satisfaction]]=5,"Good")</f>
        <v>Poor</v>
      </c>
    </row>
    <row r="2632" spans="1:27" x14ac:dyDescent="0.35">
      <c r="A2632">
        <v>22630</v>
      </c>
      <c r="B2632" s="1">
        <v>45419</v>
      </c>
      <c r="C2632" t="s">
        <v>30</v>
      </c>
      <c r="D2632" t="s">
        <v>31</v>
      </c>
      <c r="E2632" t="s">
        <v>32</v>
      </c>
      <c r="F2632" t="s">
        <v>53</v>
      </c>
      <c r="G2632" t="s">
        <v>33</v>
      </c>
      <c r="H2632" t="s">
        <v>34</v>
      </c>
      <c r="I2632" t="s">
        <v>55</v>
      </c>
      <c r="J2632" t="s">
        <v>26</v>
      </c>
      <c r="K2632" t="s">
        <v>44</v>
      </c>
      <c r="L2632" t="s">
        <v>28</v>
      </c>
      <c r="M2632" s="4">
        <v>15</v>
      </c>
      <c r="N2632" s="4">
        <v>7</v>
      </c>
      <c r="O2632" t="s">
        <v>29</v>
      </c>
      <c r="P2632" t="s">
        <v>29</v>
      </c>
      <c r="Q2632" s="4">
        <v>545326</v>
      </c>
      <c r="R2632" s="4">
        <v>405067</v>
      </c>
      <c r="S2632" s="4">
        <f>Table1[[#This Row],[Service_Revenue]]-Table1[[#This Row],[Service_Cost]]</f>
        <v>140259</v>
      </c>
      <c r="T2632" s="4">
        <v>1</v>
      </c>
      <c r="U2632" s="4">
        <f>IF(AND(Table1[[#This Row],[Rework_Flag]]="Yes",Table1[[#This Row],[Warranty_Claim]]="No"),Table1[[#This Row],[Service_Revenue]],0)</f>
        <v>0</v>
      </c>
      <c r="V2632" s="4">
        <f>IF(Table1[[#This Row],[Warranty_Claim]]="Yes",1,0)</f>
        <v>1</v>
      </c>
      <c r="W2632" s="4">
        <f>IF(Table1[[#This Row],[Rework_Flag]]="No",1,0)</f>
        <v>0</v>
      </c>
      <c r="X2632" s="4">
        <f>IF(Table1[[#This Row],[Rework_Flag]]="Yes",1,0)</f>
        <v>1</v>
      </c>
      <c r="Y2632" s="4">
        <v>1</v>
      </c>
      <c r="Z2632" s="4" t="str">
        <f>IF(Table1[[#This Row],[TAT_Days]]&gt;Table1[[#This Row],[SLA_TAT]],"Yes","No")</f>
        <v>Yes</v>
      </c>
      <c r="AA2632" s="4" t="str" cm="1">
        <f t="array" ref="AA2632">_xlfn.IFS(Table1[[#This Row],[Customer_Satisfaction]]&lt;=2,"Poor",Table1[[#This Row],[Customer_Satisfaction]]=3,"Neutral",Table1[[#This Row],[Customer_Satisfaction]]=4,"Good",Table1[[#This Row],[Customer_Satisfaction]]=5,"Good")</f>
        <v>Poor</v>
      </c>
    </row>
    <row r="2633" spans="1:27" x14ac:dyDescent="0.35">
      <c r="A2633">
        <v>22631</v>
      </c>
      <c r="B2633" s="1">
        <v>45439</v>
      </c>
      <c r="C2633" t="s">
        <v>19</v>
      </c>
      <c r="D2633" t="s">
        <v>96</v>
      </c>
      <c r="E2633" t="s">
        <v>108</v>
      </c>
      <c r="F2633" t="s">
        <v>22</v>
      </c>
      <c r="G2633" t="s">
        <v>33</v>
      </c>
      <c r="H2633" t="s">
        <v>34</v>
      </c>
      <c r="I2633" t="s">
        <v>55</v>
      </c>
      <c r="J2633" t="s">
        <v>26</v>
      </c>
      <c r="K2633" t="s">
        <v>44</v>
      </c>
      <c r="L2633" t="s">
        <v>28</v>
      </c>
      <c r="M2633" s="4">
        <v>2</v>
      </c>
      <c r="N2633" s="4">
        <v>7</v>
      </c>
      <c r="O2633" t="s">
        <v>36</v>
      </c>
      <c r="P2633" t="s">
        <v>36</v>
      </c>
      <c r="Q2633" s="4">
        <v>440548</v>
      </c>
      <c r="R2633" s="4">
        <v>338125</v>
      </c>
      <c r="S2633" s="4">
        <f>Table1[[#This Row],[Service_Revenue]]-Table1[[#This Row],[Service_Cost]]</f>
        <v>102423</v>
      </c>
      <c r="T2633" s="4">
        <v>5</v>
      </c>
      <c r="U2633" s="4">
        <f>IF(AND(Table1[[#This Row],[Rework_Flag]]="Yes",Table1[[#This Row],[Warranty_Claim]]="No"),Table1[[#This Row],[Service_Revenue]],0)</f>
        <v>0</v>
      </c>
      <c r="V2633" s="4">
        <f>IF(Table1[[#This Row],[Warranty_Claim]]="Yes",1,0)</f>
        <v>0</v>
      </c>
      <c r="W2633" s="4">
        <f>IF(Table1[[#This Row],[Rework_Flag]]="No",1,0)</f>
        <v>1</v>
      </c>
      <c r="X2633" s="4">
        <f>IF(Table1[[#This Row],[Rework_Flag]]="Yes",1,0)</f>
        <v>0</v>
      </c>
      <c r="Y2633" s="4">
        <v>1</v>
      </c>
      <c r="Z2633" s="4" t="str">
        <f>IF(Table1[[#This Row],[TAT_Days]]&gt;Table1[[#This Row],[SLA_TAT]],"Yes","No")</f>
        <v>No</v>
      </c>
      <c r="AA2633" s="4" t="str" cm="1">
        <f t="array" ref="AA2633">_xlfn.IFS(Table1[[#This Row],[Customer_Satisfaction]]&lt;=2,"Poor",Table1[[#This Row],[Customer_Satisfaction]]=3,"Neutral",Table1[[#This Row],[Customer_Satisfaction]]=4,"Good",Table1[[#This Row],[Customer_Satisfaction]]=5,"Good")</f>
        <v>Good</v>
      </c>
    </row>
    <row r="2634" spans="1:27" x14ac:dyDescent="0.35">
      <c r="A2634">
        <v>22632</v>
      </c>
      <c r="B2634" s="1">
        <v>45415</v>
      </c>
      <c r="C2634" t="s">
        <v>30</v>
      </c>
      <c r="D2634" t="s">
        <v>83</v>
      </c>
      <c r="E2634" t="s">
        <v>92</v>
      </c>
      <c r="F2634" t="s">
        <v>53</v>
      </c>
      <c r="G2634" t="s">
        <v>63</v>
      </c>
      <c r="H2634" t="s">
        <v>24</v>
      </c>
      <c r="I2634" t="s">
        <v>25</v>
      </c>
      <c r="J2634" t="s">
        <v>26</v>
      </c>
      <c r="K2634" t="s">
        <v>44</v>
      </c>
      <c r="L2634" t="s">
        <v>28</v>
      </c>
      <c r="M2634" s="4">
        <v>16</v>
      </c>
      <c r="N2634" s="4">
        <v>7</v>
      </c>
      <c r="O2634" t="s">
        <v>36</v>
      </c>
      <c r="P2634" t="s">
        <v>36</v>
      </c>
      <c r="Q2634" s="4">
        <v>550583</v>
      </c>
      <c r="R2634" s="4">
        <v>401023</v>
      </c>
      <c r="S2634" s="4">
        <f>Table1[[#This Row],[Service_Revenue]]-Table1[[#This Row],[Service_Cost]]</f>
        <v>149560</v>
      </c>
      <c r="T2634" s="4">
        <v>2</v>
      </c>
      <c r="U2634" s="4">
        <f>IF(AND(Table1[[#This Row],[Rework_Flag]]="Yes",Table1[[#This Row],[Warranty_Claim]]="No"),Table1[[#This Row],[Service_Revenue]],0)</f>
        <v>0</v>
      </c>
      <c r="V2634" s="4">
        <f>IF(Table1[[#This Row],[Warranty_Claim]]="Yes",1,0)</f>
        <v>0</v>
      </c>
      <c r="W2634" s="4">
        <f>IF(Table1[[#This Row],[Rework_Flag]]="No",1,0)</f>
        <v>1</v>
      </c>
      <c r="X2634" s="4">
        <f>IF(Table1[[#This Row],[Rework_Flag]]="Yes",1,0)</f>
        <v>0</v>
      </c>
      <c r="Y2634" s="4">
        <v>1</v>
      </c>
      <c r="Z2634" s="4" t="str">
        <f>IF(Table1[[#This Row],[TAT_Days]]&gt;Table1[[#This Row],[SLA_TAT]],"Yes","No")</f>
        <v>Yes</v>
      </c>
      <c r="AA2634" s="4" t="str" cm="1">
        <f t="array" ref="AA2634">_xlfn.IFS(Table1[[#This Row],[Customer_Satisfaction]]&lt;=2,"Poor",Table1[[#This Row],[Customer_Satisfaction]]=3,"Neutral",Table1[[#This Row],[Customer_Satisfaction]]=4,"Good",Table1[[#This Row],[Customer_Satisfaction]]=5,"Good")</f>
        <v>Poor</v>
      </c>
    </row>
    <row r="2635" spans="1:27" x14ac:dyDescent="0.35">
      <c r="A2635">
        <v>22633</v>
      </c>
      <c r="B2635" s="1">
        <v>45438</v>
      </c>
      <c r="C2635" t="s">
        <v>50</v>
      </c>
      <c r="D2635" t="s">
        <v>80</v>
      </c>
      <c r="E2635" t="s">
        <v>81</v>
      </c>
      <c r="F2635" t="s">
        <v>53</v>
      </c>
      <c r="G2635" t="s">
        <v>23</v>
      </c>
      <c r="H2635" t="s">
        <v>24</v>
      </c>
      <c r="I2635" t="s">
        <v>25</v>
      </c>
      <c r="J2635" t="s">
        <v>35</v>
      </c>
      <c r="K2635" t="s">
        <v>61</v>
      </c>
      <c r="L2635" t="s">
        <v>49</v>
      </c>
      <c r="M2635" s="4">
        <v>19</v>
      </c>
      <c r="N2635" s="4">
        <v>7</v>
      </c>
      <c r="O2635" t="s">
        <v>29</v>
      </c>
      <c r="P2635" t="s">
        <v>36</v>
      </c>
      <c r="Q2635" s="4">
        <v>418321</v>
      </c>
      <c r="R2635" s="4">
        <v>264604</v>
      </c>
      <c r="S2635" s="4">
        <f>Table1[[#This Row],[Service_Revenue]]-Table1[[#This Row],[Service_Cost]]</f>
        <v>153717</v>
      </c>
      <c r="T2635" s="4">
        <v>1</v>
      </c>
      <c r="U2635" s="4">
        <f>IF(AND(Table1[[#This Row],[Rework_Flag]]="Yes",Table1[[#This Row],[Warranty_Claim]]="No"),Table1[[#This Row],[Service_Revenue]],0)</f>
        <v>418321</v>
      </c>
      <c r="V2635" s="4">
        <f>IF(Table1[[#This Row],[Warranty_Claim]]="Yes",1,0)</f>
        <v>0</v>
      </c>
      <c r="W2635" s="4">
        <f>IF(Table1[[#This Row],[Rework_Flag]]="No",1,0)</f>
        <v>0</v>
      </c>
      <c r="X2635" s="4">
        <f>IF(Table1[[#This Row],[Rework_Flag]]="Yes",1,0)</f>
        <v>1</v>
      </c>
      <c r="Y2635" s="4">
        <v>1</v>
      </c>
      <c r="Z2635" s="4" t="str">
        <f>IF(Table1[[#This Row],[TAT_Days]]&gt;Table1[[#This Row],[SLA_TAT]],"Yes","No")</f>
        <v>Yes</v>
      </c>
      <c r="AA2635" s="4" t="str" cm="1">
        <f t="array" ref="AA2635">_xlfn.IFS(Table1[[#This Row],[Customer_Satisfaction]]&lt;=2,"Poor",Table1[[#This Row],[Customer_Satisfaction]]=3,"Neutral",Table1[[#This Row],[Customer_Satisfaction]]=4,"Good",Table1[[#This Row],[Customer_Satisfaction]]=5,"Good")</f>
        <v>Poor</v>
      </c>
    </row>
    <row r="2636" spans="1:27" x14ac:dyDescent="0.35">
      <c r="A2636">
        <v>22634</v>
      </c>
      <c r="B2636" s="1">
        <v>45436</v>
      </c>
      <c r="C2636" t="s">
        <v>19</v>
      </c>
      <c r="D2636" t="s">
        <v>45</v>
      </c>
      <c r="E2636" t="s">
        <v>46</v>
      </c>
      <c r="F2636" t="s">
        <v>53</v>
      </c>
      <c r="G2636" t="s">
        <v>41</v>
      </c>
      <c r="H2636" t="s">
        <v>42</v>
      </c>
      <c r="I2636" t="s">
        <v>55</v>
      </c>
      <c r="J2636" t="s">
        <v>26</v>
      </c>
      <c r="K2636" t="s">
        <v>44</v>
      </c>
      <c r="L2636" t="s">
        <v>49</v>
      </c>
      <c r="M2636" s="4">
        <v>13</v>
      </c>
      <c r="N2636" s="4">
        <v>7</v>
      </c>
      <c r="O2636" t="s">
        <v>29</v>
      </c>
      <c r="P2636" t="s">
        <v>36</v>
      </c>
      <c r="Q2636" s="4">
        <v>178367</v>
      </c>
      <c r="R2636" s="4">
        <v>134861</v>
      </c>
      <c r="S2636" s="4">
        <f>Table1[[#This Row],[Service_Revenue]]-Table1[[#This Row],[Service_Cost]]</f>
        <v>43506</v>
      </c>
      <c r="T2636" s="4">
        <v>2</v>
      </c>
      <c r="U2636" s="4">
        <f>IF(AND(Table1[[#This Row],[Rework_Flag]]="Yes",Table1[[#This Row],[Warranty_Claim]]="No"),Table1[[#This Row],[Service_Revenue]],0)</f>
        <v>178367</v>
      </c>
      <c r="V2636" s="4">
        <f>IF(Table1[[#This Row],[Warranty_Claim]]="Yes",1,0)</f>
        <v>0</v>
      </c>
      <c r="W2636" s="4">
        <f>IF(Table1[[#This Row],[Rework_Flag]]="No",1,0)</f>
        <v>0</v>
      </c>
      <c r="X2636" s="4">
        <f>IF(Table1[[#This Row],[Rework_Flag]]="Yes",1,0)</f>
        <v>1</v>
      </c>
      <c r="Y2636" s="4">
        <v>1</v>
      </c>
      <c r="Z2636" s="4" t="str">
        <f>IF(Table1[[#This Row],[TAT_Days]]&gt;Table1[[#This Row],[SLA_TAT]],"Yes","No")</f>
        <v>Yes</v>
      </c>
      <c r="AA2636" s="4" t="str" cm="1">
        <f t="array" ref="AA2636">_xlfn.IFS(Table1[[#This Row],[Customer_Satisfaction]]&lt;=2,"Poor",Table1[[#This Row],[Customer_Satisfaction]]=3,"Neutral",Table1[[#This Row],[Customer_Satisfaction]]=4,"Good",Table1[[#This Row],[Customer_Satisfaction]]=5,"Good")</f>
        <v>Poor</v>
      </c>
    </row>
    <row r="2637" spans="1:27" x14ac:dyDescent="0.35">
      <c r="A2637">
        <v>22635</v>
      </c>
      <c r="B2637" s="1">
        <v>45445</v>
      </c>
      <c r="C2637" t="s">
        <v>19</v>
      </c>
      <c r="D2637" t="s">
        <v>45</v>
      </c>
      <c r="E2637" t="s">
        <v>114</v>
      </c>
      <c r="F2637" t="s">
        <v>40</v>
      </c>
      <c r="G2637" t="s">
        <v>63</v>
      </c>
      <c r="H2637" t="s">
        <v>24</v>
      </c>
      <c r="I2637" t="s">
        <v>55</v>
      </c>
      <c r="J2637" t="s">
        <v>67</v>
      </c>
      <c r="K2637" t="s">
        <v>27</v>
      </c>
      <c r="L2637" t="s">
        <v>28</v>
      </c>
      <c r="M2637" s="4">
        <v>19</v>
      </c>
      <c r="N2637" s="4">
        <v>7</v>
      </c>
      <c r="O2637" t="s">
        <v>29</v>
      </c>
      <c r="P2637" t="s">
        <v>29</v>
      </c>
      <c r="Q2637" s="4">
        <v>177298</v>
      </c>
      <c r="R2637" s="4">
        <v>98445</v>
      </c>
      <c r="S2637" s="4">
        <f>Table1[[#This Row],[Service_Revenue]]-Table1[[#This Row],[Service_Cost]]</f>
        <v>78853</v>
      </c>
      <c r="T2637" s="4">
        <v>1</v>
      </c>
      <c r="U2637" s="4">
        <f>IF(AND(Table1[[#This Row],[Rework_Flag]]="Yes",Table1[[#This Row],[Warranty_Claim]]="No"),Table1[[#This Row],[Service_Revenue]],0)</f>
        <v>0</v>
      </c>
      <c r="V2637" s="4">
        <f>IF(Table1[[#This Row],[Warranty_Claim]]="Yes",1,0)</f>
        <v>1</v>
      </c>
      <c r="W2637" s="4">
        <f>IF(Table1[[#This Row],[Rework_Flag]]="No",1,0)</f>
        <v>0</v>
      </c>
      <c r="X2637" s="4">
        <f>IF(Table1[[#This Row],[Rework_Flag]]="Yes",1,0)</f>
        <v>1</v>
      </c>
      <c r="Y2637" s="4">
        <v>1</v>
      </c>
      <c r="Z2637" s="4" t="str">
        <f>IF(Table1[[#This Row],[TAT_Days]]&gt;Table1[[#This Row],[SLA_TAT]],"Yes","No")</f>
        <v>Yes</v>
      </c>
      <c r="AA2637" s="4" t="str" cm="1">
        <f t="array" ref="AA2637">_xlfn.IFS(Table1[[#This Row],[Customer_Satisfaction]]&lt;=2,"Poor",Table1[[#This Row],[Customer_Satisfaction]]=3,"Neutral",Table1[[#This Row],[Customer_Satisfaction]]=4,"Good",Table1[[#This Row],[Customer_Satisfaction]]=5,"Good")</f>
        <v>Poor</v>
      </c>
    </row>
    <row r="2638" spans="1:27" x14ac:dyDescent="0.35">
      <c r="A2638">
        <v>22636</v>
      </c>
      <c r="B2638" s="1">
        <v>45394</v>
      </c>
      <c r="C2638" t="s">
        <v>50</v>
      </c>
      <c r="D2638" t="s">
        <v>80</v>
      </c>
      <c r="E2638" t="s">
        <v>85</v>
      </c>
      <c r="F2638" t="s">
        <v>40</v>
      </c>
      <c r="G2638" t="s">
        <v>47</v>
      </c>
      <c r="H2638" t="s">
        <v>48</v>
      </c>
      <c r="I2638" t="s">
        <v>25</v>
      </c>
      <c r="J2638" t="s">
        <v>35</v>
      </c>
      <c r="K2638" t="s">
        <v>61</v>
      </c>
      <c r="L2638" t="s">
        <v>49</v>
      </c>
      <c r="M2638" s="4">
        <v>2</v>
      </c>
      <c r="N2638" s="4">
        <v>7</v>
      </c>
      <c r="O2638" t="s">
        <v>36</v>
      </c>
      <c r="P2638" t="s">
        <v>36</v>
      </c>
      <c r="Q2638" s="4">
        <v>111003</v>
      </c>
      <c r="R2638" s="4">
        <v>91804</v>
      </c>
      <c r="S2638" s="4">
        <f>Table1[[#This Row],[Service_Revenue]]-Table1[[#This Row],[Service_Cost]]</f>
        <v>19199</v>
      </c>
      <c r="T2638" s="4">
        <v>5</v>
      </c>
      <c r="U2638" s="4">
        <f>IF(AND(Table1[[#This Row],[Rework_Flag]]="Yes",Table1[[#This Row],[Warranty_Claim]]="No"),Table1[[#This Row],[Service_Revenue]],0)</f>
        <v>0</v>
      </c>
      <c r="V2638" s="4">
        <f>IF(Table1[[#This Row],[Warranty_Claim]]="Yes",1,0)</f>
        <v>0</v>
      </c>
      <c r="W2638" s="4">
        <f>IF(Table1[[#This Row],[Rework_Flag]]="No",1,0)</f>
        <v>1</v>
      </c>
      <c r="X2638" s="4">
        <f>IF(Table1[[#This Row],[Rework_Flag]]="Yes",1,0)</f>
        <v>0</v>
      </c>
      <c r="Y2638" s="4">
        <v>1</v>
      </c>
      <c r="Z2638" s="4" t="str">
        <f>IF(Table1[[#This Row],[TAT_Days]]&gt;Table1[[#This Row],[SLA_TAT]],"Yes","No")</f>
        <v>No</v>
      </c>
      <c r="AA2638" s="4" t="str" cm="1">
        <f t="array" ref="AA2638">_xlfn.IFS(Table1[[#This Row],[Customer_Satisfaction]]&lt;=2,"Poor",Table1[[#This Row],[Customer_Satisfaction]]=3,"Neutral",Table1[[#This Row],[Customer_Satisfaction]]=4,"Good",Table1[[#This Row],[Customer_Satisfaction]]=5,"Good")</f>
        <v>Good</v>
      </c>
    </row>
    <row r="2639" spans="1:27" x14ac:dyDescent="0.35">
      <c r="A2639">
        <v>22637</v>
      </c>
      <c r="B2639" s="1">
        <v>45429</v>
      </c>
      <c r="C2639" t="s">
        <v>30</v>
      </c>
      <c r="D2639" t="s">
        <v>83</v>
      </c>
      <c r="E2639" t="s">
        <v>92</v>
      </c>
      <c r="F2639" t="s">
        <v>40</v>
      </c>
      <c r="G2639" t="s">
        <v>54</v>
      </c>
      <c r="H2639" t="s">
        <v>42</v>
      </c>
      <c r="I2639" t="s">
        <v>55</v>
      </c>
      <c r="J2639" t="s">
        <v>35</v>
      </c>
      <c r="K2639" t="s">
        <v>61</v>
      </c>
      <c r="L2639" t="s">
        <v>28</v>
      </c>
      <c r="M2639" s="4">
        <v>10</v>
      </c>
      <c r="N2639" s="4">
        <v>7</v>
      </c>
      <c r="O2639" t="s">
        <v>36</v>
      </c>
      <c r="P2639" t="s">
        <v>36</v>
      </c>
      <c r="Q2639" s="4">
        <v>305542</v>
      </c>
      <c r="R2639" s="4">
        <v>252190</v>
      </c>
      <c r="S2639" s="4">
        <f>Table1[[#This Row],[Service_Revenue]]-Table1[[#This Row],[Service_Cost]]</f>
        <v>53352</v>
      </c>
      <c r="T2639" s="4">
        <v>3</v>
      </c>
      <c r="U2639" s="4">
        <f>IF(AND(Table1[[#This Row],[Rework_Flag]]="Yes",Table1[[#This Row],[Warranty_Claim]]="No"),Table1[[#This Row],[Service_Revenue]],0)</f>
        <v>0</v>
      </c>
      <c r="V2639" s="4">
        <f>IF(Table1[[#This Row],[Warranty_Claim]]="Yes",1,0)</f>
        <v>0</v>
      </c>
      <c r="W2639" s="4">
        <f>IF(Table1[[#This Row],[Rework_Flag]]="No",1,0)</f>
        <v>1</v>
      </c>
      <c r="X2639" s="4">
        <f>IF(Table1[[#This Row],[Rework_Flag]]="Yes",1,0)</f>
        <v>0</v>
      </c>
      <c r="Y2639" s="4">
        <v>1</v>
      </c>
      <c r="Z2639" s="4" t="str">
        <f>IF(Table1[[#This Row],[TAT_Days]]&gt;Table1[[#This Row],[SLA_TAT]],"Yes","No")</f>
        <v>Yes</v>
      </c>
      <c r="AA2639" s="4" t="str" cm="1">
        <f t="array" ref="AA2639">_xlfn.IFS(Table1[[#This Row],[Customer_Satisfaction]]&lt;=2,"Poor",Table1[[#This Row],[Customer_Satisfaction]]=3,"Neutral",Table1[[#This Row],[Customer_Satisfaction]]=4,"Good",Table1[[#This Row],[Customer_Satisfaction]]=5,"Good")</f>
        <v>Neutral</v>
      </c>
    </row>
    <row r="2640" spans="1:27" x14ac:dyDescent="0.35">
      <c r="A2640">
        <v>22638</v>
      </c>
      <c r="B2640" s="1">
        <v>45453</v>
      </c>
      <c r="C2640" t="s">
        <v>19</v>
      </c>
      <c r="D2640" t="s">
        <v>96</v>
      </c>
      <c r="E2640" t="s">
        <v>97</v>
      </c>
      <c r="F2640" t="s">
        <v>53</v>
      </c>
      <c r="G2640" t="s">
        <v>63</v>
      </c>
      <c r="H2640" t="s">
        <v>24</v>
      </c>
      <c r="I2640" t="s">
        <v>25</v>
      </c>
      <c r="J2640" t="s">
        <v>26</v>
      </c>
      <c r="K2640" t="s">
        <v>27</v>
      </c>
      <c r="L2640" t="s">
        <v>28</v>
      </c>
      <c r="M2640" s="4">
        <v>23</v>
      </c>
      <c r="N2640" s="4">
        <v>7</v>
      </c>
      <c r="O2640" t="s">
        <v>29</v>
      </c>
      <c r="P2640" t="s">
        <v>36</v>
      </c>
      <c r="Q2640" s="4">
        <v>474564</v>
      </c>
      <c r="R2640" s="4">
        <v>345185</v>
      </c>
      <c r="S2640" s="4">
        <f>Table1[[#This Row],[Service_Revenue]]-Table1[[#This Row],[Service_Cost]]</f>
        <v>129379</v>
      </c>
      <c r="T2640" s="4">
        <v>1</v>
      </c>
      <c r="U2640" s="4">
        <f>IF(AND(Table1[[#This Row],[Rework_Flag]]="Yes",Table1[[#This Row],[Warranty_Claim]]="No"),Table1[[#This Row],[Service_Revenue]],0)</f>
        <v>474564</v>
      </c>
      <c r="V2640" s="4">
        <f>IF(Table1[[#This Row],[Warranty_Claim]]="Yes",1,0)</f>
        <v>0</v>
      </c>
      <c r="W2640" s="4">
        <f>IF(Table1[[#This Row],[Rework_Flag]]="No",1,0)</f>
        <v>0</v>
      </c>
      <c r="X2640" s="4">
        <f>IF(Table1[[#This Row],[Rework_Flag]]="Yes",1,0)</f>
        <v>1</v>
      </c>
      <c r="Y2640" s="4">
        <v>1</v>
      </c>
      <c r="Z2640" s="4" t="str">
        <f>IF(Table1[[#This Row],[TAT_Days]]&gt;Table1[[#This Row],[SLA_TAT]],"Yes","No")</f>
        <v>Yes</v>
      </c>
      <c r="AA2640" s="4" t="str" cm="1">
        <f t="array" ref="AA2640">_xlfn.IFS(Table1[[#This Row],[Customer_Satisfaction]]&lt;=2,"Poor",Table1[[#This Row],[Customer_Satisfaction]]=3,"Neutral",Table1[[#This Row],[Customer_Satisfaction]]=4,"Good",Table1[[#This Row],[Customer_Satisfaction]]=5,"Good")</f>
        <v>Poor</v>
      </c>
    </row>
    <row r="2641" spans="1:27" x14ac:dyDescent="0.35">
      <c r="A2641">
        <v>22639</v>
      </c>
      <c r="B2641" s="1">
        <v>45384</v>
      </c>
      <c r="C2641" t="s">
        <v>37</v>
      </c>
      <c r="D2641" t="s">
        <v>38</v>
      </c>
      <c r="E2641" t="s">
        <v>102</v>
      </c>
      <c r="F2641" t="s">
        <v>53</v>
      </c>
      <c r="G2641" t="s">
        <v>23</v>
      </c>
      <c r="H2641" t="s">
        <v>24</v>
      </c>
      <c r="I2641" t="s">
        <v>25</v>
      </c>
      <c r="J2641" t="s">
        <v>26</v>
      </c>
      <c r="K2641" t="s">
        <v>44</v>
      </c>
      <c r="L2641" t="s">
        <v>28</v>
      </c>
      <c r="M2641" s="4">
        <v>6</v>
      </c>
      <c r="N2641" s="4">
        <v>7</v>
      </c>
      <c r="O2641" t="s">
        <v>29</v>
      </c>
      <c r="P2641" t="s">
        <v>36</v>
      </c>
      <c r="Q2641" s="4">
        <v>351311</v>
      </c>
      <c r="R2641" s="4">
        <v>183865</v>
      </c>
      <c r="S2641" s="4">
        <f>Table1[[#This Row],[Service_Revenue]]-Table1[[#This Row],[Service_Cost]]</f>
        <v>167446</v>
      </c>
      <c r="T2641" s="4">
        <v>3</v>
      </c>
      <c r="U2641" s="4">
        <f>IF(AND(Table1[[#This Row],[Rework_Flag]]="Yes",Table1[[#This Row],[Warranty_Claim]]="No"),Table1[[#This Row],[Service_Revenue]],0)</f>
        <v>351311</v>
      </c>
      <c r="V2641" s="4">
        <f>IF(Table1[[#This Row],[Warranty_Claim]]="Yes",1,0)</f>
        <v>0</v>
      </c>
      <c r="W2641" s="4">
        <f>IF(Table1[[#This Row],[Rework_Flag]]="No",1,0)</f>
        <v>0</v>
      </c>
      <c r="X2641" s="4">
        <f>IF(Table1[[#This Row],[Rework_Flag]]="Yes",1,0)</f>
        <v>1</v>
      </c>
      <c r="Y2641" s="4">
        <v>1</v>
      </c>
      <c r="Z2641" s="4" t="str">
        <f>IF(Table1[[#This Row],[TAT_Days]]&gt;Table1[[#This Row],[SLA_TAT]],"Yes","No")</f>
        <v>No</v>
      </c>
      <c r="AA2641" s="4" t="str" cm="1">
        <f t="array" ref="AA2641">_xlfn.IFS(Table1[[#This Row],[Customer_Satisfaction]]&lt;=2,"Poor",Table1[[#This Row],[Customer_Satisfaction]]=3,"Neutral",Table1[[#This Row],[Customer_Satisfaction]]=4,"Good",Table1[[#This Row],[Customer_Satisfaction]]=5,"Good")</f>
        <v>Neutral</v>
      </c>
    </row>
    <row r="2642" spans="1:27" x14ac:dyDescent="0.35">
      <c r="A2642">
        <v>22640</v>
      </c>
      <c r="B2642" s="1">
        <v>45348</v>
      </c>
      <c r="C2642" t="s">
        <v>19</v>
      </c>
      <c r="D2642" t="s">
        <v>45</v>
      </c>
      <c r="E2642" t="s">
        <v>76</v>
      </c>
      <c r="F2642" t="s">
        <v>22</v>
      </c>
      <c r="G2642" t="s">
        <v>63</v>
      </c>
      <c r="H2642" t="s">
        <v>24</v>
      </c>
      <c r="I2642" t="s">
        <v>25</v>
      </c>
      <c r="J2642" t="s">
        <v>58</v>
      </c>
      <c r="K2642" t="s">
        <v>27</v>
      </c>
      <c r="L2642" t="s">
        <v>28</v>
      </c>
      <c r="M2642" s="4">
        <v>7</v>
      </c>
      <c r="N2642" s="4">
        <v>7</v>
      </c>
      <c r="O2642" t="s">
        <v>29</v>
      </c>
      <c r="P2642" t="s">
        <v>36</v>
      </c>
      <c r="Q2642" s="4">
        <v>261936</v>
      </c>
      <c r="R2642" s="4">
        <v>197000</v>
      </c>
      <c r="S2642" s="4">
        <f>Table1[[#This Row],[Service_Revenue]]-Table1[[#This Row],[Service_Cost]]</f>
        <v>64936</v>
      </c>
      <c r="T2642" s="4">
        <v>3</v>
      </c>
      <c r="U2642" s="4">
        <f>IF(AND(Table1[[#This Row],[Rework_Flag]]="Yes",Table1[[#This Row],[Warranty_Claim]]="No"),Table1[[#This Row],[Service_Revenue]],0)</f>
        <v>261936</v>
      </c>
      <c r="V2642" s="4">
        <f>IF(Table1[[#This Row],[Warranty_Claim]]="Yes",1,0)</f>
        <v>0</v>
      </c>
      <c r="W2642" s="4">
        <f>IF(Table1[[#This Row],[Rework_Flag]]="No",1,0)</f>
        <v>0</v>
      </c>
      <c r="X2642" s="4">
        <f>IF(Table1[[#This Row],[Rework_Flag]]="Yes",1,0)</f>
        <v>1</v>
      </c>
      <c r="Y2642" s="4">
        <v>1</v>
      </c>
      <c r="Z2642" s="4" t="str">
        <f>IF(Table1[[#This Row],[TAT_Days]]&gt;Table1[[#This Row],[SLA_TAT]],"Yes","No")</f>
        <v>No</v>
      </c>
      <c r="AA2642" s="4" t="str" cm="1">
        <f t="array" ref="AA2642">_xlfn.IFS(Table1[[#This Row],[Customer_Satisfaction]]&lt;=2,"Poor",Table1[[#This Row],[Customer_Satisfaction]]=3,"Neutral",Table1[[#This Row],[Customer_Satisfaction]]=4,"Good",Table1[[#This Row],[Customer_Satisfaction]]=5,"Good")</f>
        <v>Neutral</v>
      </c>
    </row>
    <row r="2643" spans="1:27" x14ac:dyDescent="0.35">
      <c r="A2643">
        <v>22641</v>
      </c>
      <c r="B2643" s="1">
        <v>45318</v>
      </c>
      <c r="C2643" t="s">
        <v>30</v>
      </c>
      <c r="D2643" t="s">
        <v>31</v>
      </c>
      <c r="E2643" t="s">
        <v>79</v>
      </c>
      <c r="F2643" t="s">
        <v>22</v>
      </c>
      <c r="G2643" t="s">
        <v>63</v>
      </c>
      <c r="H2643" t="s">
        <v>24</v>
      </c>
      <c r="I2643" t="s">
        <v>25</v>
      </c>
      <c r="J2643" t="s">
        <v>35</v>
      </c>
      <c r="K2643" t="s">
        <v>61</v>
      </c>
      <c r="L2643" t="s">
        <v>49</v>
      </c>
      <c r="M2643" s="4">
        <v>2</v>
      </c>
      <c r="N2643" s="4">
        <v>7</v>
      </c>
      <c r="O2643" t="s">
        <v>29</v>
      </c>
      <c r="P2643" t="s">
        <v>36</v>
      </c>
      <c r="Q2643" s="4">
        <v>234512</v>
      </c>
      <c r="R2643" s="4">
        <v>148291</v>
      </c>
      <c r="S2643" s="4">
        <f>Table1[[#This Row],[Service_Revenue]]-Table1[[#This Row],[Service_Cost]]</f>
        <v>86221</v>
      </c>
      <c r="T2643" s="4">
        <v>4</v>
      </c>
      <c r="U2643" s="4">
        <f>IF(AND(Table1[[#This Row],[Rework_Flag]]="Yes",Table1[[#This Row],[Warranty_Claim]]="No"),Table1[[#This Row],[Service_Revenue]],0)</f>
        <v>234512</v>
      </c>
      <c r="V2643" s="4">
        <f>IF(Table1[[#This Row],[Warranty_Claim]]="Yes",1,0)</f>
        <v>0</v>
      </c>
      <c r="W2643" s="4">
        <f>IF(Table1[[#This Row],[Rework_Flag]]="No",1,0)</f>
        <v>0</v>
      </c>
      <c r="X2643" s="4">
        <f>IF(Table1[[#This Row],[Rework_Flag]]="Yes",1,0)</f>
        <v>1</v>
      </c>
      <c r="Y2643" s="4">
        <v>1</v>
      </c>
      <c r="Z2643" s="4" t="str">
        <f>IF(Table1[[#This Row],[TAT_Days]]&gt;Table1[[#This Row],[SLA_TAT]],"Yes","No")</f>
        <v>No</v>
      </c>
      <c r="AA2643" s="4" t="str" cm="1">
        <f t="array" ref="AA2643">_xlfn.IFS(Table1[[#This Row],[Customer_Satisfaction]]&lt;=2,"Poor",Table1[[#This Row],[Customer_Satisfaction]]=3,"Neutral",Table1[[#This Row],[Customer_Satisfaction]]=4,"Good",Table1[[#This Row],[Customer_Satisfaction]]=5,"Good")</f>
        <v>Good</v>
      </c>
    </row>
    <row r="2644" spans="1:27" x14ac:dyDescent="0.35">
      <c r="A2644">
        <v>22642</v>
      </c>
      <c r="B2644" s="1">
        <v>45341</v>
      </c>
      <c r="C2644" t="s">
        <v>19</v>
      </c>
      <c r="D2644" t="s">
        <v>96</v>
      </c>
      <c r="E2644" t="s">
        <v>98</v>
      </c>
      <c r="F2644" t="s">
        <v>53</v>
      </c>
      <c r="G2644" t="s">
        <v>74</v>
      </c>
      <c r="H2644" t="s">
        <v>34</v>
      </c>
      <c r="I2644" t="s">
        <v>25</v>
      </c>
      <c r="J2644" t="s">
        <v>35</v>
      </c>
      <c r="K2644" t="s">
        <v>44</v>
      </c>
      <c r="L2644" t="s">
        <v>28</v>
      </c>
      <c r="M2644" s="4">
        <v>13</v>
      </c>
      <c r="N2644" s="4">
        <v>7</v>
      </c>
      <c r="O2644" t="s">
        <v>36</v>
      </c>
      <c r="P2644" t="s">
        <v>36</v>
      </c>
      <c r="Q2644" s="4">
        <v>412375</v>
      </c>
      <c r="R2644" s="4">
        <v>287394</v>
      </c>
      <c r="S2644" s="4">
        <f>Table1[[#This Row],[Service_Revenue]]-Table1[[#This Row],[Service_Cost]]</f>
        <v>124981</v>
      </c>
      <c r="T2644" s="4">
        <v>3</v>
      </c>
      <c r="U2644" s="4">
        <f>IF(AND(Table1[[#This Row],[Rework_Flag]]="Yes",Table1[[#This Row],[Warranty_Claim]]="No"),Table1[[#This Row],[Service_Revenue]],0)</f>
        <v>0</v>
      </c>
      <c r="V2644" s="4">
        <f>IF(Table1[[#This Row],[Warranty_Claim]]="Yes",1,0)</f>
        <v>0</v>
      </c>
      <c r="W2644" s="4">
        <f>IF(Table1[[#This Row],[Rework_Flag]]="No",1,0)</f>
        <v>1</v>
      </c>
      <c r="X2644" s="4">
        <f>IF(Table1[[#This Row],[Rework_Flag]]="Yes",1,0)</f>
        <v>0</v>
      </c>
      <c r="Y2644" s="4">
        <v>1</v>
      </c>
      <c r="Z2644" s="4" t="str">
        <f>IF(Table1[[#This Row],[TAT_Days]]&gt;Table1[[#This Row],[SLA_TAT]],"Yes","No")</f>
        <v>Yes</v>
      </c>
      <c r="AA2644" s="4" t="str" cm="1">
        <f t="array" ref="AA2644">_xlfn.IFS(Table1[[#This Row],[Customer_Satisfaction]]&lt;=2,"Poor",Table1[[#This Row],[Customer_Satisfaction]]=3,"Neutral",Table1[[#This Row],[Customer_Satisfaction]]=4,"Good",Table1[[#This Row],[Customer_Satisfaction]]=5,"Good")</f>
        <v>Neutral</v>
      </c>
    </row>
    <row r="2645" spans="1:27" x14ac:dyDescent="0.35">
      <c r="A2645">
        <v>22643</v>
      </c>
      <c r="B2645" s="1">
        <v>45434</v>
      </c>
      <c r="C2645" t="s">
        <v>37</v>
      </c>
      <c r="D2645" t="s">
        <v>38</v>
      </c>
      <c r="E2645" t="s">
        <v>93</v>
      </c>
      <c r="F2645" t="s">
        <v>40</v>
      </c>
      <c r="G2645" t="s">
        <v>41</v>
      </c>
      <c r="H2645" t="s">
        <v>42</v>
      </c>
      <c r="I2645" t="s">
        <v>55</v>
      </c>
      <c r="J2645" t="s">
        <v>43</v>
      </c>
      <c r="K2645" t="s">
        <v>61</v>
      </c>
      <c r="L2645" t="s">
        <v>49</v>
      </c>
      <c r="M2645" s="4">
        <v>10</v>
      </c>
      <c r="N2645" s="4">
        <v>7</v>
      </c>
      <c r="O2645" t="s">
        <v>36</v>
      </c>
      <c r="P2645" t="s">
        <v>29</v>
      </c>
      <c r="Q2645" s="4">
        <v>587784</v>
      </c>
      <c r="R2645" s="4">
        <v>319067</v>
      </c>
      <c r="S2645" s="4">
        <f>Table1[[#This Row],[Service_Revenue]]-Table1[[#This Row],[Service_Cost]]</f>
        <v>268717</v>
      </c>
      <c r="T2645" s="4">
        <v>3</v>
      </c>
      <c r="U2645" s="4">
        <f>IF(AND(Table1[[#This Row],[Rework_Flag]]="Yes",Table1[[#This Row],[Warranty_Claim]]="No"),Table1[[#This Row],[Service_Revenue]],0)</f>
        <v>0</v>
      </c>
      <c r="V2645" s="4">
        <f>IF(Table1[[#This Row],[Warranty_Claim]]="Yes",1,0)</f>
        <v>1</v>
      </c>
      <c r="W2645" s="4">
        <f>IF(Table1[[#This Row],[Rework_Flag]]="No",1,0)</f>
        <v>1</v>
      </c>
      <c r="X2645" s="4">
        <f>IF(Table1[[#This Row],[Rework_Flag]]="Yes",1,0)</f>
        <v>0</v>
      </c>
      <c r="Y2645" s="4">
        <v>1</v>
      </c>
      <c r="Z2645" s="4" t="str">
        <f>IF(Table1[[#This Row],[TAT_Days]]&gt;Table1[[#This Row],[SLA_TAT]],"Yes","No")</f>
        <v>Yes</v>
      </c>
      <c r="AA2645" s="4" t="str" cm="1">
        <f t="array" ref="AA2645">_xlfn.IFS(Table1[[#This Row],[Customer_Satisfaction]]&lt;=2,"Poor",Table1[[#This Row],[Customer_Satisfaction]]=3,"Neutral",Table1[[#This Row],[Customer_Satisfaction]]=4,"Good",Table1[[#This Row],[Customer_Satisfaction]]=5,"Good")</f>
        <v>Neutral</v>
      </c>
    </row>
    <row r="2646" spans="1:27" x14ac:dyDescent="0.35">
      <c r="A2646">
        <v>22644</v>
      </c>
      <c r="B2646" s="1">
        <v>45414</v>
      </c>
      <c r="C2646" t="s">
        <v>19</v>
      </c>
      <c r="D2646" t="s">
        <v>20</v>
      </c>
      <c r="E2646" t="s">
        <v>89</v>
      </c>
      <c r="F2646" t="s">
        <v>22</v>
      </c>
      <c r="G2646" t="s">
        <v>23</v>
      </c>
      <c r="H2646" t="s">
        <v>24</v>
      </c>
      <c r="I2646" t="s">
        <v>55</v>
      </c>
      <c r="J2646" t="s">
        <v>67</v>
      </c>
      <c r="K2646" t="s">
        <v>27</v>
      </c>
      <c r="L2646" t="s">
        <v>28</v>
      </c>
      <c r="M2646" s="4">
        <v>2</v>
      </c>
      <c r="N2646" s="4">
        <v>7</v>
      </c>
      <c r="O2646" t="s">
        <v>36</v>
      </c>
      <c r="P2646" t="s">
        <v>29</v>
      </c>
      <c r="Q2646" s="4">
        <v>245309</v>
      </c>
      <c r="R2646" s="4">
        <v>195795</v>
      </c>
      <c r="S2646" s="4">
        <f>Table1[[#This Row],[Service_Revenue]]-Table1[[#This Row],[Service_Cost]]</f>
        <v>49514</v>
      </c>
      <c r="T2646" s="4">
        <v>5</v>
      </c>
      <c r="U2646" s="4">
        <f>IF(AND(Table1[[#This Row],[Rework_Flag]]="Yes",Table1[[#This Row],[Warranty_Claim]]="No"),Table1[[#This Row],[Service_Revenue]],0)</f>
        <v>0</v>
      </c>
      <c r="V2646" s="4">
        <f>IF(Table1[[#This Row],[Warranty_Claim]]="Yes",1,0)</f>
        <v>1</v>
      </c>
      <c r="W2646" s="4">
        <f>IF(Table1[[#This Row],[Rework_Flag]]="No",1,0)</f>
        <v>1</v>
      </c>
      <c r="X2646" s="4">
        <f>IF(Table1[[#This Row],[Rework_Flag]]="Yes",1,0)</f>
        <v>0</v>
      </c>
      <c r="Y2646" s="4">
        <v>1</v>
      </c>
      <c r="Z2646" s="4" t="str">
        <f>IF(Table1[[#This Row],[TAT_Days]]&gt;Table1[[#This Row],[SLA_TAT]],"Yes","No")</f>
        <v>No</v>
      </c>
      <c r="AA2646" s="4" t="str" cm="1">
        <f t="array" ref="AA2646">_xlfn.IFS(Table1[[#This Row],[Customer_Satisfaction]]&lt;=2,"Poor",Table1[[#This Row],[Customer_Satisfaction]]=3,"Neutral",Table1[[#This Row],[Customer_Satisfaction]]=4,"Good",Table1[[#This Row],[Customer_Satisfaction]]=5,"Good")</f>
        <v>Good</v>
      </c>
    </row>
    <row r="2647" spans="1:27" x14ac:dyDescent="0.35">
      <c r="A2647">
        <v>22645</v>
      </c>
      <c r="B2647" s="1">
        <v>45470</v>
      </c>
      <c r="C2647" t="s">
        <v>50</v>
      </c>
      <c r="D2647" t="s">
        <v>51</v>
      </c>
      <c r="E2647" t="s">
        <v>120</v>
      </c>
      <c r="F2647" t="s">
        <v>22</v>
      </c>
      <c r="G2647" t="s">
        <v>23</v>
      </c>
      <c r="H2647" t="s">
        <v>24</v>
      </c>
      <c r="I2647" t="s">
        <v>55</v>
      </c>
      <c r="J2647" t="s">
        <v>35</v>
      </c>
      <c r="K2647" t="s">
        <v>44</v>
      </c>
      <c r="L2647" t="s">
        <v>28</v>
      </c>
      <c r="M2647" s="4">
        <v>20</v>
      </c>
      <c r="N2647" s="4">
        <v>7</v>
      </c>
      <c r="O2647" t="s">
        <v>36</v>
      </c>
      <c r="P2647" t="s">
        <v>36</v>
      </c>
      <c r="Q2647" s="4">
        <v>438835</v>
      </c>
      <c r="R2647" s="4">
        <v>274373</v>
      </c>
      <c r="S2647" s="4">
        <f>Table1[[#This Row],[Service_Revenue]]-Table1[[#This Row],[Service_Cost]]</f>
        <v>164462</v>
      </c>
      <c r="T2647" s="4">
        <v>1</v>
      </c>
      <c r="U2647" s="4">
        <f>IF(AND(Table1[[#This Row],[Rework_Flag]]="Yes",Table1[[#This Row],[Warranty_Claim]]="No"),Table1[[#This Row],[Service_Revenue]],0)</f>
        <v>0</v>
      </c>
      <c r="V2647" s="4">
        <f>IF(Table1[[#This Row],[Warranty_Claim]]="Yes",1,0)</f>
        <v>0</v>
      </c>
      <c r="W2647" s="4">
        <f>IF(Table1[[#This Row],[Rework_Flag]]="No",1,0)</f>
        <v>1</v>
      </c>
      <c r="X2647" s="4">
        <f>IF(Table1[[#This Row],[Rework_Flag]]="Yes",1,0)</f>
        <v>0</v>
      </c>
      <c r="Y2647" s="4">
        <v>1</v>
      </c>
      <c r="Z2647" s="4" t="str">
        <f>IF(Table1[[#This Row],[TAT_Days]]&gt;Table1[[#This Row],[SLA_TAT]],"Yes","No")</f>
        <v>Yes</v>
      </c>
      <c r="AA2647" s="4" t="str" cm="1">
        <f t="array" ref="AA2647">_xlfn.IFS(Table1[[#This Row],[Customer_Satisfaction]]&lt;=2,"Poor",Table1[[#This Row],[Customer_Satisfaction]]=3,"Neutral",Table1[[#This Row],[Customer_Satisfaction]]=4,"Good",Table1[[#This Row],[Customer_Satisfaction]]=5,"Good")</f>
        <v>Poor</v>
      </c>
    </row>
    <row r="2648" spans="1:27" x14ac:dyDescent="0.35">
      <c r="A2648">
        <v>22646</v>
      </c>
      <c r="B2648" s="1">
        <v>45317</v>
      </c>
      <c r="C2648" t="s">
        <v>37</v>
      </c>
      <c r="D2648" t="s">
        <v>38</v>
      </c>
      <c r="E2648" t="s">
        <v>39</v>
      </c>
      <c r="F2648" t="s">
        <v>53</v>
      </c>
      <c r="G2648" t="s">
        <v>47</v>
      </c>
      <c r="H2648" t="s">
        <v>48</v>
      </c>
      <c r="I2648" t="s">
        <v>25</v>
      </c>
      <c r="J2648" t="s">
        <v>58</v>
      </c>
      <c r="K2648" t="s">
        <v>27</v>
      </c>
      <c r="L2648" t="s">
        <v>49</v>
      </c>
      <c r="M2648" s="4">
        <v>19</v>
      </c>
      <c r="N2648" s="4">
        <v>7</v>
      </c>
      <c r="O2648" t="s">
        <v>29</v>
      </c>
      <c r="P2648" t="s">
        <v>36</v>
      </c>
      <c r="Q2648" s="4">
        <v>193883</v>
      </c>
      <c r="R2648" s="4">
        <v>136642</v>
      </c>
      <c r="S2648" s="4">
        <f>Table1[[#This Row],[Service_Revenue]]-Table1[[#This Row],[Service_Cost]]</f>
        <v>57241</v>
      </c>
      <c r="T2648" s="4">
        <v>1</v>
      </c>
      <c r="U2648" s="4">
        <f>IF(AND(Table1[[#This Row],[Rework_Flag]]="Yes",Table1[[#This Row],[Warranty_Claim]]="No"),Table1[[#This Row],[Service_Revenue]],0)</f>
        <v>193883</v>
      </c>
      <c r="V2648" s="4">
        <f>IF(Table1[[#This Row],[Warranty_Claim]]="Yes",1,0)</f>
        <v>0</v>
      </c>
      <c r="W2648" s="4">
        <f>IF(Table1[[#This Row],[Rework_Flag]]="No",1,0)</f>
        <v>0</v>
      </c>
      <c r="X2648" s="4">
        <f>IF(Table1[[#This Row],[Rework_Flag]]="Yes",1,0)</f>
        <v>1</v>
      </c>
      <c r="Y2648" s="4">
        <v>1</v>
      </c>
      <c r="Z2648" s="4" t="str">
        <f>IF(Table1[[#This Row],[TAT_Days]]&gt;Table1[[#This Row],[SLA_TAT]],"Yes","No")</f>
        <v>Yes</v>
      </c>
      <c r="AA2648" s="4" t="str" cm="1">
        <f t="array" ref="AA2648">_xlfn.IFS(Table1[[#This Row],[Customer_Satisfaction]]&lt;=2,"Poor",Table1[[#This Row],[Customer_Satisfaction]]=3,"Neutral",Table1[[#This Row],[Customer_Satisfaction]]=4,"Good",Table1[[#This Row],[Customer_Satisfaction]]=5,"Good")</f>
        <v>Poor</v>
      </c>
    </row>
    <row r="2649" spans="1:27" x14ac:dyDescent="0.35">
      <c r="A2649">
        <v>22647</v>
      </c>
      <c r="B2649" s="1">
        <v>45437</v>
      </c>
      <c r="C2649" t="s">
        <v>30</v>
      </c>
      <c r="D2649" t="s">
        <v>83</v>
      </c>
      <c r="E2649" t="s">
        <v>90</v>
      </c>
      <c r="F2649" t="s">
        <v>22</v>
      </c>
      <c r="G2649" t="s">
        <v>47</v>
      </c>
      <c r="H2649" t="s">
        <v>48</v>
      </c>
      <c r="I2649" t="s">
        <v>25</v>
      </c>
      <c r="J2649" t="s">
        <v>43</v>
      </c>
      <c r="K2649" t="s">
        <v>44</v>
      </c>
      <c r="L2649" t="s">
        <v>28</v>
      </c>
      <c r="M2649" s="4">
        <v>3</v>
      </c>
      <c r="N2649" s="4">
        <v>7</v>
      </c>
      <c r="O2649" t="s">
        <v>36</v>
      </c>
      <c r="P2649" t="s">
        <v>29</v>
      </c>
      <c r="Q2649" s="4">
        <v>561068</v>
      </c>
      <c r="R2649" s="4">
        <v>474866</v>
      </c>
      <c r="S2649" s="4">
        <f>Table1[[#This Row],[Service_Revenue]]-Table1[[#This Row],[Service_Cost]]</f>
        <v>86202</v>
      </c>
      <c r="T2649" s="4">
        <v>5</v>
      </c>
      <c r="U2649" s="4">
        <f>IF(AND(Table1[[#This Row],[Rework_Flag]]="Yes",Table1[[#This Row],[Warranty_Claim]]="No"),Table1[[#This Row],[Service_Revenue]],0)</f>
        <v>0</v>
      </c>
      <c r="V2649" s="4">
        <f>IF(Table1[[#This Row],[Warranty_Claim]]="Yes",1,0)</f>
        <v>1</v>
      </c>
      <c r="W2649" s="4">
        <f>IF(Table1[[#This Row],[Rework_Flag]]="No",1,0)</f>
        <v>1</v>
      </c>
      <c r="X2649" s="4">
        <f>IF(Table1[[#This Row],[Rework_Flag]]="Yes",1,0)</f>
        <v>0</v>
      </c>
      <c r="Y2649" s="4">
        <v>1</v>
      </c>
      <c r="Z2649" s="4" t="str">
        <f>IF(Table1[[#This Row],[TAT_Days]]&gt;Table1[[#This Row],[SLA_TAT]],"Yes","No")</f>
        <v>No</v>
      </c>
      <c r="AA2649" s="4" t="str" cm="1">
        <f t="array" ref="AA2649">_xlfn.IFS(Table1[[#This Row],[Customer_Satisfaction]]&lt;=2,"Poor",Table1[[#This Row],[Customer_Satisfaction]]=3,"Neutral",Table1[[#This Row],[Customer_Satisfaction]]=4,"Good",Table1[[#This Row],[Customer_Satisfaction]]=5,"Good")</f>
        <v>Good</v>
      </c>
    </row>
    <row r="2650" spans="1:27" x14ac:dyDescent="0.35">
      <c r="A2650">
        <v>22648</v>
      </c>
      <c r="B2650" s="1">
        <v>45360</v>
      </c>
      <c r="C2650" t="s">
        <v>50</v>
      </c>
      <c r="D2650" t="s">
        <v>80</v>
      </c>
      <c r="E2650" t="s">
        <v>118</v>
      </c>
      <c r="F2650" t="s">
        <v>22</v>
      </c>
      <c r="G2650" t="s">
        <v>23</v>
      </c>
      <c r="H2650" t="s">
        <v>24</v>
      </c>
      <c r="I2650" t="s">
        <v>55</v>
      </c>
      <c r="J2650" t="s">
        <v>35</v>
      </c>
      <c r="K2650" t="s">
        <v>61</v>
      </c>
      <c r="L2650" t="s">
        <v>49</v>
      </c>
      <c r="M2650" s="4">
        <v>20</v>
      </c>
      <c r="N2650" s="4">
        <v>7</v>
      </c>
      <c r="O2650" t="s">
        <v>36</v>
      </c>
      <c r="P2650" t="s">
        <v>29</v>
      </c>
      <c r="Q2650" s="4">
        <v>398912</v>
      </c>
      <c r="R2650" s="4">
        <v>215202</v>
      </c>
      <c r="S2650" s="4">
        <f>Table1[[#This Row],[Service_Revenue]]-Table1[[#This Row],[Service_Cost]]</f>
        <v>183710</v>
      </c>
      <c r="T2650" s="4">
        <v>1</v>
      </c>
      <c r="U2650" s="4">
        <f>IF(AND(Table1[[#This Row],[Rework_Flag]]="Yes",Table1[[#This Row],[Warranty_Claim]]="No"),Table1[[#This Row],[Service_Revenue]],0)</f>
        <v>0</v>
      </c>
      <c r="V2650" s="4">
        <f>IF(Table1[[#This Row],[Warranty_Claim]]="Yes",1,0)</f>
        <v>1</v>
      </c>
      <c r="W2650" s="4">
        <f>IF(Table1[[#This Row],[Rework_Flag]]="No",1,0)</f>
        <v>1</v>
      </c>
      <c r="X2650" s="4">
        <f>IF(Table1[[#This Row],[Rework_Flag]]="Yes",1,0)</f>
        <v>0</v>
      </c>
      <c r="Y2650" s="4">
        <v>1</v>
      </c>
      <c r="Z2650" s="4" t="str">
        <f>IF(Table1[[#This Row],[TAT_Days]]&gt;Table1[[#This Row],[SLA_TAT]],"Yes","No")</f>
        <v>Yes</v>
      </c>
      <c r="AA2650" s="4" t="str" cm="1">
        <f t="array" ref="AA2650">_xlfn.IFS(Table1[[#This Row],[Customer_Satisfaction]]&lt;=2,"Poor",Table1[[#This Row],[Customer_Satisfaction]]=3,"Neutral",Table1[[#This Row],[Customer_Satisfaction]]=4,"Good",Table1[[#This Row],[Customer_Satisfaction]]=5,"Good")</f>
        <v>Poor</v>
      </c>
    </row>
    <row r="2651" spans="1:27" x14ac:dyDescent="0.35">
      <c r="A2651">
        <v>22649</v>
      </c>
      <c r="B2651" s="1">
        <v>45406</v>
      </c>
      <c r="C2651" t="s">
        <v>37</v>
      </c>
      <c r="D2651" t="s">
        <v>64</v>
      </c>
      <c r="E2651" t="s">
        <v>87</v>
      </c>
      <c r="F2651" t="s">
        <v>22</v>
      </c>
      <c r="G2651" t="s">
        <v>54</v>
      </c>
      <c r="H2651" t="s">
        <v>42</v>
      </c>
      <c r="I2651" t="s">
        <v>25</v>
      </c>
      <c r="J2651" t="s">
        <v>58</v>
      </c>
      <c r="K2651" t="s">
        <v>61</v>
      </c>
      <c r="L2651" t="s">
        <v>28</v>
      </c>
      <c r="M2651" s="4">
        <v>4</v>
      </c>
      <c r="N2651" s="4">
        <v>7</v>
      </c>
      <c r="O2651" t="s">
        <v>29</v>
      </c>
      <c r="P2651" t="s">
        <v>36</v>
      </c>
      <c r="Q2651" s="4">
        <v>297060</v>
      </c>
      <c r="R2651" s="4">
        <v>193784</v>
      </c>
      <c r="S2651" s="4">
        <f>Table1[[#This Row],[Service_Revenue]]-Table1[[#This Row],[Service_Cost]]</f>
        <v>103276</v>
      </c>
      <c r="T2651" s="4">
        <v>4</v>
      </c>
      <c r="U2651" s="4">
        <f>IF(AND(Table1[[#This Row],[Rework_Flag]]="Yes",Table1[[#This Row],[Warranty_Claim]]="No"),Table1[[#This Row],[Service_Revenue]],0)</f>
        <v>297060</v>
      </c>
      <c r="V2651" s="4">
        <f>IF(Table1[[#This Row],[Warranty_Claim]]="Yes",1,0)</f>
        <v>0</v>
      </c>
      <c r="W2651" s="4">
        <f>IF(Table1[[#This Row],[Rework_Flag]]="No",1,0)</f>
        <v>0</v>
      </c>
      <c r="X2651" s="4">
        <f>IF(Table1[[#This Row],[Rework_Flag]]="Yes",1,0)</f>
        <v>1</v>
      </c>
      <c r="Y2651" s="4">
        <v>1</v>
      </c>
      <c r="Z2651" s="4" t="str">
        <f>IF(Table1[[#This Row],[TAT_Days]]&gt;Table1[[#This Row],[SLA_TAT]],"Yes","No")</f>
        <v>No</v>
      </c>
      <c r="AA2651" s="4" t="str" cm="1">
        <f t="array" ref="AA2651">_xlfn.IFS(Table1[[#This Row],[Customer_Satisfaction]]&lt;=2,"Poor",Table1[[#This Row],[Customer_Satisfaction]]=3,"Neutral",Table1[[#This Row],[Customer_Satisfaction]]=4,"Good",Table1[[#This Row],[Customer_Satisfaction]]=5,"Good")</f>
        <v>Good</v>
      </c>
    </row>
    <row r="2652" spans="1:27" x14ac:dyDescent="0.35">
      <c r="A2652">
        <v>22650</v>
      </c>
      <c r="B2652" s="1">
        <v>45294</v>
      </c>
      <c r="C2652" t="s">
        <v>19</v>
      </c>
      <c r="D2652" t="s">
        <v>20</v>
      </c>
      <c r="E2652" t="s">
        <v>110</v>
      </c>
      <c r="F2652" t="s">
        <v>53</v>
      </c>
      <c r="G2652" t="s">
        <v>63</v>
      </c>
      <c r="H2652" t="s">
        <v>24</v>
      </c>
      <c r="I2652" t="s">
        <v>55</v>
      </c>
      <c r="J2652" t="s">
        <v>43</v>
      </c>
      <c r="K2652" t="s">
        <v>44</v>
      </c>
      <c r="L2652" t="s">
        <v>28</v>
      </c>
      <c r="M2652" s="4">
        <v>9</v>
      </c>
      <c r="N2652" s="4">
        <v>7</v>
      </c>
      <c r="O2652" t="s">
        <v>29</v>
      </c>
      <c r="P2652" t="s">
        <v>36</v>
      </c>
      <c r="Q2652" s="4">
        <v>361418</v>
      </c>
      <c r="R2652" s="4">
        <v>286543</v>
      </c>
      <c r="S2652" s="4">
        <f>Table1[[#This Row],[Service_Revenue]]-Table1[[#This Row],[Service_Cost]]</f>
        <v>74875</v>
      </c>
      <c r="T2652" s="4">
        <v>3</v>
      </c>
      <c r="U2652" s="4">
        <f>IF(AND(Table1[[#This Row],[Rework_Flag]]="Yes",Table1[[#This Row],[Warranty_Claim]]="No"),Table1[[#This Row],[Service_Revenue]],0)</f>
        <v>361418</v>
      </c>
      <c r="V2652" s="4">
        <f>IF(Table1[[#This Row],[Warranty_Claim]]="Yes",1,0)</f>
        <v>0</v>
      </c>
      <c r="W2652" s="4">
        <f>IF(Table1[[#This Row],[Rework_Flag]]="No",1,0)</f>
        <v>0</v>
      </c>
      <c r="X2652" s="4">
        <f>IF(Table1[[#This Row],[Rework_Flag]]="Yes",1,0)</f>
        <v>1</v>
      </c>
      <c r="Y2652" s="4">
        <v>1</v>
      </c>
      <c r="Z2652" s="4" t="str">
        <f>IF(Table1[[#This Row],[TAT_Days]]&gt;Table1[[#This Row],[SLA_TAT]],"Yes","No")</f>
        <v>Yes</v>
      </c>
      <c r="AA2652" s="4" t="str" cm="1">
        <f t="array" ref="AA2652">_xlfn.IFS(Table1[[#This Row],[Customer_Satisfaction]]&lt;=2,"Poor",Table1[[#This Row],[Customer_Satisfaction]]=3,"Neutral",Table1[[#This Row],[Customer_Satisfaction]]=4,"Good",Table1[[#This Row],[Customer_Satisfaction]]=5,"Good")</f>
        <v>Neutral</v>
      </c>
    </row>
    <row r="2653" spans="1:27" x14ac:dyDescent="0.35">
      <c r="A2653">
        <v>22651</v>
      </c>
      <c r="B2653" s="1">
        <v>45451</v>
      </c>
      <c r="C2653" t="s">
        <v>37</v>
      </c>
      <c r="D2653" t="s">
        <v>64</v>
      </c>
      <c r="E2653" t="s">
        <v>65</v>
      </c>
      <c r="F2653" t="s">
        <v>53</v>
      </c>
      <c r="G2653" t="s">
        <v>63</v>
      </c>
      <c r="H2653" t="s">
        <v>24</v>
      </c>
      <c r="I2653" t="s">
        <v>25</v>
      </c>
      <c r="J2653" t="s">
        <v>26</v>
      </c>
      <c r="K2653" t="s">
        <v>27</v>
      </c>
      <c r="L2653" t="s">
        <v>28</v>
      </c>
      <c r="M2653" s="4">
        <v>6</v>
      </c>
      <c r="N2653" s="4">
        <v>7</v>
      </c>
      <c r="O2653" t="s">
        <v>36</v>
      </c>
      <c r="P2653" t="s">
        <v>29</v>
      </c>
      <c r="Q2653" s="4">
        <v>288011</v>
      </c>
      <c r="R2653" s="4">
        <v>197481</v>
      </c>
      <c r="S2653" s="4">
        <f>Table1[[#This Row],[Service_Revenue]]-Table1[[#This Row],[Service_Cost]]</f>
        <v>90530</v>
      </c>
      <c r="T2653" s="4">
        <v>4</v>
      </c>
      <c r="U2653" s="4">
        <f>IF(AND(Table1[[#This Row],[Rework_Flag]]="Yes",Table1[[#This Row],[Warranty_Claim]]="No"),Table1[[#This Row],[Service_Revenue]],0)</f>
        <v>0</v>
      </c>
      <c r="V2653" s="4">
        <f>IF(Table1[[#This Row],[Warranty_Claim]]="Yes",1,0)</f>
        <v>1</v>
      </c>
      <c r="W2653" s="4">
        <f>IF(Table1[[#This Row],[Rework_Flag]]="No",1,0)</f>
        <v>1</v>
      </c>
      <c r="X2653" s="4">
        <f>IF(Table1[[#This Row],[Rework_Flag]]="Yes",1,0)</f>
        <v>0</v>
      </c>
      <c r="Y2653" s="4">
        <v>1</v>
      </c>
      <c r="Z2653" s="4" t="str">
        <f>IF(Table1[[#This Row],[TAT_Days]]&gt;Table1[[#This Row],[SLA_TAT]],"Yes","No")</f>
        <v>No</v>
      </c>
      <c r="AA2653" s="4" t="str" cm="1">
        <f t="array" ref="AA2653">_xlfn.IFS(Table1[[#This Row],[Customer_Satisfaction]]&lt;=2,"Poor",Table1[[#This Row],[Customer_Satisfaction]]=3,"Neutral",Table1[[#This Row],[Customer_Satisfaction]]=4,"Good",Table1[[#This Row],[Customer_Satisfaction]]=5,"Good")</f>
        <v>Good</v>
      </c>
    </row>
    <row r="2654" spans="1:27" x14ac:dyDescent="0.35">
      <c r="A2654">
        <v>22652</v>
      </c>
      <c r="B2654" s="1">
        <v>45381</v>
      </c>
      <c r="C2654" t="s">
        <v>30</v>
      </c>
      <c r="D2654" t="s">
        <v>31</v>
      </c>
      <c r="E2654" t="s">
        <v>106</v>
      </c>
      <c r="F2654" t="s">
        <v>53</v>
      </c>
      <c r="G2654" t="s">
        <v>41</v>
      </c>
      <c r="H2654" t="s">
        <v>42</v>
      </c>
      <c r="I2654" t="s">
        <v>55</v>
      </c>
      <c r="J2654" t="s">
        <v>67</v>
      </c>
      <c r="K2654" t="s">
        <v>61</v>
      </c>
      <c r="L2654" t="s">
        <v>28</v>
      </c>
      <c r="M2654" s="4">
        <v>25</v>
      </c>
      <c r="N2654" s="4">
        <v>7</v>
      </c>
      <c r="O2654" t="s">
        <v>36</v>
      </c>
      <c r="P2654" t="s">
        <v>29</v>
      </c>
      <c r="Q2654" s="4">
        <v>560565</v>
      </c>
      <c r="R2654" s="4">
        <v>465038</v>
      </c>
      <c r="S2654" s="4">
        <f>Table1[[#This Row],[Service_Revenue]]-Table1[[#This Row],[Service_Cost]]</f>
        <v>95527</v>
      </c>
      <c r="T2654" s="4">
        <v>1</v>
      </c>
      <c r="U2654" s="4">
        <f>IF(AND(Table1[[#This Row],[Rework_Flag]]="Yes",Table1[[#This Row],[Warranty_Claim]]="No"),Table1[[#This Row],[Service_Revenue]],0)</f>
        <v>0</v>
      </c>
      <c r="V2654" s="4">
        <f>IF(Table1[[#This Row],[Warranty_Claim]]="Yes",1,0)</f>
        <v>1</v>
      </c>
      <c r="W2654" s="4">
        <f>IF(Table1[[#This Row],[Rework_Flag]]="No",1,0)</f>
        <v>1</v>
      </c>
      <c r="X2654" s="4">
        <f>IF(Table1[[#This Row],[Rework_Flag]]="Yes",1,0)</f>
        <v>0</v>
      </c>
      <c r="Y2654" s="4">
        <v>1</v>
      </c>
      <c r="Z2654" s="4" t="str">
        <f>IF(Table1[[#This Row],[TAT_Days]]&gt;Table1[[#This Row],[SLA_TAT]],"Yes","No")</f>
        <v>Yes</v>
      </c>
      <c r="AA2654" s="4" t="str" cm="1">
        <f t="array" ref="AA2654">_xlfn.IFS(Table1[[#This Row],[Customer_Satisfaction]]&lt;=2,"Poor",Table1[[#This Row],[Customer_Satisfaction]]=3,"Neutral",Table1[[#This Row],[Customer_Satisfaction]]=4,"Good",Table1[[#This Row],[Customer_Satisfaction]]=5,"Good")</f>
        <v>Poor</v>
      </c>
    </row>
    <row r="2655" spans="1:27" x14ac:dyDescent="0.35">
      <c r="A2655">
        <v>22653</v>
      </c>
      <c r="B2655" s="1">
        <v>45306</v>
      </c>
      <c r="C2655" t="s">
        <v>30</v>
      </c>
      <c r="D2655" t="s">
        <v>31</v>
      </c>
      <c r="E2655" t="s">
        <v>122</v>
      </c>
      <c r="F2655" t="s">
        <v>40</v>
      </c>
      <c r="G2655" t="s">
        <v>23</v>
      </c>
      <c r="H2655" t="s">
        <v>24</v>
      </c>
      <c r="I2655" t="s">
        <v>25</v>
      </c>
      <c r="J2655" t="s">
        <v>67</v>
      </c>
      <c r="K2655" t="s">
        <v>27</v>
      </c>
      <c r="L2655" t="s">
        <v>28</v>
      </c>
      <c r="M2655" s="4">
        <v>11</v>
      </c>
      <c r="N2655" s="4">
        <v>7</v>
      </c>
      <c r="O2655" t="s">
        <v>29</v>
      </c>
      <c r="P2655" t="s">
        <v>36</v>
      </c>
      <c r="Q2655" s="4">
        <v>484810</v>
      </c>
      <c r="R2655" s="4">
        <v>257333</v>
      </c>
      <c r="S2655" s="4">
        <f>Table1[[#This Row],[Service_Revenue]]-Table1[[#This Row],[Service_Cost]]</f>
        <v>227477</v>
      </c>
      <c r="T2655" s="4">
        <v>2</v>
      </c>
      <c r="U2655" s="4">
        <f>IF(AND(Table1[[#This Row],[Rework_Flag]]="Yes",Table1[[#This Row],[Warranty_Claim]]="No"),Table1[[#This Row],[Service_Revenue]],0)</f>
        <v>484810</v>
      </c>
      <c r="V2655" s="4">
        <f>IF(Table1[[#This Row],[Warranty_Claim]]="Yes",1,0)</f>
        <v>0</v>
      </c>
      <c r="W2655" s="4">
        <f>IF(Table1[[#This Row],[Rework_Flag]]="No",1,0)</f>
        <v>0</v>
      </c>
      <c r="X2655" s="4">
        <f>IF(Table1[[#This Row],[Rework_Flag]]="Yes",1,0)</f>
        <v>1</v>
      </c>
      <c r="Y2655" s="4">
        <v>1</v>
      </c>
      <c r="Z2655" s="4" t="str">
        <f>IF(Table1[[#This Row],[TAT_Days]]&gt;Table1[[#This Row],[SLA_TAT]],"Yes","No")</f>
        <v>Yes</v>
      </c>
      <c r="AA2655" s="4" t="str" cm="1">
        <f t="array" ref="AA2655">_xlfn.IFS(Table1[[#This Row],[Customer_Satisfaction]]&lt;=2,"Poor",Table1[[#This Row],[Customer_Satisfaction]]=3,"Neutral",Table1[[#This Row],[Customer_Satisfaction]]=4,"Good",Table1[[#This Row],[Customer_Satisfaction]]=5,"Good")</f>
        <v>Poor</v>
      </c>
    </row>
    <row r="2656" spans="1:27" x14ac:dyDescent="0.35">
      <c r="A2656">
        <v>22654</v>
      </c>
      <c r="B2656" s="1">
        <v>45299</v>
      </c>
      <c r="C2656" t="s">
        <v>19</v>
      </c>
      <c r="D2656" t="s">
        <v>96</v>
      </c>
      <c r="E2656" t="s">
        <v>97</v>
      </c>
      <c r="F2656" t="s">
        <v>22</v>
      </c>
      <c r="G2656" t="s">
        <v>63</v>
      </c>
      <c r="H2656" t="s">
        <v>24</v>
      </c>
      <c r="I2656" t="s">
        <v>25</v>
      </c>
      <c r="J2656" t="s">
        <v>35</v>
      </c>
      <c r="K2656" t="s">
        <v>44</v>
      </c>
      <c r="L2656" t="s">
        <v>28</v>
      </c>
      <c r="M2656" s="4">
        <v>13</v>
      </c>
      <c r="N2656" s="4">
        <v>7</v>
      </c>
      <c r="O2656" t="s">
        <v>29</v>
      </c>
      <c r="P2656" t="s">
        <v>29</v>
      </c>
      <c r="Q2656" s="4">
        <v>319589</v>
      </c>
      <c r="R2656" s="4">
        <v>226420</v>
      </c>
      <c r="S2656" s="4">
        <f>Table1[[#This Row],[Service_Revenue]]-Table1[[#This Row],[Service_Cost]]</f>
        <v>93169</v>
      </c>
      <c r="T2656" s="4">
        <v>2</v>
      </c>
      <c r="U2656" s="4">
        <f>IF(AND(Table1[[#This Row],[Rework_Flag]]="Yes",Table1[[#This Row],[Warranty_Claim]]="No"),Table1[[#This Row],[Service_Revenue]],0)</f>
        <v>0</v>
      </c>
      <c r="V2656" s="4">
        <f>IF(Table1[[#This Row],[Warranty_Claim]]="Yes",1,0)</f>
        <v>1</v>
      </c>
      <c r="W2656" s="4">
        <f>IF(Table1[[#This Row],[Rework_Flag]]="No",1,0)</f>
        <v>0</v>
      </c>
      <c r="X2656" s="4">
        <f>IF(Table1[[#This Row],[Rework_Flag]]="Yes",1,0)</f>
        <v>1</v>
      </c>
      <c r="Y2656" s="4">
        <v>1</v>
      </c>
      <c r="Z2656" s="4" t="str">
        <f>IF(Table1[[#This Row],[TAT_Days]]&gt;Table1[[#This Row],[SLA_TAT]],"Yes","No")</f>
        <v>Yes</v>
      </c>
      <c r="AA2656" s="4" t="str" cm="1">
        <f t="array" ref="AA2656">_xlfn.IFS(Table1[[#This Row],[Customer_Satisfaction]]&lt;=2,"Poor",Table1[[#This Row],[Customer_Satisfaction]]=3,"Neutral",Table1[[#This Row],[Customer_Satisfaction]]=4,"Good",Table1[[#This Row],[Customer_Satisfaction]]=5,"Good")</f>
        <v>Poor</v>
      </c>
    </row>
    <row r="2657" spans="1:27" x14ac:dyDescent="0.35">
      <c r="A2657">
        <v>22655</v>
      </c>
      <c r="B2657" s="1">
        <v>45438</v>
      </c>
      <c r="C2657" t="s">
        <v>50</v>
      </c>
      <c r="D2657" t="s">
        <v>80</v>
      </c>
      <c r="E2657" t="s">
        <v>81</v>
      </c>
      <c r="F2657" t="s">
        <v>40</v>
      </c>
      <c r="G2657" t="s">
        <v>63</v>
      </c>
      <c r="H2657" t="s">
        <v>24</v>
      </c>
      <c r="I2657" t="s">
        <v>25</v>
      </c>
      <c r="J2657" t="s">
        <v>58</v>
      </c>
      <c r="K2657" t="s">
        <v>61</v>
      </c>
      <c r="L2657" t="s">
        <v>49</v>
      </c>
      <c r="M2657" s="4">
        <v>12</v>
      </c>
      <c r="N2657" s="4">
        <v>7</v>
      </c>
      <c r="O2657" t="s">
        <v>36</v>
      </c>
      <c r="P2657" t="s">
        <v>36</v>
      </c>
      <c r="Q2657" s="4">
        <v>490640</v>
      </c>
      <c r="R2657" s="4">
        <v>314401</v>
      </c>
      <c r="S2657" s="4">
        <f>Table1[[#This Row],[Service_Revenue]]-Table1[[#This Row],[Service_Cost]]</f>
        <v>176239</v>
      </c>
      <c r="T2657" s="4">
        <v>3</v>
      </c>
      <c r="U2657" s="4">
        <f>IF(AND(Table1[[#This Row],[Rework_Flag]]="Yes",Table1[[#This Row],[Warranty_Claim]]="No"),Table1[[#This Row],[Service_Revenue]],0)</f>
        <v>0</v>
      </c>
      <c r="V2657" s="4">
        <f>IF(Table1[[#This Row],[Warranty_Claim]]="Yes",1,0)</f>
        <v>0</v>
      </c>
      <c r="W2657" s="4">
        <f>IF(Table1[[#This Row],[Rework_Flag]]="No",1,0)</f>
        <v>1</v>
      </c>
      <c r="X2657" s="4">
        <f>IF(Table1[[#This Row],[Rework_Flag]]="Yes",1,0)</f>
        <v>0</v>
      </c>
      <c r="Y2657" s="4">
        <v>1</v>
      </c>
      <c r="Z2657" s="4" t="str">
        <f>IF(Table1[[#This Row],[TAT_Days]]&gt;Table1[[#This Row],[SLA_TAT]],"Yes","No")</f>
        <v>Yes</v>
      </c>
      <c r="AA2657" s="4" t="str" cm="1">
        <f t="array" ref="AA2657">_xlfn.IFS(Table1[[#This Row],[Customer_Satisfaction]]&lt;=2,"Poor",Table1[[#This Row],[Customer_Satisfaction]]=3,"Neutral",Table1[[#This Row],[Customer_Satisfaction]]=4,"Good",Table1[[#This Row],[Customer_Satisfaction]]=5,"Good")</f>
        <v>Neutral</v>
      </c>
    </row>
    <row r="2658" spans="1:27" x14ac:dyDescent="0.35">
      <c r="A2658">
        <v>22656</v>
      </c>
      <c r="B2658" s="1">
        <v>45312</v>
      </c>
      <c r="C2658" t="s">
        <v>19</v>
      </c>
      <c r="D2658" t="s">
        <v>45</v>
      </c>
      <c r="E2658" t="s">
        <v>114</v>
      </c>
      <c r="F2658" t="s">
        <v>40</v>
      </c>
      <c r="G2658" t="s">
        <v>74</v>
      </c>
      <c r="H2658" t="s">
        <v>34</v>
      </c>
      <c r="I2658" t="s">
        <v>55</v>
      </c>
      <c r="J2658" t="s">
        <v>35</v>
      </c>
      <c r="K2658" t="s">
        <v>44</v>
      </c>
      <c r="L2658" t="s">
        <v>28</v>
      </c>
      <c r="M2658" s="4">
        <v>18</v>
      </c>
      <c r="N2658" s="4">
        <v>7</v>
      </c>
      <c r="O2658" t="s">
        <v>36</v>
      </c>
      <c r="P2658" t="s">
        <v>36</v>
      </c>
      <c r="Q2658" s="4">
        <v>129955</v>
      </c>
      <c r="R2658" s="4">
        <v>104309</v>
      </c>
      <c r="S2658" s="4">
        <f>Table1[[#This Row],[Service_Revenue]]-Table1[[#This Row],[Service_Cost]]</f>
        <v>25646</v>
      </c>
      <c r="T2658" s="4">
        <v>2</v>
      </c>
      <c r="U2658" s="4">
        <f>IF(AND(Table1[[#This Row],[Rework_Flag]]="Yes",Table1[[#This Row],[Warranty_Claim]]="No"),Table1[[#This Row],[Service_Revenue]],0)</f>
        <v>0</v>
      </c>
      <c r="V2658" s="4">
        <f>IF(Table1[[#This Row],[Warranty_Claim]]="Yes",1,0)</f>
        <v>0</v>
      </c>
      <c r="W2658" s="4">
        <f>IF(Table1[[#This Row],[Rework_Flag]]="No",1,0)</f>
        <v>1</v>
      </c>
      <c r="X2658" s="4">
        <f>IF(Table1[[#This Row],[Rework_Flag]]="Yes",1,0)</f>
        <v>0</v>
      </c>
      <c r="Y2658" s="4">
        <v>1</v>
      </c>
      <c r="Z2658" s="4" t="str">
        <f>IF(Table1[[#This Row],[TAT_Days]]&gt;Table1[[#This Row],[SLA_TAT]],"Yes","No")</f>
        <v>Yes</v>
      </c>
      <c r="AA2658" s="4" t="str" cm="1">
        <f t="array" ref="AA2658">_xlfn.IFS(Table1[[#This Row],[Customer_Satisfaction]]&lt;=2,"Poor",Table1[[#This Row],[Customer_Satisfaction]]=3,"Neutral",Table1[[#This Row],[Customer_Satisfaction]]=4,"Good",Table1[[#This Row],[Customer_Satisfaction]]=5,"Good")</f>
        <v>Poor</v>
      </c>
    </row>
    <row r="2659" spans="1:27" x14ac:dyDescent="0.35">
      <c r="A2659">
        <v>22657</v>
      </c>
      <c r="B2659" s="1">
        <v>45451</v>
      </c>
      <c r="C2659" t="s">
        <v>30</v>
      </c>
      <c r="D2659" t="s">
        <v>31</v>
      </c>
      <c r="E2659" t="s">
        <v>32</v>
      </c>
      <c r="F2659" t="s">
        <v>53</v>
      </c>
      <c r="G2659" t="s">
        <v>74</v>
      </c>
      <c r="H2659" t="s">
        <v>34</v>
      </c>
      <c r="I2659" t="s">
        <v>25</v>
      </c>
      <c r="J2659" t="s">
        <v>35</v>
      </c>
      <c r="K2659" t="s">
        <v>27</v>
      </c>
      <c r="L2659" t="s">
        <v>49</v>
      </c>
      <c r="M2659" s="4">
        <v>22</v>
      </c>
      <c r="N2659" s="4">
        <v>7</v>
      </c>
      <c r="O2659" t="s">
        <v>29</v>
      </c>
      <c r="P2659" t="s">
        <v>29</v>
      </c>
      <c r="Q2659" s="4">
        <v>141766</v>
      </c>
      <c r="R2659" s="4">
        <v>81494</v>
      </c>
      <c r="S2659" s="4">
        <f>Table1[[#This Row],[Service_Revenue]]-Table1[[#This Row],[Service_Cost]]</f>
        <v>60272</v>
      </c>
      <c r="T2659" s="4">
        <v>1</v>
      </c>
      <c r="U2659" s="4">
        <f>IF(AND(Table1[[#This Row],[Rework_Flag]]="Yes",Table1[[#This Row],[Warranty_Claim]]="No"),Table1[[#This Row],[Service_Revenue]],0)</f>
        <v>0</v>
      </c>
      <c r="V2659" s="4">
        <f>IF(Table1[[#This Row],[Warranty_Claim]]="Yes",1,0)</f>
        <v>1</v>
      </c>
      <c r="W2659" s="4">
        <f>IF(Table1[[#This Row],[Rework_Flag]]="No",1,0)</f>
        <v>0</v>
      </c>
      <c r="X2659" s="4">
        <f>IF(Table1[[#This Row],[Rework_Flag]]="Yes",1,0)</f>
        <v>1</v>
      </c>
      <c r="Y2659" s="4">
        <v>1</v>
      </c>
      <c r="Z2659" s="4" t="str">
        <f>IF(Table1[[#This Row],[TAT_Days]]&gt;Table1[[#This Row],[SLA_TAT]],"Yes","No")</f>
        <v>Yes</v>
      </c>
      <c r="AA2659" s="4" t="str" cm="1">
        <f t="array" ref="AA2659">_xlfn.IFS(Table1[[#This Row],[Customer_Satisfaction]]&lt;=2,"Poor",Table1[[#This Row],[Customer_Satisfaction]]=3,"Neutral",Table1[[#This Row],[Customer_Satisfaction]]=4,"Good",Table1[[#This Row],[Customer_Satisfaction]]=5,"Good")</f>
        <v>Poor</v>
      </c>
    </row>
    <row r="2660" spans="1:27" x14ac:dyDescent="0.35">
      <c r="A2660">
        <v>22658</v>
      </c>
      <c r="B2660" s="1">
        <v>45361</v>
      </c>
      <c r="C2660" t="s">
        <v>30</v>
      </c>
      <c r="D2660" t="s">
        <v>31</v>
      </c>
      <c r="E2660" t="s">
        <v>62</v>
      </c>
      <c r="F2660" t="s">
        <v>40</v>
      </c>
      <c r="G2660" t="s">
        <v>33</v>
      </c>
      <c r="H2660" t="s">
        <v>34</v>
      </c>
      <c r="I2660" t="s">
        <v>55</v>
      </c>
      <c r="J2660" t="s">
        <v>43</v>
      </c>
      <c r="K2660" t="s">
        <v>44</v>
      </c>
      <c r="L2660" t="s">
        <v>28</v>
      </c>
      <c r="M2660" s="4">
        <v>15</v>
      </c>
      <c r="N2660" s="4">
        <v>7</v>
      </c>
      <c r="O2660" t="s">
        <v>29</v>
      </c>
      <c r="P2660" t="s">
        <v>36</v>
      </c>
      <c r="Q2660" s="4">
        <v>483917</v>
      </c>
      <c r="R2660" s="4">
        <v>383880</v>
      </c>
      <c r="S2660" s="4">
        <f>Table1[[#This Row],[Service_Revenue]]-Table1[[#This Row],[Service_Cost]]</f>
        <v>100037</v>
      </c>
      <c r="T2660" s="4">
        <v>1</v>
      </c>
      <c r="U2660" s="4">
        <f>IF(AND(Table1[[#This Row],[Rework_Flag]]="Yes",Table1[[#This Row],[Warranty_Claim]]="No"),Table1[[#This Row],[Service_Revenue]],0)</f>
        <v>483917</v>
      </c>
      <c r="V2660" s="4">
        <f>IF(Table1[[#This Row],[Warranty_Claim]]="Yes",1,0)</f>
        <v>0</v>
      </c>
      <c r="W2660" s="4">
        <f>IF(Table1[[#This Row],[Rework_Flag]]="No",1,0)</f>
        <v>0</v>
      </c>
      <c r="X2660" s="4">
        <f>IF(Table1[[#This Row],[Rework_Flag]]="Yes",1,0)</f>
        <v>1</v>
      </c>
      <c r="Y2660" s="4">
        <v>1</v>
      </c>
      <c r="Z2660" s="4" t="str">
        <f>IF(Table1[[#This Row],[TAT_Days]]&gt;Table1[[#This Row],[SLA_TAT]],"Yes","No")</f>
        <v>Yes</v>
      </c>
      <c r="AA2660" s="4" t="str" cm="1">
        <f t="array" ref="AA2660">_xlfn.IFS(Table1[[#This Row],[Customer_Satisfaction]]&lt;=2,"Poor",Table1[[#This Row],[Customer_Satisfaction]]=3,"Neutral",Table1[[#This Row],[Customer_Satisfaction]]=4,"Good",Table1[[#This Row],[Customer_Satisfaction]]=5,"Good")</f>
        <v>Poor</v>
      </c>
    </row>
    <row r="2661" spans="1:27" x14ac:dyDescent="0.35">
      <c r="A2661">
        <v>22659</v>
      </c>
      <c r="B2661" s="1">
        <v>45312</v>
      </c>
      <c r="C2661" t="s">
        <v>30</v>
      </c>
      <c r="D2661" t="s">
        <v>59</v>
      </c>
      <c r="E2661" t="s">
        <v>66</v>
      </c>
      <c r="F2661" t="s">
        <v>40</v>
      </c>
      <c r="G2661" t="s">
        <v>63</v>
      </c>
      <c r="H2661" t="s">
        <v>24</v>
      </c>
      <c r="I2661" t="s">
        <v>25</v>
      </c>
      <c r="J2661" t="s">
        <v>26</v>
      </c>
      <c r="K2661" t="s">
        <v>44</v>
      </c>
      <c r="L2661" t="s">
        <v>28</v>
      </c>
      <c r="M2661" s="4">
        <v>6</v>
      </c>
      <c r="N2661" s="4">
        <v>7</v>
      </c>
      <c r="O2661" t="s">
        <v>29</v>
      </c>
      <c r="P2661" t="s">
        <v>29</v>
      </c>
      <c r="Q2661" s="4">
        <v>543143</v>
      </c>
      <c r="R2661" s="4">
        <v>347483</v>
      </c>
      <c r="S2661" s="4">
        <f>Table1[[#This Row],[Service_Revenue]]-Table1[[#This Row],[Service_Cost]]</f>
        <v>195660</v>
      </c>
      <c r="T2661" s="4">
        <v>3</v>
      </c>
      <c r="U2661" s="4">
        <f>IF(AND(Table1[[#This Row],[Rework_Flag]]="Yes",Table1[[#This Row],[Warranty_Claim]]="No"),Table1[[#This Row],[Service_Revenue]],0)</f>
        <v>0</v>
      </c>
      <c r="V2661" s="4">
        <f>IF(Table1[[#This Row],[Warranty_Claim]]="Yes",1,0)</f>
        <v>1</v>
      </c>
      <c r="W2661" s="4">
        <f>IF(Table1[[#This Row],[Rework_Flag]]="No",1,0)</f>
        <v>0</v>
      </c>
      <c r="X2661" s="4">
        <f>IF(Table1[[#This Row],[Rework_Flag]]="Yes",1,0)</f>
        <v>1</v>
      </c>
      <c r="Y2661" s="4">
        <v>1</v>
      </c>
      <c r="Z2661" s="4" t="str">
        <f>IF(Table1[[#This Row],[TAT_Days]]&gt;Table1[[#This Row],[SLA_TAT]],"Yes","No")</f>
        <v>No</v>
      </c>
      <c r="AA2661" s="4" t="str" cm="1">
        <f t="array" ref="AA2661">_xlfn.IFS(Table1[[#This Row],[Customer_Satisfaction]]&lt;=2,"Poor",Table1[[#This Row],[Customer_Satisfaction]]=3,"Neutral",Table1[[#This Row],[Customer_Satisfaction]]=4,"Good",Table1[[#This Row],[Customer_Satisfaction]]=5,"Good")</f>
        <v>Neutral</v>
      </c>
    </row>
    <row r="2662" spans="1:27" x14ac:dyDescent="0.35">
      <c r="A2662">
        <v>22660</v>
      </c>
      <c r="B2662" s="1">
        <v>45381</v>
      </c>
      <c r="C2662" t="s">
        <v>50</v>
      </c>
      <c r="D2662" t="s">
        <v>56</v>
      </c>
      <c r="E2662" t="s">
        <v>88</v>
      </c>
      <c r="F2662" t="s">
        <v>40</v>
      </c>
      <c r="G2662" t="s">
        <v>54</v>
      </c>
      <c r="H2662" t="s">
        <v>42</v>
      </c>
      <c r="I2662" t="s">
        <v>55</v>
      </c>
      <c r="J2662" t="s">
        <v>26</v>
      </c>
      <c r="K2662" t="s">
        <v>27</v>
      </c>
      <c r="L2662" t="s">
        <v>49</v>
      </c>
      <c r="M2662" s="4">
        <v>4</v>
      </c>
      <c r="N2662" s="4">
        <v>7</v>
      </c>
      <c r="O2662" t="s">
        <v>36</v>
      </c>
      <c r="P2662" t="s">
        <v>36</v>
      </c>
      <c r="Q2662" s="4">
        <v>296457</v>
      </c>
      <c r="R2662" s="4">
        <v>170867</v>
      </c>
      <c r="S2662" s="4">
        <f>Table1[[#This Row],[Service_Revenue]]-Table1[[#This Row],[Service_Cost]]</f>
        <v>125590</v>
      </c>
      <c r="T2662" s="4">
        <v>5</v>
      </c>
      <c r="U2662" s="4">
        <f>IF(AND(Table1[[#This Row],[Rework_Flag]]="Yes",Table1[[#This Row],[Warranty_Claim]]="No"),Table1[[#This Row],[Service_Revenue]],0)</f>
        <v>0</v>
      </c>
      <c r="V2662" s="4">
        <f>IF(Table1[[#This Row],[Warranty_Claim]]="Yes",1,0)</f>
        <v>0</v>
      </c>
      <c r="W2662" s="4">
        <f>IF(Table1[[#This Row],[Rework_Flag]]="No",1,0)</f>
        <v>1</v>
      </c>
      <c r="X2662" s="4">
        <f>IF(Table1[[#This Row],[Rework_Flag]]="Yes",1,0)</f>
        <v>0</v>
      </c>
      <c r="Y2662" s="4">
        <v>1</v>
      </c>
      <c r="Z2662" s="4" t="str">
        <f>IF(Table1[[#This Row],[TAT_Days]]&gt;Table1[[#This Row],[SLA_TAT]],"Yes","No")</f>
        <v>No</v>
      </c>
      <c r="AA2662" s="4" t="str" cm="1">
        <f t="array" ref="AA2662">_xlfn.IFS(Table1[[#This Row],[Customer_Satisfaction]]&lt;=2,"Poor",Table1[[#This Row],[Customer_Satisfaction]]=3,"Neutral",Table1[[#This Row],[Customer_Satisfaction]]=4,"Good",Table1[[#This Row],[Customer_Satisfaction]]=5,"Good")</f>
        <v>Good</v>
      </c>
    </row>
    <row r="2663" spans="1:27" x14ac:dyDescent="0.35">
      <c r="A2663">
        <v>22661</v>
      </c>
      <c r="B2663" s="1">
        <v>45355</v>
      </c>
      <c r="C2663" t="s">
        <v>30</v>
      </c>
      <c r="D2663" t="s">
        <v>31</v>
      </c>
      <c r="E2663" t="s">
        <v>79</v>
      </c>
      <c r="F2663" t="s">
        <v>40</v>
      </c>
      <c r="G2663" t="s">
        <v>33</v>
      </c>
      <c r="H2663" t="s">
        <v>34</v>
      </c>
      <c r="I2663" t="s">
        <v>55</v>
      </c>
      <c r="J2663" t="s">
        <v>35</v>
      </c>
      <c r="K2663" t="s">
        <v>61</v>
      </c>
      <c r="L2663" t="s">
        <v>28</v>
      </c>
      <c r="M2663" s="4">
        <v>23</v>
      </c>
      <c r="N2663" s="4">
        <v>7</v>
      </c>
      <c r="O2663" t="s">
        <v>29</v>
      </c>
      <c r="P2663" t="s">
        <v>36</v>
      </c>
      <c r="Q2663" s="4">
        <v>231593</v>
      </c>
      <c r="R2663" s="4">
        <v>142119</v>
      </c>
      <c r="S2663" s="4">
        <f>Table1[[#This Row],[Service_Revenue]]-Table1[[#This Row],[Service_Cost]]</f>
        <v>89474</v>
      </c>
      <c r="T2663" s="4">
        <v>1</v>
      </c>
      <c r="U2663" s="4">
        <f>IF(AND(Table1[[#This Row],[Rework_Flag]]="Yes",Table1[[#This Row],[Warranty_Claim]]="No"),Table1[[#This Row],[Service_Revenue]],0)</f>
        <v>231593</v>
      </c>
      <c r="V2663" s="4">
        <f>IF(Table1[[#This Row],[Warranty_Claim]]="Yes",1,0)</f>
        <v>0</v>
      </c>
      <c r="W2663" s="4">
        <f>IF(Table1[[#This Row],[Rework_Flag]]="No",1,0)</f>
        <v>0</v>
      </c>
      <c r="X2663" s="4">
        <f>IF(Table1[[#This Row],[Rework_Flag]]="Yes",1,0)</f>
        <v>1</v>
      </c>
      <c r="Y2663" s="4">
        <v>1</v>
      </c>
      <c r="Z2663" s="4" t="str">
        <f>IF(Table1[[#This Row],[TAT_Days]]&gt;Table1[[#This Row],[SLA_TAT]],"Yes","No")</f>
        <v>Yes</v>
      </c>
      <c r="AA2663" s="4" t="str" cm="1">
        <f t="array" ref="AA2663">_xlfn.IFS(Table1[[#This Row],[Customer_Satisfaction]]&lt;=2,"Poor",Table1[[#This Row],[Customer_Satisfaction]]=3,"Neutral",Table1[[#This Row],[Customer_Satisfaction]]=4,"Good",Table1[[#This Row],[Customer_Satisfaction]]=5,"Good")</f>
        <v>Poor</v>
      </c>
    </row>
    <row r="2664" spans="1:27" x14ac:dyDescent="0.35">
      <c r="A2664">
        <v>22662</v>
      </c>
      <c r="B2664" s="1">
        <v>45321</v>
      </c>
      <c r="C2664" t="s">
        <v>37</v>
      </c>
      <c r="D2664" t="s">
        <v>38</v>
      </c>
      <c r="E2664" t="s">
        <v>102</v>
      </c>
      <c r="F2664" t="s">
        <v>22</v>
      </c>
      <c r="G2664" t="s">
        <v>47</v>
      </c>
      <c r="H2664" t="s">
        <v>48</v>
      </c>
      <c r="I2664" t="s">
        <v>25</v>
      </c>
      <c r="J2664" t="s">
        <v>35</v>
      </c>
      <c r="K2664" t="s">
        <v>44</v>
      </c>
      <c r="L2664" t="s">
        <v>28</v>
      </c>
      <c r="M2664" s="4">
        <v>6</v>
      </c>
      <c r="N2664" s="4">
        <v>7</v>
      </c>
      <c r="O2664" t="s">
        <v>36</v>
      </c>
      <c r="P2664" t="s">
        <v>29</v>
      </c>
      <c r="Q2664" s="4">
        <v>210541</v>
      </c>
      <c r="R2664" s="4">
        <v>131727</v>
      </c>
      <c r="S2664" s="4">
        <f>Table1[[#This Row],[Service_Revenue]]-Table1[[#This Row],[Service_Cost]]</f>
        <v>78814</v>
      </c>
      <c r="T2664" s="4">
        <v>4</v>
      </c>
      <c r="U2664" s="4">
        <f>IF(AND(Table1[[#This Row],[Rework_Flag]]="Yes",Table1[[#This Row],[Warranty_Claim]]="No"),Table1[[#This Row],[Service_Revenue]],0)</f>
        <v>0</v>
      </c>
      <c r="V2664" s="4">
        <f>IF(Table1[[#This Row],[Warranty_Claim]]="Yes",1,0)</f>
        <v>1</v>
      </c>
      <c r="W2664" s="4">
        <f>IF(Table1[[#This Row],[Rework_Flag]]="No",1,0)</f>
        <v>1</v>
      </c>
      <c r="X2664" s="4">
        <f>IF(Table1[[#This Row],[Rework_Flag]]="Yes",1,0)</f>
        <v>0</v>
      </c>
      <c r="Y2664" s="4">
        <v>1</v>
      </c>
      <c r="Z2664" s="4" t="str">
        <f>IF(Table1[[#This Row],[TAT_Days]]&gt;Table1[[#This Row],[SLA_TAT]],"Yes","No")</f>
        <v>No</v>
      </c>
      <c r="AA2664" s="4" t="str" cm="1">
        <f t="array" ref="AA2664">_xlfn.IFS(Table1[[#This Row],[Customer_Satisfaction]]&lt;=2,"Poor",Table1[[#This Row],[Customer_Satisfaction]]=3,"Neutral",Table1[[#This Row],[Customer_Satisfaction]]=4,"Good",Table1[[#This Row],[Customer_Satisfaction]]=5,"Good")</f>
        <v>Good</v>
      </c>
    </row>
    <row r="2665" spans="1:27" x14ac:dyDescent="0.35">
      <c r="A2665">
        <v>22663</v>
      </c>
      <c r="B2665" s="1">
        <v>45455</v>
      </c>
      <c r="C2665" t="s">
        <v>30</v>
      </c>
      <c r="D2665" t="s">
        <v>59</v>
      </c>
      <c r="E2665" t="s">
        <v>94</v>
      </c>
      <c r="F2665" t="s">
        <v>53</v>
      </c>
      <c r="G2665" t="s">
        <v>33</v>
      </c>
      <c r="H2665" t="s">
        <v>34</v>
      </c>
      <c r="I2665" t="s">
        <v>25</v>
      </c>
      <c r="J2665" t="s">
        <v>35</v>
      </c>
      <c r="K2665" t="s">
        <v>61</v>
      </c>
      <c r="L2665" t="s">
        <v>28</v>
      </c>
      <c r="M2665" s="4">
        <v>9</v>
      </c>
      <c r="N2665" s="4">
        <v>7</v>
      </c>
      <c r="O2665" t="s">
        <v>36</v>
      </c>
      <c r="P2665" t="s">
        <v>36</v>
      </c>
      <c r="Q2665" s="4">
        <v>577983</v>
      </c>
      <c r="R2665" s="4">
        <v>445676</v>
      </c>
      <c r="S2665" s="4">
        <f>Table1[[#This Row],[Service_Revenue]]-Table1[[#This Row],[Service_Cost]]</f>
        <v>132307</v>
      </c>
      <c r="T2665" s="4">
        <v>4</v>
      </c>
      <c r="U2665" s="4">
        <f>IF(AND(Table1[[#This Row],[Rework_Flag]]="Yes",Table1[[#This Row],[Warranty_Claim]]="No"),Table1[[#This Row],[Service_Revenue]],0)</f>
        <v>0</v>
      </c>
      <c r="V2665" s="4">
        <f>IF(Table1[[#This Row],[Warranty_Claim]]="Yes",1,0)</f>
        <v>0</v>
      </c>
      <c r="W2665" s="4">
        <f>IF(Table1[[#This Row],[Rework_Flag]]="No",1,0)</f>
        <v>1</v>
      </c>
      <c r="X2665" s="4">
        <f>IF(Table1[[#This Row],[Rework_Flag]]="Yes",1,0)</f>
        <v>0</v>
      </c>
      <c r="Y2665" s="4">
        <v>1</v>
      </c>
      <c r="Z2665" s="4" t="str">
        <f>IF(Table1[[#This Row],[TAT_Days]]&gt;Table1[[#This Row],[SLA_TAT]],"Yes","No")</f>
        <v>Yes</v>
      </c>
      <c r="AA2665" s="4" t="str" cm="1">
        <f t="array" ref="AA2665">_xlfn.IFS(Table1[[#This Row],[Customer_Satisfaction]]&lt;=2,"Poor",Table1[[#This Row],[Customer_Satisfaction]]=3,"Neutral",Table1[[#This Row],[Customer_Satisfaction]]=4,"Good",Table1[[#This Row],[Customer_Satisfaction]]=5,"Good")</f>
        <v>Good</v>
      </c>
    </row>
    <row r="2666" spans="1:27" x14ac:dyDescent="0.35">
      <c r="A2666">
        <v>22664</v>
      </c>
      <c r="B2666" s="1">
        <v>45382</v>
      </c>
      <c r="C2666" t="s">
        <v>19</v>
      </c>
      <c r="D2666" t="s">
        <v>96</v>
      </c>
      <c r="E2666" t="s">
        <v>108</v>
      </c>
      <c r="F2666" t="s">
        <v>53</v>
      </c>
      <c r="G2666" t="s">
        <v>47</v>
      </c>
      <c r="H2666" t="s">
        <v>48</v>
      </c>
      <c r="I2666" t="s">
        <v>55</v>
      </c>
      <c r="J2666" t="s">
        <v>67</v>
      </c>
      <c r="K2666" t="s">
        <v>44</v>
      </c>
      <c r="L2666" t="s">
        <v>49</v>
      </c>
      <c r="M2666" s="4">
        <v>11</v>
      </c>
      <c r="N2666" s="4">
        <v>7</v>
      </c>
      <c r="O2666" t="s">
        <v>29</v>
      </c>
      <c r="P2666" t="s">
        <v>36</v>
      </c>
      <c r="Q2666" s="4">
        <v>265388</v>
      </c>
      <c r="R2666" s="4">
        <v>186291</v>
      </c>
      <c r="S2666" s="4">
        <f>Table1[[#This Row],[Service_Revenue]]-Table1[[#This Row],[Service_Cost]]</f>
        <v>79097</v>
      </c>
      <c r="T2666" s="4">
        <v>2</v>
      </c>
      <c r="U2666" s="4">
        <f>IF(AND(Table1[[#This Row],[Rework_Flag]]="Yes",Table1[[#This Row],[Warranty_Claim]]="No"),Table1[[#This Row],[Service_Revenue]],0)</f>
        <v>265388</v>
      </c>
      <c r="V2666" s="4">
        <f>IF(Table1[[#This Row],[Warranty_Claim]]="Yes",1,0)</f>
        <v>0</v>
      </c>
      <c r="W2666" s="4">
        <f>IF(Table1[[#This Row],[Rework_Flag]]="No",1,0)</f>
        <v>0</v>
      </c>
      <c r="X2666" s="4">
        <f>IF(Table1[[#This Row],[Rework_Flag]]="Yes",1,0)</f>
        <v>1</v>
      </c>
      <c r="Y2666" s="4">
        <v>1</v>
      </c>
      <c r="Z2666" s="4" t="str">
        <f>IF(Table1[[#This Row],[TAT_Days]]&gt;Table1[[#This Row],[SLA_TAT]],"Yes","No")</f>
        <v>Yes</v>
      </c>
      <c r="AA2666" s="4" t="str" cm="1">
        <f t="array" ref="AA2666">_xlfn.IFS(Table1[[#This Row],[Customer_Satisfaction]]&lt;=2,"Poor",Table1[[#This Row],[Customer_Satisfaction]]=3,"Neutral",Table1[[#This Row],[Customer_Satisfaction]]=4,"Good",Table1[[#This Row],[Customer_Satisfaction]]=5,"Good")</f>
        <v>Poor</v>
      </c>
    </row>
    <row r="2667" spans="1:27" x14ac:dyDescent="0.35">
      <c r="A2667">
        <v>22665</v>
      </c>
      <c r="B2667" s="1">
        <v>45401</v>
      </c>
      <c r="C2667" t="s">
        <v>37</v>
      </c>
      <c r="D2667" t="s">
        <v>70</v>
      </c>
      <c r="E2667" t="s">
        <v>82</v>
      </c>
      <c r="F2667" t="s">
        <v>40</v>
      </c>
      <c r="G2667" t="s">
        <v>23</v>
      </c>
      <c r="H2667" t="s">
        <v>24</v>
      </c>
      <c r="I2667" t="s">
        <v>25</v>
      </c>
      <c r="J2667" t="s">
        <v>67</v>
      </c>
      <c r="K2667" t="s">
        <v>61</v>
      </c>
      <c r="L2667" t="s">
        <v>49</v>
      </c>
      <c r="M2667" s="4">
        <v>12</v>
      </c>
      <c r="N2667" s="4">
        <v>7</v>
      </c>
      <c r="O2667" t="s">
        <v>36</v>
      </c>
      <c r="P2667" t="s">
        <v>36</v>
      </c>
      <c r="Q2667" s="4">
        <v>115791</v>
      </c>
      <c r="R2667" s="4">
        <v>80649</v>
      </c>
      <c r="S2667" s="4">
        <f>Table1[[#This Row],[Service_Revenue]]-Table1[[#This Row],[Service_Cost]]</f>
        <v>35142</v>
      </c>
      <c r="T2667" s="4">
        <v>3</v>
      </c>
      <c r="U2667" s="4">
        <f>IF(AND(Table1[[#This Row],[Rework_Flag]]="Yes",Table1[[#This Row],[Warranty_Claim]]="No"),Table1[[#This Row],[Service_Revenue]],0)</f>
        <v>0</v>
      </c>
      <c r="V2667" s="4">
        <f>IF(Table1[[#This Row],[Warranty_Claim]]="Yes",1,0)</f>
        <v>0</v>
      </c>
      <c r="W2667" s="4">
        <f>IF(Table1[[#This Row],[Rework_Flag]]="No",1,0)</f>
        <v>1</v>
      </c>
      <c r="X2667" s="4">
        <f>IF(Table1[[#This Row],[Rework_Flag]]="Yes",1,0)</f>
        <v>0</v>
      </c>
      <c r="Y2667" s="4">
        <v>1</v>
      </c>
      <c r="Z2667" s="4" t="str">
        <f>IF(Table1[[#This Row],[TAT_Days]]&gt;Table1[[#This Row],[SLA_TAT]],"Yes","No")</f>
        <v>Yes</v>
      </c>
      <c r="AA2667" s="4" t="str" cm="1">
        <f t="array" ref="AA2667">_xlfn.IFS(Table1[[#This Row],[Customer_Satisfaction]]&lt;=2,"Poor",Table1[[#This Row],[Customer_Satisfaction]]=3,"Neutral",Table1[[#This Row],[Customer_Satisfaction]]=4,"Good",Table1[[#This Row],[Customer_Satisfaction]]=5,"Good")</f>
        <v>Neutral</v>
      </c>
    </row>
    <row r="2668" spans="1:27" x14ac:dyDescent="0.35">
      <c r="A2668">
        <v>22666</v>
      </c>
      <c r="B2668" s="1">
        <v>45469</v>
      </c>
      <c r="C2668" t="s">
        <v>37</v>
      </c>
      <c r="D2668" t="s">
        <v>64</v>
      </c>
      <c r="E2668" t="s">
        <v>87</v>
      </c>
      <c r="F2668" t="s">
        <v>22</v>
      </c>
      <c r="G2668" t="s">
        <v>54</v>
      </c>
      <c r="H2668" t="s">
        <v>42</v>
      </c>
      <c r="I2668" t="s">
        <v>25</v>
      </c>
      <c r="J2668" t="s">
        <v>67</v>
      </c>
      <c r="K2668" t="s">
        <v>44</v>
      </c>
      <c r="L2668" t="s">
        <v>28</v>
      </c>
      <c r="M2668" s="4">
        <v>14</v>
      </c>
      <c r="N2668" s="4">
        <v>7</v>
      </c>
      <c r="O2668" t="s">
        <v>36</v>
      </c>
      <c r="P2668" t="s">
        <v>36</v>
      </c>
      <c r="Q2668" s="4">
        <v>389597</v>
      </c>
      <c r="R2668" s="4">
        <v>201567</v>
      </c>
      <c r="S2668" s="4">
        <f>Table1[[#This Row],[Service_Revenue]]-Table1[[#This Row],[Service_Cost]]</f>
        <v>188030</v>
      </c>
      <c r="T2668" s="4">
        <v>3</v>
      </c>
      <c r="U2668" s="4">
        <f>IF(AND(Table1[[#This Row],[Rework_Flag]]="Yes",Table1[[#This Row],[Warranty_Claim]]="No"),Table1[[#This Row],[Service_Revenue]],0)</f>
        <v>0</v>
      </c>
      <c r="V2668" s="4">
        <f>IF(Table1[[#This Row],[Warranty_Claim]]="Yes",1,0)</f>
        <v>0</v>
      </c>
      <c r="W2668" s="4">
        <f>IF(Table1[[#This Row],[Rework_Flag]]="No",1,0)</f>
        <v>1</v>
      </c>
      <c r="X2668" s="4">
        <f>IF(Table1[[#This Row],[Rework_Flag]]="Yes",1,0)</f>
        <v>0</v>
      </c>
      <c r="Y2668" s="4">
        <v>1</v>
      </c>
      <c r="Z2668" s="4" t="str">
        <f>IF(Table1[[#This Row],[TAT_Days]]&gt;Table1[[#This Row],[SLA_TAT]],"Yes","No")</f>
        <v>Yes</v>
      </c>
      <c r="AA2668" s="4" t="str" cm="1">
        <f t="array" ref="AA2668">_xlfn.IFS(Table1[[#This Row],[Customer_Satisfaction]]&lt;=2,"Poor",Table1[[#This Row],[Customer_Satisfaction]]=3,"Neutral",Table1[[#This Row],[Customer_Satisfaction]]=4,"Good",Table1[[#This Row],[Customer_Satisfaction]]=5,"Good")</f>
        <v>Neutral</v>
      </c>
    </row>
    <row r="2669" spans="1:27" x14ac:dyDescent="0.35">
      <c r="A2669">
        <v>22667</v>
      </c>
      <c r="B2669" s="1">
        <v>45389</v>
      </c>
      <c r="C2669" t="s">
        <v>30</v>
      </c>
      <c r="D2669" t="s">
        <v>59</v>
      </c>
      <c r="E2669" t="s">
        <v>94</v>
      </c>
      <c r="F2669" t="s">
        <v>22</v>
      </c>
      <c r="G2669" t="s">
        <v>41</v>
      </c>
      <c r="H2669" t="s">
        <v>42</v>
      </c>
      <c r="I2669" t="s">
        <v>55</v>
      </c>
      <c r="J2669" t="s">
        <v>43</v>
      </c>
      <c r="K2669" t="s">
        <v>44</v>
      </c>
      <c r="L2669" t="s">
        <v>28</v>
      </c>
      <c r="M2669" s="4">
        <v>12</v>
      </c>
      <c r="N2669" s="4">
        <v>7</v>
      </c>
      <c r="O2669" t="s">
        <v>29</v>
      </c>
      <c r="P2669" t="s">
        <v>29</v>
      </c>
      <c r="Q2669" s="4">
        <v>513645</v>
      </c>
      <c r="R2669" s="4">
        <v>257127</v>
      </c>
      <c r="S2669" s="4">
        <f>Table1[[#This Row],[Service_Revenue]]-Table1[[#This Row],[Service_Cost]]</f>
        <v>256518</v>
      </c>
      <c r="T2669" s="4">
        <v>2</v>
      </c>
      <c r="U2669" s="4">
        <f>IF(AND(Table1[[#This Row],[Rework_Flag]]="Yes",Table1[[#This Row],[Warranty_Claim]]="No"),Table1[[#This Row],[Service_Revenue]],0)</f>
        <v>0</v>
      </c>
      <c r="V2669" s="4">
        <f>IF(Table1[[#This Row],[Warranty_Claim]]="Yes",1,0)</f>
        <v>1</v>
      </c>
      <c r="W2669" s="4">
        <f>IF(Table1[[#This Row],[Rework_Flag]]="No",1,0)</f>
        <v>0</v>
      </c>
      <c r="X2669" s="4">
        <f>IF(Table1[[#This Row],[Rework_Flag]]="Yes",1,0)</f>
        <v>1</v>
      </c>
      <c r="Y2669" s="4">
        <v>1</v>
      </c>
      <c r="Z2669" s="4" t="str">
        <f>IF(Table1[[#This Row],[TAT_Days]]&gt;Table1[[#This Row],[SLA_TAT]],"Yes","No")</f>
        <v>Yes</v>
      </c>
      <c r="AA2669" s="4" t="str" cm="1">
        <f t="array" ref="AA2669">_xlfn.IFS(Table1[[#This Row],[Customer_Satisfaction]]&lt;=2,"Poor",Table1[[#This Row],[Customer_Satisfaction]]=3,"Neutral",Table1[[#This Row],[Customer_Satisfaction]]=4,"Good",Table1[[#This Row],[Customer_Satisfaction]]=5,"Good")</f>
        <v>Poor</v>
      </c>
    </row>
    <row r="2670" spans="1:27" x14ac:dyDescent="0.35">
      <c r="A2670">
        <v>22668</v>
      </c>
      <c r="B2670" s="1">
        <v>45378</v>
      </c>
      <c r="C2670" t="s">
        <v>50</v>
      </c>
      <c r="D2670" t="s">
        <v>80</v>
      </c>
      <c r="E2670" t="s">
        <v>118</v>
      </c>
      <c r="F2670" t="s">
        <v>53</v>
      </c>
      <c r="G2670" t="s">
        <v>41</v>
      </c>
      <c r="H2670" t="s">
        <v>42</v>
      </c>
      <c r="I2670" t="s">
        <v>55</v>
      </c>
      <c r="J2670" t="s">
        <v>58</v>
      </c>
      <c r="K2670" t="s">
        <v>27</v>
      </c>
      <c r="L2670" t="s">
        <v>28</v>
      </c>
      <c r="M2670" s="4">
        <v>25</v>
      </c>
      <c r="N2670" s="4">
        <v>7</v>
      </c>
      <c r="O2670" t="s">
        <v>29</v>
      </c>
      <c r="P2670" t="s">
        <v>36</v>
      </c>
      <c r="Q2670" s="4">
        <v>312440</v>
      </c>
      <c r="R2670" s="4">
        <v>248540</v>
      </c>
      <c r="S2670" s="4">
        <f>Table1[[#This Row],[Service_Revenue]]-Table1[[#This Row],[Service_Cost]]</f>
        <v>63900</v>
      </c>
      <c r="T2670" s="4">
        <v>1</v>
      </c>
      <c r="U2670" s="4">
        <f>IF(AND(Table1[[#This Row],[Rework_Flag]]="Yes",Table1[[#This Row],[Warranty_Claim]]="No"),Table1[[#This Row],[Service_Revenue]],0)</f>
        <v>312440</v>
      </c>
      <c r="V2670" s="4">
        <f>IF(Table1[[#This Row],[Warranty_Claim]]="Yes",1,0)</f>
        <v>0</v>
      </c>
      <c r="W2670" s="4">
        <f>IF(Table1[[#This Row],[Rework_Flag]]="No",1,0)</f>
        <v>0</v>
      </c>
      <c r="X2670" s="4">
        <f>IF(Table1[[#This Row],[Rework_Flag]]="Yes",1,0)</f>
        <v>1</v>
      </c>
      <c r="Y2670" s="4">
        <v>1</v>
      </c>
      <c r="Z2670" s="4" t="str">
        <f>IF(Table1[[#This Row],[TAT_Days]]&gt;Table1[[#This Row],[SLA_TAT]],"Yes","No")</f>
        <v>Yes</v>
      </c>
      <c r="AA2670" s="4" t="str" cm="1">
        <f t="array" ref="AA2670">_xlfn.IFS(Table1[[#This Row],[Customer_Satisfaction]]&lt;=2,"Poor",Table1[[#This Row],[Customer_Satisfaction]]=3,"Neutral",Table1[[#This Row],[Customer_Satisfaction]]=4,"Good",Table1[[#This Row],[Customer_Satisfaction]]=5,"Good")</f>
        <v>Poor</v>
      </c>
    </row>
    <row r="2671" spans="1:27" x14ac:dyDescent="0.35">
      <c r="A2671">
        <v>22669</v>
      </c>
      <c r="B2671" s="1">
        <v>45302</v>
      </c>
      <c r="C2671" t="s">
        <v>50</v>
      </c>
      <c r="D2671" t="s">
        <v>51</v>
      </c>
      <c r="E2671" t="s">
        <v>52</v>
      </c>
      <c r="F2671" t="s">
        <v>40</v>
      </c>
      <c r="G2671" t="s">
        <v>47</v>
      </c>
      <c r="H2671" t="s">
        <v>48</v>
      </c>
      <c r="I2671" t="s">
        <v>25</v>
      </c>
      <c r="J2671" t="s">
        <v>67</v>
      </c>
      <c r="K2671" t="s">
        <v>44</v>
      </c>
      <c r="L2671" t="s">
        <v>28</v>
      </c>
      <c r="M2671" s="4">
        <v>19</v>
      </c>
      <c r="N2671" s="4">
        <v>7</v>
      </c>
      <c r="O2671" t="s">
        <v>36</v>
      </c>
      <c r="P2671" t="s">
        <v>29</v>
      </c>
      <c r="Q2671" s="4">
        <v>293777</v>
      </c>
      <c r="R2671" s="4">
        <v>177163</v>
      </c>
      <c r="S2671" s="4">
        <f>Table1[[#This Row],[Service_Revenue]]-Table1[[#This Row],[Service_Cost]]</f>
        <v>116614</v>
      </c>
      <c r="T2671" s="4">
        <v>2</v>
      </c>
      <c r="U2671" s="4">
        <f>IF(AND(Table1[[#This Row],[Rework_Flag]]="Yes",Table1[[#This Row],[Warranty_Claim]]="No"),Table1[[#This Row],[Service_Revenue]],0)</f>
        <v>0</v>
      </c>
      <c r="V2671" s="4">
        <f>IF(Table1[[#This Row],[Warranty_Claim]]="Yes",1,0)</f>
        <v>1</v>
      </c>
      <c r="W2671" s="4">
        <f>IF(Table1[[#This Row],[Rework_Flag]]="No",1,0)</f>
        <v>1</v>
      </c>
      <c r="X2671" s="4">
        <f>IF(Table1[[#This Row],[Rework_Flag]]="Yes",1,0)</f>
        <v>0</v>
      </c>
      <c r="Y2671" s="4">
        <v>1</v>
      </c>
      <c r="Z2671" s="4" t="str">
        <f>IF(Table1[[#This Row],[TAT_Days]]&gt;Table1[[#This Row],[SLA_TAT]],"Yes","No")</f>
        <v>Yes</v>
      </c>
      <c r="AA2671" s="4" t="str" cm="1">
        <f t="array" ref="AA2671">_xlfn.IFS(Table1[[#This Row],[Customer_Satisfaction]]&lt;=2,"Poor",Table1[[#This Row],[Customer_Satisfaction]]=3,"Neutral",Table1[[#This Row],[Customer_Satisfaction]]=4,"Good",Table1[[#This Row],[Customer_Satisfaction]]=5,"Good")</f>
        <v>Poor</v>
      </c>
    </row>
    <row r="2672" spans="1:27" x14ac:dyDescent="0.35">
      <c r="A2672">
        <v>22670</v>
      </c>
      <c r="B2672" s="1">
        <v>45405</v>
      </c>
      <c r="C2672" t="s">
        <v>30</v>
      </c>
      <c r="D2672" t="s">
        <v>31</v>
      </c>
      <c r="E2672" t="s">
        <v>122</v>
      </c>
      <c r="F2672" t="s">
        <v>53</v>
      </c>
      <c r="G2672" t="s">
        <v>41</v>
      </c>
      <c r="H2672" t="s">
        <v>42</v>
      </c>
      <c r="I2672" t="s">
        <v>25</v>
      </c>
      <c r="J2672" t="s">
        <v>35</v>
      </c>
      <c r="K2672" t="s">
        <v>61</v>
      </c>
      <c r="L2672" t="s">
        <v>28</v>
      </c>
      <c r="M2672" s="4">
        <v>13</v>
      </c>
      <c r="N2672" s="4">
        <v>7</v>
      </c>
      <c r="O2672" t="s">
        <v>36</v>
      </c>
      <c r="P2672" t="s">
        <v>36</v>
      </c>
      <c r="Q2672" s="4">
        <v>226531</v>
      </c>
      <c r="R2672" s="4">
        <v>160414</v>
      </c>
      <c r="S2672" s="4">
        <f>Table1[[#This Row],[Service_Revenue]]-Table1[[#This Row],[Service_Cost]]</f>
        <v>66117</v>
      </c>
      <c r="T2672" s="4">
        <v>3</v>
      </c>
      <c r="U2672" s="4">
        <f>IF(AND(Table1[[#This Row],[Rework_Flag]]="Yes",Table1[[#This Row],[Warranty_Claim]]="No"),Table1[[#This Row],[Service_Revenue]],0)</f>
        <v>0</v>
      </c>
      <c r="V2672" s="4">
        <f>IF(Table1[[#This Row],[Warranty_Claim]]="Yes",1,0)</f>
        <v>0</v>
      </c>
      <c r="W2672" s="4">
        <f>IF(Table1[[#This Row],[Rework_Flag]]="No",1,0)</f>
        <v>1</v>
      </c>
      <c r="X2672" s="4">
        <f>IF(Table1[[#This Row],[Rework_Flag]]="Yes",1,0)</f>
        <v>0</v>
      </c>
      <c r="Y2672" s="4">
        <v>1</v>
      </c>
      <c r="Z2672" s="4" t="str">
        <f>IF(Table1[[#This Row],[TAT_Days]]&gt;Table1[[#This Row],[SLA_TAT]],"Yes","No")</f>
        <v>Yes</v>
      </c>
      <c r="AA2672" s="4" t="str" cm="1">
        <f t="array" ref="AA2672">_xlfn.IFS(Table1[[#This Row],[Customer_Satisfaction]]&lt;=2,"Poor",Table1[[#This Row],[Customer_Satisfaction]]=3,"Neutral",Table1[[#This Row],[Customer_Satisfaction]]=4,"Good",Table1[[#This Row],[Customer_Satisfaction]]=5,"Good")</f>
        <v>Neutral</v>
      </c>
    </row>
    <row r="2673" spans="1:27" x14ac:dyDescent="0.35">
      <c r="A2673">
        <v>22671</v>
      </c>
      <c r="B2673" s="1">
        <v>45432</v>
      </c>
      <c r="C2673" t="s">
        <v>37</v>
      </c>
      <c r="D2673" t="s">
        <v>70</v>
      </c>
      <c r="E2673" t="s">
        <v>100</v>
      </c>
      <c r="F2673" t="s">
        <v>22</v>
      </c>
      <c r="G2673" t="s">
        <v>74</v>
      </c>
      <c r="H2673" t="s">
        <v>34</v>
      </c>
      <c r="I2673" t="s">
        <v>55</v>
      </c>
      <c r="J2673" t="s">
        <v>26</v>
      </c>
      <c r="K2673" t="s">
        <v>61</v>
      </c>
      <c r="L2673" t="s">
        <v>28</v>
      </c>
      <c r="M2673" s="4">
        <v>21</v>
      </c>
      <c r="N2673" s="4">
        <v>7</v>
      </c>
      <c r="O2673" t="s">
        <v>29</v>
      </c>
      <c r="P2673" t="s">
        <v>36</v>
      </c>
      <c r="Q2673" s="4">
        <v>353446</v>
      </c>
      <c r="R2673" s="4">
        <v>285087</v>
      </c>
      <c r="S2673" s="4">
        <f>Table1[[#This Row],[Service_Revenue]]-Table1[[#This Row],[Service_Cost]]</f>
        <v>68359</v>
      </c>
      <c r="T2673" s="4">
        <v>1</v>
      </c>
      <c r="U2673" s="4">
        <f>IF(AND(Table1[[#This Row],[Rework_Flag]]="Yes",Table1[[#This Row],[Warranty_Claim]]="No"),Table1[[#This Row],[Service_Revenue]],0)</f>
        <v>353446</v>
      </c>
      <c r="V2673" s="4">
        <f>IF(Table1[[#This Row],[Warranty_Claim]]="Yes",1,0)</f>
        <v>0</v>
      </c>
      <c r="W2673" s="4">
        <f>IF(Table1[[#This Row],[Rework_Flag]]="No",1,0)</f>
        <v>0</v>
      </c>
      <c r="X2673" s="4">
        <f>IF(Table1[[#This Row],[Rework_Flag]]="Yes",1,0)</f>
        <v>1</v>
      </c>
      <c r="Y2673" s="4">
        <v>1</v>
      </c>
      <c r="Z2673" s="4" t="str">
        <f>IF(Table1[[#This Row],[TAT_Days]]&gt;Table1[[#This Row],[SLA_TAT]],"Yes","No")</f>
        <v>Yes</v>
      </c>
      <c r="AA2673" s="4" t="str" cm="1">
        <f t="array" ref="AA2673">_xlfn.IFS(Table1[[#This Row],[Customer_Satisfaction]]&lt;=2,"Poor",Table1[[#This Row],[Customer_Satisfaction]]=3,"Neutral",Table1[[#This Row],[Customer_Satisfaction]]=4,"Good",Table1[[#This Row],[Customer_Satisfaction]]=5,"Good")</f>
        <v>Poor</v>
      </c>
    </row>
    <row r="2674" spans="1:27" x14ac:dyDescent="0.35">
      <c r="A2674">
        <v>22672</v>
      </c>
      <c r="B2674" s="1">
        <v>45359</v>
      </c>
      <c r="C2674" t="s">
        <v>50</v>
      </c>
      <c r="D2674" t="s">
        <v>56</v>
      </c>
      <c r="E2674" t="s">
        <v>57</v>
      </c>
      <c r="F2674" t="s">
        <v>40</v>
      </c>
      <c r="G2674" t="s">
        <v>63</v>
      </c>
      <c r="H2674" t="s">
        <v>24</v>
      </c>
      <c r="I2674" t="s">
        <v>55</v>
      </c>
      <c r="J2674" t="s">
        <v>58</v>
      </c>
      <c r="K2674" t="s">
        <v>44</v>
      </c>
      <c r="L2674" t="s">
        <v>28</v>
      </c>
      <c r="M2674" s="4">
        <v>14</v>
      </c>
      <c r="N2674" s="4">
        <v>7</v>
      </c>
      <c r="O2674" t="s">
        <v>29</v>
      </c>
      <c r="P2674" t="s">
        <v>36</v>
      </c>
      <c r="Q2674" s="4">
        <v>460123</v>
      </c>
      <c r="R2674" s="4">
        <v>238412</v>
      </c>
      <c r="S2674" s="4">
        <f>Table1[[#This Row],[Service_Revenue]]-Table1[[#This Row],[Service_Cost]]</f>
        <v>221711</v>
      </c>
      <c r="T2674" s="4">
        <v>2</v>
      </c>
      <c r="U2674" s="4">
        <f>IF(AND(Table1[[#This Row],[Rework_Flag]]="Yes",Table1[[#This Row],[Warranty_Claim]]="No"),Table1[[#This Row],[Service_Revenue]],0)</f>
        <v>460123</v>
      </c>
      <c r="V2674" s="4">
        <f>IF(Table1[[#This Row],[Warranty_Claim]]="Yes",1,0)</f>
        <v>0</v>
      </c>
      <c r="W2674" s="4">
        <f>IF(Table1[[#This Row],[Rework_Flag]]="No",1,0)</f>
        <v>0</v>
      </c>
      <c r="X2674" s="4">
        <f>IF(Table1[[#This Row],[Rework_Flag]]="Yes",1,0)</f>
        <v>1</v>
      </c>
      <c r="Y2674" s="4">
        <v>1</v>
      </c>
      <c r="Z2674" s="4" t="str">
        <f>IF(Table1[[#This Row],[TAT_Days]]&gt;Table1[[#This Row],[SLA_TAT]],"Yes","No")</f>
        <v>Yes</v>
      </c>
      <c r="AA2674" s="4" t="str" cm="1">
        <f t="array" ref="AA2674">_xlfn.IFS(Table1[[#This Row],[Customer_Satisfaction]]&lt;=2,"Poor",Table1[[#This Row],[Customer_Satisfaction]]=3,"Neutral",Table1[[#This Row],[Customer_Satisfaction]]=4,"Good",Table1[[#This Row],[Customer_Satisfaction]]=5,"Good")</f>
        <v>Poor</v>
      </c>
    </row>
    <row r="2675" spans="1:27" x14ac:dyDescent="0.35">
      <c r="A2675">
        <v>22673</v>
      </c>
      <c r="B2675" s="1">
        <v>45390</v>
      </c>
      <c r="C2675" t="s">
        <v>37</v>
      </c>
      <c r="D2675" t="s">
        <v>70</v>
      </c>
      <c r="E2675" t="s">
        <v>91</v>
      </c>
      <c r="F2675" t="s">
        <v>40</v>
      </c>
      <c r="G2675" t="s">
        <v>47</v>
      </c>
      <c r="H2675" t="s">
        <v>48</v>
      </c>
      <c r="I2675" t="s">
        <v>55</v>
      </c>
      <c r="J2675" t="s">
        <v>58</v>
      </c>
      <c r="K2675" t="s">
        <v>61</v>
      </c>
      <c r="L2675" t="s">
        <v>49</v>
      </c>
      <c r="M2675" s="4">
        <v>12</v>
      </c>
      <c r="N2675" s="4">
        <v>7</v>
      </c>
      <c r="O2675" t="s">
        <v>29</v>
      </c>
      <c r="P2675" t="s">
        <v>36</v>
      </c>
      <c r="Q2675" s="4">
        <v>457400</v>
      </c>
      <c r="R2675" s="4">
        <v>288694</v>
      </c>
      <c r="S2675" s="4">
        <f>Table1[[#This Row],[Service_Revenue]]-Table1[[#This Row],[Service_Cost]]</f>
        <v>168706</v>
      </c>
      <c r="T2675" s="4">
        <v>2</v>
      </c>
      <c r="U2675" s="4">
        <f>IF(AND(Table1[[#This Row],[Rework_Flag]]="Yes",Table1[[#This Row],[Warranty_Claim]]="No"),Table1[[#This Row],[Service_Revenue]],0)</f>
        <v>457400</v>
      </c>
      <c r="V2675" s="4">
        <f>IF(Table1[[#This Row],[Warranty_Claim]]="Yes",1,0)</f>
        <v>0</v>
      </c>
      <c r="W2675" s="4">
        <f>IF(Table1[[#This Row],[Rework_Flag]]="No",1,0)</f>
        <v>0</v>
      </c>
      <c r="X2675" s="4">
        <f>IF(Table1[[#This Row],[Rework_Flag]]="Yes",1,0)</f>
        <v>1</v>
      </c>
      <c r="Y2675" s="4">
        <v>1</v>
      </c>
      <c r="Z2675" s="4" t="str">
        <f>IF(Table1[[#This Row],[TAT_Days]]&gt;Table1[[#This Row],[SLA_TAT]],"Yes","No")</f>
        <v>Yes</v>
      </c>
      <c r="AA2675" s="4" t="str" cm="1">
        <f t="array" ref="AA2675">_xlfn.IFS(Table1[[#This Row],[Customer_Satisfaction]]&lt;=2,"Poor",Table1[[#This Row],[Customer_Satisfaction]]=3,"Neutral",Table1[[#This Row],[Customer_Satisfaction]]=4,"Good",Table1[[#This Row],[Customer_Satisfaction]]=5,"Good")</f>
        <v>Poor</v>
      </c>
    </row>
    <row r="2676" spans="1:27" x14ac:dyDescent="0.35">
      <c r="A2676">
        <v>22674</v>
      </c>
      <c r="B2676" s="1">
        <v>45463</v>
      </c>
      <c r="C2676" t="s">
        <v>30</v>
      </c>
      <c r="D2676" t="s">
        <v>59</v>
      </c>
      <c r="E2676" t="s">
        <v>78</v>
      </c>
      <c r="F2676" t="s">
        <v>53</v>
      </c>
      <c r="G2676" t="s">
        <v>74</v>
      </c>
      <c r="H2676" t="s">
        <v>34</v>
      </c>
      <c r="I2676" t="s">
        <v>25</v>
      </c>
      <c r="J2676" t="s">
        <v>67</v>
      </c>
      <c r="K2676" t="s">
        <v>44</v>
      </c>
      <c r="L2676" t="s">
        <v>49</v>
      </c>
      <c r="M2676" s="4">
        <v>11</v>
      </c>
      <c r="N2676" s="4">
        <v>7</v>
      </c>
      <c r="O2676" t="s">
        <v>29</v>
      </c>
      <c r="P2676" t="s">
        <v>36</v>
      </c>
      <c r="Q2676" s="4">
        <v>571467</v>
      </c>
      <c r="R2676" s="4">
        <v>413677</v>
      </c>
      <c r="S2676" s="4">
        <f>Table1[[#This Row],[Service_Revenue]]-Table1[[#This Row],[Service_Cost]]</f>
        <v>157790</v>
      </c>
      <c r="T2676" s="4">
        <v>2</v>
      </c>
      <c r="U2676" s="4">
        <f>IF(AND(Table1[[#This Row],[Rework_Flag]]="Yes",Table1[[#This Row],[Warranty_Claim]]="No"),Table1[[#This Row],[Service_Revenue]],0)</f>
        <v>571467</v>
      </c>
      <c r="V2676" s="4">
        <f>IF(Table1[[#This Row],[Warranty_Claim]]="Yes",1,0)</f>
        <v>0</v>
      </c>
      <c r="W2676" s="4">
        <f>IF(Table1[[#This Row],[Rework_Flag]]="No",1,0)</f>
        <v>0</v>
      </c>
      <c r="X2676" s="4">
        <f>IF(Table1[[#This Row],[Rework_Flag]]="Yes",1,0)</f>
        <v>1</v>
      </c>
      <c r="Y2676" s="4">
        <v>1</v>
      </c>
      <c r="Z2676" s="4" t="str">
        <f>IF(Table1[[#This Row],[TAT_Days]]&gt;Table1[[#This Row],[SLA_TAT]],"Yes","No")</f>
        <v>Yes</v>
      </c>
      <c r="AA2676" s="4" t="str" cm="1">
        <f t="array" ref="AA2676">_xlfn.IFS(Table1[[#This Row],[Customer_Satisfaction]]&lt;=2,"Poor",Table1[[#This Row],[Customer_Satisfaction]]=3,"Neutral",Table1[[#This Row],[Customer_Satisfaction]]=4,"Good",Table1[[#This Row],[Customer_Satisfaction]]=5,"Good")</f>
        <v>Poor</v>
      </c>
    </row>
    <row r="2677" spans="1:27" x14ac:dyDescent="0.35">
      <c r="A2677">
        <v>22675</v>
      </c>
      <c r="B2677" s="1">
        <v>45395</v>
      </c>
      <c r="C2677" t="s">
        <v>30</v>
      </c>
      <c r="D2677" t="s">
        <v>59</v>
      </c>
      <c r="E2677" t="s">
        <v>69</v>
      </c>
      <c r="F2677" t="s">
        <v>53</v>
      </c>
      <c r="G2677" t="s">
        <v>33</v>
      </c>
      <c r="H2677" t="s">
        <v>34</v>
      </c>
      <c r="I2677" t="s">
        <v>25</v>
      </c>
      <c r="J2677" t="s">
        <v>26</v>
      </c>
      <c r="K2677" t="s">
        <v>44</v>
      </c>
      <c r="L2677" t="s">
        <v>49</v>
      </c>
      <c r="M2677" s="4">
        <v>16</v>
      </c>
      <c r="N2677" s="4">
        <v>7</v>
      </c>
      <c r="O2677" t="s">
        <v>29</v>
      </c>
      <c r="P2677" t="s">
        <v>36</v>
      </c>
      <c r="Q2677" s="4">
        <v>208958</v>
      </c>
      <c r="R2677" s="4">
        <v>151767</v>
      </c>
      <c r="S2677" s="4">
        <f>Table1[[#This Row],[Service_Revenue]]-Table1[[#This Row],[Service_Cost]]</f>
        <v>57191</v>
      </c>
      <c r="T2677" s="4">
        <v>1</v>
      </c>
      <c r="U2677" s="4">
        <f>IF(AND(Table1[[#This Row],[Rework_Flag]]="Yes",Table1[[#This Row],[Warranty_Claim]]="No"),Table1[[#This Row],[Service_Revenue]],0)</f>
        <v>208958</v>
      </c>
      <c r="V2677" s="4">
        <f>IF(Table1[[#This Row],[Warranty_Claim]]="Yes",1,0)</f>
        <v>0</v>
      </c>
      <c r="W2677" s="4">
        <f>IF(Table1[[#This Row],[Rework_Flag]]="No",1,0)</f>
        <v>0</v>
      </c>
      <c r="X2677" s="4">
        <f>IF(Table1[[#This Row],[Rework_Flag]]="Yes",1,0)</f>
        <v>1</v>
      </c>
      <c r="Y2677" s="4">
        <v>1</v>
      </c>
      <c r="Z2677" s="4" t="str">
        <f>IF(Table1[[#This Row],[TAT_Days]]&gt;Table1[[#This Row],[SLA_TAT]],"Yes","No")</f>
        <v>Yes</v>
      </c>
      <c r="AA2677" s="4" t="str" cm="1">
        <f t="array" ref="AA2677">_xlfn.IFS(Table1[[#This Row],[Customer_Satisfaction]]&lt;=2,"Poor",Table1[[#This Row],[Customer_Satisfaction]]=3,"Neutral",Table1[[#This Row],[Customer_Satisfaction]]=4,"Good",Table1[[#This Row],[Customer_Satisfaction]]=5,"Good")</f>
        <v>Poor</v>
      </c>
    </row>
    <row r="2678" spans="1:27" x14ac:dyDescent="0.35">
      <c r="A2678">
        <v>22676</v>
      </c>
      <c r="B2678" s="1">
        <v>45431</v>
      </c>
      <c r="C2678" t="s">
        <v>50</v>
      </c>
      <c r="D2678" t="s">
        <v>56</v>
      </c>
      <c r="E2678" t="s">
        <v>101</v>
      </c>
      <c r="F2678" t="s">
        <v>53</v>
      </c>
      <c r="G2678" t="s">
        <v>54</v>
      </c>
      <c r="H2678" t="s">
        <v>42</v>
      </c>
      <c r="I2678" t="s">
        <v>25</v>
      </c>
      <c r="J2678" t="s">
        <v>58</v>
      </c>
      <c r="K2678" t="s">
        <v>27</v>
      </c>
      <c r="L2678" t="s">
        <v>28</v>
      </c>
      <c r="M2678" s="4">
        <v>22</v>
      </c>
      <c r="N2678" s="4">
        <v>7</v>
      </c>
      <c r="O2678" t="s">
        <v>29</v>
      </c>
      <c r="P2678" t="s">
        <v>29</v>
      </c>
      <c r="Q2678" s="4">
        <v>178710</v>
      </c>
      <c r="R2678" s="4">
        <v>139169</v>
      </c>
      <c r="S2678" s="4">
        <f>Table1[[#This Row],[Service_Revenue]]-Table1[[#This Row],[Service_Cost]]</f>
        <v>39541</v>
      </c>
      <c r="T2678" s="4">
        <v>1</v>
      </c>
      <c r="U2678" s="4">
        <f>IF(AND(Table1[[#This Row],[Rework_Flag]]="Yes",Table1[[#This Row],[Warranty_Claim]]="No"),Table1[[#This Row],[Service_Revenue]],0)</f>
        <v>0</v>
      </c>
      <c r="V2678" s="4">
        <f>IF(Table1[[#This Row],[Warranty_Claim]]="Yes",1,0)</f>
        <v>1</v>
      </c>
      <c r="W2678" s="4">
        <f>IF(Table1[[#This Row],[Rework_Flag]]="No",1,0)</f>
        <v>0</v>
      </c>
      <c r="X2678" s="4">
        <f>IF(Table1[[#This Row],[Rework_Flag]]="Yes",1,0)</f>
        <v>1</v>
      </c>
      <c r="Y2678" s="4">
        <v>1</v>
      </c>
      <c r="Z2678" s="4" t="str">
        <f>IF(Table1[[#This Row],[TAT_Days]]&gt;Table1[[#This Row],[SLA_TAT]],"Yes","No")</f>
        <v>Yes</v>
      </c>
      <c r="AA2678" s="4" t="str" cm="1">
        <f t="array" ref="AA2678">_xlfn.IFS(Table1[[#This Row],[Customer_Satisfaction]]&lt;=2,"Poor",Table1[[#This Row],[Customer_Satisfaction]]=3,"Neutral",Table1[[#This Row],[Customer_Satisfaction]]=4,"Good",Table1[[#This Row],[Customer_Satisfaction]]=5,"Good")</f>
        <v>Poor</v>
      </c>
    </row>
    <row r="2679" spans="1:27" x14ac:dyDescent="0.35">
      <c r="A2679">
        <v>22677</v>
      </c>
      <c r="B2679" s="1">
        <v>45350</v>
      </c>
      <c r="C2679" t="s">
        <v>19</v>
      </c>
      <c r="D2679" t="s">
        <v>45</v>
      </c>
      <c r="E2679" t="s">
        <v>111</v>
      </c>
      <c r="F2679" t="s">
        <v>22</v>
      </c>
      <c r="G2679" t="s">
        <v>33</v>
      </c>
      <c r="H2679" t="s">
        <v>34</v>
      </c>
      <c r="I2679" t="s">
        <v>25</v>
      </c>
      <c r="J2679" t="s">
        <v>26</v>
      </c>
      <c r="K2679" t="s">
        <v>27</v>
      </c>
      <c r="L2679" t="s">
        <v>49</v>
      </c>
      <c r="M2679" s="4">
        <v>16</v>
      </c>
      <c r="N2679" s="4">
        <v>7</v>
      </c>
      <c r="O2679" t="s">
        <v>29</v>
      </c>
      <c r="P2679" t="s">
        <v>29</v>
      </c>
      <c r="Q2679" s="4">
        <v>338901</v>
      </c>
      <c r="R2679" s="4">
        <v>191435</v>
      </c>
      <c r="S2679" s="4">
        <f>Table1[[#This Row],[Service_Revenue]]-Table1[[#This Row],[Service_Cost]]</f>
        <v>147466</v>
      </c>
      <c r="T2679" s="4">
        <v>1</v>
      </c>
      <c r="U2679" s="4">
        <f>IF(AND(Table1[[#This Row],[Rework_Flag]]="Yes",Table1[[#This Row],[Warranty_Claim]]="No"),Table1[[#This Row],[Service_Revenue]],0)</f>
        <v>0</v>
      </c>
      <c r="V2679" s="4">
        <f>IF(Table1[[#This Row],[Warranty_Claim]]="Yes",1,0)</f>
        <v>1</v>
      </c>
      <c r="W2679" s="4">
        <f>IF(Table1[[#This Row],[Rework_Flag]]="No",1,0)</f>
        <v>0</v>
      </c>
      <c r="X2679" s="4">
        <f>IF(Table1[[#This Row],[Rework_Flag]]="Yes",1,0)</f>
        <v>1</v>
      </c>
      <c r="Y2679" s="4">
        <v>1</v>
      </c>
      <c r="Z2679" s="4" t="str">
        <f>IF(Table1[[#This Row],[TAT_Days]]&gt;Table1[[#This Row],[SLA_TAT]],"Yes","No")</f>
        <v>Yes</v>
      </c>
      <c r="AA2679" s="4" t="str" cm="1">
        <f t="array" ref="AA2679">_xlfn.IFS(Table1[[#This Row],[Customer_Satisfaction]]&lt;=2,"Poor",Table1[[#This Row],[Customer_Satisfaction]]=3,"Neutral",Table1[[#This Row],[Customer_Satisfaction]]=4,"Good",Table1[[#This Row],[Customer_Satisfaction]]=5,"Good")</f>
        <v>Poor</v>
      </c>
    </row>
    <row r="2680" spans="1:27" x14ac:dyDescent="0.35">
      <c r="A2680">
        <v>22678</v>
      </c>
      <c r="B2680" s="1">
        <v>45321</v>
      </c>
      <c r="C2680" t="s">
        <v>19</v>
      </c>
      <c r="D2680" t="s">
        <v>45</v>
      </c>
      <c r="E2680" t="s">
        <v>46</v>
      </c>
      <c r="F2680" t="s">
        <v>22</v>
      </c>
      <c r="G2680" t="s">
        <v>54</v>
      </c>
      <c r="H2680" t="s">
        <v>42</v>
      </c>
      <c r="I2680" t="s">
        <v>55</v>
      </c>
      <c r="J2680" t="s">
        <v>67</v>
      </c>
      <c r="K2680" t="s">
        <v>44</v>
      </c>
      <c r="L2680" t="s">
        <v>28</v>
      </c>
      <c r="M2680" s="4">
        <v>16</v>
      </c>
      <c r="N2680" s="4">
        <v>7</v>
      </c>
      <c r="O2680" t="s">
        <v>36</v>
      </c>
      <c r="P2680" t="s">
        <v>29</v>
      </c>
      <c r="Q2680" s="4">
        <v>188368</v>
      </c>
      <c r="R2680" s="4">
        <v>149330</v>
      </c>
      <c r="S2680" s="4">
        <f>Table1[[#This Row],[Service_Revenue]]-Table1[[#This Row],[Service_Cost]]</f>
        <v>39038</v>
      </c>
      <c r="T2680" s="4">
        <v>2</v>
      </c>
      <c r="U2680" s="4">
        <f>IF(AND(Table1[[#This Row],[Rework_Flag]]="Yes",Table1[[#This Row],[Warranty_Claim]]="No"),Table1[[#This Row],[Service_Revenue]],0)</f>
        <v>0</v>
      </c>
      <c r="V2680" s="4">
        <f>IF(Table1[[#This Row],[Warranty_Claim]]="Yes",1,0)</f>
        <v>1</v>
      </c>
      <c r="W2680" s="4">
        <f>IF(Table1[[#This Row],[Rework_Flag]]="No",1,0)</f>
        <v>1</v>
      </c>
      <c r="X2680" s="4">
        <f>IF(Table1[[#This Row],[Rework_Flag]]="Yes",1,0)</f>
        <v>0</v>
      </c>
      <c r="Y2680" s="4">
        <v>1</v>
      </c>
      <c r="Z2680" s="4" t="str">
        <f>IF(Table1[[#This Row],[TAT_Days]]&gt;Table1[[#This Row],[SLA_TAT]],"Yes","No")</f>
        <v>Yes</v>
      </c>
      <c r="AA2680" s="4" t="str" cm="1">
        <f t="array" ref="AA2680">_xlfn.IFS(Table1[[#This Row],[Customer_Satisfaction]]&lt;=2,"Poor",Table1[[#This Row],[Customer_Satisfaction]]=3,"Neutral",Table1[[#This Row],[Customer_Satisfaction]]=4,"Good",Table1[[#This Row],[Customer_Satisfaction]]=5,"Good")</f>
        <v>Poor</v>
      </c>
    </row>
    <row r="2681" spans="1:27" x14ac:dyDescent="0.35">
      <c r="A2681">
        <v>22679</v>
      </c>
      <c r="B2681" s="1">
        <v>45354</v>
      </c>
      <c r="C2681" t="s">
        <v>30</v>
      </c>
      <c r="D2681" t="s">
        <v>31</v>
      </c>
      <c r="E2681" t="s">
        <v>32</v>
      </c>
      <c r="F2681" t="s">
        <v>40</v>
      </c>
      <c r="G2681" t="s">
        <v>74</v>
      </c>
      <c r="H2681" t="s">
        <v>34</v>
      </c>
      <c r="I2681" t="s">
        <v>55</v>
      </c>
      <c r="J2681" t="s">
        <v>43</v>
      </c>
      <c r="K2681" t="s">
        <v>44</v>
      </c>
      <c r="L2681" t="s">
        <v>28</v>
      </c>
      <c r="M2681" s="4">
        <v>4</v>
      </c>
      <c r="N2681" s="4">
        <v>7</v>
      </c>
      <c r="O2681" t="s">
        <v>29</v>
      </c>
      <c r="P2681" t="s">
        <v>29</v>
      </c>
      <c r="Q2681" s="4">
        <v>555660</v>
      </c>
      <c r="R2681" s="4">
        <v>350445</v>
      </c>
      <c r="S2681" s="4">
        <f>Table1[[#This Row],[Service_Revenue]]-Table1[[#This Row],[Service_Cost]]</f>
        <v>205215</v>
      </c>
      <c r="T2681" s="4">
        <v>4</v>
      </c>
      <c r="U2681" s="4">
        <f>IF(AND(Table1[[#This Row],[Rework_Flag]]="Yes",Table1[[#This Row],[Warranty_Claim]]="No"),Table1[[#This Row],[Service_Revenue]],0)</f>
        <v>0</v>
      </c>
      <c r="V2681" s="4">
        <f>IF(Table1[[#This Row],[Warranty_Claim]]="Yes",1,0)</f>
        <v>1</v>
      </c>
      <c r="W2681" s="4">
        <f>IF(Table1[[#This Row],[Rework_Flag]]="No",1,0)</f>
        <v>0</v>
      </c>
      <c r="X2681" s="4">
        <f>IF(Table1[[#This Row],[Rework_Flag]]="Yes",1,0)</f>
        <v>1</v>
      </c>
      <c r="Y2681" s="4">
        <v>1</v>
      </c>
      <c r="Z2681" s="4" t="str">
        <f>IF(Table1[[#This Row],[TAT_Days]]&gt;Table1[[#This Row],[SLA_TAT]],"Yes","No")</f>
        <v>No</v>
      </c>
      <c r="AA2681" s="4" t="str" cm="1">
        <f t="array" ref="AA2681">_xlfn.IFS(Table1[[#This Row],[Customer_Satisfaction]]&lt;=2,"Poor",Table1[[#This Row],[Customer_Satisfaction]]=3,"Neutral",Table1[[#This Row],[Customer_Satisfaction]]=4,"Good",Table1[[#This Row],[Customer_Satisfaction]]=5,"Good")</f>
        <v>Good</v>
      </c>
    </row>
    <row r="2682" spans="1:27" x14ac:dyDescent="0.35">
      <c r="A2682">
        <v>22680</v>
      </c>
      <c r="B2682" s="1">
        <v>45330</v>
      </c>
      <c r="C2682" t="s">
        <v>19</v>
      </c>
      <c r="D2682" t="s">
        <v>20</v>
      </c>
      <c r="E2682" t="s">
        <v>21</v>
      </c>
      <c r="F2682" t="s">
        <v>22</v>
      </c>
      <c r="G2682" t="s">
        <v>33</v>
      </c>
      <c r="H2682" t="s">
        <v>34</v>
      </c>
      <c r="I2682" t="s">
        <v>25</v>
      </c>
      <c r="J2682" t="s">
        <v>26</v>
      </c>
      <c r="K2682" t="s">
        <v>61</v>
      </c>
      <c r="L2682" t="s">
        <v>49</v>
      </c>
      <c r="M2682" s="4">
        <v>5</v>
      </c>
      <c r="N2682" s="4">
        <v>7</v>
      </c>
      <c r="O2682" t="s">
        <v>36</v>
      </c>
      <c r="P2682" t="s">
        <v>36</v>
      </c>
      <c r="Q2682" s="4">
        <v>556876</v>
      </c>
      <c r="R2682" s="4">
        <v>308146</v>
      </c>
      <c r="S2682" s="4">
        <f>Table1[[#This Row],[Service_Revenue]]-Table1[[#This Row],[Service_Cost]]</f>
        <v>248730</v>
      </c>
      <c r="T2682" s="4">
        <v>4</v>
      </c>
      <c r="U2682" s="4">
        <f>IF(AND(Table1[[#This Row],[Rework_Flag]]="Yes",Table1[[#This Row],[Warranty_Claim]]="No"),Table1[[#This Row],[Service_Revenue]],0)</f>
        <v>0</v>
      </c>
      <c r="V2682" s="4">
        <f>IF(Table1[[#This Row],[Warranty_Claim]]="Yes",1,0)</f>
        <v>0</v>
      </c>
      <c r="W2682" s="4">
        <f>IF(Table1[[#This Row],[Rework_Flag]]="No",1,0)</f>
        <v>1</v>
      </c>
      <c r="X2682" s="4">
        <f>IF(Table1[[#This Row],[Rework_Flag]]="Yes",1,0)</f>
        <v>0</v>
      </c>
      <c r="Y2682" s="4">
        <v>1</v>
      </c>
      <c r="Z2682" s="4" t="str">
        <f>IF(Table1[[#This Row],[TAT_Days]]&gt;Table1[[#This Row],[SLA_TAT]],"Yes","No")</f>
        <v>No</v>
      </c>
      <c r="AA2682" s="4" t="str" cm="1">
        <f t="array" ref="AA2682">_xlfn.IFS(Table1[[#This Row],[Customer_Satisfaction]]&lt;=2,"Poor",Table1[[#This Row],[Customer_Satisfaction]]=3,"Neutral",Table1[[#This Row],[Customer_Satisfaction]]=4,"Good",Table1[[#This Row],[Customer_Satisfaction]]=5,"Good")</f>
        <v>Good</v>
      </c>
    </row>
    <row r="2683" spans="1:27" x14ac:dyDescent="0.35">
      <c r="A2683">
        <v>22681</v>
      </c>
      <c r="B2683" s="1">
        <v>45415</v>
      </c>
      <c r="C2683" t="s">
        <v>30</v>
      </c>
      <c r="D2683" t="s">
        <v>83</v>
      </c>
      <c r="E2683" t="s">
        <v>119</v>
      </c>
      <c r="F2683" t="s">
        <v>22</v>
      </c>
      <c r="G2683" t="s">
        <v>23</v>
      </c>
      <c r="H2683" t="s">
        <v>24</v>
      </c>
      <c r="I2683" t="s">
        <v>25</v>
      </c>
      <c r="J2683" t="s">
        <v>35</v>
      </c>
      <c r="K2683" t="s">
        <v>44</v>
      </c>
      <c r="L2683" t="s">
        <v>28</v>
      </c>
      <c r="M2683" s="4">
        <v>5</v>
      </c>
      <c r="N2683" s="4">
        <v>7</v>
      </c>
      <c r="O2683" t="s">
        <v>36</v>
      </c>
      <c r="P2683" t="s">
        <v>36</v>
      </c>
      <c r="Q2683" s="4">
        <v>360194</v>
      </c>
      <c r="R2683" s="4">
        <v>237516</v>
      </c>
      <c r="S2683" s="4">
        <f>Table1[[#This Row],[Service_Revenue]]-Table1[[#This Row],[Service_Cost]]</f>
        <v>122678</v>
      </c>
      <c r="T2683" s="4">
        <v>4</v>
      </c>
      <c r="U2683" s="4">
        <f>IF(AND(Table1[[#This Row],[Rework_Flag]]="Yes",Table1[[#This Row],[Warranty_Claim]]="No"),Table1[[#This Row],[Service_Revenue]],0)</f>
        <v>0</v>
      </c>
      <c r="V2683" s="4">
        <f>IF(Table1[[#This Row],[Warranty_Claim]]="Yes",1,0)</f>
        <v>0</v>
      </c>
      <c r="W2683" s="4">
        <f>IF(Table1[[#This Row],[Rework_Flag]]="No",1,0)</f>
        <v>1</v>
      </c>
      <c r="X2683" s="4">
        <f>IF(Table1[[#This Row],[Rework_Flag]]="Yes",1,0)</f>
        <v>0</v>
      </c>
      <c r="Y2683" s="4">
        <v>1</v>
      </c>
      <c r="Z2683" s="4" t="str">
        <f>IF(Table1[[#This Row],[TAT_Days]]&gt;Table1[[#This Row],[SLA_TAT]],"Yes","No")</f>
        <v>No</v>
      </c>
      <c r="AA2683" s="4" t="str" cm="1">
        <f t="array" ref="AA2683">_xlfn.IFS(Table1[[#This Row],[Customer_Satisfaction]]&lt;=2,"Poor",Table1[[#This Row],[Customer_Satisfaction]]=3,"Neutral",Table1[[#This Row],[Customer_Satisfaction]]=4,"Good",Table1[[#This Row],[Customer_Satisfaction]]=5,"Good")</f>
        <v>Good</v>
      </c>
    </row>
    <row r="2684" spans="1:27" x14ac:dyDescent="0.35">
      <c r="A2684">
        <v>22682</v>
      </c>
      <c r="B2684" s="1">
        <v>45400</v>
      </c>
      <c r="C2684" t="s">
        <v>19</v>
      </c>
      <c r="D2684" t="s">
        <v>96</v>
      </c>
      <c r="E2684" t="s">
        <v>109</v>
      </c>
      <c r="F2684" t="s">
        <v>22</v>
      </c>
      <c r="G2684" t="s">
        <v>74</v>
      </c>
      <c r="H2684" t="s">
        <v>34</v>
      </c>
      <c r="I2684" t="s">
        <v>55</v>
      </c>
      <c r="J2684" t="s">
        <v>67</v>
      </c>
      <c r="K2684" t="s">
        <v>44</v>
      </c>
      <c r="L2684" t="s">
        <v>28</v>
      </c>
      <c r="M2684" s="4">
        <v>19</v>
      </c>
      <c r="N2684" s="4">
        <v>7</v>
      </c>
      <c r="O2684" t="s">
        <v>36</v>
      </c>
      <c r="P2684" t="s">
        <v>36</v>
      </c>
      <c r="Q2684" s="4">
        <v>112588</v>
      </c>
      <c r="R2684" s="4">
        <v>75047</v>
      </c>
      <c r="S2684" s="4">
        <f>Table1[[#This Row],[Service_Revenue]]-Table1[[#This Row],[Service_Cost]]</f>
        <v>37541</v>
      </c>
      <c r="T2684" s="4">
        <v>2</v>
      </c>
      <c r="U2684" s="4">
        <f>IF(AND(Table1[[#This Row],[Rework_Flag]]="Yes",Table1[[#This Row],[Warranty_Claim]]="No"),Table1[[#This Row],[Service_Revenue]],0)</f>
        <v>0</v>
      </c>
      <c r="V2684" s="4">
        <f>IF(Table1[[#This Row],[Warranty_Claim]]="Yes",1,0)</f>
        <v>0</v>
      </c>
      <c r="W2684" s="4">
        <f>IF(Table1[[#This Row],[Rework_Flag]]="No",1,0)</f>
        <v>1</v>
      </c>
      <c r="X2684" s="4">
        <f>IF(Table1[[#This Row],[Rework_Flag]]="Yes",1,0)</f>
        <v>0</v>
      </c>
      <c r="Y2684" s="4">
        <v>1</v>
      </c>
      <c r="Z2684" s="4" t="str">
        <f>IF(Table1[[#This Row],[TAT_Days]]&gt;Table1[[#This Row],[SLA_TAT]],"Yes","No")</f>
        <v>Yes</v>
      </c>
      <c r="AA2684" s="4" t="str" cm="1">
        <f t="array" ref="AA2684">_xlfn.IFS(Table1[[#This Row],[Customer_Satisfaction]]&lt;=2,"Poor",Table1[[#This Row],[Customer_Satisfaction]]=3,"Neutral",Table1[[#This Row],[Customer_Satisfaction]]=4,"Good",Table1[[#This Row],[Customer_Satisfaction]]=5,"Good")</f>
        <v>Poor</v>
      </c>
    </row>
    <row r="2685" spans="1:27" x14ac:dyDescent="0.35">
      <c r="A2685">
        <v>22683</v>
      </c>
      <c r="B2685" s="1">
        <v>45384</v>
      </c>
      <c r="C2685" t="s">
        <v>30</v>
      </c>
      <c r="D2685" t="s">
        <v>31</v>
      </c>
      <c r="E2685" t="s">
        <v>106</v>
      </c>
      <c r="F2685" t="s">
        <v>53</v>
      </c>
      <c r="G2685" t="s">
        <v>74</v>
      </c>
      <c r="H2685" t="s">
        <v>34</v>
      </c>
      <c r="I2685" t="s">
        <v>55</v>
      </c>
      <c r="J2685" t="s">
        <v>67</v>
      </c>
      <c r="K2685" t="s">
        <v>44</v>
      </c>
      <c r="L2685" t="s">
        <v>49</v>
      </c>
      <c r="M2685" s="4">
        <v>18</v>
      </c>
      <c r="N2685" s="4">
        <v>7</v>
      </c>
      <c r="O2685" t="s">
        <v>36</v>
      </c>
      <c r="P2685" t="s">
        <v>29</v>
      </c>
      <c r="Q2685" s="4">
        <v>245310</v>
      </c>
      <c r="R2685" s="4">
        <v>158360</v>
      </c>
      <c r="S2685" s="4">
        <f>Table1[[#This Row],[Service_Revenue]]-Table1[[#This Row],[Service_Cost]]</f>
        <v>86950</v>
      </c>
      <c r="T2685" s="4">
        <v>2</v>
      </c>
      <c r="U2685" s="4">
        <f>IF(AND(Table1[[#This Row],[Rework_Flag]]="Yes",Table1[[#This Row],[Warranty_Claim]]="No"),Table1[[#This Row],[Service_Revenue]],0)</f>
        <v>0</v>
      </c>
      <c r="V2685" s="4">
        <f>IF(Table1[[#This Row],[Warranty_Claim]]="Yes",1,0)</f>
        <v>1</v>
      </c>
      <c r="W2685" s="4">
        <f>IF(Table1[[#This Row],[Rework_Flag]]="No",1,0)</f>
        <v>1</v>
      </c>
      <c r="X2685" s="4">
        <f>IF(Table1[[#This Row],[Rework_Flag]]="Yes",1,0)</f>
        <v>0</v>
      </c>
      <c r="Y2685" s="4">
        <v>1</v>
      </c>
      <c r="Z2685" s="4" t="str">
        <f>IF(Table1[[#This Row],[TAT_Days]]&gt;Table1[[#This Row],[SLA_TAT]],"Yes","No")</f>
        <v>Yes</v>
      </c>
      <c r="AA2685" s="4" t="str" cm="1">
        <f t="array" ref="AA2685">_xlfn.IFS(Table1[[#This Row],[Customer_Satisfaction]]&lt;=2,"Poor",Table1[[#This Row],[Customer_Satisfaction]]=3,"Neutral",Table1[[#This Row],[Customer_Satisfaction]]=4,"Good",Table1[[#This Row],[Customer_Satisfaction]]=5,"Good")</f>
        <v>Poor</v>
      </c>
    </row>
    <row r="2686" spans="1:27" x14ac:dyDescent="0.35">
      <c r="A2686">
        <v>22684</v>
      </c>
      <c r="B2686" s="1">
        <v>45328</v>
      </c>
      <c r="C2686" t="s">
        <v>37</v>
      </c>
      <c r="D2686" t="s">
        <v>64</v>
      </c>
      <c r="E2686" t="s">
        <v>103</v>
      </c>
      <c r="F2686" t="s">
        <v>22</v>
      </c>
      <c r="G2686" t="s">
        <v>47</v>
      </c>
      <c r="H2686" t="s">
        <v>48</v>
      </c>
      <c r="I2686" t="s">
        <v>55</v>
      </c>
      <c r="J2686" t="s">
        <v>67</v>
      </c>
      <c r="K2686" t="s">
        <v>61</v>
      </c>
      <c r="L2686" t="s">
        <v>49</v>
      </c>
      <c r="M2686" s="4">
        <v>4</v>
      </c>
      <c r="N2686" s="4">
        <v>7</v>
      </c>
      <c r="O2686" t="s">
        <v>29</v>
      </c>
      <c r="P2686" t="s">
        <v>36</v>
      </c>
      <c r="Q2686" s="4">
        <v>239443</v>
      </c>
      <c r="R2686" s="4">
        <v>176361</v>
      </c>
      <c r="S2686" s="4">
        <f>Table1[[#This Row],[Service_Revenue]]-Table1[[#This Row],[Service_Cost]]</f>
        <v>63082</v>
      </c>
      <c r="T2686" s="4">
        <v>4</v>
      </c>
      <c r="U2686" s="4">
        <f>IF(AND(Table1[[#This Row],[Rework_Flag]]="Yes",Table1[[#This Row],[Warranty_Claim]]="No"),Table1[[#This Row],[Service_Revenue]],0)</f>
        <v>239443</v>
      </c>
      <c r="V2686" s="4">
        <f>IF(Table1[[#This Row],[Warranty_Claim]]="Yes",1,0)</f>
        <v>0</v>
      </c>
      <c r="W2686" s="4">
        <f>IF(Table1[[#This Row],[Rework_Flag]]="No",1,0)</f>
        <v>0</v>
      </c>
      <c r="X2686" s="4">
        <f>IF(Table1[[#This Row],[Rework_Flag]]="Yes",1,0)</f>
        <v>1</v>
      </c>
      <c r="Y2686" s="4">
        <v>1</v>
      </c>
      <c r="Z2686" s="4" t="str">
        <f>IF(Table1[[#This Row],[TAT_Days]]&gt;Table1[[#This Row],[SLA_TAT]],"Yes","No")</f>
        <v>No</v>
      </c>
      <c r="AA2686" s="4" t="str" cm="1">
        <f t="array" ref="AA2686">_xlfn.IFS(Table1[[#This Row],[Customer_Satisfaction]]&lt;=2,"Poor",Table1[[#This Row],[Customer_Satisfaction]]=3,"Neutral",Table1[[#This Row],[Customer_Satisfaction]]=4,"Good",Table1[[#This Row],[Customer_Satisfaction]]=5,"Good")</f>
        <v>Good</v>
      </c>
    </row>
    <row r="2687" spans="1:27" x14ac:dyDescent="0.35">
      <c r="A2687">
        <v>22685</v>
      </c>
      <c r="B2687" s="1">
        <v>45332</v>
      </c>
      <c r="C2687" t="s">
        <v>37</v>
      </c>
      <c r="D2687" t="s">
        <v>70</v>
      </c>
      <c r="E2687" t="s">
        <v>82</v>
      </c>
      <c r="F2687" t="s">
        <v>22</v>
      </c>
      <c r="G2687" t="s">
        <v>54</v>
      </c>
      <c r="H2687" t="s">
        <v>42</v>
      </c>
      <c r="I2687" t="s">
        <v>25</v>
      </c>
      <c r="J2687" t="s">
        <v>67</v>
      </c>
      <c r="K2687" t="s">
        <v>61</v>
      </c>
      <c r="L2687" t="s">
        <v>28</v>
      </c>
      <c r="M2687" s="4">
        <v>4</v>
      </c>
      <c r="N2687" s="4">
        <v>7</v>
      </c>
      <c r="O2687" t="s">
        <v>36</v>
      </c>
      <c r="P2687" t="s">
        <v>29</v>
      </c>
      <c r="Q2687" s="4">
        <v>359776</v>
      </c>
      <c r="R2687" s="4">
        <v>293453</v>
      </c>
      <c r="S2687" s="4">
        <f>Table1[[#This Row],[Service_Revenue]]-Table1[[#This Row],[Service_Cost]]</f>
        <v>66323</v>
      </c>
      <c r="T2687" s="4">
        <v>5</v>
      </c>
      <c r="U2687" s="4">
        <f>IF(AND(Table1[[#This Row],[Rework_Flag]]="Yes",Table1[[#This Row],[Warranty_Claim]]="No"),Table1[[#This Row],[Service_Revenue]],0)</f>
        <v>0</v>
      </c>
      <c r="V2687" s="4">
        <f>IF(Table1[[#This Row],[Warranty_Claim]]="Yes",1,0)</f>
        <v>1</v>
      </c>
      <c r="W2687" s="4">
        <f>IF(Table1[[#This Row],[Rework_Flag]]="No",1,0)</f>
        <v>1</v>
      </c>
      <c r="X2687" s="4">
        <f>IF(Table1[[#This Row],[Rework_Flag]]="Yes",1,0)</f>
        <v>0</v>
      </c>
      <c r="Y2687" s="4">
        <v>1</v>
      </c>
      <c r="Z2687" s="4" t="str">
        <f>IF(Table1[[#This Row],[TAT_Days]]&gt;Table1[[#This Row],[SLA_TAT]],"Yes","No")</f>
        <v>No</v>
      </c>
      <c r="AA2687" s="4" t="str" cm="1">
        <f t="array" ref="AA2687">_xlfn.IFS(Table1[[#This Row],[Customer_Satisfaction]]&lt;=2,"Poor",Table1[[#This Row],[Customer_Satisfaction]]=3,"Neutral",Table1[[#This Row],[Customer_Satisfaction]]=4,"Good",Table1[[#This Row],[Customer_Satisfaction]]=5,"Good")</f>
        <v>Good</v>
      </c>
    </row>
    <row r="2688" spans="1:27" x14ac:dyDescent="0.35">
      <c r="A2688">
        <v>22686</v>
      </c>
      <c r="B2688" s="1">
        <v>45467</v>
      </c>
      <c r="C2688" t="s">
        <v>37</v>
      </c>
      <c r="D2688" t="s">
        <v>70</v>
      </c>
      <c r="E2688" t="s">
        <v>116</v>
      </c>
      <c r="F2688" t="s">
        <v>53</v>
      </c>
      <c r="G2688" t="s">
        <v>41</v>
      </c>
      <c r="H2688" t="s">
        <v>42</v>
      </c>
      <c r="I2688" t="s">
        <v>55</v>
      </c>
      <c r="J2688" t="s">
        <v>58</v>
      </c>
      <c r="K2688" t="s">
        <v>27</v>
      </c>
      <c r="L2688" t="s">
        <v>28</v>
      </c>
      <c r="M2688" s="4">
        <v>21</v>
      </c>
      <c r="N2688" s="4">
        <v>7</v>
      </c>
      <c r="O2688" t="s">
        <v>29</v>
      </c>
      <c r="P2688" t="s">
        <v>36</v>
      </c>
      <c r="Q2688" s="4">
        <v>445014</v>
      </c>
      <c r="R2688" s="4">
        <v>237730</v>
      </c>
      <c r="S2688" s="4">
        <f>Table1[[#This Row],[Service_Revenue]]-Table1[[#This Row],[Service_Cost]]</f>
        <v>207284</v>
      </c>
      <c r="T2688" s="4">
        <v>1</v>
      </c>
      <c r="U2688" s="4">
        <f>IF(AND(Table1[[#This Row],[Rework_Flag]]="Yes",Table1[[#This Row],[Warranty_Claim]]="No"),Table1[[#This Row],[Service_Revenue]],0)</f>
        <v>445014</v>
      </c>
      <c r="V2688" s="4">
        <f>IF(Table1[[#This Row],[Warranty_Claim]]="Yes",1,0)</f>
        <v>0</v>
      </c>
      <c r="W2688" s="4">
        <f>IF(Table1[[#This Row],[Rework_Flag]]="No",1,0)</f>
        <v>0</v>
      </c>
      <c r="X2688" s="4">
        <f>IF(Table1[[#This Row],[Rework_Flag]]="Yes",1,0)</f>
        <v>1</v>
      </c>
      <c r="Y2688" s="4">
        <v>1</v>
      </c>
      <c r="Z2688" s="4" t="str">
        <f>IF(Table1[[#This Row],[TAT_Days]]&gt;Table1[[#This Row],[SLA_TAT]],"Yes","No")</f>
        <v>Yes</v>
      </c>
      <c r="AA2688" s="4" t="str" cm="1">
        <f t="array" ref="AA2688">_xlfn.IFS(Table1[[#This Row],[Customer_Satisfaction]]&lt;=2,"Poor",Table1[[#This Row],[Customer_Satisfaction]]=3,"Neutral",Table1[[#This Row],[Customer_Satisfaction]]=4,"Good",Table1[[#This Row],[Customer_Satisfaction]]=5,"Good")</f>
        <v>Poor</v>
      </c>
    </row>
    <row r="2689" spans="1:27" x14ac:dyDescent="0.35">
      <c r="A2689">
        <v>22687</v>
      </c>
      <c r="B2689" s="1">
        <v>45350</v>
      </c>
      <c r="C2689" t="s">
        <v>30</v>
      </c>
      <c r="D2689" t="s">
        <v>31</v>
      </c>
      <c r="E2689" t="s">
        <v>32</v>
      </c>
      <c r="F2689" t="s">
        <v>22</v>
      </c>
      <c r="G2689" t="s">
        <v>63</v>
      </c>
      <c r="H2689" t="s">
        <v>24</v>
      </c>
      <c r="I2689" t="s">
        <v>55</v>
      </c>
      <c r="J2689" t="s">
        <v>35</v>
      </c>
      <c r="K2689" t="s">
        <v>61</v>
      </c>
      <c r="L2689" t="s">
        <v>49</v>
      </c>
      <c r="M2689" s="4">
        <v>21</v>
      </c>
      <c r="N2689" s="4">
        <v>7</v>
      </c>
      <c r="O2689" t="s">
        <v>29</v>
      </c>
      <c r="P2689" t="s">
        <v>36</v>
      </c>
      <c r="Q2689" s="4">
        <v>234075</v>
      </c>
      <c r="R2689" s="4">
        <v>182881</v>
      </c>
      <c r="S2689" s="4">
        <f>Table1[[#This Row],[Service_Revenue]]-Table1[[#This Row],[Service_Cost]]</f>
        <v>51194</v>
      </c>
      <c r="T2689" s="4">
        <v>1</v>
      </c>
      <c r="U2689" s="4">
        <f>IF(AND(Table1[[#This Row],[Rework_Flag]]="Yes",Table1[[#This Row],[Warranty_Claim]]="No"),Table1[[#This Row],[Service_Revenue]],0)</f>
        <v>234075</v>
      </c>
      <c r="V2689" s="4">
        <f>IF(Table1[[#This Row],[Warranty_Claim]]="Yes",1,0)</f>
        <v>0</v>
      </c>
      <c r="W2689" s="4">
        <f>IF(Table1[[#This Row],[Rework_Flag]]="No",1,0)</f>
        <v>0</v>
      </c>
      <c r="X2689" s="4">
        <f>IF(Table1[[#This Row],[Rework_Flag]]="Yes",1,0)</f>
        <v>1</v>
      </c>
      <c r="Y2689" s="4">
        <v>1</v>
      </c>
      <c r="Z2689" s="4" t="str">
        <f>IF(Table1[[#This Row],[TAT_Days]]&gt;Table1[[#This Row],[SLA_TAT]],"Yes","No")</f>
        <v>Yes</v>
      </c>
      <c r="AA2689" s="4" t="str" cm="1">
        <f t="array" ref="AA2689">_xlfn.IFS(Table1[[#This Row],[Customer_Satisfaction]]&lt;=2,"Poor",Table1[[#This Row],[Customer_Satisfaction]]=3,"Neutral",Table1[[#This Row],[Customer_Satisfaction]]=4,"Good",Table1[[#This Row],[Customer_Satisfaction]]=5,"Good")</f>
        <v>Poor</v>
      </c>
    </row>
    <row r="2690" spans="1:27" x14ac:dyDescent="0.35">
      <c r="A2690">
        <v>22688</v>
      </c>
      <c r="B2690" s="1">
        <v>45407</v>
      </c>
      <c r="C2690" t="s">
        <v>30</v>
      </c>
      <c r="D2690" t="s">
        <v>83</v>
      </c>
      <c r="E2690" t="s">
        <v>90</v>
      </c>
      <c r="F2690" t="s">
        <v>22</v>
      </c>
      <c r="G2690" t="s">
        <v>33</v>
      </c>
      <c r="H2690" t="s">
        <v>34</v>
      </c>
      <c r="I2690" t="s">
        <v>55</v>
      </c>
      <c r="J2690" t="s">
        <v>26</v>
      </c>
      <c r="K2690" t="s">
        <v>44</v>
      </c>
      <c r="L2690" t="s">
        <v>28</v>
      </c>
      <c r="M2690" s="4">
        <v>12</v>
      </c>
      <c r="N2690" s="4">
        <v>7</v>
      </c>
      <c r="O2690" t="s">
        <v>36</v>
      </c>
      <c r="P2690" t="s">
        <v>36</v>
      </c>
      <c r="Q2690" s="4">
        <v>380242</v>
      </c>
      <c r="R2690" s="4">
        <v>322187</v>
      </c>
      <c r="S2690" s="4">
        <f>Table1[[#This Row],[Service_Revenue]]-Table1[[#This Row],[Service_Cost]]</f>
        <v>58055</v>
      </c>
      <c r="T2690" s="4">
        <v>3</v>
      </c>
      <c r="U2690" s="4">
        <f>IF(AND(Table1[[#This Row],[Rework_Flag]]="Yes",Table1[[#This Row],[Warranty_Claim]]="No"),Table1[[#This Row],[Service_Revenue]],0)</f>
        <v>0</v>
      </c>
      <c r="V2690" s="4">
        <f>IF(Table1[[#This Row],[Warranty_Claim]]="Yes",1,0)</f>
        <v>0</v>
      </c>
      <c r="W2690" s="4">
        <f>IF(Table1[[#This Row],[Rework_Flag]]="No",1,0)</f>
        <v>1</v>
      </c>
      <c r="X2690" s="4">
        <f>IF(Table1[[#This Row],[Rework_Flag]]="Yes",1,0)</f>
        <v>0</v>
      </c>
      <c r="Y2690" s="4">
        <v>1</v>
      </c>
      <c r="Z2690" s="4" t="str">
        <f>IF(Table1[[#This Row],[TAT_Days]]&gt;Table1[[#This Row],[SLA_TAT]],"Yes","No")</f>
        <v>Yes</v>
      </c>
      <c r="AA2690" s="4" t="str" cm="1">
        <f t="array" ref="AA2690">_xlfn.IFS(Table1[[#This Row],[Customer_Satisfaction]]&lt;=2,"Poor",Table1[[#This Row],[Customer_Satisfaction]]=3,"Neutral",Table1[[#This Row],[Customer_Satisfaction]]=4,"Good",Table1[[#This Row],[Customer_Satisfaction]]=5,"Good")</f>
        <v>Neutral</v>
      </c>
    </row>
    <row r="2691" spans="1:27" x14ac:dyDescent="0.35">
      <c r="A2691">
        <v>22689</v>
      </c>
      <c r="B2691" s="1">
        <v>45399</v>
      </c>
      <c r="C2691" t="s">
        <v>30</v>
      </c>
      <c r="D2691" t="s">
        <v>83</v>
      </c>
      <c r="E2691" t="s">
        <v>119</v>
      </c>
      <c r="F2691" t="s">
        <v>22</v>
      </c>
      <c r="G2691" t="s">
        <v>63</v>
      </c>
      <c r="H2691" t="s">
        <v>24</v>
      </c>
      <c r="I2691" t="s">
        <v>25</v>
      </c>
      <c r="J2691" t="s">
        <v>35</v>
      </c>
      <c r="K2691" t="s">
        <v>27</v>
      </c>
      <c r="L2691" t="s">
        <v>49</v>
      </c>
      <c r="M2691" s="4">
        <v>14</v>
      </c>
      <c r="N2691" s="4">
        <v>7</v>
      </c>
      <c r="O2691" t="s">
        <v>29</v>
      </c>
      <c r="P2691" t="s">
        <v>36</v>
      </c>
      <c r="Q2691" s="4">
        <v>146183</v>
      </c>
      <c r="R2691" s="4">
        <v>112188</v>
      </c>
      <c r="S2691" s="4">
        <f>Table1[[#This Row],[Service_Revenue]]-Table1[[#This Row],[Service_Cost]]</f>
        <v>33995</v>
      </c>
      <c r="T2691" s="4">
        <v>2</v>
      </c>
      <c r="U2691" s="4">
        <f>IF(AND(Table1[[#This Row],[Rework_Flag]]="Yes",Table1[[#This Row],[Warranty_Claim]]="No"),Table1[[#This Row],[Service_Revenue]],0)</f>
        <v>146183</v>
      </c>
      <c r="V2691" s="4">
        <f>IF(Table1[[#This Row],[Warranty_Claim]]="Yes",1,0)</f>
        <v>0</v>
      </c>
      <c r="W2691" s="4">
        <f>IF(Table1[[#This Row],[Rework_Flag]]="No",1,0)</f>
        <v>0</v>
      </c>
      <c r="X2691" s="4">
        <f>IF(Table1[[#This Row],[Rework_Flag]]="Yes",1,0)</f>
        <v>1</v>
      </c>
      <c r="Y2691" s="4">
        <v>1</v>
      </c>
      <c r="Z2691" s="4" t="str">
        <f>IF(Table1[[#This Row],[TAT_Days]]&gt;Table1[[#This Row],[SLA_TAT]],"Yes","No")</f>
        <v>Yes</v>
      </c>
      <c r="AA2691" s="4" t="str" cm="1">
        <f t="array" ref="AA2691">_xlfn.IFS(Table1[[#This Row],[Customer_Satisfaction]]&lt;=2,"Poor",Table1[[#This Row],[Customer_Satisfaction]]=3,"Neutral",Table1[[#This Row],[Customer_Satisfaction]]=4,"Good",Table1[[#This Row],[Customer_Satisfaction]]=5,"Good")</f>
        <v>Poor</v>
      </c>
    </row>
    <row r="2692" spans="1:27" x14ac:dyDescent="0.35">
      <c r="A2692">
        <v>22690</v>
      </c>
      <c r="B2692" s="1">
        <v>45361</v>
      </c>
      <c r="C2692" t="s">
        <v>30</v>
      </c>
      <c r="D2692" t="s">
        <v>59</v>
      </c>
      <c r="E2692" t="s">
        <v>94</v>
      </c>
      <c r="F2692" t="s">
        <v>40</v>
      </c>
      <c r="G2692" t="s">
        <v>33</v>
      </c>
      <c r="H2692" t="s">
        <v>34</v>
      </c>
      <c r="I2692" t="s">
        <v>55</v>
      </c>
      <c r="J2692" t="s">
        <v>35</v>
      </c>
      <c r="K2692" t="s">
        <v>27</v>
      </c>
      <c r="L2692" t="s">
        <v>49</v>
      </c>
      <c r="M2692" s="4">
        <v>22</v>
      </c>
      <c r="N2692" s="4">
        <v>7</v>
      </c>
      <c r="O2692" t="s">
        <v>29</v>
      </c>
      <c r="P2692" t="s">
        <v>36</v>
      </c>
      <c r="Q2692" s="4">
        <v>338945</v>
      </c>
      <c r="R2692" s="4">
        <v>274415</v>
      </c>
      <c r="S2692" s="4">
        <f>Table1[[#This Row],[Service_Revenue]]-Table1[[#This Row],[Service_Cost]]</f>
        <v>64530</v>
      </c>
      <c r="T2692" s="4">
        <v>1</v>
      </c>
      <c r="U2692" s="4">
        <f>IF(AND(Table1[[#This Row],[Rework_Flag]]="Yes",Table1[[#This Row],[Warranty_Claim]]="No"),Table1[[#This Row],[Service_Revenue]],0)</f>
        <v>338945</v>
      </c>
      <c r="V2692" s="4">
        <f>IF(Table1[[#This Row],[Warranty_Claim]]="Yes",1,0)</f>
        <v>0</v>
      </c>
      <c r="W2692" s="4">
        <f>IF(Table1[[#This Row],[Rework_Flag]]="No",1,0)</f>
        <v>0</v>
      </c>
      <c r="X2692" s="4">
        <f>IF(Table1[[#This Row],[Rework_Flag]]="Yes",1,0)</f>
        <v>1</v>
      </c>
      <c r="Y2692" s="4">
        <v>1</v>
      </c>
      <c r="Z2692" s="4" t="str">
        <f>IF(Table1[[#This Row],[TAT_Days]]&gt;Table1[[#This Row],[SLA_TAT]],"Yes","No")</f>
        <v>Yes</v>
      </c>
      <c r="AA2692" s="4" t="str" cm="1">
        <f t="array" ref="AA2692">_xlfn.IFS(Table1[[#This Row],[Customer_Satisfaction]]&lt;=2,"Poor",Table1[[#This Row],[Customer_Satisfaction]]=3,"Neutral",Table1[[#This Row],[Customer_Satisfaction]]=4,"Good",Table1[[#This Row],[Customer_Satisfaction]]=5,"Good")</f>
        <v>Poor</v>
      </c>
    </row>
    <row r="2693" spans="1:27" x14ac:dyDescent="0.35">
      <c r="A2693">
        <v>22691</v>
      </c>
      <c r="B2693" s="1">
        <v>45451</v>
      </c>
      <c r="C2693" t="s">
        <v>50</v>
      </c>
      <c r="D2693" t="s">
        <v>51</v>
      </c>
      <c r="E2693" t="s">
        <v>52</v>
      </c>
      <c r="F2693" t="s">
        <v>40</v>
      </c>
      <c r="G2693" t="s">
        <v>47</v>
      </c>
      <c r="H2693" t="s">
        <v>48</v>
      </c>
      <c r="I2693" t="s">
        <v>25</v>
      </c>
      <c r="J2693" t="s">
        <v>67</v>
      </c>
      <c r="K2693" t="s">
        <v>44</v>
      </c>
      <c r="L2693" t="s">
        <v>28</v>
      </c>
      <c r="M2693" s="4">
        <v>16</v>
      </c>
      <c r="N2693" s="4">
        <v>7</v>
      </c>
      <c r="O2693" t="s">
        <v>36</v>
      </c>
      <c r="P2693" t="s">
        <v>36</v>
      </c>
      <c r="Q2693" s="4">
        <v>545040</v>
      </c>
      <c r="R2693" s="4">
        <v>385357</v>
      </c>
      <c r="S2693" s="4">
        <f>Table1[[#This Row],[Service_Revenue]]-Table1[[#This Row],[Service_Cost]]</f>
        <v>159683</v>
      </c>
      <c r="T2693" s="4">
        <v>2</v>
      </c>
      <c r="U2693" s="4">
        <f>IF(AND(Table1[[#This Row],[Rework_Flag]]="Yes",Table1[[#This Row],[Warranty_Claim]]="No"),Table1[[#This Row],[Service_Revenue]],0)</f>
        <v>0</v>
      </c>
      <c r="V2693" s="4">
        <f>IF(Table1[[#This Row],[Warranty_Claim]]="Yes",1,0)</f>
        <v>0</v>
      </c>
      <c r="W2693" s="4">
        <f>IF(Table1[[#This Row],[Rework_Flag]]="No",1,0)</f>
        <v>1</v>
      </c>
      <c r="X2693" s="4">
        <f>IF(Table1[[#This Row],[Rework_Flag]]="Yes",1,0)</f>
        <v>0</v>
      </c>
      <c r="Y2693" s="4">
        <v>1</v>
      </c>
      <c r="Z2693" s="4" t="str">
        <f>IF(Table1[[#This Row],[TAT_Days]]&gt;Table1[[#This Row],[SLA_TAT]],"Yes","No")</f>
        <v>Yes</v>
      </c>
      <c r="AA2693" s="4" t="str" cm="1">
        <f t="array" ref="AA2693">_xlfn.IFS(Table1[[#This Row],[Customer_Satisfaction]]&lt;=2,"Poor",Table1[[#This Row],[Customer_Satisfaction]]=3,"Neutral",Table1[[#This Row],[Customer_Satisfaction]]=4,"Good",Table1[[#This Row],[Customer_Satisfaction]]=5,"Good")</f>
        <v>Poor</v>
      </c>
    </row>
    <row r="2694" spans="1:27" x14ac:dyDescent="0.35">
      <c r="A2694">
        <v>22692</v>
      </c>
      <c r="B2694" s="1">
        <v>45329</v>
      </c>
      <c r="C2694" t="s">
        <v>37</v>
      </c>
      <c r="D2694" t="s">
        <v>70</v>
      </c>
      <c r="E2694" t="s">
        <v>91</v>
      </c>
      <c r="F2694" t="s">
        <v>22</v>
      </c>
      <c r="G2694" t="s">
        <v>23</v>
      </c>
      <c r="H2694" t="s">
        <v>24</v>
      </c>
      <c r="I2694" t="s">
        <v>25</v>
      </c>
      <c r="J2694" t="s">
        <v>67</v>
      </c>
      <c r="K2694" t="s">
        <v>44</v>
      </c>
      <c r="L2694" t="s">
        <v>49</v>
      </c>
      <c r="M2694" s="4">
        <v>5</v>
      </c>
      <c r="N2694" s="4">
        <v>7</v>
      </c>
      <c r="O2694" t="s">
        <v>29</v>
      </c>
      <c r="P2694" t="s">
        <v>29</v>
      </c>
      <c r="Q2694" s="4">
        <v>359624</v>
      </c>
      <c r="R2694" s="4">
        <v>209873</v>
      </c>
      <c r="S2694" s="4">
        <f>Table1[[#This Row],[Service_Revenue]]-Table1[[#This Row],[Service_Cost]]</f>
        <v>149751</v>
      </c>
      <c r="T2694" s="4">
        <v>3</v>
      </c>
      <c r="U2694" s="4">
        <f>IF(AND(Table1[[#This Row],[Rework_Flag]]="Yes",Table1[[#This Row],[Warranty_Claim]]="No"),Table1[[#This Row],[Service_Revenue]],0)</f>
        <v>0</v>
      </c>
      <c r="V2694" s="4">
        <f>IF(Table1[[#This Row],[Warranty_Claim]]="Yes",1,0)</f>
        <v>1</v>
      </c>
      <c r="W2694" s="4">
        <f>IF(Table1[[#This Row],[Rework_Flag]]="No",1,0)</f>
        <v>0</v>
      </c>
      <c r="X2694" s="4">
        <f>IF(Table1[[#This Row],[Rework_Flag]]="Yes",1,0)</f>
        <v>1</v>
      </c>
      <c r="Y2694" s="4">
        <v>1</v>
      </c>
      <c r="Z2694" s="4" t="str">
        <f>IF(Table1[[#This Row],[TAT_Days]]&gt;Table1[[#This Row],[SLA_TAT]],"Yes","No")</f>
        <v>No</v>
      </c>
      <c r="AA2694" s="4" t="str" cm="1">
        <f t="array" ref="AA2694">_xlfn.IFS(Table1[[#This Row],[Customer_Satisfaction]]&lt;=2,"Poor",Table1[[#This Row],[Customer_Satisfaction]]=3,"Neutral",Table1[[#This Row],[Customer_Satisfaction]]=4,"Good",Table1[[#This Row],[Customer_Satisfaction]]=5,"Good")</f>
        <v>Neutral</v>
      </c>
    </row>
    <row r="2695" spans="1:27" x14ac:dyDescent="0.35">
      <c r="A2695">
        <v>22693</v>
      </c>
      <c r="B2695" s="1">
        <v>45452</v>
      </c>
      <c r="C2695" t="s">
        <v>37</v>
      </c>
      <c r="D2695" t="s">
        <v>64</v>
      </c>
      <c r="E2695" t="s">
        <v>115</v>
      </c>
      <c r="F2695" t="s">
        <v>40</v>
      </c>
      <c r="G2695" t="s">
        <v>63</v>
      </c>
      <c r="H2695" t="s">
        <v>24</v>
      </c>
      <c r="I2695" t="s">
        <v>55</v>
      </c>
      <c r="J2695" t="s">
        <v>43</v>
      </c>
      <c r="K2695" t="s">
        <v>44</v>
      </c>
      <c r="L2695" t="s">
        <v>28</v>
      </c>
      <c r="M2695" s="4">
        <v>3</v>
      </c>
      <c r="N2695" s="4">
        <v>7</v>
      </c>
      <c r="O2695" t="s">
        <v>36</v>
      </c>
      <c r="P2695" t="s">
        <v>29</v>
      </c>
      <c r="Q2695" s="4">
        <v>564214</v>
      </c>
      <c r="R2695" s="4">
        <v>341432</v>
      </c>
      <c r="S2695" s="4">
        <f>Table1[[#This Row],[Service_Revenue]]-Table1[[#This Row],[Service_Cost]]</f>
        <v>222782</v>
      </c>
      <c r="T2695" s="4">
        <v>5</v>
      </c>
      <c r="U2695" s="4">
        <f>IF(AND(Table1[[#This Row],[Rework_Flag]]="Yes",Table1[[#This Row],[Warranty_Claim]]="No"),Table1[[#This Row],[Service_Revenue]],0)</f>
        <v>0</v>
      </c>
      <c r="V2695" s="4">
        <f>IF(Table1[[#This Row],[Warranty_Claim]]="Yes",1,0)</f>
        <v>1</v>
      </c>
      <c r="W2695" s="4">
        <f>IF(Table1[[#This Row],[Rework_Flag]]="No",1,0)</f>
        <v>1</v>
      </c>
      <c r="X2695" s="4">
        <f>IF(Table1[[#This Row],[Rework_Flag]]="Yes",1,0)</f>
        <v>0</v>
      </c>
      <c r="Y2695" s="4">
        <v>1</v>
      </c>
      <c r="Z2695" s="4" t="str">
        <f>IF(Table1[[#This Row],[TAT_Days]]&gt;Table1[[#This Row],[SLA_TAT]],"Yes","No")</f>
        <v>No</v>
      </c>
      <c r="AA2695" s="4" t="str" cm="1">
        <f t="array" ref="AA2695">_xlfn.IFS(Table1[[#This Row],[Customer_Satisfaction]]&lt;=2,"Poor",Table1[[#This Row],[Customer_Satisfaction]]=3,"Neutral",Table1[[#This Row],[Customer_Satisfaction]]=4,"Good",Table1[[#This Row],[Customer_Satisfaction]]=5,"Good")</f>
        <v>Good</v>
      </c>
    </row>
    <row r="2696" spans="1:27" x14ac:dyDescent="0.35">
      <c r="A2696">
        <v>22694</v>
      </c>
      <c r="B2696" s="1">
        <v>45310</v>
      </c>
      <c r="C2696" t="s">
        <v>37</v>
      </c>
      <c r="D2696" t="s">
        <v>70</v>
      </c>
      <c r="E2696" t="s">
        <v>71</v>
      </c>
      <c r="F2696" t="s">
        <v>53</v>
      </c>
      <c r="G2696" t="s">
        <v>33</v>
      </c>
      <c r="H2696" t="s">
        <v>34</v>
      </c>
      <c r="I2696" t="s">
        <v>25</v>
      </c>
      <c r="J2696" t="s">
        <v>26</v>
      </c>
      <c r="K2696" t="s">
        <v>44</v>
      </c>
      <c r="L2696" t="s">
        <v>28</v>
      </c>
      <c r="M2696" s="4">
        <v>11</v>
      </c>
      <c r="N2696" s="4">
        <v>7</v>
      </c>
      <c r="O2696" t="s">
        <v>29</v>
      </c>
      <c r="P2696" t="s">
        <v>36</v>
      </c>
      <c r="Q2696" s="4">
        <v>584390</v>
      </c>
      <c r="R2696" s="4">
        <v>292554</v>
      </c>
      <c r="S2696" s="4">
        <f>Table1[[#This Row],[Service_Revenue]]-Table1[[#This Row],[Service_Cost]]</f>
        <v>291836</v>
      </c>
      <c r="T2696" s="4">
        <v>2</v>
      </c>
      <c r="U2696" s="4">
        <f>IF(AND(Table1[[#This Row],[Rework_Flag]]="Yes",Table1[[#This Row],[Warranty_Claim]]="No"),Table1[[#This Row],[Service_Revenue]],0)</f>
        <v>584390</v>
      </c>
      <c r="V2696" s="4">
        <f>IF(Table1[[#This Row],[Warranty_Claim]]="Yes",1,0)</f>
        <v>0</v>
      </c>
      <c r="W2696" s="4">
        <f>IF(Table1[[#This Row],[Rework_Flag]]="No",1,0)</f>
        <v>0</v>
      </c>
      <c r="X2696" s="4">
        <f>IF(Table1[[#This Row],[Rework_Flag]]="Yes",1,0)</f>
        <v>1</v>
      </c>
      <c r="Y2696" s="4">
        <v>1</v>
      </c>
      <c r="Z2696" s="4" t="str">
        <f>IF(Table1[[#This Row],[TAT_Days]]&gt;Table1[[#This Row],[SLA_TAT]],"Yes","No")</f>
        <v>Yes</v>
      </c>
      <c r="AA2696" s="4" t="str" cm="1">
        <f t="array" ref="AA2696">_xlfn.IFS(Table1[[#This Row],[Customer_Satisfaction]]&lt;=2,"Poor",Table1[[#This Row],[Customer_Satisfaction]]=3,"Neutral",Table1[[#This Row],[Customer_Satisfaction]]=4,"Good",Table1[[#This Row],[Customer_Satisfaction]]=5,"Good")</f>
        <v>Poor</v>
      </c>
    </row>
    <row r="2697" spans="1:27" x14ac:dyDescent="0.35">
      <c r="A2697">
        <v>22695</v>
      </c>
      <c r="B2697" s="1">
        <v>45444</v>
      </c>
      <c r="C2697" t="s">
        <v>50</v>
      </c>
      <c r="D2697" t="s">
        <v>80</v>
      </c>
      <c r="E2697" t="s">
        <v>118</v>
      </c>
      <c r="F2697" t="s">
        <v>53</v>
      </c>
      <c r="G2697" t="s">
        <v>33</v>
      </c>
      <c r="H2697" t="s">
        <v>34</v>
      </c>
      <c r="I2697" t="s">
        <v>55</v>
      </c>
      <c r="J2697" t="s">
        <v>35</v>
      </c>
      <c r="K2697" t="s">
        <v>27</v>
      </c>
      <c r="L2697" t="s">
        <v>49</v>
      </c>
      <c r="M2697" s="4">
        <v>6</v>
      </c>
      <c r="N2697" s="4">
        <v>7</v>
      </c>
      <c r="O2697" t="s">
        <v>29</v>
      </c>
      <c r="P2697" t="s">
        <v>36</v>
      </c>
      <c r="Q2697" s="4">
        <v>565908</v>
      </c>
      <c r="R2697" s="4">
        <v>313557</v>
      </c>
      <c r="S2697" s="4">
        <f>Table1[[#This Row],[Service_Revenue]]-Table1[[#This Row],[Service_Cost]]</f>
        <v>252351</v>
      </c>
      <c r="T2697" s="4">
        <v>3</v>
      </c>
      <c r="U2697" s="4">
        <f>IF(AND(Table1[[#This Row],[Rework_Flag]]="Yes",Table1[[#This Row],[Warranty_Claim]]="No"),Table1[[#This Row],[Service_Revenue]],0)</f>
        <v>565908</v>
      </c>
      <c r="V2697" s="4">
        <f>IF(Table1[[#This Row],[Warranty_Claim]]="Yes",1,0)</f>
        <v>0</v>
      </c>
      <c r="W2697" s="4">
        <f>IF(Table1[[#This Row],[Rework_Flag]]="No",1,0)</f>
        <v>0</v>
      </c>
      <c r="X2697" s="4">
        <f>IF(Table1[[#This Row],[Rework_Flag]]="Yes",1,0)</f>
        <v>1</v>
      </c>
      <c r="Y2697" s="4">
        <v>1</v>
      </c>
      <c r="Z2697" s="4" t="str">
        <f>IF(Table1[[#This Row],[TAT_Days]]&gt;Table1[[#This Row],[SLA_TAT]],"Yes","No")</f>
        <v>No</v>
      </c>
      <c r="AA2697" s="4" t="str" cm="1">
        <f t="array" ref="AA2697">_xlfn.IFS(Table1[[#This Row],[Customer_Satisfaction]]&lt;=2,"Poor",Table1[[#This Row],[Customer_Satisfaction]]=3,"Neutral",Table1[[#This Row],[Customer_Satisfaction]]=4,"Good",Table1[[#This Row],[Customer_Satisfaction]]=5,"Good")</f>
        <v>Neutral</v>
      </c>
    </row>
    <row r="2698" spans="1:27" x14ac:dyDescent="0.35">
      <c r="A2698">
        <v>22696</v>
      </c>
      <c r="B2698" s="1">
        <v>45323</v>
      </c>
      <c r="C2698" t="s">
        <v>50</v>
      </c>
      <c r="D2698" t="s">
        <v>51</v>
      </c>
      <c r="E2698" t="s">
        <v>73</v>
      </c>
      <c r="F2698" t="s">
        <v>22</v>
      </c>
      <c r="G2698" t="s">
        <v>54</v>
      </c>
      <c r="H2698" t="s">
        <v>42</v>
      </c>
      <c r="I2698" t="s">
        <v>25</v>
      </c>
      <c r="J2698" t="s">
        <v>67</v>
      </c>
      <c r="K2698" t="s">
        <v>61</v>
      </c>
      <c r="L2698" t="s">
        <v>49</v>
      </c>
      <c r="M2698" s="4">
        <v>22</v>
      </c>
      <c r="N2698" s="4">
        <v>7</v>
      </c>
      <c r="O2698" t="s">
        <v>29</v>
      </c>
      <c r="P2698" t="s">
        <v>36</v>
      </c>
      <c r="Q2698" s="4">
        <v>425920</v>
      </c>
      <c r="R2698" s="4">
        <v>270313</v>
      </c>
      <c r="S2698" s="4">
        <f>Table1[[#This Row],[Service_Revenue]]-Table1[[#This Row],[Service_Cost]]</f>
        <v>155607</v>
      </c>
      <c r="T2698" s="4">
        <v>1</v>
      </c>
      <c r="U2698" s="4">
        <f>IF(AND(Table1[[#This Row],[Rework_Flag]]="Yes",Table1[[#This Row],[Warranty_Claim]]="No"),Table1[[#This Row],[Service_Revenue]],0)</f>
        <v>425920</v>
      </c>
      <c r="V2698" s="4">
        <f>IF(Table1[[#This Row],[Warranty_Claim]]="Yes",1,0)</f>
        <v>0</v>
      </c>
      <c r="W2698" s="4">
        <f>IF(Table1[[#This Row],[Rework_Flag]]="No",1,0)</f>
        <v>0</v>
      </c>
      <c r="X2698" s="4">
        <f>IF(Table1[[#This Row],[Rework_Flag]]="Yes",1,0)</f>
        <v>1</v>
      </c>
      <c r="Y2698" s="4">
        <v>1</v>
      </c>
      <c r="Z2698" s="4" t="str">
        <f>IF(Table1[[#This Row],[TAT_Days]]&gt;Table1[[#This Row],[SLA_TAT]],"Yes","No")</f>
        <v>Yes</v>
      </c>
      <c r="AA2698" s="4" t="str" cm="1">
        <f t="array" ref="AA2698">_xlfn.IFS(Table1[[#This Row],[Customer_Satisfaction]]&lt;=2,"Poor",Table1[[#This Row],[Customer_Satisfaction]]=3,"Neutral",Table1[[#This Row],[Customer_Satisfaction]]=4,"Good",Table1[[#This Row],[Customer_Satisfaction]]=5,"Good")</f>
        <v>Poor</v>
      </c>
    </row>
    <row r="2699" spans="1:27" x14ac:dyDescent="0.35">
      <c r="A2699">
        <v>22697</v>
      </c>
      <c r="B2699" s="1">
        <v>45411</v>
      </c>
      <c r="C2699" t="s">
        <v>30</v>
      </c>
      <c r="D2699" t="s">
        <v>83</v>
      </c>
      <c r="E2699" t="s">
        <v>84</v>
      </c>
      <c r="F2699" t="s">
        <v>22</v>
      </c>
      <c r="G2699" t="s">
        <v>63</v>
      </c>
      <c r="H2699" t="s">
        <v>24</v>
      </c>
      <c r="I2699" t="s">
        <v>25</v>
      </c>
      <c r="J2699" t="s">
        <v>35</v>
      </c>
      <c r="K2699" t="s">
        <v>44</v>
      </c>
      <c r="L2699" t="s">
        <v>49</v>
      </c>
      <c r="M2699" s="4">
        <v>17</v>
      </c>
      <c r="N2699" s="4">
        <v>7</v>
      </c>
      <c r="O2699" t="s">
        <v>36</v>
      </c>
      <c r="P2699" t="s">
        <v>29</v>
      </c>
      <c r="Q2699" s="4">
        <v>574969</v>
      </c>
      <c r="R2699" s="4">
        <v>349894</v>
      </c>
      <c r="S2699" s="4">
        <f>Table1[[#This Row],[Service_Revenue]]-Table1[[#This Row],[Service_Cost]]</f>
        <v>225075</v>
      </c>
      <c r="T2699" s="4">
        <v>2</v>
      </c>
      <c r="U2699" s="4">
        <f>IF(AND(Table1[[#This Row],[Rework_Flag]]="Yes",Table1[[#This Row],[Warranty_Claim]]="No"),Table1[[#This Row],[Service_Revenue]],0)</f>
        <v>0</v>
      </c>
      <c r="V2699" s="4">
        <f>IF(Table1[[#This Row],[Warranty_Claim]]="Yes",1,0)</f>
        <v>1</v>
      </c>
      <c r="W2699" s="4">
        <f>IF(Table1[[#This Row],[Rework_Flag]]="No",1,0)</f>
        <v>1</v>
      </c>
      <c r="X2699" s="4">
        <f>IF(Table1[[#This Row],[Rework_Flag]]="Yes",1,0)</f>
        <v>0</v>
      </c>
      <c r="Y2699" s="4">
        <v>1</v>
      </c>
      <c r="Z2699" s="4" t="str">
        <f>IF(Table1[[#This Row],[TAT_Days]]&gt;Table1[[#This Row],[SLA_TAT]],"Yes","No")</f>
        <v>Yes</v>
      </c>
      <c r="AA2699" s="4" t="str" cm="1">
        <f t="array" ref="AA2699">_xlfn.IFS(Table1[[#This Row],[Customer_Satisfaction]]&lt;=2,"Poor",Table1[[#This Row],[Customer_Satisfaction]]=3,"Neutral",Table1[[#This Row],[Customer_Satisfaction]]=4,"Good",Table1[[#This Row],[Customer_Satisfaction]]=5,"Good")</f>
        <v>Poor</v>
      </c>
    </row>
    <row r="2700" spans="1:27" x14ac:dyDescent="0.35">
      <c r="A2700">
        <v>22698</v>
      </c>
      <c r="B2700" s="1">
        <v>45338</v>
      </c>
      <c r="C2700" t="s">
        <v>50</v>
      </c>
      <c r="D2700" t="s">
        <v>51</v>
      </c>
      <c r="E2700" t="s">
        <v>73</v>
      </c>
      <c r="F2700" t="s">
        <v>53</v>
      </c>
      <c r="G2700" t="s">
        <v>41</v>
      </c>
      <c r="H2700" t="s">
        <v>42</v>
      </c>
      <c r="I2700" t="s">
        <v>55</v>
      </c>
      <c r="J2700" t="s">
        <v>26</v>
      </c>
      <c r="K2700" t="s">
        <v>44</v>
      </c>
      <c r="L2700" t="s">
        <v>28</v>
      </c>
      <c r="M2700" s="4">
        <v>7</v>
      </c>
      <c r="N2700" s="4">
        <v>7</v>
      </c>
      <c r="O2700" t="s">
        <v>29</v>
      </c>
      <c r="P2700" t="s">
        <v>36</v>
      </c>
      <c r="Q2700" s="4">
        <v>487367</v>
      </c>
      <c r="R2700" s="4">
        <v>394235</v>
      </c>
      <c r="S2700" s="4">
        <f>Table1[[#This Row],[Service_Revenue]]-Table1[[#This Row],[Service_Cost]]</f>
        <v>93132</v>
      </c>
      <c r="T2700" s="4">
        <v>3</v>
      </c>
      <c r="U2700" s="4">
        <f>IF(AND(Table1[[#This Row],[Rework_Flag]]="Yes",Table1[[#This Row],[Warranty_Claim]]="No"),Table1[[#This Row],[Service_Revenue]],0)</f>
        <v>487367</v>
      </c>
      <c r="V2700" s="4">
        <f>IF(Table1[[#This Row],[Warranty_Claim]]="Yes",1,0)</f>
        <v>0</v>
      </c>
      <c r="W2700" s="4">
        <f>IF(Table1[[#This Row],[Rework_Flag]]="No",1,0)</f>
        <v>0</v>
      </c>
      <c r="X2700" s="4">
        <f>IF(Table1[[#This Row],[Rework_Flag]]="Yes",1,0)</f>
        <v>1</v>
      </c>
      <c r="Y2700" s="4">
        <v>1</v>
      </c>
      <c r="Z2700" s="4" t="str">
        <f>IF(Table1[[#This Row],[TAT_Days]]&gt;Table1[[#This Row],[SLA_TAT]],"Yes","No")</f>
        <v>No</v>
      </c>
      <c r="AA2700" s="4" t="str" cm="1">
        <f t="array" ref="AA2700">_xlfn.IFS(Table1[[#This Row],[Customer_Satisfaction]]&lt;=2,"Poor",Table1[[#This Row],[Customer_Satisfaction]]=3,"Neutral",Table1[[#This Row],[Customer_Satisfaction]]=4,"Good",Table1[[#This Row],[Customer_Satisfaction]]=5,"Good")</f>
        <v>Neutral</v>
      </c>
    </row>
    <row r="2701" spans="1:27" x14ac:dyDescent="0.35">
      <c r="A2701">
        <v>22699</v>
      </c>
      <c r="B2701" s="1">
        <v>45414</v>
      </c>
      <c r="C2701" t="s">
        <v>50</v>
      </c>
      <c r="D2701" t="s">
        <v>80</v>
      </c>
      <c r="E2701" t="s">
        <v>104</v>
      </c>
      <c r="F2701" t="s">
        <v>40</v>
      </c>
      <c r="G2701" t="s">
        <v>54</v>
      </c>
      <c r="H2701" t="s">
        <v>42</v>
      </c>
      <c r="I2701" t="s">
        <v>55</v>
      </c>
      <c r="J2701" t="s">
        <v>67</v>
      </c>
      <c r="K2701" t="s">
        <v>27</v>
      </c>
      <c r="L2701" t="s">
        <v>28</v>
      </c>
      <c r="M2701" s="4">
        <v>15</v>
      </c>
      <c r="N2701" s="4">
        <v>7</v>
      </c>
      <c r="O2701" t="s">
        <v>29</v>
      </c>
      <c r="P2701" t="s">
        <v>36</v>
      </c>
      <c r="Q2701" s="4">
        <v>168656</v>
      </c>
      <c r="R2701" s="4">
        <v>124847</v>
      </c>
      <c r="S2701" s="4">
        <f>Table1[[#This Row],[Service_Revenue]]-Table1[[#This Row],[Service_Cost]]</f>
        <v>43809</v>
      </c>
      <c r="T2701" s="4">
        <v>1</v>
      </c>
      <c r="U2701" s="4">
        <f>IF(AND(Table1[[#This Row],[Rework_Flag]]="Yes",Table1[[#This Row],[Warranty_Claim]]="No"),Table1[[#This Row],[Service_Revenue]],0)</f>
        <v>168656</v>
      </c>
      <c r="V2701" s="4">
        <f>IF(Table1[[#This Row],[Warranty_Claim]]="Yes",1,0)</f>
        <v>0</v>
      </c>
      <c r="W2701" s="4">
        <f>IF(Table1[[#This Row],[Rework_Flag]]="No",1,0)</f>
        <v>0</v>
      </c>
      <c r="X2701" s="4">
        <f>IF(Table1[[#This Row],[Rework_Flag]]="Yes",1,0)</f>
        <v>1</v>
      </c>
      <c r="Y2701" s="4">
        <v>1</v>
      </c>
      <c r="Z2701" s="4" t="str">
        <f>IF(Table1[[#This Row],[TAT_Days]]&gt;Table1[[#This Row],[SLA_TAT]],"Yes","No")</f>
        <v>Yes</v>
      </c>
      <c r="AA2701" s="4" t="str" cm="1">
        <f t="array" ref="AA2701">_xlfn.IFS(Table1[[#This Row],[Customer_Satisfaction]]&lt;=2,"Poor",Table1[[#This Row],[Customer_Satisfaction]]=3,"Neutral",Table1[[#This Row],[Customer_Satisfaction]]=4,"Good",Table1[[#This Row],[Customer_Satisfaction]]=5,"Good")</f>
        <v>Poor</v>
      </c>
    </row>
    <row r="2702" spans="1:27" x14ac:dyDescent="0.35">
      <c r="A2702">
        <v>22700</v>
      </c>
      <c r="B2702" s="1">
        <v>45312</v>
      </c>
      <c r="C2702" t="s">
        <v>19</v>
      </c>
      <c r="D2702" t="s">
        <v>20</v>
      </c>
      <c r="E2702" t="s">
        <v>86</v>
      </c>
      <c r="F2702" t="s">
        <v>22</v>
      </c>
      <c r="G2702" t="s">
        <v>54</v>
      </c>
      <c r="H2702" t="s">
        <v>42</v>
      </c>
      <c r="I2702" t="s">
        <v>25</v>
      </c>
      <c r="J2702" t="s">
        <v>43</v>
      </c>
      <c r="K2702" t="s">
        <v>27</v>
      </c>
      <c r="L2702" t="s">
        <v>49</v>
      </c>
      <c r="M2702" s="4">
        <v>21</v>
      </c>
      <c r="N2702" s="4">
        <v>7</v>
      </c>
      <c r="O2702" t="s">
        <v>29</v>
      </c>
      <c r="P2702" t="s">
        <v>36</v>
      </c>
      <c r="Q2702" s="4">
        <v>344944</v>
      </c>
      <c r="R2702" s="4">
        <v>260987</v>
      </c>
      <c r="S2702" s="4">
        <f>Table1[[#This Row],[Service_Revenue]]-Table1[[#This Row],[Service_Cost]]</f>
        <v>83957</v>
      </c>
      <c r="T2702" s="4">
        <v>1</v>
      </c>
      <c r="U2702" s="4">
        <f>IF(AND(Table1[[#This Row],[Rework_Flag]]="Yes",Table1[[#This Row],[Warranty_Claim]]="No"),Table1[[#This Row],[Service_Revenue]],0)</f>
        <v>344944</v>
      </c>
      <c r="V2702" s="4">
        <f>IF(Table1[[#This Row],[Warranty_Claim]]="Yes",1,0)</f>
        <v>0</v>
      </c>
      <c r="W2702" s="4">
        <f>IF(Table1[[#This Row],[Rework_Flag]]="No",1,0)</f>
        <v>0</v>
      </c>
      <c r="X2702" s="4">
        <f>IF(Table1[[#This Row],[Rework_Flag]]="Yes",1,0)</f>
        <v>1</v>
      </c>
      <c r="Y2702" s="4">
        <v>1</v>
      </c>
      <c r="Z2702" s="4" t="str">
        <f>IF(Table1[[#This Row],[TAT_Days]]&gt;Table1[[#This Row],[SLA_TAT]],"Yes","No")</f>
        <v>Yes</v>
      </c>
      <c r="AA2702" s="4" t="str" cm="1">
        <f t="array" ref="AA2702">_xlfn.IFS(Table1[[#This Row],[Customer_Satisfaction]]&lt;=2,"Poor",Table1[[#This Row],[Customer_Satisfaction]]=3,"Neutral",Table1[[#This Row],[Customer_Satisfaction]]=4,"Good",Table1[[#This Row],[Customer_Satisfaction]]=5,"Good")</f>
        <v>Poor</v>
      </c>
    </row>
    <row r="2703" spans="1:27" x14ac:dyDescent="0.35">
      <c r="A2703">
        <v>22701</v>
      </c>
      <c r="B2703" s="1">
        <v>45377</v>
      </c>
      <c r="C2703" t="s">
        <v>19</v>
      </c>
      <c r="D2703" t="s">
        <v>45</v>
      </c>
      <c r="E2703" t="s">
        <v>99</v>
      </c>
      <c r="F2703" t="s">
        <v>40</v>
      </c>
      <c r="G2703" t="s">
        <v>74</v>
      </c>
      <c r="H2703" t="s">
        <v>34</v>
      </c>
      <c r="I2703" t="s">
        <v>55</v>
      </c>
      <c r="J2703" t="s">
        <v>67</v>
      </c>
      <c r="K2703" t="s">
        <v>27</v>
      </c>
      <c r="L2703" t="s">
        <v>28</v>
      </c>
      <c r="M2703" s="4">
        <v>18</v>
      </c>
      <c r="N2703" s="4">
        <v>7</v>
      </c>
      <c r="O2703" t="s">
        <v>29</v>
      </c>
      <c r="P2703" t="s">
        <v>29</v>
      </c>
      <c r="Q2703" s="4">
        <v>281873</v>
      </c>
      <c r="R2703" s="4">
        <v>237521</v>
      </c>
      <c r="S2703" s="4">
        <f>Table1[[#This Row],[Service_Revenue]]-Table1[[#This Row],[Service_Cost]]</f>
        <v>44352</v>
      </c>
      <c r="T2703" s="4">
        <v>1</v>
      </c>
      <c r="U2703" s="4">
        <f>IF(AND(Table1[[#This Row],[Rework_Flag]]="Yes",Table1[[#This Row],[Warranty_Claim]]="No"),Table1[[#This Row],[Service_Revenue]],0)</f>
        <v>0</v>
      </c>
      <c r="V2703" s="4">
        <f>IF(Table1[[#This Row],[Warranty_Claim]]="Yes",1,0)</f>
        <v>1</v>
      </c>
      <c r="W2703" s="4">
        <f>IF(Table1[[#This Row],[Rework_Flag]]="No",1,0)</f>
        <v>0</v>
      </c>
      <c r="X2703" s="4">
        <f>IF(Table1[[#This Row],[Rework_Flag]]="Yes",1,0)</f>
        <v>1</v>
      </c>
      <c r="Y2703" s="4">
        <v>1</v>
      </c>
      <c r="Z2703" s="4" t="str">
        <f>IF(Table1[[#This Row],[TAT_Days]]&gt;Table1[[#This Row],[SLA_TAT]],"Yes","No")</f>
        <v>Yes</v>
      </c>
      <c r="AA2703" s="4" t="str" cm="1">
        <f t="array" ref="AA2703">_xlfn.IFS(Table1[[#This Row],[Customer_Satisfaction]]&lt;=2,"Poor",Table1[[#This Row],[Customer_Satisfaction]]=3,"Neutral",Table1[[#This Row],[Customer_Satisfaction]]=4,"Good",Table1[[#This Row],[Customer_Satisfaction]]=5,"Good")</f>
        <v>Poor</v>
      </c>
    </row>
    <row r="2704" spans="1:27" x14ac:dyDescent="0.35">
      <c r="A2704">
        <v>22702</v>
      </c>
      <c r="B2704" s="1">
        <v>45399</v>
      </c>
      <c r="C2704" t="s">
        <v>50</v>
      </c>
      <c r="D2704" t="s">
        <v>80</v>
      </c>
      <c r="E2704" t="s">
        <v>118</v>
      </c>
      <c r="F2704" t="s">
        <v>53</v>
      </c>
      <c r="G2704" t="s">
        <v>23</v>
      </c>
      <c r="H2704" t="s">
        <v>24</v>
      </c>
      <c r="I2704" t="s">
        <v>55</v>
      </c>
      <c r="J2704" t="s">
        <v>43</v>
      </c>
      <c r="K2704" t="s">
        <v>61</v>
      </c>
      <c r="L2704" t="s">
        <v>28</v>
      </c>
      <c r="M2704" s="4">
        <v>9</v>
      </c>
      <c r="N2704" s="4">
        <v>7</v>
      </c>
      <c r="O2704" t="s">
        <v>29</v>
      </c>
      <c r="P2704" t="s">
        <v>36</v>
      </c>
      <c r="Q2704" s="4">
        <v>223975</v>
      </c>
      <c r="R2704" s="4">
        <v>171747</v>
      </c>
      <c r="S2704" s="4">
        <f>Table1[[#This Row],[Service_Revenue]]-Table1[[#This Row],[Service_Cost]]</f>
        <v>52228</v>
      </c>
      <c r="T2704" s="4">
        <v>3</v>
      </c>
      <c r="U2704" s="4">
        <f>IF(AND(Table1[[#This Row],[Rework_Flag]]="Yes",Table1[[#This Row],[Warranty_Claim]]="No"),Table1[[#This Row],[Service_Revenue]],0)</f>
        <v>223975</v>
      </c>
      <c r="V2704" s="4">
        <f>IF(Table1[[#This Row],[Warranty_Claim]]="Yes",1,0)</f>
        <v>0</v>
      </c>
      <c r="W2704" s="4">
        <f>IF(Table1[[#This Row],[Rework_Flag]]="No",1,0)</f>
        <v>0</v>
      </c>
      <c r="X2704" s="4">
        <f>IF(Table1[[#This Row],[Rework_Flag]]="Yes",1,0)</f>
        <v>1</v>
      </c>
      <c r="Y2704" s="4">
        <v>1</v>
      </c>
      <c r="Z2704" s="4" t="str">
        <f>IF(Table1[[#This Row],[TAT_Days]]&gt;Table1[[#This Row],[SLA_TAT]],"Yes","No")</f>
        <v>Yes</v>
      </c>
      <c r="AA2704" s="4" t="str" cm="1">
        <f t="array" ref="AA2704">_xlfn.IFS(Table1[[#This Row],[Customer_Satisfaction]]&lt;=2,"Poor",Table1[[#This Row],[Customer_Satisfaction]]=3,"Neutral",Table1[[#This Row],[Customer_Satisfaction]]=4,"Good",Table1[[#This Row],[Customer_Satisfaction]]=5,"Good")</f>
        <v>Neutral</v>
      </c>
    </row>
    <row r="2705" spans="1:27" x14ac:dyDescent="0.35">
      <c r="A2705">
        <v>22703</v>
      </c>
      <c r="B2705" s="1">
        <v>45379</v>
      </c>
      <c r="C2705" t="s">
        <v>19</v>
      </c>
      <c r="D2705" t="s">
        <v>45</v>
      </c>
      <c r="E2705" t="s">
        <v>111</v>
      </c>
      <c r="F2705" t="s">
        <v>40</v>
      </c>
      <c r="G2705" t="s">
        <v>33</v>
      </c>
      <c r="H2705" t="s">
        <v>34</v>
      </c>
      <c r="I2705" t="s">
        <v>55</v>
      </c>
      <c r="J2705" t="s">
        <v>26</v>
      </c>
      <c r="K2705" t="s">
        <v>27</v>
      </c>
      <c r="L2705" t="s">
        <v>28</v>
      </c>
      <c r="M2705" s="4">
        <v>7</v>
      </c>
      <c r="N2705" s="4">
        <v>7</v>
      </c>
      <c r="O2705" t="s">
        <v>29</v>
      </c>
      <c r="P2705" t="s">
        <v>36</v>
      </c>
      <c r="Q2705" s="4">
        <v>415386</v>
      </c>
      <c r="R2705" s="4">
        <v>212970</v>
      </c>
      <c r="S2705" s="4">
        <f>Table1[[#This Row],[Service_Revenue]]-Table1[[#This Row],[Service_Cost]]</f>
        <v>202416</v>
      </c>
      <c r="T2705" s="4">
        <v>3</v>
      </c>
      <c r="U2705" s="4">
        <f>IF(AND(Table1[[#This Row],[Rework_Flag]]="Yes",Table1[[#This Row],[Warranty_Claim]]="No"),Table1[[#This Row],[Service_Revenue]],0)</f>
        <v>415386</v>
      </c>
      <c r="V2705" s="4">
        <f>IF(Table1[[#This Row],[Warranty_Claim]]="Yes",1,0)</f>
        <v>0</v>
      </c>
      <c r="W2705" s="4">
        <f>IF(Table1[[#This Row],[Rework_Flag]]="No",1,0)</f>
        <v>0</v>
      </c>
      <c r="X2705" s="4">
        <f>IF(Table1[[#This Row],[Rework_Flag]]="Yes",1,0)</f>
        <v>1</v>
      </c>
      <c r="Y2705" s="4">
        <v>1</v>
      </c>
      <c r="Z2705" s="4" t="str">
        <f>IF(Table1[[#This Row],[TAT_Days]]&gt;Table1[[#This Row],[SLA_TAT]],"Yes","No")</f>
        <v>No</v>
      </c>
      <c r="AA2705" s="4" t="str" cm="1">
        <f t="array" ref="AA2705">_xlfn.IFS(Table1[[#This Row],[Customer_Satisfaction]]&lt;=2,"Poor",Table1[[#This Row],[Customer_Satisfaction]]=3,"Neutral",Table1[[#This Row],[Customer_Satisfaction]]=4,"Good",Table1[[#This Row],[Customer_Satisfaction]]=5,"Good")</f>
        <v>Neutral</v>
      </c>
    </row>
    <row r="2706" spans="1:27" x14ac:dyDescent="0.35">
      <c r="A2706">
        <v>22704</v>
      </c>
      <c r="B2706" s="1">
        <v>45457</v>
      </c>
      <c r="C2706" t="s">
        <v>37</v>
      </c>
      <c r="D2706" t="s">
        <v>64</v>
      </c>
      <c r="E2706" t="s">
        <v>65</v>
      </c>
      <c r="F2706" t="s">
        <v>22</v>
      </c>
      <c r="G2706" t="s">
        <v>74</v>
      </c>
      <c r="H2706" t="s">
        <v>34</v>
      </c>
      <c r="I2706" t="s">
        <v>25</v>
      </c>
      <c r="J2706" t="s">
        <v>67</v>
      </c>
      <c r="K2706" t="s">
        <v>61</v>
      </c>
      <c r="L2706" t="s">
        <v>28</v>
      </c>
      <c r="M2706" s="4">
        <v>19</v>
      </c>
      <c r="N2706" s="4">
        <v>7</v>
      </c>
      <c r="O2706" t="s">
        <v>36</v>
      </c>
      <c r="P2706" t="s">
        <v>29</v>
      </c>
      <c r="Q2706" s="4">
        <v>439904</v>
      </c>
      <c r="R2706" s="4">
        <v>302236</v>
      </c>
      <c r="S2706" s="4">
        <f>Table1[[#This Row],[Service_Revenue]]-Table1[[#This Row],[Service_Cost]]</f>
        <v>137668</v>
      </c>
      <c r="T2706" s="4">
        <v>2</v>
      </c>
      <c r="U2706" s="4">
        <f>IF(AND(Table1[[#This Row],[Rework_Flag]]="Yes",Table1[[#This Row],[Warranty_Claim]]="No"),Table1[[#This Row],[Service_Revenue]],0)</f>
        <v>0</v>
      </c>
      <c r="V2706" s="4">
        <f>IF(Table1[[#This Row],[Warranty_Claim]]="Yes",1,0)</f>
        <v>1</v>
      </c>
      <c r="W2706" s="4">
        <f>IF(Table1[[#This Row],[Rework_Flag]]="No",1,0)</f>
        <v>1</v>
      </c>
      <c r="X2706" s="4">
        <f>IF(Table1[[#This Row],[Rework_Flag]]="Yes",1,0)</f>
        <v>0</v>
      </c>
      <c r="Y2706" s="4">
        <v>1</v>
      </c>
      <c r="Z2706" s="4" t="str">
        <f>IF(Table1[[#This Row],[TAT_Days]]&gt;Table1[[#This Row],[SLA_TAT]],"Yes","No")</f>
        <v>Yes</v>
      </c>
      <c r="AA2706" s="4" t="str" cm="1">
        <f t="array" ref="AA2706">_xlfn.IFS(Table1[[#This Row],[Customer_Satisfaction]]&lt;=2,"Poor",Table1[[#This Row],[Customer_Satisfaction]]=3,"Neutral",Table1[[#This Row],[Customer_Satisfaction]]=4,"Good",Table1[[#This Row],[Customer_Satisfaction]]=5,"Good")</f>
        <v>Poor</v>
      </c>
    </row>
    <row r="2707" spans="1:27" x14ac:dyDescent="0.35">
      <c r="A2707">
        <v>22705</v>
      </c>
      <c r="B2707" s="1">
        <v>45460</v>
      </c>
      <c r="C2707" t="s">
        <v>37</v>
      </c>
      <c r="D2707" t="s">
        <v>64</v>
      </c>
      <c r="E2707" t="s">
        <v>72</v>
      </c>
      <c r="F2707" t="s">
        <v>22</v>
      </c>
      <c r="G2707" t="s">
        <v>41</v>
      </c>
      <c r="H2707" t="s">
        <v>42</v>
      </c>
      <c r="I2707" t="s">
        <v>25</v>
      </c>
      <c r="J2707" t="s">
        <v>26</v>
      </c>
      <c r="K2707" t="s">
        <v>44</v>
      </c>
      <c r="L2707" t="s">
        <v>28</v>
      </c>
      <c r="M2707" s="4">
        <v>16</v>
      </c>
      <c r="N2707" s="4">
        <v>7</v>
      </c>
      <c r="O2707" t="s">
        <v>29</v>
      </c>
      <c r="P2707" t="s">
        <v>36</v>
      </c>
      <c r="Q2707" s="4">
        <v>162351</v>
      </c>
      <c r="R2707" s="4">
        <v>112178</v>
      </c>
      <c r="S2707" s="4">
        <f>Table1[[#This Row],[Service_Revenue]]-Table1[[#This Row],[Service_Cost]]</f>
        <v>50173</v>
      </c>
      <c r="T2707" s="4">
        <v>1</v>
      </c>
      <c r="U2707" s="4">
        <f>IF(AND(Table1[[#This Row],[Rework_Flag]]="Yes",Table1[[#This Row],[Warranty_Claim]]="No"),Table1[[#This Row],[Service_Revenue]],0)</f>
        <v>162351</v>
      </c>
      <c r="V2707" s="4">
        <f>IF(Table1[[#This Row],[Warranty_Claim]]="Yes",1,0)</f>
        <v>0</v>
      </c>
      <c r="W2707" s="4">
        <f>IF(Table1[[#This Row],[Rework_Flag]]="No",1,0)</f>
        <v>0</v>
      </c>
      <c r="X2707" s="4">
        <f>IF(Table1[[#This Row],[Rework_Flag]]="Yes",1,0)</f>
        <v>1</v>
      </c>
      <c r="Y2707" s="4">
        <v>1</v>
      </c>
      <c r="Z2707" s="4" t="str">
        <f>IF(Table1[[#This Row],[TAT_Days]]&gt;Table1[[#This Row],[SLA_TAT]],"Yes","No")</f>
        <v>Yes</v>
      </c>
      <c r="AA2707" s="4" t="str" cm="1">
        <f t="array" ref="AA2707">_xlfn.IFS(Table1[[#This Row],[Customer_Satisfaction]]&lt;=2,"Poor",Table1[[#This Row],[Customer_Satisfaction]]=3,"Neutral",Table1[[#This Row],[Customer_Satisfaction]]=4,"Good",Table1[[#This Row],[Customer_Satisfaction]]=5,"Good")</f>
        <v>Poor</v>
      </c>
    </row>
    <row r="2708" spans="1:27" x14ac:dyDescent="0.35">
      <c r="A2708">
        <v>22706</v>
      </c>
      <c r="B2708" s="1">
        <v>45391</v>
      </c>
      <c r="C2708" t="s">
        <v>37</v>
      </c>
      <c r="D2708" t="s">
        <v>38</v>
      </c>
      <c r="E2708" t="s">
        <v>39</v>
      </c>
      <c r="F2708" t="s">
        <v>22</v>
      </c>
      <c r="G2708" t="s">
        <v>23</v>
      </c>
      <c r="H2708" t="s">
        <v>24</v>
      </c>
      <c r="I2708" t="s">
        <v>25</v>
      </c>
      <c r="J2708" t="s">
        <v>43</v>
      </c>
      <c r="K2708" t="s">
        <v>44</v>
      </c>
      <c r="L2708" t="s">
        <v>49</v>
      </c>
      <c r="M2708" s="4">
        <v>12</v>
      </c>
      <c r="N2708" s="4">
        <v>7</v>
      </c>
      <c r="O2708" t="s">
        <v>36</v>
      </c>
      <c r="P2708" t="s">
        <v>36</v>
      </c>
      <c r="Q2708" s="4">
        <v>412785</v>
      </c>
      <c r="R2708" s="4">
        <v>250819</v>
      </c>
      <c r="S2708" s="4">
        <f>Table1[[#This Row],[Service_Revenue]]-Table1[[#This Row],[Service_Cost]]</f>
        <v>161966</v>
      </c>
      <c r="T2708" s="4">
        <v>3</v>
      </c>
      <c r="U2708" s="4">
        <f>IF(AND(Table1[[#This Row],[Rework_Flag]]="Yes",Table1[[#This Row],[Warranty_Claim]]="No"),Table1[[#This Row],[Service_Revenue]],0)</f>
        <v>0</v>
      </c>
      <c r="V2708" s="4">
        <f>IF(Table1[[#This Row],[Warranty_Claim]]="Yes",1,0)</f>
        <v>0</v>
      </c>
      <c r="W2708" s="4">
        <f>IF(Table1[[#This Row],[Rework_Flag]]="No",1,0)</f>
        <v>1</v>
      </c>
      <c r="X2708" s="4">
        <f>IF(Table1[[#This Row],[Rework_Flag]]="Yes",1,0)</f>
        <v>0</v>
      </c>
      <c r="Y2708" s="4">
        <v>1</v>
      </c>
      <c r="Z2708" s="4" t="str">
        <f>IF(Table1[[#This Row],[TAT_Days]]&gt;Table1[[#This Row],[SLA_TAT]],"Yes","No")</f>
        <v>Yes</v>
      </c>
      <c r="AA2708" s="4" t="str" cm="1">
        <f t="array" ref="AA2708">_xlfn.IFS(Table1[[#This Row],[Customer_Satisfaction]]&lt;=2,"Poor",Table1[[#This Row],[Customer_Satisfaction]]=3,"Neutral",Table1[[#This Row],[Customer_Satisfaction]]=4,"Good",Table1[[#This Row],[Customer_Satisfaction]]=5,"Good")</f>
        <v>Neutral</v>
      </c>
    </row>
    <row r="2709" spans="1:27" x14ac:dyDescent="0.35">
      <c r="A2709">
        <v>22707</v>
      </c>
      <c r="B2709" s="1">
        <v>45437</v>
      </c>
      <c r="C2709" t="s">
        <v>19</v>
      </c>
      <c r="D2709" t="s">
        <v>96</v>
      </c>
      <c r="E2709" t="s">
        <v>109</v>
      </c>
      <c r="F2709" t="s">
        <v>40</v>
      </c>
      <c r="G2709" t="s">
        <v>23</v>
      </c>
      <c r="H2709" t="s">
        <v>24</v>
      </c>
      <c r="I2709" t="s">
        <v>25</v>
      </c>
      <c r="J2709" t="s">
        <v>35</v>
      </c>
      <c r="K2709" t="s">
        <v>27</v>
      </c>
      <c r="L2709" t="s">
        <v>28</v>
      </c>
      <c r="M2709" s="4">
        <v>6</v>
      </c>
      <c r="N2709" s="4">
        <v>7</v>
      </c>
      <c r="O2709" t="s">
        <v>36</v>
      </c>
      <c r="P2709" t="s">
        <v>36</v>
      </c>
      <c r="Q2709" s="4">
        <v>150913</v>
      </c>
      <c r="R2709" s="4">
        <v>123364</v>
      </c>
      <c r="S2709" s="4">
        <f>Table1[[#This Row],[Service_Revenue]]-Table1[[#This Row],[Service_Cost]]</f>
        <v>27549</v>
      </c>
      <c r="T2709" s="4">
        <v>4</v>
      </c>
      <c r="U2709" s="4">
        <f>IF(AND(Table1[[#This Row],[Rework_Flag]]="Yes",Table1[[#This Row],[Warranty_Claim]]="No"),Table1[[#This Row],[Service_Revenue]],0)</f>
        <v>0</v>
      </c>
      <c r="V2709" s="4">
        <f>IF(Table1[[#This Row],[Warranty_Claim]]="Yes",1,0)</f>
        <v>0</v>
      </c>
      <c r="W2709" s="4">
        <f>IF(Table1[[#This Row],[Rework_Flag]]="No",1,0)</f>
        <v>1</v>
      </c>
      <c r="X2709" s="4">
        <f>IF(Table1[[#This Row],[Rework_Flag]]="Yes",1,0)</f>
        <v>0</v>
      </c>
      <c r="Y2709" s="4">
        <v>1</v>
      </c>
      <c r="Z2709" s="4" t="str">
        <f>IF(Table1[[#This Row],[TAT_Days]]&gt;Table1[[#This Row],[SLA_TAT]],"Yes","No")</f>
        <v>No</v>
      </c>
      <c r="AA2709" s="4" t="str" cm="1">
        <f t="array" ref="AA2709">_xlfn.IFS(Table1[[#This Row],[Customer_Satisfaction]]&lt;=2,"Poor",Table1[[#This Row],[Customer_Satisfaction]]=3,"Neutral",Table1[[#This Row],[Customer_Satisfaction]]=4,"Good",Table1[[#This Row],[Customer_Satisfaction]]=5,"Good")</f>
        <v>Good</v>
      </c>
    </row>
    <row r="2710" spans="1:27" x14ac:dyDescent="0.35">
      <c r="A2710">
        <v>22708</v>
      </c>
      <c r="B2710" s="1">
        <v>45455</v>
      </c>
      <c r="C2710" t="s">
        <v>50</v>
      </c>
      <c r="D2710" t="s">
        <v>80</v>
      </c>
      <c r="E2710" t="s">
        <v>118</v>
      </c>
      <c r="F2710" t="s">
        <v>53</v>
      </c>
      <c r="G2710" t="s">
        <v>33</v>
      </c>
      <c r="H2710" t="s">
        <v>34</v>
      </c>
      <c r="I2710" t="s">
        <v>55</v>
      </c>
      <c r="J2710" t="s">
        <v>67</v>
      </c>
      <c r="K2710" t="s">
        <v>44</v>
      </c>
      <c r="L2710" t="s">
        <v>49</v>
      </c>
      <c r="M2710" s="4">
        <v>5</v>
      </c>
      <c r="N2710" s="4">
        <v>7</v>
      </c>
      <c r="O2710" t="s">
        <v>29</v>
      </c>
      <c r="P2710" t="s">
        <v>36</v>
      </c>
      <c r="Q2710" s="4">
        <v>451988</v>
      </c>
      <c r="R2710" s="4">
        <v>240031</v>
      </c>
      <c r="S2710" s="4">
        <f>Table1[[#This Row],[Service_Revenue]]-Table1[[#This Row],[Service_Cost]]</f>
        <v>211957</v>
      </c>
      <c r="T2710" s="4">
        <v>3</v>
      </c>
      <c r="U2710" s="4">
        <f>IF(AND(Table1[[#This Row],[Rework_Flag]]="Yes",Table1[[#This Row],[Warranty_Claim]]="No"),Table1[[#This Row],[Service_Revenue]],0)</f>
        <v>451988</v>
      </c>
      <c r="V2710" s="4">
        <f>IF(Table1[[#This Row],[Warranty_Claim]]="Yes",1,0)</f>
        <v>0</v>
      </c>
      <c r="W2710" s="4">
        <f>IF(Table1[[#This Row],[Rework_Flag]]="No",1,0)</f>
        <v>0</v>
      </c>
      <c r="X2710" s="4">
        <f>IF(Table1[[#This Row],[Rework_Flag]]="Yes",1,0)</f>
        <v>1</v>
      </c>
      <c r="Y2710" s="4">
        <v>1</v>
      </c>
      <c r="Z2710" s="4" t="str">
        <f>IF(Table1[[#This Row],[TAT_Days]]&gt;Table1[[#This Row],[SLA_TAT]],"Yes","No")</f>
        <v>No</v>
      </c>
      <c r="AA2710" s="4" t="str" cm="1">
        <f t="array" ref="AA2710">_xlfn.IFS(Table1[[#This Row],[Customer_Satisfaction]]&lt;=2,"Poor",Table1[[#This Row],[Customer_Satisfaction]]=3,"Neutral",Table1[[#This Row],[Customer_Satisfaction]]=4,"Good",Table1[[#This Row],[Customer_Satisfaction]]=5,"Good")</f>
        <v>Neutral</v>
      </c>
    </row>
    <row r="2711" spans="1:27" x14ac:dyDescent="0.35">
      <c r="A2711">
        <v>22709</v>
      </c>
      <c r="B2711" s="1">
        <v>45377</v>
      </c>
      <c r="C2711" t="s">
        <v>19</v>
      </c>
      <c r="D2711" t="s">
        <v>20</v>
      </c>
      <c r="E2711" t="s">
        <v>86</v>
      </c>
      <c r="F2711" t="s">
        <v>53</v>
      </c>
      <c r="G2711" t="s">
        <v>23</v>
      </c>
      <c r="H2711" t="s">
        <v>24</v>
      </c>
      <c r="I2711" t="s">
        <v>25</v>
      </c>
      <c r="J2711" t="s">
        <v>26</v>
      </c>
      <c r="K2711" t="s">
        <v>27</v>
      </c>
      <c r="L2711" t="s">
        <v>28</v>
      </c>
      <c r="M2711" s="4">
        <v>24</v>
      </c>
      <c r="N2711" s="4">
        <v>7</v>
      </c>
      <c r="O2711" t="s">
        <v>29</v>
      </c>
      <c r="P2711" t="s">
        <v>29</v>
      </c>
      <c r="Q2711" s="4">
        <v>581953</v>
      </c>
      <c r="R2711" s="4">
        <v>399278</v>
      </c>
      <c r="S2711" s="4">
        <f>Table1[[#This Row],[Service_Revenue]]-Table1[[#This Row],[Service_Cost]]</f>
        <v>182675</v>
      </c>
      <c r="T2711" s="4">
        <v>1</v>
      </c>
      <c r="U2711" s="4">
        <f>IF(AND(Table1[[#This Row],[Rework_Flag]]="Yes",Table1[[#This Row],[Warranty_Claim]]="No"),Table1[[#This Row],[Service_Revenue]],0)</f>
        <v>0</v>
      </c>
      <c r="V2711" s="4">
        <f>IF(Table1[[#This Row],[Warranty_Claim]]="Yes",1,0)</f>
        <v>1</v>
      </c>
      <c r="W2711" s="4">
        <f>IF(Table1[[#This Row],[Rework_Flag]]="No",1,0)</f>
        <v>0</v>
      </c>
      <c r="X2711" s="4">
        <f>IF(Table1[[#This Row],[Rework_Flag]]="Yes",1,0)</f>
        <v>1</v>
      </c>
      <c r="Y2711" s="4">
        <v>1</v>
      </c>
      <c r="Z2711" s="4" t="str">
        <f>IF(Table1[[#This Row],[TAT_Days]]&gt;Table1[[#This Row],[SLA_TAT]],"Yes","No")</f>
        <v>Yes</v>
      </c>
      <c r="AA2711" s="4" t="str" cm="1">
        <f t="array" ref="AA2711">_xlfn.IFS(Table1[[#This Row],[Customer_Satisfaction]]&lt;=2,"Poor",Table1[[#This Row],[Customer_Satisfaction]]=3,"Neutral",Table1[[#This Row],[Customer_Satisfaction]]=4,"Good",Table1[[#This Row],[Customer_Satisfaction]]=5,"Good")</f>
        <v>Poor</v>
      </c>
    </row>
    <row r="2712" spans="1:27" x14ac:dyDescent="0.35">
      <c r="A2712">
        <v>22710</v>
      </c>
      <c r="B2712" s="1">
        <v>45315</v>
      </c>
      <c r="C2712" t="s">
        <v>37</v>
      </c>
      <c r="D2712" t="s">
        <v>70</v>
      </c>
      <c r="E2712" t="s">
        <v>82</v>
      </c>
      <c r="F2712" t="s">
        <v>53</v>
      </c>
      <c r="G2712" t="s">
        <v>33</v>
      </c>
      <c r="H2712" t="s">
        <v>34</v>
      </c>
      <c r="I2712" t="s">
        <v>55</v>
      </c>
      <c r="J2712" t="s">
        <v>58</v>
      </c>
      <c r="K2712" t="s">
        <v>61</v>
      </c>
      <c r="L2712" t="s">
        <v>28</v>
      </c>
      <c r="M2712" s="4">
        <v>13</v>
      </c>
      <c r="N2712" s="4">
        <v>7</v>
      </c>
      <c r="O2712" t="s">
        <v>36</v>
      </c>
      <c r="P2712" t="s">
        <v>36</v>
      </c>
      <c r="Q2712" s="4">
        <v>301098</v>
      </c>
      <c r="R2712" s="4">
        <v>242829</v>
      </c>
      <c r="S2712" s="4">
        <f>Table1[[#This Row],[Service_Revenue]]-Table1[[#This Row],[Service_Cost]]</f>
        <v>58269</v>
      </c>
      <c r="T2712" s="4">
        <v>3</v>
      </c>
      <c r="U2712" s="4">
        <f>IF(AND(Table1[[#This Row],[Rework_Flag]]="Yes",Table1[[#This Row],[Warranty_Claim]]="No"),Table1[[#This Row],[Service_Revenue]],0)</f>
        <v>0</v>
      </c>
      <c r="V2712" s="4">
        <f>IF(Table1[[#This Row],[Warranty_Claim]]="Yes",1,0)</f>
        <v>0</v>
      </c>
      <c r="W2712" s="4">
        <f>IF(Table1[[#This Row],[Rework_Flag]]="No",1,0)</f>
        <v>1</v>
      </c>
      <c r="X2712" s="4">
        <f>IF(Table1[[#This Row],[Rework_Flag]]="Yes",1,0)</f>
        <v>0</v>
      </c>
      <c r="Y2712" s="4">
        <v>1</v>
      </c>
      <c r="Z2712" s="4" t="str">
        <f>IF(Table1[[#This Row],[TAT_Days]]&gt;Table1[[#This Row],[SLA_TAT]],"Yes","No")</f>
        <v>Yes</v>
      </c>
      <c r="AA2712" s="4" t="str" cm="1">
        <f t="array" ref="AA2712">_xlfn.IFS(Table1[[#This Row],[Customer_Satisfaction]]&lt;=2,"Poor",Table1[[#This Row],[Customer_Satisfaction]]=3,"Neutral",Table1[[#This Row],[Customer_Satisfaction]]=4,"Good",Table1[[#This Row],[Customer_Satisfaction]]=5,"Good")</f>
        <v>Neutral</v>
      </c>
    </row>
    <row r="2713" spans="1:27" x14ac:dyDescent="0.35">
      <c r="A2713">
        <v>22711</v>
      </c>
      <c r="B2713" s="1">
        <v>45470</v>
      </c>
      <c r="C2713" t="s">
        <v>30</v>
      </c>
      <c r="D2713" t="s">
        <v>83</v>
      </c>
      <c r="E2713" t="s">
        <v>90</v>
      </c>
      <c r="F2713" t="s">
        <v>22</v>
      </c>
      <c r="G2713" t="s">
        <v>41</v>
      </c>
      <c r="H2713" t="s">
        <v>42</v>
      </c>
      <c r="I2713" t="s">
        <v>25</v>
      </c>
      <c r="J2713" t="s">
        <v>43</v>
      </c>
      <c r="K2713" t="s">
        <v>44</v>
      </c>
      <c r="L2713" t="s">
        <v>28</v>
      </c>
      <c r="M2713" s="4">
        <v>18</v>
      </c>
      <c r="N2713" s="4">
        <v>7</v>
      </c>
      <c r="O2713" t="s">
        <v>36</v>
      </c>
      <c r="P2713" t="s">
        <v>36</v>
      </c>
      <c r="Q2713" s="4">
        <v>266151</v>
      </c>
      <c r="R2713" s="4">
        <v>143544</v>
      </c>
      <c r="S2713" s="4">
        <f>Table1[[#This Row],[Service_Revenue]]-Table1[[#This Row],[Service_Cost]]</f>
        <v>122607</v>
      </c>
      <c r="T2713" s="4">
        <v>2</v>
      </c>
      <c r="U2713" s="4">
        <f>IF(AND(Table1[[#This Row],[Rework_Flag]]="Yes",Table1[[#This Row],[Warranty_Claim]]="No"),Table1[[#This Row],[Service_Revenue]],0)</f>
        <v>0</v>
      </c>
      <c r="V2713" s="4">
        <f>IF(Table1[[#This Row],[Warranty_Claim]]="Yes",1,0)</f>
        <v>0</v>
      </c>
      <c r="W2713" s="4">
        <f>IF(Table1[[#This Row],[Rework_Flag]]="No",1,0)</f>
        <v>1</v>
      </c>
      <c r="X2713" s="4">
        <f>IF(Table1[[#This Row],[Rework_Flag]]="Yes",1,0)</f>
        <v>0</v>
      </c>
      <c r="Y2713" s="4">
        <v>1</v>
      </c>
      <c r="Z2713" s="4" t="str">
        <f>IF(Table1[[#This Row],[TAT_Days]]&gt;Table1[[#This Row],[SLA_TAT]],"Yes","No")</f>
        <v>Yes</v>
      </c>
      <c r="AA2713" s="4" t="str" cm="1">
        <f t="array" ref="AA2713">_xlfn.IFS(Table1[[#This Row],[Customer_Satisfaction]]&lt;=2,"Poor",Table1[[#This Row],[Customer_Satisfaction]]=3,"Neutral",Table1[[#This Row],[Customer_Satisfaction]]=4,"Good",Table1[[#This Row],[Customer_Satisfaction]]=5,"Good")</f>
        <v>Poor</v>
      </c>
    </row>
    <row r="2714" spans="1:27" x14ac:dyDescent="0.35">
      <c r="A2714">
        <v>22712</v>
      </c>
      <c r="B2714" s="1">
        <v>45325</v>
      </c>
      <c r="C2714" t="s">
        <v>19</v>
      </c>
      <c r="D2714" t="s">
        <v>45</v>
      </c>
      <c r="E2714" t="s">
        <v>76</v>
      </c>
      <c r="F2714" t="s">
        <v>40</v>
      </c>
      <c r="G2714" t="s">
        <v>41</v>
      </c>
      <c r="H2714" t="s">
        <v>42</v>
      </c>
      <c r="I2714" t="s">
        <v>25</v>
      </c>
      <c r="J2714" t="s">
        <v>67</v>
      </c>
      <c r="K2714" t="s">
        <v>61</v>
      </c>
      <c r="L2714" t="s">
        <v>28</v>
      </c>
      <c r="M2714" s="4">
        <v>10</v>
      </c>
      <c r="N2714" s="4">
        <v>7</v>
      </c>
      <c r="O2714" t="s">
        <v>36</v>
      </c>
      <c r="P2714" t="s">
        <v>36</v>
      </c>
      <c r="Q2714" s="4">
        <v>426094</v>
      </c>
      <c r="R2714" s="4">
        <v>215221</v>
      </c>
      <c r="S2714" s="4">
        <f>Table1[[#This Row],[Service_Revenue]]-Table1[[#This Row],[Service_Cost]]</f>
        <v>210873</v>
      </c>
      <c r="T2714" s="4">
        <v>3</v>
      </c>
      <c r="U2714" s="4">
        <f>IF(AND(Table1[[#This Row],[Rework_Flag]]="Yes",Table1[[#This Row],[Warranty_Claim]]="No"),Table1[[#This Row],[Service_Revenue]],0)</f>
        <v>0</v>
      </c>
      <c r="V2714" s="4">
        <f>IF(Table1[[#This Row],[Warranty_Claim]]="Yes",1,0)</f>
        <v>0</v>
      </c>
      <c r="W2714" s="4">
        <f>IF(Table1[[#This Row],[Rework_Flag]]="No",1,0)</f>
        <v>1</v>
      </c>
      <c r="X2714" s="4">
        <f>IF(Table1[[#This Row],[Rework_Flag]]="Yes",1,0)</f>
        <v>0</v>
      </c>
      <c r="Y2714" s="4">
        <v>1</v>
      </c>
      <c r="Z2714" s="4" t="str">
        <f>IF(Table1[[#This Row],[TAT_Days]]&gt;Table1[[#This Row],[SLA_TAT]],"Yes","No")</f>
        <v>Yes</v>
      </c>
      <c r="AA2714" s="4" t="str" cm="1">
        <f t="array" ref="AA2714">_xlfn.IFS(Table1[[#This Row],[Customer_Satisfaction]]&lt;=2,"Poor",Table1[[#This Row],[Customer_Satisfaction]]=3,"Neutral",Table1[[#This Row],[Customer_Satisfaction]]=4,"Good",Table1[[#This Row],[Customer_Satisfaction]]=5,"Good")</f>
        <v>Neutral</v>
      </c>
    </row>
    <row r="2715" spans="1:27" x14ac:dyDescent="0.35">
      <c r="A2715">
        <v>22713</v>
      </c>
      <c r="B2715" s="1">
        <v>45377</v>
      </c>
      <c r="C2715" t="s">
        <v>50</v>
      </c>
      <c r="D2715" t="s">
        <v>80</v>
      </c>
      <c r="E2715" t="s">
        <v>118</v>
      </c>
      <c r="F2715" t="s">
        <v>40</v>
      </c>
      <c r="G2715" t="s">
        <v>47</v>
      </c>
      <c r="H2715" t="s">
        <v>48</v>
      </c>
      <c r="I2715" t="s">
        <v>25</v>
      </c>
      <c r="J2715" t="s">
        <v>35</v>
      </c>
      <c r="K2715" t="s">
        <v>27</v>
      </c>
      <c r="L2715" t="s">
        <v>49</v>
      </c>
      <c r="M2715" s="4">
        <v>14</v>
      </c>
      <c r="N2715" s="4">
        <v>7</v>
      </c>
      <c r="O2715" t="s">
        <v>29</v>
      </c>
      <c r="P2715" t="s">
        <v>29</v>
      </c>
      <c r="Q2715" s="4">
        <v>479589</v>
      </c>
      <c r="R2715" s="4">
        <v>394324</v>
      </c>
      <c r="S2715" s="4">
        <f>Table1[[#This Row],[Service_Revenue]]-Table1[[#This Row],[Service_Cost]]</f>
        <v>85265</v>
      </c>
      <c r="T2715" s="4">
        <v>2</v>
      </c>
      <c r="U2715" s="4">
        <f>IF(AND(Table1[[#This Row],[Rework_Flag]]="Yes",Table1[[#This Row],[Warranty_Claim]]="No"),Table1[[#This Row],[Service_Revenue]],0)</f>
        <v>0</v>
      </c>
      <c r="V2715" s="4">
        <f>IF(Table1[[#This Row],[Warranty_Claim]]="Yes",1,0)</f>
        <v>1</v>
      </c>
      <c r="W2715" s="4">
        <f>IF(Table1[[#This Row],[Rework_Flag]]="No",1,0)</f>
        <v>0</v>
      </c>
      <c r="X2715" s="4">
        <f>IF(Table1[[#This Row],[Rework_Flag]]="Yes",1,0)</f>
        <v>1</v>
      </c>
      <c r="Y2715" s="4">
        <v>1</v>
      </c>
      <c r="Z2715" s="4" t="str">
        <f>IF(Table1[[#This Row],[TAT_Days]]&gt;Table1[[#This Row],[SLA_TAT]],"Yes","No")</f>
        <v>Yes</v>
      </c>
      <c r="AA2715" s="4" t="str" cm="1">
        <f t="array" ref="AA2715">_xlfn.IFS(Table1[[#This Row],[Customer_Satisfaction]]&lt;=2,"Poor",Table1[[#This Row],[Customer_Satisfaction]]=3,"Neutral",Table1[[#This Row],[Customer_Satisfaction]]=4,"Good",Table1[[#This Row],[Customer_Satisfaction]]=5,"Good")</f>
        <v>Poor</v>
      </c>
    </row>
    <row r="2716" spans="1:27" x14ac:dyDescent="0.35">
      <c r="A2716">
        <v>22714</v>
      </c>
      <c r="B2716" s="1">
        <v>45327</v>
      </c>
      <c r="C2716" t="s">
        <v>30</v>
      </c>
      <c r="D2716" t="s">
        <v>31</v>
      </c>
      <c r="E2716" t="s">
        <v>32</v>
      </c>
      <c r="F2716" t="s">
        <v>40</v>
      </c>
      <c r="G2716" t="s">
        <v>54</v>
      </c>
      <c r="H2716" t="s">
        <v>42</v>
      </c>
      <c r="I2716" t="s">
        <v>25</v>
      </c>
      <c r="J2716" t="s">
        <v>43</v>
      </c>
      <c r="K2716" t="s">
        <v>44</v>
      </c>
      <c r="L2716" t="s">
        <v>28</v>
      </c>
      <c r="M2716" s="4">
        <v>18</v>
      </c>
      <c r="N2716" s="4">
        <v>7</v>
      </c>
      <c r="O2716" t="s">
        <v>36</v>
      </c>
      <c r="P2716" t="s">
        <v>36</v>
      </c>
      <c r="Q2716" s="4">
        <v>479034</v>
      </c>
      <c r="R2716" s="4">
        <v>278106</v>
      </c>
      <c r="S2716" s="4">
        <f>Table1[[#This Row],[Service_Revenue]]-Table1[[#This Row],[Service_Cost]]</f>
        <v>200928</v>
      </c>
      <c r="T2716" s="4">
        <v>2</v>
      </c>
      <c r="U2716" s="4">
        <f>IF(AND(Table1[[#This Row],[Rework_Flag]]="Yes",Table1[[#This Row],[Warranty_Claim]]="No"),Table1[[#This Row],[Service_Revenue]],0)</f>
        <v>0</v>
      </c>
      <c r="V2716" s="4">
        <f>IF(Table1[[#This Row],[Warranty_Claim]]="Yes",1,0)</f>
        <v>0</v>
      </c>
      <c r="W2716" s="4">
        <f>IF(Table1[[#This Row],[Rework_Flag]]="No",1,0)</f>
        <v>1</v>
      </c>
      <c r="X2716" s="4">
        <f>IF(Table1[[#This Row],[Rework_Flag]]="Yes",1,0)</f>
        <v>0</v>
      </c>
      <c r="Y2716" s="4">
        <v>1</v>
      </c>
      <c r="Z2716" s="4" t="str">
        <f>IF(Table1[[#This Row],[TAT_Days]]&gt;Table1[[#This Row],[SLA_TAT]],"Yes","No")</f>
        <v>Yes</v>
      </c>
      <c r="AA2716" s="4" t="str" cm="1">
        <f t="array" ref="AA2716">_xlfn.IFS(Table1[[#This Row],[Customer_Satisfaction]]&lt;=2,"Poor",Table1[[#This Row],[Customer_Satisfaction]]=3,"Neutral",Table1[[#This Row],[Customer_Satisfaction]]=4,"Good",Table1[[#This Row],[Customer_Satisfaction]]=5,"Good")</f>
        <v>Poor</v>
      </c>
    </row>
    <row r="2717" spans="1:27" x14ac:dyDescent="0.35">
      <c r="A2717">
        <v>22715</v>
      </c>
      <c r="B2717" s="1">
        <v>45406</v>
      </c>
      <c r="C2717" t="s">
        <v>30</v>
      </c>
      <c r="D2717" t="s">
        <v>83</v>
      </c>
      <c r="E2717" t="s">
        <v>90</v>
      </c>
      <c r="F2717" t="s">
        <v>22</v>
      </c>
      <c r="G2717" t="s">
        <v>74</v>
      </c>
      <c r="H2717" t="s">
        <v>34</v>
      </c>
      <c r="I2717" t="s">
        <v>55</v>
      </c>
      <c r="J2717" t="s">
        <v>26</v>
      </c>
      <c r="K2717" t="s">
        <v>27</v>
      </c>
      <c r="L2717" t="s">
        <v>28</v>
      </c>
      <c r="M2717" s="4">
        <v>13</v>
      </c>
      <c r="N2717" s="4">
        <v>7</v>
      </c>
      <c r="O2717" t="s">
        <v>29</v>
      </c>
      <c r="P2717" t="s">
        <v>29</v>
      </c>
      <c r="Q2717" s="4">
        <v>594069</v>
      </c>
      <c r="R2717" s="4">
        <v>396333</v>
      </c>
      <c r="S2717" s="4">
        <f>Table1[[#This Row],[Service_Revenue]]-Table1[[#This Row],[Service_Cost]]</f>
        <v>197736</v>
      </c>
      <c r="T2717" s="4">
        <v>2</v>
      </c>
      <c r="U2717" s="4">
        <f>IF(AND(Table1[[#This Row],[Rework_Flag]]="Yes",Table1[[#This Row],[Warranty_Claim]]="No"),Table1[[#This Row],[Service_Revenue]],0)</f>
        <v>0</v>
      </c>
      <c r="V2717" s="4">
        <f>IF(Table1[[#This Row],[Warranty_Claim]]="Yes",1,0)</f>
        <v>1</v>
      </c>
      <c r="W2717" s="4">
        <f>IF(Table1[[#This Row],[Rework_Flag]]="No",1,0)</f>
        <v>0</v>
      </c>
      <c r="X2717" s="4">
        <f>IF(Table1[[#This Row],[Rework_Flag]]="Yes",1,0)</f>
        <v>1</v>
      </c>
      <c r="Y2717" s="4">
        <v>1</v>
      </c>
      <c r="Z2717" s="4" t="str">
        <f>IF(Table1[[#This Row],[TAT_Days]]&gt;Table1[[#This Row],[SLA_TAT]],"Yes","No")</f>
        <v>Yes</v>
      </c>
      <c r="AA2717" s="4" t="str" cm="1">
        <f t="array" ref="AA2717">_xlfn.IFS(Table1[[#This Row],[Customer_Satisfaction]]&lt;=2,"Poor",Table1[[#This Row],[Customer_Satisfaction]]=3,"Neutral",Table1[[#This Row],[Customer_Satisfaction]]=4,"Good",Table1[[#This Row],[Customer_Satisfaction]]=5,"Good")</f>
        <v>Poor</v>
      </c>
    </row>
    <row r="2718" spans="1:27" x14ac:dyDescent="0.35">
      <c r="A2718">
        <v>22716</v>
      </c>
      <c r="B2718" s="1">
        <v>45470</v>
      </c>
      <c r="C2718" t="s">
        <v>30</v>
      </c>
      <c r="D2718" t="s">
        <v>83</v>
      </c>
      <c r="E2718" t="s">
        <v>119</v>
      </c>
      <c r="F2718" t="s">
        <v>40</v>
      </c>
      <c r="G2718" t="s">
        <v>41</v>
      </c>
      <c r="H2718" t="s">
        <v>42</v>
      </c>
      <c r="I2718" t="s">
        <v>55</v>
      </c>
      <c r="J2718" t="s">
        <v>67</v>
      </c>
      <c r="K2718" t="s">
        <v>61</v>
      </c>
      <c r="L2718" t="s">
        <v>49</v>
      </c>
      <c r="M2718" s="4">
        <v>23</v>
      </c>
      <c r="N2718" s="4">
        <v>7</v>
      </c>
      <c r="O2718" t="s">
        <v>29</v>
      </c>
      <c r="P2718" t="s">
        <v>36</v>
      </c>
      <c r="Q2718" s="4">
        <v>342716</v>
      </c>
      <c r="R2718" s="4">
        <v>235221</v>
      </c>
      <c r="S2718" s="4">
        <f>Table1[[#This Row],[Service_Revenue]]-Table1[[#This Row],[Service_Cost]]</f>
        <v>107495</v>
      </c>
      <c r="T2718" s="4">
        <v>1</v>
      </c>
      <c r="U2718" s="4">
        <f>IF(AND(Table1[[#This Row],[Rework_Flag]]="Yes",Table1[[#This Row],[Warranty_Claim]]="No"),Table1[[#This Row],[Service_Revenue]],0)</f>
        <v>342716</v>
      </c>
      <c r="V2718" s="4">
        <f>IF(Table1[[#This Row],[Warranty_Claim]]="Yes",1,0)</f>
        <v>0</v>
      </c>
      <c r="W2718" s="4">
        <f>IF(Table1[[#This Row],[Rework_Flag]]="No",1,0)</f>
        <v>0</v>
      </c>
      <c r="X2718" s="4">
        <f>IF(Table1[[#This Row],[Rework_Flag]]="Yes",1,0)</f>
        <v>1</v>
      </c>
      <c r="Y2718" s="4">
        <v>1</v>
      </c>
      <c r="Z2718" s="4" t="str">
        <f>IF(Table1[[#This Row],[TAT_Days]]&gt;Table1[[#This Row],[SLA_TAT]],"Yes","No")</f>
        <v>Yes</v>
      </c>
      <c r="AA2718" s="4" t="str" cm="1">
        <f t="array" ref="AA2718">_xlfn.IFS(Table1[[#This Row],[Customer_Satisfaction]]&lt;=2,"Poor",Table1[[#This Row],[Customer_Satisfaction]]=3,"Neutral",Table1[[#This Row],[Customer_Satisfaction]]=4,"Good",Table1[[#This Row],[Customer_Satisfaction]]=5,"Good")</f>
        <v>Poor</v>
      </c>
    </row>
    <row r="2719" spans="1:27" x14ac:dyDescent="0.35">
      <c r="A2719">
        <v>22717</v>
      </c>
      <c r="B2719" s="1">
        <v>45417</v>
      </c>
      <c r="C2719" t="s">
        <v>37</v>
      </c>
      <c r="D2719" t="s">
        <v>38</v>
      </c>
      <c r="E2719" t="s">
        <v>93</v>
      </c>
      <c r="F2719" t="s">
        <v>22</v>
      </c>
      <c r="G2719" t="s">
        <v>47</v>
      </c>
      <c r="H2719" t="s">
        <v>48</v>
      </c>
      <c r="I2719" t="s">
        <v>55</v>
      </c>
      <c r="J2719" t="s">
        <v>26</v>
      </c>
      <c r="K2719" t="s">
        <v>27</v>
      </c>
      <c r="L2719" t="s">
        <v>28</v>
      </c>
      <c r="M2719" s="4">
        <v>2</v>
      </c>
      <c r="N2719" s="4">
        <v>7</v>
      </c>
      <c r="O2719" t="s">
        <v>36</v>
      </c>
      <c r="P2719" t="s">
        <v>29</v>
      </c>
      <c r="Q2719" s="4">
        <v>509055</v>
      </c>
      <c r="R2719" s="4">
        <v>279756</v>
      </c>
      <c r="S2719" s="4">
        <f>Table1[[#This Row],[Service_Revenue]]-Table1[[#This Row],[Service_Cost]]</f>
        <v>229299</v>
      </c>
      <c r="T2719" s="4">
        <v>5</v>
      </c>
      <c r="U2719" s="4">
        <f>IF(AND(Table1[[#This Row],[Rework_Flag]]="Yes",Table1[[#This Row],[Warranty_Claim]]="No"),Table1[[#This Row],[Service_Revenue]],0)</f>
        <v>0</v>
      </c>
      <c r="V2719" s="4">
        <f>IF(Table1[[#This Row],[Warranty_Claim]]="Yes",1,0)</f>
        <v>1</v>
      </c>
      <c r="W2719" s="4">
        <f>IF(Table1[[#This Row],[Rework_Flag]]="No",1,0)</f>
        <v>1</v>
      </c>
      <c r="X2719" s="4">
        <f>IF(Table1[[#This Row],[Rework_Flag]]="Yes",1,0)</f>
        <v>0</v>
      </c>
      <c r="Y2719" s="4">
        <v>1</v>
      </c>
      <c r="Z2719" s="4" t="str">
        <f>IF(Table1[[#This Row],[TAT_Days]]&gt;Table1[[#This Row],[SLA_TAT]],"Yes","No")</f>
        <v>No</v>
      </c>
      <c r="AA2719" s="4" t="str" cm="1">
        <f t="array" ref="AA2719">_xlfn.IFS(Table1[[#This Row],[Customer_Satisfaction]]&lt;=2,"Poor",Table1[[#This Row],[Customer_Satisfaction]]=3,"Neutral",Table1[[#This Row],[Customer_Satisfaction]]=4,"Good",Table1[[#This Row],[Customer_Satisfaction]]=5,"Good")</f>
        <v>Good</v>
      </c>
    </row>
    <row r="2720" spans="1:27" x14ac:dyDescent="0.35">
      <c r="A2720">
        <v>22718</v>
      </c>
      <c r="B2720" s="1">
        <v>45373</v>
      </c>
      <c r="C2720" t="s">
        <v>19</v>
      </c>
      <c r="D2720" t="s">
        <v>45</v>
      </c>
      <c r="E2720" t="s">
        <v>111</v>
      </c>
      <c r="F2720" t="s">
        <v>53</v>
      </c>
      <c r="G2720" t="s">
        <v>74</v>
      </c>
      <c r="H2720" t="s">
        <v>34</v>
      </c>
      <c r="I2720" t="s">
        <v>55</v>
      </c>
      <c r="J2720" t="s">
        <v>26</v>
      </c>
      <c r="K2720" t="s">
        <v>61</v>
      </c>
      <c r="L2720" t="s">
        <v>49</v>
      </c>
      <c r="M2720" s="4">
        <v>20</v>
      </c>
      <c r="N2720" s="4">
        <v>7</v>
      </c>
      <c r="O2720" t="s">
        <v>29</v>
      </c>
      <c r="P2720" t="s">
        <v>36</v>
      </c>
      <c r="Q2720" s="4">
        <v>474115</v>
      </c>
      <c r="R2720" s="4">
        <v>295274</v>
      </c>
      <c r="S2720" s="4">
        <f>Table1[[#This Row],[Service_Revenue]]-Table1[[#This Row],[Service_Cost]]</f>
        <v>178841</v>
      </c>
      <c r="T2720" s="4">
        <v>1</v>
      </c>
      <c r="U2720" s="4">
        <f>IF(AND(Table1[[#This Row],[Rework_Flag]]="Yes",Table1[[#This Row],[Warranty_Claim]]="No"),Table1[[#This Row],[Service_Revenue]],0)</f>
        <v>474115</v>
      </c>
      <c r="V2720" s="4">
        <f>IF(Table1[[#This Row],[Warranty_Claim]]="Yes",1,0)</f>
        <v>0</v>
      </c>
      <c r="W2720" s="4">
        <f>IF(Table1[[#This Row],[Rework_Flag]]="No",1,0)</f>
        <v>0</v>
      </c>
      <c r="X2720" s="4">
        <f>IF(Table1[[#This Row],[Rework_Flag]]="Yes",1,0)</f>
        <v>1</v>
      </c>
      <c r="Y2720" s="4">
        <v>1</v>
      </c>
      <c r="Z2720" s="4" t="str">
        <f>IF(Table1[[#This Row],[TAT_Days]]&gt;Table1[[#This Row],[SLA_TAT]],"Yes","No")</f>
        <v>Yes</v>
      </c>
      <c r="AA2720" s="4" t="str" cm="1">
        <f t="array" ref="AA2720">_xlfn.IFS(Table1[[#This Row],[Customer_Satisfaction]]&lt;=2,"Poor",Table1[[#This Row],[Customer_Satisfaction]]=3,"Neutral",Table1[[#This Row],[Customer_Satisfaction]]=4,"Good",Table1[[#This Row],[Customer_Satisfaction]]=5,"Good")</f>
        <v>Poor</v>
      </c>
    </row>
    <row r="2721" spans="1:27" x14ac:dyDescent="0.35">
      <c r="A2721">
        <v>22719</v>
      </c>
      <c r="B2721" s="1">
        <v>45407</v>
      </c>
      <c r="C2721" t="s">
        <v>19</v>
      </c>
      <c r="D2721" t="s">
        <v>96</v>
      </c>
      <c r="E2721" t="s">
        <v>108</v>
      </c>
      <c r="F2721" t="s">
        <v>53</v>
      </c>
      <c r="G2721" t="s">
        <v>41</v>
      </c>
      <c r="H2721" t="s">
        <v>42</v>
      </c>
      <c r="I2721" t="s">
        <v>25</v>
      </c>
      <c r="J2721" t="s">
        <v>35</v>
      </c>
      <c r="K2721" t="s">
        <v>61</v>
      </c>
      <c r="L2721" t="s">
        <v>28</v>
      </c>
      <c r="M2721" s="4">
        <v>5</v>
      </c>
      <c r="N2721" s="4">
        <v>7</v>
      </c>
      <c r="O2721" t="s">
        <v>29</v>
      </c>
      <c r="P2721" t="s">
        <v>36</v>
      </c>
      <c r="Q2721" s="4">
        <v>485009</v>
      </c>
      <c r="R2721" s="4">
        <v>377621</v>
      </c>
      <c r="S2721" s="4">
        <f>Table1[[#This Row],[Service_Revenue]]-Table1[[#This Row],[Service_Cost]]</f>
        <v>107388</v>
      </c>
      <c r="T2721" s="4">
        <v>3</v>
      </c>
      <c r="U2721" s="4">
        <f>IF(AND(Table1[[#This Row],[Rework_Flag]]="Yes",Table1[[#This Row],[Warranty_Claim]]="No"),Table1[[#This Row],[Service_Revenue]],0)</f>
        <v>485009</v>
      </c>
      <c r="V2721" s="4">
        <f>IF(Table1[[#This Row],[Warranty_Claim]]="Yes",1,0)</f>
        <v>0</v>
      </c>
      <c r="W2721" s="4">
        <f>IF(Table1[[#This Row],[Rework_Flag]]="No",1,0)</f>
        <v>0</v>
      </c>
      <c r="X2721" s="4">
        <f>IF(Table1[[#This Row],[Rework_Flag]]="Yes",1,0)</f>
        <v>1</v>
      </c>
      <c r="Y2721" s="4">
        <v>1</v>
      </c>
      <c r="Z2721" s="4" t="str">
        <f>IF(Table1[[#This Row],[TAT_Days]]&gt;Table1[[#This Row],[SLA_TAT]],"Yes","No")</f>
        <v>No</v>
      </c>
      <c r="AA2721" s="4" t="str" cm="1">
        <f t="array" ref="AA2721">_xlfn.IFS(Table1[[#This Row],[Customer_Satisfaction]]&lt;=2,"Poor",Table1[[#This Row],[Customer_Satisfaction]]=3,"Neutral",Table1[[#This Row],[Customer_Satisfaction]]=4,"Good",Table1[[#This Row],[Customer_Satisfaction]]=5,"Good")</f>
        <v>Neutral</v>
      </c>
    </row>
    <row r="2722" spans="1:27" x14ac:dyDescent="0.35">
      <c r="A2722">
        <v>22720</v>
      </c>
      <c r="B2722" s="1">
        <v>45458</v>
      </c>
      <c r="C2722" t="s">
        <v>19</v>
      </c>
      <c r="D2722" t="s">
        <v>45</v>
      </c>
      <c r="E2722" t="s">
        <v>76</v>
      </c>
      <c r="F2722" t="s">
        <v>40</v>
      </c>
      <c r="G2722" t="s">
        <v>74</v>
      </c>
      <c r="H2722" t="s">
        <v>34</v>
      </c>
      <c r="I2722" t="s">
        <v>55</v>
      </c>
      <c r="J2722" t="s">
        <v>35</v>
      </c>
      <c r="K2722" t="s">
        <v>27</v>
      </c>
      <c r="L2722" t="s">
        <v>49</v>
      </c>
      <c r="M2722" s="4">
        <v>24</v>
      </c>
      <c r="N2722" s="4">
        <v>7</v>
      </c>
      <c r="O2722" t="s">
        <v>29</v>
      </c>
      <c r="P2722" t="s">
        <v>36</v>
      </c>
      <c r="Q2722" s="4">
        <v>412106</v>
      </c>
      <c r="R2722" s="4">
        <v>319788</v>
      </c>
      <c r="S2722" s="4">
        <f>Table1[[#This Row],[Service_Revenue]]-Table1[[#This Row],[Service_Cost]]</f>
        <v>92318</v>
      </c>
      <c r="T2722" s="4">
        <v>1</v>
      </c>
      <c r="U2722" s="4">
        <f>IF(AND(Table1[[#This Row],[Rework_Flag]]="Yes",Table1[[#This Row],[Warranty_Claim]]="No"),Table1[[#This Row],[Service_Revenue]],0)</f>
        <v>412106</v>
      </c>
      <c r="V2722" s="4">
        <f>IF(Table1[[#This Row],[Warranty_Claim]]="Yes",1,0)</f>
        <v>0</v>
      </c>
      <c r="W2722" s="4">
        <f>IF(Table1[[#This Row],[Rework_Flag]]="No",1,0)</f>
        <v>0</v>
      </c>
      <c r="X2722" s="4">
        <f>IF(Table1[[#This Row],[Rework_Flag]]="Yes",1,0)</f>
        <v>1</v>
      </c>
      <c r="Y2722" s="4">
        <v>1</v>
      </c>
      <c r="Z2722" s="4" t="str">
        <f>IF(Table1[[#This Row],[TAT_Days]]&gt;Table1[[#This Row],[SLA_TAT]],"Yes","No")</f>
        <v>Yes</v>
      </c>
      <c r="AA2722" s="4" t="str" cm="1">
        <f t="array" ref="AA2722">_xlfn.IFS(Table1[[#This Row],[Customer_Satisfaction]]&lt;=2,"Poor",Table1[[#This Row],[Customer_Satisfaction]]=3,"Neutral",Table1[[#This Row],[Customer_Satisfaction]]=4,"Good",Table1[[#This Row],[Customer_Satisfaction]]=5,"Good")</f>
        <v>Poor</v>
      </c>
    </row>
    <row r="2723" spans="1:27" x14ac:dyDescent="0.35">
      <c r="A2723">
        <v>22721</v>
      </c>
      <c r="B2723" s="1">
        <v>45313</v>
      </c>
      <c r="C2723" t="s">
        <v>30</v>
      </c>
      <c r="D2723" t="s">
        <v>59</v>
      </c>
      <c r="E2723" t="s">
        <v>66</v>
      </c>
      <c r="F2723" t="s">
        <v>53</v>
      </c>
      <c r="G2723" t="s">
        <v>33</v>
      </c>
      <c r="H2723" t="s">
        <v>34</v>
      </c>
      <c r="I2723" t="s">
        <v>25</v>
      </c>
      <c r="J2723" t="s">
        <v>35</v>
      </c>
      <c r="K2723" t="s">
        <v>61</v>
      </c>
      <c r="L2723" t="s">
        <v>28</v>
      </c>
      <c r="M2723" s="4">
        <v>9</v>
      </c>
      <c r="N2723" s="4">
        <v>7</v>
      </c>
      <c r="O2723" t="s">
        <v>36</v>
      </c>
      <c r="P2723" t="s">
        <v>29</v>
      </c>
      <c r="Q2723" s="4">
        <v>144324</v>
      </c>
      <c r="R2723" s="4">
        <v>111958</v>
      </c>
      <c r="S2723" s="4">
        <f>Table1[[#This Row],[Service_Revenue]]-Table1[[#This Row],[Service_Cost]]</f>
        <v>32366</v>
      </c>
      <c r="T2723" s="4">
        <v>4</v>
      </c>
      <c r="U2723" s="4">
        <f>IF(AND(Table1[[#This Row],[Rework_Flag]]="Yes",Table1[[#This Row],[Warranty_Claim]]="No"),Table1[[#This Row],[Service_Revenue]],0)</f>
        <v>0</v>
      </c>
      <c r="V2723" s="4">
        <f>IF(Table1[[#This Row],[Warranty_Claim]]="Yes",1,0)</f>
        <v>1</v>
      </c>
      <c r="W2723" s="4">
        <f>IF(Table1[[#This Row],[Rework_Flag]]="No",1,0)</f>
        <v>1</v>
      </c>
      <c r="X2723" s="4">
        <f>IF(Table1[[#This Row],[Rework_Flag]]="Yes",1,0)</f>
        <v>0</v>
      </c>
      <c r="Y2723" s="4">
        <v>1</v>
      </c>
      <c r="Z2723" s="4" t="str">
        <f>IF(Table1[[#This Row],[TAT_Days]]&gt;Table1[[#This Row],[SLA_TAT]],"Yes","No")</f>
        <v>Yes</v>
      </c>
      <c r="AA2723" s="4" t="str" cm="1">
        <f t="array" ref="AA2723">_xlfn.IFS(Table1[[#This Row],[Customer_Satisfaction]]&lt;=2,"Poor",Table1[[#This Row],[Customer_Satisfaction]]=3,"Neutral",Table1[[#This Row],[Customer_Satisfaction]]=4,"Good",Table1[[#This Row],[Customer_Satisfaction]]=5,"Good")</f>
        <v>Good</v>
      </c>
    </row>
    <row r="2724" spans="1:27" x14ac:dyDescent="0.35">
      <c r="A2724">
        <v>22722</v>
      </c>
      <c r="B2724" s="1">
        <v>45410</v>
      </c>
      <c r="C2724" t="s">
        <v>30</v>
      </c>
      <c r="D2724" t="s">
        <v>83</v>
      </c>
      <c r="E2724" t="s">
        <v>90</v>
      </c>
      <c r="F2724" t="s">
        <v>53</v>
      </c>
      <c r="G2724" t="s">
        <v>63</v>
      </c>
      <c r="H2724" t="s">
        <v>24</v>
      </c>
      <c r="I2724" t="s">
        <v>25</v>
      </c>
      <c r="J2724" t="s">
        <v>35</v>
      </c>
      <c r="K2724" t="s">
        <v>27</v>
      </c>
      <c r="L2724" t="s">
        <v>28</v>
      </c>
      <c r="M2724" s="4">
        <v>24</v>
      </c>
      <c r="N2724" s="4">
        <v>7</v>
      </c>
      <c r="O2724" t="s">
        <v>29</v>
      </c>
      <c r="P2724" t="s">
        <v>36</v>
      </c>
      <c r="Q2724" s="4">
        <v>353349</v>
      </c>
      <c r="R2724" s="4">
        <v>235329</v>
      </c>
      <c r="S2724" s="4">
        <f>Table1[[#This Row],[Service_Revenue]]-Table1[[#This Row],[Service_Cost]]</f>
        <v>118020</v>
      </c>
      <c r="T2724" s="4">
        <v>1</v>
      </c>
      <c r="U2724" s="4">
        <f>IF(AND(Table1[[#This Row],[Rework_Flag]]="Yes",Table1[[#This Row],[Warranty_Claim]]="No"),Table1[[#This Row],[Service_Revenue]],0)</f>
        <v>353349</v>
      </c>
      <c r="V2724" s="4">
        <f>IF(Table1[[#This Row],[Warranty_Claim]]="Yes",1,0)</f>
        <v>0</v>
      </c>
      <c r="W2724" s="4">
        <f>IF(Table1[[#This Row],[Rework_Flag]]="No",1,0)</f>
        <v>0</v>
      </c>
      <c r="X2724" s="4">
        <f>IF(Table1[[#This Row],[Rework_Flag]]="Yes",1,0)</f>
        <v>1</v>
      </c>
      <c r="Y2724" s="4">
        <v>1</v>
      </c>
      <c r="Z2724" s="4" t="str">
        <f>IF(Table1[[#This Row],[TAT_Days]]&gt;Table1[[#This Row],[SLA_TAT]],"Yes","No")</f>
        <v>Yes</v>
      </c>
      <c r="AA2724" s="4" t="str" cm="1">
        <f t="array" ref="AA2724">_xlfn.IFS(Table1[[#This Row],[Customer_Satisfaction]]&lt;=2,"Poor",Table1[[#This Row],[Customer_Satisfaction]]=3,"Neutral",Table1[[#This Row],[Customer_Satisfaction]]=4,"Good",Table1[[#This Row],[Customer_Satisfaction]]=5,"Good")</f>
        <v>Poor</v>
      </c>
    </row>
    <row r="2725" spans="1:27" x14ac:dyDescent="0.35">
      <c r="A2725">
        <v>22723</v>
      </c>
      <c r="B2725" s="1">
        <v>45441</v>
      </c>
      <c r="C2725" t="s">
        <v>30</v>
      </c>
      <c r="D2725" t="s">
        <v>83</v>
      </c>
      <c r="E2725" t="s">
        <v>95</v>
      </c>
      <c r="F2725" t="s">
        <v>40</v>
      </c>
      <c r="G2725" t="s">
        <v>47</v>
      </c>
      <c r="H2725" t="s">
        <v>48</v>
      </c>
      <c r="I2725" t="s">
        <v>55</v>
      </c>
      <c r="J2725" t="s">
        <v>43</v>
      </c>
      <c r="K2725" t="s">
        <v>61</v>
      </c>
      <c r="L2725" t="s">
        <v>28</v>
      </c>
      <c r="M2725" s="4">
        <v>12</v>
      </c>
      <c r="N2725" s="4">
        <v>7</v>
      </c>
      <c r="O2725" t="s">
        <v>36</v>
      </c>
      <c r="P2725" t="s">
        <v>36</v>
      </c>
      <c r="Q2725" s="4">
        <v>310008</v>
      </c>
      <c r="R2725" s="4">
        <v>169646</v>
      </c>
      <c r="S2725" s="4">
        <f>Table1[[#This Row],[Service_Revenue]]-Table1[[#This Row],[Service_Cost]]</f>
        <v>140362</v>
      </c>
      <c r="T2725" s="4">
        <v>3</v>
      </c>
      <c r="U2725" s="4">
        <f>IF(AND(Table1[[#This Row],[Rework_Flag]]="Yes",Table1[[#This Row],[Warranty_Claim]]="No"),Table1[[#This Row],[Service_Revenue]],0)</f>
        <v>0</v>
      </c>
      <c r="V2725" s="4">
        <f>IF(Table1[[#This Row],[Warranty_Claim]]="Yes",1,0)</f>
        <v>0</v>
      </c>
      <c r="W2725" s="4">
        <f>IF(Table1[[#This Row],[Rework_Flag]]="No",1,0)</f>
        <v>1</v>
      </c>
      <c r="X2725" s="4">
        <f>IF(Table1[[#This Row],[Rework_Flag]]="Yes",1,0)</f>
        <v>0</v>
      </c>
      <c r="Y2725" s="4">
        <v>1</v>
      </c>
      <c r="Z2725" s="4" t="str">
        <f>IF(Table1[[#This Row],[TAT_Days]]&gt;Table1[[#This Row],[SLA_TAT]],"Yes","No")</f>
        <v>Yes</v>
      </c>
      <c r="AA2725" s="4" t="str" cm="1">
        <f t="array" ref="AA2725">_xlfn.IFS(Table1[[#This Row],[Customer_Satisfaction]]&lt;=2,"Poor",Table1[[#This Row],[Customer_Satisfaction]]=3,"Neutral",Table1[[#This Row],[Customer_Satisfaction]]=4,"Good",Table1[[#This Row],[Customer_Satisfaction]]=5,"Good")</f>
        <v>Neutral</v>
      </c>
    </row>
    <row r="2726" spans="1:27" x14ac:dyDescent="0.35">
      <c r="A2726">
        <v>22724</v>
      </c>
      <c r="B2726" s="1">
        <v>45440</v>
      </c>
      <c r="C2726" t="s">
        <v>19</v>
      </c>
      <c r="D2726" t="s">
        <v>45</v>
      </c>
      <c r="E2726" t="s">
        <v>46</v>
      </c>
      <c r="F2726" t="s">
        <v>22</v>
      </c>
      <c r="G2726" t="s">
        <v>23</v>
      </c>
      <c r="H2726" t="s">
        <v>24</v>
      </c>
      <c r="I2726" t="s">
        <v>55</v>
      </c>
      <c r="J2726" t="s">
        <v>67</v>
      </c>
      <c r="K2726" t="s">
        <v>61</v>
      </c>
      <c r="L2726" t="s">
        <v>28</v>
      </c>
      <c r="M2726" s="4">
        <v>15</v>
      </c>
      <c r="N2726" s="4">
        <v>7</v>
      </c>
      <c r="O2726" t="s">
        <v>36</v>
      </c>
      <c r="P2726" t="s">
        <v>36</v>
      </c>
      <c r="Q2726" s="4">
        <v>101263</v>
      </c>
      <c r="R2726" s="4">
        <v>52276</v>
      </c>
      <c r="S2726" s="4">
        <f>Table1[[#This Row],[Service_Revenue]]-Table1[[#This Row],[Service_Cost]]</f>
        <v>48987</v>
      </c>
      <c r="T2726" s="4">
        <v>2</v>
      </c>
      <c r="U2726" s="4">
        <f>IF(AND(Table1[[#This Row],[Rework_Flag]]="Yes",Table1[[#This Row],[Warranty_Claim]]="No"),Table1[[#This Row],[Service_Revenue]],0)</f>
        <v>0</v>
      </c>
      <c r="V2726" s="4">
        <f>IF(Table1[[#This Row],[Warranty_Claim]]="Yes",1,0)</f>
        <v>0</v>
      </c>
      <c r="W2726" s="4">
        <f>IF(Table1[[#This Row],[Rework_Flag]]="No",1,0)</f>
        <v>1</v>
      </c>
      <c r="X2726" s="4">
        <f>IF(Table1[[#This Row],[Rework_Flag]]="Yes",1,0)</f>
        <v>0</v>
      </c>
      <c r="Y2726" s="4">
        <v>1</v>
      </c>
      <c r="Z2726" s="4" t="str">
        <f>IF(Table1[[#This Row],[TAT_Days]]&gt;Table1[[#This Row],[SLA_TAT]],"Yes","No")</f>
        <v>Yes</v>
      </c>
      <c r="AA2726" s="4" t="str" cm="1">
        <f t="array" ref="AA2726">_xlfn.IFS(Table1[[#This Row],[Customer_Satisfaction]]&lt;=2,"Poor",Table1[[#This Row],[Customer_Satisfaction]]=3,"Neutral",Table1[[#This Row],[Customer_Satisfaction]]=4,"Good",Table1[[#This Row],[Customer_Satisfaction]]=5,"Good")</f>
        <v>Poor</v>
      </c>
    </row>
    <row r="2727" spans="1:27" x14ac:dyDescent="0.35">
      <c r="A2727">
        <v>22725</v>
      </c>
      <c r="B2727" s="1">
        <v>45458</v>
      </c>
      <c r="C2727" t="s">
        <v>19</v>
      </c>
      <c r="D2727" t="s">
        <v>96</v>
      </c>
      <c r="E2727" t="s">
        <v>98</v>
      </c>
      <c r="F2727" t="s">
        <v>53</v>
      </c>
      <c r="G2727" t="s">
        <v>33</v>
      </c>
      <c r="H2727" t="s">
        <v>34</v>
      </c>
      <c r="I2727" t="s">
        <v>55</v>
      </c>
      <c r="J2727" t="s">
        <v>58</v>
      </c>
      <c r="K2727" t="s">
        <v>44</v>
      </c>
      <c r="L2727" t="s">
        <v>28</v>
      </c>
      <c r="M2727" s="4">
        <v>6</v>
      </c>
      <c r="N2727" s="4">
        <v>7</v>
      </c>
      <c r="O2727" t="s">
        <v>29</v>
      </c>
      <c r="P2727" t="s">
        <v>36</v>
      </c>
      <c r="Q2727" s="4">
        <v>557770</v>
      </c>
      <c r="R2727" s="4">
        <v>332900</v>
      </c>
      <c r="S2727" s="4">
        <f>Table1[[#This Row],[Service_Revenue]]-Table1[[#This Row],[Service_Cost]]</f>
        <v>224870</v>
      </c>
      <c r="T2727" s="4">
        <v>3</v>
      </c>
      <c r="U2727" s="4">
        <f>IF(AND(Table1[[#This Row],[Rework_Flag]]="Yes",Table1[[#This Row],[Warranty_Claim]]="No"),Table1[[#This Row],[Service_Revenue]],0)</f>
        <v>557770</v>
      </c>
      <c r="V2727" s="4">
        <f>IF(Table1[[#This Row],[Warranty_Claim]]="Yes",1,0)</f>
        <v>0</v>
      </c>
      <c r="W2727" s="4">
        <f>IF(Table1[[#This Row],[Rework_Flag]]="No",1,0)</f>
        <v>0</v>
      </c>
      <c r="X2727" s="4">
        <f>IF(Table1[[#This Row],[Rework_Flag]]="Yes",1,0)</f>
        <v>1</v>
      </c>
      <c r="Y2727" s="4">
        <v>1</v>
      </c>
      <c r="Z2727" s="4" t="str">
        <f>IF(Table1[[#This Row],[TAT_Days]]&gt;Table1[[#This Row],[SLA_TAT]],"Yes","No")</f>
        <v>No</v>
      </c>
      <c r="AA2727" s="4" t="str" cm="1">
        <f t="array" ref="AA2727">_xlfn.IFS(Table1[[#This Row],[Customer_Satisfaction]]&lt;=2,"Poor",Table1[[#This Row],[Customer_Satisfaction]]=3,"Neutral",Table1[[#This Row],[Customer_Satisfaction]]=4,"Good",Table1[[#This Row],[Customer_Satisfaction]]=5,"Good")</f>
        <v>Neutral</v>
      </c>
    </row>
    <row r="2728" spans="1:27" x14ac:dyDescent="0.35">
      <c r="A2728">
        <v>22726</v>
      </c>
      <c r="B2728" s="1">
        <v>45462</v>
      </c>
      <c r="C2728" t="s">
        <v>30</v>
      </c>
      <c r="D2728" t="s">
        <v>83</v>
      </c>
      <c r="E2728" t="s">
        <v>95</v>
      </c>
      <c r="F2728" t="s">
        <v>40</v>
      </c>
      <c r="G2728" t="s">
        <v>47</v>
      </c>
      <c r="H2728" t="s">
        <v>48</v>
      </c>
      <c r="I2728" t="s">
        <v>25</v>
      </c>
      <c r="J2728" t="s">
        <v>43</v>
      </c>
      <c r="K2728" t="s">
        <v>61</v>
      </c>
      <c r="L2728" t="s">
        <v>28</v>
      </c>
      <c r="M2728" s="4">
        <v>16</v>
      </c>
      <c r="N2728" s="4">
        <v>7</v>
      </c>
      <c r="O2728" t="s">
        <v>29</v>
      </c>
      <c r="P2728" t="s">
        <v>29</v>
      </c>
      <c r="Q2728" s="4">
        <v>162572</v>
      </c>
      <c r="R2728" s="4">
        <v>91883</v>
      </c>
      <c r="S2728" s="4">
        <f>Table1[[#This Row],[Service_Revenue]]-Table1[[#This Row],[Service_Cost]]</f>
        <v>70689</v>
      </c>
      <c r="T2728" s="4">
        <v>1</v>
      </c>
      <c r="U2728" s="4">
        <f>IF(AND(Table1[[#This Row],[Rework_Flag]]="Yes",Table1[[#This Row],[Warranty_Claim]]="No"),Table1[[#This Row],[Service_Revenue]],0)</f>
        <v>0</v>
      </c>
      <c r="V2728" s="4">
        <f>IF(Table1[[#This Row],[Warranty_Claim]]="Yes",1,0)</f>
        <v>1</v>
      </c>
      <c r="W2728" s="4">
        <f>IF(Table1[[#This Row],[Rework_Flag]]="No",1,0)</f>
        <v>0</v>
      </c>
      <c r="X2728" s="4">
        <f>IF(Table1[[#This Row],[Rework_Flag]]="Yes",1,0)</f>
        <v>1</v>
      </c>
      <c r="Y2728" s="4">
        <v>1</v>
      </c>
      <c r="Z2728" s="4" t="str">
        <f>IF(Table1[[#This Row],[TAT_Days]]&gt;Table1[[#This Row],[SLA_TAT]],"Yes","No")</f>
        <v>Yes</v>
      </c>
      <c r="AA2728" s="4" t="str" cm="1">
        <f t="array" ref="AA2728">_xlfn.IFS(Table1[[#This Row],[Customer_Satisfaction]]&lt;=2,"Poor",Table1[[#This Row],[Customer_Satisfaction]]=3,"Neutral",Table1[[#This Row],[Customer_Satisfaction]]=4,"Good",Table1[[#This Row],[Customer_Satisfaction]]=5,"Good")</f>
        <v>Poor</v>
      </c>
    </row>
    <row r="2729" spans="1:27" x14ac:dyDescent="0.35">
      <c r="A2729">
        <v>22727</v>
      </c>
      <c r="B2729" s="1">
        <v>45327</v>
      </c>
      <c r="C2729" t="s">
        <v>37</v>
      </c>
      <c r="D2729" t="s">
        <v>70</v>
      </c>
      <c r="E2729" t="s">
        <v>116</v>
      </c>
      <c r="F2729" t="s">
        <v>40</v>
      </c>
      <c r="G2729" t="s">
        <v>63</v>
      </c>
      <c r="H2729" t="s">
        <v>24</v>
      </c>
      <c r="I2729" t="s">
        <v>55</v>
      </c>
      <c r="J2729" t="s">
        <v>43</v>
      </c>
      <c r="K2729" t="s">
        <v>44</v>
      </c>
      <c r="L2729" t="s">
        <v>28</v>
      </c>
      <c r="M2729" s="4">
        <v>17</v>
      </c>
      <c r="N2729" s="4">
        <v>7</v>
      </c>
      <c r="O2729" t="s">
        <v>36</v>
      </c>
      <c r="P2729" t="s">
        <v>36</v>
      </c>
      <c r="Q2729" s="4">
        <v>457955</v>
      </c>
      <c r="R2729" s="4">
        <v>232678</v>
      </c>
      <c r="S2729" s="4">
        <f>Table1[[#This Row],[Service_Revenue]]-Table1[[#This Row],[Service_Cost]]</f>
        <v>225277</v>
      </c>
      <c r="T2729" s="4">
        <v>2</v>
      </c>
      <c r="U2729" s="4">
        <f>IF(AND(Table1[[#This Row],[Rework_Flag]]="Yes",Table1[[#This Row],[Warranty_Claim]]="No"),Table1[[#This Row],[Service_Revenue]],0)</f>
        <v>0</v>
      </c>
      <c r="V2729" s="4">
        <f>IF(Table1[[#This Row],[Warranty_Claim]]="Yes",1,0)</f>
        <v>0</v>
      </c>
      <c r="W2729" s="4">
        <f>IF(Table1[[#This Row],[Rework_Flag]]="No",1,0)</f>
        <v>1</v>
      </c>
      <c r="X2729" s="4">
        <f>IF(Table1[[#This Row],[Rework_Flag]]="Yes",1,0)</f>
        <v>0</v>
      </c>
      <c r="Y2729" s="4">
        <v>1</v>
      </c>
      <c r="Z2729" s="4" t="str">
        <f>IF(Table1[[#This Row],[TAT_Days]]&gt;Table1[[#This Row],[SLA_TAT]],"Yes","No")</f>
        <v>Yes</v>
      </c>
      <c r="AA2729" s="4" t="str" cm="1">
        <f t="array" ref="AA2729">_xlfn.IFS(Table1[[#This Row],[Customer_Satisfaction]]&lt;=2,"Poor",Table1[[#This Row],[Customer_Satisfaction]]=3,"Neutral",Table1[[#This Row],[Customer_Satisfaction]]=4,"Good",Table1[[#This Row],[Customer_Satisfaction]]=5,"Good")</f>
        <v>Poor</v>
      </c>
    </row>
    <row r="2730" spans="1:27" x14ac:dyDescent="0.35">
      <c r="A2730">
        <v>22728</v>
      </c>
      <c r="B2730" s="1">
        <v>45321</v>
      </c>
      <c r="C2730" t="s">
        <v>50</v>
      </c>
      <c r="D2730" t="s">
        <v>56</v>
      </c>
      <c r="E2730" t="s">
        <v>88</v>
      </c>
      <c r="F2730" t="s">
        <v>40</v>
      </c>
      <c r="G2730" t="s">
        <v>41</v>
      </c>
      <c r="H2730" t="s">
        <v>42</v>
      </c>
      <c r="I2730" t="s">
        <v>55</v>
      </c>
      <c r="J2730" t="s">
        <v>35</v>
      </c>
      <c r="K2730" t="s">
        <v>27</v>
      </c>
      <c r="L2730" t="s">
        <v>28</v>
      </c>
      <c r="M2730" s="4">
        <v>7</v>
      </c>
      <c r="N2730" s="4">
        <v>7</v>
      </c>
      <c r="O2730" t="s">
        <v>29</v>
      </c>
      <c r="P2730" t="s">
        <v>36</v>
      </c>
      <c r="Q2730" s="4">
        <v>97310</v>
      </c>
      <c r="R2730" s="4">
        <v>54469</v>
      </c>
      <c r="S2730" s="4">
        <f>Table1[[#This Row],[Service_Revenue]]-Table1[[#This Row],[Service_Cost]]</f>
        <v>42841</v>
      </c>
      <c r="T2730" s="4">
        <v>3</v>
      </c>
      <c r="U2730" s="4">
        <f>IF(AND(Table1[[#This Row],[Rework_Flag]]="Yes",Table1[[#This Row],[Warranty_Claim]]="No"),Table1[[#This Row],[Service_Revenue]],0)</f>
        <v>97310</v>
      </c>
      <c r="V2730" s="4">
        <f>IF(Table1[[#This Row],[Warranty_Claim]]="Yes",1,0)</f>
        <v>0</v>
      </c>
      <c r="W2730" s="4">
        <f>IF(Table1[[#This Row],[Rework_Flag]]="No",1,0)</f>
        <v>0</v>
      </c>
      <c r="X2730" s="4">
        <f>IF(Table1[[#This Row],[Rework_Flag]]="Yes",1,0)</f>
        <v>1</v>
      </c>
      <c r="Y2730" s="4">
        <v>1</v>
      </c>
      <c r="Z2730" s="4" t="str">
        <f>IF(Table1[[#This Row],[TAT_Days]]&gt;Table1[[#This Row],[SLA_TAT]],"Yes","No")</f>
        <v>No</v>
      </c>
      <c r="AA2730" s="4" t="str" cm="1">
        <f t="array" ref="AA2730">_xlfn.IFS(Table1[[#This Row],[Customer_Satisfaction]]&lt;=2,"Poor",Table1[[#This Row],[Customer_Satisfaction]]=3,"Neutral",Table1[[#This Row],[Customer_Satisfaction]]=4,"Good",Table1[[#This Row],[Customer_Satisfaction]]=5,"Good")</f>
        <v>Neutral</v>
      </c>
    </row>
    <row r="2731" spans="1:27" x14ac:dyDescent="0.35">
      <c r="A2731">
        <v>22729</v>
      </c>
      <c r="B2731" s="1">
        <v>45333</v>
      </c>
      <c r="C2731" t="s">
        <v>50</v>
      </c>
      <c r="D2731" t="s">
        <v>56</v>
      </c>
      <c r="E2731" t="s">
        <v>68</v>
      </c>
      <c r="F2731" t="s">
        <v>53</v>
      </c>
      <c r="G2731" t="s">
        <v>47</v>
      </c>
      <c r="H2731" t="s">
        <v>48</v>
      </c>
      <c r="I2731" t="s">
        <v>55</v>
      </c>
      <c r="J2731" t="s">
        <v>26</v>
      </c>
      <c r="K2731" t="s">
        <v>61</v>
      </c>
      <c r="L2731" t="s">
        <v>28</v>
      </c>
      <c r="M2731" s="4">
        <v>2</v>
      </c>
      <c r="N2731" s="4">
        <v>7</v>
      </c>
      <c r="O2731" t="s">
        <v>36</v>
      </c>
      <c r="P2731" t="s">
        <v>36</v>
      </c>
      <c r="Q2731" s="4">
        <v>248694</v>
      </c>
      <c r="R2731" s="4">
        <v>165345</v>
      </c>
      <c r="S2731" s="4">
        <f>Table1[[#This Row],[Service_Revenue]]-Table1[[#This Row],[Service_Cost]]</f>
        <v>83349</v>
      </c>
      <c r="T2731" s="4">
        <v>5</v>
      </c>
      <c r="U2731" s="4">
        <f>IF(AND(Table1[[#This Row],[Rework_Flag]]="Yes",Table1[[#This Row],[Warranty_Claim]]="No"),Table1[[#This Row],[Service_Revenue]],0)</f>
        <v>0</v>
      </c>
      <c r="V2731" s="4">
        <f>IF(Table1[[#This Row],[Warranty_Claim]]="Yes",1,0)</f>
        <v>0</v>
      </c>
      <c r="W2731" s="4">
        <f>IF(Table1[[#This Row],[Rework_Flag]]="No",1,0)</f>
        <v>1</v>
      </c>
      <c r="X2731" s="4">
        <f>IF(Table1[[#This Row],[Rework_Flag]]="Yes",1,0)</f>
        <v>0</v>
      </c>
      <c r="Y2731" s="4">
        <v>1</v>
      </c>
      <c r="Z2731" s="4" t="str">
        <f>IF(Table1[[#This Row],[TAT_Days]]&gt;Table1[[#This Row],[SLA_TAT]],"Yes","No")</f>
        <v>No</v>
      </c>
      <c r="AA2731" s="4" t="str" cm="1">
        <f t="array" ref="AA2731">_xlfn.IFS(Table1[[#This Row],[Customer_Satisfaction]]&lt;=2,"Poor",Table1[[#This Row],[Customer_Satisfaction]]=3,"Neutral",Table1[[#This Row],[Customer_Satisfaction]]=4,"Good",Table1[[#This Row],[Customer_Satisfaction]]=5,"Good")</f>
        <v>Good</v>
      </c>
    </row>
    <row r="2732" spans="1:27" x14ac:dyDescent="0.35">
      <c r="A2732">
        <v>22730</v>
      </c>
      <c r="B2732" s="1">
        <v>45460</v>
      </c>
      <c r="C2732" t="s">
        <v>30</v>
      </c>
      <c r="D2732" t="s">
        <v>83</v>
      </c>
      <c r="E2732" t="s">
        <v>119</v>
      </c>
      <c r="F2732" t="s">
        <v>40</v>
      </c>
      <c r="G2732" t="s">
        <v>74</v>
      </c>
      <c r="H2732" t="s">
        <v>34</v>
      </c>
      <c r="I2732" t="s">
        <v>55</v>
      </c>
      <c r="J2732" t="s">
        <v>26</v>
      </c>
      <c r="K2732" t="s">
        <v>44</v>
      </c>
      <c r="L2732" t="s">
        <v>28</v>
      </c>
      <c r="M2732" s="4">
        <v>12</v>
      </c>
      <c r="N2732" s="4">
        <v>7</v>
      </c>
      <c r="O2732" t="s">
        <v>29</v>
      </c>
      <c r="P2732" t="s">
        <v>36</v>
      </c>
      <c r="Q2732" s="4">
        <v>246202</v>
      </c>
      <c r="R2732" s="4">
        <v>134120</v>
      </c>
      <c r="S2732" s="4">
        <f>Table1[[#This Row],[Service_Revenue]]-Table1[[#This Row],[Service_Cost]]</f>
        <v>112082</v>
      </c>
      <c r="T2732" s="4">
        <v>2</v>
      </c>
      <c r="U2732" s="4">
        <f>IF(AND(Table1[[#This Row],[Rework_Flag]]="Yes",Table1[[#This Row],[Warranty_Claim]]="No"),Table1[[#This Row],[Service_Revenue]],0)</f>
        <v>246202</v>
      </c>
      <c r="V2732" s="4">
        <f>IF(Table1[[#This Row],[Warranty_Claim]]="Yes",1,0)</f>
        <v>0</v>
      </c>
      <c r="W2732" s="4">
        <f>IF(Table1[[#This Row],[Rework_Flag]]="No",1,0)</f>
        <v>0</v>
      </c>
      <c r="X2732" s="4">
        <f>IF(Table1[[#This Row],[Rework_Flag]]="Yes",1,0)</f>
        <v>1</v>
      </c>
      <c r="Y2732" s="4">
        <v>1</v>
      </c>
      <c r="Z2732" s="4" t="str">
        <f>IF(Table1[[#This Row],[TAT_Days]]&gt;Table1[[#This Row],[SLA_TAT]],"Yes","No")</f>
        <v>Yes</v>
      </c>
      <c r="AA2732" s="4" t="str" cm="1">
        <f t="array" ref="AA2732">_xlfn.IFS(Table1[[#This Row],[Customer_Satisfaction]]&lt;=2,"Poor",Table1[[#This Row],[Customer_Satisfaction]]=3,"Neutral",Table1[[#This Row],[Customer_Satisfaction]]=4,"Good",Table1[[#This Row],[Customer_Satisfaction]]=5,"Good")</f>
        <v>Poor</v>
      </c>
    </row>
    <row r="2733" spans="1:27" x14ac:dyDescent="0.35">
      <c r="A2733">
        <v>22731</v>
      </c>
      <c r="B2733" s="1">
        <v>45390</v>
      </c>
      <c r="C2733" t="s">
        <v>50</v>
      </c>
      <c r="D2733" t="s">
        <v>56</v>
      </c>
      <c r="E2733" t="s">
        <v>57</v>
      </c>
      <c r="F2733" t="s">
        <v>40</v>
      </c>
      <c r="G2733" t="s">
        <v>23</v>
      </c>
      <c r="H2733" t="s">
        <v>24</v>
      </c>
      <c r="I2733" t="s">
        <v>55</v>
      </c>
      <c r="J2733" t="s">
        <v>43</v>
      </c>
      <c r="K2733" t="s">
        <v>27</v>
      </c>
      <c r="L2733" t="s">
        <v>28</v>
      </c>
      <c r="M2733" s="4">
        <v>17</v>
      </c>
      <c r="N2733" s="4">
        <v>7</v>
      </c>
      <c r="O2733" t="s">
        <v>29</v>
      </c>
      <c r="P2733" t="s">
        <v>29</v>
      </c>
      <c r="Q2733" s="4">
        <v>175480</v>
      </c>
      <c r="R2733" s="4">
        <v>137402</v>
      </c>
      <c r="S2733" s="4">
        <f>Table1[[#This Row],[Service_Revenue]]-Table1[[#This Row],[Service_Cost]]</f>
        <v>38078</v>
      </c>
      <c r="T2733" s="4">
        <v>1</v>
      </c>
      <c r="U2733" s="4">
        <f>IF(AND(Table1[[#This Row],[Rework_Flag]]="Yes",Table1[[#This Row],[Warranty_Claim]]="No"),Table1[[#This Row],[Service_Revenue]],0)</f>
        <v>0</v>
      </c>
      <c r="V2733" s="4">
        <f>IF(Table1[[#This Row],[Warranty_Claim]]="Yes",1,0)</f>
        <v>1</v>
      </c>
      <c r="W2733" s="4">
        <f>IF(Table1[[#This Row],[Rework_Flag]]="No",1,0)</f>
        <v>0</v>
      </c>
      <c r="X2733" s="4">
        <f>IF(Table1[[#This Row],[Rework_Flag]]="Yes",1,0)</f>
        <v>1</v>
      </c>
      <c r="Y2733" s="4">
        <v>1</v>
      </c>
      <c r="Z2733" s="4" t="str">
        <f>IF(Table1[[#This Row],[TAT_Days]]&gt;Table1[[#This Row],[SLA_TAT]],"Yes","No")</f>
        <v>Yes</v>
      </c>
      <c r="AA2733" s="4" t="str" cm="1">
        <f t="array" ref="AA2733">_xlfn.IFS(Table1[[#This Row],[Customer_Satisfaction]]&lt;=2,"Poor",Table1[[#This Row],[Customer_Satisfaction]]=3,"Neutral",Table1[[#This Row],[Customer_Satisfaction]]=4,"Good",Table1[[#This Row],[Customer_Satisfaction]]=5,"Good")</f>
        <v>Poor</v>
      </c>
    </row>
    <row r="2734" spans="1:27" x14ac:dyDescent="0.35">
      <c r="A2734">
        <v>22732</v>
      </c>
      <c r="B2734" s="1">
        <v>45391</v>
      </c>
      <c r="C2734" t="s">
        <v>30</v>
      </c>
      <c r="D2734" t="s">
        <v>59</v>
      </c>
      <c r="E2734" t="s">
        <v>78</v>
      </c>
      <c r="F2734" t="s">
        <v>53</v>
      </c>
      <c r="G2734" t="s">
        <v>74</v>
      </c>
      <c r="H2734" t="s">
        <v>34</v>
      </c>
      <c r="I2734" t="s">
        <v>55</v>
      </c>
      <c r="J2734" t="s">
        <v>58</v>
      </c>
      <c r="K2734" t="s">
        <v>27</v>
      </c>
      <c r="L2734" t="s">
        <v>28</v>
      </c>
      <c r="M2734" s="4">
        <v>2</v>
      </c>
      <c r="N2734" s="4">
        <v>7</v>
      </c>
      <c r="O2734" t="s">
        <v>36</v>
      </c>
      <c r="P2734" t="s">
        <v>36</v>
      </c>
      <c r="Q2734" s="4">
        <v>386854</v>
      </c>
      <c r="R2734" s="4">
        <v>268551</v>
      </c>
      <c r="S2734" s="4">
        <f>Table1[[#This Row],[Service_Revenue]]-Table1[[#This Row],[Service_Cost]]</f>
        <v>118303</v>
      </c>
      <c r="T2734" s="4">
        <v>5</v>
      </c>
      <c r="U2734" s="4">
        <f>IF(AND(Table1[[#This Row],[Rework_Flag]]="Yes",Table1[[#This Row],[Warranty_Claim]]="No"),Table1[[#This Row],[Service_Revenue]],0)</f>
        <v>0</v>
      </c>
      <c r="V2734" s="4">
        <f>IF(Table1[[#This Row],[Warranty_Claim]]="Yes",1,0)</f>
        <v>0</v>
      </c>
      <c r="W2734" s="4">
        <f>IF(Table1[[#This Row],[Rework_Flag]]="No",1,0)</f>
        <v>1</v>
      </c>
      <c r="X2734" s="4">
        <f>IF(Table1[[#This Row],[Rework_Flag]]="Yes",1,0)</f>
        <v>0</v>
      </c>
      <c r="Y2734" s="4">
        <v>1</v>
      </c>
      <c r="Z2734" s="4" t="str">
        <f>IF(Table1[[#This Row],[TAT_Days]]&gt;Table1[[#This Row],[SLA_TAT]],"Yes","No")</f>
        <v>No</v>
      </c>
      <c r="AA2734" s="4" t="str" cm="1">
        <f t="array" ref="AA2734">_xlfn.IFS(Table1[[#This Row],[Customer_Satisfaction]]&lt;=2,"Poor",Table1[[#This Row],[Customer_Satisfaction]]=3,"Neutral",Table1[[#This Row],[Customer_Satisfaction]]=4,"Good",Table1[[#This Row],[Customer_Satisfaction]]=5,"Good")</f>
        <v>Good</v>
      </c>
    </row>
    <row r="2735" spans="1:27" x14ac:dyDescent="0.35">
      <c r="A2735">
        <v>22733</v>
      </c>
      <c r="B2735" s="1">
        <v>45297</v>
      </c>
      <c r="C2735" t="s">
        <v>30</v>
      </c>
      <c r="D2735" t="s">
        <v>31</v>
      </c>
      <c r="E2735" t="s">
        <v>122</v>
      </c>
      <c r="F2735" t="s">
        <v>53</v>
      </c>
      <c r="G2735" t="s">
        <v>33</v>
      </c>
      <c r="H2735" t="s">
        <v>34</v>
      </c>
      <c r="I2735" t="s">
        <v>25</v>
      </c>
      <c r="J2735" t="s">
        <v>35</v>
      </c>
      <c r="K2735" t="s">
        <v>27</v>
      </c>
      <c r="L2735" t="s">
        <v>49</v>
      </c>
      <c r="M2735" s="4">
        <v>3</v>
      </c>
      <c r="N2735" s="4">
        <v>7</v>
      </c>
      <c r="O2735" t="s">
        <v>29</v>
      </c>
      <c r="P2735" t="s">
        <v>36</v>
      </c>
      <c r="Q2735" s="4">
        <v>96702</v>
      </c>
      <c r="R2735" s="4">
        <v>53848</v>
      </c>
      <c r="S2735" s="4">
        <f>Table1[[#This Row],[Service_Revenue]]-Table1[[#This Row],[Service_Cost]]</f>
        <v>42854</v>
      </c>
      <c r="T2735" s="4">
        <v>4</v>
      </c>
      <c r="U2735" s="4">
        <f>IF(AND(Table1[[#This Row],[Rework_Flag]]="Yes",Table1[[#This Row],[Warranty_Claim]]="No"),Table1[[#This Row],[Service_Revenue]],0)</f>
        <v>96702</v>
      </c>
      <c r="V2735" s="4">
        <f>IF(Table1[[#This Row],[Warranty_Claim]]="Yes",1,0)</f>
        <v>0</v>
      </c>
      <c r="W2735" s="4">
        <f>IF(Table1[[#This Row],[Rework_Flag]]="No",1,0)</f>
        <v>0</v>
      </c>
      <c r="X2735" s="4">
        <f>IF(Table1[[#This Row],[Rework_Flag]]="Yes",1,0)</f>
        <v>1</v>
      </c>
      <c r="Y2735" s="4">
        <v>1</v>
      </c>
      <c r="Z2735" s="4" t="str">
        <f>IF(Table1[[#This Row],[TAT_Days]]&gt;Table1[[#This Row],[SLA_TAT]],"Yes","No")</f>
        <v>No</v>
      </c>
      <c r="AA2735" s="4" t="str" cm="1">
        <f t="array" ref="AA2735">_xlfn.IFS(Table1[[#This Row],[Customer_Satisfaction]]&lt;=2,"Poor",Table1[[#This Row],[Customer_Satisfaction]]=3,"Neutral",Table1[[#This Row],[Customer_Satisfaction]]=4,"Good",Table1[[#This Row],[Customer_Satisfaction]]=5,"Good")</f>
        <v>Good</v>
      </c>
    </row>
    <row r="2736" spans="1:27" x14ac:dyDescent="0.35">
      <c r="A2736">
        <v>22734</v>
      </c>
      <c r="B2736" s="1">
        <v>45449</v>
      </c>
      <c r="C2736" t="s">
        <v>50</v>
      </c>
      <c r="D2736" t="s">
        <v>51</v>
      </c>
      <c r="E2736" t="s">
        <v>73</v>
      </c>
      <c r="F2736" t="s">
        <v>22</v>
      </c>
      <c r="G2736" t="s">
        <v>41</v>
      </c>
      <c r="H2736" t="s">
        <v>42</v>
      </c>
      <c r="I2736" t="s">
        <v>55</v>
      </c>
      <c r="J2736" t="s">
        <v>35</v>
      </c>
      <c r="K2736" t="s">
        <v>27</v>
      </c>
      <c r="L2736" t="s">
        <v>49</v>
      </c>
      <c r="M2736" s="4">
        <v>12</v>
      </c>
      <c r="N2736" s="4">
        <v>7</v>
      </c>
      <c r="O2736" t="s">
        <v>29</v>
      </c>
      <c r="P2736" t="s">
        <v>36</v>
      </c>
      <c r="Q2736" s="4">
        <v>105622</v>
      </c>
      <c r="R2736" s="4">
        <v>74763</v>
      </c>
      <c r="S2736" s="4">
        <f>Table1[[#This Row],[Service_Revenue]]-Table1[[#This Row],[Service_Cost]]</f>
        <v>30859</v>
      </c>
      <c r="T2736" s="4">
        <v>2</v>
      </c>
      <c r="U2736" s="4">
        <f>IF(AND(Table1[[#This Row],[Rework_Flag]]="Yes",Table1[[#This Row],[Warranty_Claim]]="No"),Table1[[#This Row],[Service_Revenue]],0)</f>
        <v>105622</v>
      </c>
      <c r="V2736" s="4">
        <f>IF(Table1[[#This Row],[Warranty_Claim]]="Yes",1,0)</f>
        <v>0</v>
      </c>
      <c r="W2736" s="4">
        <f>IF(Table1[[#This Row],[Rework_Flag]]="No",1,0)</f>
        <v>0</v>
      </c>
      <c r="X2736" s="4">
        <f>IF(Table1[[#This Row],[Rework_Flag]]="Yes",1,0)</f>
        <v>1</v>
      </c>
      <c r="Y2736" s="4">
        <v>1</v>
      </c>
      <c r="Z2736" s="4" t="str">
        <f>IF(Table1[[#This Row],[TAT_Days]]&gt;Table1[[#This Row],[SLA_TAT]],"Yes","No")</f>
        <v>Yes</v>
      </c>
      <c r="AA2736" s="4" t="str" cm="1">
        <f t="array" ref="AA2736">_xlfn.IFS(Table1[[#This Row],[Customer_Satisfaction]]&lt;=2,"Poor",Table1[[#This Row],[Customer_Satisfaction]]=3,"Neutral",Table1[[#This Row],[Customer_Satisfaction]]=4,"Good",Table1[[#This Row],[Customer_Satisfaction]]=5,"Good")</f>
        <v>Poor</v>
      </c>
    </row>
    <row r="2737" spans="1:27" x14ac:dyDescent="0.35">
      <c r="A2737">
        <v>22735</v>
      </c>
      <c r="B2737" s="1">
        <v>45294</v>
      </c>
      <c r="C2737" t="s">
        <v>37</v>
      </c>
      <c r="D2737" t="s">
        <v>38</v>
      </c>
      <c r="E2737" t="s">
        <v>107</v>
      </c>
      <c r="F2737" t="s">
        <v>22</v>
      </c>
      <c r="G2737" t="s">
        <v>33</v>
      </c>
      <c r="H2737" t="s">
        <v>34</v>
      </c>
      <c r="I2737" t="s">
        <v>25</v>
      </c>
      <c r="J2737" t="s">
        <v>43</v>
      </c>
      <c r="K2737" t="s">
        <v>44</v>
      </c>
      <c r="L2737" t="s">
        <v>49</v>
      </c>
      <c r="M2737" s="4">
        <v>16</v>
      </c>
      <c r="N2737" s="4">
        <v>7</v>
      </c>
      <c r="O2737" t="s">
        <v>36</v>
      </c>
      <c r="P2737" t="s">
        <v>36</v>
      </c>
      <c r="Q2737" s="4">
        <v>501245</v>
      </c>
      <c r="R2737" s="4">
        <v>260717</v>
      </c>
      <c r="S2737" s="4">
        <f>Table1[[#This Row],[Service_Revenue]]-Table1[[#This Row],[Service_Cost]]</f>
        <v>240528</v>
      </c>
      <c r="T2737" s="4">
        <v>2</v>
      </c>
      <c r="U2737" s="4">
        <f>IF(AND(Table1[[#This Row],[Rework_Flag]]="Yes",Table1[[#This Row],[Warranty_Claim]]="No"),Table1[[#This Row],[Service_Revenue]],0)</f>
        <v>0</v>
      </c>
      <c r="V2737" s="4">
        <f>IF(Table1[[#This Row],[Warranty_Claim]]="Yes",1,0)</f>
        <v>0</v>
      </c>
      <c r="W2737" s="4">
        <f>IF(Table1[[#This Row],[Rework_Flag]]="No",1,0)</f>
        <v>1</v>
      </c>
      <c r="X2737" s="4">
        <f>IF(Table1[[#This Row],[Rework_Flag]]="Yes",1,0)</f>
        <v>0</v>
      </c>
      <c r="Y2737" s="4">
        <v>1</v>
      </c>
      <c r="Z2737" s="4" t="str">
        <f>IF(Table1[[#This Row],[TAT_Days]]&gt;Table1[[#This Row],[SLA_TAT]],"Yes","No")</f>
        <v>Yes</v>
      </c>
      <c r="AA2737" s="4" t="str" cm="1">
        <f t="array" ref="AA2737">_xlfn.IFS(Table1[[#This Row],[Customer_Satisfaction]]&lt;=2,"Poor",Table1[[#This Row],[Customer_Satisfaction]]=3,"Neutral",Table1[[#This Row],[Customer_Satisfaction]]=4,"Good",Table1[[#This Row],[Customer_Satisfaction]]=5,"Good")</f>
        <v>Poor</v>
      </c>
    </row>
    <row r="2738" spans="1:27" x14ac:dyDescent="0.35">
      <c r="A2738">
        <v>22736</v>
      </c>
      <c r="B2738" s="1">
        <v>45448</v>
      </c>
      <c r="C2738" t="s">
        <v>30</v>
      </c>
      <c r="D2738" t="s">
        <v>59</v>
      </c>
      <c r="E2738" t="s">
        <v>60</v>
      </c>
      <c r="F2738" t="s">
        <v>53</v>
      </c>
      <c r="G2738" t="s">
        <v>63</v>
      </c>
      <c r="H2738" t="s">
        <v>24</v>
      </c>
      <c r="I2738" t="s">
        <v>25</v>
      </c>
      <c r="J2738" t="s">
        <v>43</v>
      </c>
      <c r="K2738" t="s">
        <v>44</v>
      </c>
      <c r="L2738" t="s">
        <v>28</v>
      </c>
      <c r="M2738" s="4">
        <v>2</v>
      </c>
      <c r="N2738" s="4">
        <v>7</v>
      </c>
      <c r="O2738" t="s">
        <v>36</v>
      </c>
      <c r="P2738" t="s">
        <v>29</v>
      </c>
      <c r="Q2738" s="4">
        <v>110635</v>
      </c>
      <c r="R2738" s="4">
        <v>86914</v>
      </c>
      <c r="S2738" s="4">
        <f>Table1[[#This Row],[Service_Revenue]]-Table1[[#This Row],[Service_Cost]]</f>
        <v>23721</v>
      </c>
      <c r="T2738" s="4">
        <v>5</v>
      </c>
      <c r="U2738" s="4">
        <f>IF(AND(Table1[[#This Row],[Rework_Flag]]="Yes",Table1[[#This Row],[Warranty_Claim]]="No"),Table1[[#This Row],[Service_Revenue]],0)</f>
        <v>0</v>
      </c>
      <c r="V2738" s="4">
        <f>IF(Table1[[#This Row],[Warranty_Claim]]="Yes",1,0)</f>
        <v>1</v>
      </c>
      <c r="W2738" s="4">
        <f>IF(Table1[[#This Row],[Rework_Flag]]="No",1,0)</f>
        <v>1</v>
      </c>
      <c r="X2738" s="4">
        <f>IF(Table1[[#This Row],[Rework_Flag]]="Yes",1,0)</f>
        <v>0</v>
      </c>
      <c r="Y2738" s="4">
        <v>1</v>
      </c>
      <c r="Z2738" s="4" t="str">
        <f>IF(Table1[[#This Row],[TAT_Days]]&gt;Table1[[#This Row],[SLA_TAT]],"Yes","No")</f>
        <v>No</v>
      </c>
      <c r="AA2738" s="4" t="str" cm="1">
        <f t="array" ref="AA2738">_xlfn.IFS(Table1[[#This Row],[Customer_Satisfaction]]&lt;=2,"Poor",Table1[[#This Row],[Customer_Satisfaction]]=3,"Neutral",Table1[[#This Row],[Customer_Satisfaction]]=4,"Good",Table1[[#This Row],[Customer_Satisfaction]]=5,"Good")</f>
        <v>Good</v>
      </c>
    </row>
    <row r="2739" spans="1:27" x14ac:dyDescent="0.35">
      <c r="A2739">
        <v>22737</v>
      </c>
      <c r="B2739" s="1">
        <v>45294</v>
      </c>
      <c r="C2739" t="s">
        <v>30</v>
      </c>
      <c r="D2739" t="s">
        <v>31</v>
      </c>
      <c r="E2739" t="s">
        <v>106</v>
      </c>
      <c r="F2739" t="s">
        <v>53</v>
      </c>
      <c r="G2739" t="s">
        <v>41</v>
      </c>
      <c r="H2739" t="s">
        <v>42</v>
      </c>
      <c r="I2739" t="s">
        <v>25</v>
      </c>
      <c r="J2739" t="s">
        <v>67</v>
      </c>
      <c r="K2739" t="s">
        <v>61</v>
      </c>
      <c r="L2739" t="s">
        <v>28</v>
      </c>
      <c r="M2739" s="4">
        <v>14</v>
      </c>
      <c r="N2739" s="4">
        <v>7</v>
      </c>
      <c r="O2739" t="s">
        <v>36</v>
      </c>
      <c r="P2739" t="s">
        <v>29</v>
      </c>
      <c r="Q2739" s="4">
        <v>503019</v>
      </c>
      <c r="R2739" s="4">
        <v>309611</v>
      </c>
      <c r="S2739" s="4">
        <f>Table1[[#This Row],[Service_Revenue]]-Table1[[#This Row],[Service_Cost]]</f>
        <v>193408</v>
      </c>
      <c r="T2739" s="4">
        <v>3</v>
      </c>
      <c r="U2739" s="4">
        <f>IF(AND(Table1[[#This Row],[Rework_Flag]]="Yes",Table1[[#This Row],[Warranty_Claim]]="No"),Table1[[#This Row],[Service_Revenue]],0)</f>
        <v>0</v>
      </c>
      <c r="V2739" s="4">
        <f>IF(Table1[[#This Row],[Warranty_Claim]]="Yes",1,0)</f>
        <v>1</v>
      </c>
      <c r="W2739" s="4">
        <f>IF(Table1[[#This Row],[Rework_Flag]]="No",1,0)</f>
        <v>1</v>
      </c>
      <c r="X2739" s="4">
        <f>IF(Table1[[#This Row],[Rework_Flag]]="Yes",1,0)</f>
        <v>0</v>
      </c>
      <c r="Y2739" s="4">
        <v>1</v>
      </c>
      <c r="Z2739" s="4" t="str">
        <f>IF(Table1[[#This Row],[TAT_Days]]&gt;Table1[[#This Row],[SLA_TAT]],"Yes","No")</f>
        <v>Yes</v>
      </c>
      <c r="AA2739" s="4" t="str" cm="1">
        <f t="array" ref="AA2739">_xlfn.IFS(Table1[[#This Row],[Customer_Satisfaction]]&lt;=2,"Poor",Table1[[#This Row],[Customer_Satisfaction]]=3,"Neutral",Table1[[#This Row],[Customer_Satisfaction]]=4,"Good",Table1[[#This Row],[Customer_Satisfaction]]=5,"Good")</f>
        <v>Neutral</v>
      </c>
    </row>
    <row r="2740" spans="1:27" x14ac:dyDescent="0.35">
      <c r="A2740">
        <v>22738</v>
      </c>
      <c r="B2740" s="1">
        <v>45353</v>
      </c>
      <c r="C2740" t="s">
        <v>19</v>
      </c>
      <c r="D2740" t="s">
        <v>96</v>
      </c>
      <c r="E2740" t="s">
        <v>97</v>
      </c>
      <c r="F2740" t="s">
        <v>40</v>
      </c>
      <c r="G2740" t="s">
        <v>63</v>
      </c>
      <c r="H2740" t="s">
        <v>24</v>
      </c>
      <c r="I2740" t="s">
        <v>55</v>
      </c>
      <c r="J2740" t="s">
        <v>26</v>
      </c>
      <c r="K2740" t="s">
        <v>61</v>
      </c>
      <c r="L2740" t="s">
        <v>28</v>
      </c>
      <c r="M2740" s="4">
        <v>11</v>
      </c>
      <c r="N2740" s="4">
        <v>7</v>
      </c>
      <c r="O2740" t="s">
        <v>29</v>
      </c>
      <c r="P2740" t="s">
        <v>29</v>
      </c>
      <c r="Q2740" s="4">
        <v>220358</v>
      </c>
      <c r="R2740" s="4">
        <v>158727</v>
      </c>
      <c r="S2740" s="4">
        <f>Table1[[#This Row],[Service_Revenue]]-Table1[[#This Row],[Service_Cost]]</f>
        <v>61631</v>
      </c>
      <c r="T2740" s="4">
        <v>2</v>
      </c>
      <c r="U2740" s="4">
        <f>IF(AND(Table1[[#This Row],[Rework_Flag]]="Yes",Table1[[#This Row],[Warranty_Claim]]="No"),Table1[[#This Row],[Service_Revenue]],0)</f>
        <v>0</v>
      </c>
      <c r="V2740" s="4">
        <f>IF(Table1[[#This Row],[Warranty_Claim]]="Yes",1,0)</f>
        <v>1</v>
      </c>
      <c r="W2740" s="4">
        <f>IF(Table1[[#This Row],[Rework_Flag]]="No",1,0)</f>
        <v>0</v>
      </c>
      <c r="X2740" s="4">
        <f>IF(Table1[[#This Row],[Rework_Flag]]="Yes",1,0)</f>
        <v>1</v>
      </c>
      <c r="Y2740" s="4">
        <v>1</v>
      </c>
      <c r="Z2740" s="4" t="str">
        <f>IF(Table1[[#This Row],[TAT_Days]]&gt;Table1[[#This Row],[SLA_TAT]],"Yes","No")</f>
        <v>Yes</v>
      </c>
      <c r="AA2740" s="4" t="str" cm="1">
        <f t="array" ref="AA2740">_xlfn.IFS(Table1[[#This Row],[Customer_Satisfaction]]&lt;=2,"Poor",Table1[[#This Row],[Customer_Satisfaction]]=3,"Neutral",Table1[[#This Row],[Customer_Satisfaction]]=4,"Good",Table1[[#This Row],[Customer_Satisfaction]]=5,"Good")</f>
        <v>Poor</v>
      </c>
    </row>
    <row r="2741" spans="1:27" x14ac:dyDescent="0.35">
      <c r="A2741">
        <v>22739</v>
      </c>
      <c r="B2741" s="1">
        <v>45420</v>
      </c>
      <c r="C2741" t="s">
        <v>19</v>
      </c>
      <c r="D2741" t="s">
        <v>45</v>
      </c>
      <c r="E2741" t="s">
        <v>114</v>
      </c>
      <c r="F2741" t="s">
        <v>22</v>
      </c>
      <c r="G2741" t="s">
        <v>74</v>
      </c>
      <c r="H2741" t="s">
        <v>34</v>
      </c>
      <c r="I2741" t="s">
        <v>25</v>
      </c>
      <c r="J2741" t="s">
        <v>67</v>
      </c>
      <c r="K2741" t="s">
        <v>44</v>
      </c>
      <c r="L2741" t="s">
        <v>28</v>
      </c>
      <c r="M2741" s="4">
        <v>15</v>
      </c>
      <c r="N2741" s="4">
        <v>7</v>
      </c>
      <c r="O2741" t="s">
        <v>36</v>
      </c>
      <c r="P2741" t="s">
        <v>36</v>
      </c>
      <c r="Q2741" s="4">
        <v>411889</v>
      </c>
      <c r="R2741" s="4">
        <v>263499</v>
      </c>
      <c r="S2741" s="4">
        <f>Table1[[#This Row],[Service_Revenue]]-Table1[[#This Row],[Service_Cost]]</f>
        <v>148390</v>
      </c>
      <c r="T2741" s="4">
        <v>2</v>
      </c>
      <c r="U2741" s="4">
        <f>IF(AND(Table1[[#This Row],[Rework_Flag]]="Yes",Table1[[#This Row],[Warranty_Claim]]="No"),Table1[[#This Row],[Service_Revenue]],0)</f>
        <v>0</v>
      </c>
      <c r="V2741" s="4">
        <f>IF(Table1[[#This Row],[Warranty_Claim]]="Yes",1,0)</f>
        <v>0</v>
      </c>
      <c r="W2741" s="4">
        <f>IF(Table1[[#This Row],[Rework_Flag]]="No",1,0)</f>
        <v>1</v>
      </c>
      <c r="X2741" s="4">
        <f>IF(Table1[[#This Row],[Rework_Flag]]="Yes",1,0)</f>
        <v>0</v>
      </c>
      <c r="Y2741" s="4">
        <v>1</v>
      </c>
      <c r="Z2741" s="4" t="str">
        <f>IF(Table1[[#This Row],[TAT_Days]]&gt;Table1[[#This Row],[SLA_TAT]],"Yes","No")</f>
        <v>Yes</v>
      </c>
      <c r="AA2741" s="4" t="str" cm="1">
        <f t="array" ref="AA2741">_xlfn.IFS(Table1[[#This Row],[Customer_Satisfaction]]&lt;=2,"Poor",Table1[[#This Row],[Customer_Satisfaction]]=3,"Neutral",Table1[[#This Row],[Customer_Satisfaction]]=4,"Good",Table1[[#This Row],[Customer_Satisfaction]]=5,"Good")</f>
        <v>Poor</v>
      </c>
    </row>
    <row r="2742" spans="1:27" x14ac:dyDescent="0.35">
      <c r="A2742">
        <v>22740</v>
      </c>
      <c r="B2742" s="1">
        <v>45337</v>
      </c>
      <c r="C2742" t="s">
        <v>19</v>
      </c>
      <c r="D2742" t="s">
        <v>20</v>
      </c>
      <c r="E2742" t="s">
        <v>86</v>
      </c>
      <c r="F2742" t="s">
        <v>53</v>
      </c>
      <c r="G2742" t="s">
        <v>23</v>
      </c>
      <c r="H2742" t="s">
        <v>24</v>
      </c>
      <c r="I2742" t="s">
        <v>55</v>
      </c>
      <c r="J2742" t="s">
        <v>58</v>
      </c>
      <c r="K2742" t="s">
        <v>61</v>
      </c>
      <c r="L2742" t="s">
        <v>28</v>
      </c>
      <c r="M2742" s="4">
        <v>4</v>
      </c>
      <c r="N2742" s="4">
        <v>7</v>
      </c>
      <c r="O2742" t="s">
        <v>36</v>
      </c>
      <c r="P2742" t="s">
        <v>29</v>
      </c>
      <c r="Q2742" s="4">
        <v>165977</v>
      </c>
      <c r="R2742" s="4">
        <v>125076</v>
      </c>
      <c r="S2742" s="4">
        <f>Table1[[#This Row],[Service_Revenue]]-Table1[[#This Row],[Service_Cost]]</f>
        <v>40901</v>
      </c>
      <c r="T2742" s="4">
        <v>5</v>
      </c>
      <c r="U2742" s="4">
        <f>IF(AND(Table1[[#This Row],[Rework_Flag]]="Yes",Table1[[#This Row],[Warranty_Claim]]="No"),Table1[[#This Row],[Service_Revenue]],0)</f>
        <v>0</v>
      </c>
      <c r="V2742" s="4">
        <f>IF(Table1[[#This Row],[Warranty_Claim]]="Yes",1,0)</f>
        <v>1</v>
      </c>
      <c r="W2742" s="4">
        <f>IF(Table1[[#This Row],[Rework_Flag]]="No",1,0)</f>
        <v>1</v>
      </c>
      <c r="X2742" s="4">
        <f>IF(Table1[[#This Row],[Rework_Flag]]="Yes",1,0)</f>
        <v>0</v>
      </c>
      <c r="Y2742" s="4">
        <v>1</v>
      </c>
      <c r="Z2742" s="4" t="str">
        <f>IF(Table1[[#This Row],[TAT_Days]]&gt;Table1[[#This Row],[SLA_TAT]],"Yes","No")</f>
        <v>No</v>
      </c>
      <c r="AA2742" s="4" t="str" cm="1">
        <f t="array" ref="AA2742">_xlfn.IFS(Table1[[#This Row],[Customer_Satisfaction]]&lt;=2,"Poor",Table1[[#This Row],[Customer_Satisfaction]]=3,"Neutral",Table1[[#This Row],[Customer_Satisfaction]]=4,"Good",Table1[[#This Row],[Customer_Satisfaction]]=5,"Good")</f>
        <v>Good</v>
      </c>
    </row>
    <row r="2743" spans="1:27" x14ac:dyDescent="0.35">
      <c r="A2743">
        <v>22741</v>
      </c>
      <c r="B2743" s="1">
        <v>45345</v>
      </c>
      <c r="C2743" t="s">
        <v>37</v>
      </c>
      <c r="D2743" t="s">
        <v>38</v>
      </c>
      <c r="E2743" t="s">
        <v>107</v>
      </c>
      <c r="F2743" t="s">
        <v>22</v>
      </c>
      <c r="G2743" t="s">
        <v>23</v>
      </c>
      <c r="H2743" t="s">
        <v>24</v>
      </c>
      <c r="I2743" t="s">
        <v>25</v>
      </c>
      <c r="J2743" t="s">
        <v>58</v>
      </c>
      <c r="K2743" t="s">
        <v>61</v>
      </c>
      <c r="L2743" t="s">
        <v>49</v>
      </c>
      <c r="M2743" s="4">
        <v>20</v>
      </c>
      <c r="N2743" s="4">
        <v>7</v>
      </c>
      <c r="O2743" t="s">
        <v>36</v>
      </c>
      <c r="P2743" t="s">
        <v>29</v>
      </c>
      <c r="Q2743" s="4">
        <v>270455</v>
      </c>
      <c r="R2743" s="4">
        <v>219966</v>
      </c>
      <c r="S2743" s="4">
        <f>Table1[[#This Row],[Service_Revenue]]-Table1[[#This Row],[Service_Cost]]</f>
        <v>50489</v>
      </c>
      <c r="T2743" s="4">
        <v>1</v>
      </c>
      <c r="U2743" s="4">
        <f>IF(AND(Table1[[#This Row],[Rework_Flag]]="Yes",Table1[[#This Row],[Warranty_Claim]]="No"),Table1[[#This Row],[Service_Revenue]],0)</f>
        <v>0</v>
      </c>
      <c r="V2743" s="4">
        <f>IF(Table1[[#This Row],[Warranty_Claim]]="Yes",1,0)</f>
        <v>1</v>
      </c>
      <c r="W2743" s="4">
        <f>IF(Table1[[#This Row],[Rework_Flag]]="No",1,0)</f>
        <v>1</v>
      </c>
      <c r="X2743" s="4">
        <f>IF(Table1[[#This Row],[Rework_Flag]]="Yes",1,0)</f>
        <v>0</v>
      </c>
      <c r="Y2743" s="4">
        <v>1</v>
      </c>
      <c r="Z2743" s="4" t="str">
        <f>IF(Table1[[#This Row],[TAT_Days]]&gt;Table1[[#This Row],[SLA_TAT]],"Yes","No")</f>
        <v>Yes</v>
      </c>
      <c r="AA2743" s="4" t="str" cm="1">
        <f t="array" ref="AA2743">_xlfn.IFS(Table1[[#This Row],[Customer_Satisfaction]]&lt;=2,"Poor",Table1[[#This Row],[Customer_Satisfaction]]=3,"Neutral",Table1[[#This Row],[Customer_Satisfaction]]=4,"Good",Table1[[#This Row],[Customer_Satisfaction]]=5,"Good")</f>
        <v>Poor</v>
      </c>
    </row>
    <row r="2744" spans="1:27" x14ac:dyDescent="0.35">
      <c r="A2744">
        <v>22742</v>
      </c>
      <c r="B2744" s="1">
        <v>45304</v>
      </c>
      <c r="C2744" t="s">
        <v>37</v>
      </c>
      <c r="D2744" t="s">
        <v>38</v>
      </c>
      <c r="E2744" t="s">
        <v>112</v>
      </c>
      <c r="F2744" t="s">
        <v>40</v>
      </c>
      <c r="G2744" t="s">
        <v>74</v>
      </c>
      <c r="H2744" t="s">
        <v>34</v>
      </c>
      <c r="I2744" t="s">
        <v>25</v>
      </c>
      <c r="J2744" t="s">
        <v>43</v>
      </c>
      <c r="K2744" t="s">
        <v>61</v>
      </c>
      <c r="L2744" t="s">
        <v>28</v>
      </c>
      <c r="M2744" s="4">
        <v>5</v>
      </c>
      <c r="N2744" s="4">
        <v>7</v>
      </c>
      <c r="O2744" t="s">
        <v>36</v>
      </c>
      <c r="P2744" t="s">
        <v>29</v>
      </c>
      <c r="Q2744" s="4">
        <v>104876</v>
      </c>
      <c r="R2744" s="4">
        <v>58610</v>
      </c>
      <c r="S2744" s="4">
        <f>Table1[[#This Row],[Service_Revenue]]-Table1[[#This Row],[Service_Cost]]</f>
        <v>46266</v>
      </c>
      <c r="T2744" s="4">
        <v>4</v>
      </c>
      <c r="U2744" s="4">
        <f>IF(AND(Table1[[#This Row],[Rework_Flag]]="Yes",Table1[[#This Row],[Warranty_Claim]]="No"),Table1[[#This Row],[Service_Revenue]],0)</f>
        <v>0</v>
      </c>
      <c r="V2744" s="4">
        <f>IF(Table1[[#This Row],[Warranty_Claim]]="Yes",1,0)</f>
        <v>1</v>
      </c>
      <c r="W2744" s="4">
        <f>IF(Table1[[#This Row],[Rework_Flag]]="No",1,0)</f>
        <v>1</v>
      </c>
      <c r="X2744" s="4">
        <f>IF(Table1[[#This Row],[Rework_Flag]]="Yes",1,0)</f>
        <v>0</v>
      </c>
      <c r="Y2744" s="4">
        <v>1</v>
      </c>
      <c r="Z2744" s="4" t="str">
        <f>IF(Table1[[#This Row],[TAT_Days]]&gt;Table1[[#This Row],[SLA_TAT]],"Yes","No")</f>
        <v>No</v>
      </c>
      <c r="AA2744" s="4" t="str" cm="1">
        <f t="array" ref="AA2744">_xlfn.IFS(Table1[[#This Row],[Customer_Satisfaction]]&lt;=2,"Poor",Table1[[#This Row],[Customer_Satisfaction]]=3,"Neutral",Table1[[#This Row],[Customer_Satisfaction]]=4,"Good",Table1[[#This Row],[Customer_Satisfaction]]=5,"Good")</f>
        <v>Good</v>
      </c>
    </row>
    <row r="2745" spans="1:27" x14ac:dyDescent="0.35">
      <c r="A2745">
        <v>22743</v>
      </c>
      <c r="B2745" s="1">
        <v>45444</v>
      </c>
      <c r="C2745" t="s">
        <v>30</v>
      </c>
      <c r="D2745" t="s">
        <v>59</v>
      </c>
      <c r="E2745" t="s">
        <v>69</v>
      </c>
      <c r="F2745" t="s">
        <v>53</v>
      </c>
      <c r="G2745" t="s">
        <v>23</v>
      </c>
      <c r="H2745" t="s">
        <v>24</v>
      </c>
      <c r="I2745" t="s">
        <v>55</v>
      </c>
      <c r="J2745" t="s">
        <v>58</v>
      </c>
      <c r="K2745" t="s">
        <v>44</v>
      </c>
      <c r="L2745" t="s">
        <v>49</v>
      </c>
      <c r="M2745" s="4">
        <v>13</v>
      </c>
      <c r="N2745" s="4">
        <v>7</v>
      </c>
      <c r="O2745" t="s">
        <v>36</v>
      </c>
      <c r="P2745" t="s">
        <v>36</v>
      </c>
      <c r="Q2745" s="4">
        <v>535581</v>
      </c>
      <c r="R2745" s="4">
        <v>410916</v>
      </c>
      <c r="S2745" s="4">
        <f>Table1[[#This Row],[Service_Revenue]]-Table1[[#This Row],[Service_Cost]]</f>
        <v>124665</v>
      </c>
      <c r="T2745" s="4">
        <v>3</v>
      </c>
      <c r="U2745" s="4">
        <f>IF(AND(Table1[[#This Row],[Rework_Flag]]="Yes",Table1[[#This Row],[Warranty_Claim]]="No"),Table1[[#This Row],[Service_Revenue]],0)</f>
        <v>0</v>
      </c>
      <c r="V2745" s="4">
        <f>IF(Table1[[#This Row],[Warranty_Claim]]="Yes",1,0)</f>
        <v>0</v>
      </c>
      <c r="W2745" s="4">
        <f>IF(Table1[[#This Row],[Rework_Flag]]="No",1,0)</f>
        <v>1</v>
      </c>
      <c r="X2745" s="4">
        <f>IF(Table1[[#This Row],[Rework_Flag]]="Yes",1,0)</f>
        <v>0</v>
      </c>
      <c r="Y2745" s="4">
        <v>1</v>
      </c>
      <c r="Z2745" s="4" t="str">
        <f>IF(Table1[[#This Row],[TAT_Days]]&gt;Table1[[#This Row],[SLA_TAT]],"Yes","No")</f>
        <v>Yes</v>
      </c>
      <c r="AA2745" s="4" t="str" cm="1">
        <f t="array" ref="AA2745">_xlfn.IFS(Table1[[#This Row],[Customer_Satisfaction]]&lt;=2,"Poor",Table1[[#This Row],[Customer_Satisfaction]]=3,"Neutral",Table1[[#This Row],[Customer_Satisfaction]]=4,"Good",Table1[[#This Row],[Customer_Satisfaction]]=5,"Good")</f>
        <v>Neutral</v>
      </c>
    </row>
    <row r="2746" spans="1:27" x14ac:dyDescent="0.35">
      <c r="A2746">
        <v>22744</v>
      </c>
      <c r="B2746" s="1">
        <v>45345</v>
      </c>
      <c r="C2746" t="s">
        <v>50</v>
      </c>
      <c r="D2746" t="s">
        <v>51</v>
      </c>
      <c r="E2746" t="s">
        <v>75</v>
      </c>
      <c r="F2746" t="s">
        <v>53</v>
      </c>
      <c r="G2746" t="s">
        <v>33</v>
      </c>
      <c r="H2746" t="s">
        <v>34</v>
      </c>
      <c r="I2746" t="s">
        <v>55</v>
      </c>
      <c r="J2746" t="s">
        <v>26</v>
      </c>
      <c r="K2746" t="s">
        <v>27</v>
      </c>
      <c r="L2746" t="s">
        <v>49</v>
      </c>
      <c r="M2746" s="4">
        <v>12</v>
      </c>
      <c r="N2746" s="4">
        <v>7</v>
      </c>
      <c r="O2746" t="s">
        <v>29</v>
      </c>
      <c r="P2746" t="s">
        <v>36</v>
      </c>
      <c r="Q2746" s="4">
        <v>406569</v>
      </c>
      <c r="R2746" s="4">
        <v>276661</v>
      </c>
      <c r="S2746" s="4">
        <f>Table1[[#This Row],[Service_Revenue]]-Table1[[#This Row],[Service_Cost]]</f>
        <v>129908</v>
      </c>
      <c r="T2746" s="4">
        <v>2</v>
      </c>
      <c r="U2746" s="4">
        <f>IF(AND(Table1[[#This Row],[Rework_Flag]]="Yes",Table1[[#This Row],[Warranty_Claim]]="No"),Table1[[#This Row],[Service_Revenue]],0)</f>
        <v>406569</v>
      </c>
      <c r="V2746" s="4">
        <f>IF(Table1[[#This Row],[Warranty_Claim]]="Yes",1,0)</f>
        <v>0</v>
      </c>
      <c r="W2746" s="4">
        <f>IF(Table1[[#This Row],[Rework_Flag]]="No",1,0)</f>
        <v>0</v>
      </c>
      <c r="X2746" s="4">
        <f>IF(Table1[[#This Row],[Rework_Flag]]="Yes",1,0)</f>
        <v>1</v>
      </c>
      <c r="Y2746" s="4">
        <v>1</v>
      </c>
      <c r="Z2746" s="4" t="str">
        <f>IF(Table1[[#This Row],[TAT_Days]]&gt;Table1[[#This Row],[SLA_TAT]],"Yes","No")</f>
        <v>Yes</v>
      </c>
      <c r="AA2746" s="4" t="str" cm="1">
        <f t="array" ref="AA2746">_xlfn.IFS(Table1[[#This Row],[Customer_Satisfaction]]&lt;=2,"Poor",Table1[[#This Row],[Customer_Satisfaction]]=3,"Neutral",Table1[[#This Row],[Customer_Satisfaction]]=4,"Good",Table1[[#This Row],[Customer_Satisfaction]]=5,"Good")</f>
        <v>Poor</v>
      </c>
    </row>
    <row r="2747" spans="1:27" x14ac:dyDescent="0.35">
      <c r="A2747">
        <v>22745</v>
      </c>
      <c r="B2747" s="1">
        <v>45368</v>
      </c>
      <c r="C2747" t="s">
        <v>30</v>
      </c>
      <c r="D2747" t="s">
        <v>31</v>
      </c>
      <c r="E2747" t="s">
        <v>32</v>
      </c>
      <c r="F2747" t="s">
        <v>53</v>
      </c>
      <c r="G2747" t="s">
        <v>63</v>
      </c>
      <c r="H2747" t="s">
        <v>24</v>
      </c>
      <c r="I2747" t="s">
        <v>55</v>
      </c>
      <c r="J2747" t="s">
        <v>35</v>
      </c>
      <c r="K2747" t="s">
        <v>44</v>
      </c>
      <c r="L2747" t="s">
        <v>28</v>
      </c>
      <c r="M2747" s="4">
        <v>15</v>
      </c>
      <c r="N2747" s="4">
        <v>7</v>
      </c>
      <c r="O2747" t="s">
        <v>36</v>
      </c>
      <c r="P2747" t="s">
        <v>36</v>
      </c>
      <c r="Q2747" s="4">
        <v>103912</v>
      </c>
      <c r="R2747" s="4">
        <v>54175</v>
      </c>
      <c r="S2747" s="4">
        <f>Table1[[#This Row],[Service_Revenue]]-Table1[[#This Row],[Service_Cost]]</f>
        <v>49737</v>
      </c>
      <c r="T2747" s="4">
        <v>2</v>
      </c>
      <c r="U2747" s="4">
        <f>IF(AND(Table1[[#This Row],[Rework_Flag]]="Yes",Table1[[#This Row],[Warranty_Claim]]="No"),Table1[[#This Row],[Service_Revenue]],0)</f>
        <v>0</v>
      </c>
      <c r="V2747" s="4">
        <f>IF(Table1[[#This Row],[Warranty_Claim]]="Yes",1,0)</f>
        <v>0</v>
      </c>
      <c r="W2747" s="4">
        <f>IF(Table1[[#This Row],[Rework_Flag]]="No",1,0)</f>
        <v>1</v>
      </c>
      <c r="X2747" s="4">
        <f>IF(Table1[[#This Row],[Rework_Flag]]="Yes",1,0)</f>
        <v>0</v>
      </c>
      <c r="Y2747" s="4">
        <v>1</v>
      </c>
      <c r="Z2747" s="4" t="str">
        <f>IF(Table1[[#This Row],[TAT_Days]]&gt;Table1[[#This Row],[SLA_TAT]],"Yes","No")</f>
        <v>Yes</v>
      </c>
      <c r="AA2747" s="4" t="str" cm="1">
        <f t="array" ref="AA2747">_xlfn.IFS(Table1[[#This Row],[Customer_Satisfaction]]&lt;=2,"Poor",Table1[[#This Row],[Customer_Satisfaction]]=3,"Neutral",Table1[[#This Row],[Customer_Satisfaction]]=4,"Good",Table1[[#This Row],[Customer_Satisfaction]]=5,"Good")</f>
        <v>Poor</v>
      </c>
    </row>
    <row r="2748" spans="1:27" x14ac:dyDescent="0.35">
      <c r="A2748">
        <v>22746</v>
      </c>
      <c r="B2748" s="1">
        <v>45433</v>
      </c>
      <c r="C2748" t="s">
        <v>50</v>
      </c>
      <c r="D2748" t="s">
        <v>56</v>
      </c>
      <c r="E2748" t="s">
        <v>68</v>
      </c>
      <c r="F2748" t="s">
        <v>40</v>
      </c>
      <c r="G2748" t="s">
        <v>23</v>
      </c>
      <c r="H2748" t="s">
        <v>24</v>
      </c>
      <c r="I2748" t="s">
        <v>55</v>
      </c>
      <c r="J2748" t="s">
        <v>35</v>
      </c>
      <c r="K2748" t="s">
        <v>61</v>
      </c>
      <c r="L2748" t="s">
        <v>49</v>
      </c>
      <c r="M2748" s="4">
        <v>3</v>
      </c>
      <c r="N2748" s="4">
        <v>7</v>
      </c>
      <c r="O2748" t="s">
        <v>29</v>
      </c>
      <c r="P2748" t="s">
        <v>36</v>
      </c>
      <c r="Q2748" s="4">
        <v>197405</v>
      </c>
      <c r="R2748" s="4">
        <v>165182</v>
      </c>
      <c r="S2748" s="4">
        <f>Table1[[#This Row],[Service_Revenue]]-Table1[[#This Row],[Service_Cost]]</f>
        <v>32223</v>
      </c>
      <c r="T2748" s="4">
        <v>4</v>
      </c>
      <c r="U2748" s="4">
        <f>IF(AND(Table1[[#This Row],[Rework_Flag]]="Yes",Table1[[#This Row],[Warranty_Claim]]="No"),Table1[[#This Row],[Service_Revenue]],0)</f>
        <v>197405</v>
      </c>
      <c r="V2748" s="4">
        <f>IF(Table1[[#This Row],[Warranty_Claim]]="Yes",1,0)</f>
        <v>0</v>
      </c>
      <c r="W2748" s="4">
        <f>IF(Table1[[#This Row],[Rework_Flag]]="No",1,0)</f>
        <v>0</v>
      </c>
      <c r="X2748" s="4">
        <f>IF(Table1[[#This Row],[Rework_Flag]]="Yes",1,0)</f>
        <v>1</v>
      </c>
      <c r="Y2748" s="4">
        <v>1</v>
      </c>
      <c r="Z2748" s="4" t="str">
        <f>IF(Table1[[#This Row],[TAT_Days]]&gt;Table1[[#This Row],[SLA_TAT]],"Yes","No")</f>
        <v>No</v>
      </c>
      <c r="AA2748" s="4" t="str" cm="1">
        <f t="array" ref="AA2748">_xlfn.IFS(Table1[[#This Row],[Customer_Satisfaction]]&lt;=2,"Poor",Table1[[#This Row],[Customer_Satisfaction]]=3,"Neutral",Table1[[#This Row],[Customer_Satisfaction]]=4,"Good",Table1[[#This Row],[Customer_Satisfaction]]=5,"Good")</f>
        <v>Good</v>
      </c>
    </row>
    <row r="2749" spans="1:27" x14ac:dyDescent="0.35">
      <c r="A2749">
        <v>22747</v>
      </c>
      <c r="B2749" s="1">
        <v>45447</v>
      </c>
      <c r="C2749" t="s">
        <v>19</v>
      </c>
      <c r="D2749" t="s">
        <v>20</v>
      </c>
      <c r="E2749" t="s">
        <v>86</v>
      </c>
      <c r="F2749" t="s">
        <v>22</v>
      </c>
      <c r="G2749" t="s">
        <v>74</v>
      </c>
      <c r="H2749" t="s">
        <v>34</v>
      </c>
      <c r="I2749" t="s">
        <v>55</v>
      </c>
      <c r="J2749" t="s">
        <v>35</v>
      </c>
      <c r="K2749" t="s">
        <v>61</v>
      </c>
      <c r="L2749" t="s">
        <v>49</v>
      </c>
      <c r="M2749" s="4">
        <v>10</v>
      </c>
      <c r="N2749" s="4">
        <v>7</v>
      </c>
      <c r="O2749" t="s">
        <v>36</v>
      </c>
      <c r="P2749" t="s">
        <v>36</v>
      </c>
      <c r="Q2749" s="4">
        <v>190250</v>
      </c>
      <c r="R2749" s="4">
        <v>104902</v>
      </c>
      <c r="S2749" s="4">
        <f>Table1[[#This Row],[Service_Revenue]]-Table1[[#This Row],[Service_Cost]]</f>
        <v>85348</v>
      </c>
      <c r="T2749" s="4">
        <v>3</v>
      </c>
      <c r="U2749" s="4">
        <f>IF(AND(Table1[[#This Row],[Rework_Flag]]="Yes",Table1[[#This Row],[Warranty_Claim]]="No"),Table1[[#This Row],[Service_Revenue]],0)</f>
        <v>0</v>
      </c>
      <c r="V2749" s="4">
        <f>IF(Table1[[#This Row],[Warranty_Claim]]="Yes",1,0)</f>
        <v>0</v>
      </c>
      <c r="W2749" s="4">
        <f>IF(Table1[[#This Row],[Rework_Flag]]="No",1,0)</f>
        <v>1</v>
      </c>
      <c r="X2749" s="4">
        <f>IF(Table1[[#This Row],[Rework_Flag]]="Yes",1,0)</f>
        <v>0</v>
      </c>
      <c r="Y2749" s="4">
        <v>1</v>
      </c>
      <c r="Z2749" s="4" t="str">
        <f>IF(Table1[[#This Row],[TAT_Days]]&gt;Table1[[#This Row],[SLA_TAT]],"Yes","No")</f>
        <v>Yes</v>
      </c>
      <c r="AA2749" s="4" t="str" cm="1">
        <f t="array" ref="AA2749">_xlfn.IFS(Table1[[#This Row],[Customer_Satisfaction]]&lt;=2,"Poor",Table1[[#This Row],[Customer_Satisfaction]]=3,"Neutral",Table1[[#This Row],[Customer_Satisfaction]]=4,"Good",Table1[[#This Row],[Customer_Satisfaction]]=5,"Good")</f>
        <v>Neutral</v>
      </c>
    </row>
    <row r="2750" spans="1:27" x14ac:dyDescent="0.35">
      <c r="A2750">
        <v>22748</v>
      </c>
      <c r="B2750" s="1">
        <v>45454</v>
      </c>
      <c r="C2750" t="s">
        <v>30</v>
      </c>
      <c r="D2750" t="s">
        <v>83</v>
      </c>
      <c r="E2750" t="s">
        <v>95</v>
      </c>
      <c r="F2750" t="s">
        <v>53</v>
      </c>
      <c r="G2750" t="s">
        <v>74</v>
      </c>
      <c r="H2750" t="s">
        <v>34</v>
      </c>
      <c r="I2750" t="s">
        <v>25</v>
      </c>
      <c r="J2750" t="s">
        <v>67</v>
      </c>
      <c r="K2750" t="s">
        <v>61</v>
      </c>
      <c r="L2750" t="s">
        <v>49</v>
      </c>
      <c r="M2750" s="4">
        <v>17</v>
      </c>
      <c r="N2750" s="4">
        <v>7</v>
      </c>
      <c r="O2750" t="s">
        <v>36</v>
      </c>
      <c r="P2750" t="s">
        <v>36</v>
      </c>
      <c r="Q2750" s="4">
        <v>454384</v>
      </c>
      <c r="R2750" s="4">
        <v>255055</v>
      </c>
      <c r="S2750" s="4">
        <f>Table1[[#This Row],[Service_Revenue]]-Table1[[#This Row],[Service_Cost]]</f>
        <v>199329</v>
      </c>
      <c r="T2750" s="4">
        <v>2</v>
      </c>
      <c r="U2750" s="4">
        <f>IF(AND(Table1[[#This Row],[Rework_Flag]]="Yes",Table1[[#This Row],[Warranty_Claim]]="No"),Table1[[#This Row],[Service_Revenue]],0)</f>
        <v>0</v>
      </c>
      <c r="V2750" s="4">
        <f>IF(Table1[[#This Row],[Warranty_Claim]]="Yes",1,0)</f>
        <v>0</v>
      </c>
      <c r="W2750" s="4">
        <f>IF(Table1[[#This Row],[Rework_Flag]]="No",1,0)</f>
        <v>1</v>
      </c>
      <c r="X2750" s="4">
        <f>IF(Table1[[#This Row],[Rework_Flag]]="Yes",1,0)</f>
        <v>0</v>
      </c>
      <c r="Y2750" s="4">
        <v>1</v>
      </c>
      <c r="Z2750" s="4" t="str">
        <f>IF(Table1[[#This Row],[TAT_Days]]&gt;Table1[[#This Row],[SLA_TAT]],"Yes","No")</f>
        <v>Yes</v>
      </c>
      <c r="AA2750" s="4" t="str" cm="1">
        <f t="array" ref="AA2750">_xlfn.IFS(Table1[[#This Row],[Customer_Satisfaction]]&lt;=2,"Poor",Table1[[#This Row],[Customer_Satisfaction]]=3,"Neutral",Table1[[#This Row],[Customer_Satisfaction]]=4,"Good",Table1[[#This Row],[Customer_Satisfaction]]=5,"Good")</f>
        <v>Poor</v>
      </c>
    </row>
    <row r="2751" spans="1:27" x14ac:dyDescent="0.35">
      <c r="A2751">
        <v>22749</v>
      </c>
      <c r="B2751" s="1">
        <v>45445</v>
      </c>
      <c r="C2751" t="s">
        <v>19</v>
      </c>
      <c r="D2751" t="s">
        <v>45</v>
      </c>
      <c r="E2751" t="s">
        <v>111</v>
      </c>
      <c r="F2751" t="s">
        <v>22</v>
      </c>
      <c r="G2751" t="s">
        <v>63</v>
      </c>
      <c r="H2751" t="s">
        <v>24</v>
      </c>
      <c r="I2751" t="s">
        <v>55</v>
      </c>
      <c r="J2751" t="s">
        <v>26</v>
      </c>
      <c r="K2751" t="s">
        <v>61</v>
      </c>
      <c r="L2751" t="s">
        <v>28</v>
      </c>
      <c r="M2751" s="4">
        <v>16</v>
      </c>
      <c r="N2751" s="4">
        <v>7</v>
      </c>
      <c r="O2751" t="s">
        <v>29</v>
      </c>
      <c r="P2751" t="s">
        <v>29</v>
      </c>
      <c r="Q2751" s="4">
        <v>421932</v>
      </c>
      <c r="R2751" s="4">
        <v>212036</v>
      </c>
      <c r="S2751" s="4">
        <f>Table1[[#This Row],[Service_Revenue]]-Table1[[#This Row],[Service_Cost]]</f>
        <v>209896</v>
      </c>
      <c r="T2751" s="4">
        <v>1</v>
      </c>
      <c r="U2751" s="4">
        <f>IF(AND(Table1[[#This Row],[Rework_Flag]]="Yes",Table1[[#This Row],[Warranty_Claim]]="No"),Table1[[#This Row],[Service_Revenue]],0)</f>
        <v>0</v>
      </c>
      <c r="V2751" s="4">
        <f>IF(Table1[[#This Row],[Warranty_Claim]]="Yes",1,0)</f>
        <v>1</v>
      </c>
      <c r="W2751" s="4">
        <f>IF(Table1[[#This Row],[Rework_Flag]]="No",1,0)</f>
        <v>0</v>
      </c>
      <c r="X2751" s="4">
        <f>IF(Table1[[#This Row],[Rework_Flag]]="Yes",1,0)</f>
        <v>1</v>
      </c>
      <c r="Y2751" s="4">
        <v>1</v>
      </c>
      <c r="Z2751" s="4" t="str">
        <f>IF(Table1[[#This Row],[TAT_Days]]&gt;Table1[[#This Row],[SLA_TAT]],"Yes","No")</f>
        <v>Yes</v>
      </c>
      <c r="AA2751" s="4" t="str" cm="1">
        <f t="array" ref="AA2751">_xlfn.IFS(Table1[[#This Row],[Customer_Satisfaction]]&lt;=2,"Poor",Table1[[#This Row],[Customer_Satisfaction]]=3,"Neutral",Table1[[#This Row],[Customer_Satisfaction]]=4,"Good",Table1[[#This Row],[Customer_Satisfaction]]=5,"Good")</f>
        <v>Poor</v>
      </c>
    </row>
    <row r="2752" spans="1:27" x14ac:dyDescent="0.35">
      <c r="A2752">
        <v>22750</v>
      </c>
      <c r="B2752" s="1">
        <v>45309</v>
      </c>
      <c r="C2752" t="s">
        <v>19</v>
      </c>
      <c r="D2752" t="s">
        <v>45</v>
      </c>
      <c r="E2752" t="s">
        <v>114</v>
      </c>
      <c r="F2752" t="s">
        <v>22</v>
      </c>
      <c r="G2752" t="s">
        <v>74</v>
      </c>
      <c r="H2752" t="s">
        <v>34</v>
      </c>
      <c r="I2752" t="s">
        <v>55</v>
      </c>
      <c r="J2752" t="s">
        <v>43</v>
      </c>
      <c r="K2752" t="s">
        <v>61</v>
      </c>
      <c r="L2752" t="s">
        <v>28</v>
      </c>
      <c r="M2752" s="4">
        <v>6</v>
      </c>
      <c r="N2752" s="4">
        <v>7</v>
      </c>
      <c r="O2752" t="s">
        <v>36</v>
      </c>
      <c r="P2752" t="s">
        <v>29</v>
      </c>
      <c r="Q2752" s="4">
        <v>148716</v>
      </c>
      <c r="R2752" s="4">
        <v>83527</v>
      </c>
      <c r="S2752" s="4">
        <f>Table1[[#This Row],[Service_Revenue]]-Table1[[#This Row],[Service_Cost]]</f>
        <v>65189</v>
      </c>
      <c r="T2752" s="4">
        <v>4</v>
      </c>
      <c r="U2752" s="4">
        <f>IF(AND(Table1[[#This Row],[Rework_Flag]]="Yes",Table1[[#This Row],[Warranty_Claim]]="No"),Table1[[#This Row],[Service_Revenue]],0)</f>
        <v>0</v>
      </c>
      <c r="V2752" s="4">
        <f>IF(Table1[[#This Row],[Warranty_Claim]]="Yes",1,0)</f>
        <v>1</v>
      </c>
      <c r="W2752" s="4">
        <f>IF(Table1[[#This Row],[Rework_Flag]]="No",1,0)</f>
        <v>1</v>
      </c>
      <c r="X2752" s="4">
        <f>IF(Table1[[#This Row],[Rework_Flag]]="Yes",1,0)</f>
        <v>0</v>
      </c>
      <c r="Y2752" s="4">
        <v>1</v>
      </c>
      <c r="Z2752" s="4" t="str">
        <f>IF(Table1[[#This Row],[TAT_Days]]&gt;Table1[[#This Row],[SLA_TAT]],"Yes","No")</f>
        <v>No</v>
      </c>
      <c r="AA2752" s="4" t="str" cm="1">
        <f t="array" ref="AA2752">_xlfn.IFS(Table1[[#This Row],[Customer_Satisfaction]]&lt;=2,"Poor",Table1[[#This Row],[Customer_Satisfaction]]=3,"Neutral",Table1[[#This Row],[Customer_Satisfaction]]=4,"Good",Table1[[#This Row],[Customer_Satisfaction]]=5,"Good")</f>
        <v>Good</v>
      </c>
    </row>
    <row r="2753" spans="1:27" x14ac:dyDescent="0.35">
      <c r="A2753">
        <v>22751</v>
      </c>
      <c r="B2753" s="1">
        <v>45463</v>
      </c>
      <c r="C2753" t="s">
        <v>19</v>
      </c>
      <c r="D2753" t="s">
        <v>96</v>
      </c>
      <c r="E2753" t="s">
        <v>108</v>
      </c>
      <c r="F2753" t="s">
        <v>40</v>
      </c>
      <c r="G2753" t="s">
        <v>41</v>
      </c>
      <c r="H2753" t="s">
        <v>42</v>
      </c>
      <c r="I2753" t="s">
        <v>25</v>
      </c>
      <c r="J2753" t="s">
        <v>58</v>
      </c>
      <c r="K2753" t="s">
        <v>27</v>
      </c>
      <c r="L2753" t="s">
        <v>28</v>
      </c>
      <c r="M2753" s="4">
        <v>17</v>
      </c>
      <c r="N2753" s="4">
        <v>7</v>
      </c>
      <c r="O2753" t="s">
        <v>29</v>
      </c>
      <c r="P2753" t="s">
        <v>36</v>
      </c>
      <c r="Q2753" s="4">
        <v>287049</v>
      </c>
      <c r="R2753" s="4">
        <v>170384</v>
      </c>
      <c r="S2753" s="4">
        <f>Table1[[#This Row],[Service_Revenue]]-Table1[[#This Row],[Service_Cost]]</f>
        <v>116665</v>
      </c>
      <c r="T2753" s="4">
        <v>1</v>
      </c>
      <c r="U2753" s="4">
        <f>IF(AND(Table1[[#This Row],[Rework_Flag]]="Yes",Table1[[#This Row],[Warranty_Claim]]="No"),Table1[[#This Row],[Service_Revenue]],0)</f>
        <v>287049</v>
      </c>
      <c r="V2753" s="4">
        <f>IF(Table1[[#This Row],[Warranty_Claim]]="Yes",1,0)</f>
        <v>0</v>
      </c>
      <c r="W2753" s="4">
        <f>IF(Table1[[#This Row],[Rework_Flag]]="No",1,0)</f>
        <v>0</v>
      </c>
      <c r="X2753" s="4">
        <f>IF(Table1[[#This Row],[Rework_Flag]]="Yes",1,0)</f>
        <v>1</v>
      </c>
      <c r="Y2753" s="4">
        <v>1</v>
      </c>
      <c r="Z2753" s="4" t="str">
        <f>IF(Table1[[#This Row],[TAT_Days]]&gt;Table1[[#This Row],[SLA_TAT]],"Yes","No")</f>
        <v>Yes</v>
      </c>
      <c r="AA2753" s="4" t="str" cm="1">
        <f t="array" ref="AA2753">_xlfn.IFS(Table1[[#This Row],[Customer_Satisfaction]]&lt;=2,"Poor",Table1[[#This Row],[Customer_Satisfaction]]=3,"Neutral",Table1[[#This Row],[Customer_Satisfaction]]=4,"Good",Table1[[#This Row],[Customer_Satisfaction]]=5,"Good")</f>
        <v>Poor</v>
      </c>
    </row>
    <row r="2754" spans="1:27" x14ac:dyDescent="0.35">
      <c r="A2754">
        <v>22752</v>
      </c>
      <c r="B2754" s="1">
        <v>45426</v>
      </c>
      <c r="C2754" t="s">
        <v>37</v>
      </c>
      <c r="D2754" t="s">
        <v>64</v>
      </c>
      <c r="E2754" t="s">
        <v>65</v>
      </c>
      <c r="F2754" t="s">
        <v>22</v>
      </c>
      <c r="G2754" t="s">
        <v>74</v>
      </c>
      <c r="H2754" t="s">
        <v>34</v>
      </c>
      <c r="I2754" t="s">
        <v>25</v>
      </c>
      <c r="J2754" t="s">
        <v>43</v>
      </c>
      <c r="K2754" t="s">
        <v>44</v>
      </c>
      <c r="L2754" t="s">
        <v>28</v>
      </c>
      <c r="M2754" s="4">
        <v>5</v>
      </c>
      <c r="N2754" s="4">
        <v>7</v>
      </c>
      <c r="O2754" t="s">
        <v>36</v>
      </c>
      <c r="P2754" t="s">
        <v>36</v>
      </c>
      <c r="Q2754" s="4">
        <v>352304</v>
      </c>
      <c r="R2754" s="4">
        <v>287219</v>
      </c>
      <c r="S2754" s="4">
        <f>Table1[[#This Row],[Service_Revenue]]-Table1[[#This Row],[Service_Cost]]</f>
        <v>65085</v>
      </c>
      <c r="T2754" s="4">
        <v>4</v>
      </c>
      <c r="U2754" s="4">
        <f>IF(AND(Table1[[#This Row],[Rework_Flag]]="Yes",Table1[[#This Row],[Warranty_Claim]]="No"),Table1[[#This Row],[Service_Revenue]],0)</f>
        <v>0</v>
      </c>
      <c r="V2754" s="4">
        <f>IF(Table1[[#This Row],[Warranty_Claim]]="Yes",1,0)</f>
        <v>0</v>
      </c>
      <c r="W2754" s="4">
        <f>IF(Table1[[#This Row],[Rework_Flag]]="No",1,0)</f>
        <v>1</v>
      </c>
      <c r="X2754" s="4">
        <f>IF(Table1[[#This Row],[Rework_Flag]]="Yes",1,0)</f>
        <v>0</v>
      </c>
      <c r="Y2754" s="4">
        <v>1</v>
      </c>
      <c r="Z2754" s="4" t="str">
        <f>IF(Table1[[#This Row],[TAT_Days]]&gt;Table1[[#This Row],[SLA_TAT]],"Yes","No")</f>
        <v>No</v>
      </c>
      <c r="AA2754" s="4" t="str" cm="1">
        <f t="array" ref="AA2754">_xlfn.IFS(Table1[[#This Row],[Customer_Satisfaction]]&lt;=2,"Poor",Table1[[#This Row],[Customer_Satisfaction]]=3,"Neutral",Table1[[#This Row],[Customer_Satisfaction]]=4,"Good",Table1[[#This Row],[Customer_Satisfaction]]=5,"Good")</f>
        <v>Good</v>
      </c>
    </row>
    <row r="2755" spans="1:27" x14ac:dyDescent="0.35">
      <c r="A2755">
        <v>22753</v>
      </c>
      <c r="B2755" s="1">
        <v>45385</v>
      </c>
      <c r="C2755" t="s">
        <v>19</v>
      </c>
      <c r="D2755" t="s">
        <v>20</v>
      </c>
      <c r="E2755" t="s">
        <v>86</v>
      </c>
      <c r="F2755" t="s">
        <v>22</v>
      </c>
      <c r="G2755" t="s">
        <v>74</v>
      </c>
      <c r="H2755" t="s">
        <v>34</v>
      </c>
      <c r="I2755" t="s">
        <v>25</v>
      </c>
      <c r="J2755" t="s">
        <v>43</v>
      </c>
      <c r="K2755" t="s">
        <v>27</v>
      </c>
      <c r="L2755" t="s">
        <v>28</v>
      </c>
      <c r="M2755" s="4">
        <v>7</v>
      </c>
      <c r="N2755" s="4">
        <v>7</v>
      </c>
      <c r="O2755" t="s">
        <v>36</v>
      </c>
      <c r="P2755" t="s">
        <v>29</v>
      </c>
      <c r="Q2755" s="4">
        <v>209356</v>
      </c>
      <c r="R2755" s="4">
        <v>111159</v>
      </c>
      <c r="S2755" s="4">
        <f>Table1[[#This Row],[Service_Revenue]]-Table1[[#This Row],[Service_Cost]]</f>
        <v>98197</v>
      </c>
      <c r="T2755" s="4">
        <v>4</v>
      </c>
      <c r="U2755" s="4">
        <f>IF(AND(Table1[[#This Row],[Rework_Flag]]="Yes",Table1[[#This Row],[Warranty_Claim]]="No"),Table1[[#This Row],[Service_Revenue]],0)</f>
        <v>0</v>
      </c>
      <c r="V2755" s="4">
        <f>IF(Table1[[#This Row],[Warranty_Claim]]="Yes",1,0)</f>
        <v>1</v>
      </c>
      <c r="W2755" s="4">
        <f>IF(Table1[[#This Row],[Rework_Flag]]="No",1,0)</f>
        <v>1</v>
      </c>
      <c r="X2755" s="4">
        <f>IF(Table1[[#This Row],[Rework_Flag]]="Yes",1,0)</f>
        <v>0</v>
      </c>
      <c r="Y2755" s="4">
        <v>1</v>
      </c>
      <c r="Z2755" s="4" t="str">
        <f>IF(Table1[[#This Row],[TAT_Days]]&gt;Table1[[#This Row],[SLA_TAT]],"Yes","No")</f>
        <v>No</v>
      </c>
      <c r="AA2755" s="4" t="str" cm="1">
        <f t="array" ref="AA2755">_xlfn.IFS(Table1[[#This Row],[Customer_Satisfaction]]&lt;=2,"Poor",Table1[[#This Row],[Customer_Satisfaction]]=3,"Neutral",Table1[[#This Row],[Customer_Satisfaction]]=4,"Good",Table1[[#This Row],[Customer_Satisfaction]]=5,"Good")</f>
        <v>Good</v>
      </c>
    </row>
    <row r="2756" spans="1:27" x14ac:dyDescent="0.35">
      <c r="A2756">
        <v>22754</v>
      </c>
      <c r="B2756" s="1">
        <v>45339</v>
      </c>
      <c r="C2756" t="s">
        <v>30</v>
      </c>
      <c r="D2756" t="s">
        <v>31</v>
      </c>
      <c r="E2756" t="s">
        <v>122</v>
      </c>
      <c r="F2756" t="s">
        <v>53</v>
      </c>
      <c r="G2756" t="s">
        <v>54</v>
      </c>
      <c r="H2756" t="s">
        <v>42</v>
      </c>
      <c r="I2756" t="s">
        <v>25</v>
      </c>
      <c r="J2756" t="s">
        <v>35</v>
      </c>
      <c r="K2756" t="s">
        <v>44</v>
      </c>
      <c r="L2756" t="s">
        <v>28</v>
      </c>
      <c r="M2756" s="4">
        <v>10</v>
      </c>
      <c r="N2756" s="4">
        <v>7</v>
      </c>
      <c r="O2756" t="s">
        <v>36</v>
      </c>
      <c r="P2756" t="s">
        <v>36</v>
      </c>
      <c r="Q2756" s="4">
        <v>201014</v>
      </c>
      <c r="R2756" s="4">
        <v>170574</v>
      </c>
      <c r="S2756" s="4">
        <f>Table1[[#This Row],[Service_Revenue]]-Table1[[#This Row],[Service_Cost]]</f>
        <v>30440</v>
      </c>
      <c r="T2756" s="4">
        <v>3</v>
      </c>
      <c r="U2756" s="4">
        <f>IF(AND(Table1[[#This Row],[Rework_Flag]]="Yes",Table1[[#This Row],[Warranty_Claim]]="No"),Table1[[#This Row],[Service_Revenue]],0)</f>
        <v>0</v>
      </c>
      <c r="V2756" s="4">
        <f>IF(Table1[[#This Row],[Warranty_Claim]]="Yes",1,0)</f>
        <v>0</v>
      </c>
      <c r="W2756" s="4">
        <f>IF(Table1[[#This Row],[Rework_Flag]]="No",1,0)</f>
        <v>1</v>
      </c>
      <c r="X2756" s="4">
        <f>IF(Table1[[#This Row],[Rework_Flag]]="Yes",1,0)</f>
        <v>0</v>
      </c>
      <c r="Y2756" s="4">
        <v>1</v>
      </c>
      <c r="Z2756" s="4" t="str">
        <f>IF(Table1[[#This Row],[TAT_Days]]&gt;Table1[[#This Row],[SLA_TAT]],"Yes","No")</f>
        <v>Yes</v>
      </c>
      <c r="AA2756" s="4" t="str" cm="1">
        <f t="array" ref="AA2756">_xlfn.IFS(Table1[[#This Row],[Customer_Satisfaction]]&lt;=2,"Poor",Table1[[#This Row],[Customer_Satisfaction]]=3,"Neutral",Table1[[#This Row],[Customer_Satisfaction]]=4,"Good",Table1[[#This Row],[Customer_Satisfaction]]=5,"Good")</f>
        <v>Neutral</v>
      </c>
    </row>
    <row r="2757" spans="1:27" x14ac:dyDescent="0.35">
      <c r="A2757">
        <v>22755</v>
      </c>
      <c r="B2757" s="1">
        <v>45382</v>
      </c>
      <c r="C2757" t="s">
        <v>19</v>
      </c>
      <c r="D2757" t="s">
        <v>45</v>
      </c>
      <c r="E2757" t="s">
        <v>111</v>
      </c>
      <c r="F2757" t="s">
        <v>22</v>
      </c>
      <c r="G2757" t="s">
        <v>74</v>
      </c>
      <c r="H2757" t="s">
        <v>34</v>
      </c>
      <c r="I2757" t="s">
        <v>25</v>
      </c>
      <c r="J2757" t="s">
        <v>67</v>
      </c>
      <c r="K2757" t="s">
        <v>27</v>
      </c>
      <c r="L2757" t="s">
        <v>49</v>
      </c>
      <c r="M2757" s="4">
        <v>10</v>
      </c>
      <c r="N2757" s="4">
        <v>7</v>
      </c>
      <c r="O2757" t="s">
        <v>36</v>
      </c>
      <c r="P2757" t="s">
        <v>36</v>
      </c>
      <c r="Q2757" s="4">
        <v>513795</v>
      </c>
      <c r="R2757" s="4">
        <v>287459</v>
      </c>
      <c r="S2757" s="4">
        <f>Table1[[#This Row],[Service_Revenue]]-Table1[[#This Row],[Service_Cost]]</f>
        <v>226336</v>
      </c>
      <c r="T2757" s="4">
        <v>3</v>
      </c>
      <c r="U2757" s="4">
        <f>IF(AND(Table1[[#This Row],[Rework_Flag]]="Yes",Table1[[#This Row],[Warranty_Claim]]="No"),Table1[[#This Row],[Service_Revenue]],0)</f>
        <v>0</v>
      </c>
      <c r="V2757" s="4">
        <f>IF(Table1[[#This Row],[Warranty_Claim]]="Yes",1,0)</f>
        <v>0</v>
      </c>
      <c r="W2757" s="4">
        <f>IF(Table1[[#This Row],[Rework_Flag]]="No",1,0)</f>
        <v>1</v>
      </c>
      <c r="X2757" s="4">
        <f>IF(Table1[[#This Row],[Rework_Flag]]="Yes",1,0)</f>
        <v>0</v>
      </c>
      <c r="Y2757" s="4">
        <v>1</v>
      </c>
      <c r="Z2757" s="4" t="str">
        <f>IF(Table1[[#This Row],[TAT_Days]]&gt;Table1[[#This Row],[SLA_TAT]],"Yes","No")</f>
        <v>Yes</v>
      </c>
      <c r="AA2757" s="4" t="str" cm="1">
        <f t="array" ref="AA2757">_xlfn.IFS(Table1[[#This Row],[Customer_Satisfaction]]&lt;=2,"Poor",Table1[[#This Row],[Customer_Satisfaction]]=3,"Neutral",Table1[[#This Row],[Customer_Satisfaction]]=4,"Good",Table1[[#This Row],[Customer_Satisfaction]]=5,"Good")</f>
        <v>Neutral</v>
      </c>
    </row>
    <row r="2758" spans="1:27" x14ac:dyDescent="0.35">
      <c r="A2758">
        <v>22756</v>
      </c>
      <c r="B2758" s="1">
        <v>45467</v>
      </c>
      <c r="C2758" t="s">
        <v>19</v>
      </c>
      <c r="D2758" t="s">
        <v>20</v>
      </c>
      <c r="E2758" t="s">
        <v>21</v>
      </c>
      <c r="F2758" t="s">
        <v>22</v>
      </c>
      <c r="G2758" t="s">
        <v>63</v>
      </c>
      <c r="H2758" t="s">
        <v>24</v>
      </c>
      <c r="I2758" t="s">
        <v>25</v>
      </c>
      <c r="J2758" t="s">
        <v>58</v>
      </c>
      <c r="K2758" t="s">
        <v>27</v>
      </c>
      <c r="L2758" t="s">
        <v>49</v>
      </c>
      <c r="M2758" s="4">
        <v>11</v>
      </c>
      <c r="N2758" s="4">
        <v>7</v>
      </c>
      <c r="O2758" t="s">
        <v>29</v>
      </c>
      <c r="P2758" t="s">
        <v>29</v>
      </c>
      <c r="Q2758" s="4">
        <v>545272</v>
      </c>
      <c r="R2758" s="4">
        <v>273991</v>
      </c>
      <c r="S2758" s="4">
        <f>Table1[[#This Row],[Service_Revenue]]-Table1[[#This Row],[Service_Cost]]</f>
        <v>271281</v>
      </c>
      <c r="T2758" s="4">
        <v>2</v>
      </c>
      <c r="U2758" s="4">
        <f>IF(AND(Table1[[#This Row],[Rework_Flag]]="Yes",Table1[[#This Row],[Warranty_Claim]]="No"),Table1[[#This Row],[Service_Revenue]],0)</f>
        <v>0</v>
      </c>
      <c r="V2758" s="4">
        <f>IF(Table1[[#This Row],[Warranty_Claim]]="Yes",1,0)</f>
        <v>1</v>
      </c>
      <c r="W2758" s="4">
        <f>IF(Table1[[#This Row],[Rework_Flag]]="No",1,0)</f>
        <v>0</v>
      </c>
      <c r="X2758" s="4">
        <f>IF(Table1[[#This Row],[Rework_Flag]]="Yes",1,0)</f>
        <v>1</v>
      </c>
      <c r="Y2758" s="4">
        <v>1</v>
      </c>
      <c r="Z2758" s="4" t="str">
        <f>IF(Table1[[#This Row],[TAT_Days]]&gt;Table1[[#This Row],[SLA_TAT]],"Yes","No")</f>
        <v>Yes</v>
      </c>
      <c r="AA2758" s="4" t="str" cm="1">
        <f t="array" ref="AA2758">_xlfn.IFS(Table1[[#This Row],[Customer_Satisfaction]]&lt;=2,"Poor",Table1[[#This Row],[Customer_Satisfaction]]=3,"Neutral",Table1[[#This Row],[Customer_Satisfaction]]=4,"Good",Table1[[#This Row],[Customer_Satisfaction]]=5,"Good")</f>
        <v>Poor</v>
      </c>
    </row>
    <row r="2759" spans="1:27" x14ac:dyDescent="0.35">
      <c r="A2759">
        <v>22757</v>
      </c>
      <c r="B2759" s="1">
        <v>45342</v>
      </c>
      <c r="C2759" t="s">
        <v>30</v>
      </c>
      <c r="D2759" t="s">
        <v>83</v>
      </c>
      <c r="E2759" t="s">
        <v>84</v>
      </c>
      <c r="F2759" t="s">
        <v>22</v>
      </c>
      <c r="G2759" t="s">
        <v>74</v>
      </c>
      <c r="H2759" t="s">
        <v>34</v>
      </c>
      <c r="I2759" t="s">
        <v>25</v>
      </c>
      <c r="J2759" t="s">
        <v>58</v>
      </c>
      <c r="K2759" t="s">
        <v>27</v>
      </c>
      <c r="L2759" t="s">
        <v>49</v>
      </c>
      <c r="M2759" s="4">
        <v>4</v>
      </c>
      <c r="N2759" s="4">
        <v>7</v>
      </c>
      <c r="O2759" t="s">
        <v>29</v>
      </c>
      <c r="P2759" t="s">
        <v>36</v>
      </c>
      <c r="Q2759" s="4">
        <v>497062</v>
      </c>
      <c r="R2759" s="4">
        <v>412339</v>
      </c>
      <c r="S2759" s="4">
        <f>Table1[[#This Row],[Service_Revenue]]-Table1[[#This Row],[Service_Cost]]</f>
        <v>84723</v>
      </c>
      <c r="T2759" s="4">
        <v>4</v>
      </c>
      <c r="U2759" s="4">
        <f>IF(AND(Table1[[#This Row],[Rework_Flag]]="Yes",Table1[[#This Row],[Warranty_Claim]]="No"),Table1[[#This Row],[Service_Revenue]],0)</f>
        <v>497062</v>
      </c>
      <c r="V2759" s="4">
        <f>IF(Table1[[#This Row],[Warranty_Claim]]="Yes",1,0)</f>
        <v>0</v>
      </c>
      <c r="W2759" s="4">
        <f>IF(Table1[[#This Row],[Rework_Flag]]="No",1,0)</f>
        <v>0</v>
      </c>
      <c r="X2759" s="4">
        <f>IF(Table1[[#This Row],[Rework_Flag]]="Yes",1,0)</f>
        <v>1</v>
      </c>
      <c r="Y2759" s="4">
        <v>1</v>
      </c>
      <c r="Z2759" s="4" t="str">
        <f>IF(Table1[[#This Row],[TAT_Days]]&gt;Table1[[#This Row],[SLA_TAT]],"Yes","No")</f>
        <v>No</v>
      </c>
      <c r="AA2759" s="4" t="str" cm="1">
        <f t="array" ref="AA2759">_xlfn.IFS(Table1[[#This Row],[Customer_Satisfaction]]&lt;=2,"Poor",Table1[[#This Row],[Customer_Satisfaction]]=3,"Neutral",Table1[[#This Row],[Customer_Satisfaction]]=4,"Good",Table1[[#This Row],[Customer_Satisfaction]]=5,"Good")</f>
        <v>Good</v>
      </c>
    </row>
    <row r="2760" spans="1:27" x14ac:dyDescent="0.35">
      <c r="A2760">
        <v>22758</v>
      </c>
      <c r="B2760" s="1">
        <v>45406</v>
      </c>
      <c r="C2760" t="s">
        <v>19</v>
      </c>
      <c r="D2760" t="s">
        <v>20</v>
      </c>
      <c r="E2760" t="s">
        <v>89</v>
      </c>
      <c r="F2760" t="s">
        <v>53</v>
      </c>
      <c r="G2760" t="s">
        <v>54</v>
      </c>
      <c r="H2760" t="s">
        <v>42</v>
      </c>
      <c r="I2760" t="s">
        <v>55</v>
      </c>
      <c r="J2760" t="s">
        <v>26</v>
      </c>
      <c r="K2760" t="s">
        <v>44</v>
      </c>
      <c r="L2760" t="s">
        <v>28</v>
      </c>
      <c r="M2760" s="4">
        <v>11</v>
      </c>
      <c r="N2760" s="4">
        <v>7</v>
      </c>
      <c r="O2760" t="s">
        <v>36</v>
      </c>
      <c r="P2760" t="s">
        <v>36</v>
      </c>
      <c r="Q2760" s="4">
        <v>441298</v>
      </c>
      <c r="R2760" s="4">
        <v>293294</v>
      </c>
      <c r="S2760" s="4">
        <f>Table1[[#This Row],[Service_Revenue]]-Table1[[#This Row],[Service_Cost]]</f>
        <v>148004</v>
      </c>
      <c r="T2760" s="4">
        <v>3</v>
      </c>
      <c r="U2760" s="4">
        <f>IF(AND(Table1[[#This Row],[Rework_Flag]]="Yes",Table1[[#This Row],[Warranty_Claim]]="No"),Table1[[#This Row],[Service_Revenue]],0)</f>
        <v>0</v>
      </c>
      <c r="V2760" s="4">
        <f>IF(Table1[[#This Row],[Warranty_Claim]]="Yes",1,0)</f>
        <v>0</v>
      </c>
      <c r="W2760" s="4">
        <f>IF(Table1[[#This Row],[Rework_Flag]]="No",1,0)</f>
        <v>1</v>
      </c>
      <c r="X2760" s="4">
        <f>IF(Table1[[#This Row],[Rework_Flag]]="Yes",1,0)</f>
        <v>0</v>
      </c>
      <c r="Y2760" s="4">
        <v>1</v>
      </c>
      <c r="Z2760" s="4" t="str">
        <f>IF(Table1[[#This Row],[TAT_Days]]&gt;Table1[[#This Row],[SLA_TAT]],"Yes","No")</f>
        <v>Yes</v>
      </c>
      <c r="AA2760" s="4" t="str" cm="1">
        <f t="array" ref="AA2760">_xlfn.IFS(Table1[[#This Row],[Customer_Satisfaction]]&lt;=2,"Poor",Table1[[#This Row],[Customer_Satisfaction]]=3,"Neutral",Table1[[#This Row],[Customer_Satisfaction]]=4,"Good",Table1[[#This Row],[Customer_Satisfaction]]=5,"Good")</f>
        <v>Neutral</v>
      </c>
    </row>
    <row r="2761" spans="1:27" x14ac:dyDescent="0.35">
      <c r="A2761">
        <v>22759</v>
      </c>
      <c r="B2761" s="1">
        <v>45434</v>
      </c>
      <c r="C2761" t="s">
        <v>50</v>
      </c>
      <c r="D2761" t="s">
        <v>56</v>
      </c>
      <c r="E2761" t="s">
        <v>88</v>
      </c>
      <c r="F2761" t="s">
        <v>53</v>
      </c>
      <c r="G2761" t="s">
        <v>41</v>
      </c>
      <c r="H2761" t="s">
        <v>42</v>
      </c>
      <c r="I2761" t="s">
        <v>25</v>
      </c>
      <c r="J2761" t="s">
        <v>43</v>
      </c>
      <c r="K2761" t="s">
        <v>61</v>
      </c>
      <c r="L2761" t="s">
        <v>28</v>
      </c>
      <c r="M2761" s="4">
        <v>17</v>
      </c>
      <c r="N2761" s="4">
        <v>7</v>
      </c>
      <c r="O2761" t="s">
        <v>29</v>
      </c>
      <c r="P2761" t="s">
        <v>36</v>
      </c>
      <c r="Q2761" s="4">
        <v>273445</v>
      </c>
      <c r="R2761" s="4">
        <v>201594</v>
      </c>
      <c r="S2761" s="4">
        <f>Table1[[#This Row],[Service_Revenue]]-Table1[[#This Row],[Service_Cost]]</f>
        <v>71851</v>
      </c>
      <c r="T2761" s="4">
        <v>1</v>
      </c>
      <c r="U2761" s="4">
        <f>IF(AND(Table1[[#This Row],[Rework_Flag]]="Yes",Table1[[#This Row],[Warranty_Claim]]="No"),Table1[[#This Row],[Service_Revenue]],0)</f>
        <v>273445</v>
      </c>
      <c r="V2761" s="4">
        <f>IF(Table1[[#This Row],[Warranty_Claim]]="Yes",1,0)</f>
        <v>0</v>
      </c>
      <c r="W2761" s="4">
        <f>IF(Table1[[#This Row],[Rework_Flag]]="No",1,0)</f>
        <v>0</v>
      </c>
      <c r="X2761" s="4">
        <f>IF(Table1[[#This Row],[Rework_Flag]]="Yes",1,0)</f>
        <v>1</v>
      </c>
      <c r="Y2761" s="4">
        <v>1</v>
      </c>
      <c r="Z2761" s="4" t="str">
        <f>IF(Table1[[#This Row],[TAT_Days]]&gt;Table1[[#This Row],[SLA_TAT]],"Yes","No")</f>
        <v>Yes</v>
      </c>
      <c r="AA2761" s="4" t="str" cm="1">
        <f t="array" ref="AA2761">_xlfn.IFS(Table1[[#This Row],[Customer_Satisfaction]]&lt;=2,"Poor",Table1[[#This Row],[Customer_Satisfaction]]=3,"Neutral",Table1[[#This Row],[Customer_Satisfaction]]=4,"Good",Table1[[#This Row],[Customer_Satisfaction]]=5,"Good")</f>
        <v>Poor</v>
      </c>
    </row>
    <row r="2762" spans="1:27" x14ac:dyDescent="0.35">
      <c r="A2762">
        <v>22760</v>
      </c>
      <c r="B2762" s="1">
        <v>45362</v>
      </c>
      <c r="C2762" t="s">
        <v>50</v>
      </c>
      <c r="D2762" t="s">
        <v>80</v>
      </c>
      <c r="E2762" t="s">
        <v>121</v>
      </c>
      <c r="F2762" t="s">
        <v>22</v>
      </c>
      <c r="G2762" t="s">
        <v>23</v>
      </c>
      <c r="H2762" t="s">
        <v>24</v>
      </c>
      <c r="I2762" t="s">
        <v>25</v>
      </c>
      <c r="J2762" t="s">
        <v>58</v>
      </c>
      <c r="K2762" t="s">
        <v>61</v>
      </c>
      <c r="L2762" t="s">
        <v>28</v>
      </c>
      <c r="M2762" s="4">
        <v>25</v>
      </c>
      <c r="N2762" s="4">
        <v>7</v>
      </c>
      <c r="O2762" t="s">
        <v>29</v>
      </c>
      <c r="P2762" t="s">
        <v>29</v>
      </c>
      <c r="Q2762" s="4">
        <v>349152</v>
      </c>
      <c r="R2762" s="4">
        <v>196025</v>
      </c>
      <c r="S2762" s="4">
        <f>Table1[[#This Row],[Service_Revenue]]-Table1[[#This Row],[Service_Cost]]</f>
        <v>153127</v>
      </c>
      <c r="T2762" s="4">
        <v>1</v>
      </c>
      <c r="U2762" s="4">
        <f>IF(AND(Table1[[#This Row],[Rework_Flag]]="Yes",Table1[[#This Row],[Warranty_Claim]]="No"),Table1[[#This Row],[Service_Revenue]],0)</f>
        <v>0</v>
      </c>
      <c r="V2762" s="4">
        <f>IF(Table1[[#This Row],[Warranty_Claim]]="Yes",1,0)</f>
        <v>1</v>
      </c>
      <c r="W2762" s="4">
        <f>IF(Table1[[#This Row],[Rework_Flag]]="No",1,0)</f>
        <v>0</v>
      </c>
      <c r="X2762" s="4">
        <f>IF(Table1[[#This Row],[Rework_Flag]]="Yes",1,0)</f>
        <v>1</v>
      </c>
      <c r="Y2762" s="4">
        <v>1</v>
      </c>
      <c r="Z2762" s="4" t="str">
        <f>IF(Table1[[#This Row],[TAT_Days]]&gt;Table1[[#This Row],[SLA_TAT]],"Yes","No")</f>
        <v>Yes</v>
      </c>
      <c r="AA2762" s="4" t="str" cm="1">
        <f t="array" ref="AA2762">_xlfn.IFS(Table1[[#This Row],[Customer_Satisfaction]]&lt;=2,"Poor",Table1[[#This Row],[Customer_Satisfaction]]=3,"Neutral",Table1[[#This Row],[Customer_Satisfaction]]=4,"Good",Table1[[#This Row],[Customer_Satisfaction]]=5,"Good")</f>
        <v>Poor</v>
      </c>
    </row>
    <row r="2763" spans="1:27" x14ac:dyDescent="0.35">
      <c r="A2763">
        <v>22761</v>
      </c>
      <c r="B2763" s="1">
        <v>45408</v>
      </c>
      <c r="C2763" t="s">
        <v>50</v>
      </c>
      <c r="D2763" t="s">
        <v>80</v>
      </c>
      <c r="E2763" t="s">
        <v>121</v>
      </c>
      <c r="F2763" t="s">
        <v>53</v>
      </c>
      <c r="G2763" t="s">
        <v>54</v>
      </c>
      <c r="H2763" t="s">
        <v>42</v>
      </c>
      <c r="I2763" t="s">
        <v>25</v>
      </c>
      <c r="J2763" t="s">
        <v>26</v>
      </c>
      <c r="K2763" t="s">
        <v>61</v>
      </c>
      <c r="L2763" t="s">
        <v>49</v>
      </c>
      <c r="M2763" s="4">
        <v>13</v>
      </c>
      <c r="N2763" s="4">
        <v>7</v>
      </c>
      <c r="O2763" t="s">
        <v>29</v>
      </c>
      <c r="P2763" t="s">
        <v>36</v>
      </c>
      <c r="Q2763" s="4">
        <v>504472</v>
      </c>
      <c r="R2763" s="4">
        <v>376937</v>
      </c>
      <c r="S2763" s="4">
        <f>Table1[[#This Row],[Service_Revenue]]-Table1[[#This Row],[Service_Cost]]</f>
        <v>127535</v>
      </c>
      <c r="T2763" s="4">
        <v>2</v>
      </c>
      <c r="U2763" s="4">
        <f>IF(AND(Table1[[#This Row],[Rework_Flag]]="Yes",Table1[[#This Row],[Warranty_Claim]]="No"),Table1[[#This Row],[Service_Revenue]],0)</f>
        <v>504472</v>
      </c>
      <c r="V2763" s="4">
        <f>IF(Table1[[#This Row],[Warranty_Claim]]="Yes",1,0)</f>
        <v>0</v>
      </c>
      <c r="W2763" s="4">
        <f>IF(Table1[[#This Row],[Rework_Flag]]="No",1,0)</f>
        <v>0</v>
      </c>
      <c r="X2763" s="4">
        <f>IF(Table1[[#This Row],[Rework_Flag]]="Yes",1,0)</f>
        <v>1</v>
      </c>
      <c r="Y2763" s="4">
        <v>1</v>
      </c>
      <c r="Z2763" s="4" t="str">
        <f>IF(Table1[[#This Row],[TAT_Days]]&gt;Table1[[#This Row],[SLA_TAT]],"Yes","No")</f>
        <v>Yes</v>
      </c>
      <c r="AA2763" s="4" t="str" cm="1">
        <f t="array" ref="AA2763">_xlfn.IFS(Table1[[#This Row],[Customer_Satisfaction]]&lt;=2,"Poor",Table1[[#This Row],[Customer_Satisfaction]]=3,"Neutral",Table1[[#This Row],[Customer_Satisfaction]]=4,"Good",Table1[[#This Row],[Customer_Satisfaction]]=5,"Good")</f>
        <v>Poor</v>
      </c>
    </row>
    <row r="2764" spans="1:27" x14ac:dyDescent="0.35">
      <c r="A2764">
        <v>22762</v>
      </c>
      <c r="B2764" s="1">
        <v>45460</v>
      </c>
      <c r="C2764" t="s">
        <v>30</v>
      </c>
      <c r="D2764" t="s">
        <v>83</v>
      </c>
      <c r="E2764" t="s">
        <v>92</v>
      </c>
      <c r="F2764" t="s">
        <v>40</v>
      </c>
      <c r="G2764" t="s">
        <v>47</v>
      </c>
      <c r="H2764" t="s">
        <v>48</v>
      </c>
      <c r="I2764" t="s">
        <v>25</v>
      </c>
      <c r="J2764" t="s">
        <v>35</v>
      </c>
      <c r="K2764" t="s">
        <v>27</v>
      </c>
      <c r="L2764" t="s">
        <v>49</v>
      </c>
      <c r="M2764" s="4">
        <v>19</v>
      </c>
      <c r="N2764" s="4">
        <v>7</v>
      </c>
      <c r="O2764" t="s">
        <v>29</v>
      </c>
      <c r="P2764" t="s">
        <v>36</v>
      </c>
      <c r="Q2764" s="4">
        <v>250804</v>
      </c>
      <c r="R2764" s="4">
        <v>206114</v>
      </c>
      <c r="S2764" s="4">
        <f>Table1[[#This Row],[Service_Revenue]]-Table1[[#This Row],[Service_Cost]]</f>
        <v>44690</v>
      </c>
      <c r="T2764" s="4">
        <v>1</v>
      </c>
      <c r="U2764" s="4">
        <f>IF(AND(Table1[[#This Row],[Rework_Flag]]="Yes",Table1[[#This Row],[Warranty_Claim]]="No"),Table1[[#This Row],[Service_Revenue]],0)</f>
        <v>250804</v>
      </c>
      <c r="V2764" s="4">
        <f>IF(Table1[[#This Row],[Warranty_Claim]]="Yes",1,0)</f>
        <v>0</v>
      </c>
      <c r="W2764" s="4">
        <f>IF(Table1[[#This Row],[Rework_Flag]]="No",1,0)</f>
        <v>0</v>
      </c>
      <c r="X2764" s="4">
        <f>IF(Table1[[#This Row],[Rework_Flag]]="Yes",1,0)</f>
        <v>1</v>
      </c>
      <c r="Y2764" s="4">
        <v>1</v>
      </c>
      <c r="Z2764" s="4" t="str">
        <f>IF(Table1[[#This Row],[TAT_Days]]&gt;Table1[[#This Row],[SLA_TAT]],"Yes","No")</f>
        <v>Yes</v>
      </c>
      <c r="AA2764" s="4" t="str" cm="1">
        <f t="array" ref="AA2764">_xlfn.IFS(Table1[[#This Row],[Customer_Satisfaction]]&lt;=2,"Poor",Table1[[#This Row],[Customer_Satisfaction]]=3,"Neutral",Table1[[#This Row],[Customer_Satisfaction]]=4,"Good",Table1[[#This Row],[Customer_Satisfaction]]=5,"Good")</f>
        <v>Poor</v>
      </c>
    </row>
    <row r="2765" spans="1:27" x14ac:dyDescent="0.35">
      <c r="A2765">
        <v>22763</v>
      </c>
      <c r="B2765" s="1">
        <v>45423</v>
      </c>
      <c r="C2765" t="s">
        <v>30</v>
      </c>
      <c r="D2765" t="s">
        <v>83</v>
      </c>
      <c r="E2765" t="s">
        <v>84</v>
      </c>
      <c r="F2765" t="s">
        <v>40</v>
      </c>
      <c r="G2765" t="s">
        <v>54</v>
      </c>
      <c r="H2765" t="s">
        <v>42</v>
      </c>
      <c r="I2765" t="s">
        <v>25</v>
      </c>
      <c r="J2765" t="s">
        <v>67</v>
      </c>
      <c r="K2765" t="s">
        <v>44</v>
      </c>
      <c r="L2765" t="s">
        <v>28</v>
      </c>
      <c r="M2765" s="4">
        <v>14</v>
      </c>
      <c r="N2765" s="4">
        <v>7</v>
      </c>
      <c r="O2765" t="s">
        <v>29</v>
      </c>
      <c r="P2765" t="s">
        <v>29</v>
      </c>
      <c r="Q2765" s="4">
        <v>506622</v>
      </c>
      <c r="R2765" s="4">
        <v>294239</v>
      </c>
      <c r="S2765" s="4">
        <f>Table1[[#This Row],[Service_Revenue]]-Table1[[#This Row],[Service_Cost]]</f>
        <v>212383</v>
      </c>
      <c r="T2765" s="4">
        <v>2</v>
      </c>
      <c r="U2765" s="4">
        <f>IF(AND(Table1[[#This Row],[Rework_Flag]]="Yes",Table1[[#This Row],[Warranty_Claim]]="No"),Table1[[#This Row],[Service_Revenue]],0)</f>
        <v>0</v>
      </c>
      <c r="V2765" s="4">
        <f>IF(Table1[[#This Row],[Warranty_Claim]]="Yes",1,0)</f>
        <v>1</v>
      </c>
      <c r="W2765" s="4">
        <f>IF(Table1[[#This Row],[Rework_Flag]]="No",1,0)</f>
        <v>0</v>
      </c>
      <c r="X2765" s="4">
        <f>IF(Table1[[#This Row],[Rework_Flag]]="Yes",1,0)</f>
        <v>1</v>
      </c>
      <c r="Y2765" s="4">
        <v>1</v>
      </c>
      <c r="Z2765" s="4" t="str">
        <f>IF(Table1[[#This Row],[TAT_Days]]&gt;Table1[[#This Row],[SLA_TAT]],"Yes","No")</f>
        <v>Yes</v>
      </c>
      <c r="AA2765" s="4" t="str" cm="1">
        <f t="array" ref="AA2765">_xlfn.IFS(Table1[[#This Row],[Customer_Satisfaction]]&lt;=2,"Poor",Table1[[#This Row],[Customer_Satisfaction]]=3,"Neutral",Table1[[#This Row],[Customer_Satisfaction]]=4,"Good",Table1[[#This Row],[Customer_Satisfaction]]=5,"Good")</f>
        <v>Poor</v>
      </c>
    </row>
    <row r="2766" spans="1:27" x14ac:dyDescent="0.35">
      <c r="A2766">
        <v>22764</v>
      </c>
      <c r="B2766" s="1">
        <v>45318</v>
      </c>
      <c r="C2766" t="s">
        <v>30</v>
      </c>
      <c r="D2766" t="s">
        <v>59</v>
      </c>
      <c r="E2766" t="s">
        <v>60</v>
      </c>
      <c r="F2766" t="s">
        <v>22</v>
      </c>
      <c r="G2766" t="s">
        <v>63</v>
      </c>
      <c r="H2766" t="s">
        <v>24</v>
      </c>
      <c r="I2766" t="s">
        <v>55</v>
      </c>
      <c r="J2766" t="s">
        <v>58</v>
      </c>
      <c r="K2766" t="s">
        <v>27</v>
      </c>
      <c r="L2766" t="s">
        <v>28</v>
      </c>
      <c r="M2766" s="4">
        <v>11</v>
      </c>
      <c r="N2766" s="4">
        <v>7</v>
      </c>
      <c r="O2766" t="s">
        <v>29</v>
      </c>
      <c r="P2766" t="s">
        <v>29</v>
      </c>
      <c r="Q2766" s="4">
        <v>213996</v>
      </c>
      <c r="R2766" s="4">
        <v>153819</v>
      </c>
      <c r="S2766" s="4">
        <f>Table1[[#This Row],[Service_Revenue]]-Table1[[#This Row],[Service_Cost]]</f>
        <v>60177</v>
      </c>
      <c r="T2766" s="4">
        <v>2</v>
      </c>
      <c r="U2766" s="4">
        <f>IF(AND(Table1[[#This Row],[Rework_Flag]]="Yes",Table1[[#This Row],[Warranty_Claim]]="No"),Table1[[#This Row],[Service_Revenue]],0)</f>
        <v>0</v>
      </c>
      <c r="V2766" s="4">
        <f>IF(Table1[[#This Row],[Warranty_Claim]]="Yes",1,0)</f>
        <v>1</v>
      </c>
      <c r="W2766" s="4">
        <f>IF(Table1[[#This Row],[Rework_Flag]]="No",1,0)</f>
        <v>0</v>
      </c>
      <c r="X2766" s="4">
        <f>IF(Table1[[#This Row],[Rework_Flag]]="Yes",1,0)</f>
        <v>1</v>
      </c>
      <c r="Y2766" s="4">
        <v>1</v>
      </c>
      <c r="Z2766" s="4" t="str">
        <f>IF(Table1[[#This Row],[TAT_Days]]&gt;Table1[[#This Row],[SLA_TAT]],"Yes","No")</f>
        <v>Yes</v>
      </c>
      <c r="AA2766" s="4" t="str" cm="1">
        <f t="array" ref="AA2766">_xlfn.IFS(Table1[[#This Row],[Customer_Satisfaction]]&lt;=2,"Poor",Table1[[#This Row],[Customer_Satisfaction]]=3,"Neutral",Table1[[#This Row],[Customer_Satisfaction]]=4,"Good",Table1[[#This Row],[Customer_Satisfaction]]=5,"Good")</f>
        <v>Poor</v>
      </c>
    </row>
    <row r="2767" spans="1:27" x14ac:dyDescent="0.35">
      <c r="A2767">
        <v>22765</v>
      </c>
      <c r="B2767" s="1">
        <v>45400</v>
      </c>
      <c r="C2767" t="s">
        <v>50</v>
      </c>
      <c r="D2767" t="s">
        <v>56</v>
      </c>
      <c r="E2767" t="s">
        <v>77</v>
      </c>
      <c r="F2767" t="s">
        <v>53</v>
      </c>
      <c r="G2767" t="s">
        <v>33</v>
      </c>
      <c r="H2767" t="s">
        <v>34</v>
      </c>
      <c r="I2767" t="s">
        <v>25</v>
      </c>
      <c r="J2767" t="s">
        <v>26</v>
      </c>
      <c r="K2767" t="s">
        <v>44</v>
      </c>
      <c r="L2767" t="s">
        <v>49</v>
      </c>
      <c r="M2767" s="4">
        <v>15</v>
      </c>
      <c r="N2767" s="4">
        <v>7</v>
      </c>
      <c r="O2767" t="s">
        <v>29</v>
      </c>
      <c r="P2767" t="s">
        <v>29</v>
      </c>
      <c r="Q2767" s="4">
        <v>458323</v>
      </c>
      <c r="R2767" s="4">
        <v>247400</v>
      </c>
      <c r="S2767" s="4">
        <f>Table1[[#This Row],[Service_Revenue]]-Table1[[#This Row],[Service_Cost]]</f>
        <v>210923</v>
      </c>
      <c r="T2767" s="4">
        <v>1</v>
      </c>
      <c r="U2767" s="4">
        <f>IF(AND(Table1[[#This Row],[Rework_Flag]]="Yes",Table1[[#This Row],[Warranty_Claim]]="No"),Table1[[#This Row],[Service_Revenue]],0)</f>
        <v>0</v>
      </c>
      <c r="V2767" s="4">
        <f>IF(Table1[[#This Row],[Warranty_Claim]]="Yes",1,0)</f>
        <v>1</v>
      </c>
      <c r="W2767" s="4">
        <f>IF(Table1[[#This Row],[Rework_Flag]]="No",1,0)</f>
        <v>0</v>
      </c>
      <c r="X2767" s="4">
        <f>IF(Table1[[#This Row],[Rework_Flag]]="Yes",1,0)</f>
        <v>1</v>
      </c>
      <c r="Y2767" s="4">
        <v>1</v>
      </c>
      <c r="Z2767" s="4" t="str">
        <f>IF(Table1[[#This Row],[TAT_Days]]&gt;Table1[[#This Row],[SLA_TAT]],"Yes","No")</f>
        <v>Yes</v>
      </c>
      <c r="AA2767" s="4" t="str" cm="1">
        <f t="array" ref="AA2767">_xlfn.IFS(Table1[[#This Row],[Customer_Satisfaction]]&lt;=2,"Poor",Table1[[#This Row],[Customer_Satisfaction]]=3,"Neutral",Table1[[#This Row],[Customer_Satisfaction]]=4,"Good",Table1[[#This Row],[Customer_Satisfaction]]=5,"Good")</f>
        <v>Poor</v>
      </c>
    </row>
    <row r="2768" spans="1:27" x14ac:dyDescent="0.35">
      <c r="A2768">
        <v>22766</v>
      </c>
      <c r="B2768" s="1">
        <v>45301</v>
      </c>
      <c r="C2768" t="s">
        <v>30</v>
      </c>
      <c r="D2768" t="s">
        <v>31</v>
      </c>
      <c r="E2768" t="s">
        <v>62</v>
      </c>
      <c r="F2768" t="s">
        <v>22</v>
      </c>
      <c r="G2768" t="s">
        <v>23</v>
      </c>
      <c r="H2768" t="s">
        <v>24</v>
      </c>
      <c r="I2768" t="s">
        <v>55</v>
      </c>
      <c r="J2768" t="s">
        <v>43</v>
      </c>
      <c r="K2768" t="s">
        <v>44</v>
      </c>
      <c r="L2768" t="s">
        <v>28</v>
      </c>
      <c r="M2768" s="4">
        <v>4</v>
      </c>
      <c r="N2768" s="4">
        <v>7</v>
      </c>
      <c r="O2768" t="s">
        <v>29</v>
      </c>
      <c r="P2768" t="s">
        <v>36</v>
      </c>
      <c r="Q2768" s="4">
        <v>372866</v>
      </c>
      <c r="R2768" s="4">
        <v>245740</v>
      </c>
      <c r="S2768" s="4">
        <f>Table1[[#This Row],[Service_Revenue]]-Table1[[#This Row],[Service_Cost]]</f>
        <v>127126</v>
      </c>
      <c r="T2768" s="4">
        <v>4</v>
      </c>
      <c r="U2768" s="4">
        <f>IF(AND(Table1[[#This Row],[Rework_Flag]]="Yes",Table1[[#This Row],[Warranty_Claim]]="No"),Table1[[#This Row],[Service_Revenue]],0)</f>
        <v>372866</v>
      </c>
      <c r="V2768" s="4">
        <f>IF(Table1[[#This Row],[Warranty_Claim]]="Yes",1,0)</f>
        <v>0</v>
      </c>
      <c r="W2768" s="4">
        <f>IF(Table1[[#This Row],[Rework_Flag]]="No",1,0)</f>
        <v>0</v>
      </c>
      <c r="X2768" s="4">
        <f>IF(Table1[[#This Row],[Rework_Flag]]="Yes",1,0)</f>
        <v>1</v>
      </c>
      <c r="Y2768" s="4">
        <v>1</v>
      </c>
      <c r="Z2768" s="4" t="str">
        <f>IF(Table1[[#This Row],[TAT_Days]]&gt;Table1[[#This Row],[SLA_TAT]],"Yes","No")</f>
        <v>No</v>
      </c>
      <c r="AA2768" s="4" t="str" cm="1">
        <f t="array" ref="AA2768">_xlfn.IFS(Table1[[#This Row],[Customer_Satisfaction]]&lt;=2,"Poor",Table1[[#This Row],[Customer_Satisfaction]]=3,"Neutral",Table1[[#This Row],[Customer_Satisfaction]]=4,"Good",Table1[[#This Row],[Customer_Satisfaction]]=5,"Good")</f>
        <v>Good</v>
      </c>
    </row>
    <row r="2769" spans="1:27" x14ac:dyDescent="0.35">
      <c r="A2769">
        <v>22767</v>
      </c>
      <c r="B2769" s="1">
        <v>45320</v>
      </c>
      <c r="C2769" t="s">
        <v>30</v>
      </c>
      <c r="D2769" t="s">
        <v>83</v>
      </c>
      <c r="E2769" t="s">
        <v>92</v>
      </c>
      <c r="F2769" t="s">
        <v>53</v>
      </c>
      <c r="G2769" t="s">
        <v>74</v>
      </c>
      <c r="H2769" t="s">
        <v>34</v>
      </c>
      <c r="I2769" t="s">
        <v>55</v>
      </c>
      <c r="J2769" t="s">
        <v>43</v>
      </c>
      <c r="K2769" t="s">
        <v>44</v>
      </c>
      <c r="L2769" t="s">
        <v>49</v>
      </c>
      <c r="M2769" s="4">
        <v>3</v>
      </c>
      <c r="N2769" s="4">
        <v>7</v>
      </c>
      <c r="O2769" t="s">
        <v>29</v>
      </c>
      <c r="P2769" t="s">
        <v>36</v>
      </c>
      <c r="Q2769" s="4">
        <v>101503</v>
      </c>
      <c r="R2769" s="4">
        <v>76078</v>
      </c>
      <c r="S2769" s="4">
        <f>Table1[[#This Row],[Service_Revenue]]-Table1[[#This Row],[Service_Cost]]</f>
        <v>25425</v>
      </c>
      <c r="T2769" s="4">
        <v>4</v>
      </c>
      <c r="U2769" s="4">
        <f>IF(AND(Table1[[#This Row],[Rework_Flag]]="Yes",Table1[[#This Row],[Warranty_Claim]]="No"),Table1[[#This Row],[Service_Revenue]],0)</f>
        <v>101503</v>
      </c>
      <c r="V2769" s="4">
        <f>IF(Table1[[#This Row],[Warranty_Claim]]="Yes",1,0)</f>
        <v>0</v>
      </c>
      <c r="W2769" s="4">
        <f>IF(Table1[[#This Row],[Rework_Flag]]="No",1,0)</f>
        <v>0</v>
      </c>
      <c r="X2769" s="4">
        <f>IF(Table1[[#This Row],[Rework_Flag]]="Yes",1,0)</f>
        <v>1</v>
      </c>
      <c r="Y2769" s="4">
        <v>1</v>
      </c>
      <c r="Z2769" s="4" t="str">
        <f>IF(Table1[[#This Row],[TAT_Days]]&gt;Table1[[#This Row],[SLA_TAT]],"Yes","No")</f>
        <v>No</v>
      </c>
      <c r="AA2769" s="4" t="str" cm="1">
        <f t="array" ref="AA2769">_xlfn.IFS(Table1[[#This Row],[Customer_Satisfaction]]&lt;=2,"Poor",Table1[[#This Row],[Customer_Satisfaction]]=3,"Neutral",Table1[[#This Row],[Customer_Satisfaction]]=4,"Good",Table1[[#This Row],[Customer_Satisfaction]]=5,"Good")</f>
        <v>Good</v>
      </c>
    </row>
    <row r="2770" spans="1:27" x14ac:dyDescent="0.35">
      <c r="A2770">
        <v>22768</v>
      </c>
      <c r="B2770" s="1">
        <v>45367</v>
      </c>
      <c r="C2770" t="s">
        <v>19</v>
      </c>
      <c r="D2770" t="s">
        <v>45</v>
      </c>
      <c r="E2770" t="s">
        <v>76</v>
      </c>
      <c r="F2770" t="s">
        <v>53</v>
      </c>
      <c r="G2770" t="s">
        <v>41</v>
      </c>
      <c r="H2770" t="s">
        <v>42</v>
      </c>
      <c r="I2770" t="s">
        <v>55</v>
      </c>
      <c r="J2770" t="s">
        <v>67</v>
      </c>
      <c r="K2770" t="s">
        <v>44</v>
      </c>
      <c r="L2770" t="s">
        <v>49</v>
      </c>
      <c r="M2770" s="4">
        <v>13</v>
      </c>
      <c r="N2770" s="4">
        <v>7</v>
      </c>
      <c r="O2770" t="s">
        <v>36</v>
      </c>
      <c r="P2770" t="s">
        <v>36</v>
      </c>
      <c r="Q2770" s="4">
        <v>343985</v>
      </c>
      <c r="R2770" s="4">
        <v>271374</v>
      </c>
      <c r="S2770" s="4">
        <f>Table1[[#This Row],[Service_Revenue]]-Table1[[#This Row],[Service_Cost]]</f>
        <v>72611</v>
      </c>
      <c r="T2770" s="4">
        <v>3</v>
      </c>
      <c r="U2770" s="4">
        <f>IF(AND(Table1[[#This Row],[Rework_Flag]]="Yes",Table1[[#This Row],[Warranty_Claim]]="No"),Table1[[#This Row],[Service_Revenue]],0)</f>
        <v>0</v>
      </c>
      <c r="V2770" s="4">
        <f>IF(Table1[[#This Row],[Warranty_Claim]]="Yes",1,0)</f>
        <v>0</v>
      </c>
      <c r="W2770" s="4">
        <f>IF(Table1[[#This Row],[Rework_Flag]]="No",1,0)</f>
        <v>1</v>
      </c>
      <c r="X2770" s="4">
        <f>IF(Table1[[#This Row],[Rework_Flag]]="Yes",1,0)</f>
        <v>0</v>
      </c>
      <c r="Y2770" s="4">
        <v>1</v>
      </c>
      <c r="Z2770" s="4" t="str">
        <f>IF(Table1[[#This Row],[TAT_Days]]&gt;Table1[[#This Row],[SLA_TAT]],"Yes","No")</f>
        <v>Yes</v>
      </c>
      <c r="AA2770" s="4" t="str" cm="1">
        <f t="array" ref="AA2770">_xlfn.IFS(Table1[[#This Row],[Customer_Satisfaction]]&lt;=2,"Poor",Table1[[#This Row],[Customer_Satisfaction]]=3,"Neutral",Table1[[#This Row],[Customer_Satisfaction]]=4,"Good",Table1[[#This Row],[Customer_Satisfaction]]=5,"Good")</f>
        <v>Neutral</v>
      </c>
    </row>
    <row r="2771" spans="1:27" x14ac:dyDescent="0.35">
      <c r="A2771">
        <v>22769</v>
      </c>
      <c r="B2771" s="1">
        <v>45297</v>
      </c>
      <c r="C2771" t="s">
        <v>30</v>
      </c>
      <c r="D2771" t="s">
        <v>83</v>
      </c>
      <c r="E2771" t="s">
        <v>84</v>
      </c>
      <c r="F2771" t="s">
        <v>22</v>
      </c>
      <c r="G2771" t="s">
        <v>23</v>
      </c>
      <c r="H2771" t="s">
        <v>24</v>
      </c>
      <c r="I2771" t="s">
        <v>25</v>
      </c>
      <c r="J2771" t="s">
        <v>43</v>
      </c>
      <c r="K2771" t="s">
        <v>61</v>
      </c>
      <c r="L2771" t="s">
        <v>28</v>
      </c>
      <c r="M2771" s="4">
        <v>24</v>
      </c>
      <c r="N2771" s="4">
        <v>7</v>
      </c>
      <c r="O2771" t="s">
        <v>29</v>
      </c>
      <c r="P2771" t="s">
        <v>29</v>
      </c>
      <c r="Q2771" s="4">
        <v>309801</v>
      </c>
      <c r="R2771" s="4">
        <v>189154</v>
      </c>
      <c r="S2771" s="4">
        <f>Table1[[#This Row],[Service_Revenue]]-Table1[[#This Row],[Service_Cost]]</f>
        <v>120647</v>
      </c>
      <c r="T2771" s="4">
        <v>1</v>
      </c>
      <c r="U2771" s="4">
        <f>IF(AND(Table1[[#This Row],[Rework_Flag]]="Yes",Table1[[#This Row],[Warranty_Claim]]="No"),Table1[[#This Row],[Service_Revenue]],0)</f>
        <v>0</v>
      </c>
      <c r="V2771" s="4">
        <f>IF(Table1[[#This Row],[Warranty_Claim]]="Yes",1,0)</f>
        <v>1</v>
      </c>
      <c r="W2771" s="4">
        <f>IF(Table1[[#This Row],[Rework_Flag]]="No",1,0)</f>
        <v>0</v>
      </c>
      <c r="X2771" s="4">
        <f>IF(Table1[[#This Row],[Rework_Flag]]="Yes",1,0)</f>
        <v>1</v>
      </c>
      <c r="Y2771" s="4">
        <v>1</v>
      </c>
      <c r="Z2771" s="4" t="str">
        <f>IF(Table1[[#This Row],[TAT_Days]]&gt;Table1[[#This Row],[SLA_TAT]],"Yes","No")</f>
        <v>Yes</v>
      </c>
      <c r="AA2771" s="4" t="str" cm="1">
        <f t="array" ref="AA2771">_xlfn.IFS(Table1[[#This Row],[Customer_Satisfaction]]&lt;=2,"Poor",Table1[[#This Row],[Customer_Satisfaction]]=3,"Neutral",Table1[[#This Row],[Customer_Satisfaction]]=4,"Good",Table1[[#This Row],[Customer_Satisfaction]]=5,"Good")</f>
        <v>Poor</v>
      </c>
    </row>
    <row r="2772" spans="1:27" x14ac:dyDescent="0.35">
      <c r="A2772">
        <v>22770</v>
      </c>
      <c r="B2772" s="1">
        <v>45437</v>
      </c>
      <c r="C2772" t="s">
        <v>50</v>
      </c>
      <c r="D2772" t="s">
        <v>80</v>
      </c>
      <c r="E2772" t="s">
        <v>81</v>
      </c>
      <c r="F2772" t="s">
        <v>22</v>
      </c>
      <c r="G2772" t="s">
        <v>33</v>
      </c>
      <c r="H2772" t="s">
        <v>34</v>
      </c>
      <c r="I2772" t="s">
        <v>55</v>
      </c>
      <c r="J2772" t="s">
        <v>26</v>
      </c>
      <c r="K2772" t="s">
        <v>27</v>
      </c>
      <c r="L2772" t="s">
        <v>28</v>
      </c>
      <c r="M2772" s="4">
        <v>25</v>
      </c>
      <c r="N2772" s="4">
        <v>7</v>
      </c>
      <c r="O2772" t="s">
        <v>29</v>
      </c>
      <c r="P2772" t="s">
        <v>36</v>
      </c>
      <c r="Q2772" s="4">
        <v>437686</v>
      </c>
      <c r="R2772" s="4">
        <v>302629</v>
      </c>
      <c r="S2772" s="4">
        <f>Table1[[#This Row],[Service_Revenue]]-Table1[[#This Row],[Service_Cost]]</f>
        <v>135057</v>
      </c>
      <c r="T2772" s="4">
        <v>1</v>
      </c>
      <c r="U2772" s="4">
        <f>IF(AND(Table1[[#This Row],[Rework_Flag]]="Yes",Table1[[#This Row],[Warranty_Claim]]="No"),Table1[[#This Row],[Service_Revenue]],0)</f>
        <v>437686</v>
      </c>
      <c r="V2772" s="4">
        <f>IF(Table1[[#This Row],[Warranty_Claim]]="Yes",1,0)</f>
        <v>0</v>
      </c>
      <c r="W2772" s="4">
        <f>IF(Table1[[#This Row],[Rework_Flag]]="No",1,0)</f>
        <v>0</v>
      </c>
      <c r="X2772" s="4">
        <f>IF(Table1[[#This Row],[Rework_Flag]]="Yes",1,0)</f>
        <v>1</v>
      </c>
      <c r="Y2772" s="4">
        <v>1</v>
      </c>
      <c r="Z2772" s="4" t="str">
        <f>IF(Table1[[#This Row],[TAT_Days]]&gt;Table1[[#This Row],[SLA_TAT]],"Yes","No")</f>
        <v>Yes</v>
      </c>
      <c r="AA2772" s="4" t="str" cm="1">
        <f t="array" ref="AA2772">_xlfn.IFS(Table1[[#This Row],[Customer_Satisfaction]]&lt;=2,"Poor",Table1[[#This Row],[Customer_Satisfaction]]=3,"Neutral",Table1[[#This Row],[Customer_Satisfaction]]=4,"Good",Table1[[#This Row],[Customer_Satisfaction]]=5,"Good")</f>
        <v>Poor</v>
      </c>
    </row>
    <row r="2773" spans="1:27" x14ac:dyDescent="0.35">
      <c r="A2773">
        <v>22771</v>
      </c>
      <c r="B2773" s="1">
        <v>45372</v>
      </c>
      <c r="C2773" t="s">
        <v>19</v>
      </c>
      <c r="D2773" t="s">
        <v>96</v>
      </c>
      <c r="E2773" t="s">
        <v>98</v>
      </c>
      <c r="F2773" t="s">
        <v>53</v>
      </c>
      <c r="G2773" t="s">
        <v>54</v>
      </c>
      <c r="H2773" t="s">
        <v>42</v>
      </c>
      <c r="I2773" t="s">
        <v>25</v>
      </c>
      <c r="J2773" t="s">
        <v>43</v>
      </c>
      <c r="K2773" t="s">
        <v>61</v>
      </c>
      <c r="L2773" t="s">
        <v>28</v>
      </c>
      <c r="M2773" s="4">
        <v>18</v>
      </c>
      <c r="N2773" s="4">
        <v>7</v>
      </c>
      <c r="O2773" t="s">
        <v>29</v>
      </c>
      <c r="P2773" t="s">
        <v>36</v>
      </c>
      <c r="Q2773" s="4">
        <v>200871</v>
      </c>
      <c r="R2773" s="4">
        <v>149350</v>
      </c>
      <c r="S2773" s="4">
        <f>Table1[[#This Row],[Service_Revenue]]-Table1[[#This Row],[Service_Cost]]</f>
        <v>51521</v>
      </c>
      <c r="T2773" s="4">
        <v>1</v>
      </c>
      <c r="U2773" s="4">
        <f>IF(AND(Table1[[#This Row],[Rework_Flag]]="Yes",Table1[[#This Row],[Warranty_Claim]]="No"),Table1[[#This Row],[Service_Revenue]],0)</f>
        <v>200871</v>
      </c>
      <c r="V2773" s="4">
        <f>IF(Table1[[#This Row],[Warranty_Claim]]="Yes",1,0)</f>
        <v>0</v>
      </c>
      <c r="W2773" s="4">
        <f>IF(Table1[[#This Row],[Rework_Flag]]="No",1,0)</f>
        <v>0</v>
      </c>
      <c r="X2773" s="4">
        <f>IF(Table1[[#This Row],[Rework_Flag]]="Yes",1,0)</f>
        <v>1</v>
      </c>
      <c r="Y2773" s="4">
        <v>1</v>
      </c>
      <c r="Z2773" s="4" t="str">
        <f>IF(Table1[[#This Row],[TAT_Days]]&gt;Table1[[#This Row],[SLA_TAT]],"Yes","No")</f>
        <v>Yes</v>
      </c>
      <c r="AA2773" s="4" t="str" cm="1">
        <f t="array" ref="AA2773">_xlfn.IFS(Table1[[#This Row],[Customer_Satisfaction]]&lt;=2,"Poor",Table1[[#This Row],[Customer_Satisfaction]]=3,"Neutral",Table1[[#This Row],[Customer_Satisfaction]]=4,"Good",Table1[[#This Row],[Customer_Satisfaction]]=5,"Good")</f>
        <v>Poor</v>
      </c>
    </row>
    <row r="2774" spans="1:27" x14ac:dyDescent="0.35">
      <c r="A2774">
        <v>22772</v>
      </c>
      <c r="B2774" s="1">
        <v>45381</v>
      </c>
      <c r="C2774" t="s">
        <v>50</v>
      </c>
      <c r="D2774" t="s">
        <v>51</v>
      </c>
      <c r="E2774" t="s">
        <v>73</v>
      </c>
      <c r="F2774" t="s">
        <v>22</v>
      </c>
      <c r="G2774" t="s">
        <v>23</v>
      </c>
      <c r="H2774" t="s">
        <v>24</v>
      </c>
      <c r="I2774" t="s">
        <v>55</v>
      </c>
      <c r="J2774" t="s">
        <v>58</v>
      </c>
      <c r="K2774" t="s">
        <v>27</v>
      </c>
      <c r="L2774" t="s">
        <v>49</v>
      </c>
      <c r="M2774" s="4">
        <v>10</v>
      </c>
      <c r="N2774" s="4">
        <v>7</v>
      </c>
      <c r="O2774" t="s">
        <v>29</v>
      </c>
      <c r="P2774" t="s">
        <v>29</v>
      </c>
      <c r="Q2774" s="4">
        <v>247454</v>
      </c>
      <c r="R2774" s="4">
        <v>141945</v>
      </c>
      <c r="S2774" s="4">
        <f>Table1[[#This Row],[Service_Revenue]]-Table1[[#This Row],[Service_Cost]]</f>
        <v>105509</v>
      </c>
      <c r="T2774" s="4">
        <v>2</v>
      </c>
      <c r="U2774" s="4">
        <f>IF(AND(Table1[[#This Row],[Rework_Flag]]="Yes",Table1[[#This Row],[Warranty_Claim]]="No"),Table1[[#This Row],[Service_Revenue]],0)</f>
        <v>0</v>
      </c>
      <c r="V2774" s="4">
        <f>IF(Table1[[#This Row],[Warranty_Claim]]="Yes",1,0)</f>
        <v>1</v>
      </c>
      <c r="W2774" s="4">
        <f>IF(Table1[[#This Row],[Rework_Flag]]="No",1,0)</f>
        <v>0</v>
      </c>
      <c r="X2774" s="4">
        <f>IF(Table1[[#This Row],[Rework_Flag]]="Yes",1,0)</f>
        <v>1</v>
      </c>
      <c r="Y2774" s="4">
        <v>1</v>
      </c>
      <c r="Z2774" s="4" t="str">
        <f>IF(Table1[[#This Row],[TAT_Days]]&gt;Table1[[#This Row],[SLA_TAT]],"Yes","No")</f>
        <v>Yes</v>
      </c>
      <c r="AA2774" s="4" t="str" cm="1">
        <f t="array" ref="AA2774">_xlfn.IFS(Table1[[#This Row],[Customer_Satisfaction]]&lt;=2,"Poor",Table1[[#This Row],[Customer_Satisfaction]]=3,"Neutral",Table1[[#This Row],[Customer_Satisfaction]]=4,"Good",Table1[[#This Row],[Customer_Satisfaction]]=5,"Good")</f>
        <v>Poor</v>
      </c>
    </row>
    <row r="2775" spans="1:27" x14ac:dyDescent="0.35">
      <c r="A2775">
        <v>22773</v>
      </c>
      <c r="B2775" s="1">
        <v>45421</v>
      </c>
      <c r="C2775" t="s">
        <v>30</v>
      </c>
      <c r="D2775" t="s">
        <v>83</v>
      </c>
      <c r="E2775" t="s">
        <v>95</v>
      </c>
      <c r="F2775" t="s">
        <v>40</v>
      </c>
      <c r="G2775" t="s">
        <v>74</v>
      </c>
      <c r="H2775" t="s">
        <v>34</v>
      </c>
      <c r="I2775" t="s">
        <v>55</v>
      </c>
      <c r="J2775" t="s">
        <v>26</v>
      </c>
      <c r="K2775" t="s">
        <v>61</v>
      </c>
      <c r="L2775" t="s">
        <v>28</v>
      </c>
      <c r="M2775" s="4">
        <v>19</v>
      </c>
      <c r="N2775" s="4">
        <v>7</v>
      </c>
      <c r="O2775" t="s">
        <v>36</v>
      </c>
      <c r="P2775" t="s">
        <v>36</v>
      </c>
      <c r="Q2775" s="4">
        <v>413322</v>
      </c>
      <c r="R2775" s="4">
        <v>239216</v>
      </c>
      <c r="S2775" s="4">
        <f>Table1[[#This Row],[Service_Revenue]]-Table1[[#This Row],[Service_Cost]]</f>
        <v>174106</v>
      </c>
      <c r="T2775" s="4">
        <v>2</v>
      </c>
      <c r="U2775" s="4">
        <f>IF(AND(Table1[[#This Row],[Rework_Flag]]="Yes",Table1[[#This Row],[Warranty_Claim]]="No"),Table1[[#This Row],[Service_Revenue]],0)</f>
        <v>0</v>
      </c>
      <c r="V2775" s="4">
        <f>IF(Table1[[#This Row],[Warranty_Claim]]="Yes",1,0)</f>
        <v>0</v>
      </c>
      <c r="W2775" s="4">
        <f>IF(Table1[[#This Row],[Rework_Flag]]="No",1,0)</f>
        <v>1</v>
      </c>
      <c r="X2775" s="4">
        <f>IF(Table1[[#This Row],[Rework_Flag]]="Yes",1,0)</f>
        <v>0</v>
      </c>
      <c r="Y2775" s="4">
        <v>1</v>
      </c>
      <c r="Z2775" s="4" t="str">
        <f>IF(Table1[[#This Row],[TAT_Days]]&gt;Table1[[#This Row],[SLA_TAT]],"Yes","No")</f>
        <v>Yes</v>
      </c>
      <c r="AA2775" s="4" t="str" cm="1">
        <f t="array" ref="AA2775">_xlfn.IFS(Table1[[#This Row],[Customer_Satisfaction]]&lt;=2,"Poor",Table1[[#This Row],[Customer_Satisfaction]]=3,"Neutral",Table1[[#This Row],[Customer_Satisfaction]]=4,"Good",Table1[[#This Row],[Customer_Satisfaction]]=5,"Good")</f>
        <v>Poor</v>
      </c>
    </row>
    <row r="2776" spans="1:27" x14ac:dyDescent="0.35">
      <c r="A2776">
        <v>22774</v>
      </c>
      <c r="B2776" s="1">
        <v>45375</v>
      </c>
      <c r="C2776" t="s">
        <v>37</v>
      </c>
      <c r="D2776" t="s">
        <v>38</v>
      </c>
      <c r="E2776" t="s">
        <v>93</v>
      </c>
      <c r="F2776" t="s">
        <v>40</v>
      </c>
      <c r="G2776" t="s">
        <v>54</v>
      </c>
      <c r="H2776" t="s">
        <v>42</v>
      </c>
      <c r="I2776" t="s">
        <v>55</v>
      </c>
      <c r="J2776" t="s">
        <v>35</v>
      </c>
      <c r="K2776" t="s">
        <v>44</v>
      </c>
      <c r="L2776" t="s">
        <v>28</v>
      </c>
      <c r="M2776" s="4">
        <v>23</v>
      </c>
      <c r="N2776" s="4">
        <v>7</v>
      </c>
      <c r="O2776" t="s">
        <v>29</v>
      </c>
      <c r="P2776" t="s">
        <v>29</v>
      </c>
      <c r="Q2776" s="4">
        <v>281060</v>
      </c>
      <c r="R2776" s="4">
        <v>155918</v>
      </c>
      <c r="S2776" s="4">
        <f>Table1[[#This Row],[Service_Revenue]]-Table1[[#This Row],[Service_Cost]]</f>
        <v>125142</v>
      </c>
      <c r="T2776" s="4">
        <v>1</v>
      </c>
      <c r="U2776" s="4">
        <f>IF(AND(Table1[[#This Row],[Rework_Flag]]="Yes",Table1[[#This Row],[Warranty_Claim]]="No"),Table1[[#This Row],[Service_Revenue]],0)</f>
        <v>0</v>
      </c>
      <c r="V2776" s="4">
        <f>IF(Table1[[#This Row],[Warranty_Claim]]="Yes",1,0)</f>
        <v>1</v>
      </c>
      <c r="W2776" s="4">
        <f>IF(Table1[[#This Row],[Rework_Flag]]="No",1,0)</f>
        <v>0</v>
      </c>
      <c r="X2776" s="4">
        <f>IF(Table1[[#This Row],[Rework_Flag]]="Yes",1,0)</f>
        <v>1</v>
      </c>
      <c r="Y2776" s="4">
        <v>1</v>
      </c>
      <c r="Z2776" s="4" t="str">
        <f>IF(Table1[[#This Row],[TAT_Days]]&gt;Table1[[#This Row],[SLA_TAT]],"Yes","No")</f>
        <v>Yes</v>
      </c>
      <c r="AA2776" s="4" t="str" cm="1">
        <f t="array" ref="AA2776">_xlfn.IFS(Table1[[#This Row],[Customer_Satisfaction]]&lt;=2,"Poor",Table1[[#This Row],[Customer_Satisfaction]]=3,"Neutral",Table1[[#This Row],[Customer_Satisfaction]]=4,"Good",Table1[[#This Row],[Customer_Satisfaction]]=5,"Good")</f>
        <v>Poor</v>
      </c>
    </row>
    <row r="2777" spans="1:27" x14ac:dyDescent="0.35">
      <c r="A2777">
        <v>22775</v>
      </c>
      <c r="B2777" s="1">
        <v>45441</v>
      </c>
      <c r="C2777" t="s">
        <v>30</v>
      </c>
      <c r="D2777" t="s">
        <v>59</v>
      </c>
      <c r="E2777" t="s">
        <v>78</v>
      </c>
      <c r="F2777" t="s">
        <v>40</v>
      </c>
      <c r="G2777" t="s">
        <v>54</v>
      </c>
      <c r="H2777" t="s">
        <v>42</v>
      </c>
      <c r="I2777" t="s">
        <v>25</v>
      </c>
      <c r="J2777" t="s">
        <v>26</v>
      </c>
      <c r="K2777" t="s">
        <v>61</v>
      </c>
      <c r="L2777" t="s">
        <v>49</v>
      </c>
      <c r="M2777" s="4">
        <v>20</v>
      </c>
      <c r="N2777" s="4">
        <v>7</v>
      </c>
      <c r="O2777" t="s">
        <v>36</v>
      </c>
      <c r="P2777" t="s">
        <v>36</v>
      </c>
      <c r="Q2777" s="4">
        <v>194690</v>
      </c>
      <c r="R2777" s="4">
        <v>135108</v>
      </c>
      <c r="S2777" s="4">
        <f>Table1[[#This Row],[Service_Revenue]]-Table1[[#This Row],[Service_Cost]]</f>
        <v>59582</v>
      </c>
      <c r="T2777" s="4">
        <v>1</v>
      </c>
      <c r="U2777" s="4">
        <f>IF(AND(Table1[[#This Row],[Rework_Flag]]="Yes",Table1[[#This Row],[Warranty_Claim]]="No"),Table1[[#This Row],[Service_Revenue]],0)</f>
        <v>0</v>
      </c>
      <c r="V2777" s="4">
        <f>IF(Table1[[#This Row],[Warranty_Claim]]="Yes",1,0)</f>
        <v>0</v>
      </c>
      <c r="W2777" s="4">
        <f>IF(Table1[[#This Row],[Rework_Flag]]="No",1,0)</f>
        <v>1</v>
      </c>
      <c r="X2777" s="4">
        <f>IF(Table1[[#This Row],[Rework_Flag]]="Yes",1,0)</f>
        <v>0</v>
      </c>
      <c r="Y2777" s="4">
        <v>1</v>
      </c>
      <c r="Z2777" s="4" t="str">
        <f>IF(Table1[[#This Row],[TAT_Days]]&gt;Table1[[#This Row],[SLA_TAT]],"Yes","No")</f>
        <v>Yes</v>
      </c>
      <c r="AA2777" s="4" t="str" cm="1">
        <f t="array" ref="AA2777">_xlfn.IFS(Table1[[#This Row],[Customer_Satisfaction]]&lt;=2,"Poor",Table1[[#This Row],[Customer_Satisfaction]]=3,"Neutral",Table1[[#This Row],[Customer_Satisfaction]]=4,"Good",Table1[[#This Row],[Customer_Satisfaction]]=5,"Good")</f>
        <v>Poor</v>
      </c>
    </row>
    <row r="2778" spans="1:27" x14ac:dyDescent="0.35">
      <c r="A2778">
        <v>22776</v>
      </c>
      <c r="B2778" s="1">
        <v>45335</v>
      </c>
      <c r="C2778" t="s">
        <v>30</v>
      </c>
      <c r="D2778" t="s">
        <v>83</v>
      </c>
      <c r="E2778" t="s">
        <v>119</v>
      </c>
      <c r="F2778" t="s">
        <v>40</v>
      </c>
      <c r="G2778" t="s">
        <v>47</v>
      </c>
      <c r="H2778" t="s">
        <v>48</v>
      </c>
      <c r="I2778" t="s">
        <v>55</v>
      </c>
      <c r="J2778" t="s">
        <v>58</v>
      </c>
      <c r="K2778" t="s">
        <v>27</v>
      </c>
      <c r="L2778" t="s">
        <v>28</v>
      </c>
      <c r="M2778" s="4">
        <v>4</v>
      </c>
      <c r="N2778" s="4">
        <v>7</v>
      </c>
      <c r="O2778" t="s">
        <v>36</v>
      </c>
      <c r="P2778" t="s">
        <v>29</v>
      </c>
      <c r="Q2778" s="4">
        <v>133778</v>
      </c>
      <c r="R2778" s="4">
        <v>100308</v>
      </c>
      <c r="S2778" s="4">
        <f>Table1[[#This Row],[Service_Revenue]]-Table1[[#This Row],[Service_Cost]]</f>
        <v>33470</v>
      </c>
      <c r="T2778" s="4">
        <v>5</v>
      </c>
      <c r="U2778" s="4">
        <f>IF(AND(Table1[[#This Row],[Rework_Flag]]="Yes",Table1[[#This Row],[Warranty_Claim]]="No"),Table1[[#This Row],[Service_Revenue]],0)</f>
        <v>0</v>
      </c>
      <c r="V2778" s="4">
        <f>IF(Table1[[#This Row],[Warranty_Claim]]="Yes",1,0)</f>
        <v>1</v>
      </c>
      <c r="W2778" s="4">
        <f>IF(Table1[[#This Row],[Rework_Flag]]="No",1,0)</f>
        <v>1</v>
      </c>
      <c r="X2778" s="4">
        <f>IF(Table1[[#This Row],[Rework_Flag]]="Yes",1,0)</f>
        <v>0</v>
      </c>
      <c r="Y2778" s="4">
        <v>1</v>
      </c>
      <c r="Z2778" s="4" t="str">
        <f>IF(Table1[[#This Row],[TAT_Days]]&gt;Table1[[#This Row],[SLA_TAT]],"Yes","No")</f>
        <v>No</v>
      </c>
      <c r="AA2778" s="4" t="str" cm="1">
        <f t="array" ref="AA2778">_xlfn.IFS(Table1[[#This Row],[Customer_Satisfaction]]&lt;=2,"Poor",Table1[[#This Row],[Customer_Satisfaction]]=3,"Neutral",Table1[[#This Row],[Customer_Satisfaction]]=4,"Good",Table1[[#This Row],[Customer_Satisfaction]]=5,"Good")</f>
        <v>Good</v>
      </c>
    </row>
    <row r="2779" spans="1:27" x14ac:dyDescent="0.35">
      <c r="A2779">
        <v>22777</v>
      </c>
      <c r="B2779" s="1">
        <v>45456</v>
      </c>
      <c r="C2779" t="s">
        <v>37</v>
      </c>
      <c r="D2779" t="s">
        <v>38</v>
      </c>
      <c r="E2779" t="s">
        <v>112</v>
      </c>
      <c r="F2779" t="s">
        <v>53</v>
      </c>
      <c r="G2779" t="s">
        <v>74</v>
      </c>
      <c r="H2779" t="s">
        <v>34</v>
      </c>
      <c r="I2779" t="s">
        <v>55</v>
      </c>
      <c r="J2779" t="s">
        <v>35</v>
      </c>
      <c r="K2779" t="s">
        <v>61</v>
      </c>
      <c r="L2779" t="s">
        <v>49</v>
      </c>
      <c r="M2779" s="4">
        <v>2</v>
      </c>
      <c r="N2779" s="4">
        <v>7</v>
      </c>
      <c r="O2779" t="s">
        <v>36</v>
      </c>
      <c r="P2779" t="s">
        <v>36</v>
      </c>
      <c r="Q2779" s="4">
        <v>482846</v>
      </c>
      <c r="R2779" s="4">
        <v>281015</v>
      </c>
      <c r="S2779" s="4">
        <f>Table1[[#This Row],[Service_Revenue]]-Table1[[#This Row],[Service_Cost]]</f>
        <v>201831</v>
      </c>
      <c r="T2779" s="4">
        <v>5</v>
      </c>
      <c r="U2779" s="4">
        <f>IF(AND(Table1[[#This Row],[Rework_Flag]]="Yes",Table1[[#This Row],[Warranty_Claim]]="No"),Table1[[#This Row],[Service_Revenue]],0)</f>
        <v>0</v>
      </c>
      <c r="V2779" s="4">
        <f>IF(Table1[[#This Row],[Warranty_Claim]]="Yes",1,0)</f>
        <v>0</v>
      </c>
      <c r="W2779" s="4">
        <f>IF(Table1[[#This Row],[Rework_Flag]]="No",1,0)</f>
        <v>1</v>
      </c>
      <c r="X2779" s="4">
        <f>IF(Table1[[#This Row],[Rework_Flag]]="Yes",1,0)</f>
        <v>0</v>
      </c>
      <c r="Y2779" s="4">
        <v>1</v>
      </c>
      <c r="Z2779" s="4" t="str">
        <f>IF(Table1[[#This Row],[TAT_Days]]&gt;Table1[[#This Row],[SLA_TAT]],"Yes","No")</f>
        <v>No</v>
      </c>
      <c r="AA2779" s="4" t="str" cm="1">
        <f t="array" ref="AA2779">_xlfn.IFS(Table1[[#This Row],[Customer_Satisfaction]]&lt;=2,"Poor",Table1[[#This Row],[Customer_Satisfaction]]=3,"Neutral",Table1[[#This Row],[Customer_Satisfaction]]=4,"Good",Table1[[#This Row],[Customer_Satisfaction]]=5,"Good")</f>
        <v>Good</v>
      </c>
    </row>
    <row r="2780" spans="1:27" x14ac:dyDescent="0.35">
      <c r="A2780">
        <v>22778</v>
      </c>
      <c r="B2780" s="1">
        <v>45421</v>
      </c>
      <c r="C2780" t="s">
        <v>19</v>
      </c>
      <c r="D2780" t="s">
        <v>20</v>
      </c>
      <c r="E2780" t="s">
        <v>86</v>
      </c>
      <c r="F2780" t="s">
        <v>22</v>
      </c>
      <c r="G2780" t="s">
        <v>23</v>
      </c>
      <c r="H2780" t="s">
        <v>24</v>
      </c>
      <c r="I2780" t="s">
        <v>55</v>
      </c>
      <c r="J2780" t="s">
        <v>58</v>
      </c>
      <c r="K2780" t="s">
        <v>61</v>
      </c>
      <c r="L2780" t="s">
        <v>28</v>
      </c>
      <c r="M2780" s="4">
        <v>21</v>
      </c>
      <c r="N2780" s="4">
        <v>7</v>
      </c>
      <c r="O2780" t="s">
        <v>36</v>
      </c>
      <c r="P2780" t="s">
        <v>29</v>
      </c>
      <c r="Q2780" s="4">
        <v>481977</v>
      </c>
      <c r="R2780" s="4">
        <v>288329</v>
      </c>
      <c r="S2780" s="4">
        <f>Table1[[#This Row],[Service_Revenue]]-Table1[[#This Row],[Service_Cost]]</f>
        <v>193648</v>
      </c>
      <c r="T2780" s="4">
        <v>1</v>
      </c>
      <c r="U2780" s="4">
        <f>IF(AND(Table1[[#This Row],[Rework_Flag]]="Yes",Table1[[#This Row],[Warranty_Claim]]="No"),Table1[[#This Row],[Service_Revenue]],0)</f>
        <v>0</v>
      </c>
      <c r="V2780" s="4">
        <f>IF(Table1[[#This Row],[Warranty_Claim]]="Yes",1,0)</f>
        <v>1</v>
      </c>
      <c r="W2780" s="4">
        <f>IF(Table1[[#This Row],[Rework_Flag]]="No",1,0)</f>
        <v>1</v>
      </c>
      <c r="X2780" s="4">
        <f>IF(Table1[[#This Row],[Rework_Flag]]="Yes",1,0)</f>
        <v>0</v>
      </c>
      <c r="Y2780" s="4">
        <v>1</v>
      </c>
      <c r="Z2780" s="4" t="str">
        <f>IF(Table1[[#This Row],[TAT_Days]]&gt;Table1[[#This Row],[SLA_TAT]],"Yes","No")</f>
        <v>Yes</v>
      </c>
      <c r="AA2780" s="4" t="str" cm="1">
        <f t="array" ref="AA2780">_xlfn.IFS(Table1[[#This Row],[Customer_Satisfaction]]&lt;=2,"Poor",Table1[[#This Row],[Customer_Satisfaction]]=3,"Neutral",Table1[[#This Row],[Customer_Satisfaction]]=4,"Good",Table1[[#This Row],[Customer_Satisfaction]]=5,"Good")</f>
        <v>Poor</v>
      </c>
    </row>
    <row r="2781" spans="1:27" x14ac:dyDescent="0.35">
      <c r="A2781">
        <v>22779</v>
      </c>
      <c r="B2781" s="1">
        <v>45393</v>
      </c>
      <c r="C2781" t="s">
        <v>50</v>
      </c>
      <c r="D2781" t="s">
        <v>51</v>
      </c>
      <c r="E2781" t="s">
        <v>120</v>
      </c>
      <c r="F2781" t="s">
        <v>53</v>
      </c>
      <c r="G2781" t="s">
        <v>63</v>
      </c>
      <c r="H2781" t="s">
        <v>24</v>
      </c>
      <c r="I2781" t="s">
        <v>55</v>
      </c>
      <c r="J2781" t="s">
        <v>43</v>
      </c>
      <c r="K2781" t="s">
        <v>44</v>
      </c>
      <c r="L2781" t="s">
        <v>49</v>
      </c>
      <c r="M2781" s="4">
        <v>4</v>
      </c>
      <c r="N2781" s="4">
        <v>7</v>
      </c>
      <c r="O2781" t="s">
        <v>36</v>
      </c>
      <c r="P2781" t="s">
        <v>36</v>
      </c>
      <c r="Q2781" s="4">
        <v>438645</v>
      </c>
      <c r="R2781" s="4">
        <v>306438</v>
      </c>
      <c r="S2781" s="4">
        <f>Table1[[#This Row],[Service_Revenue]]-Table1[[#This Row],[Service_Cost]]</f>
        <v>132207</v>
      </c>
      <c r="T2781" s="4">
        <v>5</v>
      </c>
      <c r="U2781" s="4">
        <f>IF(AND(Table1[[#This Row],[Rework_Flag]]="Yes",Table1[[#This Row],[Warranty_Claim]]="No"),Table1[[#This Row],[Service_Revenue]],0)</f>
        <v>0</v>
      </c>
      <c r="V2781" s="4">
        <f>IF(Table1[[#This Row],[Warranty_Claim]]="Yes",1,0)</f>
        <v>0</v>
      </c>
      <c r="W2781" s="4">
        <f>IF(Table1[[#This Row],[Rework_Flag]]="No",1,0)</f>
        <v>1</v>
      </c>
      <c r="X2781" s="4">
        <f>IF(Table1[[#This Row],[Rework_Flag]]="Yes",1,0)</f>
        <v>0</v>
      </c>
      <c r="Y2781" s="4">
        <v>1</v>
      </c>
      <c r="Z2781" s="4" t="str">
        <f>IF(Table1[[#This Row],[TAT_Days]]&gt;Table1[[#This Row],[SLA_TAT]],"Yes","No")</f>
        <v>No</v>
      </c>
      <c r="AA2781" s="4" t="str" cm="1">
        <f t="array" ref="AA2781">_xlfn.IFS(Table1[[#This Row],[Customer_Satisfaction]]&lt;=2,"Poor",Table1[[#This Row],[Customer_Satisfaction]]=3,"Neutral",Table1[[#This Row],[Customer_Satisfaction]]=4,"Good",Table1[[#This Row],[Customer_Satisfaction]]=5,"Good")</f>
        <v>Good</v>
      </c>
    </row>
    <row r="2782" spans="1:27" x14ac:dyDescent="0.35">
      <c r="A2782">
        <v>22780</v>
      </c>
      <c r="B2782" s="1">
        <v>45301</v>
      </c>
      <c r="C2782" t="s">
        <v>30</v>
      </c>
      <c r="D2782" t="s">
        <v>59</v>
      </c>
      <c r="E2782" t="s">
        <v>60</v>
      </c>
      <c r="F2782" t="s">
        <v>40</v>
      </c>
      <c r="G2782" t="s">
        <v>47</v>
      </c>
      <c r="H2782" t="s">
        <v>48</v>
      </c>
      <c r="I2782" t="s">
        <v>55</v>
      </c>
      <c r="J2782" t="s">
        <v>67</v>
      </c>
      <c r="K2782" t="s">
        <v>61</v>
      </c>
      <c r="L2782" t="s">
        <v>28</v>
      </c>
      <c r="M2782" s="4">
        <v>23</v>
      </c>
      <c r="N2782" s="4">
        <v>7</v>
      </c>
      <c r="O2782" t="s">
        <v>36</v>
      </c>
      <c r="P2782" t="s">
        <v>29</v>
      </c>
      <c r="Q2782" s="4">
        <v>333440</v>
      </c>
      <c r="R2782" s="4">
        <v>266545</v>
      </c>
      <c r="S2782" s="4">
        <f>Table1[[#This Row],[Service_Revenue]]-Table1[[#This Row],[Service_Cost]]</f>
        <v>66895</v>
      </c>
      <c r="T2782" s="4">
        <v>1</v>
      </c>
      <c r="U2782" s="4">
        <f>IF(AND(Table1[[#This Row],[Rework_Flag]]="Yes",Table1[[#This Row],[Warranty_Claim]]="No"),Table1[[#This Row],[Service_Revenue]],0)</f>
        <v>0</v>
      </c>
      <c r="V2782" s="4">
        <f>IF(Table1[[#This Row],[Warranty_Claim]]="Yes",1,0)</f>
        <v>1</v>
      </c>
      <c r="W2782" s="4">
        <f>IF(Table1[[#This Row],[Rework_Flag]]="No",1,0)</f>
        <v>1</v>
      </c>
      <c r="X2782" s="4">
        <f>IF(Table1[[#This Row],[Rework_Flag]]="Yes",1,0)</f>
        <v>0</v>
      </c>
      <c r="Y2782" s="4">
        <v>1</v>
      </c>
      <c r="Z2782" s="4" t="str">
        <f>IF(Table1[[#This Row],[TAT_Days]]&gt;Table1[[#This Row],[SLA_TAT]],"Yes","No")</f>
        <v>Yes</v>
      </c>
      <c r="AA2782" s="4" t="str" cm="1">
        <f t="array" ref="AA2782">_xlfn.IFS(Table1[[#This Row],[Customer_Satisfaction]]&lt;=2,"Poor",Table1[[#This Row],[Customer_Satisfaction]]=3,"Neutral",Table1[[#This Row],[Customer_Satisfaction]]=4,"Good",Table1[[#This Row],[Customer_Satisfaction]]=5,"Good")</f>
        <v>Poor</v>
      </c>
    </row>
    <row r="2783" spans="1:27" x14ac:dyDescent="0.35">
      <c r="A2783">
        <v>22781</v>
      </c>
      <c r="B2783" s="1">
        <v>45346</v>
      </c>
      <c r="C2783" t="s">
        <v>30</v>
      </c>
      <c r="D2783" t="s">
        <v>59</v>
      </c>
      <c r="E2783" t="s">
        <v>60</v>
      </c>
      <c r="F2783" t="s">
        <v>53</v>
      </c>
      <c r="G2783" t="s">
        <v>74</v>
      </c>
      <c r="H2783" t="s">
        <v>34</v>
      </c>
      <c r="I2783" t="s">
        <v>25</v>
      </c>
      <c r="J2783" t="s">
        <v>58</v>
      </c>
      <c r="K2783" t="s">
        <v>61</v>
      </c>
      <c r="L2783" t="s">
        <v>28</v>
      </c>
      <c r="M2783" s="4">
        <v>5</v>
      </c>
      <c r="N2783" s="4">
        <v>7</v>
      </c>
      <c r="O2783" t="s">
        <v>36</v>
      </c>
      <c r="P2783" t="s">
        <v>36</v>
      </c>
      <c r="Q2783" s="4">
        <v>98683</v>
      </c>
      <c r="R2783" s="4">
        <v>60994</v>
      </c>
      <c r="S2783" s="4">
        <f>Table1[[#This Row],[Service_Revenue]]-Table1[[#This Row],[Service_Cost]]</f>
        <v>37689</v>
      </c>
      <c r="T2783" s="4">
        <v>4</v>
      </c>
      <c r="U2783" s="4">
        <f>IF(AND(Table1[[#This Row],[Rework_Flag]]="Yes",Table1[[#This Row],[Warranty_Claim]]="No"),Table1[[#This Row],[Service_Revenue]],0)</f>
        <v>0</v>
      </c>
      <c r="V2783" s="4">
        <f>IF(Table1[[#This Row],[Warranty_Claim]]="Yes",1,0)</f>
        <v>0</v>
      </c>
      <c r="W2783" s="4">
        <f>IF(Table1[[#This Row],[Rework_Flag]]="No",1,0)</f>
        <v>1</v>
      </c>
      <c r="X2783" s="4">
        <f>IF(Table1[[#This Row],[Rework_Flag]]="Yes",1,0)</f>
        <v>0</v>
      </c>
      <c r="Y2783" s="4">
        <v>1</v>
      </c>
      <c r="Z2783" s="4" t="str">
        <f>IF(Table1[[#This Row],[TAT_Days]]&gt;Table1[[#This Row],[SLA_TAT]],"Yes","No")</f>
        <v>No</v>
      </c>
      <c r="AA2783" s="4" t="str" cm="1">
        <f t="array" ref="AA2783">_xlfn.IFS(Table1[[#This Row],[Customer_Satisfaction]]&lt;=2,"Poor",Table1[[#This Row],[Customer_Satisfaction]]=3,"Neutral",Table1[[#This Row],[Customer_Satisfaction]]=4,"Good",Table1[[#This Row],[Customer_Satisfaction]]=5,"Good")</f>
        <v>Good</v>
      </c>
    </row>
    <row r="2784" spans="1:27" x14ac:dyDescent="0.35">
      <c r="A2784">
        <v>22782</v>
      </c>
      <c r="B2784" s="1">
        <v>45433</v>
      </c>
      <c r="C2784" t="s">
        <v>30</v>
      </c>
      <c r="D2784" t="s">
        <v>83</v>
      </c>
      <c r="E2784" t="s">
        <v>95</v>
      </c>
      <c r="F2784" t="s">
        <v>22</v>
      </c>
      <c r="G2784" t="s">
        <v>41</v>
      </c>
      <c r="H2784" t="s">
        <v>42</v>
      </c>
      <c r="I2784" t="s">
        <v>55</v>
      </c>
      <c r="J2784" t="s">
        <v>67</v>
      </c>
      <c r="K2784" t="s">
        <v>44</v>
      </c>
      <c r="L2784" t="s">
        <v>28</v>
      </c>
      <c r="M2784" s="4">
        <v>12</v>
      </c>
      <c r="N2784" s="4">
        <v>7</v>
      </c>
      <c r="O2784" t="s">
        <v>36</v>
      </c>
      <c r="P2784" t="s">
        <v>36</v>
      </c>
      <c r="Q2784" s="4">
        <v>211682</v>
      </c>
      <c r="R2784" s="4">
        <v>147996</v>
      </c>
      <c r="S2784" s="4">
        <f>Table1[[#This Row],[Service_Revenue]]-Table1[[#This Row],[Service_Cost]]</f>
        <v>63686</v>
      </c>
      <c r="T2784" s="4">
        <v>3</v>
      </c>
      <c r="U2784" s="4">
        <f>IF(AND(Table1[[#This Row],[Rework_Flag]]="Yes",Table1[[#This Row],[Warranty_Claim]]="No"),Table1[[#This Row],[Service_Revenue]],0)</f>
        <v>0</v>
      </c>
      <c r="V2784" s="4">
        <f>IF(Table1[[#This Row],[Warranty_Claim]]="Yes",1,0)</f>
        <v>0</v>
      </c>
      <c r="W2784" s="4">
        <f>IF(Table1[[#This Row],[Rework_Flag]]="No",1,0)</f>
        <v>1</v>
      </c>
      <c r="X2784" s="4">
        <f>IF(Table1[[#This Row],[Rework_Flag]]="Yes",1,0)</f>
        <v>0</v>
      </c>
      <c r="Y2784" s="4">
        <v>1</v>
      </c>
      <c r="Z2784" s="4" t="str">
        <f>IF(Table1[[#This Row],[TAT_Days]]&gt;Table1[[#This Row],[SLA_TAT]],"Yes","No")</f>
        <v>Yes</v>
      </c>
      <c r="AA2784" s="4" t="str" cm="1">
        <f t="array" ref="AA2784">_xlfn.IFS(Table1[[#This Row],[Customer_Satisfaction]]&lt;=2,"Poor",Table1[[#This Row],[Customer_Satisfaction]]=3,"Neutral",Table1[[#This Row],[Customer_Satisfaction]]=4,"Good",Table1[[#This Row],[Customer_Satisfaction]]=5,"Good")</f>
        <v>Neutral</v>
      </c>
    </row>
    <row r="2785" spans="1:27" x14ac:dyDescent="0.35">
      <c r="A2785">
        <v>22783</v>
      </c>
      <c r="B2785" s="1">
        <v>45322</v>
      </c>
      <c r="C2785" t="s">
        <v>30</v>
      </c>
      <c r="D2785" t="s">
        <v>31</v>
      </c>
      <c r="E2785" t="s">
        <v>106</v>
      </c>
      <c r="F2785" t="s">
        <v>53</v>
      </c>
      <c r="G2785" t="s">
        <v>41</v>
      </c>
      <c r="H2785" t="s">
        <v>42</v>
      </c>
      <c r="I2785" t="s">
        <v>55</v>
      </c>
      <c r="J2785" t="s">
        <v>58</v>
      </c>
      <c r="K2785" t="s">
        <v>44</v>
      </c>
      <c r="L2785" t="s">
        <v>28</v>
      </c>
      <c r="M2785" s="4">
        <v>24</v>
      </c>
      <c r="N2785" s="4">
        <v>7</v>
      </c>
      <c r="O2785" t="s">
        <v>36</v>
      </c>
      <c r="P2785" t="s">
        <v>29</v>
      </c>
      <c r="Q2785" s="4">
        <v>482134</v>
      </c>
      <c r="R2785" s="4">
        <v>407961</v>
      </c>
      <c r="S2785" s="4">
        <f>Table1[[#This Row],[Service_Revenue]]-Table1[[#This Row],[Service_Cost]]</f>
        <v>74173</v>
      </c>
      <c r="T2785" s="4">
        <v>1</v>
      </c>
      <c r="U2785" s="4">
        <f>IF(AND(Table1[[#This Row],[Rework_Flag]]="Yes",Table1[[#This Row],[Warranty_Claim]]="No"),Table1[[#This Row],[Service_Revenue]],0)</f>
        <v>0</v>
      </c>
      <c r="V2785" s="4">
        <f>IF(Table1[[#This Row],[Warranty_Claim]]="Yes",1,0)</f>
        <v>1</v>
      </c>
      <c r="W2785" s="4">
        <f>IF(Table1[[#This Row],[Rework_Flag]]="No",1,0)</f>
        <v>1</v>
      </c>
      <c r="X2785" s="4">
        <f>IF(Table1[[#This Row],[Rework_Flag]]="Yes",1,0)</f>
        <v>0</v>
      </c>
      <c r="Y2785" s="4">
        <v>1</v>
      </c>
      <c r="Z2785" s="4" t="str">
        <f>IF(Table1[[#This Row],[TAT_Days]]&gt;Table1[[#This Row],[SLA_TAT]],"Yes","No")</f>
        <v>Yes</v>
      </c>
      <c r="AA2785" s="4" t="str" cm="1">
        <f t="array" ref="AA2785">_xlfn.IFS(Table1[[#This Row],[Customer_Satisfaction]]&lt;=2,"Poor",Table1[[#This Row],[Customer_Satisfaction]]=3,"Neutral",Table1[[#This Row],[Customer_Satisfaction]]=4,"Good",Table1[[#This Row],[Customer_Satisfaction]]=5,"Good")</f>
        <v>Poor</v>
      </c>
    </row>
    <row r="2786" spans="1:27" x14ac:dyDescent="0.35">
      <c r="A2786">
        <v>22784</v>
      </c>
      <c r="B2786" s="1">
        <v>45314</v>
      </c>
      <c r="C2786" t="s">
        <v>30</v>
      </c>
      <c r="D2786" t="s">
        <v>83</v>
      </c>
      <c r="E2786" t="s">
        <v>92</v>
      </c>
      <c r="F2786" t="s">
        <v>22</v>
      </c>
      <c r="G2786" t="s">
        <v>47</v>
      </c>
      <c r="H2786" t="s">
        <v>48</v>
      </c>
      <c r="I2786" t="s">
        <v>55</v>
      </c>
      <c r="J2786" t="s">
        <v>67</v>
      </c>
      <c r="K2786" t="s">
        <v>27</v>
      </c>
      <c r="L2786" t="s">
        <v>49</v>
      </c>
      <c r="M2786" s="4">
        <v>20</v>
      </c>
      <c r="N2786" s="4">
        <v>7</v>
      </c>
      <c r="O2786" t="s">
        <v>29</v>
      </c>
      <c r="P2786" t="s">
        <v>29</v>
      </c>
      <c r="Q2786" s="4">
        <v>543414</v>
      </c>
      <c r="R2786" s="4">
        <v>416109</v>
      </c>
      <c r="S2786" s="4">
        <f>Table1[[#This Row],[Service_Revenue]]-Table1[[#This Row],[Service_Cost]]</f>
        <v>127305</v>
      </c>
      <c r="T2786" s="4">
        <v>1</v>
      </c>
      <c r="U2786" s="4">
        <f>IF(AND(Table1[[#This Row],[Rework_Flag]]="Yes",Table1[[#This Row],[Warranty_Claim]]="No"),Table1[[#This Row],[Service_Revenue]],0)</f>
        <v>0</v>
      </c>
      <c r="V2786" s="4">
        <f>IF(Table1[[#This Row],[Warranty_Claim]]="Yes",1,0)</f>
        <v>1</v>
      </c>
      <c r="W2786" s="4">
        <f>IF(Table1[[#This Row],[Rework_Flag]]="No",1,0)</f>
        <v>0</v>
      </c>
      <c r="X2786" s="4">
        <f>IF(Table1[[#This Row],[Rework_Flag]]="Yes",1,0)</f>
        <v>1</v>
      </c>
      <c r="Y2786" s="4">
        <v>1</v>
      </c>
      <c r="Z2786" s="4" t="str">
        <f>IF(Table1[[#This Row],[TAT_Days]]&gt;Table1[[#This Row],[SLA_TAT]],"Yes","No")</f>
        <v>Yes</v>
      </c>
      <c r="AA2786" s="4" t="str" cm="1">
        <f t="array" ref="AA2786">_xlfn.IFS(Table1[[#This Row],[Customer_Satisfaction]]&lt;=2,"Poor",Table1[[#This Row],[Customer_Satisfaction]]=3,"Neutral",Table1[[#This Row],[Customer_Satisfaction]]=4,"Good",Table1[[#This Row],[Customer_Satisfaction]]=5,"Good")</f>
        <v>Poor</v>
      </c>
    </row>
    <row r="2787" spans="1:27" x14ac:dyDescent="0.35">
      <c r="A2787">
        <v>22785</v>
      </c>
      <c r="B2787" s="1">
        <v>45455</v>
      </c>
      <c r="C2787" t="s">
        <v>19</v>
      </c>
      <c r="D2787" t="s">
        <v>20</v>
      </c>
      <c r="E2787" t="s">
        <v>89</v>
      </c>
      <c r="F2787" t="s">
        <v>22</v>
      </c>
      <c r="G2787" t="s">
        <v>33</v>
      </c>
      <c r="H2787" t="s">
        <v>34</v>
      </c>
      <c r="I2787" t="s">
        <v>25</v>
      </c>
      <c r="J2787" t="s">
        <v>67</v>
      </c>
      <c r="K2787" t="s">
        <v>61</v>
      </c>
      <c r="L2787" t="s">
        <v>28</v>
      </c>
      <c r="M2787" s="4">
        <v>2</v>
      </c>
      <c r="N2787" s="4">
        <v>7</v>
      </c>
      <c r="O2787" t="s">
        <v>29</v>
      </c>
      <c r="P2787" t="s">
        <v>36</v>
      </c>
      <c r="Q2787" s="4">
        <v>270135</v>
      </c>
      <c r="R2787" s="4">
        <v>175572</v>
      </c>
      <c r="S2787" s="4">
        <f>Table1[[#This Row],[Service_Revenue]]-Table1[[#This Row],[Service_Cost]]</f>
        <v>94563</v>
      </c>
      <c r="T2787" s="4">
        <v>4</v>
      </c>
      <c r="U2787" s="4">
        <f>IF(AND(Table1[[#This Row],[Rework_Flag]]="Yes",Table1[[#This Row],[Warranty_Claim]]="No"),Table1[[#This Row],[Service_Revenue]],0)</f>
        <v>270135</v>
      </c>
      <c r="V2787" s="4">
        <f>IF(Table1[[#This Row],[Warranty_Claim]]="Yes",1,0)</f>
        <v>0</v>
      </c>
      <c r="W2787" s="4">
        <f>IF(Table1[[#This Row],[Rework_Flag]]="No",1,0)</f>
        <v>0</v>
      </c>
      <c r="X2787" s="4">
        <f>IF(Table1[[#This Row],[Rework_Flag]]="Yes",1,0)</f>
        <v>1</v>
      </c>
      <c r="Y2787" s="4">
        <v>1</v>
      </c>
      <c r="Z2787" s="4" t="str">
        <f>IF(Table1[[#This Row],[TAT_Days]]&gt;Table1[[#This Row],[SLA_TAT]],"Yes","No")</f>
        <v>No</v>
      </c>
      <c r="AA2787" s="4" t="str" cm="1">
        <f t="array" ref="AA2787">_xlfn.IFS(Table1[[#This Row],[Customer_Satisfaction]]&lt;=2,"Poor",Table1[[#This Row],[Customer_Satisfaction]]=3,"Neutral",Table1[[#This Row],[Customer_Satisfaction]]=4,"Good",Table1[[#This Row],[Customer_Satisfaction]]=5,"Good")</f>
        <v>Good</v>
      </c>
    </row>
    <row r="2788" spans="1:27" x14ac:dyDescent="0.35">
      <c r="A2788">
        <v>22786</v>
      </c>
      <c r="B2788" s="1">
        <v>45370</v>
      </c>
      <c r="C2788" t="s">
        <v>50</v>
      </c>
      <c r="D2788" t="s">
        <v>80</v>
      </c>
      <c r="E2788" t="s">
        <v>118</v>
      </c>
      <c r="F2788" t="s">
        <v>53</v>
      </c>
      <c r="G2788" t="s">
        <v>74</v>
      </c>
      <c r="H2788" t="s">
        <v>34</v>
      </c>
      <c r="I2788" t="s">
        <v>55</v>
      </c>
      <c r="J2788" t="s">
        <v>35</v>
      </c>
      <c r="K2788" t="s">
        <v>61</v>
      </c>
      <c r="L2788" t="s">
        <v>28</v>
      </c>
      <c r="M2788" s="4">
        <v>10</v>
      </c>
      <c r="N2788" s="4">
        <v>7</v>
      </c>
      <c r="O2788" t="s">
        <v>36</v>
      </c>
      <c r="P2788" t="s">
        <v>36</v>
      </c>
      <c r="Q2788" s="4">
        <v>320933</v>
      </c>
      <c r="R2788" s="4">
        <v>263344</v>
      </c>
      <c r="S2788" s="4">
        <f>Table1[[#This Row],[Service_Revenue]]-Table1[[#This Row],[Service_Cost]]</f>
        <v>57589</v>
      </c>
      <c r="T2788" s="4">
        <v>3</v>
      </c>
      <c r="U2788" s="4">
        <f>IF(AND(Table1[[#This Row],[Rework_Flag]]="Yes",Table1[[#This Row],[Warranty_Claim]]="No"),Table1[[#This Row],[Service_Revenue]],0)</f>
        <v>0</v>
      </c>
      <c r="V2788" s="4">
        <f>IF(Table1[[#This Row],[Warranty_Claim]]="Yes",1,0)</f>
        <v>0</v>
      </c>
      <c r="W2788" s="4">
        <f>IF(Table1[[#This Row],[Rework_Flag]]="No",1,0)</f>
        <v>1</v>
      </c>
      <c r="X2788" s="4">
        <f>IF(Table1[[#This Row],[Rework_Flag]]="Yes",1,0)</f>
        <v>0</v>
      </c>
      <c r="Y2788" s="4">
        <v>1</v>
      </c>
      <c r="Z2788" s="4" t="str">
        <f>IF(Table1[[#This Row],[TAT_Days]]&gt;Table1[[#This Row],[SLA_TAT]],"Yes","No")</f>
        <v>Yes</v>
      </c>
      <c r="AA2788" s="4" t="str" cm="1">
        <f t="array" ref="AA2788">_xlfn.IFS(Table1[[#This Row],[Customer_Satisfaction]]&lt;=2,"Poor",Table1[[#This Row],[Customer_Satisfaction]]=3,"Neutral",Table1[[#This Row],[Customer_Satisfaction]]=4,"Good",Table1[[#This Row],[Customer_Satisfaction]]=5,"Good")</f>
        <v>Neutral</v>
      </c>
    </row>
    <row r="2789" spans="1:27" x14ac:dyDescent="0.35">
      <c r="A2789">
        <v>22787</v>
      </c>
      <c r="B2789" s="1">
        <v>45428</v>
      </c>
      <c r="C2789" t="s">
        <v>50</v>
      </c>
      <c r="D2789" t="s">
        <v>56</v>
      </c>
      <c r="E2789" t="s">
        <v>57</v>
      </c>
      <c r="F2789" t="s">
        <v>40</v>
      </c>
      <c r="G2789" t="s">
        <v>33</v>
      </c>
      <c r="H2789" t="s">
        <v>34</v>
      </c>
      <c r="I2789" t="s">
        <v>25</v>
      </c>
      <c r="J2789" t="s">
        <v>67</v>
      </c>
      <c r="K2789" t="s">
        <v>27</v>
      </c>
      <c r="L2789" t="s">
        <v>28</v>
      </c>
      <c r="M2789" s="4">
        <v>6</v>
      </c>
      <c r="N2789" s="4">
        <v>7</v>
      </c>
      <c r="O2789" t="s">
        <v>36</v>
      </c>
      <c r="P2789" t="s">
        <v>29</v>
      </c>
      <c r="Q2789" s="4">
        <v>93980</v>
      </c>
      <c r="R2789" s="4">
        <v>76977</v>
      </c>
      <c r="S2789" s="4">
        <f>Table1[[#This Row],[Service_Revenue]]-Table1[[#This Row],[Service_Cost]]</f>
        <v>17003</v>
      </c>
      <c r="T2789" s="4">
        <v>4</v>
      </c>
      <c r="U2789" s="4">
        <f>IF(AND(Table1[[#This Row],[Rework_Flag]]="Yes",Table1[[#This Row],[Warranty_Claim]]="No"),Table1[[#This Row],[Service_Revenue]],0)</f>
        <v>0</v>
      </c>
      <c r="V2789" s="4">
        <f>IF(Table1[[#This Row],[Warranty_Claim]]="Yes",1,0)</f>
        <v>1</v>
      </c>
      <c r="W2789" s="4">
        <f>IF(Table1[[#This Row],[Rework_Flag]]="No",1,0)</f>
        <v>1</v>
      </c>
      <c r="X2789" s="4">
        <f>IF(Table1[[#This Row],[Rework_Flag]]="Yes",1,0)</f>
        <v>0</v>
      </c>
      <c r="Y2789" s="4">
        <v>1</v>
      </c>
      <c r="Z2789" s="4" t="str">
        <f>IF(Table1[[#This Row],[TAT_Days]]&gt;Table1[[#This Row],[SLA_TAT]],"Yes","No")</f>
        <v>No</v>
      </c>
      <c r="AA2789" s="4" t="str" cm="1">
        <f t="array" ref="AA2789">_xlfn.IFS(Table1[[#This Row],[Customer_Satisfaction]]&lt;=2,"Poor",Table1[[#This Row],[Customer_Satisfaction]]=3,"Neutral",Table1[[#This Row],[Customer_Satisfaction]]=4,"Good",Table1[[#This Row],[Customer_Satisfaction]]=5,"Good")</f>
        <v>Good</v>
      </c>
    </row>
    <row r="2790" spans="1:27" x14ac:dyDescent="0.35">
      <c r="A2790">
        <v>22788</v>
      </c>
      <c r="B2790" s="1">
        <v>45454</v>
      </c>
      <c r="C2790" t="s">
        <v>30</v>
      </c>
      <c r="D2790" t="s">
        <v>59</v>
      </c>
      <c r="E2790" t="s">
        <v>69</v>
      </c>
      <c r="F2790" t="s">
        <v>40</v>
      </c>
      <c r="G2790" t="s">
        <v>41</v>
      </c>
      <c r="H2790" t="s">
        <v>42</v>
      </c>
      <c r="I2790" t="s">
        <v>55</v>
      </c>
      <c r="J2790" t="s">
        <v>35</v>
      </c>
      <c r="K2790" t="s">
        <v>27</v>
      </c>
      <c r="L2790" t="s">
        <v>49</v>
      </c>
      <c r="M2790" s="4">
        <v>15</v>
      </c>
      <c r="N2790" s="4">
        <v>7</v>
      </c>
      <c r="O2790" t="s">
        <v>29</v>
      </c>
      <c r="P2790" t="s">
        <v>36</v>
      </c>
      <c r="Q2790" s="4">
        <v>193118</v>
      </c>
      <c r="R2790" s="4">
        <v>148053</v>
      </c>
      <c r="S2790" s="4">
        <f>Table1[[#This Row],[Service_Revenue]]-Table1[[#This Row],[Service_Cost]]</f>
        <v>45065</v>
      </c>
      <c r="T2790" s="4">
        <v>1</v>
      </c>
      <c r="U2790" s="4">
        <f>IF(AND(Table1[[#This Row],[Rework_Flag]]="Yes",Table1[[#This Row],[Warranty_Claim]]="No"),Table1[[#This Row],[Service_Revenue]],0)</f>
        <v>193118</v>
      </c>
      <c r="V2790" s="4">
        <f>IF(Table1[[#This Row],[Warranty_Claim]]="Yes",1,0)</f>
        <v>0</v>
      </c>
      <c r="W2790" s="4">
        <f>IF(Table1[[#This Row],[Rework_Flag]]="No",1,0)</f>
        <v>0</v>
      </c>
      <c r="X2790" s="4">
        <f>IF(Table1[[#This Row],[Rework_Flag]]="Yes",1,0)</f>
        <v>1</v>
      </c>
      <c r="Y2790" s="4">
        <v>1</v>
      </c>
      <c r="Z2790" s="4" t="str">
        <f>IF(Table1[[#This Row],[TAT_Days]]&gt;Table1[[#This Row],[SLA_TAT]],"Yes","No")</f>
        <v>Yes</v>
      </c>
      <c r="AA2790" s="4" t="str" cm="1">
        <f t="array" ref="AA2790">_xlfn.IFS(Table1[[#This Row],[Customer_Satisfaction]]&lt;=2,"Poor",Table1[[#This Row],[Customer_Satisfaction]]=3,"Neutral",Table1[[#This Row],[Customer_Satisfaction]]=4,"Good",Table1[[#This Row],[Customer_Satisfaction]]=5,"Good")</f>
        <v>Poor</v>
      </c>
    </row>
    <row r="2791" spans="1:27" x14ac:dyDescent="0.35">
      <c r="A2791">
        <v>22789</v>
      </c>
      <c r="B2791" s="1">
        <v>45431</v>
      </c>
      <c r="C2791" t="s">
        <v>50</v>
      </c>
      <c r="D2791" t="s">
        <v>56</v>
      </c>
      <c r="E2791" t="s">
        <v>77</v>
      </c>
      <c r="F2791" t="s">
        <v>40</v>
      </c>
      <c r="G2791" t="s">
        <v>47</v>
      </c>
      <c r="H2791" t="s">
        <v>48</v>
      </c>
      <c r="I2791" t="s">
        <v>25</v>
      </c>
      <c r="J2791" t="s">
        <v>67</v>
      </c>
      <c r="K2791" t="s">
        <v>44</v>
      </c>
      <c r="L2791" t="s">
        <v>49</v>
      </c>
      <c r="M2791" s="4">
        <v>13</v>
      </c>
      <c r="N2791" s="4">
        <v>7</v>
      </c>
      <c r="O2791" t="s">
        <v>29</v>
      </c>
      <c r="P2791" t="s">
        <v>36</v>
      </c>
      <c r="Q2791" s="4">
        <v>340316</v>
      </c>
      <c r="R2791" s="4">
        <v>217872</v>
      </c>
      <c r="S2791" s="4">
        <f>Table1[[#This Row],[Service_Revenue]]-Table1[[#This Row],[Service_Cost]]</f>
        <v>122444</v>
      </c>
      <c r="T2791" s="4">
        <v>2</v>
      </c>
      <c r="U2791" s="4">
        <f>IF(AND(Table1[[#This Row],[Rework_Flag]]="Yes",Table1[[#This Row],[Warranty_Claim]]="No"),Table1[[#This Row],[Service_Revenue]],0)</f>
        <v>340316</v>
      </c>
      <c r="V2791" s="4">
        <f>IF(Table1[[#This Row],[Warranty_Claim]]="Yes",1,0)</f>
        <v>0</v>
      </c>
      <c r="W2791" s="4">
        <f>IF(Table1[[#This Row],[Rework_Flag]]="No",1,0)</f>
        <v>0</v>
      </c>
      <c r="X2791" s="4">
        <f>IF(Table1[[#This Row],[Rework_Flag]]="Yes",1,0)</f>
        <v>1</v>
      </c>
      <c r="Y2791" s="4">
        <v>1</v>
      </c>
      <c r="Z2791" s="4" t="str">
        <f>IF(Table1[[#This Row],[TAT_Days]]&gt;Table1[[#This Row],[SLA_TAT]],"Yes","No")</f>
        <v>Yes</v>
      </c>
      <c r="AA2791" s="4" t="str" cm="1">
        <f t="array" ref="AA2791">_xlfn.IFS(Table1[[#This Row],[Customer_Satisfaction]]&lt;=2,"Poor",Table1[[#This Row],[Customer_Satisfaction]]=3,"Neutral",Table1[[#This Row],[Customer_Satisfaction]]=4,"Good",Table1[[#This Row],[Customer_Satisfaction]]=5,"Good")</f>
        <v>Poor</v>
      </c>
    </row>
    <row r="2792" spans="1:27" x14ac:dyDescent="0.35">
      <c r="A2792">
        <v>22790</v>
      </c>
      <c r="B2792" s="1">
        <v>45356</v>
      </c>
      <c r="C2792" t="s">
        <v>50</v>
      </c>
      <c r="D2792" t="s">
        <v>56</v>
      </c>
      <c r="E2792" t="s">
        <v>88</v>
      </c>
      <c r="F2792" t="s">
        <v>22</v>
      </c>
      <c r="G2792" t="s">
        <v>33</v>
      </c>
      <c r="H2792" t="s">
        <v>34</v>
      </c>
      <c r="I2792" t="s">
        <v>55</v>
      </c>
      <c r="J2792" t="s">
        <v>67</v>
      </c>
      <c r="K2792" t="s">
        <v>27</v>
      </c>
      <c r="L2792" t="s">
        <v>49</v>
      </c>
      <c r="M2792" s="4">
        <v>8</v>
      </c>
      <c r="N2792" s="4">
        <v>7</v>
      </c>
      <c r="O2792" t="s">
        <v>29</v>
      </c>
      <c r="P2792" t="s">
        <v>36</v>
      </c>
      <c r="Q2792" s="4">
        <v>374438</v>
      </c>
      <c r="R2792" s="4">
        <v>213178</v>
      </c>
      <c r="S2792" s="4">
        <f>Table1[[#This Row],[Service_Revenue]]-Table1[[#This Row],[Service_Cost]]</f>
        <v>161260</v>
      </c>
      <c r="T2792" s="4">
        <v>3</v>
      </c>
      <c r="U2792" s="4">
        <f>IF(AND(Table1[[#This Row],[Rework_Flag]]="Yes",Table1[[#This Row],[Warranty_Claim]]="No"),Table1[[#This Row],[Service_Revenue]],0)</f>
        <v>374438</v>
      </c>
      <c r="V2792" s="4">
        <f>IF(Table1[[#This Row],[Warranty_Claim]]="Yes",1,0)</f>
        <v>0</v>
      </c>
      <c r="W2792" s="4">
        <f>IF(Table1[[#This Row],[Rework_Flag]]="No",1,0)</f>
        <v>0</v>
      </c>
      <c r="X2792" s="4">
        <f>IF(Table1[[#This Row],[Rework_Flag]]="Yes",1,0)</f>
        <v>1</v>
      </c>
      <c r="Y2792" s="4">
        <v>1</v>
      </c>
      <c r="Z2792" s="4" t="str">
        <f>IF(Table1[[#This Row],[TAT_Days]]&gt;Table1[[#This Row],[SLA_TAT]],"Yes","No")</f>
        <v>Yes</v>
      </c>
      <c r="AA2792" s="4" t="str" cm="1">
        <f t="array" ref="AA2792">_xlfn.IFS(Table1[[#This Row],[Customer_Satisfaction]]&lt;=2,"Poor",Table1[[#This Row],[Customer_Satisfaction]]=3,"Neutral",Table1[[#This Row],[Customer_Satisfaction]]=4,"Good",Table1[[#This Row],[Customer_Satisfaction]]=5,"Good")</f>
        <v>Neutral</v>
      </c>
    </row>
    <row r="2793" spans="1:27" x14ac:dyDescent="0.35">
      <c r="A2793">
        <v>22791</v>
      </c>
      <c r="B2793" s="1">
        <v>45356</v>
      </c>
      <c r="C2793" t="s">
        <v>30</v>
      </c>
      <c r="D2793" t="s">
        <v>31</v>
      </c>
      <c r="E2793" t="s">
        <v>32</v>
      </c>
      <c r="F2793" t="s">
        <v>22</v>
      </c>
      <c r="G2793" t="s">
        <v>41</v>
      </c>
      <c r="H2793" t="s">
        <v>42</v>
      </c>
      <c r="I2793" t="s">
        <v>55</v>
      </c>
      <c r="J2793" t="s">
        <v>67</v>
      </c>
      <c r="K2793" t="s">
        <v>61</v>
      </c>
      <c r="L2793" t="s">
        <v>49</v>
      </c>
      <c r="M2793" s="4">
        <v>2</v>
      </c>
      <c r="N2793" s="4">
        <v>7</v>
      </c>
      <c r="O2793" t="s">
        <v>36</v>
      </c>
      <c r="P2793" t="s">
        <v>29</v>
      </c>
      <c r="Q2793" s="4">
        <v>146800</v>
      </c>
      <c r="R2793" s="4">
        <v>90388</v>
      </c>
      <c r="S2793" s="4">
        <f>Table1[[#This Row],[Service_Revenue]]-Table1[[#This Row],[Service_Cost]]</f>
        <v>56412</v>
      </c>
      <c r="T2793" s="4">
        <v>5</v>
      </c>
      <c r="U2793" s="4">
        <f>IF(AND(Table1[[#This Row],[Rework_Flag]]="Yes",Table1[[#This Row],[Warranty_Claim]]="No"),Table1[[#This Row],[Service_Revenue]],0)</f>
        <v>0</v>
      </c>
      <c r="V2793" s="4">
        <f>IF(Table1[[#This Row],[Warranty_Claim]]="Yes",1,0)</f>
        <v>1</v>
      </c>
      <c r="W2793" s="4">
        <f>IF(Table1[[#This Row],[Rework_Flag]]="No",1,0)</f>
        <v>1</v>
      </c>
      <c r="X2793" s="4">
        <f>IF(Table1[[#This Row],[Rework_Flag]]="Yes",1,0)</f>
        <v>0</v>
      </c>
      <c r="Y2793" s="4">
        <v>1</v>
      </c>
      <c r="Z2793" s="4" t="str">
        <f>IF(Table1[[#This Row],[TAT_Days]]&gt;Table1[[#This Row],[SLA_TAT]],"Yes","No")</f>
        <v>No</v>
      </c>
      <c r="AA2793" s="4" t="str" cm="1">
        <f t="array" ref="AA2793">_xlfn.IFS(Table1[[#This Row],[Customer_Satisfaction]]&lt;=2,"Poor",Table1[[#This Row],[Customer_Satisfaction]]=3,"Neutral",Table1[[#This Row],[Customer_Satisfaction]]=4,"Good",Table1[[#This Row],[Customer_Satisfaction]]=5,"Good")</f>
        <v>Good</v>
      </c>
    </row>
    <row r="2794" spans="1:27" x14ac:dyDescent="0.35">
      <c r="A2794">
        <v>22792</v>
      </c>
      <c r="B2794" s="1">
        <v>45396</v>
      </c>
      <c r="C2794" t="s">
        <v>19</v>
      </c>
      <c r="D2794" t="s">
        <v>96</v>
      </c>
      <c r="E2794" t="s">
        <v>98</v>
      </c>
      <c r="F2794" t="s">
        <v>22</v>
      </c>
      <c r="G2794" t="s">
        <v>63</v>
      </c>
      <c r="H2794" t="s">
        <v>24</v>
      </c>
      <c r="I2794" t="s">
        <v>55</v>
      </c>
      <c r="J2794" t="s">
        <v>35</v>
      </c>
      <c r="K2794" t="s">
        <v>44</v>
      </c>
      <c r="L2794" t="s">
        <v>28</v>
      </c>
      <c r="M2794" s="4">
        <v>4</v>
      </c>
      <c r="N2794" s="4">
        <v>7</v>
      </c>
      <c r="O2794" t="s">
        <v>36</v>
      </c>
      <c r="P2794" t="s">
        <v>36</v>
      </c>
      <c r="Q2794" s="4">
        <v>385243</v>
      </c>
      <c r="R2794" s="4">
        <v>225355</v>
      </c>
      <c r="S2794" s="4">
        <f>Table1[[#This Row],[Service_Revenue]]-Table1[[#This Row],[Service_Cost]]</f>
        <v>159888</v>
      </c>
      <c r="T2794" s="4">
        <v>5</v>
      </c>
      <c r="U2794" s="4">
        <f>IF(AND(Table1[[#This Row],[Rework_Flag]]="Yes",Table1[[#This Row],[Warranty_Claim]]="No"),Table1[[#This Row],[Service_Revenue]],0)</f>
        <v>0</v>
      </c>
      <c r="V2794" s="4">
        <f>IF(Table1[[#This Row],[Warranty_Claim]]="Yes",1,0)</f>
        <v>0</v>
      </c>
      <c r="W2794" s="4">
        <f>IF(Table1[[#This Row],[Rework_Flag]]="No",1,0)</f>
        <v>1</v>
      </c>
      <c r="X2794" s="4">
        <f>IF(Table1[[#This Row],[Rework_Flag]]="Yes",1,0)</f>
        <v>0</v>
      </c>
      <c r="Y2794" s="4">
        <v>1</v>
      </c>
      <c r="Z2794" s="4" t="str">
        <f>IF(Table1[[#This Row],[TAT_Days]]&gt;Table1[[#This Row],[SLA_TAT]],"Yes","No")</f>
        <v>No</v>
      </c>
      <c r="AA2794" s="4" t="str" cm="1">
        <f t="array" ref="AA2794">_xlfn.IFS(Table1[[#This Row],[Customer_Satisfaction]]&lt;=2,"Poor",Table1[[#This Row],[Customer_Satisfaction]]=3,"Neutral",Table1[[#This Row],[Customer_Satisfaction]]=4,"Good",Table1[[#This Row],[Customer_Satisfaction]]=5,"Good")</f>
        <v>Good</v>
      </c>
    </row>
    <row r="2795" spans="1:27" x14ac:dyDescent="0.35">
      <c r="A2795">
        <v>22793</v>
      </c>
      <c r="B2795" s="1">
        <v>45385</v>
      </c>
      <c r="C2795" t="s">
        <v>30</v>
      </c>
      <c r="D2795" t="s">
        <v>31</v>
      </c>
      <c r="E2795" t="s">
        <v>32</v>
      </c>
      <c r="F2795" t="s">
        <v>22</v>
      </c>
      <c r="G2795" t="s">
        <v>23</v>
      </c>
      <c r="H2795" t="s">
        <v>24</v>
      </c>
      <c r="I2795" t="s">
        <v>25</v>
      </c>
      <c r="J2795" t="s">
        <v>26</v>
      </c>
      <c r="K2795" t="s">
        <v>27</v>
      </c>
      <c r="L2795" t="s">
        <v>28</v>
      </c>
      <c r="M2795" s="4">
        <v>8</v>
      </c>
      <c r="N2795" s="4">
        <v>7</v>
      </c>
      <c r="O2795" t="s">
        <v>29</v>
      </c>
      <c r="P2795" t="s">
        <v>36</v>
      </c>
      <c r="Q2795" s="4">
        <v>473940</v>
      </c>
      <c r="R2795" s="4">
        <v>353433</v>
      </c>
      <c r="S2795" s="4">
        <f>Table1[[#This Row],[Service_Revenue]]-Table1[[#This Row],[Service_Cost]]</f>
        <v>120507</v>
      </c>
      <c r="T2795" s="4">
        <v>3</v>
      </c>
      <c r="U2795" s="4">
        <f>IF(AND(Table1[[#This Row],[Rework_Flag]]="Yes",Table1[[#This Row],[Warranty_Claim]]="No"),Table1[[#This Row],[Service_Revenue]],0)</f>
        <v>473940</v>
      </c>
      <c r="V2795" s="4">
        <f>IF(Table1[[#This Row],[Warranty_Claim]]="Yes",1,0)</f>
        <v>0</v>
      </c>
      <c r="W2795" s="4">
        <f>IF(Table1[[#This Row],[Rework_Flag]]="No",1,0)</f>
        <v>0</v>
      </c>
      <c r="X2795" s="4">
        <f>IF(Table1[[#This Row],[Rework_Flag]]="Yes",1,0)</f>
        <v>1</v>
      </c>
      <c r="Y2795" s="4">
        <v>1</v>
      </c>
      <c r="Z2795" s="4" t="str">
        <f>IF(Table1[[#This Row],[TAT_Days]]&gt;Table1[[#This Row],[SLA_TAT]],"Yes","No")</f>
        <v>Yes</v>
      </c>
      <c r="AA2795" s="4" t="str" cm="1">
        <f t="array" ref="AA2795">_xlfn.IFS(Table1[[#This Row],[Customer_Satisfaction]]&lt;=2,"Poor",Table1[[#This Row],[Customer_Satisfaction]]=3,"Neutral",Table1[[#This Row],[Customer_Satisfaction]]=4,"Good",Table1[[#This Row],[Customer_Satisfaction]]=5,"Good")</f>
        <v>Neutral</v>
      </c>
    </row>
    <row r="2796" spans="1:27" x14ac:dyDescent="0.35">
      <c r="A2796">
        <v>22794</v>
      </c>
      <c r="B2796" s="1">
        <v>45340</v>
      </c>
      <c r="C2796" t="s">
        <v>37</v>
      </c>
      <c r="D2796" t="s">
        <v>38</v>
      </c>
      <c r="E2796" t="s">
        <v>93</v>
      </c>
      <c r="F2796" t="s">
        <v>40</v>
      </c>
      <c r="G2796" t="s">
        <v>74</v>
      </c>
      <c r="H2796" t="s">
        <v>34</v>
      </c>
      <c r="I2796" t="s">
        <v>55</v>
      </c>
      <c r="J2796" t="s">
        <v>67</v>
      </c>
      <c r="K2796" t="s">
        <v>61</v>
      </c>
      <c r="L2796" t="s">
        <v>28</v>
      </c>
      <c r="M2796" s="4">
        <v>12</v>
      </c>
      <c r="N2796" s="4">
        <v>7</v>
      </c>
      <c r="O2796" t="s">
        <v>29</v>
      </c>
      <c r="P2796" t="s">
        <v>29</v>
      </c>
      <c r="Q2796" s="4">
        <v>267755</v>
      </c>
      <c r="R2796" s="4">
        <v>172748</v>
      </c>
      <c r="S2796" s="4">
        <f>Table1[[#This Row],[Service_Revenue]]-Table1[[#This Row],[Service_Cost]]</f>
        <v>95007</v>
      </c>
      <c r="T2796" s="4">
        <v>2</v>
      </c>
      <c r="U2796" s="4">
        <f>IF(AND(Table1[[#This Row],[Rework_Flag]]="Yes",Table1[[#This Row],[Warranty_Claim]]="No"),Table1[[#This Row],[Service_Revenue]],0)</f>
        <v>0</v>
      </c>
      <c r="V2796" s="4">
        <f>IF(Table1[[#This Row],[Warranty_Claim]]="Yes",1,0)</f>
        <v>1</v>
      </c>
      <c r="W2796" s="4">
        <f>IF(Table1[[#This Row],[Rework_Flag]]="No",1,0)</f>
        <v>0</v>
      </c>
      <c r="X2796" s="4">
        <f>IF(Table1[[#This Row],[Rework_Flag]]="Yes",1,0)</f>
        <v>1</v>
      </c>
      <c r="Y2796" s="4">
        <v>1</v>
      </c>
      <c r="Z2796" s="4" t="str">
        <f>IF(Table1[[#This Row],[TAT_Days]]&gt;Table1[[#This Row],[SLA_TAT]],"Yes","No")</f>
        <v>Yes</v>
      </c>
      <c r="AA2796" s="4" t="str" cm="1">
        <f t="array" ref="AA2796">_xlfn.IFS(Table1[[#This Row],[Customer_Satisfaction]]&lt;=2,"Poor",Table1[[#This Row],[Customer_Satisfaction]]=3,"Neutral",Table1[[#This Row],[Customer_Satisfaction]]=4,"Good",Table1[[#This Row],[Customer_Satisfaction]]=5,"Good")</f>
        <v>Poor</v>
      </c>
    </row>
    <row r="2797" spans="1:27" x14ac:dyDescent="0.35">
      <c r="A2797">
        <v>22795</v>
      </c>
      <c r="B2797" s="1">
        <v>45459</v>
      </c>
      <c r="C2797" t="s">
        <v>30</v>
      </c>
      <c r="D2797" t="s">
        <v>59</v>
      </c>
      <c r="E2797" t="s">
        <v>94</v>
      </c>
      <c r="F2797" t="s">
        <v>40</v>
      </c>
      <c r="G2797" t="s">
        <v>74</v>
      </c>
      <c r="H2797" t="s">
        <v>34</v>
      </c>
      <c r="I2797" t="s">
        <v>55</v>
      </c>
      <c r="J2797" t="s">
        <v>43</v>
      </c>
      <c r="K2797" t="s">
        <v>61</v>
      </c>
      <c r="L2797" t="s">
        <v>28</v>
      </c>
      <c r="M2797" s="4">
        <v>22</v>
      </c>
      <c r="N2797" s="4">
        <v>7</v>
      </c>
      <c r="O2797" t="s">
        <v>29</v>
      </c>
      <c r="P2797" t="s">
        <v>36</v>
      </c>
      <c r="Q2797" s="4">
        <v>516012</v>
      </c>
      <c r="R2797" s="4">
        <v>297425</v>
      </c>
      <c r="S2797" s="4">
        <f>Table1[[#This Row],[Service_Revenue]]-Table1[[#This Row],[Service_Cost]]</f>
        <v>218587</v>
      </c>
      <c r="T2797" s="4">
        <v>1</v>
      </c>
      <c r="U2797" s="4">
        <f>IF(AND(Table1[[#This Row],[Rework_Flag]]="Yes",Table1[[#This Row],[Warranty_Claim]]="No"),Table1[[#This Row],[Service_Revenue]],0)</f>
        <v>516012</v>
      </c>
      <c r="V2797" s="4">
        <f>IF(Table1[[#This Row],[Warranty_Claim]]="Yes",1,0)</f>
        <v>0</v>
      </c>
      <c r="W2797" s="4">
        <f>IF(Table1[[#This Row],[Rework_Flag]]="No",1,0)</f>
        <v>0</v>
      </c>
      <c r="X2797" s="4">
        <f>IF(Table1[[#This Row],[Rework_Flag]]="Yes",1,0)</f>
        <v>1</v>
      </c>
      <c r="Y2797" s="4">
        <v>1</v>
      </c>
      <c r="Z2797" s="4" t="str">
        <f>IF(Table1[[#This Row],[TAT_Days]]&gt;Table1[[#This Row],[SLA_TAT]],"Yes","No")</f>
        <v>Yes</v>
      </c>
      <c r="AA2797" s="4" t="str" cm="1">
        <f t="array" ref="AA2797">_xlfn.IFS(Table1[[#This Row],[Customer_Satisfaction]]&lt;=2,"Poor",Table1[[#This Row],[Customer_Satisfaction]]=3,"Neutral",Table1[[#This Row],[Customer_Satisfaction]]=4,"Good",Table1[[#This Row],[Customer_Satisfaction]]=5,"Good")</f>
        <v>Poor</v>
      </c>
    </row>
    <row r="2798" spans="1:27" x14ac:dyDescent="0.35">
      <c r="A2798">
        <v>22796</v>
      </c>
      <c r="B2798" s="1">
        <v>45434</v>
      </c>
      <c r="C2798" t="s">
        <v>37</v>
      </c>
      <c r="D2798" t="s">
        <v>64</v>
      </c>
      <c r="E2798" t="s">
        <v>65</v>
      </c>
      <c r="F2798" t="s">
        <v>53</v>
      </c>
      <c r="G2798" t="s">
        <v>54</v>
      </c>
      <c r="H2798" t="s">
        <v>42</v>
      </c>
      <c r="I2798" t="s">
        <v>55</v>
      </c>
      <c r="J2798" t="s">
        <v>35</v>
      </c>
      <c r="K2798" t="s">
        <v>61</v>
      </c>
      <c r="L2798" t="s">
        <v>49</v>
      </c>
      <c r="M2798" s="4">
        <v>10</v>
      </c>
      <c r="N2798" s="4">
        <v>7</v>
      </c>
      <c r="O2798" t="s">
        <v>29</v>
      </c>
      <c r="P2798" t="s">
        <v>29</v>
      </c>
      <c r="Q2798" s="4">
        <v>336451</v>
      </c>
      <c r="R2798" s="4">
        <v>208816</v>
      </c>
      <c r="S2798" s="4">
        <f>Table1[[#This Row],[Service_Revenue]]-Table1[[#This Row],[Service_Cost]]</f>
        <v>127635</v>
      </c>
      <c r="T2798" s="4">
        <v>2</v>
      </c>
      <c r="U2798" s="4">
        <f>IF(AND(Table1[[#This Row],[Rework_Flag]]="Yes",Table1[[#This Row],[Warranty_Claim]]="No"),Table1[[#This Row],[Service_Revenue]],0)</f>
        <v>0</v>
      </c>
      <c r="V2798" s="4">
        <f>IF(Table1[[#This Row],[Warranty_Claim]]="Yes",1,0)</f>
        <v>1</v>
      </c>
      <c r="W2798" s="4">
        <f>IF(Table1[[#This Row],[Rework_Flag]]="No",1,0)</f>
        <v>0</v>
      </c>
      <c r="X2798" s="4">
        <f>IF(Table1[[#This Row],[Rework_Flag]]="Yes",1,0)</f>
        <v>1</v>
      </c>
      <c r="Y2798" s="4">
        <v>1</v>
      </c>
      <c r="Z2798" s="4" t="str">
        <f>IF(Table1[[#This Row],[TAT_Days]]&gt;Table1[[#This Row],[SLA_TAT]],"Yes","No")</f>
        <v>Yes</v>
      </c>
      <c r="AA2798" s="4" t="str" cm="1">
        <f t="array" ref="AA2798">_xlfn.IFS(Table1[[#This Row],[Customer_Satisfaction]]&lt;=2,"Poor",Table1[[#This Row],[Customer_Satisfaction]]=3,"Neutral",Table1[[#This Row],[Customer_Satisfaction]]=4,"Good",Table1[[#This Row],[Customer_Satisfaction]]=5,"Good")</f>
        <v>Poor</v>
      </c>
    </row>
    <row r="2799" spans="1:27" x14ac:dyDescent="0.35">
      <c r="A2799">
        <v>22797</v>
      </c>
      <c r="B2799" s="1">
        <v>45320</v>
      </c>
      <c r="C2799" t="s">
        <v>50</v>
      </c>
      <c r="D2799" t="s">
        <v>80</v>
      </c>
      <c r="E2799" t="s">
        <v>81</v>
      </c>
      <c r="F2799" t="s">
        <v>40</v>
      </c>
      <c r="G2799" t="s">
        <v>63</v>
      </c>
      <c r="H2799" t="s">
        <v>24</v>
      </c>
      <c r="I2799" t="s">
        <v>55</v>
      </c>
      <c r="J2799" t="s">
        <v>67</v>
      </c>
      <c r="K2799" t="s">
        <v>27</v>
      </c>
      <c r="L2799" t="s">
        <v>28</v>
      </c>
      <c r="M2799" s="4">
        <v>10</v>
      </c>
      <c r="N2799" s="4">
        <v>7</v>
      </c>
      <c r="O2799" t="s">
        <v>29</v>
      </c>
      <c r="P2799" t="s">
        <v>36</v>
      </c>
      <c r="Q2799" s="4">
        <v>506869</v>
      </c>
      <c r="R2799" s="4">
        <v>263177</v>
      </c>
      <c r="S2799" s="4">
        <f>Table1[[#This Row],[Service_Revenue]]-Table1[[#This Row],[Service_Cost]]</f>
        <v>243692</v>
      </c>
      <c r="T2799" s="4">
        <v>2</v>
      </c>
      <c r="U2799" s="4">
        <f>IF(AND(Table1[[#This Row],[Rework_Flag]]="Yes",Table1[[#This Row],[Warranty_Claim]]="No"),Table1[[#This Row],[Service_Revenue]],0)</f>
        <v>506869</v>
      </c>
      <c r="V2799" s="4">
        <f>IF(Table1[[#This Row],[Warranty_Claim]]="Yes",1,0)</f>
        <v>0</v>
      </c>
      <c r="W2799" s="4">
        <f>IF(Table1[[#This Row],[Rework_Flag]]="No",1,0)</f>
        <v>0</v>
      </c>
      <c r="X2799" s="4">
        <f>IF(Table1[[#This Row],[Rework_Flag]]="Yes",1,0)</f>
        <v>1</v>
      </c>
      <c r="Y2799" s="4">
        <v>1</v>
      </c>
      <c r="Z2799" s="4" t="str">
        <f>IF(Table1[[#This Row],[TAT_Days]]&gt;Table1[[#This Row],[SLA_TAT]],"Yes","No")</f>
        <v>Yes</v>
      </c>
      <c r="AA2799" s="4" t="str" cm="1">
        <f t="array" ref="AA2799">_xlfn.IFS(Table1[[#This Row],[Customer_Satisfaction]]&lt;=2,"Poor",Table1[[#This Row],[Customer_Satisfaction]]=3,"Neutral",Table1[[#This Row],[Customer_Satisfaction]]=4,"Good",Table1[[#This Row],[Customer_Satisfaction]]=5,"Good")</f>
        <v>Poor</v>
      </c>
    </row>
    <row r="2800" spans="1:27" x14ac:dyDescent="0.35">
      <c r="A2800">
        <v>22798</v>
      </c>
      <c r="B2800" s="1">
        <v>45397</v>
      </c>
      <c r="C2800" t="s">
        <v>19</v>
      </c>
      <c r="D2800" t="s">
        <v>96</v>
      </c>
      <c r="E2800" t="s">
        <v>98</v>
      </c>
      <c r="F2800" t="s">
        <v>53</v>
      </c>
      <c r="G2800" t="s">
        <v>41</v>
      </c>
      <c r="H2800" t="s">
        <v>42</v>
      </c>
      <c r="I2800" t="s">
        <v>55</v>
      </c>
      <c r="J2800" t="s">
        <v>58</v>
      </c>
      <c r="K2800" t="s">
        <v>61</v>
      </c>
      <c r="L2800" t="s">
        <v>28</v>
      </c>
      <c r="M2800" s="4">
        <v>8</v>
      </c>
      <c r="N2800" s="4">
        <v>7</v>
      </c>
      <c r="O2800" t="s">
        <v>36</v>
      </c>
      <c r="P2800" t="s">
        <v>29</v>
      </c>
      <c r="Q2800" s="4">
        <v>202949</v>
      </c>
      <c r="R2800" s="4">
        <v>154831</v>
      </c>
      <c r="S2800" s="4">
        <f>Table1[[#This Row],[Service_Revenue]]-Table1[[#This Row],[Service_Cost]]</f>
        <v>48118</v>
      </c>
      <c r="T2800" s="4">
        <v>4</v>
      </c>
      <c r="U2800" s="4">
        <f>IF(AND(Table1[[#This Row],[Rework_Flag]]="Yes",Table1[[#This Row],[Warranty_Claim]]="No"),Table1[[#This Row],[Service_Revenue]],0)</f>
        <v>0</v>
      </c>
      <c r="V2800" s="4">
        <f>IF(Table1[[#This Row],[Warranty_Claim]]="Yes",1,0)</f>
        <v>1</v>
      </c>
      <c r="W2800" s="4">
        <f>IF(Table1[[#This Row],[Rework_Flag]]="No",1,0)</f>
        <v>1</v>
      </c>
      <c r="X2800" s="4">
        <f>IF(Table1[[#This Row],[Rework_Flag]]="Yes",1,0)</f>
        <v>0</v>
      </c>
      <c r="Y2800" s="4">
        <v>1</v>
      </c>
      <c r="Z2800" s="4" t="str">
        <f>IF(Table1[[#This Row],[TAT_Days]]&gt;Table1[[#This Row],[SLA_TAT]],"Yes","No")</f>
        <v>Yes</v>
      </c>
      <c r="AA2800" s="4" t="str" cm="1">
        <f t="array" ref="AA2800">_xlfn.IFS(Table1[[#This Row],[Customer_Satisfaction]]&lt;=2,"Poor",Table1[[#This Row],[Customer_Satisfaction]]=3,"Neutral",Table1[[#This Row],[Customer_Satisfaction]]=4,"Good",Table1[[#This Row],[Customer_Satisfaction]]=5,"Good")</f>
        <v>Good</v>
      </c>
    </row>
    <row r="2801" spans="1:27" x14ac:dyDescent="0.35">
      <c r="A2801">
        <v>22799</v>
      </c>
      <c r="B2801" s="1">
        <v>45358</v>
      </c>
      <c r="C2801" t="s">
        <v>37</v>
      </c>
      <c r="D2801" t="s">
        <v>64</v>
      </c>
      <c r="E2801" t="s">
        <v>72</v>
      </c>
      <c r="F2801" t="s">
        <v>22</v>
      </c>
      <c r="G2801" t="s">
        <v>63</v>
      </c>
      <c r="H2801" t="s">
        <v>24</v>
      </c>
      <c r="I2801" t="s">
        <v>25</v>
      </c>
      <c r="J2801" t="s">
        <v>58</v>
      </c>
      <c r="K2801" t="s">
        <v>61</v>
      </c>
      <c r="L2801" t="s">
        <v>28</v>
      </c>
      <c r="M2801" s="4">
        <v>13</v>
      </c>
      <c r="N2801" s="4">
        <v>7</v>
      </c>
      <c r="O2801" t="s">
        <v>29</v>
      </c>
      <c r="P2801" t="s">
        <v>36</v>
      </c>
      <c r="Q2801" s="4">
        <v>561716</v>
      </c>
      <c r="R2801" s="4">
        <v>295627</v>
      </c>
      <c r="S2801" s="4">
        <f>Table1[[#This Row],[Service_Revenue]]-Table1[[#This Row],[Service_Cost]]</f>
        <v>266089</v>
      </c>
      <c r="T2801" s="4">
        <v>2</v>
      </c>
      <c r="U2801" s="4">
        <f>IF(AND(Table1[[#This Row],[Rework_Flag]]="Yes",Table1[[#This Row],[Warranty_Claim]]="No"),Table1[[#This Row],[Service_Revenue]],0)</f>
        <v>561716</v>
      </c>
      <c r="V2801" s="4">
        <f>IF(Table1[[#This Row],[Warranty_Claim]]="Yes",1,0)</f>
        <v>0</v>
      </c>
      <c r="W2801" s="4">
        <f>IF(Table1[[#This Row],[Rework_Flag]]="No",1,0)</f>
        <v>0</v>
      </c>
      <c r="X2801" s="4">
        <f>IF(Table1[[#This Row],[Rework_Flag]]="Yes",1,0)</f>
        <v>1</v>
      </c>
      <c r="Y2801" s="4">
        <v>1</v>
      </c>
      <c r="Z2801" s="4" t="str">
        <f>IF(Table1[[#This Row],[TAT_Days]]&gt;Table1[[#This Row],[SLA_TAT]],"Yes","No")</f>
        <v>Yes</v>
      </c>
      <c r="AA2801" s="4" t="str" cm="1">
        <f t="array" ref="AA2801">_xlfn.IFS(Table1[[#This Row],[Customer_Satisfaction]]&lt;=2,"Poor",Table1[[#This Row],[Customer_Satisfaction]]=3,"Neutral",Table1[[#This Row],[Customer_Satisfaction]]=4,"Good",Table1[[#This Row],[Customer_Satisfaction]]=5,"Good")</f>
        <v>Poor</v>
      </c>
    </row>
    <row r="2802" spans="1:27" x14ac:dyDescent="0.35">
      <c r="A2802">
        <v>22800</v>
      </c>
      <c r="B2802" s="1">
        <v>45444</v>
      </c>
      <c r="C2802" t="s">
        <v>50</v>
      </c>
      <c r="D2802" t="s">
        <v>51</v>
      </c>
      <c r="E2802" t="s">
        <v>113</v>
      </c>
      <c r="F2802" t="s">
        <v>40</v>
      </c>
      <c r="G2802" t="s">
        <v>33</v>
      </c>
      <c r="H2802" t="s">
        <v>34</v>
      </c>
      <c r="I2802" t="s">
        <v>25</v>
      </c>
      <c r="J2802" t="s">
        <v>35</v>
      </c>
      <c r="K2802" t="s">
        <v>44</v>
      </c>
      <c r="L2802" t="s">
        <v>28</v>
      </c>
      <c r="M2802" s="4">
        <v>19</v>
      </c>
      <c r="N2802" s="4">
        <v>7</v>
      </c>
      <c r="O2802" t="s">
        <v>29</v>
      </c>
      <c r="P2802" t="s">
        <v>29</v>
      </c>
      <c r="Q2802" s="4">
        <v>181981</v>
      </c>
      <c r="R2802" s="4">
        <v>102475</v>
      </c>
      <c r="S2802" s="4">
        <f>Table1[[#This Row],[Service_Revenue]]-Table1[[#This Row],[Service_Cost]]</f>
        <v>79506</v>
      </c>
      <c r="T2802" s="4">
        <v>1</v>
      </c>
      <c r="U2802" s="4">
        <f>IF(AND(Table1[[#This Row],[Rework_Flag]]="Yes",Table1[[#This Row],[Warranty_Claim]]="No"),Table1[[#This Row],[Service_Revenue]],0)</f>
        <v>0</v>
      </c>
      <c r="V2802" s="4">
        <f>IF(Table1[[#This Row],[Warranty_Claim]]="Yes",1,0)</f>
        <v>1</v>
      </c>
      <c r="W2802" s="4">
        <f>IF(Table1[[#This Row],[Rework_Flag]]="No",1,0)</f>
        <v>0</v>
      </c>
      <c r="X2802" s="4">
        <f>IF(Table1[[#This Row],[Rework_Flag]]="Yes",1,0)</f>
        <v>1</v>
      </c>
      <c r="Y2802" s="4">
        <v>1</v>
      </c>
      <c r="Z2802" s="4" t="str">
        <f>IF(Table1[[#This Row],[TAT_Days]]&gt;Table1[[#This Row],[SLA_TAT]],"Yes","No")</f>
        <v>Yes</v>
      </c>
      <c r="AA2802" s="4" t="str" cm="1">
        <f t="array" ref="AA2802">_xlfn.IFS(Table1[[#This Row],[Customer_Satisfaction]]&lt;=2,"Poor",Table1[[#This Row],[Customer_Satisfaction]]=3,"Neutral",Table1[[#This Row],[Customer_Satisfaction]]=4,"Good",Table1[[#This Row],[Customer_Satisfaction]]=5,"Good")</f>
        <v>Poor</v>
      </c>
    </row>
    <row r="2803" spans="1:27" x14ac:dyDescent="0.35">
      <c r="A2803">
        <v>22801</v>
      </c>
      <c r="B2803" s="1">
        <v>45373</v>
      </c>
      <c r="C2803" t="s">
        <v>30</v>
      </c>
      <c r="D2803" t="s">
        <v>31</v>
      </c>
      <c r="E2803" t="s">
        <v>106</v>
      </c>
      <c r="F2803" t="s">
        <v>22</v>
      </c>
      <c r="G2803" t="s">
        <v>47</v>
      </c>
      <c r="H2803" t="s">
        <v>48</v>
      </c>
      <c r="I2803" t="s">
        <v>25</v>
      </c>
      <c r="J2803" t="s">
        <v>43</v>
      </c>
      <c r="K2803" t="s">
        <v>27</v>
      </c>
      <c r="L2803" t="s">
        <v>49</v>
      </c>
      <c r="M2803" s="4">
        <v>24</v>
      </c>
      <c r="N2803" s="4">
        <v>7</v>
      </c>
      <c r="O2803" t="s">
        <v>29</v>
      </c>
      <c r="P2803" t="s">
        <v>29</v>
      </c>
      <c r="Q2803" s="4">
        <v>207338</v>
      </c>
      <c r="R2803" s="4">
        <v>111087</v>
      </c>
      <c r="S2803" s="4">
        <f>Table1[[#This Row],[Service_Revenue]]-Table1[[#This Row],[Service_Cost]]</f>
        <v>96251</v>
      </c>
      <c r="T2803" s="4">
        <v>1</v>
      </c>
      <c r="U2803" s="4">
        <f>IF(AND(Table1[[#This Row],[Rework_Flag]]="Yes",Table1[[#This Row],[Warranty_Claim]]="No"),Table1[[#This Row],[Service_Revenue]],0)</f>
        <v>0</v>
      </c>
      <c r="V2803" s="4">
        <f>IF(Table1[[#This Row],[Warranty_Claim]]="Yes",1,0)</f>
        <v>1</v>
      </c>
      <c r="W2803" s="4">
        <f>IF(Table1[[#This Row],[Rework_Flag]]="No",1,0)</f>
        <v>0</v>
      </c>
      <c r="X2803" s="4">
        <f>IF(Table1[[#This Row],[Rework_Flag]]="Yes",1,0)</f>
        <v>1</v>
      </c>
      <c r="Y2803" s="4">
        <v>1</v>
      </c>
      <c r="Z2803" s="4" t="str">
        <f>IF(Table1[[#This Row],[TAT_Days]]&gt;Table1[[#This Row],[SLA_TAT]],"Yes","No")</f>
        <v>Yes</v>
      </c>
      <c r="AA2803" s="4" t="str" cm="1">
        <f t="array" ref="AA2803">_xlfn.IFS(Table1[[#This Row],[Customer_Satisfaction]]&lt;=2,"Poor",Table1[[#This Row],[Customer_Satisfaction]]=3,"Neutral",Table1[[#This Row],[Customer_Satisfaction]]=4,"Good",Table1[[#This Row],[Customer_Satisfaction]]=5,"Good")</f>
        <v>Poor</v>
      </c>
    </row>
    <row r="2804" spans="1:27" x14ac:dyDescent="0.35">
      <c r="A2804">
        <v>22802</v>
      </c>
      <c r="B2804" s="1">
        <v>45298</v>
      </c>
      <c r="C2804" t="s">
        <v>19</v>
      </c>
      <c r="D2804" t="s">
        <v>96</v>
      </c>
      <c r="E2804" t="s">
        <v>98</v>
      </c>
      <c r="F2804" t="s">
        <v>22</v>
      </c>
      <c r="G2804" t="s">
        <v>63</v>
      </c>
      <c r="H2804" t="s">
        <v>24</v>
      </c>
      <c r="I2804" t="s">
        <v>25</v>
      </c>
      <c r="J2804" t="s">
        <v>58</v>
      </c>
      <c r="K2804" t="s">
        <v>27</v>
      </c>
      <c r="L2804" t="s">
        <v>28</v>
      </c>
      <c r="M2804" s="4">
        <v>3</v>
      </c>
      <c r="N2804" s="4">
        <v>7</v>
      </c>
      <c r="O2804" t="s">
        <v>36</v>
      </c>
      <c r="P2804" t="s">
        <v>36</v>
      </c>
      <c r="Q2804" s="4">
        <v>399108</v>
      </c>
      <c r="R2804" s="4">
        <v>315710</v>
      </c>
      <c r="S2804" s="4">
        <f>Table1[[#This Row],[Service_Revenue]]-Table1[[#This Row],[Service_Cost]]</f>
        <v>83398</v>
      </c>
      <c r="T2804" s="4">
        <v>5</v>
      </c>
      <c r="U2804" s="4">
        <f>IF(AND(Table1[[#This Row],[Rework_Flag]]="Yes",Table1[[#This Row],[Warranty_Claim]]="No"),Table1[[#This Row],[Service_Revenue]],0)</f>
        <v>0</v>
      </c>
      <c r="V2804" s="4">
        <f>IF(Table1[[#This Row],[Warranty_Claim]]="Yes",1,0)</f>
        <v>0</v>
      </c>
      <c r="W2804" s="4">
        <f>IF(Table1[[#This Row],[Rework_Flag]]="No",1,0)</f>
        <v>1</v>
      </c>
      <c r="X2804" s="4">
        <f>IF(Table1[[#This Row],[Rework_Flag]]="Yes",1,0)</f>
        <v>0</v>
      </c>
      <c r="Y2804" s="4">
        <v>1</v>
      </c>
      <c r="Z2804" s="4" t="str">
        <f>IF(Table1[[#This Row],[TAT_Days]]&gt;Table1[[#This Row],[SLA_TAT]],"Yes","No")</f>
        <v>No</v>
      </c>
      <c r="AA2804" s="4" t="str" cm="1">
        <f t="array" ref="AA2804">_xlfn.IFS(Table1[[#This Row],[Customer_Satisfaction]]&lt;=2,"Poor",Table1[[#This Row],[Customer_Satisfaction]]=3,"Neutral",Table1[[#This Row],[Customer_Satisfaction]]=4,"Good",Table1[[#This Row],[Customer_Satisfaction]]=5,"Good")</f>
        <v>Good</v>
      </c>
    </row>
    <row r="2805" spans="1:27" x14ac:dyDescent="0.35">
      <c r="A2805">
        <v>22803</v>
      </c>
      <c r="B2805" s="1">
        <v>45362</v>
      </c>
      <c r="C2805" t="s">
        <v>37</v>
      </c>
      <c r="D2805" t="s">
        <v>38</v>
      </c>
      <c r="E2805" t="s">
        <v>112</v>
      </c>
      <c r="F2805" t="s">
        <v>53</v>
      </c>
      <c r="G2805" t="s">
        <v>47</v>
      </c>
      <c r="H2805" t="s">
        <v>48</v>
      </c>
      <c r="I2805" t="s">
        <v>55</v>
      </c>
      <c r="J2805" t="s">
        <v>43</v>
      </c>
      <c r="K2805" t="s">
        <v>27</v>
      </c>
      <c r="L2805" t="s">
        <v>28</v>
      </c>
      <c r="M2805" s="4">
        <v>5</v>
      </c>
      <c r="N2805" s="4">
        <v>7</v>
      </c>
      <c r="O2805" t="s">
        <v>29</v>
      </c>
      <c r="P2805" t="s">
        <v>36</v>
      </c>
      <c r="Q2805" s="4">
        <v>232640</v>
      </c>
      <c r="R2805" s="4">
        <v>149307</v>
      </c>
      <c r="S2805" s="4">
        <f>Table1[[#This Row],[Service_Revenue]]-Table1[[#This Row],[Service_Cost]]</f>
        <v>83333</v>
      </c>
      <c r="T2805" s="4">
        <v>3</v>
      </c>
      <c r="U2805" s="4">
        <f>IF(AND(Table1[[#This Row],[Rework_Flag]]="Yes",Table1[[#This Row],[Warranty_Claim]]="No"),Table1[[#This Row],[Service_Revenue]],0)</f>
        <v>232640</v>
      </c>
      <c r="V2805" s="4">
        <f>IF(Table1[[#This Row],[Warranty_Claim]]="Yes",1,0)</f>
        <v>0</v>
      </c>
      <c r="W2805" s="4">
        <f>IF(Table1[[#This Row],[Rework_Flag]]="No",1,0)</f>
        <v>0</v>
      </c>
      <c r="X2805" s="4">
        <f>IF(Table1[[#This Row],[Rework_Flag]]="Yes",1,0)</f>
        <v>1</v>
      </c>
      <c r="Y2805" s="4">
        <v>1</v>
      </c>
      <c r="Z2805" s="4" t="str">
        <f>IF(Table1[[#This Row],[TAT_Days]]&gt;Table1[[#This Row],[SLA_TAT]],"Yes","No")</f>
        <v>No</v>
      </c>
      <c r="AA2805" s="4" t="str" cm="1">
        <f t="array" ref="AA2805">_xlfn.IFS(Table1[[#This Row],[Customer_Satisfaction]]&lt;=2,"Poor",Table1[[#This Row],[Customer_Satisfaction]]=3,"Neutral",Table1[[#This Row],[Customer_Satisfaction]]=4,"Good",Table1[[#This Row],[Customer_Satisfaction]]=5,"Good")</f>
        <v>Neutral</v>
      </c>
    </row>
    <row r="2806" spans="1:27" x14ac:dyDescent="0.35">
      <c r="A2806">
        <v>22804</v>
      </c>
      <c r="B2806" s="1">
        <v>45314</v>
      </c>
      <c r="C2806" t="s">
        <v>50</v>
      </c>
      <c r="D2806" t="s">
        <v>56</v>
      </c>
      <c r="E2806" t="s">
        <v>77</v>
      </c>
      <c r="F2806" t="s">
        <v>22</v>
      </c>
      <c r="G2806" t="s">
        <v>23</v>
      </c>
      <c r="H2806" t="s">
        <v>24</v>
      </c>
      <c r="I2806" t="s">
        <v>55</v>
      </c>
      <c r="J2806" t="s">
        <v>67</v>
      </c>
      <c r="K2806" t="s">
        <v>27</v>
      </c>
      <c r="L2806" t="s">
        <v>49</v>
      </c>
      <c r="M2806" s="4">
        <v>22</v>
      </c>
      <c r="N2806" s="4">
        <v>7</v>
      </c>
      <c r="O2806" t="s">
        <v>29</v>
      </c>
      <c r="P2806" t="s">
        <v>36</v>
      </c>
      <c r="Q2806" s="4">
        <v>364928</v>
      </c>
      <c r="R2806" s="4">
        <v>194509</v>
      </c>
      <c r="S2806" s="4">
        <f>Table1[[#This Row],[Service_Revenue]]-Table1[[#This Row],[Service_Cost]]</f>
        <v>170419</v>
      </c>
      <c r="T2806" s="4">
        <v>1</v>
      </c>
      <c r="U2806" s="4">
        <f>IF(AND(Table1[[#This Row],[Rework_Flag]]="Yes",Table1[[#This Row],[Warranty_Claim]]="No"),Table1[[#This Row],[Service_Revenue]],0)</f>
        <v>364928</v>
      </c>
      <c r="V2806" s="4">
        <f>IF(Table1[[#This Row],[Warranty_Claim]]="Yes",1,0)</f>
        <v>0</v>
      </c>
      <c r="W2806" s="4">
        <f>IF(Table1[[#This Row],[Rework_Flag]]="No",1,0)</f>
        <v>0</v>
      </c>
      <c r="X2806" s="4">
        <f>IF(Table1[[#This Row],[Rework_Flag]]="Yes",1,0)</f>
        <v>1</v>
      </c>
      <c r="Y2806" s="4">
        <v>1</v>
      </c>
      <c r="Z2806" s="4" t="str">
        <f>IF(Table1[[#This Row],[TAT_Days]]&gt;Table1[[#This Row],[SLA_TAT]],"Yes","No")</f>
        <v>Yes</v>
      </c>
      <c r="AA2806" s="4" t="str" cm="1">
        <f t="array" ref="AA2806">_xlfn.IFS(Table1[[#This Row],[Customer_Satisfaction]]&lt;=2,"Poor",Table1[[#This Row],[Customer_Satisfaction]]=3,"Neutral",Table1[[#This Row],[Customer_Satisfaction]]=4,"Good",Table1[[#This Row],[Customer_Satisfaction]]=5,"Good")</f>
        <v>Poor</v>
      </c>
    </row>
    <row r="2807" spans="1:27" x14ac:dyDescent="0.35">
      <c r="A2807">
        <v>22805</v>
      </c>
      <c r="B2807" s="1">
        <v>45312</v>
      </c>
      <c r="C2807" t="s">
        <v>30</v>
      </c>
      <c r="D2807" t="s">
        <v>59</v>
      </c>
      <c r="E2807" t="s">
        <v>94</v>
      </c>
      <c r="F2807" t="s">
        <v>53</v>
      </c>
      <c r="G2807" t="s">
        <v>33</v>
      </c>
      <c r="H2807" t="s">
        <v>34</v>
      </c>
      <c r="I2807" t="s">
        <v>25</v>
      </c>
      <c r="J2807" t="s">
        <v>58</v>
      </c>
      <c r="K2807" t="s">
        <v>61</v>
      </c>
      <c r="L2807" t="s">
        <v>28</v>
      </c>
      <c r="M2807" s="4">
        <v>22</v>
      </c>
      <c r="N2807" s="4">
        <v>7</v>
      </c>
      <c r="O2807" t="s">
        <v>36</v>
      </c>
      <c r="P2807" t="s">
        <v>29</v>
      </c>
      <c r="Q2807" s="4">
        <v>177071</v>
      </c>
      <c r="R2807" s="4">
        <v>107167</v>
      </c>
      <c r="S2807" s="4">
        <f>Table1[[#This Row],[Service_Revenue]]-Table1[[#This Row],[Service_Cost]]</f>
        <v>69904</v>
      </c>
      <c r="T2807" s="4">
        <v>1</v>
      </c>
      <c r="U2807" s="4">
        <f>IF(AND(Table1[[#This Row],[Rework_Flag]]="Yes",Table1[[#This Row],[Warranty_Claim]]="No"),Table1[[#This Row],[Service_Revenue]],0)</f>
        <v>0</v>
      </c>
      <c r="V2807" s="4">
        <f>IF(Table1[[#This Row],[Warranty_Claim]]="Yes",1,0)</f>
        <v>1</v>
      </c>
      <c r="W2807" s="4">
        <f>IF(Table1[[#This Row],[Rework_Flag]]="No",1,0)</f>
        <v>1</v>
      </c>
      <c r="X2807" s="4">
        <f>IF(Table1[[#This Row],[Rework_Flag]]="Yes",1,0)</f>
        <v>0</v>
      </c>
      <c r="Y2807" s="4">
        <v>1</v>
      </c>
      <c r="Z2807" s="4" t="str">
        <f>IF(Table1[[#This Row],[TAT_Days]]&gt;Table1[[#This Row],[SLA_TAT]],"Yes","No")</f>
        <v>Yes</v>
      </c>
      <c r="AA2807" s="4" t="str" cm="1">
        <f t="array" ref="AA2807">_xlfn.IFS(Table1[[#This Row],[Customer_Satisfaction]]&lt;=2,"Poor",Table1[[#This Row],[Customer_Satisfaction]]=3,"Neutral",Table1[[#This Row],[Customer_Satisfaction]]=4,"Good",Table1[[#This Row],[Customer_Satisfaction]]=5,"Good")</f>
        <v>Poor</v>
      </c>
    </row>
    <row r="2808" spans="1:27" x14ac:dyDescent="0.35">
      <c r="A2808">
        <v>22806</v>
      </c>
      <c r="B2808" s="1">
        <v>45323</v>
      </c>
      <c r="C2808" t="s">
        <v>50</v>
      </c>
      <c r="D2808" t="s">
        <v>80</v>
      </c>
      <c r="E2808" t="s">
        <v>121</v>
      </c>
      <c r="F2808" t="s">
        <v>22</v>
      </c>
      <c r="G2808" t="s">
        <v>23</v>
      </c>
      <c r="H2808" t="s">
        <v>24</v>
      </c>
      <c r="I2808" t="s">
        <v>55</v>
      </c>
      <c r="J2808" t="s">
        <v>35</v>
      </c>
      <c r="K2808" t="s">
        <v>27</v>
      </c>
      <c r="L2808" t="s">
        <v>49</v>
      </c>
      <c r="M2808" s="4">
        <v>16</v>
      </c>
      <c r="N2808" s="4">
        <v>7</v>
      </c>
      <c r="O2808" t="s">
        <v>29</v>
      </c>
      <c r="P2808" t="s">
        <v>36</v>
      </c>
      <c r="Q2808" s="4">
        <v>98873</v>
      </c>
      <c r="R2808" s="4">
        <v>57395</v>
      </c>
      <c r="S2808" s="4">
        <f>Table1[[#This Row],[Service_Revenue]]-Table1[[#This Row],[Service_Cost]]</f>
        <v>41478</v>
      </c>
      <c r="T2808" s="4">
        <v>1</v>
      </c>
      <c r="U2808" s="4">
        <f>IF(AND(Table1[[#This Row],[Rework_Flag]]="Yes",Table1[[#This Row],[Warranty_Claim]]="No"),Table1[[#This Row],[Service_Revenue]],0)</f>
        <v>98873</v>
      </c>
      <c r="V2808" s="4">
        <f>IF(Table1[[#This Row],[Warranty_Claim]]="Yes",1,0)</f>
        <v>0</v>
      </c>
      <c r="W2808" s="4">
        <f>IF(Table1[[#This Row],[Rework_Flag]]="No",1,0)</f>
        <v>0</v>
      </c>
      <c r="X2808" s="4">
        <f>IF(Table1[[#This Row],[Rework_Flag]]="Yes",1,0)</f>
        <v>1</v>
      </c>
      <c r="Y2808" s="4">
        <v>1</v>
      </c>
      <c r="Z2808" s="4" t="str">
        <f>IF(Table1[[#This Row],[TAT_Days]]&gt;Table1[[#This Row],[SLA_TAT]],"Yes","No")</f>
        <v>Yes</v>
      </c>
      <c r="AA2808" s="4" t="str" cm="1">
        <f t="array" ref="AA2808">_xlfn.IFS(Table1[[#This Row],[Customer_Satisfaction]]&lt;=2,"Poor",Table1[[#This Row],[Customer_Satisfaction]]=3,"Neutral",Table1[[#This Row],[Customer_Satisfaction]]=4,"Good",Table1[[#This Row],[Customer_Satisfaction]]=5,"Good")</f>
        <v>Poor</v>
      </c>
    </row>
    <row r="2809" spans="1:27" x14ac:dyDescent="0.35">
      <c r="A2809">
        <v>22807</v>
      </c>
      <c r="B2809" s="1">
        <v>45368</v>
      </c>
      <c r="C2809" t="s">
        <v>37</v>
      </c>
      <c r="D2809" t="s">
        <v>38</v>
      </c>
      <c r="E2809" t="s">
        <v>39</v>
      </c>
      <c r="F2809" t="s">
        <v>22</v>
      </c>
      <c r="G2809" t="s">
        <v>47</v>
      </c>
      <c r="H2809" t="s">
        <v>48</v>
      </c>
      <c r="I2809" t="s">
        <v>25</v>
      </c>
      <c r="J2809" t="s">
        <v>26</v>
      </c>
      <c r="K2809" t="s">
        <v>61</v>
      </c>
      <c r="L2809" t="s">
        <v>28</v>
      </c>
      <c r="M2809" s="4">
        <v>5</v>
      </c>
      <c r="N2809" s="4">
        <v>7</v>
      </c>
      <c r="O2809" t="s">
        <v>36</v>
      </c>
      <c r="P2809" t="s">
        <v>36</v>
      </c>
      <c r="Q2809" s="4">
        <v>116448</v>
      </c>
      <c r="R2809" s="4">
        <v>68376</v>
      </c>
      <c r="S2809" s="4">
        <f>Table1[[#This Row],[Service_Revenue]]-Table1[[#This Row],[Service_Cost]]</f>
        <v>48072</v>
      </c>
      <c r="T2809" s="4">
        <v>4</v>
      </c>
      <c r="U2809" s="4">
        <f>IF(AND(Table1[[#This Row],[Rework_Flag]]="Yes",Table1[[#This Row],[Warranty_Claim]]="No"),Table1[[#This Row],[Service_Revenue]],0)</f>
        <v>0</v>
      </c>
      <c r="V2809" s="4">
        <f>IF(Table1[[#This Row],[Warranty_Claim]]="Yes",1,0)</f>
        <v>0</v>
      </c>
      <c r="W2809" s="4">
        <f>IF(Table1[[#This Row],[Rework_Flag]]="No",1,0)</f>
        <v>1</v>
      </c>
      <c r="X2809" s="4">
        <f>IF(Table1[[#This Row],[Rework_Flag]]="Yes",1,0)</f>
        <v>0</v>
      </c>
      <c r="Y2809" s="4">
        <v>1</v>
      </c>
      <c r="Z2809" s="4" t="str">
        <f>IF(Table1[[#This Row],[TAT_Days]]&gt;Table1[[#This Row],[SLA_TAT]],"Yes","No")</f>
        <v>No</v>
      </c>
      <c r="AA2809" s="4" t="str" cm="1">
        <f t="array" ref="AA2809">_xlfn.IFS(Table1[[#This Row],[Customer_Satisfaction]]&lt;=2,"Poor",Table1[[#This Row],[Customer_Satisfaction]]=3,"Neutral",Table1[[#This Row],[Customer_Satisfaction]]=4,"Good",Table1[[#This Row],[Customer_Satisfaction]]=5,"Good")</f>
        <v>Good</v>
      </c>
    </row>
    <row r="2810" spans="1:27" x14ac:dyDescent="0.35">
      <c r="A2810">
        <v>22808</v>
      </c>
      <c r="B2810" s="1">
        <v>45432</v>
      </c>
      <c r="C2810" t="s">
        <v>30</v>
      </c>
      <c r="D2810" t="s">
        <v>83</v>
      </c>
      <c r="E2810" t="s">
        <v>90</v>
      </c>
      <c r="F2810" t="s">
        <v>53</v>
      </c>
      <c r="G2810" t="s">
        <v>74</v>
      </c>
      <c r="H2810" t="s">
        <v>34</v>
      </c>
      <c r="I2810" t="s">
        <v>55</v>
      </c>
      <c r="J2810" t="s">
        <v>58</v>
      </c>
      <c r="K2810" t="s">
        <v>27</v>
      </c>
      <c r="L2810" t="s">
        <v>28</v>
      </c>
      <c r="M2810" s="4">
        <v>5</v>
      </c>
      <c r="N2810" s="4">
        <v>7</v>
      </c>
      <c r="O2810" t="s">
        <v>36</v>
      </c>
      <c r="P2810" t="s">
        <v>36</v>
      </c>
      <c r="Q2810" s="4">
        <v>445534</v>
      </c>
      <c r="R2810" s="4">
        <v>229723</v>
      </c>
      <c r="S2810" s="4">
        <f>Table1[[#This Row],[Service_Revenue]]-Table1[[#This Row],[Service_Cost]]</f>
        <v>215811</v>
      </c>
      <c r="T2810" s="4">
        <v>4</v>
      </c>
      <c r="U2810" s="4">
        <f>IF(AND(Table1[[#This Row],[Rework_Flag]]="Yes",Table1[[#This Row],[Warranty_Claim]]="No"),Table1[[#This Row],[Service_Revenue]],0)</f>
        <v>0</v>
      </c>
      <c r="V2810" s="4">
        <f>IF(Table1[[#This Row],[Warranty_Claim]]="Yes",1,0)</f>
        <v>0</v>
      </c>
      <c r="W2810" s="4">
        <f>IF(Table1[[#This Row],[Rework_Flag]]="No",1,0)</f>
        <v>1</v>
      </c>
      <c r="X2810" s="4">
        <f>IF(Table1[[#This Row],[Rework_Flag]]="Yes",1,0)</f>
        <v>0</v>
      </c>
      <c r="Y2810" s="4">
        <v>1</v>
      </c>
      <c r="Z2810" s="4" t="str">
        <f>IF(Table1[[#This Row],[TAT_Days]]&gt;Table1[[#This Row],[SLA_TAT]],"Yes","No")</f>
        <v>No</v>
      </c>
      <c r="AA2810" s="4" t="str" cm="1">
        <f t="array" ref="AA2810">_xlfn.IFS(Table1[[#This Row],[Customer_Satisfaction]]&lt;=2,"Poor",Table1[[#This Row],[Customer_Satisfaction]]=3,"Neutral",Table1[[#This Row],[Customer_Satisfaction]]=4,"Good",Table1[[#This Row],[Customer_Satisfaction]]=5,"Good")</f>
        <v>Good</v>
      </c>
    </row>
    <row r="2811" spans="1:27" x14ac:dyDescent="0.35">
      <c r="A2811">
        <v>22809</v>
      </c>
      <c r="B2811" s="1">
        <v>45415</v>
      </c>
      <c r="C2811" t="s">
        <v>19</v>
      </c>
      <c r="D2811" t="s">
        <v>20</v>
      </c>
      <c r="E2811" t="s">
        <v>117</v>
      </c>
      <c r="F2811" t="s">
        <v>53</v>
      </c>
      <c r="G2811" t="s">
        <v>23</v>
      </c>
      <c r="H2811" t="s">
        <v>24</v>
      </c>
      <c r="I2811" t="s">
        <v>55</v>
      </c>
      <c r="J2811" t="s">
        <v>67</v>
      </c>
      <c r="K2811" t="s">
        <v>44</v>
      </c>
      <c r="L2811" t="s">
        <v>49</v>
      </c>
      <c r="M2811" s="4">
        <v>5</v>
      </c>
      <c r="N2811" s="4">
        <v>7</v>
      </c>
      <c r="O2811" t="s">
        <v>29</v>
      </c>
      <c r="P2811" t="s">
        <v>29</v>
      </c>
      <c r="Q2811" s="4">
        <v>212935</v>
      </c>
      <c r="R2811" s="4">
        <v>135910</v>
      </c>
      <c r="S2811" s="4">
        <f>Table1[[#This Row],[Service_Revenue]]-Table1[[#This Row],[Service_Cost]]</f>
        <v>77025</v>
      </c>
      <c r="T2811" s="4">
        <v>3</v>
      </c>
      <c r="U2811" s="4">
        <f>IF(AND(Table1[[#This Row],[Rework_Flag]]="Yes",Table1[[#This Row],[Warranty_Claim]]="No"),Table1[[#This Row],[Service_Revenue]],0)</f>
        <v>0</v>
      </c>
      <c r="V2811" s="4">
        <f>IF(Table1[[#This Row],[Warranty_Claim]]="Yes",1,0)</f>
        <v>1</v>
      </c>
      <c r="W2811" s="4">
        <f>IF(Table1[[#This Row],[Rework_Flag]]="No",1,0)</f>
        <v>0</v>
      </c>
      <c r="X2811" s="4">
        <f>IF(Table1[[#This Row],[Rework_Flag]]="Yes",1,0)</f>
        <v>1</v>
      </c>
      <c r="Y2811" s="4">
        <v>1</v>
      </c>
      <c r="Z2811" s="4" t="str">
        <f>IF(Table1[[#This Row],[TAT_Days]]&gt;Table1[[#This Row],[SLA_TAT]],"Yes","No")</f>
        <v>No</v>
      </c>
      <c r="AA2811" s="4" t="str" cm="1">
        <f t="array" ref="AA2811">_xlfn.IFS(Table1[[#This Row],[Customer_Satisfaction]]&lt;=2,"Poor",Table1[[#This Row],[Customer_Satisfaction]]=3,"Neutral",Table1[[#This Row],[Customer_Satisfaction]]=4,"Good",Table1[[#This Row],[Customer_Satisfaction]]=5,"Good")</f>
        <v>Neutral</v>
      </c>
    </row>
    <row r="2812" spans="1:27" x14ac:dyDescent="0.35">
      <c r="A2812">
        <v>22810</v>
      </c>
      <c r="B2812" s="1">
        <v>45429</v>
      </c>
      <c r="C2812" t="s">
        <v>50</v>
      </c>
      <c r="D2812" t="s">
        <v>56</v>
      </c>
      <c r="E2812" t="s">
        <v>88</v>
      </c>
      <c r="F2812" t="s">
        <v>22</v>
      </c>
      <c r="G2812" t="s">
        <v>41</v>
      </c>
      <c r="H2812" t="s">
        <v>42</v>
      </c>
      <c r="I2812" t="s">
        <v>55</v>
      </c>
      <c r="J2812" t="s">
        <v>67</v>
      </c>
      <c r="K2812" t="s">
        <v>27</v>
      </c>
      <c r="L2812" t="s">
        <v>28</v>
      </c>
      <c r="M2812" s="4">
        <v>25</v>
      </c>
      <c r="N2812" s="4">
        <v>7</v>
      </c>
      <c r="O2812" t="s">
        <v>29</v>
      </c>
      <c r="P2812" t="s">
        <v>36</v>
      </c>
      <c r="Q2812" s="4">
        <v>197090</v>
      </c>
      <c r="R2812" s="4">
        <v>149848</v>
      </c>
      <c r="S2812" s="4">
        <f>Table1[[#This Row],[Service_Revenue]]-Table1[[#This Row],[Service_Cost]]</f>
        <v>47242</v>
      </c>
      <c r="T2812" s="4">
        <v>1</v>
      </c>
      <c r="U2812" s="4">
        <f>IF(AND(Table1[[#This Row],[Rework_Flag]]="Yes",Table1[[#This Row],[Warranty_Claim]]="No"),Table1[[#This Row],[Service_Revenue]],0)</f>
        <v>197090</v>
      </c>
      <c r="V2812" s="4">
        <f>IF(Table1[[#This Row],[Warranty_Claim]]="Yes",1,0)</f>
        <v>0</v>
      </c>
      <c r="W2812" s="4">
        <f>IF(Table1[[#This Row],[Rework_Flag]]="No",1,0)</f>
        <v>0</v>
      </c>
      <c r="X2812" s="4">
        <f>IF(Table1[[#This Row],[Rework_Flag]]="Yes",1,0)</f>
        <v>1</v>
      </c>
      <c r="Y2812" s="4">
        <v>1</v>
      </c>
      <c r="Z2812" s="4" t="str">
        <f>IF(Table1[[#This Row],[TAT_Days]]&gt;Table1[[#This Row],[SLA_TAT]],"Yes","No")</f>
        <v>Yes</v>
      </c>
      <c r="AA2812" s="4" t="str" cm="1">
        <f t="array" ref="AA2812">_xlfn.IFS(Table1[[#This Row],[Customer_Satisfaction]]&lt;=2,"Poor",Table1[[#This Row],[Customer_Satisfaction]]=3,"Neutral",Table1[[#This Row],[Customer_Satisfaction]]=4,"Good",Table1[[#This Row],[Customer_Satisfaction]]=5,"Good")</f>
        <v>Poor</v>
      </c>
    </row>
    <row r="2813" spans="1:27" x14ac:dyDescent="0.35">
      <c r="A2813">
        <v>22811</v>
      </c>
      <c r="B2813" s="1">
        <v>45360</v>
      </c>
      <c r="C2813" t="s">
        <v>19</v>
      </c>
      <c r="D2813" t="s">
        <v>96</v>
      </c>
      <c r="E2813" t="s">
        <v>108</v>
      </c>
      <c r="F2813" t="s">
        <v>22</v>
      </c>
      <c r="G2813" t="s">
        <v>63</v>
      </c>
      <c r="H2813" t="s">
        <v>24</v>
      </c>
      <c r="I2813" t="s">
        <v>25</v>
      </c>
      <c r="J2813" t="s">
        <v>58</v>
      </c>
      <c r="K2813" t="s">
        <v>61</v>
      </c>
      <c r="L2813" t="s">
        <v>28</v>
      </c>
      <c r="M2813" s="4">
        <v>2</v>
      </c>
      <c r="N2813" s="4">
        <v>7</v>
      </c>
      <c r="O2813" t="s">
        <v>36</v>
      </c>
      <c r="P2813" t="s">
        <v>36</v>
      </c>
      <c r="Q2813" s="4">
        <v>107762</v>
      </c>
      <c r="R2813" s="4">
        <v>71810</v>
      </c>
      <c r="S2813" s="4">
        <f>Table1[[#This Row],[Service_Revenue]]-Table1[[#This Row],[Service_Cost]]</f>
        <v>35952</v>
      </c>
      <c r="T2813" s="4">
        <v>5</v>
      </c>
      <c r="U2813" s="4">
        <f>IF(AND(Table1[[#This Row],[Rework_Flag]]="Yes",Table1[[#This Row],[Warranty_Claim]]="No"),Table1[[#This Row],[Service_Revenue]],0)</f>
        <v>0</v>
      </c>
      <c r="V2813" s="4">
        <f>IF(Table1[[#This Row],[Warranty_Claim]]="Yes",1,0)</f>
        <v>0</v>
      </c>
      <c r="W2813" s="4">
        <f>IF(Table1[[#This Row],[Rework_Flag]]="No",1,0)</f>
        <v>1</v>
      </c>
      <c r="X2813" s="4">
        <f>IF(Table1[[#This Row],[Rework_Flag]]="Yes",1,0)</f>
        <v>0</v>
      </c>
      <c r="Y2813" s="4">
        <v>1</v>
      </c>
      <c r="Z2813" s="4" t="str">
        <f>IF(Table1[[#This Row],[TAT_Days]]&gt;Table1[[#This Row],[SLA_TAT]],"Yes","No")</f>
        <v>No</v>
      </c>
      <c r="AA2813" s="4" t="str" cm="1">
        <f t="array" ref="AA2813">_xlfn.IFS(Table1[[#This Row],[Customer_Satisfaction]]&lt;=2,"Poor",Table1[[#This Row],[Customer_Satisfaction]]=3,"Neutral",Table1[[#This Row],[Customer_Satisfaction]]=4,"Good",Table1[[#This Row],[Customer_Satisfaction]]=5,"Good")</f>
        <v>Good</v>
      </c>
    </row>
    <row r="2814" spans="1:27" x14ac:dyDescent="0.35">
      <c r="A2814">
        <v>22812</v>
      </c>
      <c r="B2814" s="1">
        <v>45442</v>
      </c>
      <c r="C2814" t="s">
        <v>30</v>
      </c>
      <c r="D2814" t="s">
        <v>83</v>
      </c>
      <c r="E2814" t="s">
        <v>90</v>
      </c>
      <c r="F2814" t="s">
        <v>22</v>
      </c>
      <c r="G2814" t="s">
        <v>33</v>
      </c>
      <c r="H2814" t="s">
        <v>34</v>
      </c>
      <c r="I2814" t="s">
        <v>55</v>
      </c>
      <c r="J2814" t="s">
        <v>43</v>
      </c>
      <c r="K2814" t="s">
        <v>44</v>
      </c>
      <c r="L2814" t="s">
        <v>28</v>
      </c>
      <c r="M2814" s="4">
        <v>5</v>
      </c>
      <c r="N2814" s="4">
        <v>7</v>
      </c>
      <c r="O2814" t="s">
        <v>36</v>
      </c>
      <c r="P2814" t="s">
        <v>29</v>
      </c>
      <c r="Q2814" s="4">
        <v>349414</v>
      </c>
      <c r="R2814" s="4">
        <v>216246</v>
      </c>
      <c r="S2814" s="4">
        <f>Table1[[#This Row],[Service_Revenue]]-Table1[[#This Row],[Service_Cost]]</f>
        <v>133168</v>
      </c>
      <c r="T2814" s="4">
        <v>4</v>
      </c>
      <c r="U2814" s="4">
        <f>IF(AND(Table1[[#This Row],[Rework_Flag]]="Yes",Table1[[#This Row],[Warranty_Claim]]="No"),Table1[[#This Row],[Service_Revenue]],0)</f>
        <v>0</v>
      </c>
      <c r="V2814" s="4">
        <f>IF(Table1[[#This Row],[Warranty_Claim]]="Yes",1,0)</f>
        <v>1</v>
      </c>
      <c r="W2814" s="4">
        <f>IF(Table1[[#This Row],[Rework_Flag]]="No",1,0)</f>
        <v>1</v>
      </c>
      <c r="X2814" s="4">
        <f>IF(Table1[[#This Row],[Rework_Flag]]="Yes",1,0)</f>
        <v>0</v>
      </c>
      <c r="Y2814" s="4">
        <v>1</v>
      </c>
      <c r="Z2814" s="4" t="str">
        <f>IF(Table1[[#This Row],[TAT_Days]]&gt;Table1[[#This Row],[SLA_TAT]],"Yes","No")</f>
        <v>No</v>
      </c>
      <c r="AA2814" s="4" t="str" cm="1">
        <f t="array" ref="AA2814">_xlfn.IFS(Table1[[#This Row],[Customer_Satisfaction]]&lt;=2,"Poor",Table1[[#This Row],[Customer_Satisfaction]]=3,"Neutral",Table1[[#This Row],[Customer_Satisfaction]]=4,"Good",Table1[[#This Row],[Customer_Satisfaction]]=5,"Good")</f>
        <v>Good</v>
      </c>
    </row>
    <row r="2815" spans="1:27" x14ac:dyDescent="0.35">
      <c r="A2815">
        <v>22813</v>
      </c>
      <c r="B2815" s="1">
        <v>45384</v>
      </c>
      <c r="C2815" t="s">
        <v>19</v>
      </c>
      <c r="D2815" t="s">
        <v>20</v>
      </c>
      <c r="E2815" t="s">
        <v>110</v>
      </c>
      <c r="F2815" t="s">
        <v>53</v>
      </c>
      <c r="G2815" t="s">
        <v>74</v>
      </c>
      <c r="H2815" t="s">
        <v>34</v>
      </c>
      <c r="I2815" t="s">
        <v>25</v>
      </c>
      <c r="J2815" t="s">
        <v>67</v>
      </c>
      <c r="K2815" t="s">
        <v>27</v>
      </c>
      <c r="L2815" t="s">
        <v>28</v>
      </c>
      <c r="M2815" s="4">
        <v>13</v>
      </c>
      <c r="N2815" s="4">
        <v>7</v>
      </c>
      <c r="O2815" t="s">
        <v>29</v>
      </c>
      <c r="P2815" t="s">
        <v>36</v>
      </c>
      <c r="Q2815" s="4">
        <v>123853</v>
      </c>
      <c r="R2815" s="4">
        <v>94621</v>
      </c>
      <c r="S2815" s="4">
        <f>Table1[[#This Row],[Service_Revenue]]-Table1[[#This Row],[Service_Cost]]</f>
        <v>29232</v>
      </c>
      <c r="T2815" s="4">
        <v>2</v>
      </c>
      <c r="U2815" s="4">
        <f>IF(AND(Table1[[#This Row],[Rework_Flag]]="Yes",Table1[[#This Row],[Warranty_Claim]]="No"),Table1[[#This Row],[Service_Revenue]],0)</f>
        <v>123853</v>
      </c>
      <c r="V2815" s="4">
        <f>IF(Table1[[#This Row],[Warranty_Claim]]="Yes",1,0)</f>
        <v>0</v>
      </c>
      <c r="W2815" s="4">
        <f>IF(Table1[[#This Row],[Rework_Flag]]="No",1,0)</f>
        <v>0</v>
      </c>
      <c r="X2815" s="4">
        <f>IF(Table1[[#This Row],[Rework_Flag]]="Yes",1,0)</f>
        <v>1</v>
      </c>
      <c r="Y2815" s="4">
        <v>1</v>
      </c>
      <c r="Z2815" s="4" t="str">
        <f>IF(Table1[[#This Row],[TAT_Days]]&gt;Table1[[#This Row],[SLA_TAT]],"Yes","No")</f>
        <v>Yes</v>
      </c>
      <c r="AA2815" s="4" t="str" cm="1">
        <f t="array" ref="AA2815">_xlfn.IFS(Table1[[#This Row],[Customer_Satisfaction]]&lt;=2,"Poor",Table1[[#This Row],[Customer_Satisfaction]]=3,"Neutral",Table1[[#This Row],[Customer_Satisfaction]]=4,"Good",Table1[[#This Row],[Customer_Satisfaction]]=5,"Good")</f>
        <v>Poor</v>
      </c>
    </row>
    <row r="2816" spans="1:27" x14ac:dyDescent="0.35">
      <c r="A2816">
        <v>22814</v>
      </c>
      <c r="B2816" s="1">
        <v>45403</v>
      </c>
      <c r="C2816" t="s">
        <v>30</v>
      </c>
      <c r="D2816" t="s">
        <v>31</v>
      </c>
      <c r="E2816" t="s">
        <v>106</v>
      </c>
      <c r="F2816" t="s">
        <v>22</v>
      </c>
      <c r="G2816" t="s">
        <v>74</v>
      </c>
      <c r="H2816" t="s">
        <v>34</v>
      </c>
      <c r="I2816" t="s">
        <v>55</v>
      </c>
      <c r="J2816" t="s">
        <v>43</v>
      </c>
      <c r="K2816" t="s">
        <v>61</v>
      </c>
      <c r="L2816" t="s">
        <v>28</v>
      </c>
      <c r="M2816" s="4">
        <v>17</v>
      </c>
      <c r="N2816" s="4">
        <v>7</v>
      </c>
      <c r="O2816" t="s">
        <v>36</v>
      </c>
      <c r="P2816" t="s">
        <v>29</v>
      </c>
      <c r="Q2816" s="4">
        <v>332153</v>
      </c>
      <c r="R2816" s="4">
        <v>208303</v>
      </c>
      <c r="S2816" s="4">
        <f>Table1[[#This Row],[Service_Revenue]]-Table1[[#This Row],[Service_Cost]]</f>
        <v>123850</v>
      </c>
      <c r="T2816" s="4">
        <v>2</v>
      </c>
      <c r="U2816" s="4">
        <f>IF(AND(Table1[[#This Row],[Rework_Flag]]="Yes",Table1[[#This Row],[Warranty_Claim]]="No"),Table1[[#This Row],[Service_Revenue]],0)</f>
        <v>0</v>
      </c>
      <c r="V2816" s="4">
        <f>IF(Table1[[#This Row],[Warranty_Claim]]="Yes",1,0)</f>
        <v>1</v>
      </c>
      <c r="W2816" s="4">
        <f>IF(Table1[[#This Row],[Rework_Flag]]="No",1,0)</f>
        <v>1</v>
      </c>
      <c r="X2816" s="4">
        <f>IF(Table1[[#This Row],[Rework_Flag]]="Yes",1,0)</f>
        <v>0</v>
      </c>
      <c r="Y2816" s="4">
        <v>1</v>
      </c>
      <c r="Z2816" s="4" t="str">
        <f>IF(Table1[[#This Row],[TAT_Days]]&gt;Table1[[#This Row],[SLA_TAT]],"Yes","No")</f>
        <v>Yes</v>
      </c>
      <c r="AA2816" s="4" t="str" cm="1">
        <f t="array" ref="AA2816">_xlfn.IFS(Table1[[#This Row],[Customer_Satisfaction]]&lt;=2,"Poor",Table1[[#This Row],[Customer_Satisfaction]]=3,"Neutral",Table1[[#This Row],[Customer_Satisfaction]]=4,"Good",Table1[[#This Row],[Customer_Satisfaction]]=5,"Good")</f>
        <v>Poor</v>
      </c>
    </row>
    <row r="2817" spans="1:27" x14ac:dyDescent="0.35">
      <c r="A2817">
        <v>22815</v>
      </c>
      <c r="B2817" s="1">
        <v>45307</v>
      </c>
      <c r="C2817" t="s">
        <v>37</v>
      </c>
      <c r="D2817" t="s">
        <v>38</v>
      </c>
      <c r="E2817" t="s">
        <v>107</v>
      </c>
      <c r="F2817" t="s">
        <v>22</v>
      </c>
      <c r="G2817" t="s">
        <v>33</v>
      </c>
      <c r="H2817" t="s">
        <v>34</v>
      </c>
      <c r="I2817" t="s">
        <v>55</v>
      </c>
      <c r="J2817" t="s">
        <v>26</v>
      </c>
      <c r="K2817" t="s">
        <v>61</v>
      </c>
      <c r="L2817" t="s">
        <v>49</v>
      </c>
      <c r="M2817" s="4">
        <v>8</v>
      </c>
      <c r="N2817" s="4">
        <v>7</v>
      </c>
      <c r="O2817" t="s">
        <v>36</v>
      </c>
      <c r="P2817" t="s">
        <v>36</v>
      </c>
      <c r="Q2817" s="4">
        <v>132041</v>
      </c>
      <c r="R2817" s="4">
        <v>111908</v>
      </c>
      <c r="S2817" s="4">
        <f>Table1[[#This Row],[Service_Revenue]]-Table1[[#This Row],[Service_Cost]]</f>
        <v>20133</v>
      </c>
      <c r="T2817" s="4">
        <v>4</v>
      </c>
      <c r="U2817" s="4">
        <f>IF(AND(Table1[[#This Row],[Rework_Flag]]="Yes",Table1[[#This Row],[Warranty_Claim]]="No"),Table1[[#This Row],[Service_Revenue]],0)</f>
        <v>0</v>
      </c>
      <c r="V2817" s="4">
        <f>IF(Table1[[#This Row],[Warranty_Claim]]="Yes",1,0)</f>
        <v>0</v>
      </c>
      <c r="W2817" s="4">
        <f>IF(Table1[[#This Row],[Rework_Flag]]="No",1,0)</f>
        <v>1</v>
      </c>
      <c r="X2817" s="4">
        <f>IF(Table1[[#This Row],[Rework_Flag]]="Yes",1,0)</f>
        <v>0</v>
      </c>
      <c r="Y2817" s="4">
        <v>1</v>
      </c>
      <c r="Z2817" s="4" t="str">
        <f>IF(Table1[[#This Row],[TAT_Days]]&gt;Table1[[#This Row],[SLA_TAT]],"Yes","No")</f>
        <v>Yes</v>
      </c>
      <c r="AA2817" s="4" t="str" cm="1">
        <f t="array" ref="AA2817">_xlfn.IFS(Table1[[#This Row],[Customer_Satisfaction]]&lt;=2,"Poor",Table1[[#This Row],[Customer_Satisfaction]]=3,"Neutral",Table1[[#This Row],[Customer_Satisfaction]]=4,"Good",Table1[[#This Row],[Customer_Satisfaction]]=5,"Good")</f>
        <v>Good</v>
      </c>
    </row>
    <row r="2818" spans="1:27" x14ac:dyDescent="0.35">
      <c r="A2818">
        <v>22816</v>
      </c>
      <c r="B2818" s="1">
        <v>45426</v>
      </c>
      <c r="C2818" t="s">
        <v>50</v>
      </c>
      <c r="D2818" t="s">
        <v>80</v>
      </c>
      <c r="E2818" t="s">
        <v>118</v>
      </c>
      <c r="F2818" t="s">
        <v>22</v>
      </c>
      <c r="G2818" t="s">
        <v>47</v>
      </c>
      <c r="H2818" t="s">
        <v>48</v>
      </c>
      <c r="I2818" t="s">
        <v>25</v>
      </c>
      <c r="J2818" t="s">
        <v>58</v>
      </c>
      <c r="K2818" t="s">
        <v>61</v>
      </c>
      <c r="L2818" t="s">
        <v>28</v>
      </c>
      <c r="M2818" s="4">
        <v>20</v>
      </c>
      <c r="N2818" s="4">
        <v>7</v>
      </c>
      <c r="O2818" t="s">
        <v>36</v>
      </c>
      <c r="P2818" t="s">
        <v>36</v>
      </c>
      <c r="Q2818" s="4">
        <v>509915</v>
      </c>
      <c r="R2818" s="4">
        <v>400672</v>
      </c>
      <c r="S2818" s="4">
        <f>Table1[[#This Row],[Service_Revenue]]-Table1[[#This Row],[Service_Cost]]</f>
        <v>109243</v>
      </c>
      <c r="T2818" s="4">
        <v>1</v>
      </c>
      <c r="U2818" s="4">
        <f>IF(AND(Table1[[#This Row],[Rework_Flag]]="Yes",Table1[[#This Row],[Warranty_Claim]]="No"),Table1[[#This Row],[Service_Revenue]],0)</f>
        <v>0</v>
      </c>
      <c r="V2818" s="4">
        <f>IF(Table1[[#This Row],[Warranty_Claim]]="Yes",1,0)</f>
        <v>0</v>
      </c>
      <c r="W2818" s="4">
        <f>IF(Table1[[#This Row],[Rework_Flag]]="No",1,0)</f>
        <v>1</v>
      </c>
      <c r="X2818" s="4">
        <f>IF(Table1[[#This Row],[Rework_Flag]]="Yes",1,0)</f>
        <v>0</v>
      </c>
      <c r="Y2818" s="4">
        <v>1</v>
      </c>
      <c r="Z2818" s="4" t="str">
        <f>IF(Table1[[#This Row],[TAT_Days]]&gt;Table1[[#This Row],[SLA_TAT]],"Yes","No")</f>
        <v>Yes</v>
      </c>
      <c r="AA2818" s="4" t="str" cm="1">
        <f t="array" ref="AA2818">_xlfn.IFS(Table1[[#This Row],[Customer_Satisfaction]]&lt;=2,"Poor",Table1[[#This Row],[Customer_Satisfaction]]=3,"Neutral",Table1[[#This Row],[Customer_Satisfaction]]=4,"Good",Table1[[#This Row],[Customer_Satisfaction]]=5,"Good")</f>
        <v>Poor</v>
      </c>
    </row>
    <row r="2819" spans="1:27" x14ac:dyDescent="0.35">
      <c r="A2819">
        <v>22817</v>
      </c>
      <c r="B2819" s="1">
        <v>45382</v>
      </c>
      <c r="C2819" t="s">
        <v>30</v>
      </c>
      <c r="D2819" t="s">
        <v>59</v>
      </c>
      <c r="E2819" t="s">
        <v>60</v>
      </c>
      <c r="F2819" t="s">
        <v>53</v>
      </c>
      <c r="G2819" t="s">
        <v>54</v>
      </c>
      <c r="H2819" t="s">
        <v>42</v>
      </c>
      <c r="I2819" t="s">
        <v>55</v>
      </c>
      <c r="J2819" t="s">
        <v>43</v>
      </c>
      <c r="K2819" t="s">
        <v>61</v>
      </c>
      <c r="L2819" t="s">
        <v>28</v>
      </c>
      <c r="M2819" s="4">
        <v>6</v>
      </c>
      <c r="N2819" s="4">
        <v>7</v>
      </c>
      <c r="O2819" t="s">
        <v>36</v>
      </c>
      <c r="P2819" t="s">
        <v>36</v>
      </c>
      <c r="Q2819" s="4">
        <v>210982</v>
      </c>
      <c r="R2819" s="4">
        <v>171818</v>
      </c>
      <c r="S2819" s="4">
        <f>Table1[[#This Row],[Service_Revenue]]-Table1[[#This Row],[Service_Cost]]</f>
        <v>39164</v>
      </c>
      <c r="T2819" s="4">
        <v>4</v>
      </c>
      <c r="U2819" s="4">
        <f>IF(AND(Table1[[#This Row],[Rework_Flag]]="Yes",Table1[[#This Row],[Warranty_Claim]]="No"),Table1[[#This Row],[Service_Revenue]],0)</f>
        <v>0</v>
      </c>
      <c r="V2819" s="4">
        <f>IF(Table1[[#This Row],[Warranty_Claim]]="Yes",1,0)</f>
        <v>0</v>
      </c>
      <c r="W2819" s="4">
        <f>IF(Table1[[#This Row],[Rework_Flag]]="No",1,0)</f>
        <v>1</v>
      </c>
      <c r="X2819" s="4">
        <f>IF(Table1[[#This Row],[Rework_Flag]]="Yes",1,0)</f>
        <v>0</v>
      </c>
      <c r="Y2819" s="4">
        <v>1</v>
      </c>
      <c r="Z2819" s="4" t="str">
        <f>IF(Table1[[#This Row],[TAT_Days]]&gt;Table1[[#This Row],[SLA_TAT]],"Yes","No")</f>
        <v>No</v>
      </c>
      <c r="AA2819" s="4" t="str" cm="1">
        <f t="array" ref="AA2819">_xlfn.IFS(Table1[[#This Row],[Customer_Satisfaction]]&lt;=2,"Poor",Table1[[#This Row],[Customer_Satisfaction]]=3,"Neutral",Table1[[#This Row],[Customer_Satisfaction]]=4,"Good",Table1[[#This Row],[Customer_Satisfaction]]=5,"Good")</f>
        <v>Good</v>
      </c>
    </row>
    <row r="2820" spans="1:27" x14ac:dyDescent="0.35">
      <c r="A2820">
        <v>22818</v>
      </c>
      <c r="B2820" s="1">
        <v>45466</v>
      </c>
      <c r="C2820" t="s">
        <v>19</v>
      </c>
      <c r="D2820" t="s">
        <v>45</v>
      </c>
      <c r="E2820" t="s">
        <v>76</v>
      </c>
      <c r="F2820" t="s">
        <v>53</v>
      </c>
      <c r="G2820" t="s">
        <v>33</v>
      </c>
      <c r="H2820" t="s">
        <v>34</v>
      </c>
      <c r="I2820" t="s">
        <v>55</v>
      </c>
      <c r="J2820" t="s">
        <v>35</v>
      </c>
      <c r="K2820" t="s">
        <v>61</v>
      </c>
      <c r="L2820" t="s">
        <v>49</v>
      </c>
      <c r="M2820" s="4">
        <v>17</v>
      </c>
      <c r="N2820" s="4">
        <v>7</v>
      </c>
      <c r="O2820" t="s">
        <v>36</v>
      </c>
      <c r="P2820" t="s">
        <v>36</v>
      </c>
      <c r="Q2820" s="4">
        <v>501755</v>
      </c>
      <c r="R2820" s="4">
        <v>356627</v>
      </c>
      <c r="S2820" s="4">
        <f>Table1[[#This Row],[Service_Revenue]]-Table1[[#This Row],[Service_Cost]]</f>
        <v>145128</v>
      </c>
      <c r="T2820" s="4">
        <v>2</v>
      </c>
      <c r="U2820" s="4">
        <f>IF(AND(Table1[[#This Row],[Rework_Flag]]="Yes",Table1[[#This Row],[Warranty_Claim]]="No"),Table1[[#This Row],[Service_Revenue]],0)</f>
        <v>0</v>
      </c>
      <c r="V2820" s="4">
        <f>IF(Table1[[#This Row],[Warranty_Claim]]="Yes",1,0)</f>
        <v>0</v>
      </c>
      <c r="W2820" s="4">
        <f>IF(Table1[[#This Row],[Rework_Flag]]="No",1,0)</f>
        <v>1</v>
      </c>
      <c r="X2820" s="4">
        <f>IF(Table1[[#This Row],[Rework_Flag]]="Yes",1,0)</f>
        <v>0</v>
      </c>
      <c r="Y2820" s="4">
        <v>1</v>
      </c>
      <c r="Z2820" s="4" t="str">
        <f>IF(Table1[[#This Row],[TAT_Days]]&gt;Table1[[#This Row],[SLA_TAT]],"Yes","No")</f>
        <v>Yes</v>
      </c>
      <c r="AA2820" s="4" t="str" cm="1">
        <f t="array" ref="AA2820">_xlfn.IFS(Table1[[#This Row],[Customer_Satisfaction]]&lt;=2,"Poor",Table1[[#This Row],[Customer_Satisfaction]]=3,"Neutral",Table1[[#This Row],[Customer_Satisfaction]]=4,"Good",Table1[[#This Row],[Customer_Satisfaction]]=5,"Good")</f>
        <v>Poor</v>
      </c>
    </row>
    <row r="2821" spans="1:27" x14ac:dyDescent="0.35">
      <c r="A2821">
        <v>22819</v>
      </c>
      <c r="B2821" s="1">
        <v>45468</v>
      </c>
      <c r="C2821" t="s">
        <v>50</v>
      </c>
      <c r="D2821" t="s">
        <v>56</v>
      </c>
      <c r="E2821" t="s">
        <v>101</v>
      </c>
      <c r="F2821" t="s">
        <v>53</v>
      </c>
      <c r="G2821" t="s">
        <v>54</v>
      </c>
      <c r="H2821" t="s">
        <v>42</v>
      </c>
      <c r="I2821" t="s">
        <v>25</v>
      </c>
      <c r="J2821" t="s">
        <v>26</v>
      </c>
      <c r="K2821" t="s">
        <v>61</v>
      </c>
      <c r="L2821" t="s">
        <v>49</v>
      </c>
      <c r="M2821" s="4">
        <v>8</v>
      </c>
      <c r="N2821" s="4">
        <v>7</v>
      </c>
      <c r="O2821" t="s">
        <v>29</v>
      </c>
      <c r="P2821" t="s">
        <v>29</v>
      </c>
      <c r="Q2821" s="4">
        <v>542369</v>
      </c>
      <c r="R2821" s="4">
        <v>363362</v>
      </c>
      <c r="S2821" s="4">
        <f>Table1[[#This Row],[Service_Revenue]]-Table1[[#This Row],[Service_Cost]]</f>
        <v>179007</v>
      </c>
      <c r="T2821" s="4">
        <v>3</v>
      </c>
      <c r="U2821" s="4">
        <f>IF(AND(Table1[[#This Row],[Rework_Flag]]="Yes",Table1[[#This Row],[Warranty_Claim]]="No"),Table1[[#This Row],[Service_Revenue]],0)</f>
        <v>0</v>
      </c>
      <c r="V2821" s="4">
        <f>IF(Table1[[#This Row],[Warranty_Claim]]="Yes",1,0)</f>
        <v>1</v>
      </c>
      <c r="W2821" s="4">
        <f>IF(Table1[[#This Row],[Rework_Flag]]="No",1,0)</f>
        <v>0</v>
      </c>
      <c r="X2821" s="4">
        <f>IF(Table1[[#This Row],[Rework_Flag]]="Yes",1,0)</f>
        <v>1</v>
      </c>
      <c r="Y2821" s="4">
        <v>1</v>
      </c>
      <c r="Z2821" s="4" t="str">
        <f>IF(Table1[[#This Row],[TAT_Days]]&gt;Table1[[#This Row],[SLA_TAT]],"Yes","No")</f>
        <v>Yes</v>
      </c>
      <c r="AA2821" s="4" t="str" cm="1">
        <f t="array" ref="AA2821">_xlfn.IFS(Table1[[#This Row],[Customer_Satisfaction]]&lt;=2,"Poor",Table1[[#This Row],[Customer_Satisfaction]]=3,"Neutral",Table1[[#This Row],[Customer_Satisfaction]]=4,"Good",Table1[[#This Row],[Customer_Satisfaction]]=5,"Good")</f>
        <v>Neutral</v>
      </c>
    </row>
    <row r="2822" spans="1:27" x14ac:dyDescent="0.35">
      <c r="A2822">
        <v>22820</v>
      </c>
      <c r="B2822" s="1">
        <v>45426</v>
      </c>
      <c r="C2822" t="s">
        <v>19</v>
      </c>
      <c r="D2822" t="s">
        <v>45</v>
      </c>
      <c r="E2822" t="s">
        <v>99</v>
      </c>
      <c r="F2822" t="s">
        <v>22</v>
      </c>
      <c r="G2822" t="s">
        <v>54</v>
      </c>
      <c r="H2822" t="s">
        <v>42</v>
      </c>
      <c r="I2822" t="s">
        <v>55</v>
      </c>
      <c r="J2822" t="s">
        <v>58</v>
      </c>
      <c r="K2822" t="s">
        <v>27</v>
      </c>
      <c r="L2822" t="s">
        <v>28</v>
      </c>
      <c r="M2822" s="4">
        <v>16</v>
      </c>
      <c r="N2822" s="4">
        <v>7</v>
      </c>
      <c r="O2822" t="s">
        <v>29</v>
      </c>
      <c r="P2822" t="s">
        <v>36</v>
      </c>
      <c r="Q2822" s="4">
        <v>372542</v>
      </c>
      <c r="R2822" s="4">
        <v>300891</v>
      </c>
      <c r="S2822" s="4">
        <f>Table1[[#This Row],[Service_Revenue]]-Table1[[#This Row],[Service_Cost]]</f>
        <v>71651</v>
      </c>
      <c r="T2822" s="4">
        <v>1</v>
      </c>
      <c r="U2822" s="4">
        <f>IF(AND(Table1[[#This Row],[Rework_Flag]]="Yes",Table1[[#This Row],[Warranty_Claim]]="No"),Table1[[#This Row],[Service_Revenue]],0)</f>
        <v>372542</v>
      </c>
      <c r="V2822" s="4">
        <f>IF(Table1[[#This Row],[Warranty_Claim]]="Yes",1,0)</f>
        <v>0</v>
      </c>
      <c r="W2822" s="4">
        <f>IF(Table1[[#This Row],[Rework_Flag]]="No",1,0)</f>
        <v>0</v>
      </c>
      <c r="X2822" s="4">
        <f>IF(Table1[[#This Row],[Rework_Flag]]="Yes",1,0)</f>
        <v>1</v>
      </c>
      <c r="Y2822" s="4">
        <v>1</v>
      </c>
      <c r="Z2822" s="4" t="str">
        <f>IF(Table1[[#This Row],[TAT_Days]]&gt;Table1[[#This Row],[SLA_TAT]],"Yes","No")</f>
        <v>Yes</v>
      </c>
      <c r="AA2822" s="4" t="str" cm="1">
        <f t="array" ref="AA2822">_xlfn.IFS(Table1[[#This Row],[Customer_Satisfaction]]&lt;=2,"Poor",Table1[[#This Row],[Customer_Satisfaction]]=3,"Neutral",Table1[[#This Row],[Customer_Satisfaction]]=4,"Good",Table1[[#This Row],[Customer_Satisfaction]]=5,"Good")</f>
        <v>Poor</v>
      </c>
    </row>
    <row r="2823" spans="1:27" x14ac:dyDescent="0.35">
      <c r="A2823">
        <v>22821</v>
      </c>
      <c r="B2823" s="1">
        <v>45383</v>
      </c>
      <c r="C2823" t="s">
        <v>37</v>
      </c>
      <c r="D2823" t="s">
        <v>70</v>
      </c>
      <c r="E2823" t="s">
        <v>71</v>
      </c>
      <c r="F2823" t="s">
        <v>53</v>
      </c>
      <c r="G2823" t="s">
        <v>33</v>
      </c>
      <c r="H2823" t="s">
        <v>34</v>
      </c>
      <c r="I2823" t="s">
        <v>55</v>
      </c>
      <c r="J2823" t="s">
        <v>35</v>
      </c>
      <c r="K2823" t="s">
        <v>44</v>
      </c>
      <c r="L2823" t="s">
        <v>28</v>
      </c>
      <c r="M2823" s="4">
        <v>8</v>
      </c>
      <c r="N2823" s="4">
        <v>7</v>
      </c>
      <c r="O2823" t="s">
        <v>36</v>
      </c>
      <c r="P2823" t="s">
        <v>29</v>
      </c>
      <c r="Q2823" s="4">
        <v>410471</v>
      </c>
      <c r="R2823" s="4">
        <v>315204</v>
      </c>
      <c r="S2823" s="4">
        <f>Table1[[#This Row],[Service_Revenue]]-Table1[[#This Row],[Service_Cost]]</f>
        <v>95267</v>
      </c>
      <c r="T2823" s="4">
        <v>4</v>
      </c>
      <c r="U2823" s="4">
        <f>IF(AND(Table1[[#This Row],[Rework_Flag]]="Yes",Table1[[#This Row],[Warranty_Claim]]="No"),Table1[[#This Row],[Service_Revenue]],0)</f>
        <v>0</v>
      </c>
      <c r="V2823" s="4">
        <f>IF(Table1[[#This Row],[Warranty_Claim]]="Yes",1,0)</f>
        <v>1</v>
      </c>
      <c r="W2823" s="4">
        <f>IF(Table1[[#This Row],[Rework_Flag]]="No",1,0)</f>
        <v>1</v>
      </c>
      <c r="X2823" s="4">
        <f>IF(Table1[[#This Row],[Rework_Flag]]="Yes",1,0)</f>
        <v>0</v>
      </c>
      <c r="Y2823" s="4">
        <v>1</v>
      </c>
      <c r="Z2823" s="4" t="str">
        <f>IF(Table1[[#This Row],[TAT_Days]]&gt;Table1[[#This Row],[SLA_TAT]],"Yes","No")</f>
        <v>Yes</v>
      </c>
      <c r="AA2823" s="4" t="str" cm="1">
        <f t="array" ref="AA2823">_xlfn.IFS(Table1[[#This Row],[Customer_Satisfaction]]&lt;=2,"Poor",Table1[[#This Row],[Customer_Satisfaction]]=3,"Neutral",Table1[[#This Row],[Customer_Satisfaction]]=4,"Good",Table1[[#This Row],[Customer_Satisfaction]]=5,"Good")</f>
        <v>Good</v>
      </c>
    </row>
    <row r="2824" spans="1:27" x14ac:dyDescent="0.35">
      <c r="A2824">
        <v>22822</v>
      </c>
      <c r="B2824" s="1">
        <v>45415</v>
      </c>
      <c r="C2824" t="s">
        <v>19</v>
      </c>
      <c r="D2824" t="s">
        <v>20</v>
      </c>
      <c r="E2824" t="s">
        <v>89</v>
      </c>
      <c r="F2824" t="s">
        <v>53</v>
      </c>
      <c r="G2824" t="s">
        <v>74</v>
      </c>
      <c r="H2824" t="s">
        <v>34</v>
      </c>
      <c r="I2824" t="s">
        <v>25</v>
      </c>
      <c r="J2824" t="s">
        <v>58</v>
      </c>
      <c r="K2824" t="s">
        <v>27</v>
      </c>
      <c r="L2824" t="s">
        <v>28</v>
      </c>
      <c r="M2824" s="4">
        <v>3</v>
      </c>
      <c r="N2824" s="4">
        <v>7</v>
      </c>
      <c r="O2824" t="s">
        <v>36</v>
      </c>
      <c r="P2824" t="s">
        <v>36</v>
      </c>
      <c r="Q2824" s="4">
        <v>493916</v>
      </c>
      <c r="R2824" s="4">
        <v>282002</v>
      </c>
      <c r="S2824" s="4">
        <f>Table1[[#This Row],[Service_Revenue]]-Table1[[#This Row],[Service_Cost]]</f>
        <v>211914</v>
      </c>
      <c r="T2824" s="4">
        <v>5</v>
      </c>
      <c r="U2824" s="4">
        <f>IF(AND(Table1[[#This Row],[Rework_Flag]]="Yes",Table1[[#This Row],[Warranty_Claim]]="No"),Table1[[#This Row],[Service_Revenue]],0)</f>
        <v>0</v>
      </c>
      <c r="V2824" s="4">
        <f>IF(Table1[[#This Row],[Warranty_Claim]]="Yes",1,0)</f>
        <v>0</v>
      </c>
      <c r="W2824" s="4">
        <f>IF(Table1[[#This Row],[Rework_Flag]]="No",1,0)</f>
        <v>1</v>
      </c>
      <c r="X2824" s="4">
        <f>IF(Table1[[#This Row],[Rework_Flag]]="Yes",1,0)</f>
        <v>0</v>
      </c>
      <c r="Y2824" s="4">
        <v>1</v>
      </c>
      <c r="Z2824" s="4" t="str">
        <f>IF(Table1[[#This Row],[TAT_Days]]&gt;Table1[[#This Row],[SLA_TAT]],"Yes","No")</f>
        <v>No</v>
      </c>
      <c r="AA2824" s="4" t="str" cm="1">
        <f t="array" ref="AA2824">_xlfn.IFS(Table1[[#This Row],[Customer_Satisfaction]]&lt;=2,"Poor",Table1[[#This Row],[Customer_Satisfaction]]=3,"Neutral",Table1[[#This Row],[Customer_Satisfaction]]=4,"Good",Table1[[#This Row],[Customer_Satisfaction]]=5,"Good")</f>
        <v>Good</v>
      </c>
    </row>
    <row r="2825" spans="1:27" x14ac:dyDescent="0.35">
      <c r="A2825">
        <v>22823</v>
      </c>
      <c r="B2825" s="1">
        <v>45293</v>
      </c>
      <c r="C2825" t="s">
        <v>50</v>
      </c>
      <c r="D2825" t="s">
        <v>56</v>
      </c>
      <c r="E2825" t="s">
        <v>68</v>
      </c>
      <c r="F2825" t="s">
        <v>40</v>
      </c>
      <c r="G2825" t="s">
        <v>23</v>
      </c>
      <c r="H2825" t="s">
        <v>24</v>
      </c>
      <c r="I2825" t="s">
        <v>55</v>
      </c>
      <c r="J2825" t="s">
        <v>58</v>
      </c>
      <c r="K2825" t="s">
        <v>27</v>
      </c>
      <c r="L2825" t="s">
        <v>28</v>
      </c>
      <c r="M2825" s="4">
        <v>2</v>
      </c>
      <c r="N2825" s="4">
        <v>7</v>
      </c>
      <c r="O2825" t="s">
        <v>29</v>
      </c>
      <c r="P2825" t="s">
        <v>36</v>
      </c>
      <c r="Q2825" s="4">
        <v>132689</v>
      </c>
      <c r="R2825" s="4">
        <v>110173</v>
      </c>
      <c r="S2825" s="4">
        <f>Table1[[#This Row],[Service_Revenue]]-Table1[[#This Row],[Service_Cost]]</f>
        <v>22516</v>
      </c>
      <c r="T2825" s="4">
        <v>4</v>
      </c>
      <c r="U2825" s="4">
        <f>IF(AND(Table1[[#This Row],[Rework_Flag]]="Yes",Table1[[#This Row],[Warranty_Claim]]="No"),Table1[[#This Row],[Service_Revenue]],0)</f>
        <v>132689</v>
      </c>
      <c r="V2825" s="4">
        <f>IF(Table1[[#This Row],[Warranty_Claim]]="Yes",1,0)</f>
        <v>0</v>
      </c>
      <c r="W2825" s="4">
        <f>IF(Table1[[#This Row],[Rework_Flag]]="No",1,0)</f>
        <v>0</v>
      </c>
      <c r="X2825" s="4">
        <f>IF(Table1[[#This Row],[Rework_Flag]]="Yes",1,0)</f>
        <v>1</v>
      </c>
      <c r="Y2825" s="4">
        <v>1</v>
      </c>
      <c r="Z2825" s="4" t="str">
        <f>IF(Table1[[#This Row],[TAT_Days]]&gt;Table1[[#This Row],[SLA_TAT]],"Yes","No")</f>
        <v>No</v>
      </c>
      <c r="AA2825" s="4" t="str" cm="1">
        <f t="array" ref="AA2825">_xlfn.IFS(Table1[[#This Row],[Customer_Satisfaction]]&lt;=2,"Poor",Table1[[#This Row],[Customer_Satisfaction]]=3,"Neutral",Table1[[#This Row],[Customer_Satisfaction]]=4,"Good",Table1[[#This Row],[Customer_Satisfaction]]=5,"Good")</f>
        <v>Good</v>
      </c>
    </row>
    <row r="2826" spans="1:27" x14ac:dyDescent="0.35">
      <c r="A2826">
        <v>22824</v>
      </c>
      <c r="B2826" s="1">
        <v>45453</v>
      </c>
      <c r="C2826" t="s">
        <v>30</v>
      </c>
      <c r="D2826" t="s">
        <v>83</v>
      </c>
      <c r="E2826" t="s">
        <v>90</v>
      </c>
      <c r="F2826" t="s">
        <v>22</v>
      </c>
      <c r="G2826" t="s">
        <v>41</v>
      </c>
      <c r="H2826" t="s">
        <v>42</v>
      </c>
      <c r="I2826" t="s">
        <v>55</v>
      </c>
      <c r="J2826" t="s">
        <v>67</v>
      </c>
      <c r="K2826" t="s">
        <v>27</v>
      </c>
      <c r="L2826" t="s">
        <v>28</v>
      </c>
      <c r="M2826" s="4">
        <v>10</v>
      </c>
      <c r="N2826" s="4">
        <v>7</v>
      </c>
      <c r="O2826" t="s">
        <v>36</v>
      </c>
      <c r="P2826" t="s">
        <v>29</v>
      </c>
      <c r="Q2826" s="4">
        <v>355347</v>
      </c>
      <c r="R2826" s="4">
        <v>242110</v>
      </c>
      <c r="S2826" s="4">
        <f>Table1[[#This Row],[Service_Revenue]]-Table1[[#This Row],[Service_Cost]]</f>
        <v>113237</v>
      </c>
      <c r="T2826" s="4">
        <v>3</v>
      </c>
      <c r="U2826" s="4">
        <f>IF(AND(Table1[[#This Row],[Rework_Flag]]="Yes",Table1[[#This Row],[Warranty_Claim]]="No"),Table1[[#This Row],[Service_Revenue]],0)</f>
        <v>0</v>
      </c>
      <c r="V2826" s="4">
        <f>IF(Table1[[#This Row],[Warranty_Claim]]="Yes",1,0)</f>
        <v>1</v>
      </c>
      <c r="W2826" s="4">
        <f>IF(Table1[[#This Row],[Rework_Flag]]="No",1,0)</f>
        <v>1</v>
      </c>
      <c r="X2826" s="4">
        <f>IF(Table1[[#This Row],[Rework_Flag]]="Yes",1,0)</f>
        <v>0</v>
      </c>
      <c r="Y2826" s="4">
        <v>1</v>
      </c>
      <c r="Z2826" s="4" t="str">
        <f>IF(Table1[[#This Row],[TAT_Days]]&gt;Table1[[#This Row],[SLA_TAT]],"Yes","No")</f>
        <v>Yes</v>
      </c>
      <c r="AA2826" s="4" t="str" cm="1">
        <f t="array" ref="AA2826">_xlfn.IFS(Table1[[#This Row],[Customer_Satisfaction]]&lt;=2,"Poor",Table1[[#This Row],[Customer_Satisfaction]]=3,"Neutral",Table1[[#This Row],[Customer_Satisfaction]]=4,"Good",Table1[[#This Row],[Customer_Satisfaction]]=5,"Good")</f>
        <v>Neutral</v>
      </c>
    </row>
    <row r="2827" spans="1:27" x14ac:dyDescent="0.35">
      <c r="A2827">
        <v>22825</v>
      </c>
      <c r="B2827" s="1">
        <v>45294</v>
      </c>
      <c r="C2827" t="s">
        <v>37</v>
      </c>
      <c r="D2827" t="s">
        <v>38</v>
      </c>
      <c r="E2827" t="s">
        <v>112</v>
      </c>
      <c r="F2827" t="s">
        <v>40</v>
      </c>
      <c r="G2827" t="s">
        <v>23</v>
      </c>
      <c r="H2827" t="s">
        <v>24</v>
      </c>
      <c r="I2827" t="s">
        <v>25</v>
      </c>
      <c r="J2827" t="s">
        <v>58</v>
      </c>
      <c r="K2827" t="s">
        <v>27</v>
      </c>
      <c r="L2827" t="s">
        <v>49</v>
      </c>
      <c r="M2827" s="4">
        <v>6</v>
      </c>
      <c r="N2827" s="4">
        <v>7</v>
      </c>
      <c r="O2827" t="s">
        <v>36</v>
      </c>
      <c r="P2827" t="s">
        <v>36</v>
      </c>
      <c r="Q2827" s="4">
        <v>522159</v>
      </c>
      <c r="R2827" s="4">
        <v>420673</v>
      </c>
      <c r="S2827" s="4">
        <f>Table1[[#This Row],[Service_Revenue]]-Table1[[#This Row],[Service_Cost]]</f>
        <v>101486</v>
      </c>
      <c r="T2827" s="4">
        <v>4</v>
      </c>
      <c r="U2827" s="4">
        <f>IF(AND(Table1[[#This Row],[Rework_Flag]]="Yes",Table1[[#This Row],[Warranty_Claim]]="No"),Table1[[#This Row],[Service_Revenue]],0)</f>
        <v>0</v>
      </c>
      <c r="V2827" s="4">
        <f>IF(Table1[[#This Row],[Warranty_Claim]]="Yes",1,0)</f>
        <v>0</v>
      </c>
      <c r="W2827" s="4">
        <f>IF(Table1[[#This Row],[Rework_Flag]]="No",1,0)</f>
        <v>1</v>
      </c>
      <c r="X2827" s="4">
        <f>IF(Table1[[#This Row],[Rework_Flag]]="Yes",1,0)</f>
        <v>0</v>
      </c>
      <c r="Y2827" s="4">
        <v>1</v>
      </c>
      <c r="Z2827" s="4" t="str">
        <f>IF(Table1[[#This Row],[TAT_Days]]&gt;Table1[[#This Row],[SLA_TAT]],"Yes","No")</f>
        <v>No</v>
      </c>
      <c r="AA2827" s="4" t="str" cm="1">
        <f t="array" ref="AA2827">_xlfn.IFS(Table1[[#This Row],[Customer_Satisfaction]]&lt;=2,"Poor",Table1[[#This Row],[Customer_Satisfaction]]=3,"Neutral",Table1[[#This Row],[Customer_Satisfaction]]=4,"Good",Table1[[#This Row],[Customer_Satisfaction]]=5,"Good")</f>
        <v>Good</v>
      </c>
    </row>
    <row r="2828" spans="1:27" x14ac:dyDescent="0.35">
      <c r="A2828">
        <v>22826</v>
      </c>
      <c r="B2828" s="1">
        <v>45364</v>
      </c>
      <c r="C2828" t="s">
        <v>50</v>
      </c>
      <c r="D2828" t="s">
        <v>80</v>
      </c>
      <c r="E2828" t="s">
        <v>85</v>
      </c>
      <c r="F2828" t="s">
        <v>53</v>
      </c>
      <c r="G2828" t="s">
        <v>54</v>
      </c>
      <c r="H2828" t="s">
        <v>42</v>
      </c>
      <c r="I2828" t="s">
        <v>55</v>
      </c>
      <c r="J2828" t="s">
        <v>58</v>
      </c>
      <c r="K2828" t="s">
        <v>27</v>
      </c>
      <c r="L2828" t="s">
        <v>49</v>
      </c>
      <c r="M2828" s="4">
        <v>16</v>
      </c>
      <c r="N2828" s="4">
        <v>7</v>
      </c>
      <c r="O2828" t="s">
        <v>29</v>
      </c>
      <c r="P2828" t="s">
        <v>36</v>
      </c>
      <c r="Q2828" s="4">
        <v>154489</v>
      </c>
      <c r="R2828" s="4">
        <v>108762</v>
      </c>
      <c r="S2828" s="4">
        <f>Table1[[#This Row],[Service_Revenue]]-Table1[[#This Row],[Service_Cost]]</f>
        <v>45727</v>
      </c>
      <c r="T2828" s="4">
        <v>1</v>
      </c>
      <c r="U2828" s="4">
        <f>IF(AND(Table1[[#This Row],[Rework_Flag]]="Yes",Table1[[#This Row],[Warranty_Claim]]="No"),Table1[[#This Row],[Service_Revenue]],0)</f>
        <v>154489</v>
      </c>
      <c r="V2828" s="4">
        <f>IF(Table1[[#This Row],[Warranty_Claim]]="Yes",1,0)</f>
        <v>0</v>
      </c>
      <c r="W2828" s="4">
        <f>IF(Table1[[#This Row],[Rework_Flag]]="No",1,0)</f>
        <v>0</v>
      </c>
      <c r="X2828" s="4">
        <f>IF(Table1[[#This Row],[Rework_Flag]]="Yes",1,0)</f>
        <v>1</v>
      </c>
      <c r="Y2828" s="4">
        <v>1</v>
      </c>
      <c r="Z2828" s="4" t="str">
        <f>IF(Table1[[#This Row],[TAT_Days]]&gt;Table1[[#This Row],[SLA_TAT]],"Yes","No")</f>
        <v>Yes</v>
      </c>
      <c r="AA2828" s="4" t="str" cm="1">
        <f t="array" ref="AA2828">_xlfn.IFS(Table1[[#This Row],[Customer_Satisfaction]]&lt;=2,"Poor",Table1[[#This Row],[Customer_Satisfaction]]=3,"Neutral",Table1[[#This Row],[Customer_Satisfaction]]=4,"Good",Table1[[#This Row],[Customer_Satisfaction]]=5,"Good")</f>
        <v>Poor</v>
      </c>
    </row>
    <row r="2829" spans="1:27" x14ac:dyDescent="0.35">
      <c r="A2829">
        <v>22827</v>
      </c>
      <c r="B2829" s="1">
        <v>45355</v>
      </c>
      <c r="C2829" t="s">
        <v>50</v>
      </c>
      <c r="D2829" t="s">
        <v>51</v>
      </c>
      <c r="E2829" t="s">
        <v>73</v>
      </c>
      <c r="F2829" t="s">
        <v>22</v>
      </c>
      <c r="G2829" t="s">
        <v>23</v>
      </c>
      <c r="H2829" t="s">
        <v>24</v>
      </c>
      <c r="I2829" t="s">
        <v>55</v>
      </c>
      <c r="J2829" t="s">
        <v>35</v>
      </c>
      <c r="K2829" t="s">
        <v>44</v>
      </c>
      <c r="L2829" t="s">
        <v>28</v>
      </c>
      <c r="M2829" s="4">
        <v>23</v>
      </c>
      <c r="N2829" s="4">
        <v>7</v>
      </c>
      <c r="O2829" t="s">
        <v>36</v>
      </c>
      <c r="P2829" t="s">
        <v>36</v>
      </c>
      <c r="Q2829" s="4">
        <v>318123</v>
      </c>
      <c r="R2829" s="4">
        <v>193802</v>
      </c>
      <c r="S2829" s="4">
        <f>Table1[[#This Row],[Service_Revenue]]-Table1[[#This Row],[Service_Cost]]</f>
        <v>124321</v>
      </c>
      <c r="T2829" s="4">
        <v>1</v>
      </c>
      <c r="U2829" s="4">
        <f>IF(AND(Table1[[#This Row],[Rework_Flag]]="Yes",Table1[[#This Row],[Warranty_Claim]]="No"),Table1[[#This Row],[Service_Revenue]],0)</f>
        <v>0</v>
      </c>
      <c r="V2829" s="4">
        <f>IF(Table1[[#This Row],[Warranty_Claim]]="Yes",1,0)</f>
        <v>0</v>
      </c>
      <c r="W2829" s="4">
        <f>IF(Table1[[#This Row],[Rework_Flag]]="No",1,0)</f>
        <v>1</v>
      </c>
      <c r="X2829" s="4">
        <f>IF(Table1[[#This Row],[Rework_Flag]]="Yes",1,0)</f>
        <v>0</v>
      </c>
      <c r="Y2829" s="4">
        <v>1</v>
      </c>
      <c r="Z2829" s="4" t="str">
        <f>IF(Table1[[#This Row],[TAT_Days]]&gt;Table1[[#This Row],[SLA_TAT]],"Yes","No")</f>
        <v>Yes</v>
      </c>
      <c r="AA2829" s="4" t="str" cm="1">
        <f t="array" ref="AA2829">_xlfn.IFS(Table1[[#This Row],[Customer_Satisfaction]]&lt;=2,"Poor",Table1[[#This Row],[Customer_Satisfaction]]=3,"Neutral",Table1[[#This Row],[Customer_Satisfaction]]=4,"Good",Table1[[#This Row],[Customer_Satisfaction]]=5,"Good")</f>
        <v>Poor</v>
      </c>
    </row>
    <row r="2830" spans="1:27" x14ac:dyDescent="0.35">
      <c r="A2830">
        <v>22828</v>
      </c>
      <c r="B2830" s="1">
        <v>45454</v>
      </c>
      <c r="C2830" t="s">
        <v>19</v>
      </c>
      <c r="D2830" t="s">
        <v>96</v>
      </c>
      <c r="E2830" t="s">
        <v>105</v>
      </c>
      <c r="F2830" t="s">
        <v>53</v>
      </c>
      <c r="G2830" t="s">
        <v>54</v>
      </c>
      <c r="H2830" t="s">
        <v>42</v>
      </c>
      <c r="I2830" t="s">
        <v>25</v>
      </c>
      <c r="J2830" t="s">
        <v>35</v>
      </c>
      <c r="K2830" t="s">
        <v>27</v>
      </c>
      <c r="L2830" t="s">
        <v>28</v>
      </c>
      <c r="M2830" s="4">
        <v>13</v>
      </c>
      <c r="N2830" s="4">
        <v>7</v>
      </c>
      <c r="O2830" t="s">
        <v>29</v>
      </c>
      <c r="P2830" t="s">
        <v>36</v>
      </c>
      <c r="Q2830" s="4">
        <v>389888</v>
      </c>
      <c r="R2830" s="4">
        <v>314239</v>
      </c>
      <c r="S2830" s="4">
        <f>Table1[[#This Row],[Service_Revenue]]-Table1[[#This Row],[Service_Cost]]</f>
        <v>75649</v>
      </c>
      <c r="T2830" s="4">
        <v>2</v>
      </c>
      <c r="U2830" s="4">
        <f>IF(AND(Table1[[#This Row],[Rework_Flag]]="Yes",Table1[[#This Row],[Warranty_Claim]]="No"),Table1[[#This Row],[Service_Revenue]],0)</f>
        <v>389888</v>
      </c>
      <c r="V2830" s="4">
        <f>IF(Table1[[#This Row],[Warranty_Claim]]="Yes",1,0)</f>
        <v>0</v>
      </c>
      <c r="W2830" s="4">
        <f>IF(Table1[[#This Row],[Rework_Flag]]="No",1,0)</f>
        <v>0</v>
      </c>
      <c r="X2830" s="4">
        <f>IF(Table1[[#This Row],[Rework_Flag]]="Yes",1,0)</f>
        <v>1</v>
      </c>
      <c r="Y2830" s="4">
        <v>1</v>
      </c>
      <c r="Z2830" s="4" t="str">
        <f>IF(Table1[[#This Row],[TAT_Days]]&gt;Table1[[#This Row],[SLA_TAT]],"Yes","No")</f>
        <v>Yes</v>
      </c>
      <c r="AA2830" s="4" t="str" cm="1">
        <f t="array" ref="AA2830">_xlfn.IFS(Table1[[#This Row],[Customer_Satisfaction]]&lt;=2,"Poor",Table1[[#This Row],[Customer_Satisfaction]]=3,"Neutral",Table1[[#This Row],[Customer_Satisfaction]]=4,"Good",Table1[[#This Row],[Customer_Satisfaction]]=5,"Good")</f>
        <v>Poor</v>
      </c>
    </row>
    <row r="2831" spans="1:27" x14ac:dyDescent="0.35">
      <c r="A2831">
        <v>22829</v>
      </c>
      <c r="B2831" s="1">
        <v>45398</v>
      </c>
      <c r="C2831" t="s">
        <v>37</v>
      </c>
      <c r="D2831" t="s">
        <v>70</v>
      </c>
      <c r="E2831" t="s">
        <v>116</v>
      </c>
      <c r="F2831" t="s">
        <v>40</v>
      </c>
      <c r="G2831" t="s">
        <v>54</v>
      </c>
      <c r="H2831" t="s">
        <v>42</v>
      </c>
      <c r="I2831" t="s">
        <v>55</v>
      </c>
      <c r="J2831" t="s">
        <v>35</v>
      </c>
      <c r="K2831" t="s">
        <v>61</v>
      </c>
      <c r="L2831" t="s">
        <v>28</v>
      </c>
      <c r="M2831" s="4">
        <v>23</v>
      </c>
      <c r="N2831" s="4">
        <v>7</v>
      </c>
      <c r="O2831" t="s">
        <v>36</v>
      </c>
      <c r="P2831" t="s">
        <v>36</v>
      </c>
      <c r="Q2831" s="4">
        <v>430101</v>
      </c>
      <c r="R2831" s="4">
        <v>233392</v>
      </c>
      <c r="S2831" s="4">
        <f>Table1[[#This Row],[Service_Revenue]]-Table1[[#This Row],[Service_Cost]]</f>
        <v>196709</v>
      </c>
      <c r="T2831" s="4">
        <v>1</v>
      </c>
      <c r="U2831" s="4">
        <f>IF(AND(Table1[[#This Row],[Rework_Flag]]="Yes",Table1[[#This Row],[Warranty_Claim]]="No"),Table1[[#This Row],[Service_Revenue]],0)</f>
        <v>0</v>
      </c>
      <c r="V2831" s="4">
        <f>IF(Table1[[#This Row],[Warranty_Claim]]="Yes",1,0)</f>
        <v>0</v>
      </c>
      <c r="W2831" s="4">
        <f>IF(Table1[[#This Row],[Rework_Flag]]="No",1,0)</f>
        <v>1</v>
      </c>
      <c r="X2831" s="4">
        <f>IF(Table1[[#This Row],[Rework_Flag]]="Yes",1,0)</f>
        <v>0</v>
      </c>
      <c r="Y2831" s="4">
        <v>1</v>
      </c>
      <c r="Z2831" s="4" t="str">
        <f>IF(Table1[[#This Row],[TAT_Days]]&gt;Table1[[#This Row],[SLA_TAT]],"Yes","No")</f>
        <v>Yes</v>
      </c>
      <c r="AA2831" s="4" t="str" cm="1">
        <f t="array" ref="AA2831">_xlfn.IFS(Table1[[#This Row],[Customer_Satisfaction]]&lt;=2,"Poor",Table1[[#This Row],[Customer_Satisfaction]]=3,"Neutral",Table1[[#This Row],[Customer_Satisfaction]]=4,"Good",Table1[[#This Row],[Customer_Satisfaction]]=5,"Good")</f>
        <v>Poor</v>
      </c>
    </row>
    <row r="2832" spans="1:27" x14ac:dyDescent="0.35">
      <c r="A2832">
        <v>22830</v>
      </c>
      <c r="B2832" s="1">
        <v>45402</v>
      </c>
      <c r="C2832" t="s">
        <v>37</v>
      </c>
      <c r="D2832" t="s">
        <v>64</v>
      </c>
      <c r="E2832" t="s">
        <v>72</v>
      </c>
      <c r="F2832" t="s">
        <v>53</v>
      </c>
      <c r="G2832" t="s">
        <v>63</v>
      </c>
      <c r="H2832" t="s">
        <v>24</v>
      </c>
      <c r="I2832" t="s">
        <v>55</v>
      </c>
      <c r="J2832" t="s">
        <v>26</v>
      </c>
      <c r="K2832" t="s">
        <v>61</v>
      </c>
      <c r="L2832" t="s">
        <v>28</v>
      </c>
      <c r="M2832" s="4">
        <v>5</v>
      </c>
      <c r="N2832" s="4">
        <v>7</v>
      </c>
      <c r="O2832" t="s">
        <v>29</v>
      </c>
      <c r="P2832" t="s">
        <v>29</v>
      </c>
      <c r="Q2832" s="4">
        <v>586531</v>
      </c>
      <c r="R2832" s="4">
        <v>476623</v>
      </c>
      <c r="S2832" s="4">
        <f>Table1[[#This Row],[Service_Revenue]]-Table1[[#This Row],[Service_Cost]]</f>
        <v>109908</v>
      </c>
      <c r="T2832" s="4">
        <v>3</v>
      </c>
      <c r="U2832" s="4">
        <f>IF(AND(Table1[[#This Row],[Rework_Flag]]="Yes",Table1[[#This Row],[Warranty_Claim]]="No"),Table1[[#This Row],[Service_Revenue]],0)</f>
        <v>0</v>
      </c>
      <c r="V2832" s="4">
        <f>IF(Table1[[#This Row],[Warranty_Claim]]="Yes",1,0)</f>
        <v>1</v>
      </c>
      <c r="W2832" s="4">
        <f>IF(Table1[[#This Row],[Rework_Flag]]="No",1,0)</f>
        <v>0</v>
      </c>
      <c r="X2832" s="4">
        <f>IF(Table1[[#This Row],[Rework_Flag]]="Yes",1,0)</f>
        <v>1</v>
      </c>
      <c r="Y2832" s="4">
        <v>1</v>
      </c>
      <c r="Z2832" s="4" t="str">
        <f>IF(Table1[[#This Row],[TAT_Days]]&gt;Table1[[#This Row],[SLA_TAT]],"Yes","No")</f>
        <v>No</v>
      </c>
      <c r="AA2832" s="4" t="str" cm="1">
        <f t="array" ref="AA2832">_xlfn.IFS(Table1[[#This Row],[Customer_Satisfaction]]&lt;=2,"Poor",Table1[[#This Row],[Customer_Satisfaction]]=3,"Neutral",Table1[[#This Row],[Customer_Satisfaction]]=4,"Good",Table1[[#This Row],[Customer_Satisfaction]]=5,"Good")</f>
        <v>Neutral</v>
      </c>
    </row>
    <row r="2833" spans="1:27" x14ac:dyDescent="0.35">
      <c r="A2833">
        <v>22831</v>
      </c>
      <c r="B2833" s="1">
        <v>45426</v>
      </c>
      <c r="C2833" t="s">
        <v>37</v>
      </c>
      <c r="D2833" t="s">
        <v>70</v>
      </c>
      <c r="E2833" t="s">
        <v>82</v>
      </c>
      <c r="F2833" t="s">
        <v>22</v>
      </c>
      <c r="G2833" t="s">
        <v>33</v>
      </c>
      <c r="H2833" t="s">
        <v>34</v>
      </c>
      <c r="I2833" t="s">
        <v>55</v>
      </c>
      <c r="J2833" t="s">
        <v>26</v>
      </c>
      <c r="K2833" t="s">
        <v>27</v>
      </c>
      <c r="L2833" t="s">
        <v>49</v>
      </c>
      <c r="M2833" s="4">
        <v>19</v>
      </c>
      <c r="N2833" s="4">
        <v>7</v>
      </c>
      <c r="O2833" t="s">
        <v>29</v>
      </c>
      <c r="P2833" t="s">
        <v>36</v>
      </c>
      <c r="Q2833" s="4">
        <v>218097</v>
      </c>
      <c r="R2833" s="4">
        <v>113835</v>
      </c>
      <c r="S2833" s="4">
        <f>Table1[[#This Row],[Service_Revenue]]-Table1[[#This Row],[Service_Cost]]</f>
        <v>104262</v>
      </c>
      <c r="T2833" s="4">
        <v>1</v>
      </c>
      <c r="U2833" s="4">
        <f>IF(AND(Table1[[#This Row],[Rework_Flag]]="Yes",Table1[[#This Row],[Warranty_Claim]]="No"),Table1[[#This Row],[Service_Revenue]],0)</f>
        <v>218097</v>
      </c>
      <c r="V2833" s="4">
        <f>IF(Table1[[#This Row],[Warranty_Claim]]="Yes",1,0)</f>
        <v>0</v>
      </c>
      <c r="W2833" s="4">
        <f>IF(Table1[[#This Row],[Rework_Flag]]="No",1,0)</f>
        <v>0</v>
      </c>
      <c r="X2833" s="4">
        <f>IF(Table1[[#This Row],[Rework_Flag]]="Yes",1,0)</f>
        <v>1</v>
      </c>
      <c r="Y2833" s="4">
        <v>1</v>
      </c>
      <c r="Z2833" s="4" t="str">
        <f>IF(Table1[[#This Row],[TAT_Days]]&gt;Table1[[#This Row],[SLA_TAT]],"Yes","No")</f>
        <v>Yes</v>
      </c>
      <c r="AA2833" s="4" t="str" cm="1">
        <f t="array" ref="AA2833">_xlfn.IFS(Table1[[#This Row],[Customer_Satisfaction]]&lt;=2,"Poor",Table1[[#This Row],[Customer_Satisfaction]]=3,"Neutral",Table1[[#This Row],[Customer_Satisfaction]]=4,"Good",Table1[[#This Row],[Customer_Satisfaction]]=5,"Good")</f>
        <v>Poor</v>
      </c>
    </row>
    <row r="2834" spans="1:27" x14ac:dyDescent="0.35">
      <c r="A2834">
        <v>22832</v>
      </c>
      <c r="B2834" s="1">
        <v>45460</v>
      </c>
      <c r="C2834" t="s">
        <v>30</v>
      </c>
      <c r="D2834" t="s">
        <v>83</v>
      </c>
      <c r="E2834" t="s">
        <v>84</v>
      </c>
      <c r="F2834" t="s">
        <v>22</v>
      </c>
      <c r="G2834" t="s">
        <v>47</v>
      </c>
      <c r="H2834" t="s">
        <v>48</v>
      </c>
      <c r="I2834" t="s">
        <v>55</v>
      </c>
      <c r="J2834" t="s">
        <v>35</v>
      </c>
      <c r="K2834" t="s">
        <v>27</v>
      </c>
      <c r="L2834" t="s">
        <v>28</v>
      </c>
      <c r="M2834" s="4">
        <v>13</v>
      </c>
      <c r="N2834" s="4">
        <v>7</v>
      </c>
      <c r="O2834" t="s">
        <v>29</v>
      </c>
      <c r="P2834" t="s">
        <v>36</v>
      </c>
      <c r="Q2834" s="4">
        <v>121740</v>
      </c>
      <c r="R2834" s="4">
        <v>72181</v>
      </c>
      <c r="S2834" s="4">
        <f>Table1[[#This Row],[Service_Revenue]]-Table1[[#This Row],[Service_Cost]]</f>
        <v>49559</v>
      </c>
      <c r="T2834" s="4">
        <v>2</v>
      </c>
      <c r="U2834" s="4">
        <f>IF(AND(Table1[[#This Row],[Rework_Flag]]="Yes",Table1[[#This Row],[Warranty_Claim]]="No"),Table1[[#This Row],[Service_Revenue]],0)</f>
        <v>121740</v>
      </c>
      <c r="V2834" s="4">
        <f>IF(Table1[[#This Row],[Warranty_Claim]]="Yes",1,0)</f>
        <v>0</v>
      </c>
      <c r="W2834" s="4">
        <f>IF(Table1[[#This Row],[Rework_Flag]]="No",1,0)</f>
        <v>0</v>
      </c>
      <c r="X2834" s="4">
        <f>IF(Table1[[#This Row],[Rework_Flag]]="Yes",1,0)</f>
        <v>1</v>
      </c>
      <c r="Y2834" s="4">
        <v>1</v>
      </c>
      <c r="Z2834" s="4" t="str">
        <f>IF(Table1[[#This Row],[TAT_Days]]&gt;Table1[[#This Row],[SLA_TAT]],"Yes","No")</f>
        <v>Yes</v>
      </c>
      <c r="AA2834" s="4" t="str" cm="1">
        <f t="array" ref="AA2834">_xlfn.IFS(Table1[[#This Row],[Customer_Satisfaction]]&lt;=2,"Poor",Table1[[#This Row],[Customer_Satisfaction]]=3,"Neutral",Table1[[#This Row],[Customer_Satisfaction]]=4,"Good",Table1[[#This Row],[Customer_Satisfaction]]=5,"Good")</f>
        <v>Poor</v>
      </c>
    </row>
    <row r="2835" spans="1:27" x14ac:dyDescent="0.35">
      <c r="A2835">
        <v>22833</v>
      </c>
      <c r="B2835" s="1">
        <v>45431</v>
      </c>
      <c r="C2835" t="s">
        <v>37</v>
      </c>
      <c r="D2835" t="s">
        <v>64</v>
      </c>
      <c r="E2835" t="s">
        <v>87</v>
      </c>
      <c r="F2835" t="s">
        <v>53</v>
      </c>
      <c r="G2835" t="s">
        <v>41</v>
      </c>
      <c r="H2835" t="s">
        <v>42</v>
      </c>
      <c r="I2835" t="s">
        <v>25</v>
      </c>
      <c r="J2835" t="s">
        <v>26</v>
      </c>
      <c r="K2835" t="s">
        <v>44</v>
      </c>
      <c r="L2835" t="s">
        <v>28</v>
      </c>
      <c r="M2835" s="4">
        <v>3</v>
      </c>
      <c r="N2835" s="4">
        <v>7</v>
      </c>
      <c r="O2835" t="s">
        <v>36</v>
      </c>
      <c r="P2835" t="s">
        <v>29</v>
      </c>
      <c r="Q2835" s="4">
        <v>566376</v>
      </c>
      <c r="R2835" s="4">
        <v>439062</v>
      </c>
      <c r="S2835" s="4">
        <f>Table1[[#This Row],[Service_Revenue]]-Table1[[#This Row],[Service_Cost]]</f>
        <v>127314</v>
      </c>
      <c r="T2835" s="4">
        <v>5</v>
      </c>
      <c r="U2835" s="4">
        <f>IF(AND(Table1[[#This Row],[Rework_Flag]]="Yes",Table1[[#This Row],[Warranty_Claim]]="No"),Table1[[#This Row],[Service_Revenue]],0)</f>
        <v>0</v>
      </c>
      <c r="V2835" s="4">
        <f>IF(Table1[[#This Row],[Warranty_Claim]]="Yes",1,0)</f>
        <v>1</v>
      </c>
      <c r="W2835" s="4">
        <f>IF(Table1[[#This Row],[Rework_Flag]]="No",1,0)</f>
        <v>1</v>
      </c>
      <c r="X2835" s="4">
        <f>IF(Table1[[#This Row],[Rework_Flag]]="Yes",1,0)</f>
        <v>0</v>
      </c>
      <c r="Y2835" s="4">
        <v>1</v>
      </c>
      <c r="Z2835" s="4" t="str">
        <f>IF(Table1[[#This Row],[TAT_Days]]&gt;Table1[[#This Row],[SLA_TAT]],"Yes","No")</f>
        <v>No</v>
      </c>
      <c r="AA2835" s="4" t="str" cm="1">
        <f t="array" ref="AA2835">_xlfn.IFS(Table1[[#This Row],[Customer_Satisfaction]]&lt;=2,"Poor",Table1[[#This Row],[Customer_Satisfaction]]=3,"Neutral",Table1[[#This Row],[Customer_Satisfaction]]=4,"Good",Table1[[#This Row],[Customer_Satisfaction]]=5,"Good")</f>
        <v>Good</v>
      </c>
    </row>
    <row r="2836" spans="1:27" x14ac:dyDescent="0.35">
      <c r="A2836">
        <v>22834</v>
      </c>
      <c r="B2836" s="1">
        <v>45466</v>
      </c>
      <c r="C2836" t="s">
        <v>50</v>
      </c>
      <c r="D2836" t="s">
        <v>51</v>
      </c>
      <c r="E2836" t="s">
        <v>120</v>
      </c>
      <c r="F2836" t="s">
        <v>40</v>
      </c>
      <c r="G2836" t="s">
        <v>47</v>
      </c>
      <c r="H2836" t="s">
        <v>48</v>
      </c>
      <c r="I2836" t="s">
        <v>55</v>
      </c>
      <c r="J2836" t="s">
        <v>43</v>
      </c>
      <c r="K2836" t="s">
        <v>27</v>
      </c>
      <c r="L2836" t="s">
        <v>28</v>
      </c>
      <c r="M2836" s="4">
        <v>13</v>
      </c>
      <c r="N2836" s="4">
        <v>7</v>
      </c>
      <c r="O2836" t="s">
        <v>29</v>
      </c>
      <c r="P2836" t="s">
        <v>36</v>
      </c>
      <c r="Q2836" s="4">
        <v>188583</v>
      </c>
      <c r="R2836" s="4">
        <v>147115</v>
      </c>
      <c r="S2836" s="4">
        <f>Table1[[#This Row],[Service_Revenue]]-Table1[[#This Row],[Service_Cost]]</f>
        <v>41468</v>
      </c>
      <c r="T2836" s="4">
        <v>2</v>
      </c>
      <c r="U2836" s="4">
        <f>IF(AND(Table1[[#This Row],[Rework_Flag]]="Yes",Table1[[#This Row],[Warranty_Claim]]="No"),Table1[[#This Row],[Service_Revenue]],0)</f>
        <v>188583</v>
      </c>
      <c r="V2836" s="4">
        <f>IF(Table1[[#This Row],[Warranty_Claim]]="Yes",1,0)</f>
        <v>0</v>
      </c>
      <c r="W2836" s="4">
        <f>IF(Table1[[#This Row],[Rework_Flag]]="No",1,0)</f>
        <v>0</v>
      </c>
      <c r="X2836" s="4">
        <f>IF(Table1[[#This Row],[Rework_Flag]]="Yes",1,0)</f>
        <v>1</v>
      </c>
      <c r="Y2836" s="4">
        <v>1</v>
      </c>
      <c r="Z2836" s="4" t="str">
        <f>IF(Table1[[#This Row],[TAT_Days]]&gt;Table1[[#This Row],[SLA_TAT]],"Yes","No")</f>
        <v>Yes</v>
      </c>
      <c r="AA2836" s="4" t="str" cm="1">
        <f t="array" ref="AA2836">_xlfn.IFS(Table1[[#This Row],[Customer_Satisfaction]]&lt;=2,"Poor",Table1[[#This Row],[Customer_Satisfaction]]=3,"Neutral",Table1[[#This Row],[Customer_Satisfaction]]=4,"Good",Table1[[#This Row],[Customer_Satisfaction]]=5,"Good")</f>
        <v>Poor</v>
      </c>
    </row>
    <row r="2837" spans="1:27" x14ac:dyDescent="0.35">
      <c r="A2837">
        <v>22835</v>
      </c>
      <c r="B2837" s="1">
        <v>45433</v>
      </c>
      <c r="C2837" t="s">
        <v>37</v>
      </c>
      <c r="D2837" t="s">
        <v>64</v>
      </c>
      <c r="E2837" t="s">
        <v>115</v>
      </c>
      <c r="F2837" t="s">
        <v>40</v>
      </c>
      <c r="G2837" t="s">
        <v>47</v>
      </c>
      <c r="H2837" t="s">
        <v>48</v>
      </c>
      <c r="I2837" t="s">
        <v>55</v>
      </c>
      <c r="J2837" t="s">
        <v>58</v>
      </c>
      <c r="K2837" t="s">
        <v>44</v>
      </c>
      <c r="L2837" t="s">
        <v>28</v>
      </c>
      <c r="M2837" s="4">
        <v>21</v>
      </c>
      <c r="N2837" s="4">
        <v>7</v>
      </c>
      <c r="O2837" t="s">
        <v>29</v>
      </c>
      <c r="P2837" t="s">
        <v>36</v>
      </c>
      <c r="Q2837" s="4">
        <v>404693</v>
      </c>
      <c r="R2837" s="4">
        <v>272676</v>
      </c>
      <c r="S2837" s="4">
        <f>Table1[[#This Row],[Service_Revenue]]-Table1[[#This Row],[Service_Cost]]</f>
        <v>132017</v>
      </c>
      <c r="T2837" s="4">
        <v>1</v>
      </c>
      <c r="U2837" s="4">
        <f>IF(AND(Table1[[#This Row],[Rework_Flag]]="Yes",Table1[[#This Row],[Warranty_Claim]]="No"),Table1[[#This Row],[Service_Revenue]],0)</f>
        <v>404693</v>
      </c>
      <c r="V2837" s="4">
        <f>IF(Table1[[#This Row],[Warranty_Claim]]="Yes",1,0)</f>
        <v>0</v>
      </c>
      <c r="W2837" s="4">
        <f>IF(Table1[[#This Row],[Rework_Flag]]="No",1,0)</f>
        <v>0</v>
      </c>
      <c r="X2837" s="4">
        <f>IF(Table1[[#This Row],[Rework_Flag]]="Yes",1,0)</f>
        <v>1</v>
      </c>
      <c r="Y2837" s="4">
        <v>1</v>
      </c>
      <c r="Z2837" s="4" t="str">
        <f>IF(Table1[[#This Row],[TAT_Days]]&gt;Table1[[#This Row],[SLA_TAT]],"Yes","No")</f>
        <v>Yes</v>
      </c>
      <c r="AA2837" s="4" t="str" cm="1">
        <f t="array" ref="AA2837">_xlfn.IFS(Table1[[#This Row],[Customer_Satisfaction]]&lt;=2,"Poor",Table1[[#This Row],[Customer_Satisfaction]]=3,"Neutral",Table1[[#This Row],[Customer_Satisfaction]]=4,"Good",Table1[[#This Row],[Customer_Satisfaction]]=5,"Good")</f>
        <v>Poor</v>
      </c>
    </row>
    <row r="2838" spans="1:27" x14ac:dyDescent="0.35">
      <c r="A2838">
        <v>22836</v>
      </c>
      <c r="B2838" s="1">
        <v>45422</v>
      </c>
      <c r="C2838" t="s">
        <v>37</v>
      </c>
      <c r="D2838" t="s">
        <v>64</v>
      </c>
      <c r="E2838" t="s">
        <v>115</v>
      </c>
      <c r="F2838" t="s">
        <v>22</v>
      </c>
      <c r="G2838" t="s">
        <v>33</v>
      </c>
      <c r="H2838" t="s">
        <v>34</v>
      </c>
      <c r="I2838" t="s">
        <v>25</v>
      </c>
      <c r="J2838" t="s">
        <v>43</v>
      </c>
      <c r="K2838" t="s">
        <v>27</v>
      </c>
      <c r="L2838" t="s">
        <v>49</v>
      </c>
      <c r="M2838" s="4">
        <v>10</v>
      </c>
      <c r="N2838" s="4">
        <v>7</v>
      </c>
      <c r="O2838" t="s">
        <v>29</v>
      </c>
      <c r="P2838" t="s">
        <v>29</v>
      </c>
      <c r="Q2838" s="4">
        <v>172959</v>
      </c>
      <c r="R2838" s="4">
        <v>136125</v>
      </c>
      <c r="S2838" s="4">
        <f>Table1[[#This Row],[Service_Revenue]]-Table1[[#This Row],[Service_Cost]]</f>
        <v>36834</v>
      </c>
      <c r="T2838" s="4">
        <v>2</v>
      </c>
      <c r="U2838" s="4">
        <f>IF(AND(Table1[[#This Row],[Rework_Flag]]="Yes",Table1[[#This Row],[Warranty_Claim]]="No"),Table1[[#This Row],[Service_Revenue]],0)</f>
        <v>0</v>
      </c>
      <c r="V2838" s="4">
        <f>IF(Table1[[#This Row],[Warranty_Claim]]="Yes",1,0)</f>
        <v>1</v>
      </c>
      <c r="W2838" s="4">
        <f>IF(Table1[[#This Row],[Rework_Flag]]="No",1,0)</f>
        <v>0</v>
      </c>
      <c r="X2838" s="4">
        <f>IF(Table1[[#This Row],[Rework_Flag]]="Yes",1,0)</f>
        <v>1</v>
      </c>
      <c r="Y2838" s="4">
        <v>1</v>
      </c>
      <c r="Z2838" s="4" t="str">
        <f>IF(Table1[[#This Row],[TAT_Days]]&gt;Table1[[#This Row],[SLA_TAT]],"Yes","No")</f>
        <v>Yes</v>
      </c>
      <c r="AA2838" s="4" t="str" cm="1">
        <f t="array" ref="AA2838">_xlfn.IFS(Table1[[#This Row],[Customer_Satisfaction]]&lt;=2,"Poor",Table1[[#This Row],[Customer_Satisfaction]]=3,"Neutral",Table1[[#This Row],[Customer_Satisfaction]]=4,"Good",Table1[[#This Row],[Customer_Satisfaction]]=5,"Good")</f>
        <v>Poor</v>
      </c>
    </row>
    <row r="2839" spans="1:27" x14ac:dyDescent="0.35">
      <c r="A2839">
        <v>22837</v>
      </c>
      <c r="B2839" s="1">
        <v>45297</v>
      </c>
      <c r="C2839" t="s">
        <v>30</v>
      </c>
      <c r="D2839" t="s">
        <v>83</v>
      </c>
      <c r="E2839" t="s">
        <v>95</v>
      </c>
      <c r="F2839" t="s">
        <v>40</v>
      </c>
      <c r="G2839" t="s">
        <v>63</v>
      </c>
      <c r="H2839" t="s">
        <v>24</v>
      </c>
      <c r="I2839" t="s">
        <v>25</v>
      </c>
      <c r="J2839" t="s">
        <v>35</v>
      </c>
      <c r="K2839" t="s">
        <v>61</v>
      </c>
      <c r="L2839" t="s">
        <v>49</v>
      </c>
      <c r="M2839" s="4">
        <v>25</v>
      </c>
      <c r="N2839" s="4">
        <v>7</v>
      </c>
      <c r="O2839" t="s">
        <v>29</v>
      </c>
      <c r="P2839" t="s">
        <v>29</v>
      </c>
      <c r="Q2839" s="4">
        <v>228623</v>
      </c>
      <c r="R2839" s="4">
        <v>193795</v>
      </c>
      <c r="S2839" s="4">
        <f>Table1[[#This Row],[Service_Revenue]]-Table1[[#This Row],[Service_Cost]]</f>
        <v>34828</v>
      </c>
      <c r="T2839" s="4">
        <v>1</v>
      </c>
      <c r="U2839" s="4">
        <f>IF(AND(Table1[[#This Row],[Rework_Flag]]="Yes",Table1[[#This Row],[Warranty_Claim]]="No"),Table1[[#This Row],[Service_Revenue]],0)</f>
        <v>0</v>
      </c>
      <c r="V2839" s="4">
        <f>IF(Table1[[#This Row],[Warranty_Claim]]="Yes",1,0)</f>
        <v>1</v>
      </c>
      <c r="W2839" s="4">
        <f>IF(Table1[[#This Row],[Rework_Flag]]="No",1,0)</f>
        <v>0</v>
      </c>
      <c r="X2839" s="4">
        <f>IF(Table1[[#This Row],[Rework_Flag]]="Yes",1,0)</f>
        <v>1</v>
      </c>
      <c r="Y2839" s="4">
        <v>1</v>
      </c>
      <c r="Z2839" s="4" t="str">
        <f>IF(Table1[[#This Row],[TAT_Days]]&gt;Table1[[#This Row],[SLA_TAT]],"Yes","No")</f>
        <v>Yes</v>
      </c>
      <c r="AA2839" s="4" t="str" cm="1">
        <f t="array" ref="AA2839">_xlfn.IFS(Table1[[#This Row],[Customer_Satisfaction]]&lt;=2,"Poor",Table1[[#This Row],[Customer_Satisfaction]]=3,"Neutral",Table1[[#This Row],[Customer_Satisfaction]]=4,"Good",Table1[[#This Row],[Customer_Satisfaction]]=5,"Good")</f>
        <v>Poor</v>
      </c>
    </row>
    <row r="2840" spans="1:27" x14ac:dyDescent="0.35">
      <c r="A2840">
        <v>22838</v>
      </c>
      <c r="B2840" s="1">
        <v>45431</v>
      </c>
      <c r="C2840" t="s">
        <v>19</v>
      </c>
      <c r="D2840" t="s">
        <v>20</v>
      </c>
      <c r="E2840" t="s">
        <v>21</v>
      </c>
      <c r="F2840" t="s">
        <v>40</v>
      </c>
      <c r="G2840" t="s">
        <v>33</v>
      </c>
      <c r="H2840" t="s">
        <v>34</v>
      </c>
      <c r="I2840" t="s">
        <v>25</v>
      </c>
      <c r="J2840" t="s">
        <v>26</v>
      </c>
      <c r="K2840" t="s">
        <v>61</v>
      </c>
      <c r="L2840" t="s">
        <v>28</v>
      </c>
      <c r="M2840" s="4">
        <v>20</v>
      </c>
      <c r="N2840" s="4">
        <v>7</v>
      </c>
      <c r="O2840" t="s">
        <v>36</v>
      </c>
      <c r="P2840" t="s">
        <v>29</v>
      </c>
      <c r="Q2840" s="4">
        <v>103576</v>
      </c>
      <c r="R2840" s="4">
        <v>84824</v>
      </c>
      <c r="S2840" s="4">
        <f>Table1[[#This Row],[Service_Revenue]]-Table1[[#This Row],[Service_Cost]]</f>
        <v>18752</v>
      </c>
      <c r="T2840" s="4">
        <v>1</v>
      </c>
      <c r="U2840" s="4">
        <f>IF(AND(Table1[[#This Row],[Rework_Flag]]="Yes",Table1[[#This Row],[Warranty_Claim]]="No"),Table1[[#This Row],[Service_Revenue]],0)</f>
        <v>0</v>
      </c>
      <c r="V2840" s="4">
        <f>IF(Table1[[#This Row],[Warranty_Claim]]="Yes",1,0)</f>
        <v>1</v>
      </c>
      <c r="W2840" s="4">
        <f>IF(Table1[[#This Row],[Rework_Flag]]="No",1,0)</f>
        <v>1</v>
      </c>
      <c r="X2840" s="4">
        <f>IF(Table1[[#This Row],[Rework_Flag]]="Yes",1,0)</f>
        <v>0</v>
      </c>
      <c r="Y2840" s="4">
        <v>1</v>
      </c>
      <c r="Z2840" s="4" t="str">
        <f>IF(Table1[[#This Row],[TAT_Days]]&gt;Table1[[#This Row],[SLA_TAT]],"Yes","No")</f>
        <v>Yes</v>
      </c>
      <c r="AA2840" s="4" t="str" cm="1">
        <f t="array" ref="AA2840">_xlfn.IFS(Table1[[#This Row],[Customer_Satisfaction]]&lt;=2,"Poor",Table1[[#This Row],[Customer_Satisfaction]]=3,"Neutral",Table1[[#This Row],[Customer_Satisfaction]]=4,"Good",Table1[[#This Row],[Customer_Satisfaction]]=5,"Good")</f>
        <v>Poor</v>
      </c>
    </row>
    <row r="2841" spans="1:27" x14ac:dyDescent="0.35">
      <c r="A2841">
        <v>22839</v>
      </c>
      <c r="B2841" s="1">
        <v>45366</v>
      </c>
      <c r="C2841" t="s">
        <v>50</v>
      </c>
      <c r="D2841" t="s">
        <v>80</v>
      </c>
      <c r="E2841" t="s">
        <v>81</v>
      </c>
      <c r="F2841" t="s">
        <v>40</v>
      </c>
      <c r="G2841" t="s">
        <v>63</v>
      </c>
      <c r="H2841" t="s">
        <v>24</v>
      </c>
      <c r="I2841" t="s">
        <v>55</v>
      </c>
      <c r="J2841" t="s">
        <v>26</v>
      </c>
      <c r="K2841" t="s">
        <v>44</v>
      </c>
      <c r="L2841" t="s">
        <v>28</v>
      </c>
      <c r="M2841" s="4">
        <v>25</v>
      </c>
      <c r="N2841" s="4">
        <v>7</v>
      </c>
      <c r="O2841" t="s">
        <v>36</v>
      </c>
      <c r="P2841" t="s">
        <v>29</v>
      </c>
      <c r="Q2841" s="4">
        <v>303382</v>
      </c>
      <c r="R2841" s="4">
        <v>219519</v>
      </c>
      <c r="S2841" s="4">
        <f>Table1[[#This Row],[Service_Revenue]]-Table1[[#This Row],[Service_Cost]]</f>
        <v>83863</v>
      </c>
      <c r="T2841" s="4">
        <v>1</v>
      </c>
      <c r="U2841" s="4">
        <f>IF(AND(Table1[[#This Row],[Rework_Flag]]="Yes",Table1[[#This Row],[Warranty_Claim]]="No"),Table1[[#This Row],[Service_Revenue]],0)</f>
        <v>0</v>
      </c>
      <c r="V2841" s="4">
        <f>IF(Table1[[#This Row],[Warranty_Claim]]="Yes",1,0)</f>
        <v>1</v>
      </c>
      <c r="W2841" s="4">
        <f>IF(Table1[[#This Row],[Rework_Flag]]="No",1,0)</f>
        <v>1</v>
      </c>
      <c r="X2841" s="4">
        <f>IF(Table1[[#This Row],[Rework_Flag]]="Yes",1,0)</f>
        <v>0</v>
      </c>
      <c r="Y2841" s="4">
        <v>1</v>
      </c>
      <c r="Z2841" s="4" t="str">
        <f>IF(Table1[[#This Row],[TAT_Days]]&gt;Table1[[#This Row],[SLA_TAT]],"Yes","No")</f>
        <v>Yes</v>
      </c>
      <c r="AA2841" s="4" t="str" cm="1">
        <f t="array" ref="AA2841">_xlfn.IFS(Table1[[#This Row],[Customer_Satisfaction]]&lt;=2,"Poor",Table1[[#This Row],[Customer_Satisfaction]]=3,"Neutral",Table1[[#This Row],[Customer_Satisfaction]]=4,"Good",Table1[[#This Row],[Customer_Satisfaction]]=5,"Good")</f>
        <v>Poor</v>
      </c>
    </row>
    <row r="2842" spans="1:27" x14ac:dyDescent="0.35">
      <c r="A2842">
        <v>22840</v>
      </c>
      <c r="B2842" s="1">
        <v>45320</v>
      </c>
      <c r="C2842" t="s">
        <v>37</v>
      </c>
      <c r="D2842" t="s">
        <v>64</v>
      </c>
      <c r="E2842" t="s">
        <v>72</v>
      </c>
      <c r="F2842" t="s">
        <v>53</v>
      </c>
      <c r="G2842" t="s">
        <v>41</v>
      </c>
      <c r="H2842" t="s">
        <v>42</v>
      </c>
      <c r="I2842" t="s">
        <v>25</v>
      </c>
      <c r="J2842" t="s">
        <v>26</v>
      </c>
      <c r="K2842" t="s">
        <v>61</v>
      </c>
      <c r="L2842" t="s">
        <v>28</v>
      </c>
      <c r="M2842" s="4">
        <v>21</v>
      </c>
      <c r="N2842" s="4">
        <v>7</v>
      </c>
      <c r="O2842" t="s">
        <v>29</v>
      </c>
      <c r="P2842" t="s">
        <v>36</v>
      </c>
      <c r="Q2842" s="4">
        <v>392476</v>
      </c>
      <c r="R2842" s="4">
        <v>210172</v>
      </c>
      <c r="S2842" s="4">
        <f>Table1[[#This Row],[Service_Revenue]]-Table1[[#This Row],[Service_Cost]]</f>
        <v>182304</v>
      </c>
      <c r="T2842" s="4">
        <v>1</v>
      </c>
      <c r="U2842" s="4">
        <f>IF(AND(Table1[[#This Row],[Rework_Flag]]="Yes",Table1[[#This Row],[Warranty_Claim]]="No"),Table1[[#This Row],[Service_Revenue]],0)</f>
        <v>392476</v>
      </c>
      <c r="V2842" s="4">
        <f>IF(Table1[[#This Row],[Warranty_Claim]]="Yes",1,0)</f>
        <v>0</v>
      </c>
      <c r="W2842" s="4">
        <f>IF(Table1[[#This Row],[Rework_Flag]]="No",1,0)</f>
        <v>0</v>
      </c>
      <c r="X2842" s="4">
        <f>IF(Table1[[#This Row],[Rework_Flag]]="Yes",1,0)</f>
        <v>1</v>
      </c>
      <c r="Y2842" s="4">
        <v>1</v>
      </c>
      <c r="Z2842" s="4" t="str">
        <f>IF(Table1[[#This Row],[TAT_Days]]&gt;Table1[[#This Row],[SLA_TAT]],"Yes","No")</f>
        <v>Yes</v>
      </c>
      <c r="AA2842" s="4" t="str" cm="1">
        <f t="array" ref="AA2842">_xlfn.IFS(Table1[[#This Row],[Customer_Satisfaction]]&lt;=2,"Poor",Table1[[#This Row],[Customer_Satisfaction]]=3,"Neutral",Table1[[#This Row],[Customer_Satisfaction]]=4,"Good",Table1[[#This Row],[Customer_Satisfaction]]=5,"Good")</f>
        <v>Poor</v>
      </c>
    </row>
    <row r="2843" spans="1:27" x14ac:dyDescent="0.35">
      <c r="A2843">
        <v>22841</v>
      </c>
      <c r="B2843" s="1">
        <v>45364</v>
      </c>
      <c r="C2843" t="s">
        <v>50</v>
      </c>
      <c r="D2843" t="s">
        <v>56</v>
      </c>
      <c r="E2843" t="s">
        <v>88</v>
      </c>
      <c r="F2843" t="s">
        <v>22</v>
      </c>
      <c r="G2843" t="s">
        <v>33</v>
      </c>
      <c r="H2843" t="s">
        <v>34</v>
      </c>
      <c r="I2843" t="s">
        <v>25</v>
      </c>
      <c r="J2843" t="s">
        <v>43</v>
      </c>
      <c r="K2843" t="s">
        <v>44</v>
      </c>
      <c r="L2843" t="s">
        <v>28</v>
      </c>
      <c r="M2843" s="4">
        <v>4</v>
      </c>
      <c r="N2843" s="4">
        <v>7</v>
      </c>
      <c r="O2843" t="s">
        <v>36</v>
      </c>
      <c r="P2843" t="s">
        <v>36</v>
      </c>
      <c r="Q2843" s="4">
        <v>581636</v>
      </c>
      <c r="R2843" s="4">
        <v>303074</v>
      </c>
      <c r="S2843" s="4">
        <f>Table1[[#This Row],[Service_Revenue]]-Table1[[#This Row],[Service_Cost]]</f>
        <v>278562</v>
      </c>
      <c r="T2843" s="4">
        <v>5</v>
      </c>
      <c r="U2843" s="4">
        <f>IF(AND(Table1[[#This Row],[Rework_Flag]]="Yes",Table1[[#This Row],[Warranty_Claim]]="No"),Table1[[#This Row],[Service_Revenue]],0)</f>
        <v>0</v>
      </c>
      <c r="V2843" s="4">
        <f>IF(Table1[[#This Row],[Warranty_Claim]]="Yes",1,0)</f>
        <v>0</v>
      </c>
      <c r="W2843" s="4">
        <f>IF(Table1[[#This Row],[Rework_Flag]]="No",1,0)</f>
        <v>1</v>
      </c>
      <c r="X2843" s="4">
        <f>IF(Table1[[#This Row],[Rework_Flag]]="Yes",1,0)</f>
        <v>0</v>
      </c>
      <c r="Y2843" s="4">
        <v>1</v>
      </c>
      <c r="Z2843" s="4" t="str">
        <f>IF(Table1[[#This Row],[TAT_Days]]&gt;Table1[[#This Row],[SLA_TAT]],"Yes","No")</f>
        <v>No</v>
      </c>
      <c r="AA2843" s="4" t="str" cm="1">
        <f t="array" ref="AA2843">_xlfn.IFS(Table1[[#This Row],[Customer_Satisfaction]]&lt;=2,"Poor",Table1[[#This Row],[Customer_Satisfaction]]=3,"Neutral",Table1[[#This Row],[Customer_Satisfaction]]=4,"Good",Table1[[#This Row],[Customer_Satisfaction]]=5,"Good")</f>
        <v>Good</v>
      </c>
    </row>
    <row r="2844" spans="1:27" x14ac:dyDescent="0.35">
      <c r="A2844">
        <v>22842</v>
      </c>
      <c r="B2844" s="1">
        <v>45438</v>
      </c>
      <c r="C2844" t="s">
        <v>30</v>
      </c>
      <c r="D2844" t="s">
        <v>83</v>
      </c>
      <c r="E2844" t="s">
        <v>90</v>
      </c>
      <c r="F2844" t="s">
        <v>22</v>
      </c>
      <c r="G2844" t="s">
        <v>54</v>
      </c>
      <c r="H2844" t="s">
        <v>42</v>
      </c>
      <c r="I2844" t="s">
        <v>25</v>
      </c>
      <c r="J2844" t="s">
        <v>35</v>
      </c>
      <c r="K2844" t="s">
        <v>61</v>
      </c>
      <c r="L2844" t="s">
        <v>28</v>
      </c>
      <c r="M2844" s="4">
        <v>12</v>
      </c>
      <c r="N2844" s="4">
        <v>7</v>
      </c>
      <c r="O2844" t="s">
        <v>36</v>
      </c>
      <c r="P2844" t="s">
        <v>29</v>
      </c>
      <c r="Q2844" s="4">
        <v>378469</v>
      </c>
      <c r="R2844" s="4">
        <v>233622</v>
      </c>
      <c r="S2844" s="4">
        <f>Table1[[#This Row],[Service_Revenue]]-Table1[[#This Row],[Service_Cost]]</f>
        <v>144847</v>
      </c>
      <c r="T2844" s="4">
        <v>3</v>
      </c>
      <c r="U2844" s="4">
        <f>IF(AND(Table1[[#This Row],[Rework_Flag]]="Yes",Table1[[#This Row],[Warranty_Claim]]="No"),Table1[[#This Row],[Service_Revenue]],0)</f>
        <v>0</v>
      </c>
      <c r="V2844" s="4">
        <f>IF(Table1[[#This Row],[Warranty_Claim]]="Yes",1,0)</f>
        <v>1</v>
      </c>
      <c r="W2844" s="4">
        <f>IF(Table1[[#This Row],[Rework_Flag]]="No",1,0)</f>
        <v>1</v>
      </c>
      <c r="X2844" s="4">
        <f>IF(Table1[[#This Row],[Rework_Flag]]="Yes",1,0)</f>
        <v>0</v>
      </c>
      <c r="Y2844" s="4">
        <v>1</v>
      </c>
      <c r="Z2844" s="4" t="str">
        <f>IF(Table1[[#This Row],[TAT_Days]]&gt;Table1[[#This Row],[SLA_TAT]],"Yes","No")</f>
        <v>Yes</v>
      </c>
      <c r="AA2844" s="4" t="str" cm="1">
        <f t="array" ref="AA2844">_xlfn.IFS(Table1[[#This Row],[Customer_Satisfaction]]&lt;=2,"Poor",Table1[[#This Row],[Customer_Satisfaction]]=3,"Neutral",Table1[[#This Row],[Customer_Satisfaction]]=4,"Good",Table1[[#This Row],[Customer_Satisfaction]]=5,"Good")</f>
        <v>Neutral</v>
      </c>
    </row>
    <row r="2845" spans="1:27" x14ac:dyDescent="0.35">
      <c r="A2845">
        <v>22843</v>
      </c>
      <c r="B2845" s="1">
        <v>45394</v>
      </c>
      <c r="C2845" t="s">
        <v>19</v>
      </c>
      <c r="D2845" t="s">
        <v>45</v>
      </c>
      <c r="E2845" t="s">
        <v>114</v>
      </c>
      <c r="F2845" t="s">
        <v>40</v>
      </c>
      <c r="G2845" t="s">
        <v>23</v>
      </c>
      <c r="H2845" t="s">
        <v>24</v>
      </c>
      <c r="I2845" t="s">
        <v>25</v>
      </c>
      <c r="J2845" t="s">
        <v>35</v>
      </c>
      <c r="K2845" t="s">
        <v>44</v>
      </c>
      <c r="L2845" t="s">
        <v>49</v>
      </c>
      <c r="M2845" s="4">
        <v>7</v>
      </c>
      <c r="N2845" s="4">
        <v>7</v>
      </c>
      <c r="O2845" t="s">
        <v>29</v>
      </c>
      <c r="P2845" t="s">
        <v>36</v>
      </c>
      <c r="Q2845" s="4">
        <v>541112</v>
      </c>
      <c r="R2845" s="4">
        <v>317522</v>
      </c>
      <c r="S2845" s="4">
        <f>Table1[[#This Row],[Service_Revenue]]-Table1[[#This Row],[Service_Cost]]</f>
        <v>223590</v>
      </c>
      <c r="T2845" s="4">
        <v>3</v>
      </c>
      <c r="U2845" s="4">
        <f>IF(AND(Table1[[#This Row],[Rework_Flag]]="Yes",Table1[[#This Row],[Warranty_Claim]]="No"),Table1[[#This Row],[Service_Revenue]],0)</f>
        <v>541112</v>
      </c>
      <c r="V2845" s="4">
        <f>IF(Table1[[#This Row],[Warranty_Claim]]="Yes",1,0)</f>
        <v>0</v>
      </c>
      <c r="W2845" s="4">
        <f>IF(Table1[[#This Row],[Rework_Flag]]="No",1,0)</f>
        <v>0</v>
      </c>
      <c r="X2845" s="4">
        <f>IF(Table1[[#This Row],[Rework_Flag]]="Yes",1,0)</f>
        <v>1</v>
      </c>
      <c r="Y2845" s="4">
        <v>1</v>
      </c>
      <c r="Z2845" s="4" t="str">
        <f>IF(Table1[[#This Row],[TAT_Days]]&gt;Table1[[#This Row],[SLA_TAT]],"Yes","No")</f>
        <v>No</v>
      </c>
      <c r="AA2845" s="4" t="str" cm="1">
        <f t="array" ref="AA2845">_xlfn.IFS(Table1[[#This Row],[Customer_Satisfaction]]&lt;=2,"Poor",Table1[[#This Row],[Customer_Satisfaction]]=3,"Neutral",Table1[[#This Row],[Customer_Satisfaction]]=4,"Good",Table1[[#This Row],[Customer_Satisfaction]]=5,"Good")</f>
        <v>Neutral</v>
      </c>
    </row>
    <row r="2846" spans="1:27" x14ac:dyDescent="0.35">
      <c r="A2846">
        <v>22844</v>
      </c>
      <c r="B2846" s="1">
        <v>45306</v>
      </c>
      <c r="C2846" t="s">
        <v>30</v>
      </c>
      <c r="D2846" t="s">
        <v>83</v>
      </c>
      <c r="E2846" t="s">
        <v>119</v>
      </c>
      <c r="F2846" t="s">
        <v>40</v>
      </c>
      <c r="G2846" t="s">
        <v>23</v>
      </c>
      <c r="H2846" t="s">
        <v>24</v>
      </c>
      <c r="I2846" t="s">
        <v>25</v>
      </c>
      <c r="J2846" t="s">
        <v>67</v>
      </c>
      <c r="K2846" t="s">
        <v>27</v>
      </c>
      <c r="L2846" t="s">
        <v>49</v>
      </c>
      <c r="M2846" s="4">
        <v>3</v>
      </c>
      <c r="N2846" s="4">
        <v>7</v>
      </c>
      <c r="O2846" t="s">
        <v>36</v>
      </c>
      <c r="P2846" t="s">
        <v>36</v>
      </c>
      <c r="Q2846" s="4">
        <v>455492</v>
      </c>
      <c r="R2846" s="4">
        <v>237842</v>
      </c>
      <c r="S2846" s="4">
        <f>Table1[[#This Row],[Service_Revenue]]-Table1[[#This Row],[Service_Cost]]</f>
        <v>217650</v>
      </c>
      <c r="T2846" s="4">
        <v>5</v>
      </c>
      <c r="U2846" s="4">
        <f>IF(AND(Table1[[#This Row],[Rework_Flag]]="Yes",Table1[[#This Row],[Warranty_Claim]]="No"),Table1[[#This Row],[Service_Revenue]],0)</f>
        <v>0</v>
      </c>
      <c r="V2846" s="4">
        <f>IF(Table1[[#This Row],[Warranty_Claim]]="Yes",1,0)</f>
        <v>0</v>
      </c>
      <c r="W2846" s="4">
        <f>IF(Table1[[#This Row],[Rework_Flag]]="No",1,0)</f>
        <v>1</v>
      </c>
      <c r="X2846" s="4">
        <f>IF(Table1[[#This Row],[Rework_Flag]]="Yes",1,0)</f>
        <v>0</v>
      </c>
      <c r="Y2846" s="4">
        <v>1</v>
      </c>
      <c r="Z2846" s="4" t="str">
        <f>IF(Table1[[#This Row],[TAT_Days]]&gt;Table1[[#This Row],[SLA_TAT]],"Yes","No")</f>
        <v>No</v>
      </c>
      <c r="AA2846" s="4" t="str" cm="1">
        <f t="array" ref="AA2846">_xlfn.IFS(Table1[[#This Row],[Customer_Satisfaction]]&lt;=2,"Poor",Table1[[#This Row],[Customer_Satisfaction]]=3,"Neutral",Table1[[#This Row],[Customer_Satisfaction]]=4,"Good",Table1[[#This Row],[Customer_Satisfaction]]=5,"Good")</f>
        <v>Good</v>
      </c>
    </row>
    <row r="2847" spans="1:27" x14ac:dyDescent="0.35">
      <c r="A2847">
        <v>22845</v>
      </c>
      <c r="B2847" s="1">
        <v>45309</v>
      </c>
      <c r="C2847" t="s">
        <v>30</v>
      </c>
      <c r="D2847" t="s">
        <v>59</v>
      </c>
      <c r="E2847" t="s">
        <v>78</v>
      </c>
      <c r="F2847" t="s">
        <v>53</v>
      </c>
      <c r="G2847" t="s">
        <v>23</v>
      </c>
      <c r="H2847" t="s">
        <v>24</v>
      </c>
      <c r="I2847" t="s">
        <v>55</v>
      </c>
      <c r="J2847" t="s">
        <v>58</v>
      </c>
      <c r="K2847" t="s">
        <v>61</v>
      </c>
      <c r="L2847" t="s">
        <v>49</v>
      </c>
      <c r="M2847" s="4">
        <v>18</v>
      </c>
      <c r="N2847" s="4">
        <v>7</v>
      </c>
      <c r="O2847" t="s">
        <v>29</v>
      </c>
      <c r="P2847" t="s">
        <v>29</v>
      </c>
      <c r="Q2847" s="4">
        <v>563504</v>
      </c>
      <c r="R2847" s="4">
        <v>390983</v>
      </c>
      <c r="S2847" s="4">
        <f>Table1[[#This Row],[Service_Revenue]]-Table1[[#This Row],[Service_Cost]]</f>
        <v>172521</v>
      </c>
      <c r="T2847" s="4">
        <v>1</v>
      </c>
      <c r="U2847" s="4">
        <f>IF(AND(Table1[[#This Row],[Rework_Flag]]="Yes",Table1[[#This Row],[Warranty_Claim]]="No"),Table1[[#This Row],[Service_Revenue]],0)</f>
        <v>0</v>
      </c>
      <c r="V2847" s="4">
        <f>IF(Table1[[#This Row],[Warranty_Claim]]="Yes",1,0)</f>
        <v>1</v>
      </c>
      <c r="W2847" s="4">
        <f>IF(Table1[[#This Row],[Rework_Flag]]="No",1,0)</f>
        <v>0</v>
      </c>
      <c r="X2847" s="4">
        <f>IF(Table1[[#This Row],[Rework_Flag]]="Yes",1,0)</f>
        <v>1</v>
      </c>
      <c r="Y2847" s="4">
        <v>1</v>
      </c>
      <c r="Z2847" s="4" t="str">
        <f>IF(Table1[[#This Row],[TAT_Days]]&gt;Table1[[#This Row],[SLA_TAT]],"Yes","No")</f>
        <v>Yes</v>
      </c>
      <c r="AA2847" s="4" t="str" cm="1">
        <f t="array" ref="AA2847">_xlfn.IFS(Table1[[#This Row],[Customer_Satisfaction]]&lt;=2,"Poor",Table1[[#This Row],[Customer_Satisfaction]]=3,"Neutral",Table1[[#This Row],[Customer_Satisfaction]]=4,"Good",Table1[[#This Row],[Customer_Satisfaction]]=5,"Good")</f>
        <v>Poor</v>
      </c>
    </row>
    <row r="2848" spans="1:27" x14ac:dyDescent="0.35">
      <c r="A2848">
        <v>22846</v>
      </c>
      <c r="B2848" s="1">
        <v>45423</v>
      </c>
      <c r="C2848" t="s">
        <v>30</v>
      </c>
      <c r="D2848" t="s">
        <v>83</v>
      </c>
      <c r="E2848" t="s">
        <v>119</v>
      </c>
      <c r="F2848" t="s">
        <v>22</v>
      </c>
      <c r="G2848" t="s">
        <v>54</v>
      </c>
      <c r="H2848" t="s">
        <v>42</v>
      </c>
      <c r="I2848" t="s">
        <v>55</v>
      </c>
      <c r="J2848" t="s">
        <v>58</v>
      </c>
      <c r="K2848" t="s">
        <v>44</v>
      </c>
      <c r="L2848" t="s">
        <v>49</v>
      </c>
      <c r="M2848" s="4">
        <v>19</v>
      </c>
      <c r="N2848" s="4">
        <v>7</v>
      </c>
      <c r="O2848" t="s">
        <v>29</v>
      </c>
      <c r="P2848" t="s">
        <v>29</v>
      </c>
      <c r="Q2848" s="4">
        <v>520803</v>
      </c>
      <c r="R2848" s="4">
        <v>285757</v>
      </c>
      <c r="S2848" s="4">
        <f>Table1[[#This Row],[Service_Revenue]]-Table1[[#This Row],[Service_Cost]]</f>
        <v>235046</v>
      </c>
      <c r="T2848" s="4">
        <v>1</v>
      </c>
      <c r="U2848" s="4">
        <f>IF(AND(Table1[[#This Row],[Rework_Flag]]="Yes",Table1[[#This Row],[Warranty_Claim]]="No"),Table1[[#This Row],[Service_Revenue]],0)</f>
        <v>0</v>
      </c>
      <c r="V2848" s="4">
        <f>IF(Table1[[#This Row],[Warranty_Claim]]="Yes",1,0)</f>
        <v>1</v>
      </c>
      <c r="W2848" s="4">
        <f>IF(Table1[[#This Row],[Rework_Flag]]="No",1,0)</f>
        <v>0</v>
      </c>
      <c r="X2848" s="4">
        <f>IF(Table1[[#This Row],[Rework_Flag]]="Yes",1,0)</f>
        <v>1</v>
      </c>
      <c r="Y2848" s="4">
        <v>1</v>
      </c>
      <c r="Z2848" s="4" t="str">
        <f>IF(Table1[[#This Row],[TAT_Days]]&gt;Table1[[#This Row],[SLA_TAT]],"Yes","No")</f>
        <v>Yes</v>
      </c>
      <c r="AA2848" s="4" t="str" cm="1">
        <f t="array" ref="AA2848">_xlfn.IFS(Table1[[#This Row],[Customer_Satisfaction]]&lt;=2,"Poor",Table1[[#This Row],[Customer_Satisfaction]]=3,"Neutral",Table1[[#This Row],[Customer_Satisfaction]]=4,"Good",Table1[[#This Row],[Customer_Satisfaction]]=5,"Good")</f>
        <v>Poor</v>
      </c>
    </row>
    <row r="2849" spans="1:27" x14ac:dyDescent="0.35">
      <c r="A2849">
        <v>22847</v>
      </c>
      <c r="B2849" s="1">
        <v>45325</v>
      </c>
      <c r="C2849" t="s">
        <v>37</v>
      </c>
      <c r="D2849" t="s">
        <v>70</v>
      </c>
      <c r="E2849" t="s">
        <v>100</v>
      </c>
      <c r="F2849" t="s">
        <v>53</v>
      </c>
      <c r="G2849" t="s">
        <v>54</v>
      </c>
      <c r="H2849" t="s">
        <v>42</v>
      </c>
      <c r="I2849" t="s">
        <v>55</v>
      </c>
      <c r="J2849" t="s">
        <v>43</v>
      </c>
      <c r="K2849" t="s">
        <v>44</v>
      </c>
      <c r="L2849" t="s">
        <v>28</v>
      </c>
      <c r="M2849" s="4">
        <v>9</v>
      </c>
      <c r="N2849" s="4">
        <v>7</v>
      </c>
      <c r="O2849" t="s">
        <v>29</v>
      </c>
      <c r="P2849" t="s">
        <v>29</v>
      </c>
      <c r="Q2849" s="4">
        <v>538620</v>
      </c>
      <c r="R2849" s="4">
        <v>277730</v>
      </c>
      <c r="S2849" s="4">
        <f>Table1[[#This Row],[Service_Revenue]]-Table1[[#This Row],[Service_Cost]]</f>
        <v>260890</v>
      </c>
      <c r="T2849" s="4">
        <v>3</v>
      </c>
      <c r="U2849" s="4">
        <f>IF(AND(Table1[[#This Row],[Rework_Flag]]="Yes",Table1[[#This Row],[Warranty_Claim]]="No"),Table1[[#This Row],[Service_Revenue]],0)</f>
        <v>0</v>
      </c>
      <c r="V2849" s="4">
        <f>IF(Table1[[#This Row],[Warranty_Claim]]="Yes",1,0)</f>
        <v>1</v>
      </c>
      <c r="W2849" s="4">
        <f>IF(Table1[[#This Row],[Rework_Flag]]="No",1,0)</f>
        <v>0</v>
      </c>
      <c r="X2849" s="4">
        <f>IF(Table1[[#This Row],[Rework_Flag]]="Yes",1,0)</f>
        <v>1</v>
      </c>
      <c r="Y2849" s="4">
        <v>1</v>
      </c>
      <c r="Z2849" s="4" t="str">
        <f>IF(Table1[[#This Row],[TAT_Days]]&gt;Table1[[#This Row],[SLA_TAT]],"Yes","No")</f>
        <v>Yes</v>
      </c>
      <c r="AA2849" s="4" t="str" cm="1">
        <f t="array" ref="AA2849">_xlfn.IFS(Table1[[#This Row],[Customer_Satisfaction]]&lt;=2,"Poor",Table1[[#This Row],[Customer_Satisfaction]]=3,"Neutral",Table1[[#This Row],[Customer_Satisfaction]]=4,"Good",Table1[[#This Row],[Customer_Satisfaction]]=5,"Good")</f>
        <v>Neutral</v>
      </c>
    </row>
    <row r="2850" spans="1:27" x14ac:dyDescent="0.35">
      <c r="A2850">
        <v>22848</v>
      </c>
      <c r="B2850" s="1">
        <v>45462</v>
      </c>
      <c r="C2850" t="s">
        <v>19</v>
      </c>
      <c r="D2850" t="s">
        <v>20</v>
      </c>
      <c r="E2850" t="s">
        <v>21</v>
      </c>
      <c r="F2850" t="s">
        <v>40</v>
      </c>
      <c r="G2850" t="s">
        <v>41</v>
      </c>
      <c r="H2850" t="s">
        <v>42</v>
      </c>
      <c r="I2850" t="s">
        <v>55</v>
      </c>
      <c r="J2850" t="s">
        <v>43</v>
      </c>
      <c r="K2850" t="s">
        <v>44</v>
      </c>
      <c r="L2850" t="s">
        <v>28</v>
      </c>
      <c r="M2850" s="4">
        <v>2</v>
      </c>
      <c r="N2850" s="4">
        <v>7</v>
      </c>
      <c r="O2850" t="s">
        <v>29</v>
      </c>
      <c r="P2850" t="s">
        <v>36</v>
      </c>
      <c r="Q2850" s="4">
        <v>255670</v>
      </c>
      <c r="R2850" s="4">
        <v>170273</v>
      </c>
      <c r="S2850" s="4">
        <f>Table1[[#This Row],[Service_Revenue]]-Table1[[#This Row],[Service_Cost]]</f>
        <v>85397</v>
      </c>
      <c r="T2850" s="4">
        <v>4</v>
      </c>
      <c r="U2850" s="4">
        <f>IF(AND(Table1[[#This Row],[Rework_Flag]]="Yes",Table1[[#This Row],[Warranty_Claim]]="No"),Table1[[#This Row],[Service_Revenue]],0)</f>
        <v>255670</v>
      </c>
      <c r="V2850" s="4">
        <f>IF(Table1[[#This Row],[Warranty_Claim]]="Yes",1,0)</f>
        <v>0</v>
      </c>
      <c r="W2850" s="4">
        <f>IF(Table1[[#This Row],[Rework_Flag]]="No",1,0)</f>
        <v>0</v>
      </c>
      <c r="X2850" s="4">
        <f>IF(Table1[[#This Row],[Rework_Flag]]="Yes",1,0)</f>
        <v>1</v>
      </c>
      <c r="Y2850" s="4">
        <v>1</v>
      </c>
      <c r="Z2850" s="4" t="str">
        <f>IF(Table1[[#This Row],[TAT_Days]]&gt;Table1[[#This Row],[SLA_TAT]],"Yes","No")</f>
        <v>No</v>
      </c>
      <c r="AA2850" s="4" t="str" cm="1">
        <f t="array" ref="AA2850">_xlfn.IFS(Table1[[#This Row],[Customer_Satisfaction]]&lt;=2,"Poor",Table1[[#This Row],[Customer_Satisfaction]]=3,"Neutral",Table1[[#This Row],[Customer_Satisfaction]]=4,"Good",Table1[[#This Row],[Customer_Satisfaction]]=5,"Good")</f>
        <v>Good</v>
      </c>
    </row>
    <row r="2851" spans="1:27" x14ac:dyDescent="0.35">
      <c r="A2851">
        <v>22849</v>
      </c>
      <c r="B2851" s="1">
        <v>45370</v>
      </c>
      <c r="C2851" t="s">
        <v>50</v>
      </c>
      <c r="D2851" t="s">
        <v>56</v>
      </c>
      <c r="E2851" t="s">
        <v>77</v>
      </c>
      <c r="F2851" t="s">
        <v>40</v>
      </c>
      <c r="G2851" t="s">
        <v>33</v>
      </c>
      <c r="H2851" t="s">
        <v>34</v>
      </c>
      <c r="I2851" t="s">
        <v>25</v>
      </c>
      <c r="J2851" t="s">
        <v>58</v>
      </c>
      <c r="K2851" t="s">
        <v>44</v>
      </c>
      <c r="L2851" t="s">
        <v>28</v>
      </c>
      <c r="M2851" s="4">
        <v>22</v>
      </c>
      <c r="N2851" s="4">
        <v>7</v>
      </c>
      <c r="O2851" t="s">
        <v>36</v>
      </c>
      <c r="P2851" t="s">
        <v>36</v>
      </c>
      <c r="Q2851" s="4">
        <v>484695</v>
      </c>
      <c r="R2851" s="4">
        <v>302860</v>
      </c>
      <c r="S2851" s="4">
        <f>Table1[[#This Row],[Service_Revenue]]-Table1[[#This Row],[Service_Cost]]</f>
        <v>181835</v>
      </c>
      <c r="T2851" s="4">
        <v>1</v>
      </c>
      <c r="U2851" s="4">
        <f>IF(AND(Table1[[#This Row],[Rework_Flag]]="Yes",Table1[[#This Row],[Warranty_Claim]]="No"),Table1[[#This Row],[Service_Revenue]],0)</f>
        <v>0</v>
      </c>
      <c r="V2851" s="4">
        <f>IF(Table1[[#This Row],[Warranty_Claim]]="Yes",1,0)</f>
        <v>0</v>
      </c>
      <c r="W2851" s="4">
        <f>IF(Table1[[#This Row],[Rework_Flag]]="No",1,0)</f>
        <v>1</v>
      </c>
      <c r="X2851" s="4">
        <f>IF(Table1[[#This Row],[Rework_Flag]]="Yes",1,0)</f>
        <v>0</v>
      </c>
      <c r="Y2851" s="4">
        <v>1</v>
      </c>
      <c r="Z2851" s="4" t="str">
        <f>IF(Table1[[#This Row],[TAT_Days]]&gt;Table1[[#This Row],[SLA_TAT]],"Yes","No")</f>
        <v>Yes</v>
      </c>
      <c r="AA2851" s="4" t="str" cm="1">
        <f t="array" ref="AA2851">_xlfn.IFS(Table1[[#This Row],[Customer_Satisfaction]]&lt;=2,"Poor",Table1[[#This Row],[Customer_Satisfaction]]=3,"Neutral",Table1[[#This Row],[Customer_Satisfaction]]=4,"Good",Table1[[#This Row],[Customer_Satisfaction]]=5,"Good")</f>
        <v>Poor</v>
      </c>
    </row>
    <row r="2852" spans="1:27" x14ac:dyDescent="0.35">
      <c r="A2852">
        <v>22850</v>
      </c>
      <c r="B2852" s="1">
        <v>45365</v>
      </c>
      <c r="C2852" t="s">
        <v>37</v>
      </c>
      <c r="D2852" t="s">
        <v>38</v>
      </c>
      <c r="E2852" t="s">
        <v>112</v>
      </c>
      <c r="F2852" t="s">
        <v>22</v>
      </c>
      <c r="G2852" t="s">
        <v>74</v>
      </c>
      <c r="H2852" t="s">
        <v>34</v>
      </c>
      <c r="I2852" t="s">
        <v>55</v>
      </c>
      <c r="J2852" t="s">
        <v>35</v>
      </c>
      <c r="K2852" t="s">
        <v>61</v>
      </c>
      <c r="L2852" t="s">
        <v>49</v>
      </c>
      <c r="M2852" s="4">
        <v>21</v>
      </c>
      <c r="N2852" s="4">
        <v>7</v>
      </c>
      <c r="O2852" t="s">
        <v>29</v>
      </c>
      <c r="P2852" t="s">
        <v>36</v>
      </c>
      <c r="Q2852" s="4">
        <v>114570</v>
      </c>
      <c r="R2852" s="4">
        <v>91225</v>
      </c>
      <c r="S2852" s="4">
        <f>Table1[[#This Row],[Service_Revenue]]-Table1[[#This Row],[Service_Cost]]</f>
        <v>23345</v>
      </c>
      <c r="T2852" s="4">
        <v>1</v>
      </c>
      <c r="U2852" s="4">
        <f>IF(AND(Table1[[#This Row],[Rework_Flag]]="Yes",Table1[[#This Row],[Warranty_Claim]]="No"),Table1[[#This Row],[Service_Revenue]],0)</f>
        <v>114570</v>
      </c>
      <c r="V2852" s="4">
        <f>IF(Table1[[#This Row],[Warranty_Claim]]="Yes",1,0)</f>
        <v>0</v>
      </c>
      <c r="W2852" s="4">
        <f>IF(Table1[[#This Row],[Rework_Flag]]="No",1,0)</f>
        <v>0</v>
      </c>
      <c r="X2852" s="4">
        <f>IF(Table1[[#This Row],[Rework_Flag]]="Yes",1,0)</f>
        <v>1</v>
      </c>
      <c r="Y2852" s="4">
        <v>1</v>
      </c>
      <c r="Z2852" s="4" t="str">
        <f>IF(Table1[[#This Row],[TAT_Days]]&gt;Table1[[#This Row],[SLA_TAT]],"Yes","No")</f>
        <v>Yes</v>
      </c>
      <c r="AA2852" s="4" t="str" cm="1">
        <f t="array" ref="AA2852">_xlfn.IFS(Table1[[#This Row],[Customer_Satisfaction]]&lt;=2,"Poor",Table1[[#This Row],[Customer_Satisfaction]]=3,"Neutral",Table1[[#This Row],[Customer_Satisfaction]]=4,"Good",Table1[[#This Row],[Customer_Satisfaction]]=5,"Good")</f>
        <v>Poor</v>
      </c>
    </row>
    <row r="2853" spans="1:27" x14ac:dyDescent="0.35">
      <c r="A2853">
        <v>22851</v>
      </c>
      <c r="B2853" s="1">
        <v>45334</v>
      </c>
      <c r="C2853" t="s">
        <v>50</v>
      </c>
      <c r="D2853" t="s">
        <v>80</v>
      </c>
      <c r="E2853" t="s">
        <v>121</v>
      </c>
      <c r="F2853" t="s">
        <v>53</v>
      </c>
      <c r="G2853" t="s">
        <v>74</v>
      </c>
      <c r="H2853" t="s">
        <v>34</v>
      </c>
      <c r="I2853" t="s">
        <v>25</v>
      </c>
      <c r="J2853" t="s">
        <v>58</v>
      </c>
      <c r="K2853" t="s">
        <v>27</v>
      </c>
      <c r="L2853" t="s">
        <v>49</v>
      </c>
      <c r="M2853" s="4">
        <v>19</v>
      </c>
      <c r="N2853" s="4">
        <v>7</v>
      </c>
      <c r="O2853" t="s">
        <v>29</v>
      </c>
      <c r="P2853" t="s">
        <v>36</v>
      </c>
      <c r="Q2853" s="4">
        <v>402577</v>
      </c>
      <c r="R2853" s="4">
        <v>244784</v>
      </c>
      <c r="S2853" s="4">
        <f>Table1[[#This Row],[Service_Revenue]]-Table1[[#This Row],[Service_Cost]]</f>
        <v>157793</v>
      </c>
      <c r="T2853" s="4">
        <v>1</v>
      </c>
      <c r="U2853" s="4">
        <f>IF(AND(Table1[[#This Row],[Rework_Flag]]="Yes",Table1[[#This Row],[Warranty_Claim]]="No"),Table1[[#This Row],[Service_Revenue]],0)</f>
        <v>402577</v>
      </c>
      <c r="V2853" s="4">
        <f>IF(Table1[[#This Row],[Warranty_Claim]]="Yes",1,0)</f>
        <v>0</v>
      </c>
      <c r="W2853" s="4">
        <f>IF(Table1[[#This Row],[Rework_Flag]]="No",1,0)</f>
        <v>0</v>
      </c>
      <c r="X2853" s="4">
        <f>IF(Table1[[#This Row],[Rework_Flag]]="Yes",1,0)</f>
        <v>1</v>
      </c>
      <c r="Y2853" s="4">
        <v>1</v>
      </c>
      <c r="Z2853" s="4" t="str">
        <f>IF(Table1[[#This Row],[TAT_Days]]&gt;Table1[[#This Row],[SLA_TAT]],"Yes","No")</f>
        <v>Yes</v>
      </c>
      <c r="AA2853" s="4" t="str" cm="1">
        <f t="array" ref="AA2853">_xlfn.IFS(Table1[[#This Row],[Customer_Satisfaction]]&lt;=2,"Poor",Table1[[#This Row],[Customer_Satisfaction]]=3,"Neutral",Table1[[#This Row],[Customer_Satisfaction]]=4,"Good",Table1[[#This Row],[Customer_Satisfaction]]=5,"Good")</f>
        <v>Poor</v>
      </c>
    </row>
    <row r="2854" spans="1:27" x14ac:dyDescent="0.35">
      <c r="A2854">
        <v>22852</v>
      </c>
      <c r="B2854" s="1">
        <v>45324</v>
      </c>
      <c r="C2854" t="s">
        <v>37</v>
      </c>
      <c r="D2854" t="s">
        <v>64</v>
      </c>
      <c r="E2854" t="s">
        <v>72</v>
      </c>
      <c r="F2854" t="s">
        <v>22</v>
      </c>
      <c r="G2854" t="s">
        <v>54</v>
      </c>
      <c r="H2854" t="s">
        <v>42</v>
      </c>
      <c r="I2854" t="s">
        <v>25</v>
      </c>
      <c r="J2854" t="s">
        <v>26</v>
      </c>
      <c r="K2854" t="s">
        <v>27</v>
      </c>
      <c r="L2854" t="s">
        <v>49</v>
      </c>
      <c r="M2854" s="4">
        <v>4</v>
      </c>
      <c r="N2854" s="4">
        <v>7</v>
      </c>
      <c r="O2854" t="s">
        <v>36</v>
      </c>
      <c r="P2854" t="s">
        <v>29</v>
      </c>
      <c r="Q2854" s="4">
        <v>393409</v>
      </c>
      <c r="R2854" s="4">
        <v>294296</v>
      </c>
      <c r="S2854" s="4">
        <f>Table1[[#This Row],[Service_Revenue]]-Table1[[#This Row],[Service_Cost]]</f>
        <v>99113</v>
      </c>
      <c r="T2854" s="4">
        <v>5</v>
      </c>
      <c r="U2854" s="4">
        <f>IF(AND(Table1[[#This Row],[Rework_Flag]]="Yes",Table1[[#This Row],[Warranty_Claim]]="No"),Table1[[#This Row],[Service_Revenue]],0)</f>
        <v>0</v>
      </c>
      <c r="V2854" s="4">
        <f>IF(Table1[[#This Row],[Warranty_Claim]]="Yes",1,0)</f>
        <v>1</v>
      </c>
      <c r="W2854" s="4">
        <f>IF(Table1[[#This Row],[Rework_Flag]]="No",1,0)</f>
        <v>1</v>
      </c>
      <c r="X2854" s="4">
        <f>IF(Table1[[#This Row],[Rework_Flag]]="Yes",1,0)</f>
        <v>0</v>
      </c>
      <c r="Y2854" s="4">
        <v>1</v>
      </c>
      <c r="Z2854" s="4" t="str">
        <f>IF(Table1[[#This Row],[TAT_Days]]&gt;Table1[[#This Row],[SLA_TAT]],"Yes","No")</f>
        <v>No</v>
      </c>
      <c r="AA2854" s="4" t="str" cm="1">
        <f t="array" ref="AA2854">_xlfn.IFS(Table1[[#This Row],[Customer_Satisfaction]]&lt;=2,"Poor",Table1[[#This Row],[Customer_Satisfaction]]=3,"Neutral",Table1[[#This Row],[Customer_Satisfaction]]=4,"Good",Table1[[#This Row],[Customer_Satisfaction]]=5,"Good")</f>
        <v>Good</v>
      </c>
    </row>
    <row r="2855" spans="1:27" x14ac:dyDescent="0.35">
      <c r="A2855">
        <v>22853</v>
      </c>
      <c r="B2855" s="1">
        <v>45434</v>
      </c>
      <c r="C2855" t="s">
        <v>50</v>
      </c>
      <c r="D2855" t="s">
        <v>51</v>
      </c>
      <c r="E2855" t="s">
        <v>75</v>
      </c>
      <c r="F2855" t="s">
        <v>53</v>
      </c>
      <c r="G2855" t="s">
        <v>47</v>
      </c>
      <c r="H2855" t="s">
        <v>48</v>
      </c>
      <c r="I2855" t="s">
        <v>25</v>
      </c>
      <c r="J2855" t="s">
        <v>35</v>
      </c>
      <c r="K2855" t="s">
        <v>27</v>
      </c>
      <c r="L2855" t="s">
        <v>49</v>
      </c>
      <c r="M2855" s="4">
        <v>19</v>
      </c>
      <c r="N2855" s="4">
        <v>7</v>
      </c>
      <c r="O2855" t="s">
        <v>29</v>
      </c>
      <c r="P2855" t="s">
        <v>36</v>
      </c>
      <c r="Q2855" s="4">
        <v>469227</v>
      </c>
      <c r="R2855" s="4">
        <v>302182</v>
      </c>
      <c r="S2855" s="4">
        <f>Table1[[#This Row],[Service_Revenue]]-Table1[[#This Row],[Service_Cost]]</f>
        <v>167045</v>
      </c>
      <c r="T2855" s="4">
        <v>1</v>
      </c>
      <c r="U2855" s="4">
        <f>IF(AND(Table1[[#This Row],[Rework_Flag]]="Yes",Table1[[#This Row],[Warranty_Claim]]="No"),Table1[[#This Row],[Service_Revenue]],0)</f>
        <v>469227</v>
      </c>
      <c r="V2855" s="4">
        <f>IF(Table1[[#This Row],[Warranty_Claim]]="Yes",1,0)</f>
        <v>0</v>
      </c>
      <c r="W2855" s="4">
        <f>IF(Table1[[#This Row],[Rework_Flag]]="No",1,0)</f>
        <v>0</v>
      </c>
      <c r="X2855" s="4">
        <f>IF(Table1[[#This Row],[Rework_Flag]]="Yes",1,0)</f>
        <v>1</v>
      </c>
      <c r="Y2855" s="4">
        <v>1</v>
      </c>
      <c r="Z2855" s="4" t="str">
        <f>IF(Table1[[#This Row],[TAT_Days]]&gt;Table1[[#This Row],[SLA_TAT]],"Yes","No")</f>
        <v>Yes</v>
      </c>
      <c r="AA2855" s="4" t="str" cm="1">
        <f t="array" ref="AA2855">_xlfn.IFS(Table1[[#This Row],[Customer_Satisfaction]]&lt;=2,"Poor",Table1[[#This Row],[Customer_Satisfaction]]=3,"Neutral",Table1[[#This Row],[Customer_Satisfaction]]=4,"Good",Table1[[#This Row],[Customer_Satisfaction]]=5,"Good")</f>
        <v>Poor</v>
      </c>
    </row>
    <row r="2856" spans="1:27" x14ac:dyDescent="0.35">
      <c r="A2856">
        <v>22854</v>
      </c>
      <c r="B2856" s="1">
        <v>45376</v>
      </c>
      <c r="C2856" t="s">
        <v>30</v>
      </c>
      <c r="D2856" t="s">
        <v>59</v>
      </c>
      <c r="E2856" t="s">
        <v>60</v>
      </c>
      <c r="F2856" t="s">
        <v>40</v>
      </c>
      <c r="G2856" t="s">
        <v>33</v>
      </c>
      <c r="H2856" t="s">
        <v>34</v>
      </c>
      <c r="I2856" t="s">
        <v>55</v>
      </c>
      <c r="J2856" t="s">
        <v>58</v>
      </c>
      <c r="K2856" t="s">
        <v>61</v>
      </c>
      <c r="L2856" t="s">
        <v>28</v>
      </c>
      <c r="M2856" s="4">
        <v>6</v>
      </c>
      <c r="N2856" s="4">
        <v>7</v>
      </c>
      <c r="O2856" t="s">
        <v>29</v>
      </c>
      <c r="P2856" t="s">
        <v>36</v>
      </c>
      <c r="Q2856" s="4">
        <v>129662</v>
      </c>
      <c r="R2856" s="4">
        <v>96705</v>
      </c>
      <c r="S2856" s="4">
        <f>Table1[[#This Row],[Service_Revenue]]-Table1[[#This Row],[Service_Cost]]</f>
        <v>32957</v>
      </c>
      <c r="T2856" s="4">
        <v>3</v>
      </c>
      <c r="U2856" s="4">
        <f>IF(AND(Table1[[#This Row],[Rework_Flag]]="Yes",Table1[[#This Row],[Warranty_Claim]]="No"),Table1[[#This Row],[Service_Revenue]],0)</f>
        <v>129662</v>
      </c>
      <c r="V2856" s="4">
        <f>IF(Table1[[#This Row],[Warranty_Claim]]="Yes",1,0)</f>
        <v>0</v>
      </c>
      <c r="W2856" s="4">
        <f>IF(Table1[[#This Row],[Rework_Flag]]="No",1,0)</f>
        <v>0</v>
      </c>
      <c r="X2856" s="4">
        <f>IF(Table1[[#This Row],[Rework_Flag]]="Yes",1,0)</f>
        <v>1</v>
      </c>
      <c r="Y2856" s="4">
        <v>1</v>
      </c>
      <c r="Z2856" s="4" t="str">
        <f>IF(Table1[[#This Row],[TAT_Days]]&gt;Table1[[#This Row],[SLA_TAT]],"Yes","No")</f>
        <v>No</v>
      </c>
      <c r="AA2856" s="4" t="str" cm="1">
        <f t="array" ref="AA2856">_xlfn.IFS(Table1[[#This Row],[Customer_Satisfaction]]&lt;=2,"Poor",Table1[[#This Row],[Customer_Satisfaction]]=3,"Neutral",Table1[[#This Row],[Customer_Satisfaction]]=4,"Good",Table1[[#This Row],[Customer_Satisfaction]]=5,"Good")</f>
        <v>Neutral</v>
      </c>
    </row>
    <row r="2857" spans="1:27" x14ac:dyDescent="0.35">
      <c r="A2857">
        <v>22855</v>
      </c>
      <c r="B2857" s="1">
        <v>45381</v>
      </c>
      <c r="C2857" t="s">
        <v>50</v>
      </c>
      <c r="D2857" t="s">
        <v>56</v>
      </c>
      <c r="E2857" t="s">
        <v>68</v>
      </c>
      <c r="F2857" t="s">
        <v>40</v>
      </c>
      <c r="G2857" t="s">
        <v>33</v>
      </c>
      <c r="H2857" t="s">
        <v>34</v>
      </c>
      <c r="I2857" t="s">
        <v>55</v>
      </c>
      <c r="J2857" t="s">
        <v>43</v>
      </c>
      <c r="K2857" t="s">
        <v>61</v>
      </c>
      <c r="L2857" t="s">
        <v>49</v>
      </c>
      <c r="M2857" s="4">
        <v>22</v>
      </c>
      <c r="N2857" s="4">
        <v>7</v>
      </c>
      <c r="O2857" t="s">
        <v>36</v>
      </c>
      <c r="P2857" t="s">
        <v>36</v>
      </c>
      <c r="Q2857" s="4">
        <v>596514</v>
      </c>
      <c r="R2857" s="4">
        <v>502551</v>
      </c>
      <c r="S2857" s="4">
        <f>Table1[[#This Row],[Service_Revenue]]-Table1[[#This Row],[Service_Cost]]</f>
        <v>93963</v>
      </c>
      <c r="T2857" s="4">
        <v>1</v>
      </c>
      <c r="U2857" s="4">
        <f>IF(AND(Table1[[#This Row],[Rework_Flag]]="Yes",Table1[[#This Row],[Warranty_Claim]]="No"),Table1[[#This Row],[Service_Revenue]],0)</f>
        <v>0</v>
      </c>
      <c r="V2857" s="4">
        <f>IF(Table1[[#This Row],[Warranty_Claim]]="Yes",1,0)</f>
        <v>0</v>
      </c>
      <c r="W2857" s="4">
        <f>IF(Table1[[#This Row],[Rework_Flag]]="No",1,0)</f>
        <v>1</v>
      </c>
      <c r="X2857" s="4">
        <f>IF(Table1[[#This Row],[Rework_Flag]]="Yes",1,0)</f>
        <v>0</v>
      </c>
      <c r="Y2857" s="4">
        <v>1</v>
      </c>
      <c r="Z2857" s="4" t="str">
        <f>IF(Table1[[#This Row],[TAT_Days]]&gt;Table1[[#This Row],[SLA_TAT]],"Yes","No")</f>
        <v>Yes</v>
      </c>
      <c r="AA2857" s="4" t="str" cm="1">
        <f t="array" ref="AA2857">_xlfn.IFS(Table1[[#This Row],[Customer_Satisfaction]]&lt;=2,"Poor",Table1[[#This Row],[Customer_Satisfaction]]=3,"Neutral",Table1[[#This Row],[Customer_Satisfaction]]=4,"Good",Table1[[#This Row],[Customer_Satisfaction]]=5,"Good")</f>
        <v>Poor</v>
      </c>
    </row>
    <row r="2858" spans="1:27" x14ac:dyDescent="0.35">
      <c r="A2858">
        <v>22856</v>
      </c>
      <c r="B2858" s="1">
        <v>45435</v>
      </c>
      <c r="C2858" t="s">
        <v>37</v>
      </c>
      <c r="D2858" t="s">
        <v>70</v>
      </c>
      <c r="E2858" t="s">
        <v>116</v>
      </c>
      <c r="F2858" t="s">
        <v>40</v>
      </c>
      <c r="G2858" t="s">
        <v>63</v>
      </c>
      <c r="H2858" t="s">
        <v>24</v>
      </c>
      <c r="I2858" t="s">
        <v>25</v>
      </c>
      <c r="J2858" t="s">
        <v>58</v>
      </c>
      <c r="K2858" t="s">
        <v>27</v>
      </c>
      <c r="L2858" t="s">
        <v>28</v>
      </c>
      <c r="M2858" s="4">
        <v>5</v>
      </c>
      <c r="N2858" s="4">
        <v>7</v>
      </c>
      <c r="O2858" t="s">
        <v>29</v>
      </c>
      <c r="P2858" t="s">
        <v>29</v>
      </c>
      <c r="Q2858" s="4">
        <v>582484</v>
      </c>
      <c r="R2858" s="4">
        <v>463182</v>
      </c>
      <c r="S2858" s="4">
        <f>Table1[[#This Row],[Service_Revenue]]-Table1[[#This Row],[Service_Cost]]</f>
        <v>119302</v>
      </c>
      <c r="T2858" s="4">
        <v>3</v>
      </c>
      <c r="U2858" s="4">
        <f>IF(AND(Table1[[#This Row],[Rework_Flag]]="Yes",Table1[[#This Row],[Warranty_Claim]]="No"),Table1[[#This Row],[Service_Revenue]],0)</f>
        <v>0</v>
      </c>
      <c r="V2858" s="4">
        <f>IF(Table1[[#This Row],[Warranty_Claim]]="Yes",1,0)</f>
        <v>1</v>
      </c>
      <c r="W2858" s="4">
        <f>IF(Table1[[#This Row],[Rework_Flag]]="No",1,0)</f>
        <v>0</v>
      </c>
      <c r="X2858" s="4">
        <f>IF(Table1[[#This Row],[Rework_Flag]]="Yes",1,0)</f>
        <v>1</v>
      </c>
      <c r="Y2858" s="4">
        <v>1</v>
      </c>
      <c r="Z2858" s="4" t="str">
        <f>IF(Table1[[#This Row],[TAT_Days]]&gt;Table1[[#This Row],[SLA_TAT]],"Yes","No")</f>
        <v>No</v>
      </c>
      <c r="AA2858" s="4" t="str" cm="1">
        <f t="array" ref="AA2858">_xlfn.IFS(Table1[[#This Row],[Customer_Satisfaction]]&lt;=2,"Poor",Table1[[#This Row],[Customer_Satisfaction]]=3,"Neutral",Table1[[#This Row],[Customer_Satisfaction]]=4,"Good",Table1[[#This Row],[Customer_Satisfaction]]=5,"Good")</f>
        <v>Neutral</v>
      </c>
    </row>
    <row r="2859" spans="1:27" x14ac:dyDescent="0.35">
      <c r="A2859">
        <v>22857</v>
      </c>
      <c r="B2859" s="1">
        <v>45341</v>
      </c>
      <c r="C2859" t="s">
        <v>30</v>
      </c>
      <c r="D2859" t="s">
        <v>31</v>
      </c>
      <c r="E2859" t="s">
        <v>106</v>
      </c>
      <c r="F2859" t="s">
        <v>53</v>
      </c>
      <c r="G2859" t="s">
        <v>23</v>
      </c>
      <c r="H2859" t="s">
        <v>24</v>
      </c>
      <c r="I2859" t="s">
        <v>25</v>
      </c>
      <c r="J2859" t="s">
        <v>43</v>
      </c>
      <c r="K2859" t="s">
        <v>27</v>
      </c>
      <c r="L2859" t="s">
        <v>28</v>
      </c>
      <c r="M2859" s="4">
        <v>22</v>
      </c>
      <c r="N2859" s="4">
        <v>7</v>
      </c>
      <c r="O2859" t="s">
        <v>29</v>
      </c>
      <c r="P2859" t="s">
        <v>29</v>
      </c>
      <c r="Q2859" s="4">
        <v>500830</v>
      </c>
      <c r="R2859" s="4">
        <v>422033</v>
      </c>
      <c r="S2859" s="4">
        <f>Table1[[#This Row],[Service_Revenue]]-Table1[[#This Row],[Service_Cost]]</f>
        <v>78797</v>
      </c>
      <c r="T2859" s="4">
        <v>1</v>
      </c>
      <c r="U2859" s="4">
        <f>IF(AND(Table1[[#This Row],[Rework_Flag]]="Yes",Table1[[#This Row],[Warranty_Claim]]="No"),Table1[[#This Row],[Service_Revenue]],0)</f>
        <v>0</v>
      </c>
      <c r="V2859" s="4">
        <f>IF(Table1[[#This Row],[Warranty_Claim]]="Yes",1,0)</f>
        <v>1</v>
      </c>
      <c r="W2859" s="4">
        <f>IF(Table1[[#This Row],[Rework_Flag]]="No",1,0)</f>
        <v>0</v>
      </c>
      <c r="X2859" s="4">
        <f>IF(Table1[[#This Row],[Rework_Flag]]="Yes",1,0)</f>
        <v>1</v>
      </c>
      <c r="Y2859" s="4">
        <v>1</v>
      </c>
      <c r="Z2859" s="4" t="str">
        <f>IF(Table1[[#This Row],[TAT_Days]]&gt;Table1[[#This Row],[SLA_TAT]],"Yes","No")</f>
        <v>Yes</v>
      </c>
      <c r="AA2859" s="4" t="str" cm="1">
        <f t="array" ref="AA2859">_xlfn.IFS(Table1[[#This Row],[Customer_Satisfaction]]&lt;=2,"Poor",Table1[[#This Row],[Customer_Satisfaction]]=3,"Neutral",Table1[[#This Row],[Customer_Satisfaction]]=4,"Good",Table1[[#This Row],[Customer_Satisfaction]]=5,"Good")</f>
        <v>Poor</v>
      </c>
    </row>
    <row r="2860" spans="1:27" x14ac:dyDescent="0.35">
      <c r="A2860">
        <v>22858</v>
      </c>
      <c r="B2860" s="1">
        <v>45387</v>
      </c>
      <c r="C2860" t="s">
        <v>50</v>
      </c>
      <c r="D2860" t="s">
        <v>80</v>
      </c>
      <c r="E2860" t="s">
        <v>121</v>
      </c>
      <c r="F2860" t="s">
        <v>22</v>
      </c>
      <c r="G2860" t="s">
        <v>23</v>
      </c>
      <c r="H2860" t="s">
        <v>24</v>
      </c>
      <c r="I2860" t="s">
        <v>55</v>
      </c>
      <c r="J2860" t="s">
        <v>35</v>
      </c>
      <c r="K2860" t="s">
        <v>61</v>
      </c>
      <c r="L2860" t="s">
        <v>28</v>
      </c>
      <c r="M2860" s="4">
        <v>24</v>
      </c>
      <c r="N2860" s="4">
        <v>7</v>
      </c>
      <c r="O2860" t="s">
        <v>36</v>
      </c>
      <c r="P2860" t="s">
        <v>36</v>
      </c>
      <c r="Q2860" s="4">
        <v>486734</v>
      </c>
      <c r="R2860" s="4">
        <v>283629</v>
      </c>
      <c r="S2860" s="4">
        <f>Table1[[#This Row],[Service_Revenue]]-Table1[[#This Row],[Service_Cost]]</f>
        <v>203105</v>
      </c>
      <c r="T2860" s="4">
        <v>1</v>
      </c>
      <c r="U2860" s="4">
        <f>IF(AND(Table1[[#This Row],[Rework_Flag]]="Yes",Table1[[#This Row],[Warranty_Claim]]="No"),Table1[[#This Row],[Service_Revenue]],0)</f>
        <v>0</v>
      </c>
      <c r="V2860" s="4">
        <f>IF(Table1[[#This Row],[Warranty_Claim]]="Yes",1,0)</f>
        <v>0</v>
      </c>
      <c r="W2860" s="4">
        <f>IF(Table1[[#This Row],[Rework_Flag]]="No",1,0)</f>
        <v>1</v>
      </c>
      <c r="X2860" s="4">
        <f>IF(Table1[[#This Row],[Rework_Flag]]="Yes",1,0)</f>
        <v>0</v>
      </c>
      <c r="Y2860" s="4">
        <v>1</v>
      </c>
      <c r="Z2860" s="4" t="str">
        <f>IF(Table1[[#This Row],[TAT_Days]]&gt;Table1[[#This Row],[SLA_TAT]],"Yes","No")</f>
        <v>Yes</v>
      </c>
      <c r="AA2860" s="4" t="str" cm="1">
        <f t="array" ref="AA2860">_xlfn.IFS(Table1[[#This Row],[Customer_Satisfaction]]&lt;=2,"Poor",Table1[[#This Row],[Customer_Satisfaction]]=3,"Neutral",Table1[[#This Row],[Customer_Satisfaction]]=4,"Good",Table1[[#This Row],[Customer_Satisfaction]]=5,"Good")</f>
        <v>Poor</v>
      </c>
    </row>
    <row r="2861" spans="1:27" x14ac:dyDescent="0.35">
      <c r="A2861">
        <v>22859</v>
      </c>
      <c r="B2861" s="1">
        <v>45364</v>
      </c>
      <c r="C2861" t="s">
        <v>50</v>
      </c>
      <c r="D2861" t="s">
        <v>51</v>
      </c>
      <c r="E2861" t="s">
        <v>75</v>
      </c>
      <c r="F2861" t="s">
        <v>22</v>
      </c>
      <c r="G2861" t="s">
        <v>74</v>
      </c>
      <c r="H2861" t="s">
        <v>34</v>
      </c>
      <c r="I2861" t="s">
        <v>55</v>
      </c>
      <c r="J2861" t="s">
        <v>58</v>
      </c>
      <c r="K2861" t="s">
        <v>44</v>
      </c>
      <c r="L2861" t="s">
        <v>28</v>
      </c>
      <c r="M2861" s="4">
        <v>12</v>
      </c>
      <c r="N2861" s="4">
        <v>7</v>
      </c>
      <c r="O2861" t="s">
        <v>36</v>
      </c>
      <c r="P2861" t="s">
        <v>29</v>
      </c>
      <c r="Q2861" s="4">
        <v>300360</v>
      </c>
      <c r="R2861" s="4">
        <v>154366</v>
      </c>
      <c r="S2861" s="4">
        <f>Table1[[#This Row],[Service_Revenue]]-Table1[[#This Row],[Service_Cost]]</f>
        <v>145994</v>
      </c>
      <c r="T2861" s="4">
        <v>3</v>
      </c>
      <c r="U2861" s="4">
        <f>IF(AND(Table1[[#This Row],[Rework_Flag]]="Yes",Table1[[#This Row],[Warranty_Claim]]="No"),Table1[[#This Row],[Service_Revenue]],0)</f>
        <v>0</v>
      </c>
      <c r="V2861" s="4">
        <f>IF(Table1[[#This Row],[Warranty_Claim]]="Yes",1,0)</f>
        <v>1</v>
      </c>
      <c r="W2861" s="4">
        <f>IF(Table1[[#This Row],[Rework_Flag]]="No",1,0)</f>
        <v>1</v>
      </c>
      <c r="X2861" s="4">
        <f>IF(Table1[[#This Row],[Rework_Flag]]="Yes",1,0)</f>
        <v>0</v>
      </c>
      <c r="Y2861" s="4">
        <v>1</v>
      </c>
      <c r="Z2861" s="4" t="str">
        <f>IF(Table1[[#This Row],[TAT_Days]]&gt;Table1[[#This Row],[SLA_TAT]],"Yes","No")</f>
        <v>Yes</v>
      </c>
      <c r="AA2861" s="4" t="str" cm="1">
        <f t="array" ref="AA2861">_xlfn.IFS(Table1[[#This Row],[Customer_Satisfaction]]&lt;=2,"Poor",Table1[[#This Row],[Customer_Satisfaction]]=3,"Neutral",Table1[[#This Row],[Customer_Satisfaction]]=4,"Good",Table1[[#This Row],[Customer_Satisfaction]]=5,"Good")</f>
        <v>Neutral</v>
      </c>
    </row>
    <row r="2862" spans="1:27" x14ac:dyDescent="0.35">
      <c r="A2862">
        <v>22860</v>
      </c>
      <c r="B2862" s="1">
        <v>45377</v>
      </c>
      <c r="C2862" t="s">
        <v>30</v>
      </c>
      <c r="D2862" t="s">
        <v>31</v>
      </c>
      <c r="E2862" t="s">
        <v>79</v>
      </c>
      <c r="F2862" t="s">
        <v>53</v>
      </c>
      <c r="G2862" t="s">
        <v>54</v>
      </c>
      <c r="H2862" t="s">
        <v>42</v>
      </c>
      <c r="I2862" t="s">
        <v>25</v>
      </c>
      <c r="J2862" t="s">
        <v>35</v>
      </c>
      <c r="K2862" t="s">
        <v>44</v>
      </c>
      <c r="L2862" t="s">
        <v>49</v>
      </c>
      <c r="M2862" s="4">
        <v>9</v>
      </c>
      <c r="N2862" s="4">
        <v>7</v>
      </c>
      <c r="O2862" t="s">
        <v>36</v>
      </c>
      <c r="P2862" t="s">
        <v>36</v>
      </c>
      <c r="Q2862" s="4">
        <v>147851</v>
      </c>
      <c r="R2862" s="4">
        <v>90422</v>
      </c>
      <c r="S2862" s="4">
        <f>Table1[[#This Row],[Service_Revenue]]-Table1[[#This Row],[Service_Cost]]</f>
        <v>57429</v>
      </c>
      <c r="T2862" s="4">
        <v>4</v>
      </c>
      <c r="U2862" s="4">
        <f>IF(AND(Table1[[#This Row],[Rework_Flag]]="Yes",Table1[[#This Row],[Warranty_Claim]]="No"),Table1[[#This Row],[Service_Revenue]],0)</f>
        <v>0</v>
      </c>
      <c r="V2862" s="4">
        <f>IF(Table1[[#This Row],[Warranty_Claim]]="Yes",1,0)</f>
        <v>0</v>
      </c>
      <c r="W2862" s="4">
        <f>IF(Table1[[#This Row],[Rework_Flag]]="No",1,0)</f>
        <v>1</v>
      </c>
      <c r="X2862" s="4">
        <f>IF(Table1[[#This Row],[Rework_Flag]]="Yes",1,0)</f>
        <v>0</v>
      </c>
      <c r="Y2862" s="4">
        <v>1</v>
      </c>
      <c r="Z2862" s="4" t="str">
        <f>IF(Table1[[#This Row],[TAT_Days]]&gt;Table1[[#This Row],[SLA_TAT]],"Yes","No")</f>
        <v>Yes</v>
      </c>
      <c r="AA2862" s="4" t="str" cm="1">
        <f t="array" ref="AA2862">_xlfn.IFS(Table1[[#This Row],[Customer_Satisfaction]]&lt;=2,"Poor",Table1[[#This Row],[Customer_Satisfaction]]=3,"Neutral",Table1[[#This Row],[Customer_Satisfaction]]=4,"Good",Table1[[#This Row],[Customer_Satisfaction]]=5,"Good")</f>
        <v>Good</v>
      </c>
    </row>
    <row r="2863" spans="1:27" x14ac:dyDescent="0.35">
      <c r="A2863">
        <v>22861</v>
      </c>
      <c r="B2863" s="1">
        <v>45318</v>
      </c>
      <c r="C2863" t="s">
        <v>30</v>
      </c>
      <c r="D2863" t="s">
        <v>59</v>
      </c>
      <c r="E2863" t="s">
        <v>60</v>
      </c>
      <c r="F2863" t="s">
        <v>22</v>
      </c>
      <c r="G2863" t="s">
        <v>33</v>
      </c>
      <c r="H2863" t="s">
        <v>34</v>
      </c>
      <c r="I2863" t="s">
        <v>25</v>
      </c>
      <c r="J2863" t="s">
        <v>43</v>
      </c>
      <c r="K2863" t="s">
        <v>61</v>
      </c>
      <c r="L2863" t="s">
        <v>49</v>
      </c>
      <c r="M2863" s="4">
        <v>13</v>
      </c>
      <c r="N2863" s="4">
        <v>7</v>
      </c>
      <c r="O2863" t="s">
        <v>36</v>
      </c>
      <c r="P2863" t="s">
        <v>29</v>
      </c>
      <c r="Q2863" s="4">
        <v>565704</v>
      </c>
      <c r="R2863" s="4">
        <v>311618</v>
      </c>
      <c r="S2863" s="4">
        <f>Table1[[#This Row],[Service_Revenue]]-Table1[[#This Row],[Service_Cost]]</f>
        <v>254086</v>
      </c>
      <c r="T2863" s="4">
        <v>3</v>
      </c>
      <c r="U2863" s="4">
        <f>IF(AND(Table1[[#This Row],[Rework_Flag]]="Yes",Table1[[#This Row],[Warranty_Claim]]="No"),Table1[[#This Row],[Service_Revenue]],0)</f>
        <v>0</v>
      </c>
      <c r="V2863" s="4">
        <f>IF(Table1[[#This Row],[Warranty_Claim]]="Yes",1,0)</f>
        <v>1</v>
      </c>
      <c r="W2863" s="4">
        <f>IF(Table1[[#This Row],[Rework_Flag]]="No",1,0)</f>
        <v>1</v>
      </c>
      <c r="X2863" s="4">
        <f>IF(Table1[[#This Row],[Rework_Flag]]="Yes",1,0)</f>
        <v>0</v>
      </c>
      <c r="Y2863" s="4">
        <v>1</v>
      </c>
      <c r="Z2863" s="4" t="str">
        <f>IF(Table1[[#This Row],[TAT_Days]]&gt;Table1[[#This Row],[SLA_TAT]],"Yes","No")</f>
        <v>Yes</v>
      </c>
      <c r="AA2863" s="4" t="str" cm="1">
        <f t="array" ref="AA2863">_xlfn.IFS(Table1[[#This Row],[Customer_Satisfaction]]&lt;=2,"Poor",Table1[[#This Row],[Customer_Satisfaction]]=3,"Neutral",Table1[[#This Row],[Customer_Satisfaction]]=4,"Good",Table1[[#This Row],[Customer_Satisfaction]]=5,"Good")</f>
        <v>Neutral</v>
      </c>
    </row>
    <row r="2864" spans="1:27" x14ac:dyDescent="0.35">
      <c r="A2864">
        <v>22862</v>
      </c>
      <c r="B2864" s="1">
        <v>45441</v>
      </c>
      <c r="C2864" t="s">
        <v>50</v>
      </c>
      <c r="D2864" t="s">
        <v>56</v>
      </c>
      <c r="E2864" t="s">
        <v>88</v>
      </c>
      <c r="F2864" t="s">
        <v>40</v>
      </c>
      <c r="G2864" t="s">
        <v>74</v>
      </c>
      <c r="H2864" t="s">
        <v>34</v>
      </c>
      <c r="I2864" t="s">
        <v>25</v>
      </c>
      <c r="J2864" t="s">
        <v>58</v>
      </c>
      <c r="K2864" t="s">
        <v>27</v>
      </c>
      <c r="L2864" t="s">
        <v>49</v>
      </c>
      <c r="M2864" s="4">
        <v>12</v>
      </c>
      <c r="N2864" s="4">
        <v>7</v>
      </c>
      <c r="O2864" t="s">
        <v>29</v>
      </c>
      <c r="P2864" t="s">
        <v>29</v>
      </c>
      <c r="Q2864" s="4">
        <v>254002</v>
      </c>
      <c r="R2864" s="4">
        <v>209687</v>
      </c>
      <c r="S2864" s="4">
        <f>Table1[[#This Row],[Service_Revenue]]-Table1[[#This Row],[Service_Cost]]</f>
        <v>44315</v>
      </c>
      <c r="T2864" s="4">
        <v>2</v>
      </c>
      <c r="U2864" s="4">
        <f>IF(AND(Table1[[#This Row],[Rework_Flag]]="Yes",Table1[[#This Row],[Warranty_Claim]]="No"),Table1[[#This Row],[Service_Revenue]],0)</f>
        <v>0</v>
      </c>
      <c r="V2864" s="4">
        <f>IF(Table1[[#This Row],[Warranty_Claim]]="Yes",1,0)</f>
        <v>1</v>
      </c>
      <c r="W2864" s="4">
        <f>IF(Table1[[#This Row],[Rework_Flag]]="No",1,0)</f>
        <v>0</v>
      </c>
      <c r="X2864" s="4">
        <f>IF(Table1[[#This Row],[Rework_Flag]]="Yes",1,0)</f>
        <v>1</v>
      </c>
      <c r="Y2864" s="4">
        <v>1</v>
      </c>
      <c r="Z2864" s="4" t="str">
        <f>IF(Table1[[#This Row],[TAT_Days]]&gt;Table1[[#This Row],[SLA_TAT]],"Yes","No")</f>
        <v>Yes</v>
      </c>
      <c r="AA2864" s="4" t="str" cm="1">
        <f t="array" ref="AA2864">_xlfn.IFS(Table1[[#This Row],[Customer_Satisfaction]]&lt;=2,"Poor",Table1[[#This Row],[Customer_Satisfaction]]=3,"Neutral",Table1[[#This Row],[Customer_Satisfaction]]=4,"Good",Table1[[#This Row],[Customer_Satisfaction]]=5,"Good")</f>
        <v>Poor</v>
      </c>
    </row>
    <row r="2865" spans="1:27" x14ac:dyDescent="0.35">
      <c r="A2865">
        <v>22863</v>
      </c>
      <c r="B2865" s="1">
        <v>45445</v>
      </c>
      <c r="C2865" t="s">
        <v>37</v>
      </c>
      <c r="D2865" t="s">
        <v>38</v>
      </c>
      <c r="E2865" t="s">
        <v>112</v>
      </c>
      <c r="F2865" t="s">
        <v>53</v>
      </c>
      <c r="G2865" t="s">
        <v>74</v>
      </c>
      <c r="H2865" t="s">
        <v>34</v>
      </c>
      <c r="I2865" t="s">
        <v>25</v>
      </c>
      <c r="J2865" t="s">
        <v>58</v>
      </c>
      <c r="K2865" t="s">
        <v>61</v>
      </c>
      <c r="L2865" t="s">
        <v>28</v>
      </c>
      <c r="M2865" s="4">
        <v>25</v>
      </c>
      <c r="N2865" s="4">
        <v>7</v>
      </c>
      <c r="O2865" t="s">
        <v>36</v>
      </c>
      <c r="P2865" t="s">
        <v>36</v>
      </c>
      <c r="Q2865" s="4">
        <v>257485</v>
      </c>
      <c r="R2865" s="4">
        <v>166755</v>
      </c>
      <c r="S2865" s="4">
        <f>Table1[[#This Row],[Service_Revenue]]-Table1[[#This Row],[Service_Cost]]</f>
        <v>90730</v>
      </c>
      <c r="T2865" s="4">
        <v>1</v>
      </c>
      <c r="U2865" s="4">
        <f>IF(AND(Table1[[#This Row],[Rework_Flag]]="Yes",Table1[[#This Row],[Warranty_Claim]]="No"),Table1[[#This Row],[Service_Revenue]],0)</f>
        <v>0</v>
      </c>
      <c r="V2865" s="4">
        <f>IF(Table1[[#This Row],[Warranty_Claim]]="Yes",1,0)</f>
        <v>0</v>
      </c>
      <c r="W2865" s="4">
        <f>IF(Table1[[#This Row],[Rework_Flag]]="No",1,0)</f>
        <v>1</v>
      </c>
      <c r="X2865" s="4">
        <f>IF(Table1[[#This Row],[Rework_Flag]]="Yes",1,0)</f>
        <v>0</v>
      </c>
      <c r="Y2865" s="4">
        <v>1</v>
      </c>
      <c r="Z2865" s="4" t="str">
        <f>IF(Table1[[#This Row],[TAT_Days]]&gt;Table1[[#This Row],[SLA_TAT]],"Yes","No")</f>
        <v>Yes</v>
      </c>
      <c r="AA2865" s="4" t="str" cm="1">
        <f t="array" ref="AA2865">_xlfn.IFS(Table1[[#This Row],[Customer_Satisfaction]]&lt;=2,"Poor",Table1[[#This Row],[Customer_Satisfaction]]=3,"Neutral",Table1[[#This Row],[Customer_Satisfaction]]=4,"Good",Table1[[#This Row],[Customer_Satisfaction]]=5,"Good")</f>
        <v>Poor</v>
      </c>
    </row>
    <row r="2866" spans="1:27" x14ac:dyDescent="0.35">
      <c r="A2866">
        <v>22864</v>
      </c>
      <c r="B2866" s="1">
        <v>45417</v>
      </c>
      <c r="C2866" t="s">
        <v>50</v>
      </c>
      <c r="D2866" t="s">
        <v>56</v>
      </c>
      <c r="E2866" t="s">
        <v>68</v>
      </c>
      <c r="F2866" t="s">
        <v>53</v>
      </c>
      <c r="G2866" t="s">
        <v>74</v>
      </c>
      <c r="H2866" t="s">
        <v>34</v>
      </c>
      <c r="I2866" t="s">
        <v>25</v>
      </c>
      <c r="J2866" t="s">
        <v>26</v>
      </c>
      <c r="K2866" t="s">
        <v>44</v>
      </c>
      <c r="L2866" t="s">
        <v>49</v>
      </c>
      <c r="M2866" s="4">
        <v>21</v>
      </c>
      <c r="N2866" s="4">
        <v>7</v>
      </c>
      <c r="O2866" t="s">
        <v>36</v>
      </c>
      <c r="P2866" t="s">
        <v>36</v>
      </c>
      <c r="Q2866" s="4">
        <v>130355</v>
      </c>
      <c r="R2866" s="4">
        <v>75092</v>
      </c>
      <c r="S2866" s="4">
        <f>Table1[[#This Row],[Service_Revenue]]-Table1[[#This Row],[Service_Cost]]</f>
        <v>55263</v>
      </c>
      <c r="T2866" s="4">
        <v>1</v>
      </c>
      <c r="U2866" s="4">
        <f>IF(AND(Table1[[#This Row],[Rework_Flag]]="Yes",Table1[[#This Row],[Warranty_Claim]]="No"),Table1[[#This Row],[Service_Revenue]],0)</f>
        <v>0</v>
      </c>
      <c r="V2866" s="4">
        <f>IF(Table1[[#This Row],[Warranty_Claim]]="Yes",1,0)</f>
        <v>0</v>
      </c>
      <c r="W2866" s="4">
        <f>IF(Table1[[#This Row],[Rework_Flag]]="No",1,0)</f>
        <v>1</v>
      </c>
      <c r="X2866" s="4">
        <f>IF(Table1[[#This Row],[Rework_Flag]]="Yes",1,0)</f>
        <v>0</v>
      </c>
      <c r="Y2866" s="4">
        <v>1</v>
      </c>
      <c r="Z2866" s="4" t="str">
        <f>IF(Table1[[#This Row],[TAT_Days]]&gt;Table1[[#This Row],[SLA_TAT]],"Yes","No")</f>
        <v>Yes</v>
      </c>
      <c r="AA2866" s="4" t="str" cm="1">
        <f t="array" ref="AA2866">_xlfn.IFS(Table1[[#This Row],[Customer_Satisfaction]]&lt;=2,"Poor",Table1[[#This Row],[Customer_Satisfaction]]=3,"Neutral",Table1[[#This Row],[Customer_Satisfaction]]=4,"Good",Table1[[#This Row],[Customer_Satisfaction]]=5,"Good")</f>
        <v>Poor</v>
      </c>
    </row>
    <row r="2867" spans="1:27" x14ac:dyDescent="0.35">
      <c r="A2867">
        <v>22865</v>
      </c>
      <c r="B2867" s="1">
        <v>45466</v>
      </c>
      <c r="C2867" t="s">
        <v>19</v>
      </c>
      <c r="D2867" t="s">
        <v>45</v>
      </c>
      <c r="E2867" t="s">
        <v>114</v>
      </c>
      <c r="F2867" t="s">
        <v>53</v>
      </c>
      <c r="G2867" t="s">
        <v>33</v>
      </c>
      <c r="H2867" t="s">
        <v>34</v>
      </c>
      <c r="I2867" t="s">
        <v>55</v>
      </c>
      <c r="J2867" t="s">
        <v>58</v>
      </c>
      <c r="K2867" t="s">
        <v>27</v>
      </c>
      <c r="L2867" t="s">
        <v>49</v>
      </c>
      <c r="M2867" s="4">
        <v>12</v>
      </c>
      <c r="N2867" s="4">
        <v>7</v>
      </c>
      <c r="O2867" t="s">
        <v>29</v>
      </c>
      <c r="P2867" t="s">
        <v>29</v>
      </c>
      <c r="Q2867" s="4">
        <v>490487</v>
      </c>
      <c r="R2867" s="4">
        <v>289363</v>
      </c>
      <c r="S2867" s="4">
        <f>Table1[[#This Row],[Service_Revenue]]-Table1[[#This Row],[Service_Cost]]</f>
        <v>201124</v>
      </c>
      <c r="T2867" s="4">
        <v>2</v>
      </c>
      <c r="U2867" s="4">
        <f>IF(AND(Table1[[#This Row],[Rework_Flag]]="Yes",Table1[[#This Row],[Warranty_Claim]]="No"),Table1[[#This Row],[Service_Revenue]],0)</f>
        <v>0</v>
      </c>
      <c r="V2867" s="4">
        <f>IF(Table1[[#This Row],[Warranty_Claim]]="Yes",1,0)</f>
        <v>1</v>
      </c>
      <c r="W2867" s="4">
        <f>IF(Table1[[#This Row],[Rework_Flag]]="No",1,0)</f>
        <v>0</v>
      </c>
      <c r="X2867" s="4">
        <f>IF(Table1[[#This Row],[Rework_Flag]]="Yes",1,0)</f>
        <v>1</v>
      </c>
      <c r="Y2867" s="4">
        <v>1</v>
      </c>
      <c r="Z2867" s="4" t="str">
        <f>IF(Table1[[#This Row],[TAT_Days]]&gt;Table1[[#This Row],[SLA_TAT]],"Yes","No")</f>
        <v>Yes</v>
      </c>
      <c r="AA2867" s="4" t="str" cm="1">
        <f t="array" ref="AA2867">_xlfn.IFS(Table1[[#This Row],[Customer_Satisfaction]]&lt;=2,"Poor",Table1[[#This Row],[Customer_Satisfaction]]=3,"Neutral",Table1[[#This Row],[Customer_Satisfaction]]=4,"Good",Table1[[#This Row],[Customer_Satisfaction]]=5,"Good")</f>
        <v>Poor</v>
      </c>
    </row>
    <row r="2868" spans="1:27" x14ac:dyDescent="0.35">
      <c r="A2868">
        <v>22866</v>
      </c>
      <c r="B2868" s="1">
        <v>45415</v>
      </c>
      <c r="C2868" t="s">
        <v>30</v>
      </c>
      <c r="D2868" t="s">
        <v>83</v>
      </c>
      <c r="E2868" t="s">
        <v>90</v>
      </c>
      <c r="F2868" t="s">
        <v>53</v>
      </c>
      <c r="G2868" t="s">
        <v>33</v>
      </c>
      <c r="H2868" t="s">
        <v>34</v>
      </c>
      <c r="I2868" t="s">
        <v>55</v>
      </c>
      <c r="J2868" t="s">
        <v>26</v>
      </c>
      <c r="K2868" t="s">
        <v>61</v>
      </c>
      <c r="L2868" t="s">
        <v>49</v>
      </c>
      <c r="M2868" s="4">
        <v>17</v>
      </c>
      <c r="N2868" s="4">
        <v>7</v>
      </c>
      <c r="O2868" t="s">
        <v>36</v>
      </c>
      <c r="P2868" t="s">
        <v>36</v>
      </c>
      <c r="Q2868" s="4">
        <v>183060</v>
      </c>
      <c r="R2868" s="4">
        <v>104889</v>
      </c>
      <c r="S2868" s="4">
        <f>Table1[[#This Row],[Service_Revenue]]-Table1[[#This Row],[Service_Cost]]</f>
        <v>78171</v>
      </c>
      <c r="T2868" s="4">
        <v>2</v>
      </c>
      <c r="U2868" s="4">
        <f>IF(AND(Table1[[#This Row],[Rework_Flag]]="Yes",Table1[[#This Row],[Warranty_Claim]]="No"),Table1[[#This Row],[Service_Revenue]],0)</f>
        <v>0</v>
      </c>
      <c r="V2868" s="4">
        <f>IF(Table1[[#This Row],[Warranty_Claim]]="Yes",1,0)</f>
        <v>0</v>
      </c>
      <c r="W2868" s="4">
        <f>IF(Table1[[#This Row],[Rework_Flag]]="No",1,0)</f>
        <v>1</v>
      </c>
      <c r="X2868" s="4">
        <f>IF(Table1[[#This Row],[Rework_Flag]]="Yes",1,0)</f>
        <v>0</v>
      </c>
      <c r="Y2868" s="4">
        <v>1</v>
      </c>
      <c r="Z2868" s="4" t="str">
        <f>IF(Table1[[#This Row],[TAT_Days]]&gt;Table1[[#This Row],[SLA_TAT]],"Yes","No")</f>
        <v>Yes</v>
      </c>
      <c r="AA2868" s="4" t="str" cm="1">
        <f t="array" ref="AA2868">_xlfn.IFS(Table1[[#This Row],[Customer_Satisfaction]]&lt;=2,"Poor",Table1[[#This Row],[Customer_Satisfaction]]=3,"Neutral",Table1[[#This Row],[Customer_Satisfaction]]=4,"Good",Table1[[#This Row],[Customer_Satisfaction]]=5,"Good")</f>
        <v>Poor</v>
      </c>
    </row>
    <row r="2869" spans="1:27" x14ac:dyDescent="0.35">
      <c r="A2869">
        <v>22867</v>
      </c>
      <c r="B2869" s="1">
        <v>45386</v>
      </c>
      <c r="C2869" t="s">
        <v>37</v>
      </c>
      <c r="D2869" t="s">
        <v>38</v>
      </c>
      <c r="E2869" t="s">
        <v>112</v>
      </c>
      <c r="F2869" t="s">
        <v>22</v>
      </c>
      <c r="G2869" t="s">
        <v>47</v>
      </c>
      <c r="H2869" t="s">
        <v>48</v>
      </c>
      <c r="I2869" t="s">
        <v>55</v>
      </c>
      <c r="J2869" t="s">
        <v>26</v>
      </c>
      <c r="K2869" t="s">
        <v>61</v>
      </c>
      <c r="L2869" t="s">
        <v>49</v>
      </c>
      <c r="M2869" s="4">
        <v>11</v>
      </c>
      <c r="N2869" s="4">
        <v>7</v>
      </c>
      <c r="O2869" t="s">
        <v>36</v>
      </c>
      <c r="P2869" t="s">
        <v>36</v>
      </c>
      <c r="Q2869" s="4">
        <v>273293</v>
      </c>
      <c r="R2869" s="4">
        <v>221891</v>
      </c>
      <c r="S2869" s="4">
        <f>Table1[[#This Row],[Service_Revenue]]-Table1[[#This Row],[Service_Cost]]</f>
        <v>51402</v>
      </c>
      <c r="T2869" s="4">
        <v>3</v>
      </c>
      <c r="U2869" s="4">
        <f>IF(AND(Table1[[#This Row],[Rework_Flag]]="Yes",Table1[[#This Row],[Warranty_Claim]]="No"),Table1[[#This Row],[Service_Revenue]],0)</f>
        <v>0</v>
      </c>
      <c r="V2869" s="4">
        <f>IF(Table1[[#This Row],[Warranty_Claim]]="Yes",1,0)</f>
        <v>0</v>
      </c>
      <c r="W2869" s="4">
        <f>IF(Table1[[#This Row],[Rework_Flag]]="No",1,0)</f>
        <v>1</v>
      </c>
      <c r="X2869" s="4">
        <f>IF(Table1[[#This Row],[Rework_Flag]]="Yes",1,0)</f>
        <v>0</v>
      </c>
      <c r="Y2869" s="4">
        <v>1</v>
      </c>
      <c r="Z2869" s="4" t="str">
        <f>IF(Table1[[#This Row],[TAT_Days]]&gt;Table1[[#This Row],[SLA_TAT]],"Yes","No")</f>
        <v>Yes</v>
      </c>
      <c r="AA2869" s="4" t="str" cm="1">
        <f t="array" ref="AA2869">_xlfn.IFS(Table1[[#This Row],[Customer_Satisfaction]]&lt;=2,"Poor",Table1[[#This Row],[Customer_Satisfaction]]=3,"Neutral",Table1[[#This Row],[Customer_Satisfaction]]=4,"Good",Table1[[#This Row],[Customer_Satisfaction]]=5,"Good")</f>
        <v>Neutral</v>
      </c>
    </row>
    <row r="2870" spans="1:27" x14ac:dyDescent="0.35">
      <c r="A2870">
        <v>22868</v>
      </c>
      <c r="B2870" s="1">
        <v>45349</v>
      </c>
      <c r="C2870" t="s">
        <v>50</v>
      </c>
      <c r="D2870" t="s">
        <v>80</v>
      </c>
      <c r="E2870" t="s">
        <v>104</v>
      </c>
      <c r="F2870" t="s">
        <v>22</v>
      </c>
      <c r="G2870" t="s">
        <v>33</v>
      </c>
      <c r="H2870" t="s">
        <v>34</v>
      </c>
      <c r="I2870" t="s">
        <v>55</v>
      </c>
      <c r="J2870" t="s">
        <v>26</v>
      </c>
      <c r="K2870" t="s">
        <v>44</v>
      </c>
      <c r="L2870" t="s">
        <v>49</v>
      </c>
      <c r="M2870" s="4">
        <v>8</v>
      </c>
      <c r="N2870" s="4">
        <v>7</v>
      </c>
      <c r="O2870" t="s">
        <v>29</v>
      </c>
      <c r="P2870" t="s">
        <v>29</v>
      </c>
      <c r="Q2870" s="4">
        <v>556919</v>
      </c>
      <c r="R2870" s="4">
        <v>397559</v>
      </c>
      <c r="S2870" s="4">
        <f>Table1[[#This Row],[Service_Revenue]]-Table1[[#This Row],[Service_Cost]]</f>
        <v>159360</v>
      </c>
      <c r="T2870" s="4">
        <v>3</v>
      </c>
      <c r="U2870" s="4">
        <f>IF(AND(Table1[[#This Row],[Rework_Flag]]="Yes",Table1[[#This Row],[Warranty_Claim]]="No"),Table1[[#This Row],[Service_Revenue]],0)</f>
        <v>0</v>
      </c>
      <c r="V2870" s="4">
        <f>IF(Table1[[#This Row],[Warranty_Claim]]="Yes",1,0)</f>
        <v>1</v>
      </c>
      <c r="W2870" s="4">
        <f>IF(Table1[[#This Row],[Rework_Flag]]="No",1,0)</f>
        <v>0</v>
      </c>
      <c r="X2870" s="4">
        <f>IF(Table1[[#This Row],[Rework_Flag]]="Yes",1,0)</f>
        <v>1</v>
      </c>
      <c r="Y2870" s="4">
        <v>1</v>
      </c>
      <c r="Z2870" s="4" t="str">
        <f>IF(Table1[[#This Row],[TAT_Days]]&gt;Table1[[#This Row],[SLA_TAT]],"Yes","No")</f>
        <v>Yes</v>
      </c>
      <c r="AA2870" s="4" t="str" cm="1">
        <f t="array" ref="AA2870">_xlfn.IFS(Table1[[#This Row],[Customer_Satisfaction]]&lt;=2,"Poor",Table1[[#This Row],[Customer_Satisfaction]]=3,"Neutral",Table1[[#This Row],[Customer_Satisfaction]]=4,"Good",Table1[[#This Row],[Customer_Satisfaction]]=5,"Good")</f>
        <v>Neutral</v>
      </c>
    </row>
    <row r="2871" spans="1:27" x14ac:dyDescent="0.35">
      <c r="A2871">
        <v>22869</v>
      </c>
      <c r="B2871" s="1">
        <v>45294</v>
      </c>
      <c r="C2871" t="s">
        <v>19</v>
      </c>
      <c r="D2871" t="s">
        <v>20</v>
      </c>
      <c r="E2871" t="s">
        <v>117</v>
      </c>
      <c r="F2871" t="s">
        <v>53</v>
      </c>
      <c r="G2871" t="s">
        <v>47</v>
      </c>
      <c r="H2871" t="s">
        <v>48</v>
      </c>
      <c r="I2871" t="s">
        <v>55</v>
      </c>
      <c r="J2871" t="s">
        <v>67</v>
      </c>
      <c r="K2871" t="s">
        <v>27</v>
      </c>
      <c r="L2871" t="s">
        <v>28</v>
      </c>
      <c r="M2871" s="4">
        <v>2</v>
      </c>
      <c r="N2871" s="4">
        <v>7</v>
      </c>
      <c r="O2871" t="s">
        <v>29</v>
      </c>
      <c r="P2871" t="s">
        <v>36</v>
      </c>
      <c r="Q2871" s="4">
        <v>572866</v>
      </c>
      <c r="R2871" s="4">
        <v>424352</v>
      </c>
      <c r="S2871" s="4">
        <f>Table1[[#This Row],[Service_Revenue]]-Table1[[#This Row],[Service_Cost]]</f>
        <v>148514</v>
      </c>
      <c r="T2871" s="4">
        <v>4</v>
      </c>
      <c r="U2871" s="4">
        <f>IF(AND(Table1[[#This Row],[Rework_Flag]]="Yes",Table1[[#This Row],[Warranty_Claim]]="No"),Table1[[#This Row],[Service_Revenue]],0)</f>
        <v>572866</v>
      </c>
      <c r="V2871" s="4">
        <f>IF(Table1[[#This Row],[Warranty_Claim]]="Yes",1,0)</f>
        <v>0</v>
      </c>
      <c r="W2871" s="4">
        <f>IF(Table1[[#This Row],[Rework_Flag]]="No",1,0)</f>
        <v>0</v>
      </c>
      <c r="X2871" s="4">
        <f>IF(Table1[[#This Row],[Rework_Flag]]="Yes",1,0)</f>
        <v>1</v>
      </c>
      <c r="Y2871" s="4">
        <v>1</v>
      </c>
      <c r="Z2871" s="4" t="str">
        <f>IF(Table1[[#This Row],[TAT_Days]]&gt;Table1[[#This Row],[SLA_TAT]],"Yes","No")</f>
        <v>No</v>
      </c>
      <c r="AA2871" s="4" t="str" cm="1">
        <f t="array" ref="AA2871">_xlfn.IFS(Table1[[#This Row],[Customer_Satisfaction]]&lt;=2,"Poor",Table1[[#This Row],[Customer_Satisfaction]]=3,"Neutral",Table1[[#This Row],[Customer_Satisfaction]]=4,"Good",Table1[[#This Row],[Customer_Satisfaction]]=5,"Good")</f>
        <v>Good</v>
      </c>
    </row>
    <row r="2872" spans="1:27" x14ac:dyDescent="0.35">
      <c r="A2872">
        <v>22870</v>
      </c>
      <c r="B2872" s="1">
        <v>45320</v>
      </c>
      <c r="C2872" t="s">
        <v>19</v>
      </c>
      <c r="D2872" t="s">
        <v>45</v>
      </c>
      <c r="E2872" t="s">
        <v>111</v>
      </c>
      <c r="F2872" t="s">
        <v>40</v>
      </c>
      <c r="G2872" t="s">
        <v>54</v>
      </c>
      <c r="H2872" t="s">
        <v>42</v>
      </c>
      <c r="I2872" t="s">
        <v>25</v>
      </c>
      <c r="J2872" t="s">
        <v>35</v>
      </c>
      <c r="K2872" t="s">
        <v>61</v>
      </c>
      <c r="L2872" t="s">
        <v>28</v>
      </c>
      <c r="M2872" s="4">
        <v>23</v>
      </c>
      <c r="N2872" s="4">
        <v>7</v>
      </c>
      <c r="O2872" t="s">
        <v>29</v>
      </c>
      <c r="P2872" t="s">
        <v>36</v>
      </c>
      <c r="Q2872" s="4">
        <v>584441</v>
      </c>
      <c r="R2872" s="4">
        <v>484567</v>
      </c>
      <c r="S2872" s="4">
        <f>Table1[[#This Row],[Service_Revenue]]-Table1[[#This Row],[Service_Cost]]</f>
        <v>99874</v>
      </c>
      <c r="T2872" s="4">
        <v>1</v>
      </c>
      <c r="U2872" s="4">
        <f>IF(AND(Table1[[#This Row],[Rework_Flag]]="Yes",Table1[[#This Row],[Warranty_Claim]]="No"),Table1[[#This Row],[Service_Revenue]],0)</f>
        <v>584441</v>
      </c>
      <c r="V2872" s="4">
        <f>IF(Table1[[#This Row],[Warranty_Claim]]="Yes",1,0)</f>
        <v>0</v>
      </c>
      <c r="W2872" s="4">
        <f>IF(Table1[[#This Row],[Rework_Flag]]="No",1,0)</f>
        <v>0</v>
      </c>
      <c r="X2872" s="4">
        <f>IF(Table1[[#This Row],[Rework_Flag]]="Yes",1,0)</f>
        <v>1</v>
      </c>
      <c r="Y2872" s="4">
        <v>1</v>
      </c>
      <c r="Z2872" s="4" t="str">
        <f>IF(Table1[[#This Row],[TAT_Days]]&gt;Table1[[#This Row],[SLA_TAT]],"Yes","No")</f>
        <v>Yes</v>
      </c>
      <c r="AA2872" s="4" t="str" cm="1">
        <f t="array" ref="AA2872">_xlfn.IFS(Table1[[#This Row],[Customer_Satisfaction]]&lt;=2,"Poor",Table1[[#This Row],[Customer_Satisfaction]]=3,"Neutral",Table1[[#This Row],[Customer_Satisfaction]]=4,"Good",Table1[[#This Row],[Customer_Satisfaction]]=5,"Good")</f>
        <v>Poor</v>
      </c>
    </row>
    <row r="2873" spans="1:27" x14ac:dyDescent="0.35">
      <c r="A2873">
        <v>22871</v>
      </c>
      <c r="B2873" s="1">
        <v>45437</v>
      </c>
      <c r="C2873" t="s">
        <v>30</v>
      </c>
      <c r="D2873" t="s">
        <v>31</v>
      </c>
      <c r="E2873" t="s">
        <v>79</v>
      </c>
      <c r="F2873" t="s">
        <v>22</v>
      </c>
      <c r="G2873" t="s">
        <v>41</v>
      </c>
      <c r="H2873" t="s">
        <v>42</v>
      </c>
      <c r="I2873" t="s">
        <v>25</v>
      </c>
      <c r="J2873" t="s">
        <v>67</v>
      </c>
      <c r="K2873" t="s">
        <v>44</v>
      </c>
      <c r="L2873" t="s">
        <v>49</v>
      </c>
      <c r="M2873" s="4">
        <v>21</v>
      </c>
      <c r="N2873" s="4">
        <v>7</v>
      </c>
      <c r="O2873" t="s">
        <v>36</v>
      </c>
      <c r="P2873" t="s">
        <v>36</v>
      </c>
      <c r="Q2873" s="4">
        <v>215293</v>
      </c>
      <c r="R2873" s="4">
        <v>125029</v>
      </c>
      <c r="S2873" s="4">
        <f>Table1[[#This Row],[Service_Revenue]]-Table1[[#This Row],[Service_Cost]]</f>
        <v>90264</v>
      </c>
      <c r="T2873" s="4">
        <v>1</v>
      </c>
      <c r="U2873" s="4">
        <f>IF(AND(Table1[[#This Row],[Rework_Flag]]="Yes",Table1[[#This Row],[Warranty_Claim]]="No"),Table1[[#This Row],[Service_Revenue]],0)</f>
        <v>0</v>
      </c>
      <c r="V2873" s="4">
        <f>IF(Table1[[#This Row],[Warranty_Claim]]="Yes",1,0)</f>
        <v>0</v>
      </c>
      <c r="W2873" s="4">
        <f>IF(Table1[[#This Row],[Rework_Flag]]="No",1,0)</f>
        <v>1</v>
      </c>
      <c r="X2873" s="4">
        <f>IF(Table1[[#This Row],[Rework_Flag]]="Yes",1,0)</f>
        <v>0</v>
      </c>
      <c r="Y2873" s="4">
        <v>1</v>
      </c>
      <c r="Z2873" s="4" t="str">
        <f>IF(Table1[[#This Row],[TAT_Days]]&gt;Table1[[#This Row],[SLA_TAT]],"Yes","No")</f>
        <v>Yes</v>
      </c>
      <c r="AA2873" s="4" t="str" cm="1">
        <f t="array" ref="AA2873">_xlfn.IFS(Table1[[#This Row],[Customer_Satisfaction]]&lt;=2,"Poor",Table1[[#This Row],[Customer_Satisfaction]]=3,"Neutral",Table1[[#This Row],[Customer_Satisfaction]]=4,"Good",Table1[[#This Row],[Customer_Satisfaction]]=5,"Good")</f>
        <v>Poor</v>
      </c>
    </row>
    <row r="2874" spans="1:27" x14ac:dyDescent="0.35">
      <c r="A2874">
        <v>22872</v>
      </c>
      <c r="B2874" s="1">
        <v>45320</v>
      </c>
      <c r="C2874" t="s">
        <v>30</v>
      </c>
      <c r="D2874" t="s">
        <v>59</v>
      </c>
      <c r="E2874" t="s">
        <v>94</v>
      </c>
      <c r="F2874" t="s">
        <v>22</v>
      </c>
      <c r="G2874" t="s">
        <v>33</v>
      </c>
      <c r="H2874" t="s">
        <v>34</v>
      </c>
      <c r="I2874" t="s">
        <v>25</v>
      </c>
      <c r="J2874" t="s">
        <v>58</v>
      </c>
      <c r="K2874" t="s">
        <v>61</v>
      </c>
      <c r="L2874" t="s">
        <v>49</v>
      </c>
      <c r="M2874" s="4">
        <v>2</v>
      </c>
      <c r="N2874" s="4">
        <v>7</v>
      </c>
      <c r="O2874" t="s">
        <v>29</v>
      </c>
      <c r="P2874" t="s">
        <v>36</v>
      </c>
      <c r="Q2874" s="4">
        <v>408106</v>
      </c>
      <c r="R2874" s="4">
        <v>252674</v>
      </c>
      <c r="S2874" s="4">
        <f>Table1[[#This Row],[Service_Revenue]]-Table1[[#This Row],[Service_Cost]]</f>
        <v>155432</v>
      </c>
      <c r="T2874" s="4">
        <v>4</v>
      </c>
      <c r="U2874" s="4">
        <f>IF(AND(Table1[[#This Row],[Rework_Flag]]="Yes",Table1[[#This Row],[Warranty_Claim]]="No"),Table1[[#This Row],[Service_Revenue]],0)</f>
        <v>408106</v>
      </c>
      <c r="V2874" s="4">
        <f>IF(Table1[[#This Row],[Warranty_Claim]]="Yes",1,0)</f>
        <v>0</v>
      </c>
      <c r="W2874" s="4">
        <f>IF(Table1[[#This Row],[Rework_Flag]]="No",1,0)</f>
        <v>0</v>
      </c>
      <c r="X2874" s="4">
        <f>IF(Table1[[#This Row],[Rework_Flag]]="Yes",1,0)</f>
        <v>1</v>
      </c>
      <c r="Y2874" s="4">
        <v>1</v>
      </c>
      <c r="Z2874" s="4" t="str">
        <f>IF(Table1[[#This Row],[TAT_Days]]&gt;Table1[[#This Row],[SLA_TAT]],"Yes","No")</f>
        <v>No</v>
      </c>
      <c r="AA2874" s="4" t="str" cm="1">
        <f t="array" ref="AA2874">_xlfn.IFS(Table1[[#This Row],[Customer_Satisfaction]]&lt;=2,"Poor",Table1[[#This Row],[Customer_Satisfaction]]=3,"Neutral",Table1[[#This Row],[Customer_Satisfaction]]=4,"Good",Table1[[#This Row],[Customer_Satisfaction]]=5,"Good")</f>
        <v>Good</v>
      </c>
    </row>
    <row r="2875" spans="1:27" x14ac:dyDescent="0.35">
      <c r="A2875">
        <v>22873</v>
      </c>
      <c r="B2875" s="1">
        <v>45356</v>
      </c>
      <c r="C2875" t="s">
        <v>30</v>
      </c>
      <c r="D2875" t="s">
        <v>83</v>
      </c>
      <c r="E2875" t="s">
        <v>84</v>
      </c>
      <c r="F2875" t="s">
        <v>53</v>
      </c>
      <c r="G2875" t="s">
        <v>54</v>
      </c>
      <c r="H2875" t="s">
        <v>42</v>
      </c>
      <c r="I2875" t="s">
        <v>25</v>
      </c>
      <c r="J2875" t="s">
        <v>35</v>
      </c>
      <c r="K2875" t="s">
        <v>61</v>
      </c>
      <c r="L2875" t="s">
        <v>28</v>
      </c>
      <c r="M2875" s="4">
        <v>7</v>
      </c>
      <c r="N2875" s="4">
        <v>7</v>
      </c>
      <c r="O2875" t="s">
        <v>29</v>
      </c>
      <c r="P2875" t="s">
        <v>36</v>
      </c>
      <c r="Q2875" s="4">
        <v>403621</v>
      </c>
      <c r="R2875" s="4">
        <v>267935</v>
      </c>
      <c r="S2875" s="4">
        <f>Table1[[#This Row],[Service_Revenue]]-Table1[[#This Row],[Service_Cost]]</f>
        <v>135686</v>
      </c>
      <c r="T2875" s="4">
        <v>3</v>
      </c>
      <c r="U2875" s="4">
        <f>IF(AND(Table1[[#This Row],[Rework_Flag]]="Yes",Table1[[#This Row],[Warranty_Claim]]="No"),Table1[[#This Row],[Service_Revenue]],0)</f>
        <v>403621</v>
      </c>
      <c r="V2875" s="4">
        <f>IF(Table1[[#This Row],[Warranty_Claim]]="Yes",1,0)</f>
        <v>0</v>
      </c>
      <c r="W2875" s="4">
        <f>IF(Table1[[#This Row],[Rework_Flag]]="No",1,0)</f>
        <v>0</v>
      </c>
      <c r="X2875" s="4">
        <f>IF(Table1[[#This Row],[Rework_Flag]]="Yes",1,0)</f>
        <v>1</v>
      </c>
      <c r="Y2875" s="4">
        <v>1</v>
      </c>
      <c r="Z2875" s="4" t="str">
        <f>IF(Table1[[#This Row],[TAT_Days]]&gt;Table1[[#This Row],[SLA_TAT]],"Yes","No")</f>
        <v>No</v>
      </c>
      <c r="AA2875" s="4" t="str" cm="1">
        <f t="array" ref="AA2875">_xlfn.IFS(Table1[[#This Row],[Customer_Satisfaction]]&lt;=2,"Poor",Table1[[#This Row],[Customer_Satisfaction]]=3,"Neutral",Table1[[#This Row],[Customer_Satisfaction]]=4,"Good",Table1[[#This Row],[Customer_Satisfaction]]=5,"Good")</f>
        <v>Neutral</v>
      </c>
    </row>
    <row r="2876" spans="1:27" x14ac:dyDescent="0.35">
      <c r="A2876">
        <v>22874</v>
      </c>
      <c r="B2876" s="1">
        <v>45314</v>
      </c>
      <c r="C2876" t="s">
        <v>50</v>
      </c>
      <c r="D2876" t="s">
        <v>80</v>
      </c>
      <c r="E2876" t="s">
        <v>118</v>
      </c>
      <c r="F2876" t="s">
        <v>40</v>
      </c>
      <c r="G2876" t="s">
        <v>47</v>
      </c>
      <c r="H2876" t="s">
        <v>48</v>
      </c>
      <c r="I2876" t="s">
        <v>55</v>
      </c>
      <c r="J2876" t="s">
        <v>35</v>
      </c>
      <c r="K2876" t="s">
        <v>61</v>
      </c>
      <c r="L2876" t="s">
        <v>49</v>
      </c>
      <c r="M2876" s="4">
        <v>13</v>
      </c>
      <c r="N2876" s="4">
        <v>7</v>
      </c>
      <c r="O2876" t="s">
        <v>36</v>
      </c>
      <c r="P2876" t="s">
        <v>36</v>
      </c>
      <c r="Q2876" s="4">
        <v>363439</v>
      </c>
      <c r="R2876" s="4">
        <v>193329</v>
      </c>
      <c r="S2876" s="4">
        <f>Table1[[#This Row],[Service_Revenue]]-Table1[[#This Row],[Service_Cost]]</f>
        <v>170110</v>
      </c>
      <c r="T2876" s="4">
        <v>3</v>
      </c>
      <c r="U2876" s="4">
        <f>IF(AND(Table1[[#This Row],[Rework_Flag]]="Yes",Table1[[#This Row],[Warranty_Claim]]="No"),Table1[[#This Row],[Service_Revenue]],0)</f>
        <v>0</v>
      </c>
      <c r="V2876" s="4">
        <f>IF(Table1[[#This Row],[Warranty_Claim]]="Yes",1,0)</f>
        <v>0</v>
      </c>
      <c r="W2876" s="4">
        <f>IF(Table1[[#This Row],[Rework_Flag]]="No",1,0)</f>
        <v>1</v>
      </c>
      <c r="X2876" s="4">
        <f>IF(Table1[[#This Row],[Rework_Flag]]="Yes",1,0)</f>
        <v>0</v>
      </c>
      <c r="Y2876" s="4">
        <v>1</v>
      </c>
      <c r="Z2876" s="4" t="str">
        <f>IF(Table1[[#This Row],[TAT_Days]]&gt;Table1[[#This Row],[SLA_TAT]],"Yes","No")</f>
        <v>Yes</v>
      </c>
      <c r="AA2876" s="4" t="str" cm="1">
        <f t="array" ref="AA2876">_xlfn.IFS(Table1[[#This Row],[Customer_Satisfaction]]&lt;=2,"Poor",Table1[[#This Row],[Customer_Satisfaction]]=3,"Neutral",Table1[[#This Row],[Customer_Satisfaction]]=4,"Good",Table1[[#This Row],[Customer_Satisfaction]]=5,"Good")</f>
        <v>Neutral</v>
      </c>
    </row>
    <row r="2877" spans="1:27" x14ac:dyDescent="0.35">
      <c r="A2877">
        <v>22875</v>
      </c>
      <c r="B2877" s="1">
        <v>45433</v>
      </c>
      <c r="C2877" t="s">
        <v>30</v>
      </c>
      <c r="D2877" t="s">
        <v>59</v>
      </c>
      <c r="E2877" t="s">
        <v>94</v>
      </c>
      <c r="F2877" t="s">
        <v>22</v>
      </c>
      <c r="G2877" t="s">
        <v>41</v>
      </c>
      <c r="H2877" t="s">
        <v>42</v>
      </c>
      <c r="I2877" t="s">
        <v>25</v>
      </c>
      <c r="J2877" t="s">
        <v>26</v>
      </c>
      <c r="K2877" t="s">
        <v>61</v>
      </c>
      <c r="L2877" t="s">
        <v>28</v>
      </c>
      <c r="M2877" s="4">
        <v>18</v>
      </c>
      <c r="N2877" s="4">
        <v>7</v>
      </c>
      <c r="O2877" t="s">
        <v>36</v>
      </c>
      <c r="P2877" t="s">
        <v>36</v>
      </c>
      <c r="Q2877" s="4">
        <v>511632</v>
      </c>
      <c r="R2877" s="4">
        <v>412806</v>
      </c>
      <c r="S2877" s="4">
        <f>Table1[[#This Row],[Service_Revenue]]-Table1[[#This Row],[Service_Cost]]</f>
        <v>98826</v>
      </c>
      <c r="T2877" s="4">
        <v>2</v>
      </c>
      <c r="U2877" s="4">
        <f>IF(AND(Table1[[#This Row],[Rework_Flag]]="Yes",Table1[[#This Row],[Warranty_Claim]]="No"),Table1[[#This Row],[Service_Revenue]],0)</f>
        <v>0</v>
      </c>
      <c r="V2877" s="4">
        <f>IF(Table1[[#This Row],[Warranty_Claim]]="Yes",1,0)</f>
        <v>0</v>
      </c>
      <c r="W2877" s="4">
        <f>IF(Table1[[#This Row],[Rework_Flag]]="No",1,0)</f>
        <v>1</v>
      </c>
      <c r="X2877" s="4">
        <f>IF(Table1[[#This Row],[Rework_Flag]]="Yes",1,0)</f>
        <v>0</v>
      </c>
      <c r="Y2877" s="4">
        <v>1</v>
      </c>
      <c r="Z2877" s="4" t="str">
        <f>IF(Table1[[#This Row],[TAT_Days]]&gt;Table1[[#This Row],[SLA_TAT]],"Yes","No")</f>
        <v>Yes</v>
      </c>
      <c r="AA2877" s="4" t="str" cm="1">
        <f t="array" ref="AA2877">_xlfn.IFS(Table1[[#This Row],[Customer_Satisfaction]]&lt;=2,"Poor",Table1[[#This Row],[Customer_Satisfaction]]=3,"Neutral",Table1[[#This Row],[Customer_Satisfaction]]=4,"Good",Table1[[#This Row],[Customer_Satisfaction]]=5,"Good")</f>
        <v>Poor</v>
      </c>
    </row>
    <row r="2878" spans="1:27" x14ac:dyDescent="0.35">
      <c r="A2878">
        <v>22876</v>
      </c>
      <c r="B2878" s="1">
        <v>45366</v>
      </c>
      <c r="C2878" t="s">
        <v>37</v>
      </c>
      <c r="D2878" t="s">
        <v>70</v>
      </c>
      <c r="E2878" t="s">
        <v>100</v>
      </c>
      <c r="F2878" t="s">
        <v>22</v>
      </c>
      <c r="G2878" t="s">
        <v>63</v>
      </c>
      <c r="H2878" t="s">
        <v>24</v>
      </c>
      <c r="I2878" t="s">
        <v>25</v>
      </c>
      <c r="J2878" t="s">
        <v>26</v>
      </c>
      <c r="K2878" t="s">
        <v>61</v>
      </c>
      <c r="L2878" t="s">
        <v>49</v>
      </c>
      <c r="M2878" s="4">
        <v>20</v>
      </c>
      <c r="N2878" s="4">
        <v>7</v>
      </c>
      <c r="O2878" t="s">
        <v>36</v>
      </c>
      <c r="P2878" t="s">
        <v>36</v>
      </c>
      <c r="Q2878" s="4">
        <v>508492</v>
      </c>
      <c r="R2878" s="4">
        <v>390927</v>
      </c>
      <c r="S2878" s="4">
        <f>Table1[[#This Row],[Service_Revenue]]-Table1[[#This Row],[Service_Cost]]</f>
        <v>117565</v>
      </c>
      <c r="T2878" s="4">
        <v>1</v>
      </c>
      <c r="U2878" s="4">
        <f>IF(AND(Table1[[#This Row],[Rework_Flag]]="Yes",Table1[[#This Row],[Warranty_Claim]]="No"),Table1[[#This Row],[Service_Revenue]],0)</f>
        <v>0</v>
      </c>
      <c r="V2878" s="4">
        <f>IF(Table1[[#This Row],[Warranty_Claim]]="Yes",1,0)</f>
        <v>0</v>
      </c>
      <c r="W2878" s="4">
        <f>IF(Table1[[#This Row],[Rework_Flag]]="No",1,0)</f>
        <v>1</v>
      </c>
      <c r="X2878" s="4">
        <f>IF(Table1[[#This Row],[Rework_Flag]]="Yes",1,0)</f>
        <v>0</v>
      </c>
      <c r="Y2878" s="4">
        <v>1</v>
      </c>
      <c r="Z2878" s="4" t="str">
        <f>IF(Table1[[#This Row],[TAT_Days]]&gt;Table1[[#This Row],[SLA_TAT]],"Yes","No")</f>
        <v>Yes</v>
      </c>
      <c r="AA2878" s="4" t="str" cm="1">
        <f t="array" ref="AA2878">_xlfn.IFS(Table1[[#This Row],[Customer_Satisfaction]]&lt;=2,"Poor",Table1[[#This Row],[Customer_Satisfaction]]=3,"Neutral",Table1[[#This Row],[Customer_Satisfaction]]=4,"Good",Table1[[#This Row],[Customer_Satisfaction]]=5,"Good")</f>
        <v>Poor</v>
      </c>
    </row>
    <row r="2879" spans="1:27" x14ac:dyDescent="0.35">
      <c r="A2879">
        <v>22877</v>
      </c>
      <c r="B2879" s="1">
        <v>45297</v>
      </c>
      <c r="C2879" t="s">
        <v>30</v>
      </c>
      <c r="D2879" t="s">
        <v>83</v>
      </c>
      <c r="E2879" t="s">
        <v>84</v>
      </c>
      <c r="F2879" t="s">
        <v>53</v>
      </c>
      <c r="G2879" t="s">
        <v>33</v>
      </c>
      <c r="H2879" t="s">
        <v>34</v>
      </c>
      <c r="I2879" t="s">
        <v>25</v>
      </c>
      <c r="J2879" t="s">
        <v>58</v>
      </c>
      <c r="K2879" t="s">
        <v>44</v>
      </c>
      <c r="L2879" t="s">
        <v>28</v>
      </c>
      <c r="M2879" s="4">
        <v>3</v>
      </c>
      <c r="N2879" s="4">
        <v>7</v>
      </c>
      <c r="O2879" t="s">
        <v>36</v>
      </c>
      <c r="P2879" t="s">
        <v>36</v>
      </c>
      <c r="Q2879" s="4">
        <v>503377</v>
      </c>
      <c r="R2879" s="4">
        <v>332217</v>
      </c>
      <c r="S2879" s="4">
        <f>Table1[[#This Row],[Service_Revenue]]-Table1[[#This Row],[Service_Cost]]</f>
        <v>171160</v>
      </c>
      <c r="T2879" s="4">
        <v>5</v>
      </c>
      <c r="U2879" s="4">
        <f>IF(AND(Table1[[#This Row],[Rework_Flag]]="Yes",Table1[[#This Row],[Warranty_Claim]]="No"),Table1[[#This Row],[Service_Revenue]],0)</f>
        <v>0</v>
      </c>
      <c r="V2879" s="4">
        <f>IF(Table1[[#This Row],[Warranty_Claim]]="Yes",1,0)</f>
        <v>0</v>
      </c>
      <c r="W2879" s="4">
        <f>IF(Table1[[#This Row],[Rework_Flag]]="No",1,0)</f>
        <v>1</v>
      </c>
      <c r="X2879" s="4">
        <f>IF(Table1[[#This Row],[Rework_Flag]]="Yes",1,0)</f>
        <v>0</v>
      </c>
      <c r="Y2879" s="4">
        <v>1</v>
      </c>
      <c r="Z2879" s="4" t="str">
        <f>IF(Table1[[#This Row],[TAT_Days]]&gt;Table1[[#This Row],[SLA_TAT]],"Yes","No")</f>
        <v>No</v>
      </c>
      <c r="AA2879" s="4" t="str" cm="1">
        <f t="array" ref="AA2879">_xlfn.IFS(Table1[[#This Row],[Customer_Satisfaction]]&lt;=2,"Poor",Table1[[#This Row],[Customer_Satisfaction]]=3,"Neutral",Table1[[#This Row],[Customer_Satisfaction]]=4,"Good",Table1[[#This Row],[Customer_Satisfaction]]=5,"Good")</f>
        <v>Good</v>
      </c>
    </row>
    <row r="2880" spans="1:27" x14ac:dyDescent="0.35">
      <c r="A2880">
        <v>22878</v>
      </c>
      <c r="B2880" s="1">
        <v>45470</v>
      </c>
      <c r="C2880" t="s">
        <v>19</v>
      </c>
      <c r="D2880" t="s">
        <v>45</v>
      </c>
      <c r="E2880" t="s">
        <v>111</v>
      </c>
      <c r="F2880" t="s">
        <v>40</v>
      </c>
      <c r="G2880" t="s">
        <v>41</v>
      </c>
      <c r="H2880" t="s">
        <v>42</v>
      </c>
      <c r="I2880" t="s">
        <v>55</v>
      </c>
      <c r="J2880" t="s">
        <v>35</v>
      </c>
      <c r="K2880" t="s">
        <v>27</v>
      </c>
      <c r="L2880" t="s">
        <v>49</v>
      </c>
      <c r="M2880" s="4">
        <v>21</v>
      </c>
      <c r="N2880" s="4">
        <v>7</v>
      </c>
      <c r="O2880" t="s">
        <v>29</v>
      </c>
      <c r="P2880" t="s">
        <v>36</v>
      </c>
      <c r="Q2880" s="4">
        <v>413652</v>
      </c>
      <c r="R2880" s="4">
        <v>263430</v>
      </c>
      <c r="S2880" s="4">
        <f>Table1[[#This Row],[Service_Revenue]]-Table1[[#This Row],[Service_Cost]]</f>
        <v>150222</v>
      </c>
      <c r="T2880" s="4">
        <v>1</v>
      </c>
      <c r="U2880" s="4">
        <f>IF(AND(Table1[[#This Row],[Rework_Flag]]="Yes",Table1[[#This Row],[Warranty_Claim]]="No"),Table1[[#This Row],[Service_Revenue]],0)</f>
        <v>413652</v>
      </c>
      <c r="V2880" s="4">
        <f>IF(Table1[[#This Row],[Warranty_Claim]]="Yes",1,0)</f>
        <v>0</v>
      </c>
      <c r="W2880" s="4">
        <f>IF(Table1[[#This Row],[Rework_Flag]]="No",1,0)</f>
        <v>0</v>
      </c>
      <c r="X2880" s="4">
        <f>IF(Table1[[#This Row],[Rework_Flag]]="Yes",1,0)</f>
        <v>1</v>
      </c>
      <c r="Y2880" s="4">
        <v>1</v>
      </c>
      <c r="Z2880" s="4" t="str">
        <f>IF(Table1[[#This Row],[TAT_Days]]&gt;Table1[[#This Row],[SLA_TAT]],"Yes","No")</f>
        <v>Yes</v>
      </c>
      <c r="AA2880" s="4" t="str" cm="1">
        <f t="array" ref="AA2880">_xlfn.IFS(Table1[[#This Row],[Customer_Satisfaction]]&lt;=2,"Poor",Table1[[#This Row],[Customer_Satisfaction]]=3,"Neutral",Table1[[#This Row],[Customer_Satisfaction]]=4,"Good",Table1[[#This Row],[Customer_Satisfaction]]=5,"Good")</f>
        <v>Poor</v>
      </c>
    </row>
    <row r="2881" spans="1:27" x14ac:dyDescent="0.35">
      <c r="A2881">
        <v>22879</v>
      </c>
      <c r="B2881" s="1">
        <v>45304</v>
      </c>
      <c r="C2881" t="s">
        <v>50</v>
      </c>
      <c r="D2881" t="s">
        <v>80</v>
      </c>
      <c r="E2881" t="s">
        <v>85</v>
      </c>
      <c r="F2881" t="s">
        <v>53</v>
      </c>
      <c r="G2881" t="s">
        <v>41</v>
      </c>
      <c r="H2881" t="s">
        <v>42</v>
      </c>
      <c r="I2881" t="s">
        <v>55</v>
      </c>
      <c r="J2881" t="s">
        <v>67</v>
      </c>
      <c r="K2881" t="s">
        <v>61</v>
      </c>
      <c r="L2881" t="s">
        <v>28</v>
      </c>
      <c r="M2881" s="4">
        <v>8</v>
      </c>
      <c r="N2881" s="4">
        <v>7</v>
      </c>
      <c r="O2881" t="s">
        <v>29</v>
      </c>
      <c r="P2881" t="s">
        <v>29</v>
      </c>
      <c r="Q2881" s="4">
        <v>199612</v>
      </c>
      <c r="R2881" s="4">
        <v>160486</v>
      </c>
      <c r="S2881" s="4">
        <f>Table1[[#This Row],[Service_Revenue]]-Table1[[#This Row],[Service_Cost]]</f>
        <v>39126</v>
      </c>
      <c r="T2881" s="4">
        <v>3</v>
      </c>
      <c r="U2881" s="4">
        <f>IF(AND(Table1[[#This Row],[Rework_Flag]]="Yes",Table1[[#This Row],[Warranty_Claim]]="No"),Table1[[#This Row],[Service_Revenue]],0)</f>
        <v>0</v>
      </c>
      <c r="V2881" s="4">
        <f>IF(Table1[[#This Row],[Warranty_Claim]]="Yes",1,0)</f>
        <v>1</v>
      </c>
      <c r="W2881" s="4">
        <f>IF(Table1[[#This Row],[Rework_Flag]]="No",1,0)</f>
        <v>0</v>
      </c>
      <c r="X2881" s="4">
        <f>IF(Table1[[#This Row],[Rework_Flag]]="Yes",1,0)</f>
        <v>1</v>
      </c>
      <c r="Y2881" s="4">
        <v>1</v>
      </c>
      <c r="Z2881" s="4" t="str">
        <f>IF(Table1[[#This Row],[TAT_Days]]&gt;Table1[[#This Row],[SLA_TAT]],"Yes","No")</f>
        <v>Yes</v>
      </c>
      <c r="AA2881" s="4" t="str" cm="1">
        <f t="array" ref="AA2881">_xlfn.IFS(Table1[[#This Row],[Customer_Satisfaction]]&lt;=2,"Poor",Table1[[#This Row],[Customer_Satisfaction]]=3,"Neutral",Table1[[#This Row],[Customer_Satisfaction]]=4,"Good",Table1[[#This Row],[Customer_Satisfaction]]=5,"Good")</f>
        <v>Neutral</v>
      </c>
    </row>
    <row r="2882" spans="1:27" x14ac:dyDescent="0.35">
      <c r="A2882">
        <v>22880</v>
      </c>
      <c r="B2882" s="1">
        <v>45407</v>
      </c>
      <c r="C2882" t="s">
        <v>50</v>
      </c>
      <c r="D2882" t="s">
        <v>80</v>
      </c>
      <c r="E2882" t="s">
        <v>118</v>
      </c>
      <c r="F2882" t="s">
        <v>53</v>
      </c>
      <c r="G2882" t="s">
        <v>47</v>
      </c>
      <c r="H2882" t="s">
        <v>48</v>
      </c>
      <c r="I2882" t="s">
        <v>25</v>
      </c>
      <c r="J2882" t="s">
        <v>35</v>
      </c>
      <c r="K2882" t="s">
        <v>27</v>
      </c>
      <c r="L2882" t="s">
        <v>28</v>
      </c>
      <c r="M2882" s="4">
        <v>18</v>
      </c>
      <c r="N2882" s="4">
        <v>7</v>
      </c>
      <c r="O2882" t="s">
        <v>29</v>
      </c>
      <c r="P2882" t="s">
        <v>29</v>
      </c>
      <c r="Q2882" s="4">
        <v>471983</v>
      </c>
      <c r="R2882" s="4">
        <v>334358</v>
      </c>
      <c r="S2882" s="4">
        <f>Table1[[#This Row],[Service_Revenue]]-Table1[[#This Row],[Service_Cost]]</f>
        <v>137625</v>
      </c>
      <c r="T2882" s="4">
        <v>1</v>
      </c>
      <c r="U2882" s="4">
        <f>IF(AND(Table1[[#This Row],[Rework_Flag]]="Yes",Table1[[#This Row],[Warranty_Claim]]="No"),Table1[[#This Row],[Service_Revenue]],0)</f>
        <v>0</v>
      </c>
      <c r="V2882" s="4">
        <f>IF(Table1[[#This Row],[Warranty_Claim]]="Yes",1,0)</f>
        <v>1</v>
      </c>
      <c r="W2882" s="4">
        <f>IF(Table1[[#This Row],[Rework_Flag]]="No",1,0)</f>
        <v>0</v>
      </c>
      <c r="X2882" s="4">
        <f>IF(Table1[[#This Row],[Rework_Flag]]="Yes",1,0)</f>
        <v>1</v>
      </c>
      <c r="Y2882" s="4">
        <v>1</v>
      </c>
      <c r="Z2882" s="4" t="str">
        <f>IF(Table1[[#This Row],[TAT_Days]]&gt;Table1[[#This Row],[SLA_TAT]],"Yes","No")</f>
        <v>Yes</v>
      </c>
      <c r="AA2882" s="4" t="str" cm="1">
        <f t="array" ref="AA2882">_xlfn.IFS(Table1[[#This Row],[Customer_Satisfaction]]&lt;=2,"Poor",Table1[[#This Row],[Customer_Satisfaction]]=3,"Neutral",Table1[[#This Row],[Customer_Satisfaction]]=4,"Good",Table1[[#This Row],[Customer_Satisfaction]]=5,"Good")</f>
        <v>Poor</v>
      </c>
    </row>
    <row r="2883" spans="1:27" x14ac:dyDescent="0.35">
      <c r="A2883">
        <v>22881</v>
      </c>
      <c r="B2883" s="1">
        <v>45384</v>
      </c>
      <c r="C2883" t="s">
        <v>50</v>
      </c>
      <c r="D2883" t="s">
        <v>80</v>
      </c>
      <c r="E2883" t="s">
        <v>104</v>
      </c>
      <c r="F2883" t="s">
        <v>53</v>
      </c>
      <c r="G2883" t="s">
        <v>54</v>
      </c>
      <c r="H2883" t="s">
        <v>42</v>
      </c>
      <c r="I2883" t="s">
        <v>25</v>
      </c>
      <c r="J2883" t="s">
        <v>26</v>
      </c>
      <c r="K2883" t="s">
        <v>44</v>
      </c>
      <c r="L2883" t="s">
        <v>28</v>
      </c>
      <c r="M2883" s="4">
        <v>13</v>
      </c>
      <c r="N2883" s="4">
        <v>7</v>
      </c>
      <c r="O2883" t="s">
        <v>36</v>
      </c>
      <c r="P2883" t="s">
        <v>36</v>
      </c>
      <c r="Q2883" s="4">
        <v>96778</v>
      </c>
      <c r="R2883" s="4">
        <v>75757</v>
      </c>
      <c r="S2883" s="4">
        <f>Table1[[#This Row],[Service_Revenue]]-Table1[[#This Row],[Service_Cost]]</f>
        <v>21021</v>
      </c>
      <c r="T2883" s="4">
        <v>3</v>
      </c>
      <c r="U2883" s="4">
        <f>IF(AND(Table1[[#This Row],[Rework_Flag]]="Yes",Table1[[#This Row],[Warranty_Claim]]="No"),Table1[[#This Row],[Service_Revenue]],0)</f>
        <v>0</v>
      </c>
      <c r="V2883" s="4">
        <f>IF(Table1[[#This Row],[Warranty_Claim]]="Yes",1,0)</f>
        <v>0</v>
      </c>
      <c r="W2883" s="4">
        <f>IF(Table1[[#This Row],[Rework_Flag]]="No",1,0)</f>
        <v>1</v>
      </c>
      <c r="X2883" s="4">
        <f>IF(Table1[[#This Row],[Rework_Flag]]="Yes",1,0)</f>
        <v>0</v>
      </c>
      <c r="Y2883" s="4">
        <v>1</v>
      </c>
      <c r="Z2883" s="4" t="str">
        <f>IF(Table1[[#This Row],[TAT_Days]]&gt;Table1[[#This Row],[SLA_TAT]],"Yes","No")</f>
        <v>Yes</v>
      </c>
      <c r="AA2883" s="4" t="str" cm="1">
        <f t="array" ref="AA2883">_xlfn.IFS(Table1[[#This Row],[Customer_Satisfaction]]&lt;=2,"Poor",Table1[[#This Row],[Customer_Satisfaction]]=3,"Neutral",Table1[[#This Row],[Customer_Satisfaction]]=4,"Good",Table1[[#This Row],[Customer_Satisfaction]]=5,"Good")</f>
        <v>Neutral</v>
      </c>
    </row>
    <row r="2884" spans="1:27" x14ac:dyDescent="0.35">
      <c r="A2884">
        <v>22882</v>
      </c>
      <c r="B2884" s="1">
        <v>45435</v>
      </c>
      <c r="C2884" t="s">
        <v>30</v>
      </c>
      <c r="D2884" t="s">
        <v>31</v>
      </c>
      <c r="E2884" t="s">
        <v>106</v>
      </c>
      <c r="F2884" t="s">
        <v>22</v>
      </c>
      <c r="G2884" t="s">
        <v>33</v>
      </c>
      <c r="H2884" t="s">
        <v>34</v>
      </c>
      <c r="I2884" t="s">
        <v>25</v>
      </c>
      <c r="J2884" t="s">
        <v>26</v>
      </c>
      <c r="K2884" t="s">
        <v>27</v>
      </c>
      <c r="L2884" t="s">
        <v>28</v>
      </c>
      <c r="M2884" s="4">
        <v>10</v>
      </c>
      <c r="N2884" s="4">
        <v>7</v>
      </c>
      <c r="O2884" t="s">
        <v>29</v>
      </c>
      <c r="P2884" t="s">
        <v>36</v>
      </c>
      <c r="Q2884" s="4">
        <v>327941</v>
      </c>
      <c r="R2884" s="4">
        <v>274077</v>
      </c>
      <c r="S2884" s="4">
        <f>Table1[[#This Row],[Service_Revenue]]-Table1[[#This Row],[Service_Cost]]</f>
        <v>53864</v>
      </c>
      <c r="T2884" s="4">
        <v>2</v>
      </c>
      <c r="U2884" s="4">
        <f>IF(AND(Table1[[#This Row],[Rework_Flag]]="Yes",Table1[[#This Row],[Warranty_Claim]]="No"),Table1[[#This Row],[Service_Revenue]],0)</f>
        <v>327941</v>
      </c>
      <c r="V2884" s="4">
        <f>IF(Table1[[#This Row],[Warranty_Claim]]="Yes",1,0)</f>
        <v>0</v>
      </c>
      <c r="W2884" s="4">
        <f>IF(Table1[[#This Row],[Rework_Flag]]="No",1,0)</f>
        <v>0</v>
      </c>
      <c r="X2884" s="4">
        <f>IF(Table1[[#This Row],[Rework_Flag]]="Yes",1,0)</f>
        <v>1</v>
      </c>
      <c r="Y2884" s="4">
        <v>1</v>
      </c>
      <c r="Z2884" s="4" t="str">
        <f>IF(Table1[[#This Row],[TAT_Days]]&gt;Table1[[#This Row],[SLA_TAT]],"Yes","No")</f>
        <v>Yes</v>
      </c>
      <c r="AA2884" s="4" t="str" cm="1">
        <f t="array" ref="AA2884">_xlfn.IFS(Table1[[#This Row],[Customer_Satisfaction]]&lt;=2,"Poor",Table1[[#This Row],[Customer_Satisfaction]]=3,"Neutral",Table1[[#This Row],[Customer_Satisfaction]]=4,"Good",Table1[[#This Row],[Customer_Satisfaction]]=5,"Good")</f>
        <v>Poor</v>
      </c>
    </row>
    <row r="2885" spans="1:27" x14ac:dyDescent="0.35">
      <c r="A2885">
        <v>22883</v>
      </c>
      <c r="B2885" s="1">
        <v>45407</v>
      </c>
      <c r="C2885" t="s">
        <v>50</v>
      </c>
      <c r="D2885" t="s">
        <v>51</v>
      </c>
      <c r="E2885" t="s">
        <v>52</v>
      </c>
      <c r="F2885" t="s">
        <v>40</v>
      </c>
      <c r="G2885" t="s">
        <v>23</v>
      </c>
      <c r="H2885" t="s">
        <v>24</v>
      </c>
      <c r="I2885" t="s">
        <v>55</v>
      </c>
      <c r="J2885" t="s">
        <v>43</v>
      </c>
      <c r="K2885" t="s">
        <v>61</v>
      </c>
      <c r="L2885" t="s">
        <v>28</v>
      </c>
      <c r="M2885" s="4">
        <v>12</v>
      </c>
      <c r="N2885" s="4">
        <v>7</v>
      </c>
      <c r="O2885" t="s">
        <v>29</v>
      </c>
      <c r="P2885" t="s">
        <v>29</v>
      </c>
      <c r="Q2885" s="4">
        <v>199424</v>
      </c>
      <c r="R2885" s="4">
        <v>127716</v>
      </c>
      <c r="S2885" s="4">
        <f>Table1[[#This Row],[Service_Revenue]]-Table1[[#This Row],[Service_Cost]]</f>
        <v>71708</v>
      </c>
      <c r="T2885" s="4">
        <v>2</v>
      </c>
      <c r="U2885" s="4">
        <f>IF(AND(Table1[[#This Row],[Rework_Flag]]="Yes",Table1[[#This Row],[Warranty_Claim]]="No"),Table1[[#This Row],[Service_Revenue]],0)</f>
        <v>0</v>
      </c>
      <c r="V2885" s="4">
        <f>IF(Table1[[#This Row],[Warranty_Claim]]="Yes",1,0)</f>
        <v>1</v>
      </c>
      <c r="W2885" s="4">
        <f>IF(Table1[[#This Row],[Rework_Flag]]="No",1,0)</f>
        <v>0</v>
      </c>
      <c r="X2885" s="4">
        <f>IF(Table1[[#This Row],[Rework_Flag]]="Yes",1,0)</f>
        <v>1</v>
      </c>
      <c r="Y2885" s="4">
        <v>1</v>
      </c>
      <c r="Z2885" s="4" t="str">
        <f>IF(Table1[[#This Row],[TAT_Days]]&gt;Table1[[#This Row],[SLA_TAT]],"Yes","No")</f>
        <v>Yes</v>
      </c>
      <c r="AA2885" s="4" t="str" cm="1">
        <f t="array" ref="AA2885">_xlfn.IFS(Table1[[#This Row],[Customer_Satisfaction]]&lt;=2,"Poor",Table1[[#This Row],[Customer_Satisfaction]]=3,"Neutral",Table1[[#This Row],[Customer_Satisfaction]]=4,"Good",Table1[[#This Row],[Customer_Satisfaction]]=5,"Good")</f>
        <v>Poor</v>
      </c>
    </row>
    <row r="2886" spans="1:27" x14ac:dyDescent="0.35">
      <c r="A2886">
        <v>22884</v>
      </c>
      <c r="B2886" s="1">
        <v>45430</v>
      </c>
      <c r="C2886" t="s">
        <v>19</v>
      </c>
      <c r="D2886" t="s">
        <v>20</v>
      </c>
      <c r="E2886" t="s">
        <v>89</v>
      </c>
      <c r="F2886" t="s">
        <v>22</v>
      </c>
      <c r="G2886" t="s">
        <v>63</v>
      </c>
      <c r="H2886" t="s">
        <v>24</v>
      </c>
      <c r="I2886" t="s">
        <v>25</v>
      </c>
      <c r="J2886" t="s">
        <v>58</v>
      </c>
      <c r="K2886" t="s">
        <v>44</v>
      </c>
      <c r="L2886" t="s">
        <v>28</v>
      </c>
      <c r="M2886" s="4">
        <v>5</v>
      </c>
      <c r="N2886" s="4">
        <v>7</v>
      </c>
      <c r="O2886" t="s">
        <v>36</v>
      </c>
      <c r="P2886" t="s">
        <v>29</v>
      </c>
      <c r="Q2886" s="4">
        <v>566533</v>
      </c>
      <c r="R2886" s="4">
        <v>421389</v>
      </c>
      <c r="S2886" s="4">
        <f>Table1[[#This Row],[Service_Revenue]]-Table1[[#This Row],[Service_Cost]]</f>
        <v>145144</v>
      </c>
      <c r="T2886" s="4">
        <v>4</v>
      </c>
      <c r="U2886" s="4">
        <f>IF(AND(Table1[[#This Row],[Rework_Flag]]="Yes",Table1[[#This Row],[Warranty_Claim]]="No"),Table1[[#This Row],[Service_Revenue]],0)</f>
        <v>0</v>
      </c>
      <c r="V2886" s="4">
        <f>IF(Table1[[#This Row],[Warranty_Claim]]="Yes",1,0)</f>
        <v>1</v>
      </c>
      <c r="W2886" s="4">
        <f>IF(Table1[[#This Row],[Rework_Flag]]="No",1,0)</f>
        <v>1</v>
      </c>
      <c r="X2886" s="4">
        <f>IF(Table1[[#This Row],[Rework_Flag]]="Yes",1,0)</f>
        <v>0</v>
      </c>
      <c r="Y2886" s="4">
        <v>1</v>
      </c>
      <c r="Z2886" s="4" t="str">
        <f>IF(Table1[[#This Row],[TAT_Days]]&gt;Table1[[#This Row],[SLA_TAT]],"Yes","No")</f>
        <v>No</v>
      </c>
      <c r="AA2886" s="4" t="str" cm="1">
        <f t="array" ref="AA2886">_xlfn.IFS(Table1[[#This Row],[Customer_Satisfaction]]&lt;=2,"Poor",Table1[[#This Row],[Customer_Satisfaction]]=3,"Neutral",Table1[[#This Row],[Customer_Satisfaction]]=4,"Good",Table1[[#This Row],[Customer_Satisfaction]]=5,"Good")</f>
        <v>Good</v>
      </c>
    </row>
    <row r="2887" spans="1:27" x14ac:dyDescent="0.35">
      <c r="A2887">
        <v>22885</v>
      </c>
      <c r="B2887" s="1">
        <v>45334</v>
      </c>
      <c r="C2887" t="s">
        <v>30</v>
      </c>
      <c r="D2887" t="s">
        <v>31</v>
      </c>
      <c r="E2887" t="s">
        <v>106</v>
      </c>
      <c r="F2887" t="s">
        <v>22</v>
      </c>
      <c r="G2887" t="s">
        <v>41</v>
      </c>
      <c r="H2887" t="s">
        <v>42</v>
      </c>
      <c r="I2887" t="s">
        <v>55</v>
      </c>
      <c r="J2887" t="s">
        <v>26</v>
      </c>
      <c r="K2887" t="s">
        <v>44</v>
      </c>
      <c r="L2887" t="s">
        <v>49</v>
      </c>
      <c r="M2887" s="4">
        <v>7</v>
      </c>
      <c r="N2887" s="4">
        <v>7</v>
      </c>
      <c r="O2887" t="s">
        <v>29</v>
      </c>
      <c r="P2887" t="s">
        <v>36</v>
      </c>
      <c r="Q2887" s="4">
        <v>388821</v>
      </c>
      <c r="R2887" s="4">
        <v>328706</v>
      </c>
      <c r="S2887" s="4">
        <f>Table1[[#This Row],[Service_Revenue]]-Table1[[#This Row],[Service_Cost]]</f>
        <v>60115</v>
      </c>
      <c r="T2887" s="4">
        <v>3</v>
      </c>
      <c r="U2887" s="4">
        <f>IF(AND(Table1[[#This Row],[Rework_Flag]]="Yes",Table1[[#This Row],[Warranty_Claim]]="No"),Table1[[#This Row],[Service_Revenue]],0)</f>
        <v>388821</v>
      </c>
      <c r="V2887" s="4">
        <f>IF(Table1[[#This Row],[Warranty_Claim]]="Yes",1,0)</f>
        <v>0</v>
      </c>
      <c r="W2887" s="4">
        <f>IF(Table1[[#This Row],[Rework_Flag]]="No",1,0)</f>
        <v>0</v>
      </c>
      <c r="X2887" s="4">
        <f>IF(Table1[[#This Row],[Rework_Flag]]="Yes",1,0)</f>
        <v>1</v>
      </c>
      <c r="Y2887" s="4">
        <v>1</v>
      </c>
      <c r="Z2887" s="4" t="str">
        <f>IF(Table1[[#This Row],[TAT_Days]]&gt;Table1[[#This Row],[SLA_TAT]],"Yes","No")</f>
        <v>No</v>
      </c>
      <c r="AA2887" s="4" t="str" cm="1">
        <f t="array" ref="AA2887">_xlfn.IFS(Table1[[#This Row],[Customer_Satisfaction]]&lt;=2,"Poor",Table1[[#This Row],[Customer_Satisfaction]]=3,"Neutral",Table1[[#This Row],[Customer_Satisfaction]]=4,"Good",Table1[[#This Row],[Customer_Satisfaction]]=5,"Good")</f>
        <v>Neutral</v>
      </c>
    </row>
    <row r="2888" spans="1:27" x14ac:dyDescent="0.35">
      <c r="A2888">
        <v>22886</v>
      </c>
      <c r="B2888" s="1">
        <v>45310</v>
      </c>
      <c r="C2888" t="s">
        <v>50</v>
      </c>
      <c r="D2888" t="s">
        <v>51</v>
      </c>
      <c r="E2888" t="s">
        <v>52</v>
      </c>
      <c r="F2888" t="s">
        <v>53</v>
      </c>
      <c r="G2888" t="s">
        <v>63</v>
      </c>
      <c r="H2888" t="s">
        <v>24</v>
      </c>
      <c r="I2888" t="s">
        <v>55</v>
      </c>
      <c r="J2888" t="s">
        <v>35</v>
      </c>
      <c r="K2888" t="s">
        <v>61</v>
      </c>
      <c r="L2888" t="s">
        <v>28</v>
      </c>
      <c r="M2888" s="4">
        <v>21</v>
      </c>
      <c r="N2888" s="4">
        <v>7</v>
      </c>
      <c r="O2888" t="s">
        <v>36</v>
      </c>
      <c r="P2888" t="s">
        <v>29</v>
      </c>
      <c r="Q2888" s="4">
        <v>136542</v>
      </c>
      <c r="R2888" s="4">
        <v>91778</v>
      </c>
      <c r="S2888" s="4">
        <f>Table1[[#This Row],[Service_Revenue]]-Table1[[#This Row],[Service_Cost]]</f>
        <v>44764</v>
      </c>
      <c r="T2888" s="4">
        <v>1</v>
      </c>
      <c r="U2888" s="4">
        <f>IF(AND(Table1[[#This Row],[Rework_Flag]]="Yes",Table1[[#This Row],[Warranty_Claim]]="No"),Table1[[#This Row],[Service_Revenue]],0)</f>
        <v>0</v>
      </c>
      <c r="V2888" s="4">
        <f>IF(Table1[[#This Row],[Warranty_Claim]]="Yes",1,0)</f>
        <v>1</v>
      </c>
      <c r="W2888" s="4">
        <f>IF(Table1[[#This Row],[Rework_Flag]]="No",1,0)</f>
        <v>1</v>
      </c>
      <c r="X2888" s="4">
        <f>IF(Table1[[#This Row],[Rework_Flag]]="Yes",1,0)</f>
        <v>0</v>
      </c>
      <c r="Y2888" s="4">
        <v>1</v>
      </c>
      <c r="Z2888" s="4" t="str">
        <f>IF(Table1[[#This Row],[TAT_Days]]&gt;Table1[[#This Row],[SLA_TAT]],"Yes","No")</f>
        <v>Yes</v>
      </c>
      <c r="AA2888" s="4" t="str" cm="1">
        <f t="array" ref="AA2888">_xlfn.IFS(Table1[[#This Row],[Customer_Satisfaction]]&lt;=2,"Poor",Table1[[#This Row],[Customer_Satisfaction]]=3,"Neutral",Table1[[#This Row],[Customer_Satisfaction]]=4,"Good",Table1[[#This Row],[Customer_Satisfaction]]=5,"Good")</f>
        <v>Poor</v>
      </c>
    </row>
    <row r="2889" spans="1:27" x14ac:dyDescent="0.35">
      <c r="A2889">
        <v>22887</v>
      </c>
      <c r="B2889" s="1">
        <v>45384</v>
      </c>
      <c r="C2889" t="s">
        <v>37</v>
      </c>
      <c r="D2889" t="s">
        <v>64</v>
      </c>
      <c r="E2889" t="s">
        <v>103</v>
      </c>
      <c r="F2889" t="s">
        <v>40</v>
      </c>
      <c r="G2889" t="s">
        <v>54</v>
      </c>
      <c r="H2889" t="s">
        <v>42</v>
      </c>
      <c r="I2889" t="s">
        <v>55</v>
      </c>
      <c r="J2889" t="s">
        <v>43</v>
      </c>
      <c r="K2889" t="s">
        <v>44</v>
      </c>
      <c r="L2889" t="s">
        <v>49</v>
      </c>
      <c r="M2889" s="4">
        <v>17</v>
      </c>
      <c r="N2889" s="4">
        <v>7</v>
      </c>
      <c r="O2889" t="s">
        <v>36</v>
      </c>
      <c r="P2889" t="s">
        <v>36</v>
      </c>
      <c r="Q2889" s="4">
        <v>361689</v>
      </c>
      <c r="R2889" s="4">
        <v>233855</v>
      </c>
      <c r="S2889" s="4">
        <f>Table1[[#This Row],[Service_Revenue]]-Table1[[#This Row],[Service_Cost]]</f>
        <v>127834</v>
      </c>
      <c r="T2889" s="4">
        <v>2</v>
      </c>
      <c r="U2889" s="4">
        <f>IF(AND(Table1[[#This Row],[Rework_Flag]]="Yes",Table1[[#This Row],[Warranty_Claim]]="No"),Table1[[#This Row],[Service_Revenue]],0)</f>
        <v>0</v>
      </c>
      <c r="V2889" s="4">
        <f>IF(Table1[[#This Row],[Warranty_Claim]]="Yes",1,0)</f>
        <v>0</v>
      </c>
      <c r="W2889" s="4">
        <f>IF(Table1[[#This Row],[Rework_Flag]]="No",1,0)</f>
        <v>1</v>
      </c>
      <c r="X2889" s="4">
        <f>IF(Table1[[#This Row],[Rework_Flag]]="Yes",1,0)</f>
        <v>0</v>
      </c>
      <c r="Y2889" s="4">
        <v>1</v>
      </c>
      <c r="Z2889" s="4" t="str">
        <f>IF(Table1[[#This Row],[TAT_Days]]&gt;Table1[[#This Row],[SLA_TAT]],"Yes","No")</f>
        <v>Yes</v>
      </c>
      <c r="AA2889" s="4" t="str" cm="1">
        <f t="array" ref="AA2889">_xlfn.IFS(Table1[[#This Row],[Customer_Satisfaction]]&lt;=2,"Poor",Table1[[#This Row],[Customer_Satisfaction]]=3,"Neutral",Table1[[#This Row],[Customer_Satisfaction]]=4,"Good",Table1[[#This Row],[Customer_Satisfaction]]=5,"Good")</f>
        <v>Poor</v>
      </c>
    </row>
    <row r="2890" spans="1:27" x14ac:dyDescent="0.35">
      <c r="A2890">
        <v>22888</v>
      </c>
      <c r="B2890" s="1">
        <v>45316</v>
      </c>
      <c r="C2890" t="s">
        <v>30</v>
      </c>
      <c r="D2890" t="s">
        <v>31</v>
      </c>
      <c r="E2890" t="s">
        <v>62</v>
      </c>
      <c r="F2890" t="s">
        <v>40</v>
      </c>
      <c r="G2890" t="s">
        <v>47</v>
      </c>
      <c r="H2890" t="s">
        <v>48</v>
      </c>
      <c r="I2890" t="s">
        <v>55</v>
      </c>
      <c r="J2890" t="s">
        <v>35</v>
      </c>
      <c r="K2890" t="s">
        <v>27</v>
      </c>
      <c r="L2890" t="s">
        <v>49</v>
      </c>
      <c r="M2890" s="4">
        <v>20</v>
      </c>
      <c r="N2890" s="4">
        <v>7</v>
      </c>
      <c r="O2890" t="s">
        <v>29</v>
      </c>
      <c r="P2890" t="s">
        <v>36</v>
      </c>
      <c r="Q2890" s="4">
        <v>460640</v>
      </c>
      <c r="R2890" s="4">
        <v>362566</v>
      </c>
      <c r="S2890" s="4">
        <f>Table1[[#This Row],[Service_Revenue]]-Table1[[#This Row],[Service_Cost]]</f>
        <v>98074</v>
      </c>
      <c r="T2890" s="4">
        <v>1</v>
      </c>
      <c r="U2890" s="4">
        <f>IF(AND(Table1[[#This Row],[Rework_Flag]]="Yes",Table1[[#This Row],[Warranty_Claim]]="No"),Table1[[#This Row],[Service_Revenue]],0)</f>
        <v>460640</v>
      </c>
      <c r="V2890" s="4">
        <f>IF(Table1[[#This Row],[Warranty_Claim]]="Yes",1,0)</f>
        <v>0</v>
      </c>
      <c r="W2890" s="4">
        <f>IF(Table1[[#This Row],[Rework_Flag]]="No",1,0)</f>
        <v>0</v>
      </c>
      <c r="X2890" s="4">
        <f>IF(Table1[[#This Row],[Rework_Flag]]="Yes",1,0)</f>
        <v>1</v>
      </c>
      <c r="Y2890" s="4">
        <v>1</v>
      </c>
      <c r="Z2890" s="4" t="str">
        <f>IF(Table1[[#This Row],[TAT_Days]]&gt;Table1[[#This Row],[SLA_TAT]],"Yes","No")</f>
        <v>Yes</v>
      </c>
      <c r="AA2890" s="4" t="str" cm="1">
        <f t="array" ref="AA2890">_xlfn.IFS(Table1[[#This Row],[Customer_Satisfaction]]&lt;=2,"Poor",Table1[[#This Row],[Customer_Satisfaction]]=3,"Neutral",Table1[[#This Row],[Customer_Satisfaction]]=4,"Good",Table1[[#This Row],[Customer_Satisfaction]]=5,"Good")</f>
        <v>Poor</v>
      </c>
    </row>
    <row r="2891" spans="1:27" x14ac:dyDescent="0.35">
      <c r="A2891">
        <v>22889</v>
      </c>
      <c r="B2891" s="1">
        <v>45323</v>
      </c>
      <c r="C2891" t="s">
        <v>37</v>
      </c>
      <c r="D2891" t="s">
        <v>38</v>
      </c>
      <c r="E2891" t="s">
        <v>112</v>
      </c>
      <c r="F2891" t="s">
        <v>40</v>
      </c>
      <c r="G2891" t="s">
        <v>54</v>
      </c>
      <c r="H2891" t="s">
        <v>42</v>
      </c>
      <c r="I2891" t="s">
        <v>55</v>
      </c>
      <c r="J2891" t="s">
        <v>43</v>
      </c>
      <c r="K2891" t="s">
        <v>61</v>
      </c>
      <c r="L2891" t="s">
        <v>28</v>
      </c>
      <c r="M2891" s="4">
        <v>21</v>
      </c>
      <c r="N2891" s="4">
        <v>7</v>
      </c>
      <c r="O2891" t="s">
        <v>29</v>
      </c>
      <c r="P2891" t="s">
        <v>29</v>
      </c>
      <c r="Q2891" s="4">
        <v>586721</v>
      </c>
      <c r="R2891" s="4">
        <v>390418</v>
      </c>
      <c r="S2891" s="4">
        <f>Table1[[#This Row],[Service_Revenue]]-Table1[[#This Row],[Service_Cost]]</f>
        <v>196303</v>
      </c>
      <c r="T2891" s="4">
        <v>1</v>
      </c>
      <c r="U2891" s="4">
        <f>IF(AND(Table1[[#This Row],[Rework_Flag]]="Yes",Table1[[#This Row],[Warranty_Claim]]="No"),Table1[[#This Row],[Service_Revenue]],0)</f>
        <v>0</v>
      </c>
      <c r="V2891" s="4">
        <f>IF(Table1[[#This Row],[Warranty_Claim]]="Yes",1,0)</f>
        <v>1</v>
      </c>
      <c r="W2891" s="4">
        <f>IF(Table1[[#This Row],[Rework_Flag]]="No",1,0)</f>
        <v>0</v>
      </c>
      <c r="X2891" s="4">
        <f>IF(Table1[[#This Row],[Rework_Flag]]="Yes",1,0)</f>
        <v>1</v>
      </c>
      <c r="Y2891" s="4">
        <v>1</v>
      </c>
      <c r="Z2891" s="4" t="str">
        <f>IF(Table1[[#This Row],[TAT_Days]]&gt;Table1[[#This Row],[SLA_TAT]],"Yes","No")</f>
        <v>Yes</v>
      </c>
      <c r="AA2891" s="4" t="str" cm="1">
        <f t="array" ref="AA2891">_xlfn.IFS(Table1[[#This Row],[Customer_Satisfaction]]&lt;=2,"Poor",Table1[[#This Row],[Customer_Satisfaction]]=3,"Neutral",Table1[[#This Row],[Customer_Satisfaction]]=4,"Good",Table1[[#This Row],[Customer_Satisfaction]]=5,"Good")</f>
        <v>Poor</v>
      </c>
    </row>
    <row r="2892" spans="1:27" x14ac:dyDescent="0.35">
      <c r="A2892">
        <v>22890</v>
      </c>
      <c r="B2892" s="1">
        <v>45407</v>
      </c>
      <c r="C2892" t="s">
        <v>37</v>
      </c>
      <c r="D2892" t="s">
        <v>38</v>
      </c>
      <c r="E2892" t="s">
        <v>102</v>
      </c>
      <c r="F2892" t="s">
        <v>53</v>
      </c>
      <c r="G2892" t="s">
        <v>63</v>
      </c>
      <c r="H2892" t="s">
        <v>24</v>
      </c>
      <c r="I2892" t="s">
        <v>55</v>
      </c>
      <c r="J2892" t="s">
        <v>58</v>
      </c>
      <c r="K2892" t="s">
        <v>44</v>
      </c>
      <c r="L2892" t="s">
        <v>28</v>
      </c>
      <c r="M2892" s="4">
        <v>14</v>
      </c>
      <c r="N2892" s="4">
        <v>7</v>
      </c>
      <c r="O2892" t="s">
        <v>36</v>
      </c>
      <c r="P2892" t="s">
        <v>29</v>
      </c>
      <c r="Q2892" s="4">
        <v>561075</v>
      </c>
      <c r="R2892" s="4">
        <v>369196</v>
      </c>
      <c r="S2892" s="4">
        <f>Table1[[#This Row],[Service_Revenue]]-Table1[[#This Row],[Service_Cost]]</f>
        <v>191879</v>
      </c>
      <c r="T2892" s="4">
        <v>3</v>
      </c>
      <c r="U2892" s="4">
        <f>IF(AND(Table1[[#This Row],[Rework_Flag]]="Yes",Table1[[#This Row],[Warranty_Claim]]="No"),Table1[[#This Row],[Service_Revenue]],0)</f>
        <v>0</v>
      </c>
      <c r="V2892" s="4">
        <f>IF(Table1[[#This Row],[Warranty_Claim]]="Yes",1,0)</f>
        <v>1</v>
      </c>
      <c r="W2892" s="4">
        <f>IF(Table1[[#This Row],[Rework_Flag]]="No",1,0)</f>
        <v>1</v>
      </c>
      <c r="X2892" s="4">
        <f>IF(Table1[[#This Row],[Rework_Flag]]="Yes",1,0)</f>
        <v>0</v>
      </c>
      <c r="Y2892" s="4">
        <v>1</v>
      </c>
      <c r="Z2892" s="4" t="str">
        <f>IF(Table1[[#This Row],[TAT_Days]]&gt;Table1[[#This Row],[SLA_TAT]],"Yes","No")</f>
        <v>Yes</v>
      </c>
      <c r="AA2892" s="4" t="str" cm="1">
        <f t="array" ref="AA2892">_xlfn.IFS(Table1[[#This Row],[Customer_Satisfaction]]&lt;=2,"Poor",Table1[[#This Row],[Customer_Satisfaction]]=3,"Neutral",Table1[[#This Row],[Customer_Satisfaction]]=4,"Good",Table1[[#This Row],[Customer_Satisfaction]]=5,"Good")</f>
        <v>Neutral</v>
      </c>
    </row>
    <row r="2893" spans="1:27" x14ac:dyDescent="0.35">
      <c r="A2893">
        <v>22891</v>
      </c>
      <c r="B2893" s="1">
        <v>45404</v>
      </c>
      <c r="C2893" t="s">
        <v>19</v>
      </c>
      <c r="D2893" t="s">
        <v>96</v>
      </c>
      <c r="E2893" t="s">
        <v>105</v>
      </c>
      <c r="F2893" t="s">
        <v>22</v>
      </c>
      <c r="G2893" t="s">
        <v>33</v>
      </c>
      <c r="H2893" t="s">
        <v>34</v>
      </c>
      <c r="I2893" t="s">
        <v>55</v>
      </c>
      <c r="J2893" t="s">
        <v>35</v>
      </c>
      <c r="K2893" t="s">
        <v>61</v>
      </c>
      <c r="L2893" t="s">
        <v>28</v>
      </c>
      <c r="M2893" s="4">
        <v>21</v>
      </c>
      <c r="N2893" s="4">
        <v>7</v>
      </c>
      <c r="O2893" t="s">
        <v>36</v>
      </c>
      <c r="P2893" t="s">
        <v>29</v>
      </c>
      <c r="Q2893" s="4">
        <v>134861</v>
      </c>
      <c r="R2893" s="4">
        <v>73119</v>
      </c>
      <c r="S2893" s="4">
        <f>Table1[[#This Row],[Service_Revenue]]-Table1[[#This Row],[Service_Cost]]</f>
        <v>61742</v>
      </c>
      <c r="T2893" s="4">
        <v>1</v>
      </c>
      <c r="U2893" s="4">
        <f>IF(AND(Table1[[#This Row],[Rework_Flag]]="Yes",Table1[[#This Row],[Warranty_Claim]]="No"),Table1[[#This Row],[Service_Revenue]],0)</f>
        <v>0</v>
      </c>
      <c r="V2893" s="4">
        <f>IF(Table1[[#This Row],[Warranty_Claim]]="Yes",1,0)</f>
        <v>1</v>
      </c>
      <c r="W2893" s="4">
        <f>IF(Table1[[#This Row],[Rework_Flag]]="No",1,0)</f>
        <v>1</v>
      </c>
      <c r="X2893" s="4">
        <f>IF(Table1[[#This Row],[Rework_Flag]]="Yes",1,0)</f>
        <v>0</v>
      </c>
      <c r="Y2893" s="4">
        <v>1</v>
      </c>
      <c r="Z2893" s="4" t="str">
        <f>IF(Table1[[#This Row],[TAT_Days]]&gt;Table1[[#This Row],[SLA_TAT]],"Yes","No")</f>
        <v>Yes</v>
      </c>
      <c r="AA2893" s="4" t="str" cm="1">
        <f t="array" ref="AA2893">_xlfn.IFS(Table1[[#This Row],[Customer_Satisfaction]]&lt;=2,"Poor",Table1[[#This Row],[Customer_Satisfaction]]=3,"Neutral",Table1[[#This Row],[Customer_Satisfaction]]=4,"Good",Table1[[#This Row],[Customer_Satisfaction]]=5,"Good")</f>
        <v>Poor</v>
      </c>
    </row>
    <row r="2894" spans="1:27" x14ac:dyDescent="0.35">
      <c r="A2894">
        <v>22892</v>
      </c>
      <c r="B2894" s="1">
        <v>45349</v>
      </c>
      <c r="C2894" t="s">
        <v>30</v>
      </c>
      <c r="D2894" t="s">
        <v>31</v>
      </c>
      <c r="E2894" t="s">
        <v>122</v>
      </c>
      <c r="F2894" t="s">
        <v>40</v>
      </c>
      <c r="G2894" t="s">
        <v>74</v>
      </c>
      <c r="H2894" t="s">
        <v>34</v>
      </c>
      <c r="I2894" t="s">
        <v>25</v>
      </c>
      <c r="J2894" t="s">
        <v>35</v>
      </c>
      <c r="K2894" t="s">
        <v>44</v>
      </c>
      <c r="L2894" t="s">
        <v>28</v>
      </c>
      <c r="M2894" s="4">
        <v>16</v>
      </c>
      <c r="N2894" s="4">
        <v>7</v>
      </c>
      <c r="O2894" t="s">
        <v>36</v>
      </c>
      <c r="P2894" t="s">
        <v>29</v>
      </c>
      <c r="Q2894" s="4">
        <v>285884</v>
      </c>
      <c r="R2894" s="4">
        <v>195296</v>
      </c>
      <c r="S2894" s="4">
        <f>Table1[[#This Row],[Service_Revenue]]-Table1[[#This Row],[Service_Cost]]</f>
        <v>90588</v>
      </c>
      <c r="T2894" s="4">
        <v>2</v>
      </c>
      <c r="U2894" s="4">
        <f>IF(AND(Table1[[#This Row],[Rework_Flag]]="Yes",Table1[[#This Row],[Warranty_Claim]]="No"),Table1[[#This Row],[Service_Revenue]],0)</f>
        <v>0</v>
      </c>
      <c r="V2894" s="4">
        <f>IF(Table1[[#This Row],[Warranty_Claim]]="Yes",1,0)</f>
        <v>1</v>
      </c>
      <c r="W2894" s="4">
        <f>IF(Table1[[#This Row],[Rework_Flag]]="No",1,0)</f>
        <v>1</v>
      </c>
      <c r="X2894" s="4">
        <f>IF(Table1[[#This Row],[Rework_Flag]]="Yes",1,0)</f>
        <v>0</v>
      </c>
      <c r="Y2894" s="4">
        <v>1</v>
      </c>
      <c r="Z2894" s="4" t="str">
        <f>IF(Table1[[#This Row],[TAT_Days]]&gt;Table1[[#This Row],[SLA_TAT]],"Yes","No")</f>
        <v>Yes</v>
      </c>
      <c r="AA2894" s="4" t="str" cm="1">
        <f t="array" ref="AA2894">_xlfn.IFS(Table1[[#This Row],[Customer_Satisfaction]]&lt;=2,"Poor",Table1[[#This Row],[Customer_Satisfaction]]=3,"Neutral",Table1[[#This Row],[Customer_Satisfaction]]=4,"Good",Table1[[#This Row],[Customer_Satisfaction]]=5,"Good")</f>
        <v>Poor</v>
      </c>
    </row>
    <row r="2895" spans="1:27" x14ac:dyDescent="0.35">
      <c r="A2895">
        <v>22893</v>
      </c>
      <c r="B2895" s="1">
        <v>45351</v>
      </c>
      <c r="C2895" t="s">
        <v>37</v>
      </c>
      <c r="D2895" t="s">
        <v>64</v>
      </c>
      <c r="E2895" t="s">
        <v>87</v>
      </c>
      <c r="F2895" t="s">
        <v>22</v>
      </c>
      <c r="G2895" t="s">
        <v>74</v>
      </c>
      <c r="H2895" t="s">
        <v>34</v>
      </c>
      <c r="I2895" t="s">
        <v>25</v>
      </c>
      <c r="J2895" t="s">
        <v>35</v>
      </c>
      <c r="K2895" t="s">
        <v>27</v>
      </c>
      <c r="L2895" t="s">
        <v>49</v>
      </c>
      <c r="M2895" s="4">
        <v>13</v>
      </c>
      <c r="N2895" s="4">
        <v>7</v>
      </c>
      <c r="O2895" t="s">
        <v>29</v>
      </c>
      <c r="P2895" t="s">
        <v>36</v>
      </c>
      <c r="Q2895" s="4">
        <v>171673</v>
      </c>
      <c r="R2895" s="4">
        <v>117700</v>
      </c>
      <c r="S2895" s="4">
        <f>Table1[[#This Row],[Service_Revenue]]-Table1[[#This Row],[Service_Cost]]</f>
        <v>53973</v>
      </c>
      <c r="T2895" s="4">
        <v>2</v>
      </c>
      <c r="U2895" s="4">
        <f>IF(AND(Table1[[#This Row],[Rework_Flag]]="Yes",Table1[[#This Row],[Warranty_Claim]]="No"),Table1[[#This Row],[Service_Revenue]],0)</f>
        <v>171673</v>
      </c>
      <c r="V2895" s="4">
        <f>IF(Table1[[#This Row],[Warranty_Claim]]="Yes",1,0)</f>
        <v>0</v>
      </c>
      <c r="W2895" s="4">
        <f>IF(Table1[[#This Row],[Rework_Flag]]="No",1,0)</f>
        <v>0</v>
      </c>
      <c r="X2895" s="4">
        <f>IF(Table1[[#This Row],[Rework_Flag]]="Yes",1,0)</f>
        <v>1</v>
      </c>
      <c r="Y2895" s="4">
        <v>1</v>
      </c>
      <c r="Z2895" s="4" t="str">
        <f>IF(Table1[[#This Row],[TAT_Days]]&gt;Table1[[#This Row],[SLA_TAT]],"Yes","No")</f>
        <v>Yes</v>
      </c>
      <c r="AA2895" s="4" t="str" cm="1">
        <f t="array" ref="AA2895">_xlfn.IFS(Table1[[#This Row],[Customer_Satisfaction]]&lt;=2,"Poor",Table1[[#This Row],[Customer_Satisfaction]]=3,"Neutral",Table1[[#This Row],[Customer_Satisfaction]]=4,"Good",Table1[[#This Row],[Customer_Satisfaction]]=5,"Good")</f>
        <v>Poor</v>
      </c>
    </row>
    <row r="2896" spans="1:27" x14ac:dyDescent="0.35">
      <c r="A2896">
        <v>22894</v>
      </c>
      <c r="B2896" s="1">
        <v>45439</v>
      </c>
      <c r="C2896" t="s">
        <v>50</v>
      </c>
      <c r="D2896" t="s">
        <v>51</v>
      </c>
      <c r="E2896" t="s">
        <v>73</v>
      </c>
      <c r="F2896" t="s">
        <v>22</v>
      </c>
      <c r="G2896" t="s">
        <v>47</v>
      </c>
      <c r="H2896" t="s">
        <v>48</v>
      </c>
      <c r="I2896" t="s">
        <v>25</v>
      </c>
      <c r="J2896" t="s">
        <v>43</v>
      </c>
      <c r="K2896" t="s">
        <v>27</v>
      </c>
      <c r="L2896" t="s">
        <v>49</v>
      </c>
      <c r="M2896" s="4">
        <v>10</v>
      </c>
      <c r="N2896" s="4">
        <v>7</v>
      </c>
      <c r="O2896" t="s">
        <v>29</v>
      </c>
      <c r="P2896" t="s">
        <v>29</v>
      </c>
      <c r="Q2896" s="4">
        <v>523770</v>
      </c>
      <c r="R2896" s="4">
        <v>283754</v>
      </c>
      <c r="S2896" s="4">
        <f>Table1[[#This Row],[Service_Revenue]]-Table1[[#This Row],[Service_Cost]]</f>
        <v>240016</v>
      </c>
      <c r="T2896" s="4">
        <v>2</v>
      </c>
      <c r="U2896" s="4">
        <f>IF(AND(Table1[[#This Row],[Rework_Flag]]="Yes",Table1[[#This Row],[Warranty_Claim]]="No"),Table1[[#This Row],[Service_Revenue]],0)</f>
        <v>0</v>
      </c>
      <c r="V2896" s="4">
        <f>IF(Table1[[#This Row],[Warranty_Claim]]="Yes",1,0)</f>
        <v>1</v>
      </c>
      <c r="W2896" s="4">
        <f>IF(Table1[[#This Row],[Rework_Flag]]="No",1,0)</f>
        <v>0</v>
      </c>
      <c r="X2896" s="4">
        <f>IF(Table1[[#This Row],[Rework_Flag]]="Yes",1,0)</f>
        <v>1</v>
      </c>
      <c r="Y2896" s="4">
        <v>1</v>
      </c>
      <c r="Z2896" s="4" t="str">
        <f>IF(Table1[[#This Row],[TAT_Days]]&gt;Table1[[#This Row],[SLA_TAT]],"Yes","No")</f>
        <v>Yes</v>
      </c>
      <c r="AA2896" s="4" t="str" cm="1">
        <f t="array" ref="AA2896">_xlfn.IFS(Table1[[#This Row],[Customer_Satisfaction]]&lt;=2,"Poor",Table1[[#This Row],[Customer_Satisfaction]]=3,"Neutral",Table1[[#This Row],[Customer_Satisfaction]]=4,"Good",Table1[[#This Row],[Customer_Satisfaction]]=5,"Good")</f>
        <v>Poor</v>
      </c>
    </row>
    <row r="2897" spans="1:27" x14ac:dyDescent="0.35">
      <c r="A2897">
        <v>22895</v>
      </c>
      <c r="B2897" s="1">
        <v>45349</v>
      </c>
      <c r="C2897" t="s">
        <v>19</v>
      </c>
      <c r="D2897" t="s">
        <v>45</v>
      </c>
      <c r="E2897" t="s">
        <v>76</v>
      </c>
      <c r="F2897" t="s">
        <v>53</v>
      </c>
      <c r="G2897" t="s">
        <v>23</v>
      </c>
      <c r="H2897" t="s">
        <v>24</v>
      </c>
      <c r="I2897" t="s">
        <v>25</v>
      </c>
      <c r="J2897" t="s">
        <v>67</v>
      </c>
      <c r="K2897" t="s">
        <v>27</v>
      </c>
      <c r="L2897" t="s">
        <v>28</v>
      </c>
      <c r="M2897" s="4">
        <v>13</v>
      </c>
      <c r="N2897" s="4">
        <v>7</v>
      </c>
      <c r="O2897" t="s">
        <v>29</v>
      </c>
      <c r="P2897" t="s">
        <v>36</v>
      </c>
      <c r="Q2897" s="4">
        <v>470387</v>
      </c>
      <c r="R2897" s="4">
        <v>363180</v>
      </c>
      <c r="S2897" s="4">
        <f>Table1[[#This Row],[Service_Revenue]]-Table1[[#This Row],[Service_Cost]]</f>
        <v>107207</v>
      </c>
      <c r="T2897" s="4">
        <v>2</v>
      </c>
      <c r="U2897" s="4">
        <f>IF(AND(Table1[[#This Row],[Rework_Flag]]="Yes",Table1[[#This Row],[Warranty_Claim]]="No"),Table1[[#This Row],[Service_Revenue]],0)</f>
        <v>470387</v>
      </c>
      <c r="V2897" s="4">
        <f>IF(Table1[[#This Row],[Warranty_Claim]]="Yes",1,0)</f>
        <v>0</v>
      </c>
      <c r="W2897" s="4">
        <f>IF(Table1[[#This Row],[Rework_Flag]]="No",1,0)</f>
        <v>0</v>
      </c>
      <c r="X2897" s="4">
        <f>IF(Table1[[#This Row],[Rework_Flag]]="Yes",1,0)</f>
        <v>1</v>
      </c>
      <c r="Y2897" s="4">
        <v>1</v>
      </c>
      <c r="Z2897" s="4" t="str">
        <f>IF(Table1[[#This Row],[TAT_Days]]&gt;Table1[[#This Row],[SLA_TAT]],"Yes","No")</f>
        <v>Yes</v>
      </c>
      <c r="AA2897" s="4" t="str" cm="1">
        <f t="array" ref="AA2897">_xlfn.IFS(Table1[[#This Row],[Customer_Satisfaction]]&lt;=2,"Poor",Table1[[#This Row],[Customer_Satisfaction]]=3,"Neutral",Table1[[#This Row],[Customer_Satisfaction]]=4,"Good",Table1[[#This Row],[Customer_Satisfaction]]=5,"Good")</f>
        <v>Poor</v>
      </c>
    </row>
    <row r="2898" spans="1:27" x14ac:dyDescent="0.35">
      <c r="A2898">
        <v>22896</v>
      </c>
      <c r="B2898" s="1">
        <v>45350</v>
      </c>
      <c r="C2898" t="s">
        <v>30</v>
      </c>
      <c r="D2898" t="s">
        <v>83</v>
      </c>
      <c r="E2898" t="s">
        <v>119</v>
      </c>
      <c r="F2898" t="s">
        <v>53</v>
      </c>
      <c r="G2898" t="s">
        <v>74</v>
      </c>
      <c r="H2898" t="s">
        <v>34</v>
      </c>
      <c r="I2898" t="s">
        <v>55</v>
      </c>
      <c r="J2898" t="s">
        <v>35</v>
      </c>
      <c r="K2898" t="s">
        <v>61</v>
      </c>
      <c r="L2898" t="s">
        <v>28</v>
      </c>
      <c r="M2898" s="4">
        <v>12</v>
      </c>
      <c r="N2898" s="4">
        <v>7</v>
      </c>
      <c r="O2898" t="s">
        <v>36</v>
      </c>
      <c r="P2898" t="s">
        <v>36</v>
      </c>
      <c r="Q2898" s="4">
        <v>491568</v>
      </c>
      <c r="R2898" s="4">
        <v>327185</v>
      </c>
      <c r="S2898" s="4">
        <f>Table1[[#This Row],[Service_Revenue]]-Table1[[#This Row],[Service_Cost]]</f>
        <v>164383</v>
      </c>
      <c r="T2898" s="4">
        <v>3</v>
      </c>
      <c r="U2898" s="4">
        <f>IF(AND(Table1[[#This Row],[Rework_Flag]]="Yes",Table1[[#This Row],[Warranty_Claim]]="No"),Table1[[#This Row],[Service_Revenue]],0)</f>
        <v>0</v>
      </c>
      <c r="V2898" s="4">
        <f>IF(Table1[[#This Row],[Warranty_Claim]]="Yes",1,0)</f>
        <v>0</v>
      </c>
      <c r="W2898" s="4">
        <f>IF(Table1[[#This Row],[Rework_Flag]]="No",1,0)</f>
        <v>1</v>
      </c>
      <c r="X2898" s="4">
        <f>IF(Table1[[#This Row],[Rework_Flag]]="Yes",1,0)</f>
        <v>0</v>
      </c>
      <c r="Y2898" s="4">
        <v>1</v>
      </c>
      <c r="Z2898" s="4" t="str">
        <f>IF(Table1[[#This Row],[TAT_Days]]&gt;Table1[[#This Row],[SLA_TAT]],"Yes","No")</f>
        <v>Yes</v>
      </c>
      <c r="AA2898" s="4" t="str" cm="1">
        <f t="array" ref="AA2898">_xlfn.IFS(Table1[[#This Row],[Customer_Satisfaction]]&lt;=2,"Poor",Table1[[#This Row],[Customer_Satisfaction]]=3,"Neutral",Table1[[#This Row],[Customer_Satisfaction]]=4,"Good",Table1[[#This Row],[Customer_Satisfaction]]=5,"Good")</f>
        <v>Neutral</v>
      </c>
    </row>
    <row r="2899" spans="1:27" x14ac:dyDescent="0.35">
      <c r="A2899">
        <v>22897</v>
      </c>
      <c r="B2899" s="1">
        <v>45321</v>
      </c>
      <c r="C2899" t="s">
        <v>30</v>
      </c>
      <c r="D2899" t="s">
        <v>83</v>
      </c>
      <c r="E2899" t="s">
        <v>95</v>
      </c>
      <c r="F2899" t="s">
        <v>53</v>
      </c>
      <c r="G2899" t="s">
        <v>54</v>
      </c>
      <c r="H2899" t="s">
        <v>42</v>
      </c>
      <c r="I2899" t="s">
        <v>55</v>
      </c>
      <c r="J2899" t="s">
        <v>67</v>
      </c>
      <c r="K2899" t="s">
        <v>44</v>
      </c>
      <c r="L2899" t="s">
        <v>49</v>
      </c>
      <c r="M2899" s="4">
        <v>24</v>
      </c>
      <c r="N2899" s="4">
        <v>7</v>
      </c>
      <c r="O2899" t="s">
        <v>36</v>
      </c>
      <c r="P2899" t="s">
        <v>36</v>
      </c>
      <c r="Q2899" s="4">
        <v>301963</v>
      </c>
      <c r="R2899" s="4">
        <v>159365</v>
      </c>
      <c r="S2899" s="4">
        <f>Table1[[#This Row],[Service_Revenue]]-Table1[[#This Row],[Service_Cost]]</f>
        <v>142598</v>
      </c>
      <c r="T2899" s="4">
        <v>1</v>
      </c>
      <c r="U2899" s="4">
        <f>IF(AND(Table1[[#This Row],[Rework_Flag]]="Yes",Table1[[#This Row],[Warranty_Claim]]="No"),Table1[[#This Row],[Service_Revenue]],0)</f>
        <v>0</v>
      </c>
      <c r="V2899" s="4">
        <f>IF(Table1[[#This Row],[Warranty_Claim]]="Yes",1,0)</f>
        <v>0</v>
      </c>
      <c r="W2899" s="4">
        <f>IF(Table1[[#This Row],[Rework_Flag]]="No",1,0)</f>
        <v>1</v>
      </c>
      <c r="X2899" s="4">
        <f>IF(Table1[[#This Row],[Rework_Flag]]="Yes",1,0)</f>
        <v>0</v>
      </c>
      <c r="Y2899" s="4">
        <v>1</v>
      </c>
      <c r="Z2899" s="4" t="str">
        <f>IF(Table1[[#This Row],[TAT_Days]]&gt;Table1[[#This Row],[SLA_TAT]],"Yes","No")</f>
        <v>Yes</v>
      </c>
      <c r="AA2899" s="4" t="str" cm="1">
        <f t="array" ref="AA2899">_xlfn.IFS(Table1[[#This Row],[Customer_Satisfaction]]&lt;=2,"Poor",Table1[[#This Row],[Customer_Satisfaction]]=3,"Neutral",Table1[[#This Row],[Customer_Satisfaction]]=4,"Good",Table1[[#This Row],[Customer_Satisfaction]]=5,"Good")</f>
        <v>Poor</v>
      </c>
    </row>
    <row r="2900" spans="1:27" x14ac:dyDescent="0.35">
      <c r="A2900">
        <v>22898</v>
      </c>
      <c r="B2900" s="1">
        <v>45454</v>
      </c>
      <c r="C2900" t="s">
        <v>37</v>
      </c>
      <c r="D2900" t="s">
        <v>64</v>
      </c>
      <c r="E2900" t="s">
        <v>87</v>
      </c>
      <c r="F2900" t="s">
        <v>53</v>
      </c>
      <c r="G2900" t="s">
        <v>33</v>
      </c>
      <c r="H2900" t="s">
        <v>34</v>
      </c>
      <c r="I2900" t="s">
        <v>55</v>
      </c>
      <c r="J2900" t="s">
        <v>26</v>
      </c>
      <c r="K2900" t="s">
        <v>27</v>
      </c>
      <c r="L2900" t="s">
        <v>49</v>
      </c>
      <c r="M2900" s="4">
        <v>16</v>
      </c>
      <c r="N2900" s="4">
        <v>7</v>
      </c>
      <c r="O2900" t="s">
        <v>29</v>
      </c>
      <c r="P2900" t="s">
        <v>36</v>
      </c>
      <c r="Q2900" s="4">
        <v>105751</v>
      </c>
      <c r="R2900" s="4">
        <v>61543</v>
      </c>
      <c r="S2900" s="4">
        <f>Table1[[#This Row],[Service_Revenue]]-Table1[[#This Row],[Service_Cost]]</f>
        <v>44208</v>
      </c>
      <c r="T2900" s="4">
        <v>1</v>
      </c>
      <c r="U2900" s="4">
        <f>IF(AND(Table1[[#This Row],[Rework_Flag]]="Yes",Table1[[#This Row],[Warranty_Claim]]="No"),Table1[[#This Row],[Service_Revenue]],0)</f>
        <v>105751</v>
      </c>
      <c r="V2900" s="4">
        <f>IF(Table1[[#This Row],[Warranty_Claim]]="Yes",1,0)</f>
        <v>0</v>
      </c>
      <c r="W2900" s="4">
        <f>IF(Table1[[#This Row],[Rework_Flag]]="No",1,0)</f>
        <v>0</v>
      </c>
      <c r="X2900" s="4">
        <f>IF(Table1[[#This Row],[Rework_Flag]]="Yes",1,0)</f>
        <v>1</v>
      </c>
      <c r="Y2900" s="4">
        <v>1</v>
      </c>
      <c r="Z2900" s="4" t="str">
        <f>IF(Table1[[#This Row],[TAT_Days]]&gt;Table1[[#This Row],[SLA_TAT]],"Yes","No")</f>
        <v>Yes</v>
      </c>
      <c r="AA2900" s="4" t="str" cm="1">
        <f t="array" ref="AA2900">_xlfn.IFS(Table1[[#This Row],[Customer_Satisfaction]]&lt;=2,"Poor",Table1[[#This Row],[Customer_Satisfaction]]=3,"Neutral",Table1[[#This Row],[Customer_Satisfaction]]=4,"Good",Table1[[#This Row],[Customer_Satisfaction]]=5,"Good")</f>
        <v>Poor</v>
      </c>
    </row>
    <row r="2901" spans="1:27" x14ac:dyDescent="0.35">
      <c r="A2901">
        <v>22899</v>
      </c>
      <c r="B2901" s="1">
        <v>45302</v>
      </c>
      <c r="C2901" t="s">
        <v>37</v>
      </c>
      <c r="D2901" t="s">
        <v>64</v>
      </c>
      <c r="E2901" t="s">
        <v>87</v>
      </c>
      <c r="F2901" t="s">
        <v>53</v>
      </c>
      <c r="G2901" t="s">
        <v>54</v>
      </c>
      <c r="H2901" t="s">
        <v>42</v>
      </c>
      <c r="I2901" t="s">
        <v>25</v>
      </c>
      <c r="J2901" t="s">
        <v>58</v>
      </c>
      <c r="K2901" t="s">
        <v>44</v>
      </c>
      <c r="L2901" t="s">
        <v>28</v>
      </c>
      <c r="M2901" s="4">
        <v>23</v>
      </c>
      <c r="N2901" s="4">
        <v>7</v>
      </c>
      <c r="O2901" t="s">
        <v>29</v>
      </c>
      <c r="P2901" t="s">
        <v>36</v>
      </c>
      <c r="Q2901" s="4">
        <v>134229</v>
      </c>
      <c r="R2901" s="4">
        <v>87165</v>
      </c>
      <c r="S2901" s="4">
        <f>Table1[[#This Row],[Service_Revenue]]-Table1[[#This Row],[Service_Cost]]</f>
        <v>47064</v>
      </c>
      <c r="T2901" s="4">
        <v>1</v>
      </c>
      <c r="U2901" s="4">
        <f>IF(AND(Table1[[#This Row],[Rework_Flag]]="Yes",Table1[[#This Row],[Warranty_Claim]]="No"),Table1[[#This Row],[Service_Revenue]],0)</f>
        <v>134229</v>
      </c>
      <c r="V2901" s="4">
        <f>IF(Table1[[#This Row],[Warranty_Claim]]="Yes",1,0)</f>
        <v>0</v>
      </c>
      <c r="W2901" s="4">
        <f>IF(Table1[[#This Row],[Rework_Flag]]="No",1,0)</f>
        <v>0</v>
      </c>
      <c r="X2901" s="4">
        <f>IF(Table1[[#This Row],[Rework_Flag]]="Yes",1,0)</f>
        <v>1</v>
      </c>
      <c r="Y2901" s="4">
        <v>1</v>
      </c>
      <c r="Z2901" s="4" t="str">
        <f>IF(Table1[[#This Row],[TAT_Days]]&gt;Table1[[#This Row],[SLA_TAT]],"Yes","No")</f>
        <v>Yes</v>
      </c>
      <c r="AA2901" s="4" t="str" cm="1">
        <f t="array" ref="AA2901">_xlfn.IFS(Table1[[#This Row],[Customer_Satisfaction]]&lt;=2,"Poor",Table1[[#This Row],[Customer_Satisfaction]]=3,"Neutral",Table1[[#This Row],[Customer_Satisfaction]]=4,"Good",Table1[[#This Row],[Customer_Satisfaction]]=5,"Good")</f>
        <v>Poor</v>
      </c>
    </row>
    <row r="2902" spans="1:27" x14ac:dyDescent="0.35">
      <c r="A2902">
        <v>22900</v>
      </c>
      <c r="B2902" s="1">
        <v>45459</v>
      </c>
      <c r="C2902" t="s">
        <v>50</v>
      </c>
      <c r="D2902" t="s">
        <v>80</v>
      </c>
      <c r="E2902" t="s">
        <v>104</v>
      </c>
      <c r="F2902" t="s">
        <v>22</v>
      </c>
      <c r="G2902" t="s">
        <v>47</v>
      </c>
      <c r="H2902" t="s">
        <v>48</v>
      </c>
      <c r="I2902" t="s">
        <v>55</v>
      </c>
      <c r="J2902" t="s">
        <v>67</v>
      </c>
      <c r="K2902" t="s">
        <v>61</v>
      </c>
      <c r="L2902" t="s">
        <v>28</v>
      </c>
      <c r="M2902" s="4">
        <v>25</v>
      </c>
      <c r="N2902" s="4">
        <v>7</v>
      </c>
      <c r="O2902" t="s">
        <v>36</v>
      </c>
      <c r="P2902" t="s">
        <v>29</v>
      </c>
      <c r="Q2902" s="4">
        <v>561591</v>
      </c>
      <c r="R2902" s="4">
        <v>306516</v>
      </c>
      <c r="S2902" s="4">
        <f>Table1[[#This Row],[Service_Revenue]]-Table1[[#This Row],[Service_Cost]]</f>
        <v>255075</v>
      </c>
      <c r="T2902" s="4">
        <v>1</v>
      </c>
      <c r="U2902" s="4">
        <f>IF(AND(Table1[[#This Row],[Rework_Flag]]="Yes",Table1[[#This Row],[Warranty_Claim]]="No"),Table1[[#This Row],[Service_Revenue]],0)</f>
        <v>0</v>
      </c>
      <c r="V2902" s="4">
        <f>IF(Table1[[#This Row],[Warranty_Claim]]="Yes",1,0)</f>
        <v>1</v>
      </c>
      <c r="W2902" s="4">
        <f>IF(Table1[[#This Row],[Rework_Flag]]="No",1,0)</f>
        <v>1</v>
      </c>
      <c r="X2902" s="4">
        <f>IF(Table1[[#This Row],[Rework_Flag]]="Yes",1,0)</f>
        <v>0</v>
      </c>
      <c r="Y2902" s="4">
        <v>1</v>
      </c>
      <c r="Z2902" s="4" t="str">
        <f>IF(Table1[[#This Row],[TAT_Days]]&gt;Table1[[#This Row],[SLA_TAT]],"Yes","No")</f>
        <v>Yes</v>
      </c>
      <c r="AA2902" s="4" t="str" cm="1">
        <f t="array" ref="AA2902">_xlfn.IFS(Table1[[#This Row],[Customer_Satisfaction]]&lt;=2,"Poor",Table1[[#This Row],[Customer_Satisfaction]]=3,"Neutral",Table1[[#This Row],[Customer_Satisfaction]]=4,"Good",Table1[[#This Row],[Customer_Satisfaction]]=5,"Good")</f>
        <v>Poor</v>
      </c>
    </row>
    <row r="2903" spans="1:27" x14ac:dyDescent="0.35">
      <c r="A2903">
        <v>22901</v>
      </c>
      <c r="B2903" s="1">
        <v>45426</v>
      </c>
      <c r="C2903" t="s">
        <v>30</v>
      </c>
      <c r="D2903" t="s">
        <v>31</v>
      </c>
      <c r="E2903" t="s">
        <v>79</v>
      </c>
      <c r="F2903" t="s">
        <v>40</v>
      </c>
      <c r="G2903" t="s">
        <v>63</v>
      </c>
      <c r="H2903" t="s">
        <v>24</v>
      </c>
      <c r="I2903" t="s">
        <v>25</v>
      </c>
      <c r="J2903" t="s">
        <v>43</v>
      </c>
      <c r="K2903" t="s">
        <v>61</v>
      </c>
      <c r="L2903" t="s">
        <v>28</v>
      </c>
      <c r="M2903" s="4">
        <v>13</v>
      </c>
      <c r="N2903" s="4">
        <v>7</v>
      </c>
      <c r="O2903" t="s">
        <v>36</v>
      </c>
      <c r="P2903" t="s">
        <v>29</v>
      </c>
      <c r="Q2903" s="4">
        <v>538106</v>
      </c>
      <c r="R2903" s="4">
        <v>421582</v>
      </c>
      <c r="S2903" s="4">
        <f>Table1[[#This Row],[Service_Revenue]]-Table1[[#This Row],[Service_Cost]]</f>
        <v>116524</v>
      </c>
      <c r="T2903" s="4">
        <v>3</v>
      </c>
      <c r="U2903" s="4">
        <f>IF(AND(Table1[[#This Row],[Rework_Flag]]="Yes",Table1[[#This Row],[Warranty_Claim]]="No"),Table1[[#This Row],[Service_Revenue]],0)</f>
        <v>0</v>
      </c>
      <c r="V2903" s="4">
        <f>IF(Table1[[#This Row],[Warranty_Claim]]="Yes",1,0)</f>
        <v>1</v>
      </c>
      <c r="W2903" s="4">
        <f>IF(Table1[[#This Row],[Rework_Flag]]="No",1,0)</f>
        <v>1</v>
      </c>
      <c r="X2903" s="4">
        <f>IF(Table1[[#This Row],[Rework_Flag]]="Yes",1,0)</f>
        <v>0</v>
      </c>
      <c r="Y2903" s="4">
        <v>1</v>
      </c>
      <c r="Z2903" s="4" t="str">
        <f>IF(Table1[[#This Row],[TAT_Days]]&gt;Table1[[#This Row],[SLA_TAT]],"Yes","No")</f>
        <v>Yes</v>
      </c>
      <c r="AA2903" s="4" t="str" cm="1">
        <f t="array" ref="AA2903">_xlfn.IFS(Table1[[#This Row],[Customer_Satisfaction]]&lt;=2,"Poor",Table1[[#This Row],[Customer_Satisfaction]]=3,"Neutral",Table1[[#This Row],[Customer_Satisfaction]]=4,"Good",Table1[[#This Row],[Customer_Satisfaction]]=5,"Good")</f>
        <v>Neutral</v>
      </c>
    </row>
    <row r="2904" spans="1:27" x14ac:dyDescent="0.35">
      <c r="A2904">
        <v>22902</v>
      </c>
      <c r="B2904" s="1">
        <v>45472</v>
      </c>
      <c r="C2904" t="s">
        <v>50</v>
      </c>
      <c r="D2904" t="s">
        <v>56</v>
      </c>
      <c r="E2904" t="s">
        <v>77</v>
      </c>
      <c r="F2904" t="s">
        <v>22</v>
      </c>
      <c r="G2904" t="s">
        <v>23</v>
      </c>
      <c r="H2904" t="s">
        <v>24</v>
      </c>
      <c r="I2904" t="s">
        <v>25</v>
      </c>
      <c r="J2904" t="s">
        <v>67</v>
      </c>
      <c r="K2904" t="s">
        <v>27</v>
      </c>
      <c r="L2904" t="s">
        <v>49</v>
      </c>
      <c r="M2904" s="4">
        <v>16</v>
      </c>
      <c r="N2904" s="4">
        <v>7</v>
      </c>
      <c r="O2904" t="s">
        <v>29</v>
      </c>
      <c r="P2904" t="s">
        <v>29</v>
      </c>
      <c r="Q2904" s="4">
        <v>217281</v>
      </c>
      <c r="R2904" s="4">
        <v>113126</v>
      </c>
      <c r="S2904" s="4">
        <f>Table1[[#This Row],[Service_Revenue]]-Table1[[#This Row],[Service_Cost]]</f>
        <v>104155</v>
      </c>
      <c r="T2904" s="4">
        <v>1</v>
      </c>
      <c r="U2904" s="4">
        <f>IF(AND(Table1[[#This Row],[Rework_Flag]]="Yes",Table1[[#This Row],[Warranty_Claim]]="No"),Table1[[#This Row],[Service_Revenue]],0)</f>
        <v>0</v>
      </c>
      <c r="V2904" s="4">
        <f>IF(Table1[[#This Row],[Warranty_Claim]]="Yes",1,0)</f>
        <v>1</v>
      </c>
      <c r="W2904" s="4">
        <f>IF(Table1[[#This Row],[Rework_Flag]]="No",1,0)</f>
        <v>0</v>
      </c>
      <c r="X2904" s="4">
        <f>IF(Table1[[#This Row],[Rework_Flag]]="Yes",1,0)</f>
        <v>1</v>
      </c>
      <c r="Y2904" s="4">
        <v>1</v>
      </c>
      <c r="Z2904" s="4" t="str">
        <f>IF(Table1[[#This Row],[TAT_Days]]&gt;Table1[[#This Row],[SLA_TAT]],"Yes","No")</f>
        <v>Yes</v>
      </c>
      <c r="AA2904" s="4" t="str" cm="1">
        <f t="array" ref="AA2904">_xlfn.IFS(Table1[[#This Row],[Customer_Satisfaction]]&lt;=2,"Poor",Table1[[#This Row],[Customer_Satisfaction]]=3,"Neutral",Table1[[#This Row],[Customer_Satisfaction]]=4,"Good",Table1[[#This Row],[Customer_Satisfaction]]=5,"Good")</f>
        <v>Poor</v>
      </c>
    </row>
    <row r="2905" spans="1:27" x14ac:dyDescent="0.35">
      <c r="A2905">
        <v>22903</v>
      </c>
      <c r="B2905" s="1">
        <v>45294</v>
      </c>
      <c r="C2905" t="s">
        <v>37</v>
      </c>
      <c r="D2905" t="s">
        <v>38</v>
      </c>
      <c r="E2905" t="s">
        <v>112</v>
      </c>
      <c r="F2905" t="s">
        <v>40</v>
      </c>
      <c r="G2905" t="s">
        <v>54</v>
      </c>
      <c r="H2905" t="s">
        <v>42</v>
      </c>
      <c r="I2905" t="s">
        <v>55</v>
      </c>
      <c r="J2905" t="s">
        <v>35</v>
      </c>
      <c r="K2905" t="s">
        <v>61</v>
      </c>
      <c r="L2905" t="s">
        <v>28</v>
      </c>
      <c r="M2905" s="4">
        <v>24</v>
      </c>
      <c r="N2905" s="4">
        <v>7</v>
      </c>
      <c r="O2905" t="s">
        <v>36</v>
      </c>
      <c r="P2905" t="s">
        <v>36</v>
      </c>
      <c r="Q2905" s="4">
        <v>481308</v>
      </c>
      <c r="R2905" s="4">
        <v>297977</v>
      </c>
      <c r="S2905" s="4">
        <f>Table1[[#This Row],[Service_Revenue]]-Table1[[#This Row],[Service_Cost]]</f>
        <v>183331</v>
      </c>
      <c r="T2905" s="4">
        <v>1</v>
      </c>
      <c r="U2905" s="4">
        <f>IF(AND(Table1[[#This Row],[Rework_Flag]]="Yes",Table1[[#This Row],[Warranty_Claim]]="No"),Table1[[#This Row],[Service_Revenue]],0)</f>
        <v>0</v>
      </c>
      <c r="V2905" s="4">
        <f>IF(Table1[[#This Row],[Warranty_Claim]]="Yes",1,0)</f>
        <v>0</v>
      </c>
      <c r="W2905" s="4">
        <f>IF(Table1[[#This Row],[Rework_Flag]]="No",1,0)</f>
        <v>1</v>
      </c>
      <c r="X2905" s="4">
        <f>IF(Table1[[#This Row],[Rework_Flag]]="Yes",1,0)</f>
        <v>0</v>
      </c>
      <c r="Y2905" s="4">
        <v>1</v>
      </c>
      <c r="Z2905" s="4" t="str">
        <f>IF(Table1[[#This Row],[TAT_Days]]&gt;Table1[[#This Row],[SLA_TAT]],"Yes","No")</f>
        <v>Yes</v>
      </c>
      <c r="AA2905" s="4" t="str" cm="1">
        <f t="array" ref="AA2905">_xlfn.IFS(Table1[[#This Row],[Customer_Satisfaction]]&lt;=2,"Poor",Table1[[#This Row],[Customer_Satisfaction]]=3,"Neutral",Table1[[#This Row],[Customer_Satisfaction]]=4,"Good",Table1[[#This Row],[Customer_Satisfaction]]=5,"Good")</f>
        <v>Poor</v>
      </c>
    </row>
    <row r="2906" spans="1:27" x14ac:dyDescent="0.35">
      <c r="A2906">
        <v>22904</v>
      </c>
      <c r="B2906" s="1">
        <v>45377</v>
      </c>
      <c r="C2906" t="s">
        <v>19</v>
      </c>
      <c r="D2906" t="s">
        <v>96</v>
      </c>
      <c r="E2906" t="s">
        <v>105</v>
      </c>
      <c r="F2906" t="s">
        <v>40</v>
      </c>
      <c r="G2906" t="s">
        <v>33</v>
      </c>
      <c r="H2906" t="s">
        <v>34</v>
      </c>
      <c r="I2906" t="s">
        <v>55</v>
      </c>
      <c r="J2906" t="s">
        <v>35</v>
      </c>
      <c r="K2906" t="s">
        <v>61</v>
      </c>
      <c r="L2906" t="s">
        <v>49</v>
      </c>
      <c r="M2906" s="4">
        <v>15</v>
      </c>
      <c r="N2906" s="4">
        <v>7</v>
      </c>
      <c r="O2906" t="s">
        <v>36</v>
      </c>
      <c r="P2906" t="s">
        <v>36</v>
      </c>
      <c r="Q2906" s="4">
        <v>339378</v>
      </c>
      <c r="R2906" s="4">
        <v>208393</v>
      </c>
      <c r="S2906" s="4">
        <f>Table1[[#This Row],[Service_Revenue]]-Table1[[#This Row],[Service_Cost]]</f>
        <v>130985</v>
      </c>
      <c r="T2906" s="4">
        <v>2</v>
      </c>
      <c r="U2906" s="4">
        <f>IF(AND(Table1[[#This Row],[Rework_Flag]]="Yes",Table1[[#This Row],[Warranty_Claim]]="No"),Table1[[#This Row],[Service_Revenue]],0)</f>
        <v>0</v>
      </c>
      <c r="V2906" s="4">
        <f>IF(Table1[[#This Row],[Warranty_Claim]]="Yes",1,0)</f>
        <v>0</v>
      </c>
      <c r="W2906" s="4">
        <f>IF(Table1[[#This Row],[Rework_Flag]]="No",1,0)</f>
        <v>1</v>
      </c>
      <c r="X2906" s="4">
        <f>IF(Table1[[#This Row],[Rework_Flag]]="Yes",1,0)</f>
        <v>0</v>
      </c>
      <c r="Y2906" s="4">
        <v>1</v>
      </c>
      <c r="Z2906" s="4" t="str">
        <f>IF(Table1[[#This Row],[TAT_Days]]&gt;Table1[[#This Row],[SLA_TAT]],"Yes","No")</f>
        <v>Yes</v>
      </c>
      <c r="AA2906" s="4" t="str" cm="1">
        <f t="array" ref="AA2906">_xlfn.IFS(Table1[[#This Row],[Customer_Satisfaction]]&lt;=2,"Poor",Table1[[#This Row],[Customer_Satisfaction]]=3,"Neutral",Table1[[#This Row],[Customer_Satisfaction]]=4,"Good",Table1[[#This Row],[Customer_Satisfaction]]=5,"Good")</f>
        <v>Poor</v>
      </c>
    </row>
    <row r="2907" spans="1:27" x14ac:dyDescent="0.35">
      <c r="A2907">
        <v>22905</v>
      </c>
      <c r="B2907" s="1">
        <v>45331</v>
      </c>
      <c r="C2907" t="s">
        <v>50</v>
      </c>
      <c r="D2907" t="s">
        <v>56</v>
      </c>
      <c r="E2907" t="s">
        <v>57</v>
      </c>
      <c r="F2907" t="s">
        <v>40</v>
      </c>
      <c r="G2907" t="s">
        <v>47</v>
      </c>
      <c r="H2907" t="s">
        <v>48</v>
      </c>
      <c r="I2907" t="s">
        <v>55</v>
      </c>
      <c r="J2907" t="s">
        <v>43</v>
      </c>
      <c r="K2907" t="s">
        <v>61</v>
      </c>
      <c r="L2907" t="s">
        <v>28</v>
      </c>
      <c r="M2907" s="4">
        <v>3</v>
      </c>
      <c r="N2907" s="4">
        <v>7</v>
      </c>
      <c r="O2907" t="s">
        <v>29</v>
      </c>
      <c r="P2907" t="s">
        <v>36</v>
      </c>
      <c r="Q2907" s="4">
        <v>474569</v>
      </c>
      <c r="R2907" s="4">
        <v>245084</v>
      </c>
      <c r="S2907" s="4">
        <f>Table1[[#This Row],[Service_Revenue]]-Table1[[#This Row],[Service_Cost]]</f>
        <v>229485</v>
      </c>
      <c r="T2907" s="4">
        <v>4</v>
      </c>
      <c r="U2907" s="4">
        <f>IF(AND(Table1[[#This Row],[Rework_Flag]]="Yes",Table1[[#This Row],[Warranty_Claim]]="No"),Table1[[#This Row],[Service_Revenue]],0)</f>
        <v>474569</v>
      </c>
      <c r="V2907" s="4">
        <f>IF(Table1[[#This Row],[Warranty_Claim]]="Yes",1,0)</f>
        <v>0</v>
      </c>
      <c r="W2907" s="4">
        <f>IF(Table1[[#This Row],[Rework_Flag]]="No",1,0)</f>
        <v>0</v>
      </c>
      <c r="X2907" s="4">
        <f>IF(Table1[[#This Row],[Rework_Flag]]="Yes",1,0)</f>
        <v>1</v>
      </c>
      <c r="Y2907" s="4">
        <v>1</v>
      </c>
      <c r="Z2907" s="4" t="str">
        <f>IF(Table1[[#This Row],[TAT_Days]]&gt;Table1[[#This Row],[SLA_TAT]],"Yes","No")</f>
        <v>No</v>
      </c>
      <c r="AA2907" s="4" t="str" cm="1">
        <f t="array" ref="AA2907">_xlfn.IFS(Table1[[#This Row],[Customer_Satisfaction]]&lt;=2,"Poor",Table1[[#This Row],[Customer_Satisfaction]]=3,"Neutral",Table1[[#This Row],[Customer_Satisfaction]]=4,"Good",Table1[[#This Row],[Customer_Satisfaction]]=5,"Good")</f>
        <v>Good</v>
      </c>
    </row>
    <row r="2908" spans="1:27" x14ac:dyDescent="0.35">
      <c r="A2908">
        <v>22906</v>
      </c>
      <c r="B2908" s="1">
        <v>45373</v>
      </c>
      <c r="C2908" t="s">
        <v>30</v>
      </c>
      <c r="D2908" t="s">
        <v>83</v>
      </c>
      <c r="E2908" t="s">
        <v>92</v>
      </c>
      <c r="F2908" t="s">
        <v>40</v>
      </c>
      <c r="G2908" t="s">
        <v>23</v>
      </c>
      <c r="H2908" t="s">
        <v>24</v>
      </c>
      <c r="I2908" t="s">
        <v>55</v>
      </c>
      <c r="J2908" t="s">
        <v>26</v>
      </c>
      <c r="K2908" t="s">
        <v>27</v>
      </c>
      <c r="L2908" t="s">
        <v>49</v>
      </c>
      <c r="M2908" s="4">
        <v>11</v>
      </c>
      <c r="N2908" s="4">
        <v>7</v>
      </c>
      <c r="O2908" t="s">
        <v>29</v>
      </c>
      <c r="P2908" t="s">
        <v>29</v>
      </c>
      <c r="Q2908" s="4">
        <v>348921</v>
      </c>
      <c r="R2908" s="4">
        <v>215692</v>
      </c>
      <c r="S2908" s="4">
        <f>Table1[[#This Row],[Service_Revenue]]-Table1[[#This Row],[Service_Cost]]</f>
        <v>133229</v>
      </c>
      <c r="T2908" s="4">
        <v>2</v>
      </c>
      <c r="U2908" s="4">
        <f>IF(AND(Table1[[#This Row],[Rework_Flag]]="Yes",Table1[[#This Row],[Warranty_Claim]]="No"),Table1[[#This Row],[Service_Revenue]],0)</f>
        <v>0</v>
      </c>
      <c r="V2908" s="4">
        <f>IF(Table1[[#This Row],[Warranty_Claim]]="Yes",1,0)</f>
        <v>1</v>
      </c>
      <c r="W2908" s="4">
        <f>IF(Table1[[#This Row],[Rework_Flag]]="No",1,0)</f>
        <v>0</v>
      </c>
      <c r="X2908" s="4">
        <f>IF(Table1[[#This Row],[Rework_Flag]]="Yes",1,0)</f>
        <v>1</v>
      </c>
      <c r="Y2908" s="4">
        <v>1</v>
      </c>
      <c r="Z2908" s="4" t="str">
        <f>IF(Table1[[#This Row],[TAT_Days]]&gt;Table1[[#This Row],[SLA_TAT]],"Yes","No")</f>
        <v>Yes</v>
      </c>
      <c r="AA2908" s="4" t="str" cm="1">
        <f t="array" ref="AA2908">_xlfn.IFS(Table1[[#This Row],[Customer_Satisfaction]]&lt;=2,"Poor",Table1[[#This Row],[Customer_Satisfaction]]=3,"Neutral",Table1[[#This Row],[Customer_Satisfaction]]=4,"Good",Table1[[#This Row],[Customer_Satisfaction]]=5,"Good")</f>
        <v>Poor</v>
      </c>
    </row>
    <row r="2909" spans="1:27" x14ac:dyDescent="0.35">
      <c r="A2909">
        <v>22907</v>
      </c>
      <c r="B2909" s="1">
        <v>45351</v>
      </c>
      <c r="C2909" t="s">
        <v>19</v>
      </c>
      <c r="D2909" t="s">
        <v>20</v>
      </c>
      <c r="E2909" t="s">
        <v>21</v>
      </c>
      <c r="F2909" t="s">
        <v>40</v>
      </c>
      <c r="G2909" t="s">
        <v>54</v>
      </c>
      <c r="H2909" t="s">
        <v>42</v>
      </c>
      <c r="I2909" t="s">
        <v>25</v>
      </c>
      <c r="J2909" t="s">
        <v>67</v>
      </c>
      <c r="K2909" t="s">
        <v>27</v>
      </c>
      <c r="L2909" t="s">
        <v>28</v>
      </c>
      <c r="M2909" s="4">
        <v>25</v>
      </c>
      <c r="N2909" s="4">
        <v>7</v>
      </c>
      <c r="O2909" t="s">
        <v>29</v>
      </c>
      <c r="P2909" t="s">
        <v>29</v>
      </c>
      <c r="Q2909" s="4">
        <v>112710</v>
      </c>
      <c r="R2909" s="4">
        <v>72923</v>
      </c>
      <c r="S2909" s="4">
        <f>Table1[[#This Row],[Service_Revenue]]-Table1[[#This Row],[Service_Cost]]</f>
        <v>39787</v>
      </c>
      <c r="T2909" s="4">
        <v>1</v>
      </c>
      <c r="U2909" s="4">
        <f>IF(AND(Table1[[#This Row],[Rework_Flag]]="Yes",Table1[[#This Row],[Warranty_Claim]]="No"),Table1[[#This Row],[Service_Revenue]],0)</f>
        <v>0</v>
      </c>
      <c r="V2909" s="4">
        <f>IF(Table1[[#This Row],[Warranty_Claim]]="Yes",1,0)</f>
        <v>1</v>
      </c>
      <c r="W2909" s="4">
        <f>IF(Table1[[#This Row],[Rework_Flag]]="No",1,0)</f>
        <v>0</v>
      </c>
      <c r="X2909" s="4">
        <f>IF(Table1[[#This Row],[Rework_Flag]]="Yes",1,0)</f>
        <v>1</v>
      </c>
      <c r="Y2909" s="4">
        <v>1</v>
      </c>
      <c r="Z2909" s="4" t="str">
        <f>IF(Table1[[#This Row],[TAT_Days]]&gt;Table1[[#This Row],[SLA_TAT]],"Yes","No")</f>
        <v>Yes</v>
      </c>
      <c r="AA2909" s="4" t="str" cm="1">
        <f t="array" ref="AA2909">_xlfn.IFS(Table1[[#This Row],[Customer_Satisfaction]]&lt;=2,"Poor",Table1[[#This Row],[Customer_Satisfaction]]=3,"Neutral",Table1[[#This Row],[Customer_Satisfaction]]=4,"Good",Table1[[#This Row],[Customer_Satisfaction]]=5,"Good")</f>
        <v>Poor</v>
      </c>
    </row>
    <row r="2910" spans="1:27" x14ac:dyDescent="0.35">
      <c r="A2910">
        <v>22908</v>
      </c>
      <c r="B2910" s="1">
        <v>45322</v>
      </c>
      <c r="C2910" t="s">
        <v>19</v>
      </c>
      <c r="D2910" t="s">
        <v>96</v>
      </c>
      <c r="E2910" t="s">
        <v>105</v>
      </c>
      <c r="F2910" t="s">
        <v>53</v>
      </c>
      <c r="G2910" t="s">
        <v>63</v>
      </c>
      <c r="H2910" t="s">
        <v>24</v>
      </c>
      <c r="I2910" t="s">
        <v>25</v>
      </c>
      <c r="J2910" t="s">
        <v>58</v>
      </c>
      <c r="K2910" t="s">
        <v>44</v>
      </c>
      <c r="L2910" t="s">
        <v>28</v>
      </c>
      <c r="M2910" s="4">
        <v>3</v>
      </c>
      <c r="N2910" s="4">
        <v>7</v>
      </c>
      <c r="O2910" t="s">
        <v>36</v>
      </c>
      <c r="P2910" t="s">
        <v>29</v>
      </c>
      <c r="Q2910" s="4">
        <v>483542</v>
      </c>
      <c r="R2910" s="4">
        <v>298069</v>
      </c>
      <c r="S2910" s="4">
        <f>Table1[[#This Row],[Service_Revenue]]-Table1[[#This Row],[Service_Cost]]</f>
        <v>185473</v>
      </c>
      <c r="T2910" s="4">
        <v>5</v>
      </c>
      <c r="U2910" s="4">
        <f>IF(AND(Table1[[#This Row],[Rework_Flag]]="Yes",Table1[[#This Row],[Warranty_Claim]]="No"),Table1[[#This Row],[Service_Revenue]],0)</f>
        <v>0</v>
      </c>
      <c r="V2910" s="4">
        <f>IF(Table1[[#This Row],[Warranty_Claim]]="Yes",1,0)</f>
        <v>1</v>
      </c>
      <c r="W2910" s="4">
        <f>IF(Table1[[#This Row],[Rework_Flag]]="No",1,0)</f>
        <v>1</v>
      </c>
      <c r="X2910" s="4">
        <f>IF(Table1[[#This Row],[Rework_Flag]]="Yes",1,0)</f>
        <v>0</v>
      </c>
      <c r="Y2910" s="4">
        <v>1</v>
      </c>
      <c r="Z2910" s="4" t="str">
        <f>IF(Table1[[#This Row],[TAT_Days]]&gt;Table1[[#This Row],[SLA_TAT]],"Yes","No")</f>
        <v>No</v>
      </c>
      <c r="AA2910" s="4" t="str" cm="1">
        <f t="array" ref="AA2910">_xlfn.IFS(Table1[[#This Row],[Customer_Satisfaction]]&lt;=2,"Poor",Table1[[#This Row],[Customer_Satisfaction]]=3,"Neutral",Table1[[#This Row],[Customer_Satisfaction]]=4,"Good",Table1[[#This Row],[Customer_Satisfaction]]=5,"Good")</f>
        <v>Good</v>
      </c>
    </row>
    <row r="2911" spans="1:27" x14ac:dyDescent="0.35">
      <c r="A2911">
        <v>22909</v>
      </c>
      <c r="B2911" s="1">
        <v>45346</v>
      </c>
      <c r="C2911" t="s">
        <v>30</v>
      </c>
      <c r="D2911" t="s">
        <v>31</v>
      </c>
      <c r="E2911" t="s">
        <v>106</v>
      </c>
      <c r="F2911" t="s">
        <v>22</v>
      </c>
      <c r="G2911" t="s">
        <v>23</v>
      </c>
      <c r="H2911" t="s">
        <v>24</v>
      </c>
      <c r="I2911" t="s">
        <v>25</v>
      </c>
      <c r="J2911" t="s">
        <v>43</v>
      </c>
      <c r="K2911" t="s">
        <v>27</v>
      </c>
      <c r="L2911" t="s">
        <v>28</v>
      </c>
      <c r="M2911" s="4">
        <v>8</v>
      </c>
      <c r="N2911" s="4">
        <v>7</v>
      </c>
      <c r="O2911" t="s">
        <v>36</v>
      </c>
      <c r="P2911" t="s">
        <v>36</v>
      </c>
      <c r="Q2911" s="4">
        <v>273810</v>
      </c>
      <c r="R2911" s="4">
        <v>232427</v>
      </c>
      <c r="S2911" s="4">
        <f>Table1[[#This Row],[Service_Revenue]]-Table1[[#This Row],[Service_Cost]]</f>
        <v>41383</v>
      </c>
      <c r="T2911" s="4">
        <v>4</v>
      </c>
      <c r="U2911" s="4">
        <f>IF(AND(Table1[[#This Row],[Rework_Flag]]="Yes",Table1[[#This Row],[Warranty_Claim]]="No"),Table1[[#This Row],[Service_Revenue]],0)</f>
        <v>0</v>
      </c>
      <c r="V2911" s="4">
        <f>IF(Table1[[#This Row],[Warranty_Claim]]="Yes",1,0)</f>
        <v>0</v>
      </c>
      <c r="W2911" s="4">
        <f>IF(Table1[[#This Row],[Rework_Flag]]="No",1,0)</f>
        <v>1</v>
      </c>
      <c r="X2911" s="4">
        <f>IF(Table1[[#This Row],[Rework_Flag]]="Yes",1,0)</f>
        <v>0</v>
      </c>
      <c r="Y2911" s="4">
        <v>1</v>
      </c>
      <c r="Z2911" s="4" t="str">
        <f>IF(Table1[[#This Row],[TAT_Days]]&gt;Table1[[#This Row],[SLA_TAT]],"Yes","No")</f>
        <v>Yes</v>
      </c>
      <c r="AA2911" s="4" t="str" cm="1">
        <f t="array" ref="AA2911">_xlfn.IFS(Table1[[#This Row],[Customer_Satisfaction]]&lt;=2,"Poor",Table1[[#This Row],[Customer_Satisfaction]]=3,"Neutral",Table1[[#This Row],[Customer_Satisfaction]]=4,"Good",Table1[[#This Row],[Customer_Satisfaction]]=5,"Good")</f>
        <v>Good</v>
      </c>
    </row>
    <row r="2912" spans="1:27" x14ac:dyDescent="0.35">
      <c r="A2912">
        <v>22910</v>
      </c>
      <c r="B2912" s="1">
        <v>45436</v>
      </c>
      <c r="C2912" t="s">
        <v>19</v>
      </c>
      <c r="D2912" t="s">
        <v>45</v>
      </c>
      <c r="E2912" t="s">
        <v>99</v>
      </c>
      <c r="F2912" t="s">
        <v>53</v>
      </c>
      <c r="G2912" t="s">
        <v>54</v>
      </c>
      <c r="H2912" t="s">
        <v>42</v>
      </c>
      <c r="I2912" t="s">
        <v>55</v>
      </c>
      <c r="J2912" t="s">
        <v>43</v>
      </c>
      <c r="K2912" t="s">
        <v>61</v>
      </c>
      <c r="L2912" t="s">
        <v>49</v>
      </c>
      <c r="M2912" s="4">
        <v>25</v>
      </c>
      <c r="N2912" s="4">
        <v>7</v>
      </c>
      <c r="O2912" t="s">
        <v>29</v>
      </c>
      <c r="P2912" t="s">
        <v>36</v>
      </c>
      <c r="Q2912" s="4">
        <v>578202</v>
      </c>
      <c r="R2912" s="4">
        <v>487520</v>
      </c>
      <c r="S2912" s="4">
        <f>Table1[[#This Row],[Service_Revenue]]-Table1[[#This Row],[Service_Cost]]</f>
        <v>90682</v>
      </c>
      <c r="T2912" s="4">
        <v>1</v>
      </c>
      <c r="U2912" s="4">
        <f>IF(AND(Table1[[#This Row],[Rework_Flag]]="Yes",Table1[[#This Row],[Warranty_Claim]]="No"),Table1[[#This Row],[Service_Revenue]],0)</f>
        <v>578202</v>
      </c>
      <c r="V2912" s="4">
        <f>IF(Table1[[#This Row],[Warranty_Claim]]="Yes",1,0)</f>
        <v>0</v>
      </c>
      <c r="W2912" s="4">
        <f>IF(Table1[[#This Row],[Rework_Flag]]="No",1,0)</f>
        <v>0</v>
      </c>
      <c r="X2912" s="4">
        <f>IF(Table1[[#This Row],[Rework_Flag]]="Yes",1,0)</f>
        <v>1</v>
      </c>
      <c r="Y2912" s="4">
        <v>1</v>
      </c>
      <c r="Z2912" s="4" t="str">
        <f>IF(Table1[[#This Row],[TAT_Days]]&gt;Table1[[#This Row],[SLA_TAT]],"Yes","No")</f>
        <v>Yes</v>
      </c>
      <c r="AA2912" s="4" t="str" cm="1">
        <f t="array" ref="AA2912">_xlfn.IFS(Table1[[#This Row],[Customer_Satisfaction]]&lt;=2,"Poor",Table1[[#This Row],[Customer_Satisfaction]]=3,"Neutral",Table1[[#This Row],[Customer_Satisfaction]]=4,"Good",Table1[[#This Row],[Customer_Satisfaction]]=5,"Good")</f>
        <v>Poor</v>
      </c>
    </row>
    <row r="2913" spans="1:27" x14ac:dyDescent="0.35">
      <c r="A2913">
        <v>22911</v>
      </c>
      <c r="B2913" s="1">
        <v>45322</v>
      </c>
      <c r="C2913" t="s">
        <v>19</v>
      </c>
      <c r="D2913" t="s">
        <v>45</v>
      </c>
      <c r="E2913" t="s">
        <v>111</v>
      </c>
      <c r="F2913" t="s">
        <v>22</v>
      </c>
      <c r="G2913" t="s">
        <v>74</v>
      </c>
      <c r="H2913" t="s">
        <v>34</v>
      </c>
      <c r="I2913" t="s">
        <v>25</v>
      </c>
      <c r="J2913" t="s">
        <v>67</v>
      </c>
      <c r="K2913" t="s">
        <v>27</v>
      </c>
      <c r="L2913" t="s">
        <v>49</v>
      </c>
      <c r="M2913" s="4">
        <v>24</v>
      </c>
      <c r="N2913" s="4">
        <v>7</v>
      </c>
      <c r="O2913" t="s">
        <v>29</v>
      </c>
      <c r="P2913" t="s">
        <v>36</v>
      </c>
      <c r="Q2913" s="4">
        <v>209689</v>
      </c>
      <c r="R2913" s="4">
        <v>143533</v>
      </c>
      <c r="S2913" s="4">
        <f>Table1[[#This Row],[Service_Revenue]]-Table1[[#This Row],[Service_Cost]]</f>
        <v>66156</v>
      </c>
      <c r="T2913" s="4">
        <v>1</v>
      </c>
      <c r="U2913" s="4">
        <f>IF(AND(Table1[[#This Row],[Rework_Flag]]="Yes",Table1[[#This Row],[Warranty_Claim]]="No"),Table1[[#This Row],[Service_Revenue]],0)</f>
        <v>209689</v>
      </c>
      <c r="V2913" s="4">
        <f>IF(Table1[[#This Row],[Warranty_Claim]]="Yes",1,0)</f>
        <v>0</v>
      </c>
      <c r="W2913" s="4">
        <f>IF(Table1[[#This Row],[Rework_Flag]]="No",1,0)</f>
        <v>0</v>
      </c>
      <c r="X2913" s="4">
        <f>IF(Table1[[#This Row],[Rework_Flag]]="Yes",1,0)</f>
        <v>1</v>
      </c>
      <c r="Y2913" s="4">
        <v>1</v>
      </c>
      <c r="Z2913" s="4" t="str">
        <f>IF(Table1[[#This Row],[TAT_Days]]&gt;Table1[[#This Row],[SLA_TAT]],"Yes","No")</f>
        <v>Yes</v>
      </c>
      <c r="AA2913" s="4" t="str" cm="1">
        <f t="array" ref="AA2913">_xlfn.IFS(Table1[[#This Row],[Customer_Satisfaction]]&lt;=2,"Poor",Table1[[#This Row],[Customer_Satisfaction]]=3,"Neutral",Table1[[#This Row],[Customer_Satisfaction]]=4,"Good",Table1[[#This Row],[Customer_Satisfaction]]=5,"Good")</f>
        <v>Poor</v>
      </c>
    </row>
    <row r="2914" spans="1:27" x14ac:dyDescent="0.35">
      <c r="A2914">
        <v>22912</v>
      </c>
      <c r="B2914" s="1">
        <v>45418</v>
      </c>
      <c r="C2914" t="s">
        <v>50</v>
      </c>
      <c r="D2914" t="s">
        <v>51</v>
      </c>
      <c r="E2914" t="s">
        <v>73</v>
      </c>
      <c r="F2914" t="s">
        <v>40</v>
      </c>
      <c r="G2914" t="s">
        <v>74</v>
      </c>
      <c r="H2914" t="s">
        <v>34</v>
      </c>
      <c r="I2914" t="s">
        <v>55</v>
      </c>
      <c r="J2914" t="s">
        <v>26</v>
      </c>
      <c r="K2914" t="s">
        <v>44</v>
      </c>
      <c r="L2914" t="s">
        <v>49</v>
      </c>
      <c r="M2914" s="4">
        <v>3</v>
      </c>
      <c r="N2914" s="4">
        <v>7</v>
      </c>
      <c r="O2914" t="s">
        <v>29</v>
      </c>
      <c r="P2914" t="s">
        <v>36</v>
      </c>
      <c r="Q2914" s="4">
        <v>182372</v>
      </c>
      <c r="R2914" s="4">
        <v>133877</v>
      </c>
      <c r="S2914" s="4">
        <f>Table1[[#This Row],[Service_Revenue]]-Table1[[#This Row],[Service_Cost]]</f>
        <v>48495</v>
      </c>
      <c r="T2914" s="4">
        <v>4</v>
      </c>
      <c r="U2914" s="4">
        <f>IF(AND(Table1[[#This Row],[Rework_Flag]]="Yes",Table1[[#This Row],[Warranty_Claim]]="No"),Table1[[#This Row],[Service_Revenue]],0)</f>
        <v>182372</v>
      </c>
      <c r="V2914" s="4">
        <f>IF(Table1[[#This Row],[Warranty_Claim]]="Yes",1,0)</f>
        <v>0</v>
      </c>
      <c r="W2914" s="4">
        <f>IF(Table1[[#This Row],[Rework_Flag]]="No",1,0)</f>
        <v>0</v>
      </c>
      <c r="X2914" s="4">
        <f>IF(Table1[[#This Row],[Rework_Flag]]="Yes",1,0)</f>
        <v>1</v>
      </c>
      <c r="Y2914" s="4">
        <v>1</v>
      </c>
      <c r="Z2914" s="4" t="str">
        <f>IF(Table1[[#This Row],[TAT_Days]]&gt;Table1[[#This Row],[SLA_TAT]],"Yes","No")</f>
        <v>No</v>
      </c>
      <c r="AA2914" s="4" t="str" cm="1">
        <f t="array" ref="AA2914">_xlfn.IFS(Table1[[#This Row],[Customer_Satisfaction]]&lt;=2,"Poor",Table1[[#This Row],[Customer_Satisfaction]]=3,"Neutral",Table1[[#This Row],[Customer_Satisfaction]]=4,"Good",Table1[[#This Row],[Customer_Satisfaction]]=5,"Good")</f>
        <v>Good</v>
      </c>
    </row>
    <row r="2915" spans="1:27" x14ac:dyDescent="0.35">
      <c r="A2915">
        <v>22913</v>
      </c>
      <c r="B2915" s="1">
        <v>45310</v>
      </c>
      <c r="C2915" t="s">
        <v>30</v>
      </c>
      <c r="D2915" t="s">
        <v>59</v>
      </c>
      <c r="E2915" t="s">
        <v>78</v>
      </c>
      <c r="F2915" t="s">
        <v>22</v>
      </c>
      <c r="G2915" t="s">
        <v>54</v>
      </c>
      <c r="H2915" t="s">
        <v>42</v>
      </c>
      <c r="I2915" t="s">
        <v>25</v>
      </c>
      <c r="J2915" t="s">
        <v>67</v>
      </c>
      <c r="K2915" t="s">
        <v>27</v>
      </c>
      <c r="L2915" t="s">
        <v>28</v>
      </c>
      <c r="M2915" s="4">
        <v>4</v>
      </c>
      <c r="N2915" s="4">
        <v>7</v>
      </c>
      <c r="O2915" t="s">
        <v>29</v>
      </c>
      <c r="P2915" t="s">
        <v>29</v>
      </c>
      <c r="Q2915" s="4">
        <v>500954</v>
      </c>
      <c r="R2915" s="4">
        <v>318085</v>
      </c>
      <c r="S2915" s="4">
        <f>Table1[[#This Row],[Service_Revenue]]-Table1[[#This Row],[Service_Cost]]</f>
        <v>182869</v>
      </c>
      <c r="T2915" s="4">
        <v>4</v>
      </c>
      <c r="U2915" s="4">
        <f>IF(AND(Table1[[#This Row],[Rework_Flag]]="Yes",Table1[[#This Row],[Warranty_Claim]]="No"),Table1[[#This Row],[Service_Revenue]],0)</f>
        <v>0</v>
      </c>
      <c r="V2915" s="4">
        <f>IF(Table1[[#This Row],[Warranty_Claim]]="Yes",1,0)</f>
        <v>1</v>
      </c>
      <c r="W2915" s="4">
        <f>IF(Table1[[#This Row],[Rework_Flag]]="No",1,0)</f>
        <v>0</v>
      </c>
      <c r="X2915" s="4">
        <f>IF(Table1[[#This Row],[Rework_Flag]]="Yes",1,0)</f>
        <v>1</v>
      </c>
      <c r="Y2915" s="4">
        <v>1</v>
      </c>
      <c r="Z2915" s="4" t="str">
        <f>IF(Table1[[#This Row],[TAT_Days]]&gt;Table1[[#This Row],[SLA_TAT]],"Yes","No")</f>
        <v>No</v>
      </c>
      <c r="AA2915" s="4" t="str" cm="1">
        <f t="array" ref="AA2915">_xlfn.IFS(Table1[[#This Row],[Customer_Satisfaction]]&lt;=2,"Poor",Table1[[#This Row],[Customer_Satisfaction]]=3,"Neutral",Table1[[#This Row],[Customer_Satisfaction]]=4,"Good",Table1[[#This Row],[Customer_Satisfaction]]=5,"Good")</f>
        <v>Good</v>
      </c>
    </row>
    <row r="2916" spans="1:27" x14ac:dyDescent="0.35">
      <c r="A2916">
        <v>22914</v>
      </c>
      <c r="B2916" s="1">
        <v>45332</v>
      </c>
      <c r="C2916" t="s">
        <v>30</v>
      </c>
      <c r="D2916" t="s">
        <v>59</v>
      </c>
      <c r="E2916" t="s">
        <v>94</v>
      </c>
      <c r="F2916" t="s">
        <v>40</v>
      </c>
      <c r="G2916" t="s">
        <v>63</v>
      </c>
      <c r="H2916" t="s">
        <v>24</v>
      </c>
      <c r="I2916" t="s">
        <v>55</v>
      </c>
      <c r="J2916" t="s">
        <v>58</v>
      </c>
      <c r="K2916" t="s">
        <v>44</v>
      </c>
      <c r="L2916" t="s">
        <v>28</v>
      </c>
      <c r="M2916" s="4">
        <v>6</v>
      </c>
      <c r="N2916" s="4">
        <v>7</v>
      </c>
      <c r="O2916" t="s">
        <v>36</v>
      </c>
      <c r="P2916" t="s">
        <v>29</v>
      </c>
      <c r="Q2916" s="4">
        <v>416573</v>
      </c>
      <c r="R2916" s="4">
        <v>293923</v>
      </c>
      <c r="S2916" s="4">
        <f>Table1[[#This Row],[Service_Revenue]]-Table1[[#This Row],[Service_Cost]]</f>
        <v>122650</v>
      </c>
      <c r="T2916" s="4">
        <v>4</v>
      </c>
      <c r="U2916" s="4">
        <f>IF(AND(Table1[[#This Row],[Rework_Flag]]="Yes",Table1[[#This Row],[Warranty_Claim]]="No"),Table1[[#This Row],[Service_Revenue]],0)</f>
        <v>0</v>
      </c>
      <c r="V2916" s="4">
        <f>IF(Table1[[#This Row],[Warranty_Claim]]="Yes",1,0)</f>
        <v>1</v>
      </c>
      <c r="W2916" s="4">
        <f>IF(Table1[[#This Row],[Rework_Flag]]="No",1,0)</f>
        <v>1</v>
      </c>
      <c r="X2916" s="4">
        <f>IF(Table1[[#This Row],[Rework_Flag]]="Yes",1,0)</f>
        <v>0</v>
      </c>
      <c r="Y2916" s="4">
        <v>1</v>
      </c>
      <c r="Z2916" s="4" t="str">
        <f>IF(Table1[[#This Row],[TAT_Days]]&gt;Table1[[#This Row],[SLA_TAT]],"Yes","No")</f>
        <v>No</v>
      </c>
      <c r="AA2916" s="4" t="str" cm="1">
        <f t="array" ref="AA2916">_xlfn.IFS(Table1[[#This Row],[Customer_Satisfaction]]&lt;=2,"Poor",Table1[[#This Row],[Customer_Satisfaction]]=3,"Neutral",Table1[[#This Row],[Customer_Satisfaction]]=4,"Good",Table1[[#This Row],[Customer_Satisfaction]]=5,"Good")</f>
        <v>Good</v>
      </c>
    </row>
    <row r="2917" spans="1:27" x14ac:dyDescent="0.35">
      <c r="A2917">
        <v>22915</v>
      </c>
      <c r="B2917" s="1">
        <v>45340</v>
      </c>
      <c r="C2917" t="s">
        <v>19</v>
      </c>
      <c r="D2917" t="s">
        <v>20</v>
      </c>
      <c r="E2917" t="s">
        <v>117</v>
      </c>
      <c r="F2917" t="s">
        <v>53</v>
      </c>
      <c r="G2917" t="s">
        <v>33</v>
      </c>
      <c r="H2917" t="s">
        <v>34</v>
      </c>
      <c r="I2917" t="s">
        <v>25</v>
      </c>
      <c r="J2917" t="s">
        <v>43</v>
      </c>
      <c r="K2917" t="s">
        <v>61</v>
      </c>
      <c r="L2917" t="s">
        <v>28</v>
      </c>
      <c r="M2917" s="4">
        <v>18</v>
      </c>
      <c r="N2917" s="4">
        <v>7</v>
      </c>
      <c r="O2917" t="s">
        <v>29</v>
      </c>
      <c r="P2917" t="s">
        <v>36</v>
      </c>
      <c r="Q2917" s="4">
        <v>301426</v>
      </c>
      <c r="R2917" s="4">
        <v>241603</v>
      </c>
      <c r="S2917" s="4">
        <f>Table1[[#This Row],[Service_Revenue]]-Table1[[#This Row],[Service_Cost]]</f>
        <v>59823</v>
      </c>
      <c r="T2917" s="4">
        <v>1</v>
      </c>
      <c r="U2917" s="4">
        <f>IF(AND(Table1[[#This Row],[Rework_Flag]]="Yes",Table1[[#This Row],[Warranty_Claim]]="No"),Table1[[#This Row],[Service_Revenue]],0)</f>
        <v>301426</v>
      </c>
      <c r="V2917" s="4">
        <f>IF(Table1[[#This Row],[Warranty_Claim]]="Yes",1,0)</f>
        <v>0</v>
      </c>
      <c r="W2917" s="4">
        <f>IF(Table1[[#This Row],[Rework_Flag]]="No",1,0)</f>
        <v>0</v>
      </c>
      <c r="X2917" s="4">
        <f>IF(Table1[[#This Row],[Rework_Flag]]="Yes",1,0)</f>
        <v>1</v>
      </c>
      <c r="Y2917" s="4">
        <v>1</v>
      </c>
      <c r="Z2917" s="4" t="str">
        <f>IF(Table1[[#This Row],[TAT_Days]]&gt;Table1[[#This Row],[SLA_TAT]],"Yes","No")</f>
        <v>Yes</v>
      </c>
      <c r="AA2917" s="4" t="str" cm="1">
        <f t="array" ref="AA2917">_xlfn.IFS(Table1[[#This Row],[Customer_Satisfaction]]&lt;=2,"Poor",Table1[[#This Row],[Customer_Satisfaction]]=3,"Neutral",Table1[[#This Row],[Customer_Satisfaction]]=4,"Good",Table1[[#This Row],[Customer_Satisfaction]]=5,"Good")</f>
        <v>Poor</v>
      </c>
    </row>
    <row r="2918" spans="1:27" x14ac:dyDescent="0.35">
      <c r="A2918">
        <v>22916</v>
      </c>
      <c r="B2918" s="1">
        <v>45301</v>
      </c>
      <c r="C2918" t="s">
        <v>30</v>
      </c>
      <c r="D2918" t="s">
        <v>31</v>
      </c>
      <c r="E2918" t="s">
        <v>62</v>
      </c>
      <c r="F2918" t="s">
        <v>40</v>
      </c>
      <c r="G2918" t="s">
        <v>33</v>
      </c>
      <c r="H2918" t="s">
        <v>34</v>
      </c>
      <c r="I2918" t="s">
        <v>25</v>
      </c>
      <c r="J2918" t="s">
        <v>35</v>
      </c>
      <c r="K2918" t="s">
        <v>61</v>
      </c>
      <c r="L2918" t="s">
        <v>28</v>
      </c>
      <c r="M2918" s="4">
        <v>20</v>
      </c>
      <c r="N2918" s="4">
        <v>7</v>
      </c>
      <c r="O2918" t="s">
        <v>36</v>
      </c>
      <c r="P2918" t="s">
        <v>29</v>
      </c>
      <c r="Q2918" s="4">
        <v>512928</v>
      </c>
      <c r="R2918" s="4">
        <v>267401</v>
      </c>
      <c r="S2918" s="4">
        <f>Table1[[#This Row],[Service_Revenue]]-Table1[[#This Row],[Service_Cost]]</f>
        <v>245527</v>
      </c>
      <c r="T2918" s="4">
        <v>1</v>
      </c>
      <c r="U2918" s="4">
        <f>IF(AND(Table1[[#This Row],[Rework_Flag]]="Yes",Table1[[#This Row],[Warranty_Claim]]="No"),Table1[[#This Row],[Service_Revenue]],0)</f>
        <v>0</v>
      </c>
      <c r="V2918" s="4">
        <f>IF(Table1[[#This Row],[Warranty_Claim]]="Yes",1,0)</f>
        <v>1</v>
      </c>
      <c r="W2918" s="4">
        <f>IF(Table1[[#This Row],[Rework_Flag]]="No",1,0)</f>
        <v>1</v>
      </c>
      <c r="X2918" s="4">
        <f>IF(Table1[[#This Row],[Rework_Flag]]="Yes",1,0)</f>
        <v>0</v>
      </c>
      <c r="Y2918" s="4">
        <v>1</v>
      </c>
      <c r="Z2918" s="4" t="str">
        <f>IF(Table1[[#This Row],[TAT_Days]]&gt;Table1[[#This Row],[SLA_TAT]],"Yes","No")</f>
        <v>Yes</v>
      </c>
      <c r="AA2918" s="4" t="str" cm="1">
        <f t="array" ref="AA2918">_xlfn.IFS(Table1[[#This Row],[Customer_Satisfaction]]&lt;=2,"Poor",Table1[[#This Row],[Customer_Satisfaction]]=3,"Neutral",Table1[[#This Row],[Customer_Satisfaction]]=4,"Good",Table1[[#This Row],[Customer_Satisfaction]]=5,"Good")</f>
        <v>Poor</v>
      </c>
    </row>
    <row r="2919" spans="1:27" x14ac:dyDescent="0.35">
      <c r="A2919">
        <v>22917</v>
      </c>
      <c r="B2919" s="1">
        <v>45471</v>
      </c>
      <c r="C2919" t="s">
        <v>37</v>
      </c>
      <c r="D2919" t="s">
        <v>38</v>
      </c>
      <c r="E2919" t="s">
        <v>112</v>
      </c>
      <c r="F2919" t="s">
        <v>22</v>
      </c>
      <c r="G2919" t="s">
        <v>47</v>
      </c>
      <c r="H2919" t="s">
        <v>48</v>
      </c>
      <c r="I2919" t="s">
        <v>25</v>
      </c>
      <c r="J2919" t="s">
        <v>58</v>
      </c>
      <c r="K2919" t="s">
        <v>27</v>
      </c>
      <c r="L2919" t="s">
        <v>49</v>
      </c>
      <c r="M2919" s="4">
        <v>24</v>
      </c>
      <c r="N2919" s="4">
        <v>7</v>
      </c>
      <c r="O2919" t="s">
        <v>29</v>
      </c>
      <c r="P2919" t="s">
        <v>29</v>
      </c>
      <c r="Q2919" s="4">
        <v>307809</v>
      </c>
      <c r="R2919" s="4">
        <v>214819</v>
      </c>
      <c r="S2919" s="4">
        <f>Table1[[#This Row],[Service_Revenue]]-Table1[[#This Row],[Service_Cost]]</f>
        <v>92990</v>
      </c>
      <c r="T2919" s="4">
        <v>1</v>
      </c>
      <c r="U2919" s="4">
        <f>IF(AND(Table1[[#This Row],[Rework_Flag]]="Yes",Table1[[#This Row],[Warranty_Claim]]="No"),Table1[[#This Row],[Service_Revenue]],0)</f>
        <v>0</v>
      </c>
      <c r="V2919" s="4">
        <f>IF(Table1[[#This Row],[Warranty_Claim]]="Yes",1,0)</f>
        <v>1</v>
      </c>
      <c r="W2919" s="4">
        <f>IF(Table1[[#This Row],[Rework_Flag]]="No",1,0)</f>
        <v>0</v>
      </c>
      <c r="X2919" s="4">
        <f>IF(Table1[[#This Row],[Rework_Flag]]="Yes",1,0)</f>
        <v>1</v>
      </c>
      <c r="Y2919" s="4">
        <v>1</v>
      </c>
      <c r="Z2919" s="4" t="str">
        <f>IF(Table1[[#This Row],[TAT_Days]]&gt;Table1[[#This Row],[SLA_TAT]],"Yes","No")</f>
        <v>Yes</v>
      </c>
      <c r="AA2919" s="4" t="str" cm="1">
        <f t="array" ref="AA2919">_xlfn.IFS(Table1[[#This Row],[Customer_Satisfaction]]&lt;=2,"Poor",Table1[[#This Row],[Customer_Satisfaction]]=3,"Neutral",Table1[[#This Row],[Customer_Satisfaction]]=4,"Good",Table1[[#This Row],[Customer_Satisfaction]]=5,"Good")</f>
        <v>Poor</v>
      </c>
    </row>
    <row r="2920" spans="1:27" x14ac:dyDescent="0.35">
      <c r="A2920">
        <v>22918</v>
      </c>
      <c r="B2920" s="1">
        <v>45427</v>
      </c>
      <c r="C2920" t="s">
        <v>37</v>
      </c>
      <c r="D2920" t="s">
        <v>64</v>
      </c>
      <c r="E2920" t="s">
        <v>87</v>
      </c>
      <c r="F2920" t="s">
        <v>40</v>
      </c>
      <c r="G2920" t="s">
        <v>41</v>
      </c>
      <c r="H2920" t="s">
        <v>42</v>
      </c>
      <c r="I2920" t="s">
        <v>55</v>
      </c>
      <c r="J2920" t="s">
        <v>43</v>
      </c>
      <c r="K2920" t="s">
        <v>61</v>
      </c>
      <c r="L2920" t="s">
        <v>28</v>
      </c>
      <c r="M2920" s="4">
        <v>19</v>
      </c>
      <c r="N2920" s="4">
        <v>7</v>
      </c>
      <c r="O2920" t="s">
        <v>36</v>
      </c>
      <c r="P2920" t="s">
        <v>29</v>
      </c>
      <c r="Q2920" s="4">
        <v>373480</v>
      </c>
      <c r="R2920" s="4">
        <v>274902</v>
      </c>
      <c r="S2920" s="4">
        <f>Table1[[#This Row],[Service_Revenue]]-Table1[[#This Row],[Service_Cost]]</f>
        <v>98578</v>
      </c>
      <c r="T2920" s="4">
        <v>2</v>
      </c>
      <c r="U2920" s="4">
        <f>IF(AND(Table1[[#This Row],[Rework_Flag]]="Yes",Table1[[#This Row],[Warranty_Claim]]="No"),Table1[[#This Row],[Service_Revenue]],0)</f>
        <v>0</v>
      </c>
      <c r="V2920" s="4">
        <f>IF(Table1[[#This Row],[Warranty_Claim]]="Yes",1,0)</f>
        <v>1</v>
      </c>
      <c r="W2920" s="4">
        <f>IF(Table1[[#This Row],[Rework_Flag]]="No",1,0)</f>
        <v>1</v>
      </c>
      <c r="X2920" s="4">
        <f>IF(Table1[[#This Row],[Rework_Flag]]="Yes",1,0)</f>
        <v>0</v>
      </c>
      <c r="Y2920" s="4">
        <v>1</v>
      </c>
      <c r="Z2920" s="4" t="str">
        <f>IF(Table1[[#This Row],[TAT_Days]]&gt;Table1[[#This Row],[SLA_TAT]],"Yes","No")</f>
        <v>Yes</v>
      </c>
      <c r="AA2920" s="4" t="str" cm="1">
        <f t="array" ref="AA2920">_xlfn.IFS(Table1[[#This Row],[Customer_Satisfaction]]&lt;=2,"Poor",Table1[[#This Row],[Customer_Satisfaction]]=3,"Neutral",Table1[[#This Row],[Customer_Satisfaction]]=4,"Good",Table1[[#This Row],[Customer_Satisfaction]]=5,"Good")</f>
        <v>Poor</v>
      </c>
    </row>
    <row r="2921" spans="1:27" x14ac:dyDescent="0.35">
      <c r="A2921">
        <v>22919</v>
      </c>
      <c r="B2921" s="1">
        <v>45360</v>
      </c>
      <c r="C2921" t="s">
        <v>50</v>
      </c>
      <c r="D2921" t="s">
        <v>56</v>
      </c>
      <c r="E2921" t="s">
        <v>77</v>
      </c>
      <c r="F2921" t="s">
        <v>40</v>
      </c>
      <c r="G2921" t="s">
        <v>33</v>
      </c>
      <c r="H2921" t="s">
        <v>34</v>
      </c>
      <c r="I2921" t="s">
        <v>25</v>
      </c>
      <c r="J2921" t="s">
        <v>26</v>
      </c>
      <c r="K2921" t="s">
        <v>61</v>
      </c>
      <c r="L2921" t="s">
        <v>28</v>
      </c>
      <c r="M2921" s="4">
        <v>21</v>
      </c>
      <c r="N2921" s="4">
        <v>7</v>
      </c>
      <c r="O2921" t="s">
        <v>29</v>
      </c>
      <c r="P2921" t="s">
        <v>36</v>
      </c>
      <c r="Q2921" s="4">
        <v>251893</v>
      </c>
      <c r="R2921" s="4">
        <v>136670</v>
      </c>
      <c r="S2921" s="4">
        <f>Table1[[#This Row],[Service_Revenue]]-Table1[[#This Row],[Service_Cost]]</f>
        <v>115223</v>
      </c>
      <c r="T2921" s="4">
        <v>1</v>
      </c>
      <c r="U2921" s="4">
        <f>IF(AND(Table1[[#This Row],[Rework_Flag]]="Yes",Table1[[#This Row],[Warranty_Claim]]="No"),Table1[[#This Row],[Service_Revenue]],0)</f>
        <v>251893</v>
      </c>
      <c r="V2921" s="4">
        <f>IF(Table1[[#This Row],[Warranty_Claim]]="Yes",1,0)</f>
        <v>0</v>
      </c>
      <c r="W2921" s="4">
        <f>IF(Table1[[#This Row],[Rework_Flag]]="No",1,0)</f>
        <v>0</v>
      </c>
      <c r="X2921" s="4">
        <f>IF(Table1[[#This Row],[Rework_Flag]]="Yes",1,0)</f>
        <v>1</v>
      </c>
      <c r="Y2921" s="4">
        <v>1</v>
      </c>
      <c r="Z2921" s="4" t="str">
        <f>IF(Table1[[#This Row],[TAT_Days]]&gt;Table1[[#This Row],[SLA_TAT]],"Yes","No")</f>
        <v>Yes</v>
      </c>
      <c r="AA2921" s="4" t="str" cm="1">
        <f t="array" ref="AA2921">_xlfn.IFS(Table1[[#This Row],[Customer_Satisfaction]]&lt;=2,"Poor",Table1[[#This Row],[Customer_Satisfaction]]=3,"Neutral",Table1[[#This Row],[Customer_Satisfaction]]=4,"Good",Table1[[#This Row],[Customer_Satisfaction]]=5,"Good")</f>
        <v>Poor</v>
      </c>
    </row>
    <row r="2922" spans="1:27" x14ac:dyDescent="0.35">
      <c r="A2922">
        <v>22920</v>
      </c>
      <c r="B2922" s="1">
        <v>45389</v>
      </c>
      <c r="C2922" t="s">
        <v>19</v>
      </c>
      <c r="D2922" t="s">
        <v>45</v>
      </c>
      <c r="E2922" t="s">
        <v>46</v>
      </c>
      <c r="F2922" t="s">
        <v>53</v>
      </c>
      <c r="G2922" t="s">
        <v>33</v>
      </c>
      <c r="H2922" t="s">
        <v>34</v>
      </c>
      <c r="I2922" t="s">
        <v>55</v>
      </c>
      <c r="J2922" t="s">
        <v>35</v>
      </c>
      <c r="K2922" t="s">
        <v>61</v>
      </c>
      <c r="L2922" t="s">
        <v>49</v>
      </c>
      <c r="M2922" s="4">
        <v>6</v>
      </c>
      <c r="N2922" s="4">
        <v>7</v>
      </c>
      <c r="O2922" t="s">
        <v>36</v>
      </c>
      <c r="P2922" t="s">
        <v>29</v>
      </c>
      <c r="Q2922" s="4">
        <v>283868</v>
      </c>
      <c r="R2922" s="4">
        <v>167056</v>
      </c>
      <c r="S2922" s="4">
        <f>Table1[[#This Row],[Service_Revenue]]-Table1[[#This Row],[Service_Cost]]</f>
        <v>116812</v>
      </c>
      <c r="T2922" s="4">
        <v>4</v>
      </c>
      <c r="U2922" s="4">
        <f>IF(AND(Table1[[#This Row],[Rework_Flag]]="Yes",Table1[[#This Row],[Warranty_Claim]]="No"),Table1[[#This Row],[Service_Revenue]],0)</f>
        <v>0</v>
      </c>
      <c r="V2922" s="4">
        <f>IF(Table1[[#This Row],[Warranty_Claim]]="Yes",1,0)</f>
        <v>1</v>
      </c>
      <c r="W2922" s="4">
        <f>IF(Table1[[#This Row],[Rework_Flag]]="No",1,0)</f>
        <v>1</v>
      </c>
      <c r="X2922" s="4">
        <f>IF(Table1[[#This Row],[Rework_Flag]]="Yes",1,0)</f>
        <v>0</v>
      </c>
      <c r="Y2922" s="4">
        <v>1</v>
      </c>
      <c r="Z2922" s="4" t="str">
        <f>IF(Table1[[#This Row],[TAT_Days]]&gt;Table1[[#This Row],[SLA_TAT]],"Yes","No")</f>
        <v>No</v>
      </c>
      <c r="AA2922" s="4" t="str" cm="1">
        <f t="array" ref="AA2922">_xlfn.IFS(Table1[[#This Row],[Customer_Satisfaction]]&lt;=2,"Poor",Table1[[#This Row],[Customer_Satisfaction]]=3,"Neutral",Table1[[#This Row],[Customer_Satisfaction]]=4,"Good",Table1[[#This Row],[Customer_Satisfaction]]=5,"Good")</f>
        <v>Good</v>
      </c>
    </row>
    <row r="2923" spans="1:27" x14ac:dyDescent="0.35">
      <c r="A2923">
        <v>22921</v>
      </c>
      <c r="B2923" s="1">
        <v>45373</v>
      </c>
      <c r="C2923" t="s">
        <v>30</v>
      </c>
      <c r="D2923" t="s">
        <v>31</v>
      </c>
      <c r="E2923" t="s">
        <v>106</v>
      </c>
      <c r="F2923" t="s">
        <v>22</v>
      </c>
      <c r="G2923" t="s">
        <v>47</v>
      </c>
      <c r="H2923" t="s">
        <v>48</v>
      </c>
      <c r="I2923" t="s">
        <v>55</v>
      </c>
      <c r="J2923" t="s">
        <v>26</v>
      </c>
      <c r="K2923" t="s">
        <v>27</v>
      </c>
      <c r="L2923" t="s">
        <v>28</v>
      </c>
      <c r="M2923" s="4">
        <v>2</v>
      </c>
      <c r="N2923" s="4">
        <v>7</v>
      </c>
      <c r="O2923" t="s">
        <v>29</v>
      </c>
      <c r="P2923" t="s">
        <v>36</v>
      </c>
      <c r="Q2923" s="4">
        <v>393334</v>
      </c>
      <c r="R2923" s="4">
        <v>275171</v>
      </c>
      <c r="S2923" s="4">
        <f>Table1[[#This Row],[Service_Revenue]]-Table1[[#This Row],[Service_Cost]]</f>
        <v>118163</v>
      </c>
      <c r="T2923" s="4">
        <v>4</v>
      </c>
      <c r="U2923" s="4">
        <f>IF(AND(Table1[[#This Row],[Rework_Flag]]="Yes",Table1[[#This Row],[Warranty_Claim]]="No"),Table1[[#This Row],[Service_Revenue]],0)</f>
        <v>393334</v>
      </c>
      <c r="V2923" s="4">
        <f>IF(Table1[[#This Row],[Warranty_Claim]]="Yes",1,0)</f>
        <v>0</v>
      </c>
      <c r="W2923" s="4">
        <f>IF(Table1[[#This Row],[Rework_Flag]]="No",1,0)</f>
        <v>0</v>
      </c>
      <c r="X2923" s="4">
        <f>IF(Table1[[#This Row],[Rework_Flag]]="Yes",1,0)</f>
        <v>1</v>
      </c>
      <c r="Y2923" s="4">
        <v>1</v>
      </c>
      <c r="Z2923" s="4" t="str">
        <f>IF(Table1[[#This Row],[TAT_Days]]&gt;Table1[[#This Row],[SLA_TAT]],"Yes","No")</f>
        <v>No</v>
      </c>
      <c r="AA2923" s="4" t="str" cm="1">
        <f t="array" ref="AA2923">_xlfn.IFS(Table1[[#This Row],[Customer_Satisfaction]]&lt;=2,"Poor",Table1[[#This Row],[Customer_Satisfaction]]=3,"Neutral",Table1[[#This Row],[Customer_Satisfaction]]=4,"Good",Table1[[#This Row],[Customer_Satisfaction]]=5,"Good")</f>
        <v>Good</v>
      </c>
    </row>
    <row r="2924" spans="1:27" x14ac:dyDescent="0.35">
      <c r="A2924">
        <v>22922</v>
      </c>
      <c r="B2924" s="1">
        <v>45432</v>
      </c>
      <c r="C2924" t="s">
        <v>50</v>
      </c>
      <c r="D2924" t="s">
        <v>80</v>
      </c>
      <c r="E2924" t="s">
        <v>121</v>
      </c>
      <c r="F2924" t="s">
        <v>40</v>
      </c>
      <c r="G2924" t="s">
        <v>41</v>
      </c>
      <c r="H2924" t="s">
        <v>42</v>
      </c>
      <c r="I2924" t="s">
        <v>55</v>
      </c>
      <c r="J2924" t="s">
        <v>35</v>
      </c>
      <c r="K2924" t="s">
        <v>44</v>
      </c>
      <c r="L2924" t="s">
        <v>28</v>
      </c>
      <c r="M2924" s="4">
        <v>17</v>
      </c>
      <c r="N2924" s="4">
        <v>7</v>
      </c>
      <c r="O2924" t="s">
        <v>36</v>
      </c>
      <c r="P2924" t="s">
        <v>29</v>
      </c>
      <c r="Q2924" s="4">
        <v>403205</v>
      </c>
      <c r="R2924" s="4">
        <v>319991</v>
      </c>
      <c r="S2924" s="4">
        <f>Table1[[#This Row],[Service_Revenue]]-Table1[[#This Row],[Service_Cost]]</f>
        <v>83214</v>
      </c>
      <c r="T2924" s="4">
        <v>2</v>
      </c>
      <c r="U2924" s="4">
        <f>IF(AND(Table1[[#This Row],[Rework_Flag]]="Yes",Table1[[#This Row],[Warranty_Claim]]="No"),Table1[[#This Row],[Service_Revenue]],0)</f>
        <v>0</v>
      </c>
      <c r="V2924" s="4">
        <f>IF(Table1[[#This Row],[Warranty_Claim]]="Yes",1,0)</f>
        <v>1</v>
      </c>
      <c r="W2924" s="4">
        <f>IF(Table1[[#This Row],[Rework_Flag]]="No",1,0)</f>
        <v>1</v>
      </c>
      <c r="X2924" s="4">
        <f>IF(Table1[[#This Row],[Rework_Flag]]="Yes",1,0)</f>
        <v>0</v>
      </c>
      <c r="Y2924" s="4">
        <v>1</v>
      </c>
      <c r="Z2924" s="4" t="str">
        <f>IF(Table1[[#This Row],[TAT_Days]]&gt;Table1[[#This Row],[SLA_TAT]],"Yes","No")</f>
        <v>Yes</v>
      </c>
      <c r="AA2924" s="4" t="str" cm="1">
        <f t="array" ref="AA2924">_xlfn.IFS(Table1[[#This Row],[Customer_Satisfaction]]&lt;=2,"Poor",Table1[[#This Row],[Customer_Satisfaction]]=3,"Neutral",Table1[[#This Row],[Customer_Satisfaction]]=4,"Good",Table1[[#This Row],[Customer_Satisfaction]]=5,"Good")</f>
        <v>Poor</v>
      </c>
    </row>
    <row r="2925" spans="1:27" x14ac:dyDescent="0.35">
      <c r="A2925">
        <v>22923</v>
      </c>
      <c r="B2925" s="1">
        <v>45380</v>
      </c>
      <c r="C2925" t="s">
        <v>50</v>
      </c>
      <c r="D2925" t="s">
        <v>80</v>
      </c>
      <c r="E2925" t="s">
        <v>104</v>
      </c>
      <c r="F2925" t="s">
        <v>22</v>
      </c>
      <c r="G2925" t="s">
        <v>74</v>
      </c>
      <c r="H2925" t="s">
        <v>34</v>
      </c>
      <c r="I2925" t="s">
        <v>55</v>
      </c>
      <c r="J2925" t="s">
        <v>67</v>
      </c>
      <c r="K2925" t="s">
        <v>44</v>
      </c>
      <c r="L2925" t="s">
        <v>49</v>
      </c>
      <c r="M2925" s="4">
        <v>6</v>
      </c>
      <c r="N2925" s="4">
        <v>7</v>
      </c>
      <c r="O2925" t="s">
        <v>29</v>
      </c>
      <c r="P2925" t="s">
        <v>29</v>
      </c>
      <c r="Q2925" s="4">
        <v>597789</v>
      </c>
      <c r="R2925" s="4">
        <v>383746</v>
      </c>
      <c r="S2925" s="4">
        <f>Table1[[#This Row],[Service_Revenue]]-Table1[[#This Row],[Service_Cost]]</f>
        <v>214043</v>
      </c>
      <c r="T2925" s="4">
        <v>3</v>
      </c>
      <c r="U2925" s="4">
        <f>IF(AND(Table1[[#This Row],[Rework_Flag]]="Yes",Table1[[#This Row],[Warranty_Claim]]="No"),Table1[[#This Row],[Service_Revenue]],0)</f>
        <v>0</v>
      </c>
      <c r="V2925" s="4">
        <f>IF(Table1[[#This Row],[Warranty_Claim]]="Yes",1,0)</f>
        <v>1</v>
      </c>
      <c r="W2925" s="4">
        <f>IF(Table1[[#This Row],[Rework_Flag]]="No",1,0)</f>
        <v>0</v>
      </c>
      <c r="X2925" s="4">
        <f>IF(Table1[[#This Row],[Rework_Flag]]="Yes",1,0)</f>
        <v>1</v>
      </c>
      <c r="Y2925" s="4">
        <v>1</v>
      </c>
      <c r="Z2925" s="4" t="str">
        <f>IF(Table1[[#This Row],[TAT_Days]]&gt;Table1[[#This Row],[SLA_TAT]],"Yes","No")</f>
        <v>No</v>
      </c>
      <c r="AA2925" s="4" t="str" cm="1">
        <f t="array" ref="AA2925">_xlfn.IFS(Table1[[#This Row],[Customer_Satisfaction]]&lt;=2,"Poor",Table1[[#This Row],[Customer_Satisfaction]]=3,"Neutral",Table1[[#This Row],[Customer_Satisfaction]]=4,"Good",Table1[[#This Row],[Customer_Satisfaction]]=5,"Good")</f>
        <v>Neutral</v>
      </c>
    </row>
    <row r="2926" spans="1:27" x14ac:dyDescent="0.35">
      <c r="A2926">
        <v>22924</v>
      </c>
      <c r="B2926" s="1">
        <v>45467</v>
      </c>
      <c r="C2926" t="s">
        <v>30</v>
      </c>
      <c r="D2926" t="s">
        <v>83</v>
      </c>
      <c r="E2926" t="s">
        <v>92</v>
      </c>
      <c r="F2926" t="s">
        <v>22</v>
      </c>
      <c r="G2926" t="s">
        <v>74</v>
      </c>
      <c r="H2926" t="s">
        <v>34</v>
      </c>
      <c r="I2926" t="s">
        <v>55</v>
      </c>
      <c r="J2926" t="s">
        <v>67</v>
      </c>
      <c r="K2926" t="s">
        <v>44</v>
      </c>
      <c r="L2926" t="s">
        <v>28</v>
      </c>
      <c r="M2926" s="4">
        <v>11</v>
      </c>
      <c r="N2926" s="4">
        <v>7</v>
      </c>
      <c r="O2926" t="s">
        <v>29</v>
      </c>
      <c r="P2926" t="s">
        <v>29</v>
      </c>
      <c r="Q2926" s="4">
        <v>511456</v>
      </c>
      <c r="R2926" s="4">
        <v>294067</v>
      </c>
      <c r="S2926" s="4">
        <f>Table1[[#This Row],[Service_Revenue]]-Table1[[#This Row],[Service_Cost]]</f>
        <v>217389</v>
      </c>
      <c r="T2926" s="4">
        <v>2</v>
      </c>
      <c r="U2926" s="4">
        <f>IF(AND(Table1[[#This Row],[Rework_Flag]]="Yes",Table1[[#This Row],[Warranty_Claim]]="No"),Table1[[#This Row],[Service_Revenue]],0)</f>
        <v>0</v>
      </c>
      <c r="V2926" s="4">
        <f>IF(Table1[[#This Row],[Warranty_Claim]]="Yes",1,0)</f>
        <v>1</v>
      </c>
      <c r="W2926" s="4">
        <f>IF(Table1[[#This Row],[Rework_Flag]]="No",1,0)</f>
        <v>0</v>
      </c>
      <c r="X2926" s="4">
        <f>IF(Table1[[#This Row],[Rework_Flag]]="Yes",1,0)</f>
        <v>1</v>
      </c>
      <c r="Y2926" s="4">
        <v>1</v>
      </c>
      <c r="Z2926" s="4" t="str">
        <f>IF(Table1[[#This Row],[TAT_Days]]&gt;Table1[[#This Row],[SLA_TAT]],"Yes","No")</f>
        <v>Yes</v>
      </c>
      <c r="AA2926" s="4" t="str" cm="1">
        <f t="array" ref="AA2926">_xlfn.IFS(Table1[[#This Row],[Customer_Satisfaction]]&lt;=2,"Poor",Table1[[#This Row],[Customer_Satisfaction]]=3,"Neutral",Table1[[#This Row],[Customer_Satisfaction]]=4,"Good",Table1[[#This Row],[Customer_Satisfaction]]=5,"Good")</f>
        <v>Poor</v>
      </c>
    </row>
    <row r="2927" spans="1:27" x14ac:dyDescent="0.35">
      <c r="A2927">
        <v>22925</v>
      </c>
      <c r="B2927" s="1">
        <v>45358</v>
      </c>
      <c r="C2927" t="s">
        <v>37</v>
      </c>
      <c r="D2927" t="s">
        <v>38</v>
      </c>
      <c r="E2927" t="s">
        <v>112</v>
      </c>
      <c r="F2927" t="s">
        <v>53</v>
      </c>
      <c r="G2927" t="s">
        <v>23</v>
      </c>
      <c r="H2927" t="s">
        <v>24</v>
      </c>
      <c r="I2927" t="s">
        <v>55</v>
      </c>
      <c r="J2927" t="s">
        <v>67</v>
      </c>
      <c r="K2927" t="s">
        <v>61</v>
      </c>
      <c r="L2927" t="s">
        <v>49</v>
      </c>
      <c r="M2927" s="4">
        <v>10</v>
      </c>
      <c r="N2927" s="4">
        <v>7</v>
      </c>
      <c r="O2927" t="s">
        <v>29</v>
      </c>
      <c r="P2927" t="s">
        <v>29</v>
      </c>
      <c r="Q2927" s="4">
        <v>509471</v>
      </c>
      <c r="R2927" s="4">
        <v>328494</v>
      </c>
      <c r="S2927" s="4">
        <f>Table1[[#This Row],[Service_Revenue]]-Table1[[#This Row],[Service_Cost]]</f>
        <v>180977</v>
      </c>
      <c r="T2927" s="4">
        <v>2</v>
      </c>
      <c r="U2927" s="4">
        <f>IF(AND(Table1[[#This Row],[Rework_Flag]]="Yes",Table1[[#This Row],[Warranty_Claim]]="No"),Table1[[#This Row],[Service_Revenue]],0)</f>
        <v>0</v>
      </c>
      <c r="V2927" s="4">
        <f>IF(Table1[[#This Row],[Warranty_Claim]]="Yes",1,0)</f>
        <v>1</v>
      </c>
      <c r="W2927" s="4">
        <f>IF(Table1[[#This Row],[Rework_Flag]]="No",1,0)</f>
        <v>0</v>
      </c>
      <c r="X2927" s="4">
        <f>IF(Table1[[#This Row],[Rework_Flag]]="Yes",1,0)</f>
        <v>1</v>
      </c>
      <c r="Y2927" s="4">
        <v>1</v>
      </c>
      <c r="Z2927" s="4" t="str">
        <f>IF(Table1[[#This Row],[TAT_Days]]&gt;Table1[[#This Row],[SLA_TAT]],"Yes","No")</f>
        <v>Yes</v>
      </c>
      <c r="AA2927" s="4" t="str" cm="1">
        <f t="array" ref="AA2927">_xlfn.IFS(Table1[[#This Row],[Customer_Satisfaction]]&lt;=2,"Poor",Table1[[#This Row],[Customer_Satisfaction]]=3,"Neutral",Table1[[#This Row],[Customer_Satisfaction]]=4,"Good",Table1[[#This Row],[Customer_Satisfaction]]=5,"Good")</f>
        <v>Poor</v>
      </c>
    </row>
    <row r="2928" spans="1:27" x14ac:dyDescent="0.35">
      <c r="A2928">
        <v>22926</v>
      </c>
      <c r="B2928" s="1">
        <v>45452</v>
      </c>
      <c r="C2928" t="s">
        <v>50</v>
      </c>
      <c r="D2928" t="s">
        <v>80</v>
      </c>
      <c r="E2928" t="s">
        <v>85</v>
      </c>
      <c r="F2928" t="s">
        <v>53</v>
      </c>
      <c r="G2928" t="s">
        <v>74</v>
      </c>
      <c r="H2928" t="s">
        <v>34</v>
      </c>
      <c r="I2928" t="s">
        <v>55</v>
      </c>
      <c r="J2928" t="s">
        <v>67</v>
      </c>
      <c r="K2928" t="s">
        <v>44</v>
      </c>
      <c r="L2928" t="s">
        <v>28</v>
      </c>
      <c r="M2928" s="4">
        <v>3</v>
      </c>
      <c r="N2928" s="4">
        <v>7</v>
      </c>
      <c r="O2928" t="s">
        <v>36</v>
      </c>
      <c r="P2928" t="s">
        <v>29</v>
      </c>
      <c r="Q2928" s="4">
        <v>207859</v>
      </c>
      <c r="R2928" s="4">
        <v>130414</v>
      </c>
      <c r="S2928" s="4">
        <f>Table1[[#This Row],[Service_Revenue]]-Table1[[#This Row],[Service_Cost]]</f>
        <v>77445</v>
      </c>
      <c r="T2928" s="4">
        <v>5</v>
      </c>
      <c r="U2928" s="4">
        <f>IF(AND(Table1[[#This Row],[Rework_Flag]]="Yes",Table1[[#This Row],[Warranty_Claim]]="No"),Table1[[#This Row],[Service_Revenue]],0)</f>
        <v>0</v>
      </c>
      <c r="V2928" s="4">
        <f>IF(Table1[[#This Row],[Warranty_Claim]]="Yes",1,0)</f>
        <v>1</v>
      </c>
      <c r="W2928" s="4">
        <f>IF(Table1[[#This Row],[Rework_Flag]]="No",1,0)</f>
        <v>1</v>
      </c>
      <c r="X2928" s="4">
        <f>IF(Table1[[#This Row],[Rework_Flag]]="Yes",1,0)</f>
        <v>0</v>
      </c>
      <c r="Y2928" s="4">
        <v>1</v>
      </c>
      <c r="Z2928" s="4" t="str">
        <f>IF(Table1[[#This Row],[TAT_Days]]&gt;Table1[[#This Row],[SLA_TAT]],"Yes","No")</f>
        <v>No</v>
      </c>
      <c r="AA2928" s="4" t="str" cm="1">
        <f t="array" ref="AA2928">_xlfn.IFS(Table1[[#This Row],[Customer_Satisfaction]]&lt;=2,"Poor",Table1[[#This Row],[Customer_Satisfaction]]=3,"Neutral",Table1[[#This Row],[Customer_Satisfaction]]=4,"Good",Table1[[#This Row],[Customer_Satisfaction]]=5,"Good")</f>
        <v>Good</v>
      </c>
    </row>
    <row r="2929" spans="1:27" x14ac:dyDescent="0.35">
      <c r="A2929">
        <v>22927</v>
      </c>
      <c r="B2929" s="1">
        <v>45311</v>
      </c>
      <c r="C2929" t="s">
        <v>37</v>
      </c>
      <c r="D2929" t="s">
        <v>64</v>
      </c>
      <c r="E2929" t="s">
        <v>103</v>
      </c>
      <c r="F2929" t="s">
        <v>53</v>
      </c>
      <c r="G2929" t="s">
        <v>74</v>
      </c>
      <c r="H2929" t="s">
        <v>34</v>
      </c>
      <c r="I2929" t="s">
        <v>25</v>
      </c>
      <c r="J2929" t="s">
        <v>58</v>
      </c>
      <c r="K2929" t="s">
        <v>61</v>
      </c>
      <c r="L2929" t="s">
        <v>49</v>
      </c>
      <c r="M2929" s="4">
        <v>12</v>
      </c>
      <c r="N2929" s="4">
        <v>7</v>
      </c>
      <c r="O2929" t="s">
        <v>29</v>
      </c>
      <c r="P2929" t="s">
        <v>29</v>
      </c>
      <c r="Q2929" s="4">
        <v>315780</v>
      </c>
      <c r="R2929" s="4">
        <v>164584</v>
      </c>
      <c r="S2929" s="4">
        <f>Table1[[#This Row],[Service_Revenue]]-Table1[[#This Row],[Service_Cost]]</f>
        <v>151196</v>
      </c>
      <c r="T2929" s="4">
        <v>2</v>
      </c>
      <c r="U2929" s="4">
        <f>IF(AND(Table1[[#This Row],[Rework_Flag]]="Yes",Table1[[#This Row],[Warranty_Claim]]="No"),Table1[[#This Row],[Service_Revenue]],0)</f>
        <v>0</v>
      </c>
      <c r="V2929" s="4">
        <f>IF(Table1[[#This Row],[Warranty_Claim]]="Yes",1,0)</f>
        <v>1</v>
      </c>
      <c r="W2929" s="4">
        <f>IF(Table1[[#This Row],[Rework_Flag]]="No",1,0)</f>
        <v>0</v>
      </c>
      <c r="X2929" s="4">
        <f>IF(Table1[[#This Row],[Rework_Flag]]="Yes",1,0)</f>
        <v>1</v>
      </c>
      <c r="Y2929" s="4">
        <v>1</v>
      </c>
      <c r="Z2929" s="4" t="str">
        <f>IF(Table1[[#This Row],[TAT_Days]]&gt;Table1[[#This Row],[SLA_TAT]],"Yes","No")</f>
        <v>Yes</v>
      </c>
      <c r="AA2929" s="4" t="str" cm="1">
        <f t="array" ref="AA2929">_xlfn.IFS(Table1[[#This Row],[Customer_Satisfaction]]&lt;=2,"Poor",Table1[[#This Row],[Customer_Satisfaction]]=3,"Neutral",Table1[[#This Row],[Customer_Satisfaction]]=4,"Good",Table1[[#This Row],[Customer_Satisfaction]]=5,"Good")</f>
        <v>Poor</v>
      </c>
    </row>
    <row r="2930" spans="1:27" x14ac:dyDescent="0.35">
      <c r="A2930">
        <v>22928</v>
      </c>
      <c r="B2930" s="1">
        <v>45447</v>
      </c>
      <c r="C2930" t="s">
        <v>37</v>
      </c>
      <c r="D2930" t="s">
        <v>70</v>
      </c>
      <c r="E2930" t="s">
        <v>100</v>
      </c>
      <c r="F2930" t="s">
        <v>53</v>
      </c>
      <c r="G2930" t="s">
        <v>47</v>
      </c>
      <c r="H2930" t="s">
        <v>48</v>
      </c>
      <c r="I2930" t="s">
        <v>55</v>
      </c>
      <c r="J2930" t="s">
        <v>43</v>
      </c>
      <c r="K2930" t="s">
        <v>61</v>
      </c>
      <c r="L2930" t="s">
        <v>28</v>
      </c>
      <c r="M2930" s="4">
        <v>9</v>
      </c>
      <c r="N2930" s="4">
        <v>7</v>
      </c>
      <c r="O2930" t="s">
        <v>29</v>
      </c>
      <c r="P2930" t="s">
        <v>29</v>
      </c>
      <c r="Q2930" s="4">
        <v>580492</v>
      </c>
      <c r="R2930" s="4">
        <v>475834</v>
      </c>
      <c r="S2930" s="4">
        <f>Table1[[#This Row],[Service_Revenue]]-Table1[[#This Row],[Service_Cost]]</f>
        <v>104658</v>
      </c>
      <c r="T2930" s="4">
        <v>3</v>
      </c>
      <c r="U2930" s="4">
        <f>IF(AND(Table1[[#This Row],[Rework_Flag]]="Yes",Table1[[#This Row],[Warranty_Claim]]="No"),Table1[[#This Row],[Service_Revenue]],0)</f>
        <v>0</v>
      </c>
      <c r="V2930" s="4">
        <f>IF(Table1[[#This Row],[Warranty_Claim]]="Yes",1,0)</f>
        <v>1</v>
      </c>
      <c r="W2930" s="4">
        <f>IF(Table1[[#This Row],[Rework_Flag]]="No",1,0)</f>
        <v>0</v>
      </c>
      <c r="X2930" s="4">
        <f>IF(Table1[[#This Row],[Rework_Flag]]="Yes",1,0)</f>
        <v>1</v>
      </c>
      <c r="Y2930" s="4">
        <v>1</v>
      </c>
      <c r="Z2930" s="4" t="str">
        <f>IF(Table1[[#This Row],[TAT_Days]]&gt;Table1[[#This Row],[SLA_TAT]],"Yes","No")</f>
        <v>Yes</v>
      </c>
      <c r="AA2930" s="4" t="str" cm="1">
        <f t="array" ref="AA2930">_xlfn.IFS(Table1[[#This Row],[Customer_Satisfaction]]&lt;=2,"Poor",Table1[[#This Row],[Customer_Satisfaction]]=3,"Neutral",Table1[[#This Row],[Customer_Satisfaction]]=4,"Good",Table1[[#This Row],[Customer_Satisfaction]]=5,"Good")</f>
        <v>Neutral</v>
      </c>
    </row>
    <row r="2931" spans="1:27" x14ac:dyDescent="0.35">
      <c r="A2931">
        <v>22929</v>
      </c>
      <c r="B2931" s="1">
        <v>45375</v>
      </c>
      <c r="C2931" t="s">
        <v>30</v>
      </c>
      <c r="D2931" t="s">
        <v>31</v>
      </c>
      <c r="E2931" t="s">
        <v>62</v>
      </c>
      <c r="F2931" t="s">
        <v>40</v>
      </c>
      <c r="G2931" t="s">
        <v>63</v>
      </c>
      <c r="H2931" t="s">
        <v>24</v>
      </c>
      <c r="I2931" t="s">
        <v>25</v>
      </c>
      <c r="J2931" t="s">
        <v>58</v>
      </c>
      <c r="K2931" t="s">
        <v>61</v>
      </c>
      <c r="L2931" t="s">
        <v>28</v>
      </c>
      <c r="M2931" s="4">
        <v>15</v>
      </c>
      <c r="N2931" s="4">
        <v>7</v>
      </c>
      <c r="O2931" t="s">
        <v>29</v>
      </c>
      <c r="P2931" t="s">
        <v>29</v>
      </c>
      <c r="Q2931" s="4">
        <v>367348</v>
      </c>
      <c r="R2931" s="4">
        <v>309613</v>
      </c>
      <c r="S2931" s="4">
        <f>Table1[[#This Row],[Service_Revenue]]-Table1[[#This Row],[Service_Cost]]</f>
        <v>57735</v>
      </c>
      <c r="T2931" s="4">
        <v>1</v>
      </c>
      <c r="U2931" s="4">
        <f>IF(AND(Table1[[#This Row],[Rework_Flag]]="Yes",Table1[[#This Row],[Warranty_Claim]]="No"),Table1[[#This Row],[Service_Revenue]],0)</f>
        <v>0</v>
      </c>
      <c r="V2931" s="4">
        <f>IF(Table1[[#This Row],[Warranty_Claim]]="Yes",1,0)</f>
        <v>1</v>
      </c>
      <c r="W2931" s="4">
        <f>IF(Table1[[#This Row],[Rework_Flag]]="No",1,0)</f>
        <v>0</v>
      </c>
      <c r="X2931" s="4">
        <f>IF(Table1[[#This Row],[Rework_Flag]]="Yes",1,0)</f>
        <v>1</v>
      </c>
      <c r="Y2931" s="4">
        <v>1</v>
      </c>
      <c r="Z2931" s="4" t="str">
        <f>IF(Table1[[#This Row],[TAT_Days]]&gt;Table1[[#This Row],[SLA_TAT]],"Yes","No")</f>
        <v>Yes</v>
      </c>
      <c r="AA2931" s="4" t="str" cm="1">
        <f t="array" ref="AA2931">_xlfn.IFS(Table1[[#This Row],[Customer_Satisfaction]]&lt;=2,"Poor",Table1[[#This Row],[Customer_Satisfaction]]=3,"Neutral",Table1[[#This Row],[Customer_Satisfaction]]=4,"Good",Table1[[#This Row],[Customer_Satisfaction]]=5,"Good")</f>
        <v>Poor</v>
      </c>
    </row>
    <row r="2932" spans="1:27" x14ac:dyDescent="0.35">
      <c r="A2932">
        <v>22930</v>
      </c>
      <c r="B2932" s="1">
        <v>45297</v>
      </c>
      <c r="C2932" t="s">
        <v>19</v>
      </c>
      <c r="D2932" t="s">
        <v>96</v>
      </c>
      <c r="E2932" t="s">
        <v>98</v>
      </c>
      <c r="F2932" t="s">
        <v>22</v>
      </c>
      <c r="G2932" t="s">
        <v>41</v>
      </c>
      <c r="H2932" t="s">
        <v>42</v>
      </c>
      <c r="I2932" t="s">
        <v>25</v>
      </c>
      <c r="J2932" t="s">
        <v>67</v>
      </c>
      <c r="K2932" t="s">
        <v>61</v>
      </c>
      <c r="L2932" t="s">
        <v>49</v>
      </c>
      <c r="M2932" s="4">
        <v>25</v>
      </c>
      <c r="N2932" s="4">
        <v>7</v>
      </c>
      <c r="O2932" t="s">
        <v>36</v>
      </c>
      <c r="P2932" t="s">
        <v>29</v>
      </c>
      <c r="Q2932" s="4">
        <v>304429</v>
      </c>
      <c r="R2932" s="4">
        <v>216301</v>
      </c>
      <c r="S2932" s="4">
        <f>Table1[[#This Row],[Service_Revenue]]-Table1[[#This Row],[Service_Cost]]</f>
        <v>88128</v>
      </c>
      <c r="T2932" s="4">
        <v>1</v>
      </c>
      <c r="U2932" s="4">
        <f>IF(AND(Table1[[#This Row],[Rework_Flag]]="Yes",Table1[[#This Row],[Warranty_Claim]]="No"),Table1[[#This Row],[Service_Revenue]],0)</f>
        <v>0</v>
      </c>
      <c r="V2932" s="4">
        <f>IF(Table1[[#This Row],[Warranty_Claim]]="Yes",1,0)</f>
        <v>1</v>
      </c>
      <c r="W2932" s="4">
        <f>IF(Table1[[#This Row],[Rework_Flag]]="No",1,0)</f>
        <v>1</v>
      </c>
      <c r="X2932" s="4">
        <f>IF(Table1[[#This Row],[Rework_Flag]]="Yes",1,0)</f>
        <v>0</v>
      </c>
      <c r="Y2932" s="4">
        <v>1</v>
      </c>
      <c r="Z2932" s="4" t="str">
        <f>IF(Table1[[#This Row],[TAT_Days]]&gt;Table1[[#This Row],[SLA_TAT]],"Yes","No")</f>
        <v>Yes</v>
      </c>
      <c r="AA2932" s="4" t="str" cm="1">
        <f t="array" ref="AA2932">_xlfn.IFS(Table1[[#This Row],[Customer_Satisfaction]]&lt;=2,"Poor",Table1[[#This Row],[Customer_Satisfaction]]=3,"Neutral",Table1[[#This Row],[Customer_Satisfaction]]=4,"Good",Table1[[#This Row],[Customer_Satisfaction]]=5,"Good")</f>
        <v>Poor</v>
      </c>
    </row>
    <row r="2933" spans="1:27" x14ac:dyDescent="0.35">
      <c r="A2933">
        <v>22931</v>
      </c>
      <c r="B2933" s="1">
        <v>45389</v>
      </c>
      <c r="C2933" t="s">
        <v>37</v>
      </c>
      <c r="D2933" t="s">
        <v>38</v>
      </c>
      <c r="E2933" t="s">
        <v>107</v>
      </c>
      <c r="F2933" t="s">
        <v>22</v>
      </c>
      <c r="G2933" t="s">
        <v>47</v>
      </c>
      <c r="H2933" t="s">
        <v>48</v>
      </c>
      <c r="I2933" t="s">
        <v>25</v>
      </c>
      <c r="J2933" t="s">
        <v>58</v>
      </c>
      <c r="K2933" t="s">
        <v>44</v>
      </c>
      <c r="L2933" t="s">
        <v>49</v>
      </c>
      <c r="M2933" s="4">
        <v>19</v>
      </c>
      <c r="N2933" s="4">
        <v>7</v>
      </c>
      <c r="O2933" t="s">
        <v>29</v>
      </c>
      <c r="P2933" t="s">
        <v>36</v>
      </c>
      <c r="Q2933" s="4">
        <v>445352</v>
      </c>
      <c r="R2933" s="4">
        <v>239556</v>
      </c>
      <c r="S2933" s="4">
        <f>Table1[[#This Row],[Service_Revenue]]-Table1[[#This Row],[Service_Cost]]</f>
        <v>205796</v>
      </c>
      <c r="T2933" s="4">
        <v>1</v>
      </c>
      <c r="U2933" s="4">
        <f>IF(AND(Table1[[#This Row],[Rework_Flag]]="Yes",Table1[[#This Row],[Warranty_Claim]]="No"),Table1[[#This Row],[Service_Revenue]],0)</f>
        <v>445352</v>
      </c>
      <c r="V2933" s="4">
        <f>IF(Table1[[#This Row],[Warranty_Claim]]="Yes",1,0)</f>
        <v>0</v>
      </c>
      <c r="W2933" s="4">
        <f>IF(Table1[[#This Row],[Rework_Flag]]="No",1,0)</f>
        <v>0</v>
      </c>
      <c r="X2933" s="4">
        <f>IF(Table1[[#This Row],[Rework_Flag]]="Yes",1,0)</f>
        <v>1</v>
      </c>
      <c r="Y2933" s="4">
        <v>1</v>
      </c>
      <c r="Z2933" s="4" t="str">
        <f>IF(Table1[[#This Row],[TAT_Days]]&gt;Table1[[#This Row],[SLA_TAT]],"Yes","No")</f>
        <v>Yes</v>
      </c>
      <c r="AA2933" s="4" t="str" cm="1">
        <f t="array" ref="AA2933">_xlfn.IFS(Table1[[#This Row],[Customer_Satisfaction]]&lt;=2,"Poor",Table1[[#This Row],[Customer_Satisfaction]]=3,"Neutral",Table1[[#This Row],[Customer_Satisfaction]]=4,"Good",Table1[[#This Row],[Customer_Satisfaction]]=5,"Good")</f>
        <v>Poor</v>
      </c>
    </row>
    <row r="2934" spans="1:27" x14ac:dyDescent="0.35">
      <c r="A2934">
        <v>22932</v>
      </c>
      <c r="B2934" s="1">
        <v>45419</v>
      </c>
      <c r="C2934" t="s">
        <v>19</v>
      </c>
      <c r="D2934" t="s">
        <v>96</v>
      </c>
      <c r="E2934" t="s">
        <v>98</v>
      </c>
      <c r="F2934" t="s">
        <v>40</v>
      </c>
      <c r="G2934" t="s">
        <v>23</v>
      </c>
      <c r="H2934" t="s">
        <v>24</v>
      </c>
      <c r="I2934" t="s">
        <v>55</v>
      </c>
      <c r="J2934" t="s">
        <v>58</v>
      </c>
      <c r="K2934" t="s">
        <v>44</v>
      </c>
      <c r="L2934" t="s">
        <v>28</v>
      </c>
      <c r="M2934" s="4">
        <v>20</v>
      </c>
      <c r="N2934" s="4">
        <v>7</v>
      </c>
      <c r="O2934" t="s">
        <v>36</v>
      </c>
      <c r="P2934" t="s">
        <v>29</v>
      </c>
      <c r="Q2934" s="4">
        <v>379039</v>
      </c>
      <c r="R2934" s="4">
        <v>196471</v>
      </c>
      <c r="S2934" s="4">
        <f>Table1[[#This Row],[Service_Revenue]]-Table1[[#This Row],[Service_Cost]]</f>
        <v>182568</v>
      </c>
      <c r="T2934" s="4">
        <v>1</v>
      </c>
      <c r="U2934" s="4">
        <f>IF(AND(Table1[[#This Row],[Rework_Flag]]="Yes",Table1[[#This Row],[Warranty_Claim]]="No"),Table1[[#This Row],[Service_Revenue]],0)</f>
        <v>0</v>
      </c>
      <c r="V2934" s="4">
        <f>IF(Table1[[#This Row],[Warranty_Claim]]="Yes",1,0)</f>
        <v>1</v>
      </c>
      <c r="W2934" s="4">
        <f>IF(Table1[[#This Row],[Rework_Flag]]="No",1,0)</f>
        <v>1</v>
      </c>
      <c r="X2934" s="4">
        <f>IF(Table1[[#This Row],[Rework_Flag]]="Yes",1,0)</f>
        <v>0</v>
      </c>
      <c r="Y2934" s="4">
        <v>1</v>
      </c>
      <c r="Z2934" s="4" t="str">
        <f>IF(Table1[[#This Row],[TAT_Days]]&gt;Table1[[#This Row],[SLA_TAT]],"Yes","No")</f>
        <v>Yes</v>
      </c>
      <c r="AA2934" s="4" t="str" cm="1">
        <f t="array" ref="AA2934">_xlfn.IFS(Table1[[#This Row],[Customer_Satisfaction]]&lt;=2,"Poor",Table1[[#This Row],[Customer_Satisfaction]]=3,"Neutral",Table1[[#This Row],[Customer_Satisfaction]]=4,"Good",Table1[[#This Row],[Customer_Satisfaction]]=5,"Good")</f>
        <v>Poor</v>
      </c>
    </row>
    <row r="2935" spans="1:27" x14ac:dyDescent="0.35">
      <c r="A2935">
        <v>22933</v>
      </c>
      <c r="B2935" s="1">
        <v>45358</v>
      </c>
      <c r="C2935" t="s">
        <v>37</v>
      </c>
      <c r="D2935" t="s">
        <v>70</v>
      </c>
      <c r="E2935" t="s">
        <v>91</v>
      </c>
      <c r="F2935" t="s">
        <v>22</v>
      </c>
      <c r="G2935" t="s">
        <v>23</v>
      </c>
      <c r="H2935" t="s">
        <v>24</v>
      </c>
      <c r="I2935" t="s">
        <v>25</v>
      </c>
      <c r="J2935" t="s">
        <v>58</v>
      </c>
      <c r="K2935" t="s">
        <v>27</v>
      </c>
      <c r="L2935" t="s">
        <v>28</v>
      </c>
      <c r="M2935" s="4">
        <v>3</v>
      </c>
      <c r="N2935" s="4">
        <v>7</v>
      </c>
      <c r="O2935" t="s">
        <v>36</v>
      </c>
      <c r="P2935" t="s">
        <v>36</v>
      </c>
      <c r="Q2935" s="4">
        <v>359420</v>
      </c>
      <c r="R2935" s="4">
        <v>220378</v>
      </c>
      <c r="S2935" s="4">
        <f>Table1[[#This Row],[Service_Revenue]]-Table1[[#This Row],[Service_Cost]]</f>
        <v>139042</v>
      </c>
      <c r="T2935" s="4">
        <v>5</v>
      </c>
      <c r="U2935" s="4">
        <f>IF(AND(Table1[[#This Row],[Rework_Flag]]="Yes",Table1[[#This Row],[Warranty_Claim]]="No"),Table1[[#This Row],[Service_Revenue]],0)</f>
        <v>0</v>
      </c>
      <c r="V2935" s="4">
        <f>IF(Table1[[#This Row],[Warranty_Claim]]="Yes",1,0)</f>
        <v>0</v>
      </c>
      <c r="W2935" s="4">
        <f>IF(Table1[[#This Row],[Rework_Flag]]="No",1,0)</f>
        <v>1</v>
      </c>
      <c r="X2935" s="4">
        <f>IF(Table1[[#This Row],[Rework_Flag]]="Yes",1,0)</f>
        <v>0</v>
      </c>
      <c r="Y2935" s="4">
        <v>1</v>
      </c>
      <c r="Z2935" s="4" t="str">
        <f>IF(Table1[[#This Row],[TAT_Days]]&gt;Table1[[#This Row],[SLA_TAT]],"Yes","No")</f>
        <v>No</v>
      </c>
      <c r="AA2935" s="4" t="str" cm="1">
        <f t="array" ref="AA2935">_xlfn.IFS(Table1[[#This Row],[Customer_Satisfaction]]&lt;=2,"Poor",Table1[[#This Row],[Customer_Satisfaction]]=3,"Neutral",Table1[[#This Row],[Customer_Satisfaction]]=4,"Good",Table1[[#This Row],[Customer_Satisfaction]]=5,"Good")</f>
        <v>Good</v>
      </c>
    </row>
    <row r="2936" spans="1:27" x14ac:dyDescent="0.35">
      <c r="A2936">
        <v>22934</v>
      </c>
      <c r="B2936" s="1">
        <v>45345</v>
      </c>
      <c r="C2936" t="s">
        <v>50</v>
      </c>
      <c r="D2936" t="s">
        <v>80</v>
      </c>
      <c r="E2936" t="s">
        <v>81</v>
      </c>
      <c r="F2936" t="s">
        <v>22</v>
      </c>
      <c r="G2936" t="s">
        <v>74</v>
      </c>
      <c r="H2936" t="s">
        <v>34</v>
      </c>
      <c r="I2936" t="s">
        <v>25</v>
      </c>
      <c r="J2936" t="s">
        <v>26</v>
      </c>
      <c r="K2936" t="s">
        <v>61</v>
      </c>
      <c r="L2936" t="s">
        <v>28</v>
      </c>
      <c r="M2936" s="4">
        <v>15</v>
      </c>
      <c r="N2936" s="4">
        <v>7</v>
      </c>
      <c r="O2936" t="s">
        <v>36</v>
      </c>
      <c r="P2936" t="s">
        <v>36</v>
      </c>
      <c r="Q2936" s="4">
        <v>574900</v>
      </c>
      <c r="R2936" s="4">
        <v>291733</v>
      </c>
      <c r="S2936" s="4">
        <f>Table1[[#This Row],[Service_Revenue]]-Table1[[#This Row],[Service_Cost]]</f>
        <v>283167</v>
      </c>
      <c r="T2936" s="4">
        <v>2</v>
      </c>
      <c r="U2936" s="4">
        <f>IF(AND(Table1[[#This Row],[Rework_Flag]]="Yes",Table1[[#This Row],[Warranty_Claim]]="No"),Table1[[#This Row],[Service_Revenue]],0)</f>
        <v>0</v>
      </c>
      <c r="V2936" s="4">
        <f>IF(Table1[[#This Row],[Warranty_Claim]]="Yes",1,0)</f>
        <v>0</v>
      </c>
      <c r="W2936" s="4">
        <f>IF(Table1[[#This Row],[Rework_Flag]]="No",1,0)</f>
        <v>1</v>
      </c>
      <c r="X2936" s="4">
        <f>IF(Table1[[#This Row],[Rework_Flag]]="Yes",1,0)</f>
        <v>0</v>
      </c>
      <c r="Y2936" s="4">
        <v>1</v>
      </c>
      <c r="Z2936" s="4" t="str">
        <f>IF(Table1[[#This Row],[TAT_Days]]&gt;Table1[[#This Row],[SLA_TAT]],"Yes","No")</f>
        <v>Yes</v>
      </c>
      <c r="AA2936" s="4" t="str" cm="1">
        <f t="array" ref="AA2936">_xlfn.IFS(Table1[[#This Row],[Customer_Satisfaction]]&lt;=2,"Poor",Table1[[#This Row],[Customer_Satisfaction]]=3,"Neutral",Table1[[#This Row],[Customer_Satisfaction]]=4,"Good",Table1[[#This Row],[Customer_Satisfaction]]=5,"Good")</f>
        <v>Poor</v>
      </c>
    </row>
    <row r="2937" spans="1:27" x14ac:dyDescent="0.35">
      <c r="A2937">
        <v>22935</v>
      </c>
      <c r="B2937" s="1">
        <v>45319</v>
      </c>
      <c r="C2937" t="s">
        <v>37</v>
      </c>
      <c r="D2937" t="s">
        <v>64</v>
      </c>
      <c r="E2937" t="s">
        <v>87</v>
      </c>
      <c r="F2937" t="s">
        <v>53</v>
      </c>
      <c r="G2937" t="s">
        <v>33</v>
      </c>
      <c r="H2937" t="s">
        <v>34</v>
      </c>
      <c r="I2937" t="s">
        <v>25</v>
      </c>
      <c r="J2937" t="s">
        <v>35</v>
      </c>
      <c r="K2937" t="s">
        <v>61</v>
      </c>
      <c r="L2937" t="s">
        <v>49</v>
      </c>
      <c r="M2937" s="4">
        <v>13</v>
      </c>
      <c r="N2937" s="4">
        <v>7</v>
      </c>
      <c r="O2937" t="s">
        <v>36</v>
      </c>
      <c r="P2937" t="s">
        <v>29</v>
      </c>
      <c r="Q2937" s="4">
        <v>387174</v>
      </c>
      <c r="R2937" s="4">
        <v>297827</v>
      </c>
      <c r="S2937" s="4">
        <f>Table1[[#This Row],[Service_Revenue]]-Table1[[#This Row],[Service_Cost]]</f>
        <v>89347</v>
      </c>
      <c r="T2937" s="4">
        <v>3</v>
      </c>
      <c r="U2937" s="4">
        <f>IF(AND(Table1[[#This Row],[Rework_Flag]]="Yes",Table1[[#This Row],[Warranty_Claim]]="No"),Table1[[#This Row],[Service_Revenue]],0)</f>
        <v>0</v>
      </c>
      <c r="V2937" s="4">
        <f>IF(Table1[[#This Row],[Warranty_Claim]]="Yes",1,0)</f>
        <v>1</v>
      </c>
      <c r="W2937" s="4">
        <f>IF(Table1[[#This Row],[Rework_Flag]]="No",1,0)</f>
        <v>1</v>
      </c>
      <c r="X2937" s="4">
        <f>IF(Table1[[#This Row],[Rework_Flag]]="Yes",1,0)</f>
        <v>0</v>
      </c>
      <c r="Y2937" s="4">
        <v>1</v>
      </c>
      <c r="Z2937" s="4" t="str">
        <f>IF(Table1[[#This Row],[TAT_Days]]&gt;Table1[[#This Row],[SLA_TAT]],"Yes","No")</f>
        <v>Yes</v>
      </c>
      <c r="AA2937" s="4" t="str" cm="1">
        <f t="array" ref="AA2937">_xlfn.IFS(Table1[[#This Row],[Customer_Satisfaction]]&lt;=2,"Poor",Table1[[#This Row],[Customer_Satisfaction]]=3,"Neutral",Table1[[#This Row],[Customer_Satisfaction]]=4,"Good",Table1[[#This Row],[Customer_Satisfaction]]=5,"Good")</f>
        <v>Neutral</v>
      </c>
    </row>
    <row r="2938" spans="1:27" x14ac:dyDescent="0.35">
      <c r="A2938">
        <v>22936</v>
      </c>
      <c r="B2938" s="1">
        <v>45466</v>
      </c>
      <c r="C2938" t="s">
        <v>37</v>
      </c>
      <c r="D2938" t="s">
        <v>38</v>
      </c>
      <c r="E2938" t="s">
        <v>102</v>
      </c>
      <c r="F2938" t="s">
        <v>53</v>
      </c>
      <c r="G2938" t="s">
        <v>33</v>
      </c>
      <c r="H2938" t="s">
        <v>34</v>
      </c>
      <c r="I2938" t="s">
        <v>25</v>
      </c>
      <c r="J2938" t="s">
        <v>35</v>
      </c>
      <c r="K2938" t="s">
        <v>61</v>
      </c>
      <c r="L2938" t="s">
        <v>28</v>
      </c>
      <c r="M2938" s="4">
        <v>10</v>
      </c>
      <c r="N2938" s="4">
        <v>7</v>
      </c>
      <c r="O2938" t="s">
        <v>29</v>
      </c>
      <c r="P2938" t="s">
        <v>36</v>
      </c>
      <c r="Q2938" s="4">
        <v>366217</v>
      </c>
      <c r="R2938" s="4">
        <v>241595</v>
      </c>
      <c r="S2938" s="4">
        <f>Table1[[#This Row],[Service_Revenue]]-Table1[[#This Row],[Service_Cost]]</f>
        <v>124622</v>
      </c>
      <c r="T2938" s="4">
        <v>2</v>
      </c>
      <c r="U2938" s="4">
        <f>IF(AND(Table1[[#This Row],[Rework_Flag]]="Yes",Table1[[#This Row],[Warranty_Claim]]="No"),Table1[[#This Row],[Service_Revenue]],0)</f>
        <v>366217</v>
      </c>
      <c r="V2938" s="4">
        <f>IF(Table1[[#This Row],[Warranty_Claim]]="Yes",1,0)</f>
        <v>0</v>
      </c>
      <c r="W2938" s="4">
        <f>IF(Table1[[#This Row],[Rework_Flag]]="No",1,0)</f>
        <v>0</v>
      </c>
      <c r="X2938" s="4">
        <f>IF(Table1[[#This Row],[Rework_Flag]]="Yes",1,0)</f>
        <v>1</v>
      </c>
      <c r="Y2938" s="4">
        <v>1</v>
      </c>
      <c r="Z2938" s="4" t="str">
        <f>IF(Table1[[#This Row],[TAT_Days]]&gt;Table1[[#This Row],[SLA_TAT]],"Yes","No")</f>
        <v>Yes</v>
      </c>
      <c r="AA2938" s="4" t="str" cm="1">
        <f t="array" ref="AA2938">_xlfn.IFS(Table1[[#This Row],[Customer_Satisfaction]]&lt;=2,"Poor",Table1[[#This Row],[Customer_Satisfaction]]=3,"Neutral",Table1[[#This Row],[Customer_Satisfaction]]=4,"Good",Table1[[#This Row],[Customer_Satisfaction]]=5,"Good")</f>
        <v>Poor</v>
      </c>
    </row>
    <row r="2939" spans="1:27" x14ac:dyDescent="0.35">
      <c r="A2939">
        <v>22937</v>
      </c>
      <c r="B2939" s="1">
        <v>45361</v>
      </c>
      <c r="C2939" t="s">
        <v>30</v>
      </c>
      <c r="D2939" t="s">
        <v>31</v>
      </c>
      <c r="E2939" t="s">
        <v>32</v>
      </c>
      <c r="F2939" t="s">
        <v>22</v>
      </c>
      <c r="G2939" t="s">
        <v>23</v>
      </c>
      <c r="H2939" t="s">
        <v>24</v>
      </c>
      <c r="I2939" t="s">
        <v>55</v>
      </c>
      <c r="J2939" t="s">
        <v>67</v>
      </c>
      <c r="K2939" t="s">
        <v>27</v>
      </c>
      <c r="L2939" t="s">
        <v>49</v>
      </c>
      <c r="M2939" s="4">
        <v>19</v>
      </c>
      <c r="N2939" s="4">
        <v>7</v>
      </c>
      <c r="O2939" t="s">
        <v>29</v>
      </c>
      <c r="P2939" t="s">
        <v>29</v>
      </c>
      <c r="Q2939" s="4">
        <v>215320</v>
      </c>
      <c r="R2939" s="4">
        <v>175257</v>
      </c>
      <c r="S2939" s="4">
        <f>Table1[[#This Row],[Service_Revenue]]-Table1[[#This Row],[Service_Cost]]</f>
        <v>40063</v>
      </c>
      <c r="T2939" s="4">
        <v>1</v>
      </c>
      <c r="U2939" s="4">
        <f>IF(AND(Table1[[#This Row],[Rework_Flag]]="Yes",Table1[[#This Row],[Warranty_Claim]]="No"),Table1[[#This Row],[Service_Revenue]],0)</f>
        <v>0</v>
      </c>
      <c r="V2939" s="4">
        <f>IF(Table1[[#This Row],[Warranty_Claim]]="Yes",1,0)</f>
        <v>1</v>
      </c>
      <c r="W2939" s="4">
        <f>IF(Table1[[#This Row],[Rework_Flag]]="No",1,0)</f>
        <v>0</v>
      </c>
      <c r="X2939" s="4">
        <f>IF(Table1[[#This Row],[Rework_Flag]]="Yes",1,0)</f>
        <v>1</v>
      </c>
      <c r="Y2939" s="4">
        <v>1</v>
      </c>
      <c r="Z2939" s="4" t="str">
        <f>IF(Table1[[#This Row],[TAT_Days]]&gt;Table1[[#This Row],[SLA_TAT]],"Yes","No")</f>
        <v>Yes</v>
      </c>
      <c r="AA2939" s="4" t="str" cm="1">
        <f t="array" ref="AA2939">_xlfn.IFS(Table1[[#This Row],[Customer_Satisfaction]]&lt;=2,"Poor",Table1[[#This Row],[Customer_Satisfaction]]=3,"Neutral",Table1[[#This Row],[Customer_Satisfaction]]=4,"Good",Table1[[#This Row],[Customer_Satisfaction]]=5,"Good")</f>
        <v>Poor</v>
      </c>
    </row>
    <row r="2940" spans="1:27" x14ac:dyDescent="0.35">
      <c r="A2940">
        <v>22938</v>
      </c>
      <c r="B2940" s="1">
        <v>45311</v>
      </c>
      <c r="C2940" t="s">
        <v>19</v>
      </c>
      <c r="D2940" t="s">
        <v>96</v>
      </c>
      <c r="E2940" t="s">
        <v>97</v>
      </c>
      <c r="F2940" t="s">
        <v>53</v>
      </c>
      <c r="G2940" t="s">
        <v>47</v>
      </c>
      <c r="H2940" t="s">
        <v>48</v>
      </c>
      <c r="I2940" t="s">
        <v>55</v>
      </c>
      <c r="J2940" t="s">
        <v>35</v>
      </c>
      <c r="K2940" t="s">
        <v>61</v>
      </c>
      <c r="L2940" t="s">
        <v>49</v>
      </c>
      <c r="M2940" s="4">
        <v>23</v>
      </c>
      <c r="N2940" s="4">
        <v>7</v>
      </c>
      <c r="O2940" t="s">
        <v>36</v>
      </c>
      <c r="P2940" t="s">
        <v>36</v>
      </c>
      <c r="Q2940" s="4">
        <v>177762</v>
      </c>
      <c r="R2940" s="4">
        <v>96071</v>
      </c>
      <c r="S2940" s="4">
        <f>Table1[[#This Row],[Service_Revenue]]-Table1[[#This Row],[Service_Cost]]</f>
        <v>81691</v>
      </c>
      <c r="T2940" s="4">
        <v>1</v>
      </c>
      <c r="U2940" s="4">
        <f>IF(AND(Table1[[#This Row],[Rework_Flag]]="Yes",Table1[[#This Row],[Warranty_Claim]]="No"),Table1[[#This Row],[Service_Revenue]],0)</f>
        <v>0</v>
      </c>
      <c r="V2940" s="4">
        <f>IF(Table1[[#This Row],[Warranty_Claim]]="Yes",1,0)</f>
        <v>0</v>
      </c>
      <c r="W2940" s="4">
        <f>IF(Table1[[#This Row],[Rework_Flag]]="No",1,0)</f>
        <v>1</v>
      </c>
      <c r="X2940" s="4">
        <f>IF(Table1[[#This Row],[Rework_Flag]]="Yes",1,0)</f>
        <v>0</v>
      </c>
      <c r="Y2940" s="4">
        <v>1</v>
      </c>
      <c r="Z2940" s="4" t="str">
        <f>IF(Table1[[#This Row],[TAT_Days]]&gt;Table1[[#This Row],[SLA_TAT]],"Yes","No")</f>
        <v>Yes</v>
      </c>
      <c r="AA2940" s="4" t="str" cm="1">
        <f t="array" ref="AA2940">_xlfn.IFS(Table1[[#This Row],[Customer_Satisfaction]]&lt;=2,"Poor",Table1[[#This Row],[Customer_Satisfaction]]=3,"Neutral",Table1[[#This Row],[Customer_Satisfaction]]=4,"Good",Table1[[#This Row],[Customer_Satisfaction]]=5,"Good")</f>
        <v>Poor</v>
      </c>
    </row>
    <row r="2941" spans="1:27" x14ac:dyDescent="0.35">
      <c r="A2941">
        <v>22939</v>
      </c>
      <c r="B2941" s="1">
        <v>45327</v>
      </c>
      <c r="C2941" t="s">
        <v>37</v>
      </c>
      <c r="D2941" t="s">
        <v>64</v>
      </c>
      <c r="E2941" t="s">
        <v>72</v>
      </c>
      <c r="F2941" t="s">
        <v>22</v>
      </c>
      <c r="G2941" t="s">
        <v>74</v>
      </c>
      <c r="H2941" t="s">
        <v>34</v>
      </c>
      <c r="I2941" t="s">
        <v>55</v>
      </c>
      <c r="J2941" t="s">
        <v>58</v>
      </c>
      <c r="K2941" t="s">
        <v>44</v>
      </c>
      <c r="L2941" t="s">
        <v>28</v>
      </c>
      <c r="M2941" s="4">
        <v>2</v>
      </c>
      <c r="N2941" s="4">
        <v>7</v>
      </c>
      <c r="O2941" t="s">
        <v>29</v>
      </c>
      <c r="P2941" t="s">
        <v>36</v>
      </c>
      <c r="Q2941" s="4">
        <v>421039</v>
      </c>
      <c r="R2941" s="4">
        <v>244326</v>
      </c>
      <c r="S2941" s="4">
        <f>Table1[[#This Row],[Service_Revenue]]-Table1[[#This Row],[Service_Cost]]</f>
        <v>176713</v>
      </c>
      <c r="T2941" s="4">
        <v>4</v>
      </c>
      <c r="U2941" s="4">
        <f>IF(AND(Table1[[#This Row],[Rework_Flag]]="Yes",Table1[[#This Row],[Warranty_Claim]]="No"),Table1[[#This Row],[Service_Revenue]],0)</f>
        <v>421039</v>
      </c>
      <c r="V2941" s="4">
        <f>IF(Table1[[#This Row],[Warranty_Claim]]="Yes",1,0)</f>
        <v>0</v>
      </c>
      <c r="W2941" s="4">
        <f>IF(Table1[[#This Row],[Rework_Flag]]="No",1,0)</f>
        <v>0</v>
      </c>
      <c r="X2941" s="4">
        <f>IF(Table1[[#This Row],[Rework_Flag]]="Yes",1,0)</f>
        <v>1</v>
      </c>
      <c r="Y2941" s="4">
        <v>1</v>
      </c>
      <c r="Z2941" s="4" t="str">
        <f>IF(Table1[[#This Row],[TAT_Days]]&gt;Table1[[#This Row],[SLA_TAT]],"Yes","No")</f>
        <v>No</v>
      </c>
      <c r="AA2941" s="4" t="str" cm="1">
        <f t="array" ref="AA2941">_xlfn.IFS(Table1[[#This Row],[Customer_Satisfaction]]&lt;=2,"Poor",Table1[[#This Row],[Customer_Satisfaction]]=3,"Neutral",Table1[[#This Row],[Customer_Satisfaction]]=4,"Good",Table1[[#This Row],[Customer_Satisfaction]]=5,"Good")</f>
        <v>Good</v>
      </c>
    </row>
    <row r="2942" spans="1:27" x14ac:dyDescent="0.35">
      <c r="A2942">
        <v>22940</v>
      </c>
      <c r="B2942" s="1">
        <v>45358</v>
      </c>
      <c r="C2942" t="s">
        <v>19</v>
      </c>
      <c r="D2942" t="s">
        <v>45</v>
      </c>
      <c r="E2942" t="s">
        <v>99</v>
      </c>
      <c r="F2942" t="s">
        <v>40</v>
      </c>
      <c r="G2942" t="s">
        <v>33</v>
      </c>
      <c r="H2942" t="s">
        <v>34</v>
      </c>
      <c r="I2942" t="s">
        <v>55</v>
      </c>
      <c r="J2942" t="s">
        <v>43</v>
      </c>
      <c r="K2942" t="s">
        <v>27</v>
      </c>
      <c r="L2942" t="s">
        <v>28</v>
      </c>
      <c r="M2942" s="4">
        <v>11</v>
      </c>
      <c r="N2942" s="4">
        <v>7</v>
      </c>
      <c r="O2942" t="s">
        <v>29</v>
      </c>
      <c r="P2942" t="s">
        <v>36</v>
      </c>
      <c r="Q2942" s="4">
        <v>518580</v>
      </c>
      <c r="R2942" s="4">
        <v>425775</v>
      </c>
      <c r="S2942" s="4">
        <f>Table1[[#This Row],[Service_Revenue]]-Table1[[#This Row],[Service_Cost]]</f>
        <v>92805</v>
      </c>
      <c r="T2942" s="4">
        <v>2</v>
      </c>
      <c r="U2942" s="4">
        <f>IF(AND(Table1[[#This Row],[Rework_Flag]]="Yes",Table1[[#This Row],[Warranty_Claim]]="No"),Table1[[#This Row],[Service_Revenue]],0)</f>
        <v>518580</v>
      </c>
      <c r="V2942" s="4">
        <f>IF(Table1[[#This Row],[Warranty_Claim]]="Yes",1,0)</f>
        <v>0</v>
      </c>
      <c r="W2942" s="4">
        <f>IF(Table1[[#This Row],[Rework_Flag]]="No",1,0)</f>
        <v>0</v>
      </c>
      <c r="X2942" s="4">
        <f>IF(Table1[[#This Row],[Rework_Flag]]="Yes",1,0)</f>
        <v>1</v>
      </c>
      <c r="Y2942" s="4">
        <v>1</v>
      </c>
      <c r="Z2942" s="4" t="str">
        <f>IF(Table1[[#This Row],[TAT_Days]]&gt;Table1[[#This Row],[SLA_TAT]],"Yes","No")</f>
        <v>Yes</v>
      </c>
      <c r="AA2942" s="4" t="str" cm="1">
        <f t="array" ref="AA2942">_xlfn.IFS(Table1[[#This Row],[Customer_Satisfaction]]&lt;=2,"Poor",Table1[[#This Row],[Customer_Satisfaction]]=3,"Neutral",Table1[[#This Row],[Customer_Satisfaction]]=4,"Good",Table1[[#This Row],[Customer_Satisfaction]]=5,"Good")</f>
        <v>Poor</v>
      </c>
    </row>
    <row r="2943" spans="1:27" x14ac:dyDescent="0.35">
      <c r="A2943">
        <v>22941</v>
      </c>
      <c r="B2943" s="1">
        <v>45412</v>
      </c>
      <c r="C2943" t="s">
        <v>37</v>
      </c>
      <c r="D2943" t="s">
        <v>64</v>
      </c>
      <c r="E2943" t="s">
        <v>72</v>
      </c>
      <c r="F2943" t="s">
        <v>22</v>
      </c>
      <c r="G2943" t="s">
        <v>47</v>
      </c>
      <c r="H2943" t="s">
        <v>48</v>
      </c>
      <c r="I2943" t="s">
        <v>25</v>
      </c>
      <c r="J2943" t="s">
        <v>26</v>
      </c>
      <c r="K2943" t="s">
        <v>61</v>
      </c>
      <c r="L2943" t="s">
        <v>28</v>
      </c>
      <c r="M2943" s="4">
        <v>8</v>
      </c>
      <c r="N2943" s="4">
        <v>7</v>
      </c>
      <c r="O2943" t="s">
        <v>36</v>
      </c>
      <c r="P2943" t="s">
        <v>36</v>
      </c>
      <c r="Q2943" s="4">
        <v>285821</v>
      </c>
      <c r="R2943" s="4">
        <v>194140</v>
      </c>
      <c r="S2943" s="4">
        <f>Table1[[#This Row],[Service_Revenue]]-Table1[[#This Row],[Service_Cost]]</f>
        <v>91681</v>
      </c>
      <c r="T2943" s="4">
        <v>4</v>
      </c>
      <c r="U2943" s="4">
        <f>IF(AND(Table1[[#This Row],[Rework_Flag]]="Yes",Table1[[#This Row],[Warranty_Claim]]="No"),Table1[[#This Row],[Service_Revenue]],0)</f>
        <v>0</v>
      </c>
      <c r="V2943" s="4">
        <f>IF(Table1[[#This Row],[Warranty_Claim]]="Yes",1,0)</f>
        <v>0</v>
      </c>
      <c r="W2943" s="4">
        <f>IF(Table1[[#This Row],[Rework_Flag]]="No",1,0)</f>
        <v>1</v>
      </c>
      <c r="X2943" s="4">
        <f>IF(Table1[[#This Row],[Rework_Flag]]="Yes",1,0)</f>
        <v>0</v>
      </c>
      <c r="Y2943" s="4">
        <v>1</v>
      </c>
      <c r="Z2943" s="4" t="str">
        <f>IF(Table1[[#This Row],[TAT_Days]]&gt;Table1[[#This Row],[SLA_TAT]],"Yes","No")</f>
        <v>Yes</v>
      </c>
      <c r="AA2943" s="4" t="str" cm="1">
        <f t="array" ref="AA2943">_xlfn.IFS(Table1[[#This Row],[Customer_Satisfaction]]&lt;=2,"Poor",Table1[[#This Row],[Customer_Satisfaction]]=3,"Neutral",Table1[[#This Row],[Customer_Satisfaction]]=4,"Good",Table1[[#This Row],[Customer_Satisfaction]]=5,"Good")</f>
        <v>Good</v>
      </c>
    </row>
    <row r="2944" spans="1:27" x14ac:dyDescent="0.35">
      <c r="A2944">
        <v>22942</v>
      </c>
      <c r="B2944" s="1">
        <v>45382</v>
      </c>
      <c r="C2944" t="s">
        <v>50</v>
      </c>
      <c r="D2944" t="s">
        <v>56</v>
      </c>
      <c r="E2944" t="s">
        <v>68</v>
      </c>
      <c r="F2944" t="s">
        <v>22</v>
      </c>
      <c r="G2944" t="s">
        <v>74</v>
      </c>
      <c r="H2944" t="s">
        <v>34</v>
      </c>
      <c r="I2944" t="s">
        <v>25</v>
      </c>
      <c r="J2944" t="s">
        <v>43</v>
      </c>
      <c r="K2944" t="s">
        <v>61</v>
      </c>
      <c r="L2944" t="s">
        <v>28</v>
      </c>
      <c r="M2944" s="4">
        <v>7</v>
      </c>
      <c r="N2944" s="4">
        <v>7</v>
      </c>
      <c r="O2944" t="s">
        <v>29</v>
      </c>
      <c r="P2944" t="s">
        <v>29</v>
      </c>
      <c r="Q2944" s="4">
        <v>327870</v>
      </c>
      <c r="R2944" s="4">
        <v>191486</v>
      </c>
      <c r="S2944" s="4">
        <f>Table1[[#This Row],[Service_Revenue]]-Table1[[#This Row],[Service_Cost]]</f>
        <v>136384</v>
      </c>
      <c r="T2944" s="4">
        <v>3</v>
      </c>
      <c r="U2944" s="4">
        <f>IF(AND(Table1[[#This Row],[Rework_Flag]]="Yes",Table1[[#This Row],[Warranty_Claim]]="No"),Table1[[#This Row],[Service_Revenue]],0)</f>
        <v>0</v>
      </c>
      <c r="V2944" s="4">
        <f>IF(Table1[[#This Row],[Warranty_Claim]]="Yes",1,0)</f>
        <v>1</v>
      </c>
      <c r="W2944" s="4">
        <f>IF(Table1[[#This Row],[Rework_Flag]]="No",1,0)</f>
        <v>0</v>
      </c>
      <c r="X2944" s="4">
        <f>IF(Table1[[#This Row],[Rework_Flag]]="Yes",1,0)</f>
        <v>1</v>
      </c>
      <c r="Y2944" s="4">
        <v>1</v>
      </c>
      <c r="Z2944" s="4" t="str">
        <f>IF(Table1[[#This Row],[TAT_Days]]&gt;Table1[[#This Row],[SLA_TAT]],"Yes","No")</f>
        <v>No</v>
      </c>
      <c r="AA2944" s="4" t="str" cm="1">
        <f t="array" ref="AA2944">_xlfn.IFS(Table1[[#This Row],[Customer_Satisfaction]]&lt;=2,"Poor",Table1[[#This Row],[Customer_Satisfaction]]=3,"Neutral",Table1[[#This Row],[Customer_Satisfaction]]=4,"Good",Table1[[#This Row],[Customer_Satisfaction]]=5,"Good")</f>
        <v>Neutral</v>
      </c>
    </row>
    <row r="2945" spans="1:27" x14ac:dyDescent="0.35">
      <c r="A2945">
        <v>22943</v>
      </c>
      <c r="B2945" s="1">
        <v>45387</v>
      </c>
      <c r="C2945" t="s">
        <v>19</v>
      </c>
      <c r="D2945" t="s">
        <v>20</v>
      </c>
      <c r="E2945" t="s">
        <v>117</v>
      </c>
      <c r="F2945" t="s">
        <v>40</v>
      </c>
      <c r="G2945" t="s">
        <v>63</v>
      </c>
      <c r="H2945" t="s">
        <v>24</v>
      </c>
      <c r="I2945" t="s">
        <v>25</v>
      </c>
      <c r="J2945" t="s">
        <v>35</v>
      </c>
      <c r="K2945" t="s">
        <v>27</v>
      </c>
      <c r="L2945" t="s">
        <v>28</v>
      </c>
      <c r="M2945" s="4">
        <v>12</v>
      </c>
      <c r="N2945" s="4">
        <v>7</v>
      </c>
      <c r="O2945" t="s">
        <v>29</v>
      </c>
      <c r="P2945" t="s">
        <v>36</v>
      </c>
      <c r="Q2945" s="4">
        <v>230660</v>
      </c>
      <c r="R2945" s="4">
        <v>131869</v>
      </c>
      <c r="S2945" s="4">
        <f>Table1[[#This Row],[Service_Revenue]]-Table1[[#This Row],[Service_Cost]]</f>
        <v>98791</v>
      </c>
      <c r="T2945" s="4">
        <v>2</v>
      </c>
      <c r="U2945" s="4">
        <f>IF(AND(Table1[[#This Row],[Rework_Flag]]="Yes",Table1[[#This Row],[Warranty_Claim]]="No"),Table1[[#This Row],[Service_Revenue]],0)</f>
        <v>230660</v>
      </c>
      <c r="V2945" s="4">
        <f>IF(Table1[[#This Row],[Warranty_Claim]]="Yes",1,0)</f>
        <v>0</v>
      </c>
      <c r="W2945" s="4">
        <f>IF(Table1[[#This Row],[Rework_Flag]]="No",1,0)</f>
        <v>0</v>
      </c>
      <c r="X2945" s="4">
        <f>IF(Table1[[#This Row],[Rework_Flag]]="Yes",1,0)</f>
        <v>1</v>
      </c>
      <c r="Y2945" s="4">
        <v>1</v>
      </c>
      <c r="Z2945" s="4" t="str">
        <f>IF(Table1[[#This Row],[TAT_Days]]&gt;Table1[[#This Row],[SLA_TAT]],"Yes","No")</f>
        <v>Yes</v>
      </c>
      <c r="AA2945" s="4" t="str" cm="1">
        <f t="array" ref="AA2945">_xlfn.IFS(Table1[[#This Row],[Customer_Satisfaction]]&lt;=2,"Poor",Table1[[#This Row],[Customer_Satisfaction]]=3,"Neutral",Table1[[#This Row],[Customer_Satisfaction]]=4,"Good",Table1[[#This Row],[Customer_Satisfaction]]=5,"Good")</f>
        <v>Poor</v>
      </c>
    </row>
    <row r="2946" spans="1:27" x14ac:dyDescent="0.35">
      <c r="A2946">
        <v>22944</v>
      </c>
      <c r="B2946" s="1">
        <v>45395</v>
      </c>
      <c r="C2946" t="s">
        <v>30</v>
      </c>
      <c r="D2946" t="s">
        <v>59</v>
      </c>
      <c r="E2946" t="s">
        <v>66</v>
      </c>
      <c r="F2946" t="s">
        <v>22</v>
      </c>
      <c r="G2946" t="s">
        <v>47</v>
      </c>
      <c r="H2946" t="s">
        <v>48</v>
      </c>
      <c r="I2946" t="s">
        <v>25</v>
      </c>
      <c r="J2946" t="s">
        <v>35</v>
      </c>
      <c r="K2946" t="s">
        <v>61</v>
      </c>
      <c r="L2946" t="s">
        <v>28</v>
      </c>
      <c r="M2946" s="4">
        <v>3</v>
      </c>
      <c r="N2946" s="4">
        <v>7</v>
      </c>
      <c r="O2946" t="s">
        <v>29</v>
      </c>
      <c r="P2946" t="s">
        <v>29</v>
      </c>
      <c r="Q2946" s="4">
        <v>505333</v>
      </c>
      <c r="R2946" s="4">
        <v>304907</v>
      </c>
      <c r="S2946" s="4">
        <f>Table1[[#This Row],[Service_Revenue]]-Table1[[#This Row],[Service_Cost]]</f>
        <v>200426</v>
      </c>
      <c r="T2946" s="4">
        <v>4</v>
      </c>
      <c r="U2946" s="4">
        <f>IF(AND(Table1[[#This Row],[Rework_Flag]]="Yes",Table1[[#This Row],[Warranty_Claim]]="No"),Table1[[#This Row],[Service_Revenue]],0)</f>
        <v>0</v>
      </c>
      <c r="V2946" s="4">
        <f>IF(Table1[[#This Row],[Warranty_Claim]]="Yes",1,0)</f>
        <v>1</v>
      </c>
      <c r="W2946" s="4">
        <f>IF(Table1[[#This Row],[Rework_Flag]]="No",1,0)</f>
        <v>0</v>
      </c>
      <c r="X2946" s="4">
        <f>IF(Table1[[#This Row],[Rework_Flag]]="Yes",1,0)</f>
        <v>1</v>
      </c>
      <c r="Y2946" s="4">
        <v>1</v>
      </c>
      <c r="Z2946" s="4" t="str">
        <f>IF(Table1[[#This Row],[TAT_Days]]&gt;Table1[[#This Row],[SLA_TAT]],"Yes","No")</f>
        <v>No</v>
      </c>
      <c r="AA2946" s="4" t="str" cm="1">
        <f t="array" ref="AA2946">_xlfn.IFS(Table1[[#This Row],[Customer_Satisfaction]]&lt;=2,"Poor",Table1[[#This Row],[Customer_Satisfaction]]=3,"Neutral",Table1[[#This Row],[Customer_Satisfaction]]=4,"Good",Table1[[#This Row],[Customer_Satisfaction]]=5,"Good")</f>
        <v>Good</v>
      </c>
    </row>
    <row r="2947" spans="1:27" x14ac:dyDescent="0.35">
      <c r="A2947">
        <v>22945</v>
      </c>
      <c r="B2947" s="1">
        <v>45333</v>
      </c>
      <c r="C2947" t="s">
        <v>50</v>
      </c>
      <c r="D2947" t="s">
        <v>56</v>
      </c>
      <c r="E2947" t="s">
        <v>68</v>
      </c>
      <c r="F2947" t="s">
        <v>40</v>
      </c>
      <c r="G2947" t="s">
        <v>63</v>
      </c>
      <c r="H2947" t="s">
        <v>24</v>
      </c>
      <c r="I2947" t="s">
        <v>55</v>
      </c>
      <c r="J2947" t="s">
        <v>35</v>
      </c>
      <c r="K2947" t="s">
        <v>27</v>
      </c>
      <c r="L2947" t="s">
        <v>28</v>
      </c>
      <c r="M2947" s="4">
        <v>15</v>
      </c>
      <c r="N2947" s="4">
        <v>7</v>
      </c>
      <c r="O2947" t="s">
        <v>29</v>
      </c>
      <c r="P2947" t="s">
        <v>36</v>
      </c>
      <c r="Q2947" s="4">
        <v>364289</v>
      </c>
      <c r="R2947" s="4">
        <v>265654</v>
      </c>
      <c r="S2947" s="4">
        <f>Table1[[#This Row],[Service_Revenue]]-Table1[[#This Row],[Service_Cost]]</f>
        <v>98635</v>
      </c>
      <c r="T2947" s="4">
        <v>1</v>
      </c>
      <c r="U2947" s="4">
        <f>IF(AND(Table1[[#This Row],[Rework_Flag]]="Yes",Table1[[#This Row],[Warranty_Claim]]="No"),Table1[[#This Row],[Service_Revenue]],0)</f>
        <v>364289</v>
      </c>
      <c r="V2947" s="4">
        <f>IF(Table1[[#This Row],[Warranty_Claim]]="Yes",1,0)</f>
        <v>0</v>
      </c>
      <c r="W2947" s="4">
        <f>IF(Table1[[#This Row],[Rework_Flag]]="No",1,0)</f>
        <v>0</v>
      </c>
      <c r="X2947" s="4">
        <f>IF(Table1[[#This Row],[Rework_Flag]]="Yes",1,0)</f>
        <v>1</v>
      </c>
      <c r="Y2947" s="4">
        <v>1</v>
      </c>
      <c r="Z2947" s="4" t="str">
        <f>IF(Table1[[#This Row],[TAT_Days]]&gt;Table1[[#This Row],[SLA_TAT]],"Yes","No")</f>
        <v>Yes</v>
      </c>
      <c r="AA2947" s="4" t="str" cm="1">
        <f t="array" ref="AA2947">_xlfn.IFS(Table1[[#This Row],[Customer_Satisfaction]]&lt;=2,"Poor",Table1[[#This Row],[Customer_Satisfaction]]=3,"Neutral",Table1[[#This Row],[Customer_Satisfaction]]=4,"Good",Table1[[#This Row],[Customer_Satisfaction]]=5,"Good")</f>
        <v>Poor</v>
      </c>
    </row>
    <row r="2948" spans="1:27" x14ac:dyDescent="0.35">
      <c r="A2948">
        <v>22946</v>
      </c>
      <c r="B2948" s="1">
        <v>45444</v>
      </c>
      <c r="C2948" t="s">
        <v>50</v>
      </c>
      <c r="D2948" t="s">
        <v>51</v>
      </c>
      <c r="E2948" t="s">
        <v>73</v>
      </c>
      <c r="F2948" t="s">
        <v>53</v>
      </c>
      <c r="G2948" t="s">
        <v>33</v>
      </c>
      <c r="H2948" t="s">
        <v>34</v>
      </c>
      <c r="I2948" t="s">
        <v>55</v>
      </c>
      <c r="J2948" t="s">
        <v>43</v>
      </c>
      <c r="K2948" t="s">
        <v>44</v>
      </c>
      <c r="L2948" t="s">
        <v>49</v>
      </c>
      <c r="M2948" s="4">
        <v>18</v>
      </c>
      <c r="N2948" s="4">
        <v>7</v>
      </c>
      <c r="O2948" t="s">
        <v>29</v>
      </c>
      <c r="P2948" t="s">
        <v>29</v>
      </c>
      <c r="Q2948" s="4">
        <v>270485</v>
      </c>
      <c r="R2948" s="4">
        <v>190893</v>
      </c>
      <c r="S2948" s="4">
        <f>Table1[[#This Row],[Service_Revenue]]-Table1[[#This Row],[Service_Cost]]</f>
        <v>79592</v>
      </c>
      <c r="T2948" s="4">
        <v>1</v>
      </c>
      <c r="U2948" s="4">
        <f>IF(AND(Table1[[#This Row],[Rework_Flag]]="Yes",Table1[[#This Row],[Warranty_Claim]]="No"),Table1[[#This Row],[Service_Revenue]],0)</f>
        <v>0</v>
      </c>
      <c r="V2948" s="4">
        <f>IF(Table1[[#This Row],[Warranty_Claim]]="Yes",1,0)</f>
        <v>1</v>
      </c>
      <c r="W2948" s="4">
        <f>IF(Table1[[#This Row],[Rework_Flag]]="No",1,0)</f>
        <v>0</v>
      </c>
      <c r="X2948" s="4">
        <f>IF(Table1[[#This Row],[Rework_Flag]]="Yes",1,0)</f>
        <v>1</v>
      </c>
      <c r="Y2948" s="4">
        <v>1</v>
      </c>
      <c r="Z2948" s="4" t="str">
        <f>IF(Table1[[#This Row],[TAT_Days]]&gt;Table1[[#This Row],[SLA_TAT]],"Yes","No")</f>
        <v>Yes</v>
      </c>
      <c r="AA2948" s="4" t="str" cm="1">
        <f t="array" ref="AA2948">_xlfn.IFS(Table1[[#This Row],[Customer_Satisfaction]]&lt;=2,"Poor",Table1[[#This Row],[Customer_Satisfaction]]=3,"Neutral",Table1[[#This Row],[Customer_Satisfaction]]=4,"Good",Table1[[#This Row],[Customer_Satisfaction]]=5,"Good")</f>
        <v>Poor</v>
      </c>
    </row>
    <row r="2949" spans="1:27" x14ac:dyDescent="0.35">
      <c r="A2949">
        <v>22947</v>
      </c>
      <c r="B2949" s="1">
        <v>45427</v>
      </c>
      <c r="C2949" t="s">
        <v>19</v>
      </c>
      <c r="D2949" t="s">
        <v>20</v>
      </c>
      <c r="E2949" t="s">
        <v>21</v>
      </c>
      <c r="F2949" t="s">
        <v>40</v>
      </c>
      <c r="G2949" t="s">
        <v>23</v>
      </c>
      <c r="H2949" t="s">
        <v>24</v>
      </c>
      <c r="I2949" t="s">
        <v>25</v>
      </c>
      <c r="J2949" t="s">
        <v>58</v>
      </c>
      <c r="K2949" t="s">
        <v>27</v>
      </c>
      <c r="L2949" t="s">
        <v>49</v>
      </c>
      <c r="M2949" s="4">
        <v>5</v>
      </c>
      <c r="N2949" s="4">
        <v>7</v>
      </c>
      <c r="O2949" t="s">
        <v>29</v>
      </c>
      <c r="P2949" t="s">
        <v>36</v>
      </c>
      <c r="Q2949" s="4">
        <v>179910</v>
      </c>
      <c r="R2949" s="4">
        <v>147223</v>
      </c>
      <c r="S2949" s="4">
        <f>Table1[[#This Row],[Service_Revenue]]-Table1[[#This Row],[Service_Cost]]</f>
        <v>32687</v>
      </c>
      <c r="T2949" s="4">
        <v>3</v>
      </c>
      <c r="U2949" s="4">
        <f>IF(AND(Table1[[#This Row],[Rework_Flag]]="Yes",Table1[[#This Row],[Warranty_Claim]]="No"),Table1[[#This Row],[Service_Revenue]],0)</f>
        <v>179910</v>
      </c>
      <c r="V2949" s="4">
        <f>IF(Table1[[#This Row],[Warranty_Claim]]="Yes",1,0)</f>
        <v>0</v>
      </c>
      <c r="W2949" s="4">
        <f>IF(Table1[[#This Row],[Rework_Flag]]="No",1,0)</f>
        <v>0</v>
      </c>
      <c r="X2949" s="4">
        <f>IF(Table1[[#This Row],[Rework_Flag]]="Yes",1,0)</f>
        <v>1</v>
      </c>
      <c r="Y2949" s="4">
        <v>1</v>
      </c>
      <c r="Z2949" s="4" t="str">
        <f>IF(Table1[[#This Row],[TAT_Days]]&gt;Table1[[#This Row],[SLA_TAT]],"Yes","No")</f>
        <v>No</v>
      </c>
      <c r="AA2949" s="4" t="str" cm="1">
        <f t="array" ref="AA2949">_xlfn.IFS(Table1[[#This Row],[Customer_Satisfaction]]&lt;=2,"Poor",Table1[[#This Row],[Customer_Satisfaction]]=3,"Neutral",Table1[[#This Row],[Customer_Satisfaction]]=4,"Good",Table1[[#This Row],[Customer_Satisfaction]]=5,"Good")</f>
        <v>Neutral</v>
      </c>
    </row>
    <row r="2950" spans="1:27" x14ac:dyDescent="0.35">
      <c r="A2950">
        <v>22948</v>
      </c>
      <c r="B2950" s="1">
        <v>45301</v>
      </c>
      <c r="C2950" t="s">
        <v>37</v>
      </c>
      <c r="D2950" t="s">
        <v>38</v>
      </c>
      <c r="E2950" t="s">
        <v>93</v>
      </c>
      <c r="F2950" t="s">
        <v>22</v>
      </c>
      <c r="G2950" t="s">
        <v>54</v>
      </c>
      <c r="H2950" t="s">
        <v>42</v>
      </c>
      <c r="I2950" t="s">
        <v>25</v>
      </c>
      <c r="J2950" t="s">
        <v>58</v>
      </c>
      <c r="K2950" t="s">
        <v>61</v>
      </c>
      <c r="L2950" t="s">
        <v>28</v>
      </c>
      <c r="M2950" s="4">
        <v>8</v>
      </c>
      <c r="N2950" s="4">
        <v>7</v>
      </c>
      <c r="O2950" t="s">
        <v>29</v>
      </c>
      <c r="P2950" t="s">
        <v>36</v>
      </c>
      <c r="Q2950" s="4">
        <v>118679</v>
      </c>
      <c r="R2950" s="4">
        <v>96884</v>
      </c>
      <c r="S2950" s="4">
        <f>Table1[[#This Row],[Service_Revenue]]-Table1[[#This Row],[Service_Cost]]</f>
        <v>21795</v>
      </c>
      <c r="T2950" s="4">
        <v>3</v>
      </c>
      <c r="U2950" s="4">
        <f>IF(AND(Table1[[#This Row],[Rework_Flag]]="Yes",Table1[[#This Row],[Warranty_Claim]]="No"),Table1[[#This Row],[Service_Revenue]],0)</f>
        <v>118679</v>
      </c>
      <c r="V2950" s="4">
        <f>IF(Table1[[#This Row],[Warranty_Claim]]="Yes",1,0)</f>
        <v>0</v>
      </c>
      <c r="W2950" s="4">
        <f>IF(Table1[[#This Row],[Rework_Flag]]="No",1,0)</f>
        <v>0</v>
      </c>
      <c r="X2950" s="4">
        <f>IF(Table1[[#This Row],[Rework_Flag]]="Yes",1,0)</f>
        <v>1</v>
      </c>
      <c r="Y2950" s="4">
        <v>1</v>
      </c>
      <c r="Z2950" s="4" t="str">
        <f>IF(Table1[[#This Row],[TAT_Days]]&gt;Table1[[#This Row],[SLA_TAT]],"Yes","No")</f>
        <v>Yes</v>
      </c>
      <c r="AA2950" s="4" t="str" cm="1">
        <f t="array" ref="AA2950">_xlfn.IFS(Table1[[#This Row],[Customer_Satisfaction]]&lt;=2,"Poor",Table1[[#This Row],[Customer_Satisfaction]]=3,"Neutral",Table1[[#This Row],[Customer_Satisfaction]]=4,"Good",Table1[[#This Row],[Customer_Satisfaction]]=5,"Good")</f>
        <v>Neutral</v>
      </c>
    </row>
    <row r="2951" spans="1:27" x14ac:dyDescent="0.35">
      <c r="A2951">
        <v>22949</v>
      </c>
      <c r="B2951" s="1">
        <v>45355</v>
      </c>
      <c r="C2951" t="s">
        <v>50</v>
      </c>
      <c r="D2951" t="s">
        <v>51</v>
      </c>
      <c r="E2951" t="s">
        <v>52</v>
      </c>
      <c r="F2951" t="s">
        <v>22</v>
      </c>
      <c r="G2951" t="s">
        <v>54</v>
      </c>
      <c r="H2951" t="s">
        <v>42</v>
      </c>
      <c r="I2951" t="s">
        <v>25</v>
      </c>
      <c r="J2951" t="s">
        <v>67</v>
      </c>
      <c r="K2951" t="s">
        <v>27</v>
      </c>
      <c r="L2951" t="s">
        <v>28</v>
      </c>
      <c r="M2951" s="4">
        <v>11</v>
      </c>
      <c r="N2951" s="4">
        <v>7</v>
      </c>
      <c r="O2951" t="s">
        <v>29</v>
      </c>
      <c r="P2951" t="s">
        <v>29</v>
      </c>
      <c r="Q2951" s="4">
        <v>441065</v>
      </c>
      <c r="R2951" s="4">
        <v>291206</v>
      </c>
      <c r="S2951" s="4">
        <f>Table1[[#This Row],[Service_Revenue]]-Table1[[#This Row],[Service_Cost]]</f>
        <v>149859</v>
      </c>
      <c r="T2951" s="4">
        <v>2</v>
      </c>
      <c r="U2951" s="4">
        <f>IF(AND(Table1[[#This Row],[Rework_Flag]]="Yes",Table1[[#This Row],[Warranty_Claim]]="No"),Table1[[#This Row],[Service_Revenue]],0)</f>
        <v>0</v>
      </c>
      <c r="V2951" s="4">
        <f>IF(Table1[[#This Row],[Warranty_Claim]]="Yes",1,0)</f>
        <v>1</v>
      </c>
      <c r="W2951" s="4">
        <f>IF(Table1[[#This Row],[Rework_Flag]]="No",1,0)</f>
        <v>0</v>
      </c>
      <c r="X2951" s="4">
        <f>IF(Table1[[#This Row],[Rework_Flag]]="Yes",1,0)</f>
        <v>1</v>
      </c>
      <c r="Y2951" s="4">
        <v>1</v>
      </c>
      <c r="Z2951" s="4" t="str">
        <f>IF(Table1[[#This Row],[TAT_Days]]&gt;Table1[[#This Row],[SLA_TAT]],"Yes","No")</f>
        <v>Yes</v>
      </c>
      <c r="AA2951" s="4" t="str" cm="1">
        <f t="array" ref="AA2951">_xlfn.IFS(Table1[[#This Row],[Customer_Satisfaction]]&lt;=2,"Poor",Table1[[#This Row],[Customer_Satisfaction]]=3,"Neutral",Table1[[#This Row],[Customer_Satisfaction]]=4,"Good",Table1[[#This Row],[Customer_Satisfaction]]=5,"Good")</f>
        <v>Poor</v>
      </c>
    </row>
    <row r="2952" spans="1:27" x14ac:dyDescent="0.35">
      <c r="A2952">
        <v>22950</v>
      </c>
      <c r="B2952" s="1">
        <v>45365</v>
      </c>
      <c r="C2952" t="s">
        <v>50</v>
      </c>
      <c r="D2952" t="s">
        <v>51</v>
      </c>
      <c r="E2952" t="s">
        <v>120</v>
      </c>
      <c r="F2952" t="s">
        <v>40</v>
      </c>
      <c r="G2952" t="s">
        <v>47</v>
      </c>
      <c r="H2952" t="s">
        <v>48</v>
      </c>
      <c r="I2952" t="s">
        <v>25</v>
      </c>
      <c r="J2952" t="s">
        <v>26</v>
      </c>
      <c r="K2952" t="s">
        <v>27</v>
      </c>
      <c r="L2952" t="s">
        <v>28</v>
      </c>
      <c r="M2952" s="4">
        <v>21</v>
      </c>
      <c r="N2952" s="4">
        <v>7</v>
      </c>
      <c r="O2952" t="s">
        <v>29</v>
      </c>
      <c r="P2952" t="s">
        <v>36</v>
      </c>
      <c r="Q2952" s="4">
        <v>142997</v>
      </c>
      <c r="R2952" s="4">
        <v>108230</v>
      </c>
      <c r="S2952" s="4">
        <f>Table1[[#This Row],[Service_Revenue]]-Table1[[#This Row],[Service_Cost]]</f>
        <v>34767</v>
      </c>
      <c r="T2952" s="4">
        <v>1</v>
      </c>
      <c r="U2952" s="4">
        <f>IF(AND(Table1[[#This Row],[Rework_Flag]]="Yes",Table1[[#This Row],[Warranty_Claim]]="No"),Table1[[#This Row],[Service_Revenue]],0)</f>
        <v>142997</v>
      </c>
      <c r="V2952" s="4">
        <f>IF(Table1[[#This Row],[Warranty_Claim]]="Yes",1,0)</f>
        <v>0</v>
      </c>
      <c r="W2952" s="4">
        <f>IF(Table1[[#This Row],[Rework_Flag]]="No",1,0)</f>
        <v>0</v>
      </c>
      <c r="X2952" s="4">
        <f>IF(Table1[[#This Row],[Rework_Flag]]="Yes",1,0)</f>
        <v>1</v>
      </c>
      <c r="Y2952" s="4">
        <v>1</v>
      </c>
      <c r="Z2952" s="4" t="str">
        <f>IF(Table1[[#This Row],[TAT_Days]]&gt;Table1[[#This Row],[SLA_TAT]],"Yes","No")</f>
        <v>Yes</v>
      </c>
      <c r="AA2952" s="4" t="str" cm="1">
        <f t="array" ref="AA2952">_xlfn.IFS(Table1[[#This Row],[Customer_Satisfaction]]&lt;=2,"Poor",Table1[[#This Row],[Customer_Satisfaction]]=3,"Neutral",Table1[[#This Row],[Customer_Satisfaction]]=4,"Good",Table1[[#This Row],[Customer_Satisfaction]]=5,"Good")</f>
        <v>Poor</v>
      </c>
    </row>
    <row r="2953" spans="1:27" x14ac:dyDescent="0.35">
      <c r="A2953">
        <v>22951</v>
      </c>
      <c r="B2953" s="1">
        <v>45303</v>
      </c>
      <c r="C2953" t="s">
        <v>19</v>
      </c>
      <c r="D2953" t="s">
        <v>96</v>
      </c>
      <c r="E2953" t="s">
        <v>105</v>
      </c>
      <c r="F2953" t="s">
        <v>53</v>
      </c>
      <c r="G2953" t="s">
        <v>23</v>
      </c>
      <c r="H2953" t="s">
        <v>24</v>
      </c>
      <c r="I2953" t="s">
        <v>55</v>
      </c>
      <c r="J2953" t="s">
        <v>26</v>
      </c>
      <c r="K2953" t="s">
        <v>27</v>
      </c>
      <c r="L2953" t="s">
        <v>28</v>
      </c>
      <c r="M2953" s="4">
        <v>10</v>
      </c>
      <c r="N2953" s="4">
        <v>7</v>
      </c>
      <c r="O2953" t="s">
        <v>36</v>
      </c>
      <c r="P2953" t="s">
        <v>36</v>
      </c>
      <c r="Q2953" s="4">
        <v>395219</v>
      </c>
      <c r="R2953" s="4">
        <v>318620</v>
      </c>
      <c r="S2953" s="4">
        <f>Table1[[#This Row],[Service_Revenue]]-Table1[[#This Row],[Service_Cost]]</f>
        <v>76599</v>
      </c>
      <c r="T2953" s="4">
        <v>3</v>
      </c>
      <c r="U2953" s="4">
        <f>IF(AND(Table1[[#This Row],[Rework_Flag]]="Yes",Table1[[#This Row],[Warranty_Claim]]="No"),Table1[[#This Row],[Service_Revenue]],0)</f>
        <v>0</v>
      </c>
      <c r="V2953" s="4">
        <f>IF(Table1[[#This Row],[Warranty_Claim]]="Yes",1,0)</f>
        <v>0</v>
      </c>
      <c r="W2953" s="4">
        <f>IF(Table1[[#This Row],[Rework_Flag]]="No",1,0)</f>
        <v>1</v>
      </c>
      <c r="X2953" s="4">
        <f>IF(Table1[[#This Row],[Rework_Flag]]="Yes",1,0)</f>
        <v>0</v>
      </c>
      <c r="Y2953" s="4">
        <v>1</v>
      </c>
      <c r="Z2953" s="4" t="str">
        <f>IF(Table1[[#This Row],[TAT_Days]]&gt;Table1[[#This Row],[SLA_TAT]],"Yes","No")</f>
        <v>Yes</v>
      </c>
      <c r="AA2953" s="4" t="str" cm="1">
        <f t="array" ref="AA2953">_xlfn.IFS(Table1[[#This Row],[Customer_Satisfaction]]&lt;=2,"Poor",Table1[[#This Row],[Customer_Satisfaction]]=3,"Neutral",Table1[[#This Row],[Customer_Satisfaction]]=4,"Good",Table1[[#This Row],[Customer_Satisfaction]]=5,"Good")</f>
        <v>Neutral</v>
      </c>
    </row>
    <row r="2954" spans="1:27" x14ac:dyDescent="0.35">
      <c r="A2954">
        <v>22952</v>
      </c>
      <c r="B2954" s="1">
        <v>45456</v>
      </c>
      <c r="C2954" t="s">
        <v>37</v>
      </c>
      <c r="D2954" t="s">
        <v>64</v>
      </c>
      <c r="E2954" t="s">
        <v>115</v>
      </c>
      <c r="F2954" t="s">
        <v>40</v>
      </c>
      <c r="G2954" t="s">
        <v>33</v>
      </c>
      <c r="H2954" t="s">
        <v>34</v>
      </c>
      <c r="I2954" t="s">
        <v>55</v>
      </c>
      <c r="J2954" t="s">
        <v>43</v>
      </c>
      <c r="K2954" t="s">
        <v>27</v>
      </c>
      <c r="L2954" t="s">
        <v>28</v>
      </c>
      <c r="M2954" s="4">
        <v>20</v>
      </c>
      <c r="N2954" s="4">
        <v>7</v>
      </c>
      <c r="O2954" t="s">
        <v>29</v>
      </c>
      <c r="P2954" t="s">
        <v>36</v>
      </c>
      <c r="Q2954" s="4">
        <v>336027</v>
      </c>
      <c r="R2954" s="4">
        <v>170541</v>
      </c>
      <c r="S2954" s="4">
        <f>Table1[[#This Row],[Service_Revenue]]-Table1[[#This Row],[Service_Cost]]</f>
        <v>165486</v>
      </c>
      <c r="T2954" s="4">
        <v>1</v>
      </c>
      <c r="U2954" s="4">
        <f>IF(AND(Table1[[#This Row],[Rework_Flag]]="Yes",Table1[[#This Row],[Warranty_Claim]]="No"),Table1[[#This Row],[Service_Revenue]],0)</f>
        <v>336027</v>
      </c>
      <c r="V2954" s="4">
        <f>IF(Table1[[#This Row],[Warranty_Claim]]="Yes",1,0)</f>
        <v>0</v>
      </c>
      <c r="W2954" s="4">
        <f>IF(Table1[[#This Row],[Rework_Flag]]="No",1,0)</f>
        <v>0</v>
      </c>
      <c r="X2954" s="4">
        <f>IF(Table1[[#This Row],[Rework_Flag]]="Yes",1,0)</f>
        <v>1</v>
      </c>
      <c r="Y2954" s="4">
        <v>1</v>
      </c>
      <c r="Z2954" s="4" t="str">
        <f>IF(Table1[[#This Row],[TAT_Days]]&gt;Table1[[#This Row],[SLA_TAT]],"Yes","No")</f>
        <v>Yes</v>
      </c>
      <c r="AA2954" s="4" t="str" cm="1">
        <f t="array" ref="AA2954">_xlfn.IFS(Table1[[#This Row],[Customer_Satisfaction]]&lt;=2,"Poor",Table1[[#This Row],[Customer_Satisfaction]]=3,"Neutral",Table1[[#This Row],[Customer_Satisfaction]]=4,"Good",Table1[[#This Row],[Customer_Satisfaction]]=5,"Good")</f>
        <v>Poor</v>
      </c>
    </row>
    <row r="2955" spans="1:27" x14ac:dyDescent="0.35">
      <c r="A2955">
        <v>22953</v>
      </c>
      <c r="B2955" s="1">
        <v>45330</v>
      </c>
      <c r="C2955" t="s">
        <v>50</v>
      </c>
      <c r="D2955" t="s">
        <v>80</v>
      </c>
      <c r="E2955" t="s">
        <v>118</v>
      </c>
      <c r="F2955" t="s">
        <v>53</v>
      </c>
      <c r="G2955" t="s">
        <v>63</v>
      </c>
      <c r="H2955" t="s">
        <v>24</v>
      </c>
      <c r="I2955" t="s">
        <v>55</v>
      </c>
      <c r="J2955" t="s">
        <v>43</v>
      </c>
      <c r="K2955" t="s">
        <v>61</v>
      </c>
      <c r="L2955" t="s">
        <v>28</v>
      </c>
      <c r="M2955" s="4">
        <v>21</v>
      </c>
      <c r="N2955" s="4">
        <v>7</v>
      </c>
      <c r="O2955" t="s">
        <v>36</v>
      </c>
      <c r="P2955" t="s">
        <v>36</v>
      </c>
      <c r="Q2955" s="4">
        <v>193804</v>
      </c>
      <c r="R2955" s="4">
        <v>150197</v>
      </c>
      <c r="S2955" s="4">
        <f>Table1[[#This Row],[Service_Revenue]]-Table1[[#This Row],[Service_Cost]]</f>
        <v>43607</v>
      </c>
      <c r="T2955" s="4">
        <v>1</v>
      </c>
      <c r="U2955" s="4">
        <f>IF(AND(Table1[[#This Row],[Rework_Flag]]="Yes",Table1[[#This Row],[Warranty_Claim]]="No"),Table1[[#This Row],[Service_Revenue]],0)</f>
        <v>0</v>
      </c>
      <c r="V2955" s="4">
        <f>IF(Table1[[#This Row],[Warranty_Claim]]="Yes",1,0)</f>
        <v>0</v>
      </c>
      <c r="W2955" s="4">
        <f>IF(Table1[[#This Row],[Rework_Flag]]="No",1,0)</f>
        <v>1</v>
      </c>
      <c r="X2955" s="4">
        <f>IF(Table1[[#This Row],[Rework_Flag]]="Yes",1,0)</f>
        <v>0</v>
      </c>
      <c r="Y2955" s="4">
        <v>1</v>
      </c>
      <c r="Z2955" s="4" t="str">
        <f>IF(Table1[[#This Row],[TAT_Days]]&gt;Table1[[#This Row],[SLA_TAT]],"Yes","No")</f>
        <v>Yes</v>
      </c>
      <c r="AA2955" s="4" t="str" cm="1">
        <f t="array" ref="AA2955">_xlfn.IFS(Table1[[#This Row],[Customer_Satisfaction]]&lt;=2,"Poor",Table1[[#This Row],[Customer_Satisfaction]]=3,"Neutral",Table1[[#This Row],[Customer_Satisfaction]]=4,"Good",Table1[[#This Row],[Customer_Satisfaction]]=5,"Good")</f>
        <v>Poor</v>
      </c>
    </row>
    <row r="2956" spans="1:27" x14ac:dyDescent="0.35">
      <c r="A2956">
        <v>22954</v>
      </c>
      <c r="B2956" s="1">
        <v>45338</v>
      </c>
      <c r="C2956" t="s">
        <v>19</v>
      </c>
      <c r="D2956" t="s">
        <v>20</v>
      </c>
      <c r="E2956" t="s">
        <v>110</v>
      </c>
      <c r="F2956" t="s">
        <v>22</v>
      </c>
      <c r="G2956" t="s">
        <v>41</v>
      </c>
      <c r="H2956" t="s">
        <v>42</v>
      </c>
      <c r="I2956" t="s">
        <v>25</v>
      </c>
      <c r="J2956" t="s">
        <v>43</v>
      </c>
      <c r="K2956" t="s">
        <v>61</v>
      </c>
      <c r="L2956" t="s">
        <v>28</v>
      </c>
      <c r="M2956" s="4">
        <v>9</v>
      </c>
      <c r="N2956" s="4">
        <v>7</v>
      </c>
      <c r="O2956" t="s">
        <v>29</v>
      </c>
      <c r="P2956" t="s">
        <v>36</v>
      </c>
      <c r="Q2956" s="4">
        <v>117164</v>
      </c>
      <c r="R2956" s="4">
        <v>81031</v>
      </c>
      <c r="S2956" s="4">
        <f>Table1[[#This Row],[Service_Revenue]]-Table1[[#This Row],[Service_Cost]]</f>
        <v>36133</v>
      </c>
      <c r="T2956" s="4">
        <v>3</v>
      </c>
      <c r="U2956" s="4">
        <f>IF(AND(Table1[[#This Row],[Rework_Flag]]="Yes",Table1[[#This Row],[Warranty_Claim]]="No"),Table1[[#This Row],[Service_Revenue]],0)</f>
        <v>117164</v>
      </c>
      <c r="V2956" s="4">
        <f>IF(Table1[[#This Row],[Warranty_Claim]]="Yes",1,0)</f>
        <v>0</v>
      </c>
      <c r="W2956" s="4">
        <f>IF(Table1[[#This Row],[Rework_Flag]]="No",1,0)</f>
        <v>0</v>
      </c>
      <c r="X2956" s="4">
        <f>IF(Table1[[#This Row],[Rework_Flag]]="Yes",1,0)</f>
        <v>1</v>
      </c>
      <c r="Y2956" s="4">
        <v>1</v>
      </c>
      <c r="Z2956" s="4" t="str">
        <f>IF(Table1[[#This Row],[TAT_Days]]&gt;Table1[[#This Row],[SLA_TAT]],"Yes","No")</f>
        <v>Yes</v>
      </c>
      <c r="AA2956" s="4" t="str" cm="1">
        <f t="array" ref="AA2956">_xlfn.IFS(Table1[[#This Row],[Customer_Satisfaction]]&lt;=2,"Poor",Table1[[#This Row],[Customer_Satisfaction]]=3,"Neutral",Table1[[#This Row],[Customer_Satisfaction]]=4,"Good",Table1[[#This Row],[Customer_Satisfaction]]=5,"Good")</f>
        <v>Neutral</v>
      </c>
    </row>
    <row r="2957" spans="1:27" x14ac:dyDescent="0.35">
      <c r="A2957">
        <v>22955</v>
      </c>
      <c r="B2957" s="1">
        <v>45366</v>
      </c>
      <c r="C2957" t="s">
        <v>50</v>
      </c>
      <c r="D2957" t="s">
        <v>80</v>
      </c>
      <c r="E2957" t="s">
        <v>81</v>
      </c>
      <c r="F2957" t="s">
        <v>53</v>
      </c>
      <c r="G2957" t="s">
        <v>74</v>
      </c>
      <c r="H2957" t="s">
        <v>34</v>
      </c>
      <c r="I2957" t="s">
        <v>25</v>
      </c>
      <c r="J2957" t="s">
        <v>58</v>
      </c>
      <c r="K2957" t="s">
        <v>44</v>
      </c>
      <c r="L2957" t="s">
        <v>28</v>
      </c>
      <c r="M2957" s="4">
        <v>25</v>
      </c>
      <c r="N2957" s="4">
        <v>7</v>
      </c>
      <c r="O2957" t="s">
        <v>29</v>
      </c>
      <c r="P2957" t="s">
        <v>36</v>
      </c>
      <c r="Q2957" s="4">
        <v>490950</v>
      </c>
      <c r="R2957" s="4">
        <v>413179</v>
      </c>
      <c r="S2957" s="4">
        <f>Table1[[#This Row],[Service_Revenue]]-Table1[[#This Row],[Service_Cost]]</f>
        <v>77771</v>
      </c>
      <c r="T2957" s="4">
        <v>1</v>
      </c>
      <c r="U2957" s="4">
        <f>IF(AND(Table1[[#This Row],[Rework_Flag]]="Yes",Table1[[#This Row],[Warranty_Claim]]="No"),Table1[[#This Row],[Service_Revenue]],0)</f>
        <v>490950</v>
      </c>
      <c r="V2957" s="4">
        <f>IF(Table1[[#This Row],[Warranty_Claim]]="Yes",1,0)</f>
        <v>0</v>
      </c>
      <c r="W2957" s="4">
        <f>IF(Table1[[#This Row],[Rework_Flag]]="No",1,0)</f>
        <v>0</v>
      </c>
      <c r="X2957" s="4">
        <f>IF(Table1[[#This Row],[Rework_Flag]]="Yes",1,0)</f>
        <v>1</v>
      </c>
      <c r="Y2957" s="4">
        <v>1</v>
      </c>
      <c r="Z2957" s="4" t="str">
        <f>IF(Table1[[#This Row],[TAT_Days]]&gt;Table1[[#This Row],[SLA_TAT]],"Yes","No")</f>
        <v>Yes</v>
      </c>
      <c r="AA2957" s="4" t="str" cm="1">
        <f t="array" ref="AA2957">_xlfn.IFS(Table1[[#This Row],[Customer_Satisfaction]]&lt;=2,"Poor",Table1[[#This Row],[Customer_Satisfaction]]=3,"Neutral",Table1[[#This Row],[Customer_Satisfaction]]=4,"Good",Table1[[#This Row],[Customer_Satisfaction]]=5,"Good")</f>
        <v>Poor</v>
      </c>
    </row>
    <row r="2958" spans="1:27" x14ac:dyDescent="0.35">
      <c r="A2958">
        <v>22956</v>
      </c>
      <c r="B2958" s="1">
        <v>45360</v>
      </c>
      <c r="C2958" t="s">
        <v>50</v>
      </c>
      <c r="D2958" t="s">
        <v>80</v>
      </c>
      <c r="E2958" t="s">
        <v>104</v>
      </c>
      <c r="F2958" t="s">
        <v>53</v>
      </c>
      <c r="G2958" t="s">
        <v>41</v>
      </c>
      <c r="H2958" t="s">
        <v>42</v>
      </c>
      <c r="I2958" t="s">
        <v>55</v>
      </c>
      <c r="J2958" t="s">
        <v>26</v>
      </c>
      <c r="K2958" t="s">
        <v>44</v>
      </c>
      <c r="L2958" t="s">
        <v>28</v>
      </c>
      <c r="M2958" s="4">
        <v>23</v>
      </c>
      <c r="N2958" s="4">
        <v>7</v>
      </c>
      <c r="O2958" t="s">
        <v>36</v>
      </c>
      <c r="P2958" t="s">
        <v>36</v>
      </c>
      <c r="Q2958" s="4">
        <v>217073</v>
      </c>
      <c r="R2958" s="4">
        <v>129855</v>
      </c>
      <c r="S2958" s="4">
        <f>Table1[[#This Row],[Service_Revenue]]-Table1[[#This Row],[Service_Cost]]</f>
        <v>87218</v>
      </c>
      <c r="T2958" s="4">
        <v>1</v>
      </c>
      <c r="U2958" s="4">
        <f>IF(AND(Table1[[#This Row],[Rework_Flag]]="Yes",Table1[[#This Row],[Warranty_Claim]]="No"),Table1[[#This Row],[Service_Revenue]],0)</f>
        <v>0</v>
      </c>
      <c r="V2958" s="4">
        <f>IF(Table1[[#This Row],[Warranty_Claim]]="Yes",1,0)</f>
        <v>0</v>
      </c>
      <c r="W2958" s="4">
        <f>IF(Table1[[#This Row],[Rework_Flag]]="No",1,0)</f>
        <v>1</v>
      </c>
      <c r="X2958" s="4">
        <f>IF(Table1[[#This Row],[Rework_Flag]]="Yes",1,0)</f>
        <v>0</v>
      </c>
      <c r="Y2958" s="4">
        <v>1</v>
      </c>
      <c r="Z2958" s="4" t="str">
        <f>IF(Table1[[#This Row],[TAT_Days]]&gt;Table1[[#This Row],[SLA_TAT]],"Yes","No")</f>
        <v>Yes</v>
      </c>
      <c r="AA2958" s="4" t="str" cm="1">
        <f t="array" ref="AA2958">_xlfn.IFS(Table1[[#This Row],[Customer_Satisfaction]]&lt;=2,"Poor",Table1[[#This Row],[Customer_Satisfaction]]=3,"Neutral",Table1[[#This Row],[Customer_Satisfaction]]=4,"Good",Table1[[#This Row],[Customer_Satisfaction]]=5,"Good")</f>
        <v>Poor</v>
      </c>
    </row>
    <row r="2959" spans="1:27" x14ac:dyDescent="0.35">
      <c r="A2959">
        <v>22957</v>
      </c>
      <c r="B2959" s="1">
        <v>45354</v>
      </c>
      <c r="C2959" t="s">
        <v>37</v>
      </c>
      <c r="D2959" t="s">
        <v>38</v>
      </c>
      <c r="E2959" t="s">
        <v>112</v>
      </c>
      <c r="F2959" t="s">
        <v>22</v>
      </c>
      <c r="G2959" t="s">
        <v>23</v>
      </c>
      <c r="H2959" t="s">
        <v>24</v>
      </c>
      <c r="I2959" t="s">
        <v>25</v>
      </c>
      <c r="J2959" t="s">
        <v>43</v>
      </c>
      <c r="K2959" t="s">
        <v>27</v>
      </c>
      <c r="L2959" t="s">
        <v>49</v>
      </c>
      <c r="M2959" s="4">
        <v>15</v>
      </c>
      <c r="N2959" s="4">
        <v>7</v>
      </c>
      <c r="O2959" t="s">
        <v>29</v>
      </c>
      <c r="P2959" t="s">
        <v>29</v>
      </c>
      <c r="Q2959" s="4">
        <v>453320</v>
      </c>
      <c r="R2959" s="4">
        <v>303428</v>
      </c>
      <c r="S2959" s="4">
        <f>Table1[[#This Row],[Service_Revenue]]-Table1[[#This Row],[Service_Cost]]</f>
        <v>149892</v>
      </c>
      <c r="T2959" s="4">
        <v>1</v>
      </c>
      <c r="U2959" s="4">
        <f>IF(AND(Table1[[#This Row],[Rework_Flag]]="Yes",Table1[[#This Row],[Warranty_Claim]]="No"),Table1[[#This Row],[Service_Revenue]],0)</f>
        <v>0</v>
      </c>
      <c r="V2959" s="4">
        <f>IF(Table1[[#This Row],[Warranty_Claim]]="Yes",1,0)</f>
        <v>1</v>
      </c>
      <c r="W2959" s="4">
        <f>IF(Table1[[#This Row],[Rework_Flag]]="No",1,0)</f>
        <v>0</v>
      </c>
      <c r="X2959" s="4">
        <f>IF(Table1[[#This Row],[Rework_Flag]]="Yes",1,0)</f>
        <v>1</v>
      </c>
      <c r="Y2959" s="4">
        <v>1</v>
      </c>
      <c r="Z2959" s="4" t="str">
        <f>IF(Table1[[#This Row],[TAT_Days]]&gt;Table1[[#This Row],[SLA_TAT]],"Yes","No")</f>
        <v>Yes</v>
      </c>
      <c r="AA2959" s="4" t="str" cm="1">
        <f t="array" ref="AA2959">_xlfn.IFS(Table1[[#This Row],[Customer_Satisfaction]]&lt;=2,"Poor",Table1[[#This Row],[Customer_Satisfaction]]=3,"Neutral",Table1[[#This Row],[Customer_Satisfaction]]=4,"Good",Table1[[#This Row],[Customer_Satisfaction]]=5,"Good")</f>
        <v>Poor</v>
      </c>
    </row>
    <row r="2960" spans="1:27" x14ac:dyDescent="0.35">
      <c r="A2960">
        <v>22958</v>
      </c>
      <c r="B2960" s="1">
        <v>45386</v>
      </c>
      <c r="C2960" t="s">
        <v>50</v>
      </c>
      <c r="D2960" t="s">
        <v>51</v>
      </c>
      <c r="E2960" t="s">
        <v>120</v>
      </c>
      <c r="F2960" t="s">
        <v>53</v>
      </c>
      <c r="G2960" t="s">
        <v>33</v>
      </c>
      <c r="H2960" t="s">
        <v>34</v>
      </c>
      <c r="I2960" t="s">
        <v>25</v>
      </c>
      <c r="J2960" t="s">
        <v>43</v>
      </c>
      <c r="K2960" t="s">
        <v>44</v>
      </c>
      <c r="L2960" t="s">
        <v>49</v>
      </c>
      <c r="M2960" s="4">
        <v>19</v>
      </c>
      <c r="N2960" s="4">
        <v>7</v>
      </c>
      <c r="O2960" t="s">
        <v>36</v>
      </c>
      <c r="P2960" t="s">
        <v>36</v>
      </c>
      <c r="Q2960" s="4">
        <v>329376</v>
      </c>
      <c r="R2960" s="4">
        <v>187049</v>
      </c>
      <c r="S2960" s="4">
        <f>Table1[[#This Row],[Service_Revenue]]-Table1[[#This Row],[Service_Cost]]</f>
        <v>142327</v>
      </c>
      <c r="T2960" s="4">
        <v>2</v>
      </c>
      <c r="U2960" s="4">
        <f>IF(AND(Table1[[#This Row],[Rework_Flag]]="Yes",Table1[[#This Row],[Warranty_Claim]]="No"),Table1[[#This Row],[Service_Revenue]],0)</f>
        <v>0</v>
      </c>
      <c r="V2960" s="4">
        <f>IF(Table1[[#This Row],[Warranty_Claim]]="Yes",1,0)</f>
        <v>0</v>
      </c>
      <c r="W2960" s="4">
        <f>IF(Table1[[#This Row],[Rework_Flag]]="No",1,0)</f>
        <v>1</v>
      </c>
      <c r="X2960" s="4">
        <f>IF(Table1[[#This Row],[Rework_Flag]]="Yes",1,0)</f>
        <v>0</v>
      </c>
      <c r="Y2960" s="4">
        <v>1</v>
      </c>
      <c r="Z2960" s="4" t="str">
        <f>IF(Table1[[#This Row],[TAT_Days]]&gt;Table1[[#This Row],[SLA_TAT]],"Yes","No")</f>
        <v>Yes</v>
      </c>
      <c r="AA2960" s="4" t="str" cm="1">
        <f t="array" ref="AA2960">_xlfn.IFS(Table1[[#This Row],[Customer_Satisfaction]]&lt;=2,"Poor",Table1[[#This Row],[Customer_Satisfaction]]=3,"Neutral",Table1[[#This Row],[Customer_Satisfaction]]=4,"Good",Table1[[#This Row],[Customer_Satisfaction]]=5,"Good")</f>
        <v>Poor</v>
      </c>
    </row>
    <row r="2961" spans="1:27" x14ac:dyDescent="0.35">
      <c r="A2961">
        <v>22959</v>
      </c>
      <c r="B2961" s="1">
        <v>45325</v>
      </c>
      <c r="C2961" t="s">
        <v>19</v>
      </c>
      <c r="D2961" t="s">
        <v>96</v>
      </c>
      <c r="E2961" t="s">
        <v>109</v>
      </c>
      <c r="F2961" t="s">
        <v>40</v>
      </c>
      <c r="G2961" t="s">
        <v>41</v>
      </c>
      <c r="H2961" t="s">
        <v>42</v>
      </c>
      <c r="I2961" t="s">
        <v>55</v>
      </c>
      <c r="J2961" t="s">
        <v>35</v>
      </c>
      <c r="K2961" t="s">
        <v>44</v>
      </c>
      <c r="L2961" t="s">
        <v>49</v>
      </c>
      <c r="M2961" s="4">
        <v>17</v>
      </c>
      <c r="N2961" s="4">
        <v>7</v>
      </c>
      <c r="O2961" t="s">
        <v>36</v>
      </c>
      <c r="P2961" t="s">
        <v>36</v>
      </c>
      <c r="Q2961" s="4">
        <v>108400</v>
      </c>
      <c r="R2961" s="4">
        <v>75173</v>
      </c>
      <c r="S2961" s="4">
        <f>Table1[[#This Row],[Service_Revenue]]-Table1[[#This Row],[Service_Cost]]</f>
        <v>33227</v>
      </c>
      <c r="T2961" s="4">
        <v>2</v>
      </c>
      <c r="U2961" s="4">
        <f>IF(AND(Table1[[#This Row],[Rework_Flag]]="Yes",Table1[[#This Row],[Warranty_Claim]]="No"),Table1[[#This Row],[Service_Revenue]],0)</f>
        <v>0</v>
      </c>
      <c r="V2961" s="4">
        <f>IF(Table1[[#This Row],[Warranty_Claim]]="Yes",1,0)</f>
        <v>0</v>
      </c>
      <c r="W2961" s="4">
        <f>IF(Table1[[#This Row],[Rework_Flag]]="No",1,0)</f>
        <v>1</v>
      </c>
      <c r="X2961" s="4">
        <f>IF(Table1[[#This Row],[Rework_Flag]]="Yes",1,0)</f>
        <v>0</v>
      </c>
      <c r="Y2961" s="4">
        <v>1</v>
      </c>
      <c r="Z2961" s="4" t="str">
        <f>IF(Table1[[#This Row],[TAT_Days]]&gt;Table1[[#This Row],[SLA_TAT]],"Yes","No")</f>
        <v>Yes</v>
      </c>
      <c r="AA2961" s="4" t="str" cm="1">
        <f t="array" ref="AA2961">_xlfn.IFS(Table1[[#This Row],[Customer_Satisfaction]]&lt;=2,"Poor",Table1[[#This Row],[Customer_Satisfaction]]=3,"Neutral",Table1[[#This Row],[Customer_Satisfaction]]=4,"Good",Table1[[#This Row],[Customer_Satisfaction]]=5,"Good")</f>
        <v>Poor</v>
      </c>
    </row>
    <row r="2962" spans="1:27" x14ac:dyDescent="0.35">
      <c r="A2962">
        <v>22960</v>
      </c>
      <c r="B2962" s="1">
        <v>45456</v>
      </c>
      <c r="C2962" t="s">
        <v>50</v>
      </c>
      <c r="D2962" t="s">
        <v>80</v>
      </c>
      <c r="E2962" t="s">
        <v>85</v>
      </c>
      <c r="F2962" t="s">
        <v>22</v>
      </c>
      <c r="G2962" t="s">
        <v>54</v>
      </c>
      <c r="H2962" t="s">
        <v>42</v>
      </c>
      <c r="I2962" t="s">
        <v>25</v>
      </c>
      <c r="J2962" t="s">
        <v>26</v>
      </c>
      <c r="K2962" t="s">
        <v>44</v>
      </c>
      <c r="L2962" t="s">
        <v>49</v>
      </c>
      <c r="M2962" s="4">
        <v>22</v>
      </c>
      <c r="N2962" s="4">
        <v>7</v>
      </c>
      <c r="O2962" t="s">
        <v>36</v>
      </c>
      <c r="P2962" t="s">
        <v>36</v>
      </c>
      <c r="Q2962" s="4">
        <v>227065</v>
      </c>
      <c r="R2962" s="4">
        <v>139283</v>
      </c>
      <c r="S2962" s="4">
        <f>Table1[[#This Row],[Service_Revenue]]-Table1[[#This Row],[Service_Cost]]</f>
        <v>87782</v>
      </c>
      <c r="T2962" s="4">
        <v>1</v>
      </c>
      <c r="U2962" s="4">
        <f>IF(AND(Table1[[#This Row],[Rework_Flag]]="Yes",Table1[[#This Row],[Warranty_Claim]]="No"),Table1[[#This Row],[Service_Revenue]],0)</f>
        <v>0</v>
      </c>
      <c r="V2962" s="4">
        <f>IF(Table1[[#This Row],[Warranty_Claim]]="Yes",1,0)</f>
        <v>0</v>
      </c>
      <c r="W2962" s="4">
        <f>IF(Table1[[#This Row],[Rework_Flag]]="No",1,0)</f>
        <v>1</v>
      </c>
      <c r="X2962" s="4">
        <f>IF(Table1[[#This Row],[Rework_Flag]]="Yes",1,0)</f>
        <v>0</v>
      </c>
      <c r="Y2962" s="4">
        <v>1</v>
      </c>
      <c r="Z2962" s="4" t="str">
        <f>IF(Table1[[#This Row],[TAT_Days]]&gt;Table1[[#This Row],[SLA_TAT]],"Yes","No")</f>
        <v>Yes</v>
      </c>
      <c r="AA2962" s="4" t="str" cm="1">
        <f t="array" ref="AA2962">_xlfn.IFS(Table1[[#This Row],[Customer_Satisfaction]]&lt;=2,"Poor",Table1[[#This Row],[Customer_Satisfaction]]=3,"Neutral",Table1[[#This Row],[Customer_Satisfaction]]=4,"Good",Table1[[#This Row],[Customer_Satisfaction]]=5,"Good")</f>
        <v>Poor</v>
      </c>
    </row>
    <row r="2963" spans="1:27" x14ac:dyDescent="0.35">
      <c r="A2963">
        <v>22961</v>
      </c>
      <c r="B2963" s="1">
        <v>45421</v>
      </c>
      <c r="C2963" t="s">
        <v>50</v>
      </c>
      <c r="D2963" t="s">
        <v>80</v>
      </c>
      <c r="E2963" t="s">
        <v>81</v>
      </c>
      <c r="F2963" t="s">
        <v>40</v>
      </c>
      <c r="G2963" t="s">
        <v>33</v>
      </c>
      <c r="H2963" t="s">
        <v>34</v>
      </c>
      <c r="I2963" t="s">
        <v>55</v>
      </c>
      <c r="J2963" t="s">
        <v>26</v>
      </c>
      <c r="K2963" t="s">
        <v>27</v>
      </c>
      <c r="L2963" t="s">
        <v>49</v>
      </c>
      <c r="M2963" s="4">
        <v>21</v>
      </c>
      <c r="N2963" s="4">
        <v>7</v>
      </c>
      <c r="O2963" t="s">
        <v>29</v>
      </c>
      <c r="P2963" t="s">
        <v>36</v>
      </c>
      <c r="Q2963" s="4">
        <v>128315</v>
      </c>
      <c r="R2963" s="4">
        <v>73264</v>
      </c>
      <c r="S2963" s="4">
        <f>Table1[[#This Row],[Service_Revenue]]-Table1[[#This Row],[Service_Cost]]</f>
        <v>55051</v>
      </c>
      <c r="T2963" s="4">
        <v>1</v>
      </c>
      <c r="U2963" s="4">
        <f>IF(AND(Table1[[#This Row],[Rework_Flag]]="Yes",Table1[[#This Row],[Warranty_Claim]]="No"),Table1[[#This Row],[Service_Revenue]],0)</f>
        <v>128315</v>
      </c>
      <c r="V2963" s="4">
        <f>IF(Table1[[#This Row],[Warranty_Claim]]="Yes",1,0)</f>
        <v>0</v>
      </c>
      <c r="W2963" s="4">
        <f>IF(Table1[[#This Row],[Rework_Flag]]="No",1,0)</f>
        <v>0</v>
      </c>
      <c r="X2963" s="4">
        <f>IF(Table1[[#This Row],[Rework_Flag]]="Yes",1,0)</f>
        <v>1</v>
      </c>
      <c r="Y2963" s="4">
        <v>1</v>
      </c>
      <c r="Z2963" s="4" t="str">
        <f>IF(Table1[[#This Row],[TAT_Days]]&gt;Table1[[#This Row],[SLA_TAT]],"Yes","No")</f>
        <v>Yes</v>
      </c>
      <c r="AA2963" s="4" t="str" cm="1">
        <f t="array" ref="AA2963">_xlfn.IFS(Table1[[#This Row],[Customer_Satisfaction]]&lt;=2,"Poor",Table1[[#This Row],[Customer_Satisfaction]]=3,"Neutral",Table1[[#This Row],[Customer_Satisfaction]]=4,"Good",Table1[[#This Row],[Customer_Satisfaction]]=5,"Good")</f>
        <v>Poor</v>
      </c>
    </row>
    <row r="2964" spans="1:27" x14ac:dyDescent="0.35">
      <c r="A2964">
        <v>22962</v>
      </c>
      <c r="B2964" s="1">
        <v>45399</v>
      </c>
      <c r="C2964" t="s">
        <v>30</v>
      </c>
      <c r="D2964" t="s">
        <v>59</v>
      </c>
      <c r="E2964" t="s">
        <v>94</v>
      </c>
      <c r="F2964" t="s">
        <v>22</v>
      </c>
      <c r="G2964" t="s">
        <v>74</v>
      </c>
      <c r="H2964" t="s">
        <v>34</v>
      </c>
      <c r="I2964" t="s">
        <v>25</v>
      </c>
      <c r="J2964" t="s">
        <v>67</v>
      </c>
      <c r="K2964" t="s">
        <v>61</v>
      </c>
      <c r="L2964" t="s">
        <v>28</v>
      </c>
      <c r="M2964" s="4">
        <v>20</v>
      </c>
      <c r="N2964" s="4">
        <v>7</v>
      </c>
      <c r="O2964" t="s">
        <v>36</v>
      </c>
      <c r="P2964" t="s">
        <v>36</v>
      </c>
      <c r="Q2964" s="4">
        <v>153424</v>
      </c>
      <c r="R2964" s="4">
        <v>119928</v>
      </c>
      <c r="S2964" s="4">
        <f>Table1[[#This Row],[Service_Revenue]]-Table1[[#This Row],[Service_Cost]]</f>
        <v>33496</v>
      </c>
      <c r="T2964" s="4">
        <v>1</v>
      </c>
      <c r="U2964" s="4">
        <f>IF(AND(Table1[[#This Row],[Rework_Flag]]="Yes",Table1[[#This Row],[Warranty_Claim]]="No"),Table1[[#This Row],[Service_Revenue]],0)</f>
        <v>0</v>
      </c>
      <c r="V2964" s="4">
        <f>IF(Table1[[#This Row],[Warranty_Claim]]="Yes",1,0)</f>
        <v>0</v>
      </c>
      <c r="W2964" s="4">
        <f>IF(Table1[[#This Row],[Rework_Flag]]="No",1,0)</f>
        <v>1</v>
      </c>
      <c r="X2964" s="4">
        <f>IF(Table1[[#This Row],[Rework_Flag]]="Yes",1,0)</f>
        <v>0</v>
      </c>
      <c r="Y2964" s="4">
        <v>1</v>
      </c>
      <c r="Z2964" s="4" t="str">
        <f>IF(Table1[[#This Row],[TAT_Days]]&gt;Table1[[#This Row],[SLA_TAT]],"Yes","No")</f>
        <v>Yes</v>
      </c>
      <c r="AA2964" s="4" t="str" cm="1">
        <f t="array" ref="AA2964">_xlfn.IFS(Table1[[#This Row],[Customer_Satisfaction]]&lt;=2,"Poor",Table1[[#This Row],[Customer_Satisfaction]]=3,"Neutral",Table1[[#This Row],[Customer_Satisfaction]]=4,"Good",Table1[[#This Row],[Customer_Satisfaction]]=5,"Good")</f>
        <v>Poor</v>
      </c>
    </row>
    <row r="2965" spans="1:27" x14ac:dyDescent="0.35">
      <c r="A2965">
        <v>22963</v>
      </c>
      <c r="B2965" s="1">
        <v>45293</v>
      </c>
      <c r="C2965" t="s">
        <v>19</v>
      </c>
      <c r="D2965" t="s">
        <v>96</v>
      </c>
      <c r="E2965" t="s">
        <v>108</v>
      </c>
      <c r="F2965" t="s">
        <v>40</v>
      </c>
      <c r="G2965" t="s">
        <v>23</v>
      </c>
      <c r="H2965" t="s">
        <v>24</v>
      </c>
      <c r="I2965" t="s">
        <v>55</v>
      </c>
      <c r="J2965" t="s">
        <v>43</v>
      </c>
      <c r="K2965" t="s">
        <v>27</v>
      </c>
      <c r="L2965" t="s">
        <v>28</v>
      </c>
      <c r="M2965" s="4">
        <v>19</v>
      </c>
      <c r="N2965" s="4">
        <v>7</v>
      </c>
      <c r="O2965" t="s">
        <v>29</v>
      </c>
      <c r="P2965" t="s">
        <v>36</v>
      </c>
      <c r="Q2965" s="4">
        <v>229875</v>
      </c>
      <c r="R2965" s="4">
        <v>141908</v>
      </c>
      <c r="S2965" s="4">
        <f>Table1[[#This Row],[Service_Revenue]]-Table1[[#This Row],[Service_Cost]]</f>
        <v>87967</v>
      </c>
      <c r="T2965" s="4">
        <v>1</v>
      </c>
      <c r="U2965" s="4">
        <f>IF(AND(Table1[[#This Row],[Rework_Flag]]="Yes",Table1[[#This Row],[Warranty_Claim]]="No"),Table1[[#This Row],[Service_Revenue]],0)</f>
        <v>229875</v>
      </c>
      <c r="V2965" s="4">
        <f>IF(Table1[[#This Row],[Warranty_Claim]]="Yes",1,0)</f>
        <v>0</v>
      </c>
      <c r="W2965" s="4">
        <f>IF(Table1[[#This Row],[Rework_Flag]]="No",1,0)</f>
        <v>0</v>
      </c>
      <c r="X2965" s="4">
        <f>IF(Table1[[#This Row],[Rework_Flag]]="Yes",1,0)</f>
        <v>1</v>
      </c>
      <c r="Y2965" s="4">
        <v>1</v>
      </c>
      <c r="Z2965" s="4" t="str">
        <f>IF(Table1[[#This Row],[TAT_Days]]&gt;Table1[[#This Row],[SLA_TAT]],"Yes","No")</f>
        <v>Yes</v>
      </c>
      <c r="AA2965" s="4" t="str" cm="1">
        <f t="array" ref="AA2965">_xlfn.IFS(Table1[[#This Row],[Customer_Satisfaction]]&lt;=2,"Poor",Table1[[#This Row],[Customer_Satisfaction]]=3,"Neutral",Table1[[#This Row],[Customer_Satisfaction]]=4,"Good",Table1[[#This Row],[Customer_Satisfaction]]=5,"Good")</f>
        <v>Poor</v>
      </c>
    </row>
    <row r="2966" spans="1:27" x14ac:dyDescent="0.35">
      <c r="A2966">
        <v>22964</v>
      </c>
      <c r="B2966" s="1">
        <v>45396</v>
      </c>
      <c r="C2966" t="s">
        <v>19</v>
      </c>
      <c r="D2966" t="s">
        <v>45</v>
      </c>
      <c r="E2966" t="s">
        <v>76</v>
      </c>
      <c r="F2966" t="s">
        <v>53</v>
      </c>
      <c r="G2966" t="s">
        <v>63</v>
      </c>
      <c r="H2966" t="s">
        <v>24</v>
      </c>
      <c r="I2966" t="s">
        <v>25</v>
      </c>
      <c r="J2966" t="s">
        <v>67</v>
      </c>
      <c r="K2966" t="s">
        <v>27</v>
      </c>
      <c r="L2966" t="s">
        <v>49</v>
      </c>
      <c r="M2966" s="4">
        <v>21</v>
      </c>
      <c r="N2966" s="4">
        <v>7</v>
      </c>
      <c r="O2966" t="s">
        <v>29</v>
      </c>
      <c r="P2966" t="s">
        <v>29</v>
      </c>
      <c r="Q2966" s="4">
        <v>518027</v>
      </c>
      <c r="R2966" s="4">
        <v>343354</v>
      </c>
      <c r="S2966" s="4">
        <f>Table1[[#This Row],[Service_Revenue]]-Table1[[#This Row],[Service_Cost]]</f>
        <v>174673</v>
      </c>
      <c r="T2966" s="4">
        <v>1</v>
      </c>
      <c r="U2966" s="4">
        <f>IF(AND(Table1[[#This Row],[Rework_Flag]]="Yes",Table1[[#This Row],[Warranty_Claim]]="No"),Table1[[#This Row],[Service_Revenue]],0)</f>
        <v>0</v>
      </c>
      <c r="V2966" s="4">
        <f>IF(Table1[[#This Row],[Warranty_Claim]]="Yes",1,0)</f>
        <v>1</v>
      </c>
      <c r="W2966" s="4">
        <f>IF(Table1[[#This Row],[Rework_Flag]]="No",1,0)</f>
        <v>0</v>
      </c>
      <c r="X2966" s="4">
        <f>IF(Table1[[#This Row],[Rework_Flag]]="Yes",1,0)</f>
        <v>1</v>
      </c>
      <c r="Y2966" s="4">
        <v>1</v>
      </c>
      <c r="Z2966" s="4" t="str">
        <f>IF(Table1[[#This Row],[TAT_Days]]&gt;Table1[[#This Row],[SLA_TAT]],"Yes","No")</f>
        <v>Yes</v>
      </c>
      <c r="AA2966" s="4" t="str" cm="1">
        <f t="array" ref="AA2966">_xlfn.IFS(Table1[[#This Row],[Customer_Satisfaction]]&lt;=2,"Poor",Table1[[#This Row],[Customer_Satisfaction]]=3,"Neutral",Table1[[#This Row],[Customer_Satisfaction]]=4,"Good",Table1[[#This Row],[Customer_Satisfaction]]=5,"Good")</f>
        <v>Poor</v>
      </c>
    </row>
    <row r="2967" spans="1:27" x14ac:dyDescent="0.35">
      <c r="A2967">
        <v>22965</v>
      </c>
      <c r="B2967" s="1">
        <v>45388</v>
      </c>
      <c r="C2967" t="s">
        <v>30</v>
      </c>
      <c r="D2967" t="s">
        <v>59</v>
      </c>
      <c r="E2967" t="s">
        <v>94</v>
      </c>
      <c r="F2967" t="s">
        <v>53</v>
      </c>
      <c r="G2967" t="s">
        <v>74</v>
      </c>
      <c r="H2967" t="s">
        <v>34</v>
      </c>
      <c r="I2967" t="s">
        <v>25</v>
      </c>
      <c r="J2967" t="s">
        <v>35</v>
      </c>
      <c r="K2967" t="s">
        <v>27</v>
      </c>
      <c r="L2967" t="s">
        <v>49</v>
      </c>
      <c r="M2967" s="4">
        <v>3</v>
      </c>
      <c r="N2967" s="4">
        <v>7</v>
      </c>
      <c r="O2967" t="s">
        <v>36</v>
      </c>
      <c r="P2967" t="s">
        <v>29</v>
      </c>
      <c r="Q2967" s="4">
        <v>227627</v>
      </c>
      <c r="R2967" s="4">
        <v>181443</v>
      </c>
      <c r="S2967" s="4">
        <f>Table1[[#This Row],[Service_Revenue]]-Table1[[#This Row],[Service_Cost]]</f>
        <v>46184</v>
      </c>
      <c r="T2967" s="4">
        <v>5</v>
      </c>
      <c r="U2967" s="4">
        <f>IF(AND(Table1[[#This Row],[Rework_Flag]]="Yes",Table1[[#This Row],[Warranty_Claim]]="No"),Table1[[#This Row],[Service_Revenue]],0)</f>
        <v>0</v>
      </c>
      <c r="V2967" s="4">
        <f>IF(Table1[[#This Row],[Warranty_Claim]]="Yes",1,0)</f>
        <v>1</v>
      </c>
      <c r="W2967" s="4">
        <f>IF(Table1[[#This Row],[Rework_Flag]]="No",1,0)</f>
        <v>1</v>
      </c>
      <c r="X2967" s="4">
        <f>IF(Table1[[#This Row],[Rework_Flag]]="Yes",1,0)</f>
        <v>0</v>
      </c>
      <c r="Y2967" s="4">
        <v>1</v>
      </c>
      <c r="Z2967" s="4" t="str">
        <f>IF(Table1[[#This Row],[TAT_Days]]&gt;Table1[[#This Row],[SLA_TAT]],"Yes","No")</f>
        <v>No</v>
      </c>
      <c r="AA2967" s="4" t="str" cm="1">
        <f t="array" ref="AA2967">_xlfn.IFS(Table1[[#This Row],[Customer_Satisfaction]]&lt;=2,"Poor",Table1[[#This Row],[Customer_Satisfaction]]=3,"Neutral",Table1[[#This Row],[Customer_Satisfaction]]=4,"Good",Table1[[#This Row],[Customer_Satisfaction]]=5,"Good")</f>
        <v>Good</v>
      </c>
    </row>
    <row r="2968" spans="1:27" x14ac:dyDescent="0.35">
      <c r="A2968">
        <v>22966</v>
      </c>
      <c r="B2968" s="1">
        <v>45302</v>
      </c>
      <c r="C2968" t="s">
        <v>50</v>
      </c>
      <c r="D2968" t="s">
        <v>51</v>
      </c>
      <c r="E2968" t="s">
        <v>120</v>
      </c>
      <c r="F2968" t="s">
        <v>40</v>
      </c>
      <c r="G2968" t="s">
        <v>74</v>
      </c>
      <c r="H2968" t="s">
        <v>34</v>
      </c>
      <c r="I2968" t="s">
        <v>55</v>
      </c>
      <c r="J2968" t="s">
        <v>58</v>
      </c>
      <c r="K2968" t="s">
        <v>44</v>
      </c>
      <c r="L2968" t="s">
        <v>28</v>
      </c>
      <c r="M2968" s="4">
        <v>3</v>
      </c>
      <c r="N2968" s="4">
        <v>7</v>
      </c>
      <c r="O2968" t="s">
        <v>36</v>
      </c>
      <c r="P2968" t="s">
        <v>29</v>
      </c>
      <c r="Q2968" s="4">
        <v>213292</v>
      </c>
      <c r="R2968" s="4">
        <v>142553</v>
      </c>
      <c r="S2968" s="4">
        <f>Table1[[#This Row],[Service_Revenue]]-Table1[[#This Row],[Service_Cost]]</f>
        <v>70739</v>
      </c>
      <c r="T2968" s="4">
        <v>5</v>
      </c>
      <c r="U2968" s="4">
        <f>IF(AND(Table1[[#This Row],[Rework_Flag]]="Yes",Table1[[#This Row],[Warranty_Claim]]="No"),Table1[[#This Row],[Service_Revenue]],0)</f>
        <v>0</v>
      </c>
      <c r="V2968" s="4">
        <f>IF(Table1[[#This Row],[Warranty_Claim]]="Yes",1,0)</f>
        <v>1</v>
      </c>
      <c r="W2968" s="4">
        <f>IF(Table1[[#This Row],[Rework_Flag]]="No",1,0)</f>
        <v>1</v>
      </c>
      <c r="X2968" s="4">
        <f>IF(Table1[[#This Row],[Rework_Flag]]="Yes",1,0)</f>
        <v>0</v>
      </c>
      <c r="Y2968" s="4">
        <v>1</v>
      </c>
      <c r="Z2968" s="4" t="str">
        <f>IF(Table1[[#This Row],[TAT_Days]]&gt;Table1[[#This Row],[SLA_TAT]],"Yes","No")</f>
        <v>No</v>
      </c>
      <c r="AA2968" s="4" t="str" cm="1">
        <f t="array" ref="AA2968">_xlfn.IFS(Table1[[#This Row],[Customer_Satisfaction]]&lt;=2,"Poor",Table1[[#This Row],[Customer_Satisfaction]]=3,"Neutral",Table1[[#This Row],[Customer_Satisfaction]]=4,"Good",Table1[[#This Row],[Customer_Satisfaction]]=5,"Good")</f>
        <v>Good</v>
      </c>
    </row>
    <row r="2969" spans="1:27" x14ac:dyDescent="0.35">
      <c r="A2969">
        <v>22967</v>
      </c>
      <c r="B2969" s="1">
        <v>45423</v>
      </c>
      <c r="C2969" t="s">
        <v>50</v>
      </c>
      <c r="D2969" t="s">
        <v>80</v>
      </c>
      <c r="E2969" t="s">
        <v>118</v>
      </c>
      <c r="F2969" t="s">
        <v>40</v>
      </c>
      <c r="G2969" t="s">
        <v>41</v>
      </c>
      <c r="H2969" t="s">
        <v>42</v>
      </c>
      <c r="I2969" t="s">
        <v>55</v>
      </c>
      <c r="J2969" t="s">
        <v>43</v>
      </c>
      <c r="K2969" t="s">
        <v>27</v>
      </c>
      <c r="L2969" t="s">
        <v>49</v>
      </c>
      <c r="M2969" s="4">
        <v>10</v>
      </c>
      <c r="N2969" s="4">
        <v>7</v>
      </c>
      <c r="O2969" t="s">
        <v>36</v>
      </c>
      <c r="P2969" t="s">
        <v>29</v>
      </c>
      <c r="Q2969" s="4">
        <v>420513</v>
      </c>
      <c r="R2969" s="4">
        <v>349441</v>
      </c>
      <c r="S2969" s="4">
        <f>Table1[[#This Row],[Service_Revenue]]-Table1[[#This Row],[Service_Cost]]</f>
        <v>71072</v>
      </c>
      <c r="T2969" s="4">
        <v>3</v>
      </c>
      <c r="U2969" s="4">
        <f>IF(AND(Table1[[#This Row],[Rework_Flag]]="Yes",Table1[[#This Row],[Warranty_Claim]]="No"),Table1[[#This Row],[Service_Revenue]],0)</f>
        <v>0</v>
      </c>
      <c r="V2969" s="4">
        <f>IF(Table1[[#This Row],[Warranty_Claim]]="Yes",1,0)</f>
        <v>1</v>
      </c>
      <c r="W2969" s="4">
        <f>IF(Table1[[#This Row],[Rework_Flag]]="No",1,0)</f>
        <v>1</v>
      </c>
      <c r="X2969" s="4">
        <f>IF(Table1[[#This Row],[Rework_Flag]]="Yes",1,0)</f>
        <v>0</v>
      </c>
      <c r="Y2969" s="4">
        <v>1</v>
      </c>
      <c r="Z2969" s="4" t="str">
        <f>IF(Table1[[#This Row],[TAT_Days]]&gt;Table1[[#This Row],[SLA_TAT]],"Yes","No")</f>
        <v>Yes</v>
      </c>
      <c r="AA2969" s="4" t="str" cm="1">
        <f t="array" ref="AA2969">_xlfn.IFS(Table1[[#This Row],[Customer_Satisfaction]]&lt;=2,"Poor",Table1[[#This Row],[Customer_Satisfaction]]=3,"Neutral",Table1[[#This Row],[Customer_Satisfaction]]=4,"Good",Table1[[#This Row],[Customer_Satisfaction]]=5,"Good")</f>
        <v>Neutral</v>
      </c>
    </row>
    <row r="2970" spans="1:27" x14ac:dyDescent="0.35">
      <c r="A2970">
        <v>22968</v>
      </c>
      <c r="B2970" s="1">
        <v>45300</v>
      </c>
      <c r="C2970" t="s">
        <v>50</v>
      </c>
      <c r="D2970" t="s">
        <v>80</v>
      </c>
      <c r="E2970" t="s">
        <v>121</v>
      </c>
      <c r="F2970" t="s">
        <v>40</v>
      </c>
      <c r="G2970" t="s">
        <v>74</v>
      </c>
      <c r="H2970" t="s">
        <v>34</v>
      </c>
      <c r="I2970" t="s">
        <v>25</v>
      </c>
      <c r="J2970" t="s">
        <v>67</v>
      </c>
      <c r="K2970" t="s">
        <v>61</v>
      </c>
      <c r="L2970" t="s">
        <v>49</v>
      </c>
      <c r="M2970" s="4">
        <v>9</v>
      </c>
      <c r="N2970" s="4">
        <v>7</v>
      </c>
      <c r="O2970" t="s">
        <v>36</v>
      </c>
      <c r="P2970" t="s">
        <v>29</v>
      </c>
      <c r="Q2970" s="4">
        <v>181509</v>
      </c>
      <c r="R2970" s="4">
        <v>128093</v>
      </c>
      <c r="S2970" s="4">
        <f>Table1[[#This Row],[Service_Revenue]]-Table1[[#This Row],[Service_Cost]]</f>
        <v>53416</v>
      </c>
      <c r="T2970" s="4">
        <v>4</v>
      </c>
      <c r="U2970" s="4">
        <f>IF(AND(Table1[[#This Row],[Rework_Flag]]="Yes",Table1[[#This Row],[Warranty_Claim]]="No"),Table1[[#This Row],[Service_Revenue]],0)</f>
        <v>0</v>
      </c>
      <c r="V2970" s="4">
        <f>IF(Table1[[#This Row],[Warranty_Claim]]="Yes",1,0)</f>
        <v>1</v>
      </c>
      <c r="W2970" s="4">
        <f>IF(Table1[[#This Row],[Rework_Flag]]="No",1,0)</f>
        <v>1</v>
      </c>
      <c r="X2970" s="4">
        <f>IF(Table1[[#This Row],[Rework_Flag]]="Yes",1,0)</f>
        <v>0</v>
      </c>
      <c r="Y2970" s="4">
        <v>1</v>
      </c>
      <c r="Z2970" s="4" t="str">
        <f>IF(Table1[[#This Row],[TAT_Days]]&gt;Table1[[#This Row],[SLA_TAT]],"Yes","No")</f>
        <v>Yes</v>
      </c>
      <c r="AA2970" s="4" t="str" cm="1">
        <f t="array" ref="AA2970">_xlfn.IFS(Table1[[#This Row],[Customer_Satisfaction]]&lt;=2,"Poor",Table1[[#This Row],[Customer_Satisfaction]]=3,"Neutral",Table1[[#This Row],[Customer_Satisfaction]]=4,"Good",Table1[[#This Row],[Customer_Satisfaction]]=5,"Good")</f>
        <v>Good</v>
      </c>
    </row>
    <row r="2971" spans="1:27" x14ac:dyDescent="0.35">
      <c r="A2971">
        <v>22969</v>
      </c>
      <c r="B2971" s="1">
        <v>45469</v>
      </c>
      <c r="C2971" t="s">
        <v>50</v>
      </c>
      <c r="D2971" t="s">
        <v>51</v>
      </c>
      <c r="E2971" t="s">
        <v>120</v>
      </c>
      <c r="F2971" t="s">
        <v>40</v>
      </c>
      <c r="G2971" t="s">
        <v>47</v>
      </c>
      <c r="H2971" t="s">
        <v>48</v>
      </c>
      <c r="I2971" t="s">
        <v>25</v>
      </c>
      <c r="J2971" t="s">
        <v>43</v>
      </c>
      <c r="K2971" t="s">
        <v>44</v>
      </c>
      <c r="L2971" t="s">
        <v>28</v>
      </c>
      <c r="M2971" s="4">
        <v>22</v>
      </c>
      <c r="N2971" s="4">
        <v>7</v>
      </c>
      <c r="O2971" t="s">
        <v>29</v>
      </c>
      <c r="P2971" t="s">
        <v>29</v>
      </c>
      <c r="Q2971" s="4">
        <v>577198</v>
      </c>
      <c r="R2971" s="4">
        <v>348917</v>
      </c>
      <c r="S2971" s="4">
        <f>Table1[[#This Row],[Service_Revenue]]-Table1[[#This Row],[Service_Cost]]</f>
        <v>228281</v>
      </c>
      <c r="T2971" s="4">
        <v>1</v>
      </c>
      <c r="U2971" s="4">
        <f>IF(AND(Table1[[#This Row],[Rework_Flag]]="Yes",Table1[[#This Row],[Warranty_Claim]]="No"),Table1[[#This Row],[Service_Revenue]],0)</f>
        <v>0</v>
      </c>
      <c r="V2971" s="4">
        <f>IF(Table1[[#This Row],[Warranty_Claim]]="Yes",1,0)</f>
        <v>1</v>
      </c>
      <c r="W2971" s="4">
        <f>IF(Table1[[#This Row],[Rework_Flag]]="No",1,0)</f>
        <v>0</v>
      </c>
      <c r="X2971" s="4">
        <f>IF(Table1[[#This Row],[Rework_Flag]]="Yes",1,0)</f>
        <v>1</v>
      </c>
      <c r="Y2971" s="4">
        <v>1</v>
      </c>
      <c r="Z2971" s="4" t="str">
        <f>IF(Table1[[#This Row],[TAT_Days]]&gt;Table1[[#This Row],[SLA_TAT]],"Yes","No")</f>
        <v>Yes</v>
      </c>
      <c r="AA2971" s="4" t="str" cm="1">
        <f t="array" ref="AA2971">_xlfn.IFS(Table1[[#This Row],[Customer_Satisfaction]]&lt;=2,"Poor",Table1[[#This Row],[Customer_Satisfaction]]=3,"Neutral",Table1[[#This Row],[Customer_Satisfaction]]=4,"Good",Table1[[#This Row],[Customer_Satisfaction]]=5,"Good")</f>
        <v>Poor</v>
      </c>
    </row>
    <row r="2972" spans="1:27" x14ac:dyDescent="0.35">
      <c r="A2972">
        <v>22970</v>
      </c>
      <c r="B2972" s="1">
        <v>45470</v>
      </c>
      <c r="C2972" t="s">
        <v>19</v>
      </c>
      <c r="D2972" t="s">
        <v>96</v>
      </c>
      <c r="E2972" t="s">
        <v>108</v>
      </c>
      <c r="F2972" t="s">
        <v>40</v>
      </c>
      <c r="G2972" t="s">
        <v>74</v>
      </c>
      <c r="H2972" t="s">
        <v>34</v>
      </c>
      <c r="I2972" t="s">
        <v>25</v>
      </c>
      <c r="J2972" t="s">
        <v>35</v>
      </c>
      <c r="K2972" t="s">
        <v>44</v>
      </c>
      <c r="L2972" t="s">
        <v>28</v>
      </c>
      <c r="M2972" s="4">
        <v>17</v>
      </c>
      <c r="N2972" s="4">
        <v>7</v>
      </c>
      <c r="O2972" t="s">
        <v>29</v>
      </c>
      <c r="P2972" t="s">
        <v>36</v>
      </c>
      <c r="Q2972" s="4">
        <v>207508</v>
      </c>
      <c r="R2972" s="4">
        <v>172698</v>
      </c>
      <c r="S2972" s="4">
        <f>Table1[[#This Row],[Service_Revenue]]-Table1[[#This Row],[Service_Cost]]</f>
        <v>34810</v>
      </c>
      <c r="T2972" s="4">
        <v>1</v>
      </c>
      <c r="U2972" s="4">
        <f>IF(AND(Table1[[#This Row],[Rework_Flag]]="Yes",Table1[[#This Row],[Warranty_Claim]]="No"),Table1[[#This Row],[Service_Revenue]],0)</f>
        <v>207508</v>
      </c>
      <c r="V2972" s="4">
        <f>IF(Table1[[#This Row],[Warranty_Claim]]="Yes",1,0)</f>
        <v>0</v>
      </c>
      <c r="W2972" s="4">
        <f>IF(Table1[[#This Row],[Rework_Flag]]="No",1,0)</f>
        <v>0</v>
      </c>
      <c r="X2972" s="4">
        <f>IF(Table1[[#This Row],[Rework_Flag]]="Yes",1,0)</f>
        <v>1</v>
      </c>
      <c r="Y2972" s="4">
        <v>1</v>
      </c>
      <c r="Z2972" s="4" t="str">
        <f>IF(Table1[[#This Row],[TAT_Days]]&gt;Table1[[#This Row],[SLA_TAT]],"Yes","No")</f>
        <v>Yes</v>
      </c>
      <c r="AA2972" s="4" t="str" cm="1">
        <f t="array" ref="AA2972">_xlfn.IFS(Table1[[#This Row],[Customer_Satisfaction]]&lt;=2,"Poor",Table1[[#This Row],[Customer_Satisfaction]]=3,"Neutral",Table1[[#This Row],[Customer_Satisfaction]]=4,"Good",Table1[[#This Row],[Customer_Satisfaction]]=5,"Good")</f>
        <v>Poor</v>
      </c>
    </row>
    <row r="2973" spans="1:27" x14ac:dyDescent="0.35">
      <c r="A2973">
        <v>22971</v>
      </c>
      <c r="B2973" s="1">
        <v>45430</v>
      </c>
      <c r="C2973" t="s">
        <v>19</v>
      </c>
      <c r="D2973" t="s">
        <v>20</v>
      </c>
      <c r="E2973" t="s">
        <v>117</v>
      </c>
      <c r="F2973" t="s">
        <v>22</v>
      </c>
      <c r="G2973" t="s">
        <v>54</v>
      </c>
      <c r="H2973" t="s">
        <v>42</v>
      </c>
      <c r="I2973" t="s">
        <v>55</v>
      </c>
      <c r="J2973" t="s">
        <v>43</v>
      </c>
      <c r="K2973" t="s">
        <v>61</v>
      </c>
      <c r="L2973" t="s">
        <v>49</v>
      </c>
      <c r="M2973" s="4">
        <v>20</v>
      </c>
      <c r="N2973" s="4">
        <v>7</v>
      </c>
      <c r="O2973" t="s">
        <v>36</v>
      </c>
      <c r="P2973" t="s">
        <v>36</v>
      </c>
      <c r="Q2973" s="4">
        <v>491957</v>
      </c>
      <c r="R2973" s="4">
        <v>325640</v>
      </c>
      <c r="S2973" s="4">
        <f>Table1[[#This Row],[Service_Revenue]]-Table1[[#This Row],[Service_Cost]]</f>
        <v>166317</v>
      </c>
      <c r="T2973" s="4">
        <v>1</v>
      </c>
      <c r="U2973" s="4">
        <f>IF(AND(Table1[[#This Row],[Rework_Flag]]="Yes",Table1[[#This Row],[Warranty_Claim]]="No"),Table1[[#This Row],[Service_Revenue]],0)</f>
        <v>0</v>
      </c>
      <c r="V2973" s="4">
        <f>IF(Table1[[#This Row],[Warranty_Claim]]="Yes",1,0)</f>
        <v>0</v>
      </c>
      <c r="W2973" s="4">
        <f>IF(Table1[[#This Row],[Rework_Flag]]="No",1,0)</f>
        <v>1</v>
      </c>
      <c r="X2973" s="4">
        <f>IF(Table1[[#This Row],[Rework_Flag]]="Yes",1,0)</f>
        <v>0</v>
      </c>
      <c r="Y2973" s="4">
        <v>1</v>
      </c>
      <c r="Z2973" s="4" t="str">
        <f>IF(Table1[[#This Row],[TAT_Days]]&gt;Table1[[#This Row],[SLA_TAT]],"Yes","No")</f>
        <v>Yes</v>
      </c>
      <c r="AA2973" s="4" t="str" cm="1">
        <f t="array" ref="AA2973">_xlfn.IFS(Table1[[#This Row],[Customer_Satisfaction]]&lt;=2,"Poor",Table1[[#This Row],[Customer_Satisfaction]]=3,"Neutral",Table1[[#This Row],[Customer_Satisfaction]]=4,"Good",Table1[[#This Row],[Customer_Satisfaction]]=5,"Good")</f>
        <v>Poor</v>
      </c>
    </row>
    <row r="2974" spans="1:27" x14ac:dyDescent="0.35">
      <c r="A2974">
        <v>22972</v>
      </c>
      <c r="B2974" s="1">
        <v>45359</v>
      </c>
      <c r="C2974" t="s">
        <v>30</v>
      </c>
      <c r="D2974" t="s">
        <v>31</v>
      </c>
      <c r="E2974" t="s">
        <v>122</v>
      </c>
      <c r="F2974" t="s">
        <v>22</v>
      </c>
      <c r="G2974" t="s">
        <v>23</v>
      </c>
      <c r="H2974" t="s">
        <v>24</v>
      </c>
      <c r="I2974" t="s">
        <v>25</v>
      </c>
      <c r="J2974" t="s">
        <v>58</v>
      </c>
      <c r="K2974" t="s">
        <v>61</v>
      </c>
      <c r="L2974" t="s">
        <v>49</v>
      </c>
      <c r="M2974" s="4">
        <v>10</v>
      </c>
      <c r="N2974" s="4">
        <v>7</v>
      </c>
      <c r="O2974" t="s">
        <v>29</v>
      </c>
      <c r="P2974" t="s">
        <v>29</v>
      </c>
      <c r="Q2974" s="4">
        <v>388343</v>
      </c>
      <c r="R2974" s="4">
        <v>253678</v>
      </c>
      <c r="S2974" s="4">
        <f>Table1[[#This Row],[Service_Revenue]]-Table1[[#This Row],[Service_Cost]]</f>
        <v>134665</v>
      </c>
      <c r="T2974" s="4">
        <v>2</v>
      </c>
      <c r="U2974" s="4">
        <f>IF(AND(Table1[[#This Row],[Rework_Flag]]="Yes",Table1[[#This Row],[Warranty_Claim]]="No"),Table1[[#This Row],[Service_Revenue]],0)</f>
        <v>0</v>
      </c>
      <c r="V2974" s="4">
        <f>IF(Table1[[#This Row],[Warranty_Claim]]="Yes",1,0)</f>
        <v>1</v>
      </c>
      <c r="W2974" s="4">
        <f>IF(Table1[[#This Row],[Rework_Flag]]="No",1,0)</f>
        <v>0</v>
      </c>
      <c r="X2974" s="4">
        <f>IF(Table1[[#This Row],[Rework_Flag]]="Yes",1,0)</f>
        <v>1</v>
      </c>
      <c r="Y2974" s="4">
        <v>1</v>
      </c>
      <c r="Z2974" s="4" t="str">
        <f>IF(Table1[[#This Row],[TAT_Days]]&gt;Table1[[#This Row],[SLA_TAT]],"Yes","No")</f>
        <v>Yes</v>
      </c>
      <c r="AA2974" s="4" t="str" cm="1">
        <f t="array" ref="AA2974">_xlfn.IFS(Table1[[#This Row],[Customer_Satisfaction]]&lt;=2,"Poor",Table1[[#This Row],[Customer_Satisfaction]]=3,"Neutral",Table1[[#This Row],[Customer_Satisfaction]]=4,"Good",Table1[[#This Row],[Customer_Satisfaction]]=5,"Good")</f>
        <v>Poor</v>
      </c>
    </row>
    <row r="2975" spans="1:27" x14ac:dyDescent="0.35">
      <c r="A2975">
        <v>22973</v>
      </c>
      <c r="B2975" s="1">
        <v>45365</v>
      </c>
      <c r="C2975" t="s">
        <v>37</v>
      </c>
      <c r="D2975" t="s">
        <v>38</v>
      </c>
      <c r="E2975" t="s">
        <v>102</v>
      </c>
      <c r="F2975" t="s">
        <v>40</v>
      </c>
      <c r="G2975" t="s">
        <v>41</v>
      </c>
      <c r="H2975" t="s">
        <v>42</v>
      </c>
      <c r="I2975" t="s">
        <v>55</v>
      </c>
      <c r="J2975" t="s">
        <v>67</v>
      </c>
      <c r="K2975" t="s">
        <v>27</v>
      </c>
      <c r="L2975" t="s">
        <v>28</v>
      </c>
      <c r="M2975" s="4">
        <v>13</v>
      </c>
      <c r="N2975" s="4">
        <v>7</v>
      </c>
      <c r="O2975" t="s">
        <v>29</v>
      </c>
      <c r="P2975" t="s">
        <v>29</v>
      </c>
      <c r="Q2975" s="4">
        <v>465230</v>
      </c>
      <c r="R2975" s="4">
        <v>320864</v>
      </c>
      <c r="S2975" s="4">
        <f>Table1[[#This Row],[Service_Revenue]]-Table1[[#This Row],[Service_Cost]]</f>
        <v>144366</v>
      </c>
      <c r="T2975" s="4">
        <v>2</v>
      </c>
      <c r="U2975" s="4">
        <f>IF(AND(Table1[[#This Row],[Rework_Flag]]="Yes",Table1[[#This Row],[Warranty_Claim]]="No"),Table1[[#This Row],[Service_Revenue]],0)</f>
        <v>0</v>
      </c>
      <c r="V2975" s="4">
        <f>IF(Table1[[#This Row],[Warranty_Claim]]="Yes",1,0)</f>
        <v>1</v>
      </c>
      <c r="W2975" s="4">
        <f>IF(Table1[[#This Row],[Rework_Flag]]="No",1,0)</f>
        <v>0</v>
      </c>
      <c r="X2975" s="4">
        <f>IF(Table1[[#This Row],[Rework_Flag]]="Yes",1,0)</f>
        <v>1</v>
      </c>
      <c r="Y2975" s="4">
        <v>1</v>
      </c>
      <c r="Z2975" s="4" t="str">
        <f>IF(Table1[[#This Row],[TAT_Days]]&gt;Table1[[#This Row],[SLA_TAT]],"Yes","No")</f>
        <v>Yes</v>
      </c>
      <c r="AA2975" s="4" t="str" cm="1">
        <f t="array" ref="AA2975">_xlfn.IFS(Table1[[#This Row],[Customer_Satisfaction]]&lt;=2,"Poor",Table1[[#This Row],[Customer_Satisfaction]]=3,"Neutral",Table1[[#This Row],[Customer_Satisfaction]]=4,"Good",Table1[[#This Row],[Customer_Satisfaction]]=5,"Good")</f>
        <v>Poor</v>
      </c>
    </row>
    <row r="2976" spans="1:27" x14ac:dyDescent="0.35">
      <c r="A2976">
        <v>22974</v>
      </c>
      <c r="B2976" s="1">
        <v>45409</v>
      </c>
      <c r="C2976" t="s">
        <v>19</v>
      </c>
      <c r="D2976" t="s">
        <v>45</v>
      </c>
      <c r="E2976" t="s">
        <v>76</v>
      </c>
      <c r="F2976" t="s">
        <v>22</v>
      </c>
      <c r="G2976" t="s">
        <v>74</v>
      </c>
      <c r="H2976" t="s">
        <v>34</v>
      </c>
      <c r="I2976" t="s">
        <v>55</v>
      </c>
      <c r="J2976" t="s">
        <v>58</v>
      </c>
      <c r="K2976" t="s">
        <v>61</v>
      </c>
      <c r="L2976" t="s">
        <v>28</v>
      </c>
      <c r="M2976" s="4">
        <v>20</v>
      </c>
      <c r="N2976" s="4">
        <v>7</v>
      </c>
      <c r="O2976" t="s">
        <v>36</v>
      </c>
      <c r="P2976" t="s">
        <v>36</v>
      </c>
      <c r="Q2976" s="4">
        <v>168652</v>
      </c>
      <c r="R2976" s="4">
        <v>124347</v>
      </c>
      <c r="S2976" s="4">
        <f>Table1[[#This Row],[Service_Revenue]]-Table1[[#This Row],[Service_Cost]]</f>
        <v>44305</v>
      </c>
      <c r="T2976" s="4">
        <v>1</v>
      </c>
      <c r="U2976" s="4">
        <f>IF(AND(Table1[[#This Row],[Rework_Flag]]="Yes",Table1[[#This Row],[Warranty_Claim]]="No"),Table1[[#This Row],[Service_Revenue]],0)</f>
        <v>0</v>
      </c>
      <c r="V2976" s="4">
        <f>IF(Table1[[#This Row],[Warranty_Claim]]="Yes",1,0)</f>
        <v>0</v>
      </c>
      <c r="W2976" s="4">
        <f>IF(Table1[[#This Row],[Rework_Flag]]="No",1,0)</f>
        <v>1</v>
      </c>
      <c r="X2976" s="4">
        <f>IF(Table1[[#This Row],[Rework_Flag]]="Yes",1,0)</f>
        <v>0</v>
      </c>
      <c r="Y2976" s="4">
        <v>1</v>
      </c>
      <c r="Z2976" s="4" t="str">
        <f>IF(Table1[[#This Row],[TAT_Days]]&gt;Table1[[#This Row],[SLA_TAT]],"Yes","No")</f>
        <v>Yes</v>
      </c>
      <c r="AA2976" s="4" t="str" cm="1">
        <f t="array" ref="AA2976">_xlfn.IFS(Table1[[#This Row],[Customer_Satisfaction]]&lt;=2,"Poor",Table1[[#This Row],[Customer_Satisfaction]]=3,"Neutral",Table1[[#This Row],[Customer_Satisfaction]]=4,"Good",Table1[[#This Row],[Customer_Satisfaction]]=5,"Good")</f>
        <v>Poor</v>
      </c>
    </row>
    <row r="2977" spans="1:27" x14ac:dyDescent="0.35">
      <c r="A2977">
        <v>22975</v>
      </c>
      <c r="B2977" s="1">
        <v>45328</v>
      </c>
      <c r="C2977" t="s">
        <v>30</v>
      </c>
      <c r="D2977" t="s">
        <v>83</v>
      </c>
      <c r="E2977" t="s">
        <v>95</v>
      </c>
      <c r="F2977" t="s">
        <v>22</v>
      </c>
      <c r="G2977" t="s">
        <v>47</v>
      </c>
      <c r="H2977" t="s">
        <v>48</v>
      </c>
      <c r="I2977" t="s">
        <v>55</v>
      </c>
      <c r="J2977" t="s">
        <v>67</v>
      </c>
      <c r="K2977" t="s">
        <v>61</v>
      </c>
      <c r="L2977" t="s">
        <v>49</v>
      </c>
      <c r="M2977" s="4">
        <v>7</v>
      </c>
      <c r="N2977" s="4">
        <v>7</v>
      </c>
      <c r="O2977" t="s">
        <v>29</v>
      </c>
      <c r="P2977" t="s">
        <v>29</v>
      </c>
      <c r="Q2977" s="4">
        <v>447525</v>
      </c>
      <c r="R2977" s="4">
        <v>257005</v>
      </c>
      <c r="S2977" s="4">
        <f>Table1[[#This Row],[Service_Revenue]]-Table1[[#This Row],[Service_Cost]]</f>
        <v>190520</v>
      </c>
      <c r="T2977" s="4">
        <v>3</v>
      </c>
      <c r="U2977" s="4">
        <f>IF(AND(Table1[[#This Row],[Rework_Flag]]="Yes",Table1[[#This Row],[Warranty_Claim]]="No"),Table1[[#This Row],[Service_Revenue]],0)</f>
        <v>0</v>
      </c>
      <c r="V2977" s="4">
        <f>IF(Table1[[#This Row],[Warranty_Claim]]="Yes",1,0)</f>
        <v>1</v>
      </c>
      <c r="W2977" s="4">
        <f>IF(Table1[[#This Row],[Rework_Flag]]="No",1,0)</f>
        <v>0</v>
      </c>
      <c r="X2977" s="4">
        <f>IF(Table1[[#This Row],[Rework_Flag]]="Yes",1,0)</f>
        <v>1</v>
      </c>
      <c r="Y2977" s="4">
        <v>1</v>
      </c>
      <c r="Z2977" s="4" t="str">
        <f>IF(Table1[[#This Row],[TAT_Days]]&gt;Table1[[#This Row],[SLA_TAT]],"Yes","No")</f>
        <v>No</v>
      </c>
      <c r="AA2977" s="4" t="str" cm="1">
        <f t="array" ref="AA2977">_xlfn.IFS(Table1[[#This Row],[Customer_Satisfaction]]&lt;=2,"Poor",Table1[[#This Row],[Customer_Satisfaction]]=3,"Neutral",Table1[[#This Row],[Customer_Satisfaction]]=4,"Good",Table1[[#This Row],[Customer_Satisfaction]]=5,"Good")</f>
        <v>Neutral</v>
      </c>
    </row>
    <row r="2978" spans="1:27" x14ac:dyDescent="0.35">
      <c r="A2978">
        <v>22976</v>
      </c>
      <c r="B2978" s="1">
        <v>45433</v>
      </c>
      <c r="C2978" t="s">
        <v>30</v>
      </c>
      <c r="D2978" t="s">
        <v>59</v>
      </c>
      <c r="E2978" t="s">
        <v>69</v>
      </c>
      <c r="F2978" t="s">
        <v>53</v>
      </c>
      <c r="G2978" t="s">
        <v>74</v>
      </c>
      <c r="H2978" t="s">
        <v>34</v>
      </c>
      <c r="I2978" t="s">
        <v>25</v>
      </c>
      <c r="J2978" t="s">
        <v>67</v>
      </c>
      <c r="K2978" t="s">
        <v>27</v>
      </c>
      <c r="L2978" t="s">
        <v>28</v>
      </c>
      <c r="M2978" s="4">
        <v>21</v>
      </c>
      <c r="N2978" s="4">
        <v>7</v>
      </c>
      <c r="O2978" t="s">
        <v>29</v>
      </c>
      <c r="P2978" t="s">
        <v>29</v>
      </c>
      <c r="Q2978" s="4">
        <v>439058</v>
      </c>
      <c r="R2978" s="4">
        <v>294945</v>
      </c>
      <c r="S2978" s="4">
        <f>Table1[[#This Row],[Service_Revenue]]-Table1[[#This Row],[Service_Cost]]</f>
        <v>144113</v>
      </c>
      <c r="T2978" s="4">
        <v>1</v>
      </c>
      <c r="U2978" s="4">
        <f>IF(AND(Table1[[#This Row],[Rework_Flag]]="Yes",Table1[[#This Row],[Warranty_Claim]]="No"),Table1[[#This Row],[Service_Revenue]],0)</f>
        <v>0</v>
      </c>
      <c r="V2978" s="4">
        <f>IF(Table1[[#This Row],[Warranty_Claim]]="Yes",1,0)</f>
        <v>1</v>
      </c>
      <c r="W2978" s="4">
        <f>IF(Table1[[#This Row],[Rework_Flag]]="No",1,0)</f>
        <v>0</v>
      </c>
      <c r="X2978" s="4">
        <f>IF(Table1[[#This Row],[Rework_Flag]]="Yes",1,0)</f>
        <v>1</v>
      </c>
      <c r="Y2978" s="4">
        <v>1</v>
      </c>
      <c r="Z2978" s="4" t="str">
        <f>IF(Table1[[#This Row],[TAT_Days]]&gt;Table1[[#This Row],[SLA_TAT]],"Yes","No")</f>
        <v>Yes</v>
      </c>
      <c r="AA2978" s="4" t="str" cm="1">
        <f t="array" ref="AA2978">_xlfn.IFS(Table1[[#This Row],[Customer_Satisfaction]]&lt;=2,"Poor",Table1[[#This Row],[Customer_Satisfaction]]=3,"Neutral",Table1[[#This Row],[Customer_Satisfaction]]=4,"Good",Table1[[#This Row],[Customer_Satisfaction]]=5,"Good")</f>
        <v>Poor</v>
      </c>
    </row>
    <row r="2979" spans="1:27" x14ac:dyDescent="0.35">
      <c r="A2979">
        <v>22977</v>
      </c>
      <c r="B2979" s="1">
        <v>45302</v>
      </c>
      <c r="C2979" t="s">
        <v>30</v>
      </c>
      <c r="D2979" t="s">
        <v>31</v>
      </c>
      <c r="E2979" t="s">
        <v>62</v>
      </c>
      <c r="F2979" t="s">
        <v>40</v>
      </c>
      <c r="G2979" t="s">
        <v>54</v>
      </c>
      <c r="H2979" t="s">
        <v>42</v>
      </c>
      <c r="I2979" t="s">
        <v>25</v>
      </c>
      <c r="J2979" t="s">
        <v>58</v>
      </c>
      <c r="K2979" t="s">
        <v>44</v>
      </c>
      <c r="L2979" t="s">
        <v>49</v>
      </c>
      <c r="M2979" s="4">
        <v>6</v>
      </c>
      <c r="N2979" s="4">
        <v>7</v>
      </c>
      <c r="O2979" t="s">
        <v>36</v>
      </c>
      <c r="P2979" t="s">
        <v>29</v>
      </c>
      <c r="Q2979" s="4">
        <v>113720</v>
      </c>
      <c r="R2979" s="4">
        <v>93833</v>
      </c>
      <c r="S2979" s="4">
        <f>Table1[[#This Row],[Service_Revenue]]-Table1[[#This Row],[Service_Cost]]</f>
        <v>19887</v>
      </c>
      <c r="T2979" s="4">
        <v>4</v>
      </c>
      <c r="U2979" s="4">
        <f>IF(AND(Table1[[#This Row],[Rework_Flag]]="Yes",Table1[[#This Row],[Warranty_Claim]]="No"),Table1[[#This Row],[Service_Revenue]],0)</f>
        <v>0</v>
      </c>
      <c r="V2979" s="4">
        <f>IF(Table1[[#This Row],[Warranty_Claim]]="Yes",1,0)</f>
        <v>1</v>
      </c>
      <c r="W2979" s="4">
        <f>IF(Table1[[#This Row],[Rework_Flag]]="No",1,0)</f>
        <v>1</v>
      </c>
      <c r="X2979" s="4">
        <f>IF(Table1[[#This Row],[Rework_Flag]]="Yes",1,0)</f>
        <v>0</v>
      </c>
      <c r="Y2979" s="4">
        <v>1</v>
      </c>
      <c r="Z2979" s="4" t="str">
        <f>IF(Table1[[#This Row],[TAT_Days]]&gt;Table1[[#This Row],[SLA_TAT]],"Yes","No")</f>
        <v>No</v>
      </c>
      <c r="AA2979" s="4" t="str" cm="1">
        <f t="array" ref="AA2979">_xlfn.IFS(Table1[[#This Row],[Customer_Satisfaction]]&lt;=2,"Poor",Table1[[#This Row],[Customer_Satisfaction]]=3,"Neutral",Table1[[#This Row],[Customer_Satisfaction]]=4,"Good",Table1[[#This Row],[Customer_Satisfaction]]=5,"Good")</f>
        <v>Good</v>
      </c>
    </row>
    <row r="2980" spans="1:27" x14ac:dyDescent="0.35">
      <c r="A2980">
        <v>22978</v>
      </c>
      <c r="B2980" s="1">
        <v>45293</v>
      </c>
      <c r="C2980" t="s">
        <v>19</v>
      </c>
      <c r="D2980" t="s">
        <v>45</v>
      </c>
      <c r="E2980" t="s">
        <v>99</v>
      </c>
      <c r="F2980" t="s">
        <v>22</v>
      </c>
      <c r="G2980" t="s">
        <v>33</v>
      </c>
      <c r="H2980" t="s">
        <v>34</v>
      </c>
      <c r="I2980" t="s">
        <v>25</v>
      </c>
      <c r="J2980" t="s">
        <v>67</v>
      </c>
      <c r="K2980" t="s">
        <v>44</v>
      </c>
      <c r="L2980" t="s">
        <v>28</v>
      </c>
      <c r="M2980" s="4">
        <v>7</v>
      </c>
      <c r="N2980" s="4">
        <v>7</v>
      </c>
      <c r="O2980" t="s">
        <v>36</v>
      </c>
      <c r="P2980" t="s">
        <v>36</v>
      </c>
      <c r="Q2980" s="4">
        <v>199015</v>
      </c>
      <c r="R2980" s="4">
        <v>143625</v>
      </c>
      <c r="S2980" s="4">
        <f>Table1[[#This Row],[Service_Revenue]]-Table1[[#This Row],[Service_Cost]]</f>
        <v>55390</v>
      </c>
      <c r="T2980" s="4">
        <v>4</v>
      </c>
      <c r="U2980" s="4">
        <f>IF(AND(Table1[[#This Row],[Rework_Flag]]="Yes",Table1[[#This Row],[Warranty_Claim]]="No"),Table1[[#This Row],[Service_Revenue]],0)</f>
        <v>0</v>
      </c>
      <c r="V2980" s="4">
        <f>IF(Table1[[#This Row],[Warranty_Claim]]="Yes",1,0)</f>
        <v>0</v>
      </c>
      <c r="W2980" s="4">
        <f>IF(Table1[[#This Row],[Rework_Flag]]="No",1,0)</f>
        <v>1</v>
      </c>
      <c r="X2980" s="4">
        <f>IF(Table1[[#This Row],[Rework_Flag]]="Yes",1,0)</f>
        <v>0</v>
      </c>
      <c r="Y2980" s="4">
        <v>1</v>
      </c>
      <c r="Z2980" s="4" t="str">
        <f>IF(Table1[[#This Row],[TAT_Days]]&gt;Table1[[#This Row],[SLA_TAT]],"Yes","No")</f>
        <v>No</v>
      </c>
      <c r="AA2980" s="4" t="str" cm="1">
        <f t="array" ref="AA2980">_xlfn.IFS(Table1[[#This Row],[Customer_Satisfaction]]&lt;=2,"Poor",Table1[[#This Row],[Customer_Satisfaction]]=3,"Neutral",Table1[[#This Row],[Customer_Satisfaction]]=4,"Good",Table1[[#This Row],[Customer_Satisfaction]]=5,"Good")</f>
        <v>Good</v>
      </c>
    </row>
    <row r="2981" spans="1:27" x14ac:dyDescent="0.35">
      <c r="A2981">
        <v>22979</v>
      </c>
      <c r="B2981" s="1">
        <v>45428</v>
      </c>
      <c r="C2981" t="s">
        <v>19</v>
      </c>
      <c r="D2981" t="s">
        <v>96</v>
      </c>
      <c r="E2981" t="s">
        <v>109</v>
      </c>
      <c r="F2981" t="s">
        <v>53</v>
      </c>
      <c r="G2981" t="s">
        <v>23</v>
      </c>
      <c r="H2981" t="s">
        <v>24</v>
      </c>
      <c r="I2981" t="s">
        <v>55</v>
      </c>
      <c r="J2981" t="s">
        <v>58</v>
      </c>
      <c r="K2981" t="s">
        <v>44</v>
      </c>
      <c r="L2981" t="s">
        <v>28</v>
      </c>
      <c r="M2981" s="4">
        <v>17</v>
      </c>
      <c r="N2981" s="4">
        <v>7</v>
      </c>
      <c r="O2981" t="s">
        <v>29</v>
      </c>
      <c r="P2981" t="s">
        <v>29</v>
      </c>
      <c r="Q2981" s="4">
        <v>320231</v>
      </c>
      <c r="R2981" s="4">
        <v>269832</v>
      </c>
      <c r="S2981" s="4">
        <f>Table1[[#This Row],[Service_Revenue]]-Table1[[#This Row],[Service_Cost]]</f>
        <v>50399</v>
      </c>
      <c r="T2981" s="4">
        <v>1</v>
      </c>
      <c r="U2981" s="4">
        <f>IF(AND(Table1[[#This Row],[Rework_Flag]]="Yes",Table1[[#This Row],[Warranty_Claim]]="No"),Table1[[#This Row],[Service_Revenue]],0)</f>
        <v>0</v>
      </c>
      <c r="V2981" s="4">
        <f>IF(Table1[[#This Row],[Warranty_Claim]]="Yes",1,0)</f>
        <v>1</v>
      </c>
      <c r="W2981" s="4">
        <f>IF(Table1[[#This Row],[Rework_Flag]]="No",1,0)</f>
        <v>0</v>
      </c>
      <c r="X2981" s="4">
        <f>IF(Table1[[#This Row],[Rework_Flag]]="Yes",1,0)</f>
        <v>1</v>
      </c>
      <c r="Y2981" s="4">
        <v>1</v>
      </c>
      <c r="Z2981" s="4" t="str">
        <f>IF(Table1[[#This Row],[TAT_Days]]&gt;Table1[[#This Row],[SLA_TAT]],"Yes","No")</f>
        <v>Yes</v>
      </c>
      <c r="AA2981" s="4" t="str" cm="1">
        <f t="array" ref="AA2981">_xlfn.IFS(Table1[[#This Row],[Customer_Satisfaction]]&lt;=2,"Poor",Table1[[#This Row],[Customer_Satisfaction]]=3,"Neutral",Table1[[#This Row],[Customer_Satisfaction]]=4,"Good",Table1[[#This Row],[Customer_Satisfaction]]=5,"Good")</f>
        <v>Poor</v>
      </c>
    </row>
    <row r="2982" spans="1:27" x14ac:dyDescent="0.35">
      <c r="A2982">
        <v>22980</v>
      </c>
      <c r="B2982" s="1">
        <v>45364</v>
      </c>
      <c r="C2982" t="s">
        <v>30</v>
      </c>
      <c r="D2982" t="s">
        <v>83</v>
      </c>
      <c r="E2982" t="s">
        <v>119</v>
      </c>
      <c r="F2982" t="s">
        <v>22</v>
      </c>
      <c r="G2982" t="s">
        <v>23</v>
      </c>
      <c r="H2982" t="s">
        <v>24</v>
      </c>
      <c r="I2982" t="s">
        <v>55</v>
      </c>
      <c r="J2982" t="s">
        <v>35</v>
      </c>
      <c r="K2982" t="s">
        <v>44</v>
      </c>
      <c r="L2982" t="s">
        <v>28</v>
      </c>
      <c r="M2982" s="4">
        <v>25</v>
      </c>
      <c r="N2982" s="4">
        <v>7</v>
      </c>
      <c r="O2982" t="s">
        <v>29</v>
      </c>
      <c r="P2982" t="s">
        <v>36</v>
      </c>
      <c r="Q2982" s="4">
        <v>356621</v>
      </c>
      <c r="R2982" s="4">
        <v>301345</v>
      </c>
      <c r="S2982" s="4">
        <f>Table1[[#This Row],[Service_Revenue]]-Table1[[#This Row],[Service_Cost]]</f>
        <v>55276</v>
      </c>
      <c r="T2982" s="4">
        <v>1</v>
      </c>
      <c r="U2982" s="4">
        <f>IF(AND(Table1[[#This Row],[Rework_Flag]]="Yes",Table1[[#This Row],[Warranty_Claim]]="No"),Table1[[#This Row],[Service_Revenue]],0)</f>
        <v>356621</v>
      </c>
      <c r="V2982" s="4">
        <f>IF(Table1[[#This Row],[Warranty_Claim]]="Yes",1,0)</f>
        <v>0</v>
      </c>
      <c r="W2982" s="4">
        <f>IF(Table1[[#This Row],[Rework_Flag]]="No",1,0)</f>
        <v>0</v>
      </c>
      <c r="X2982" s="4">
        <f>IF(Table1[[#This Row],[Rework_Flag]]="Yes",1,0)</f>
        <v>1</v>
      </c>
      <c r="Y2982" s="4">
        <v>1</v>
      </c>
      <c r="Z2982" s="4" t="str">
        <f>IF(Table1[[#This Row],[TAT_Days]]&gt;Table1[[#This Row],[SLA_TAT]],"Yes","No")</f>
        <v>Yes</v>
      </c>
      <c r="AA2982" s="4" t="str" cm="1">
        <f t="array" ref="AA2982">_xlfn.IFS(Table1[[#This Row],[Customer_Satisfaction]]&lt;=2,"Poor",Table1[[#This Row],[Customer_Satisfaction]]=3,"Neutral",Table1[[#This Row],[Customer_Satisfaction]]=4,"Good",Table1[[#This Row],[Customer_Satisfaction]]=5,"Good")</f>
        <v>Poor</v>
      </c>
    </row>
    <row r="2983" spans="1:27" x14ac:dyDescent="0.35">
      <c r="A2983">
        <v>22981</v>
      </c>
      <c r="B2983" s="1">
        <v>45347</v>
      </c>
      <c r="C2983" t="s">
        <v>50</v>
      </c>
      <c r="D2983" t="s">
        <v>80</v>
      </c>
      <c r="E2983" t="s">
        <v>104</v>
      </c>
      <c r="F2983" t="s">
        <v>40</v>
      </c>
      <c r="G2983" t="s">
        <v>54</v>
      </c>
      <c r="H2983" t="s">
        <v>42</v>
      </c>
      <c r="I2983" t="s">
        <v>55</v>
      </c>
      <c r="J2983" t="s">
        <v>58</v>
      </c>
      <c r="K2983" t="s">
        <v>27</v>
      </c>
      <c r="L2983" t="s">
        <v>28</v>
      </c>
      <c r="M2983" s="4">
        <v>9</v>
      </c>
      <c r="N2983" s="4">
        <v>7</v>
      </c>
      <c r="O2983" t="s">
        <v>36</v>
      </c>
      <c r="P2983" t="s">
        <v>36</v>
      </c>
      <c r="Q2983" s="4">
        <v>291680</v>
      </c>
      <c r="R2983" s="4">
        <v>171923</v>
      </c>
      <c r="S2983" s="4">
        <f>Table1[[#This Row],[Service_Revenue]]-Table1[[#This Row],[Service_Cost]]</f>
        <v>119757</v>
      </c>
      <c r="T2983" s="4">
        <v>4</v>
      </c>
      <c r="U2983" s="4">
        <f>IF(AND(Table1[[#This Row],[Rework_Flag]]="Yes",Table1[[#This Row],[Warranty_Claim]]="No"),Table1[[#This Row],[Service_Revenue]],0)</f>
        <v>0</v>
      </c>
      <c r="V2983" s="4">
        <f>IF(Table1[[#This Row],[Warranty_Claim]]="Yes",1,0)</f>
        <v>0</v>
      </c>
      <c r="W2983" s="4">
        <f>IF(Table1[[#This Row],[Rework_Flag]]="No",1,0)</f>
        <v>1</v>
      </c>
      <c r="X2983" s="4">
        <f>IF(Table1[[#This Row],[Rework_Flag]]="Yes",1,0)</f>
        <v>0</v>
      </c>
      <c r="Y2983" s="4">
        <v>1</v>
      </c>
      <c r="Z2983" s="4" t="str">
        <f>IF(Table1[[#This Row],[TAT_Days]]&gt;Table1[[#This Row],[SLA_TAT]],"Yes","No")</f>
        <v>Yes</v>
      </c>
      <c r="AA2983" s="4" t="str" cm="1">
        <f t="array" ref="AA2983">_xlfn.IFS(Table1[[#This Row],[Customer_Satisfaction]]&lt;=2,"Poor",Table1[[#This Row],[Customer_Satisfaction]]=3,"Neutral",Table1[[#This Row],[Customer_Satisfaction]]=4,"Good",Table1[[#This Row],[Customer_Satisfaction]]=5,"Good")</f>
        <v>Good</v>
      </c>
    </row>
    <row r="2984" spans="1:27" x14ac:dyDescent="0.35">
      <c r="A2984">
        <v>22982</v>
      </c>
      <c r="B2984" s="1">
        <v>45400</v>
      </c>
      <c r="C2984" t="s">
        <v>30</v>
      </c>
      <c r="D2984" t="s">
        <v>83</v>
      </c>
      <c r="E2984" t="s">
        <v>90</v>
      </c>
      <c r="F2984" t="s">
        <v>40</v>
      </c>
      <c r="G2984" t="s">
        <v>63</v>
      </c>
      <c r="H2984" t="s">
        <v>24</v>
      </c>
      <c r="I2984" t="s">
        <v>25</v>
      </c>
      <c r="J2984" t="s">
        <v>58</v>
      </c>
      <c r="K2984" t="s">
        <v>44</v>
      </c>
      <c r="L2984" t="s">
        <v>28</v>
      </c>
      <c r="M2984" s="4">
        <v>20</v>
      </c>
      <c r="N2984" s="4">
        <v>7</v>
      </c>
      <c r="O2984" t="s">
        <v>36</v>
      </c>
      <c r="P2984" t="s">
        <v>36</v>
      </c>
      <c r="Q2984" s="4">
        <v>255727</v>
      </c>
      <c r="R2984" s="4">
        <v>192209</v>
      </c>
      <c r="S2984" s="4">
        <f>Table1[[#This Row],[Service_Revenue]]-Table1[[#This Row],[Service_Cost]]</f>
        <v>63518</v>
      </c>
      <c r="T2984" s="4">
        <v>1</v>
      </c>
      <c r="U2984" s="4">
        <f>IF(AND(Table1[[#This Row],[Rework_Flag]]="Yes",Table1[[#This Row],[Warranty_Claim]]="No"),Table1[[#This Row],[Service_Revenue]],0)</f>
        <v>0</v>
      </c>
      <c r="V2984" s="4">
        <f>IF(Table1[[#This Row],[Warranty_Claim]]="Yes",1,0)</f>
        <v>0</v>
      </c>
      <c r="W2984" s="4">
        <f>IF(Table1[[#This Row],[Rework_Flag]]="No",1,0)</f>
        <v>1</v>
      </c>
      <c r="X2984" s="4">
        <f>IF(Table1[[#This Row],[Rework_Flag]]="Yes",1,0)</f>
        <v>0</v>
      </c>
      <c r="Y2984" s="4">
        <v>1</v>
      </c>
      <c r="Z2984" s="4" t="str">
        <f>IF(Table1[[#This Row],[TAT_Days]]&gt;Table1[[#This Row],[SLA_TAT]],"Yes","No")</f>
        <v>Yes</v>
      </c>
      <c r="AA2984" s="4" t="str" cm="1">
        <f t="array" ref="AA2984">_xlfn.IFS(Table1[[#This Row],[Customer_Satisfaction]]&lt;=2,"Poor",Table1[[#This Row],[Customer_Satisfaction]]=3,"Neutral",Table1[[#This Row],[Customer_Satisfaction]]=4,"Good",Table1[[#This Row],[Customer_Satisfaction]]=5,"Good")</f>
        <v>Poor</v>
      </c>
    </row>
    <row r="2985" spans="1:27" x14ac:dyDescent="0.35">
      <c r="A2985">
        <v>22983</v>
      </c>
      <c r="B2985" s="1">
        <v>45302</v>
      </c>
      <c r="C2985" t="s">
        <v>37</v>
      </c>
      <c r="D2985" t="s">
        <v>64</v>
      </c>
      <c r="E2985" t="s">
        <v>72</v>
      </c>
      <c r="F2985" t="s">
        <v>40</v>
      </c>
      <c r="G2985" t="s">
        <v>23</v>
      </c>
      <c r="H2985" t="s">
        <v>24</v>
      </c>
      <c r="I2985" t="s">
        <v>55</v>
      </c>
      <c r="J2985" t="s">
        <v>43</v>
      </c>
      <c r="K2985" t="s">
        <v>44</v>
      </c>
      <c r="L2985" t="s">
        <v>49</v>
      </c>
      <c r="M2985" s="4">
        <v>15</v>
      </c>
      <c r="N2985" s="4">
        <v>7</v>
      </c>
      <c r="O2985" t="s">
        <v>36</v>
      </c>
      <c r="P2985" t="s">
        <v>36</v>
      </c>
      <c r="Q2985" s="4">
        <v>340345</v>
      </c>
      <c r="R2985" s="4">
        <v>183299</v>
      </c>
      <c r="S2985" s="4">
        <f>Table1[[#This Row],[Service_Revenue]]-Table1[[#This Row],[Service_Cost]]</f>
        <v>157046</v>
      </c>
      <c r="T2985" s="4">
        <v>2</v>
      </c>
      <c r="U2985" s="4">
        <f>IF(AND(Table1[[#This Row],[Rework_Flag]]="Yes",Table1[[#This Row],[Warranty_Claim]]="No"),Table1[[#This Row],[Service_Revenue]],0)</f>
        <v>0</v>
      </c>
      <c r="V2985" s="4">
        <f>IF(Table1[[#This Row],[Warranty_Claim]]="Yes",1,0)</f>
        <v>0</v>
      </c>
      <c r="W2985" s="4">
        <f>IF(Table1[[#This Row],[Rework_Flag]]="No",1,0)</f>
        <v>1</v>
      </c>
      <c r="X2985" s="4">
        <f>IF(Table1[[#This Row],[Rework_Flag]]="Yes",1,0)</f>
        <v>0</v>
      </c>
      <c r="Y2985" s="4">
        <v>1</v>
      </c>
      <c r="Z2985" s="4" t="str">
        <f>IF(Table1[[#This Row],[TAT_Days]]&gt;Table1[[#This Row],[SLA_TAT]],"Yes","No")</f>
        <v>Yes</v>
      </c>
      <c r="AA2985" s="4" t="str" cm="1">
        <f t="array" ref="AA2985">_xlfn.IFS(Table1[[#This Row],[Customer_Satisfaction]]&lt;=2,"Poor",Table1[[#This Row],[Customer_Satisfaction]]=3,"Neutral",Table1[[#This Row],[Customer_Satisfaction]]=4,"Good",Table1[[#This Row],[Customer_Satisfaction]]=5,"Good")</f>
        <v>Poor</v>
      </c>
    </row>
    <row r="2986" spans="1:27" x14ac:dyDescent="0.35">
      <c r="A2986">
        <v>22984</v>
      </c>
      <c r="B2986" s="1">
        <v>45367</v>
      </c>
      <c r="C2986" t="s">
        <v>19</v>
      </c>
      <c r="D2986" t="s">
        <v>20</v>
      </c>
      <c r="E2986" t="s">
        <v>110</v>
      </c>
      <c r="F2986" t="s">
        <v>22</v>
      </c>
      <c r="G2986" t="s">
        <v>74</v>
      </c>
      <c r="H2986" t="s">
        <v>34</v>
      </c>
      <c r="I2986" t="s">
        <v>25</v>
      </c>
      <c r="J2986" t="s">
        <v>58</v>
      </c>
      <c r="K2986" t="s">
        <v>61</v>
      </c>
      <c r="L2986" t="s">
        <v>49</v>
      </c>
      <c r="M2986" s="4">
        <v>20</v>
      </c>
      <c r="N2986" s="4">
        <v>7</v>
      </c>
      <c r="O2986" t="s">
        <v>36</v>
      </c>
      <c r="P2986" t="s">
        <v>36</v>
      </c>
      <c r="Q2986" s="4">
        <v>166705</v>
      </c>
      <c r="R2986" s="4">
        <v>137815</v>
      </c>
      <c r="S2986" s="4">
        <f>Table1[[#This Row],[Service_Revenue]]-Table1[[#This Row],[Service_Cost]]</f>
        <v>28890</v>
      </c>
      <c r="T2986" s="4">
        <v>1</v>
      </c>
      <c r="U2986" s="4">
        <f>IF(AND(Table1[[#This Row],[Rework_Flag]]="Yes",Table1[[#This Row],[Warranty_Claim]]="No"),Table1[[#This Row],[Service_Revenue]],0)</f>
        <v>0</v>
      </c>
      <c r="V2986" s="4">
        <f>IF(Table1[[#This Row],[Warranty_Claim]]="Yes",1,0)</f>
        <v>0</v>
      </c>
      <c r="W2986" s="4">
        <f>IF(Table1[[#This Row],[Rework_Flag]]="No",1,0)</f>
        <v>1</v>
      </c>
      <c r="X2986" s="4">
        <f>IF(Table1[[#This Row],[Rework_Flag]]="Yes",1,0)</f>
        <v>0</v>
      </c>
      <c r="Y2986" s="4">
        <v>1</v>
      </c>
      <c r="Z2986" s="4" t="str">
        <f>IF(Table1[[#This Row],[TAT_Days]]&gt;Table1[[#This Row],[SLA_TAT]],"Yes","No")</f>
        <v>Yes</v>
      </c>
      <c r="AA2986" s="4" t="str" cm="1">
        <f t="array" ref="AA2986">_xlfn.IFS(Table1[[#This Row],[Customer_Satisfaction]]&lt;=2,"Poor",Table1[[#This Row],[Customer_Satisfaction]]=3,"Neutral",Table1[[#This Row],[Customer_Satisfaction]]=4,"Good",Table1[[#This Row],[Customer_Satisfaction]]=5,"Good")</f>
        <v>Poor</v>
      </c>
    </row>
    <row r="2987" spans="1:27" x14ac:dyDescent="0.35">
      <c r="A2987">
        <v>22985</v>
      </c>
      <c r="B2987" s="1">
        <v>45454</v>
      </c>
      <c r="C2987" t="s">
        <v>37</v>
      </c>
      <c r="D2987" t="s">
        <v>64</v>
      </c>
      <c r="E2987" t="s">
        <v>103</v>
      </c>
      <c r="F2987" t="s">
        <v>53</v>
      </c>
      <c r="G2987" t="s">
        <v>54</v>
      </c>
      <c r="H2987" t="s">
        <v>42</v>
      </c>
      <c r="I2987" t="s">
        <v>25</v>
      </c>
      <c r="J2987" t="s">
        <v>26</v>
      </c>
      <c r="K2987" t="s">
        <v>44</v>
      </c>
      <c r="L2987" t="s">
        <v>28</v>
      </c>
      <c r="M2987" s="4">
        <v>13</v>
      </c>
      <c r="N2987" s="4">
        <v>7</v>
      </c>
      <c r="O2987" t="s">
        <v>29</v>
      </c>
      <c r="P2987" t="s">
        <v>36</v>
      </c>
      <c r="Q2987" s="4">
        <v>543635</v>
      </c>
      <c r="R2987" s="4">
        <v>461297</v>
      </c>
      <c r="S2987" s="4">
        <f>Table1[[#This Row],[Service_Revenue]]-Table1[[#This Row],[Service_Cost]]</f>
        <v>82338</v>
      </c>
      <c r="T2987" s="4">
        <v>2</v>
      </c>
      <c r="U2987" s="4">
        <f>IF(AND(Table1[[#This Row],[Rework_Flag]]="Yes",Table1[[#This Row],[Warranty_Claim]]="No"),Table1[[#This Row],[Service_Revenue]],0)</f>
        <v>543635</v>
      </c>
      <c r="V2987" s="4">
        <f>IF(Table1[[#This Row],[Warranty_Claim]]="Yes",1,0)</f>
        <v>0</v>
      </c>
      <c r="W2987" s="4">
        <f>IF(Table1[[#This Row],[Rework_Flag]]="No",1,0)</f>
        <v>0</v>
      </c>
      <c r="X2987" s="4">
        <f>IF(Table1[[#This Row],[Rework_Flag]]="Yes",1,0)</f>
        <v>1</v>
      </c>
      <c r="Y2987" s="4">
        <v>1</v>
      </c>
      <c r="Z2987" s="4" t="str">
        <f>IF(Table1[[#This Row],[TAT_Days]]&gt;Table1[[#This Row],[SLA_TAT]],"Yes","No")</f>
        <v>Yes</v>
      </c>
      <c r="AA2987" s="4" t="str" cm="1">
        <f t="array" ref="AA2987">_xlfn.IFS(Table1[[#This Row],[Customer_Satisfaction]]&lt;=2,"Poor",Table1[[#This Row],[Customer_Satisfaction]]=3,"Neutral",Table1[[#This Row],[Customer_Satisfaction]]=4,"Good",Table1[[#This Row],[Customer_Satisfaction]]=5,"Good")</f>
        <v>Poor</v>
      </c>
    </row>
    <row r="2988" spans="1:27" x14ac:dyDescent="0.35">
      <c r="A2988">
        <v>22986</v>
      </c>
      <c r="B2988" s="1">
        <v>45392</v>
      </c>
      <c r="C2988" t="s">
        <v>37</v>
      </c>
      <c r="D2988" t="s">
        <v>64</v>
      </c>
      <c r="E2988" t="s">
        <v>65</v>
      </c>
      <c r="F2988" t="s">
        <v>53</v>
      </c>
      <c r="G2988" t="s">
        <v>47</v>
      </c>
      <c r="H2988" t="s">
        <v>48</v>
      </c>
      <c r="I2988" t="s">
        <v>55</v>
      </c>
      <c r="J2988" t="s">
        <v>35</v>
      </c>
      <c r="K2988" t="s">
        <v>27</v>
      </c>
      <c r="L2988" t="s">
        <v>49</v>
      </c>
      <c r="M2988" s="4">
        <v>11</v>
      </c>
      <c r="N2988" s="4">
        <v>7</v>
      </c>
      <c r="O2988" t="s">
        <v>29</v>
      </c>
      <c r="P2988" t="s">
        <v>36</v>
      </c>
      <c r="Q2988" s="4">
        <v>324006</v>
      </c>
      <c r="R2988" s="4">
        <v>167308</v>
      </c>
      <c r="S2988" s="4">
        <f>Table1[[#This Row],[Service_Revenue]]-Table1[[#This Row],[Service_Cost]]</f>
        <v>156698</v>
      </c>
      <c r="T2988" s="4">
        <v>2</v>
      </c>
      <c r="U2988" s="4">
        <f>IF(AND(Table1[[#This Row],[Rework_Flag]]="Yes",Table1[[#This Row],[Warranty_Claim]]="No"),Table1[[#This Row],[Service_Revenue]],0)</f>
        <v>324006</v>
      </c>
      <c r="V2988" s="4">
        <f>IF(Table1[[#This Row],[Warranty_Claim]]="Yes",1,0)</f>
        <v>0</v>
      </c>
      <c r="W2988" s="4">
        <f>IF(Table1[[#This Row],[Rework_Flag]]="No",1,0)</f>
        <v>0</v>
      </c>
      <c r="X2988" s="4">
        <f>IF(Table1[[#This Row],[Rework_Flag]]="Yes",1,0)</f>
        <v>1</v>
      </c>
      <c r="Y2988" s="4">
        <v>1</v>
      </c>
      <c r="Z2988" s="4" t="str">
        <f>IF(Table1[[#This Row],[TAT_Days]]&gt;Table1[[#This Row],[SLA_TAT]],"Yes","No")</f>
        <v>Yes</v>
      </c>
      <c r="AA2988" s="4" t="str" cm="1">
        <f t="array" ref="AA2988">_xlfn.IFS(Table1[[#This Row],[Customer_Satisfaction]]&lt;=2,"Poor",Table1[[#This Row],[Customer_Satisfaction]]=3,"Neutral",Table1[[#This Row],[Customer_Satisfaction]]=4,"Good",Table1[[#This Row],[Customer_Satisfaction]]=5,"Good")</f>
        <v>Poor</v>
      </c>
    </row>
    <row r="2989" spans="1:27" x14ac:dyDescent="0.35">
      <c r="A2989">
        <v>22987</v>
      </c>
      <c r="B2989" s="1">
        <v>45383</v>
      </c>
      <c r="C2989" t="s">
        <v>30</v>
      </c>
      <c r="D2989" t="s">
        <v>59</v>
      </c>
      <c r="E2989" t="s">
        <v>60</v>
      </c>
      <c r="F2989" t="s">
        <v>53</v>
      </c>
      <c r="G2989" t="s">
        <v>63</v>
      </c>
      <c r="H2989" t="s">
        <v>24</v>
      </c>
      <c r="I2989" t="s">
        <v>25</v>
      </c>
      <c r="J2989" t="s">
        <v>26</v>
      </c>
      <c r="K2989" t="s">
        <v>61</v>
      </c>
      <c r="L2989" t="s">
        <v>28</v>
      </c>
      <c r="M2989" s="4">
        <v>12</v>
      </c>
      <c r="N2989" s="4">
        <v>7</v>
      </c>
      <c r="O2989" t="s">
        <v>36</v>
      </c>
      <c r="P2989" t="s">
        <v>29</v>
      </c>
      <c r="Q2989" s="4">
        <v>397382</v>
      </c>
      <c r="R2989" s="4">
        <v>207614</v>
      </c>
      <c r="S2989" s="4">
        <f>Table1[[#This Row],[Service_Revenue]]-Table1[[#This Row],[Service_Cost]]</f>
        <v>189768</v>
      </c>
      <c r="T2989" s="4">
        <v>3</v>
      </c>
      <c r="U2989" s="4">
        <f>IF(AND(Table1[[#This Row],[Rework_Flag]]="Yes",Table1[[#This Row],[Warranty_Claim]]="No"),Table1[[#This Row],[Service_Revenue]],0)</f>
        <v>0</v>
      </c>
      <c r="V2989" s="4">
        <f>IF(Table1[[#This Row],[Warranty_Claim]]="Yes",1,0)</f>
        <v>1</v>
      </c>
      <c r="W2989" s="4">
        <f>IF(Table1[[#This Row],[Rework_Flag]]="No",1,0)</f>
        <v>1</v>
      </c>
      <c r="X2989" s="4">
        <f>IF(Table1[[#This Row],[Rework_Flag]]="Yes",1,0)</f>
        <v>0</v>
      </c>
      <c r="Y2989" s="4">
        <v>1</v>
      </c>
      <c r="Z2989" s="4" t="str">
        <f>IF(Table1[[#This Row],[TAT_Days]]&gt;Table1[[#This Row],[SLA_TAT]],"Yes","No")</f>
        <v>Yes</v>
      </c>
      <c r="AA2989" s="4" t="str" cm="1">
        <f t="array" ref="AA2989">_xlfn.IFS(Table1[[#This Row],[Customer_Satisfaction]]&lt;=2,"Poor",Table1[[#This Row],[Customer_Satisfaction]]=3,"Neutral",Table1[[#This Row],[Customer_Satisfaction]]=4,"Good",Table1[[#This Row],[Customer_Satisfaction]]=5,"Good")</f>
        <v>Neutral</v>
      </c>
    </row>
    <row r="2990" spans="1:27" x14ac:dyDescent="0.35">
      <c r="A2990">
        <v>22988</v>
      </c>
      <c r="B2990" s="1">
        <v>45365</v>
      </c>
      <c r="C2990" t="s">
        <v>30</v>
      </c>
      <c r="D2990" t="s">
        <v>31</v>
      </c>
      <c r="E2990" t="s">
        <v>32</v>
      </c>
      <c r="F2990" t="s">
        <v>22</v>
      </c>
      <c r="G2990" t="s">
        <v>41</v>
      </c>
      <c r="H2990" t="s">
        <v>42</v>
      </c>
      <c r="I2990" t="s">
        <v>55</v>
      </c>
      <c r="J2990" t="s">
        <v>26</v>
      </c>
      <c r="K2990" t="s">
        <v>27</v>
      </c>
      <c r="L2990" t="s">
        <v>28</v>
      </c>
      <c r="M2990" s="4">
        <v>8</v>
      </c>
      <c r="N2990" s="4">
        <v>7</v>
      </c>
      <c r="O2990" t="s">
        <v>36</v>
      </c>
      <c r="P2990" t="s">
        <v>36</v>
      </c>
      <c r="Q2990" s="4">
        <v>457832</v>
      </c>
      <c r="R2990" s="4">
        <v>383169</v>
      </c>
      <c r="S2990" s="4">
        <f>Table1[[#This Row],[Service_Revenue]]-Table1[[#This Row],[Service_Cost]]</f>
        <v>74663</v>
      </c>
      <c r="T2990" s="4">
        <v>4</v>
      </c>
      <c r="U2990" s="4">
        <f>IF(AND(Table1[[#This Row],[Rework_Flag]]="Yes",Table1[[#This Row],[Warranty_Claim]]="No"),Table1[[#This Row],[Service_Revenue]],0)</f>
        <v>0</v>
      </c>
      <c r="V2990" s="4">
        <f>IF(Table1[[#This Row],[Warranty_Claim]]="Yes",1,0)</f>
        <v>0</v>
      </c>
      <c r="W2990" s="4">
        <f>IF(Table1[[#This Row],[Rework_Flag]]="No",1,0)</f>
        <v>1</v>
      </c>
      <c r="X2990" s="4">
        <f>IF(Table1[[#This Row],[Rework_Flag]]="Yes",1,0)</f>
        <v>0</v>
      </c>
      <c r="Y2990" s="4">
        <v>1</v>
      </c>
      <c r="Z2990" s="4" t="str">
        <f>IF(Table1[[#This Row],[TAT_Days]]&gt;Table1[[#This Row],[SLA_TAT]],"Yes","No")</f>
        <v>Yes</v>
      </c>
      <c r="AA2990" s="4" t="str" cm="1">
        <f t="array" ref="AA2990">_xlfn.IFS(Table1[[#This Row],[Customer_Satisfaction]]&lt;=2,"Poor",Table1[[#This Row],[Customer_Satisfaction]]=3,"Neutral",Table1[[#This Row],[Customer_Satisfaction]]=4,"Good",Table1[[#This Row],[Customer_Satisfaction]]=5,"Good")</f>
        <v>Good</v>
      </c>
    </row>
    <row r="2991" spans="1:27" x14ac:dyDescent="0.35">
      <c r="A2991">
        <v>22989</v>
      </c>
      <c r="B2991" s="1">
        <v>45451</v>
      </c>
      <c r="C2991" t="s">
        <v>30</v>
      </c>
      <c r="D2991" t="s">
        <v>59</v>
      </c>
      <c r="E2991" t="s">
        <v>78</v>
      </c>
      <c r="F2991" t="s">
        <v>40</v>
      </c>
      <c r="G2991" t="s">
        <v>33</v>
      </c>
      <c r="H2991" t="s">
        <v>34</v>
      </c>
      <c r="I2991" t="s">
        <v>25</v>
      </c>
      <c r="J2991" t="s">
        <v>35</v>
      </c>
      <c r="K2991" t="s">
        <v>61</v>
      </c>
      <c r="L2991" t="s">
        <v>49</v>
      </c>
      <c r="M2991" s="4">
        <v>16</v>
      </c>
      <c r="N2991" s="4">
        <v>7</v>
      </c>
      <c r="O2991" t="s">
        <v>36</v>
      </c>
      <c r="P2991" t="s">
        <v>36</v>
      </c>
      <c r="Q2991" s="4">
        <v>411042</v>
      </c>
      <c r="R2991" s="4">
        <v>304003</v>
      </c>
      <c r="S2991" s="4">
        <f>Table1[[#This Row],[Service_Revenue]]-Table1[[#This Row],[Service_Cost]]</f>
        <v>107039</v>
      </c>
      <c r="T2991" s="4">
        <v>2</v>
      </c>
      <c r="U2991" s="4">
        <f>IF(AND(Table1[[#This Row],[Rework_Flag]]="Yes",Table1[[#This Row],[Warranty_Claim]]="No"),Table1[[#This Row],[Service_Revenue]],0)</f>
        <v>0</v>
      </c>
      <c r="V2991" s="4">
        <f>IF(Table1[[#This Row],[Warranty_Claim]]="Yes",1,0)</f>
        <v>0</v>
      </c>
      <c r="W2991" s="4">
        <f>IF(Table1[[#This Row],[Rework_Flag]]="No",1,0)</f>
        <v>1</v>
      </c>
      <c r="X2991" s="4">
        <f>IF(Table1[[#This Row],[Rework_Flag]]="Yes",1,0)</f>
        <v>0</v>
      </c>
      <c r="Y2991" s="4">
        <v>1</v>
      </c>
      <c r="Z2991" s="4" t="str">
        <f>IF(Table1[[#This Row],[TAT_Days]]&gt;Table1[[#This Row],[SLA_TAT]],"Yes","No")</f>
        <v>Yes</v>
      </c>
      <c r="AA2991" s="4" t="str" cm="1">
        <f t="array" ref="AA2991">_xlfn.IFS(Table1[[#This Row],[Customer_Satisfaction]]&lt;=2,"Poor",Table1[[#This Row],[Customer_Satisfaction]]=3,"Neutral",Table1[[#This Row],[Customer_Satisfaction]]=4,"Good",Table1[[#This Row],[Customer_Satisfaction]]=5,"Good")</f>
        <v>Poor</v>
      </c>
    </row>
    <row r="2992" spans="1:27" x14ac:dyDescent="0.35">
      <c r="A2992">
        <v>22990</v>
      </c>
      <c r="B2992" s="1">
        <v>45389</v>
      </c>
      <c r="C2992" t="s">
        <v>19</v>
      </c>
      <c r="D2992" t="s">
        <v>20</v>
      </c>
      <c r="E2992" t="s">
        <v>89</v>
      </c>
      <c r="F2992" t="s">
        <v>22</v>
      </c>
      <c r="G2992" t="s">
        <v>54</v>
      </c>
      <c r="H2992" t="s">
        <v>42</v>
      </c>
      <c r="I2992" t="s">
        <v>55</v>
      </c>
      <c r="J2992" t="s">
        <v>58</v>
      </c>
      <c r="K2992" t="s">
        <v>27</v>
      </c>
      <c r="L2992" t="s">
        <v>49</v>
      </c>
      <c r="M2992" s="4">
        <v>20</v>
      </c>
      <c r="N2992" s="4">
        <v>7</v>
      </c>
      <c r="O2992" t="s">
        <v>29</v>
      </c>
      <c r="P2992" t="s">
        <v>36</v>
      </c>
      <c r="Q2992" s="4">
        <v>263142</v>
      </c>
      <c r="R2992" s="4">
        <v>208884</v>
      </c>
      <c r="S2992" s="4">
        <f>Table1[[#This Row],[Service_Revenue]]-Table1[[#This Row],[Service_Cost]]</f>
        <v>54258</v>
      </c>
      <c r="T2992" s="4">
        <v>1</v>
      </c>
      <c r="U2992" s="4">
        <f>IF(AND(Table1[[#This Row],[Rework_Flag]]="Yes",Table1[[#This Row],[Warranty_Claim]]="No"),Table1[[#This Row],[Service_Revenue]],0)</f>
        <v>263142</v>
      </c>
      <c r="V2992" s="4">
        <f>IF(Table1[[#This Row],[Warranty_Claim]]="Yes",1,0)</f>
        <v>0</v>
      </c>
      <c r="W2992" s="4">
        <f>IF(Table1[[#This Row],[Rework_Flag]]="No",1,0)</f>
        <v>0</v>
      </c>
      <c r="X2992" s="4">
        <f>IF(Table1[[#This Row],[Rework_Flag]]="Yes",1,0)</f>
        <v>1</v>
      </c>
      <c r="Y2992" s="4">
        <v>1</v>
      </c>
      <c r="Z2992" s="4" t="str">
        <f>IF(Table1[[#This Row],[TAT_Days]]&gt;Table1[[#This Row],[SLA_TAT]],"Yes","No")</f>
        <v>Yes</v>
      </c>
      <c r="AA2992" s="4" t="str" cm="1">
        <f t="array" ref="AA2992">_xlfn.IFS(Table1[[#This Row],[Customer_Satisfaction]]&lt;=2,"Poor",Table1[[#This Row],[Customer_Satisfaction]]=3,"Neutral",Table1[[#This Row],[Customer_Satisfaction]]=4,"Good",Table1[[#This Row],[Customer_Satisfaction]]=5,"Good")</f>
        <v>Poor</v>
      </c>
    </row>
    <row r="2993" spans="1:27" x14ac:dyDescent="0.35">
      <c r="A2993">
        <v>22991</v>
      </c>
      <c r="B2993" s="1">
        <v>45294</v>
      </c>
      <c r="C2993" t="s">
        <v>30</v>
      </c>
      <c r="D2993" t="s">
        <v>59</v>
      </c>
      <c r="E2993" t="s">
        <v>60</v>
      </c>
      <c r="F2993" t="s">
        <v>22</v>
      </c>
      <c r="G2993" t="s">
        <v>33</v>
      </c>
      <c r="H2993" t="s">
        <v>34</v>
      </c>
      <c r="I2993" t="s">
        <v>55</v>
      </c>
      <c r="J2993" t="s">
        <v>35</v>
      </c>
      <c r="K2993" t="s">
        <v>44</v>
      </c>
      <c r="L2993" t="s">
        <v>28</v>
      </c>
      <c r="M2993" s="4">
        <v>21</v>
      </c>
      <c r="N2993" s="4">
        <v>7</v>
      </c>
      <c r="O2993" t="s">
        <v>29</v>
      </c>
      <c r="P2993" t="s">
        <v>36</v>
      </c>
      <c r="Q2993" s="4">
        <v>433271</v>
      </c>
      <c r="R2993" s="4">
        <v>317164</v>
      </c>
      <c r="S2993" s="4">
        <f>Table1[[#This Row],[Service_Revenue]]-Table1[[#This Row],[Service_Cost]]</f>
        <v>116107</v>
      </c>
      <c r="T2993" s="4">
        <v>1</v>
      </c>
      <c r="U2993" s="4">
        <f>IF(AND(Table1[[#This Row],[Rework_Flag]]="Yes",Table1[[#This Row],[Warranty_Claim]]="No"),Table1[[#This Row],[Service_Revenue]],0)</f>
        <v>433271</v>
      </c>
      <c r="V2993" s="4">
        <f>IF(Table1[[#This Row],[Warranty_Claim]]="Yes",1,0)</f>
        <v>0</v>
      </c>
      <c r="W2993" s="4">
        <f>IF(Table1[[#This Row],[Rework_Flag]]="No",1,0)</f>
        <v>0</v>
      </c>
      <c r="X2993" s="4">
        <f>IF(Table1[[#This Row],[Rework_Flag]]="Yes",1,0)</f>
        <v>1</v>
      </c>
      <c r="Y2993" s="4">
        <v>1</v>
      </c>
      <c r="Z2993" s="4" t="str">
        <f>IF(Table1[[#This Row],[TAT_Days]]&gt;Table1[[#This Row],[SLA_TAT]],"Yes","No")</f>
        <v>Yes</v>
      </c>
      <c r="AA2993" s="4" t="str" cm="1">
        <f t="array" ref="AA2993">_xlfn.IFS(Table1[[#This Row],[Customer_Satisfaction]]&lt;=2,"Poor",Table1[[#This Row],[Customer_Satisfaction]]=3,"Neutral",Table1[[#This Row],[Customer_Satisfaction]]=4,"Good",Table1[[#This Row],[Customer_Satisfaction]]=5,"Good")</f>
        <v>Poor</v>
      </c>
    </row>
    <row r="2994" spans="1:27" x14ac:dyDescent="0.35">
      <c r="A2994">
        <v>22992</v>
      </c>
      <c r="B2994" s="1">
        <v>45449</v>
      </c>
      <c r="C2994" t="s">
        <v>19</v>
      </c>
      <c r="D2994" t="s">
        <v>20</v>
      </c>
      <c r="E2994" t="s">
        <v>110</v>
      </c>
      <c r="F2994" t="s">
        <v>40</v>
      </c>
      <c r="G2994" t="s">
        <v>41</v>
      </c>
      <c r="H2994" t="s">
        <v>42</v>
      </c>
      <c r="I2994" t="s">
        <v>55</v>
      </c>
      <c r="J2994" t="s">
        <v>26</v>
      </c>
      <c r="K2994" t="s">
        <v>27</v>
      </c>
      <c r="L2994" t="s">
        <v>28</v>
      </c>
      <c r="M2994" s="4">
        <v>25</v>
      </c>
      <c r="N2994" s="4">
        <v>7</v>
      </c>
      <c r="O2994" t="s">
        <v>29</v>
      </c>
      <c r="P2994" t="s">
        <v>36</v>
      </c>
      <c r="Q2994" s="4">
        <v>210453</v>
      </c>
      <c r="R2994" s="4">
        <v>123075</v>
      </c>
      <c r="S2994" s="4">
        <f>Table1[[#This Row],[Service_Revenue]]-Table1[[#This Row],[Service_Cost]]</f>
        <v>87378</v>
      </c>
      <c r="T2994" s="4">
        <v>1</v>
      </c>
      <c r="U2994" s="4">
        <f>IF(AND(Table1[[#This Row],[Rework_Flag]]="Yes",Table1[[#This Row],[Warranty_Claim]]="No"),Table1[[#This Row],[Service_Revenue]],0)</f>
        <v>210453</v>
      </c>
      <c r="V2994" s="4">
        <f>IF(Table1[[#This Row],[Warranty_Claim]]="Yes",1,0)</f>
        <v>0</v>
      </c>
      <c r="W2994" s="4">
        <f>IF(Table1[[#This Row],[Rework_Flag]]="No",1,0)</f>
        <v>0</v>
      </c>
      <c r="X2994" s="4">
        <f>IF(Table1[[#This Row],[Rework_Flag]]="Yes",1,0)</f>
        <v>1</v>
      </c>
      <c r="Y2994" s="4">
        <v>1</v>
      </c>
      <c r="Z2994" s="4" t="str">
        <f>IF(Table1[[#This Row],[TAT_Days]]&gt;Table1[[#This Row],[SLA_TAT]],"Yes","No")</f>
        <v>Yes</v>
      </c>
      <c r="AA2994" s="4" t="str" cm="1">
        <f t="array" ref="AA2994">_xlfn.IFS(Table1[[#This Row],[Customer_Satisfaction]]&lt;=2,"Poor",Table1[[#This Row],[Customer_Satisfaction]]=3,"Neutral",Table1[[#This Row],[Customer_Satisfaction]]=4,"Good",Table1[[#This Row],[Customer_Satisfaction]]=5,"Good")</f>
        <v>Poor</v>
      </c>
    </row>
    <row r="2995" spans="1:27" x14ac:dyDescent="0.35">
      <c r="A2995">
        <v>22993</v>
      </c>
      <c r="B2995" s="1">
        <v>45328</v>
      </c>
      <c r="C2995" t="s">
        <v>30</v>
      </c>
      <c r="D2995" t="s">
        <v>83</v>
      </c>
      <c r="E2995" t="s">
        <v>84</v>
      </c>
      <c r="F2995" t="s">
        <v>40</v>
      </c>
      <c r="G2995" t="s">
        <v>63</v>
      </c>
      <c r="H2995" t="s">
        <v>24</v>
      </c>
      <c r="I2995" t="s">
        <v>55</v>
      </c>
      <c r="J2995" t="s">
        <v>43</v>
      </c>
      <c r="K2995" t="s">
        <v>44</v>
      </c>
      <c r="L2995" t="s">
        <v>28</v>
      </c>
      <c r="M2995" s="4">
        <v>22</v>
      </c>
      <c r="N2995" s="4">
        <v>7</v>
      </c>
      <c r="O2995" t="s">
        <v>36</v>
      </c>
      <c r="P2995" t="s">
        <v>29</v>
      </c>
      <c r="Q2995" s="4">
        <v>360086</v>
      </c>
      <c r="R2995" s="4">
        <v>248543</v>
      </c>
      <c r="S2995" s="4">
        <f>Table1[[#This Row],[Service_Revenue]]-Table1[[#This Row],[Service_Cost]]</f>
        <v>111543</v>
      </c>
      <c r="T2995" s="4">
        <v>1</v>
      </c>
      <c r="U2995" s="4">
        <f>IF(AND(Table1[[#This Row],[Rework_Flag]]="Yes",Table1[[#This Row],[Warranty_Claim]]="No"),Table1[[#This Row],[Service_Revenue]],0)</f>
        <v>0</v>
      </c>
      <c r="V2995" s="4">
        <f>IF(Table1[[#This Row],[Warranty_Claim]]="Yes",1,0)</f>
        <v>1</v>
      </c>
      <c r="W2995" s="4">
        <f>IF(Table1[[#This Row],[Rework_Flag]]="No",1,0)</f>
        <v>1</v>
      </c>
      <c r="X2995" s="4">
        <f>IF(Table1[[#This Row],[Rework_Flag]]="Yes",1,0)</f>
        <v>0</v>
      </c>
      <c r="Y2995" s="4">
        <v>1</v>
      </c>
      <c r="Z2995" s="4" t="str">
        <f>IF(Table1[[#This Row],[TAT_Days]]&gt;Table1[[#This Row],[SLA_TAT]],"Yes","No")</f>
        <v>Yes</v>
      </c>
      <c r="AA2995" s="4" t="str" cm="1">
        <f t="array" ref="AA2995">_xlfn.IFS(Table1[[#This Row],[Customer_Satisfaction]]&lt;=2,"Poor",Table1[[#This Row],[Customer_Satisfaction]]=3,"Neutral",Table1[[#This Row],[Customer_Satisfaction]]=4,"Good",Table1[[#This Row],[Customer_Satisfaction]]=5,"Good")</f>
        <v>Poor</v>
      </c>
    </row>
    <row r="2996" spans="1:27" x14ac:dyDescent="0.35">
      <c r="A2996">
        <v>22994</v>
      </c>
      <c r="B2996" s="1">
        <v>45310</v>
      </c>
      <c r="C2996" t="s">
        <v>37</v>
      </c>
      <c r="D2996" t="s">
        <v>64</v>
      </c>
      <c r="E2996" t="s">
        <v>72</v>
      </c>
      <c r="F2996" t="s">
        <v>22</v>
      </c>
      <c r="G2996" t="s">
        <v>41</v>
      </c>
      <c r="H2996" t="s">
        <v>42</v>
      </c>
      <c r="I2996" t="s">
        <v>55</v>
      </c>
      <c r="J2996" t="s">
        <v>35</v>
      </c>
      <c r="K2996" t="s">
        <v>61</v>
      </c>
      <c r="L2996" t="s">
        <v>28</v>
      </c>
      <c r="M2996" s="4">
        <v>13</v>
      </c>
      <c r="N2996" s="4">
        <v>7</v>
      </c>
      <c r="O2996" t="s">
        <v>36</v>
      </c>
      <c r="P2996" t="s">
        <v>36</v>
      </c>
      <c r="Q2996" s="4">
        <v>232449</v>
      </c>
      <c r="R2996" s="4">
        <v>132082</v>
      </c>
      <c r="S2996" s="4">
        <f>Table1[[#This Row],[Service_Revenue]]-Table1[[#This Row],[Service_Cost]]</f>
        <v>100367</v>
      </c>
      <c r="T2996" s="4">
        <v>3</v>
      </c>
      <c r="U2996" s="4">
        <f>IF(AND(Table1[[#This Row],[Rework_Flag]]="Yes",Table1[[#This Row],[Warranty_Claim]]="No"),Table1[[#This Row],[Service_Revenue]],0)</f>
        <v>0</v>
      </c>
      <c r="V2996" s="4">
        <f>IF(Table1[[#This Row],[Warranty_Claim]]="Yes",1,0)</f>
        <v>0</v>
      </c>
      <c r="W2996" s="4">
        <f>IF(Table1[[#This Row],[Rework_Flag]]="No",1,0)</f>
        <v>1</v>
      </c>
      <c r="X2996" s="4">
        <f>IF(Table1[[#This Row],[Rework_Flag]]="Yes",1,0)</f>
        <v>0</v>
      </c>
      <c r="Y2996" s="4">
        <v>1</v>
      </c>
      <c r="Z2996" s="4" t="str">
        <f>IF(Table1[[#This Row],[TAT_Days]]&gt;Table1[[#This Row],[SLA_TAT]],"Yes","No")</f>
        <v>Yes</v>
      </c>
      <c r="AA2996" s="4" t="str" cm="1">
        <f t="array" ref="AA2996">_xlfn.IFS(Table1[[#This Row],[Customer_Satisfaction]]&lt;=2,"Poor",Table1[[#This Row],[Customer_Satisfaction]]=3,"Neutral",Table1[[#This Row],[Customer_Satisfaction]]=4,"Good",Table1[[#This Row],[Customer_Satisfaction]]=5,"Good")</f>
        <v>Neutral</v>
      </c>
    </row>
    <row r="2997" spans="1:27" x14ac:dyDescent="0.35">
      <c r="A2997">
        <v>22995</v>
      </c>
      <c r="B2997" s="1">
        <v>45444</v>
      </c>
      <c r="C2997" t="s">
        <v>19</v>
      </c>
      <c r="D2997" t="s">
        <v>45</v>
      </c>
      <c r="E2997" t="s">
        <v>99</v>
      </c>
      <c r="F2997" t="s">
        <v>53</v>
      </c>
      <c r="G2997" t="s">
        <v>54</v>
      </c>
      <c r="H2997" t="s">
        <v>42</v>
      </c>
      <c r="I2997" t="s">
        <v>25</v>
      </c>
      <c r="J2997" t="s">
        <v>43</v>
      </c>
      <c r="K2997" t="s">
        <v>27</v>
      </c>
      <c r="L2997" t="s">
        <v>28</v>
      </c>
      <c r="M2997" s="4">
        <v>12</v>
      </c>
      <c r="N2997" s="4">
        <v>7</v>
      </c>
      <c r="O2997" t="s">
        <v>29</v>
      </c>
      <c r="P2997" t="s">
        <v>29</v>
      </c>
      <c r="Q2997" s="4">
        <v>329604</v>
      </c>
      <c r="R2997" s="4">
        <v>191739</v>
      </c>
      <c r="S2997" s="4">
        <f>Table1[[#This Row],[Service_Revenue]]-Table1[[#This Row],[Service_Cost]]</f>
        <v>137865</v>
      </c>
      <c r="T2997" s="4">
        <v>2</v>
      </c>
      <c r="U2997" s="4">
        <f>IF(AND(Table1[[#This Row],[Rework_Flag]]="Yes",Table1[[#This Row],[Warranty_Claim]]="No"),Table1[[#This Row],[Service_Revenue]],0)</f>
        <v>0</v>
      </c>
      <c r="V2997" s="4">
        <f>IF(Table1[[#This Row],[Warranty_Claim]]="Yes",1,0)</f>
        <v>1</v>
      </c>
      <c r="W2997" s="4">
        <f>IF(Table1[[#This Row],[Rework_Flag]]="No",1,0)</f>
        <v>0</v>
      </c>
      <c r="X2997" s="4">
        <f>IF(Table1[[#This Row],[Rework_Flag]]="Yes",1,0)</f>
        <v>1</v>
      </c>
      <c r="Y2997" s="4">
        <v>1</v>
      </c>
      <c r="Z2997" s="4" t="str">
        <f>IF(Table1[[#This Row],[TAT_Days]]&gt;Table1[[#This Row],[SLA_TAT]],"Yes","No")</f>
        <v>Yes</v>
      </c>
      <c r="AA2997" s="4" t="str" cm="1">
        <f t="array" ref="AA2997">_xlfn.IFS(Table1[[#This Row],[Customer_Satisfaction]]&lt;=2,"Poor",Table1[[#This Row],[Customer_Satisfaction]]=3,"Neutral",Table1[[#This Row],[Customer_Satisfaction]]=4,"Good",Table1[[#This Row],[Customer_Satisfaction]]=5,"Good")</f>
        <v>Poor</v>
      </c>
    </row>
    <row r="2998" spans="1:27" x14ac:dyDescent="0.35">
      <c r="A2998">
        <v>22996</v>
      </c>
      <c r="B2998" s="1">
        <v>45356</v>
      </c>
      <c r="C2998" t="s">
        <v>50</v>
      </c>
      <c r="D2998" t="s">
        <v>51</v>
      </c>
      <c r="E2998" t="s">
        <v>113</v>
      </c>
      <c r="F2998" t="s">
        <v>22</v>
      </c>
      <c r="G2998" t="s">
        <v>74</v>
      </c>
      <c r="H2998" t="s">
        <v>34</v>
      </c>
      <c r="I2998" t="s">
        <v>55</v>
      </c>
      <c r="J2998" t="s">
        <v>35</v>
      </c>
      <c r="K2998" t="s">
        <v>44</v>
      </c>
      <c r="L2998" t="s">
        <v>49</v>
      </c>
      <c r="M2998" s="4">
        <v>6</v>
      </c>
      <c r="N2998" s="4">
        <v>7</v>
      </c>
      <c r="O2998" t="s">
        <v>29</v>
      </c>
      <c r="P2998" t="s">
        <v>36</v>
      </c>
      <c r="Q2998" s="4">
        <v>380991</v>
      </c>
      <c r="R2998" s="4">
        <v>301559</v>
      </c>
      <c r="S2998" s="4">
        <f>Table1[[#This Row],[Service_Revenue]]-Table1[[#This Row],[Service_Cost]]</f>
        <v>79432</v>
      </c>
      <c r="T2998" s="4">
        <v>3</v>
      </c>
      <c r="U2998" s="4">
        <f>IF(AND(Table1[[#This Row],[Rework_Flag]]="Yes",Table1[[#This Row],[Warranty_Claim]]="No"),Table1[[#This Row],[Service_Revenue]],0)</f>
        <v>380991</v>
      </c>
      <c r="V2998" s="4">
        <f>IF(Table1[[#This Row],[Warranty_Claim]]="Yes",1,0)</f>
        <v>0</v>
      </c>
      <c r="W2998" s="4">
        <f>IF(Table1[[#This Row],[Rework_Flag]]="No",1,0)</f>
        <v>0</v>
      </c>
      <c r="X2998" s="4">
        <f>IF(Table1[[#This Row],[Rework_Flag]]="Yes",1,0)</f>
        <v>1</v>
      </c>
      <c r="Y2998" s="4">
        <v>1</v>
      </c>
      <c r="Z2998" s="4" t="str">
        <f>IF(Table1[[#This Row],[TAT_Days]]&gt;Table1[[#This Row],[SLA_TAT]],"Yes","No")</f>
        <v>No</v>
      </c>
      <c r="AA2998" s="4" t="str" cm="1">
        <f t="array" ref="AA2998">_xlfn.IFS(Table1[[#This Row],[Customer_Satisfaction]]&lt;=2,"Poor",Table1[[#This Row],[Customer_Satisfaction]]=3,"Neutral",Table1[[#This Row],[Customer_Satisfaction]]=4,"Good",Table1[[#This Row],[Customer_Satisfaction]]=5,"Good")</f>
        <v>Neutral</v>
      </c>
    </row>
    <row r="2999" spans="1:27" x14ac:dyDescent="0.35">
      <c r="A2999">
        <v>22997</v>
      </c>
      <c r="B2999" s="1">
        <v>45379</v>
      </c>
      <c r="C2999" t="s">
        <v>37</v>
      </c>
      <c r="D2999" t="s">
        <v>70</v>
      </c>
      <c r="E2999" t="s">
        <v>82</v>
      </c>
      <c r="F2999" t="s">
        <v>53</v>
      </c>
      <c r="G2999" t="s">
        <v>47</v>
      </c>
      <c r="H2999" t="s">
        <v>48</v>
      </c>
      <c r="I2999" t="s">
        <v>25</v>
      </c>
      <c r="J2999" t="s">
        <v>26</v>
      </c>
      <c r="K2999" t="s">
        <v>61</v>
      </c>
      <c r="L2999" t="s">
        <v>28</v>
      </c>
      <c r="M2999" s="4">
        <v>13</v>
      </c>
      <c r="N2999" s="4">
        <v>7</v>
      </c>
      <c r="O2999" t="s">
        <v>29</v>
      </c>
      <c r="P2999" t="s">
        <v>36</v>
      </c>
      <c r="Q2999" s="4">
        <v>383364</v>
      </c>
      <c r="R2999" s="4">
        <v>259761</v>
      </c>
      <c r="S2999" s="4">
        <f>Table1[[#This Row],[Service_Revenue]]-Table1[[#This Row],[Service_Cost]]</f>
        <v>123603</v>
      </c>
      <c r="T2999" s="4">
        <v>2</v>
      </c>
      <c r="U2999" s="4">
        <f>IF(AND(Table1[[#This Row],[Rework_Flag]]="Yes",Table1[[#This Row],[Warranty_Claim]]="No"),Table1[[#This Row],[Service_Revenue]],0)</f>
        <v>383364</v>
      </c>
      <c r="V2999" s="4">
        <f>IF(Table1[[#This Row],[Warranty_Claim]]="Yes",1,0)</f>
        <v>0</v>
      </c>
      <c r="W2999" s="4">
        <f>IF(Table1[[#This Row],[Rework_Flag]]="No",1,0)</f>
        <v>0</v>
      </c>
      <c r="X2999" s="4">
        <f>IF(Table1[[#This Row],[Rework_Flag]]="Yes",1,0)</f>
        <v>1</v>
      </c>
      <c r="Y2999" s="4">
        <v>1</v>
      </c>
      <c r="Z2999" s="4" t="str">
        <f>IF(Table1[[#This Row],[TAT_Days]]&gt;Table1[[#This Row],[SLA_TAT]],"Yes","No")</f>
        <v>Yes</v>
      </c>
      <c r="AA2999" s="4" t="str" cm="1">
        <f t="array" ref="AA2999">_xlfn.IFS(Table1[[#This Row],[Customer_Satisfaction]]&lt;=2,"Poor",Table1[[#This Row],[Customer_Satisfaction]]=3,"Neutral",Table1[[#This Row],[Customer_Satisfaction]]=4,"Good",Table1[[#This Row],[Customer_Satisfaction]]=5,"Good")</f>
        <v>Poor</v>
      </c>
    </row>
    <row r="3000" spans="1:27" x14ac:dyDescent="0.35">
      <c r="A3000">
        <v>22998</v>
      </c>
      <c r="B3000" s="1">
        <v>45327</v>
      </c>
      <c r="C3000" t="s">
        <v>37</v>
      </c>
      <c r="D3000" t="s">
        <v>64</v>
      </c>
      <c r="E3000" t="s">
        <v>115</v>
      </c>
      <c r="F3000" t="s">
        <v>53</v>
      </c>
      <c r="G3000" t="s">
        <v>33</v>
      </c>
      <c r="H3000" t="s">
        <v>34</v>
      </c>
      <c r="I3000" t="s">
        <v>25</v>
      </c>
      <c r="J3000" t="s">
        <v>26</v>
      </c>
      <c r="K3000" t="s">
        <v>44</v>
      </c>
      <c r="L3000" t="s">
        <v>49</v>
      </c>
      <c r="M3000" s="4">
        <v>23</v>
      </c>
      <c r="N3000" s="4">
        <v>7</v>
      </c>
      <c r="O3000" t="s">
        <v>36</v>
      </c>
      <c r="P3000" t="s">
        <v>36</v>
      </c>
      <c r="Q3000" s="4">
        <v>157201</v>
      </c>
      <c r="R3000" s="4">
        <v>126182</v>
      </c>
      <c r="S3000" s="4">
        <f>Table1[[#This Row],[Service_Revenue]]-Table1[[#This Row],[Service_Cost]]</f>
        <v>31019</v>
      </c>
      <c r="T3000" s="4">
        <v>1</v>
      </c>
      <c r="U3000" s="4">
        <f>IF(AND(Table1[[#This Row],[Rework_Flag]]="Yes",Table1[[#This Row],[Warranty_Claim]]="No"),Table1[[#This Row],[Service_Revenue]],0)</f>
        <v>0</v>
      </c>
      <c r="V3000" s="4">
        <f>IF(Table1[[#This Row],[Warranty_Claim]]="Yes",1,0)</f>
        <v>0</v>
      </c>
      <c r="W3000" s="4">
        <f>IF(Table1[[#This Row],[Rework_Flag]]="No",1,0)</f>
        <v>1</v>
      </c>
      <c r="X3000" s="4">
        <f>IF(Table1[[#This Row],[Rework_Flag]]="Yes",1,0)</f>
        <v>0</v>
      </c>
      <c r="Y3000" s="4">
        <v>1</v>
      </c>
      <c r="Z3000" s="4" t="str">
        <f>IF(Table1[[#This Row],[TAT_Days]]&gt;Table1[[#This Row],[SLA_TAT]],"Yes","No")</f>
        <v>Yes</v>
      </c>
      <c r="AA3000" s="4" t="str" cm="1">
        <f t="array" ref="AA3000">_xlfn.IFS(Table1[[#This Row],[Customer_Satisfaction]]&lt;=2,"Poor",Table1[[#This Row],[Customer_Satisfaction]]=3,"Neutral",Table1[[#This Row],[Customer_Satisfaction]]=4,"Good",Table1[[#This Row],[Customer_Satisfaction]]=5,"Good")</f>
        <v>Poor</v>
      </c>
    </row>
    <row r="3001" spans="1:27" x14ac:dyDescent="0.35">
      <c r="A3001">
        <v>22999</v>
      </c>
      <c r="B3001" s="1">
        <v>45380</v>
      </c>
      <c r="C3001" t="s">
        <v>50</v>
      </c>
      <c r="D3001" t="s">
        <v>80</v>
      </c>
      <c r="E3001" t="s">
        <v>118</v>
      </c>
      <c r="F3001" t="s">
        <v>22</v>
      </c>
      <c r="G3001" t="s">
        <v>41</v>
      </c>
      <c r="H3001" t="s">
        <v>42</v>
      </c>
      <c r="I3001" t="s">
        <v>55</v>
      </c>
      <c r="J3001" t="s">
        <v>35</v>
      </c>
      <c r="K3001" t="s">
        <v>27</v>
      </c>
      <c r="L3001" t="s">
        <v>49</v>
      </c>
      <c r="M3001" s="4">
        <v>7</v>
      </c>
      <c r="N3001" s="4">
        <v>7</v>
      </c>
      <c r="O3001" t="s">
        <v>36</v>
      </c>
      <c r="P3001" t="s">
        <v>36</v>
      </c>
      <c r="Q3001" s="4">
        <v>231498</v>
      </c>
      <c r="R3001" s="4">
        <v>136147</v>
      </c>
      <c r="S3001" s="4">
        <f>Table1[[#This Row],[Service_Revenue]]-Table1[[#This Row],[Service_Cost]]</f>
        <v>95351</v>
      </c>
      <c r="T3001" s="4">
        <v>4</v>
      </c>
      <c r="U3001" s="4">
        <f>IF(AND(Table1[[#This Row],[Rework_Flag]]="Yes",Table1[[#This Row],[Warranty_Claim]]="No"),Table1[[#This Row],[Service_Revenue]],0)</f>
        <v>0</v>
      </c>
      <c r="V3001" s="4">
        <f>IF(Table1[[#This Row],[Warranty_Claim]]="Yes",1,0)</f>
        <v>0</v>
      </c>
      <c r="W3001" s="4">
        <f>IF(Table1[[#This Row],[Rework_Flag]]="No",1,0)</f>
        <v>1</v>
      </c>
      <c r="X3001" s="4">
        <f>IF(Table1[[#This Row],[Rework_Flag]]="Yes",1,0)</f>
        <v>0</v>
      </c>
      <c r="Y3001" s="4">
        <v>1</v>
      </c>
      <c r="Z3001" s="4" t="str">
        <f>IF(Table1[[#This Row],[TAT_Days]]&gt;Table1[[#This Row],[SLA_TAT]],"Yes","No")</f>
        <v>No</v>
      </c>
      <c r="AA3001" s="4" t="str" cm="1">
        <f t="array" ref="AA3001">_xlfn.IFS(Table1[[#This Row],[Customer_Satisfaction]]&lt;=2,"Poor",Table1[[#This Row],[Customer_Satisfaction]]=3,"Neutral",Table1[[#This Row],[Customer_Satisfaction]]=4,"Good",Table1[[#This Row],[Customer_Satisfaction]]=5,"Good")</f>
        <v>Good</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4CD81-18A6-47D6-8DAE-CB86BC41986E}">
  <dimension ref="A1:D34"/>
  <sheetViews>
    <sheetView tabSelected="1" zoomScale="97" workbookViewId="0">
      <selection activeCell="F5" sqref="F5"/>
    </sheetView>
  </sheetViews>
  <sheetFormatPr defaultRowHeight="14.5" x14ac:dyDescent="0.35"/>
  <cols>
    <col min="1" max="1" width="9.26953125" customWidth="1"/>
  </cols>
  <sheetData>
    <row r="1" spans="1:1" ht="18.5" x14ac:dyDescent="0.45">
      <c r="A1" s="89" t="s">
        <v>123</v>
      </c>
    </row>
    <row r="3" spans="1:1" x14ac:dyDescent="0.35">
      <c r="A3" s="2" t="s">
        <v>124</v>
      </c>
    </row>
    <row r="4" spans="1:1" x14ac:dyDescent="0.35">
      <c r="A4" t="s">
        <v>126</v>
      </c>
    </row>
    <row r="5" spans="1:1" x14ac:dyDescent="0.35">
      <c r="A5" t="s">
        <v>125</v>
      </c>
    </row>
    <row r="7" spans="1:1" x14ac:dyDescent="0.35">
      <c r="A7" s="2" t="s">
        <v>127</v>
      </c>
    </row>
    <row r="8" spans="1:1" x14ac:dyDescent="0.35">
      <c r="A8" t="s">
        <v>128</v>
      </c>
    </row>
    <row r="9" spans="1:1" x14ac:dyDescent="0.35">
      <c r="A9" t="s">
        <v>129</v>
      </c>
    </row>
    <row r="10" spans="1:1" x14ac:dyDescent="0.35">
      <c r="A10" t="s">
        <v>130</v>
      </c>
    </row>
    <row r="11" spans="1:1" x14ac:dyDescent="0.35">
      <c r="A11" t="s">
        <v>156</v>
      </c>
    </row>
    <row r="12" spans="1:1" x14ac:dyDescent="0.35">
      <c r="A12" t="s">
        <v>145</v>
      </c>
    </row>
    <row r="13" spans="1:1" x14ac:dyDescent="0.35">
      <c r="A13" t="s">
        <v>133</v>
      </c>
    </row>
    <row r="14" spans="1:1" x14ac:dyDescent="0.35">
      <c r="A14" t="s">
        <v>131</v>
      </c>
    </row>
    <row r="15" spans="1:1" x14ac:dyDescent="0.35">
      <c r="A15" t="s">
        <v>132</v>
      </c>
    </row>
    <row r="17" spans="1:4" x14ac:dyDescent="0.35">
      <c r="A17" s="2" t="s">
        <v>134</v>
      </c>
      <c r="D17" s="2" t="s">
        <v>141</v>
      </c>
    </row>
    <row r="18" spans="1:4" x14ac:dyDescent="0.35">
      <c r="A18" t="s">
        <v>2</v>
      </c>
      <c r="D18" t="s">
        <v>2</v>
      </c>
    </row>
    <row r="19" spans="1:4" x14ac:dyDescent="0.35">
      <c r="A19" t="s">
        <v>135</v>
      </c>
      <c r="D19" t="s">
        <v>142</v>
      </c>
    </row>
    <row r="20" spans="1:4" x14ac:dyDescent="0.35">
      <c r="A20" t="s">
        <v>136</v>
      </c>
      <c r="D20" t="s">
        <v>143</v>
      </c>
    </row>
    <row r="21" spans="1:4" x14ac:dyDescent="0.35">
      <c r="A21" t="s">
        <v>137</v>
      </c>
      <c r="D21" t="s">
        <v>144</v>
      </c>
    </row>
    <row r="22" spans="1:4" x14ac:dyDescent="0.35">
      <c r="A22" t="s">
        <v>138</v>
      </c>
    </row>
    <row r="24" spans="1:4" x14ac:dyDescent="0.35">
      <c r="A24" s="2" t="s">
        <v>139</v>
      </c>
    </row>
    <row r="25" spans="1:4" x14ac:dyDescent="0.35">
      <c r="A25" t="s">
        <v>198</v>
      </c>
    </row>
    <row r="26" spans="1:4" x14ac:dyDescent="0.35">
      <c r="A26" t="s">
        <v>176</v>
      </c>
    </row>
    <row r="27" spans="1:4" x14ac:dyDescent="0.35">
      <c r="A27" t="s">
        <v>177</v>
      </c>
    </row>
    <row r="28" spans="1:4" x14ac:dyDescent="0.35">
      <c r="A28" t="s">
        <v>199</v>
      </c>
    </row>
    <row r="29" spans="1:4" x14ac:dyDescent="0.35">
      <c r="A29" t="s">
        <v>140</v>
      </c>
    </row>
    <row r="31" spans="1:4" x14ac:dyDescent="0.35">
      <c r="A31" s="2" t="s">
        <v>146</v>
      </c>
    </row>
    <row r="32" spans="1:4" x14ac:dyDescent="0.35">
      <c r="A32" t="s">
        <v>147</v>
      </c>
    </row>
    <row r="33" spans="1:1" x14ac:dyDescent="0.35">
      <c r="A33" t="s">
        <v>148</v>
      </c>
    </row>
    <row r="34" spans="1:1" x14ac:dyDescent="0.35">
      <c r="A34" t="s">
        <v>149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9F840-E7BD-4EA4-AEDB-C12740E4ABF8}">
  <dimension ref="A2:M40"/>
  <sheetViews>
    <sheetView zoomScale="70" zoomScaleNormal="70" workbookViewId="0">
      <selection activeCell="F26" sqref="F26"/>
    </sheetView>
  </sheetViews>
  <sheetFormatPr defaultRowHeight="14.5" x14ac:dyDescent="0.35"/>
  <cols>
    <col min="1" max="1" width="18.6328125" bestFit="1" customWidth="1"/>
    <col min="2" max="2" width="22.08984375" bestFit="1" customWidth="1"/>
    <col min="3" max="3" width="18.54296875" bestFit="1" customWidth="1"/>
    <col min="4" max="4" width="46" bestFit="1" customWidth="1"/>
    <col min="5" max="5" width="22" bestFit="1" customWidth="1"/>
    <col min="6" max="6" width="21.6328125" bestFit="1" customWidth="1"/>
    <col min="7" max="7" width="10.81640625" bestFit="1" customWidth="1"/>
    <col min="8" max="8" width="17.81640625" bestFit="1" customWidth="1"/>
    <col min="9" max="9" width="15.26953125" bestFit="1" customWidth="1"/>
    <col min="10" max="12" width="12.6328125" bestFit="1" customWidth="1"/>
    <col min="13" max="13" width="8.81640625" bestFit="1" customWidth="1"/>
    <col min="15" max="15" width="12.7265625" bestFit="1" customWidth="1"/>
    <col min="16" max="16" width="18.08984375" bestFit="1" customWidth="1"/>
  </cols>
  <sheetData>
    <row r="2" spans="1:11" x14ac:dyDescent="0.35">
      <c r="A2" t="s">
        <v>164</v>
      </c>
      <c r="B2" t="s">
        <v>151</v>
      </c>
      <c r="C2" t="s">
        <v>152</v>
      </c>
      <c r="D2" t="s">
        <v>153</v>
      </c>
      <c r="E2" t="s">
        <v>155</v>
      </c>
      <c r="F2" t="s">
        <v>154</v>
      </c>
      <c r="G2" t="s">
        <v>158</v>
      </c>
      <c r="H2" t="s">
        <v>161</v>
      </c>
      <c r="I2" t="s">
        <v>162</v>
      </c>
    </row>
    <row r="3" spans="1:11" x14ac:dyDescent="0.35">
      <c r="A3" s="4">
        <v>3000</v>
      </c>
      <c r="B3" s="7">
        <v>1021143275</v>
      </c>
      <c r="C3" s="7">
        <v>687145899</v>
      </c>
      <c r="D3" s="7">
        <v>333997376</v>
      </c>
      <c r="E3" s="6">
        <v>0.32708179564713874</v>
      </c>
      <c r="F3" s="7">
        <v>396046127</v>
      </c>
      <c r="G3" s="6">
        <v>0.35</v>
      </c>
      <c r="H3" s="6">
        <v>0.40600000000000003</v>
      </c>
      <c r="I3" s="6">
        <v>0.59399999999999997</v>
      </c>
    </row>
    <row r="4" spans="1:11" x14ac:dyDescent="0.35">
      <c r="D4" s="22"/>
    </row>
    <row r="6" spans="1:11" x14ac:dyDescent="0.35">
      <c r="A6" s="9" t="s">
        <v>2</v>
      </c>
      <c r="B6" t="s">
        <v>151</v>
      </c>
    </row>
    <row r="7" spans="1:11" x14ac:dyDescent="0.35">
      <c r="A7" s="10" t="s">
        <v>30</v>
      </c>
      <c r="B7" s="7">
        <v>274968321</v>
      </c>
      <c r="D7" s="9" t="s">
        <v>170</v>
      </c>
      <c r="E7" t="s">
        <v>168</v>
      </c>
      <c r="G7" s="9" t="s">
        <v>138</v>
      </c>
      <c r="H7" t="s">
        <v>167</v>
      </c>
      <c r="I7" t="s">
        <v>168</v>
      </c>
      <c r="J7" t="s">
        <v>152</v>
      </c>
      <c r="K7" t="s">
        <v>169</v>
      </c>
    </row>
    <row r="8" spans="1:11" x14ac:dyDescent="0.35">
      <c r="A8" s="10" t="s">
        <v>37</v>
      </c>
      <c r="B8" s="7">
        <v>240578013</v>
      </c>
      <c r="D8" s="12">
        <v>1</v>
      </c>
      <c r="E8" s="4">
        <v>20.516579406631763</v>
      </c>
      <c r="G8" s="10" t="s">
        <v>36</v>
      </c>
      <c r="H8" s="11">
        <v>2.9761904761904763</v>
      </c>
      <c r="I8" s="11">
        <v>12.311165845648604</v>
      </c>
      <c r="J8" s="7">
        <v>276885931</v>
      </c>
      <c r="K8" s="4">
        <v>1218</v>
      </c>
    </row>
    <row r="9" spans="1:11" x14ac:dyDescent="0.35">
      <c r="A9" s="10" t="s">
        <v>19</v>
      </c>
      <c r="B9" s="7">
        <v>248647492</v>
      </c>
      <c r="D9" s="12">
        <v>2</v>
      </c>
      <c r="E9" s="4">
        <v>13.84887459807074</v>
      </c>
      <c r="G9" s="10" t="s">
        <v>29</v>
      </c>
      <c r="H9" s="11">
        <v>1.8810325476992145</v>
      </c>
      <c r="I9" s="11">
        <v>14.23063973063973</v>
      </c>
      <c r="J9" s="7">
        <v>410259968</v>
      </c>
      <c r="K9" s="4">
        <v>1782</v>
      </c>
    </row>
    <row r="10" spans="1:11" x14ac:dyDescent="0.35">
      <c r="A10" s="10" t="s">
        <v>50</v>
      </c>
      <c r="B10" s="7">
        <v>256949449</v>
      </c>
      <c r="D10" s="12">
        <v>3</v>
      </c>
      <c r="E10" s="4">
        <v>9.1551401869158884</v>
      </c>
      <c r="G10" s="10" t="s">
        <v>166</v>
      </c>
      <c r="H10" s="11">
        <v>2.3256666666666668</v>
      </c>
      <c r="I10" s="11">
        <v>13.451333333333332</v>
      </c>
      <c r="J10" s="7">
        <v>687145899</v>
      </c>
      <c r="K10" s="4">
        <v>3000</v>
      </c>
    </row>
    <row r="11" spans="1:11" x14ac:dyDescent="0.35">
      <c r="A11" s="10" t="s">
        <v>166</v>
      </c>
      <c r="B11" s="7">
        <v>1021143275</v>
      </c>
      <c r="D11" s="12">
        <v>4</v>
      </c>
      <c r="E11" s="4">
        <v>5.4711729622266398</v>
      </c>
      <c r="G11" s="10" t="s">
        <v>171</v>
      </c>
    </row>
    <row r="12" spans="1:11" x14ac:dyDescent="0.35">
      <c r="D12" s="12">
        <v>5</v>
      </c>
      <c r="E12" s="4">
        <v>2.9793814432989691</v>
      </c>
      <c r="G12" s="10" t="s">
        <v>175</v>
      </c>
    </row>
    <row r="13" spans="1:11" x14ac:dyDescent="0.35">
      <c r="A13" s="9" t="s">
        <v>2</v>
      </c>
      <c r="B13" t="s">
        <v>154</v>
      </c>
      <c r="D13" s="12" t="s">
        <v>166</v>
      </c>
      <c r="E13" s="4">
        <v>13.451333333333332</v>
      </c>
      <c r="J13" s="7">
        <f>GETPIVOTDATA("Sum of Service_Cost",$G$7,"Rework_flag",$G$9)</f>
        <v>410259968</v>
      </c>
    </row>
    <row r="14" spans="1:11" x14ac:dyDescent="0.35">
      <c r="A14" s="10" t="s">
        <v>30</v>
      </c>
      <c r="B14" s="7">
        <v>101851567</v>
      </c>
      <c r="D14" t="s">
        <v>173</v>
      </c>
    </row>
    <row r="15" spans="1:11" x14ac:dyDescent="0.35">
      <c r="A15" s="10" t="s">
        <v>37</v>
      </c>
      <c r="B15" s="7">
        <v>90931545</v>
      </c>
      <c r="H15" s="9" t="s">
        <v>164</v>
      </c>
      <c r="I15" s="9" t="s">
        <v>138</v>
      </c>
    </row>
    <row r="16" spans="1:11" x14ac:dyDescent="0.35">
      <c r="A16" s="10" t="s">
        <v>19</v>
      </c>
      <c r="B16" s="7">
        <v>105216238</v>
      </c>
      <c r="D16" s="9" t="s">
        <v>172</v>
      </c>
      <c r="E16" s="9" t="s">
        <v>137</v>
      </c>
      <c r="H16" s="9" t="s">
        <v>194</v>
      </c>
      <c r="I16" t="s">
        <v>36</v>
      </c>
      <c r="J16" t="s">
        <v>29</v>
      </c>
      <c r="K16" t="s">
        <v>166</v>
      </c>
    </row>
    <row r="17" spans="1:13" x14ac:dyDescent="0.35">
      <c r="A17" s="10" t="s">
        <v>50</v>
      </c>
      <c r="B17" s="7">
        <v>98046777</v>
      </c>
      <c r="D17" s="9" t="s">
        <v>138</v>
      </c>
      <c r="E17" t="s">
        <v>28</v>
      </c>
      <c r="F17" t="s">
        <v>49</v>
      </c>
      <c r="G17" t="s">
        <v>166</v>
      </c>
      <c r="H17" s="10" t="s">
        <v>27</v>
      </c>
      <c r="I17" s="7">
        <v>161</v>
      </c>
      <c r="J17" s="19">
        <v>750</v>
      </c>
      <c r="K17" s="7">
        <v>911</v>
      </c>
    </row>
    <row r="18" spans="1:13" x14ac:dyDescent="0.35">
      <c r="A18" s="10" t="s">
        <v>166</v>
      </c>
      <c r="B18" s="7">
        <v>396046127</v>
      </c>
      <c r="D18" s="10" t="s">
        <v>36</v>
      </c>
      <c r="E18">
        <v>747</v>
      </c>
      <c r="F18">
        <v>471</v>
      </c>
      <c r="G18">
        <v>1218</v>
      </c>
      <c r="H18" s="10" t="s">
        <v>44</v>
      </c>
      <c r="I18" s="7">
        <v>445</v>
      </c>
      <c r="J18" s="7">
        <v>457</v>
      </c>
      <c r="K18" s="7">
        <v>902</v>
      </c>
    </row>
    <row r="19" spans="1:13" x14ac:dyDescent="0.35">
      <c r="D19" s="10" t="s">
        <v>29</v>
      </c>
      <c r="E19">
        <v>1026</v>
      </c>
      <c r="F19">
        <v>756</v>
      </c>
      <c r="G19">
        <v>1782</v>
      </c>
      <c r="H19" s="10" t="s">
        <v>61</v>
      </c>
      <c r="I19" s="7">
        <v>612</v>
      </c>
      <c r="J19" s="20">
        <v>575</v>
      </c>
      <c r="K19" s="7">
        <v>1187</v>
      </c>
    </row>
    <row r="20" spans="1:13" x14ac:dyDescent="0.35">
      <c r="D20" s="10" t="s">
        <v>166</v>
      </c>
      <c r="E20">
        <v>1773</v>
      </c>
      <c r="F20">
        <v>1227</v>
      </c>
      <c r="G20">
        <v>3000</v>
      </c>
      <c r="H20" s="10" t="s">
        <v>166</v>
      </c>
      <c r="I20" s="7">
        <v>1218</v>
      </c>
      <c r="J20" s="7">
        <v>1782</v>
      </c>
      <c r="K20" s="7">
        <v>3000</v>
      </c>
      <c r="M20" s="13"/>
    </row>
    <row r="21" spans="1:13" x14ac:dyDescent="0.35">
      <c r="D21" s="10" t="s">
        <v>174</v>
      </c>
      <c r="H21" s="10" t="s">
        <v>196</v>
      </c>
      <c r="K21" s="13">
        <f>(J17+J19)/K20</f>
        <v>0.44166666666666665</v>
      </c>
    </row>
    <row r="22" spans="1:13" x14ac:dyDescent="0.35">
      <c r="A22" s="15" t="s">
        <v>167</v>
      </c>
    </row>
    <row r="23" spans="1:13" x14ac:dyDescent="0.35">
      <c r="A23" s="16">
        <v>2.3256666666666668</v>
      </c>
      <c r="D23" s="9" t="s">
        <v>138</v>
      </c>
      <c r="E23" t="s">
        <v>154</v>
      </c>
      <c r="H23" s="9" t="s">
        <v>152</v>
      </c>
      <c r="I23" s="9" t="s">
        <v>195</v>
      </c>
    </row>
    <row r="24" spans="1:13" x14ac:dyDescent="0.35">
      <c r="D24" s="10" t="s">
        <v>36</v>
      </c>
      <c r="E24" s="7">
        <v>396046127</v>
      </c>
      <c r="H24" s="9" t="s">
        <v>138</v>
      </c>
      <c r="I24" t="s">
        <v>27</v>
      </c>
      <c r="J24" t="s">
        <v>44</v>
      </c>
      <c r="K24" t="s">
        <v>61</v>
      </c>
      <c r="L24" t="s">
        <v>166</v>
      </c>
    </row>
    <row r="25" spans="1:13" x14ac:dyDescent="0.35">
      <c r="D25" s="10" t="s">
        <v>29</v>
      </c>
      <c r="E25" s="7">
        <v>0</v>
      </c>
      <c r="H25" s="10" t="s">
        <v>36</v>
      </c>
      <c r="I25" s="7">
        <v>37370509</v>
      </c>
      <c r="J25" s="7">
        <v>102393831</v>
      </c>
      <c r="K25" s="7">
        <v>137121591</v>
      </c>
      <c r="L25" s="7">
        <v>276885931</v>
      </c>
    </row>
    <row r="26" spans="1:13" x14ac:dyDescent="0.35">
      <c r="D26" s="10" t="s">
        <v>166</v>
      </c>
      <c r="E26" s="7">
        <v>396046127</v>
      </c>
      <c r="H26" s="10" t="s">
        <v>29</v>
      </c>
      <c r="I26" s="7">
        <v>170932393</v>
      </c>
      <c r="J26" s="7">
        <v>104692589</v>
      </c>
      <c r="K26" s="7">
        <v>134634986</v>
      </c>
      <c r="L26" s="7">
        <v>410259968</v>
      </c>
    </row>
    <row r="27" spans="1:13" x14ac:dyDescent="0.35">
      <c r="H27" s="10" t="s">
        <v>166</v>
      </c>
      <c r="I27" s="7">
        <v>208302902</v>
      </c>
      <c r="J27" s="7">
        <v>207086420</v>
      </c>
      <c r="K27" s="7">
        <v>271756577</v>
      </c>
      <c r="L27" s="7">
        <v>687145899</v>
      </c>
    </row>
    <row r="28" spans="1:13" x14ac:dyDescent="0.35">
      <c r="A28" s="9" t="s">
        <v>154</v>
      </c>
      <c r="B28" s="9" t="s">
        <v>185</v>
      </c>
      <c r="H28" s="10" t="s">
        <v>197</v>
      </c>
      <c r="K28" s="21">
        <f>(I26+K26)/L27</f>
        <v>0.44469068278613127</v>
      </c>
    </row>
    <row r="29" spans="1:13" x14ac:dyDescent="0.35">
      <c r="A29" s="9" t="s">
        <v>2</v>
      </c>
      <c r="B29" t="s">
        <v>27</v>
      </c>
      <c r="C29" t="s">
        <v>44</v>
      </c>
      <c r="D29" t="s">
        <v>61</v>
      </c>
      <c r="E29" t="s">
        <v>166</v>
      </c>
    </row>
    <row r="30" spans="1:13" x14ac:dyDescent="0.35">
      <c r="A30" s="10" t="s">
        <v>30</v>
      </c>
      <c r="B30" s="7">
        <v>40180901</v>
      </c>
      <c r="C30" s="7">
        <v>29917885</v>
      </c>
      <c r="D30" s="7">
        <v>31752781</v>
      </c>
      <c r="E30" s="7">
        <v>101851567</v>
      </c>
    </row>
    <row r="31" spans="1:13" x14ac:dyDescent="0.35">
      <c r="A31" s="10" t="s">
        <v>37</v>
      </c>
      <c r="B31" s="7">
        <v>41032859</v>
      </c>
      <c r="C31" s="7">
        <v>23210723</v>
      </c>
      <c r="D31" s="7">
        <v>26687963</v>
      </c>
      <c r="E31" s="7">
        <v>90931545</v>
      </c>
    </row>
    <row r="32" spans="1:13" x14ac:dyDescent="0.35">
      <c r="A32" s="10" t="s">
        <v>19</v>
      </c>
      <c r="B32" s="7">
        <v>40148092</v>
      </c>
      <c r="C32" s="7">
        <v>26881916</v>
      </c>
      <c r="D32" s="7">
        <v>38186230</v>
      </c>
      <c r="E32" s="7">
        <v>105216238</v>
      </c>
    </row>
    <row r="33" spans="1:5" x14ac:dyDescent="0.35">
      <c r="A33" s="10" t="s">
        <v>50</v>
      </c>
      <c r="B33" s="7">
        <v>38778375</v>
      </c>
      <c r="C33" s="7">
        <v>28175536</v>
      </c>
      <c r="D33" s="7">
        <v>31092866</v>
      </c>
      <c r="E33" s="7">
        <v>98046777</v>
      </c>
    </row>
    <row r="34" spans="1:5" x14ac:dyDescent="0.35">
      <c r="A34" s="10" t="s">
        <v>166</v>
      </c>
      <c r="B34" s="7">
        <v>160140227</v>
      </c>
      <c r="C34" s="7">
        <v>108186060</v>
      </c>
      <c r="D34" s="7">
        <v>127719840</v>
      </c>
      <c r="E34" s="7">
        <v>396046127</v>
      </c>
    </row>
    <row r="36" spans="1:5" x14ac:dyDescent="0.35">
      <c r="A36" s="9" t="s">
        <v>190</v>
      </c>
      <c r="B36" t="s">
        <v>162</v>
      </c>
      <c r="C36" t="s">
        <v>164</v>
      </c>
    </row>
    <row r="37" spans="1:5" x14ac:dyDescent="0.35">
      <c r="A37" s="10" t="s">
        <v>187</v>
      </c>
      <c r="B37" s="14">
        <v>0.2769010043041607</v>
      </c>
      <c r="C37" s="14">
        <v>697</v>
      </c>
    </row>
    <row r="38" spans="1:5" x14ac:dyDescent="0.35">
      <c r="A38" s="10" t="s">
        <v>188</v>
      </c>
      <c r="B38" s="14">
        <v>0.55700934579439254</v>
      </c>
      <c r="C38" s="14">
        <v>535</v>
      </c>
    </row>
    <row r="39" spans="1:5" x14ac:dyDescent="0.35">
      <c r="A39" s="10" t="s">
        <v>189</v>
      </c>
      <c r="B39" s="14">
        <v>0.73020361990950222</v>
      </c>
      <c r="C39" s="14">
        <v>1768</v>
      </c>
      <c r="D39" s="22">
        <f>C39/C40</f>
        <v>0.58933333333333338</v>
      </c>
    </row>
    <row r="40" spans="1:5" x14ac:dyDescent="0.35">
      <c r="A40" s="10" t="s">
        <v>166</v>
      </c>
      <c r="B40" s="14">
        <v>0.59399999999999997</v>
      </c>
      <c r="C40" s="14">
        <v>3000</v>
      </c>
    </row>
  </sheetData>
  <conditionalFormatting pivot="1" sqref="A23">
    <cfRule type="cellIs" dxfId="29" priority="1" operator="lessThan">
      <formula>3.8</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187A0-403E-4872-A23B-17880F10634B}">
  <dimension ref="A1:AG15"/>
  <sheetViews>
    <sheetView zoomScale="48" zoomScaleNormal="115" workbookViewId="0">
      <selection activeCell="AM13" sqref="AM13"/>
    </sheetView>
  </sheetViews>
  <sheetFormatPr defaultRowHeight="14.5" x14ac:dyDescent="0.35"/>
  <cols>
    <col min="19" max="19" width="10" customWidth="1"/>
    <col min="20" max="20" width="9.81640625" customWidth="1"/>
    <col min="21" max="21" width="13.453125" customWidth="1"/>
  </cols>
  <sheetData>
    <row r="1" spans="1:33" ht="14.5" customHeight="1" x14ac:dyDescent="0.35">
      <c r="A1" s="71" t="s">
        <v>178</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row>
    <row r="2" spans="1:33" ht="14.5" customHeight="1" x14ac:dyDescent="0.35">
      <c r="A2" s="71"/>
      <c r="B2" s="71"/>
      <c r="C2" s="71"/>
      <c r="D2" s="71"/>
      <c r="E2" s="71"/>
      <c r="F2" s="71"/>
      <c r="G2" s="71"/>
      <c r="H2" s="71"/>
      <c r="I2" s="71"/>
      <c r="J2" s="71"/>
      <c r="K2" s="71"/>
      <c r="L2" s="71"/>
      <c r="M2" s="71"/>
      <c r="N2" s="71"/>
      <c r="O2" s="71"/>
      <c r="P2" s="71"/>
      <c r="Q2" s="71"/>
      <c r="R2" s="71"/>
      <c r="S2" s="71"/>
      <c r="T2" s="71"/>
      <c r="U2" s="71"/>
      <c r="V2" s="71"/>
      <c r="W2" s="71"/>
      <c r="X2" s="71"/>
      <c r="Y2" s="71"/>
      <c r="Z2" s="71"/>
      <c r="AA2" s="71"/>
      <c r="AB2" s="71"/>
      <c r="AC2" s="71"/>
      <c r="AD2" s="71"/>
      <c r="AE2" s="71"/>
      <c r="AF2" s="71"/>
      <c r="AG2" s="71"/>
    </row>
    <row r="3" spans="1:33" ht="14.5" customHeight="1" x14ac:dyDescent="0.35">
      <c r="A3" s="71"/>
      <c r="B3" s="71"/>
      <c r="C3" s="71"/>
      <c r="D3" s="71"/>
      <c r="E3" s="71"/>
      <c r="F3" s="71"/>
      <c r="G3" s="71"/>
      <c r="H3" s="71"/>
      <c r="I3" s="71"/>
      <c r="J3" s="71"/>
      <c r="K3" s="71"/>
      <c r="L3" s="71"/>
      <c r="M3" s="71"/>
      <c r="N3" s="71"/>
      <c r="O3" s="71"/>
      <c r="P3" s="71"/>
      <c r="Q3" s="71"/>
      <c r="R3" s="71"/>
      <c r="S3" s="71"/>
      <c r="T3" s="71"/>
      <c r="U3" s="71"/>
      <c r="V3" s="71"/>
      <c r="W3" s="71"/>
      <c r="X3" s="71"/>
      <c r="Y3" s="71"/>
      <c r="Z3" s="71"/>
      <c r="AA3" s="71"/>
      <c r="AB3" s="71"/>
      <c r="AC3" s="71"/>
      <c r="AD3" s="71"/>
      <c r="AE3" s="71"/>
      <c r="AF3" s="71"/>
      <c r="AG3" s="71"/>
    </row>
    <row r="4" spans="1:33" ht="15" thickBot="1" x14ac:dyDescent="0.4"/>
    <row r="5" spans="1:33" ht="21" x14ac:dyDescent="0.5">
      <c r="A5" s="32" t="s">
        <v>179</v>
      </c>
      <c r="B5" s="33"/>
      <c r="C5" s="34"/>
      <c r="G5" s="32" t="s">
        <v>180</v>
      </c>
      <c r="H5" s="33"/>
      <c r="I5" s="34"/>
      <c r="M5" s="32" t="s">
        <v>130</v>
      </c>
      <c r="N5" s="33"/>
      <c r="O5" s="34"/>
      <c r="S5" s="32" t="s">
        <v>156</v>
      </c>
      <c r="T5" s="33"/>
      <c r="U5" s="34"/>
      <c r="Y5" s="32" t="s">
        <v>181</v>
      </c>
      <c r="Z5" s="33"/>
      <c r="AA5" s="34"/>
      <c r="AE5" s="32" t="s">
        <v>192</v>
      </c>
      <c r="AF5" s="33"/>
      <c r="AG5" s="34"/>
    </row>
    <row r="6" spans="1:33" x14ac:dyDescent="0.35">
      <c r="A6" s="65">
        <f>Pivot_Calculations!B3</f>
        <v>1021143275</v>
      </c>
      <c r="B6" s="66"/>
      <c r="C6" s="67"/>
      <c r="G6" s="65">
        <f>Pivot_Calculations!C3</f>
        <v>687145899</v>
      </c>
      <c r="H6" s="66"/>
      <c r="I6" s="67"/>
      <c r="M6" s="65">
        <f>Pivot_Calculations!D3</f>
        <v>333997376</v>
      </c>
      <c r="N6" s="66"/>
      <c r="O6" s="67"/>
      <c r="S6" s="81">
        <f>Pivot_Calculations!E3</f>
        <v>0.32708179564713874</v>
      </c>
      <c r="T6" s="82"/>
      <c r="U6" s="83"/>
      <c r="Y6" s="75">
        <f>Pivot_Calculations!F3</f>
        <v>396046127</v>
      </c>
      <c r="Z6" s="76"/>
      <c r="AA6" s="77"/>
      <c r="AE6" s="35">
        <f>Pivot_Calculations!J13</f>
        <v>410259968</v>
      </c>
      <c r="AF6" s="36"/>
      <c r="AG6" s="37"/>
    </row>
    <row r="7" spans="1:33" x14ac:dyDescent="0.35">
      <c r="A7" s="65"/>
      <c r="B7" s="66"/>
      <c r="C7" s="67"/>
      <c r="G7" s="65"/>
      <c r="H7" s="66"/>
      <c r="I7" s="67"/>
      <c r="M7" s="65"/>
      <c r="N7" s="66"/>
      <c r="O7" s="67"/>
      <c r="S7" s="81"/>
      <c r="T7" s="82"/>
      <c r="U7" s="83"/>
      <c r="Y7" s="75"/>
      <c r="Z7" s="76"/>
      <c r="AA7" s="77"/>
      <c r="AE7" s="35"/>
      <c r="AF7" s="36"/>
      <c r="AG7" s="37"/>
    </row>
    <row r="8" spans="1:33" ht="15" thickBot="1" x14ac:dyDescent="0.4">
      <c r="A8" s="68"/>
      <c r="B8" s="69"/>
      <c r="C8" s="70"/>
      <c r="G8" s="68"/>
      <c r="H8" s="69"/>
      <c r="I8" s="70"/>
      <c r="M8" s="68"/>
      <c r="N8" s="69"/>
      <c r="O8" s="70"/>
      <c r="S8" s="84"/>
      <c r="T8" s="85"/>
      <c r="U8" s="86"/>
      <c r="Y8" s="78"/>
      <c r="Z8" s="79"/>
      <c r="AA8" s="80"/>
      <c r="AE8" s="38"/>
      <c r="AF8" s="39"/>
      <c r="AG8" s="40"/>
    </row>
    <row r="9" spans="1:33" ht="15" thickBot="1" x14ac:dyDescent="0.4"/>
    <row r="10" spans="1:33" ht="21" x14ac:dyDescent="0.5">
      <c r="A10" s="32" t="s">
        <v>182</v>
      </c>
      <c r="B10" s="33"/>
      <c r="C10" s="34"/>
      <c r="G10" s="32" t="s">
        <v>183</v>
      </c>
      <c r="H10" s="33"/>
      <c r="I10" s="34"/>
      <c r="J10" s="18"/>
      <c r="K10" s="18"/>
      <c r="L10" s="18"/>
      <c r="M10" s="32" t="s">
        <v>132</v>
      </c>
      <c r="N10" s="33"/>
      <c r="O10" s="34"/>
      <c r="P10" s="18"/>
      <c r="Q10" s="18"/>
      <c r="R10" s="18"/>
      <c r="S10" s="72" t="s">
        <v>184</v>
      </c>
      <c r="T10" s="73"/>
      <c r="U10" s="74"/>
      <c r="Y10" s="32" t="s">
        <v>133</v>
      </c>
      <c r="Z10" s="33"/>
      <c r="AA10" s="34"/>
      <c r="AE10" s="72" t="s">
        <v>193</v>
      </c>
      <c r="AF10" s="73"/>
      <c r="AG10" s="74"/>
    </row>
    <row r="11" spans="1:33" ht="14.5" customHeight="1" x14ac:dyDescent="0.35">
      <c r="A11" s="65">
        <f>Pivot_Calculations!A3</f>
        <v>3000</v>
      </c>
      <c r="B11" s="66"/>
      <c r="C11" s="67"/>
      <c r="G11" s="47">
        <f>Pivot_Calculations!H3</f>
        <v>0.40600000000000003</v>
      </c>
      <c r="H11" s="48"/>
      <c r="I11" s="49"/>
      <c r="J11" s="17"/>
      <c r="K11" s="17"/>
      <c r="L11" s="17"/>
      <c r="M11" s="41">
        <f>Pivot_Calculations!I3</f>
        <v>0.59399999999999997</v>
      </c>
      <c r="N11" s="42"/>
      <c r="O11" s="43"/>
      <c r="P11" s="17"/>
      <c r="Q11" s="17"/>
      <c r="R11" s="17"/>
      <c r="S11" s="53">
        <f>Pivot_Calculations!A23</f>
        <v>2.3256666666666668</v>
      </c>
      <c r="T11" s="54"/>
      <c r="U11" s="55"/>
      <c r="Y11" s="59">
        <f>Pivot_Calculations!G3</f>
        <v>0.35</v>
      </c>
      <c r="Z11" s="60"/>
      <c r="AA11" s="61"/>
      <c r="AE11" s="23">
        <f>AE6/G6</f>
        <v>0.59704928545313196</v>
      </c>
      <c r="AF11" s="24"/>
      <c r="AG11" s="25"/>
    </row>
    <row r="12" spans="1:33" ht="14.5" customHeight="1" x14ac:dyDescent="0.35">
      <c r="A12" s="65"/>
      <c r="B12" s="66"/>
      <c r="C12" s="67"/>
      <c r="G12" s="47"/>
      <c r="H12" s="48"/>
      <c r="I12" s="49"/>
      <c r="J12" s="17"/>
      <c r="K12" s="17"/>
      <c r="L12" s="17"/>
      <c r="M12" s="41"/>
      <c r="N12" s="42"/>
      <c r="O12" s="43"/>
      <c r="P12" s="17"/>
      <c r="Q12" s="17"/>
      <c r="R12" s="17"/>
      <c r="S12" s="53"/>
      <c r="T12" s="54"/>
      <c r="U12" s="55"/>
      <c r="Y12" s="59"/>
      <c r="Z12" s="60"/>
      <c r="AA12" s="61"/>
      <c r="AE12" s="23"/>
      <c r="AF12" s="24"/>
      <c r="AG12" s="25"/>
    </row>
    <row r="13" spans="1:33" ht="15" customHeight="1" thickBot="1" x14ac:dyDescent="0.4">
      <c r="A13" s="68"/>
      <c r="B13" s="69"/>
      <c r="C13" s="70"/>
      <c r="G13" s="50"/>
      <c r="H13" s="51"/>
      <c r="I13" s="52"/>
      <c r="J13" s="17"/>
      <c r="K13" s="17"/>
      <c r="L13" s="17"/>
      <c r="M13" s="44"/>
      <c r="N13" s="45"/>
      <c r="O13" s="46"/>
      <c r="P13" s="17"/>
      <c r="Q13" s="17"/>
      <c r="R13" s="17"/>
      <c r="S13" s="56"/>
      <c r="T13" s="57"/>
      <c r="U13" s="58"/>
      <c r="Y13" s="62"/>
      <c r="Z13" s="63"/>
      <c r="AA13" s="64"/>
      <c r="AE13" s="26"/>
      <c r="AF13" s="27"/>
      <c r="AG13" s="28"/>
    </row>
    <row r="14" spans="1:33" ht="15" thickBot="1" x14ac:dyDescent="0.4"/>
    <row r="15" spans="1:33" ht="19" thickBot="1" x14ac:dyDescent="0.5">
      <c r="V15" s="29" t="s">
        <v>191</v>
      </c>
      <c r="W15" s="30"/>
      <c r="X15" s="30"/>
      <c r="Y15" s="30"/>
      <c r="Z15" s="30"/>
      <c r="AA15" s="30"/>
      <c r="AB15" s="30"/>
      <c r="AC15" s="30"/>
      <c r="AD15" s="30"/>
      <c r="AE15" s="30"/>
      <c r="AF15" s="31"/>
    </row>
  </sheetData>
  <mergeCells count="26">
    <mergeCell ref="A1:AG3"/>
    <mergeCell ref="AE10:AG10"/>
    <mergeCell ref="Y6:AA8"/>
    <mergeCell ref="S6:U8"/>
    <mergeCell ref="M6:O8"/>
    <mergeCell ref="G6:I8"/>
    <mergeCell ref="A6:C8"/>
    <mergeCell ref="AE5:AG5"/>
    <mergeCell ref="G10:I10"/>
    <mergeCell ref="M10:O10"/>
    <mergeCell ref="S10:U10"/>
    <mergeCell ref="A5:C5"/>
    <mergeCell ref="G5:I5"/>
    <mergeCell ref="M5:O5"/>
    <mergeCell ref="S5:U5"/>
    <mergeCell ref="Y5:AA5"/>
    <mergeCell ref="AE11:AG13"/>
    <mergeCell ref="V15:AF15"/>
    <mergeCell ref="A10:C10"/>
    <mergeCell ref="Y10:AA10"/>
    <mergeCell ref="AE6:AG8"/>
    <mergeCell ref="M11:O13"/>
    <mergeCell ref="G11:I13"/>
    <mergeCell ref="S11:U13"/>
    <mergeCell ref="Y11:AA13"/>
    <mergeCell ref="A11:C13"/>
  </mergeCells>
  <conditionalFormatting sqref="G11:I13">
    <cfRule type="cellIs" dxfId="3" priority="9" operator="lessThanOrEqual">
      <formula>70</formula>
    </cfRule>
  </conditionalFormatting>
  <conditionalFormatting sqref="M11:O13">
    <cfRule type="cellIs" dxfId="2" priority="1" operator="lessThan">
      <formula>0.3</formula>
    </cfRule>
    <cfRule type="cellIs" dxfId="1" priority="2" operator="greaterThan">
      <formula>0.3</formula>
    </cfRule>
  </conditionalFormatting>
  <conditionalFormatting sqref="S11:U13">
    <cfRule type="cellIs" dxfId="0" priority="6" operator="lessThan">
      <formula>3.8</formula>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BD6D0-6A17-463F-97B2-A82D522AEF27}">
  <dimension ref="A1:K23"/>
  <sheetViews>
    <sheetView zoomScale="98" zoomScaleNormal="98" workbookViewId="0">
      <selection activeCell="G6" sqref="G6"/>
    </sheetView>
  </sheetViews>
  <sheetFormatPr defaultRowHeight="14.5" x14ac:dyDescent="0.35"/>
  <sheetData>
    <row r="1" spans="1:10" x14ac:dyDescent="0.35">
      <c r="A1" s="87" t="s">
        <v>200</v>
      </c>
      <c r="B1" s="87"/>
      <c r="C1" s="87"/>
      <c r="D1" s="87"/>
      <c r="E1" s="87"/>
      <c r="F1" s="87"/>
      <c r="J1" s="2" t="s">
        <v>210</v>
      </c>
    </row>
    <row r="2" spans="1:10" x14ac:dyDescent="0.35">
      <c r="A2" t="s">
        <v>216</v>
      </c>
      <c r="J2" t="s">
        <v>207</v>
      </c>
    </row>
    <row r="3" spans="1:10" x14ac:dyDescent="0.35">
      <c r="A3" t="s">
        <v>204</v>
      </c>
      <c r="J3" t="s">
        <v>208</v>
      </c>
    </row>
    <row r="4" spans="1:10" x14ac:dyDescent="0.35">
      <c r="A4" t="s">
        <v>205</v>
      </c>
      <c r="J4" t="s">
        <v>212</v>
      </c>
    </row>
    <row r="5" spans="1:10" x14ac:dyDescent="0.35">
      <c r="A5" t="s">
        <v>223</v>
      </c>
      <c r="J5" t="s">
        <v>209</v>
      </c>
    </row>
    <row r="6" spans="1:10" x14ac:dyDescent="0.35">
      <c r="A6" t="s">
        <v>206</v>
      </c>
    </row>
    <row r="8" spans="1:10" x14ac:dyDescent="0.35">
      <c r="A8" s="87" t="s">
        <v>201</v>
      </c>
      <c r="B8" s="87"/>
      <c r="C8" s="87"/>
      <c r="D8" s="87"/>
      <c r="E8" s="87"/>
      <c r="F8" s="87"/>
      <c r="G8" s="87"/>
      <c r="H8" s="87"/>
      <c r="I8" s="87"/>
    </row>
    <row r="9" spans="1:10" x14ac:dyDescent="0.35">
      <c r="A9" t="s">
        <v>217</v>
      </c>
    </row>
    <row r="10" spans="1:10" x14ac:dyDescent="0.35">
      <c r="A10" t="s">
        <v>211</v>
      </c>
    </row>
    <row r="11" spans="1:10" x14ac:dyDescent="0.35">
      <c r="A11" t="s">
        <v>213</v>
      </c>
    </row>
    <row r="12" spans="1:10" x14ac:dyDescent="0.35">
      <c r="A12" t="s">
        <v>214</v>
      </c>
    </row>
    <row r="13" spans="1:10" x14ac:dyDescent="0.35">
      <c r="A13" t="s">
        <v>215</v>
      </c>
    </row>
    <row r="15" spans="1:10" x14ac:dyDescent="0.35">
      <c r="A15" s="87" t="s">
        <v>202</v>
      </c>
      <c r="B15" s="87"/>
      <c r="C15" s="87"/>
      <c r="D15" s="87"/>
      <c r="E15" s="87"/>
      <c r="F15" s="87"/>
      <c r="G15" s="87"/>
      <c r="H15" s="87"/>
    </row>
    <row r="16" spans="1:10" x14ac:dyDescent="0.35">
      <c r="A16" s="88" t="s">
        <v>203</v>
      </c>
      <c r="B16" s="88"/>
      <c r="C16" s="88"/>
      <c r="D16" s="88"/>
      <c r="E16" s="88"/>
      <c r="F16" s="88"/>
      <c r="G16" s="88"/>
      <c r="H16" s="88"/>
    </row>
    <row r="17" spans="1:11" x14ac:dyDescent="0.35">
      <c r="A17" t="s">
        <v>219</v>
      </c>
    </row>
    <row r="18" spans="1:11" x14ac:dyDescent="0.35">
      <c r="A18" t="s">
        <v>218</v>
      </c>
    </row>
    <row r="19" spans="1:11" x14ac:dyDescent="0.35">
      <c r="A19" t="s">
        <v>220</v>
      </c>
    </row>
    <row r="21" spans="1:11" x14ac:dyDescent="0.35">
      <c r="A21" s="87" t="s">
        <v>146</v>
      </c>
      <c r="B21" s="87"/>
      <c r="C21" s="87"/>
      <c r="D21" s="87"/>
      <c r="E21" s="87"/>
      <c r="F21" s="87"/>
      <c r="G21" s="87"/>
      <c r="H21" s="87"/>
      <c r="I21" s="87"/>
      <c r="J21" s="87"/>
      <c r="K21" s="87"/>
    </row>
    <row r="22" spans="1:11" x14ac:dyDescent="0.35">
      <c r="A22" t="s">
        <v>221</v>
      </c>
    </row>
    <row r="23" spans="1:11" x14ac:dyDescent="0.35">
      <c r="A23" t="s">
        <v>222</v>
      </c>
    </row>
  </sheetData>
  <mergeCells count="5">
    <mergeCell ref="A21:K21"/>
    <mergeCell ref="A15:H15"/>
    <mergeCell ref="A8:I8"/>
    <mergeCell ref="A1:F1"/>
    <mergeCell ref="A16:H1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Project_Blueprint</vt:lpstr>
      <vt:lpstr>Pivot_Calculations</vt:lpstr>
      <vt:lpstr>Dashboard</vt:lpstr>
      <vt:lpstr>Insights_Notes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soumya das</cp:lastModifiedBy>
  <dcterms:created xsi:type="dcterms:W3CDTF">2026-01-24T04:22:29Z</dcterms:created>
  <dcterms:modified xsi:type="dcterms:W3CDTF">2026-02-18T03:41:05Z</dcterms:modified>
</cp:coreProperties>
</file>